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common\ECOM DATA\Gross Proceed\ALL DATA\LINKED DATA\"/>
    </mc:Choice>
  </mc:AlternateContent>
  <bookViews>
    <workbookView xWindow="-120" yWindow="115650" windowWidth="15480" windowHeight="4470" firstSheet="1" activeTab="3"/>
  </bookViews>
  <sheets>
    <sheet name="FBA FEES" sheetId="1" state="hidden" r:id="rId1"/>
    <sheet name="MAIN" sheetId="2" r:id="rId2"/>
    <sheet name="State" sheetId="3" r:id="rId3"/>
    <sheet name="ALL SKU" sheetId="4" r:id="rId4"/>
    <sheet name="Listing Price" sheetId="5" r:id="rId5"/>
    <sheet name="CALCULATOR MAIN" sheetId="6" r:id="rId6"/>
    <sheet name="Stores" sheetId="7" r:id="rId7"/>
    <sheet name="FREIGHT BACKUP" sheetId="8" state="hidden" r:id="rId8"/>
  </sheets>
  <externalReferences>
    <externalReference r:id="rId9"/>
  </externalReferences>
  <definedNames>
    <definedName name="_xlnm._FilterDatabase" localSheetId="3" hidden="1">'ALL SKU'!$A$1:$B$11378</definedName>
    <definedName name="_xlnm._FilterDatabase" localSheetId="5" hidden="1">'CALCULATOR MAIN'!$A$72:$AN$1047</definedName>
    <definedName name="_xlnm._FilterDatabase" localSheetId="0" hidden="1">'FBA FEES'!$A$7:$F$7</definedName>
    <definedName name="_xlnm._FilterDatabase" localSheetId="1" hidden="1">MAIN!$A$1:$AN$1967</definedName>
    <definedName name="_xlnm._FilterDatabase" localSheetId="2" hidden="1">State!$A$1:$C$366</definedName>
  </definedNames>
  <calcPr calcId="162913"/>
</workbook>
</file>

<file path=xl/calcChain.xml><?xml version="1.0" encoding="utf-8"?>
<calcChain xmlns="http://schemas.openxmlformats.org/spreadsheetml/2006/main">
  <c r="U1047" i="6" l="1"/>
  <c r="S1047" i="6"/>
  <c r="R1047" i="6"/>
  <c r="P1047" i="6"/>
  <c r="Q1047" i="6" s="1"/>
  <c r="M1047" i="6"/>
  <c r="N1047" i="6" s="1"/>
  <c r="L1047" i="6"/>
  <c r="K1047" i="6"/>
  <c r="U1046" i="6"/>
  <c r="P1046" i="6"/>
  <c r="S1046" i="6" s="1"/>
  <c r="R1046" i="6" s="1"/>
  <c r="M1046" i="6"/>
  <c r="N1046" i="6" s="1"/>
  <c r="L1046" i="6"/>
  <c r="K1046" i="6"/>
  <c r="U1045" i="6"/>
  <c r="S1045" i="6"/>
  <c r="R1045" i="6"/>
  <c r="P1045" i="6"/>
  <c r="Q1045" i="6" s="1"/>
  <c r="N1045" i="6"/>
  <c r="M1045" i="6"/>
  <c r="L1045" i="6"/>
  <c r="K1045" i="6"/>
  <c r="U1044" i="6"/>
  <c r="P1044" i="6"/>
  <c r="M1044" i="6"/>
  <c r="N1044" i="6" s="1"/>
  <c r="L1044" i="6"/>
  <c r="K1044" i="6"/>
  <c r="U1043" i="6"/>
  <c r="S1043" i="6"/>
  <c r="R1043" i="6" s="1"/>
  <c r="P1043" i="6"/>
  <c r="Q1043" i="6" s="1"/>
  <c r="M1043" i="6"/>
  <c r="N1043" i="6" s="1"/>
  <c r="L1043" i="6"/>
  <c r="K1043" i="6"/>
  <c r="U1042" i="6"/>
  <c r="M1042" i="6"/>
  <c r="N1042" i="6" s="1"/>
  <c r="L1042" i="6"/>
  <c r="P1042" i="6" s="1"/>
  <c r="K1042" i="6"/>
  <c r="U1041" i="6"/>
  <c r="S1041" i="6"/>
  <c r="R1041" i="6"/>
  <c r="P1041" i="6"/>
  <c r="Q1041" i="6" s="1"/>
  <c r="M1041" i="6"/>
  <c r="N1041" i="6" s="1"/>
  <c r="L1041" i="6"/>
  <c r="K1041" i="6"/>
  <c r="U1040" i="6"/>
  <c r="Q1040" i="6"/>
  <c r="M1040" i="6"/>
  <c r="N1040" i="6" s="1"/>
  <c r="L1040" i="6"/>
  <c r="P1040" i="6" s="1"/>
  <c r="S1040" i="6" s="1"/>
  <c r="R1040" i="6" s="1"/>
  <c r="K1040" i="6"/>
  <c r="U1039" i="6"/>
  <c r="S1039" i="6"/>
  <c r="R1039" i="6"/>
  <c r="P1039" i="6"/>
  <c r="Q1039" i="6" s="1"/>
  <c r="M1039" i="6"/>
  <c r="N1039" i="6" s="1"/>
  <c r="L1039" i="6"/>
  <c r="K1039" i="6"/>
  <c r="U1038" i="6"/>
  <c r="Q1038" i="6"/>
  <c r="P1038" i="6"/>
  <c r="S1038" i="6" s="1"/>
  <c r="R1038" i="6" s="1"/>
  <c r="M1038" i="6"/>
  <c r="N1038" i="6" s="1"/>
  <c r="L1038" i="6"/>
  <c r="K1038" i="6"/>
  <c r="U1037" i="6"/>
  <c r="S1037" i="6"/>
  <c r="R1037" i="6"/>
  <c r="P1037" i="6"/>
  <c r="Q1037" i="6" s="1"/>
  <c r="N1037" i="6"/>
  <c r="M1037" i="6"/>
  <c r="L1037" i="6"/>
  <c r="K1037" i="6"/>
  <c r="U1036" i="6"/>
  <c r="P1036" i="6"/>
  <c r="M1036" i="6"/>
  <c r="N1036" i="6" s="1"/>
  <c r="L1036" i="6"/>
  <c r="K1036" i="6"/>
  <c r="U1035" i="6"/>
  <c r="S1035" i="6"/>
  <c r="R1035" i="6" s="1"/>
  <c r="P1035" i="6"/>
  <c r="Q1035" i="6" s="1"/>
  <c r="M1035" i="6"/>
  <c r="N1035" i="6" s="1"/>
  <c r="L1035" i="6"/>
  <c r="K1035" i="6"/>
  <c r="AN1033" i="6"/>
  <c r="AM1033" i="6"/>
  <c r="AE1033" i="6"/>
  <c r="U1033" i="6"/>
  <c r="P1033" i="6"/>
  <c r="N1033" i="6"/>
  <c r="M1033" i="6"/>
  <c r="L1033" i="6"/>
  <c r="K1033" i="6"/>
  <c r="AN1032" i="6"/>
  <c r="AM1032" i="6"/>
  <c r="AI1032" i="6"/>
  <c r="AF1032" i="6"/>
  <c r="AH1032" i="6" s="1"/>
  <c r="AE1032" i="6"/>
  <c r="U1032" i="6"/>
  <c r="S1032" i="6"/>
  <c r="R1032" i="6"/>
  <c r="P1032" i="6"/>
  <c r="Q1032" i="6" s="1"/>
  <c r="M1032" i="6"/>
  <c r="N1032" i="6" s="1"/>
  <c r="L1032" i="6"/>
  <c r="K1032" i="6"/>
  <c r="AM1031" i="6"/>
  <c r="AE1031" i="6"/>
  <c r="U1031" i="6"/>
  <c r="AN1031" i="6" s="1"/>
  <c r="P1031" i="6"/>
  <c r="N1031" i="6"/>
  <c r="M1031" i="6"/>
  <c r="L1031" i="6"/>
  <c r="K1031" i="6"/>
  <c r="AN1030" i="6"/>
  <c r="AM1030" i="6"/>
  <c r="AI1030" i="6"/>
  <c r="AE1030" i="6"/>
  <c r="U1030" i="6"/>
  <c r="S1030" i="6"/>
  <c r="P1030" i="6"/>
  <c r="Q1030" i="6" s="1"/>
  <c r="M1030" i="6"/>
  <c r="N1030" i="6" s="1"/>
  <c r="L1030" i="6"/>
  <c r="K1030" i="6"/>
  <c r="AM1029" i="6"/>
  <c r="AI1029" i="6"/>
  <c r="AE1029" i="6"/>
  <c r="U1029" i="6"/>
  <c r="AN1029" i="6" s="1"/>
  <c r="P1029" i="6"/>
  <c r="N1029" i="6"/>
  <c r="M1029" i="6"/>
  <c r="L1029" i="6"/>
  <c r="K1029" i="6"/>
  <c r="AN1028" i="6"/>
  <c r="AM1028" i="6"/>
  <c r="AI1028" i="6"/>
  <c r="AF1028" i="6"/>
  <c r="AH1028" i="6" s="1"/>
  <c r="AE1028" i="6"/>
  <c r="U1028" i="6"/>
  <c r="S1028" i="6"/>
  <c r="R1028" i="6"/>
  <c r="P1028" i="6"/>
  <c r="Q1028" i="6" s="1"/>
  <c r="M1028" i="6"/>
  <c r="N1028" i="6" s="1"/>
  <c r="L1028" i="6"/>
  <c r="K1028" i="6"/>
  <c r="AM1027" i="6"/>
  <c r="AE1027" i="6"/>
  <c r="U1027" i="6"/>
  <c r="AN1027" i="6" s="1"/>
  <c r="P1027" i="6"/>
  <c r="N1027" i="6"/>
  <c r="M1027" i="6"/>
  <c r="L1027" i="6"/>
  <c r="K1027" i="6"/>
  <c r="AN1026" i="6"/>
  <c r="AM1026" i="6"/>
  <c r="AI1026" i="6"/>
  <c r="AE1026" i="6"/>
  <c r="U1026" i="6"/>
  <c r="S1026" i="6"/>
  <c r="P1026" i="6"/>
  <c r="Q1026" i="6" s="1"/>
  <c r="M1026" i="6"/>
  <c r="N1026" i="6" s="1"/>
  <c r="L1026" i="6"/>
  <c r="K1026" i="6"/>
  <c r="AM1025" i="6"/>
  <c r="AE1025" i="6"/>
  <c r="U1025" i="6"/>
  <c r="AN1025" i="6" s="1"/>
  <c r="P1025" i="6"/>
  <c r="N1025" i="6"/>
  <c r="M1025" i="6"/>
  <c r="L1025" i="6"/>
  <c r="K1025" i="6"/>
  <c r="AN1024" i="6"/>
  <c r="AM1024" i="6"/>
  <c r="AI1024" i="6"/>
  <c r="AF1024" i="6"/>
  <c r="AH1024" i="6" s="1"/>
  <c r="AE1024" i="6"/>
  <c r="U1024" i="6"/>
  <c r="S1024" i="6"/>
  <c r="R1024" i="6"/>
  <c r="P1024" i="6"/>
  <c r="Q1024" i="6" s="1"/>
  <c r="M1024" i="6"/>
  <c r="N1024" i="6" s="1"/>
  <c r="L1024" i="6"/>
  <c r="K1024" i="6"/>
  <c r="AM1023" i="6"/>
  <c r="AI1023" i="6"/>
  <c r="AE1023" i="6"/>
  <c r="U1023" i="6"/>
  <c r="AN1023" i="6" s="1"/>
  <c r="P1023" i="6"/>
  <c r="N1023" i="6"/>
  <c r="M1023" i="6"/>
  <c r="L1023" i="6"/>
  <c r="K1023" i="6"/>
  <c r="AM1022" i="6"/>
  <c r="AI1022" i="6"/>
  <c r="AF1022" i="6"/>
  <c r="AH1022" i="6" s="1"/>
  <c r="AE1022" i="6"/>
  <c r="U1022" i="6"/>
  <c r="AN1022" i="6" s="1"/>
  <c r="S1022" i="6"/>
  <c r="R1022" i="6"/>
  <c r="P1022" i="6"/>
  <c r="Q1022" i="6" s="1"/>
  <c r="N1022" i="6"/>
  <c r="M1022" i="6"/>
  <c r="L1022" i="6"/>
  <c r="K1022" i="6"/>
  <c r="AN1021" i="6"/>
  <c r="AM1021" i="6"/>
  <c r="AE1021" i="6"/>
  <c r="U1021" i="6"/>
  <c r="P1021" i="6"/>
  <c r="N1021" i="6"/>
  <c r="M1021" i="6"/>
  <c r="L1021" i="6"/>
  <c r="K1021" i="6"/>
  <c r="AN1020" i="6"/>
  <c r="AM1020" i="6"/>
  <c r="AI1020" i="6"/>
  <c r="AF1020" i="6"/>
  <c r="AH1020" i="6" s="1"/>
  <c r="AE1020" i="6"/>
  <c r="U1020" i="6"/>
  <c r="S1020" i="6"/>
  <c r="R1020" i="6"/>
  <c r="P1020" i="6"/>
  <c r="Q1020" i="6" s="1"/>
  <c r="M1020" i="6"/>
  <c r="N1020" i="6" s="1"/>
  <c r="L1020" i="6"/>
  <c r="K1020" i="6"/>
  <c r="AM1019" i="6"/>
  <c r="AI1019" i="6"/>
  <c r="AE1019" i="6"/>
  <c r="U1019" i="6"/>
  <c r="AN1019" i="6" s="1"/>
  <c r="P1019" i="6"/>
  <c r="N1019" i="6"/>
  <c r="M1019" i="6"/>
  <c r="L1019" i="6"/>
  <c r="K1019" i="6"/>
  <c r="AM1018" i="6"/>
  <c r="AI1018" i="6"/>
  <c r="AF1018" i="6"/>
  <c r="AH1018" i="6" s="1"/>
  <c r="AE1018" i="6"/>
  <c r="U1018" i="6"/>
  <c r="AN1018" i="6" s="1"/>
  <c r="S1018" i="6"/>
  <c r="R1018" i="6"/>
  <c r="P1018" i="6"/>
  <c r="Q1018" i="6" s="1"/>
  <c r="N1018" i="6"/>
  <c r="M1018" i="6"/>
  <c r="L1018" i="6"/>
  <c r="K1018" i="6"/>
  <c r="AN1017" i="6"/>
  <c r="AM1017" i="6"/>
  <c r="AE1017" i="6"/>
  <c r="U1017" i="6"/>
  <c r="P1017" i="6"/>
  <c r="N1017" i="6"/>
  <c r="M1017" i="6"/>
  <c r="L1017" i="6"/>
  <c r="K1017" i="6"/>
  <c r="AN1016" i="6"/>
  <c r="AM1016" i="6"/>
  <c r="AI1016" i="6"/>
  <c r="AE1016" i="6"/>
  <c r="U1016" i="6"/>
  <c r="S1016" i="6"/>
  <c r="R1016" i="6"/>
  <c r="P1016" i="6"/>
  <c r="Q1016" i="6" s="1"/>
  <c r="M1016" i="6"/>
  <c r="N1016" i="6" s="1"/>
  <c r="L1016" i="6"/>
  <c r="K1016" i="6"/>
  <c r="AM1015" i="6"/>
  <c r="AI1015" i="6"/>
  <c r="AE1015" i="6"/>
  <c r="U1015" i="6"/>
  <c r="AN1015" i="6" s="1"/>
  <c r="P1015" i="6"/>
  <c r="N1015" i="6"/>
  <c r="M1015" i="6"/>
  <c r="L1015" i="6"/>
  <c r="K1015" i="6"/>
  <c r="AM1014" i="6"/>
  <c r="AI1014" i="6"/>
  <c r="AE1014" i="6"/>
  <c r="U1014" i="6"/>
  <c r="AN1014" i="6" s="1"/>
  <c r="S1014" i="6"/>
  <c r="R1014" i="6"/>
  <c r="P1014" i="6"/>
  <c r="Q1014" i="6" s="1"/>
  <c r="N1014" i="6"/>
  <c r="M1014" i="6"/>
  <c r="L1014" i="6"/>
  <c r="K1014" i="6"/>
  <c r="AN1013" i="6"/>
  <c r="AM1013" i="6"/>
  <c r="AE1013" i="6"/>
  <c r="U1013" i="6"/>
  <c r="P1013" i="6"/>
  <c r="N1013" i="6"/>
  <c r="M1013" i="6"/>
  <c r="L1013" i="6"/>
  <c r="K1013" i="6"/>
  <c r="AN1012" i="6"/>
  <c r="AM1012" i="6"/>
  <c r="AI1012" i="6"/>
  <c r="AE1012" i="6"/>
  <c r="U1012" i="6"/>
  <c r="S1012" i="6"/>
  <c r="R1012" i="6"/>
  <c r="P1012" i="6"/>
  <c r="Q1012" i="6" s="1"/>
  <c r="M1012" i="6"/>
  <c r="N1012" i="6" s="1"/>
  <c r="L1012" i="6"/>
  <c r="K1012" i="6"/>
  <c r="AM1011" i="6"/>
  <c r="AI1011" i="6"/>
  <c r="AE1011" i="6"/>
  <c r="U1011" i="6"/>
  <c r="AN1011" i="6" s="1"/>
  <c r="P1011" i="6"/>
  <c r="N1011" i="6"/>
  <c r="M1011" i="6"/>
  <c r="L1011" i="6"/>
  <c r="K1011" i="6"/>
  <c r="AM1010" i="6"/>
  <c r="AI1010" i="6"/>
  <c r="AE1010" i="6"/>
  <c r="U1010" i="6"/>
  <c r="AN1010" i="6" s="1"/>
  <c r="S1010" i="6"/>
  <c r="R1010" i="6"/>
  <c r="P1010" i="6"/>
  <c r="Q1010" i="6" s="1"/>
  <c r="N1010" i="6"/>
  <c r="M1010" i="6"/>
  <c r="L1010" i="6"/>
  <c r="K1010" i="6"/>
  <c r="AN1009" i="6"/>
  <c r="AM1009" i="6"/>
  <c r="AE1009" i="6"/>
  <c r="U1009" i="6"/>
  <c r="P1009" i="6"/>
  <c r="N1009" i="6"/>
  <c r="M1009" i="6"/>
  <c r="L1009" i="6"/>
  <c r="K1009" i="6"/>
  <c r="AN1008" i="6"/>
  <c r="AM1008" i="6"/>
  <c r="AI1008" i="6"/>
  <c r="AE1008" i="6"/>
  <c r="U1008" i="6"/>
  <c r="S1008" i="6"/>
  <c r="R1008" i="6"/>
  <c r="P1008" i="6"/>
  <c r="Q1008" i="6" s="1"/>
  <c r="M1008" i="6"/>
  <c r="N1008" i="6" s="1"/>
  <c r="L1008" i="6"/>
  <c r="K1008" i="6"/>
  <c r="AM1007" i="6"/>
  <c r="AI1007" i="6"/>
  <c r="AE1007" i="6"/>
  <c r="U1007" i="6"/>
  <c r="AN1007" i="6" s="1"/>
  <c r="P1007" i="6"/>
  <c r="N1007" i="6"/>
  <c r="M1007" i="6"/>
  <c r="L1007" i="6"/>
  <c r="K1007" i="6"/>
  <c r="AM1006" i="6"/>
  <c r="AI1006" i="6"/>
  <c r="AE1006" i="6"/>
  <c r="U1006" i="6"/>
  <c r="AN1006" i="6" s="1"/>
  <c r="S1006" i="6"/>
  <c r="R1006" i="6"/>
  <c r="P1006" i="6"/>
  <c r="Q1006" i="6" s="1"/>
  <c r="N1006" i="6"/>
  <c r="M1006" i="6"/>
  <c r="L1006" i="6"/>
  <c r="K1006" i="6"/>
  <c r="AN1005" i="6"/>
  <c r="AM1005" i="6"/>
  <c r="AE1005" i="6"/>
  <c r="U1005" i="6"/>
  <c r="P1005" i="6"/>
  <c r="N1005" i="6"/>
  <c r="M1005" i="6"/>
  <c r="L1005" i="6"/>
  <c r="K1005" i="6"/>
  <c r="AN1004" i="6"/>
  <c r="AM1004" i="6"/>
  <c r="AI1004" i="6"/>
  <c r="AE1004" i="6"/>
  <c r="U1004" i="6"/>
  <c r="S1004" i="6"/>
  <c r="R1004" i="6"/>
  <c r="P1004" i="6"/>
  <c r="Q1004" i="6" s="1"/>
  <c r="M1004" i="6"/>
  <c r="N1004" i="6" s="1"/>
  <c r="L1004" i="6"/>
  <c r="K1004" i="6"/>
  <c r="AM1003" i="6"/>
  <c r="AI1003" i="6"/>
  <c r="AE1003" i="6"/>
  <c r="U1003" i="6"/>
  <c r="AN1003" i="6" s="1"/>
  <c r="P1003" i="6"/>
  <c r="Q1003" i="6" s="1"/>
  <c r="N1003" i="6"/>
  <c r="M1003" i="6"/>
  <c r="L1003" i="6"/>
  <c r="K1003" i="6"/>
  <c r="AN1002" i="6"/>
  <c r="AM1002" i="6"/>
  <c r="AI1002" i="6"/>
  <c r="AE1002" i="6"/>
  <c r="U1002" i="6"/>
  <c r="S1002" i="6"/>
  <c r="R1002" i="6"/>
  <c r="P1002" i="6"/>
  <c r="Q1002" i="6" s="1"/>
  <c r="M1002" i="6"/>
  <c r="N1002" i="6" s="1"/>
  <c r="L1002" i="6"/>
  <c r="K1002" i="6"/>
  <c r="AM1001" i="6"/>
  <c r="AE1001" i="6"/>
  <c r="U1001" i="6"/>
  <c r="AN1001" i="6" s="1"/>
  <c r="P1001" i="6"/>
  <c r="AI1001" i="6" s="1"/>
  <c r="N1001" i="6"/>
  <c r="M1001" i="6"/>
  <c r="L1001" i="6"/>
  <c r="K1001" i="6"/>
  <c r="AN1000" i="6"/>
  <c r="AM1000" i="6"/>
  <c r="AI1000" i="6"/>
  <c r="AE1000" i="6"/>
  <c r="U1000" i="6"/>
  <c r="S1000" i="6"/>
  <c r="P1000" i="6"/>
  <c r="Q1000" i="6" s="1"/>
  <c r="N1000" i="6"/>
  <c r="M1000" i="6"/>
  <c r="L1000" i="6"/>
  <c r="K1000" i="6"/>
  <c r="AN999" i="6"/>
  <c r="AM999" i="6"/>
  <c r="AE999" i="6"/>
  <c r="U999" i="6"/>
  <c r="P999" i="6"/>
  <c r="N999" i="6"/>
  <c r="M999" i="6"/>
  <c r="L999" i="6"/>
  <c r="K999" i="6"/>
  <c r="AN998" i="6"/>
  <c r="AM998" i="6"/>
  <c r="AI998" i="6"/>
  <c r="AF998" i="6"/>
  <c r="AH998" i="6" s="1"/>
  <c r="AE998" i="6"/>
  <c r="U998" i="6"/>
  <c r="S998" i="6"/>
  <c r="R998" i="6"/>
  <c r="P998" i="6"/>
  <c r="Q998" i="6" s="1"/>
  <c r="M998" i="6"/>
  <c r="N998" i="6" s="1"/>
  <c r="L998" i="6"/>
  <c r="K998" i="6"/>
  <c r="AM997" i="6"/>
  <c r="AI997" i="6"/>
  <c r="AE997" i="6"/>
  <c r="U997" i="6"/>
  <c r="AN997" i="6" s="1"/>
  <c r="P997" i="6"/>
  <c r="N997" i="6"/>
  <c r="M997" i="6"/>
  <c r="L997" i="6"/>
  <c r="K997" i="6"/>
  <c r="AM996" i="6"/>
  <c r="AI996" i="6"/>
  <c r="AE996" i="6"/>
  <c r="U996" i="6"/>
  <c r="AN996" i="6" s="1"/>
  <c r="S996" i="6"/>
  <c r="AF996" i="6" s="1"/>
  <c r="AH996" i="6" s="1"/>
  <c r="P996" i="6"/>
  <c r="Q996" i="6" s="1"/>
  <c r="N996" i="6"/>
  <c r="M996" i="6"/>
  <c r="L996" i="6"/>
  <c r="K996" i="6"/>
  <c r="AN995" i="6"/>
  <c r="AM995" i="6"/>
  <c r="AE995" i="6"/>
  <c r="U995" i="6"/>
  <c r="P995" i="6"/>
  <c r="N995" i="6"/>
  <c r="M995" i="6"/>
  <c r="L995" i="6"/>
  <c r="K995" i="6"/>
  <c r="AN994" i="6"/>
  <c r="AM994" i="6"/>
  <c r="AI994" i="6"/>
  <c r="AE994" i="6"/>
  <c r="U994" i="6"/>
  <c r="S994" i="6"/>
  <c r="R994" i="6"/>
  <c r="P994" i="6"/>
  <c r="Q994" i="6" s="1"/>
  <c r="M994" i="6"/>
  <c r="N994" i="6" s="1"/>
  <c r="L994" i="6"/>
  <c r="K994" i="6"/>
  <c r="AM993" i="6"/>
  <c r="AI993" i="6"/>
  <c r="AE993" i="6"/>
  <c r="U993" i="6"/>
  <c r="AN993" i="6" s="1"/>
  <c r="P993" i="6"/>
  <c r="N993" i="6"/>
  <c r="M993" i="6"/>
  <c r="L993" i="6"/>
  <c r="K993" i="6"/>
  <c r="AM992" i="6"/>
  <c r="AI992" i="6"/>
  <c r="AE992" i="6"/>
  <c r="U992" i="6"/>
  <c r="AN992" i="6" s="1"/>
  <c r="S992" i="6"/>
  <c r="P992" i="6"/>
  <c r="Q992" i="6" s="1"/>
  <c r="N992" i="6"/>
  <c r="M992" i="6"/>
  <c r="L992" i="6"/>
  <c r="K992" i="6"/>
  <c r="AN991" i="6"/>
  <c r="AM991" i="6"/>
  <c r="AE991" i="6"/>
  <c r="U991" i="6"/>
  <c r="P991" i="6"/>
  <c r="N991" i="6"/>
  <c r="M991" i="6"/>
  <c r="L991" i="6"/>
  <c r="K991" i="6"/>
  <c r="AN990" i="6"/>
  <c r="AM990" i="6"/>
  <c r="AI990" i="6"/>
  <c r="AE990" i="6"/>
  <c r="U990" i="6"/>
  <c r="S990" i="6"/>
  <c r="R990" i="6"/>
  <c r="P990" i="6"/>
  <c r="Q990" i="6" s="1"/>
  <c r="M990" i="6"/>
  <c r="N990" i="6" s="1"/>
  <c r="L990" i="6"/>
  <c r="K990" i="6"/>
  <c r="AM989" i="6"/>
  <c r="AI989" i="6"/>
  <c r="AE989" i="6"/>
  <c r="U989" i="6"/>
  <c r="AN989" i="6" s="1"/>
  <c r="P989" i="6"/>
  <c r="N989" i="6"/>
  <c r="M989" i="6"/>
  <c r="L989" i="6"/>
  <c r="K989" i="6"/>
  <c r="AM988" i="6"/>
  <c r="AI988" i="6"/>
  <c r="AE988" i="6"/>
  <c r="U988" i="6"/>
  <c r="AN988" i="6" s="1"/>
  <c r="S988" i="6"/>
  <c r="P988" i="6"/>
  <c r="Q988" i="6" s="1"/>
  <c r="N988" i="6"/>
  <c r="M988" i="6"/>
  <c r="L988" i="6"/>
  <c r="K988" i="6"/>
  <c r="AN987" i="6"/>
  <c r="AM987" i="6"/>
  <c r="AE987" i="6"/>
  <c r="U987" i="6"/>
  <c r="P987" i="6"/>
  <c r="N987" i="6"/>
  <c r="M987" i="6"/>
  <c r="L987" i="6"/>
  <c r="K987" i="6"/>
  <c r="AN986" i="6"/>
  <c r="AM986" i="6"/>
  <c r="AI986" i="6"/>
  <c r="AE986" i="6"/>
  <c r="U986" i="6"/>
  <c r="S986" i="6"/>
  <c r="R986" i="6"/>
  <c r="P986" i="6"/>
  <c r="Q986" i="6" s="1"/>
  <c r="M986" i="6"/>
  <c r="N986" i="6" s="1"/>
  <c r="L986" i="6"/>
  <c r="K986" i="6"/>
  <c r="AM985" i="6"/>
  <c r="AI985" i="6"/>
  <c r="AE985" i="6"/>
  <c r="U985" i="6"/>
  <c r="AN985" i="6" s="1"/>
  <c r="P985" i="6"/>
  <c r="N985" i="6"/>
  <c r="M985" i="6"/>
  <c r="L985" i="6"/>
  <c r="K985" i="6"/>
  <c r="AM984" i="6"/>
  <c r="AI984" i="6"/>
  <c r="AE984" i="6"/>
  <c r="U984" i="6"/>
  <c r="AN984" i="6" s="1"/>
  <c r="S984" i="6"/>
  <c r="P984" i="6"/>
  <c r="Q984" i="6" s="1"/>
  <c r="N984" i="6"/>
  <c r="M984" i="6"/>
  <c r="L984" i="6"/>
  <c r="K984" i="6"/>
  <c r="AN983" i="6"/>
  <c r="AM983" i="6"/>
  <c r="AE983" i="6"/>
  <c r="U983" i="6"/>
  <c r="P983" i="6"/>
  <c r="N983" i="6"/>
  <c r="M983" i="6"/>
  <c r="L983" i="6"/>
  <c r="K983" i="6"/>
  <c r="AN982" i="6"/>
  <c r="AM982" i="6"/>
  <c r="AI982" i="6"/>
  <c r="AE982" i="6"/>
  <c r="U982" i="6"/>
  <c r="S982" i="6"/>
  <c r="R982" i="6"/>
  <c r="P982" i="6"/>
  <c r="Q982" i="6" s="1"/>
  <c r="M982" i="6"/>
  <c r="N982" i="6" s="1"/>
  <c r="L982" i="6"/>
  <c r="K982" i="6"/>
  <c r="AM981" i="6"/>
  <c r="AI981" i="6"/>
  <c r="AE981" i="6"/>
  <c r="U981" i="6"/>
  <c r="AN981" i="6" s="1"/>
  <c r="P981" i="6"/>
  <c r="N981" i="6"/>
  <c r="M981" i="6"/>
  <c r="L981" i="6"/>
  <c r="K981" i="6"/>
  <c r="AM980" i="6"/>
  <c r="AI980" i="6"/>
  <c r="AE980" i="6"/>
  <c r="U980" i="6"/>
  <c r="AN980" i="6" s="1"/>
  <c r="S980" i="6"/>
  <c r="P980" i="6"/>
  <c r="Q980" i="6" s="1"/>
  <c r="N980" i="6"/>
  <c r="M980" i="6"/>
  <c r="L980" i="6"/>
  <c r="K980" i="6"/>
  <c r="AN979" i="6"/>
  <c r="AM979" i="6"/>
  <c r="AE979" i="6"/>
  <c r="U979" i="6"/>
  <c r="P979" i="6"/>
  <c r="N979" i="6"/>
  <c r="M979" i="6"/>
  <c r="L979" i="6"/>
  <c r="K979" i="6"/>
  <c r="AN978" i="6"/>
  <c r="AM978" i="6"/>
  <c r="AI978" i="6"/>
  <c r="AF978" i="6"/>
  <c r="AH978" i="6" s="1"/>
  <c r="AE978" i="6"/>
  <c r="U978" i="6"/>
  <c r="S978" i="6"/>
  <c r="R978" i="6"/>
  <c r="P978" i="6"/>
  <c r="Q978" i="6" s="1"/>
  <c r="M978" i="6"/>
  <c r="N978" i="6" s="1"/>
  <c r="L978" i="6"/>
  <c r="K978" i="6"/>
  <c r="AM977" i="6"/>
  <c r="AI977" i="6"/>
  <c r="AE977" i="6"/>
  <c r="U977" i="6"/>
  <c r="AN977" i="6" s="1"/>
  <c r="P977" i="6"/>
  <c r="N977" i="6"/>
  <c r="M977" i="6"/>
  <c r="L977" i="6"/>
  <c r="K977" i="6"/>
  <c r="AM976" i="6"/>
  <c r="AI976" i="6"/>
  <c r="AE976" i="6"/>
  <c r="U976" i="6"/>
  <c r="AN976" i="6" s="1"/>
  <c r="S976" i="6"/>
  <c r="AF976" i="6" s="1"/>
  <c r="AH976" i="6" s="1"/>
  <c r="P976" i="6"/>
  <c r="Q976" i="6" s="1"/>
  <c r="N976" i="6"/>
  <c r="M976" i="6"/>
  <c r="L976" i="6"/>
  <c r="K976" i="6"/>
  <c r="AN975" i="6"/>
  <c r="AM975" i="6"/>
  <c r="AE975" i="6"/>
  <c r="U975" i="6"/>
  <c r="P975" i="6"/>
  <c r="N975" i="6"/>
  <c r="M975" i="6"/>
  <c r="L975" i="6"/>
  <c r="K975" i="6"/>
  <c r="AN974" i="6"/>
  <c r="AM974" i="6"/>
  <c r="AI974" i="6"/>
  <c r="AF974" i="6"/>
  <c r="AH974" i="6" s="1"/>
  <c r="AE974" i="6"/>
  <c r="U974" i="6"/>
  <c r="S974" i="6"/>
  <c r="R974" i="6"/>
  <c r="P974" i="6"/>
  <c r="Q974" i="6" s="1"/>
  <c r="M974" i="6"/>
  <c r="N974" i="6" s="1"/>
  <c r="L974" i="6"/>
  <c r="K974" i="6"/>
  <c r="AM973" i="6"/>
  <c r="AI973" i="6"/>
  <c r="AE973" i="6"/>
  <c r="U973" i="6"/>
  <c r="AN973" i="6" s="1"/>
  <c r="P973" i="6"/>
  <c r="N973" i="6"/>
  <c r="M973" i="6"/>
  <c r="L973" i="6"/>
  <c r="K973" i="6"/>
  <c r="AM972" i="6"/>
  <c r="AI972" i="6"/>
  <c r="AE972" i="6"/>
  <c r="U972" i="6"/>
  <c r="AN972" i="6" s="1"/>
  <c r="S972" i="6"/>
  <c r="AF972" i="6" s="1"/>
  <c r="AH972" i="6" s="1"/>
  <c r="P972" i="6"/>
  <c r="Q972" i="6" s="1"/>
  <c r="N972" i="6"/>
  <c r="M972" i="6"/>
  <c r="L972" i="6"/>
  <c r="K972" i="6"/>
  <c r="AN971" i="6"/>
  <c r="AM971" i="6"/>
  <c r="AE971" i="6"/>
  <c r="U971" i="6"/>
  <c r="P971" i="6"/>
  <c r="N971" i="6"/>
  <c r="M971" i="6"/>
  <c r="L971" i="6"/>
  <c r="K971" i="6"/>
  <c r="AN970" i="6"/>
  <c r="AM970" i="6"/>
  <c r="AI970" i="6"/>
  <c r="AE970" i="6"/>
  <c r="U970" i="6"/>
  <c r="S970" i="6"/>
  <c r="R970" i="6"/>
  <c r="P970" i="6"/>
  <c r="Q970" i="6" s="1"/>
  <c r="M970" i="6"/>
  <c r="N970" i="6" s="1"/>
  <c r="L970" i="6"/>
  <c r="K970" i="6"/>
  <c r="AM969" i="6"/>
  <c r="AI969" i="6"/>
  <c r="AE969" i="6"/>
  <c r="U969" i="6"/>
  <c r="AN969" i="6" s="1"/>
  <c r="P969" i="6"/>
  <c r="N969" i="6"/>
  <c r="M969" i="6"/>
  <c r="L969" i="6"/>
  <c r="K969" i="6"/>
  <c r="AM968" i="6"/>
  <c r="AI968" i="6"/>
  <c r="AE968" i="6"/>
  <c r="U968" i="6"/>
  <c r="AN968" i="6" s="1"/>
  <c r="S968" i="6"/>
  <c r="AF968" i="6" s="1"/>
  <c r="AH968" i="6" s="1"/>
  <c r="P968" i="6"/>
  <c r="Q968" i="6" s="1"/>
  <c r="N968" i="6"/>
  <c r="M968" i="6"/>
  <c r="L968" i="6"/>
  <c r="K968" i="6"/>
  <c r="AN967" i="6"/>
  <c r="AM967" i="6"/>
  <c r="AE967" i="6"/>
  <c r="U967" i="6"/>
  <c r="P967" i="6"/>
  <c r="N967" i="6"/>
  <c r="M967" i="6"/>
  <c r="L967" i="6"/>
  <c r="K967" i="6"/>
  <c r="AN966" i="6"/>
  <c r="AM966" i="6"/>
  <c r="AI966" i="6"/>
  <c r="AF966" i="6"/>
  <c r="AH966" i="6" s="1"/>
  <c r="AE966" i="6"/>
  <c r="U966" i="6"/>
  <c r="S966" i="6"/>
  <c r="R966" i="6"/>
  <c r="P966" i="6"/>
  <c r="Q966" i="6" s="1"/>
  <c r="M966" i="6"/>
  <c r="N966" i="6" s="1"/>
  <c r="L966" i="6"/>
  <c r="K966" i="6"/>
  <c r="AM965" i="6"/>
  <c r="AI965" i="6"/>
  <c r="AE965" i="6"/>
  <c r="U965" i="6"/>
  <c r="AN965" i="6" s="1"/>
  <c r="P965" i="6"/>
  <c r="N965" i="6"/>
  <c r="M965" i="6"/>
  <c r="L965" i="6"/>
  <c r="K965" i="6"/>
  <c r="AM964" i="6"/>
  <c r="AI964" i="6"/>
  <c r="AE964" i="6"/>
  <c r="U964" i="6"/>
  <c r="AN964" i="6" s="1"/>
  <c r="S964" i="6"/>
  <c r="AF964" i="6" s="1"/>
  <c r="AH964" i="6" s="1"/>
  <c r="P964" i="6"/>
  <c r="Q964" i="6" s="1"/>
  <c r="N964" i="6"/>
  <c r="M964" i="6"/>
  <c r="L964" i="6"/>
  <c r="K964" i="6"/>
  <c r="AN963" i="6"/>
  <c r="AM963" i="6"/>
  <c r="AE963" i="6"/>
  <c r="U963" i="6"/>
  <c r="P963" i="6"/>
  <c r="N963" i="6"/>
  <c r="M963" i="6"/>
  <c r="L963" i="6"/>
  <c r="K963" i="6"/>
  <c r="AN962" i="6"/>
  <c r="AM962" i="6"/>
  <c r="AI962" i="6"/>
  <c r="AF962" i="6"/>
  <c r="AH962" i="6" s="1"/>
  <c r="AE962" i="6"/>
  <c r="U962" i="6"/>
  <c r="S962" i="6"/>
  <c r="R962" i="6"/>
  <c r="P962" i="6"/>
  <c r="Q962" i="6" s="1"/>
  <c r="N962" i="6"/>
  <c r="M962" i="6"/>
  <c r="L962" i="6"/>
  <c r="K962" i="6"/>
  <c r="AN961" i="6"/>
  <c r="AM961" i="6"/>
  <c r="AI961" i="6"/>
  <c r="AE961" i="6"/>
  <c r="U961" i="6"/>
  <c r="P961" i="6"/>
  <c r="N961" i="6"/>
  <c r="M961" i="6"/>
  <c r="L961" i="6"/>
  <c r="K961" i="6"/>
  <c r="AM960" i="6"/>
  <c r="AI960" i="6"/>
  <c r="AE960" i="6"/>
  <c r="U960" i="6"/>
  <c r="AN960" i="6" s="1"/>
  <c r="S960" i="6"/>
  <c r="P960" i="6"/>
  <c r="Q960" i="6" s="1"/>
  <c r="N960" i="6"/>
  <c r="M960" i="6"/>
  <c r="L960" i="6"/>
  <c r="K960" i="6"/>
  <c r="AN959" i="6"/>
  <c r="AM959" i="6"/>
  <c r="AI959" i="6"/>
  <c r="AE959" i="6"/>
  <c r="U959" i="6"/>
  <c r="P959" i="6"/>
  <c r="N959" i="6"/>
  <c r="M959" i="6"/>
  <c r="L959" i="6"/>
  <c r="K959" i="6"/>
  <c r="AN958" i="6"/>
  <c r="AM958" i="6"/>
  <c r="AI958" i="6"/>
  <c r="AF958" i="6"/>
  <c r="AH958" i="6" s="1"/>
  <c r="AE958" i="6"/>
  <c r="U958" i="6"/>
  <c r="S958" i="6"/>
  <c r="R958" i="6"/>
  <c r="P958" i="6"/>
  <c r="Q958" i="6" s="1"/>
  <c r="N958" i="6"/>
  <c r="M958" i="6"/>
  <c r="L958" i="6"/>
  <c r="K958" i="6"/>
  <c r="AN957" i="6"/>
  <c r="AM957" i="6"/>
  <c r="AI957" i="6"/>
  <c r="AE957" i="6"/>
  <c r="U957" i="6"/>
  <c r="P957" i="6"/>
  <c r="N957" i="6"/>
  <c r="M957" i="6"/>
  <c r="L957" i="6"/>
  <c r="K957" i="6"/>
  <c r="AM956" i="6"/>
  <c r="AI956" i="6"/>
  <c r="AE956" i="6"/>
  <c r="U956" i="6"/>
  <c r="AN956" i="6" s="1"/>
  <c r="S956" i="6"/>
  <c r="AF956" i="6" s="1"/>
  <c r="AH956" i="6" s="1"/>
  <c r="P956" i="6"/>
  <c r="Q956" i="6" s="1"/>
  <c r="N956" i="6"/>
  <c r="M956" i="6"/>
  <c r="L956" i="6"/>
  <c r="K956" i="6"/>
  <c r="AN955" i="6"/>
  <c r="AM955" i="6"/>
  <c r="AI955" i="6"/>
  <c r="AE955" i="6"/>
  <c r="U955" i="6"/>
  <c r="P955" i="6"/>
  <c r="N955" i="6"/>
  <c r="M955" i="6"/>
  <c r="L955" i="6"/>
  <c r="K955" i="6"/>
  <c r="AN954" i="6"/>
  <c r="AM954" i="6"/>
  <c r="AI954" i="6"/>
  <c r="AE954" i="6"/>
  <c r="U954" i="6"/>
  <c r="S954" i="6"/>
  <c r="R954" i="6"/>
  <c r="P954" i="6"/>
  <c r="Q954" i="6" s="1"/>
  <c r="N954" i="6"/>
  <c r="M954" i="6"/>
  <c r="L954" i="6"/>
  <c r="K954" i="6"/>
  <c r="AN953" i="6"/>
  <c r="AM953" i="6"/>
  <c r="AI953" i="6"/>
  <c r="AE953" i="6"/>
  <c r="U953" i="6"/>
  <c r="P953" i="6"/>
  <c r="N953" i="6"/>
  <c r="M953" i="6"/>
  <c r="L953" i="6"/>
  <c r="K953" i="6"/>
  <c r="AM952" i="6"/>
  <c r="AI952" i="6"/>
  <c r="AF952" i="6"/>
  <c r="AH952" i="6" s="1"/>
  <c r="AE952" i="6"/>
  <c r="U952" i="6"/>
  <c r="AN952" i="6" s="1"/>
  <c r="S952" i="6"/>
  <c r="R952" i="6"/>
  <c r="P952" i="6"/>
  <c r="Q952" i="6" s="1"/>
  <c r="N952" i="6"/>
  <c r="M952" i="6"/>
  <c r="L952" i="6"/>
  <c r="K952" i="6"/>
  <c r="AN951" i="6"/>
  <c r="AM951" i="6"/>
  <c r="AI951" i="6"/>
  <c r="AE951" i="6"/>
  <c r="U951" i="6"/>
  <c r="P951" i="6"/>
  <c r="N951" i="6"/>
  <c r="M951" i="6"/>
  <c r="L951" i="6"/>
  <c r="K951" i="6"/>
  <c r="AN950" i="6"/>
  <c r="AM950" i="6"/>
  <c r="AI950" i="6"/>
  <c r="AF950" i="6"/>
  <c r="AH950" i="6" s="1"/>
  <c r="AE950" i="6"/>
  <c r="U950" i="6"/>
  <c r="S950" i="6"/>
  <c r="R950" i="6"/>
  <c r="P950" i="6"/>
  <c r="Q950" i="6" s="1"/>
  <c r="N950" i="6"/>
  <c r="M950" i="6"/>
  <c r="L950" i="6"/>
  <c r="K950" i="6"/>
  <c r="AN949" i="6"/>
  <c r="AM949" i="6"/>
  <c r="AI949" i="6"/>
  <c r="AE949" i="6"/>
  <c r="U949" i="6"/>
  <c r="P949" i="6"/>
  <c r="N949" i="6"/>
  <c r="M949" i="6"/>
  <c r="L949" i="6"/>
  <c r="K949" i="6"/>
  <c r="AM948" i="6"/>
  <c r="AI948" i="6"/>
  <c r="AF948" i="6"/>
  <c r="AH948" i="6" s="1"/>
  <c r="AE948" i="6"/>
  <c r="U948" i="6"/>
  <c r="AN948" i="6" s="1"/>
  <c r="S948" i="6"/>
  <c r="R948" i="6"/>
  <c r="P948" i="6"/>
  <c r="Q948" i="6" s="1"/>
  <c r="N948" i="6"/>
  <c r="M948" i="6"/>
  <c r="L948" i="6"/>
  <c r="K948" i="6"/>
  <c r="AN947" i="6"/>
  <c r="AM947" i="6"/>
  <c r="AI947" i="6"/>
  <c r="AE947" i="6"/>
  <c r="U947" i="6"/>
  <c r="P947" i="6"/>
  <c r="N947" i="6"/>
  <c r="M947" i="6"/>
  <c r="L947" i="6"/>
  <c r="K947" i="6"/>
  <c r="AN946" i="6"/>
  <c r="AM946" i="6"/>
  <c r="AI946" i="6"/>
  <c r="AF946" i="6"/>
  <c r="AH946" i="6" s="1"/>
  <c r="AE946" i="6"/>
  <c r="U946" i="6"/>
  <c r="S946" i="6"/>
  <c r="R946" i="6"/>
  <c r="P946" i="6"/>
  <c r="Q946" i="6" s="1"/>
  <c r="N946" i="6"/>
  <c r="M946" i="6"/>
  <c r="L946" i="6"/>
  <c r="K946" i="6"/>
  <c r="AN945" i="6"/>
  <c r="AM945" i="6"/>
  <c r="AI945" i="6"/>
  <c r="AE945" i="6"/>
  <c r="U945" i="6"/>
  <c r="P945" i="6"/>
  <c r="N945" i="6"/>
  <c r="M945" i="6"/>
  <c r="L945" i="6"/>
  <c r="K945" i="6"/>
  <c r="AM944" i="6"/>
  <c r="AI944" i="6"/>
  <c r="AF944" i="6"/>
  <c r="AH944" i="6" s="1"/>
  <c r="AE944" i="6"/>
  <c r="U944" i="6"/>
  <c r="AN944" i="6" s="1"/>
  <c r="S944" i="6"/>
  <c r="R944" i="6"/>
  <c r="P944" i="6"/>
  <c r="Q944" i="6" s="1"/>
  <c r="N944" i="6"/>
  <c r="M944" i="6"/>
  <c r="L944" i="6"/>
  <c r="K944" i="6"/>
  <c r="AN943" i="6"/>
  <c r="AM943" i="6"/>
  <c r="AI943" i="6"/>
  <c r="AE943" i="6"/>
  <c r="U943" i="6"/>
  <c r="P943" i="6"/>
  <c r="N943" i="6"/>
  <c r="M943" i="6"/>
  <c r="L943" i="6"/>
  <c r="K943" i="6"/>
  <c r="AN942" i="6"/>
  <c r="AM942" i="6"/>
  <c r="AI942" i="6"/>
  <c r="AE942" i="6"/>
  <c r="U942" i="6"/>
  <c r="S942" i="6"/>
  <c r="R942" i="6"/>
  <c r="P942" i="6"/>
  <c r="Q942" i="6" s="1"/>
  <c r="N942" i="6"/>
  <c r="M942" i="6"/>
  <c r="L942" i="6"/>
  <c r="K942" i="6"/>
  <c r="AN941" i="6"/>
  <c r="AM941" i="6"/>
  <c r="AI941" i="6"/>
  <c r="AE941" i="6"/>
  <c r="U941" i="6"/>
  <c r="P941" i="6"/>
  <c r="N941" i="6"/>
  <c r="M941" i="6"/>
  <c r="L941" i="6"/>
  <c r="K941" i="6"/>
  <c r="AN940" i="6"/>
  <c r="AM940" i="6"/>
  <c r="AI940" i="6"/>
  <c r="AE940" i="6"/>
  <c r="U940" i="6"/>
  <c r="S940" i="6"/>
  <c r="R940" i="6"/>
  <c r="P940" i="6"/>
  <c r="Q940" i="6" s="1"/>
  <c r="N940" i="6"/>
  <c r="M940" i="6"/>
  <c r="L940" i="6"/>
  <c r="K940" i="6"/>
  <c r="AN939" i="6"/>
  <c r="AM939" i="6"/>
  <c r="AI939" i="6"/>
  <c r="AE939" i="6"/>
  <c r="U939" i="6"/>
  <c r="N939" i="6"/>
  <c r="M939" i="6"/>
  <c r="L939" i="6"/>
  <c r="P939" i="6" s="1"/>
  <c r="K939" i="6"/>
  <c r="AN938" i="6"/>
  <c r="AM938" i="6"/>
  <c r="AE938" i="6"/>
  <c r="U938" i="6"/>
  <c r="N938" i="6"/>
  <c r="M938" i="6"/>
  <c r="L938" i="6"/>
  <c r="P938" i="6" s="1"/>
  <c r="Q938" i="6" s="1"/>
  <c r="K938" i="6"/>
  <c r="AN937" i="6"/>
  <c r="AM937" i="6"/>
  <c r="AE937" i="6"/>
  <c r="U937" i="6"/>
  <c r="N937" i="6"/>
  <c r="M937" i="6"/>
  <c r="L937" i="6"/>
  <c r="P937" i="6" s="1"/>
  <c r="Q937" i="6" s="1"/>
  <c r="K937" i="6"/>
  <c r="AM936" i="6"/>
  <c r="AE936" i="6"/>
  <c r="U936" i="6"/>
  <c r="AN936" i="6" s="1"/>
  <c r="N936" i="6"/>
  <c r="M936" i="6"/>
  <c r="L936" i="6"/>
  <c r="P936" i="6" s="1"/>
  <c r="K936" i="6"/>
  <c r="AN935" i="6"/>
  <c r="AM935" i="6"/>
  <c r="AE935" i="6"/>
  <c r="U935" i="6"/>
  <c r="Q935" i="6"/>
  <c r="N935" i="6"/>
  <c r="M935" i="6"/>
  <c r="L935" i="6"/>
  <c r="P935" i="6" s="1"/>
  <c r="K935" i="6"/>
  <c r="AN934" i="6"/>
  <c r="AM934" i="6"/>
  <c r="AE934" i="6"/>
  <c r="U934" i="6"/>
  <c r="N934" i="6"/>
  <c r="M934" i="6"/>
  <c r="L934" i="6"/>
  <c r="P934" i="6" s="1"/>
  <c r="Q934" i="6" s="1"/>
  <c r="K934" i="6"/>
  <c r="AN933" i="6"/>
  <c r="AM933" i="6"/>
  <c r="AE933" i="6"/>
  <c r="U933" i="6"/>
  <c r="N933" i="6"/>
  <c r="M933" i="6"/>
  <c r="L933" i="6"/>
  <c r="P933" i="6" s="1"/>
  <c r="Q933" i="6" s="1"/>
  <c r="K933" i="6"/>
  <c r="AM932" i="6"/>
  <c r="AE932" i="6"/>
  <c r="U932" i="6"/>
  <c r="AN932" i="6" s="1"/>
  <c r="N932" i="6"/>
  <c r="M932" i="6"/>
  <c r="L932" i="6"/>
  <c r="P932" i="6" s="1"/>
  <c r="K932" i="6"/>
  <c r="AN931" i="6"/>
  <c r="AM931" i="6"/>
  <c r="AE931" i="6"/>
  <c r="U931" i="6"/>
  <c r="Q931" i="6"/>
  <c r="N931" i="6"/>
  <c r="M931" i="6"/>
  <c r="L931" i="6"/>
  <c r="P931" i="6" s="1"/>
  <c r="K931" i="6"/>
  <c r="AN930" i="6"/>
  <c r="AM930" i="6"/>
  <c r="AE930" i="6"/>
  <c r="U930" i="6"/>
  <c r="N930" i="6"/>
  <c r="M930" i="6"/>
  <c r="L930" i="6"/>
  <c r="P930" i="6" s="1"/>
  <c r="Q930" i="6" s="1"/>
  <c r="K930" i="6"/>
  <c r="AN929" i="6"/>
  <c r="AM929" i="6"/>
  <c r="AE929" i="6"/>
  <c r="U929" i="6"/>
  <c r="N929" i="6"/>
  <c r="M929" i="6"/>
  <c r="L929" i="6"/>
  <c r="P929" i="6" s="1"/>
  <c r="Q929" i="6" s="1"/>
  <c r="K929" i="6"/>
  <c r="AM928" i="6"/>
  <c r="AE928" i="6"/>
  <c r="U928" i="6"/>
  <c r="AN928" i="6" s="1"/>
  <c r="N928" i="6"/>
  <c r="M928" i="6"/>
  <c r="L928" i="6"/>
  <c r="P928" i="6" s="1"/>
  <c r="K928" i="6"/>
  <c r="AN927" i="6"/>
  <c r="AM927" i="6"/>
  <c r="AE927" i="6"/>
  <c r="U927" i="6"/>
  <c r="Q927" i="6"/>
  <c r="N927" i="6"/>
  <c r="M927" i="6"/>
  <c r="L927" i="6"/>
  <c r="P927" i="6" s="1"/>
  <c r="K927" i="6"/>
  <c r="AN926" i="6"/>
  <c r="AM926" i="6"/>
  <c r="AE926" i="6"/>
  <c r="U926" i="6"/>
  <c r="N926" i="6"/>
  <c r="M926" i="6"/>
  <c r="L926" i="6"/>
  <c r="P926" i="6" s="1"/>
  <c r="Q926" i="6" s="1"/>
  <c r="K926" i="6"/>
  <c r="AN925" i="6"/>
  <c r="AM925" i="6"/>
  <c r="AE925" i="6"/>
  <c r="U925" i="6"/>
  <c r="N925" i="6"/>
  <c r="M925" i="6"/>
  <c r="L925" i="6"/>
  <c r="P925" i="6" s="1"/>
  <c r="Q925" i="6" s="1"/>
  <c r="K925" i="6"/>
  <c r="AM924" i="6"/>
  <c r="AE924" i="6"/>
  <c r="U924" i="6"/>
  <c r="AN924" i="6" s="1"/>
  <c r="N924" i="6"/>
  <c r="M924" i="6"/>
  <c r="L924" i="6"/>
  <c r="P924" i="6" s="1"/>
  <c r="K924" i="6"/>
  <c r="AN923" i="6"/>
  <c r="AM923" i="6"/>
  <c r="AE923" i="6"/>
  <c r="U923" i="6"/>
  <c r="Q923" i="6"/>
  <c r="N923" i="6"/>
  <c r="M923" i="6"/>
  <c r="L923" i="6"/>
  <c r="P923" i="6" s="1"/>
  <c r="K923" i="6"/>
  <c r="AN922" i="6"/>
  <c r="AM922" i="6"/>
  <c r="AE922" i="6"/>
  <c r="U922" i="6"/>
  <c r="N922" i="6"/>
  <c r="M922" i="6"/>
  <c r="L922" i="6"/>
  <c r="P922" i="6" s="1"/>
  <c r="Q922" i="6" s="1"/>
  <c r="K922" i="6"/>
  <c r="AN921" i="6"/>
  <c r="AM921" i="6"/>
  <c r="AE921" i="6"/>
  <c r="U921" i="6"/>
  <c r="N921" i="6"/>
  <c r="M921" i="6"/>
  <c r="L921" i="6"/>
  <c r="P921" i="6" s="1"/>
  <c r="Q921" i="6" s="1"/>
  <c r="K921" i="6"/>
  <c r="AM920" i="6"/>
  <c r="AE920" i="6"/>
  <c r="U920" i="6"/>
  <c r="AN920" i="6" s="1"/>
  <c r="N920" i="6"/>
  <c r="M920" i="6"/>
  <c r="L920" i="6"/>
  <c r="P920" i="6" s="1"/>
  <c r="K920" i="6"/>
  <c r="AN919" i="6"/>
  <c r="AM919" i="6"/>
  <c r="AE919" i="6"/>
  <c r="U919" i="6"/>
  <c r="Q919" i="6"/>
  <c r="N919" i="6"/>
  <c r="M919" i="6"/>
  <c r="L919" i="6"/>
  <c r="P919" i="6" s="1"/>
  <c r="K919" i="6"/>
  <c r="AN918" i="6"/>
  <c r="AM918" i="6"/>
  <c r="AE918" i="6"/>
  <c r="U918" i="6"/>
  <c r="N918" i="6"/>
  <c r="M918" i="6"/>
  <c r="L918" i="6"/>
  <c r="P918" i="6" s="1"/>
  <c r="Q918" i="6" s="1"/>
  <c r="K918" i="6"/>
  <c r="AN917" i="6"/>
  <c r="AM917" i="6"/>
  <c r="AE917" i="6"/>
  <c r="U917" i="6"/>
  <c r="N917" i="6"/>
  <c r="M917" i="6"/>
  <c r="L917" i="6"/>
  <c r="P917" i="6" s="1"/>
  <c r="Q917" i="6" s="1"/>
  <c r="K917" i="6"/>
  <c r="AM916" i="6"/>
  <c r="AE916" i="6"/>
  <c r="U916" i="6"/>
  <c r="AN916" i="6" s="1"/>
  <c r="N916" i="6"/>
  <c r="M916" i="6"/>
  <c r="L916" i="6"/>
  <c r="P916" i="6" s="1"/>
  <c r="K916" i="6"/>
  <c r="AN915" i="6"/>
  <c r="AM915" i="6"/>
  <c r="AE915" i="6"/>
  <c r="U915" i="6"/>
  <c r="Q915" i="6"/>
  <c r="N915" i="6"/>
  <c r="M915" i="6"/>
  <c r="L915" i="6"/>
  <c r="P915" i="6" s="1"/>
  <c r="K915" i="6"/>
  <c r="AN914" i="6"/>
  <c r="AM914" i="6"/>
  <c r="AE914" i="6"/>
  <c r="U914" i="6"/>
  <c r="N914" i="6"/>
  <c r="M914" i="6"/>
  <c r="L914" i="6"/>
  <c r="P914" i="6" s="1"/>
  <c r="Q914" i="6" s="1"/>
  <c r="K914" i="6"/>
  <c r="AN913" i="6"/>
  <c r="AM913" i="6"/>
  <c r="AE913" i="6"/>
  <c r="U913" i="6"/>
  <c r="Q913" i="6"/>
  <c r="N913" i="6"/>
  <c r="M913" i="6"/>
  <c r="L913" i="6"/>
  <c r="P913" i="6" s="1"/>
  <c r="AI913" i="6" s="1"/>
  <c r="K913" i="6"/>
  <c r="AN912" i="6"/>
  <c r="AM912" i="6"/>
  <c r="AE912" i="6"/>
  <c r="U912" i="6"/>
  <c r="P912" i="6"/>
  <c r="N912" i="6"/>
  <c r="M912" i="6"/>
  <c r="L912" i="6"/>
  <c r="K912" i="6"/>
  <c r="AN911" i="6"/>
  <c r="AM911" i="6"/>
  <c r="AE911" i="6"/>
  <c r="U911" i="6"/>
  <c r="S911" i="6"/>
  <c r="R911" i="6" s="1"/>
  <c r="N911" i="6"/>
  <c r="M911" i="6"/>
  <c r="L911" i="6"/>
  <c r="P911" i="6" s="1"/>
  <c r="Q911" i="6" s="1"/>
  <c r="K911" i="6"/>
  <c r="AN910" i="6"/>
  <c r="AM910" i="6"/>
  <c r="AE910" i="6"/>
  <c r="U910" i="6"/>
  <c r="N910" i="6"/>
  <c r="M910" i="6"/>
  <c r="L910" i="6"/>
  <c r="P910" i="6" s="1"/>
  <c r="Q910" i="6" s="1"/>
  <c r="K910" i="6"/>
  <c r="AM909" i="6"/>
  <c r="AE909" i="6"/>
  <c r="U909" i="6"/>
  <c r="AN909" i="6" s="1"/>
  <c r="N909" i="6"/>
  <c r="M909" i="6"/>
  <c r="L909" i="6"/>
  <c r="P909" i="6" s="1"/>
  <c r="K909" i="6"/>
  <c r="AN908" i="6"/>
  <c r="AM908" i="6"/>
  <c r="AE908" i="6"/>
  <c r="U908" i="6"/>
  <c r="Q908" i="6"/>
  <c r="N908" i="6"/>
  <c r="M908" i="6"/>
  <c r="L908" i="6"/>
  <c r="P908" i="6" s="1"/>
  <c r="K908" i="6"/>
  <c r="AM907" i="6"/>
  <c r="AE907" i="6"/>
  <c r="U907" i="6"/>
  <c r="AN907" i="6" s="1"/>
  <c r="N907" i="6"/>
  <c r="M907" i="6"/>
  <c r="L907" i="6"/>
  <c r="P907" i="6" s="1"/>
  <c r="K907" i="6"/>
  <c r="AN906" i="6"/>
  <c r="AM906" i="6"/>
  <c r="AE906" i="6"/>
  <c r="U906" i="6"/>
  <c r="N906" i="6"/>
  <c r="M906" i="6"/>
  <c r="L906" i="6"/>
  <c r="P906" i="6" s="1"/>
  <c r="Q906" i="6" s="1"/>
  <c r="K906" i="6"/>
  <c r="AM905" i="6"/>
  <c r="AE905" i="6"/>
  <c r="U905" i="6"/>
  <c r="AN905" i="6" s="1"/>
  <c r="N905" i="6"/>
  <c r="M905" i="6"/>
  <c r="L905" i="6"/>
  <c r="P905" i="6" s="1"/>
  <c r="K905" i="6"/>
  <c r="AN904" i="6"/>
  <c r="AM904" i="6"/>
  <c r="AE904" i="6"/>
  <c r="U904" i="6"/>
  <c r="Q904" i="6"/>
  <c r="N904" i="6"/>
  <c r="M904" i="6"/>
  <c r="L904" i="6"/>
  <c r="P904" i="6" s="1"/>
  <c r="K904" i="6"/>
  <c r="AM903" i="6"/>
  <c r="AE903" i="6"/>
  <c r="U903" i="6"/>
  <c r="AN903" i="6" s="1"/>
  <c r="N903" i="6"/>
  <c r="M903" i="6"/>
  <c r="L903" i="6"/>
  <c r="P903" i="6" s="1"/>
  <c r="K903" i="6"/>
  <c r="AN902" i="6"/>
  <c r="AM902" i="6"/>
  <c r="AE902" i="6"/>
  <c r="U902" i="6"/>
  <c r="N902" i="6"/>
  <c r="M902" i="6"/>
  <c r="L902" i="6"/>
  <c r="P902" i="6" s="1"/>
  <c r="Q902" i="6" s="1"/>
  <c r="K902" i="6"/>
  <c r="AM901" i="6"/>
  <c r="AE901" i="6"/>
  <c r="U901" i="6"/>
  <c r="AN901" i="6" s="1"/>
  <c r="N901" i="6"/>
  <c r="M901" i="6"/>
  <c r="L901" i="6"/>
  <c r="P901" i="6" s="1"/>
  <c r="K901" i="6"/>
  <c r="AN900" i="6"/>
  <c r="AM900" i="6"/>
  <c r="AE900" i="6"/>
  <c r="U900" i="6"/>
  <c r="Q900" i="6"/>
  <c r="N900" i="6"/>
  <c r="M900" i="6"/>
  <c r="L900" i="6"/>
  <c r="P900" i="6" s="1"/>
  <c r="K900" i="6"/>
  <c r="AM899" i="6"/>
  <c r="AE899" i="6"/>
  <c r="U899" i="6"/>
  <c r="AN899" i="6" s="1"/>
  <c r="N899" i="6"/>
  <c r="M899" i="6"/>
  <c r="L899" i="6"/>
  <c r="P899" i="6" s="1"/>
  <c r="K899" i="6"/>
  <c r="AN898" i="6"/>
  <c r="AM898" i="6"/>
  <c r="AE898" i="6"/>
  <c r="U898" i="6"/>
  <c r="N898" i="6"/>
  <c r="M898" i="6"/>
  <c r="L898" i="6"/>
  <c r="P898" i="6" s="1"/>
  <c r="Q898" i="6" s="1"/>
  <c r="K898" i="6"/>
  <c r="AM897" i="6"/>
  <c r="AE897" i="6"/>
  <c r="U897" i="6"/>
  <c r="AN897" i="6" s="1"/>
  <c r="N897" i="6"/>
  <c r="M897" i="6"/>
  <c r="L897" i="6"/>
  <c r="P897" i="6" s="1"/>
  <c r="K897" i="6"/>
  <c r="AN896" i="6"/>
  <c r="AM896" i="6"/>
  <c r="AE896" i="6"/>
  <c r="U896" i="6"/>
  <c r="Q896" i="6"/>
  <c r="N896" i="6"/>
  <c r="M896" i="6"/>
  <c r="L896" i="6"/>
  <c r="P896" i="6" s="1"/>
  <c r="K896" i="6"/>
  <c r="AM895" i="6"/>
  <c r="AE895" i="6"/>
  <c r="U895" i="6"/>
  <c r="AN895" i="6" s="1"/>
  <c r="N895" i="6"/>
  <c r="M895" i="6"/>
  <c r="L895" i="6"/>
  <c r="P895" i="6" s="1"/>
  <c r="K895" i="6"/>
  <c r="AN894" i="6"/>
  <c r="AM894" i="6"/>
  <c r="AE894" i="6"/>
  <c r="U894" i="6"/>
  <c r="N894" i="6"/>
  <c r="M894" i="6"/>
  <c r="L894" i="6"/>
  <c r="P894" i="6" s="1"/>
  <c r="Q894" i="6" s="1"/>
  <c r="K894" i="6"/>
  <c r="AM893" i="6"/>
  <c r="AE893" i="6"/>
  <c r="U893" i="6"/>
  <c r="AN893" i="6" s="1"/>
  <c r="N893" i="6"/>
  <c r="M893" i="6"/>
  <c r="L893" i="6"/>
  <c r="P893" i="6" s="1"/>
  <c r="K893" i="6"/>
  <c r="AN892" i="6"/>
  <c r="AM892" i="6"/>
  <c r="AE892" i="6"/>
  <c r="U892" i="6"/>
  <c r="Q892" i="6"/>
  <c r="N892" i="6"/>
  <c r="M892" i="6"/>
  <c r="L892" i="6"/>
  <c r="P892" i="6" s="1"/>
  <c r="K892" i="6"/>
  <c r="AM891" i="6"/>
  <c r="AE891" i="6"/>
  <c r="U891" i="6"/>
  <c r="AN891" i="6" s="1"/>
  <c r="N891" i="6"/>
  <c r="M891" i="6"/>
  <c r="L891" i="6"/>
  <c r="P891" i="6" s="1"/>
  <c r="K891" i="6"/>
  <c r="AN890" i="6"/>
  <c r="AM890" i="6"/>
  <c r="AE890" i="6"/>
  <c r="U890" i="6"/>
  <c r="N890" i="6"/>
  <c r="M890" i="6"/>
  <c r="L890" i="6"/>
  <c r="P890" i="6" s="1"/>
  <c r="Q890" i="6" s="1"/>
  <c r="K890" i="6"/>
  <c r="AM889" i="6"/>
  <c r="AE889" i="6"/>
  <c r="U889" i="6"/>
  <c r="AN889" i="6" s="1"/>
  <c r="N889" i="6"/>
  <c r="M889" i="6"/>
  <c r="L889" i="6"/>
  <c r="P889" i="6" s="1"/>
  <c r="K889" i="6"/>
  <c r="AN888" i="6"/>
  <c r="AM888" i="6"/>
  <c r="AE888" i="6"/>
  <c r="U888" i="6"/>
  <c r="Q888" i="6"/>
  <c r="N888" i="6"/>
  <c r="M888" i="6"/>
  <c r="L888" i="6"/>
  <c r="P888" i="6" s="1"/>
  <c r="K888" i="6"/>
  <c r="AM887" i="6"/>
  <c r="AE887" i="6"/>
  <c r="U887" i="6"/>
  <c r="AN887" i="6" s="1"/>
  <c r="N887" i="6"/>
  <c r="M887" i="6"/>
  <c r="L887" i="6"/>
  <c r="P887" i="6" s="1"/>
  <c r="K887" i="6"/>
  <c r="AN886" i="6"/>
  <c r="AM886" i="6"/>
  <c r="AE886" i="6"/>
  <c r="U886" i="6"/>
  <c r="N886" i="6"/>
  <c r="M886" i="6"/>
  <c r="L886" i="6"/>
  <c r="P886" i="6" s="1"/>
  <c r="Q886" i="6" s="1"/>
  <c r="K886" i="6"/>
  <c r="AM885" i="6"/>
  <c r="AE885" i="6"/>
  <c r="U885" i="6"/>
  <c r="AN885" i="6" s="1"/>
  <c r="N885" i="6"/>
  <c r="M885" i="6"/>
  <c r="L885" i="6"/>
  <c r="P885" i="6" s="1"/>
  <c r="K885" i="6"/>
  <c r="AN884" i="6"/>
  <c r="AM884" i="6"/>
  <c r="AE884" i="6"/>
  <c r="U884" i="6"/>
  <c r="Q884" i="6"/>
  <c r="N884" i="6"/>
  <c r="M884" i="6"/>
  <c r="L884" i="6"/>
  <c r="P884" i="6" s="1"/>
  <c r="K884" i="6"/>
  <c r="AM883" i="6"/>
  <c r="AE883" i="6"/>
  <c r="U883" i="6"/>
  <c r="AN883" i="6" s="1"/>
  <c r="N883" i="6"/>
  <c r="M883" i="6"/>
  <c r="L883" i="6"/>
  <c r="P883" i="6" s="1"/>
  <c r="K883" i="6"/>
  <c r="AN882" i="6"/>
  <c r="AM882" i="6"/>
  <c r="AE882" i="6"/>
  <c r="U882" i="6"/>
  <c r="N882" i="6"/>
  <c r="M882" i="6"/>
  <c r="L882" i="6"/>
  <c r="P882" i="6" s="1"/>
  <c r="Q882" i="6" s="1"/>
  <c r="K882" i="6"/>
  <c r="AM881" i="6"/>
  <c r="AE881" i="6"/>
  <c r="U881" i="6"/>
  <c r="AN881" i="6" s="1"/>
  <c r="Q881" i="6"/>
  <c r="N881" i="6"/>
  <c r="M881" i="6"/>
  <c r="L881" i="6"/>
  <c r="P881" i="6" s="1"/>
  <c r="K881" i="6"/>
  <c r="AN880" i="6"/>
  <c r="AM880" i="6"/>
  <c r="AE880" i="6"/>
  <c r="U880" i="6"/>
  <c r="P880" i="6"/>
  <c r="N880" i="6"/>
  <c r="M880" i="6"/>
  <c r="L880" i="6"/>
  <c r="K880" i="6"/>
  <c r="AM879" i="6"/>
  <c r="AE879" i="6"/>
  <c r="U879" i="6"/>
  <c r="AN879" i="6" s="1"/>
  <c r="N879" i="6"/>
  <c r="M879" i="6"/>
  <c r="L879" i="6"/>
  <c r="P879" i="6" s="1"/>
  <c r="Q879" i="6" s="1"/>
  <c r="K879" i="6"/>
  <c r="AM878" i="6"/>
  <c r="AE878" i="6"/>
  <c r="U878" i="6"/>
  <c r="AN878" i="6" s="1"/>
  <c r="N878" i="6"/>
  <c r="M878" i="6"/>
  <c r="L878" i="6"/>
  <c r="P878" i="6" s="1"/>
  <c r="Q878" i="6" s="1"/>
  <c r="K878" i="6"/>
  <c r="AM877" i="6"/>
  <c r="AE877" i="6"/>
  <c r="U877" i="6"/>
  <c r="AN877" i="6" s="1"/>
  <c r="N877" i="6"/>
  <c r="M877" i="6"/>
  <c r="L877" i="6"/>
  <c r="P877" i="6" s="1"/>
  <c r="AI877" i="6" s="1"/>
  <c r="K877" i="6"/>
  <c r="AM876" i="6"/>
  <c r="AE876" i="6"/>
  <c r="U876" i="6"/>
  <c r="AN876" i="6" s="1"/>
  <c r="N876" i="6"/>
  <c r="M876" i="6"/>
  <c r="L876" i="6"/>
  <c r="P876" i="6" s="1"/>
  <c r="K876" i="6"/>
  <c r="AN875" i="6"/>
  <c r="AM875" i="6"/>
  <c r="AE875" i="6"/>
  <c r="U875" i="6"/>
  <c r="Q875" i="6"/>
  <c r="N875" i="6"/>
  <c r="M875" i="6"/>
  <c r="L875" i="6"/>
  <c r="P875" i="6" s="1"/>
  <c r="AI875" i="6" s="1"/>
  <c r="K875" i="6"/>
  <c r="AN874" i="6"/>
  <c r="AM874" i="6"/>
  <c r="AE874" i="6"/>
  <c r="U874" i="6"/>
  <c r="P874" i="6"/>
  <c r="N874" i="6"/>
  <c r="M874" i="6"/>
  <c r="L874" i="6"/>
  <c r="K874" i="6"/>
  <c r="AN873" i="6"/>
  <c r="AM873" i="6"/>
  <c r="AE873" i="6"/>
  <c r="U873" i="6"/>
  <c r="Q873" i="6"/>
  <c r="N873" i="6"/>
  <c r="M873" i="6"/>
  <c r="L873" i="6"/>
  <c r="P873" i="6" s="1"/>
  <c r="AI873" i="6" s="1"/>
  <c r="K873" i="6"/>
  <c r="AN872" i="6"/>
  <c r="AM872" i="6"/>
  <c r="AE872" i="6"/>
  <c r="U872" i="6"/>
  <c r="P872" i="6"/>
  <c r="N872" i="6"/>
  <c r="M872" i="6"/>
  <c r="L872" i="6"/>
  <c r="K872" i="6"/>
  <c r="AM871" i="6"/>
  <c r="AI871" i="6"/>
  <c r="AE871" i="6"/>
  <c r="U871" i="6"/>
  <c r="AN871" i="6" s="1"/>
  <c r="S871" i="6"/>
  <c r="R871" i="6" s="1"/>
  <c r="N871" i="6"/>
  <c r="M871" i="6"/>
  <c r="L871" i="6"/>
  <c r="P871" i="6" s="1"/>
  <c r="Q871" i="6" s="1"/>
  <c r="K871" i="6"/>
  <c r="AM870" i="6"/>
  <c r="AE870" i="6"/>
  <c r="U870" i="6"/>
  <c r="AN870" i="6" s="1"/>
  <c r="N870" i="6"/>
  <c r="M870" i="6"/>
  <c r="L870" i="6"/>
  <c r="P870" i="6" s="1"/>
  <c r="K870" i="6"/>
  <c r="AM869" i="6"/>
  <c r="AE869" i="6"/>
  <c r="U869" i="6"/>
  <c r="AN869" i="6" s="1"/>
  <c r="N869" i="6"/>
  <c r="M869" i="6"/>
  <c r="L869" i="6"/>
  <c r="P869" i="6" s="1"/>
  <c r="AI869" i="6" s="1"/>
  <c r="K869" i="6"/>
  <c r="AM868" i="6"/>
  <c r="AE868" i="6"/>
  <c r="U868" i="6"/>
  <c r="AN868" i="6" s="1"/>
  <c r="N868" i="6"/>
  <c r="M868" i="6"/>
  <c r="L868" i="6"/>
  <c r="P868" i="6" s="1"/>
  <c r="K868" i="6"/>
  <c r="AN867" i="6"/>
  <c r="AM867" i="6"/>
  <c r="AE867" i="6"/>
  <c r="U867" i="6"/>
  <c r="Q867" i="6"/>
  <c r="N867" i="6"/>
  <c r="M867" i="6"/>
  <c r="L867" i="6"/>
  <c r="P867" i="6" s="1"/>
  <c r="AI867" i="6" s="1"/>
  <c r="K867" i="6"/>
  <c r="AN866" i="6"/>
  <c r="AM866" i="6"/>
  <c r="AE866" i="6"/>
  <c r="U866" i="6"/>
  <c r="P866" i="6"/>
  <c r="N866" i="6"/>
  <c r="M866" i="6"/>
  <c r="L866" i="6"/>
  <c r="K866" i="6"/>
  <c r="AN865" i="6"/>
  <c r="AM865" i="6"/>
  <c r="AE865" i="6"/>
  <c r="U865" i="6"/>
  <c r="Q865" i="6"/>
  <c r="N865" i="6"/>
  <c r="M865" i="6"/>
  <c r="L865" i="6"/>
  <c r="P865" i="6" s="1"/>
  <c r="AI865" i="6" s="1"/>
  <c r="K865" i="6"/>
  <c r="AN864" i="6"/>
  <c r="AM864" i="6"/>
  <c r="AE864" i="6"/>
  <c r="U864" i="6"/>
  <c r="P864" i="6"/>
  <c r="N864" i="6"/>
  <c r="M864" i="6"/>
  <c r="L864" i="6"/>
  <c r="K864" i="6"/>
  <c r="AM863" i="6"/>
  <c r="AI863" i="6"/>
  <c r="AE863" i="6"/>
  <c r="U863" i="6"/>
  <c r="AN863" i="6" s="1"/>
  <c r="S863" i="6"/>
  <c r="R863" i="6" s="1"/>
  <c r="N863" i="6"/>
  <c r="M863" i="6"/>
  <c r="L863" i="6"/>
  <c r="P863" i="6" s="1"/>
  <c r="Q863" i="6" s="1"/>
  <c r="K863" i="6"/>
  <c r="AM862" i="6"/>
  <c r="AE862" i="6"/>
  <c r="U862" i="6"/>
  <c r="AN862" i="6" s="1"/>
  <c r="Q862" i="6"/>
  <c r="N862" i="6"/>
  <c r="M862" i="6"/>
  <c r="L862" i="6"/>
  <c r="P862" i="6" s="1"/>
  <c r="K862" i="6"/>
  <c r="AM861" i="6"/>
  <c r="AE861" i="6"/>
  <c r="U861" i="6"/>
  <c r="AN861" i="6" s="1"/>
  <c r="N861" i="6"/>
  <c r="M861" i="6"/>
  <c r="L861" i="6"/>
  <c r="P861" i="6" s="1"/>
  <c r="AI861" i="6" s="1"/>
  <c r="K861" i="6"/>
  <c r="AM860" i="6"/>
  <c r="AE860" i="6"/>
  <c r="U860" i="6"/>
  <c r="AN860" i="6" s="1"/>
  <c r="N860" i="6"/>
  <c r="M860" i="6"/>
  <c r="L860" i="6"/>
  <c r="P860" i="6" s="1"/>
  <c r="K860" i="6"/>
  <c r="AN859" i="6"/>
  <c r="AM859" i="6"/>
  <c r="AE859" i="6"/>
  <c r="U859" i="6"/>
  <c r="Q859" i="6"/>
  <c r="N859" i="6"/>
  <c r="M859" i="6"/>
  <c r="L859" i="6"/>
  <c r="P859" i="6" s="1"/>
  <c r="AI859" i="6" s="1"/>
  <c r="K859" i="6"/>
  <c r="AN858" i="6"/>
  <c r="AM858" i="6"/>
  <c r="AE858" i="6"/>
  <c r="U858" i="6"/>
  <c r="N858" i="6"/>
  <c r="M858" i="6"/>
  <c r="L858" i="6"/>
  <c r="P858" i="6" s="1"/>
  <c r="Q858" i="6" s="1"/>
  <c r="K858" i="6"/>
  <c r="AM857" i="6"/>
  <c r="AE857" i="6"/>
  <c r="U857" i="6"/>
  <c r="AN857" i="6" s="1"/>
  <c r="P857" i="6"/>
  <c r="AI857" i="6" s="1"/>
  <c r="N857" i="6"/>
  <c r="M857" i="6"/>
  <c r="L857" i="6"/>
  <c r="K857" i="6"/>
  <c r="AN856" i="6"/>
  <c r="AM856" i="6"/>
  <c r="AE856" i="6"/>
  <c r="U856" i="6"/>
  <c r="N856" i="6"/>
  <c r="M856" i="6"/>
  <c r="L856" i="6"/>
  <c r="P856" i="6" s="1"/>
  <c r="K856" i="6"/>
  <c r="AM855" i="6"/>
  <c r="AE855" i="6"/>
  <c r="U855" i="6"/>
  <c r="AN855" i="6" s="1"/>
  <c r="P855" i="6"/>
  <c r="AI855" i="6" s="1"/>
  <c r="N855" i="6"/>
  <c r="M855" i="6"/>
  <c r="L855" i="6"/>
  <c r="K855" i="6"/>
  <c r="AN854" i="6"/>
  <c r="AM854" i="6"/>
  <c r="AE854" i="6"/>
  <c r="U854" i="6"/>
  <c r="N854" i="6"/>
  <c r="M854" i="6"/>
  <c r="L854" i="6"/>
  <c r="P854" i="6" s="1"/>
  <c r="AI854" i="6" s="1"/>
  <c r="K854" i="6"/>
  <c r="AM853" i="6"/>
  <c r="AE853" i="6"/>
  <c r="U853" i="6"/>
  <c r="AN853" i="6" s="1"/>
  <c r="P853" i="6"/>
  <c r="N853" i="6"/>
  <c r="M853" i="6"/>
  <c r="L853" i="6"/>
  <c r="K853" i="6"/>
  <c r="AN852" i="6"/>
  <c r="AM852" i="6"/>
  <c r="AE852" i="6"/>
  <c r="U852" i="6"/>
  <c r="Q852" i="6"/>
  <c r="N852" i="6"/>
  <c r="M852" i="6"/>
  <c r="L852" i="6"/>
  <c r="P852" i="6" s="1"/>
  <c r="AI852" i="6" s="1"/>
  <c r="K852" i="6"/>
  <c r="AM851" i="6"/>
  <c r="AE851" i="6"/>
  <c r="U851" i="6"/>
  <c r="AN851" i="6" s="1"/>
  <c r="P851" i="6"/>
  <c r="N851" i="6"/>
  <c r="M851" i="6"/>
  <c r="L851" i="6"/>
  <c r="K851" i="6"/>
  <c r="AN850" i="6"/>
  <c r="AM850" i="6"/>
  <c r="AE850" i="6"/>
  <c r="U850" i="6"/>
  <c r="Q850" i="6"/>
  <c r="N850" i="6"/>
  <c r="M850" i="6"/>
  <c r="L850" i="6"/>
  <c r="P850" i="6" s="1"/>
  <c r="AI850" i="6" s="1"/>
  <c r="K850" i="6"/>
  <c r="AM849" i="6"/>
  <c r="AE849" i="6"/>
  <c r="U849" i="6"/>
  <c r="AN849" i="6" s="1"/>
  <c r="P849" i="6"/>
  <c r="N849" i="6"/>
  <c r="M849" i="6"/>
  <c r="L849" i="6"/>
  <c r="K849" i="6"/>
  <c r="AN848" i="6"/>
  <c r="AM848" i="6"/>
  <c r="AE848" i="6"/>
  <c r="U848" i="6"/>
  <c r="N848" i="6"/>
  <c r="M848" i="6"/>
  <c r="L848" i="6"/>
  <c r="P848" i="6" s="1"/>
  <c r="Q848" i="6" s="1"/>
  <c r="K848" i="6"/>
  <c r="AM847" i="6"/>
  <c r="AE847" i="6"/>
  <c r="U847" i="6"/>
  <c r="AN847" i="6" s="1"/>
  <c r="P847" i="6"/>
  <c r="N847" i="6"/>
  <c r="M847" i="6"/>
  <c r="L847" i="6"/>
  <c r="K847" i="6"/>
  <c r="AN846" i="6"/>
  <c r="AM846" i="6"/>
  <c r="AE846" i="6"/>
  <c r="U846" i="6"/>
  <c r="N846" i="6"/>
  <c r="M846" i="6"/>
  <c r="L846" i="6"/>
  <c r="P846" i="6" s="1"/>
  <c r="AI846" i="6" s="1"/>
  <c r="K846" i="6"/>
  <c r="AM845" i="6"/>
  <c r="AE845" i="6"/>
  <c r="U845" i="6"/>
  <c r="AN845" i="6" s="1"/>
  <c r="S845" i="6"/>
  <c r="R845" i="6" s="1"/>
  <c r="P845" i="6"/>
  <c r="Q845" i="6" s="1"/>
  <c r="N845" i="6"/>
  <c r="M845" i="6"/>
  <c r="L845" i="6"/>
  <c r="K845" i="6"/>
  <c r="AN844" i="6"/>
  <c r="AM844" i="6"/>
  <c r="AE844" i="6"/>
  <c r="U844" i="6"/>
  <c r="N844" i="6"/>
  <c r="M844" i="6"/>
  <c r="L844" i="6"/>
  <c r="P844" i="6" s="1"/>
  <c r="K844" i="6"/>
  <c r="AM843" i="6"/>
  <c r="AE843" i="6"/>
  <c r="U843" i="6"/>
  <c r="AN843" i="6" s="1"/>
  <c r="S843" i="6"/>
  <c r="R843" i="6" s="1"/>
  <c r="P843" i="6"/>
  <c r="Q843" i="6" s="1"/>
  <c r="N843" i="6"/>
  <c r="M843" i="6"/>
  <c r="L843" i="6"/>
  <c r="K843" i="6"/>
  <c r="AN842" i="6"/>
  <c r="AM842" i="6"/>
  <c r="AE842" i="6"/>
  <c r="U842" i="6"/>
  <c r="N842" i="6"/>
  <c r="M842" i="6"/>
  <c r="L842" i="6"/>
  <c r="P842" i="6" s="1"/>
  <c r="K842" i="6"/>
  <c r="AM841" i="6"/>
  <c r="AE841" i="6"/>
  <c r="U841" i="6"/>
  <c r="AN841" i="6" s="1"/>
  <c r="S841" i="6"/>
  <c r="R841" i="6" s="1"/>
  <c r="P841" i="6"/>
  <c r="Q841" i="6" s="1"/>
  <c r="N841" i="6"/>
  <c r="M841" i="6"/>
  <c r="L841" i="6"/>
  <c r="K841" i="6"/>
  <c r="AN840" i="6"/>
  <c r="AM840" i="6"/>
  <c r="AE840" i="6"/>
  <c r="U840" i="6"/>
  <c r="N840" i="6"/>
  <c r="M840" i="6"/>
  <c r="L840" i="6"/>
  <c r="P840" i="6" s="1"/>
  <c r="K840" i="6"/>
  <c r="AM839" i="6"/>
  <c r="AE839" i="6"/>
  <c r="U839" i="6"/>
  <c r="AN839" i="6" s="1"/>
  <c r="S839" i="6"/>
  <c r="R839" i="6" s="1"/>
  <c r="P839" i="6"/>
  <c r="Q839" i="6" s="1"/>
  <c r="N839" i="6"/>
  <c r="M839" i="6"/>
  <c r="L839" i="6"/>
  <c r="K839" i="6"/>
  <c r="AN838" i="6"/>
  <c r="AM838" i="6"/>
  <c r="AE838" i="6"/>
  <c r="U838" i="6"/>
  <c r="N838" i="6"/>
  <c r="M838" i="6"/>
  <c r="L838" i="6"/>
  <c r="P838" i="6" s="1"/>
  <c r="K838" i="6"/>
  <c r="AM837" i="6"/>
  <c r="AE837" i="6"/>
  <c r="U837" i="6"/>
  <c r="AN837" i="6" s="1"/>
  <c r="S837" i="6"/>
  <c r="R837" i="6" s="1"/>
  <c r="P837" i="6"/>
  <c r="Q837" i="6" s="1"/>
  <c r="N837" i="6"/>
  <c r="M837" i="6"/>
  <c r="L837" i="6"/>
  <c r="K837" i="6"/>
  <c r="AN836" i="6"/>
  <c r="AM836" i="6"/>
  <c r="AE836" i="6"/>
  <c r="U836" i="6"/>
  <c r="N836" i="6"/>
  <c r="M836" i="6"/>
  <c r="L836" i="6"/>
  <c r="P836" i="6" s="1"/>
  <c r="K836" i="6"/>
  <c r="AM835" i="6"/>
  <c r="AE835" i="6"/>
  <c r="U835" i="6"/>
  <c r="AN835" i="6" s="1"/>
  <c r="S835" i="6"/>
  <c r="R835" i="6" s="1"/>
  <c r="P835" i="6"/>
  <c r="Q835" i="6" s="1"/>
  <c r="N835" i="6"/>
  <c r="M835" i="6"/>
  <c r="L835" i="6"/>
  <c r="K835" i="6"/>
  <c r="AN834" i="6"/>
  <c r="AM834" i="6"/>
  <c r="AE834" i="6"/>
  <c r="U834" i="6"/>
  <c r="N834" i="6"/>
  <c r="M834" i="6"/>
  <c r="L834" i="6"/>
  <c r="P834" i="6" s="1"/>
  <c r="K834" i="6"/>
  <c r="AM833" i="6"/>
  <c r="AE833" i="6"/>
  <c r="U833" i="6"/>
  <c r="AN833" i="6" s="1"/>
  <c r="S833" i="6"/>
  <c r="R833" i="6" s="1"/>
  <c r="P833" i="6"/>
  <c r="Q833" i="6" s="1"/>
  <c r="N833" i="6"/>
  <c r="M833" i="6"/>
  <c r="L833" i="6"/>
  <c r="K833" i="6"/>
  <c r="AN832" i="6"/>
  <c r="AM832" i="6"/>
  <c r="AE832" i="6"/>
  <c r="U832" i="6"/>
  <c r="N832" i="6"/>
  <c r="M832" i="6"/>
  <c r="L832" i="6"/>
  <c r="P832" i="6" s="1"/>
  <c r="K832" i="6"/>
  <c r="AM831" i="6"/>
  <c r="AE831" i="6"/>
  <c r="U831" i="6"/>
  <c r="AN831" i="6" s="1"/>
  <c r="S831" i="6"/>
  <c r="R831" i="6" s="1"/>
  <c r="P831" i="6"/>
  <c r="Q831" i="6" s="1"/>
  <c r="N831" i="6"/>
  <c r="M831" i="6"/>
  <c r="L831" i="6"/>
  <c r="K831" i="6"/>
  <c r="AN830" i="6"/>
  <c r="AM830" i="6"/>
  <c r="AE830" i="6"/>
  <c r="U830" i="6"/>
  <c r="N830" i="6"/>
  <c r="M830" i="6"/>
  <c r="L830" i="6"/>
  <c r="P830" i="6" s="1"/>
  <c r="K830" i="6"/>
  <c r="AM829" i="6"/>
  <c r="AE829" i="6"/>
  <c r="U829" i="6"/>
  <c r="AN829" i="6" s="1"/>
  <c r="S829" i="6"/>
  <c r="R829" i="6" s="1"/>
  <c r="P829" i="6"/>
  <c r="Q829" i="6" s="1"/>
  <c r="N829" i="6"/>
  <c r="M829" i="6"/>
  <c r="L829" i="6"/>
  <c r="K829" i="6"/>
  <c r="AN828" i="6"/>
  <c r="AM828" i="6"/>
  <c r="AE828" i="6"/>
  <c r="U828" i="6"/>
  <c r="N828" i="6"/>
  <c r="M828" i="6"/>
  <c r="L828" i="6"/>
  <c r="P828" i="6" s="1"/>
  <c r="K828" i="6"/>
  <c r="AM827" i="6"/>
  <c r="AE827" i="6"/>
  <c r="U827" i="6"/>
  <c r="AN827" i="6" s="1"/>
  <c r="S827" i="6"/>
  <c r="R827" i="6" s="1"/>
  <c r="P827" i="6"/>
  <c r="Q827" i="6" s="1"/>
  <c r="N827" i="6"/>
  <c r="M827" i="6"/>
  <c r="L827" i="6"/>
  <c r="K827" i="6"/>
  <c r="AN826" i="6"/>
  <c r="AM826" i="6"/>
  <c r="AE826" i="6"/>
  <c r="U826" i="6"/>
  <c r="N826" i="6"/>
  <c r="M826" i="6"/>
  <c r="L826" i="6"/>
  <c r="P826" i="6" s="1"/>
  <c r="K826" i="6"/>
  <c r="AM825" i="6"/>
  <c r="AE825" i="6"/>
  <c r="U825" i="6"/>
  <c r="AN825" i="6" s="1"/>
  <c r="S825" i="6"/>
  <c r="R825" i="6" s="1"/>
  <c r="P825" i="6"/>
  <c r="Q825" i="6" s="1"/>
  <c r="N825" i="6"/>
  <c r="M825" i="6"/>
  <c r="L825" i="6"/>
  <c r="K825" i="6"/>
  <c r="AN824" i="6"/>
  <c r="AM824" i="6"/>
  <c r="AE824" i="6"/>
  <c r="U824" i="6"/>
  <c r="N824" i="6"/>
  <c r="M824" i="6"/>
  <c r="L824" i="6"/>
  <c r="P824" i="6" s="1"/>
  <c r="K824" i="6"/>
  <c r="AM823" i="6"/>
  <c r="AE823" i="6"/>
  <c r="U823" i="6"/>
  <c r="AN823" i="6" s="1"/>
  <c r="S823" i="6"/>
  <c r="R823" i="6" s="1"/>
  <c r="P823" i="6"/>
  <c r="Q823" i="6" s="1"/>
  <c r="N823" i="6"/>
  <c r="M823" i="6"/>
  <c r="L823" i="6"/>
  <c r="K823" i="6"/>
  <c r="AN822" i="6"/>
  <c r="AM822" i="6"/>
  <c r="AE822" i="6"/>
  <c r="U822" i="6"/>
  <c r="N822" i="6"/>
  <c r="M822" i="6"/>
  <c r="L822" i="6"/>
  <c r="P822" i="6" s="1"/>
  <c r="K822" i="6"/>
  <c r="AM821" i="6"/>
  <c r="AE821" i="6"/>
  <c r="U821" i="6"/>
  <c r="AN821" i="6" s="1"/>
  <c r="S821" i="6"/>
  <c r="R821" i="6" s="1"/>
  <c r="P821" i="6"/>
  <c r="Q821" i="6" s="1"/>
  <c r="N821" i="6"/>
  <c r="M821" i="6"/>
  <c r="L821" i="6"/>
  <c r="K821" i="6"/>
  <c r="AN820" i="6"/>
  <c r="AM820" i="6"/>
  <c r="AE820" i="6"/>
  <c r="U820" i="6"/>
  <c r="N820" i="6"/>
  <c r="M820" i="6"/>
  <c r="L820" i="6"/>
  <c r="P820" i="6" s="1"/>
  <c r="K820" i="6"/>
  <c r="AM819" i="6"/>
  <c r="AE819" i="6"/>
  <c r="U819" i="6"/>
  <c r="AN819" i="6" s="1"/>
  <c r="S819" i="6"/>
  <c r="R819" i="6" s="1"/>
  <c r="P819" i="6"/>
  <c r="Q819" i="6" s="1"/>
  <c r="N819" i="6"/>
  <c r="M819" i="6"/>
  <c r="L819" i="6"/>
  <c r="K819" i="6"/>
  <c r="AN818" i="6"/>
  <c r="AM818" i="6"/>
  <c r="AE818" i="6"/>
  <c r="U818" i="6"/>
  <c r="N818" i="6"/>
  <c r="M818" i="6"/>
  <c r="L818" i="6"/>
  <c r="P818" i="6" s="1"/>
  <c r="K818" i="6"/>
  <c r="AM817" i="6"/>
  <c r="AE817" i="6"/>
  <c r="U817" i="6"/>
  <c r="AN817" i="6" s="1"/>
  <c r="S817" i="6"/>
  <c r="R817" i="6" s="1"/>
  <c r="P817" i="6"/>
  <c r="Q817" i="6" s="1"/>
  <c r="N817" i="6"/>
  <c r="M817" i="6"/>
  <c r="L817" i="6"/>
  <c r="K817" i="6"/>
  <c r="AN816" i="6"/>
  <c r="AM816" i="6"/>
  <c r="AI816" i="6"/>
  <c r="AE816" i="6"/>
  <c r="U816" i="6"/>
  <c r="S816" i="6"/>
  <c r="R816" i="6" s="1"/>
  <c r="N816" i="6"/>
  <c r="M816" i="6"/>
  <c r="L816" i="6"/>
  <c r="P816" i="6" s="1"/>
  <c r="Q816" i="6" s="1"/>
  <c r="K816" i="6"/>
  <c r="AM815" i="6"/>
  <c r="AE815" i="6"/>
  <c r="U815" i="6"/>
  <c r="AN815" i="6" s="1"/>
  <c r="S815" i="6"/>
  <c r="R815" i="6" s="1"/>
  <c r="P815" i="6"/>
  <c r="Q815" i="6" s="1"/>
  <c r="N815" i="6"/>
  <c r="M815" i="6"/>
  <c r="L815" i="6"/>
  <c r="K815" i="6"/>
  <c r="AN814" i="6"/>
  <c r="AM814" i="6"/>
  <c r="AI814" i="6"/>
  <c r="AE814" i="6"/>
  <c r="U814" i="6"/>
  <c r="S814" i="6"/>
  <c r="R814" i="6" s="1"/>
  <c r="N814" i="6"/>
  <c r="M814" i="6"/>
  <c r="L814" i="6"/>
  <c r="P814" i="6" s="1"/>
  <c r="Q814" i="6" s="1"/>
  <c r="K814" i="6"/>
  <c r="AM813" i="6"/>
  <c r="AE813" i="6"/>
  <c r="U813" i="6"/>
  <c r="AN813" i="6" s="1"/>
  <c r="S813" i="6"/>
  <c r="R813" i="6" s="1"/>
  <c r="P813" i="6"/>
  <c r="Q813" i="6" s="1"/>
  <c r="N813" i="6"/>
  <c r="M813" i="6"/>
  <c r="L813" i="6"/>
  <c r="K813" i="6"/>
  <c r="AN812" i="6"/>
  <c r="AM812" i="6"/>
  <c r="AI812" i="6"/>
  <c r="AE812" i="6"/>
  <c r="U812" i="6"/>
  <c r="M812" i="6"/>
  <c r="N812" i="6" s="1"/>
  <c r="L812" i="6"/>
  <c r="P812" i="6" s="1"/>
  <c r="Q812" i="6" s="1"/>
  <c r="K812" i="6"/>
  <c r="AM811" i="6"/>
  <c r="AI811" i="6"/>
  <c r="AE811" i="6"/>
  <c r="U811" i="6"/>
  <c r="AN811" i="6" s="1"/>
  <c r="M811" i="6"/>
  <c r="N811" i="6" s="1"/>
  <c r="L811" i="6"/>
  <c r="P811" i="6" s="1"/>
  <c r="K811" i="6"/>
  <c r="AM810" i="6"/>
  <c r="AI810" i="6"/>
  <c r="AE810" i="6"/>
  <c r="U810" i="6"/>
  <c r="AN810" i="6" s="1"/>
  <c r="M810" i="6"/>
  <c r="N810" i="6" s="1"/>
  <c r="L810" i="6"/>
  <c r="P810" i="6" s="1"/>
  <c r="K810" i="6"/>
  <c r="AM809" i="6"/>
  <c r="AI809" i="6"/>
  <c r="AE809" i="6"/>
  <c r="U809" i="6"/>
  <c r="AN809" i="6" s="1"/>
  <c r="M809" i="6"/>
  <c r="N809" i="6" s="1"/>
  <c r="L809" i="6"/>
  <c r="P809" i="6" s="1"/>
  <c r="K809" i="6"/>
  <c r="AM808" i="6"/>
  <c r="AI808" i="6"/>
  <c r="AE808" i="6"/>
  <c r="U808" i="6"/>
  <c r="AN808" i="6" s="1"/>
  <c r="M808" i="6"/>
  <c r="N808" i="6" s="1"/>
  <c r="L808" i="6"/>
  <c r="P808" i="6" s="1"/>
  <c r="K808" i="6"/>
  <c r="AM807" i="6"/>
  <c r="AI807" i="6"/>
  <c r="AE807" i="6"/>
  <c r="U807" i="6"/>
  <c r="AN807" i="6" s="1"/>
  <c r="M807" i="6"/>
  <c r="N807" i="6" s="1"/>
  <c r="L807" i="6"/>
  <c r="P807" i="6" s="1"/>
  <c r="K807" i="6"/>
  <c r="AM806" i="6"/>
  <c r="AI806" i="6"/>
  <c r="AE806" i="6"/>
  <c r="U806" i="6"/>
  <c r="AN806" i="6" s="1"/>
  <c r="M806" i="6"/>
  <c r="N806" i="6" s="1"/>
  <c r="L806" i="6"/>
  <c r="P806" i="6" s="1"/>
  <c r="K806" i="6"/>
  <c r="AM805" i="6"/>
  <c r="AE805" i="6"/>
  <c r="U805" i="6"/>
  <c r="AN805" i="6" s="1"/>
  <c r="P805" i="6"/>
  <c r="Q805" i="6" s="1"/>
  <c r="M805" i="6"/>
  <c r="N805" i="6" s="1"/>
  <c r="L805" i="6"/>
  <c r="K805" i="6"/>
  <c r="AM804" i="6"/>
  <c r="AE804" i="6"/>
  <c r="U804" i="6"/>
  <c r="AN804" i="6" s="1"/>
  <c r="P804" i="6"/>
  <c r="Q804" i="6" s="1"/>
  <c r="M804" i="6"/>
  <c r="N804" i="6" s="1"/>
  <c r="L804" i="6"/>
  <c r="K804" i="6"/>
  <c r="AM803" i="6"/>
  <c r="AE803" i="6"/>
  <c r="U803" i="6"/>
  <c r="AN803" i="6" s="1"/>
  <c r="P803" i="6"/>
  <c r="M803" i="6"/>
  <c r="N803" i="6" s="1"/>
  <c r="L803" i="6"/>
  <c r="K803" i="6"/>
  <c r="AM802" i="6"/>
  <c r="AI802" i="6"/>
  <c r="AE802" i="6"/>
  <c r="U802" i="6"/>
  <c r="AN802" i="6" s="1"/>
  <c r="P802" i="6"/>
  <c r="M802" i="6"/>
  <c r="N802" i="6" s="1"/>
  <c r="L802" i="6"/>
  <c r="K802" i="6"/>
  <c r="AM801" i="6"/>
  <c r="AE801" i="6"/>
  <c r="U801" i="6"/>
  <c r="AN801" i="6" s="1"/>
  <c r="P801" i="6"/>
  <c r="M801" i="6"/>
  <c r="N801" i="6" s="1"/>
  <c r="L801" i="6"/>
  <c r="K801" i="6"/>
  <c r="AM800" i="6"/>
  <c r="AI800" i="6"/>
  <c r="AE800" i="6"/>
  <c r="U800" i="6"/>
  <c r="AN800" i="6" s="1"/>
  <c r="P800" i="6"/>
  <c r="M800" i="6"/>
  <c r="N800" i="6" s="1"/>
  <c r="L800" i="6"/>
  <c r="K800" i="6"/>
  <c r="AM799" i="6"/>
  <c r="AE799" i="6"/>
  <c r="U799" i="6"/>
  <c r="AN799" i="6" s="1"/>
  <c r="Q799" i="6"/>
  <c r="P799" i="6"/>
  <c r="S799" i="6" s="1"/>
  <c r="R799" i="6" s="1"/>
  <c r="M799" i="6"/>
  <c r="N799" i="6" s="1"/>
  <c r="L799" i="6"/>
  <c r="K799" i="6"/>
  <c r="AM798" i="6"/>
  <c r="AE798" i="6"/>
  <c r="U798" i="6"/>
  <c r="AN798" i="6" s="1"/>
  <c r="Q798" i="6"/>
  <c r="P798" i="6"/>
  <c r="S798" i="6" s="1"/>
  <c r="R798" i="6" s="1"/>
  <c r="M798" i="6"/>
  <c r="N798" i="6" s="1"/>
  <c r="L798" i="6"/>
  <c r="K798" i="6"/>
  <c r="AM797" i="6"/>
  <c r="AE797" i="6"/>
  <c r="U797" i="6"/>
  <c r="AN797" i="6" s="1"/>
  <c r="Q797" i="6"/>
  <c r="P797" i="6"/>
  <c r="S797" i="6" s="1"/>
  <c r="R797" i="6" s="1"/>
  <c r="M797" i="6"/>
  <c r="N797" i="6" s="1"/>
  <c r="L797" i="6"/>
  <c r="K797" i="6"/>
  <c r="AM796" i="6"/>
  <c r="AE796" i="6"/>
  <c r="U796" i="6"/>
  <c r="AN796" i="6" s="1"/>
  <c r="Q796" i="6"/>
  <c r="P796" i="6"/>
  <c r="S796" i="6" s="1"/>
  <c r="R796" i="6" s="1"/>
  <c r="M796" i="6"/>
  <c r="N796" i="6" s="1"/>
  <c r="L796" i="6"/>
  <c r="K796" i="6"/>
  <c r="AM795" i="6"/>
  <c r="AE795" i="6"/>
  <c r="U795" i="6"/>
  <c r="AN795" i="6" s="1"/>
  <c r="Q795" i="6"/>
  <c r="P795" i="6"/>
  <c r="S795" i="6" s="1"/>
  <c r="R795" i="6" s="1"/>
  <c r="M795" i="6"/>
  <c r="N795" i="6" s="1"/>
  <c r="L795" i="6"/>
  <c r="K795" i="6"/>
  <c r="AM794" i="6"/>
  <c r="AE794" i="6"/>
  <c r="U794" i="6"/>
  <c r="AN794" i="6" s="1"/>
  <c r="Q794" i="6"/>
  <c r="P794" i="6"/>
  <c r="S794" i="6" s="1"/>
  <c r="R794" i="6" s="1"/>
  <c r="M794" i="6"/>
  <c r="N794" i="6" s="1"/>
  <c r="L794" i="6"/>
  <c r="K794" i="6"/>
  <c r="AM793" i="6"/>
  <c r="AE793" i="6"/>
  <c r="U793" i="6"/>
  <c r="AN793" i="6" s="1"/>
  <c r="Q793" i="6"/>
  <c r="P793" i="6"/>
  <c r="S793" i="6" s="1"/>
  <c r="R793" i="6" s="1"/>
  <c r="M793" i="6"/>
  <c r="N793" i="6" s="1"/>
  <c r="L793" i="6"/>
  <c r="K793" i="6"/>
  <c r="AM792" i="6"/>
  <c r="AE792" i="6"/>
  <c r="U792" i="6"/>
  <c r="AN792" i="6" s="1"/>
  <c r="Q792" i="6"/>
  <c r="AF792" i="6" s="1"/>
  <c r="P792" i="6"/>
  <c r="S792" i="6" s="1"/>
  <c r="R792" i="6" s="1"/>
  <c r="M792" i="6"/>
  <c r="N792" i="6" s="1"/>
  <c r="L792" i="6"/>
  <c r="K792" i="6"/>
  <c r="AM791" i="6"/>
  <c r="AE791" i="6"/>
  <c r="U791" i="6"/>
  <c r="AN791" i="6" s="1"/>
  <c r="P791" i="6"/>
  <c r="Q791" i="6" s="1"/>
  <c r="M791" i="6"/>
  <c r="N791" i="6" s="1"/>
  <c r="L791" i="6"/>
  <c r="K791" i="6"/>
  <c r="AM790" i="6"/>
  <c r="AE790" i="6"/>
  <c r="U790" i="6"/>
  <c r="AN790" i="6" s="1"/>
  <c r="Q790" i="6"/>
  <c r="P790" i="6"/>
  <c r="M790" i="6"/>
  <c r="N790" i="6" s="1"/>
  <c r="L790" i="6"/>
  <c r="K790" i="6"/>
  <c r="AM789" i="6"/>
  <c r="AE789" i="6"/>
  <c r="U789" i="6"/>
  <c r="AN789" i="6" s="1"/>
  <c r="P789" i="6"/>
  <c r="M789" i="6"/>
  <c r="N789" i="6" s="1"/>
  <c r="L789" i="6"/>
  <c r="K789" i="6"/>
  <c r="AM788" i="6"/>
  <c r="AE788" i="6"/>
  <c r="U788" i="6"/>
  <c r="AN788" i="6" s="1"/>
  <c r="Q788" i="6"/>
  <c r="P788" i="6"/>
  <c r="M788" i="6"/>
  <c r="N788" i="6" s="1"/>
  <c r="L788" i="6"/>
  <c r="K788" i="6"/>
  <c r="AM787" i="6"/>
  <c r="AE787" i="6"/>
  <c r="U787" i="6"/>
  <c r="AN787" i="6" s="1"/>
  <c r="Q787" i="6"/>
  <c r="P787" i="6"/>
  <c r="M787" i="6"/>
  <c r="N787" i="6" s="1"/>
  <c r="L787" i="6"/>
  <c r="K787" i="6"/>
  <c r="AM786" i="6"/>
  <c r="AE786" i="6"/>
  <c r="U786" i="6"/>
  <c r="AN786" i="6" s="1"/>
  <c r="Q786" i="6"/>
  <c r="P786" i="6"/>
  <c r="M786" i="6"/>
  <c r="N786" i="6" s="1"/>
  <c r="L786" i="6"/>
  <c r="K786" i="6"/>
  <c r="AM785" i="6"/>
  <c r="AE785" i="6"/>
  <c r="U785" i="6"/>
  <c r="AN785" i="6" s="1"/>
  <c r="Q785" i="6"/>
  <c r="P785" i="6"/>
  <c r="M785" i="6"/>
  <c r="N785" i="6" s="1"/>
  <c r="L785" i="6"/>
  <c r="K785" i="6"/>
  <c r="AM784" i="6"/>
  <c r="AE784" i="6"/>
  <c r="U784" i="6"/>
  <c r="AN784" i="6" s="1"/>
  <c r="Q784" i="6"/>
  <c r="P784" i="6"/>
  <c r="M784" i="6"/>
  <c r="N784" i="6" s="1"/>
  <c r="L784" i="6"/>
  <c r="K784" i="6"/>
  <c r="AM783" i="6"/>
  <c r="AE783" i="6"/>
  <c r="U783" i="6"/>
  <c r="AN783" i="6" s="1"/>
  <c r="Q783" i="6"/>
  <c r="P783" i="6"/>
  <c r="M783" i="6"/>
  <c r="N783" i="6" s="1"/>
  <c r="L783" i="6"/>
  <c r="K783" i="6"/>
  <c r="AM782" i="6"/>
  <c r="AE782" i="6"/>
  <c r="U782" i="6"/>
  <c r="AN782" i="6" s="1"/>
  <c r="Q782" i="6"/>
  <c r="P782" i="6"/>
  <c r="M782" i="6"/>
  <c r="N782" i="6" s="1"/>
  <c r="L782" i="6"/>
  <c r="K782" i="6"/>
  <c r="AM781" i="6"/>
  <c r="AE781" i="6"/>
  <c r="U781" i="6"/>
  <c r="AN781" i="6" s="1"/>
  <c r="Q781" i="6"/>
  <c r="P781" i="6"/>
  <c r="M781" i="6"/>
  <c r="N781" i="6" s="1"/>
  <c r="L781" i="6"/>
  <c r="K781" i="6"/>
  <c r="AM780" i="6"/>
  <c r="AE780" i="6"/>
  <c r="U780" i="6"/>
  <c r="AN780" i="6" s="1"/>
  <c r="Q780" i="6"/>
  <c r="P780" i="6"/>
  <c r="M780" i="6"/>
  <c r="N780" i="6" s="1"/>
  <c r="L780" i="6"/>
  <c r="K780" i="6"/>
  <c r="AM779" i="6"/>
  <c r="AE779" i="6"/>
  <c r="U779" i="6"/>
  <c r="AN779" i="6" s="1"/>
  <c r="Q779" i="6"/>
  <c r="P779" i="6"/>
  <c r="M779" i="6"/>
  <c r="N779" i="6" s="1"/>
  <c r="L779" i="6"/>
  <c r="K779" i="6"/>
  <c r="AM778" i="6"/>
  <c r="AE778" i="6"/>
  <c r="U778" i="6"/>
  <c r="AN778" i="6" s="1"/>
  <c r="Q778" i="6"/>
  <c r="P778" i="6"/>
  <c r="M778" i="6"/>
  <c r="N778" i="6" s="1"/>
  <c r="L778" i="6"/>
  <c r="K778" i="6"/>
  <c r="AM777" i="6"/>
  <c r="AE777" i="6"/>
  <c r="U777" i="6"/>
  <c r="AN777" i="6" s="1"/>
  <c r="Q777" i="6"/>
  <c r="P777" i="6"/>
  <c r="M777" i="6"/>
  <c r="N777" i="6" s="1"/>
  <c r="L777" i="6"/>
  <c r="K777" i="6"/>
  <c r="AM776" i="6"/>
  <c r="AE776" i="6"/>
  <c r="U776" i="6"/>
  <c r="AN776" i="6" s="1"/>
  <c r="Q776" i="6"/>
  <c r="P776" i="6"/>
  <c r="M776" i="6"/>
  <c r="N776" i="6" s="1"/>
  <c r="L776" i="6"/>
  <c r="K776" i="6"/>
  <c r="AM775" i="6"/>
  <c r="AE775" i="6"/>
  <c r="U775" i="6"/>
  <c r="AN775" i="6" s="1"/>
  <c r="Q775" i="6"/>
  <c r="P775" i="6"/>
  <c r="M775" i="6"/>
  <c r="N775" i="6" s="1"/>
  <c r="L775" i="6"/>
  <c r="K775" i="6"/>
  <c r="AM774" i="6"/>
  <c r="AE774" i="6"/>
  <c r="U774" i="6"/>
  <c r="AN774" i="6" s="1"/>
  <c r="Q774" i="6"/>
  <c r="P774" i="6"/>
  <c r="M774" i="6"/>
  <c r="N774" i="6" s="1"/>
  <c r="L774" i="6"/>
  <c r="K774" i="6"/>
  <c r="AM773" i="6"/>
  <c r="AE773" i="6"/>
  <c r="U773" i="6"/>
  <c r="AN773" i="6" s="1"/>
  <c r="Q773" i="6"/>
  <c r="P773" i="6"/>
  <c r="M773" i="6"/>
  <c r="N773" i="6" s="1"/>
  <c r="L773" i="6"/>
  <c r="K773" i="6"/>
  <c r="AM772" i="6"/>
  <c r="AE772" i="6"/>
  <c r="U772" i="6"/>
  <c r="AN772" i="6" s="1"/>
  <c r="Q772" i="6"/>
  <c r="P772" i="6"/>
  <c r="M772" i="6"/>
  <c r="N772" i="6" s="1"/>
  <c r="L772" i="6"/>
  <c r="K772" i="6"/>
  <c r="AM771" i="6"/>
  <c r="AE771" i="6"/>
  <c r="U771" i="6"/>
  <c r="AN771" i="6" s="1"/>
  <c r="N771" i="6"/>
  <c r="M771" i="6"/>
  <c r="L771" i="6"/>
  <c r="P771" i="6" s="1"/>
  <c r="K771" i="6"/>
  <c r="AM770" i="6"/>
  <c r="AE770" i="6"/>
  <c r="U770" i="6"/>
  <c r="AN770" i="6" s="1"/>
  <c r="N770" i="6"/>
  <c r="M770" i="6"/>
  <c r="L770" i="6"/>
  <c r="P770" i="6" s="1"/>
  <c r="K770" i="6"/>
  <c r="AN769" i="6"/>
  <c r="AM769" i="6"/>
  <c r="AE769" i="6"/>
  <c r="U769" i="6"/>
  <c r="N769" i="6"/>
  <c r="M769" i="6"/>
  <c r="L769" i="6"/>
  <c r="P769" i="6" s="1"/>
  <c r="K769" i="6"/>
  <c r="AM768" i="6"/>
  <c r="AE768" i="6"/>
  <c r="U768" i="6"/>
  <c r="AN768" i="6" s="1"/>
  <c r="N768" i="6"/>
  <c r="M768" i="6"/>
  <c r="L768" i="6"/>
  <c r="P768" i="6" s="1"/>
  <c r="K768" i="6"/>
  <c r="AN767" i="6"/>
  <c r="AM767" i="6"/>
  <c r="AE767" i="6"/>
  <c r="U767" i="6"/>
  <c r="N767" i="6"/>
  <c r="M767" i="6"/>
  <c r="L767" i="6"/>
  <c r="P767" i="6" s="1"/>
  <c r="K767" i="6"/>
  <c r="AM766" i="6"/>
  <c r="AE766" i="6"/>
  <c r="U766" i="6"/>
  <c r="AN766" i="6" s="1"/>
  <c r="N766" i="6"/>
  <c r="M766" i="6"/>
  <c r="L766" i="6"/>
  <c r="P766" i="6" s="1"/>
  <c r="K766" i="6"/>
  <c r="AN765" i="6"/>
  <c r="AM765" i="6"/>
  <c r="AE765" i="6"/>
  <c r="U765" i="6"/>
  <c r="N765" i="6"/>
  <c r="M765" i="6"/>
  <c r="L765" i="6"/>
  <c r="P765" i="6" s="1"/>
  <c r="K765" i="6"/>
  <c r="AM764" i="6"/>
  <c r="AE764" i="6"/>
  <c r="U764" i="6"/>
  <c r="AN764" i="6" s="1"/>
  <c r="P764" i="6"/>
  <c r="AI764" i="6" s="1"/>
  <c r="M764" i="6"/>
  <c r="N764" i="6" s="1"/>
  <c r="L764" i="6"/>
  <c r="K764" i="6"/>
  <c r="AM763" i="6"/>
  <c r="AE763" i="6"/>
  <c r="U763" i="6"/>
  <c r="AN763" i="6" s="1"/>
  <c r="P763" i="6"/>
  <c r="AI763" i="6" s="1"/>
  <c r="M763" i="6"/>
  <c r="N763" i="6" s="1"/>
  <c r="L763" i="6"/>
  <c r="K763" i="6"/>
  <c r="AM762" i="6"/>
  <c r="AE762" i="6"/>
  <c r="U762" i="6"/>
  <c r="AN762" i="6" s="1"/>
  <c r="P762" i="6"/>
  <c r="AI762" i="6" s="1"/>
  <c r="M762" i="6"/>
  <c r="N762" i="6" s="1"/>
  <c r="L762" i="6"/>
  <c r="K762" i="6"/>
  <c r="AM761" i="6"/>
  <c r="AE761" i="6"/>
  <c r="U761" i="6"/>
  <c r="AN761" i="6" s="1"/>
  <c r="P761" i="6"/>
  <c r="AI761" i="6" s="1"/>
  <c r="M761" i="6"/>
  <c r="N761" i="6" s="1"/>
  <c r="L761" i="6"/>
  <c r="K761" i="6"/>
  <c r="AM760" i="6"/>
  <c r="AE760" i="6"/>
  <c r="U760" i="6"/>
  <c r="AN760" i="6" s="1"/>
  <c r="P760" i="6"/>
  <c r="AI760" i="6" s="1"/>
  <c r="M760" i="6"/>
  <c r="N760" i="6" s="1"/>
  <c r="L760" i="6"/>
  <c r="K760" i="6"/>
  <c r="AM759" i="6"/>
  <c r="AE759" i="6"/>
  <c r="U759" i="6"/>
  <c r="AN759" i="6" s="1"/>
  <c r="P759" i="6"/>
  <c r="AI759" i="6" s="1"/>
  <c r="M759" i="6"/>
  <c r="N759" i="6" s="1"/>
  <c r="L759" i="6"/>
  <c r="K759" i="6"/>
  <c r="AM758" i="6"/>
  <c r="AE758" i="6"/>
  <c r="U758" i="6"/>
  <c r="AN758" i="6" s="1"/>
  <c r="P758" i="6"/>
  <c r="AI758" i="6" s="1"/>
  <c r="M758" i="6"/>
  <c r="N758" i="6" s="1"/>
  <c r="L758" i="6"/>
  <c r="K758" i="6"/>
  <c r="AM757" i="6"/>
  <c r="AE757" i="6"/>
  <c r="U757" i="6"/>
  <c r="AN757" i="6" s="1"/>
  <c r="P757" i="6"/>
  <c r="AI757" i="6" s="1"/>
  <c r="M757" i="6"/>
  <c r="N757" i="6" s="1"/>
  <c r="L757" i="6"/>
  <c r="K757" i="6"/>
  <c r="AM756" i="6"/>
  <c r="AE756" i="6"/>
  <c r="U756" i="6"/>
  <c r="AN756" i="6" s="1"/>
  <c r="P756" i="6"/>
  <c r="AI756" i="6" s="1"/>
  <c r="M756" i="6"/>
  <c r="N756" i="6" s="1"/>
  <c r="L756" i="6"/>
  <c r="K756" i="6"/>
  <c r="AM755" i="6"/>
  <c r="AE755" i="6"/>
  <c r="U755" i="6"/>
  <c r="AN755" i="6" s="1"/>
  <c r="P755" i="6"/>
  <c r="AI755" i="6" s="1"/>
  <c r="M755" i="6"/>
  <c r="N755" i="6" s="1"/>
  <c r="L755" i="6"/>
  <c r="K755" i="6"/>
  <c r="AM754" i="6"/>
  <c r="AE754" i="6"/>
  <c r="U754" i="6"/>
  <c r="AN754" i="6" s="1"/>
  <c r="P754" i="6"/>
  <c r="AI754" i="6" s="1"/>
  <c r="M754" i="6"/>
  <c r="N754" i="6" s="1"/>
  <c r="L754" i="6"/>
  <c r="K754" i="6"/>
  <c r="AM753" i="6"/>
  <c r="AE753" i="6"/>
  <c r="U753" i="6"/>
  <c r="AN753" i="6" s="1"/>
  <c r="P753" i="6"/>
  <c r="AI753" i="6" s="1"/>
  <c r="M753" i="6"/>
  <c r="N753" i="6" s="1"/>
  <c r="L753" i="6"/>
  <c r="K753" i="6"/>
  <c r="AM752" i="6"/>
  <c r="AE752" i="6"/>
  <c r="U752" i="6"/>
  <c r="AN752" i="6" s="1"/>
  <c r="P752" i="6"/>
  <c r="AI752" i="6" s="1"/>
  <c r="M752" i="6"/>
  <c r="N752" i="6" s="1"/>
  <c r="L752" i="6"/>
  <c r="K752" i="6"/>
  <c r="AM751" i="6"/>
  <c r="AE751" i="6"/>
  <c r="U751" i="6"/>
  <c r="AN751" i="6" s="1"/>
  <c r="P751" i="6"/>
  <c r="AI751" i="6" s="1"/>
  <c r="M751" i="6"/>
  <c r="N751" i="6" s="1"/>
  <c r="L751" i="6"/>
  <c r="K751" i="6"/>
  <c r="AM750" i="6"/>
  <c r="AE750" i="6"/>
  <c r="U750" i="6"/>
  <c r="AN750" i="6" s="1"/>
  <c r="P750" i="6"/>
  <c r="AI750" i="6" s="1"/>
  <c r="M750" i="6"/>
  <c r="N750" i="6" s="1"/>
  <c r="L750" i="6"/>
  <c r="K750" i="6"/>
  <c r="AM749" i="6"/>
  <c r="AE749" i="6"/>
  <c r="U749" i="6"/>
  <c r="AN749" i="6" s="1"/>
  <c r="P749" i="6"/>
  <c r="AI749" i="6" s="1"/>
  <c r="M749" i="6"/>
  <c r="N749" i="6" s="1"/>
  <c r="L749" i="6"/>
  <c r="K749" i="6"/>
  <c r="AM748" i="6"/>
  <c r="AE748" i="6"/>
  <c r="U748" i="6"/>
  <c r="AN748" i="6" s="1"/>
  <c r="P748" i="6"/>
  <c r="AI748" i="6" s="1"/>
  <c r="M748" i="6"/>
  <c r="N748" i="6" s="1"/>
  <c r="L748" i="6"/>
  <c r="K748" i="6"/>
  <c r="AM747" i="6"/>
  <c r="AE747" i="6"/>
  <c r="U747" i="6"/>
  <c r="AN747" i="6" s="1"/>
  <c r="P747" i="6"/>
  <c r="AI747" i="6" s="1"/>
  <c r="M747" i="6"/>
  <c r="N747" i="6" s="1"/>
  <c r="L747" i="6"/>
  <c r="K747" i="6"/>
  <c r="AM746" i="6"/>
  <c r="AE746" i="6"/>
  <c r="U746" i="6"/>
  <c r="AN746" i="6" s="1"/>
  <c r="P746" i="6"/>
  <c r="AI746" i="6" s="1"/>
  <c r="M746" i="6"/>
  <c r="N746" i="6" s="1"/>
  <c r="L746" i="6"/>
  <c r="K746" i="6"/>
  <c r="AM745" i="6"/>
  <c r="AE745" i="6"/>
  <c r="U745" i="6"/>
  <c r="AN745" i="6" s="1"/>
  <c r="P745" i="6"/>
  <c r="AI745" i="6" s="1"/>
  <c r="M745" i="6"/>
  <c r="N745" i="6" s="1"/>
  <c r="L745" i="6"/>
  <c r="K745" i="6"/>
  <c r="AM744" i="6"/>
  <c r="AE744" i="6"/>
  <c r="U744" i="6"/>
  <c r="AN744" i="6" s="1"/>
  <c r="P744" i="6"/>
  <c r="AI744" i="6" s="1"/>
  <c r="M744" i="6"/>
  <c r="N744" i="6" s="1"/>
  <c r="L744" i="6"/>
  <c r="K744" i="6"/>
  <c r="AM743" i="6"/>
  <c r="AE743" i="6"/>
  <c r="U743" i="6"/>
  <c r="AN743" i="6" s="1"/>
  <c r="P743" i="6"/>
  <c r="AI743" i="6" s="1"/>
  <c r="M743" i="6"/>
  <c r="N743" i="6" s="1"/>
  <c r="L743" i="6"/>
  <c r="K743" i="6"/>
  <c r="AM742" i="6"/>
  <c r="AE742" i="6"/>
  <c r="U742" i="6"/>
  <c r="AN742" i="6" s="1"/>
  <c r="P742" i="6"/>
  <c r="AI742" i="6" s="1"/>
  <c r="M742" i="6"/>
  <c r="N742" i="6" s="1"/>
  <c r="L742" i="6"/>
  <c r="K742" i="6"/>
  <c r="AM741" i="6"/>
  <c r="AE741" i="6"/>
  <c r="U741" i="6"/>
  <c r="AN741" i="6" s="1"/>
  <c r="P741" i="6"/>
  <c r="AI741" i="6" s="1"/>
  <c r="M741" i="6"/>
  <c r="N741" i="6" s="1"/>
  <c r="L741" i="6"/>
  <c r="K741" i="6"/>
  <c r="AM740" i="6"/>
  <c r="AE740" i="6"/>
  <c r="U740" i="6"/>
  <c r="AN740" i="6" s="1"/>
  <c r="P740" i="6"/>
  <c r="AI740" i="6" s="1"/>
  <c r="M740" i="6"/>
  <c r="N740" i="6" s="1"/>
  <c r="L740" i="6"/>
  <c r="K740" i="6"/>
  <c r="AM739" i="6"/>
  <c r="AE739" i="6"/>
  <c r="U739" i="6"/>
  <c r="AN739" i="6" s="1"/>
  <c r="P739" i="6"/>
  <c r="M739" i="6"/>
  <c r="N739" i="6" s="1"/>
  <c r="L739" i="6"/>
  <c r="K739" i="6"/>
  <c r="AM738" i="6"/>
  <c r="AE738" i="6"/>
  <c r="U738" i="6"/>
  <c r="AN738" i="6" s="1"/>
  <c r="P738" i="6"/>
  <c r="M738" i="6"/>
  <c r="N738" i="6" s="1"/>
  <c r="L738" i="6"/>
  <c r="K738" i="6"/>
  <c r="AM737" i="6"/>
  <c r="AE737" i="6"/>
  <c r="U737" i="6"/>
  <c r="AN737" i="6" s="1"/>
  <c r="P737" i="6"/>
  <c r="M737" i="6"/>
  <c r="N737" i="6" s="1"/>
  <c r="L737" i="6"/>
  <c r="K737" i="6"/>
  <c r="AM736" i="6"/>
  <c r="AE736" i="6"/>
  <c r="U736" i="6"/>
  <c r="AN736" i="6" s="1"/>
  <c r="P736" i="6"/>
  <c r="M736" i="6"/>
  <c r="N736" i="6" s="1"/>
  <c r="L736" i="6"/>
  <c r="K736" i="6"/>
  <c r="AM735" i="6"/>
  <c r="AI735" i="6"/>
  <c r="AE735" i="6"/>
  <c r="U735" i="6"/>
  <c r="AN735" i="6" s="1"/>
  <c r="P735" i="6"/>
  <c r="M735" i="6"/>
  <c r="N735" i="6" s="1"/>
  <c r="L735" i="6"/>
  <c r="K735" i="6"/>
  <c r="AM734" i="6"/>
  <c r="AI734" i="6"/>
  <c r="AE734" i="6"/>
  <c r="U734" i="6"/>
  <c r="AN734" i="6" s="1"/>
  <c r="P734" i="6"/>
  <c r="M734" i="6"/>
  <c r="N734" i="6" s="1"/>
  <c r="L734" i="6"/>
  <c r="K734" i="6"/>
  <c r="AM733" i="6"/>
  <c r="AI733" i="6"/>
  <c r="AE733" i="6"/>
  <c r="U733" i="6"/>
  <c r="AN733" i="6" s="1"/>
  <c r="P733" i="6"/>
  <c r="M733" i="6"/>
  <c r="N733" i="6" s="1"/>
  <c r="L733" i="6"/>
  <c r="K733" i="6"/>
  <c r="AM732" i="6"/>
  <c r="AI732" i="6"/>
  <c r="AE732" i="6"/>
  <c r="U732" i="6"/>
  <c r="AN732" i="6" s="1"/>
  <c r="P732" i="6"/>
  <c r="M732" i="6"/>
  <c r="N732" i="6" s="1"/>
  <c r="L732" i="6"/>
  <c r="K732" i="6"/>
  <c r="AM731" i="6"/>
  <c r="AI731" i="6"/>
  <c r="AE731" i="6"/>
  <c r="U731" i="6"/>
  <c r="AN731" i="6" s="1"/>
  <c r="P731" i="6"/>
  <c r="M731" i="6"/>
  <c r="N731" i="6" s="1"/>
  <c r="L731" i="6"/>
  <c r="K731" i="6"/>
  <c r="AM730" i="6"/>
  <c r="AI730" i="6"/>
  <c r="AE730" i="6"/>
  <c r="U730" i="6"/>
  <c r="AN730" i="6" s="1"/>
  <c r="P730" i="6"/>
  <c r="M730" i="6"/>
  <c r="N730" i="6" s="1"/>
  <c r="L730" i="6"/>
  <c r="K730" i="6"/>
  <c r="AM729" i="6"/>
  <c r="AI729" i="6"/>
  <c r="AE729" i="6"/>
  <c r="U729" i="6"/>
  <c r="AN729" i="6" s="1"/>
  <c r="P729" i="6"/>
  <c r="M729" i="6"/>
  <c r="N729" i="6" s="1"/>
  <c r="L729" i="6"/>
  <c r="K729" i="6"/>
  <c r="AM728" i="6"/>
  <c r="AI728" i="6"/>
  <c r="AE728" i="6"/>
  <c r="U728" i="6"/>
  <c r="AN728" i="6" s="1"/>
  <c r="P728" i="6"/>
  <c r="M728" i="6"/>
  <c r="N728" i="6" s="1"/>
  <c r="L728" i="6"/>
  <c r="K728" i="6"/>
  <c r="AM727" i="6"/>
  <c r="AI727" i="6"/>
  <c r="AE727" i="6"/>
  <c r="U727" i="6"/>
  <c r="AN727" i="6" s="1"/>
  <c r="P727" i="6"/>
  <c r="M727" i="6"/>
  <c r="N727" i="6" s="1"/>
  <c r="L727" i="6"/>
  <c r="K727" i="6"/>
  <c r="AM726" i="6"/>
  <c r="AI726" i="6"/>
  <c r="AE726" i="6"/>
  <c r="U726" i="6"/>
  <c r="AN726" i="6" s="1"/>
  <c r="P726" i="6"/>
  <c r="M726" i="6"/>
  <c r="N726" i="6" s="1"/>
  <c r="L726" i="6"/>
  <c r="K726" i="6"/>
  <c r="AM725" i="6"/>
  <c r="AI725" i="6"/>
  <c r="AE725" i="6"/>
  <c r="U725" i="6"/>
  <c r="AN725" i="6" s="1"/>
  <c r="P725" i="6"/>
  <c r="M725" i="6"/>
  <c r="N725" i="6" s="1"/>
  <c r="L725" i="6"/>
  <c r="K725" i="6"/>
  <c r="AM724" i="6"/>
  <c r="AI724" i="6"/>
  <c r="AE724" i="6"/>
  <c r="U724" i="6"/>
  <c r="AN724" i="6" s="1"/>
  <c r="P724" i="6"/>
  <c r="M724" i="6"/>
  <c r="N724" i="6" s="1"/>
  <c r="L724" i="6"/>
  <c r="K724" i="6"/>
  <c r="AM723" i="6"/>
  <c r="AI723" i="6"/>
  <c r="AE723" i="6"/>
  <c r="U723" i="6"/>
  <c r="AN723" i="6" s="1"/>
  <c r="P723" i="6"/>
  <c r="M723" i="6"/>
  <c r="N723" i="6" s="1"/>
  <c r="L723" i="6"/>
  <c r="K723" i="6"/>
  <c r="AM722" i="6"/>
  <c r="AI722" i="6"/>
  <c r="AE722" i="6"/>
  <c r="U722" i="6"/>
  <c r="AN722" i="6" s="1"/>
  <c r="P722" i="6"/>
  <c r="M722" i="6"/>
  <c r="N722" i="6" s="1"/>
  <c r="L722" i="6"/>
  <c r="K722" i="6"/>
  <c r="AM721" i="6"/>
  <c r="AI721" i="6"/>
  <c r="AE721" i="6"/>
  <c r="U721" i="6"/>
  <c r="AN721" i="6" s="1"/>
  <c r="P721" i="6"/>
  <c r="M721" i="6"/>
  <c r="N721" i="6" s="1"/>
  <c r="L721" i="6"/>
  <c r="K721" i="6"/>
  <c r="AM720" i="6"/>
  <c r="AI720" i="6"/>
  <c r="AE720" i="6"/>
  <c r="U720" i="6"/>
  <c r="AN720" i="6" s="1"/>
  <c r="P720" i="6"/>
  <c r="M720" i="6"/>
  <c r="N720" i="6" s="1"/>
  <c r="L720" i="6"/>
  <c r="K720" i="6"/>
  <c r="AM719" i="6"/>
  <c r="AI719" i="6"/>
  <c r="AE719" i="6"/>
  <c r="U719" i="6"/>
  <c r="AN719" i="6" s="1"/>
  <c r="P719" i="6"/>
  <c r="M719" i="6"/>
  <c r="N719" i="6" s="1"/>
  <c r="L719" i="6"/>
  <c r="K719" i="6"/>
  <c r="AM718" i="6"/>
  <c r="AI718" i="6"/>
  <c r="AE718" i="6"/>
  <c r="U718" i="6"/>
  <c r="AN718" i="6" s="1"/>
  <c r="P718" i="6"/>
  <c r="M718" i="6"/>
  <c r="N718" i="6" s="1"/>
  <c r="L718" i="6"/>
  <c r="K718" i="6"/>
  <c r="AM717" i="6"/>
  <c r="AI717" i="6"/>
  <c r="AE717" i="6"/>
  <c r="U717" i="6"/>
  <c r="AN717" i="6" s="1"/>
  <c r="P717" i="6"/>
  <c r="M717" i="6"/>
  <c r="N717" i="6" s="1"/>
  <c r="L717" i="6"/>
  <c r="K717" i="6"/>
  <c r="AM716" i="6"/>
  <c r="AI716" i="6"/>
  <c r="AE716" i="6"/>
  <c r="U716" i="6"/>
  <c r="AN716" i="6" s="1"/>
  <c r="P716" i="6"/>
  <c r="M716" i="6"/>
  <c r="N716" i="6" s="1"/>
  <c r="L716" i="6"/>
  <c r="K716" i="6"/>
  <c r="AM715" i="6"/>
  <c r="AI715" i="6"/>
  <c r="AE715" i="6"/>
  <c r="U715" i="6"/>
  <c r="AN715" i="6" s="1"/>
  <c r="P715" i="6"/>
  <c r="M715" i="6"/>
  <c r="N715" i="6" s="1"/>
  <c r="L715" i="6"/>
  <c r="K715" i="6"/>
  <c r="AM714" i="6"/>
  <c r="AI714" i="6"/>
  <c r="AE714" i="6"/>
  <c r="U714" i="6"/>
  <c r="AN714" i="6" s="1"/>
  <c r="P714" i="6"/>
  <c r="M714" i="6"/>
  <c r="N714" i="6" s="1"/>
  <c r="L714" i="6"/>
  <c r="K714" i="6"/>
  <c r="AM713" i="6"/>
  <c r="AI713" i="6"/>
  <c r="AE713" i="6"/>
  <c r="U713" i="6"/>
  <c r="AN713" i="6" s="1"/>
  <c r="P713" i="6"/>
  <c r="M713" i="6"/>
  <c r="N713" i="6" s="1"/>
  <c r="L713" i="6"/>
  <c r="K713" i="6"/>
  <c r="AM712" i="6"/>
  <c r="AI712" i="6"/>
  <c r="AE712" i="6"/>
  <c r="U712" i="6"/>
  <c r="AN712" i="6" s="1"/>
  <c r="P712" i="6"/>
  <c r="M712" i="6"/>
  <c r="N712" i="6" s="1"/>
  <c r="L712" i="6"/>
  <c r="K712" i="6"/>
  <c r="AM711" i="6"/>
  <c r="AI711" i="6"/>
  <c r="AE711" i="6"/>
  <c r="U711" i="6"/>
  <c r="AN711" i="6" s="1"/>
  <c r="P711" i="6"/>
  <c r="M711" i="6"/>
  <c r="N711" i="6" s="1"/>
  <c r="L711" i="6"/>
  <c r="K711" i="6"/>
  <c r="AM710" i="6"/>
  <c r="AI710" i="6"/>
  <c r="AE710" i="6"/>
  <c r="U710" i="6"/>
  <c r="AN710" i="6" s="1"/>
  <c r="P710" i="6"/>
  <c r="M710" i="6"/>
  <c r="N710" i="6" s="1"/>
  <c r="L710" i="6"/>
  <c r="K710" i="6"/>
  <c r="AM709" i="6"/>
  <c r="AI709" i="6"/>
  <c r="AE709" i="6"/>
  <c r="U709" i="6"/>
  <c r="AN709" i="6" s="1"/>
  <c r="P709" i="6"/>
  <c r="M709" i="6"/>
  <c r="N709" i="6" s="1"/>
  <c r="L709" i="6"/>
  <c r="K709" i="6"/>
  <c r="AM708" i="6"/>
  <c r="AI708" i="6"/>
  <c r="AE708" i="6"/>
  <c r="U708" i="6"/>
  <c r="AN708" i="6" s="1"/>
  <c r="P708" i="6"/>
  <c r="M708" i="6"/>
  <c r="N708" i="6" s="1"/>
  <c r="L708" i="6"/>
  <c r="K708" i="6"/>
  <c r="AM707" i="6"/>
  <c r="AI707" i="6"/>
  <c r="AE707" i="6"/>
  <c r="U707" i="6"/>
  <c r="AN707" i="6" s="1"/>
  <c r="P707" i="6"/>
  <c r="M707" i="6"/>
  <c r="N707" i="6" s="1"/>
  <c r="L707" i="6"/>
  <c r="K707" i="6"/>
  <c r="AM706" i="6"/>
  <c r="AI706" i="6"/>
  <c r="AE706" i="6"/>
  <c r="U706" i="6"/>
  <c r="AN706" i="6" s="1"/>
  <c r="P706" i="6"/>
  <c r="M706" i="6"/>
  <c r="N706" i="6" s="1"/>
  <c r="L706" i="6"/>
  <c r="K706" i="6"/>
  <c r="AM705" i="6"/>
  <c r="AI705" i="6"/>
  <c r="AE705" i="6"/>
  <c r="U705" i="6"/>
  <c r="AN705" i="6" s="1"/>
  <c r="P705" i="6"/>
  <c r="M705" i="6"/>
  <c r="N705" i="6" s="1"/>
  <c r="L705" i="6"/>
  <c r="K705" i="6"/>
  <c r="AM704" i="6"/>
  <c r="AI704" i="6"/>
  <c r="AE704" i="6"/>
  <c r="U704" i="6"/>
  <c r="AN704" i="6" s="1"/>
  <c r="P704" i="6"/>
  <c r="M704" i="6"/>
  <c r="N704" i="6" s="1"/>
  <c r="L704" i="6"/>
  <c r="K704" i="6"/>
  <c r="AM703" i="6"/>
  <c r="AI703" i="6"/>
  <c r="AE703" i="6"/>
  <c r="U703" i="6"/>
  <c r="AN703" i="6" s="1"/>
  <c r="P703" i="6"/>
  <c r="M703" i="6"/>
  <c r="N703" i="6" s="1"/>
  <c r="L703" i="6"/>
  <c r="K703" i="6"/>
  <c r="AM702" i="6"/>
  <c r="AI702" i="6"/>
  <c r="AE702" i="6"/>
  <c r="U702" i="6"/>
  <c r="AN702" i="6" s="1"/>
  <c r="P702" i="6"/>
  <c r="M702" i="6"/>
  <c r="N702" i="6" s="1"/>
  <c r="L702" i="6"/>
  <c r="K702" i="6"/>
  <c r="AM701" i="6"/>
  <c r="AI701" i="6"/>
  <c r="AE701" i="6"/>
  <c r="U701" i="6"/>
  <c r="AN701" i="6" s="1"/>
  <c r="P701" i="6"/>
  <c r="M701" i="6"/>
  <c r="N701" i="6" s="1"/>
  <c r="L701" i="6"/>
  <c r="K701" i="6"/>
  <c r="AM700" i="6"/>
  <c r="AI700" i="6"/>
  <c r="AE700" i="6"/>
  <c r="U700" i="6"/>
  <c r="AN700" i="6" s="1"/>
  <c r="P700" i="6"/>
  <c r="M700" i="6"/>
  <c r="N700" i="6" s="1"/>
  <c r="L700" i="6"/>
  <c r="K700" i="6"/>
  <c r="AM699" i="6"/>
  <c r="AI699" i="6"/>
  <c r="AE699" i="6"/>
  <c r="U699" i="6"/>
  <c r="AN699" i="6" s="1"/>
  <c r="P699" i="6"/>
  <c r="M699" i="6"/>
  <c r="N699" i="6" s="1"/>
  <c r="L699" i="6"/>
  <c r="K699" i="6"/>
  <c r="AM698" i="6"/>
  <c r="AI698" i="6"/>
  <c r="AE698" i="6"/>
  <c r="U698" i="6"/>
  <c r="AN698" i="6" s="1"/>
  <c r="P698" i="6"/>
  <c r="M698" i="6"/>
  <c r="N698" i="6" s="1"/>
  <c r="L698" i="6"/>
  <c r="K698" i="6"/>
  <c r="AM697" i="6"/>
  <c r="AI697" i="6"/>
  <c r="AE697" i="6"/>
  <c r="U697" i="6"/>
  <c r="AN697" i="6" s="1"/>
  <c r="P697" i="6"/>
  <c r="M697" i="6"/>
  <c r="N697" i="6" s="1"/>
  <c r="L697" i="6"/>
  <c r="K697" i="6"/>
  <c r="AM696" i="6"/>
  <c r="AI696" i="6"/>
  <c r="AE696" i="6"/>
  <c r="U696" i="6"/>
  <c r="AN696" i="6" s="1"/>
  <c r="P696" i="6"/>
  <c r="M696" i="6"/>
  <c r="N696" i="6" s="1"/>
  <c r="L696" i="6"/>
  <c r="K696" i="6"/>
  <c r="AM695" i="6"/>
  <c r="AI695" i="6"/>
  <c r="AE695" i="6"/>
  <c r="U695" i="6"/>
  <c r="AN695" i="6" s="1"/>
  <c r="P695" i="6"/>
  <c r="M695" i="6"/>
  <c r="N695" i="6" s="1"/>
  <c r="L695" i="6"/>
  <c r="K695" i="6"/>
  <c r="AM694" i="6"/>
  <c r="AI694" i="6"/>
  <c r="AE694" i="6"/>
  <c r="U694" i="6"/>
  <c r="AN694" i="6" s="1"/>
  <c r="P694" i="6"/>
  <c r="M694" i="6"/>
  <c r="N694" i="6" s="1"/>
  <c r="L694" i="6"/>
  <c r="K694" i="6"/>
  <c r="AM693" i="6"/>
  <c r="AI693" i="6"/>
  <c r="AE693" i="6"/>
  <c r="U693" i="6"/>
  <c r="AN693" i="6" s="1"/>
  <c r="P693" i="6"/>
  <c r="M693" i="6"/>
  <c r="N693" i="6" s="1"/>
  <c r="L693" i="6"/>
  <c r="K693" i="6"/>
  <c r="AM692" i="6"/>
  <c r="AI692" i="6"/>
  <c r="AE692" i="6"/>
  <c r="U692" i="6"/>
  <c r="AN692" i="6" s="1"/>
  <c r="M692" i="6"/>
  <c r="N692" i="6" s="1"/>
  <c r="L692" i="6"/>
  <c r="P692" i="6" s="1"/>
  <c r="K692" i="6"/>
  <c r="AM691" i="6"/>
  <c r="AE691" i="6"/>
  <c r="U691" i="6"/>
  <c r="AN691" i="6" s="1"/>
  <c r="M691" i="6"/>
  <c r="N691" i="6" s="1"/>
  <c r="L691" i="6"/>
  <c r="P691" i="6" s="1"/>
  <c r="Q691" i="6" s="1"/>
  <c r="K691" i="6"/>
  <c r="AM690" i="6"/>
  <c r="AE690" i="6"/>
  <c r="U690" i="6"/>
  <c r="AN690" i="6" s="1"/>
  <c r="M690" i="6"/>
  <c r="N690" i="6" s="1"/>
  <c r="L690" i="6"/>
  <c r="P690" i="6" s="1"/>
  <c r="Q690" i="6" s="1"/>
  <c r="K690" i="6"/>
  <c r="AM689" i="6"/>
  <c r="AE689" i="6"/>
  <c r="U689" i="6"/>
  <c r="AN689" i="6" s="1"/>
  <c r="Q689" i="6"/>
  <c r="M689" i="6"/>
  <c r="N689" i="6" s="1"/>
  <c r="L689" i="6"/>
  <c r="P689" i="6" s="1"/>
  <c r="K689" i="6"/>
  <c r="AM688" i="6"/>
  <c r="AE688" i="6"/>
  <c r="U688" i="6"/>
  <c r="AN688" i="6" s="1"/>
  <c r="P688" i="6"/>
  <c r="M688" i="6"/>
  <c r="N688" i="6" s="1"/>
  <c r="L688" i="6"/>
  <c r="K688" i="6"/>
  <c r="AM687" i="6"/>
  <c r="AE687" i="6"/>
  <c r="U687" i="6"/>
  <c r="AN687" i="6" s="1"/>
  <c r="P687" i="6"/>
  <c r="AI687" i="6" s="1"/>
  <c r="M687" i="6"/>
  <c r="N687" i="6" s="1"/>
  <c r="L687" i="6"/>
  <c r="K687" i="6"/>
  <c r="AM686" i="6"/>
  <c r="AE686" i="6"/>
  <c r="U686" i="6"/>
  <c r="AN686" i="6" s="1"/>
  <c r="P686" i="6"/>
  <c r="M686" i="6"/>
  <c r="N686" i="6" s="1"/>
  <c r="L686" i="6"/>
  <c r="K686" i="6"/>
  <c r="AM685" i="6"/>
  <c r="AE685" i="6"/>
  <c r="U685" i="6"/>
  <c r="AN685" i="6" s="1"/>
  <c r="P685" i="6"/>
  <c r="AI685" i="6" s="1"/>
  <c r="M685" i="6"/>
  <c r="N685" i="6" s="1"/>
  <c r="L685" i="6"/>
  <c r="K685" i="6"/>
  <c r="AM684" i="6"/>
  <c r="AE684" i="6"/>
  <c r="U684" i="6"/>
  <c r="AN684" i="6" s="1"/>
  <c r="P684" i="6"/>
  <c r="M684" i="6"/>
  <c r="N684" i="6" s="1"/>
  <c r="L684" i="6"/>
  <c r="K684" i="6"/>
  <c r="AM683" i="6"/>
  <c r="AE683" i="6"/>
  <c r="U683" i="6"/>
  <c r="AN683" i="6" s="1"/>
  <c r="P683" i="6"/>
  <c r="AI683" i="6" s="1"/>
  <c r="M683" i="6"/>
  <c r="N683" i="6" s="1"/>
  <c r="L683" i="6"/>
  <c r="K683" i="6"/>
  <c r="AM682" i="6"/>
  <c r="AE682" i="6"/>
  <c r="U682" i="6"/>
  <c r="AN682" i="6" s="1"/>
  <c r="P682" i="6"/>
  <c r="M682" i="6"/>
  <c r="N682" i="6" s="1"/>
  <c r="L682" i="6"/>
  <c r="K682" i="6"/>
  <c r="AM681" i="6"/>
  <c r="AE681" i="6"/>
  <c r="U681" i="6"/>
  <c r="AN681" i="6" s="1"/>
  <c r="P681" i="6"/>
  <c r="AI681" i="6" s="1"/>
  <c r="M681" i="6"/>
  <c r="N681" i="6" s="1"/>
  <c r="L681" i="6"/>
  <c r="K681" i="6"/>
  <c r="AM680" i="6"/>
  <c r="AE680" i="6"/>
  <c r="U680" i="6"/>
  <c r="AN680" i="6" s="1"/>
  <c r="P680" i="6"/>
  <c r="M680" i="6"/>
  <c r="N680" i="6" s="1"/>
  <c r="L680" i="6"/>
  <c r="K680" i="6"/>
  <c r="AM679" i="6"/>
  <c r="AE679" i="6"/>
  <c r="U679" i="6"/>
  <c r="AN679" i="6" s="1"/>
  <c r="P679" i="6"/>
  <c r="AI679" i="6" s="1"/>
  <c r="M679" i="6"/>
  <c r="N679" i="6" s="1"/>
  <c r="L679" i="6"/>
  <c r="K679" i="6"/>
  <c r="AM678" i="6"/>
  <c r="AE678" i="6"/>
  <c r="U678" i="6"/>
  <c r="AN678" i="6" s="1"/>
  <c r="P678" i="6"/>
  <c r="M678" i="6"/>
  <c r="N678" i="6" s="1"/>
  <c r="L678" i="6"/>
  <c r="K678" i="6"/>
  <c r="AM677" i="6"/>
  <c r="AE677" i="6"/>
  <c r="U677" i="6"/>
  <c r="AN677" i="6" s="1"/>
  <c r="P677" i="6"/>
  <c r="AI677" i="6" s="1"/>
  <c r="M677" i="6"/>
  <c r="N677" i="6" s="1"/>
  <c r="L677" i="6"/>
  <c r="K677" i="6"/>
  <c r="AM676" i="6"/>
  <c r="AE676" i="6"/>
  <c r="U676" i="6"/>
  <c r="AN676" i="6" s="1"/>
  <c r="P676" i="6"/>
  <c r="M676" i="6"/>
  <c r="N676" i="6" s="1"/>
  <c r="L676" i="6"/>
  <c r="K676" i="6"/>
  <c r="AM675" i="6"/>
  <c r="AE675" i="6"/>
  <c r="U675" i="6"/>
  <c r="AN675" i="6" s="1"/>
  <c r="P675" i="6"/>
  <c r="AI675" i="6" s="1"/>
  <c r="M675" i="6"/>
  <c r="N675" i="6" s="1"/>
  <c r="L675" i="6"/>
  <c r="K675" i="6"/>
  <c r="AM674" i="6"/>
  <c r="AE674" i="6"/>
  <c r="U674" i="6"/>
  <c r="AN674" i="6" s="1"/>
  <c r="P674" i="6"/>
  <c r="M674" i="6"/>
  <c r="N674" i="6" s="1"/>
  <c r="L674" i="6"/>
  <c r="K674" i="6"/>
  <c r="AM673" i="6"/>
  <c r="AE673" i="6"/>
  <c r="U673" i="6"/>
  <c r="AN673" i="6" s="1"/>
  <c r="P673" i="6"/>
  <c r="AI673" i="6" s="1"/>
  <c r="M673" i="6"/>
  <c r="N673" i="6" s="1"/>
  <c r="L673" i="6"/>
  <c r="K673" i="6"/>
  <c r="AM672" i="6"/>
  <c r="AE672" i="6"/>
  <c r="U672" i="6"/>
  <c r="AN672" i="6" s="1"/>
  <c r="P672" i="6"/>
  <c r="M672" i="6"/>
  <c r="N672" i="6" s="1"/>
  <c r="L672" i="6"/>
  <c r="K672" i="6"/>
  <c r="AM671" i="6"/>
  <c r="AE671" i="6"/>
  <c r="U671" i="6"/>
  <c r="AN671" i="6" s="1"/>
  <c r="P671" i="6"/>
  <c r="AI671" i="6" s="1"/>
  <c r="M671" i="6"/>
  <c r="N671" i="6" s="1"/>
  <c r="L671" i="6"/>
  <c r="K671" i="6"/>
  <c r="AM670" i="6"/>
  <c r="AE670" i="6"/>
  <c r="U670" i="6"/>
  <c r="AN670" i="6" s="1"/>
  <c r="P670" i="6"/>
  <c r="M670" i="6"/>
  <c r="N670" i="6" s="1"/>
  <c r="L670" i="6"/>
  <c r="K670" i="6"/>
  <c r="AM669" i="6"/>
  <c r="AE669" i="6"/>
  <c r="U669" i="6"/>
  <c r="AN669" i="6" s="1"/>
  <c r="P669" i="6"/>
  <c r="AI669" i="6" s="1"/>
  <c r="M669" i="6"/>
  <c r="N669" i="6" s="1"/>
  <c r="L669" i="6"/>
  <c r="K669" i="6"/>
  <c r="AM668" i="6"/>
  <c r="AE668" i="6"/>
  <c r="U668" i="6"/>
  <c r="AN668" i="6" s="1"/>
  <c r="P668" i="6"/>
  <c r="M668" i="6"/>
  <c r="N668" i="6" s="1"/>
  <c r="L668" i="6"/>
  <c r="K668" i="6"/>
  <c r="AM667" i="6"/>
  <c r="AE667" i="6"/>
  <c r="U667" i="6"/>
  <c r="AN667" i="6" s="1"/>
  <c r="P667" i="6"/>
  <c r="AI667" i="6" s="1"/>
  <c r="M667" i="6"/>
  <c r="N667" i="6" s="1"/>
  <c r="L667" i="6"/>
  <c r="K667" i="6"/>
  <c r="AM666" i="6"/>
  <c r="AE666" i="6"/>
  <c r="U666" i="6"/>
  <c r="AN666" i="6" s="1"/>
  <c r="P666" i="6"/>
  <c r="M666" i="6"/>
  <c r="N666" i="6" s="1"/>
  <c r="L666" i="6"/>
  <c r="K666" i="6"/>
  <c r="AM665" i="6"/>
  <c r="AE665" i="6"/>
  <c r="U665" i="6"/>
  <c r="AN665" i="6" s="1"/>
  <c r="P665" i="6"/>
  <c r="AI665" i="6" s="1"/>
  <c r="M665" i="6"/>
  <c r="N665" i="6" s="1"/>
  <c r="L665" i="6"/>
  <c r="K665" i="6"/>
  <c r="AM664" i="6"/>
  <c r="AE664" i="6"/>
  <c r="U664" i="6"/>
  <c r="AN664" i="6" s="1"/>
  <c r="P664" i="6"/>
  <c r="M664" i="6"/>
  <c r="N664" i="6" s="1"/>
  <c r="L664" i="6"/>
  <c r="K664" i="6"/>
  <c r="AM663" i="6"/>
  <c r="AE663" i="6"/>
  <c r="U663" i="6"/>
  <c r="AN663" i="6" s="1"/>
  <c r="P663" i="6"/>
  <c r="AI663" i="6" s="1"/>
  <c r="M663" i="6"/>
  <c r="N663" i="6" s="1"/>
  <c r="L663" i="6"/>
  <c r="K663" i="6"/>
  <c r="AM662" i="6"/>
  <c r="AE662" i="6"/>
  <c r="U662" i="6"/>
  <c r="AN662" i="6" s="1"/>
  <c r="P662" i="6"/>
  <c r="M662" i="6"/>
  <c r="N662" i="6" s="1"/>
  <c r="L662" i="6"/>
  <c r="K662" i="6"/>
  <c r="AM661" i="6"/>
  <c r="AE661" i="6"/>
  <c r="U661" i="6"/>
  <c r="AN661" i="6" s="1"/>
  <c r="P661" i="6"/>
  <c r="AI661" i="6" s="1"/>
  <c r="M661" i="6"/>
  <c r="N661" i="6" s="1"/>
  <c r="L661" i="6"/>
  <c r="K661" i="6"/>
  <c r="AM660" i="6"/>
  <c r="AE660" i="6"/>
  <c r="U660" i="6"/>
  <c r="AN660" i="6" s="1"/>
  <c r="P660" i="6"/>
  <c r="M660" i="6"/>
  <c r="N660" i="6" s="1"/>
  <c r="L660" i="6"/>
  <c r="K660" i="6"/>
  <c r="AM659" i="6"/>
  <c r="AE659" i="6"/>
  <c r="U659" i="6"/>
  <c r="AN659" i="6" s="1"/>
  <c r="P659" i="6"/>
  <c r="AI659" i="6" s="1"/>
  <c r="M659" i="6"/>
  <c r="N659" i="6" s="1"/>
  <c r="L659" i="6"/>
  <c r="K659" i="6"/>
  <c r="AM658" i="6"/>
  <c r="AE658" i="6"/>
  <c r="U658" i="6"/>
  <c r="AN658" i="6" s="1"/>
  <c r="P658" i="6"/>
  <c r="M658" i="6"/>
  <c r="N658" i="6" s="1"/>
  <c r="L658" i="6"/>
  <c r="K658" i="6"/>
  <c r="AM657" i="6"/>
  <c r="AE657" i="6"/>
  <c r="U657" i="6"/>
  <c r="AN657" i="6" s="1"/>
  <c r="P657" i="6"/>
  <c r="AI657" i="6" s="1"/>
  <c r="M657" i="6"/>
  <c r="N657" i="6" s="1"/>
  <c r="L657" i="6"/>
  <c r="K657" i="6"/>
  <c r="AM656" i="6"/>
  <c r="AE656" i="6"/>
  <c r="U656" i="6"/>
  <c r="AN656" i="6" s="1"/>
  <c r="P656" i="6"/>
  <c r="M656" i="6"/>
  <c r="N656" i="6" s="1"/>
  <c r="L656" i="6"/>
  <c r="K656" i="6"/>
  <c r="AM655" i="6"/>
  <c r="AE655" i="6"/>
  <c r="U655" i="6"/>
  <c r="AN655" i="6" s="1"/>
  <c r="P655" i="6"/>
  <c r="AI655" i="6" s="1"/>
  <c r="M655" i="6"/>
  <c r="N655" i="6" s="1"/>
  <c r="L655" i="6"/>
  <c r="K655" i="6"/>
  <c r="AM654" i="6"/>
  <c r="AE654" i="6"/>
  <c r="U654" i="6"/>
  <c r="AN654" i="6" s="1"/>
  <c r="P654" i="6"/>
  <c r="M654" i="6"/>
  <c r="N654" i="6" s="1"/>
  <c r="L654" i="6"/>
  <c r="K654" i="6"/>
  <c r="AM653" i="6"/>
  <c r="AE653" i="6"/>
  <c r="U653" i="6"/>
  <c r="AN653" i="6" s="1"/>
  <c r="P653" i="6"/>
  <c r="AI653" i="6" s="1"/>
  <c r="M653" i="6"/>
  <c r="N653" i="6" s="1"/>
  <c r="L653" i="6"/>
  <c r="K653" i="6"/>
  <c r="AM652" i="6"/>
  <c r="AE652" i="6"/>
  <c r="U652" i="6"/>
  <c r="AN652" i="6" s="1"/>
  <c r="P652" i="6"/>
  <c r="M652" i="6"/>
  <c r="N652" i="6" s="1"/>
  <c r="L652" i="6"/>
  <c r="K652" i="6"/>
  <c r="AM651" i="6"/>
  <c r="AE651" i="6"/>
  <c r="U651" i="6"/>
  <c r="AN651" i="6" s="1"/>
  <c r="P651" i="6"/>
  <c r="AI651" i="6" s="1"/>
  <c r="M651" i="6"/>
  <c r="N651" i="6" s="1"/>
  <c r="L651" i="6"/>
  <c r="K651" i="6"/>
  <c r="AM650" i="6"/>
  <c r="AE650" i="6"/>
  <c r="U650" i="6"/>
  <c r="AN650" i="6" s="1"/>
  <c r="P650" i="6"/>
  <c r="M650" i="6"/>
  <c r="N650" i="6" s="1"/>
  <c r="L650" i="6"/>
  <c r="K650" i="6"/>
  <c r="AM649" i="6"/>
  <c r="AE649" i="6"/>
  <c r="U649" i="6"/>
  <c r="AN649" i="6" s="1"/>
  <c r="P649" i="6"/>
  <c r="AI649" i="6" s="1"/>
  <c r="M649" i="6"/>
  <c r="N649" i="6" s="1"/>
  <c r="L649" i="6"/>
  <c r="K649" i="6"/>
  <c r="AM648" i="6"/>
  <c r="AE648" i="6"/>
  <c r="U648" i="6"/>
  <c r="AN648" i="6" s="1"/>
  <c r="P648" i="6"/>
  <c r="M648" i="6"/>
  <c r="N648" i="6" s="1"/>
  <c r="L648" i="6"/>
  <c r="K648" i="6"/>
  <c r="AM647" i="6"/>
  <c r="AE647" i="6"/>
  <c r="U647" i="6"/>
  <c r="AN647" i="6" s="1"/>
  <c r="P647" i="6"/>
  <c r="AI647" i="6" s="1"/>
  <c r="M647" i="6"/>
  <c r="N647" i="6" s="1"/>
  <c r="L647" i="6"/>
  <c r="K647" i="6"/>
  <c r="AM646" i="6"/>
  <c r="AE646" i="6"/>
  <c r="U646" i="6"/>
  <c r="AN646" i="6" s="1"/>
  <c r="P646" i="6"/>
  <c r="M646" i="6"/>
  <c r="N646" i="6" s="1"/>
  <c r="L646" i="6"/>
  <c r="K646" i="6"/>
  <c r="AM645" i="6"/>
  <c r="AE645" i="6"/>
  <c r="U645" i="6"/>
  <c r="AN645" i="6" s="1"/>
  <c r="P645" i="6"/>
  <c r="AI645" i="6" s="1"/>
  <c r="M645" i="6"/>
  <c r="N645" i="6" s="1"/>
  <c r="L645" i="6"/>
  <c r="K645" i="6"/>
  <c r="AM644" i="6"/>
  <c r="AE644" i="6"/>
  <c r="U644" i="6"/>
  <c r="AN644" i="6" s="1"/>
  <c r="P644" i="6"/>
  <c r="M644" i="6"/>
  <c r="N644" i="6" s="1"/>
  <c r="L644" i="6"/>
  <c r="K644" i="6"/>
  <c r="AM643" i="6"/>
  <c r="AE643" i="6"/>
  <c r="U643" i="6"/>
  <c r="AN643" i="6" s="1"/>
  <c r="P643" i="6"/>
  <c r="AI643" i="6" s="1"/>
  <c r="M643" i="6"/>
  <c r="N643" i="6" s="1"/>
  <c r="L643" i="6"/>
  <c r="K643" i="6"/>
  <c r="AM642" i="6"/>
  <c r="AE642" i="6"/>
  <c r="U642" i="6"/>
  <c r="AN642" i="6" s="1"/>
  <c r="P642" i="6"/>
  <c r="M642" i="6"/>
  <c r="N642" i="6" s="1"/>
  <c r="L642" i="6"/>
  <c r="K642" i="6"/>
  <c r="AM641" i="6"/>
  <c r="AE641" i="6"/>
  <c r="U641" i="6"/>
  <c r="AN641" i="6" s="1"/>
  <c r="P641" i="6"/>
  <c r="AI641" i="6" s="1"/>
  <c r="M641" i="6"/>
  <c r="N641" i="6" s="1"/>
  <c r="L641" i="6"/>
  <c r="K641" i="6"/>
  <c r="AM640" i="6"/>
  <c r="AE640" i="6"/>
  <c r="U640" i="6"/>
  <c r="AN640" i="6" s="1"/>
  <c r="P640" i="6"/>
  <c r="M640" i="6"/>
  <c r="N640" i="6" s="1"/>
  <c r="L640" i="6"/>
  <c r="K640" i="6"/>
  <c r="AM639" i="6"/>
  <c r="AE639" i="6"/>
  <c r="U639" i="6"/>
  <c r="AN639" i="6" s="1"/>
  <c r="P639" i="6"/>
  <c r="AI639" i="6" s="1"/>
  <c r="M639" i="6"/>
  <c r="N639" i="6" s="1"/>
  <c r="L639" i="6"/>
  <c r="K639" i="6"/>
  <c r="AM638" i="6"/>
  <c r="AE638" i="6"/>
  <c r="U638" i="6"/>
  <c r="AN638" i="6" s="1"/>
  <c r="P638" i="6"/>
  <c r="M638" i="6"/>
  <c r="N638" i="6" s="1"/>
  <c r="L638" i="6"/>
  <c r="K638" i="6"/>
  <c r="AM637" i="6"/>
  <c r="AE637" i="6"/>
  <c r="U637" i="6"/>
  <c r="AN637" i="6" s="1"/>
  <c r="P637" i="6"/>
  <c r="AI637" i="6" s="1"/>
  <c r="M637" i="6"/>
  <c r="N637" i="6" s="1"/>
  <c r="L637" i="6"/>
  <c r="K637" i="6"/>
  <c r="AM636" i="6"/>
  <c r="AE636" i="6"/>
  <c r="U636" i="6"/>
  <c r="AN636" i="6" s="1"/>
  <c r="P636" i="6"/>
  <c r="M636" i="6"/>
  <c r="N636" i="6" s="1"/>
  <c r="L636" i="6"/>
  <c r="K636" i="6"/>
  <c r="AM635" i="6"/>
  <c r="AE635" i="6"/>
  <c r="U635" i="6"/>
  <c r="AN635" i="6" s="1"/>
  <c r="P635" i="6"/>
  <c r="AI635" i="6" s="1"/>
  <c r="M635" i="6"/>
  <c r="N635" i="6" s="1"/>
  <c r="L635" i="6"/>
  <c r="K635" i="6"/>
  <c r="AM634" i="6"/>
  <c r="AE634" i="6"/>
  <c r="U634" i="6"/>
  <c r="AN634" i="6" s="1"/>
  <c r="P634" i="6"/>
  <c r="M634" i="6"/>
  <c r="N634" i="6" s="1"/>
  <c r="L634" i="6"/>
  <c r="K634" i="6"/>
  <c r="AM633" i="6"/>
  <c r="AE633" i="6"/>
  <c r="U633" i="6"/>
  <c r="AN633" i="6" s="1"/>
  <c r="P633" i="6"/>
  <c r="AI633" i="6" s="1"/>
  <c r="M633" i="6"/>
  <c r="N633" i="6" s="1"/>
  <c r="L633" i="6"/>
  <c r="K633" i="6"/>
  <c r="AM632" i="6"/>
  <c r="AE632" i="6"/>
  <c r="U632" i="6"/>
  <c r="AN632" i="6" s="1"/>
  <c r="P632" i="6"/>
  <c r="M632" i="6"/>
  <c r="N632" i="6" s="1"/>
  <c r="L632" i="6"/>
  <c r="K632" i="6"/>
  <c r="AM631" i="6"/>
  <c r="AE631" i="6"/>
  <c r="U631" i="6"/>
  <c r="AN631" i="6" s="1"/>
  <c r="P631" i="6"/>
  <c r="AI631" i="6" s="1"/>
  <c r="M631" i="6"/>
  <c r="N631" i="6" s="1"/>
  <c r="L631" i="6"/>
  <c r="K631" i="6"/>
  <c r="AM630" i="6"/>
  <c r="AE630" i="6"/>
  <c r="U630" i="6"/>
  <c r="AN630" i="6" s="1"/>
  <c r="P630" i="6"/>
  <c r="M630" i="6"/>
  <c r="N630" i="6" s="1"/>
  <c r="L630" i="6"/>
  <c r="K630" i="6"/>
  <c r="AM629" i="6"/>
  <c r="AE629" i="6"/>
  <c r="U629" i="6"/>
  <c r="AN629" i="6" s="1"/>
  <c r="P629" i="6"/>
  <c r="AI629" i="6" s="1"/>
  <c r="M629" i="6"/>
  <c r="N629" i="6" s="1"/>
  <c r="L629" i="6"/>
  <c r="K629" i="6"/>
  <c r="AM628" i="6"/>
  <c r="AI628" i="6"/>
  <c r="AE628" i="6"/>
  <c r="U628" i="6"/>
  <c r="AN628" i="6" s="1"/>
  <c r="P628" i="6"/>
  <c r="M628" i="6"/>
  <c r="N628" i="6" s="1"/>
  <c r="L628" i="6"/>
  <c r="K628" i="6"/>
  <c r="AM627" i="6"/>
  <c r="AE627" i="6"/>
  <c r="U627" i="6"/>
  <c r="AN627" i="6" s="1"/>
  <c r="P627" i="6"/>
  <c r="AI627" i="6" s="1"/>
  <c r="M627" i="6"/>
  <c r="N627" i="6" s="1"/>
  <c r="L627" i="6"/>
  <c r="K627" i="6"/>
  <c r="AM626" i="6"/>
  <c r="AI626" i="6"/>
  <c r="AE626" i="6"/>
  <c r="U626" i="6"/>
  <c r="AN626" i="6" s="1"/>
  <c r="P626" i="6"/>
  <c r="M626" i="6"/>
  <c r="N626" i="6" s="1"/>
  <c r="L626" i="6"/>
  <c r="K626" i="6"/>
  <c r="AM625" i="6"/>
  <c r="AE625" i="6"/>
  <c r="U625" i="6"/>
  <c r="AN625" i="6" s="1"/>
  <c r="P625" i="6"/>
  <c r="AI625" i="6" s="1"/>
  <c r="M625" i="6"/>
  <c r="N625" i="6" s="1"/>
  <c r="L625" i="6"/>
  <c r="K625" i="6"/>
  <c r="AM624" i="6"/>
  <c r="AI624" i="6"/>
  <c r="AE624" i="6"/>
  <c r="U624" i="6"/>
  <c r="AN624" i="6" s="1"/>
  <c r="P624" i="6"/>
  <c r="M624" i="6"/>
  <c r="N624" i="6" s="1"/>
  <c r="L624" i="6"/>
  <c r="K624" i="6"/>
  <c r="AM623" i="6"/>
  <c r="AE623" i="6"/>
  <c r="U623" i="6"/>
  <c r="AN623" i="6" s="1"/>
  <c r="P623" i="6"/>
  <c r="AI623" i="6" s="1"/>
  <c r="M623" i="6"/>
  <c r="N623" i="6" s="1"/>
  <c r="L623" i="6"/>
  <c r="K623" i="6"/>
  <c r="AM622" i="6"/>
  <c r="AI622" i="6"/>
  <c r="AE622" i="6"/>
  <c r="U622" i="6"/>
  <c r="AN622" i="6" s="1"/>
  <c r="P622" i="6"/>
  <c r="M622" i="6"/>
  <c r="N622" i="6" s="1"/>
  <c r="L622" i="6"/>
  <c r="K622" i="6"/>
  <c r="AM621" i="6"/>
  <c r="AE621" i="6"/>
  <c r="U621" i="6"/>
  <c r="AN621" i="6" s="1"/>
  <c r="P621" i="6"/>
  <c r="AI621" i="6" s="1"/>
  <c r="M621" i="6"/>
  <c r="N621" i="6" s="1"/>
  <c r="L621" i="6"/>
  <c r="K621" i="6"/>
  <c r="AM620" i="6"/>
  <c r="AI620" i="6"/>
  <c r="AE620" i="6"/>
  <c r="U620" i="6"/>
  <c r="AN620" i="6" s="1"/>
  <c r="P620" i="6"/>
  <c r="M620" i="6"/>
  <c r="N620" i="6" s="1"/>
  <c r="L620" i="6"/>
  <c r="K620" i="6"/>
  <c r="AM619" i="6"/>
  <c r="AE619" i="6"/>
  <c r="U619" i="6"/>
  <c r="AN619" i="6" s="1"/>
  <c r="P619" i="6"/>
  <c r="M619" i="6"/>
  <c r="N619" i="6" s="1"/>
  <c r="L619" i="6"/>
  <c r="K619" i="6"/>
  <c r="AM618" i="6"/>
  <c r="AE618" i="6"/>
  <c r="U618" i="6"/>
  <c r="AN618" i="6" s="1"/>
  <c r="P618" i="6"/>
  <c r="M618" i="6"/>
  <c r="N618" i="6" s="1"/>
  <c r="L618" i="6"/>
  <c r="K618" i="6"/>
  <c r="AM617" i="6"/>
  <c r="AE617" i="6"/>
  <c r="U617" i="6"/>
  <c r="AN617" i="6" s="1"/>
  <c r="P617" i="6"/>
  <c r="M617" i="6"/>
  <c r="N617" i="6" s="1"/>
  <c r="L617" i="6"/>
  <c r="K617" i="6"/>
  <c r="AM616" i="6"/>
  <c r="AE616" i="6"/>
  <c r="U616" i="6"/>
  <c r="AN616" i="6" s="1"/>
  <c r="P616" i="6"/>
  <c r="M616" i="6"/>
  <c r="N616" i="6" s="1"/>
  <c r="L616" i="6"/>
  <c r="K616" i="6"/>
  <c r="AM615" i="6"/>
  <c r="AE615" i="6"/>
  <c r="U615" i="6"/>
  <c r="AN615" i="6" s="1"/>
  <c r="Q615" i="6"/>
  <c r="M615" i="6"/>
  <c r="N615" i="6" s="1"/>
  <c r="L615" i="6"/>
  <c r="P615" i="6" s="1"/>
  <c r="K615" i="6"/>
  <c r="AM614" i="6"/>
  <c r="AE614" i="6"/>
  <c r="U614" i="6"/>
  <c r="AN614" i="6" s="1"/>
  <c r="Q614" i="6"/>
  <c r="M614" i="6"/>
  <c r="N614" i="6" s="1"/>
  <c r="L614" i="6"/>
  <c r="P614" i="6" s="1"/>
  <c r="K614" i="6"/>
  <c r="AM613" i="6"/>
  <c r="AE613" i="6"/>
  <c r="U613" i="6"/>
  <c r="AN613" i="6" s="1"/>
  <c r="Q613" i="6"/>
  <c r="M613" i="6"/>
  <c r="N613" i="6" s="1"/>
  <c r="L613" i="6"/>
  <c r="P613" i="6" s="1"/>
  <c r="K613" i="6"/>
  <c r="AM612" i="6"/>
  <c r="AE612" i="6"/>
  <c r="U612" i="6"/>
  <c r="AN612" i="6" s="1"/>
  <c r="Q612" i="6"/>
  <c r="M612" i="6"/>
  <c r="N612" i="6" s="1"/>
  <c r="L612" i="6"/>
  <c r="P612" i="6" s="1"/>
  <c r="K612" i="6"/>
  <c r="AM611" i="6"/>
  <c r="AE611" i="6"/>
  <c r="U611" i="6"/>
  <c r="AN611" i="6" s="1"/>
  <c r="Q611" i="6"/>
  <c r="M611" i="6"/>
  <c r="N611" i="6" s="1"/>
  <c r="L611" i="6"/>
  <c r="P611" i="6" s="1"/>
  <c r="K611" i="6"/>
  <c r="AM610" i="6"/>
  <c r="AE610" i="6"/>
  <c r="U610" i="6"/>
  <c r="AN610" i="6" s="1"/>
  <c r="Q610" i="6"/>
  <c r="M610" i="6"/>
  <c r="N610" i="6" s="1"/>
  <c r="L610" i="6"/>
  <c r="P610" i="6" s="1"/>
  <c r="K610" i="6"/>
  <c r="AM609" i="6"/>
  <c r="AE609" i="6"/>
  <c r="U609" i="6"/>
  <c r="AN609" i="6" s="1"/>
  <c r="Q609" i="6"/>
  <c r="M609" i="6"/>
  <c r="N609" i="6" s="1"/>
  <c r="L609" i="6"/>
  <c r="P609" i="6" s="1"/>
  <c r="K609" i="6"/>
  <c r="AM608" i="6"/>
  <c r="AE608" i="6"/>
  <c r="U608" i="6"/>
  <c r="AN608" i="6" s="1"/>
  <c r="Q608" i="6"/>
  <c r="M608" i="6"/>
  <c r="N608" i="6" s="1"/>
  <c r="L608" i="6"/>
  <c r="P608" i="6" s="1"/>
  <c r="K608" i="6"/>
  <c r="AM607" i="6"/>
  <c r="AE607" i="6"/>
  <c r="U607" i="6"/>
  <c r="AN607" i="6" s="1"/>
  <c r="Q607" i="6"/>
  <c r="M607" i="6"/>
  <c r="N607" i="6" s="1"/>
  <c r="L607" i="6"/>
  <c r="P607" i="6" s="1"/>
  <c r="K607" i="6"/>
  <c r="AM606" i="6"/>
  <c r="AE606" i="6"/>
  <c r="U606" i="6"/>
  <c r="AN606" i="6" s="1"/>
  <c r="Q606" i="6"/>
  <c r="M606" i="6"/>
  <c r="N606" i="6" s="1"/>
  <c r="L606" i="6"/>
  <c r="P606" i="6" s="1"/>
  <c r="K606" i="6"/>
  <c r="AM605" i="6"/>
  <c r="AE605" i="6"/>
  <c r="U605" i="6"/>
  <c r="AN605" i="6" s="1"/>
  <c r="Q605" i="6"/>
  <c r="M605" i="6"/>
  <c r="N605" i="6" s="1"/>
  <c r="L605" i="6"/>
  <c r="P605" i="6" s="1"/>
  <c r="K605" i="6"/>
  <c r="AM604" i="6"/>
  <c r="AE604" i="6"/>
  <c r="U604" i="6"/>
  <c r="AN604" i="6" s="1"/>
  <c r="Q604" i="6"/>
  <c r="M604" i="6"/>
  <c r="N604" i="6" s="1"/>
  <c r="L604" i="6"/>
  <c r="P604" i="6" s="1"/>
  <c r="K604" i="6"/>
  <c r="AM603" i="6"/>
  <c r="AE603" i="6"/>
  <c r="U603" i="6"/>
  <c r="AN603" i="6" s="1"/>
  <c r="Q603" i="6"/>
  <c r="M603" i="6"/>
  <c r="N603" i="6" s="1"/>
  <c r="L603" i="6"/>
  <c r="P603" i="6" s="1"/>
  <c r="K603" i="6"/>
  <c r="AM602" i="6"/>
  <c r="AE602" i="6"/>
  <c r="U602" i="6"/>
  <c r="AN602" i="6" s="1"/>
  <c r="Q602" i="6"/>
  <c r="M602" i="6"/>
  <c r="N602" i="6" s="1"/>
  <c r="L602" i="6"/>
  <c r="P602" i="6" s="1"/>
  <c r="K602" i="6"/>
  <c r="AM601" i="6"/>
  <c r="AE601" i="6"/>
  <c r="U601" i="6"/>
  <c r="AN601" i="6" s="1"/>
  <c r="Q601" i="6"/>
  <c r="M601" i="6"/>
  <c r="N601" i="6" s="1"/>
  <c r="L601" i="6"/>
  <c r="P601" i="6" s="1"/>
  <c r="K601" i="6"/>
  <c r="AM600" i="6"/>
  <c r="AE600" i="6"/>
  <c r="U600" i="6"/>
  <c r="AN600" i="6" s="1"/>
  <c r="Q600" i="6"/>
  <c r="M600" i="6"/>
  <c r="N600" i="6" s="1"/>
  <c r="L600" i="6"/>
  <c r="P600" i="6" s="1"/>
  <c r="K600" i="6"/>
  <c r="AM599" i="6"/>
  <c r="AE599" i="6"/>
  <c r="U599" i="6"/>
  <c r="AN599" i="6" s="1"/>
  <c r="Q599" i="6"/>
  <c r="M599" i="6"/>
  <c r="N599" i="6" s="1"/>
  <c r="L599" i="6"/>
  <c r="P599" i="6" s="1"/>
  <c r="K599" i="6"/>
  <c r="AM598" i="6"/>
  <c r="AE598" i="6"/>
  <c r="U598" i="6"/>
  <c r="AN598" i="6" s="1"/>
  <c r="Q598" i="6"/>
  <c r="M598" i="6"/>
  <c r="N598" i="6" s="1"/>
  <c r="L598" i="6"/>
  <c r="P598" i="6" s="1"/>
  <c r="K598" i="6"/>
  <c r="AM597" i="6"/>
  <c r="AE597" i="6"/>
  <c r="U597" i="6"/>
  <c r="AN597" i="6" s="1"/>
  <c r="Q597" i="6"/>
  <c r="M597" i="6"/>
  <c r="N597" i="6" s="1"/>
  <c r="L597" i="6"/>
  <c r="P597" i="6" s="1"/>
  <c r="K597" i="6"/>
  <c r="AM596" i="6"/>
  <c r="AE596" i="6"/>
  <c r="U596" i="6"/>
  <c r="AN596" i="6" s="1"/>
  <c r="Q596" i="6"/>
  <c r="M596" i="6"/>
  <c r="N596" i="6" s="1"/>
  <c r="L596" i="6"/>
  <c r="P596" i="6" s="1"/>
  <c r="K596" i="6"/>
  <c r="AM595" i="6"/>
  <c r="AE595" i="6"/>
  <c r="U595" i="6"/>
  <c r="AN595" i="6" s="1"/>
  <c r="Q595" i="6"/>
  <c r="M595" i="6"/>
  <c r="N595" i="6" s="1"/>
  <c r="L595" i="6"/>
  <c r="P595" i="6" s="1"/>
  <c r="K595" i="6"/>
  <c r="AM594" i="6"/>
  <c r="AE594" i="6"/>
  <c r="U594" i="6"/>
  <c r="AN594" i="6" s="1"/>
  <c r="Q594" i="6"/>
  <c r="M594" i="6"/>
  <c r="N594" i="6" s="1"/>
  <c r="L594" i="6"/>
  <c r="P594" i="6" s="1"/>
  <c r="K594" i="6"/>
  <c r="AM593" i="6"/>
  <c r="AE593" i="6"/>
  <c r="U593" i="6"/>
  <c r="AN593" i="6" s="1"/>
  <c r="Q593" i="6"/>
  <c r="M593" i="6"/>
  <c r="N593" i="6" s="1"/>
  <c r="L593" i="6"/>
  <c r="P593" i="6" s="1"/>
  <c r="K593" i="6"/>
  <c r="AM592" i="6"/>
  <c r="AE592" i="6"/>
  <c r="U592" i="6"/>
  <c r="AN592" i="6" s="1"/>
  <c r="Q592" i="6"/>
  <c r="M592" i="6"/>
  <c r="N592" i="6" s="1"/>
  <c r="L592" i="6"/>
  <c r="P592" i="6" s="1"/>
  <c r="K592" i="6"/>
  <c r="AM591" i="6"/>
  <c r="AE591" i="6"/>
  <c r="U591" i="6"/>
  <c r="AN591" i="6" s="1"/>
  <c r="Q591" i="6"/>
  <c r="M591" i="6"/>
  <c r="N591" i="6" s="1"/>
  <c r="L591" i="6"/>
  <c r="P591" i="6" s="1"/>
  <c r="K591" i="6"/>
  <c r="AM590" i="6"/>
  <c r="AE590" i="6"/>
  <c r="U590" i="6"/>
  <c r="AN590" i="6" s="1"/>
  <c r="M590" i="6"/>
  <c r="N590" i="6" s="1"/>
  <c r="L590" i="6"/>
  <c r="P590" i="6" s="1"/>
  <c r="Q590" i="6" s="1"/>
  <c r="K590" i="6"/>
  <c r="AM589" i="6"/>
  <c r="AE589" i="6"/>
  <c r="U589" i="6"/>
  <c r="AN589" i="6" s="1"/>
  <c r="M589" i="6"/>
  <c r="N589" i="6" s="1"/>
  <c r="L589" i="6"/>
  <c r="P589" i="6" s="1"/>
  <c r="Q589" i="6" s="1"/>
  <c r="K589" i="6"/>
  <c r="AM588" i="6"/>
  <c r="AE588" i="6"/>
  <c r="U588" i="6"/>
  <c r="AN588" i="6" s="1"/>
  <c r="M588" i="6"/>
  <c r="N588" i="6" s="1"/>
  <c r="L588" i="6"/>
  <c r="P588" i="6" s="1"/>
  <c r="Q588" i="6" s="1"/>
  <c r="K588" i="6"/>
  <c r="AM587" i="6"/>
  <c r="AE587" i="6"/>
  <c r="U587" i="6"/>
  <c r="AN587" i="6" s="1"/>
  <c r="M587" i="6"/>
  <c r="N587" i="6" s="1"/>
  <c r="L587" i="6"/>
  <c r="P587" i="6" s="1"/>
  <c r="Q587" i="6" s="1"/>
  <c r="K587" i="6"/>
  <c r="AM586" i="6"/>
  <c r="AE586" i="6"/>
  <c r="U586" i="6"/>
  <c r="AN586" i="6" s="1"/>
  <c r="M586" i="6"/>
  <c r="N586" i="6" s="1"/>
  <c r="L586" i="6"/>
  <c r="P586" i="6" s="1"/>
  <c r="Q586" i="6" s="1"/>
  <c r="K586" i="6"/>
  <c r="AM585" i="6"/>
  <c r="AE585" i="6"/>
  <c r="U585" i="6"/>
  <c r="AN585" i="6" s="1"/>
  <c r="M585" i="6"/>
  <c r="N585" i="6" s="1"/>
  <c r="L585" i="6"/>
  <c r="P585" i="6" s="1"/>
  <c r="Q585" i="6" s="1"/>
  <c r="K585" i="6"/>
  <c r="AM584" i="6"/>
  <c r="AE584" i="6"/>
  <c r="U584" i="6"/>
  <c r="AN584" i="6" s="1"/>
  <c r="M584" i="6"/>
  <c r="N584" i="6" s="1"/>
  <c r="L584" i="6"/>
  <c r="P584" i="6" s="1"/>
  <c r="Q584" i="6" s="1"/>
  <c r="K584" i="6"/>
  <c r="AM583" i="6"/>
  <c r="AE583" i="6"/>
  <c r="U583" i="6"/>
  <c r="AN583" i="6" s="1"/>
  <c r="M583" i="6"/>
  <c r="N583" i="6" s="1"/>
  <c r="L583" i="6"/>
  <c r="P583" i="6" s="1"/>
  <c r="Q583" i="6" s="1"/>
  <c r="K583" i="6"/>
  <c r="AM582" i="6"/>
  <c r="AE582" i="6"/>
  <c r="U582" i="6"/>
  <c r="AN582" i="6" s="1"/>
  <c r="M582" i="6"/>
  <c r="N582" i="6" s="1"/>
  <c r="L582" i="6"/>
  <c r="P582" i="6" s="1"/>
  <c r="Q582" i="6" s="1"/>
  <c r="K582" i="6"/>
  <c r="AM581" i="6"/>
  <c r="AE581" i="6"/>
  <c r="U581" i="6"/>
  <c r="AN581" i="6" s="1"/>
  <c r="M581" i="6"/>
  <c r="N581" i="6" s="1"/>
  <c r="L581" i="6"/>
  <c r="P581" i="6" s="1"/>
  <c r="Q581" i="6" s="1"/>
  <c r="K581" i="6"/>
  <c r="AM580" i="6"/>
  <c r="AE580" i="6"/>
  <c r="U580" i="6"/>
  <c r="AN580" i="6" s="1"/>
  <c r="M580" i="6"/>
  <c r="N580" i="6" s="1"/>
  <c r="L580" i="6"/>
  <c r="P580" i="6" s="1"/>
  <c r="Q580" i="6" s="1"/>
  <c r="K580" i="6"/>
  <c r="AM579" i="6"/>
  <c r="AE579" i="6"/>
  <c r="U579" i="6"/>
  <c r="AN579" i="6" s="1"/>
  <c r="M579" i="6"/>
  <c r="N579" i="6" s="1"/>
  <c r="L579" i="6"/>
  <c r="P579" i="6" s="1"/>
  <c r="Q579" i="6" s="1"/>
  <c r="K579" i="6"/>
  <c r="AM578" i="6"/>
  <c r="AE578" i="6"/>
  <c r="U578" i="6"/>
  <c r="AN578" i="6" s="1"/>
  <c r="M578" i="6"/>
  <c r="N578" i="6" s="1"/>
  <c r="L578" i="6"/>
  <c r="P578" i="6" s="1"/>
  <c r="Q578" i="6" s="1"/>
  <c r="K578" i="6"/>
  <c r="AM577" i="6"/>
  <c r="AE577" i="6"/>
  <c r="U577" i="6"/>
  <c r="AN577" i="6" s="1"/>
  <c r="M577" i="6"/>
  <c r="N577" i="6" s="1"/>
  <c r="L577" i="6"/>
  <c r="P577" i="6" s="1"/>
  <c r="Q577" i="6" s="1"/>
  <c r="K577" i="6"/>
  <c r="AM576" i="6"/>
  <c r="AE576" i="6"/>
  <c r="U576" i="6"/>
  <c r="AN576" i="6" s="1"/>
  <c r="M576" i="6"/>
  <c r="N576" i="6" s="1"/>
  <c r="L576" i="6"/>
  <c r="P576" i="6" s="1"/>
  <c r="Q576" i="6" s="1"/>
  <c r="K576" i="6"/>
  <c r="AM575" i="6"/>
  <c r="AE575" i="6"/>
  <c r="U575" i="6"/>
  <c r="AN575" i="6" s="1"/>
  <c r="M575" i="6"/>
  <c r="N575" i="6" s="1"/>
  <c r="L575" i="6"/>
  <c r="P575" i="6" s="1"/>
  <c r="Q575" i="6" s="1"/>
  <c r="K575" i="6"/>
  <c r="AM574" i="6"/>
  <c r="AE574" i="6"/>
  <c r="U574" i="6"/>
  <c r="AN574" i="6" s="1"/>
  <c r="M574" i="6"/>
  <c r="N574" i="6" s="1"/>
  <c r="L574" i="6"/>
  <c r="P574" i="6" s="1"/>
  <c r="Q574" i="6" s="1"/>
  <c r="K574" i="6"/>
  <c r="AM573" i="6"/>
  <c r="AE573" i="6"/>
  <c r="U573" i="6"/>
  <c r="AN573" i="6" s="1"/>
  <c r="M573" i="6"/>
  <c r="N573" i="6" s="1"/>
  <c r="L573" i="6"/>
  <c r="P573" i="6" s="1"/>
  <c r="Q573" i="6" s="1"/>
  <c r="K573" i="6"/>
  <c r="AM572" i="6"/>
  <c r="AE572" i="6"/>
  <c r="U572" i="6"/>
  <c r="AN572" i="6" s="1"/>
  <c r="M572" i="6"/>
  <c r="N572" i="6" s="1"/>
  <c r="L572" i="6"/>
  <c r="P572" i="6" s="1"/>
  <c r="Q572" i="6" s="1"/>
  <c r="K572" i="6"/>
  <c r="AM571" i="6"/>
  <c r="AE571" i="6"/>
  <c r="U571" i="6"/>
  <c r="AN571" i="6" s="1"/>
  <c r="M571" i="6"/>
  <c r="N571" i="6" s="1"/>
  <c r="L571" i="6"/>
  <c r="P571" i="6" s="1"/>
  <c r="Q571" i="6" s="1"/>
  <c r="K571" i="6"/>
  <c r="AM570" i="6"/>
  <c r="AE570" i="6"/>
  <c r="U570" i="6"/>
  <c r="AN570" i="6" s="1"/>
  <c r="P570" i="6"/>
  <c r="M570" i="6"/>
  <c r="N570" i="6" s="1"/>
  <c r="L570" i="6"/>
  <c r="K570" i="6"/>
  <c r="AM569" i="6"/>
  <c r="AE569" i="6"/>
  <c r="U569" i="6"/>
  <c r="AN569" i="6" s="1"/>
  <c r="M569" i="6"/>
  <c r="N569" i="6" s="1"/>
  <c r="L569" i="6"/>
  <c r="P569" i="6" s="1"/>
  <c r="K569" i="6"/>
  <c r="AM568" i="6"/>
  <c r="AE568" i="6"/>
  <c r="U568" i="6"/>
  <c r="AN568" i="6" s="1"/>
  <c r="P568" i="6"/>
  <c r="S568" i="6" s="1"/>
  <c r="R568" i="6" s="1"/>
  <c r="M568" i="6"/>
  <c r="N568" i="6" s="1"/>
  <c r="L568" i="6"/>
  <c r="K568" i="6"/>
  <c r="AM567" i="6"/>
  <c r="AE567" i="6"/>
  <c r="U567" i="6"/>
  <c r="AN567" i="6" s="1"/>
  <c r="M567" i="6"/>
  <c r="N567" i="6" s="1"/>
  <c r="L567" i="6"/>
  <c r="P567" i="6" s="1"/>
  <c r="K567" i="6"/>
  <c r="AM566" i="6"/>
  <c r="AE566" i="6"/>
  <c r="U566" i="6"/>
  <c r="AN566" i="6" s="1"/>
  <c r="P566" i="6"/>
  <c r="S566" i="6" s="1"/>
  <c r="R566" i="6" s="1"/>
  <c r="M566" i="6"/>
  <c r="N566" i="6" s="1"/>
  <c r="L566" i="6"/>
  <c r="K566" i="6"/>
  <c r="AM565" i="6"/>
  <c r="AE565" i="6"/>
  <c r="U565" i="6"/>
  <c r="AN565" i="6" s="1"/>
  <c r="M565" i="6"/>
  <c r="N565" i="6" s="1"/>
  <c r="L565" i="6"/>
  <c r="P565" i="6" s="1"/>
  <c r="K565" i="6"/>
  <c r="AM564" i="6"/>
  <c r="AE564" i="6"/>
  <c r="U564" i="6"/>
  <c r="AN564" i="6" s="1"/>
  <c r="P564" i="6"/>
  <c r="S564" i="6" s="1"/>
  <c r="R564" i="6" s="1"/>
  <c r="M564" i="6"/>
  <c r="N564" i="6" s="1"/>
  <c r="L564" i="6"/>
  <c r="K564" i="6"/>
  <c r="AM563" i="6"/>
  <c r="AE563" i="6"/>
  <c r="U563" i="6"/>
  <c r="AN563" i="6" s="1"/>
  <c r="M563" i="6"/>
  <c r="N563" i="6" s="1"/>
  <c r="L563" i="6"/>
  <c r="P563" i="6" s="1"/>
  <c r="K563" i="6"/>
  <c r="AM562" i="6"/>
  <c r="AE562" i="6"/>
  <c r="U562" i="6"/>
  <c r="AN562" i="6" s="1"/>
  <c r="P562" i="6"/>
  <c r="S562" i="6" s="1"/>
  <c r="R562" i="6" s="1"/>
  <c r="M562" i="6"/>
  <c r="N562" i="6" s="1"/>
  <c r="L562" i="6"/>
  <c r="K562" i="6"/>
  <c r="AM561" i="6"/>
  <c r="AE561" i="6"/>
  <c r="U561" i="6"/>
  <c r="AN561" i="6" s="1"/>
  <c r="M561" i="6"/>
  <c r="N561" i="6" s="1"/>
  <c r="L561" i="6"/>
  <c r="P561" i="6" s="1"/>
  <c r="K561" i="6"/>
  <c r="AM560" i="6"/>
  <c r="AE560" i="6"/>
  <c r="U560" i="6"/>
  <c r="AN560" i="6" s="1"/>
  <c r="P560" i="6"/>
  <c r="S560" i="6" s="1"/>
  <c r="R560" i="6" s="1"/>
  <c r="M560" i="6"/>
  <c r="N560" i="6" s="1"/>
  <c r="L560" i="6"/>
  <c r="K560" i="6"/>
  <c r="AM559" i="6"/>
  <c r="AE559" i="6"/>
  <c r="U559" i="6"/>
  <c r="AN559" i="6" s="1"/>
  <c r="M559" i="6"/>
  <c r="N559" i="6" s="1"/>
  <c r="L559" i="6"/>
  <c r="P559" i="6" s="1"/>
  <c r="K559" i="6"/>
  <c r="AM558" i="6"/>
  <c r="AE558" i="6"/>
  <c r="U558" i="6"/>
  <c r="AN558" i="6" s="1"/>
  <c r="P558" i="6"/>
  <c r="AI558" i="6" s="1"/>
  <c r="M558" i="6"/>
  <c r="N558" i="6" s="1"/>
  <c r="L558" i="6"/>
  <c r="K558" i="6"/>
  <c r="AM557" i="6"/>
  <c r="AE557" i="6"/>
  <c r="U557" i="6"/>
  <c r="AN557" i="6" s="1"/>
  <c r="M557" i="6"/>
  <c r="N557" i="6" s="1"/>
  <c r="L557" i="6"/>
  <c r="P557" i="6" s="1"/>
  <c r="K557" i="6"/>
  <c r="AM556" i="6"/>
  <c r="AE556" i="6"/>
  <c r="U556" i="6"/>
  <c r="AN556" i="6" s="1"/>
  <c r="P556" i="6"/>
  <c r="AI556" i="6" s="1"/>
  <c r="M556" i="6"/>
  <c r="N556" i="6" s="1"/>
  <c r="L556" i="6"/>
  <c r="K556" i="6"/>
  <c r="AM555" i="6"/>
  <c r="AE555" i="6"/>
  <c r="U555" i="6"/>
  <c r="AN555" i="6" s="1"/>
  <c r="M555" i="6"/>
  <c r="N555" i="6" s="1"/>
  <c r="L555" i="6"/>
  <c r="P555" i="6" s="1"/>
  <c r="K555" i="6"/>
  <c r="AM554" i="6"/>
  <c r="AE554" i="6"/>
  <c r="U554" i="6"/>
  <c r="AN554" i="6" s="1"/>
  <c r="P554" i="6"/>
  <c r="AI554" i="6" s="1"/>
  <c r="M554" i="6"/>
  <c r="N554" i="6" s="1"/>
  <c r="L554" i="6"/>
  <c r="K554" i="6"/>
  <c r="AM553" i="6"/>
  <c r="AE553" i="6"/>
  <c r="U553" i="6"/>
  <c r="AN553" i="6" s="1"/>
  <c r="M553" i="6"/>
  <c r="N553" i="6" s="1"/>
  <c r="L553" i="6"/>
  <c r="P553" i="6" s="1"/>
  <c r="K553" i="6"/>
  <c r="AM552" i="6"/>
  <c r="AE552" i="6"/>
  <c r="U552" i="6"/>
  <c r="AN552" i="6" s="1"/>
  <c r="P552" i="6"/>
  <c r="AI552" i="6" s="1"/>
  <c r="M552" i="6"/>
  <c r="N552" i="6" s="1"/>
  <c r="L552" i="6"/>
  <c r="K552" i="6"/>
  <c r="AM551" i="6"/>
  <c r="AE551" i="6"/>
  <c r="U551" i="6"/>
  <c r="AN551" i="6" s="1"/>
  <c r="M551" i="6"/>
  <c r="N551" i="6" s="1"/>
  <c r="L551" i="6"/>
  <c r="P551" i="6" s="1"/>
  <c r="K551" i="6"/>
  <c r="AM550" i="6"/>
  <c r="AE550" i="6"/>
  <c r="U550" i="6"/>
  <c r="AN550" i="6" s="1"/>
  <c r="P550" i="6"/>
  <c r="AI550" i="6" s="1"/>
  <c r="M550" i="6"/>
  <c r="N550" i="6" s="1"/>
  <c r="L550" i="6"/>
  <c r="K550" i="6"/>
  <c r="AM549" i="6"/>
  <c r="AE549" i="6"/>
  <c r="U549" i="6"/>
  <c r="AN549" i="6" s="1"/>
  <c r="M549" i="6"/>
  <c r="N549" i="6" s="1"/>
  <c r="L549" i="6"/>
  <c r="P549" i="6" s="1"/>
  <c r="K549" i="6"/>
  <c r="AM548" i="6"/>
  <c r="AE548" i="6"/>
  <c r="U548" i="6"/>
  <c r="AN548" i="6" s="1"/>
  <c r="P548" i="6"/>
  <c r="AI548" i="6" s="1"/>
  <c r="M548" i="6"/>
  <c r="N548" i="6" s="1"/>
  <c r="L548" i="6"/>
  <c r="K548" i="6"/>
  <c r="AM547" i="6"/>
  <c r="AE547" i="6"/>
  <c r="U547" i="6"/>
  <c r="AN547" i="6" s="1"/>
  <c r="M547" i="6"/>
  <c r="N547" i="6" s="1"/>
  <c r="L547" i="6"/>
  <c r="P547" i="6" s="1"/>
  <c r="K547" i="6"/>
  <c r="AM546" i="6"/>
  <c r="AE546" i="6"/>
  <c r="U546" i="6"/>
  <c r="AN546" i="6" s="1"/>
  <c r="P546" i="6"/>
  <c r="AI546" i="6" s="1"/>
  <c r="M546" i="6"/>
  <c r="N546" i="6" s="1"/>
  <c r="L546" i="6"/>
  <c r="K546" i="6"/>
  <c r="AM545" i="6"/>
  <c r="AE545" i="6"/>
  <c r="U545" i="6"/>
  <c r="AN545" i="6" s="1"/>
  <c r="M545" i="6"/>
  <c r="N545" i="6" s="1"/>
  <c r="L545" i="6"/>
  <c r="P545" i="6" s="1"/>
  <c r="K545" i="6"/>
  <c r="AM544" i="6"/>
  <c r="AE544" i="6"/>
  <c r="U544" i="6"/>
  <c r="AN544" i="6" s="1"/>
  <c r="P544" i="6"/>
  <c r="AI544" i="6" s="1"/>
  <c r="M544" i="6"/>
  <c r="N544" i="6" s="1"/>
  <c r="L544" i="6"/>
  <c r="K544" i="6"/>
  <c r="AM543" i="6"/>
  <c r="AE543" i="6"/>
  <c r="U543" i="6"/>
  <c r="AN543" i="6" s="1"/>
  <c r="M543" i="6"/>
  <c r="N543" i="6" s="1"/>
  <c r="L543" i="6"/>
  <c r="P543" i="6" s="1"/>
  <c r="K543" i="6"/>
  <c r="AM542" i="6"/>
  <c r="AE542" i="6"/>
  <c r="U542" i="6"/>
  <c r="AN542" i="6" s="1"/>
  <c r="P542" i="6"/>
  <c r="AI542" i="6" s="1"/>
  <c r="M542" i="6"/>
  <c r="N542" i="6" s="1"/>
  <c r="L542" i="6"/>
  <c r="K542" i="6"/>
  <c r="AM541" i="6"/>
  <c r="AE541" i="6"/>
  <c r="U541" i="6"/>
  <c r="AN541" i="6" s="1"/>
  <c r="M541" i="6"/>
  <c r="N541" i="6" s="1"/>
  <c r="L541" i="6"/>
  <c r="P541" i="6" s="1"/>
  <c r="K541" i="6"/>
  <c r="AM540" i="6"/>
  <c r="AE540" i="6"/>
  <c r="U540" i="6"/>
  <c r="AN540" i="6" s="1"/>
  <c r="P540" i="6"/>
  <c r="AI540" i="6" s="1"/>
  <c r="M540" i="6"/>
  <c r="N540" i="6" s="1"/>
  <c r="L540" i="6"/>
  <c r="K540" i="6"/>
  <c r="AM539" i="6"/>
  <c r="AE539" i="6"/>
  <c r="U539" i="6"/>
  <c r="AN539" i="6" s="1"/>
  <c r="M539" i="6"/>
  <c r="N539" i="6" s="1"/>
  <c r="L539" i="6"/>
  <c r="P539" i="6" s="1"/>
  <c r="K539" i="6"/>
  <c r="AM538" i="6"/>
  <c r="AE538" i="6"/>
  <c r="U538" i="6"/>
  <c r="AN538" i="6" s="1"/>
  <c r="P538" i="6"/>
  <c r="AI538" i="6" s="1"/>
  <c r="M538" i="6"/>
  <c r="N538" i="6" s="1"/>
  <c r="L538" i="6"/>
  <c r="K538" i="6"/>
  <c r="AM537" i="6"/>
  <c r="AE537" i="6"/>
  <c r="U537" i="6"/>
  <c r="AN537" i="6" s="1"/>
  <c r="M537" i="6"/>
  <c r="N537" i="6" s="1"/>
  <c r="L537" i="6"/>
  <c r="P537" i="6" s="1"/>
  <c r="K537" i="6"/>
  <c r="AM536" i="6"/>
  <c r="AE536" i="6"/>
  <c r="U536" i="6"/>
  <c r="AN536" i="6" s="1"/>
  <c r="P536" i="6"/>
  <c r="AI536" i="6" s="1"/>
  <c r="M536" i="6"/>
  <c r="N536" i="6" s="1"/>
  <c r="L536" i="6"/>
  <c r="K536" i="6"/>
  <c r="AM535" i="6"/>
  <c r="AE535" i="6"/>
  <c r="U535" i="6"/>
  <c r="AN535" i="6" s="1"/>
  <c r="M535" i="6"/>
  <c r="N535" i="6" s="1"/>
  <c r="L535" i="6"/>
  <c r="P535" i="6" s="1"/>
  <c r="K535" i="6"/>
  <c r="AM534" i="6"/>
  <c r="AE534" i="6"/>
  <c r="U534" i="6"/>
  <c r="AN534" i="6" s="1"/>
  <c r="P534" i="6"/>
  <c r="AI534" i="6" s="1"/>
  <c r="M534" i="6"/>
  <c r="N534" i="6" s="1"/>
  <c r="L534" i="6"/>
  <c r="K534" i="6"/>
  <c r="AM533" i="6"/>
  <c r="AE533" i="6"/>
  <c r="U533" i="6"/>
  <c r="AN533" i="6" s="1"/>
  <c r="M533" i="6"/>
  <c r="N533" i="6" s="1"/>
  <c r="L533" i="6"/>
  <c r="P533" i="6" s="1"/>
  <c r="K533" i="6"/>
  <c r="AM532" i="6"/>
  <c r="AE532" i="6"/>
  <c r="U532" i="6"/>
  <c r="AN532" i="6" s="1"/>
  <c r="P532" i="6"/>
  <c r="AI532" i="6" s="1"/>
  <c r="M532" i="6"/>
  <c r="N532" i="6" s="1"/>
  <c r="L532" i="6"/>
  <c r="K532" i="6"/>
  <c r="AM531" i="6"/>
  <c r="AE531" i="6"/>
  <c r="U531" i="6"/>
  <c r="AN531" i="6" s="1"/>
  <c r="M531" i="6"/>
  <c r="N531" i="6" s="1"/>
  <c r="L531" i="6"/>
  <c r="P531" i="6" s="1"/>
  <c r="K531" i="6"/>
  <c r="AM530" i="6"/>
  <c r="AE530" i="6"/>
  <c r="U530" i="6"/>
  <c r="AN530" i="6" s="1"/>
  <c r="P530" i="6"/>
  <c r="AI530" i="6" s="1"/>
  <c r="M530" i="6"/>
  <c r="N530" i="6" s="1"/>
  <c r="L530" i="6"/>
  <c r="K530" i="6"/>
  <c r="AM529" i="6"/>
  <c r="AE529" i="6"/>
  <c r="U529" i="6"/>
  <c r="AN529" i="6" s="1"/>
  <c r="M529" i="6"/>
  <c r="N529" i="6" s="1"/>
  <c r="L529" i="6"/>
  <c r="P529" i="6" s="1"/>
  <c r="K529" i="6"/>
  <c r="AM528" i="6"/>
  <c r="AE528" i="6"/>
  <c r="U528" i="6"/>
  <c r="AN528" i="6" s="1"/>
  <c r="P528" i="6"/>
  <c r="AI528" i="6" s="1"/>
  <c r="M528" i="6"/>
  <c r="N528" i="6" s="1"/>
  <c r="L528" i="6"/>
  <c r="K528" i="6"/>
  <c r="AM527" i="6"/>
  <c r="AE527" i="6"/>
  <c r="U527" i="6"/>
  <c r="AN527" i="6" s="1"/>
  <c r="M527" i="6"/>
  <c r="N527" i="6" s="1"/>
  <c r="L527" i="6"/>
  <c r="P527" i="6" s="1"/>
  <c r="K527" i="6"/>
  <c r="AM526" i="6"/>
  <c r="AE526" i="6"/>
  <c r="U526" i="6"/>
  <c r="AN526" i="6" s="1"/>
  <c r="P526" i="6"/>
  <c r="AI526" i="6" s="1"/>
  <c r="M526" i="6"/>
  <c r="N526" i="6" s="1"/>
  <c r="L526" i="6"/>
  <c r="K526" i="6"/>
  <c r="AM525" i="6"/>
  <c r="AE525" i="6"/>
  <c r="U525" i="6"/>
  <c r="AN525" i="6" s="1"/>
  <c r="P525" i="6"/>
  <c r="M525" i="6"/>
  <c r="N525" i="6" s="1"/>
  <c r="L525" i="6"/>
  <c r="K525" i="6"/>
  <c r="AM524" i="6"/>
  <c r="AE524" i="6"/>
  <c r="U524" i="6"/>
  <c r="AN524" i="6" s="1"/>
  <c r="P524" i="6"/>
  <c r="M524" i="6"/>
  <c r="N524" i="6" s="1"/>
  <c r="L524" i="6"/>
  <c r="K524" i="6"/>
  <c r="AM523" i="6"/>
  <c r="AE523" i="6"/>
  <c r="U523" i="6"/>
  <c r="AN523" i="6" s="1"/>
  <c r="P523" i="6"/>
  <c r="M523" i="6"/>
  <c r="N523" i="6" s="1"/>
  <c r="L523" i="6"/>
  <c r="K523" i="6"/>
  <c r="AM522" i="6"/>
  <c r="AE522" i="6"/>
  <c r="U522" i="6"/>
  <c r="AN522" i="6" s="1"/>
  <c r="P522" i="6"/>
  <c r="M522" i="6"/>
  <c r="N522" i="6" s="1"/>
  <c r="L522" i="6"/>
  <c r="K522" i="6"/>
  <c r="AM521" i="6"/>
  <c r="AE521" i="6"/>
  <c r="U521" i="6"/>
  <c r="AN521" i="6" s="1"/>
  <c r="P521" i="6"/>
  <c r="M521" i="6"/>
  <c r="N521" i="6" s="1"/>
  <c r="L521" i="6"/>
  <c r="K521" i="6"/>
  <c r="AM520" i="6"/>
  <c r="AE520" i="6"/>
  <c r="U520" i="6"/>
  <c r="AN520" i="6" s="1"/>
  <c r="P520" i="6"/>
  <c r="M520" i="6"/>
  <c r="N520" i="6" s="1"/>
  <c r="L520" i="6"/>
  <c r="K520" i="6"/>
  <c r="AM519" i="6"/>
  <c r="AE519" i="6"/>
  <c r="U519" i="6"/>
  <c r="AN519" i="6" s="1"/>
  <c r="P519" i="6"/>
  <c r="M519" i="6"/>
  <c r="N519" i="6" s="1"/>
  <c r="L519" i="6"/>
  <c r="K519" i="6"/>
  <c r="AM518" i="6"/>
  <c r="AE518" i="6"/>
  <c r="U518" i="6"/>
  <c r="AN518" i="6" s="1"/>
  <c r="P518" i="6"/>
  <c r="M518" i="6"/>
  <c r="N518" i="6" s="1"/>
  <c r="L518" i="6"/>
  <c r="K518" i="6"/>
  <c r="AM517" i="6"/>
  <c r="AE517" i="6"/>
  <c r="U517" i="6"/>
  <c r="AN517" i="6" s="1"/>
  <c r="P517" i="6"/>
  <c r="M517" i="6"/>
  <c r="N517" i="6" s="1"/>
  <c r="L517" i="6"/>
  <c r="K517" i="6"/>
  <c r="AM516" i="6"/>
  <c r="AE516" i="6"/>
  <c r="U516" i="6"/>
  <c r="AN516" i="6" s="1"/>
  <c r="P516" i="6"/>
  <c r="M516" i="6"/>
  <c r="N516" i="6" s="1"/>
  <c r="L516" i="6"/>
  <c r="K516" i="6"/>
  <c r="AM515" i="6"/>
  <c r="AE515" i="6"/>
  <c r="U515" i="6"/>
  <c r="AN515" i="6" s="1"/>
  <c r="P515" i="6"/>
  <c r="M515" i="6"/>
  <c r="N515" i="6" s="1"/>
  <c r="L515" i="6"/>
  <c r="K515" i="6"/>
  <c r="AM514" i="6"/>
  <c r="AE514" i="6"/>
  <c r="U514" i="6"/>
  <c r="AN514" i="6" s="1"/>
  <c r="P514" i="6"/>
  <c r="M514" i="6"/>
  <c r="N514" i="6" s="1"/>
  <c r="L514" i="6"/>
  <c r="K514" i="6"/>
  <c r="AM513" i="6"/>
  <c r="AE513" i="6"/>
  <c r="U513" i="6"/>
  <c r="AN513" i="6" s="1"/>
  <c r="P513" i="6"/>
  <c r="M513" i="6"/>
  <c r="N513" i="6" s="1"/>
  <c r="L513" i="6"/>
  <c r="K513" i="6"/>
  <c r="AM512" i="6"/>
  <c r="AE512" i="6"/>
  <c r="U512" i="6"/>
  <c r="AN512" i="6" s="1"/>
  <c r="P512" i="6"/>
  <c r="M512" i="6"/>
  <c r="N512" i="6" s="1"/>
  <c r="L512" i="6"/>
  <c r="K512" i="6"/>
  <c r="AM511" i="6"/>
  <c r="AE511" i="6"/>
  <c r="U511" i="6"/>
  <c r="AN511" i="6" s="1"/>
  <c r="P511" i="6"/>
  <c r="M511" i="6"/>
  <c r="N511" i="6" s="1"/>
  <c r="L511" i="6"/>
  <c r="K511" i="6"/>
  <c r="AM510" i="6"/>
  <c r="AE510" i="6"/>
  <c r="U510" i="6"/>
  <c r="AN510" i="6" s="1"/>
  <c r="P510" i="6"/>
  <c r="M510" i="6"/>
  <c r="N510" i="6" s="1"/>
  <c r="L510" i="6"/>
  <c r="K510" i="6"/>
  <c r="AM509" i="6"/>
  <c r="AE509" i="6"/>
  <c r="U509" i="6"/>
  <c r="AN509" i="6" s="1"/>
  <c r="P509" i="6"/>
  <c r="M509" i="6"/>
  <c r="N509" i="6" s="1"/>
  <c r="L509" i="6"/>
  <c r="K509" i="6"/>
  <c r="AM508" i="6"/>
  <c r="AE508" i="6"/>
  <c r="U508" i="6"/>
  <c r="AN508" i="6" s="1"/>
  <c r="P508" i="6"/>
  <c r="M508" i="6"/>
  <c r="N508" i="6" s="1"/>
  <c r="L508" i="6"/>
  <c r="K508" i="6"/>
  <c r="AM507" i="6"/>
  <c r="AE507" i="6"/>
  <c r="U507" i="6"/>
  <c r="AN507" i="6" s="1"/>
  <c r="P507" i="6"/>
  <c r="M507" i="6"/>
  <c r="N507" i="6" s="1"/>
  <c r="L507" i="6"/>
  <c r="K507" i="6"/>
  <c r="AM506" i="6"/>
  <c r="AE506" i="6"/>
  <c r="U506" i="6"/>
  <c r="AN506" i="6" s="1"/>
  <c r="P506" i="6"/>
  <c r="M506" i="6"/>
  <c r="N506" i="6" s="1"/>
  <c r="L506" i="6"/>
  <c r="K506" i="6"/>
  <c r="AM505" i="6"/>
  <c r="AE505" i="6"/>
  <c r="U505" i="6"/>
  <c r="AN505" i="6" s="1"/>
  <c r="P505" i="6"/>
  <c r="M505" i="6"/>
  <c r="N505" i="6" s="1"/>
  <c r="L505" i="6"/>
  <c r="K505" i="6"/>
  <c r="AM504" i="6"/>
  <c r="AE504" i="6"/>
  <c r="U504" i="6"/>
  <c r="AN504" i="6" s="1"/>
  <c r="P504" i="6"/>
  <c r="M504" i="6"/>
  <c r="N504" i="6" s="1"/>
  <c r="L504" i="6"/>
  <c r="K504" i="6"/>
  <c r="AM503" i="6"/>
  <c r="AE503" i="6"/>
  <c r="U503" i="6"/>
  <c r="AN503" i="6" s="1"/>
  <c r="P503" i="6"/>
  <c r="M503" i="6"/>
  <c r="N503" i="6" s="1"/>
  <c r="L503" i="6"/>
  <c r="K503" i="6"/>
  <c r="AM502" i="6"/>
  <c r="AE502" i="6"/>
  <c r="U502" i="6"/>
  <c r="AN502" i="6" s="1"/>
  <c r="P502" i="6"/>
  <c r="M502" i="6"/>
  <c r="N502" i="6" s="1"/>
  <c r="L502" i="6"/>
  <c r="K502" i="6"/>
  <c r="AM501" i="6"/>
  <c r="AE501" i="6"/>
  <c r="U501" i="6"/>
  <c r="AN501" i="6" s="1"/>
  <c r="P501" i="6"/>
  <c r="M501" i="6"/>
  <c r="N501" i="6" s="1"/>
  <c r="L501" i="6"/>
  <c r="K501" i="6"/>
  <c r="AM500" i="6"/>
  <c r="AE500" i="6"/>
  <c r="U500" i="6"/>
  <c r="AN500" i="6" s="1"/>
  <c r="P500" i="6"/>
  <c r="M500" i="6"/>
  <c r="N500" i="6" s="1"/>
  <c r="L500" i="6"/>
  <c r="K500" i="6"/>
  <c r="AM499" i="6"/>
  <c r="AE499" i="6"/>
  <c r="U499" i="6"/>
  <c r="AN499" i="6" s="1"/>
  <c r="P499" i="6"/>
  <c r="M499" i="6"/>
  <c r="N499" i="6" s="1"/>
  <c r="L499" i="6"/>
  <c r="K499" i="6"/>
  <c r="AM498" i="6"/>
  <c r="AE498" i="6"/>
  <c r="U498" i="6"/>
  <c r="AN498" i="6" s="1"/>
  <c r="P498" i="6"/>
  <c r="M498" i="6"/>
  <c r="N498" i="6" s="1"/>
  <c r="L498" i="6"/>
  <c r="K498" i="6"/>
  <c r="AM497" i="6"/>
  <c r="AE497" i="6"/>
  <c r="U497" i="6"/>
  <c r="AN497" i="6" s="1"/>
  <c r="P497" i="6"/>
  <c r="M497" i="6"/>
  <c r="N497" i="6" s="1"/>
  <c r="L497" i="6"/>
  <c r="K497" i="6"/>
  <c r="AM496" i="6"/>
  <c r="AE496" i="6"/>
  <c r="U496" i="6"/>
  <c r="AN496" i="6" s="1"/>
  <c r="P496" i="6"/>
  <c r="M496" i="6"/>
  <c r="N496" i="6" s="1"/>
  <c r="L496" i="6"/>
  <c r="K496" i="6"/>
  <c r="AM495" i="6"/>
  <c r="AE495" i="6"/>
  <c r="U495" i="6"/>
  <c r="AN495" i="6" s="1"/>
  <c r="P495" i="6"/>
  <c r="M495" i="6"/>
  <c r="N495" i="6" s="1"/>
  <c r="L495" i="6"/>
  <c r="K495" i="6"/>
  <c r="AM494" i="6"/>
  <c r="AE494" i="6"/>
  <c r="U494" i="6"/>
  <c r="AN494" i="6" s="1"/>
  <c r="P494" i="6"/>
  <c r="M494" i="6"/>
  <c r="N494" i="6" s="1"/>
  <c r="L494" i="6"/>
  <c r="K494" i="6"/>
  <c r="AM493" i="6"/>
  <c r="AE493" i="6"/>
  <c r="U493" i="6"/>
  <c r="AN493" i="6" s="1"/>
  <c r="P493" i="6"/>
  <c r="M493" i="6"/>
  <c r="N493" i="6" s="1"/>
  <c r="L493" i="6"/>
  <c r="K493" i="6"/>
  <c r="AM492" i="6"/>
  <c r="AE492" i="6"/>
  <c r="U492" i="6"/>
  <c r="AN492" i="6" s="1"/>
  <c r="P492" i="6"/>
  <c r="M492" i="6"/>
  <c r="N492" i="6" s="1"/>
  <c r="L492" i="6"/>
  <c r="K492" i="6"/>
  <c r="AM491" i="6"/>
  <c r="AE491" i="6"/>
  <c r="U491" i="6"/>
  <c r="AN491" i="6" s="1"/>
  <c r="P491" i="6"/>
  <c r="M491" i="6"/>
  <c r="N491" i="6" s="1"/>
  <c r="L491" i="6"/>
  <c r="K491" i="6"/>
  <c r="AM490" i="6"/>
  <c r="AE490" i="6"/>
  <c r="U490" i="6"/>
  <c r="AN490" i="6" s="1"/>
  <c r="P490" i="6"/>
  <c r="M490" i="6"/>
  <c r="N490" i="6" s="1"/>
  <c r="L490" i="6"/>
  <c r="K490" i="6"/>
  <c r="AM489" i="6"/>
  <c r="AE489" i="6"/>
  <c r="U489" i="6"/>
  <c r="AN489" i="6" s="1"/>
  <c r="P489" i="6"/>
  <c r="M489" i="6"/>
  <c r="N489" i="6" s="1"/>
  <c r="L489" i="6"/>
  <c r="K489" i="6"/>
  <c r="AM488" i="6"/>
  <c r="AE488" i="6"/>
  <c r="U488" i="6"/>
  <c r="AN488" i="6" s="1"/>
  <c r="P488" i="6"/>
  <c r="M488" i="6"/>
  <c r="N488" i="6" s="1"/>
  <c r="L488" i="6"/>
  <c r="K488" i="6"/>
  <c r="AM487" i="6"/>
  <c r="AE487" i="6"/>
  <c r="U487" i="6"/>
  <c r="AN487" i="6" s="1"/>
  <c r="M487" i="6"/>
  <c r="N487" i="6" s="1"/>
  <c r="L487" i="6"/>
  <c r="P487" i="6" s="1"/>
  <c r="K487" i="6"/>
  <c r="AM486" i="6"/>
  <c r="AE486" i="6"/>
  <c r="U486" i="6"/>
  <c r="AN486" i="6" s="1"/>
  <c r="P486" i="6"/>
  <c r="M486" i="6"/>
  <c r="N486" i="6" s="1"/>
  <c r="L486" i="6"/>
  <c r="K486" i="6"/>
  <c r="AM485" i="6"/>
  <c r="AE485" i="6"/>
  <c r="U485" i="6"/>
  <c r="AN485" i="6" s="1"/>
  <c r="M485" i="6"/>
  <c r="N485" i="6" s="1"/>
  <c r="L485" i="6"/>
  <c r="P485" i="6" s="1"/>
  <c r="K485" i="6"/>
  <c r="AM484" i="6"/>
  <c r="AE484" i="6"/>
  <c r="U484" i="6"/>
  <c r="AN484" i="6" s="1"/>
  <c r="P484" i="6"/>
  <c r="M484" i="6"/>
  <c r="N484" i="6" s="1"/>
  <c r="L484" i="6"/>
  <c r="K484" i="6"/>
  <c r="AM483" i="6"/>
  <c r="AE483" i="6"/>
  <c r="U483" i="6"/>
  <c r="AN483" i="6" s="1"/>
  <c r="M483" i="6"/>
  <c r="N483" i="6" s="1"/>
  <c r="L483" i="6"/>
  <c r="P483" i="6" s="1"/>
  <c r="K483" i="6"/>
  <c r="AM482" i="6"/>
  <c r="AE482" i="6"/>
  <c r="U482" i="6"/>
  <c r="AN482" i="6" s="1"/>
  <c r="P482" i="6"/>
  <c r="M482" i="6"/>
  <c r="N482" i="6" s="1"/>
  <c r="L482" i="6"/>
  <c r="K482" i="6"/>
  <c r="AM481" i="6"/>
  <c r="AE481" i="6"/>
  <c r="U481" i="6"/>
  <c r="AN481" i="6" s="1"/>
  <c r="M481" i="6"/>
  <c r="N481" i="6" s="1"/>
  <c r="L481" i="6"/>
  <c r="P481" i="6" s="1"/>
  <c r="K481" i="6"/>
  <c r="AM480" i="6"/>
  <c r="AE480" i="6"/>
  <c r="U480" i="6"/>
  <c r="AN480" i="6" s="1"/>
  <c r="P480" i="6"/>
  <c r="M480" i="6"/>
  <c r="N480" i="6" s="1"/>
  <c r="L480" i="6"/>
  <c r="K480" i="6"/>
  <c r="AM479" i="6"/>
  <c r="AE479" i="6"/>
  <c r="U479" i="6"/>
  <c r="AN479" i="6" s="1"/>
  <c r="M479" i="6"/>
  <c r="N479" i="6" s="1"/>
  <c r="L479" i="6"/>
  <c r="P479" i="6" s="1"/>
  <c r="K479" i="6"/>
  <c r="AM478" i="6"/>
  <c r="AE478" i="6"/>
  <c r="U478" i="6"/>
  <c r="AN478" i="6" s="1"/>
  <c r="P478" i="6"/>
  <c r="M478" i="6"/>
  <c r="N478" i="6" s="1"/>
  <c r="L478" i="6"/>
  <c r="K478" i="6"/>
  <c r="AM477" i="6"/>
  <c r="AE477" i="6"/>
  <c r="U477" i="6"/>
  <c r="AN477" i="6" s="1"/>
  <c r="M477" i="6"/>
  <c r="N477" i="6" s="1"/>
  <c r="L477" i="6"/>
  <c r="P477" i="6" s="1"/>
  <c r="K477" i="6"/>
  <c r="AM476" i="6"/>
  <c r="AE476" i="6"/>
  <c r="U476" i="6"/>
  <c r="AN476" i="6" s="1"/>
  <c r="P476" i="6"/>
  <c r="M476" i="6"/>
  <c r="N476" i="6" s="1"/>
  <c r="L476" i="6"/>
  <c r="K476" i="6"/>
  <c r="AM475" i="6"/>
  <c r="AE475" i="6"/>
  <c r="U475" i="6"/>
  <c r="AN475" i="6" s="1"/>
  <c r="M475" i="6"/>
  <c r="N475" i="6" s="1"/>
  <c r="L475" i="6"/>
  <c r="P475" i="6" s="1"/>
  <c r="K475" i="6"/>
  <c r="AM474" i="6"/>
  <c r="AE474" i="6"/>
  <c r="U474" i="6"/>
  <c r="AN474" i="6" s="1"/>
  <c r="P474" i="6"/>
  <c r="M474" i="6"/>
  <c r="N474" i="6" s="1"/>
  <c r="L474" i="6"/>
  <c r="K474" i="6"/>
  <c r="AM473" i="6"/>
  <c r="AE473" i="6"/>
  <c r="U473" i="6"/>
  <c r="AN473" i="6" s="1"/>
  <c r="S473" i="6"/>
  <c r="R473" i="6" s="1"/>
  <c r="P473" i="6"/>
  <c r="AI473" i="6" s="1"/>
  <c r="N473" i="6"/>
  <c r="M473" i="6"/>
  <c r="L473" i="6"/>
  <c r="K473" i="6"/>
  <c r="AN472" i="6"/>
  <c r="AM472" i="6"/>
  <c r="AE472" i="6"/>
  <c r="U472" i="6"/>
  <c r="P472" i="6"/>
  <c r="AI472" i="6" s="1"/>
  <c r="N472" i="6"/>
  <c r="M472" i="6"/>
  <c r="L472" i="6"/>
  <c r="K472" i="6"/>
  <c r="AM471" i="6"/>
  <c r="AI471" i="6"/>
  <c r="AE471" i="6"/>
  <c r="U471" i="6"/>
  <c r="AN471" i="6" s="1"/>
  <c r="S471" i="6"/>
  <c r="R471" i="6" s="1"/>
  <c r="P471" i="6"/>
  <c r="Q471" i="6" s="1"/>
  <c r="N471" i="6"/>
  <c r="M471" i="6"/>
  <c r="L471" i="6"/>
  <c r="K471" i="6"/>
  <c r="AN470" i="6"/>
  <c r="AM470" i="6"/>
  <c r="AE470" i="6"/>
  <c r="U470" i="6"/>
  <c r="P470" i="6"/>
  <c r="AI470" i="6" s="1"/>
  <c r="N470" i="6"/>
  <c r="M470" i="6"/>
  <c r="L470" i="6"/>
  <c r="K470" i="6"/>
  <c r="AM469" i="6"/>
  <c r="AI469" i="6"/>
  <c r="AE469" i="6"/>
  <c r="AH469" i="6" s="1"/>
  <c r="U469" i="6"/>
  <c r="AN469" i="6" s="1"/>
  <c r="S469" i="6"/>
  <c r="R469" i="6" s="1"/>
  <c r="P469" i="6"/>
  <c r="Q469" i="6" s="1"/>
  <c r="AF469" i="6" s="1"/>
  <c r="N469" i="6"/>
  <c r="M469" i="6"/>
  <c r="L469" i="6"/>
  <c r="K469" i="6"/>
  <c r="AN468" i="6"/>
  <c r="AM468" i="6"/>
  <c r="AE468" i="6"/>
  <c r="U468" i="6"/>
  <c r="P468" i="6"/>
  <c r="AI468" i="6" s="1"/>
  <c r="N468" i="6"/>
  <c r="M468" i="6"/>
  <c r="L468" i="6"/>
  <c r="K468" i="6"/>
  <c r="AM467" i="6"/>
  <c r="AI467" i="6"/>
  <c r="AE467" i="6"/>
  <c r="U467" i="6"/>
  <c r="AN467" i="6" s="1"/>
  <c r="S467" i="6"/>
  <c r="R467" i="6" s="1"/>
  <c r="P467" i="6"/>
  <c r="Q467" i="6" s="1"/>
  <c r="N467" i="6"/>
  <c r="M467" i="6"/>
  <c r="L467" i="6"/>
  <c r="K467" i="6"/>
  <c r="AN466" i="6"/>
  <c r="AM466" i="6"/>
  <c r="AE466" i="6"/>
  <c r="U466" i="6"/>
  <c r="P466" i="6"/>
  <c r="AI466" i="6" s="1"/>
  <c r="N466" i="6"/>
  <c r="M466" i="6"/>
  <c r="L466" i="6"/>
  <c r="K466" i="6"/>
  <c r="AM465" i="6"/>
  <c r="AI465" i="6"/>
  <c r="AE465" i="6"/>
  <c r="U465" i="6"/>
  <c r="AN465" i="6" s="1"/>
  <c r="S465" i="6"/>
  <c r="R465" i="6" s="1"/>
  <c r="P465" i="6"/>
  <c r="Q465" i="6" s="1"/>
  <c r="N465" i="6"/>
  <c r="M465" i="6"/>
  <c r="L465" i="6"/>
  <c r="K465" i="6"/>
  <c r="AN464" i="6"/>
  <c r="AM464" i="6"/>
  <c r="AE464" i="6"/>
  <c r="U464" i="6"/>
  <c r="P464" i="6"/>
  <c r="AI464" i="6" s="1"/>
  <c r="N464" i="6"/>
  <c r="M464" i="6"/>
  <c r="L464" i="6"/>
  <c r="K464" i="6"/>
  <c r="AM463" i="6"/>
  <c r="AI463" i="6"/>
  <c r="AE463" i="6"/>
  <c r="U463" i="6"/>
  <c r="AN463" i="6" s="1"/>
  <c r="S463" i="6"/>
  <c r="R463" i="6" s="1"/>
  <c r="P463" i="6"/>
  <c r="Q463" i="6" s="1"/>
  <c r="N463" i="6"/>
  <c r="M463" i="6"/>
  <c r="L463" i="6"/>
  <c r="K463" i="6"/>
  <c r="AN462" i="6"/>
  <c r="AM462" i="6"/>
  <c r="AE462" i="6"/>
  <c r="U462" i="6"/>
  <c r="P462" i="6"/>
  <c r="AI462" i="6" s="1"/>
  <c r="N462" i="6"/>
  <c r="M462" i="6"/>
  <c r="L462" i="6"/>
  <c r="K462" i="6"/>
  <c r="AM461" i="6"/>
  <c r="AI461" i="6"/>
  <c r="AE461" i="6"/>
  <c r="U461" i="6"/>
  <c r="AN461" i="6" s="1"/>
  <c r="S461" i="6"/>
  <c r="R461" i="6" s="1"/>
  <c r="P461" i="6"/>
  <c r="Q461" i="6" s="1"/>
  <c r="N461" i="6"/>
  <c r="M461" i="6"/>
  <c r="L461" i="6"/>
  <c r="K461" i="6"/>
  <c r="AN460" i="6"/>
  <c r="AM460" i="6"/>
  <c r="AE460" i="6"/>
  <c r="U460" i="6"/>
  <c r="P460" i="6"/>
  <c r="AI460" i="6" s="1"/>
  <c r="N460" i="6"/>
  <c r="M460" i="6"/>
  <c r="L460" i="6"/>
  <c r="K460" i="6"/>
  <c r="AM459" i="6"/>
  <c r="AI459" i="6"/>
  <c r="AE459" i="6"/>
  <c r="U459" i="6"/>
  <c r="AN459" i="6" s="1"/>
  <c r="S459" i="6"/>
  <c r="R459" i="6" s="1"/>
  <c r="P459" i="6"/>
  <c r="Q459" i="6" s="1"/>
  <c r="N459" i="6"/>
  <c r="M459" i="6"/>
  <c r="L459" i="6"/>
  <c r="K459" i="6"/>
  <c r="AN458" i="6"/>
  <c r="AM458" i="6"/>
  <c r="AE458" i="6"/>
  <c r="U458" i="6"/>
  <c r="P458" i="6"/>
  <c r="AI458" i="6" s="1"/>
  <c r="N458" i="6"/>
  <c r="M458" i="6"/>
  <c r="L458" i="6"/>
  <c r="K458" i="6"/>
  <c r="AM457" i="6"/>
  <c r="AI457" i="6"/>
  <c r="AE457" i="6"/>
  <c r="U457" i="6"/>
  <c r="AN457" i="6" s="1"/>
  <c r="S457" i="6"/>
  <c r="R457" i="6" s="1"/>
  <c r="P457" i="6"/>
  <c r="Q457" i="6" s="1"/>
  <c r="AF457" i="6" s="1"/>
  <c r="N457" i="6"/>
  <c r="M457" i="6"/>
  <c r="L457" i="6"/>
  <c r="K457" i="6"/>
  <c r="AN456" i="6"/>
  <c r="AM456" i="6"/>
  <c r="AE456" i="6"/>
  <c r="U456" i="6"/>
  <c r="P456" i="6"/>
  <c r="AI456" i="6" s="1"/>
  <c r="N456" i="6"/>
  <c r="M456" i="6"/>
  <c r="L456" i="6"/>
  <c r="K456" i="6"/>
  <c r="AM455" i="6"/>
  <c r="AI455" i="6"/>
  <c r="AE455" i="6"/>
  <c r="U455" i="6"/>
  <c r="AN455" i="6" s="1"/>
  <c r="S455" i="6"/>
  <c r="R455" i="6" s="1"/>
  <c r="P455" i="6"/>
  <c r="Q455" i="6" s="1"/>
  <c r="N455" i="6"/>
  <c r="M455" i="6"/>
  <c r="L455" i="6"/>
  <c r="K455" i="6"/>
  <c r="AN454" i="6"/>
  <c r="AM454" i="6"/>
  <c r="AE454" i="6"/>
  <c r="U454" i="6"/>
  <c r="P454" i="6"/>
  <c r="AI454" i="6" s="1"/>
  <c r="N454" i="6"/>
  <c r="M454" i="6"/>
  <c r="L454" i="6"/>
  <c r="K454" i="6"/>
  <c r="AM453" i="6"/>
  <c r="AI453" i="6"/>
  <c r="AE453" i="6"/>
  <c r="AH453" i="6" s="1"/>
  <c r="U453" i="6"/>
  <c r="AN453" i="6" s="1"/>
  <c r="S453" i="6"/>
  <c r="R453" i="6" s="1"/>
  <c r="P453" i="6"/>
  <c r="Q453" i="6" s="1"/>
  <c r="AF453" i="6" s="1"/>
  <c r="N453" i="6"/>
  <c r="M453" i="6"/>
  <c r="L453" i="6"/>
  <c r="K453" i="6"/>
  <c r="AN452" i="6"/>
  <c r="AM452" i="6"/>
  <c r="AE452" i="6"/>
  <c r="U452" i="6"/>
  <c r="P452" i="6"/>
  <c r="AI452" i="6" s="1"/>
  <c r="N452" i="6"/>
  <c r="M452" i="6"/>
  <c r="L452" i="6"/>
  <c r="K452" i="6"/>
  <c r="AM451" i="6"/>
  <c r="AI451" i="6"/>
  <c r="AE451" i="6"/>
  <c r="U451" i="6"/>
  <c r="AN451" i="6" s="1"/>
  <c r="S451" i="6"/>
  <c r="R451" i="6" s="1"/>
  <c r="P451" i="6"/>
  <c r="Q451" i="6" s="1"/>
  <c r="N451" i="6"/>
  <c r="M451" i="6"/>
  <c r="L451" i="6"/>
  <c r="K451" i="6"/>
  <c r="AN450" i="6"/>
  <c r="AM450" i="6"/>
  <c r="AE450" i="6"/>
  <c r="U450" i="6"/>
  <c r="P450" i="6"/>
  <c r="AI450" i="6" s="1"/>
  <c r="N450" i="6"/>
  <c r="M450" i="6"/>
  <c r="L450" i="6"/>
  <c r="K450" i="6"/>
  <c r="AM449" i="6"/>
  <c r="AI449" i="6"/>
  <c r="AE449" i="6"/>
  <c r="U449" i="6"/>
  <c r="AN449" i="6" s="1"/>
  <c r="S449" i="6"/>
  <c r="R449" i="6" s="1"/>
  <c r="P449" i="6"/>
  <c r="Q449" i="6" s="1"/>
  <c r="AF449" i="6" s="1"/>
  <c r="N449" i="6"/>
  <c r="M449" i="6"/>
  <c r="L449" i="6"/>
  <c r="K449" i="6"/>
  <c r="AN448" i="6"/>
  <c r="AM448" i="6"/>
  <c r="AE448" i="6"/>
  <c r="U448" i="6"/>
  <c r="P448" i="6"/>
  <c r="AI448" i="6" s="1"/>
  <c r="N448" i="6"/>
  <c r="M448" i="6"/>
  <c r="L448" i="6"/>
  <c r="K448" i="6"/>
  <c r="AM447" i="6"/>
  <c r="AI447" i="6"/>
  <c r="AE447" i="6"/>
  <c r="U447" i="6"/>
  <c r="AN447" i="6" s="1"/>
  <c r="S447" i="6"/>
  <c r="R447" i="6" s="1"/>
  <c r="P447" i="6"/>
  <c r="Q447" i="6" s="1"/>
  <c r="N447" i="6"/>
  <c r="M447" i="6"/>
  <c r="L447" i="6"/>
  <c r="K447" i="6"/>
  <c r="AN446" i="6"/>
  <c r="AM446" i="6"/>
  <c r="AE446" i="6"/>
  <c r="U446" i="6"/>
  <c r="P446" i="6"/>
  <c r="AI446" i="6" s="1"/>
  <c r="N446" i="6"/>
  <c r="M446" i="6"/>
  <c r="L446" i="6"/>
  <c r="K446" i="6"/>
  <c r="AM445" i="6"/>
  <c r="AI445" i="6"/>
  <c r="AE445" i="6"/>
  <c r="U445" i="6"/>
  <c r="AN445" i="6" s="1"/>
  <c r="S445" i="6"/>
  <c r="R445" i="6" s="1"/>
  <c r="P445" i="6"/>
  <c r="Q445" i="6" s="1"/>
  <c r="N445" i="6"/>
  <c r="M445" i="6"/>
  <c r="L445" i="6"/>
  <c r="K445" i="6"/>
  <c r="AN444" i="6"/>
  <c r="AM444" i="6"/>
  <c r="AE444" i="6"/>
  <c r="U444" i="6"/>
  <c r="P444" i="6"/>
  <c r="AI444" i="6" s="1"/>
  <c r="N444" i="6"/>
  <c r="M444" i="6"/>
  <c r="L444" i="6"/>
  <c r="K444" i="6"/>
  <c r="AM443" i="6"/>
  <c r="AI443" i="6"/>
  <c r="AE443" i="6"/>
  <c r="U443" i="6"/>
  <c r="AN443" i="6" s="1"/>
  <c r="S443" i="6"/>
  <c r="R443" i="6" s="1"/>
  <c r="P443" i="6"/>
  <c r="Q443" i="6" s="1"/>
  <c r="N443" i="6"/>
  <c r="M443" i="6"/>
  <c r="L443" i="6"/>
  <c r="K443" i="6"/>
  <c r="AN442" i="6"/>
  <c r="AM442" i="6"/>
  <c r="AE442" i="6"/>
  <c r="U442" i="6"/>
  <c r="P442" i="6"/>
  <c r="AI442" i="6" s="1"/>
  <c r="N442" i="6"/>
  <c r="M442" i="6"/>
  <c r="L442" i="6"/>
  <c r="K442" i="6"/>
  <c r="AM441" i="6"/>
  <c r="AI441" i="6"/>
  <c r="AE441" i="6"/>
  <c r="U441" i="6"/>
  <c r="AN441" i="6" s="1"/>
  <c r="S441" i="6"/>
  <c r="R441" i="6" s="1"/>
  <c r="P441" i="6"/>
  <c r="Q441" i="6" s="1"/>
  <c r="N441" i="6"/>
  <c r="M441" i="6"/>
  <c r="L441" i="6"/>
  <c r="K441" i="6"/>
  <c r="AN440" i="6"/>
  <c r="AM440" i="6"/>
  <c r="AE440" i="6"/>
  <c r="U440" i="6"/>
  <c r="P440" i="6"/>
  <c r="AI440" i="6" s="1"/>
  <c r="N440" i="6"/>
  <c r="M440" i="6"/>
  <c r="L440" i="6"/>
  <c r="K440" i="6"/>
  <c r="AM439" i="6"/>
  <c r="AI439" i="6"/>
  <c r="AE439" i="6"/>
  <c r="U439" i="6"/>
  <c r="AN439" i="6" s="1"/>
  <c r="S439" i="6"/>
  <c r="R439" i="6" s="1"/>
  <c r="P439" i="6"/>
  <c r="Q439" i="6" s="1"/>
  <c r="N439" i="6"/>
  <c r="M439" i="6"/>
  <c r="L439" i="6"/>
  <c r="K439" i="6"/>
  <c r="AN438" i="6"/>
  <c r="AM438" i="6"/>
  <c r="AE438" i="6"/>
  <c r="U438" i="6"/>
  <c r="P438" i="6"/>
  <c r="N438" i="6"/>
  <c r="M438" i="6"/>
  <c r="L438" i="6"/>
  <c r="K438" i="6"/>
  <c r="AM437" i="6"/>
  <c r="AI437" i="6"/>
  <c r="AE437" i="6"/>
  <c r="U437" i="6"/>
  <c r="AN437" i="6" s="1"/>
  <c r="S437" i="6"/>
  <c r="R437" i="6" s="1"/>
  <c r="P437" i="6"/>
  <c r="Q437" i="6" s="1"/>
  <c r="N437" i="6"/>
  <c r="M437" i="6"/>
  <c r="L437" i="6"/>
  <c r="K437" i="6"/>
  <c r="AN436" i="6"/>
  <c r="AM436" i="6"/>
  <c r="AE436" i="6"/>
  <c r="U436" i="6"/>
  <c r="P436" i="6"/>
  <c r="N436" i="6"/>
  <c r="M436" i="6"/>
  <c r="L436" i="6"/>
  <c r="K436" i="6"/>
  <c r="AM435" i="6"/>
  <c r="AI435" i="6"/>
  <c r="AE435" i="6"/>
  <c r="U435" i="6"/>
  <c r="AN435" i="6" s="1"/>
  <c r="S435" i="6"/>
  <c r="R435" i="6" s="1"/>
  <c r="P435" i="6"/>
  <c r="Q435" i="6" s="1"/>
  <c r="N435" i="6"/>
  <c r="M435" i="6"/>
  <c r="L435" i="6"/>
  <c r="K435" i="6"/>
  <c r="AN434" i="6"/>
  <c r="AM434" i="6"/>
  <c r="AE434" i="6"/>
  <c r="U434" i="6"/>
  <c r="P434" i="6"/>
  <c r="N434" i="6"/>
  <c r="M434" i="6"/>
  <c r="L434" i="6"/>
  <c r="K434" i="6"/>
  <c r="AM433" i="6"/>
  <c r="AI433" i="6"/>
  <c r="AE433" i="6"/>
  <c r="U433" i="6"/>
  <c r="AN433" i="6" s="1"/>
  <c r="S433" i="6"/>
  <c r="R433" i="6" s="1"/>
  <c r="P433" i="6"/>
  <c r="Q433" i="6" s="1"/>
  <c r="N433" i="6"/>
  <c r="M433" i="6"/>
  <c r="L433" i="6"/>
  <c r="K433" i="6"/>
  <c r="AN432" i="6"/>
  <c r="AM432" i="6"/>
  <c r="AE432" i="6"/>
  <c r="U432" i="6"/>
  <c r="P432" i="6"/>
  <c r="N432" i="6"/>
  <c r="M432" i="6"/>
  <c r="L432" i="6"/>
  <c r="K432" i="6"/>
  <c r="AM431" i="6"/>
  <c r="AI431" i="6"/>
  <c r="AE431" i="6"/>
  <c r="AH431" i="6" s="1"/>
  <c r="U431" i="6"/>
  <c r="AN431" i="6" s="1"/>
  <c r="S431" i="6"/>
  <c r="R431" i="6" s="1"/>
  <c r="P431" i="6"/>
  <c r="Q431" i="6" s="1"/>
  <c r="AF431" i="6" s="1"/>
  <c r="N431" i="6"/>
  <c r="M431" i="6"/>
  <c r="L431" i="6"/>
  <c r="K431" i="6"/>
  <c r="AN430" i="6"/>
  <c r="AM430" i="6"/>
  <c r="AE430" i="6"/>
  <c r="U430" i="6"/>
  <c r="P430" i="6"/>
  <c r="N430" i="6"/>
  <c r="M430" i="6"/>
  <c r="L430" i="6"/>
  <c r="K430" i="6"/>
  <c r="AM429" i="6"/>
  <c r="AI429" i="6"/>
  <c r="AE429" i="6"/>
  <c r="U429" i="6"/>
  <c r="AN429" i="6" s="1"/>
  <c r="S429" i="6"/>
  <c r="R429" i="6" s="1"/>
  <c r="P429" i="6"/>
  <c r="Q429" i="6" s="1"/>
  <c r="N429" i="6"/>
  <c r="M429" i="6"/>
  <c r="L429" i="6"/>
  <c r="K429" i="6"/>
  <c r="AN428" i="6"/>
  <c r="AM428" i="6"/>
  <c r="AE428" i="6"/>
  <c r="U428" i="6"/>
  <c r="P428" i="6"/>
  <c r="N428" i="6"/>
  <c r="M428" i="6"/>
  <c r="L428" i="6"/>
  <c r="K428" i="6"/>
  <c r="AM427" i="6"/>
  <c r="AI427" i="6"/>
  <c r="AE427" i="6"/>
  <c r="U427" i="6"/>
  <c r="AN427" i="6" s="1"/>
  <c r="S427" i="6"/>
  <c r="R427" i="6" s="1"/>
  <c r="P427" i="6"/>
  <c r="Q427" i="6" s="1"/>
  <c r="N427" i="6"/>
  <c r="M427" i="6"/>
  <c r="L427" i="6"/>
  <c r="K427" i="6"/>
  <c r="AN426" i="6"/>
  <c r="AM426" i="6"/>
  <c r="AE426" i="6"/>
  <c r="U426" i="6"/>
  <c r="P426" i="6"/>
  <c r="N426" i="6"/>
  <c r="M426" i="6"/>
  <c r="L426" i="6"/>
  <c r="K426" i="6"/>
  <c r="AM425" i="6"/>
  <c r="AI425" i="6"/>
  <c r="AE425" i="6"/>
  <c r="U425" i="6"/>
  <c r="AN425" i="6" s="1"/>
  <c r="S425" i="6"/>
  <c r="R425" i="6" s="1"/>
  <c r="P425" i="6"/>
  <c r="Q425" i="6" s="1"/>
  <c r="AF425" i="6" s="1"/>
  <c r="N425" i="6"/>
  <c r="M425" i="6"/>
  <c r="L425" i="6"/>
  <c r="K425" i="6"/>
  <c r="AN424" i="6"/>
  <c r="AM424" i="6"/>
  <c r="AE424" i="6"/>
  <c r="U424" i="6"/>
  <c r="P424" i="6"/>
  <c r="N424" i="6"/>
  <c r="M424" i="6"/>
  <c r="L424" i="6"/>
  <c r="K424" i="6"/>
  <c r="AM423" i="6"/>
  <c r="AI423" i="6"/>
  <c r="AE423" i="6"/>
  <c r="AH423" i="6" s="1"/>
  <c r="U423" i="6"/>
  <c r="AN423" i="6" s="1"/>
  <c r="S423" i="6"/>
  <c r="R423" i="6" s="1"/>
  <c r="P423" i="6"/>
  <c r="Q423" i="6" s="1"/>
  <c r="AF423" i="6" s="1"/>
  <c r="N423" i="6"/>
  <c r="M423" i="6"/>
  <c r="L423" i="6"/>
  <c r="K423" i="6"/>
  <c r="AN422" i="6"/>
  <c r="AM422" i="6"/>
  <c r="AE422" i="6"/>
  <c r="U422" i="6"/>
  <c r="P422" i="6"/>
  <c r="N422" i="6"/>
  <c r="M422" i="6"/>
  <c r="L422" i="6"/>
  <c r="K422" i="6"/>
  <c r="AM421" i="6"/>
  <c r="AI421" i="6"/>
  <c r="AE421" i="6"/>
  <c r="U421" i="6"/>
  <c r="AN421" i="6" s="1"/>
  <c r="S421" i="6"/>
  <c r="R421" i="6" s="1"/>
  <c r="P421" i="6"/>
  <c r="Q421" i="6" s="1"/>
  <c r="AF421" i="6" s="1"/>
  <c r="N421" i="6"/>
  <c r="M421" i="6"/>
  <c r="L421" i="6"/>
  <c r="K421" i="6"/>
  <c r="AN420" i="6"/>
  <c r="AM420" i="6"/>
  <c r="AE420" i="6"/>
  <c r="U420" i="6"/>
  <c r="P420" i="6"/>
  <c r="N420" i="6"/>
  <c r="M420" i="6"/>
  <c r="L420" i="6"/>
  <c r="K420" i="6"/>
  <c r="AM419" i="6"/>
  <c r="AI419" i="6"/>
  <c r="AE419" i="6"/>
  <c r="U419" i="6"/>
  <c r="AN419" i="6" s="1"/>
  <c r="S419" i="6"/>
  <c r="R419" i="6" s="1"/>
  <c r="P419" i="6"/>
  <c r="Q419" i="6" s="1"/>
  <c r="N419" i="6"/>
  <c r="M419" i="6"/>
  <c r="L419" i="6"/>
  <c r="K419" i="6"/>
  <c r="AN418" i="6"/>
  <c r="AM418" i="6"/>
  <c r="AE418" i="6"/>
  <c r="U418" i="6"/>
  <c r="P418" i="6"/>
  <c r="N418" i="6"/>
  <c r="M418" i="6"/>
  <c r="L418" i="6"/>
  <c r="K418" i="6"/>
  <c r="AM417" i="6"/>
  <c r="AI417" i="6"/>
  <c r="AE417" i="6"/>
  <c r="U417" i="6"/>
  <c r="AN417" i="6" s="1"/>
  <c r="S417" i="6"/>
  <c r="R417" i="6" s="1"/>
  <c r="P417" i="6"/>
  <c r="Q417" i="6" s="1"/>
  <c r="AF417" i="6" s="1"/>
  <c r="N417" i="6"/>
  <c r="M417" i="6"/>
  <c r="L417" i="6"/>
  <c r="K417" i="6"/>
  <c r="AN416" i="6"/>
  <c r="AM416" i="6"/>
  <c r="AE416" i="6"/>
  <c r="U416" i="6"/>
  <c r="P416" i="6"/>
  <c r="N416" i="6"/>
  <c r="M416" i="6"/>
  <c r="L416" i="6"/>
  <c r="K416" i="6"/>
  <c r="AM415" i="6"/>
  <c r="AI415" i="6"/>
  <c r="AE415" i="6"/>
  <c r="AH415" i="6" s="1"/>
  <c r="U415" i="6"/>
  <c r="AN415" i="6" s="1"/>
  <c r="S415" i="6"/>
  <c r="R415" i="6" s="1"/>
  <c r="P415" i="6"/>
  <c r="Q415" i="6" s="1"/>
  <c r="AF415" i="6" s="1"/>
  <c r="N415" i="6"/>
  <c r="M415" i="6"/>
  <c r="L415" i="6"/>
  <c r="K415" i="6"/>
  <c r="AN414" i="6"/>
  <c r="AM414" i="6"/>
  <c r="AE414" i="6"/>
  <c r="U414" i="6"/>
  <c r="S414" i="6"/>
  <c r="R414" i="6" s="1"/>
  <c r="P414" i="6"/>
  <c r="Q414" i="6" s="1"/>
  <c r="AF414" i="6" s="1"/>
  <c r="AH414" i="6" s="1"/>
  <c r="N414" i="6"/>
  <c r="M414" i="6"/>
  <c r="L414" i="6"/>
  <c r="K414" i="6"/>
  <c r="AN413" i="6"/>
  <c r="AM413" i="6"/>
  <c r="AE413" i="6"/>
  <c r="U413" i="6"/>
  <c r="S413" i="6"/>
  <c r="R413" i="6" s="1"/>
  <c r="P413" i="6"/>
  <c r="Q413" i="6" s="1"/>
  <c r="N413" i="6"/>
  <c r="M413" i="6"/>
  <c r="L413" i="6"/>
  <c r="K413" i="6"/>
  <c r="AN412" i="6"/>
  <c r="AM412" i="6"/>
  <c r="AE412" i="6"/>
  <c r="U412" i="6"/>
  <c r="S412" i="6"/>
  <c r="R412" i="6" s="1"/>
  <c r="P412" i="6"/>
  <c r="Q412" i="6" s="1"/>
  <c r="N412" i="6"/>
  <c r="M412" i="6"/>
  <c r="L412" i="6"/>
  <c r="K412" i="6"/>
  <c r="AN411" i="6"/>
  <c r="AM411" i="6"/>
  <c r="AE411" i="6"/>
  <c r="U411" i="6"/>
  <c r="S411" i="6"/>
  <c r="R411" i="6" s="1"/>
  <c r="P411" i="6"/>
  <c r="Q411" i="6" s="1"/>
  <c r="N411" i="6"/>
  <c r="M411" i="6"/>
  <c r="L411" i="6"/>
  <c r="K411" i="6"/>
  <c r="AN410" i="6"/>
  <c r="AM410" i="6"/>
  <c r="AE410" i="6"/>
  <c r="U410" i="6"/>
  <c r="S410" i="6"/>
  <c r="R410" i="6" s="1"/>
  <c r="P410" i="6"/>
  <c r="Q410" i="6" s="1"/>
  <c r="N410" i="6"/>
  <c r="M410" i="6"/>
  <c r="L410" i="6"/>
  <c r="K410" i="6"/>
  <c r="AN409" i="6"/>
  <c r="AM409" i="6"/>
  <c r="AE409" i="6"/>
  <c r="U409" i="6"/>
  <c r="S409" i="6"/>
  <c r="R409" i="6" s="1"/>
  <c r="P409" i="6"/>
  <c r="Q409" i="6" s="1"/>
  <c r="N409" i="6"/>
  <c r="M409" i="6"/>
  <c r="L409" i="6"/>
  <c r="K409" i="6"/>
  <c r="AN408" i="6"/>
  <c r="AM408" i="6"/>
  <c r="AE408" i="6"/>
  <c r="U408" i="6"/>
  <c r="S408" i="6"/>
  <c r="R408" i="6" s="1"/>
  <c r="P408" i="6"/>
  <c r="Q408" i="6" s="1"/>
  <c r="AF408" i="6" s="1"/>
  <c r="AH408" i="6" s="1"/>
  <c r="N408" i="6"/>
  <c r="M408" i="6"/>
  <c r="L408" i="6"/>
  <c r="K408" i="6"/>
  <c r="AN407" i="6"/>
  <c r="AM407" i="6"/>
  <c r="AE407" i="6"/>
  <c r="U407" i="6"/>
  <c r="S407" i="6"/>
  <c r="R407" i="6" s="1"/>
  <c r="P407" i="6"/>
  <c r="Q407" i="6" s="1"/>
  <c r="N407" i="6"/>
  <c r="M407" i="6"/>
  <c r="L407" i="6"/>
  <c r="K407" i="6"/>
  <c r="AN406" i="6"/>
  <c r="AM406" i="6"/>
  <c r="AE406" i="6"/>
  <c r="U406" i="6"/>
  <c r="S406" i="6"/>
  <c r="R406" i="6" s="1"/>
  <c r="P406" i="6"/>
  <c r="Q406" i="6" s="1"/>
  <c r="AF406" i="6" s="1"/>
  <c r="AH406" i="6" s="1"/>
  <c r="N406" i="6"/>
  <c r="M406" i="6"/>
  <c r="L406" i="6"/>
  <c r="K406" i="6"/>
  <c r="AN405" i="6"/>
  <c r="AM405" i="6"/>
  <c r="AE405" i="6"/>
  <c r="U405" i="6"/>
  <c r="S405" i="6"/>
  <c r="R405" i="6" s="1"/>
  <c r="P405" i="6"/>
  <c r="Q405" i="6" s="1"/>
  <c r="N405" i="6"/>
  <c r="M405" i="6"/>
  <c r="L405" i="6"/>
  <c r="K405" i="6"/>
  <c r="AN404" i="6"/>
  <c r="AM404" i="6"/>
  <c r="AE404" i="6"/>
  <c r="U404" i="6"/>
  <c r="S404" i="6"/>
  <c r="R404" i="6" s="1"/>
  <c r="P404" i="6"/>
  <c r="Q404" i="6" s="1"/>
  <c r="AF404" i="6" s="1"/>
  <c r="AH404" i="6" s="1"/>
  <c r="N404" i="6"/>
  <c r="M404" i="6"/>
  <c r="L404" i="6"/>
  <c r="K404" i="6"/>
  <c r="AN403" i="6"/>
  <c r="AM403" i="6"/>
  <c r="AE403" i="6"/>
  <c r="U403" i="6"/>
  <c r="S403" i="6"/>
  <c r="R403" i="6" s="1"/>
  <c r="P403" i="6"/>
  <c r="Q403" i="6" s="1"/>
  <c r="AF403" i="6" s="1"/>
  <c r="AH403" i="6" s="1"/>
  <c r="N403" i="6"/>
  <c r="M403" i="6"/>
  <c r="L403" i="6"/>
  <c r="K403" i="6"/>
  <c r="AN402" i="6"/>
  <c r="AM402" i="6"/>
  <c r="AE402" i="6"/>
  <c r="U402" i="6"/>
  <c r="S402" i="6"/>
  <c r="R402" i="6" s="1"/>
  <c r="P402" i="6"/>
  <c r="Q402" i="6" s="1"/>
  <c r="AF402" i="6" s="1"/>
  <c r="AH402" i="6" s="1"/>
  <c r="N402" i="6"/>
  <c r="M402" i="6"/>
  <c r="L402" i="6"/>
  <c r="K402" i="6"/>
  <c r="AN401" i="6"/>
  <c r="AM401" i="6"/>
  <c r="AE401" i="6"/>
  <c r="U401" i="6"/>
  <c r="S401" i="6"/>
  <c r="R401" i="6" s="1"/>
  <c r="P401" i="6"/>
  <c r="Q401" i="6" s="1"/>
  <c r="N401" i="6"/>
  <c r="M401" i="6"/>
  <c r="L401" i="6"/>
  <c r="K401" i="6"/>
  <c r="AN400" i="6"/>
  <c r="AM400" i="6"/>
  <c r="AE400" i="6"/>
  <c r="U400" i="6"/>
  <c r="S400" i="6"/>
  <c r="R400" i="6" s="1"/>
  <c r="P400" i="6"/>
  <c r="Q400" i="6" s="1"/>
  <c r="AF400" i="6" s="1"/>
  <c r="AH400" i="6" s="1"/>
  <c r="N400" i="6"/>
  <c r="M400" i="6"/>
  <c r="L400" i="6"/>
  <c r="K400" i="6"/>
  <c r="AN399" i="6"/>
  <c r="AM399" i="6"/>
  <c r="AE399" i="6"/>
  <c r="U399" i="6"/>
  <c r="S399" i="6"/>
  <c r="R399" i="6" s="1"/>
  <c r="P399" i="6"/>
  <c r="Q399" i="6" s="1"/>
  <c r="AF399" i="6" s="1"/>
  <c r="AH399" i="6" s="1"/>
  <c r="N399" i="6"/>
  <c r="M399" i="6"/>
  <c r="L399" i="6"/>
  <c r="K399" i="6"/>
  <c r="AN398" i="6"/>
  <c r="AM398" i="6"/>
  <c r="AE398" i="6"/>
  <c r="U398" i="6"/>
  <c r="S398" i="6"/>
  <c r="R398" i="6" s="1"/>
  <c r="P398" i="6"/>
  <c r="Q398" i="6" s="1"/>
  <c r="AF398" i="6" s="1"/>
  <c r="AH398" i="6" s="1"/>
  <c r="N398" i="6"/>
  <c r="M398" i="6"/>
  <c r="L398" i="6"/>
  <c r="K398" i="6"/>
  <c r="AN397" i="6"/>
  <c r="AM397" i="6"/>
  <c r="AE397" i="6"/>
  <c r="U397" i="6"/>
  <c r="S397" i="6"/>
  <c r="R397" i="6" s="1"/>
  <c r="P397" i="6"/>
  <c r="Q397" i="6" s="1"/>
  <c r="N397" i="6"/>
  <c r="M397" i="6"/>
  <c r="L397" i="6"/>
  <c r="K397" i="6"/>
  <c r="AN396" i="6"/>
  <c r="AM396" i="6"/>
  <c r="AE396" i="6"/>
  <c r="U396" i="6"/>
  <c r="S396" i="6"/>
  <c r="R396" i="6" s="1"/>
  <c r="P396" i="6"/>
  <c r="Q396" i="6" s="1"/>
  <c r="AF396" i="6" s="1"/>
  <c r="AH396" i="6" s="1"/>
  <c r="N396" i="6"/>
  <c r="M396" i="6"/>
  <c r="L396" i="6"/>
  <c r="K396" i="6"/>
  <c r="AN395" i="6"/>
  <c r="AM395" i="6"/>
  <c r="AE395" i="6"/>
  <c r="U395" i="6"/>
  <c r="S395" i="6"/>
  <c r="R395" i="6" s="1"/>
  <c r="P395" i="6"/>
  <c r="Q395" i="6" s="1"/>
  <c r="N395" i="6"/>
  <c r="M395" i="6"/>
  <c r="L395" i="6"/>
  <c r="K395" i="6"/>
  <c r="AN394" i="6"/>
  <c r="AM394" i="6"/>
  <c r="AE394" i="6"/>
  <c r="U394" i="6"/>
  <c r="S394" i="6"/>
  <c r="R394" i="6" s="1"/>
  <c r="P394" i="6"/>
  <c r="Q394" i="6" s="1"/>
  <c r="AF394" i="6" s="1"/>
  <c r="AH394" i="6" s="1"/>
  <c r="N394" i="6"/>
  <c r="M394" i="6"/>
  <c r="L394" i="6"/>
  <c r="K394" i="6"/>
  <c r="AN393" i="6"/>
  <c r="AM393" i="6"/>
  <c r="AE393" i="6"/>
  <c r="U393" i="6"/>
  <c r="S393" i="6"/>
  <c r="R393" i="6" s="1"/>
  <c r="P393" i="6"/>
  <c r="Q393" i="6" s="1"/>
  <c r="N393" i="6"/>
  <c r="M393" i="6"/>
  <c r="L393" i="6"/>
  <c r="K393" i="6"/>
  <c r="AN392" i="6"/>
  <c r="AM392" i="6"/>
  <c r="AE392" i="6"/>
  <c r="U392" i="6"/>
  <c r="S392" i="6"/>
  <c r="R392" i="6" s="1"/>
  <c r="P392" i="6"/>
  <c r="Q392" i="6" s="1"/>
  <c r="N392" i="6"/>
  <c r="M392" i="6"/>
  <c r="L392" i="6"/>
  <c r="K392" i="6"/>
  <c r="AN391" i="6"/>
  <c r="AM391" i="6"/>
  <c r="AE391" i="6"/>
  <c r="U391" i="6"/>
  <c r="S391" i="6"/>
  <c r="R391" i="6" s="1"/>
  <c r="P391" i="6"/>
  <c r="Q391" i="6" s="1"/>
  <c r="N391" i="6"/>
  <c r="M391" i="6"/>
  <c r="L391" i="6"/>
  <c r="K391" i="6"/>
  <c r="AN390" i="6"/>
  <c r="AM390" i="6"/>
  <c r="AE390" i="6"/>
  <c r="U390" i="6"/>
  <c r="S390" i="6"/>
  <c r="R390" i="6" s="1"/>
  <c r="P390" i="6"/>
  <c r="Q390" i="6" s="1"/>
  <c r="AF390" i="6" s="1"/>
  <c r="AH390" i="6" s="1"/>
  <c r="N390" i="6"/>
  <c r="M390" i="6"/>
  <c r="L390" i="6"/>
  <c r="K390" i="6"/>
  <c r="AN389" i="6"/>
  <c r="AM389" i="6"/>
  <c r="AE389" i="6"/>
  <c r="U389" i="6"/>
  <c r="S389" i="6"/>
  <c r="R389" i="6" s="1"/>
  <c r="P389" i="6"/>
  <c r="Q389" i="6" s="1"/>
  <c r="N389" i="6"/>
  <c r="M389" i="6"/>
  <c r="L389" i="6"/>
  <c r="K389" i="6"/>
  <c r="AN388" i="6"/>
  <c r="AM388" i="6"/>
  <c r="AI388" i="6"/>
  <c r="AE388" i="6"/>
  <c r="U388" i="6"/>
  <c r="S388" i="6"/>
  <c r="R388" i="6" s="1"/>
  <c r="P388" i="6"/>
  <c r="Q388" i="6" s="1"/>
  <c r="N388" i="6"/>
  <c r="M388" i="6"/>
  <c r="L388" i="6"/>
  <c r="K388" i="6"/>
  <c r="AN387" i="6"/>
  <c r="AM387" i="6"/>
  <c r="AI387" i="6"/>
  <c r="AE387" i="6"/>
  <c r="U387" i="6"/>
  <c r="S387" i="6"/>
  <c r="R387" i="6" s="1"/>
  <c r="P387" i="6"/>
  <c r="Q387" i="6" s="1"/>
  <c r="N387" i="6"/>
  <c r="M387" i="6"/>
  <c r="L387" i="6"/>
  <c r="K387" i="6"/>
  <c r="AN386" i="6"/>
  <c r="AM386" i="6"/>
  <c r="AI386" i="6"/>
  <c r="AE386" i="6"/>
  <c r="U386" i="6"/>
  <c r="S386" i="6"/>
  <c r="R386" i="6" s="1"/>
  <c r="P386" i="6"/>
  <c r="Q386" i="6" s="1"/>
  <c r="N386" i="6"/>
  <c r="M386" i="6"/>
  <c r="L386" i="6"/>
  <c r="K386" i="6"/>
  <c r="AN385" i="6"/>
  <c r="AM385" i="6"/>
  <c r="AI385" i="6"/>
  <c r="AE385" i="6"/>
  <c r="U385" i="6"/>
  <c r="S385" i="6"/>
  <c r="R385" i="6" s="1"/>
  <c r="P385" i="6"/>
  <c r="Q385" i="6" s="1"/>
  <c r="N385" i="6"/>
  <c r="M385" i="6"/>
  <c r="L385" i="6"/>
  <c r="K385" i="6"/>
  <c r="AN384" i="6"/>
  <c r="AM384" i="6"/>
  <c r="AI384" i="6"/>
  <c r="AE384" i="6"/>
  <c r="U384" i="6"/>
  <c r="S384" i="6"/>
  <c r="R384" i="6" s="1"/>
  <c r="P384" i="6"/>
  <c r="Q384" i="6" s="1"/>
  <c r="N384" i="6"/>
  <c r="M384" i="6"/>
  <c r="L384" i="6"/>
  <c r="K384" i="6"/>
  <c r="AN383" i="6"/>
  <c r="AM383" i="6"/>
  <c r="AI383" i="6"/>
  <c r="AE383" i="6"/>
  <c r="U383" i="6"/>
  <c r="S383" i="6"/>
  <c r="R383" i="6" s="1"/>
  <c r="P383" i="6"/>
  <c r="Q383" i="6" s="1"/>
  <c r="N383" i="6"/>
  <c r="M383" i="6"/>
  <c r="L383" i="6"/>
  <c r="K383" i="6"/>
  <c r="AN382" i="6"/>
  <c r="AM382" i="6"/>
  <c r="AI382" i="6"/>
  <c r="AE382" i="6"/>
  <c r="U382" i="6"/>
  <c r="S382" i="6"/>
  <c r="R382" i="6" s="1"/>
  <c r="P382" i="6"/>
  <c r="Q382" i="6" s="1"/>
  <c r="N382" i="6"/>
  <c r="M382" i="6"/>
  <c r="L382" i="6"/>
  <c r="K382" i="6"/>
  <c r="AN381" i="6"/>
  <c r="AM381" i="6"/>
  <c r="AI381" i="6"/>
  <c r="AE381" i="6"/>
  <c r="U381" i="6"/>
  <c r="S381" i="6"/>
  <c r="R381" i="6" s="1"/>
  <c r="P381" i="6"/>
  <c r="Q381" i="6" s="1"/>
  <c r="N381" i="6"/>
  <c r="M381" i="6"/>
  <c r="L381" i="6"/>
  <c r="K381" i="6"/>
  <c r="AN380" i="6"/>
  <c r="AM380" i="6"/>
  <c r="AI380" i="6"/>
  <c r="AE380" i="6"/>
  <c r="U380" i="6"/>
  <c r="S380" i="6"/>
  <c r="R380" i="6" s="1"/>
  <c r="P380" i="6"/>
  <c r="Q380" i="6" s="1"/>
  <c r="N380" i="6"/>
  <c r="M380" i="6"/>
  <c r="L380" i="6"/>
  <c r="K380" i="6"/>
  <c r="AN379" i="6"/>
  <c r="AM379" i="6"/>
  <c r="AI379" i="6"/>
  <c r="AE379" i="6"/>
  <c r="U379" i="6"/>
  <c r="S379" i="6"/>
  <c r="R379" i="6" s="1"/>
  <c r="P379" i="6"/>
  <c r="Q379" i="6" s="1"/>
  <c r="N379" i="6"/>
  <c r="M379" i="6"/>
  <c r="L379" i="6"/>
  <c r="K379" i="6"/>
  <c r="AN378" i="6"/>
  <c r="AM378" i="6"/>
  <c r="AI378" i="6"/>
  <c r="AE378" i="6"/>
  <c r="U378" i="6"/>
  <c r="S378" i="6"/>
  <c r="R378" i="6" s="1"/>
  <c r="P378" i="6"/>
  <c r="Q378" i="6" s="1"/>
  <c r="N378" i="6"/>
  <c r="M378" i="6"/>
  <c r="L378" i="6"/>
  <c r="K378" i="6"/>
  <c r="AN377" i="6"/>
  <c r="AM377" i="6"/>
  <c r="AI377" i="6"/>
  <c r="AE377" i="6"/>
  <c r="U377" i="6"/>
  <c r="S377" i="6"/>
  <c r="R377" i="6" s="1"/>
  <c r="P377" i="6"/>
  <c r="Q377" i="6" s="1"/>
  <c r="N377" i="6"/>
  <c r="M377" i="6"/>
  <c r="L377" i="6"/>
  <c r="K377" i="6"/>
  <c r="AN376" i="6"/>
  <c r="AM376" i="6"/>
  <c r="AI376" i="6"/>
  <c r="AE376" i="6"/>
  <c r="U376" i="6"/>
  <c r="S376" i="6"/>
  <c r="R376" i="6" s="1"/>
  <c r="P376" i="6"/>
  <c r="Q376" i="6" s="1"/>
  <c r="N376" i="6"/>
  <c r="M376" i="6"/>
  <c r="L376" i="6"/>
  <c r="K376" i="6"/>
  <c r="AN375" i="6"/>
  <c r="AM375" i="6"/>
  <c r="AI375" i="6"/>
  <c r="AE375" i="6"/>
  <c r="U375" i="6"/>
  <c r="S375" i="6"/>
  <c r="R375" i="6" s="1"/>
  <c r="P375" i="6"/>
  <c r="Q375" i="6" s="1"/>
  <c r="N375" i="6"/>
  <c r="M375" i="6"/>
  <c r="L375" i="6"/>
  <c r="K375" i="6"/>
  <c r="AN374" i="6"/>
  <c r="AM374" i="6"/>
  <c r="AI374" i="6"/>
  <c r="AE374" i="6"/>
  <c r="U374" i="6"/>
  <c r="S374" i="6"/>
  <c r="R374" i="6" s="1"/>
  <c r="P374" i="6"/>
  <c r="Q374" i="6" s="1"/>
  <c r="N374" i="6"/>
  <c r="M374" i="6"/>
  <c r="L374" i="6"/>
  <c r="K374" i="6"/>
  <c r="AN373" i="6"/>
  <c r="AM373" i="6"/>
  <c r="AI373" i="6"/>
  <c r="AE373" i="6"/>
  <c r="U373" i="6"/>
  <c r="S373" i="6"/>
  <c r="R373" i="6" s="1"/>
  <c r="P373" i="6"/>
  <c r="Q373" i="6" s="1"/>
  <c r="N373" i="6"/>
  <c r="M373" i="6"/>
  <c r="L373" i="6"/>
  <c r="K373" i="6"/>
  <c r="AN372" i="6"/>
  <c r="AM372" i="6"/>
  <c r="AI372" i="6"/>
  <c r="AE372" i="6"/>
  <c r="U372" i="6"/>
  <c r="S372" i="6"/>
  <c r="R372" i="6" s="1"/>
  <c r="P372" i="6"/>
  <c r="Q372" i="6" s="1"/>
  <c r="N372" i="6"/>
  <c r="M372" i="6"/>
  <c r="L372" i="6"/>
  <c r="K372" i="6"/>
  <c r="AN371" i="6"/>
  <c r="AM371" i="6"/>
  <c r="AI371" i="6"/>
  <c r="AE371" i="6"/>
  <c r="U371" i="6"/>
  <c r="S371" i="6"/>
  <c r="R371" i="6" s="1"/>
  <c r="P371" i="6"/>
  <c r="Q371" i="6" s="1"/>
  <c r="N371" i="6"/>
  <c r="M371" i="6"/>
  <c r="L371" i="6"/>
  <c r="K371" i="6"/>
  <c r="AN370" i="6"/>
  <c r="AM370" i="6"/>
  <c r="AI370" i="6"/>
  <c r="AE370" i="6"/>
  <c r="U370" i="6"/>
  <c r="S370" i="6"/>
  <c r="R370" i="6" s="1"/>
  <c r="P370" i="6"/>
  <c r="Q370" i="6" s="1"/>
  <c r="N370" i="6"/>
  <c r="M370" i="6"/>
  <c r="L370" i="6"/>
  <c r="K370" i="6"/>
  <c r="AN369" i="6"/>
  <c r="AM369" i="6"/>
  <c r="AI369" i="6"/>
  <c r="AE369" i="6"/>
  <c r="U369" i="6"/>
  <c r="S369" i="6"/>
  <c r="R369" i="6" s="1"/>
  <c r="P369" i="6"/>
  <c r="Q369" i="6" s="1"/>
  <c r="N369" i="6"/>
  <c r="M369" i="6"/>
  <c r="L369" i="6"/>
  <c r="K369" i="6"/>
  <c r="AN368" i="6"/>
  <c r="AM368" i="6"/>
  <c r="AI368" i="6"/>
  <c r="AE368" i="6"/>
  <c r="U368" i="6"/>
  <c r="S368" i="6"/>
  <c r="R368" i="6" s="1"/>
  <c r="P368" i="6"/>
  <c r="Q368" i="6" s="1"/>
  <c r="N368" i="6"/>
  <c r="M368" i="6"/>
  <c r="L368" i="6"/>
  <c r="K368" i="6"/>
  <c r="AN367" i="6"/>
  <c r="AM367" i="6"/>
  <c r="AI367" i="6"/>
  <c r="AE367" i="6"/>
  <c r="U367" i="6"/>
  <c r="S367" i="6"/>
  <c r="R367" i="6" s="1"/>
  <c r="P367" i="6"/>
  <c r="Q367" i="6" s="1"/>
  <c r="N367" i="6"/>
  <c r="M367" i="6"/>
  <c r="L367" i="6"/>
  <c r="K367" i="6"/>
  <c r="AN366" i="6"/>
  <c r="AM366" i="6"/>
  <c r="AI366" i="6"/>
  <c r="AE366" i="6"/>
  <c r="U366" i="6"/>
  <c r="S366" i="6"/>
  <c r="R366" i="6" s="1"/>
  <c r="P366" i="6"/>
  <c r="Q366" i="6" s="1"/>
  <c r="N366" i="6"/>
  <c r="M366" i="6"/>
  <c r="L366" i="6"/>
  <c r="K366" i="6"/>
  <c r="AN365" i="6"/>
  <c r="AM365" i="6"/>
  <c r="AI365" i="6"/>
  <c r="AE365" i="6"/>
  <c r="U365" i="6"/>
  <c r="S365" i="6"/>
  <c r="R365" i="6" s="1"/>
  <c r="P365" i="6"/>
  <c r="Q365" i="6" s="1"/>
  <c r="N365" i="6"/>
  <c r="M365" i="6"/>
  <c r="L365" i="6"/>
  <c r="K365" i="6"/>
  <c r="AN364" i="6"/>
  <c r="AM364" i="6"/>
  <c r="AI364" i="6"/>
  <c r="AE364" i="6"/>
  <c r="U364" i="6"/>
  <c r="S364" i="6"/>
  <c r="R364" i="6" s="1"/>
  <c r="P364" i="6"/>
  <c r="Q364" i="6" s="1"/>
  <c r="N364" i="6"/>
  <c r="M364" i="6"/>
  <c r="L364" i="6"/>
  <c r="K364" i="6"/>
  <c r="AN363" i="6"/>
  <c r="AM363" i="6"/>
  <c r="AI363" i="6"/>
  <c r="AE363" i="6"/>
  <c r="U363" i="6"/>
  <c r="S363" i="6"/>
  <c r="R363" i="6" s="1"/>
  <c r="P363" i="6"/>
  <c r="Q363" i="6" s="1"/>
  <c r="N363" i="6"/>
  <c r="M363" i="6"/>
  <c r="L363" i="6"/>
  <c r="K363" i="6"/>
  <c r="AN362" i="6"/>
  <c r="AM362" i="6"/>
  <c r="AI362" i="6"/>
  <c r="AE362" i="6"/>
  <c r="U362" i="6"/>
  <c r="S362" i="6"/>
  <c r="R362" i="6" s="1"/>
  <c r="P362" i="6"/>
  <c r="Q362" i="6" s="1"/>
  <c r="N362" i="6"/>
  <c r="M362" i="6"/>
  <c r="L362" i="6"/>
  <c r="K362" i="6"/>
  <c r="AN361" i="6"/>
  <c r="AM361" i="6"/>
  <c r="AI361" i="6"/>
  <c r="AE361" i="6"/>
  <c r="U361" i="6"/>
  <c r="S361" i="6"/>
  <c r="R361" i="6" s="1"/>
  <c r="P361" i="6"/>
  <c r="Q361" i="6" s="1"/>
  <c r="N361" i="6"/>
  <c r="M361" i="6"/>
  <c r="L361" i="6"/>
  <c r="K361" i="6"/>
  <c r="AN360" i="6"/>
  <c r="AM360" i="6"/>
  <c r="AI360" i="6"/>
  <c r="AE360" i="6"/>
  <c r="U360" i="6"/>
  <c r="S360" i="6"/>
  <c r="R360" i="6" s="1"/>
  <c r="P360" i="6"/>
  <c r="Q360" i="6" s="1"/>
  <c r="N360" i="6"/>
  <c r="M360" i="6"/>
  <c r="L360" i="6"/>
  <c r="K360" i="6"/>
  <c r="AN359" i="6"/>
  <c r="AM359" i="6"/>
  <c r="AI359" i="6"/>
  <c r="AE359" i="6"/>
  <c r="U359" i="6"/>
  <c r="S359" i="6"/>
  <c r="R359" i="6" s="1"/>
  <c r="P359" i="6"/>
  <c r="Q359" i="6" s="1"/>
  <c r="N359" i="6"/>
  <c r="M359" i="6"/>
  <c r="L359" i="6"/>
  <c r="K359" i="6"/>
  <c r="AN358" i="6"/>
  <c r="AM358" i="6"/>
  <c r="AI358" i="6"/>
  <c r="AE358" i="6"/>
  <c r="U358" i="6"/>
  <c r="S358" i="6"/>
  <c r="R358" i="6" s="1"/>
  <c r="P358" i="6"/>
  <c r="Q358" i="6" s="1"/>
  <c r="N358" i="6"/>
  <c r="M358" i="6"/>
  <c r="L358" i="6"/>
  <c r="K358" i="6"/>
  <c r="AN357" i="6"/>
  <c r="AM357" i="6"/>
  <c r="AI357" i="6"/>
  <c r="AE357" i="6"/>
  <c r="U357" i="6"/>
  <c r="S357" i="6"/>
  <c r="R357" i="6" s="1"/>
  <c r="P357" i="6"/>
  <c r="Q357" i="6" s="1"/>
  <c r="N357" i="6"/>
  <c r="M357" i="6"/>
  <c r="L357" i="6"/>
  <c r="K357" i="6"/>
  <c r="AN356" i="6"/>
  <c r="AM356" i="6"/>
  <c r="AI356" i="6"/>
  <c r="AE356" i="6"/>
  <c r="U356" i="6"/>
  <c r="S356" i="6"/>
  <c r="R356" i="6" s="1"/>
  <c r="P356" i="6"/>
  <c r="Q356" i="6" s="1"/>
  <c r="N356" i="6"/>
  <c r="M356" i="6"/>
  <c r="L356" i="6"/>
  <c r="K356" i="6"/>
  <c r="AN355" i="6"/>
  <c r="AM355" i="6"/>
  <c r="AI355" i="6"/>
  <c r="AE355" i="6"/>
  <c r="U355" i="6"/>
  <c r="S355" i="6"/>
  <c r="R355" i="6" s="1"/>
  <c r="P355" i="6"/>
  <c r="Q355" i="6" s="1"/>
  <c r="N355" i="6"/>
  <c r="M355" i="6"/>
  <c r="L355" i="6"/>
  <c r="K355" i="6"/>
  <c r="AN354" i="6"/>
  <c r="AM354" i="6"/>
  <c r="AI354" i="6"/>
  <c r="AE354" i="6"/>
  <c r="U354" i="6"/>
  <c r="S354" i="6"/>
  <c r="R354" i="6" s="1"/>
  <c r="P354" i="6"/>
  <c r="Q354" i="6" s="1"/>
  <c r="N354" i="6"/>
  <c r="M354" i="6"/>
  <c r="L354" i="6"/>
  <c r="K354" i="6"/>
  <c r="AN353" i="6"/>
  <c r="AM353" i="6"/>
  <c r="AI353" i="6"/>
  <c r="AE353" i="6"/>
  <c r="U353" i="6"/>
  <c r="S353" i="6"/>
  <c r="R353" i="6" s="1"/>
  <c r="P353" i="6"/>
  <c r="Q353" i="6" s="1"/>
  <c r="N353" i="6"/>
  <c r="M353" i="6"/>
  <c r="L353" i="6"/>
  <c r="K353" i="6"/>
  <c r="AN352" i="6"/>
  <c r="AM352" i="6"/>
  <c r="AI352" i="6"/>
  <c r="AE352" i="6"/>
  <c r="U352" i="6"/>
  <c r="S352" i="6"/>
  <c r="R352" i="6" s="1"/>
  <c r="P352" i="6"/>
  <c r="Q352" i="6" s="1"/>
  <c r="N352" i="6"/>
  <c r="M352" i="6"/>
  <c r="L352" i="6"/>
  <c r="K352" i="6"/>
  <c r="AN351" i="6"/>
  <c r="AM351" i="6"/>
  <c r="AI351" i="6"/>
  <c r="AE351" i="6"/>
  <c r="U351" i="6"/>
  <c r="S351" i="6"/>
  <c r="R351" i="6" s="1"/>
  <c r="P351" i="6"/>
  <c r="Q351" i="6" s="1"/>
  <c r="N351" i="6"/>
  <c r="M351" i="6"/>
  <c r="L351" i="6"/>
  <c r="K351" i="6"/>
  <c r="AN350" i="6"/>
  <c r="AM350" i="6"/>
  <c r="AI350" i="6"/>
  <c r="AE350" i="6"/>
  <c r="U350" i="6"/>
  <c r="S350" i="6"/>
  <c r="R350" i="6" s="1"/>
  <c r="P350" i="6"/>
  <c r="Q350" i="6" s="1"/>
  <c r="N350" i="6"/>
  <c r="M350" i="6"/>
  <c r="L350" i="6"/>
  <c r="K350" i="6"/>
  <c r="AN349" i="6"/>
  <c r="AM349" i="6"/>
  <c r="AI349" i="6"/>
  <c r="AE349" i="6"/>
  <c r="U349" i="6"/>
  <c r="S349" i="6"/>
  <c r="R349" i="6" s="1"/>
  <c r="P349" i="6"/>
  <c r="Q349" i="6" s="1"/>
  <c r="N349" i="6"/>
  <c r="M349" i="6"/>
  <c r="L349" i="6"/>
  <c r="K349" i="6"/>
  <c r="AN348" i="6"/>
  <c r="AM348" i="6"/>
  <c r="AI348" i="6"/>
  <c r="AE348" i="6"/>
  <c r="U348" i="6"/>
  <c r="S348" i="6"/>
  <c r="R348" i="6" s="1"/>
  <c r="P348" i="6"/>
  <c r="Q348" i="6" s="1"/>
  <c r="N348" i="6"/>
  <c r="M348" i="6"/>
  <c r="L348" i="6"/>
  <c r="K348" i="6"/>
  <c r="AN347" i="6"/>
  <c r="AM347" i="6"/>
  <c r="AI347" i="6"/>
  <c r="AE347" i="6"/>
  <c r="U347" i="6"/>
  <c r="S347" i="6"/>
  <c r="R347" i="6" s="1"/>
  <c r="P347" i="6"/>
  <c r="Q347" i="6" s="1"/>
  <c r="N347" i="6"/>
  <c r="M347" i="6"/>
  <c r="L347" i="6"/>
  <c r="K347" i="6"/>
  <c r="AN346" i="6"/>
  <c r="AM346" i="6"/>
  <c r="AI346" i="6"/>
  <c r="AE346" i="6"/>
  <c r="U346" i="6"/>
  <c r="S346" i="6"/>
  <c r="R346" i="6" s="1"/>
  <c r="P346" i="6"/>
  <c r="Q346" i="6" s="1"/>
  <c r="N346" i="6"/>
  <c r="M346" i="6"/>
  <c r="L346" i="6"/>
  <c r="K346" i="6"/>
  <c r="AN345" i="6"/>
  <c r="AM345" i="6"/>
  <c r="AI345" i="6"/>
  <c r="AE345" i="6"/>
  <c r="U345" i="6"/>
  <c r="S345" i="6"/>
  <c r="R345" i="6" s="1"/>
  <c r="P345" i="6"/>
  <c r="Q345" i="6" s="1"/>
  <c r="N345" i="6"/>
  <c r="M345" i="6"/>
  <c r="L345" i="6"/>
  <c r="K345" i="6"/>
  <c r="AM344" i="6"/>
  <c r="AE344" i="6"/>
  <c r="U344" i="6"/>
  <c r="AN344" i="6" s="1"/>
  <c r="N344" i="6"/>
  <c r="M344" i="6"/>
  <c r="L344" i="6"/>
  <c r="P344" i="6" s="1"/>
  <c r="K344" i="6"/>
  <c r="AN343" i="6"/>
  <c r="AM343" i="6"/>
  <c r="AE343" i="6"/>
  <c r="U343" i="6"/>
  <c r="N343" i="6"/>
  <c r="M343" i="6"/>
  <c r="L343" i="6"/>
  <c r="P343" i="6" s="1"/>
  <c r="K343" i="6"/>
  <c r="AM342" i="6"/>
  <c r="AE342" i="6"/>
  <c r="U342" i="6"/>
  <c r="AN342" i="6" s="1"/>
  <c r="N342" i="6"/>
  <c r="M342" i="6"/>
  <c r="L342" i="6"/>
  <c r="P342" i="6" s="1"/>
  <c r="K342" i="6"/>
  <c r="AN341" i="6"/>
  <c r="AM341" i="6"/>
  <c r="AE341" i="6"/>
  <c r="U341" i="6"/>
  <c r="N341" i="6"/>
  <c r="M341" i="6"/>
  <c r="L341" i="6"/>
  <c r="P341" i="6" s="1"/>
  <c r="K341" i="6"/>
  <c r="AM340" i="6"/>
  <c r="AE340" i="6"/>
  <c r="U340" i="6"/>
  <c r="AN340" i="6" s="1"/>
  <c r="N340" i="6"/>
  <c r="M340" i="6"/>
  <c r="L340" i="6"/>
  <c r="P340" i="6" s="1"/>
  <c r="K340" i="6"/>
  <c r="AN339" i="6"/>
  <c r="AM339" i="6"/>
  <c r="AE339" i="6"/>
  <c r="U339" i="6"/>
  <c r="N339" i="6"/>
  <c r="M339" i="6"/>
  <c r="L339" i="6"/>
  <c r="P339" i="6" s="1"/>
  <c r="K339" i="6"/>
  <c r="AM338" i="6"/>
  <c r="AE338" i="6"/>
  <c r="U338" i="6"/>
  <c r="AN338" i="6" s="1"/>
  <c r="N338" i="6"/>
  <c r="M338" i="6"/>
  <c r="L338" i="6"/>
  <c r="P338" i="6" s="1"/>
  <c r="K338" i="6"/>
  <c r="AN337" i="6"/>
  <c r="AM337" i="6"/>
  <c r="AE337" i="6"/>
  <c r="U337" i="6"/>
  <c r="N337" i="6"/>
  <c r="M337" i="6"/>
  <c r="L337" i="6"/>
  <c r="P337" i="6" s="1"/>
  <c r="K337" i="6"/>
  <c r="AM336" i="6"/>
  <c r="AE336" i="6"/>
  <c r="U336" i="6"/>
  <c r="AN336" i="6" s="1"/>
  <c r="N336" i="6"/>
  <c r="M336" i="6"/>
  <c r="L336" i="6"/>
  <c r="P336" i="6" s="1"/>
  <c r="K336" i="6"/>
  <c r="AN335" i="6"/>
  <c r="AM335" i="6"/>
  <c r="AE335" i="6"/>
  <c r="U335" i="6"/>
  <c r="N335" i="6"/>
  <c r="M335" i="6"/>
  <c r="L335" i="6"/>
  <c r="P335" i="6" s="1"/>
  <c r="K335" i="6"/>
  <c r="AM334" i="6"/>
  <c r="AE334" i="6"/>
  <c r="U334" i="6"/>
  <c r="AN334" i="6" s="1"/>
  <c r="N334" i="6"/>
  <c r="M334" i="6"/>
  <c r="L334" i="6"/>
  <c r="P334" i="6" s="1"/>
  <c r="K334" i="6"/>
  <c r="AN333" i="6"/>
  <c r="AM333" i="6"/>
  <c r="AE333" i="6"/>
  <c r="U333" i="6"/>
  <c r="N333" i="6"/>
  <c r="M333" i="6"/>
  <c r="L333" i="6"/>
  <c r="P333" i="6" s="1"/>
  <c r="K333" i="6"/>
  <c r="AM332" i="6"/>
  <c r="AE332" i="6"/>
  <c r="U332" i="6"/>
  <c r="AN332" i="6" s="1"/>
  <c r="N332" i="6"/>
  <c r="M332" i="6"/>
  <c r="L332" i="6"/>
  <c r="P332" i="6" s="1"/>
  <c r="K332" i="6"/>
  <c r="AN331" i="6"/>
  <c r="AM331" i="6"/>
  <c r="AE331" i="6"/>
  <c r="U331" i="6"/>
  <c r="N331" i="6"/>
  <c r="M331" i="6"/>
  <c r="L331" i="6"/>
  <c r="P331" i="6" s="1"/>
  <c r="K331" i="6"/>
  <c r="AM330" i="6"/>
  <c r="AE330" i="6"/>
  <c r="U330" i="6"/>
  <c r="AN330" i="6" s="1"/>
  <c r="N330" i="6"/>
  <c r="M330" i="6"/>
  <c r="L330" i="6"/>
  <c r="P330" i="6" s="1"/>
  <c r="K330" i="6"/>
  <c r="AN329" i="6"/>
  <c r="AM329" i="6"/>
  <c r="AE329" i="6"/>
  <c r="U329" i="6"/>
  <c r="N329" i="6"/>
  <c r="M329" i="6"/>
  <c r="L329" i="6"/>
  <c r="P329" i="6" s="1"/>
  <c r="K329" i="6"/>
  <c r="AM328" i="6"/>
  <c r="AE328" i="6"/>
  <c r="U328" i="6"/>
  <c r="AN328" i="6" s="1"/>
  <c r="N328" i="6"/>
  <c r="M328" i="6"/>
  <c r="L328" i="6"/>
  <c r="P328" i="6" s="1"/>
  <c r="K328" i="6"/>
  <c r="AN327" i="6"/>
  <c r="AM327" i="6"/>
  <c r="AE327" i="6"/>
  <c r="U327" i="6"/>
  <c r="N327" i="6"/>
  <c r="M327" i="6"/>
  <c r="L327" i="6"/>
  <c r="P327" i="6" s="1"/>
  <c r="K327" i="6"/>
  <c r="AM326" i="6"/>
  <c r="AE326" i="6"/>
  <c r="U326" i="6"/>
  <c r="AN326" i="6" s="1"/>
  <c r="N326" i="6"/>
  <c r="M326" i="6"/>
  <c r="L326" i="6"/>
  <c r="P326" i="6" s="1"/>
  <c r="K326" i="6"/>
  <c r="AN325" i="6"/>
  <c r="AM325" i="6"/>
  <c r="AE325" i="6"/>
  <c r="U325" i="6"/>
  <c r="N325" i="6"/>
  <c r="M325" i="6"/>
  <c r="L325" i="6"/>
  <c r="P325" i="6" s="1"/>
  <c r="K325" i="6"/>
  <c r="AM324" i="6"/>
  <c r="AE324" i="6"/>
  <c r="U324" i="6"/>
  <c r="AN324" i="6" s="1"/>
  <c r="N324" i="6"/>
  <c r="M324" i="6"/>
  <c r="L324" i="6"/>
  <c r="P324" i="6" s="1"/>
  <c r="K324" i="6"/>
  <c r="AN323" i="6"/>
  <c r="AM323" i="6"/>
  <c r="AE323" i="6"/>
  <c r="U323" i="6"/>
  <c r="N323" i="6"/>
  <c r="M323" i="6"/>
  <c r="L323" i="6"/>
  <c r="P323" i="6" s="1"/>
  <c r="K323" i="6"/>
  <c r="AM322" i="6"/>
  <c r="AE322" i="6"/>
  <c r="U322" i="6"/>
  <c r="AN322" i="6" s="1"/>
  <c r="N322" i="6"/>
  <c r="M322" i="6"/>
  <c r="L322" i="6"/>
  <c r="P322" i="6" s="1"/>
  <c r="K322" i="6"/>
  <c r="AN321" i="6"/>
  <c r="AM321" i="6"/>
  <c r="AE321" i="6"/>
  <c r="U321" i="6"/>
  <c r="N321" i="6"/>
  <c r="M321" i="6"/>
  <c r="L321" i="6"/>
  <c r="P321" i="6" s="1"/>
  <c r="K321" i="6"/>
  <c r="AN320" i="6"/>
  <c r="AM320" i="6"/>
  <c r="AE320" i="6"/>
  <c r="U320" i="6"/>
  <c r="N320" i="6"/>
  <c r="M320" i="6"/>
  <c r="L320" i="6"/>
  <c r="P320" i="6" s="1"/>
  <c r="K320" i="6"/>
  <c r="AN319" i="6"/>
  <c r="AM319" i="6"/>
  <c r="AE319" i="6"/>
  <c r="U319" i="6"/>
  <c r="N319" i="6"/>
  <c r="M319" i="6"/>
  <c r="L319" i="6"/>
  <c r="P319" i="6" s="1"/>
  <c r="K319" i="6"/>
  <c r="AN318" i="6"/>
  <c r="AM318" i="6"/>
  <c r="AE318" i="6"/>
  <c r="U318" i="6"/>
  <c r="N318" i="6"/>
  <c r="M318" i="6"/>
  <c r="L318" i="6"/>
  <c r="P318" i="6" s="1"/>
  <c r="K318" i="6"/>
  <c r="AN317" i="6"/>
  <c r="AM317" i="6"/>
  <c r="AE317" i="6"/>
  <c r="U317" i="6"/>
  <c r="N317" i="6"/>
  <c r="M317" i="6"/>
  <c r="L317" i="6"/>
  <c r="P317" i="6" s="1"/>
  <c r="K317" i="6"/>
  <c r="AN316" i="6"/>
  <c r="AM316" i="6"/>
  <c r="AE316" i="6"/>
  <c r="U316" i="6"/>
  <c r="N316" i="6"/>
  <c r="M316" i="6"/>
  <c r="L316" i="6"/>
  <c r="P316" i="6" s="1"/>
  <c r="K316" i="6"/>
  <c r="AN315" i="6"/>
  <c r="AM315" i="6"/>
  <c r="AE315" i="6"/>
  <c r="U315" i="6"/>
  <c r="N315" i="6"/>
  <c r="M315" i="6"/>
  <c r="L315" i="6"/>
  <c r="P315" i="6" s="1"/>
  <c r="K315" i="6"/>
  <c r="AN314" i="6"/>
  <c r="AM314" i="6"/>
  <c r="AE314" i="6"/>
  <c r="U314" i="6"/>
  <c r="N314" i="6"/>
  <c r="M314" i="6"/>
  <c r="L314" i="6"/>
  <c r="P314" i="6" s="1"/>
  <c r="K314" i="6"/>
  <c r="AN313" i="6"/>
  <c r="AM313" i="6"/>
  <c r="AE313" i="6"/>
  <c r="U313" i="6"/>
  <c r="N313" i="6"/>
  <c r="M313" i="6"/>
  <c r="L313" i="6"/>
  <c r="P313" i="6" s="1"/>
  <c r="K313" i="6"/>
  <c r="AN312" i="6"/>
  <c r="AM312" i="6"/>
  <c r="AE312" i="6"/>
  <c r="U312" i="6"/>
  <c r="N312" i="6"/>
  <c r="M312" i="6"/>
  <c r="L312" i="6"/>
  <c r="P312" i="6" s="1"/>
  <c r="K312" i="6"/>
  <c r="AN311" i="6"/>
  <c r="AM311" i="6"/>
  <c r="AE311" i="6"/>
  <c r="U311" i="6"/>
  <c r="N311" i="6"/>
  <c r="M311" i="6"/>
  <c r="L311" i="6"/>
  <c r="P311" i="6" s="1"/>
  <c r="K311" i="6"/>
  <c r="AN310" i="6"/>
  <c r="AM310" i="6"/>
  <c r="AE310" i="6"/>
  <c r="U310" i="6"/>
  <c r="N310" i="6"/>
  <c r="M310" i="6"/>
  <c r="L310" i="6"/>
  <c r="P310" i="6" s="1"/>
  <c r="K310" i="6"/>
  <c r="AN309" i="6"/>
  <c r="AM309" i="6"/>
  <c r="AE309" i="6"/>
  <c r="U309" i="6"/>
  <c r="N309" i="6"/>
  <c r="M309" i="6"/>
  <c r="L309" i="6"/>
  <c r="P309" i="6" s="1"/>
  <c r="K309" i="6"/>
  <c r="AN308" i="6"/>
  <c r="AM308" i="6"/>
  <c r="AE308" i="6"/>
  <c r="U308" i="6"/>
  <c r="N308" i="6"/>
  <c r="M308" i="6"/>
  <c r="L308" i="6"/>
  <c r="P308" i="6" s="1"/>
  <c r="K308" i="6"/>
  <c r="AN307" i="6"/>
  <c r="AM307" i="6"/>
  <c r="AE307" i="6"/>
  <c r="U307" i="6"/>
  <c r="N307" i="6"/>
  <c r="M307" i="6"/>
  <c r="L307" i="6"/>
  <c r="P307" i="6" s="1"/>
  <c r="K307" i="6"/>
  <c r="AN306" i="6"/>
  <c r="AM306" i="6"/>
  <c r="AE306" i="6"/>
  <c r="U306" i="6"/>
  <c r="N306" i="6"/>
  <c r="M306" i="6"/>
  <c r="L306" i="6"/>
  <c r="P306" i="6" s="1"/>
  <c r="K306" i="6"/>
  <c r="AN305" i="6"/>
  <c r="AM305" i="6"/>
  <c r="AE305" i="6"/>
  <c r="U305" i="6"/>
  <c r="N305" i="6"/>
  <c r="M305" i="6"/>
  <c r="L305" i="6"/>
  <c r="P305" i="6" s="1"/>
  <c r="K305" i="6"/>
  <c r="AN304" i="6"/>
  <c r="AM304" i="6"/>
  <c r="AE304" i="6"/>
  <c r="U304" i="6"/>
  <c r="N304" i="6"/>
  <c r="M304" i="6"/>
  <c r="L304" i="6"/>
  <c r="P304" i="6" s="1"/>
  <c r="K304" i="6"/>
  <c r="AN303" i="6"/>
  <c r="AM303" i="6"/>
  <c r="AE303" i="6"/>
  <c r="U303" i="6"/>
  <c r="N303" i="6"/>
  <c r="M303" i="6"/>
  <c r="L303" i="6"/>
  <c r="P303" i="6" s="1"/>
  <c r="K303" i="6"/>
  <c r="AN302" i="6"/>
  <c r="AM302" i="6"/>
  <c r="AE302" i="6"/>
  <c r="U302" i="6"/>
  <c r="N302" i="6"/>
  <c r="M302" i="6"/>
  <c r="L302" i="6"/>
  <c r="P302" i="6" s="1"/>
  <c r="K302" i="6"/>
  <c r="AN301" i="6"/>
  <c r="AM301" i="6"/>
  <c r="AE301" i="6"/>
  <c r="U301" i="6"/>
  <c r="N301" i="6"/>
  <c r="M301" i="6"/>
  <c r="L301" i="6"/>
  <c r="P301" i="6" s="1"/>
  <c r="K301" i="6"/>
  <c r="AN300" i="6"/>
  <c r="AM300" i="6"/>
  <c r="AE300" i="6"/>
  <c r="U300" i="6"/>
  <c r="N300" i="6"/>
  <c r="M300" i="6"/>
  <c r="L300" i="6"/>
  <c r="P300" i="6" s="1"/>
  <c r="K300" i="6"/>
  <c r="AN299" i="6"/>
  <c r="AM299" i="6"/>
  <c r="AE299" i="6"/>
  <c r="U299" i="6"/>
  <c r="N299" i="6"/>
  <c r="M299" i="6"/>
  <c r="L299" i="6"/>
  <c r="P299" i="6" s="1"/>
  <c r="K299" i="6"/>
  <c r="AN298" i="6"/>
  <c r="AM298" i="6"/>
  <c r="AE298" i="6"/>
  <c r="U298" i="6"/>
  <c r="N298" i="6"/>
  <c r="M298" i="6"/>
  <c r="L298" i="6"/>
  <c r="P298" i="6" s="1"/>
  <c r="K298" i="6"/>
  <c r="AN297" i="6"/>
  <c r="AM297" i="6"/>
  <c r="AE297" i="6"/>
  <c r="U297" i="6"/>
  <c r="N297" i="6"/>
  <c r="M297" i="6"/>
  <c r="L297" i="6"/>
  <c r="P297" i="6" s="1"/>
  <c r="K297" i="6"/>
  <c r="AN296" i="6"/>
  <c r="AM296" i="6"/>
  <c r="AE296" i="6"/>
  <c r="U296" i="6"/>
  <c r="N296" i="6"/>
  <c r="M296" i="6"/>
  <c r="L296" i="6"/>
  <c r="P296" i="6" s="1"/>
  <c r="K296" i="6"/>
  <c r="AN295" i="6"/>
  <c r="AM295" i="6"/>
  <c r="AE295" i="6"/>
  <c r="U295" i="6"/>
  <c r="N295" i="6"/>
  <c r="M295" i="6"/>
  <c r="L295" i="6"/>
  <c r="P295" i="6" s="1"/>
  <c r="K295" i="6"/>
  <c r="AN294" i="6"/>
  <c r="AM294" i="6"/>
  <c r="AE294" i="6"/>
  <c r="U294" i="6"/>
  <c r="N294" i="6"/>
  <c r="M294" i="6"/>
  <c r="L294" i="6"/>
  <c r="P294" i="6" s="1"/>
  <c r="K294" i="6"/>
  <c r="AN293" i="6"/>
  <c r="AM293" i="6"/>
  <c r="AE293" i="6"/>
  <c r="U293" i="6"/>
  <c r="N293" i="6"/>
  <c r="M293" i="6"/>
  <c r="L293" i="6"/>
  <c r="P293" i="6" s="1"/>
  <c r="K293" i="6"/>
  <c r="AN292" i="6"/>
  <c r="AM292" i="6"/>
  <c r="AE292" i="6"/>
  <c r="U292" i="6"/>
  <c r="N292" i="6"/>
  <c r="M292" i="6"/>
  <c r="L292" i="6"/>
  <c r="P292" i="6" s="1"/>
  <c r="K292" i="6"/>
  <c r="AN291" i="6"/>
  <c r="AM291" i="6"/>
  <c r="AE291" i="6"/>
  <c r="U291" i="6"/>
  <c r="N291" i="6"/>
  <c r="M291" i="6"/>
  <c r="L291" i="6"/>
  <c r="P291" i="6" s="1"/>
  <c r="K291" i="6"/>
  <c r="AN290" i="6"/>
  <c r="AM290" i="6"/>
  <c r="AE290" i="6"/>
  <c r="U290" i="6"/>
  <c r="N290" i="6"/>
  <c r="M290" i="6"/>
  <c r="L290" i="6"/>
  <c r="P290" i="6" s="1"/>
  <c r="K290" i="6"/>
  <c r="AN289" i="6"/>
  <c r="AM289" i="6"/>
  <c r="AE289" i="6"/>
  <c r="U289" i="6"/>
  <c r="N289" i="6"/>
  <c r="M289" i="6"/>
  <c r="L289" i="6"/>
  <c r="P289" i="6" s="1"/>
  <c r="K289" i="6"/>
  <c r="AN288" i="6"/>
  <c r="AM288" i="6"/>
  <c r="AE288" i="6"/>
  <c r="U288" i="6"/>
  <c r="N288" i="6"/>
  <c r="M288" i="6"/>
  <c r="L288" i="6"/>
  <c r="P288" i="6" s="1"/>
  <c r="K288" i="6"/>
  <c r="AN287" i="6"/>
  <c r="AM287" i="6"/>
  <c r="AE287" i="6"/>
  <c r="U287" i="6"/>
  <c r="N287" i="6"/>
  <c r="M287" i="6"/>
  <c r="L287" i="6"/>
  <c r="P287" i="6" s="1"/>
  <c r="K287" i="6"/>
  <c r="AN286" i="6"/>
  <c r="AM286" i="6"/>
  <c r="AE286" i="6"/>
  <c r="U286" i="6"/>
  <c r="N286" i="6"/>
  <c r="M286" i="6"/>
  <c r="L286" i="6"/>
  <c r="P286" i="6" s="1"/>
  <c r="K286" i="6"/>
  <c r="AN285" i="6"/>
  <c r="AM285" i="6"/>
  <c r="AE285" i="6"/>
  <c r="U285" i="6"/>
  <c r="N285" i="6"/>
  <c r="M285" i="6"/>
  <c r="L285" i="6"/>
  <c r="P285" i="6" s="1"/>
  <c r="K285" i="6"/>
  <c r="AN284" i="6"/>
  <c r="AM284" i="6"/>
  <c r="AE284" i="6"/>
  <c r="U284" i="6"/>
  <c r="N284" i="6"/>
  <c r="M284" i="6"/>
  <c r="L284" i="6"/>
  <c r="P284" i="6" s="1"/>
  <c r="K284" i="6"/>
  <c r="AN283" i="6"/>
  <c r="AM283" i="6"/>
  <c r="AE283" i="6"/>
  <c r="U283" i="6"/>
  <c r="N283" i="6"/>
  <c r="M283" i="6"/>
  <c r="L283" i="6"/>
  <c r="P283" i="6" s="1"/>
  <c r="K283" i="6"/>
  <c r="AN282" i="6"/>
  <c r="AM282" i="6"/>
  <c r="AE282" i="6"/>
  <c r="U282" i="6"/>
  <c r="N282" i="6"/>
  <c r="M282" i="6"/>
  <c r="L282" i="6"/>
  <c r="P282" i="6" s="1"/>
  <c r="K282" i="6"/>
  <c r="AN281" i="6"/>
  <c r="AM281" i="6"/>
  <c r="AE281" i="6"/>
  <c r="U281" i="6"/>
  <c r="N281" i="6"/>
  <c r="M281" i="6"/>
  <c r="L281" i="6"/>
  <c r="P281" i="6" s="1"/>
  <c r="K281" i="6"/>
  <c r="AN280" i="6"/>
  <c r="AM280" i="6"/>
  <c r="AE280" i="6"/>
  <c r="U280" i="6"/>
  <c r="N280" i="6"/>
  <c r="M280" i="6"/>
  <c r="L280" i="6"/>
  <c r="P280" i="6" s="1"/>
  <c r="K280" i="6"/>
  <c r="AN279" i="6"/>
  <c r="AM279" i="6"/>
  <c r="AE279" i="6"/>
  <c r="U279" i="6"/>
  <c r="N279" i="6"/>
  <c r="M279" i="6"/>
  <c r="L279" i="6"/>
  <c r="P279" i="6" s="1"/>
  <c r="K279" i="6"/>
  <c r="AN278" i="6"/>
  <c r="AM278" i="6"/>
  <c r="AE278" i="6"/>
  <c r="U278" i="6"/>
  <c r="N278" i="6"/>
  <c r="M278" i="6"/>
  <c r="L278" i="6"/>
  <c r="P278" i="6" s="1"/>
  <c r="K278" i="6"/>
  <c r="AN277" i="6"/>
  <c r="AM277" i="6"/>
  <c r="AE277" i="6"/>
  <c r="U277" i="6"/>
  <c r="N277" i="6"/>
  <c r="M277" i="6"/>
  <c r="L277" i="6"/>
  <c r="P277" i="6" s="1"/>
  <c r="K277" i="6"/>
  <c r="AN276" i="6"/>
  <c r="AM276" i="6"/>
  <c r="AE276" i="6"/>
  <c r="U276" i="6"/>
  <c r="N276" i="6"/>
  <c r="M276" i="6"/>
  <c r="L276" i="6"/>
  <c r="P276" i="6" s="1"/>
  <c r="K276" i="6"/>
  <c r="AN275" i="6"/>
  <c r="AM275" i="6"/>
  <c r="AE275" i="6"/>
  <c r="U275" i="6"/>
  <c r="N275" i="6"/>
  <c r="M275" i="6"/>
  <c r="L275" i="6"/>
  <c r="P275" i="6" s="1"/>
  <c r="K275" i="6"/>
  <c r="AN274" i="6"/>
  <c r="AM274" i="6"/>
  <c r="AE274" i="6"/>
  <c r="U274" i="6"/>
  <c r="N274" i="6"/>
  <c r="M274" i="6"/>
  <c r="L274" i="6"/>
  <c r="P274" i="6" s="1"/>
  <c r="K274" i="6"/>
  <c r="AN273" i="6"/>
  <c r="AM273" i="6"/>
  <c r="AE273" i="6"/>
  <c r="U273" i="6"/>
  <c r="N273" i="6"/>
  <c r="M273" i="6"/>
  <c r="L273" i="6"/>
  <c r="P273" i="6" s="1"/>
  <c r="K273" i="6"/>
  <c r="AN272" i="6"/>
  <c r="AM272" i="6"/>
  <c r="AE272" i="6"/>
  <c r="U272" i="6"/>
  <c r="N272" i="6"/>
  <c r="M272" i="6"/>
  <c r="L272" i="6"/>
  <c r="P272" i="6" s="1"/>
  <c r="K272" i="6"/>
  <c r="AN271" i="6"/>
  <c r="AM271" i="6"/>
  <c r="AE271" i="6"/>
  <c r="U271" i="6"/>
  <c r="N271" i="6"/>
  <c r="M271" i="6"/>
  <c r="L271" i="6"/>
  <c r="P271" i="6" s="1"/>
  <c r="K271" i="6"/>
  <c r="AN270" i="6"/>
  <c r="AM270" i="6"/>
  <c r="AE270" i="6"/>
  <c r="U270" i="6"/>
  <c r="N270" i="6"/>
  <c r="M270" i="6"/>
  <c r="L270" i="6"/>
  <c r="P270" i="6" s="1"/>
  <c r="K270" i="6"/>
  <c r="AN269" i="6"/>
  <c r="AM269" i="6"/>
  <c r="AE269" i="6"/>
  <c r="U269" i="6"/>
  <c r="N269" i="6"/>
  <c r="M269" i="6"/>
  <c r="L269" i="6"/>
  <c r="P269" i="6" s="1"/>
  <c r="K269" i="6"/>
  <c r="AN268" i="6"/>
  <c r="AM268" i="6"/>
  <c r="AE268" i="6"/>
  <c r="U268" i="6"/>
  <c r="N268" i="6"/>
  <c r="M268" i="6"/>
  <c r="L268" i="6"/>
  <c r="P268" i="6" s="1"/>
  <c r="K268" i="6"/>
  <c r="AN267" i="6"/>
  <c r="AM267" i="6"/>
  <c r="AE267" i="6"/>
  <c r="U267" i="6"/>
  <c r="N267" i="6"/>
  <c r="M267" i="6"/>
  <c r="L267" i="6"/>
  <c r="P267" i="6" s="1"/>
  <c r="K267" i="6"/>
  <c r="AN266" i="6"/>
  <c r="AM266" i="6"/>
  <c r="AE266" i="6"/>
  <c r="U266" i="6"/>
  <c r="N266" i="6"/>
  <c r="M266" i="6"/>
  <c r="L266" i="6"/>
  <c r="P266" i="6" s="1"/>
  <c r="K266" i="6"/>
  <c r="AN265" i="6"/>
  <c r="AM265" i="6"/>
  <c r="AE265" i="6"/>
  <c r="U265" i="6"/>
  <c r="N265" i="6"/>
  <c r="M265" i="6"/>
  <c r="L265" i="6"/>
  <c r="P265" i="6" s="1"/>
  <c r="K265" i="6"/>
  <c r="AN264" i="6"/>
  <c r="AM264" i="6"/>
  <c r="AE264" i="6"/>
  <c r="U264" i="6"/>
  <c r="N264" i="6"/>
  <c r="M264" i="6"/>
  <c r="L264" i="6"/>
  <c r="P264" i="6" s="1"/>
  <c r="K264" i="6"/>
  <c r="AN263" i="6"/>
  <c r="AM263" i="6"/>
  <c r="AE263" i="6"/>
  <c r="U263" i="6"/>
  <c r="N263" i="6"/>
  <c r="M263" i="6"/>
  <c r="L263" i="6"/>
  <c r="P263" i="6" s="1"/>
  <c r="K263" i="6"/>
  <c r="AN262" i="6"/>
  <c r="AM262" i="6"/>
  <c r="AE262" i="6"/>
  <c r="U262" i="6"/>
  <c r="N262" i="6"/>
  <c r="M262" i="6"/>
  <c r="L262" i="6"/>
  <c r="P262" i="6" s="1"/>
  <c r="K262" i="6"/>
  <c r="AN261" i="6"/>
  <c r="AM261" i="6"/>
  <c r="AE261" i="6"/>
  <c r="U261" i="6"/>
  <c r="N261" i="6"/>
  <c r="M261" i="6"/>
  <c r="L261" i="6"/>
  <c r="P261" i="6" s="1"/>
  <c r="K261" i="6"/>
  <c r="AN260" i="6"/>
  <c r="AM260" i="6"/>
  <c r="AE260" i="6"/>
  <c r="U260" i="6"/>
  <c r="N260" i="6"/>
  <c r="M260" i="6"/>
  <c r="L260" i="6"/>
  <c r="P260" i="6" s="1"/>
  <c r="K260" i="6"/>
  <c r="AN259" i="6"/>
  <c r="AM259" i="6"/>
  <c r="AE259" i="6"/>
  <c r="U259" i="6"/>
  <c r="N259" i="6"/>
  <c r="M259" i="6"/>
  <c r="L259" i="6"/>
  <c r="P259" i="6" s="1"/>
  <c r="K259" i="6"/>
  <c r="AN258" i="6"/>
  <c r="AM258" i="6"/>
  <c r="AE258" i="6"/>
  <c r="U258" i="6"/>
  <c r="N258" i="6"/>
  <c r="M258" i="6"/>
  <c r="L258" i="6"/>
  <c r="P258" i="6" s="1"/>
  <c r="K258" i="6"/>
  <c r="AN257" i="6"/>
  <c r="AM257" i="6"/>
  <c r="AE257" i="6"/>
  <c r="U257" i="6"/>
  <c r="N257" i="6"/>
  <c r="M257" i="6"/>
  <c r="L257" i="6"/>
  <c r="P257" i="6" s="1"/>
  <c r="K257" i="6"/>
  <c r="AN256" i="6"/>
  <c r="AM256" i="6"/>
  <c r="AE256" i="6"/>
  <c r="U256" i="6"/>
  <c r="N256" i="6"/>
  <c r="M256" i="6"/>
  <c r="L256" i="6"/>
  <c r="P256" i="6" s="1"/>
  <c r="K256" i="6"/>
  <c r="AN255" i="6"/>
  <c r="AM255" i="6"/>
  <c r="AE255" i="6"/>
  <c r="U255" i="6"/>
  <c r="N255" i="6"/>
  <c r="M255" i="6"/>
  <c r="L255" i="6"/>
  <c r="P255" i="6" s="1"/>
  <c r="K255" i="6"/>
  <c r="AN254" i="6"/>
  <c r="AM254" i="6"/>
  <c r="AE254" i="6"/>
  <c r="U254" i="6"/>
  <c r="N254" i="6"/>
  <c r="M254" i="6"/>
  <c r="L254" i="6"/>
  <c r="P254" i="6" s="1"/>
  <c r="K254" i="6"/>
  <c r="AN253" i="6"/>
  <c r="AM253" i="6"/>
  <c r="AE253" i="6"/>
  <c r="U253" i="6"/>
  <c r="N253" i="6"/>
  <c r="M253" i="6"/>
  <c r="L253" i="6"/>
  <c r="P253" i="6" s="1"/>
  <c r="K253" i="6"/>
  <c r="AN252" i="6"/>
  <c r="AM252" i="6"/>
  <c r="AE252" i="6"/>
  <c r="U252" i="6"/>
  <c r="N252" i="6"/>
  <c r="M252" i="6"/>
  <c r="L252" i="6"/>
  <c r="P252" i="6" s="1"/>
  <c r="K252" i="6"/>
  <c r="AN251" i="6"/>
  <c r="AM251" i="6"/>
  <c r="AE251" i="6"/>
  <c r="U251" i="6"/>
  <c r="N251" i="6"/>
  <c r="M251" i="6"/>
  <c r="L251" i="6"/>
  <c r="P251" i="6" s="1"/>
  <c r="K251" i="6"/>
  <c r="AN250" i="6"/>
  <c r="AM250" i="6"/>
  <c r="AE250" i="6"/>
  <c r="U250" i="6"/>
  <c r="N250" i="6"/>
  <c r="M250" i="6"/>
  <c r="L250" i="6"/>
  <c r="P250" i="6" s="1"/>
  <c r="K250" i="6"/>
  <c r="AN249" i="6"/>
  <c r="AM249" i="6"/>
  <c r="AE249" i="6"/>
  <c r="U249" i="6"/>
  <c r="N249" i="6"/>
  <c r="M249" i="6"/>
  <c r="L249" i="6"/>
  <c r="P249" i="6" s="1"/>
  <c r="K249" i="6"/>
  <c r="AN248" i="6"/>
  <c r="AM248" i="6"/>
  <c r="AE248" i="6"/>
  <c r="U248" i="6"/>
  <c r="N248" i="6"/>
  <c r="M248" i="6"/>
  <c r="L248" i="6"/>
  <c r="P248" i="6" s="1"/>
  <c r="K248" i="6"/>
  <c r="AN247" i="6"/>
  <c r="AM247" i="6"/>
  <c r="AE247" i="6"/>
  <c r="U247" i="6"/>
  <c r="N247" i="6"/>
  <c r="M247" i="6"/>
  <c r="L247" i="6"/>
  <c r="P247" i="6" s="1"/>
  <c r="K247" i="6"/>
  <c r="AN246" i="6"/>
  <c r="AM246" i="6"/>
  <c r="AE246" i="6"/>
  <c r="U246" i="6"/>
  <c r="N246" i="6"/>
  <c r="M246" i="6"/>
  <c r="L246" i="6"/>
  <c r="P246" i="6" s="1"/>
  <c r="K246" i="6"/>
  <c r="AN245" i="6"/>
  <c r="AM245" i="6"/>
  <c r="AE245" i="6"/>
  <c r="U245" i="6"/>
  <c r="N245" i="6"/>
  <c r="M245" i="6"/>
  <c r="L245" i="6"/>
  <c r="P245" i="6" s="1"/>
  <c r="K245" i="6"/>
  <c r="AN244" i="6"/>
  <c r="AM244" i="6"/>
  <c r="AE244" i="6"/>
  <c r="U244" i="6"/>
  <c r="N244" i="6"/>
  <c r="M244" i="6"/>
  <c r="L244" i="6"/>
  <c r="P244" i="6" s="1"/>
  <c r="K244" i="6"/>
  <c r="AN243" i="6"/>
  <c r="AM243" i="6"/>
  <c r="AE243" i="6"/>
  <c r="U243" i="6"/>
  <c r="N243" i="6"/>
  <c r="M243" i="6"/>
  <c r="L243" i="6"/>
  <c r="P243" i="6" s="1"/>
  <c r="K243" i="6"/>
  <c r="AN242" i="6"/>
  <c r="AM242" i="6"/>
  <c r="AE242" i="6"/>
  <c r="U242" i="6"/>
  <c r="N242" i="6"/>
  <c r="M242" i="6"/>
  <c r="L242" i="6"/>
  <c r="P242" i="6" s="1"/>
  <c r="K242" i="6"/>
  <c r="AN241" i="6"/>
  <c r="AM241" i="6"/>
  <c r="AE241" i="6"/>
  <c r="U241" i="6"/>
  <c r="N241" i="6"/>
  <c r="M241" i="6"/>
  <c r="L241" i="6"/>
  <c r="P241" i="6" s="1"/>
  <c r="K241" i="6"/>
  <c r="AN240" i="6"/>
  <c r="AM240" i="6"/>
  <c r="AE240" i="6"/>
  <c r="U240" i="6"/>
  <c r="N240" i="6"/>
  <c r="M240" i="6"/>
  <c r="L240" i="6"/>
  <c r="P240" i="6" s="1"/>
  <c r="K240" i="6"/>
  <c r="AN239" i="6"/>
  <c r="AM239" i="6"/>
  <c r="AE239" i="6"/>
  <c r="U239" i="6"/>
  <c r="N239" i="6"/>
  <c r="M239" i="6"/>
  <c r="L239" i="6"/>
  <c r="P239" i="6" s="1"/>
  <c r="K239" i="6"/>
  <c r="AN238" i="6"/>
  <c r="AM238" i="6"/>
  <c r="AE238" i="6"/>
  <c r="U238" i="6"/>
  <c r="N238" i="6"/>
  <c r="M238" i="6"/>
  <c r="L238" i="6"/>
  <c r="P238" i="6" s="1"/>
  <c r="K238" i="6"/>
  <c r="AN237" i="6"/>
  <c r="AM237" i="6"/>
  <c r="AE237" i="6"/>
  <c r="U237" i="6"/>
  <c r="N237" i="6"/>
  <c r="M237" i="6"/>
  <c r="L237" i="6"/>
  <c r="P237" i="6" s="1"/>
  <c r="K237" i="6"/>
  <c r="AN236" i="6"/>
  <c r="AM236" i="6"/>
  <c r="AE236" i="6"/>
  <c r="U236" i="6"/>
  <c r="S236" i="6"/>
  <c r="R236" i="6" s="1"/>
  <c r="P236" i="6"/>
  <c r="Q236" i="6" s="1"/>
  <c r="AF236" i="6" s="1"/>
  <c r="AH236" i="6" s="1"/>
  <c r="N236" i="6"/>
  <c r="M236" i="6"/>
  <c r="L236" i="6"/>
  <c r="K236" i="6"/>
  <c r="AN235" i="6"/>
  <c r="AM235" i="6"/>
  <c r="AE235" i="6"/>
  <c r="U235" i="6"/>
  <c r="S235" i="6"/>
  <c r="R235" i="6" s="1"/>
  <c r="P235" i="6"/>
  <c r="Q235" i="6" s="1"/>
  <c r="AF235" i="6" s="1"/>
  <c r="AH235" i="6" s="1"/>
  <c r="N235" i="6"/>
  <c r="M235" i="6"/>
  <c r="L235" i="6"/>
  <c r="K235" i="6"/>
  <c r="AN234" i="6"/>
  <c r="AM234" i="6"/>
  <c r="AE234" i="6"/>
  <c r="U234" i="6"/>
  <c r="S234" i="6"/>
  <c r="R234" i="6" s="1"/>
  <c r="P234" i="6"/>
  <c r="Q234" i="6" s="1"/>
  <c r="AF234" i="6" s="1"/>
  <c r="AH234" i="6" s="1"/>
  <c r="N234" i="6"/>
  <c r="M234" i="6"/>
  <c r="L234" i="6"/>
  <c r="K234" i="6"/>
  <c r="AN233" i="6"/>
  <c r="AM233" i="6"/>
  <c r="AE233" i="6"/>
  <c r="U233" i="6"/>
  <c r="S233" i="6"/>
  <c r="R233" i="6" s="1"/>
  <c r="P233" i="6"/>
  <c r="Q233" i="6" s="1"/>
  <c r="AF233" i="6" s="1"/>
  <c r="AH233" i="6" s="1"/>
  <c r="N233" i="6"/>
  <c r="M233" i="6"/>
  <c r="L233" i="6"/>
  <c r="K233" i="6"/>
  <c r="AN232" i="6"/>
  <c r="AM232" i="6"/>
  <c r="AE232" i="6"/>
  <c r="U232" i="6"/>
  <c r="S232" i="6"/>
  <c r="R232" i="6" s="1"/>
  <c r="P232" i="6"/>
  <c r="Q232" i="6" s="1"/>
  <c r="AF232" i="6" s="1"/>
  <c r="AH232" i="6" s="1"/>
  <c r="N232" i="6"/>
  <c r="M232" i="6"/>
  <c r="L232" i="6"/>
  <c r="K232" i="6"/>
  <c r="AN231" i="6"/>
  <c r="AM231" i="6"/>
  <c r="AE231" i="6"/>
  <c r="U231" i="6"/>
  <c r="S231" i="6"/>
  <c r="R231" i="6" s="1"/>
  <c r="P231" i="6"/>
  <c r="Q231" i="6" s="1"/>
  <c r="AF231" i="6" s="1"/>
  <c r="AH231" i="6" s="1"/>
  <c r="N231" i="6"/>
  <c r="M231" i="6"/>
  <c r="L231" i="6"/>
  <c r="K231" i="6"/>
  <c r="AN230" i="6"/>
  <c r="AM230" i="6"/>
  <c r="AE230" i="6"/>
  <c r="U230" i="6"/>
  <c r="S230" i="6"/>
  <c r="R230" i="6" s="1"/>
  <c r="P230" i="6"/>
  <c r="Q230" i="6" s="1"/>
  <c r="AF230" i="6" s="1"/>
  <c r="AH230" i="6" s="1"/>
  <c r="N230" i="6"/>
  <c r="M230" i="6"/>
  <c r="L230" i="6"/>
  <c r="K230" i="6"/>
  <c r="AN229" i="6"/>
  <c r="AM229" i="6"/>
  <c r="AE229" i="6"/>
  <c r="U229" i="6"/>
  <c r="S229" i="6"/>
  <c r="R229" i="6" s="1"/>
  <c r="P229" i="6"/>
  <c r="Q229" i="6" s="1"/>
  <c r="AF229" i="6" s="1"/>
  <c r="AH229" i="6" s="1"/>
  <c r="N229" i="6"/>
  <c r="M229" i="6"/>
  <c r="L229" i="6"/>
  <c r="K229" i="6"/>
  <c r="AN228" i="6"/>
  <c r="AM228" i="6"/>
  <c r="AE228" i="6"/>
  <c r="U228" i="6"/>
  <c r="S228" i="6"/>
  <c r="R228" i="6" s="1"/>
  <c r="P228" i="6"/>
  <c r="Q228" i="6" s="1"/>
  <c r="AF228" i="6" s="1"/>
  <c r="AH228" i="6" s="1"/>
  <c r="N228" i="6"/>
  <c r="M228" i="6"/>
  <c r="L228" i="6"/>
  <c r="K228" i="6"/>
  <c r="AN227" i="6"/>
  <c r="AM227" i="6"/>
  <c r="AE227" i="6"/>
  <c r="U227" i="6"/>
  <c r="S227" i="6"/>
  <c r="R227" i="6" s="1"/>
  <c r="P227" i="6"/>
  <c r="Q227" i="6" s="1"/>
  <c r="AF227" i="6" s="1"/>
  <c r="AH227" i="6" s="1"/>
  <c r="N227" i="6"/>
  <c r="M227" i="6"/>
  <c r="L227" i="6"/>
  <c r="K227" i="6"/>
  <c r="AN226" i="6"/>
  <c r="AM226" i="6"/>
  <c r="AE226" i="6"/>
  <c r="U226" i="6"/>
  <c r="S226" i="6"/>
  <c r="R226" i="6" s="1"/>
  <c r="P226" i="6"/>
  <c r="Q226" i="6" s="1"/>
  <c r="AF226" i="6" s="1"/>
  <c r="AH226" i="6" s="1"/>
  <c r="N226" i="6"/>
  <c r="M226" i="6"/>
  <c r="L226" i="6"/>
  <c r="K226" i="6"/>
  <c r="AN225" i="6"/>
  <c r="AM225" i="6"/>
  <c r="AE225" i="6"/>
  <c r="U225" i="6"/>
  <c r="S225" i="6"/>
  <c r="R225" i="6" s="1"/>
  <c r="P225" i="6"/>
  <c r="Q225" i="6" s="1"/>
  <c r="AF225" i="6" s="1"/>
  <c r="AH225" i="6" s="1"/>
  <c r="N225" i="6"/>
  <c r="M225" i="6"/>
  <c r="L225" i="6"/>
  <c r="K225" i="6"/>
  <c r="AN224" i="6"/>
  <c r="AM224" i="6"/>
  <c r="AE224" i="6"/>
  <c r="U224" i="6"/>
  <c r="S224" i="6"/>
  <c r="R224" i="6" s="1"/>
  <c r="P224" i="6"/>
  <c r="Q224" i="6" s="1"/>
  <c r="AF224" i="6" s="1"/>
  <c r="AH224" i="6" s="1"/>
  <c r="N224" i="6"/>
  <c r="M224" i="6"/>
  <c r="L224" i="6"/>
  <c r="K224" i="6"/>
  <c r="AN223" i="6"/>
  <c r="AM223" i="6"/>
  <c r="AE223" i="6"/>
  <c r="U223" i="6"/>
  <c r="S223" i="6"/>
  <c r="R223" i="6" s="1"/>
  <c r="P223" i="6"/>
  <c r="Q223" i="6" s="1"/>
  <c r="AF223" i="6" s="1"/>
  <c r="AH223" i="6" s="1"/>
  <c r="N223" i="6"/>
  <c r="M223" i="6"/>
  <c r="L223" i="6"/>
  <c r="K223" i="6"/>
  <c r="AN222" i="6"/>
  <c r="AM222" i="6"/>
  <c r="AE222" i="6"/>
  <c r="U222" i="6"/>
  <c r="S222" i="6"/>
  <c r="R222" i="6" s="1"/>
  <c r="P222" i="6"/>
  <c r="Q222" i="6" s="1"/>
  <c r="AF222" i="6" s="1"/>
  <c r="AH222" i="6" s="1"/>
  <c r="N222" i="6"/>
  <c r="M222" i="6"/>
  <c r="L222" i="6"/>
  <c r="K222" i="6"/>
  <c r="AN221" i="6"/>
  <c r="AM221" i="6"/>
  <c r="AE221" i="6"/>
  <c r="U221" i="6"/>
  <c r="S221" i="6"/>
  <c r="R221" i="6" s="1"/>
  <c r="P221" i="6"/>
  <c r="Q221" i="6" s="1"/>
  <c r="AF221" i="6" s="1"/>
  <c r="AH221" i="6" s="1"/>
  <c r="N221" i="6"/>
  <c r="M221" i="6"/>
  <c r="L221" i="6"/>
  <c r="K221" i="6"/>
  <c r="AN220" i="6"/>
  <c r="AM220" i="6"/>
  <c r="AE220" i="6"/>
  <c r="U220" i="6"/>
  <c r="S220" i="6"/>
  <c r="R220" i="6" s="1"/>
  <c r="P220" i="6"/>
  <c r="Q220" i="6" s="1"/>
  <c r="AF220" i="6" s="1"/>
  <c r="AH220" i="6" s="1"/>
  <c r="N220" i="6"/>
  <c r="M220" i="6"/>
  <c r="L220" i="6"/>
  <c r="K220" i="6"/>
  <c r="AN219" i="6"/>
  <c r="AM219" i="6"/>
  <c r="AE219" i="6"/>
  <c r="U219" i="6"/>
  <c r="S219" i="6"/>
  <c r="R219" i="6" s="1"/>
  <c r="P219" i="6"/>
  <c r="Q219" i="6" s="1"/>
  <c r="AF219" i="6" s="1"/>
  <c r="AH219" i="6" s="1"/>
  <c r="N219" i="6"/>
  <c r="M219" i="6"/>
  <c r="L219" i="6"/>
  <c r="K219" i="6"/>
  <c r="AN218" i="6"/>
  <c r="AM218" i="6"/>
  <c r="AE218" i="6"/>
  <c r="U218" i="6"/>
  <c r="S218" i="6"/>
  <c r="R218" i="6" s="1"/>
  <c r="P218" i="6"/>
  <c r="Q218" i="6" s="1"/>
  <c r="AF218" i="6" s="1"/>
  <c r="AH218" i="6" s="1"/>
  <c r="N218" i="6"/>
  <c r="M218" i="6"/>
  <c r="L218" i="6"/>
  <c r="K218" i="6"/>
  <c r="AN217" i="6"/>
  <c r="AM217" i="6"/>
  <c r="AE217" i="6"/>
  <c r="U217" i="6"/>
  <c r="S217" i="6"/>
  <c r="R217" i="6" s="1"/>
  <c r="P217" i="6"/>
  <c r="Q217" i="6" s="1"/>
  <c r="AF217" i="6" s="1"/>
  <c r="AH217" i="6" s="1"/>
  <c r="N217" i="6"/>
  <c r="M217" i="6"/>
  <c r="L217" i="6"/>
  <c r="K217" i="6"/>
  <c r="AN216" i="6"/>
  <c r="AM216" i="6"/>
  <c r="AE216" i="6"/>
  <c r="U216" i="6"/>
  <c r="S216" i="6"/>
  <c r="R216" i="6" s="1"/>
  <c r="P216" i="6"/>
  <c r="Q216" i="6" s="1"/>
  <c r="AF216" i="6" s="1"/>
  <c r="AH216" i="6" s="1"/>
  <c r="N216" i="6"/>
  <c r="M216" i="6"/>
  <c r="L216" i="6"/>
  <c r="K216" i="6"/>
  <c r="AN215" i="6"/>
  <c r="AM215" i="6"/>
  <c r="AE215" i="6"/>
  <c r="U215" i="6"/>
  <c r="S215" i="6"/>
  <c r="R215" i="6" s="1"/>
  <c r="P215" i="6"/>
  <c r="Q215" i="6" s="1"/>
  <c r="AF215" i="6" s="1"/>
  <c r="AH215" i="6" s="1"/>
  <c r="N215" i="6"/>
  <c r="M215" i="6"/>
  <c r="L215" i="6"/>
  <c r="K215" i="6"/>
  <c r="AN214" i="6"/>
  <c r="AM214" i="6"/>
  <c r="AE214" i="6"/>
  <c r="U214" i="6"/>
  <c r="S214" i="6"/>
  <c r="R214" i="6" s="1"/>
  <c r="P214" i="6"/>
  <c r="Q214" i="6" s="1"/>
  <c r="AF214" i="6" s="1"/>
  <c r="AH214" i="6" s="1"/>
  <c r="N214" i="6"/>
  <c r="M214" i="6"/>
  <c r="L214" i="6"/>
  <c r="K214" i="6"/>
  <c r="AN213" i="6"/>
  <c r="AM213" i="6"/>
  <c r="AE213" i="6"/>
  <c r="U213" i="6"/>
  <c r="S213" i="6"/>
  <c r="R213" i="6" s="1"/>
  <c r="P213" i="6"/>
  <c r="Q213" i="6" s="1"/>
  <c r="AF213" i="6" s="1"/>
  <c r="AH213" i="6" s="1"/>
  <c r="N213" i="6"/>
  <c r="M213" i="6"/>
  <c r="L213" i="6"/>
  <c r="K213" i="6"/>
  <c r="AN212" i="6"/>
  <c r="AM212" i="6"/>
  <c r="AE212" i="6"/>
  <c r="U212" i="6"/>
  <c r="S212" i="6"/>
  <c r="R212" i="6" s="1"/>
  <c r="P212" i="6"/>
  <c r="Q212" i="6" s="1"/>
  <c r="AF212" i="6" s="1"/>
  <c r="AH212" i="6" s="1"/>
  <c r="N212" i="6"/>
  <c r="M212" i="6"/>
  <c r="L212" i="6"/>
  <c r="K212" i="6"/>
  <c r="AN211" i="6"/>
  <c r="AM211" i="6"/>
  <c r="AE211" i="6"/>
  <c r="U211" i="6"/>
  <c r="S211" i="6"/>
  <c r="R211" i="6" s="1"/>
  <c r="P211" i="6"/>
  <c r="Q211" i="6" s="1"/>
  <c r="AF211" i="6" s="1"/>
  <c r="AH211" i="6" s="1"/>
  <c r="N211" i="6"/>
  <c r="M211" i="6"/>
  <c r="L211" i="6"/>
  <c r="K211" i="6"/>
  <c r="AN210" i="6"/>
  <c r="AM210" i="6"/>
  <c r="AE210" i="6"/>
  <c r="U210" i="6"/>
  <c r="S210" i="6"/>
  <c r="R210" i="6" s="1"/>
  <c r="P210" i="6"/>
  <c r="Q210" i="6" s="1"/>
  <c r="AF210" i="6" s="1"/>
  <c r="AH210" i="6" s="1"/>
  <c r="N210" i="6"/>
  <c r="M210" i="6"/>
  <c r="L210" i="6"/>
  <c r="K210" i="6"/>
  <c r="AN209" i="6"/>
  <c r="AM209" i="6"/>
  <c r="AE209" i="6"/>
  <c r="U209" i="6"/>
  <c r="S209" i="6"/>
  <c r="R209" i="6" s="1"/>
  <c r="P209" i="6"/>
  <c r="Q209" i="6" s="1"/>
  <c r="AF209" i="6" s="1"/>
  <c r="AH209" i="6" s="1"/>
  <c r="N209" i="6"/>
  <c r="M209" i="6"/>
  <c r="L209" i="6"/>
  <c r="K209" i="6"/>
  <c r="AN208" i="6"/>
  <c r="AM208" i="6"/>
  <c r="AE208" i="6"/>
  <c r="U208" i="6"/>
  <c r="S208" i="6"/>
  <c r="R208" i="6" s="1"/>
  <c r="P208" i="6"/>
  <c r="Q208" i="6" s="1"/>
  <c r="AF208" i="6" s="1"/>
  <c r="AH208" i="6" s="1"/>
  <c r="N208" i="6"/>
  <c r="M208" i="6"/>
  <c r="L208" i="6"/>
  <c r="K208" i="6"/>
  <c r="AN207" i="6"/>
  <c r="AM207" i="6"/>
  <c r="AE207" i="6"/>
  <c r="U207" i="6"/>
  <c r="S207" i="6"/>
  <c r="R207" i="6" s="1"/>
  <c r="P207" i="6"/>
  <c r="Q207" i="6" s="1"/>
  <c r="AF207" i="6" s="1"/>
  <c r="AH207" i="6" s="1"/>
  <c r="N207" i="6"/>
  <c r="M207" i="6"/>
  <c r="L207" i="6"/>
  <c r="K207" i="6"/>
  <c r="AN206" i="6"/>
  <c r="AM206" i="6"/>
  <c r="AE206" i="6"/>
  <c r="U206" i="6"/>
  <c r="S206" i="6"/>
  <c r="R206" i="6" s="1"/>
  <c r="P206" i="6"/>
  <c r="Q206" i="6" s="1"/>
  <c r="AF206" i="6" s="1"/>
  <c r="AH206" i="6" s="1"/>
  <c r="N206" i="6"/>
  <c r="M206" i="6"/>
  <c r="L206" i="6"/>
  <c r="K206" i="6"/>
  <c r="AN205" i="6"/>
  <c r="AM205" i="6"/>
  <c r="AE205" i="6"/>
  <c r="U205" i="6"/>
  <c r="S205" i="6"/>
  <c r="R205" i="6" s="1"/>
  <c r="P205" i="6"/>
  <c r="Q205" i="6" s="1"/>
  <c r="AF205" i="6" s="1"/>
  <c r="AH205" i="6" s="1"/>
  <c r="N205" i="6"/>
  <c r="M205" i="6"/>
  <c r="L205" i="6"/>
  <c r="K205" i="6"/>
  <c r="AN204" i="6"/>
  <c r="AM204" i="6"/>
  <c r="AE204" i="6"/>
  <c r="U204" i="6"/>
  <c r="S204" i="6"/>
  <c r="R204" i="6" s="1"/>
  <c r="P204" i="6"/>
  <c r="Q204" i="6" s="1"/>
  <c r="AF204" i="6" s="1"/>
  <c r="AH204" i="6" s="1"/>
  <c r="N204" i="6"/>
  <c r="M204" i="6"/>
  <c r="L204" i="6"/>
  <c r="K204" i="6"/>
  <c r="AN203" i="6"/>
  <c r="AM203" i="6"/>
  <c r="AE203" i="6"/>
  <c r="U203" i="6"/>
  <c r="S203" i="6"/>
  <c r="R203" i="6" s="1"/>
  <c r="P203" i="6"/>
  <c r="Q203" i="6" s="1"/>
  <c r="AF203" i="6" s="1"/>
  <c r="AH203" i="6" s="1"/>
  <c r="N203" i="6"/>
  <c r="M203" i="6"/>
  <c r="L203" i="6"/>
  <c r="K203" i="6"/>
  <c r="AN202" i="6"/>
  <c r="AM202" i="6"/>
  <c r="AE202" i="6"/>
  <c r="U202" i="6"/>
  <c r="S202" i="6"/>
  <c r="R202" i="6" s="1"/>
  <c r="P202" i="6"/>
  <c r="Q202" i="6" s="1"/>
  <c r="AF202" i="6" s="1"/>
  <c r="AH202" i="6" s="1"/>
  <c r="N202" i="6"/>
  <c r="M202" i="6"/>
  <c r="L202" i="6"/>
  <c r="K202" i="6"/>
  <c r="AN201" i="6"/>
  <c r="AM201" i="6"/>
  <c r="AE201" i="6"/>
  <c r="U201" i="6"/>
  <c r="S201" i="6"/>
  <c r="R201" i="6" s="1"/>
  <c r="P201" i="6"/>
  <c r="Q201" i="6" s="1"/>
  <c r="AF201" i="6" s="1"/>
  <c r="AH201" i="6" s="1"/>
  <c r="N201" i="6"/>
  <c r="M201" i="6"/>
  <c r="L201" i="6"/>
  <c r="K201" i="6"/>
  <c r="AN200" i="6"/>
  <c r="AM200" i="6"/>
  <c r="AE200" i="6"/>
  <c r="U200" i="6"/>
  <c r="S200" i="6"/>
  <c r="R200" i="6" s="1"/>
  <c r="P200" i="6"/>
  <c r="Q200" i="6" s="1"/>
  <c r="AF200" i="6" s="1"/>
  <c r="AH200" i="6" s="1"/>
  <c r="N200" i="6"/>
  <c r="M200" i="6"/>
  <c r="L200" i="6"/>
  <c r="K200" i="6"/>
  <c r="AN199" i="6"/>
  <c r="AM199" i="6"/>
  <c r="AE199" i="6"/>
  <c r="U199" i="6"/>
  <c r="S199" i="6"/>
  <c r="R199" i="6" s="1"/>
  <c r="P199" i="6"/>
  <c r="Q199" i="6" s="1"/>
  <c r="AF199" i="6" s="1"/>
  <c r="AH199" i="6" s="1"/>
  <c r="N199" i="6"/>
  <c r="M199" i="6"/>
  <c r="L199" i="6"/>
  <c r="K199" i="6"/>
  <c r="AN198" i="6"/>
  <c r="AM198" i="6"/>
  <c r="AE198" i="6"/>
  <c r="U198" i="6"/>
  <c r="S198" i="6"/>
  <c r="R198" i="6" s="1"/>
  <c r="P198" i="6"/>
  <c r="Q198" i="6" s="1"/>
  <c r="AF198" i="6" s="1"/>
  <c r="AH198" i="6" s="1"/>
  <c r="N198" i="6"/>
  <c r="M198" i="6"/>
  <c r="L198" i="6"/>
  <c r="K198" i="6"/>
  <c r="AN197" i="6"/>
  <c r="AM197" i="6"/>
  <c r="AE197" i="6"/>
  <c r="U197" i="6"/>
  <c r="S197" i="6"/>
  <c r="R197" i="6" s="1"/>
  <c r="P197" i="6"/>
  <c r="Q197" i="6" s="1"/>
  <c r="AF197" i="6" s="1"/>
  <c r="AH197" i="6" s="1"/>
  <c r="N197" i="6"/>
  <c r="M197" i="6"/>
  <c r="L197" i="6"/>
  <c r="K197" i="6"/>
  <c r="AN196" i="6"/>
  <c r="AM196" i="6"/>
  <c r="AE196" i="6"/>
  <c r="U196" i="6"/>
  <c r="S196" i="6"/>
  <c r="R196" i="6" s="1"/>
  <c r="P196" i="6"/>
  <c r="Q196" i="6" s="1"/>
  <c r="AF196" i="6" s="1"/>
  <c r="AH196" i="6" s="1"/>
  <c r="N196" i="6"/>
  <c r="M196" i="6"/>
  <c r="L196" i="6"/>
  <c r="K196" i="6"/>
  <c r="AN195" i="6"/>
  <c r="AM195" i="6"/>
  <c r="AE195" i="6"/>
  <c r="U195" i="6"/>
  <c r="S195" i="6"/>
  <c r="R195" i="6" s="1"/>
  <c r="P195" i="6"/>
  <c r="Q195" i="6" s="1"/>
  <c r="AF195" i="6" s="1"/>
  <c r="AH195" i="6" s="1"/>
  <c r="N195" i="6"/>
  <c r="M195" i="6"/>
  <c r="L195" i="6"/>
  <c r="K195" i="6"/>
  <c r="AN194" i="6"/>
  <c r="AM194" i="6"/>
  <c r="AE194" i="6"/>
  <c r="U194" i="6"/>
  <c r="S194" i="6"/>
  <c r="R194" i="6" s="1"/>
  <c r="P194" i="6"/>
  <c r="Q194" i="6" s="1"/>
  <c r="AF194" i="6" s="1"/>
  <c r="AH194" i="6" s="1"/>
  <c r="N194" i="6"/>
  <c r="M194" i="6"/>
  <c r="L194" i="6"/>
  <c r="K194" i="6"/>
  <c r="AN193" i="6"/>
  <c r="AM193" i="6"/>
  <c r="AE193" i="6"/>
  <c r="U193" i="6"/>
  <c r="S193" i="6"/>
  <c r="R193" i="6" s="1"/>
  <c r="P193" i="6"/>
  <c r="Q193" i="6" s="1"/>
  <c r="AF193" i="6" s="1"/>
  <c r="AH193" i="6" s="1"/>
  <c r="N193" i="6"/>
  <c r="M193" i="6"/>
  <c r="L193" i="6"/>
  <c r="K193" i="6"/>
  <c r="AN192" i="6"/>
  <c r="AM192" i="6"/>
  <c r="AE192" i="6"/>
  <c r="U192" i="6"/>
  <c r="S192" i="6"/>
  <c r="R192" i="6" s="1"/>
  <c r="P192" i="6"/>
  <c r="Q192" i="6" s="1"/>
  <c r="AF192" i="6" s="1"/>
  <c r="AH192" i="6" s="1"/>
  <c r="N192" i="6"/>
  <c r="M192" i="6"/>
  <c r="L192" i="6"/>
  <c r="K192" i="6"/>
  <c r="AN191" i="6"/>
  <c r="AM191" i="6"/>
  <c r="AE191" i="6"/>
  <c r="U191" i="6"/>
  <c r="S191" i="6"/>
  <c r="R191" i="6" s="1"/>
  <c r="P191" i="6"/>
  <c r="Q191" i="6" s="1"/>
  <c r="AF191" i="6" s="1"/>
  <c r="AH191" i="6" s="1"/>
  <c r="N191" i="6"/>
  <c r="M191" i="6"/>
  <c r="L191" i="6"/>
  <c r="K191" i="6"/>
  <c r="AN190" i="6"/>
  <c r="AM190" i="6"/>
  <c r="AE190" i="6"/>
  <c r="U190" i="6"/>
  <c r="S190" i="6"/>
  <c r="R190" i="6" s="1"/>
  <c r="P190" i="6"/>
  <c r="Q190" i="6" s="1"/>
  <c r="AF190" i="6" s="1"/>
  <c r="AH190" i="6" s="1"/>
  <c r="N190" i="6"/>
  <c r="M190" i="6"/>
  <c r="L190" i="6"/>
  <c r="K190" i="6"/>
  <c r="AN189" i="6"/>
  <c r="AM189" i="6"/>
  <c r="AE189" i="6"/>
  <c r="U189" i="6"/>
  <c r="S189" i="6"/>
  <c r="R189" i="6" s="1"/>
  <c r="P189" i="6"/>
  <c r="Q189" i="6" s="1"/>
  <c r="AF189" i="6" s="1"/>
  <c r="AH189" i="6" s="1"/>
  <c r="N189" i="6"/>
  <c r="M189" i="6"/>
  <c r="L189" i="6"/>
  <c r="K189" i="6"/>
  <c r="AN188" i="6"/>
  <c r="AM188" i="6"/>
  <c r="AE188" i="6"/>
  <c r="U188" i="6"/>
  <c r="S188" i="6"/>
  <c r="R188" i="6" s="1"/>
  <c r="P188" i="6"/>
  <c r="Q188" i="6" s="1"/>
  <c r="AF188" i="6" s="1"/>
  <c r="AH188" i="6" s="1"/>
  <c r="N188" i="6"/>
  <c r="M188" i="6"/>
  <c r="L188" i="6"/>
  <c r="K188" i="6"/>
  <c r="AN187" i="6"/>
  <c r="AM187" i="6"/>
  <c r="AE187" i="6"/>
  <c r="U187" i="6"/>
  <c r="S187" i="6"/>
  <c r="R187" i="6" s="1"/>
  <c r="P187" i="6"/>
  <c r="Q187" i="6" s="1"/>
  <c r="AF187" i="6" s="1"/>
  <c r="AH187" i="6" s="1"/>
  <c r="N187" i="6"/>
  <c r="M187" i="6"/>
  <c r="L187" i="6"/>
  <c r="K187" i="6"/>
  <c r="AN186" i="6"/>
  <c r="AM186" i="6"/>
  <c r="AE186" i="6"/>
  <c r="U186" i="6"/>
  <c r="S186" i="6"/>
  <c r="R186" i="6" s="1"/>
  <c r="P186" i="6"/>
  <c r="Q186" i="6" s="1"/>
  <c r="AF186" i="6" s="1"/>
  <c r="AH186" i="6" s="1"/>
  <c r="N186" i="6"/>
  <c r="M186" i="6"/>
  <c r="L186" i="6"/>
  <c r="K186" i="6"/>
  <c r="AN185" i="6"/>
  <c r="AM185" i="6"/>
  <c r="AE185" i="6"/>
  <c r="U185" i="6"/>
  <c r="S185" i="6"/>
  <c r="R185" i="6" s="1"/>
  <c r="P185" i="6"/>
  <c r="Q185" i="6" s="1"/>
  <c r="AF185" i="6" s="1"/>
  <c r="AH185" i="6" s="1"/>
  <c r="N185" i="6"/>
  <c r="M185" i="6"/>
  <c r="L185" i="6"/>
  <c r="K185" i="6"/>
  <c r="AN184" i="6"/>
  <c r="AM184" i="6"/>
  <c r="AE184" i="6"/>
  <c r="U184" i="6"/>
  <c r="S184" i="6"/>
  <c r="R184" i="6" s="1"/>
  <c r="P184" i="6"/>
  <c r="Q184" i="6" s="1"/>
  <c r="AF184" i="6" s="1"/>
  <c r="AH184" i="6" s="1"/>
  <c r="N184" i="6"/>
  <c r="M184" i="6"/>
  <c r="L184" i="6"/>
  <c r="K184" i="6"/>
  <c r="AN183" i="6"/>
  <c r="AM183" i="6"/>
  <c r="AE183" i="6"/>
  <c r="U183" i="6"/>
  <c r="S183" i="6"/>
  <c r="R183" i="6" s="1"/>
  <c r="P183" i="6"/>
  <c r="Q183" i="6" s="1"/>
  <c r="AF183" i="6" s="1"/>
  <c r="AH183" i="6" s="1"/>
  <c r="N183" i="6"/>
  <c r="M183" i="6"/>
  <c r="L183" i="6"/>
  <c r="K183" i="6"/>
  <c r="AN182" i="6"/>
  <c r="AM182" i="6"/>
  <c r="AE182" i="6"/>
  <c r="U182" i="6"/>
  <c r="S182" i="6"/>
  <c r="R182" i="6" s="1"/>
  <c r="P182" i="6"/>
  <c r="Q182" i="6" s="1"/>
  <c r="AF182" i="6" s="1"/>
  <c r="AH182" i="6" s="1"/>
  <c r="N182" i="6"/>
  <c r="M182" i="6"/>
  <c r="L182" i="6"/>
  <c r="K182" i="6"/>
  <c r="AN181" i="6"/>
  <c r="AM181" i="6"/>
  <c r="AE181" i="6"/>
  <c r="U181" i="6"/>
  <c r="S181" i="6"/>
  <c r="R181" i="6" s="1"/>
  <c r="P181" i="6"/>
  <c r="Q181" i="6" s="1"/>
  <c r="AF181" i="6" s="1"/>
  <c r="AH181" i="6" s="1"/>
  <c r="N181" i="6"/>
  <c r="M181" i="6"/>
  <c r="L181" i="6"/>
  <c r="K181" i="6"/>
  <c r="AN180" i="6"/>
  <c r="AM180" i="6"/>
  <c r="AE180" i="6"/>
  <c r="U180" i="6"/>
  <c r="S180" i="6"/>
  <c r="R180" i="6" s="1"/>
  <c r="P180" i="6"/>
  <c r="Q180" i="6" s="1"/>
  <c r="AF180" i="6" s="1"/>
  <c r="AH180" i="6" s="1"/>
  <c r="N180" i="6"/>
  <c r="M180" i="6"/>
  <c r="L180" i="6"/>
  <c r="K180" i="6"/>
  <c r="AN179" i="6"/>
  <c r="AM179" i="6"/>
  <c r="AE179" i="6"/>
  <c r="U179" i="6"/>
  <c r="S179" i="6"/>
  <c r="R179" i="6" s="1"/>
  <c r="P179" i="6"/>
  <c r="Q179" i="6" s="1"/>
  <c r="AF179" i="6" s="1"/>
  <c r="AH179" i="6" s="1"/>
  <c r="N179" i="6"/>
  <c r="M179" i="6"/>
  <c r="L179" i="6"/>
  <c r="K179" i="6"/>
  <c r="AN178" i="6"/>
  <c r="AM178" i="6"/>
  <c r="AE178" i="6"/>
  <c r="U178" i="6"/>
  <c r="S178" i="6"/>
  <c r="R178" i="6" s="1"/>
  <c r="P178" i="6"/>
  <c r="Q178" i="6" s="1"/>
  <c r="AF178" i="6" s="1"/>
  <c r="AH178" i="6" s="1"/>
  <c r="N178" i="6"/>
  <c r="M178" i="6"/>
  <c r="L178" i="6"/>
  <c r="K178" i="6"/>
  <c r="AN177" i="6"/>
  <c r="AM177" i="6"/>
  <c r="AE177" i="6"/>
  <c r="U177" i="6"/>
  <c r="S177" i="6"/>
  <c r="R177" i="6" s="1"/>
  <c r="P177" i="6"/>
  <c r="Q177" i="6" s="1"/>
  <c r="AF177" i="6" s="1"/>
  <c r="AH177" i="6" s="1"/>
  <c r="N177" i="6"/>
  <c r="M177" i="6"/>
  <c r="L177" i="6"/>
  <c r="K177" i="6"/>
  <c r="AN176" i="6"/>
  <c r="AM176" i="6"/>
  <c r="AE176" i="6"/>
  <c r="U176" i="6"/>
  <c r="S176" i="6"/>
  <c r="R176" i="6" s="1"/>
  <c r="P176" i="6"/>
  <c r="Q176" i="6" s="1"/>
  <c r="AF176" i="6" s="1"/>
  <c r="AH176" i="6" s="1"/>
  <c r="N176" i="6"/>
  <c r="M176" i="6"/>
  <c r="L176" i="6"/>
  <c r="K176" i="6"/>
  <c r="AN175" i="6"/>
  <c r="AM175" i="6"/>
  <c r="AE175" i="6"/>
  <c r="U175" i="6"/>
  <c r="S175" i="6"/>
  <c r="R175" i="6" s="1"/>
  <c r="P175" i="6"/>
  <c r="Q175" i="6" s="1"/>
  <c r="AF175" i="6" s="1"/>
  <c r="AH175" i="6" s="1"/>
  <c r="N175" i="6"/>
  <c r="M175" i="6"/>
  <c r="L175" i="6"/>
  <c r="K175" i="6"/>
  <c r="AN174" i="6"/>
  <c r="AM174" i="6"/>
  <c r="AE174" i="6"/>
  <c r="U174" i="6"/>
  <c r="S174" i="6"/>
  <c r="R174" i="6" s="1"/>
  <c r="P174" i="6"/>
  <c r="Q174" i="6" s="1"/>
  <c r="AF174" i="6" s="1"/>
  <c r="AH174" i="6" s="1"/>
  <c r="N174" i="6"/>
  <c r="M174" i="6"/>
  <c r="L174" i="6"/>
  <c r="K174" i="6"/>
  <c r="AN173" i="6"/>
  <c r="AM173" i="6"/>
  <c r="AE173" i="6"/>
  <c r="U173" i="6"/>
  <c r="S173" i="6"/>
  <c r="R173" i="6" s="1"/>
  <c r="P173" i="6"/>
  <c r="Q173" i="6" s="1"/>
  <c r="AF173" i="6" s="1"/>
  <c r="AH173" i="6" s="1"/>
  <c r="N173" i="6"/>
  <c r="M173" i="6"/>
  <c r="L173" i="6"/>
  <c r="K173" i="6"/>
  <c r="AN172" i="6"/>
  <c r="AM172" i="6"/>
  <c r="AE172" i="6"/>
  <c r="U172" i="6"/>
  <c r="S172" i="6"/>
  <c r="R172" i="6" s="1"/>
  <c r="P172" i="6"/>
  <c r="Q172" i="6" s="1"/>
  <c r="AF172" i="6" s="1"/>
  <c r="AH172" i="6" s="1"/>
  <c r="N172" i="6"/>
  <c r="M172" i="6"/>
  <c r="L172" i="6"/>
  <c r="K172" i="6"/>
  <c r="AN171" i="6"/>
  <c r="AM171" i="6"/>
  <c r="AE171" i="6"/>
  <c r="U171" i="6"/>
  <c r="S171" i="6"/>
  <c r="R171" i="6" s="1"/>
  <c r="P171" i="6"/>
  <c r="Q171" i="6" s="1"/>
  <c r="AF171" i="6" s="1"/>
  <c r="AH171" i="6" s="1"/>
  <c r="N171" i="6"/>
  <c r="M171" i="6"/>
  <c r="L171" i="6"/>
  <c r="K171" i="6"/>
  <c r="AN170" i="6"/>
  <c r="AM170" i="6"/>
  <c r="AE170" i="6"/>
  <c r="U170" i="6"/>
  <c r="S170" i="6"/>
  <c r="R170" i="6" s="1"/>
  <c r="P170" i="6"/>
  <c r="Q170" i="6" s="1"/>
  <c r="AF170" i="6" s="1"/>
  <c r="AH170" i="6" s="1"/>
  <c r="N170" i="6"/>
  <c r="M170" i="6"/>
  <c r="L170" i="6"/>
  <c r="K170" i="6"/>
  <c r="AN169" i="6"/>
  <c r="AM169" i="6"/>
  <c r="AE169" i="6"/>
  <c r="U169" i="6"/>
  <c r="S169" i="6"/>
  <c r="R169" i="6" s="1"/>
  <c r="P169" i="6"/>
  <c r="Q169" i="6" s="1"/>
  <c r="AF169" i="6" s="1"/>
  <c r="AH169" i="6" s="1"/>
  <c r="N169" i="6"/>
  <c r="M169" i="6"/>
  <c r="L169" i="6"/>
  <c r="K169" i="6"/>
  <c r="AN168" i="6"/>
  <c r="AM168" i="6"/>
  <c r="AE168" i="6"/>
  <c r="U168" i="6"/>
  <c r="S168" i="6"/>
  <c r="R168" i="6" s="1"/>
  <c r="P168" i="6"/>
  <c r="Q168" i="6" s="1"/>
  <c r="AF168" i="6" s="1"/>
  <c r="AH168" i="6" s="1"/>
  <c r="N168" i="6"/>
  <c r="M168" i="6"/>
  <c r="L168" i="6"/>
  <c r="K168" i="6"/>
  <c r="AN167" i="6"/>
  <c r="AM167" i="6"/>
  <c r="AE167" i="6"/>
  <c r="U167" i="6"/>
  <c r="S167" i="6"/>
  <c r="R167" i="6" s="1"/>
  <c r="P167" i="6"/>
  <c r="Q167" i="6" s="1"/>
  <c r="AF167" i="6" s="1"/>
  <c r="AH167" i="6" s="1"/>
  <c r="N167" i="6"/>
  <c r="M167" i="6"/>
  <c r="L167" i="6"/>
  <c r="K167" i="6"/>
  <c r="AN166" i="6"/>
  <c r="AM166" i="6"/>
  <c r="AE166" i="6"/>
  <c r="U166" i="6"/>
  <c r="S166" i="6"/>
  <c r="R166" i="6" s="1"/>
  <c r="P166" i="6"/>
  <c r="Q166" i="6" s="1"/>
  <c r="AF166" i="6" s="1"/>
  <c r="AH166" i="6" s="1"/>
  <c r="N166" i="6"/>
  <c r="M166" i="6"/>
  <c r="L166" i="6"/>
  <c r="K166" i="6"/>
  <c r="AN165" i="6"/>
  <c r="AM165" i="6"/>
  <c r="AE165" i="6"/>
  <c r="U165" i="6"/>
  <c r="S165" i="6"/>
  <c r="R165" i="6" s="1"/>
  <c r="P165" i="6"/>
  <c r="Q165" i="6" s="1"/>
  <c r="AF165" i="6" s="1"/>
  <c r="AH165" i="6" s="1"/>
  <c r="N165" i="6"/>
  <c r="M165" i="6"/>
  <c r="L165" i="6"/>
  <c r="K165" i="6"/>
  <c r="AN164" i="6"/>
  <c r="AM164" i="6"/>
  <c r="AE164" i="6"/>
  <c r="U164" i="6"/>
  <c r="S164" i="6"/>
  <c r="R164" i="6" s="1"/>
  <c r="P164" i="6"/>
  <c r="Q164" i="6" s="1"/>
  <c r="AF164" i="6" s="1"/>
  <c r="AH164" i="6" s="1"/>
  <c r="N164" i="6"/>
  <c r="M164" i="6"/>
  <c r="L164" i="6"/>
  <c r="K164" i="6"/>
  <c r="AN163" i="6"/>
  <c r="AM163" i="6"/>
  <c r="AE163" i="6"/>
  <c r="U163" i="6"/>
  <c r="S163" i="6"/>
  <c r="R163" i="6" s="1"/>
  <c r="P163" i="6"/>
  <c r="Q163" i="6" s="1"/>
  <c r="AF163" i="6" s="1"/>
  <c r="AH163" i="6" s="1"/>
  <c r="N163" i="6"/>
  <c r="M163" i="6"/>
  <c r="L163" i="6"/>
  <c r="K163" i="6"/>
  <c r="AN162" i="6"/>
  <c r="AM162" i="6"/>
  <c r="AE162" i="6"/>
  <c r="U162" i="6"/>
  <c r="S162" i="6"/>
  <c r="R162" i="6" s="1"/>
  <c r="P162" i="6"/>
  <c r="Q162" i="6" s="1"/>
  <c r="AF162" i="6" s="1"/>
  <c r="AH162" i="6" s="1"/>
  <c r="N162" i="6"/>
  <c r="M162" i="6"/>
  <c r="L162" i="6"/>
  <c r="K162" i="6"/>
  <c r="AN161" i="6"/>
  <c r="AM161" i="6"/>
  <c r="AE161" i="6"/>
  <c r="U161" i="6"/>
  <c r="S161" i="6"/>
  <c r="R161" i="6" s="1"/>
  <c r="P161" i="6"/>
  <c r="Q161" i="6" s="1"/>
  <c r="AF161" i="6" s="1"/>
  <c r="AH161" i="6" s="1"/>
  <c r="N161" i="6"/>
  <c r="M161" i="6"/>
  <c r="L161" i="6"/>
  <c r="K161" i="6"/>
  <c r="AN160" i="6"/>
  <c r="AM160" i="6"/>
  <c r="AE160" i="6"/>
  <c r="U160" i="6"/>
  <c r="S160" i="6"/>
  <c r="R160" i="6" s="1"/>
  <c r="P160" i="6"/>
  <c r="Q160" i="6" s="1"/>
  <c r="AF160" i="6" s="1"/>
  <c r="AH160" i="6" s="1"/>
  <c r="N160" i="6"/>
  <c r="M160" i="6"/>
  <c r="L160" i="6"/>
  <c r="K160" i="6"/>
  <c r="AN159" i="6"/>
  <c r="AM159" i="6"/>
  <c r="AE159" i="6"/>
  <c r="U159" i="6"/>
  <c r="S159" i="6"/>
  <c r="R159" i="6" s="1"/>
  <c r="P159" i="6"/>
  <c r="Q159" i="6" s="1"/>
  <c r="AF159" i="6" s="1"/>
  <c r="AH159" i="6" s="1"/>
  <c r="N159" i="6"/>
  <c r="M159" i="6"/>
  <c r="L159" i="6"/>
  <c r="K159" i="6"/>
  <c r="AN158" i="6"/>
  <c r="AM158" i="6"/>
  <c r="AE158" i="6"/>
  <c r="U158" i="6"/>
  <c r="S158" i="6"/>
  <c r="R158" i="6" s="1"/>
  <c r="P158" i="6"/>
  <c r="Q158" i="6" s="1"/>
  <c r="AF158" i="6" s="1"/>
  <c r="AH158" i="6" s="1"/>
  <c r="N158" i="6"/>
  <c r="M158" i="6"/>
  <c r="L158" i="6"/>
  <c r="K158" i="6"/>
  <c r="AN157" i="6"/>
  <c r="AM157" i="6"/>
  <c r="AE157" i="6"/>
  <c r="U157" i="6"/>
  <c r="S157" i="6"/>
  <c r="R157" i="6" s="1"/>
  <c r="P157" i="6"/>
  <c r="Q157" i="6" s="1"/>
  <c r="AF157" i="6" s="1"/>
  <c r="AH157" i="6" s="1"/>
  <c r="N157" i="6"/>
  <c r="M157" i="6"/>
  <c r="L157" i="6"/>
  <c r="K157" i="6"/>
  <c r="AN156" i="6"/>
  <c r="AM156" i="6"/>
  <c r="AE156" i="6"/>
  <c r="U156" i="6"/>
  <c r="S156" i="6"/>
  <c r="R156" i="6" s="1"/>
  <c r="P156" i="6"/>
  <c r="Q156" i="6" s="1"/>
  <c r="AF156" i="6" s="1"/>
  <c r="AH156" i="6" s="1"/>
  <c r="N156" i="6"/>
  <c r="M156" i="6"/>
  <c r="L156" i="6"/>
  <c r="K156" i="6"/>
  <c r="AN155" i="6"/>
  <c r="AM155" i="6"/>
  <c r="AE155" i="6"/>
  <c r="U155" i="6"/>
  <c r="S155" i="6"/>
  <c r="R155" i="6" s="1"/>
  <c r="P155" i="6"/>
  <c r="Q155" i="6" s="1"/>
  <c r="AF155" i="6" s="1"/>
  <c r="AH155" i="6" s="1"/>
  <c r="N155" i="6"/>
  <c r="M155" i="6"/>
  <c r="L155" i="6"/>
  <c r="K155" i="6"/>
  <c r="AN154" i="6"/>
  <c r="AM154" i="6"/>
  <c r="AE154" i="6"/>
  <c r="U154" i="6"/>
  <c r="S154" i="6"/>
  <c r="R154" i="6" s="1"/>
  <c r="P154" i="6"/>
  <c r="Q154" i="6" s="1"/>
  <c r="AF154" i="6" s="1"/>
  <c r="AH154" i="6" s="1"/>
  <c r="N154" i="6"/>
  <c r="M154" i="6"/>
  <c r="L154" i="6"/>
  <c r="K154" i="6"/>
  <c r="AN153" i="6"/>
  <c r="AM153" i="6"/>
  <c r="AE153" i="6"/>
  <c r="U153" i="6"/>
  <c r="S153" i="6"/>
  <c r="R153" i="6" s="1"/>
  <c r="P153" i="6"/>
  <c r="Q153" i="6" s="1"/>
  <c r="AF153" i="6" s="1"/>
  <c r="AH153" i="6" s="1"/>
  <c r="N153" i="6"/>
  <c r="M153" i="6"/>
  <c r="L153" i="6"/>
  <c r="K153" i="6"/>
  <c r="AN152" i="6"/>
  <c r="AM152" i="6"/>
  <c r="AE152" i="6"/>
  <c r="U152" i="6"/>
  <c r="S152" i="6"/>
  <c r="R152" i="6" s="1"/>
  <c r="P152" i="6"/>
  <c r="Q152" i="6" s="1"/>
  <c r="AF152" i="6" s="1"/>
  <c r="AH152" i="6" s="1"/>
  <c r="N152" i="6"/>
  <c r="M152" i="6"/>
  <c r="L152" i="6"/>
  <c r="K152" i="6"/>
  <c r="AN151" i="6"/>
  <c r="AM151" i="6"/>
  <c r="AE151" i="6"/>
  <c r="U151" i="6"/>
  <c r="S151" i="6"/>
  <c r="R151" i="6" s="1"/>
  <c r="P151" i="6"/>
  <c r="Q151" i="6" s="1"/>
  <c r="AF151" i="6" s="1"/>
  <c r="AH151" i="6" s="1"/>
  <c r="N151" i="6"/>
  <c r="M151" i="6"/>
  <c r="L151" i="6"/>
  <c r="K151" i="6"/>
  <c r="AN150" i="6"/>
  <c r="AM150" i="6"/>
  <c r="AE150" i="6"/>
  <c r="U150" i="6"/>
  <c r="S150" i="6"/>
  <c r="R150" i="6" s="1"/>
  <c r="P150" i="6"/>
  <c r="Q150" i="6" s="1"/>
  <c r="AF150" i="6" s="1"/>
  <c r="AH150" i="6" s="1"/>
  <c r="N150" i="6"/>
  <c r="M150" i="6"/>
  <c r="L150" i="6"/>
  <c r="K150" i="6"/>
  <c r="AN149" i="6"/>
  <c r="AM149" i="6"/>
  <c r="AE149" i="6"/>
  <c r="U149" i="6"/>
  <c r="S149" i="6"/>
  <c r="R149" i="6" s="1"/>
  <c r="P149" i="6"/>
  <c r="Q149" i="6" s="1"/>
  <c r="AF149" i="6" s="1"/>
  <c r="AH149" i="6" s="1"/>
  <c r="N149" i="6"/>
  <c r="M149" i="6"/>
  <c r="L149" i="6"/>
  <c r="K149" i="6"/>
  <c r="AN148" i="6"/>
  <c r="AM148" i="6"/>
  <c r="AE148" i="6"/>
  <c r="U148" i="6"/>
  <c r="S148" i="6"/>
  <c r="R148" i="6" s="1"/>
  <c r="P148" i="6"/>
  <c r="Q148" i="6" s="1"/>
  <c r="AF148" i="6" s="1"/>
  <c r="AH148" i="6" s="1"/>
  <c r="N148" i="6"/>
  <c r="M148" i="6"/>
  <c r="L148" i="6"/>
  <c r="K148" i="6"/>
  <c r="AN147" i="6"/>
  <c r="AM147" i="6"/>
  <c r="AE147" i="6"/>
  <c r="U147" i="6"/>
  <c r="S147" i="6"/>
  <c r="R147" i="6" s="1"/>
  <c r="P147" i="6"/>
  <c r="Q147" i="6" s="1"/>
  <c r="AF147" i="6" s="1"/>
  <c r="AH147" i="6" s="1"/>
  <c r="N147" i="6"/>
  <c r="M147" i="6"/>
  <c r="L147" i="6"/>
  <c r="K147" i="6"/>
  <c r="AN146" i="6"/>
  <c r="AM146" i="6"/>
  <c r="AE146" i="6"/>
  <c r="U146" i="6"/>
  <c r="S146" i="6"/>
  <c r="R146" i="6" s="1"/>
  <c r="P146" i="6"/>
  <c r="Q146" i="6" s="1"/>
  <c r="AF146" i="6" s="1"/>
  <c r="AH146" i="6" s="1"/>
  <c r="N146" i="6"/>
  <c r="M146" i="6"/>
  <c r="L146" i="6"/>
  <c r="K146" i="6"/>
  <c r="AN145" i="6"/>
  <c r="AM145" i="6"/>
  <c r="AE145" i="6"/>
  <c r="U145" i="6"/>
  <c r="S145" i="6"/>
  <c r="R145" i="6" s="1"/>
  <c r="P145" i="6"/>
  <c r="Q145" i="6" s="1"/>
  <c r="AF145" i="6" s="1"/>
  <c r="AH145" i="6" s="1"/>
  <c r="N145" i="6"/>
  <c r="M145" i="6"/>
  <c r="L145" i="6"/>
  <c r="K145" i="6"/>
  <c r="AN144" i="6"/>
  <c r="AM144" i="6"/>
  <c r="AE144" i="6"/>
  <c r="U144" i="6"/>
  <c r="S144" i="6"/>
  <c r="R144" i="6" s="1"/>
  <c r="P144" i="6"/>
  <c r="Q144" i="6" s="1"/>
  <c r="AF144" i="6" s="1"/>
  <c r="AH144" i="6" s="1"/>
  <c r="N144" i="6"/>
  <c r="M144" i="6"/>
  <c r="L144" i="6"/>
  <c r="K144" i="6"/>
  <c r="AN143" i="6"/>
  <c r="AM143" i="6"/>
  <c r="AE143" i="6"/>
  <c r="U143" i="6"/>
  <c r="S143" i="6"/>
  <c r="R143" i="6" s="1"/>
  <c r="P143" i="6"/>
  <c r="Q143" i="6" s="1"/>
  <c r="AF143" i="6" s="1"/>
  <c r="AH143" i="6" s="1"/>
  <c r="N143" i="6"/>
  <c r="M143" i="6"/>
  <c r="L143" i="6"/>
  <c r="K143" i="6"/>
  <c r="AN142" i="6"/>
  <c r="AM142" i="6"/>
  <c r="AE142" i="6"/>
  <c r="U142" i="6"/>
  <c r="S142" i="6"/>
  <c r="R142" i="6" s="1"/>
  <c r="P142" i="6"/>
  <c r="Q142" i="6" s="1"/>
  <c r="AF142" i="6" s="1"/>
  <c r="AH142" i="6" s="1"/>
  <c r="N142" i="6"/>
  <c r="M142" i="6"/>
  <c r="L142" i="6"/>
  <c r="K142" i="6"/>
  <c r="AN141" i="6"/>
  <c r="AM141" i="6"/>
  <c r="AE141" i="6"/>
  <c r="U141" i="6"/>
  <c r="S141" i="6"/>
  <c r="R141" i="6" s="1"/>
  <c r="P141" i="6"/>
  <c r="Q141" i="6" s="1"/>
  <c r="AF141" i="6" s="1"/>
  <c r="AH141" i="6" s="1"/>
  <c r="N141" i="6"/>
  <c r="M141" i="6"/>
  <c r="L141" i="6"/>
  <c r="K141" i="6"/>
  <c r="AN140" i="6"/>
  <c r="AM140" i="6"/>
  <c r="AE140" i="6"/>
  <c r="U140" i="6"/>
  <c r="S140" i="6"/>
  <c r="R140" i="6" s="1"/>
  <c r="P140" i="6"/>
  <c r="Q140" i="6" s="1"/>
  <c r="AF140" i="6" s="1"/>
  <c r="AH140" i="6" s="1"/>
  <c r="N140" i="6"/>
  <c r="M140" i="6"/>
  <c r="L140" i="6"/>
  <c r="K140" i="6"/>
  <c r="AN139" i="6"/>
  <c r="AM139" i="6"/>
  <c r="AE139" i="6"/>
  <c r="U139" i="6"/>
  <c r="S139" i="6"/>
  <c r="R139" i="6" s="1"/>
  <c r="P139" i="6"/>
  <c r="Q139" i="6" s="1"/>
  <c r="AF139" i="6" s="1"/>
  <c r="AH139" i="6" s="1"/>
  <c r="N139" i="6"/>
  <c r="M139" i="6"/>
  <c r="L139" i="6"/>
  <c r="K139" i="6"/>
  <c r="AN138" i="6"/>
  <c r="AM138" i="6"/>
  <c r="AE138" i="6"/>
  <c r="U138" i="6"/>
  <c r="S138" i="6"/>
  <c r="R138" i="6" s="1"/>
  <c r="P138" i="6"/>
  <c r="Q138" i="6" s="1"/>
  <c r="AF138" i="6" s="1"/>
  <c r="AH138" i="6" s="1"/>
  <c r="N138" i="6"/>
  <c r="M138" i="6"/>
  <c r="L138" i="6"/>
  <c r="K138" i="6"/>
  <c r="AN137" i="6"/>
  <c r="AM137" i="6"/>
  <c r="AE137" i="6"/>
  <c r="U137" i="6"/>
  <c r="S137" i="6"/>
  <c r="R137" i="6" s="1"/>
  <c r="P137" i="6"/>
  <c r="Q137" i="6" s="1"/>
  <c r="AF137" i="6" s="1"/>
  <c r="AH137" i="6" s="1"/>
  <c r="N137" i="6"/>
  <c r="M137" i="6"/>
  <c r="L137" i="6"/>
  <c r="K137" i="6"/>
  <c r="AN136" i="6"/>
  <c r="AM136" i="6"/>
  <c r="AE136" i="6"/>
  <c r="U136" i="6"/>
  <c r="S136" i="6"/>
  <c r="R136" i="6" s="1"/>
  <c r="P136" i="6"/>
  <c r="Q136" i="6" s="1"/>
  <c r="AF136" i="6" s="1"/>
  <c r="AH136" i="6" s="1"/>
  <c r="N136" i="6"/>
  <c r="M136" i="6"/>
  <c r="L136" i="6"/>
  <c r="K136" i="6"/>
  <c r="AN135" i="6"/>
  <c r="AM135" i="6"/>
  <c r="AE135" i="6"/>
  <c r="U135" i="6"/>
  <c r="S135" i="6"/>
  <c r="R135" i="6" s="1"/>
  <c r="P135" i="6"/>
  <c r="Q135" i="6" s="1"/>
  <c r="AF135" i="6" s="1"/>
  <c r="AH135" i="6" s="1"/>
  <c r="N135" i="6"/>
  <c r="M135" i="6"/>
  <c r="L135" i="6"/>
  <c r="K135" i="6"/>
  <c r="AN134" i="6"/>
  <c r="AM134" i="6"/>
  <c r="AE134" i="6"/>
  <c r="U134" i="6"/>
  <c r="S134" i="6"/>
  <c r="R134" i="6" s="1"/>
  <c r="P134" i="6"/>
  <c r="Q134" i="6" s="1"/>
  <c r="AF134" i="6" s="1"/>
  <c r="AH134" i="6" s="1"/>
  <c r="N134" i="6"/>
  <c r="M134" i="6"/>
  <c r="L134" i="6"/>
  <c r="K134" i="6"/>
  <c r="AN133" i="6"/>
  <c r="AM133" i="6"/>
  <c r="AE133" i="6"/>
  <c r="U133" i="6"/>
  <c r="S133" i="6"/>
  <c r="R133" i="6" s="1"/>
  <c r="P133" i="6"/>
  <c r="Q133" i="6" s="1"/>
  <c r="AF133" i="6" s="1"/>
  <c r="AH133" i="6" s="1"/>
  <c r="N133" i="6"/>
  <c r="M133" i="6"/>
  <c r="L133" i="6"/>
  <c r="K133" i="6"/>
  <c r="AN132" i="6"/>
  <c r="AM132" i="6"/>
  <c r="AE132" i="6"/>
  <c r="U132" i="6"/>
  <c r="S132" i="6"/>
  <c r="R132" i="6" s="1"/>
  <c r="P132" i="6"/>
  <c r="Q132" i="6" s="1"/>
  <c r="AF132" i="6" s="1"/>
  <c r="AH132" i="6" s="1"/>
  <c r="N132" i="6"/>
  <c r="M132" i="6"/>
  <c r="L132" i="6"/>
  <c r="K132" i="6"/>
  <c r="AN131" i="6"/>
  <c r="AM131" i="6"/>
  <c r="AE131" i="6"/>
  <c r="U131" i="6"/>
  <c r="S131" i="6"/>
  <c r="R131" i="6" s="1"/>
  <c r="P131" i="6"/>
  <c r="Q131" i="6" s="1"/>
  <c r="AF131" i="6" s="1"/>
  <c r="AH131" i="6" s="1"/>
  <c r="N131" i="6"/>
  <c r="M131" i="6"/>
  <c r="L131" i="6"/>
  <c r="K131" i="6"/>
  <c r="AN130" i="6"/>
  <c r="AM130" i="6"/>
  <c r="AE130" i="6"/>
  <c r="U130" i="6"/>
  <c r="S130" i="6"/>
  <c r="R130" i="6" s="1"/>
  <c r="P130" i="6"/>
  <c r="Q130" i="6" s="1"/>
  <c r="AF130" i="6" s="1"/>
  <c r="AH130" i="6" s="1"/>
  <c r="N130" i="6"/>
  <c r="M130" i="6"/>
  <c r="L130" i="6"/>
  <c r="K130" i="6"/>
  <c r="AN129" i="6"/>
  <c r="AM129" i="6"/>
  <c r="AE129" i="6"/>
  <c r="U129" i="6"/>
  <c r="S129" i="6"/>
  <c r="R129" i="6" s="1"/>
  <c r="P129" i="6"/>
  <c r="Q129" i="6" s="1"/>
  <c r="AF129" i="6" s="1"/>
  <c r="AH129" i="6" s="1"/>
  <c r="N129" i="6"/>
  <c r="M129" i="6"/>
  <c r="L129" i="6"/>
  <c r="K129" i="6"/>
  <c r="AN128" i="6"/>
  <c r="AM128" i="6"/>
  <c r="AE128" i="6"/>
  <c r="U128" i="6"/>
  <c r="S128" i="6"/>
  <c r="R128" i="6" s="1"/>
  <c r="P128" i="6"/>
  <c r="Q128" i="6" s="1"/>
  <c r="AF128" i="6" s="1"/>
  <c r="AH128" i="6" s="1"/>
  <c r="N128" i="6"/>
  <c r="M128" i="6"/>
  <c r="L128" i="6"/>
  <c r="K128" i="6"/>
  <c r="AN127" i="6"/>
  <c r="AM127" i="6"/>
  <c r="AE127" i="6"/>
  <c r="U127" i="6"/>
  <c r="S127" i="6"/>
  <c r="R127" i="6" s="1"/>
  <c r="P127" i="6"/>
  <c r="Q127" i="6" s="1"/>
  <c r="AF127" i="6" s="1"/>
  <c r="AH127" i="6" s="1"/>
  <c r="N127" i="6"/>
  <c r="M127" i="6"/>
  <c r="L127" i="6"/>
  <c r="K127" i="6"/>
  <c r="AN126" i="6"/>
  <c r="AM126" i="6"/>
  <c r="AE126" i="6"/>
  <c r="U126" i="6"/>
  <c r="S126" i="6"/>
  <c r="R126" i="6" s="1"/>
  <c r="P126" i="6"/>
  <c r="Q126" i="6" s="1"/>
  <c r="AF126" i="6" s="1"/>
  <c r="AH126" i="6" s="1"/>
  <c r="N126" i="6"/>
  <c r="M126" i="6"/>
  <c r="L126" i="6"/>
  <c r="K126" i="6"/>
  <c r="AN125" i="6"/>
  <c r="AM125" i="6"/>
  <c r="AE125" i="6"/>
  <c r="U125" i="6"/>
  <c r="S125" i="6"/>
  <c r="R125" i="6" s="1"/>
  <c r="P125" i="6"/>
  <c r="Q125" i="6" s="1"/>
  <c r="AF125" i="6" s="1"/>
  <c r="AH125" i="6" s="1"/>
  <c r="N125" i="6"/>
  <c r="M125" i="6"/>
  <c r="L125" i="6"/>
  <c r="K125" i="6"/>
  <c r="AN124" i="6"/>
  <c r="AM124" i="6"/>
  <c r="AE124" i="6"/>
  <c r="U124" i="6"/>
  <c r="S124" i="6"/>
  <c r="R124" i="6" s="1"/>
  <c r="P124" i="6"/>
  <c r="Q124" i="6" s="1"/>
  <c r="AF124" i="6" s="1"/>
  <c r="AH124" i="6" s="1"/>
  <c r="N124" i="6"/>
  <c r="M124" i="6"/>
  <c r="L124" i="6"/>
  <c r="K124" i="6"/>
  <c r="AN123" i="6"/>
  <c r="AM123" i="6"/>
  <c r="AE123" i="6"/>
  <c r="U123" i="6"/>
  <c r="S123" i="6"/>
  <c r="R123" i="6" s="1"/>
  <c r="P123" i="6"/>
  <c r="Q123" i="6" s="1"/>
  <c r="AF123" i="6" s="1"/>
  <c r="AH123" i="6" s="1"/>
  <c r="N123" i="6"/>
  <c r="M123" i="6"/>
  <c r="L123" i="6"/>
  <c r="K123" i="6"/>
  <c r="AN122" i="6"/>
  <c r="AM122" i="6"/>
  <c r="AE122" i="6"/>
  <c r="U122" i="6"/>
  <c r="S122" i="6"/>
  <c r="R122" i="6" s="1"/>
  <c r="P122" i="6"/>
  <c r="Q122" i="6" s="1"/>
  <c r="AF122" i="6" s="1"/>
  <c r="AH122" i="6" s="1"/>
  <c r="N122" i="6"/>
  <c r="M122" i="6"/>
  <c r="L122" i="6"/>
  <c r="K122" i="6"/>
  <c r="AN121" i="6"/>
  <c r="AM121" i="6"/>
  <c r="AE121" i="6"/>
  <c r="U121" i="6"/>
  <c r="S121" i="6"/>
  <c r="R121" i="6" s="1"/>
  <c r="P121" i="6"/>
  <c r="Q121" i="6" s="1"/>
  <c r="AF121" i="6" s="1"/>
  <c r="AH121" i="6" s="1"/>
  <c r="N121" i="6"/>
  <c r="M121" i="6"/>
  <c r="L121" i="6"/>
  <c r="K121" i="6"/>
  <c r="AN120" i="6"/>
  <c r="AM120" i="6"/>
  <c r="AE120" i="6"/>
  <c r="U120" i="6"/>
  <c r="S120" i="6"/>
  <c r="R120" i="6" s="1"/>
  <c r="P120" i="6"/>
  <c r="Q120" i="6" s="1"/>
  <c r="AF120" i="6" s="1"/>
  <c r="AH120" i="6" s="1"/>
  <c r="N120" i="6"/>
  <c r="M120" i="6"/>
  <c r="L120" i="6"/>
  <c r="K120" i="6"/>
  <c r="AN119" i="6"/>
  <c r="AM119" i="6"/>
  <c r="AE119" i="6"/>
  <c r="U119" i="6"/>
  <c r="S119" i="6"/>
  <c r="R119" i="6" s="1"/>
  <c r="P119" i="6"/>
  <c r="Q119" i="6" s="1"/>
  <c r="AF119" i="6" s="1"/>
  <c r="AH119" i="6" s="1"/>
  <c r="N119" i="6"/>
  <c r="M119" i="6"/>
  <c r="L119" i="6"/>
  <c r="K119" i="6"/>
  <c r="AN118" i="6"/>
  <c r="AM118" i="6"/>
  <c r="AE118" i="6"/>
  <c r="U118" i="6"/>
  <c r="S118" i="6"/>
  <c r="R118" i="6" s="1"/>
  <c r="P118" i="6"/>
  <c r="Q118" i="6" s="1"/>
  <c r="AF118" i="6" s="1"/>
  <c r="AH118" i="6" s="1"/>
  <c r="N118" i="6"/>
  <c r="M118" i="6"/>
  <c r="L118" i="6"/>
  <c r="K118" i="6"/>
  <c r="AN117" i="6"/>
  <c r="AM117" i="6"/>
  <c r="AE117" i="6"/>
  <c r="U117" i="6"/>
  <c r="S117" i="6"/>
  <c r="R117" i="6" s="1"/>
  <c r="P117" i="6"/>
  <c r="Q117" i="6" s="1"/>
  <c r="AF117" i="6" s="1"/>
  <c r="AH117" i="6" s="1"/>
  <c r="N117" i="6"/>
  <c r="M117" i="6"/>
  <c r="L117" i="6"/>
  <c r="K117" i="6"/>
  <c r="AN116" i="6"/>
  <c r="AM116" i="6"/>
  <c r="AE116" i="6"/>
  <c r="U116" i="6"/>
  <c r="S116" i="6"/>
  <c r="R116" i="6" s="1"/>
  <c r="P116" i="6"/>
  <c r="Q116" i="6" s="1"/>
  <c r="AF116" i="6" s="1"/>
  <c r="AH116" i="6" s="1"/>
  <c r="N116" i="6"/>
  <c r="M116" i="6"/>
  <c r="L116" i="6"/>
  <c r="K116" i="6"/>
  <c r="AN115" i="6"/>
  <c r="AM115" i="6"/>
  <c r="AE115" i="6"/>
  <c r="U115" i="6"/>
  <c r="S115" i="6"/>
  <c r="R115" i="6" s="1"/>
  <c r="P115" i="6"/>
  <c r="Q115" i="6" s="1"/>
  <c r="AF115" i="6" s="1"/>
  <c r="AH115" i="6" s="1"/>
  <c r="N115" i="6"/>
  <c r="M115" i="6"/>
  <c r="L115" i="6"/>
  <c r="K115" i="6"/>
  <c r="AN114" i="6"/>
  <c r="AM114" i="6"/>
  <c r="AE114" i="6"/>
  <c r="U114" i="6"/>
  <c r="S114" i="6"/>
  <c r="R114" i="6" s="1"/>
  <c r="P114" i="6"/>
  <c r="Q114" i="6" s="1"/>
  <c r="AF114" i="6" s="1"/>
  <c r="AH114" i="6" s="1"/>
  <c r="N114" i="6"/>
  <c r="M114" i="6"/>
  <c r="L114" i="6"/>
  <c r="K114" i="6"/>
  <c r="AN113" i="6"/>
  <c r="AM113" i="6"/>
  <c r="AE113" i="6"/>
  <c r="U113" i="6"/>
  <c r="S113" i="6"/>
  <c r="R113" i="6" s="1"/>
  <c r="P113" i="6"/>
  <c r="Q113" i="6" s="1"/>
  <c r="AF113" i="6" s="1"/>
  <c r="AH113" i="6" s="1"/>
  <c r="N113" i="6"/>
  <c r="M113" i="6"/>
  <c r="L113" i="6"/>
  <c r="K113" i="6"/>
  <c r="AN112" i="6"/>
  <c r="AM112" i="6"/>
  <c r="AE112" i="6"/>
  <c r="U112" i="6"/>
  <c r="S112" i="6"/>
  <c r="R112" i="6" s="1"/>
  <c r="P112" i="6"/>
  <c r="Q112" i="6" s="1"/>
  <c r="AF112" i="6" s="1"/>
  <c r="AH112" i="6" s="1"/>
  <c r="N112" i="6"/>
  <c r="M112" i="6"/>
  <c r="L112" i="6"/>
  <c r="K112" i="6"/>
  <c r="AN111" i="6"/>
  <c r="AM111" i="6"/>
  <c r="AE111" i="6"/>
  <c r="U111" i="6"/>
  <c r="S111" i="6"/>
  <c r="R111" i="6" s="1"/>
  <c r="P111" i="6"/>
  <c r="Q111" i="6" s="1"/>
  <c r="AF111" i="6" s="1"/>
  <c r="AH111" i="6" s="1"/>
  <c r="N111" i="6"/>
  <c r="M111" i="6"/>
  <c r="L111" i="6"/>
  <c r="K111" i="6"/>
  <c r="AN110" i="6"/>
  <c r="AM110" i="6"/>
  <c r="AE110" i="6"/>
  <c r="U110" i="6"/>
  <c r="S110" i="6"/>
  <c r="R110" i="6" s="1"/>
  <c r="P110" i="6"/>
  <c r="Q110" i="6" s="1"/>
  <c r="AF110" i="6" s="1"/>
  <c r="AH110" i="6" s="1"/>
  <c r="N110" i="6"/>
  <c r="M110" i="6"/>
  <c r="L110" i="6"/>
  <c r="K110" i="6"/>
  <c r="AN109" i="6"/>
  <c r="AM109" i="6"/>
  <c r="AE109" i="6"/>
  <c r="U109" i="6"/>
  <c r="S109" i="6"/>
  <c r="R109" i="6" s="1"/>
  <c r="P109" i="6"/>
  <c r="Q109" i="6" s="1"/>
  <c r="AF109" i="6" s="1"/>
  <c r="AH109" i="6" s="1"/>
  <c r="N109" i="6"/>
  <c r="M109" i="6"/>
  <c r="L109" i="6"/>
  <c r="K109" i="6"/>
  <c r="AN108" i="6"/>
  <c r="AM108" i="6"/>
  <c r="AE108" i="6"/>
  <c r="U108" i="6"/>
  <c r="S108" i="6"/>
  <c r="R108" i="6" s="1"/>
  <c r="P108" i="6"/>
  <c r="Q108" i="6" s="1"/>
  <c r="AF108" i="6" s="1"/>
  <c r="AH108" i="6" s="1"/>
  <c r="N108" i="6"/>
  <c r="M108" i="6"/>
  <c r="L108" i="6"/>
  <c r="K108" i="6"/>
  <c r="AN107" i="6"/>
  <c r="AM107" i="6"/>
  <c r="AE107" i="6"/>
  <c r="U107" i="6"/>
  <c r="S107" i="6"/>
  <c r="R107" i="6" s="1"/>
  <c r="P107" i="6"/>
  <c r="Q107" i="6" s="1"/>
  <c r="AF107" i="6" s="1"/>
  <c r="AH107" i="6" s="1"/>
  <c r="N107" i="6"/>
  <c r="M107" i="6"/>
  <c r="L107" i="6"/>
  <c r="K107" i="6"/>
  <c r="AN106" i="6"/>
  <c r="AM106" i="6"/>
  <c r="AE106" i="6"/>
  <c r="U106" i="6"/>
  <c r="S106" i="6"/>
  <c r="R106" i="6" s="1"/>
  <c r="P106" i="6"/>
  <c r="Q106" i="6" s="1"/>
  <c r="AF106" i="6" s="1"/>
  <c r="AH106" i="6" s="1"/>
  <c r="N106" i="6"/>
  <c r="M106" i="6"/>
  <c r="L106" i="6"/>
  <c r="K106" i="6"/>
  <c r="AN105" i="6"/>
  <c r="AM105" i="6"/>
  <c r="AE105" i="6"/>
  <c r="U105" i="6"/>
  <c r="S105" i="6"/>
  <c r="R105" i="6" s="1"/>
  <c r="P105" i="6"/>
  <c r="Q105" i="6" s="1"/>
  <c r="AF105" i="6" s="1"/>
  <c r="AH105" i="6" s="1"/>
  <c r="N105" i="6"/>
  <c r="M105" i="6"/>
  <c r="L105" i="6"/>
  <c r="K105" i="6"/>
  <c r="AN104" i="6"/>
  <c r="AM104" i="6"/>
  <c r="AE104" i="6"/>
  <c r="U104" i="6"/>
  <c r="S104" i="6"/>
  <c r="R104" i="6" s="1"/>
  <c r="P104" i="6"/>
  <c r="Q104" i="6" s="1"/>
  <c r="AF104" i="6" s="1"/>
  <c r="AH104" i="6" s="1"/>
  <c r="N104" i="6"/>
  <c r="M104" i="6"/>
  <c r="L104" i="6"/>
  <c r="K104" i="6"/>
  <c r="AN103" i="6"/>
  <c r="AM103" i="6"/>
  <c r="AE103" i="6"/>
  <c r="U103" i="6"/>
  <c r="S103" i="6"/>
  <c r="R103" i="6" s="1"/>
  <c r="P103" i="6"/>
  <c r="Q103" i="6" s="1"/>
  <c r="AF103" i="6" s="1"/>
  <c r="AH103" i="6" s="1"/>
  <c r="N103" i="6"/>
  <c r="M103" i="6"/>
  <c r="L103" i="6"/>
  <c r="K103" i="6"/>
  <c r="AN102" i="6"/>
  <c r="AM102" i="6"/>
  <c r="AE102" i="6"/>
  <c r="U102" i="6"/>
  <c r="S102" i="6"/>
  <c r="R102" i="6" s="1"/>
  <c r="P102" i="6"/>
  <c r="Q102" i="6" s="1"/>
  <c r="AF102" i="6" s="1"/>
  <c r="AH102" i="6" s="1"/>
  <c r="N102" i="6"/>
  <c r="M102" i="6"/>
  <c r="L102" i="6"/>
  <c r="K102" i="6"/>
  <c r="AN101" i="6"/>
  <c r="AM101" i="6"/>
  <c r="AE101" i="6"/>
  <c r="U101" i="6"/>
  <c r="S101" i="6"/>
  <c r="R101" i="6" s="1"/>
  <c r="P101" i="6"/>
  <c r="Q101" i="6" s="1"/>
  <c r="AF101" i="6" s="1"/>
  <c r="AH101" i="6" s="1"/>
  <c r="N101" i="6"/>
  <c r="M101" i="6"/>
  <c r="L101" i="6"/>
  <c r="K101" i="6"/>
  <c r="AN100" i="6"/>
  <c r="AM100" i="6"/>
  <c r="AE100" i="6"/>
  <c r="U100" i="6"/>
  <c r="S100" i="6"/>
  <c r="R100" i="6" s="1"/>
  <c r="P100" i="6"/>
  <c r="Q100" i="6" s="1"/>
  <c r="AF100" i="6" s="1"/>
  <c r="AH100" i="6" s="1"/>
  <c r="N100" i="6"/>
  <c r="M100" i="6"/>
  <c r="L100" i="6"/>
  <c r="K100" i="6"/>
  <c r="AN99" i="6"/>
  <c r="AM99" i="6"/>
  <c r="AE99" i="6"/>
  <c r="U99" i="6"/>
  <c r="S99" i="6"/>
  <c r="R99" i="6" s="1"/>
  <c r="P99" i="6"/>
  <c r="Q99" i="6" s="1"/>
  <c r="AF99" i="6" s="1"/>
  <c r="AH99" i="6" s="1"/>
  <c r="N99" i="6"/>
  <c r="M99" i="6"/>
  <c r="L99" i="6"/>
  <c r="K99" i="6"/>
  <c r="AN98" i="6"/>
  <c r="AM98" i="6"/>
  <c r="AE98" i="6"/>
  <c r="U98" i="6"/>
  <c r="S98" i="6"/>
  <c r="R98" i="6" s="1"/>
  <c r="P98" i="6"/>
  <c r="Q98" i="6" s="1"/>
  <c r="AF98" i="6" s="1"/>
  <c r="AH98" i="6" s="1"/>
  <c r="N98" i="6"/>
  <c r="M98" i="6"/>
  <c r="L98" i="6"/>
  <c r="K98" i="6"/>
  <c r="AN97" i="6"/>
  <c r="AM97" i="6"/>
  <c r="AE97" i="6"/>
  <c r="U97" i="6"/>
  <c r="S97" i="6"/>
  <c r="R97" i="6" s="1"/>
  <c r="P97" i="6"/>
  <c r="Q97" i="6" s="1"/>
  <c r="AF97" i="6" s="1"/>
  <c r="AH97" i="6" s="1"/>
  <c r="N97" i="6"/>
  <c r="M97" i="6"/>
  <c r="L97" i="6"/>
  <c r="K97" i="6"/>
  <c r="AN96" i="6"/>
  <c r="AM96" i="6"/>
  <c r="AE96" i="6"/>
  <c r="U96" i="6"/>
  <c r="S96" i="6"/>
  <c r="R96" i="6" s="1"/>
  <c r="P96" i="6"/>
  <c r="Q96" i="6" s="1"/>
  <c r="AF96" i="6" s="1"/>
  <c r="AH96" i="6" s="1"/>
  <c r="N96" i="6"/>
  <c r="M96" i="6"/>
  <c r="L96" i="6"/>
  <c r="K96" i="6"/>
  <c r="AN95" i="6"/>
  <c r="AM95" i="6"/>
  <c r="AE95" i="6"/>
  <c r="U95" i="6"/>
  <c r="S95" i="6"/>
  <c r="R95" i="6" s="1"/>
  <c r="P95" i="6"/>
  <c r="Q95" i="6" s="1"/>
  <c r="AF95" i="6" s="1"/>
  <c r="AH95" i="6" s="1"/>
  <c r="N95" i="6"/>
  <c r="M95" i="6"/>
  <c r="L95" i="6"/>
  <c r="K95" i="6"/>
  <c r="AN94" i="6"/>
  <c r="AM94" i="6"/>
  <c r="AE94" i="6"/>
  <c r="U94" i="6"/>
  <c r="S94" i="6"/>
  <c r="R94" i="6" s="1"/>
  <c r="P94" i="6"/>
  <c r="Q94" i="6" s="1"/>
  <c r="AF94" i="6" s="1"/>
  <c r="AH94" i="6" s="1"/>
  <c r="N94" i="6"/>
  <c r="M94" i="6"/>
  <c r="L94" i="6"/>
  <c r="K94" i="6"/>
  <c r="AN93" i="6"/>
  <c r="AM93" i="6"/>
  <c r="AE93" i="6"/>
  <c r="U93" i="6"/>
  <c r="S93" i="6"/>
  <c r="R93" i="6" s="1"/>
  <c r="P93" i="6"/>
  <c r="Q93" i="6" s="1"/>
  <c r="AF93" i="6" s="1"/>
  <c r="AH93" i="6" s="1"/>
  <c r="N93" i="6"/>
  <c r="M93" i="6"/>
  <c r="L93" i="6"/>
  <c r="K93" i="6"/>
  <c r="AN92" i="6"/>
  <c r="AM92" i="6"/>
  <c r="AE92" i="6"/>
  <c r="U92" i="6"/>
  <c r="S92" i="6"/>
  <c r="R92" i="6" s="1"/>
  <c r="P92" i="6"/>
  <c r="Q92" i="6" s="1"/>
  <c r="AF92" i="6" s="1"/>
  <c r="AH92" i="6" s="1"/>
  <c r="N92" i="6"/>
  <c r="M92" i="6"/>
  <c r="L92" i="6"/>
  <c r="K92" i="6"/>
  <c r="AN91" i="6"/>
  <c r="AM91" i="6"/>
  <c r="AE91" i="6"/>
  <c r="U91" i="6"/>
  <c r="S91" i="6"/>
  <c r="R91" i="6" s="1"/>
  <c r="P91" i="6"/>
  <c r="Q91" i="6" s="1"/>
  <c r="AF91" i="6" s="1"/>
  <c r="AH91" i="6" s="1"/>
  <c r="N91" i="6"/>
  <c r="M91" i="6"/>
  <c r="L91" i="6"/>
  <c r="K91" i="6"/>
  <c r="AN90" i="6"/>
  <c r="AM90" i="6"/>
  <c r="AE90" i="6"/>
  <c r="U90" i="6"/>
  <c r="S90" i="6"/>
  <c r="R90" i="6" s="1"/>
  <c r="P90" i="6"/>
  <c r="Q90" i="6" s="1"/>
  <c r="AF90" i="6" s="1"/>
  <c r="AH90" i="6" s="1"/>
  <c r="N90" i="6"/>
  <c r="M90" i="6"/>
  <c r="L90" i="6"/>
  <c r="K90" i="6"/>
  <c r="AN89" i="6"/>
  <c r="AM89" i="6"/>
  <c r="AE89" i="6"/>
  <c r="U89" i="6"/>
  <c r="S89" i="6"/>
  <c r="R89" i="6" s="1"/>
  <c r="P89" i="6"/>
  <c r="Q89" i="6" s="1"/>
  <c r="AF89" i="6" s="1"/>
  <c r="AH89" i="6" s="1"/>
  <c r="N89" i="6"/>
  <c r="M89" i="6"/>
  <c r="L89" i="6"/>
  <c r="K89" i="6"/>
  <c r="AN88" i="6"/>
  <c r="AM88" i="6"/>
  <c r="AE88" i="6"/>
  <c r="U88" i="6"/>
  <c r="S88" i="6"/>
  <c r="R88" i="6" s="1"/>
  <c r="P88" i="6"/>
  <c r="Q88" i="6" s="1"/>
  <c r="AF88" i="6" s="1"/>
  <c r="AH88" i="6" s="1"/>
  <c r="N88" i="6"/>
  <c r="M88" i="6"/>
  <c r="L88" i="6"/>
  <c r="K88" i="6"/>
  <c r="AN87" i="6"/>
  <c r="AM87" i="6"/>
  <c r="AE87" i="6"/>
  <c r="U87" i="6"/>
  <c r="S87" i="6"/>
  <c r="R87" i="6" s="1"/>
  <c r="P87" i="6"/>
  <c r="Q87" i="6" s="1"/>
  <c r="AF87" i="6" s="1"/>
  <c r="AH87" i="6" s="1"/>
  <c r="N87" i="6"/>
  <c r="M87" i="6"/>
  <c r="L87" i="6"/>
  <c r="K87" i="6"/>
  <c r="AN86" i="6"/>
  <c r="AM86" i="6"/>
  <c r="AE86" i="6"/>
  <c r="U86" i="6"/>
  <c r="S86" i="6"/>
  <c r="R86" i="6" s="1"/>
  <c r="P86" i="6"/>
  <c r="Q86" i="6" s="1"/>
  <c r="AF86" i="6" s="1"/>
  <c r="AH86" i="6" s="1"/>
  <c r="N86" i="6"/>
  <c r="M86" i="6"/>
  <c r="L86" i="6"/>
  <c r="K86" i="6"/>
  <c r="AN85" i="6"/>
  <c r="AM85" i="6"/>
  <c r="AE85" i="6"/>
  <c r="U85" i="6"/>
  <c r="S85" i="6"/>
  <c r="R85" i="6" s="1"/>
  <c r="P85" i="6"/>
  <c r="Q85" i="6" s="1"/>
  <c r="AF85" i="6" s="1"/>
  <c r="AH85" i="6" s="1"/>
  <c r="N85" i="6"/>
  <c r="M85" i="6"/>
  <c r="L85" i="6"/>
  <c r="K85" i="6"/>
  <c r="AN84" i="6"/>
  <c r="AM84" i="6"/>
  <c r="AE84" i="6"/>
  <c r="U84" i="6"/>
  <c r="S84" i="6"/>
  <c r="R84" i="6" s="1"/>
  <c r="P84" i="6"/>
  <c r="Q84" i="6" s="1"/>
  <c r="AF84" i="6" s="1"/>
  <c r="AH84" i="6" s="1"/>
  <c r="N84" i="6"/>
  <c r="M84" i="6"/>
  <c r="L84" i="6"/>
  <c r="K84" i="6"/>
  <c r="AN83" i="6"/>
  <c r="AM83" i="6"/>
  <c r="AE83" i="6"/>
  <c r="U83" i="6"/>
  <c r="S83" i="6"/>
  <c r="R83" i="6" s="1"/>
  <c r="P83" i="6"/>
  <c r="Q83" i="6" s="1"/>
  <c r="AF83" i="6" s="1"/>
  <c r="AH83" i="6" s="1"/>
  <c r="N83" i="6"/>
  <c r="M83" i="6"/>
  <c r="L83" i="6"/>
  <c r="K83" i="6"/>
  <c r="AN82" i="6"/>
  <c r="AM82" i="6"/>
  <c r="AE82" i="6"/>
  <c r="U82" i="6"/>
  <c r="S82" i="6"/>
  <c r="R82" i="6" s="1"/>
  <c r="P82" i="6"/>
  <c r="Q82" i="6" s="1"/>
  <c r="AF82" i="6" s="1"/>
  <c r="AH82" i="6" s="1"/>
  <c r="N82" i="6"/>
  <c r="M82" i="6"/>
  <c r="L82" i="6"/>
  <c r="K82" i="6"/>
  <c r="AN81" i="6"/>
  <c r="AM81" i="6"/>
  <c r="AE81" i="6"/>
  <c r="U81" i="6"/>
  <c r="S81" i="6"/>
  <c r="R81" i="6" s="1"/>
  <c r="P81" i="6"/>
  <c r="Q81" i="6" s="1"/>
  <c r="AF81" i="6" s="1"/>
  <c r="AH81" i="6" s="1"/>
  <c r="N81" i="6"/>
  <c r="M81" i="6"/>
  <c r="L81" i="6"/>
  <c r="K81" i="6"/>
  <c r="AN80" i="6"/>
  <c r="AM80" i="6"/>
  <c r="AE80" i="6"/>
  <c r="U80" i="6"/>
  <c r="S80" i="6"/>
  <c r="R80" i="6" s="1"/>
  <c r="P80" i="6"/>
  <c r="Q80" i="6" s="1"/>
  <c r="AF80" i="6" s="1"/>
  <c r="AH80" i="6" s="1"/>
  <c r="N80" i="6"/>
  <c r="M80" i="6"/>
  <c r="L80" i="6"/>
  <c r="K80" i="6"/>
  <c r="AN79" i="6"/>
  <c r="AM79" i="6"/>
  <c r="AE79" i="6"/>
  <c r="U79" i="6"/>
  <c r="S79" i="6"/>
  <c r="R79" i="6" s="1"/>
  <c r="P79" i="6"/>
  <c r="Q79" i="6" s="1"/>
  <c r="AF79" i="6" s="1"/>
  <c r="AH79" i="6" s="1"/>
  <c r="N79" i="6"/>
  <c r="M79" i="6"/>
  <c r="L79" i="6"/>
  <c r="K79" i="6"/>
  <c r="AN78" i="6"/>
  <c r="AM78" i="6"/>
  <c r="AE78" i="6"/>
  <c r="U78" i="6"/>
  <c r="S78" i="6"/>
  <c r="R78" i="6" s="1"/>
  <c r="P78" i="6"/>
  <c r="Q78" i="6" s="1"/>
  <c r="AF78" i="6" s="1"/>
  <c r="AH78" i="6" s="1"/>
  <c r="N78" i="6"/>
  <c r="M78" i="6"/>
  <c r="L78" i="6"/>
  <c r="K78" i="6"/>
  <c r="AN77" i="6"/>
  <c r="AM77" i="6"/>
  <c r="AE77" i="6"/>
  <c r="U77" i="6"/>
  <c r="S77" i="6"/>
  <c r="R77" i="6" s="1"/>
  <c r="P77" i="6"/>
  <c r="Q77" i="6" s="1"/>
  <c r="AF77" i="6" s="1"/>
  <c r="AH77" i="6" s="1"/>
  <c r="N77" i="6"/>
  <c r="M77" i="6"/>
  <c r="L77" i="6"/>
  <c r="K77" i="6"/>
  <c r="AN76" i="6"/>
  <c r="AM76" i="6"/>
  <c r="AE76" i="6"/>
  <c r="U76" i="6"/>
  <c r="S76" i="6"/>
  <c r="R76" i="6" s="1"/>
  <c r="P76" i="6"/>
  <c r="Q76" i="6" s="1"/>
  <c r="AF76" i="6" s="1"/>
  <c r="AH76" i="6" s="1"/>
  <c r="N76" i="6"/>
  <c r="M76" i="6"/>
  <c r="L76" i="6"/>
  <c r="K76" i="6"/>
  <c r="AN75" i="6"/>
  <c r="AM75" i="6"/>
  <c r="AE75" i="6"/>
  <c r="U75" i="6"/>
  <c r="S75" i="6"/>
  <c r="R75" i="6" s="1"/>
  <c r="P75" i="6"/>
  <c r="Q75" i="6" s="1"/>
  <c r="AF75" i="6" s="1"/>
  <c r="AH75" i="6" s="1"/>
  <c r="N75" i="6"/>
  <c r="M75" i="6"/>
  <c r="L75" i="6"/>
  <c r="K75" i="6"/>
  <c r="AN74" i="6"/>
  <c r="AM74" i="6"/>
  <c r="AE74" i="6"/>
  <c r="U74" i="6"/>
  <c r="S74" i="6"/>
  <c r="R74" i="6" s="1"/>
  <c r="P74" i="6"/>
  <c r="Q74" i="6" s="1"/>
  <c r="AF74" i="6" s="1"/>
  <c r="AH74" i="6" s="1"/>
  <c r="N74" i="6"/>
  <c r="M74" i="6"/>
  <c r="L74" i="6"/>
  <c r="K74" i="6"/>
  <c r="AN73" i="6"/>
  <c r="AM73" i="6"/>
  <c r="AE73" i="6"/>
  <c r="U73" i="6"/>
  <c r="S73" i="6"/>
  <c r="R73" i="6" s="1"/>
  <c r="P73" i="6"/>
  <c r="Q73" i="6" s="1"/>
  <c r="AF73" i="6" s="1"/>
  <c r="AH73" i="6" s="1"/>
  <c r="N73" i="6"/>
  <c r="M73" i="6"/>
  <c r="L73" i="6"/>
  <c r="K73" i="6"/>
  <c r="AM70" i="6"/>
  <c r="AI70" i="6"/>
  <c r="AJ70" i="6" s="1"/>
  <c r="AE70" i="6"/>
  <c r="U70" i="6"/>
  <c r="S70" i="6"/>
  <c r="R70" i="6"/>
  <c r="AB70" i="6" s="1"/>
  <c r="P70" i="6"/>
  <c r="T70" i="6" s="1"/>
  <c r="M70" i="6"/>
  <c r="N70" i="6" s="1"/>
  <c r="L70" i="6"/>
  <c r="K70" i="6"/>
  <c r="N56" i="6"/>
  <c r="M56" i="6"/>
  <c r="L56" i="6"/>
  <c r="N55" i="6"/>
  <c r="M55" i="6"/>
  <c r="L55" i="6"/>
  <c r="N54" i="6"/>
  <c r="M54" i="6"/>
  <c r="L54" i="6"/>
  <c r="N53" i="6"/>
  <c r="M53" i="6"/>
  <c r="L53" i="6"/>
  <c r="N52" i="6"/>
  <c r="M52" i="6"/>
  <c r="L52" i="6"/>
  <c r="N51" i="6"/>
  <c r="M51" i="6"/>
  <c r="L51" i="6"/>
  <c r="N50" i="6"/>
  <c r="M50" i="6"/>
  <c r="L50" i="6"/>
  <c r="T46" i="6"/>
  <c r="T45" i="6"/>
  <c r="T43" i="6"/>
  <c r="U43" i="6" s="1"/>
  <c r="U42" i="6"/>
  <c r="T42" i="6"/>
  <c r="T41" i="6"/>
  <c r="U41" i="6" s="1"/>
  <c r="O30" i="6"/>
  <c r="O29" i="6"/>
  <c r="M17" i="6"/>
  <c r="X14" i="6"/>
  <c r="Y14" i="6" s="1"/>
  <c r="W14" i="6"/>
  <c r="G14" i="6"/>
  <c r="Q13" i="6"/>
  <c r="Q12" i="6"/>
  <c r="H12" i="6"/>
  <c r="H11" i="6"/>
  <c r="O53" i="6" s="1"/>
  <c r="Q7" i="6"/>
  <c r="W6" i="6"/>
  <c r="X6" i="6" s="1"/>
  <c r="Q203" i="1"/>
  <c r="L203" i="1"/>
  <c r="Q202" i="1"/>
  <c r="L202" i="1"/>
  <c r="Q201" i="1"/>
  <c r="L201" i="1"/>
  <c r="Q200" i="1"/>
  <c r="L200" i="1"/>
  <c r="Q199" i="1"/>
  <c r="L199" i="1"/>
  <c r="Q198" i="1"/>
  <c r="L198" i="1"/>
  <c r="Q197" i="1"/>
  <c r="L197" i="1"/>
  <c r="Q196" i="1"/>
  <c r="L196" i="1"/>
  <c r="Q195" i="1"/>
  <c r="L195" i="1"/>
  <c r="Q194" i="1"/>
  <c r="L194" i="1"/>
  <c r="Q193" i="1"/>
  <c r="L193" i="1"/>
  <c r="Q192" i="1"/>
  <c r="L192" i="1"/>
  <c r="Q191" i="1"/>
  <c r="L191" i="1"/>
  <c r="Q190" i="1"/>
  <c r="L190" i="1"/>
  <c r="Q189" i="1"/>
  <c r="L189" i="1"/>
  <c r="Q188" i="1"/>
  <c r="L188" i="1"/>
  <c r="Q187" i="1"/>
  <c r="L187" i="1"/>
  <c r="Q186" i="1"/>
  <c r="L186" i="1"/>
  <c r="Q185" i="1"/>
  <c r="L185" i="1"/>
  <c r="Q184" i="1"/>
  <c r="L184" i="1"/>
  <c r="Q183" i="1"/>
  <c r="L183" i="1"/>
  <c r="Q182" i="1"/>
  <c r="L182" i="1"/>
  <c r="Q181" i="1"/>
  <c r="L181" i="1"/>
  <c r="Q180" i="1"/>
  <c r="L180" i="1"/>
  <c r="Q179" i="1"/>
  <c r="L179" i="1"/>
  <c r="Q178" i="1"/>
  <c r="L178" i="1"/>
  <c r="Q177" i="1"/>
  <c r="L177" i="1"/>
  <c r="Q176" i="1"/>
  <c r="L176" i="1"/>
  <c r="Q175" i="1"/>
  <c r="L175" i="1"/>
  <c r="Q174" i="1"/>
  <c r="L174" i="1"/>
  <c r="Q173" i="1"/>
  <c r="L173" i="1"/>
  <c r="Q172" i="1"/>
  <c r="L172" i="1"/>
  <c r="Q171" i="1"/>
  <c r="L171" i="1"/>
  <c r="Q170" i="1"/>
  <c r="L170" i="1"/>
  <c r="Q169" i="1"/>
  <c r="L169" i="1"/>
  <c r="Q168" i="1"/>
  <c r="L168" i="1"/>
  <c r="Q167" i="1"/>
  <c r="L167" i="1"/>
  <c r="Q166" i="1"/>
  <c r="L166" i="1"/>
  <c r="Q165" i="1"/>
  <c r="L165" i="1"/>
  <c r="Q164" i="1"/>
  <c r="L164" i="1"/>
  <c r="Q163" i="1"/>
  <c r="L163" i="1"/>
  <c r="Q162" i="1"/>
  <c r="L162" i="1"/>
  <c r="Q161" i="1"/>
  <c r="L161" i="1"/>
  <c r="Q160" i="1"/>
  <c r="L160" i="1"/>
  <c r="Q159" i="1"/>
  <c r="L159" i="1"/>
  <c r="Q158" i="1"/>
  <c r="L158" i="1"/>
  <c r="Q157" i="1"/>
  <c r="L157" i="1"/>
  <c r="Q156" i="1"/>
  <c r="L156" i="1"/>
  <c r="Q155" i="1"/>
  <c r="L155" i="1"/>
  <c r="L154" i="1"/>
  <c r="P153" i="1"/>
  <c r="L153" i="1"/>
  <c r="P152" i="1"/>
  <c r="L152" i="1"/>
  <c r="P151" i="1"/>
  <c r="L151" i="1"/>
  <c r="P150" i="1"/>
  <c r="L150" i="1"/>
  <c r="P149" i="1"/>
  <c r="L149" i="1"/>
  <c r="P148" i="1"/>
  <c r="L148" i="1"/>
  <c r="P147" i="1"/>
  <c r="L147" i="1"/>
  <c r="P146" i="1"/>
  <c r="L146" i="1"/>
  <c r="P145" i="1"/>
  <c r="L145" i="1"/>
  <c r="P144" i="1"/>
  <c r="L144" i="1"/>
  <c r="P143" i="1"/>
  <c r="L143" i="1"/>
  <c r="P142" i="1"/>
  <c r="L142" i="1"/>
  <c r="P141" i="1"/>
  <c r="L141" i="1"/>
  <c r="P140" i="1"/>
  <c r="L140" i="1"/>
  <c r="P139" i="1"/>
  <c r="L139" i="1"/>
  <c r="P138" i="1"/>
  <c r="L138" i="1"/>
  <c r="P137" i="1"/>
  <c r="L137" i="1"/>
  <c r="P136" i="1"/>
  <c r="L136" i="1"/>
  <c r="P135" i="1"/>
  <c r="L135" i="1"/>
  <c r="P134" i="1"/>
  <c r="L134" i="1"/>
  <c r="P133" i="1"/>
  <c r="L133" i="1"/>
  <c r="P132" i="1"/>
  <c r="L132" i="1"/>
  <c r="P131" i="1"/>
  <c r="L131" i="1"/>
  <c r="P130" i="1"/>
  <c r="L130" i="1"/>
  <c r="P129" i="1"/>
  <c r="L129" i="1"/>
  <c r="P128" i="1"/>
  <c r="L128" i="1"/>
  <c r="P127" i="1"/>
  <c r="L127" i="1"/>
  <c r="P126" i="1"/>
  <c r="L126" i="1"/>
  <c r="P125" i="1"/>
  <c r="L125" i="1"/>
  <c r="P124" i="1"/>
  <c r="L124" i="1"/>
  <c r="P123" i="1"/>
  <c r="L123" i="1"/>
  <c r="F123" i="1"/>
  <c r="A123" i="1"/>
  <c r="P122" i="1"/>
  <c r="L122" i="1"/>
  <c r="F122" i="1"/>
  <c r="A122" i="1"/>
  <c r="P121" i="1"/>
  <c r="L121" i="1"/>
  <c r="F121" i="1"/>
  <c r="A121" i="1"/>
  <c r="P120" i="1"/>
  <c r="L120" i="1"/>
  <c r="F120" i="1"/>
  <c r="A120" i="1"/>
  <c r="P119" i="1"/>
  <c r="L119" i="1"/>
  <c r="F119" i="1"/>
  <c r="A119" i="1"/>
  <c r="P118" i="1"/>
  <c r="L118" i="1"/>
  <c r="F118" i="1"/>
  <c r="A118" i="1"/>
  <c r="P117" i="1"/>
  <c r="L117" i="1"/>
  <c r="F117" i="1"/>
  <c r="A117" i="1"/>
  <c r="P116" i="1"/>
  <c r="L116" i="1"/>
  <c r="F116" i="1"/>
  <c r="A116" i="1"/>
  <c r="P115" i="1"/>
  <c r="L115" i="1"/>
  <c r="F115" i="1"/>
  <c r="A115" i="1"/>
  <c r="P114" i="1"/>
  <c r="L114" i="1"/>
  <c r="F114" i="1"/>
  <c r="A114" i="1"/>
  <c r="P113" i="1"/>
  <c r="L113" i="1"/>
  <c r="F113" i="1"/>
  <c r="A113" i="1"/>
  <c r="P112" i="1"/>
  <c r="L112" i="1"/>
  <c r="F112" i="1"/>
  <c r="A112" i="1"/>
  <c r="P111" i="1"/>
  <c r="L111" i="1"/>
  <c r="F111" i="1"/>
  <c r="A111" i="1"/>
  <c r="P110" i="1"/>
  <c r="L110" i="1"/>
  <c r="F110" i="1"/>
  <c r="A110" i="1"/>
  <c r="P109" i="1"/>
  <c r="L109" i="1"/>
  <c r="F109" i="1"/>
  <c r="A109" i="1"/>
  <c r="P108" i="1"/>
  <c r="L108" i="1"/>
  <c r="F108" i="1"/>
  <c r="A108" i="1"/>
  <c r="P107" i="1"/>
  <c r="L107" i="1"/>
  <c r="F107" i="1"/>
  <c r="A107" i="1"/>
  <c r="P106" i="1"/>
  <c r="L106" i="1"/>
  <c r="F106" i="1"/>
  <c r="A106" i="1"/>
  <c r="P105" i="1"/>
  <c r="L105" i="1"/>
  <c r="F105" i="1"/>
  <c r="A105" i="1"/>
  <c r="P104" i="1"/>
  <c r="L104" i="1"/>
  <c r="F104" i="1"/>
  <c r="A104" i="1"/>
  <c r="P103" i="1"/>
  <c r="L103" i="1"/>
  <c r="F103" i="1"/>
  <c r="A103" i="1"/>
  <c r="P102" i="1"/>
  <c r="L102" i="1"/>
  <c r="F102" i="1"/>
  <c r="A102" i="1"/>
  <c r="P101" i="1"/>
  <c r="L101" i="1"/>
  <c r="F101" i="1"/>
  <c r="A101" i="1"/>
  <c r="P100" i="1"/>
  <c r="L100" i="1"/>
  <c r="F100" i="1"/>
  <c r="A100" i="1"/>
  <c r="P99" i="1"/>
  <c r="L99" i="1"/>
  <c r="F99" i="1"/>
  <c r="A99" i="1"/>
  <c r="P98" i="1"/>
  <c r="L98" i="1"/>
  <c r="F98" i="1"/>
  <c r="A98" i="1"/>
  <c r="P97" i="1"/>
  <c r="L97" i="1"/>
  <c r="F97" i="1"/>
  <c r="A97" i="1"/>
  <c r="P96" i="1"/>
  <c r="L96" i="1"/>
  <c r="F96" i="1"/>
  <c r="A96" i="1"/>
  <c r="P95" i="1"/>
  <c r="L95" i="1"/>
  <c r="F95" i="1"/>
  <c r="A95" i="1"/>
  <c r="P94" i="1"/>
  <c r="L94" i="1"/>
  <c r="F94" i="1"/>
  <c r="A94" i="1"/>
  <c r="P93" i="1"/>
  <c r="L93" i="1"/>
  <c r="F93" i="1"/>
  <c r="A93" i="1"/>
  <c r="P92" i="1"/>
  <c r="L92" i="1"/>
  <c r="F92" i="1"/>
  <c r="A92" i="1"/>
  <c r="P91" i="1"/>
  <c r="L91" i="1"/>
  <c r="F91" i="1"/>
  <c r="A91" i="1"/>
  <c r="P90" i="1"/>
  <c r="L90" i="1"/>
  <c r="F90" i="1"/>
  <c r="A90" i="1"/>
  <c r="P89" i="1"/>
  <c r="L89" i="1"/>
  <c r="F89" i="1"/>
  <c r="A89" i="1"/>
  <c r="P88" i="1"/>
  <c r="L88" i="1"/>
  <c r="F88" i="1"/>
  <c r="A88" i="1"/>
  <c r="P87" i="1"/>
  <c r="L87" i="1"/>
  <c r="F87" i="1"/>
  <c r="A87" i="1"/>
  <c r="P86" i="1"/>
  <c r="L86" i="1"/>
  <c r="F86" i="1"/>
  <c r="A86" i="1"/>
  <c r="P85" i="1"/>
  <c r="L85" i="1"/>
  <c r="F85" i="1"/>
  <c r="A85" i="1"/>
  <c r="P84" i="1"/>
  <c r="L84" i="1"/>
  <c r="F84" i="1"/>
  <c r="A84" i="1"/>
  <c r="P83" i="1"/>
  <c r="L83" i="1"/>
  <c r="F83" i="1"/>
  <c r="A83" i="1"/>
  <c r="P82" i="1"/>
  <c r="L82" i="1"/>
  <c r="F82" i="1"/>
  <c r="A82" i="1"/>
  <c r="P81" i="1"/>
  <c r="L81" i="1"/>
  <c r="F81" i="1"/>
  <c r="A81" i="1"/>
  <c r="P80" i="1"/>
  <c r="L80" i="1"/>
  <c r="F80" i="1"/>
  <c r="A80" i="1"/>
  <c r="P79" i="1"/>
  <c r="L79" i="1"/>
  <c r="F79" i="1"/>
  <c r="A79" i="1"/>
  <c r="P78" i="1"/>
  <c r="L78" i="1"/>
  <c r="F78" i="1"/>
  <c r="A78" i="1"/>
  <c r="P77" i="1"/>
  <c r="L77" i="1"/>
  <c r="F77" i="1"/>
  <c r="A77" i="1"/>
  <c r="P76" i="1"/>
  <c r="L76" i="1"/>
  <c r="F76" i="1"/>
  <c r="A76" i="1"/>
  <c r="P75" i="1"/>
  <c r="L75" i="1"/>
  <c r="F75" i="1"/>
  <c r="A75" i="1"/>
  <c r="L74" i="1"/>
  <c r="F74" i="1"/>
  <c r="A74" i="1"/>
  <c r="O73" i="1"/>
  <c r="L73" i="1"/>
  <c r="F73" i="1"/>
  <c r="A73" i="1"/>
  <c r="O72" i="1"/>
  <c r="L72" i="1"/>
  <c r="F72" i="1"/>
  <c r="A72" i="1"/>
  <c r="O71" i="1"/>
  <c r="L71" i="1"/>
  <c r="F71" i="1"/>
  <c r="A71" i="1"/>
  <c r="O70" i="1"/>
  <c r="L70" i="1"/>
  <c r="F70" i="1"/>
  <c r="A70" i="1"/>
  <c r="O69" i="1"/>
  <c r="L69" i="1"/>
  <c r="F69" i="1"/>
  <c r="A69" i="1"/>
  <c r="O68" i="1"/>
  <c r="L68" i="1"/>
  <c r="F68" i="1"/>
  <c r="A68" i="1"/>
  <c r="O67" i="1"/>
  <c r="L67" i="1"/>
  <c r="F67" i="1"/>
  <c r="A67" i="1"/>
  <c r="O66" i="1"/>
  <c r="L66" i="1"/>
  <c r="F66" i="1"/>
  <c r="A66" i="1"/>
  <c r="O65" i="1"/>
  <c r="L65" i="1"/>
  <c r="F65" i="1"/>
  <c r="A65" i="1"/>
  <c r="O64" i="1"/>
  <c r="L64" i="1"/>
  <c r="F64" i="1"/>
  <c r="A64" i="1"/>
  <c r="O63" i="1"/>
  <c r="L63" i="1"/>
  <c r="F63" i="1"/>
  <c r="A63" i="1"/>
  <c r="O62" i="1"/>
  <c r="L62" i="1"/>
  <c r="F62" i="1"/>
  <c r="A62" i="1"/>
  <c r="O61" i="1"/>
  <c r="L61" i="1"/>
  <c r="F61" i="1"/>
  <c r="A61" i="1"/>
  <c r="O60" i="1"/>
  <c r="L60" i="1"/>
  <c r="F60" i="1"/>
  <c r="A60" i="1"/>
  <c r="O59" i="1"/>
  <c r="L59" i="1"/>
  <c r="F59" i="1"/>
  <c r="A59" i="1"/>
  <c r="O58" i="1"/>
  <c r="L58" i="1"/>
  <c r="F58" i="1"/>
  <c r="A58" i="1"/>
  <c r="O57" i="1"/>
  <c r="L57" i="1"/>
  <c r="F57" i="1"/>
  <c r="A57" i="1"/>
  <c r="O56" i="1"/>
  <c r="L56" i="1"/>
  <c r="F56" i="1"/>
  <c r="A56" i="1"/>
  <c r="O55" i="1"/>
  <c r="L55" i="1"/>
  <c r="F55" i="1"/>
  <c r="A55" i="1"/>
  <c r="L54" i="1"/>
  <c r="F54" i="1"/>
  <c r="A54" i="1"/>
  <c r="N53" i="1"/>
  <c r="M53" i="1"/>
  <c r="L53" i="1"/>
  <c r="F53" i="1"/>
  <c r="A53" i="1"/>
  <c r="N52" i="1"/>
  <c r="M52" i="1"/>
  <c r="L52" i="1"/>
  <c r="F52" i="1"/>
  <c r="A52" i="1"/>
  <c r="N51" i="1"/>
  <c r="M51" i="1"/>
  <c r="L51" i="1"/>
  <c r="F51" i="1"/>
  <c r="A51" i="1"/>
  <c r="N50" i="1"/>
  <c r="M50" i="1"/>
  <c r="L50" i="1"/>
  <c r="F50" i="1"/>
  <c r="A50" i="1"/>
  <c r="N49" i="1"/>
  <c r="M49" i="1"/>
  <c r="L49" i="1"/>
  <c r="F49" i="1"/>
  <c r="A49" i="1"/>
  <c r="N48" i="1"/>
  <c r="M48" i="1"/>
  <c r="L48" i="1"/>
  <c r="F48" i="1"/>
  <c r="A48" i="1"/>
  <c r="N47" i="1"/>
  <c r="M47" i="1"/>
  <c r="L47" i="1"/>
  <c r="F47" i="1"/>
  <c r="A47" i="1"/>
  <c r="N46" i="1"/>
  <c r="M46" i="1"/>
  <c r="L46" i="1"/>
  <c r="F46" i="1"/>
  <c r="A46" i="1"/>
  <c r="N45" i="1"/>
  <c r="M45" i="1"/>
  <c r="L45" i="1"/>
  <c r="F45" i="1"/>
  <c r="A45" i="1"/>
  <c r="N44" i="1"/>
  <c r="S3" i="1" s="1"/>
  <c r="S5" i="1" s="1"/>
  <c r="M44" i="1"/>
  <c r="L44" i="1"/>
  <c r="F44" i="1"/>
  <c r="A44" i="1"/>
  <c r="N43" i="1"/>
  <c r="M43" i="1"/>
  <c r="L43" i="1"/>
  <c r="F43" i="1"/>
  <c r="A43" i="1"/>
  <c r="N42" i="1"/>
  <c r="M42" i="1"/>
  <c r="L42" i="1"/>
  <c r="F42" i="1"/>
  <c r="A42" i="1"/>
  <c r="N41" i="1"/>
  <c r="M41" i="1"/>
  <c r="L41" i="1"/>
  <c r="F41" i="1"/>
  <c r="A41" i="1"/>
  <c r="N40" i="1"/>
  <c r="M40" i="1"/>
  <c r="L40" i="1"/>
  <c r="F40" i="1"/>
  <c r="A40" i="1"/>
  <c r="N39" i="1"/>
  <c r="M39" i="1"/>
  <c r="L39" i="1"/>
  <c r="F39" i="1"/>
  <c r="A39" i="1"/>
  <c r="N38" i="1"/>
  <c r="M38" i="1"/>
  <c r="L38" i="1"/>
  <c r="F38" i="1"/>
  <c r="A38" i="1"/>
  <c r="N37" i="1"/>
  <c r="M37" i="1"/>
  <c r="L37" i="1"/>
  <c r="F37" i="1"/>
  <c r="A37" i="1"/>
  <c r="N36" i="1"/>
  <c r="M36" i="1"/>
  <c r="L36" i="1"/>
  <c r="F36" i="1"/>
  <c r="A36" i="1"/>
  <c r="N35" i="1"/>
  <c r="M35" i="1"/>
  <c r="L35" i="1"/>
  <c r="F35" i="1"/>
  <c r="A35" i="1"/>
  <c r="N34" i="1"/>
  <c r="M34" i="1"/>
  <c r="L34" i="1"/>
  <c r="F34" i="1"/>
  <c r="A34" i="1"/>
  <c r="N33" i="1"/>
  <c r="M33" i="1"/>
  <c r="L33" i="1"/>
  <c r="F33" i="1"/>
  <c r="A33" i="1"/>
  <c r="N32" i="1"/>
  <c r="M32" i="1"/>
  <c r="L32" i="1"/>
  <c r="F32" i="1"/>
  <c r="A32" i="1"/>
  <c r="N31" i="1"/>
  <c r="M31" i="1"/>
  <c r="L31" i="1"/>
  <c r="F31" i="1"/>
  <c r="A31" i="1"/>
  <c r="N30" i="1"/>
  <c r="M30" i="1"/>
  <c r="L30" i="1"/>
  <c r="F30" i="1"/>
  <c r="A30" i="1"/>
  <c r="N29" i="1"/>
  <c r="M29" i="1"/>
  <c r="L29" i="1"/>
  <c r="F29" i="1"/>
  <c r="A29" i="1"/>
  <c r="N28" i="1"/>
  <c r="M28" i="1"/>
  <c r="L28" i="1"/>
  <c r="F28" i="1"/>
  <c r="A28" i="1"/>
  <c r="N27" i="1"/>
  <c r="M27" i="1"/>
  <c r="L27" i="1"/>
  <c r="F27" i="1"/>
  <c r="A27" i="1"/>
  <c r="N26" i="1"/>
  <c r="M26" i="1"/>
  <c r="L26" i="1"/>
  <c r="F26" i="1"/>
  <c r="A26" i="1"/>
  <c r="N25" i="1"/>
  <c r="M25" i="1"/>
  <c r="L25" i="1"/>
  <c r="F25" i="1"/>
  <c r="A25" i="1"/>
  <c r="N24" i="1"/>
  <c r="M24" i="1"/>
  <c r="L24" i="1"/>
  <c r="F24" i="1"/>
  <c r="A24" i="1"/>
  <c r="N23" i="1"/>
  <c r="M23" i="1"/>
  <c r="L23" i="1"/>
  <c r="F23" i="1"/>
  <c r="A23" i="1"/>
  <c r="N22" i="1"/>
  <c r="M22" i="1"/>
  <c r="L22" i="1"/>
  <c r="F22" i="1"/>
  <c r="A22" i="1"/>
  <c r="N21" i="1"/>
  <c r="M21" i="1"/>
  <c r="L21" i="1"/>
  <c r="F21" i="1"/>
  <c r="A21" i="1"/>
  <c r="N20" i="1"/>
  <c r="M20" i="1"/>
  <c r="L20" i="1"/>
  <c r="F20" i="1"/>
  <c r="A20" i="1"/>
  <c r="N19" i="1"/>
  <c r="M19" i="1"/>
  <c r="L19" i="1"/>
  <c r="F19" i="1"/>
  <c r="A19" i="1"/>
  <c r="N18" i="1"/>
  <c r="M18" i="1"/>
  <c r="L18" i="1"/>
  <c r="F18" i="1"/>
  <c r="A18" i="1"/>
  <c r="N17" i="1"/>
  <c r="M17" i="1"/>
  <c r="L17" i="1"/>
  <c r="F17" i="1"/>
  <c r="A17" i="1"/>
  <c r="N16" i="1"/>
  <c r="M16" i="1"/>
  <c r="L16" i="1"/>
  <c r="F16" i="1"/>
  <c r="A16" i="1"/>
  <c r="N15" i="1"/>
  <c r="M15" i="1"/>
  <c r="L15" i="1"/>
  <c r="F15" i="1"/>
  <c r="A15" i="1"/>
  <c r="N14" i="1"/>
  <c r="M14" i="1"/>
  <c r="L14" i="1"/>
  <c r="F14" i="1"/>
  <c r="A14" i="1"/>
  <c r="N13" i="1"/>
  <c r="M13" i="1"/>
  <c r="L13" i="1"/>
  <c r="F13" i="1"/>
  <c r="A13" i="1"/>
  <c r="N12" i="1"/>
  <c r="M12" i="1"/>
  <c r="L12" i="1"/>
  <c r="F12" i="1"/>
  <c r="A12" i="1"/>
  <c r="N11" i="1"/>
  <c r="M11" i="1"/>
  <c r="L11" i="1"/>
  <c r="F11" i="1"/>
  <c r="A11" i="1"/>
  <c r="N10" i="1"/>
  <c r="M10" i="1"/>
  <c r="L10" i="1"/>
  <c r="F10" i="1"/>
  <c r="A10" i="1"/>
  <c r="N9" i="1"/>
  <c r="M9" i="1"/>
  <c r="L9" i="1"/>
  <c r="F9" i="1"/>
  <c r="A9" i="1"/>
  <c r="N8" i="1"/>
  <c r="M8" i="1"/>
  <c r="L8" i="1"/>
  <c r="F8" i="1"/>
  <c r="A8" i="1"/>
  <c r="N7" i="1"/>
  <c r="M7" i="1"/>
  <c r="L7" i="1"/>
  <c r="S6" i="1"/>
  <c r="N6" i="1"/>
  <c r="M6" i="1"/>
  <c r="L6" i="1"/>
  <c r="N5" i="1"/>
  <c r="M5" i="1"/>
  <c r="L5" i="1"/>
  <c r="L4" i="1"/>
  <c r="Z14" i="6" l="1"/>
  <c r="AJ946" i="6"/>
  <c r="AJ958" i="6"/>
  <c r="O55" i="6"/>
  <c r="Q54" i="6" s="1"/>
  <c r="O51" i="6"/>
  <c r="Q50" i="6" s="1"/>
  <c r="O52" i="6"/>
  <c r="AJ974" i="6"/>
  <c r="AJ978" i="6"/>
  <c r="AJ998" i="6"/>
  <c r="AJ1032" i="6"/>
  <c r="AJ423" i="6"/>
  <c r="AJ966" i="6"/>
  <c r="O56" i="6"/>
  <c r="Q55" i="6" s="1"/>
  <c r="AJ996" i="6"/>
  <c r="AJ415" i="6"/>
  <c r="AJ431" i="6"/>
  <c r="AJ962" i="6"/>
  <c r="AJ1018" i="6"/>
  <c r="AJ1020" i="6"/>
  <c r="AJ1028" i="6"/>
  <c r="O31" i="6"/>
  <c r="M12" i="6"/>
  <c r="M19" i="6" s="1"/>
  <c r="O28" i="6"/>
  <c r="M32" i="6"/>
  <c r="Q52" i="6"/>
  <c r="AJ453" i="6"/>
  <c r="AJ469" i="6"/>
  <c r="AJ976" i="6"/>
  <c r="Q51" i="6"/>
  <c r="AJ950" i="6"/>
  <c r="AJ964" i="6"/>
  <c r="AJ1022" i="6"/>
  <c r="AJ1024" i="6"/>
  <c r="AI327" i="6"/>
  <c r="S327" i="6"/>
  <c r="R327" i="6" s="1"/>
  <c r="Q327" i="6"/>
  <c r="Q328" i="6"/>
  <c r="AI328" i="6"/>
  <c r="S328" i="6"/>
  <c r="R328" i="6" s="1"/>
  <c r="AI335" i="6"/>
  <c r="S335" i="6"/>
  <c r="R335" i="6" s="1"/>
  <c r="Q335" i="6"/>
  <c r="Q336" i="6"/>
  <c r="AI336" i="6"/>
  <c r="S336" i="6"/>
  <c r="R336" i="6" s="1"/>
  <c r="AI343" i="6"/>
  <c r="S343" i="6"/>
  <c r="R343" i="6" s="1"/>
  <c r="Q343" i="6"/>
  <c r="AF343" i="6" s="1"/>
  <c r="AH343" i="6" s="1"/>
  <c r="Q344" i="6"/>
  <c r="AI344" i="6"/>
  <c r="S344" i="6"/>
  <c r="R344" i="6" s="1"/>
  <c r="AI325" i="6"/>
  <c r="S325" i="6"/>
  <c r="R325" i="6" s="1"/>
  <c r="Q325" i="6"/>
  <c r="AF325" i="6" s="1"/>
  <c r="AH325" i="6" s="1"/>
  <c r="Q326" i="6"/>
  <c r="AI326" i="6"/>
  <c r="S326" i="6"/>
  <c r="R326" i="6" s="1"/>
  <c r="AI333" i="6"/>
  <c r="S333" i="6"/>
  <c r="R333" i="6" s="1"/>
  <c r="Q333" i="6"/>
  <c r="AF333" i="6" s="1"/>
  <c r="AH333" i="6" s="1"/>
  <c r="Q334" i="6"/>
  <c r="AI334" i="6"/>
  <c r="S334" i="6"/>
  <c r="R334" i="6" s="1"/>
  <c r="AI341" i="6"/>
  <c r="S341" i="6"/>
  <c r="R341" i="6" s="1"/>
  <c r="Q341" i="6"/>
  <c r="AF341" i="6" s="1"/>
  <c r="AH341" i="6" s="1"/>
  <c r="Q342" i="6"/>
  <c r="AF342" i="6" s="1"/>
  <c r="AH342" i="6" s="1"/>
  <c r="AI342" i="6"/>
  <c r="S342" i="6"/>
  <c r="R342" i="6" s="1"/>
  <c r="AI323" i="6"/>
  <c r="S323" i="6"/>
  <c r="R323" i="6" s="1"/>
  <c r="Q323" i="6"/>
  <c r="Q324" i="6"/>
  <c r="AI324" i="6"/>
  <c r="S324" i="6"/>
  <c r="R324" i="6" s="1"/>
  <c r="AI331" i="6"/>
  <c r="S331" i="6"/>
  <c r="R331" i="6" s="1"/>
  <c r="Q331" i="6"/>
  <c r="AF331" i="6" s="1"/>
  <c r="AH331" i="6" s="1"/>
  <c r="Q332" i="6"/>
  <c r="AF332" i="6" s="1"/>
  <c r="AH332" i="6" s="1"/>
  <c r="AI332" i="6"/>
  <c r="S332" i="6"/>
  <c r="R332" i="6" s="1"/>
  <c r="AI339" i="6"/>
  <c r="S339" i="6"/>
  <c r="R339" i="6" s="1"/>
  <c r="Q339" i="6"/>
  <c r="Q340" i="6"/>
  <c r="AI340" i="6"/>
  <c r="S340" i="6"/>
  <c r="R340" i="6" s="1"/>
  <c r="Q237" i="6"/>
  <c r="AI237" i="6"/>
  <c r="S237" i="6"/>
  <c r="R237" i="6" s="1"/>
  <c r="Q238" i="6"/>
  <c r="AI238" i="6"/>
  <c r="S238" i="6"/>
  <c r="R238" i="6" s="1"/>
  <c r="Q239" i="6"/>
  <c r="AF239" i="6" s="1"/>
  <c r="AH239" i="6" s="1"/>
  <c r="AI239" i="6"/>
  <c r="S239" i="6"/>
  <c r="R239" i="6" s="1"/>
  <c r="Q240" i="6"/>
  <c r="AF240" i="6" s="1"/>
  <c r="AH240" i="6" s="1"/>
  <c r="AI240" i="6"/>
  <c r="S240" i="6"/>
  <c r="R240" i="6" s="1"/>
  <c r="Q241" i="6"/>
  <c r="AI241" i="6"/>
  <c r="S241" i="6"/>
  <c r="R241" i="6" s="1"/>
  <c r="Q242" i="6"/>
  <c r="AI242" i="6"/>
  <c r="S242" i="6"/>
  <c r="R242" i="6" s="1"/>
  <c r="Q243" i="6"/>
  <c r="AF243" i="6" s="1"/>
  <c r="AH243" i="6" s="1"/>
  <c r="AI243" i="6"/>
  <c r="S243" i="6"/>
  <c r="R243" i="6" s="1"/>
  <c r="Q244" i="6"/>
  <c r="AF244" i="6" s="1"/>
  <c r="AH244" i="6" s="1"/>
  <c r="AI244" i="6"/>
  <c r="S244" i="6"/>
  <c r="R244" i="6" s="1"/>
  <c r="Q245" i="6"/>
  <c r="AI245" i="6"/>
  <c r="S245" i="6"/>
  <c r="R245" i="6" s="1"/>
  <c r="Q246" i="6"/>
  <c r="AI246" i="6"/>
  <c r="S246" i="6"/>
  <c r="R246" i="6" s="1"/>
  <c r="Q247" i="6"/>
  <c r="AF247" i="6" s="1"/>
  <c r="AH247" i="6" s="1"/>
  <c r="AI247" i="6"/>
  <c r="S247" i="6"/>
  <c r="R247" i="6" s="1"/>
  <c r="Q248" i="6"/>
  <c r="AF248" i="6" s="1"/>
  <c r="AH248" i="6" s="1"/>
  <c r="AI248" i="6"/>
  <c r="S248" i="6"/>
  <c r="R248" i="6" s="1"/>
  <c r="Q249" i="6"/>
  <c r="AI249" i="6"/>
  <c r="S249" i="6"/>
  <c r="R249" i="6" s="1"/>
  <c r="Q250" i="6"/>
  <c r="AI250" i="6"/>
  <c r="S250" i="6"/>
  <c r="R250" i="6" s="1"/>
  <c r="Q251" i="6"/>
  <c r="AF251" i="6" s="1"/>
  <c r="AH251" i="6" s="1"/>
  <c r="AI251" i="6"/>
  <c r="S251" i="6"/>
  <c r="R251" i="6" s="1"/>
  <c r="Q252" i="6"/>
  <c r="AF252" i="6" s="1"/>
  <c r="AH252" i="6" s="1"/>
  <c r="AI252" i="6"/>
  <c r="S252" i="6"/>
  <c r="R252" i="6" s="1"/>
  <c r="Q253" i="6"/>
  <c r="AI253" i="6"/>
  <c r="S253" i="6"/>
  <c r="R253" i="6" s="1"/>
  <c r="Q254" i="6"/>
  <c r="AI254" i="6"/>
  <c r="S254" i="6"/>
  <c r="R254" i="6" s="1"/>
  <c r="Q255" i="6"/>
  <c r="AF255" i="6" s="1"/>
  <c r="AH255" i="6" s="1"/>
  <c r="AI255" i="6"/>
  <c r="S255" i="6"/>
  <c r="R255" i="6" s="1"/>
  <c r="Q256" i="6"/>
  <c r="AF256" i="6" s="1"/>
  <c r="AH256" i="6" s="1"/>
  <c r="AI256" i="6"/>
  <c r="S256" i="6"/>
  <c r="R256" i="6" s="1"/>
  <c r="Q257" i="6"/>
  <c r="AI257" i="6"/>
  <c r="S257" i="6"/>
  <c r="R257" i="6" s="1"/>
  <c r="Q258" i="6"/>
  <c r="AI258" i="6"/>
  <c r="S258" i="6"/>
  <c r="R258" i="6" s="1"/>
  <c r="Q259" i="6"/>
  <c r="AF259" i="6" s="1"/>
  <c r="AH259" i="6" s="1"/>
  <c r="AI259" i="6"/>
  <c r="S259" i="6"/>
  <c r="R259" i="6" s="1"/>
  <c r="Q260" i="6"/>
  <c r="AF260" i="6" s="1"/>
  <c r="AH260" i="6" s="1"/>
  <c r="AI260" i="6"/>
  <c r="S260" i="6"/>
  <c r="R260" i="6" s="1"/>
  <c r="Q261" i="6"/>
  <c r="AI261" i="6"/>
  <c r="S261" i="6"/>
  <c r="R261" i="6" s="1"/>
  <c r="Q262" i="6"/>
  <c r="AI262" i="6"/>
  <c r="S262" i="6"/>
  <c r="R262" i="6" s="1"/>
  <c r="Q263" i="6"/>
  <c r="AF263" i="6" s="1"/>
  <c r="AH263" i="6" s="1"/>
  <c r="AI263" i="6"/>
  <c r="S263" i="6"/>
  <c r="R263" i="6" s="1"/>
  <c r="Q264" i="6"/>
  <c r="AF264" i="6" s="1"/>
  <c r="AH264" i="6" s="1"/>
  <c r="AI264" i="6"/>
  <c r="S264" i="6"/>
  <c r="R264" i="6" s="1"/>
  <c r="Q265" i="6"/>
  <c r="AI265" i="6"/>
  <c r="S265" i="6"/>
  <c r="R265" i="6" s="1"/>
  <c r="Q266" i="6"/>
  <c r="AI266" i="6"/>
  <c r="S266" i="6"/>
  <c r="R266" i="6" s="1"/>
  <c r="Q267" i="6"/>
  <c r="AF267" i="6" s="1"/>
  <c r="AH267" i="6" s="1"/>
  <c r="AI267" i="6"/>
  <c r="S267" i="6"/>
  <c r="R267" i="6" s="1"/>
  <c r="Q268" i="6"/>
  <c r="AF268" i="6" s="1"/>
  <c r="AH268" i="6" s="1"/>
  <c r="AI268" i="6"/>
  <c r="S268" i="6"/>
  <c r="R268" i="6" s="1"/>
  <c r="Q269" i="6"/>
  <c r="AI269" i="6"/>
  <c r="S269" i="6"/>
  <c r="R269" i="6" s="1"/>
  <c r="Q270" i="6"/>
  <c r="AI270" i="6"/>
  <c r="S270" i="6"/>
  <c r="R270" i="6" s="1"/>
  <c r="Q271" i="6"/>
  <c r="AF271" i="6" s="1"/>
  <c r="AH271" i="6" s="1"/>
  <c r="AI271" i="6"/>
  <c r="S271" i="6"/>
  <c r="R271" i="6" s="1"/>
  <c r="Q272" i="6"/>
  <c r="AF272" i="6" s="1"/>
  <c r="AH272" i="6" s="1"/>
  <c r="AI272" i="6"/>
  <c r="S272" i="6"/>
  <c r="R272" i="6" s="1"/>
  <c r="Q273" i="6"/>
  <c r="AI273" i="6"/>
  <c r="S273" i="6"/>
  <c r="R273" i="6" s="1"/>
  <c r="Q274" i="6"/>
  <c r="AI274" i="6"/>
  <c r="S274" i="6"/>
  <c r="R274" i="6" s="1"/>
  <c r="Q275" i="6"/>
  <c r="AF275" i="6" s="1"/>
  <c r="AH275" i="6" s="1"/>
  <c r="AI275" i="6"/>
  <c r="S275" i="6"/>
  <c r="R275" i="6" s="1"/>
  <c r="Q276" i="6"/>
  <c r="AF276" i="6" s="1"/>
  <c r="AH276" i="6" s="1"/>
  <c r="AI276" i="6"/>
  <c r="S276" i="6"/>
  <c r="R276" i="6" s="1"/>
  <c r="Q277" i="6"/>
  <c r="AI277" i="6"/>
  <c r="S277" i="6"/>
  <c r="R277" i="6" s="1"/>
  <c r="Q278" i="6"/>
  <c r="AI278" i="6"/>
  <c r="S278" i="6"/>
  <c r="R278" i="6" s="1"/>
  <c r="Q279" i="6"/>
  <c r="AF279" i="6" s="1"/>
  <c r="AH279" i="6" s="1"/>
  <c r="AI279" i="6"/>
  <c r="S279" i="6"/>
  <c r="R279" i="6" s="1"/>
  <c r="Q280" i="6"/>
  <c r="AF280" i="6" s="1"/>
  <c r="AH280" i="6" s="1"/>
  <c r="AI280" i="6"/>
  <c r="S280" i="6"/>
  <c r="R280" i="6" s="1"/>
  <c r="Q281" i="6"/>
  <c r="AI281" i="6"/>
  <c r="S281" i="6"/>
  <c r="R281" i="6" s="1"/>
  <c r="Q282" i="6"/>
  <c r="AI282" i="6"/>
  <c r="S282" i="6"/>
  <c r="R282" i="6" s="1"/>
  <c r="Q283" i="6"/>
  <c r="AF283" i="6" s="1"/>
  <c r="AH283" i="6" s="1"/>
  <c r="AI283" i="6"/>
  <c r="S283" i="6"/>
  <c r="R283" i="6" s="1"/>
  <c r="Q284" i="6"/>
  <c r="AF284" i="6" s="1"/>
  <c r="AH284" i="6" s="1"/>
  <c r="AI284" i="6"/>
  <c r="S284" i="6"/>
  <c r="R284" i="6" s="1"/>
  <c r="Q285" i="6"/>
  <c r="AI285" i="6"/>
  <c r="S285" i="6"/>
  <c r="R285" i="6" s="1"/>
  <c r="Q286" i="6"/>
  <c r="AI286" i="6"/>
  <c r="S286" i="6"/>
  <c r="R286" i="6" s="1"/>
  <c r="Q287" i="6"/>
  <c r="AF287" i="6" s="1"/>
  <c r="AH287" i="6" s="1"/>
  <c r="AI287" i="6"/>
  <c r="S287" i="6"/>
  <c r="R287" i="6" s="1"/>
  <c r="Q288" i="6"/>
  <c r="AF288" i="6" s="1"/>
  <c r="AH288" i="6" s="1"/>
  <c r="AI288" i="6"/>
  <c r="S288" i="6"/>
  <c r="R288" i="6" s="1"/>
  <c r="Q289" i="6"/>
  <c r="AI289" i="6"/>
  <c r="S289" i="6"/>
  <c r="R289" i="6" s="1"/>
  <c r="Q290" i="6"/>
  <c r="AI290" i="6"/>
  <c r="S290" i="6"/>
  <c r="R290" i="6" s="1"/>
  <c r="Q291" i="6"/>
  <c r="AF291" i="6" s="1"/>
  <c r="AH291" i="6" s="1"/>
  <c r="AI291" i="6"/>
  <c r="S291" i="6"/>
  <c r="R291" i="6" s="1"/>
  <c r="Q292" i="6"/>
  <c r="AF292" i="6" s="1"/>
  <c r="AH292" i="6" s="1"/>
  <c r="AI292" i="6"/>
  <c r="S292" i="6"/>
  <c r="R292" i="6" s="1"/>
  <c r="Q293" i="6"/>
  <c r="AI293" i="6"/>
  <c r="S293" i="6"/>
  <c r="R293" i="6" s="1"/>
  <c r="Q294" i="6"/>
  <c r="AI294" i="6"/>
  <c r="S294" i="6"/>
  <c r="R294" i="6" s="1"/>
  <c r="Q295" i="6"/>
  <c r="AF295" i="6" s="1"/>
  <c r="AH295" i="6" s="1"/>
  <c r="AI295" i="6"/>
  <c r="S295" i="6"/>
  <c r="R295" i="6" s="1"/>
  <c r="Q296" i="6"/>
  <c r="AF296" i="6" s="1"/>
  <c r="AH296" i="6" s="1"/>
  <c r="AI296" i="6"/>
  <c r="S296" i="6"/>
  <c r="R296" i="6" s="1"/>
  <c r="Q297" i="6"/>
  <c r="AI297" i="6"/>
  <c r="S297" i="6"/>
  <c r="R297" i="6" s="1"/>
  <c r="Q298" i="6"/>
  <c r="AI298" i="6"/>
  <c r="S298" i="6"/>
  <c r="R298" i="6" s="1"/>
  <c r="Q299" i="6"/>
  <c r="AF299" i="6" s="1"/>
  <c r="AH299" i="6" s="1"/>
  <c r="AI299" i="6"/>
  <c r="S299" i="6"/>
  <c r="R299" i="6" s="1"/>
  <c r="Q300" i="6"/>
  <c r="AF300" i="6" s="1"/>
  <c r="AH300" i="6" s="1"/>
  <c r="AI300" i="6"/>
  <c r="S300" i="6"/>
  <c r="R300" i="6" s="1"/>
  <c r="Q301" i="6"/>
  <c r="AI301" i="6"/>
  <c r="S301" i="6"/>
  <c r="R301" i="6" s="1"/>
  <c r="Q302" i="6"/>
  <c r="AI302" i="6"/>
  <c r="S302" i="6"/>
  <c r="R302" i="6" s="1"/>
  <c r="Q303" i="6"/>
  <c r="AF303" i="6" s="1"/>
  <c r="AH303" i="6" s="1"/>
  <c r="AI303" i="6"/>
  <c r="S303" i="6"/>
  <c r="R303" i="6" s="1"/>
  <c r="Q304" i="6"/>
  <c r="AF304" i="6" s="1"/>
  <c r="AH304" i="6" s="1"/>
  <c r="AI304" i="6"/>
  <c r="S304" i="6"/>
  <c r="R304" i="6" s="1"/>
  <c r="Q305" i="6"/>
  <c r="AI305" i="6"/>
  <c r="S305" i="6"/>
  <c r="R305" i="6" s="1"/>
  <c r="Q306" i="6"/>
  <c r="AI306" i="6"/>
  <c r="S306" i="6"/>
  <c r="R306" i="6" s="1"/>
  <c r="Q307" i="6"/>
  <c r="AF307" i="6" s="1"/>
  <c r="AH307" i="6" s="1"/>
  <c r="AI307" i="6"/>
  <c r="S307" i="6"/>
  <c r="R307" i="6" s="1"/>
  <c r="Q308" i="6"/>
  <c r="AF308" i="6" s="1"/>
  <c r="AH308" i="6" s="1"/>
  <c r="AI308" i="6"/>
  <c r="S308" i="6"/>
  <c r="R308" i="6" s="1"/>
  <c r="Q309" i="6"/>
  <c r="AI309" i="6"/>
  <c r="S309" i="6"/>
  <c r="R309" i="6" s="1"/>
  <c r="Q310" i="6"/>
  <c r="AI310" i="6"/>
  <c r="S310" i="6"/>
  <c r="R310" i="6" s="1"/>
  <c r="Q311" i="6"/>
  <c r="AF311" i="6" s="1"/>
  <c r="AH311" i="6" s="1"/>
  <c r="AI311" i="6"/>
  <c r="S311" i="6"/>
  <c r="R311" i="6" s="1"/>
  <c r="Q312" i="6"/>
  <c r="AF312" i="6" s="1"/>
  <c r="AH312" i="6" s="1"/>
  <c r="AI312" i="6"/>
  <c r="S312" i="6"/>
  <c r="R312" i="6" s="1"/>
  <c r="Q313" i="6"/>
  <c r="AI313" i="6"/>
  <c r="S313" i="6"/>
  <c r="R313" i="6" s="1"/>
  <c r="Q314" i="6"/>
  <c r="AI314" i="6"/>
  <c r="S314" i="6"/>
  <c r="R314" i="6" s="1"/>
  <c r="Q315" i="6"/>
  <c r="AF315" i="6" s="1"/>
  <c r="AH315" i="6" s="1"/>
  <c r="AI315" i="6"/>
  <c r="S315" i="6"/>
  <c r="R315" i="6" s="1"/>
  <c r="Q316" i="6"/>
  <c r="AF316" i="6" s="1"/>
  <c r="AH316" i="6" s="1"/>
  <c r="AI316" i="6"/>
  <c r="S316" i="6"/>
  <c r="R316" i="6" s="1"/>
  <c r="Q317" i="6"/>
  <c r="AI317" i="6"/>
  <c r="S317" i="6"/>
  <c r="R317" i="6" s="1"/>
  <c r="Q318" i="6"/>
  <c r="AI318" i="6"/>
  <c r="S318" i="6"/>
  <c r="R318" i="6" s="1"/>
  <c r="Q319" i="6"/>
  <c r="AF319" i="6" s="1"/>
  <c r="AH319" i="6" s="1"/>
  <c r="AI319" i="6"/>
  <c r="S319" i="6"/>
  <c r="R319" i="6" s="1"/>
  <c r="Q320" i="6"/>
  <c r="AF320" i="6" s="1"/>
  <c r="AH320" i="6" s="1"/>
  <c r="AI320" i="6"/>
  <c r="S320" i="6"/>
  <c r="R320" i="6" s="1"/>
  <c r="Q321" i="6"/>
  <c r="AI321" i="6"/>
  <c r="S321" i="6"/>
  <c r="R321" i="6" s="1"/>
  <c r="Q322" i="6"/>
  <c r="AI322" i="6"/>
  <c r="S322" i="6"/>
  <c r="R322" i="6" s="1"/>
  <c r="AI329" i="6"/>
  <c r="S329" i="6"/>
  <c r="R329" i="6" s="1"/>
  <c r="Q329" i="6"/>
  <c r="Q330" i="6"/>
  <c r="AF330" i="6" s="1"/>
  <c r="AH330" i="6" s="1"/>
  <c r="AI330" i="6"/>
  <c r="S330" i="6"/>
  <c r="R330" i="6" s="1"/>
  <c r="AI337" i="6"/>
  <c r="S337" i="6"/>
  <c r="R337" i="6" s="1"/>
  <c r="Q337" i="6"/>
  <c r="AF337" i="6" s="1"/>
  <c r="AH337" i="6" s="1"/>
  <c r="Q338" i="6"/>
  <c r="AI338" i="6"/>
  <c r="S338" i="6"/>
  <c r="R338" i="6" s="1"/>
  <c r="AI74" i="6"/>
  <c r="AJ74" i="6" s="1"/>
  <c r="AI80" i="6"/>
  <c r="AJ80" i="6" s="1"/>
  <c r="AI82" i="6"/>
  <c r="AJ82" i="6" s="1"/>
  <c r="AI97" i="6"/>
  <c r="AJ97" i="6" s="1"/>
  <c r="AI101" i="6"/>
  <c r="AJ101" i="6" s="1"/>
  <c r="AI106" i="6"/>
  <c r="AJ106" i="6" s="1"/>
  <c r="AI110" i="6"/>
  <c r="AJ110" i="6" s="1"/>
  <c r="AI113" i="6"/>
  <c r="AJ113" i="6" s="1"/>
  <c r="AI116" i="6"/>
  <c r="AJ116" i="6" s="1"/>
  <c r="AI117" i="6"/>
  <c r="AJ117" i="6" s="1"/>
  <c r="AI119" i="6"/>
  <c r="AJ119" i="6" s="1"/>
  <c r="AI121" i="6"/>
  <c r="AJ121" i="6" s="1"/>
  <c r="AI123" i="6"/>
  <c r="AJ123" i="6" s="1"/>
  <c r="AI124" i="6"/>
  <c r="AJ124" i="6" s="1"/>
  <c r="AI125" i="6"/>
  <c r="AJ125" i="6" s="1"/>
  <c r="O50" i="6"/>
  <c r="Q49" i="6" s="1"/>
  <c r="O54" i="6"/>
  <c r="Q53" i="6" s="1"/>
  <c r="Q70" i="6"/>
  <c r="AF345" i="6"/>
  <c r="AH345" i="6" s="1"/>
  <c r="AJ345" i="6" s="1"/>
  <c r="AF346" i="6"/>
  <c r="AH346" i="6" s="1"/>
  <c r="AJ346" i="6" s="1"/>
  <c r="AF347" i="6"/>
  <c r="AH347" i="6" s="1"/>
  <c r="AJ347" i="6" s="1"/>
  <c r="AF348" i="6"/>
  <c r="AH348" i="6" s="1"/>
  <c r="AJ348" i="6" s="1"/>
  <c r="AF349" i="6"/>
  <c r="AH349" i="6" s="1"/>
  <c r="AJ349" i="6" s="1"/>
  <c r="AF350" i="6"/>
  <c r="AH350" i="6" s="1"/>
  <c r="AJ350" i="6" s="1"/>
  <c r="AF351" i="6"/>
  <c r="AH351" i="6" s="1"/>
  <c r="AJ351" i="6" s="1"/>
  <c r="AF352" i="6"/>
  <c r="AH352" i="6" s="1"/>
  <c r="AJ352" i="6" s="1"/>
  <c r="AF353" i="6"/>
  <c r="AH353" i="6" s="1"/>
  <c r="AJ353" i="6" s="1"/>
  <c r="AF354" i="6"/>
  <c r="AH354" i="6" s="1"/>
  <c r="AJ354" i="6" s="1"/>
  <c r="AF355" i="6"/>
  <c r="AH355" i="6" s="1"/>
  <c r="AJ355" i="6" s="1"/>
  <c r="AF356" i="6"/>
  <c r="AH356" i="6" s="1"/>
  <c r="AJ356" i="6" s="1"/>
  <c r="AF357" i="6"/>
  <c r="AH357" i="6" s="1"/>
  <c r="AJ357" i="6" s="1"/>
  <c r="AF358" i="6"/>
  <c r="AH358" i="6" s="1"/>
  <c r="AJ358" i="6" s="1"/>
  <c r="AF359" i="6"/>
  <c r="AH359" i="6" s="1"/>
  <c r="AJ359" i="6" s="1"/>
  <c r="AF360" i="6"/>
  <c r="AH360" i="6" s="1"/>
  <c r="AJ360" i="6" s="1"/>
  <c r="AF361" i="6"/>
  <c r="AH361" i="6" s="1"/>
  <c r="AJ361" i="6" s="1"/>
  <c r="AF362" i="6"/>
  <c r="AH362" i="6" s="1"/>
  <c r="AJ362" i="6" s="1"/>
  <c r="AF363" i="6"/>
  <c r="AH363" i="6" s="1"/>
  <c r="AJ363" i="6" s="1"/>
  <c r="AF364" i="6"/>
  <c r="AH364" i="6" s="1"/>
  <c r="AJ364" i="6" s="1"/>
  <c r="AF365" i="6"/>
  <c r="AH365" i="6" s="1"/>
  <c r="AJ365" i="6" s="1"/>
  <c r="AF366" i="6"/>
  <c r="AH366" i="6" s="1"/>
  <c r="AJ366" i="6" s="1"/>
  <c r="AF367" i="6"/>
  <c r="AH367" i="6" s="1"/>
  <c r="AJ367" i="6" s="1"/>
  <c r="AF368" i="6"/>
  <c r="AH368" i="6" s="1"/>
  <c r="AJ368" i="6" s="1"/>
  <c r="AF369" i="6"/>
  <c r="AH369" i="6" s="1"/>
  <c r="AJ369" i="6" s="1"/>
  <c r="AF370" i="6"/>
  <c r="AH370" i="6" s="1"/>
  <c r="AJ370" i="6" s="1"/>
  <c r="AF371" i="6"/>
  <c r="AH371" i="6" s="1"/>
  <c r="AJ371" i="6" s="1"/>
  <c r="AF372" i="6"/>
  <c r="AH372" i="6" s="1"/>
  <c r="AJ372" i="6" s="1"/>
  <c r="AF373" i="6"/>
  <c r="AH373" i="6" s="1"/>
  <c r="AJ373" i="6" s="1"/>
  <c r="AF374" i="6"/>
  <c r="AH374" i="6" s="1"/>
  <c r="AJ374" i="6" s="1"/>
  <c r="AF375" i="6"/>
  <c r="AH375" i="6" s="1"/>
  <c r="AJ375" i="6" s="1"/>
  <c r="AF376" i="6"/>
  <c r="AH376" i="6" s="1"/>
  <c r="AJ376" i="6" s="1"/>
  <c r="AF377" i="6"/>
  <c r="AH377" i="6" s="1"/>
  <c r="AJ377" i="6" s="1"/>
  <c r="AF378" i="6"/>
  <c r="AH378" i="6" s="1"/>
  <c r="AJ378" i="6" s="1"/>
  <c r="AF379" i="6"/>
  <c r="AH379" i="6" s="1"/>
  <c r="AJ379" i="6" s="1"/>
  <c r="AF380" i="6"/>
  <c r="AH380" i="6" s="1"/>
  <c r="AJ380" i="6" s="1"/>
  <c r="AF381" i="6"/>
  <c r="AH381" i="6" s="1"/>
  <c r="AJ381" i="6" s="1"/>
  <c r="AF382" i="6"/>
  <c r="AH382" i="6" s="1"/>
  <c r="AJ382" i="6" s="1"/>
  <c r="AF383" i="6"/>
  <c r="AH383" i="6" s="1"/>
  <c r="AJ383" i="6" s="1"/>
  <c r="AF384" i="6"/>
  <c r="AH384" i="6" s="1"/>
  <c r="AJ384" i="6" s="1"/>
  <c r="AF385" i="6"/>
  <c r="AH385" i="6" s="1"/>
  <c r="AJ385" i="6" s="1"/>
  <c r="AF386" i="6"/>
  <c r="AH386" i="6" s="1"/>
  <c r="AJ386" i="6" s="1"/>
  <c r="AF387" i="6"/>
  <c r="AH387" i="6" s="1"/>
  <c r="AJ387" i="6" s="1"/>
  <c r="AF388" i="6"/>
  <c r="AH388" i="6" s="1"/>
  <c r="AJ388" i="6" s="1"/>
  <c r="AF389" i="6"/>
  <c r="AH389" i="6" s="1"/>
  <c r="AF393" i="6"/>
  <c r="AH393" i="6" s="1"/>
  <c r="AF397" i="6"/>
  <c r="AH397" i="6" s="1"/>
  <c r="AF401" i="6"/>
  <c r="AH401" i="6" s="1"/>
  <c r="AF405" i="6"/>
  <c r="AH405" i="6" s="1"/>
  <c r="AF409" i="6"/>
  <c r="AH409" i="6" s="1"/>
  <c r="AF413" i="6"/>
  <c r="AH413" i="6" s="1"/>
  <c r="AI416" i="6"/>
  <c r="S416" i="6"/>
  <c r="R416" i="6" s="1"/>
  <c r="Q416" i="6"/>
  <c r="AF416" i="6" s="1"/>
  <c r="AH417" i="6"/>
  <c r="AJ417" i="6" s="1"/>
  <c r="AF419" i="6"/>
  <c r="AI424" i="6"/>
  <c r="S424" i="6"/>
  <c r="R424" i="6" s="1"/>
  <c r="Q424" i="6"/>
  <c r="AH425" i="6"/>
  <c r="AJ425" i="6" s="1"/>
  <c r="AF427" i="6"/>
  <c r="AI432" i="6"/>
  <c r="S432" i="6"/>
  <c r="R432" i="6" s="1"/>
  <c r="Q432" i="6"/>
  <c r="AF432" i="6" s="1"/>
  <c r="AF435" i="6"/>
  <c r="AH441" i="6"/>
  <c r="AJ441" i="6" s="1"/>
  <c r="AF443" i="6"/>
  <c r="AH449" i="6"/>
  <c r="AJ449" i="6" s="1"/>
  <c r="AF451" i="6"/>
  <c r="AH457" i="6"/>
  <c r="AJ457" i="6" s="1"/>
  <c r="AF459" i="6"/>
  <c r="AF467" i="6"/>
  <c r="S479" i="6"/>
  <c r="R479" i="6" s="1"/>
  <c r="Q479" i="6"/>
  <c r="AI479" i="6"/>
  <c r="S487" i="6"/>
  <c r="R487" i="6" s="1"/>
  <c r="AI487" i="6"/>
  <c r="Q487" i="6"/>
  <c r="AF487" i="6" s="1"/>
  <c r="AF392" i="6"/>
  <c r="AH392" i="6" s="1"/>
  <c r="AF412" i="6"/>
  <c r="AH412" i="6" s="1"/>
  <c r="AI422" i="6"/>
  <c r="S422" i="6"/>
  <c r="R422" i="6" s="1"/>
  <c r="Q422" i="6"/>
  <c r="AI430" i="6"/>
  <c r="S430" i="6"/>
  <c r="R430" i="6" s="1"/>
  <c r="Q430" i="6"/>
  <c r="AF433" i="6"/>
  <c r="AH433" i="6" s="1"/>
  <c r="AJ433" i="6" s="1"/>
  <c r="AI438" i="6"/>
  <c r="S438" i="6"/>
  <c r="R438" i="6" s="1"/>
  <c r="Q438" i="6"/>
  <c r="AF438" i="6" s="1"/>
  <c r="AF441" i="6"/>
  <c r="AF465" i="6"/>
  <c r="AH465" i="6" s="1"/>
  <c r="AJ465" i="6" s="1"/>
  <c r="S481" i="6"/>
  <c r="R481" i="6" s="1"/>
  <c r="Q481" i="6"/>
  <c r="AF481" i="6" s="1"/>
  <c r="AI481" i="6"/>
  <c r="AI78" i="6"/>
  <c r="AJ78" i="6" s="1"/>
  <c r="AI81" i="6"/>
  <c r="AJ81" i="6" s="1"/>
  <c r="AI85" i="6"/>
  <c r="AJ85" i="6" s="1"/>
  <c r="AI86" i="6"/>
  <c r="AJ86" i="6" s="1"/>
  <c r="AI87" i="6"/>
  <c r="AJ87" i="6" s="1"/>
  <c r="AI89" i="6"/>
  <c r="AJ89" i="6" s="1"/>
  <c r="AI91" i="6"/>
  <c r="AJ91" i="6" s="1"/>
  <c r="AI92" i="6"/>
  <c r="AJ92" i="6" s="1"/>
  <c r="AI94" i="6"/>
  <c r="AJ94" i="6" s="1"/>
  <c r="AI100" i="6"/>
  <c r="AJ100" i="6" s="1"/>
  <c r="AI104" i="6"/>
  <c r="AJ104" i="6" s="1"/>
  <c r="AI107" i="6"/>
  <c r="AJ107" i="6" s="1"/>
  <c r="AI109" i="6"/>
  <c r="AJ109" i="6" s="1"/>
  <c r="AI112" i="6"/>
  <c r="AJ112" i="6" s="1"/>
  <c r="AI115" i="6"/>
  <c r="AJ115" i="6" s="1"/>
  <c r="AI118" i="6"/>
  <c r="AJ118" i="6" s="1"/>
  <c r="AI120" i="6"/>
  <c r="AJ120" i="6" s="1"/>
  <c r="AI126" i="6"/>
  <c r="AJ126" i="6" s="1"/>
  <c r="AI127" i="6"/>
  <c r="AJ127" i="6" s="1"/>
  <c r="AI128" i="6"/>
  <c r="AJ128" i="6" s="1"/>
  <c r="AI129" i="6"/>
  <c r="AJ129" i="6" s="1"/>
  <c r="AI130" i="6"/>
  <c r="AJ130" i="6" s="1"/>
  <c r="AI131" i="6"/>
  <c r="AJ131" i="6" s="1"/>
  <c r="AI132" i="6"/>
  <c r="AJ132" i="6" s="1"/>
  <c r="AI133" i="6"/>
  <c r="AJ133" i="6" s="1"/>
  <c r="AI134" i="6"/>
  <c r="AJ134" i="6" s="1"/>
  <c r="AI135" i="6"/>
  <c r="AJ135" i="6" s="1"/>
  <c r="AI136" i="6"/>
  <c r="AJ136" i="6" s="1"/>
  <c r="AI137" i="6"/>
  <c r="AJ137" i="6" s="1"/>
  <c r="AI138" i="6"/>
  <c r="AJ138" i="6" s="1"/>
  <c r="AI139" i="6"/>
  <c r="AJ139" i="6" s="1"/>
  <c r="AI140" i="6"/>
  <c r="AJ140" i="6" s="1"/>
  <c r="AI141" i="6"/>
  <c r="AJ141" i="6" s="1"/>
  <c r="AI142" i="6"/>
  <c r="AJ142" i="6" s="1"/>
  <c r="AI143" i="6"/>
  <c r="AJ143" i="6" s="1"/>
  <c r="AI144" i="6"/>
  <c r="AJ144" i="6" s="1"/>
  <c r="AI145" i="6"/>
  <c r="AJ145" i="6" s="1"/>
  <c r="AI146" i="6"/>
  <c r="AJ146" i="6" s="1"/>
  <c r="AI147" i="6"/>
  <c r="AJ147" i="6" s="1"/>
  <c r="AI148" i="6"/>
  <c r="AJ148" i="6" s="1"/>
  <c r="AI149" i="6"/>
  <c r="AJ149" i="6" s="1"/>
  <c r="AI150" i="6"/>
  <c r="AJ150" i="6" s="1"/>
  <c r="AI151" i="6"/>
  <c r="AJ151" i="6" s="1"/>
  <c r="AI152" i="6"/>
  <c r="AJ152" i="6" s="1"/>
  <c r="AI153" i="6"/>
  <c r="AJ153" i="6" s="1"/>
  <c r="AI154" i="6"/>
  <c r="AJ154" i="6" s="1"/>
  <c r="AI155" i="6"/>
  <c r="AJ155" i="6" s="1"/>
  <c r="AI156" i="6"/>
  <c r="AJ156" i="6" s="1"/>
  <c r="AI157" i="6"/>
  <c r="AJ157" i="6" s="1"/>
  <c r="AI158" i="6"/>
  <c r="AJ158" i="6" s="1"/>
  <c r="AI159" i="6"/>
  <c r="AJ159" i="6" s="1"/>
  <c r="AI160" i="6"/>
  <c r="AJ160" i="6" s="1"/>
  <c r="AI161" i="6"/>
  <c r="AJ161" i="6" s="1"/>
  <c r="AI162" i="6"/>
  <c r="AJ162" i="6" s="1"/>
  <c r="AI163" i="6"/>
  <c r="AJ163" i="6" s="1"/>
  <c r="AI164" i="6"/>
  <c r="AJ164" i="6" s="1"/>
  <c r="AI165" i="6"/>
  <c r="AJ165" i="6" s="1"/>
  <c r="AI166" i="6"/>
  <c r="AJ166" i="6" s="1"/>
  <c r="AI167" i="6"/>
  <c r="AJ167" i="6" s="1"/>
  <c r="AI168" i="6"/>
  <c r="AJ168" i="6" s="1"/>
  <c r="AI169" i="6"/>
  <c r="AJ169" i="6" s="1"/>
  <c r="AI170" i="6"/>
  <c r="AJ170" i="6" s="1"/>
  <c r="AI171" i="6"/>
  <c r="AJ171" i="6" s="1"/>
  <c r="AI172" i="6"/>
  <c r="AJ172" i="6" s="1"/>
  <c r="AI173" i="6"/>
  <c r="AJ173" i="6" s="1"/>
  <c r="AI174" i="6"/>
  <c r="AJ174" i="6" s="1"/>
  <c r="AI175" i="6"/>
  <c r="AJ175" i="6" s="1"/>
  <c r="AI176" i="6"/>
  <c r="AJ176" i="6" s="1"/>
  <c r="AI177" i="6"/>
  <c r="AJ177" i="6" s="1"/>
  <c r="AI178" i="6"/>
  <c r="AJ178" i="6" s="1"/>
  <c r="AI179" i="6"/>
  <c r="AJ179" i="6" s="1"/>
  <c r="AI180" i="6"/>
  <c r="AJ180" i="6" s="1"/>
  <c r="AI181" i="6"/>
  <c r="AJ181" i="6" s="1"/>
  <c r="AI182" i="6"/>
  <c r="AJ182" i="6" s="1"/>
  <c r="AI183" i="6"/>
  <c r="AJ183" i="6" s="1"/>
  <c r="AI184" i="6"/>
  <c r="AJ184" i="6" s="1"/>
  <c r="AI185" i="6"/>
  <c r="AJ185" i="6" s="1"/>
  <c r="AI186" i="6"/>
  <c r="AJ186" i="6" s="1"/>
  <c r="AI187" i="6"/>
  <c r="AJ187" i="6" s="1"/>
  <c r="AI188" i="6"/>
  <c r="AJ188" i="6" s="1"/>
  <c r="AI189" i="6"/>
  <c r="AJ189" i="6" s="1"/>
  <c r="AI190" i="6"/>
  <c r="AJ190" i="6" s="1"/>
  <c r="AI191" i="6"/>
  <c r="AJ191" i="6" s="1"/>
  <c r="AI192" i="6"/>
  <c r="AJ192" i="6" s="1"/>
  <c r="AI193" i="6"/>
  <c r="AJ193" i="6" s="1"/>
  <c r="AI194" i="6"/>
  <c r="AJ194" i="6" s="1"/>
  <c r="AI195" i="6"/>
  <c r="AJ195" i="6" s="1"/>
  <c r="AI196" i="6"/>
  <c r="AJ196" i="6" s="1"/>
  <c r="AI197" i="6"/>
  <c r="AJ197" i="6" s="1"/>
  <c r="AI198" i="6"/>
  <c r="AJ198" i="6" s="1"/>
  <c r="AI199" i="6"/>
  <c r="AJ199" i="6" s="1"/>
  <c r="AI200" i="6"/>
  <c r="AJ200" i="6" s="1"/>
  <c r="AI201" i="6"/>
  <c r="AJ201" i="6" s="1"/>
  <c r="AI202" i="6"/>
  <c r="AJ202" i="6" s="1"/>
  <c r="AI203" i="6"/>
  <c r="AJ203" i="6" s="1"/>
  <c r="AI204" i="6"/>
  <c r="AJ204" i="6" s="1"/>
  <c r="AI205" i="6"/>
  <c r="AJ205" i="6" s="1"/>
  <c r="AI206" i="6"/>
  <c r="AJ206" i="6" s="1"/>
  <c r="AI207" i="6"/>
  <c r="AJ207" i="6" s="1"/>
  <c r="AI208" i="6"/>
  <c r="AJ208" i="6" s="1"/>
  <c r="AI209" i="6"/>
  <c r="AJ209" i="6" s="1"/>
  <c r="AI210" i="6"/>
  <c r="AJ210" i="6" s="1"/>
  <c r="AI211" i="6"/>
  <c r="AJ211" i="6" s="1"/>
  <c r="AI212" i="6"/>
  <c r="AJ212" i="6" s="1"/>
  <c r="AI213" i="6"/>
  <c r="AJ213" i="6" s="1"/>
  <c r="AI214" i="6"/>
  <c r="AJ214" i="6" s="1"/>
  <c r="AI215" i="6"/>
  <c r="AJ215" i="6" s="1"/>
  <c r="AI216" i="6"/>
  <c r="AJ216" i="6" s="1"/>
  <c r="AI217" i="6"/>
  <c r="AJ217" i="6" s="1"/>
  <c r="AI218" i="6"/>
  <c r="AJ218" i="6" s="1"/>
  <c r="AI219" i="6"/>
  <c r="AJ219" i="6" s="1"/>
  <c r="AI220" i="6"/>
  <c r="AJ220" i="6" s="1"/>
  <c r="AI221" i="6"/>
  <c r="AJ221" i="6" s="1"/>
  <c r="AI222" i="6"/>
  <c r="AJ222" i="6" s="1"/>
  <c r="AI223" i="6"/>
  <c r="AJ223" i="6" s="1"/>
  <c r="AI224" i="6"/>
  <c r="AJ224" i="6" s="1"/>
  <c r="AI225" i="6"/>
  <c r="AJ225" i="6" s="1"/>
  <c r="AI226" i="6"/>
  <c r="AJ226" i="6" s="1"/>
  <c r="AI227" i="6"/>
  <c r="AJ227" i="6" s="1"/>
  <c r="AI228" i="6"/>
  <c r="AJ228" i="6" s="1"/>
  <c r="AI229" i="6"/>
  <c r="AJ229" i="6" s="1"/>
  <c r="AI230" i="6"/>
  <c r="AJ230" i="6" s="1"/>
  <c r="AI231" i="6"/>
  <c r="AJ231" i="6" s="1"/>
  <c r="AI232" i="6"/>
  <c r="AJ232" i="6" s="1"/>
  <c r="AI233" i="6"/>
  <c r="AJ233" i="6" s="1"/>
  <c r="AI234" i="6"/>
  <c r="AJ234" i="6" s="1"/>
  <c r="AI235" i="6"/>
  <c r="AJ235" i="6" s="1"/>
  <c r="AI236" i="6"/>
  <c r="AJ236" i="6" s="1"/>
  <c r="AF391" i="6"/>
  <c r="AH391" i="6" s="1"/>
  <c r="AF395" i="6"/>
  <c r="AH395" i="6" s="1"/>
  <c r="AF407" i="6"/>
  <c r="AH407" i="6" s="1"/>
  <c r="AF411" i="6"/>
  <c r="AH411" i="6" s="1"/>
  <c r="AH416" i="6"/>
  <c r="AJ416" i="6" s="1"/>
  <c r="AI420" i="6"/>
  <c r="S420" i="6"/>
  <c r="R420" i="6" s="1"/>
  <c r="Q420" i="6"/>
  <c r="AH421" i="6"/>
  <c r="AJ421" i="6" s="1"/>
  <c r="AI428" i="6"/>
  <c r="S428" i="6"/>
  <c r="R428" i="6" s="1"/>
  <c r="Q428" i="6"/>
  <c r="AH429" i="6"/>
  <c r="AJ429" i="6" s="1"/>
  <c r="AH432" i="6"/>
  <c r="AI436" i="6"/>
  <c r="S436" i="6"/>
  <c r="R436" i="6" s="1"/>
  <c r="Q436" i="6"/>
  <c r="AF436" i="6" s="1"/>
  <c r="AH436" i="6" s="1"/>
  <c r="AF439" i="6"/>
  <c r="AH439" i="6" s="1"/>
  <c r="AJ439" i="6" s="1"/>
  <c r="AH445" i="6"/>
  <c r="AJ445" i="6" s="1"/>
  <c r="AF447" i="6"/>
  <c r="AH447" i="6" s="1"/>
  <c r="AJ447" i="6" s="1"/>
  <c r="AF455" i="6"/>
  <c r="AH455" i="6" s="1"/>
  <c r="AJ455" i="6" s="1"/>
  <c r="AF463" i="6"/>
  <c r="AH463" i="6" s="1"/>
  <c r="AJ463" i="6" s="1"/>
  <c r="AF471" i="6"/>
  <c r="AH471" i="6" s="1"/>
  <c r="AJ471" i="6" s="1"/>
  <c r="S475" i="6"/>
  <c r="R475" i="6" s="1"/>
  <c r="Q475" i="6"/>
  <c r="AI475" i="6"/>
  <c r="S483" i="6"/>
  <c r="R483" i="6" s="1"/>
  <c r="Q483" i="6"/>
  <c r="AI483" i="6"/>
  <c r="AF1014" i="6"/>
  <c r="AH1014" i="6" s="1"/>
  <c r="AJ1014" i="6" s="1"/>
  <c r="AF1010" i="6"/>
  <c r="AH1010" i="6" s="1"/>
  <c r="AJ1010" i="6" s="1"/>
  <c r="AF1006" i="6"/>
  <c r="AH1006" i="6" s="1"/>
  <c r="AJ1006" i="6" s="1"/>
  <c r="AF1016" i="6"/>
  <c r="AH1016" i="6" s="1"/>
  <c r="AJ1016" i="6" s="1"/>
  <c r="AF1008" i="6"/>
  <c r="AH1008" i="6" s="1"/>
  <c r="AJ1008" i="6" s="1"/>
  <c r="AF1012" i="6"/>
  <c r="AH1012" i="6" s="1"/>
  <c r="AJ1012" i="6" s="1"/>
  <c r="AF1004" i="6"/>
  <c r="AH1004" i="6" s="1"/>
  <c r="AJ1004" i="6" s="1"/>
  <c r="AF1002" i="6"/>
  <c r="AH1002" i="6" s="1"/>
  <c r="AJ1002" i="6" s="1"/>
  <c r="AF982" i="6"/>
  <c r="AH982" i="6" s="1"/>
  <c r="AJ982" i="6" s="1"/>
  <c r="AF942" i="6"/>
  <c r="AH942" i="6" s="1"/>
  <c r="AJ942" i="6" s="1"/>
  <c r="AF940" i="6"/>
  <c r="AH940" i="6" s="1"/>
  <c r="AJ940" i="6" s="1"/>
  <c r="AF994" i="6"/>
  <c r="AH994" i="6" s="1"/>
  <c r="AJ994" i="6" s="1"/>
  <c r="AF954" i="6"/>
  <c r="AH954" i="6" s="1"/>
  <c r="AJ954" i="6" s="1"/>
  <c r="AF990" i="6"/>
  <c r="AH990" i="6" s="1"/>
  <c r="AJ990" i="6" s="1"/>
  <c r="AF986" i="6"/>
  <c r="AH986" i="6" s="1"/>
  <c r="AJ986" i="6" s="1"/>
  <c r="AF970" i="6"/>
  <c r="AH970" i="6" s="1"/>
  <c r="AJ970" i="6" s="1"/>
  <c r="AF799" i="6"/>
  <c r="AF795" i="6"/>
  <c r="AI73" i="6"/>
  <c r="AJ73" i="6" s="1"/>
  <c r="AI75" i="6"/>
  <c r="AJ75" i="6" s="1"/>
  <c r="AI76" i="6"/>
  <c r="AJ76" i="6" s="1"/>
  <c r="AI77" i="6"/>
  <c r="AJ77" i="6" s="1"/>
  <c r="AI79" i="6"/>
  <c r="AJ79" i="6" s="1"/>
  <c r="AI83" i="6"/>
  <c r="AJ83" i="6" s="1"/>
  <c r="AI84" i="6"/>
  <c r="AJ84" i="6" s="1"/>
  <c r="AI88" i="6"/>
  <c r="AJ88" i="6" s="1"/>
  <c r="AI90" i="6"/>
  <c r="AJ90" i="6" s="1"/>
  <c r="AI93" i="6"/>
  <c r="AJ93" i="6" s="1"/>
  <c r="AI95" i="6"/>
  <c r="AJ95" i="6" s="1"/>
  <c r="AI96" i="6"/>
  <c r="AJ96" i="6" s="1"/>
  <c r="AI98" i="6"/>
  <c r="AJ98" i="6" s="1"/>
  <c r="AI99" i="6"/>
  <c r="AJ99" i="6" s="1"/>
  <c r="AI102" i="6"/>
  <c r="AJ102" i="6" s="1"/>
  <c r="AI103" i="6"/>
  <c r="AJ103" i="6" s="1"/>
  <c r="AI105" i="6"/>
  <c r="AJ105" i="6" s="1"/>
  <c r="AI108" i="6"/>
  <c r="AJ108" i="6" s="1"/>
  <c r="AI111" i="6"/>
  <c r="AJ111" i="6" s="1"/>
  <c r="AI114" i="6"/>
  <c r="AJ114" i="6" s="1"/>
  <c r="AI122" i="6"/>
  <c r="AJ122" i="6" s="1"/>
  <c r="T48" i="6"/>
  <c r="AF410" i="6"/>
  <c r="AH410" i="6" s="1"/>
  <c r="AI418" i="6"/>
  <c r="S418" i="6"/>
  <c r="R418" i="6" s="1"/>
  <c r="Q418" i="6"/>
  <c r="AH419" i="6"/>
  <c r="AJ419" i="6" s="1"/>
  <c r="AI426" i="6"/>
  <c r="S426" i="6"/>
  <c r="R426" i="6" s="1"/>
  <c r="Q426" i="6"/>
  <c r="AF426" i="6" s="1"/>
  <c r="AH426" i="6" s="1"/>
  <c r="AH427" i="6"/>
  <c r="AJ427" i="6" s="1"/>
  <c r="AF429" i="6"/>
  <c r="AI434" i="6"/>
  <c r="S434" i="6"/>
  <c r="R434" i="6" s="1"/>
  <c r="Q434" i="6"/>
  <c r="AH435" i="6"/>
  <c r="AJ435" i="6" s="1"/>
  <c r="AF437" i="6"/>
  <c r="AH437" i="6" s="1"/>
  <c r="AJ437" i="6" s="1"/>
  <c r="AH438" i="6"/>
  <c r="AJ438" i="6" s="1"/>
  <c r="AH443" i="6"/>
  <c r="AJ443" i="6" s="1"/>
  <c r="AF445" i="6"/>
  <c r="AH451" i="6"/>
  <c r="AJ451" i="6" s="1"/>
  <c r="AH459" i="6"/>
  <c r="AJ459" i="6" s="1"/>
  <c r="AF461" i="6"/>
  <c r="AH461" i="6" s="1"/>
  <c r="AJ461" i="6" s="1"/>
  <c r="AH467" i="6"/>
  <c r="AJ467" i="6" s="1"/>
  <c r="S477" i="6"/>
  <c r="R477" i="6" s="1"/>
  <c r="Q477" i="6"/>
  <c r="AI477" i="6"/>
  <c r="S485" i="6"/>
  <c r="R485" i="6" s="1"/>
  <c r="Q485" i="6"/>
  <c r="AF485" i="6" s="1"/>
  <c r="AI485" i="6"/>
  <c r="AI389" i="6"/>
  <c r="AI390" i="6"/>
  <c r="AJ390" i="6" s="1"/>
  <c r="AI391" i="6"/>
  <c r="AI392" i="6"/>
  <c r="AI393" i="6"/>
  <c r="AI394" i="6"/>
  <c r="AJ394" i="6" s="1"/>
  <c r="AI395" i="6"/>
  <c r="AI396" i="6"/>
  <c r="AJ396" i="6" s="1"/>
  <c r="AI397" i="6"/>
  <c r="AI398" i="6"/>
  <c r="AJ398" i="6" s="1"/>
  <c r="AI399" i="6"/>
  <c r="AJ399" i="6" s="1"/>
  <c r="AI400" i="6"/>
  <c r="AJ400" i="6" s="1"/>
  <c r="AI401" i="6"/>
  <c r="AI402" i="6"/>
  <c r="AJ402" i="6" s="1"/>
  <c r="AI403" i="6"/>
  <c r="AJ403" i="6" s="1"/>
  <c r="AI404" i="6"/>
  <c r="AJ404" i="6" s="1"/>
  <c r="AI405" i="6"/>
  <c r="AI406" i="6"/>
  <c r="AJ406" i="6" s="1"/>
  <c r="AI407" i="6"/>
  <c r="AI408" i="6"/>
  <c r="AJ408" i="6" s="1"/>
  <c r="AI409" i="6"/>
  <c r="AI410" i="6"/>
  <c r="AI411" i="6"/>
  <c r="AI412" i="6"/>
  <c r="AI413" i="6"/>
  <c r="AI414" i="6"/>
  <c r="AJ414" i="6" s="1"/>
  <c r="Q440" i="6"/>
  <c r="Q442" i="6"/>
  <c r="AF442" i="6" s="1"/>
  <c r="AH442" i="6" s="1"/>
  <c r="AJ442" i="6" s="1"/>
  <c r="Q444" i="6"/>
  <c r="Q446" i="6"/>
  <c r="Q448" i="6"/>
  <c r="Q450" i="6"/>
  <c r="AF450" i="6" s="1"/>
  <c r="AH450" i="6" s="1"/>
  <c r="AJ450" i="6" s="1"/>
  <c r="Q452" i="6"/>
  <c r="Q454" i="6"/>
  <c r="Q456" i="6"/>
  <c r="Q458" i="6"/>
  <c r="AF458" i="6" s="1"/>
  <c r="AH458" i="6" s="1"/>
  <c r="AJ458" i="6" s="1"/>
  <c r="Q460" i="6"/>
  <c r="Q462" i="6"/>
  <c r="Q464" i="6"/>
  <c r="Q466" i="6"/>
  <c r="AF466" i="6" s="1"/>
  <c r="AH466" i="6" s="1"/>
  <c r="AJ466" i="6" s="1"/>
  <c r="Q468" i="6"/>
  <c r="Q470" i="6"/>
  <c r="Q472" i="6"/>
  <c r="S474" i="6"/>
  <c r="R474" i="6" s="1"/>
  <c r="Q474" i="6"/>
  <c r="AI474" i="6"/>
  <c r="S476" i="6"/>
  <c r="R476" i="6" s="1"/>
  <c r="Q476" i="6"/>
  <c r="AF476" i="6" s="1"/>
  <c r="AH476" i="6" s="1"/>
  <c r="AI476" i="6"/>
  <c r="S478" i="6"/>
  <c r="R478" i="6" s="1"/>
  <c r="Q478" i="6"/>
  <c r="AF478" i="6" s="1"/>
  <c r="AI478" i="6"/>
  <c r="S480" i="6"/>
  <c r="R480" i="6" s="1"/>
  <c r="Q480" i="6"/>
  <c r="AF480" i="6" s="1"/>
  <c r="AI480" i="6"/>
  <c r="S482" i="6"/>
  <c r="R482" i="6" s="1"/>
  <c r="Q482" i="6"/>
  <c r="AI482" i="6"/>
  <c r="S484" i="6"/>
  <c r="R484" i="6" s="1"/>
  <c r="Q484" i="6"/>
  <c r="AF484" i="6" s="1"/>
  <c r="AH484" i="6" s="1"/>
  <c r="AI484" i="6"/>
  <c r="S486" i="6"/>
  <c r="R486" i="6" s="1"/>
  <c r="Q486" i="6"/>
  <c r="AF486" i="6" s="1"/>
  <c r="AI486" i="6"/>
  <c r="S495" i="6"/>
  <c r="R495" i="6" s="1"/>
  <c r="AI495" i="6"/>
  <c r="Q495" i="6"/>
  <c r="AF495" i="6" s="1"/>
  <c r="AH495" i="6" s="1"/>
  <c r="S499" i="6"/>
  <c r="R499" i="6" s="1"/>
  <c r="AI499" i="6"/>
  <c r="Q499" i="6"/>
  <c r="AF499" i="6" s="1"/>
  <c r="AH499" i="6" s="1"/>
  <c r="S503" i="6"/>
  <c r="R503" i="6" s="1"/>
  <c r="AI503" i="6"/>
  <c r="Q503" i="6"/>
  <c r="AF503" i="6" s="1"/>
  <c r="AH503" i="6" s="1"/>
  <c r="S507" i="6"/>
  <c r="R507" i="6" s="1"/>
  <c r="AI507" i="6"/>
  <c r="Q507" i="6"/>
  <c r="AF507" i="6" s="1"/>
  <c r="AH507" i="6" s="1"/>
  <c r="S511" i="6"/>
  <c r="R511" i="6" s="1"/>
  <c r="AI511" i="6"/>
  <c r="Q511" i="6"/>
  <c r="AF511" i="6" s="1"/>
  <c r="AH511" i="6" s="1"/>
  <c r="S515" i="6"/>
  <c r="R515" i="6" s="1"/>
  <c r="AI515" i="6"/>
  <c r="Q515" i="6"/>
  <c r="AF515" i="6" s="1"/>
  <c r="AH515" i="6" s="1"/>
  <c r="S519" i="6"/>
  <c r="R519" i="6" s="1"/>
  <c r="AI519" i="6"/>
  <c r="Q519" i="6"/>
  <c r="AF519" i="6" s="1"/>
  <c r="AH519" i="6" s="1"/>
  <c r="S523" i="6"/>
  <c r="R523" i="6" s="1"/>
  <c r="AI523" i="6"/>
  <c r="Q523" i="6"/>
  <c r="AF523" i="6" s="1"/>
  <c r="AH523" i="6" s="1"/>
  <c r="S561" i="6"/>
  <c r="R561" i="6" s="1"/>
  <c r="Q561" i="6"/>
  <c r="AF561" i="6" s="1"/>
  <c r="AI561" i="6"/>
  <c r="S569" i="6"/>
  <c r="R569" i="6" s="1"/>
  <c r="Q569" i="6"/>
  <c r="AF569" i="6" s="1"/>
  <c r="AI569" i="6"/>
  <c r="S440" i="6"/>
  <c r="R440" i="6" s="1"/>
  <c r="S442" i="6"/>
  <c r="R442" i="6" s="1"/>
  <c r="S444" i="6"/>
  <c r="R444" i="6" s="1"/>
  <c r="S446" i="6"/>
  <c r="R446" i="6" s="1"/>
  <c r="S448" i="6"/>
  <c r="R448" i="6" s="1"/>
  <c r="S450" i="6"/>
  <c r="R450" i="6" s="1"/>
  <c r="S452" i="6"/>
  <c r="R452" i="6" s="1"/>
  <c r="S454" i="6"/>
  <c r="R454" i="6" s="1"/>
  <c r="S456" i="6"/>
  <c r="R456" i="6" s="1"/>
  <c r="S458" i="6"/>
  <c r="R458" i="6" s="1"/>
  <c r="S460" i="6"/>
  <c r="R460" i="6" s="1"/>
  <c r="S462" i="6"/>
  <c r="R462" i="6" s="1"/>
  <c r="S464" i="6"/>
  <c r="R464" i="6" s="1"/>
  <c r="S466" i="6"/>
  <c r="R466" i="6" s="1"/>
  <c r="S468" i="6"/>
  <c r="R468" i="6" s="1"/>
  <c r="S470" i="6"/>
  <c r="R470" i="6" s="1"/>
  <c r="S472" i="6"/>
  <c r="R472" i="6" s="1"/>
  <c r="AH481" i="6"/>
  <c r="AH485" i="6"/>
  <c r="AH487" i="6"/>
  <c r="S494" i="6"/>
  <c r="R494" i="6" s="1"/>
  <c r="AI494" i="6"/>
  <c r="Q494" i="6"/>
  <c r="AF494" i="6" s="1"/>
  <c r="AH494" i="6" s="1"/>
  <c r="S498" i="6"/>
  <c r="R498" i="6" s="1"/>
  <c r="AI498" i="6"/>
  <c r="Q498" i="6"/>
  <c r="AF498" i="6" s="1"/>
  <c r="AH498" i="6" s="1"/>
  <c r="S502" i="6"/>
  <c r="R502" i="6" s="1"/>
  <c r="AI502" i="6"/>
  <c r="Q502" i="6"/>
  <c r="AF502" i="6" s="1"/>
  <c r="AH502" i="6" s="1"/>
  <c r="S506" i="6"/>
  <c r="R506" i="6" s="1"/>
  <c r="AI506" i="6"/>
  <c r="Q506" i="6"/>
  <c r="AF506" i="6" s="1"/>
  <c r="AH506" i="6" s="1"/>
  <c r="S510" i="6"/>
  <c r="R510" i="6" s="1"/>
  <c r="AI510" i="6"/>
  <c r="Q510" i="6"/>
  <c r="AF510" i="6" s="1"/>
  <c r="AH510" i="6" s="1"/>
  <c r="S514" i="6"/>
  <c r="R514" i="6" s="1"/>
  <c r="AI514" i="6"/>
  <c r="Q514" i="6"/>
  <c r="AF514" i="6" s="1"/>
  <c r="AH514" i="6" s="1"/>
  <c r="S518" i="6"/>
  <c r="R518" i="6" s="1"/>
  <c r="AI518" i="6"/>
  <c r="Q518" i="6"/>
  <c r="AF518" i="6" s="1"/>
  <c r="AH518" i="6" s="1"/>
  <c r="S522" i="6"/>
  <c r="R522" i="6" s="1"/>
  <c r="AI522" i="6"/>
  <c r="Q522" i="6"/>
  <c r="AF522" i="6" s="1"/>
  <c r="AH522" i="6" s="1"/>
  <c r="S526" i="6"/>
  <c r="R526" i="6" s="1"/>
  <c r="Q526" i="6"/>
  <c r="AF526" i="6" s="1"/>
  <c r="S529" i="6"/>
  <c r="R529" i="6" s="1"/>
  <c r="Q529" i="6"/>
  <c r="AI529" i="6"/>
  <c r="S530" i="6"/>
  <c r="R530" i="6" s="1"/>
  <c r="Q530" i="6"/>
  <c r="S533" i="6"/>
  <c r="R533" i="6" s="1"/>
  <c r="Q533" i="6"/>
  <c r="AF533" i="6" s="1"/>
  <c r="AI533" i="6"/>
  <c r="S534" i="6"/>
  <c r="R534" i="6" s="1"/>
  <c r="Q534" i="6"/>
  <c r="S537" i="6"/>
  <c r="R537" i="6" s="1"/>
  <c r="Q537" i="6"/>
  <c r="AF537" i="6" s="1"/>
  <c r="AH537" i="6" s="1"/>
  <c r="AI537" i="6"/>
  <c r="S538" i="6"/>
  <c r="R538" i="6" s="1"/>
  <c r="Q538" i="6"/>
  <c r="AF538" i="6" s="1"/>
  <c r="S541" i="6"/>
  <c r="R541" i="6" s="1"/>
  <c r="Q541" i="6"/>
  <c r="AI541" i="6"/>
  <c r="S542" i="6"/>
  <c r="R542" i="6" s="1"/>
  <c r="Q542" i="6"/>
  <c r="AF542" i="6" s="1"/>
  <c r="S545" i="6"/>
  <c r="R545" i="6" s="1"/>
  <c r="Q545" i="6"/>
  <c r="AI545" i="6"/>
  <c r="S546" i="6"/>
  <c r="R546" i="6" s="1"/>
  <c r="Q546" i="6"/>
  <c r="S549" i="6"/>
  <c r="R549" i="6" s="1"/>
  <c r="Q549" i="6"/>
  <c r="AF549" i="6" s="1"/>
  <c r="AI549" i="6"/>
  <c r="S550" i="6"/>
  <c r="R550" i="6" s="1"/>
  <c r="Q550" i="6"/>
  <c r="S553" i="6"/>
  <c r="R553" i="6" s="1"/>
  <c r="Q553" i="6"/>
  <c r="AF553" i="6" s="1"/>
  <c r="AH553" i="6" s="1"/>
  <c r="AI553" i="6"/>
  <c r="S554" i="6"/>
  <c r="R554" i="6" s="1"/>
  <c r="Q554" i="6"/>
  <c r="AF554" i="6" s="1"/>
  <c r="S557" i="6"/>
  <c r="R557" i="6" s="1"/>
  <c r="Q557" i="6"/>
  <c r="AI557" i="6"/>
  <c r="S558" i="6"/>
  <c r="R558" i="6" s="1"/>
  <c r="Q558" i="6"/>
  <c r="AF558" i="6" s="1"/>
  <c r="S563" i="6"/>
  <c r="R563" i="6" s="1"/>
  <c r="Q563" i="6"/>
  <c r="AI563" i="6"/>
  <c r="AF573" i="6"/>
  <c r="AF581" i="6"/>
  <c r="AF589" i="6"/>
  <c r="Q473" i="6"/>
  <c r="AF473" i="6" s="1"/>
  <c r="AH473" i="6" s="1"/>
  <c r="AJ473" i="6" s="1"/>
  <c r="S493" i="6"/>
  <c r="R493" i="6" s="1"/>
  <c r="AI493" i="6"/>
  <c r="Q493" i="6"/>
  <c r="AF493" i="6" s="1"/>
  <c r="AH493" i="6" s="1"/>
  <c r="S497" i="6"/>
  <c r="R497" i="6" s="1"/>
  <c r="AI497" i="6"/>
  <c r="Q497" i="6"/>
  <c r="AF497" i="6" s="1"/>
  <c r="AH497" i="6" s="1"/>
  <c r="S501" i="6"/>
  <c r="R501" i="6" s="1"/>
  <c r="AI501" i="6"/>
  <c r="Q501" i="6"/>
  <c r="AF501" i="6" s="1"/>
  <c r="AH501" i="6" s="1"/>
  <c r="S505" i="6"/>
  <c r="R505" i="6" s="1"/>
  <c r="AI505" i="6"/>
  <c r="Q505" i="6"/>
  <c r="AF505" i="6" s="1"/>
  <c r="AH505" i="6" s="1"/>
  <c r="S509" i="6"/>
  <c r="R509" i="6" s="1"/>
  <c r="AI509" i="6"/>
  <c r="Q509" i="6"/>
  <c r="AF509" i="6" s="1"/>
  <c r="AH509" i="6" s="1"/>
  <c r="S513" i="6"/>
  <c r="R513" i="6" s="1"/>
  <c r="AI513" i="6"/>
  <c r="Q513" i="6"/>
  <c r="AF513" i="6" s="1"/>
  <c r="AH513" i="6" s="1"/>
  <c r="S517" i="6"/>
  <c r="R517" i="6" s="1"/>
  <c r="AI517" i="6"/>
  <c r="Q517" i="6"/>
  <c r="AF517" i="6" s="1"/>
  <c r="AH517" i="6" s="1"/>
  <c r="S521" i="6"/>
  <c r="R521" i="6" s="1"/>
  <c r="AI521" i="6"/>
  <c r="Q521" i="6"/>
  <c r="AF521" i="6" s="1"/>
  <c r="AH521" i="6" s="1"/>
  <c r="S525" i="6"/>
  <c r="R525" i="6" s="1"/>
  <c r="AI525" i="6"/>
  <c r="Q525" i="6"/>
  <c r="AF525" i="6" s="1"/>
  <c r="AH525" i="6" s="1"/>
  <c r="S565" i="6"/>
  <c r="R565" i="6" s="1"/>
  <c r="Q565" i="6"/>
  <c r="AF565" i="6" s="1"/>
  <c r="AI565" i="6"/>
  <c r="AH478" i="6"/>
  <c r="AH480" i="6"/>
  <c r="AJ480" i="6" s="1"/>
  <c r="AH486" i="6"/>
  <c r="AJ486" i="6" s="1"/>
  <c r="S488" i="6"/>
  <c r="R488" i="6" s="1"/>
  <c r="AI488" i="6"/>
  <c r="Q488" i="6"/>
  <c r="S489" i="6"/>
  <c r="R489" i="6" s="1"/>
  <c r="AI489" i="6"/>
  <c r="Q489" i="6"/>
  <c r="AF489" i="6" s="1"/>
  <c r="AH489" i="6" s="1"/>
  <c r="S490" i="6"/>
  <c r="R490" i="6" s="1"/>
  <c r="AI490" i="6"/>
  <c r="Q490" i="6"/>
  <c r="AF490" i="6" s="1"/>
  <c r="AH490" i="6" s="1"/>
  <c r="S491" i="6"/>
  <c r="R491" i="6" s="1"/>
  <c r="AI491" i="6"/>
  <c r="Q491" i="6"/>
  <c r="S492" i="6"/>
  <c r="R492" i="6" s="1"/>
  <c r="AI492" i="6"/>
  <c r="Q492" i="6"/>
  <c r="S496" i="6"/>
  <c r="R496" i="6" s="1"/>
  <c r="AI496" i="6"/>
  <c r="Q496" i="6"/>
  <c r="S500" i="6"/>
  <c r="R500" i="6" s="1"/>
  <c r="AI500" i="6"/>
  <c r="Q500" i="6"/>
  <c r="S504" i="6"/>
  <c r="R504" i="6" s="1"/>
  <c r="AI504" i="6"/>
  <c r="Q504" i="6"/>
  <c r="S508" i="6"/>
  <c r="R508" i="6" s="1"/>
  <c r="AI508" i="6"/>
  <c r="Q508" i="6"/>
  <c r="S512" i="6"/>
  <c r="R512" i="6" s="1"/>
  <c r="AI512" i="6"/>
  <c r="Q512" i="6"/>
  <c r="S516" i="6"/>
  <c r="R516" i="6" s="1"/>
  <c r="AI516" i="6"/>
  <c r="Q516" i="6"/>
  <c r="S520" i="6"/>
  <c r="R520" i="6" s="1"/>
  <c r="AI520" i="6"/>
  <c r="Q520" i="6"/>
  <c r="S524" i="6"/>
  <c r="R524" i="6" s="1"/>
  <c r="AI524" i="6"/>
  <c r="Q524" i="6"/>
  <c r="S527" i="6"/>
  <c r="R527" i="6" s="1"/>
  <c r="Q527" i="6"/>
  <c r="AF527" i="6" s="1"/>
  <c r="AH527" i="6" s="1"/>
  <c r="AI527" i="6"/>
  <c r="S528" i="6"/>
  <c r="R528" i="6" s="1"/>
  <c r="Q528" i="6"/>
  <c r="AF528" i="6" s="1"/>
  <c r="AH528" i="6" s="1"/>
  <c r="AJ528" i="6" s="1"/>
  <c r="S531" i="6"/>
  <c r="R531" i="6" s="1"/>
  <c r="Q531" i="6"/>
  <c r="AF531" i="6" s="1"/>
  <c r="AI531" i="6"/>
  <c r="S532" i="6"/>
  <c r="R532" i="6" s="1"/>
  <c r="Q532" i="6"/>
  <c r="AF532" i="6" s="1"/>
  <c r="S535" i="6"/>
  <c r="R535" i="6" s="1"/>
  <c r="Q535" i="6"/>
  <c r="AI535" i="6"/>
  <c r="S536" i="6"/>
  <c r="R536" i="6" s="1"/>
  <c r="Q536" i="6"/>
  <c r="AF536" i="6" s="1"/>
  <c r="AH536" i="6" s="1"/>
  <c r="AJ536" i="6" s="1"/>
  <c r="S539" i="6"/>
  <c r="R539" i="6" s="1"/>
  <c r="Q539" i="6"/>
  <c r="AF539" i="6" s="1"/>
  <c r="AI539" i="6"/>
  <c r="S540" i="6"/>
  <c r="R540" i="6" s="1"/>
  <c r="Q540" i="6"/>
  <c r="S543" i="6"/>
  <c r="R543" i="6" s="1"/>
  <c r="Q543" i="6"/>
  <c r="AF543" i="6" s="1"/>
  <c r="AH543" i="6" s="1"/>
  <c r="AI543" i="6"/>
  <c r="S544" i="6"/>
  <c r="R544" i="6" s="1"/>
  <c r="Q544" i="6"/>
  <c r="AF544" i="6" s="1"/>
  <c r="AH544" i="6" s="1"/>
  <c r="AJ544" i="6" s="1"/>
  <c r="S547" i="6"/>
  <c r="R547" i="6" s="1"/>
  <c r="Q547" i="6"/>
  <c r="AF547" i="6" s="1"/>
  <c r="AI547" i="6"/>
  <c r="S548" i="6"/>
  <c r="R548" i="6" s="1"/>
  <c r="Q548" i="6"/>
  <c r="AF548" i="6" s="1"/>
  <c r="S551" i="6"/>
  <c r="R551" i="6" s="1"/>
  <c r="Q551" i="6"/>
  <c r="AI551" i="6"/>
  <c r="S552" i="6"/>
  <c r="R552" i="6" s="1"/>
  <c r="Q552" i="6"/>
  <c r="AF552" i="6" s="1"/>
  <c r="AH552" i="6" s="1"/>
  <c r="AJ552" i="6" s="1"/>
  <c r="S555" i="6"/>
  <c r="R555" i="6" s="1"/>
  <c r="Q555" i="6"/>
  <c r="AF555" i="6" s="1"/>
  <c r="AI555" i="6"/>
  <c r="S556" i="6"/>
  <c r="R556" i="6" s="1"/>
  <c r="Q556" i="6"/>
  <c r="S559" i="6"/>
  <c r="R559" i="6" s="1"/>
  <c r="Q559" i="6"/>
  <c r="AF559" i="6" s="1"/>
  <c r="AH559" i="6" s="1"/>
  <c r="AI559" i="6"/>
  <c r="S567" i="6"/>
  <c r="R567" i="6" s="1"/>
  <c r="Q567" i="6"/>
  <c r="AF567" i="6" s="1"/>
  <c r="AH567" i="6" s="1"/>
  <c r="AI567" i="6"/>
  <c r="AF578" i="6"/>
  <c r="AH578" i="6" s="1"/>
  <c r="AF586" i="6"/>
  <c r="AH586" i="6" s="1"/>
  <c r="AI560" i="6"/>
  <c r="AI562" i="6"/>
  <c r="AI564" i="6"/>
  <c r="AI566" i="6"/>
  <c r="AI568" i="6"/>
  <c r="AI570" i="6"/>
  <c r="S570" i="6"/>
  <c r="R570" i="6" s="1"/>
  <c r="S616" i="6"/>
  <c r="R616" i="6" s="1"/>
  <c r="Q616" i="6"/>
  <c r="AF616" i="6" s="1"/>
  <c r="AI616" i="6"/>
  <c r="AH531" i="6"/>
  <c r="AH533" i="6"/>
  <c r="AH539" i="6"/>
  <c r="AH547" i="6"/>
  <c r="AH549" i="6"/>
  <c r="AH555" i="6"/>
  <c r="Q560" i="6"/>
  <c r="AF560" i="6" s="1"/>
  <c r="AH560" i="6" s="1"/>
  <c r="AH561" i="6"/>
  <c r="Q562" i="6"/>
  <c r="AF562" i="6" s="1"/>
  <c r="AH562" i="6" s="1"/>
  <c r="Q564" i="6"/>
  <c r="AF564" i="6" s="1"/>
  <c r="AH565" i="6"/>
  <c r="Q566" i="6"/>
  <c r="AF566" i="6" s="1"/>
  <c r="Q568" i="6"/>
  <c r="AF568" i="6" s="1"/>
  <c r="AH568" i="6" s="1"/>
  <c r="AH569" i="6"/>
  <c r="Q570" i="6"/>
  <c r="AF570" i="6" s="1"/>
  <c r="AH570" i="6" s="1"/>
  <c r="AF593" i="6"/>
  <c r="AF594" i="6"/>
  <c r="AH594" i="6" s="1"/>
  <c r="AF597" i="6"/>
  <c r="AF598" i="6"/>
  <c r="AH598" i="6" s="1"/>
  <c r="AF601" i="6"/>
  <c r="AF602" i="6"/>
  <c r="AH602" i="6" s="1"/>
  <c r="AF605" i="6"/>
  <c r="AF606" i="6"/>
  <c r="AH606" i="6" s="1"/>
  <c r="AF609" i="6"/>
  <c r="AF610" i="6"/>
  <c r="AH610" i="6" s="1"/>
  <c r="AF613" i="6"/>
  <c r="AF614" i="6"/>
  <c r="AH614" i="6" s="1"/>
  <c r="S619" i="6"/>
  <c r="R619" i="6" s="1"/>
  <c r="Q619" i="6"/>
  <c r="AI619" i="6"/>
  <c r="AH616" i="6"/>
  <c r="S618" i="6"/>
  <c r="R618" i="6" s="1"/>
  <c r="Q618" i="6"/>
  <c r="AI618" i="6"/>
  <c r="AH526" i="6"/>
  <c r="AJ526" i="6" s="1"/>
  <c r="AH532" i="6"/>
  <c r="AJ532" i="6" s="1"/>
  <c r="AH538" i="6"/>
  <c r="AJ538" i="6" s="1"/>
  <c r="AH542" i="6"/>
  <c r="AJ542" i="6" s="1"/>
  <c r="AH548" i="6"/>
  <c r="AJ548" i="6" s="1"/>
  <c r="AH554" i="6"/>
  <c r="AJ554" i="6" s="1"/>
  <c r="AH558" i="6"/>
  <c r="AJ558" i="6" s="1"/>
  <c r="AH564" i="6"/>
  <c r="AH566" i="6"/>
  <c r="AI571" i="6"/>
  <c r="S571" i="6"/>
  <c r="R571" i="6" s="1"/>
  <c r="AI572" i="6"/>
  <c r="S572" i="6"/>
  <c r="R572" i="6" s="1"/>
  <c r="AI573" i="6"/>
  <c r="S573" i="6"/>
  <c r="R573" i="6" s="1"/>
  <c r="AH573" i="6"/>
  <c r="AI574" i="6"/>
  <c r="S574" i="6"/>
  <c r="R574" i="6" s="1"/>
  <c r="AI575" i="6"/>
  <c r="S575" i="6"/>
  <c r="R575" i="6" s="1"/>
  <c r="AI576" i="6"/>
  <c r="S576" i="6"/>
  <c r="R576" i="6" s="1"/>
  <c r="AI577" i="6"/>
  <c r="S577" i="6"/>
  <c r="R577" i="6" s="1"/>
  <c r="AI578" i="6"/>
  <c r="S578" i="6"/>
  <c r="R578" i="6" s="1"/>
  <c r="AI579" i="6"/>
  <c r="S579" i="6"/>
  <c r="R579" i="6" s="1"/>
  <c r="AI580" i="6"/>
  <c r="S580" i="6"/>
  <c r="R580" i="6" s="1"/>
  <c r="AI581" i="6"/>
  <c r="S581" i="6"/>
  <c r="R581" i="6" s="1"/>
  <c r="AH581" i="6"/>
  <c r="AI582" i="6"/>
  <c r="S582" i="6"/>
  <c r="R582" i="6" s="1"/>
  <c r="AI583" i="6"/>
  <c r="S583" i="6"/>
  <c r="R583" i="6" s="1"/>
  <c r="AI584" i="6"/>
  <c r="S584" i="6"/>
  <c r="R584" i="6" s="1"/>
  <c r="AI585" i="6"/>
  <c r="S585" i="6"/>
  <c r="R585" i="6" s="1"/>
  <c r="AI586" i="6"/>
  <c r="S586" i="6"/>
  <c r="R586" i="6" s="1"/>
  <c r="AI587" i="6"/>
  <c r="S587" i="6"/>
  <c r="R587" i="6" s="1"/>
  <c r="AI588" i="6"/>
  <c r="S588" i="6"/>
  <c r="R588" i="6" s="1"/>
  <c r="AI589" i="6"/>
  <c r="S589" i="6"/>
  <c r="R589" i="6" s="1"/>
  <c r="AH589" i="6"/>
  <c r="AI590" i="6"/>
  <c r="S590" i="6"/>
  <c r="R590" i="6" s="1"/>
  <c r="AI591" i="6"/>
  <c r="S591" i="6"/>
  <c r="R591" i="6" s="1"/>
  <c r="AI592" i="6"/>
  <c r="S592" i="6"/>
  <c r="R592" i="6" s="1"/>
  <c r="AI593" i="6"/>
  <c r="S593" i="6"/>
  <c r="R593" i="6" s="1"/>
  <c r="AH593" i="6"/>
  <c r="AI594" i="6"/>
  <c r="S594" i="6"/>
  <c r="R594" i="6" s="1"/>
  <c r="AI595" i="6"/>
  <c r="S595" i="6"/>
  <c r="R595" i="6" s="1"/>
  <c r="AI596" i="6"/>
  <c r="S596" i="6"/>
  <c r="R596" i="6" s="1"/>
  <c r="AI597" i="6"/>
  <c r="S597" i="6"/>
  <c r="R597" i="6" s="1"/>
  <c r="AH597" i="6"/>
  <c r="AI598" i="6"/>
  <c r="S598" i="6"/>
  <c r="R598" i="6" s="1"/>
  <c r="AI599" i="6"/>
  <c r="S599" i="6"/>
  <c r="R599" i="6" s="1"/>
  <c r="AI600" i="6"/>
  <c r="S600" i="6"/>
  <c r="R600" i="6" s="1"/>
  <c r="AI601" i="6"/>
  <c r="S601" i="6"/>
  <c r="R601" i="6" s="1"/>
  <c r="AH601" i="6"/>
  <c r="AI602" i="6"/>
  <c r="S602" i="6"/>
  <c r="R602" i="6" s="1"/>
  <c r="AI603" i="6"/>
  <c r="S603" i="6"/>
  <c r="R603" i="6" s="1"/>
  <c r="AI604" i="6"/>
  <c r="S604" i="6"/>
  <c r="R604" i="6" s="1"/>
  <c r="AI605" i="6"/>
  <c r="S605" i="6"/>
  <c r="R605" i="6" s="1"/>
  <c r="AH605" i="6"/>
  <c r="AI606" i="6"/>
  <c r="S606" i="6"/>
  <c r="R606" i="6" s="1"/>
  <c r="AI607" i="6"/>
  <c r="S607" i="6"/>
  <c r="R607" i="6" s="1"/>
  <c r="AI608" i="6"/>
  <c r="S608" i="6"/>
  <c r="R608" i="6" s="1"/>
  <c r="AI609" i="6"/>
  <c r="S609" i="6"/>
  <c r="R609" i="6" s="1"/>
  <c r="AH609" i="6"/>
  <c r="AI610" i="6"/>
  <c r="S610" i="6"/>
  <c r="R610" i="6" s="1"/>
  <c r="AI611" i="6"/>
  <c r="S611" i="6"/>
  <c r="R611" i="6" s="1"/>
  <c r="AI612" i="6"/>
  <c r="S612" i="6"/>
  <c r="R612" i="6" s="1"/>
  <c r="AI613" i="6"/>
  <c r="S613" i="6"/>
  <c r="R613" i="6" s="1"/>
  <c r="AH613" i="6"/>
  <c r="AI614" i="6"/>
  <c r="S614" i="6"/>
  <c r="R614" i="6" s="1"/>
  <c r="AI615" i="6"/>
  <c r="S615" i="6"/>
  <c r="R615" i="6" s="1"/>
  <c r="S617" i="6"/>
  <c r="R617" i="6" s="1"/>
  <c r="Q617" i="6"/>
  <c r="AF617" i="6" s="1"/>
  <c r="AH617" i="6" s="1"/>
  <c r="AI617" i="6"/>
  <c r="AF690" i="6"/>
  <c r="AH690" i="6" s="1"/>
  <c r="S692" i="6"/>
  <c r="R692" i="6" s="1"/>
  <c r="Q692" i="6"/>
  <c r="AF692" i="6" s="1"/>
  <c r="AH692" i="6" s="1"/>
  <c r="AJ692" i="6" s="1"/>
  <c r="Q620" i="6"/>
  <c r="AF620" i="6" s="1"/>
  <c r="AH620" i="6" s="1"/>
  <c r="AJ620" i="6" s="1"/>
  <c r="S620" i="6"/>
  <c r="R620" i="6" s="1"/>
  <c r="Q622" i="6"/>
  <c r="S622" i="6"/>
  <c r="R622" i="6" s="1"/>
  <c r="Q624" i="6"/>
  <c r="AF624" i="6" s="1"/>
  <c r="AH624" i="6" s="1"/>
  <c r="AJ624" i="6" s="1"/>
  <c r="S624" i="6"/>
  <c r="R624" i="6" s="1"/>
  <c r="Q626" i="6"/>
  <c r="S626" i="6"/>
  <c r="R626" i="6" s="1"/>
  <c r="Q628" i="6"/>
  <c r="AF628" i="6" s="1"/>
  <c r="AH628" i="6" s="1"/>
  <c r="AJ628" i="6" s="1"/>
  <c r="S628" i="6"/>
  <c r="R628" i="6" s="1"/>
  <c r="Q630" i="6"/>
  <c r="S630" i="6"/>
  <c r="R630" i="6" s="1"/>
  <c r="Q632" i="6"/>
  <c r="AF632" i="6" s="1"/>
  <c r="AH632" i="6" s="1"/>
  <c r="S632" i="6"/>
  <c r="R632" i="6" s="1"/>
  <c r="Q634" i="6"/>
  <c r="S634" i="6"/>
  <c r="R634" i="6" s="1"/>
  <c r="Q636" i="6"/>
  <c r="AF636" i="6" s="1"/>
  <c r="AH636" i="6" s="1"/>
  <c r="S636" i="6"/>
  <c r="R636" i="6" s="1"/>
  <c r="Q638" i="6"/>
  <c r="S638" i="6"/>
  <c r="R638" i="6" s="1"/>
  <c r="Q640" i="6"/>
  <c r="AF640" i="6" s="1"/>
  <c r="AH640" i="6" s="1"/>
  <c r="S640" i="6"/>
  <c r="R640" i="6" s="1"/>
  <c r="Q642" i="6"/>
  <c r="S642" i="6"/>
  <c r="R642" i="6" s="1"/>
  <c r="Q644" i="6"/>
  <c r="AF644" i="6" s="1"/>
  <c r="AH644" i="6" s="1"/>
  <c r="S644" i="6"/>
  <c r="R644" i="6" s="1"/>
  <c r="Q646" i="6"/>
  <c r="S646" i="6"/>
  <c r="R646" i="6" s="1"/>
  <c r="Q648" i="6"/>
  <c r="AF648" i="6" s="1"/>
  <c r="AH648" i="6" s="1"/>
  <c r="S648" i="6"/>
  <c r="R648" i="6" s="1"/>
  <c r="Q650" i="6"/>
  <c r="S650" i="6"/>
  <c r="R650" i="6" s="1"/>
  <c r="Q652" i="6"/>
  <c r="AF652" i="6" s="1"/>
  <c r="AH652" i="6" s="1"/>
  <c r="S652" i="6"/>
  <c r="R652" i="6" s="1"/>
  <c r="Q654" i="6"/>
  <c r="S654" i="6"/>
  <c r="R654" i="6" s="1"/>
  <c r="Q656" i="6"/>
  <c r="AF656" i="6" s="1"/>
  <c r="AH656" i="6" s="1"/>
  <c r="S656" i="6"/>
  <c r="R656" i="6" s="1"/>
  <c r="Q658" i="6"/>
  <c r="S658" i="6"/>
  <c r="R658" i="6" s="1"/>
  <c r="Q660" i="6"/>
  <c r="AF660" i="6" s="1"/>
  <c r="AH660" i="6" s="1"/>
  <c r="S660" i="6"/>
  <c r="R660" i="6" s="1"/>
  <c r="Q662" i="6"/>
  <c r="S662" i="6"/>
  <c r="R662" i="6" s="1"/>
  <c r="Q664" i="6"/>
  <c r="AF664" i="6" s="1"/>
  <c r="AH664" i="6" s="1"/>
  <c r="S664" i="6"/>
  <c r="R664" i="6" s="1"/>
  <c r="Q666" i="6"/>
  <c r="S666" i="6"/>
  <c r="R666" i="6" s="1"/>
  <c r="Q668" i="6"/>
  <c r="AF668" i="6" s="1"/>
  <c r="AH668" i="6" s="1"/>
  <c r="S668" i="6"/>
  <c r="R668" i="6" s="1"/>
  <c r="Q670" i="6"/>
  <c r="S670" i="6"/>
  <c r="R670" i="6" s="1"/>
  <c r="Q672" i="6"/>
  <c r="AF672" i="6" s="1"/>
  <c r="AH672" i="6" s="1"/>
  <c r="S672" i="6"/>
  <c r="R672" i="6" s="1"/>
  <c r="Q674" i="6"/>
  <c r="S674" i="6"/>
  <c r="R674" i="6" s="1"/>
  <c r="Q676" i="6"/>
  <c r="AF676" i="6" s="1"/>
  <c r="AH676" i="6" s="1"/>
  <c r="S676" i="6"/>
  <c r="R676" i="6" s="1"/>
  <c r="Q678" i="6"/>
  <c r="S678" i="6"/>
  <c r="R678" i="6" s="1"/>
  <c r="Q680" i="6"/>
  <c r="AF680" i="6" s="1"/>
  <c r="AH680" i="6" s="1"/>
  <c r="S680" i="6"/>
  <c r="R680" i="6" s="1"/>
  <c r="Q682" i="6"/>
  <c r="S682" i="6"/>
  <c r="R682" i="6" s="1"/>
  <c r="Q684" i="6"/>
  <c r="AF684" i="6" s="1"/>
  <c r="AH684" i="6" s="1"/>
  <c r="S684" i="6"/>
  <c r="R684" i="6" s="1"/>
  <c r="Q686" i="6"/>
  <c r="S686" i="6"/>
  <c r="R686" i="6" s="1"/>
  <c r="Q688" i="6"/>
  <c r="AF688" i="6" s="1"/>
  <c r="AI688" i="6"/>
  <c r="S688" i="6"/>
  <c r="R688" i="6" s="1"/>
  <c r="S689" i="6"/>
  <c r="R689" i="6" s="1"/>
  <c r="AI689" i="6"/>
  <c r="AI630" i="6"/>
  <c r="AI632" i="6"/>
  <c r="AI634" i="6"/>
  <c r="AI636" i="6"/>
  <c r="AI638" i="6"/>
  <c r="AI640" i="6"/>
  <c r="AI642" i="6"/>
  <c r="AI644" i="6"/>
  <c r="AI646" i="6"/>
  <c r="AI648" i="6"/>
  <c r="AI650" i="6"/>
  <c r="AI652" i="6"/>
  <c r="AI654" i="6"/>
  <c r="AI656" i="6"/>
  <c r="AI658" i="6"/>
  <c r="AI660" i="6"/>
  <c r="AI662" i="6"/>
  <c r="AI664" i="6"/>
  <c r="AI666" i="6"/>
  <c r="AI668" i="6"/>
  <c r="AI670" i="6"/>
  <c r="AI672" i="6"/>
  <c r="AI674" i="6"/>
  <c r="AI676" i="6"/>
  <c r="AI678" i="6"/>
  <c r="AI680" i="6"/>
  <c r="AI682" i="6"/>
  <c r="AI684" i="6"/>
  <c r="AI686" i="6"/>
  <c r="S690" i="6"/>
  <c r="R690" i="6" s="1"/>
  <c r="AI690" i="6"/>
  <c r="Q621" i="6"/>
  <c r="S621" i="6"/>
  <c r="R621" i="6" s="1"/>
  <c r="Q623" i="6"/>
  <c r="AF623" i="6" s="1"/>
  <c r="AH623" i="6" s="1"/>
  <c r="AJ623" i="6" s="1"/>
  <c r="S623" i="6"/>
  <c r="R623" i="6" s="1"/>
  <c r="Q625" i="6"/>
  <c r="S625" i="6"/>
  <c r="R625" i="6" s="1"/>
  <c r="Q627" i="6"/>
  <c r="AF627" i="6" s="1"/>
  <c r="AH627" i="6" s="1"/>
  <c r="AJ627" i="6" s="1"/>
  <c r="S627" i="6"/>
  <c r="R627" i="6" s="1"/>
  <c r="Q629" i="6"/>
  <c r="S629" i="6"/>
  <c r="R629" i="6" s="1"/>
  <c r="Q631" i="6"/>
  <c r="AF631" i="6" s="1"/>
  <c r="AH631" i="6" s="1"/>
  <c r="AJ631" i="6" s="1"/>
  <c r="S631" i="6"/>
  <c r="R631" i="6" s="1"/>
  <c r="Q633" i="6"/>
  <c r="S633" i="6"/>
  <c r="R633" i="6" s="1"/>
  <c r="Q635" i="6"/>
  <c r="AF635" i="6" s="1"/>
  <c r="AH635" i="6" s="1"/>
  <c r="AJ635" i="6" s="1"/>
  <c r="S635" i="6"/>
  <c r="R635" i="6" s="1"/>
  <c r="Q637" i="6"/>
  <c r="S637" i="6"/>
  <c r="R637" i="6" s="1"/>
  <c r="Q639" i="6"/>
  <c r="AF639" i="6" s="1"/>
  <c r="AH639" i="6" s="1"/>
  <c r="AJ639" i="6" s="1"/>
  <c r="S639" i="6"/>
  <c r="R639" i="6" s="1"/>
  <c r="Q641" i="6"/>
  <c r="S641" i="6"/>
  <c r="R641" i="6" s="1"/>
  <c r="Q643" i="6"/>
  <c r="AF643" i="6" s="1"/>
  <c r="AH643" i="6" s="1"/>
  <c r="AJ643" i="6" s="1"/>
  <c r="S643" i="6"/>
  <c r="R643" i="6" s="1"/>
  <c r="Q645" i="6"/>
  <c r="S645" i="6"/>
  <c r="R645" i="6" s="1"/>
  <c r="Q647" i="6"/>
  <c r="AF647" i="6" s="1"/>
  <c r="AH647" i="6" s="1"/>
  <c r="AJ647" i="6" s="1"/>
  <c r="S647" i="6"/>
  <c r="R647" i="6" s="1"/>
  <c r="Q649" i="6"/>
  <c r="S649" i="6"/>
  <c r="R649" i="6" s="1"/>
  <c r="Q651" i="6"/>
  <c r="AF651" i="6" s="1"/>
  <c r="AH651" i="6" s="1"/>
  <c r="AJ651" i="6" s="1"/>
  <c r="S651" i="6"/>
  <c r="R651" i="6" s="1"/>
  <c r="Q653" i="6"/>
  <c r="S653" i="6"/>
  <c r="R653" i="6" s="1"/>
  <c r="Q655" i="6"/>
  <c r="AF655" i="6" s="1"/>
  <c r="AH655" i="6" s="1"/>
  <c r="AJ655" i="6" s="1"/>
  <c r="S655" i="6"/>
  <c r="R655" i="6" s="1"/>
  <c r="Q657" i="6"/>
  <c r="S657" i="6"/>
  <c r="R657" i="6" s="1"/>
  <c r="Q659" i="6"/>
  <c r="AF659" i="6" s="1"/>
  <c r="AH659" i="6" s="1"/>
  <c r="AJ659" i="6" s="1"/>
  <c r="S659" i="6"/>
  <c r="R659" i="6" s="1"/>
  <c r="Q661" i="6"/>
  <c r="S661" i="6"/>
  <c r="R661" i="6" s="1"/>
  <c r="Q663" i="6"/>
  <c r="AF663" i="6" s="1"/>
  <c r="AH663" i="6" s="1"/>
  <c r="AJ663" i="6" s="1"/>
  <c r="S663" i="6"/>
  <c r="R663" i="6" s="1"/>
  <c r="Q665" i="6"/>
  <c r="S665" i="6"/>
  <c r="R665" i="6" s="1"/>
  <c r="Q667" i="6"/>
  <c r="AF667" i="6" s="1"/>
  <c r="AH667" i="6" s="1"/>
  <c r="AJ667" i="6" s="1"/>
  <c r="S667" i="6"/>
  <c r="R667" i="6" s="1"/>
  <c r="Q669" i="6"/>
  <c r="S669" i="6"/>
  <c r="R669" i="6" s="1"/>
  <c r="Q671" i="6"/>
  <c r="AF671" i="6" s="1"/>
  <c r="AH671" i="6" s="1"/>
  <c r="AJ671" i="6" s="1"/>
  <c r="S671" i="6"/>
  <c r="R671" i="6" s="1"/>
  <c r="Q673" i="6"/>
  <c r="S673" i="6"/>
  <c r="R673" i="6" s="1"/>
  <c r="Q675" i="6"/>
  <c r="AF675" i="6" s="1"/>
  <c r="AH675" i="6" s="1"/>
  <c r="AJ675" i="6" s="1"/>
  <c r="S675" i="6"/>
  <c r="R675" i="6" s="1"/>
  <c r="Q677" i="6"/>
  <c r="S677" i="6"/>
  <c r="R677" i="6" s="1"/>
  <c r="Q679" i="6"/>
  <c r="AF679" i="6" s="1"/>
  <c r="AH679" i="6" s="1"/>
  <c r="AJ679" i="6" s="1"/>
  <c r="S679" i="6"/>
  <c r="R679" i="6" s="1"/>
  <c r="Q681" i="6"/>
  <c r="S681" i="6"/>
  <c r="R681" i="6" s="1"/>
  <c r="Q683" i="6"/>
  <c r="AF683" i="6" s="1"/>
  <c r="AH683" i="6" s="1"/>
  <c r="AJ683" i="6" s="1"/>
  <c r="S683" i="6"/>
  <c r="R683" i="6" s="1"/>
  <c r="Q685" i="6"/>
  <c r="S685" i="6"/>
  <c r="R685" i="6" s="1"/>
  <c r="Q687" i="6"/>
  <c r="AF687" i="6" s="1"/>
  <c r="AH687" i="6" s="1"/>
  <c r="AJ687" i="6" s="1"/>
  <c r="S687" i="6"/>
  <c r="R687" i="6" s="1"/>
  <c r="S691" i="6"/>
  <c r="R691" i="6" s="1"/>
  <c r="AI691" i="6"/>
  <c r="S693" i="6"/>
  <c r="R693" i="6" s="1"/>
  <c r="Q693" i="6"/>
  <c r="S695" i="6"/>
  <c r="R695" i="6" s="1"/>
  <c r="Q695" i="6"/>
  <c r="S697" i="6"/>
  <c r="R697" i="6" s="1"/>
  <c r="Q697" i="6"/>
  <c r="S699" i="6"/>
  <c r="R699" i="6" s="1"/>
  <c r="Q699" i="6"/>
  <c r="S701" i="6"/>
  <c r="R701" i="6" s="1"/>
  <c r="Q701" i="6"/>
  <c r="S703" i="6"/>
  <c r="R703" i="6" s="1"/>
  <c r="Q703" i="6"/>
  <c r="S705" i="6"/>
  <c r="R705" i="6" s="1"/>
  <c r="Q705" i="6"/>
  <c r="S707" i="6"/>
  <c r="R707" i="6" s="1"/>
  <c r="Q707" i="6"/>
  <c r="S709" i="6"/>
  <c r="R709" i="6" s="1"/>
  <c r="Q709" i="6"/>
  <c r="S710" i="6"/>
  <c r="R710" i="6" s="1"/>
  <c r="Q710" i="6"/>
  <c r="S711" i="6"/>
  <c r="R711" i="6" s="1"/>
  <c r="Q711" i="6"/>
  <c r="S712" i="6"/>
  <c r="R712" i="6" s="1"/>
  <c r="Q712" i="6"/>
  <c r="S713" i="6"/>
  <c r="R713" i="6" s="1"/>
  <c r="Q713" i="6"/>
  <c r="S714" i="6"/>
  <c r="R714" i="6" s="1"/>
  <c r="Q714" i="6"/>
  <c r="S715" i="6"/>
  <c r="R715" i="6" s="1"/>
  <c r="Q715" i="6"/>
  <c r="S716" i="6"/>
  <c r="R716" i="6" s="1"/>
  <c r="Q716" i="6"/>
  <c r="S717" i="6"/>
  <c r="R717" i="6" s="1"/>
  <c r="Q717" i="6"/>
  <c r="S718" i="6"/>
  <c r="R718" i="6" s="1"/>
  <c r="Q718" i="6"/>
  <c r="S719" i="6"/>
  <c r="R719" i="6" s="1"/>
  <c r="Q719" i="6"/>
  <c r="S720" i="6"/>
  <c r="R720" i="6" s="1"/>
  <c r="Q720" i="6"/>
  <c r="S721" i="6"/>
  <c r="R721" i="6" s="1"/>
  <c r="Q721" i="6"/>
  <c r="S722" i="6"/>
  <c r="R722" i="6" s="1"/>
  <c r="Q722" i="6"/>
  <c r="S723" i="6"/>
  <c r="R723" i="6" s="1"/>
  <c r="Q723" i="6"/>
  <c r="S724" i="6"/>
  <c r="R724" i="6" s="1"/>
  <c r="Q724" i="6"/>
  <c r="S725" i="6"/>
  <c r="R725" i="6" s="1"/>
  <c r="Q725" i="6"/>
  <c r="S726" i="6"/>
  <c r="R726" i="6" s="1"/>
  <c r="Q726" i="6"/>
  <c r="S727" i="6"/>
  <c r="R727" i="6" s="1"/>
  <c r="Q727" i="6"/>
  <c r="S728" i="6"/>
  <c r="R728" i="6" s="1"/>
  <c r="Q728" i="6"/>
  <c r="S729" i="6"/>
  <c r="R729" i="6" s="1"/>
  <c r="Q729" i="6"/>
  <c r="S730" i="6"/>
  <c r="R730" i="6" s="1"/>
  <c r="Q730" i="6"/>
  <c r="S731" i="6"/>
  <c r="R731" i="6" s="1"/>
  <c r="Q731" i="6"/>
  <c r="S732" i="6"/>
  <c r="R732" i="6" s="1"/>
  <c r="Q732" i="6"/>
  <c r="S733" i="6"/>
  <c r="R733" i="6" s="1"/>
  <c r="Q733" i="6"/>
  <c r="S734" i="6"/>
  <c r="R734" i="6" s="1"/>
  <c r="Q734" i="6"/>
  <c r="S735" i="6"/>
  <c r="R735" i="6" s="1"/>
  <c r="Q735" i="6"/>
  <c r="S736" i="6"/>
  <c r="R736" i="6" s="1"/>
  <c r="Q736" i="6"/>
  <c r="S737" i="6"/>
  <c r="R737" i="6" s="1"/>
  <c r="Q737" i="6"/>
  <c r="S738" i="6"/>
  <c r="R738" i="6" s="1"/>
  <c r="Q738" i="6"/>
  <c r="S739" i="6"/>
  <c r="R739" i="6" s="1"/>
  <c r="Q739" i="6"/>
  <c r="Q767" i="6"/>
  <c r="AF767" i="6" s="1"/>
  <c r="AH767" i="6" s="1"/>
  <c r="AI767" i="6"/>
  <c r="S767" i="6"/>
  <c r="R767" i="6" s="1"/>
  <c r="AI768" i="6"/>
  <c r="S768" i="6"/>
  <c r="R768" i="6" s="1"/>
  <c r="Q768" i="6"/>
  <c r="AF773" i="6"/>
  <c r="AH773" i="6" s="1"/>
  <c r="AF777" i="6"/>
  <c r="AF781" i="6"/>
  <c r="AH781" i="6" s="1"/>
  <c r="AF785" i="6"/>
  <c r="Q765" i="6"/>
  <c r="AI765" i="6"/>
  <c r="S765" i="6"/>
  <c r="R765" i="6" s="1"/>
  <c r="AI766" i="6"/>
  <c r="S766" i="6"/>
  <c r="R766" i="6" s="1"/>
  <c r="Q766" i="6"/>
  <c r="AH688" i="6"/>
  <c r="S694" i="6"/>
  <c r="R694" i="6" s="1"/>
  <c r="Q694" i="6"/>
  <c r="S696" i="6"/>
  <c r="R696" i="6" s="1"/>
  <c r="Q696" i="6"/>
  <c r="S698" i="6"/>
  <c r="R698" i="6" s="1"/>
  <c r="Q698" i="6"/>
  <c r="S700" i="6"/>
  <c r="R700" i="6" s="1"/>
  <c r="Q700" i="6"/>
  <c r="S702" i="6"/>
  <c r="R702" i="6" s="1"/>
  <c r="Q702" i="6"/>
  <c r="S704" i="6"/>
  <c r="R704" i="6" s="1"/>
  <c r="Q704" i="6"/>
  <c r="S706" i="6"/>
  <c r="R706" i="6" s="1"/>
  <c r="Q706" i="6"/>
  <c r="S708" i="6"/>
  <c r="R708" i="6" s="1"/>
  <c r="Q708" i="6"/>
  <c r="S771" i="6"/>
  <c r="R771" i="6" s="1"/>
  <c r="AI771" i="6"/>
  <c r="Q771" i="6"/>
  <c r="AF771" i="6" s="1"/>
  <c r="AH771" i="6" s="1"/>
  <c r="AF793" i="6"/>
  <c r="AF794" i="6"/>
  <c r="AF796" i="6"/>
  <c r="AF797" i="6"/>
  <c r="AH797" i="6" s="1"/>
  <c r="AF798" i="6"/>
  <c r="AI736" i="6"/>
  <c r="AI737" i="6"/>
  <c r="AI738" i="6"/>
  <c r="AI739" i="6"/>
  <c r="Q769" i="6"/>
  <c r="AI769" i="6"/>
  <c r="S769" i="6"/>
  <c r="R769" i="6" s="1"/>
  <c r="AI770" i="6"/>
  <c r="S770" i="6"/>
  <c r="R770" i="6" s="1"/>
  <c r="Q770" i="6"/>
  <c r="AF790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S772" i="6"/>
  <c r="R772" i="6" s="1"/>
  <c r="AI772" i="6"/>
  <c r="S774" i="6"/>
  <c r="R774" i="6" s="1"/>
  <c r="AI774" i="6"/>
  <c r="S776" i="6"/>
  <c r="R776" i="6" s="1"/>
  <c r="AI776" i="6"/>
  <c r="S778" i="6"/>
  <c r="R778" i="6" s="1"/>
  <c r="AI778" i="6"/>
  <c r="S780" i="6"/>
  <c r="R780" i="6" s="1"/>
  <c r="AI780" i="6"/>
  <c r="S782" i="6"/>
  <c r="R782" i="6" s="1"/>
  <c r="AI782" i="6"/>
  <c r="S784" i="6"/>
  <c r="R784" i="6" s="1"/>
  <c r="AI784" i="6"/>
  <c r="S786" i="6"/>
  <c r="R786" i="6" s="1"/>
  <c r="AI786" i="6"/>
  <c r="S788" i="6"/>
  <c r="R788" i="6" s="1"/>
  <c r="AI788" i="6"/>
  <c r="AH789" i="6"/>
  <c r="AH777" i="6"/>
  <c r="AH785" i="6"/>
  <c r="S789" i="6"/>
  <c r="R789" i="6" s="1"/>
  <c r="AI789" i="6"/>
  <c r="AH790" i="6"/>
  <c r="S740" i="6"/>
  <c r="R740" i="6" s="1"/>
  <c r="S741" i="6"/>
  <c r="R741" i="6" s="1"/>
  <c r="S742" i="6"/>
  <c r="R742" i="6" s="1"/>
  <c r="S743" i="6"/>
  <c r="R743" i="6" s="1"/>
  <c r="S744" i="6"/>
  <c r="R744" i="6" s="1"/>
  <c r="S745" i="6"/>
  <c r="R745" i="6" s="1"/>
  <c r="S746" i="6"/>
  <c r="R746" i="6" s="1"/>
  <c r="S747" i="6"/>
  <c r="R747" i="6" s="1"/>
  <c r="S748" i="6"/>
  <c r="R748" i="6" s="1"/>
  <c r="S749" i="6"/>
  <c r="R749" i="6" s="1"/>
  <c r="S750" i="6"/>
  <c r="R750" i="6" s="1"/>
  <c r="S751" i="6"/>
  <c r="R751" i="6" s="1"/>
  <c r="S752" i="6"/>
  <c r="R752" i="6" s="1"/>
  <c r="S753" i="6"/>
  <c r="R753" i="6" s="1"/>
  <c r="S754" i="6"/>
  <c r="R754" i="6" s="1"/>
  <c r="S755" i="6"/>
  <c r="R755" i="6" s="1"/>
  <c r="S756" i="6"/>
  <c r="R756" i="6" s="1"/>
  <c r="S757" i="6"/>
  <c r="R757" i="6" s="1"/>
  <c r="S758" i="6"/>
  <c r="R758" i="6" s="1"/>
  <c r="S759" i="6"/>
  <c r="R759" i="6" s="1"/>
  <c r="S760" i="6"/>
  <c r="R760" i="6" s="1"/>
  <c r="S761" i="6"/>
  <c r="R761" i="6" s="1"/>
  <c r="S762" i="6"/>
  <c r="R762" i="6" s="1"/>
  <c r="S763" i="6"/>
  <c r="R763" i="6" s="1"/>
  <c r="S764" i="6"/>
  <c r="R764" i="6" s="1"/>
  <c r="S773" i="6"/>
  <c r="R773" i="6" s="1"/>
  <c r="AI773" i="6"/>
  <c r="S775" i="6"/>
  <c r="R775" i="6" s="1"/>
  <c r="AI775" i="6"/>
  <c r="S777" i="6"/>
  <c r="R777" i="6" s="1"/>
  <c r="AI777" i="6"/>
  <c r="S779" i="6"/>
  <c r="R779" i="6" s="1"/>
  <c r="AI779" i="6"/>
  <c r="S781" i="6"/>
  <c r="R781" i="6" s="1"/>
  <c r="AI781" i="6"/>
  <c r="S783" i="6"/>
  <c r="R783" i="6" s="1"/>
  <c r="AI783" i="6"/>
  <c r="S785" i="6"/>
  <c r="R785" i="6" s="1"/>
  <c r="AI785" i="6"/>
  <c r="S787" i="6"/>
  <c r="R787" i="6" s="1"/>
  <c r="AI787" i="6"/>
  <c r="Q789" i="6"/>
  <c r="AF789" i="6" s="1"/>
  <c r="S790" i="6"/>
  <c r="R790" i="6" s="1"/>
  <c r="AI790" i="6"/>
  <c r="S791" i="6"/>
  <c r="R791" i="6" s="1"/>
  <c r="AI791" i="6"/>
  <c r="AI792" i="6"/>
  <c r="AI793" i="6"/>
  <c r="AI794" i="6"/>
  <c r="AI795" i="6"/>
  <c r="AI796" i="6"/>
  <c r="AI797" i="6"/>
  <c r="AI798" i="6"/>
  <c r="AI799" i="6"/>
  <c r="Q801" i="6"/>
  <c r="S801" i="6"/>
  <c r="R801" i="6" s="1"/>
  <c r="Q803" i="6"/>
  <c r="AF803" i="6" s="1"/>
  <c r="AH803" i="6" s="1"/>
  <c r="S803" i="6"/>
  <c r="R803" i="6" s="1"/>
  <c r="S812" i="6"/>
  <c r="R812" i="6" s="1"/>
  <c r="Q818" i="6"/>
  <c r="AF818" i="6" s="1"/>
  <c r="AH818" i="6" s="1"/>
  <c r="AI818" i="6"/>
  <c r="S818" i="6"/>
  <c r="R818" i="6" s="1"/>
  <c r="Q826" i="6"/>
  <c r="AI826" i="6"/>
  <c r="S826" i="6"/>
  <c r="R826" i="6" s="1"/>
  <c r="Q834" i="6"/>
  <c r="AI834" i="6"/>
  <c r="S834" i="6"/>
  <c r="R834" i="6" s="1"/>
  <c r="Q842" i="6"/>
  <c r="AF842" i="6" s="1"/>
  <c r="AH842" i="6" s="1"/>
  <c r="AI842" i="6"/>
  <c r="S842" i="6"/>
  <c r="R842" i="6" s="1"/>
  <c r="AF878" i="6"/>
  <c r="AH878" i="6" s="1"/>
  <c r="AI801" i="6"/>
  <c r="AI803" i="6"/>
  <c r="AF814" i="6"/>
  <c r="AH814" i="6" s="1"/>
  <c r="AJ814" i="6" s="1"/>
  <c r="AF816" i="6"/>
  <c r="AH816" i="6" s="1"/>
  <c r="AJ816" i="6" s="1"/>
  <c r="Q820" i="6"/>
  <c r="AF820" i="6" s="1"/>
  <c r="AH820" i="6" s="1"/>
  <c r="AI820" i="6"/>
  <c r="S820" i="6"/>
  <c r="R820" i="6" s="1"/>
  <c r="Q828" i="6"/>
  <c r="AF828" i="6" s="1"/>
  <c r="AH828" i="6" s="1"/>
  <c r="AI828" i="6"/>
  <c r="S828" i="6"/>
  <c r="R828" i="6" s="1"/>
  <c r="Q836" i="6"/>
  <c r="AI836" i="6"/>
  <c r="S836" i="6"/>
  <c r="R836" i="6" s="1"/>
  <c r="Q844" i="6"/>
  <c r="AI844" i="6"/>
  <c r="S844" i="6"/>
  <c r="R844" i="6" s="1"/>
  <c r="AH792" i="6"/>
  <c r="AH793" i="6"/>
  <c r="AH794" i="6"/>
  <c r="AH795" i="6"/>
  <c r="AH796" i="6"/>
  <c r="AH798" i="6"/>
  <c r="AH799" i="6"/>
  <c r="Q800" i="6"/>
  <c r="AF800" i="6" s="1"/>
  <c r="AH800" i="6" s="1"/>
  <c r="AJ800" i="6" s="1"/>
  <c r="S800" i="6"/>
  <c r="R800" i="6" s="1"/>
  <c r="Q802" i="6"/>
  <c r="S802" i="6"/>
  <c r="R802" i="6" s="1"/>
  <c r="S806" i="6"/>
  <c r="R806" i="6" s="1"/>
  <c r="Q806" i="6"/>
  <c r="S807" i="6"/>
  <c r="R807" i="6" s="1"/>
  <c r="Q807" i="6"/>
  <c r="S808" i="6"/>
  <c r="R808" i="6" s="1"/>
  <c r="Q808" i="6"/>
  <c r="S809" i="6"/>
  <c r="R809" i="6" s="1"/>
  <c r="Q809" i="6"/>
  <c r="S810" i="6"/>
  <c r="R810" i="6" s="1"/>
  <c r="Q810" i="6"/>
  <c r="S811" i="6"/>
  <c r="R811" i="6" s="1"/>
  <c r="Q811" i="6"/>
  <c r="AF812" i="6"/>
  <c r="AH812" i="6" s="1"/>
  <c r="AJ812" i="6" s="1"/>
  <c r="Q822" i="6"/>
  <c r="AF822" i="6" s="1"/>
  <c r="AH822" i="6" s="1"/>
  <c r="AI822" i="6"/>
  <c r="S822" i="6"/>
  <c r="R822" i="6" s="1"/>
  <c r="Q830" i="6"/>
  <c r="AI830" i="6"/>
  <c r="S830" i="6"/>
  <c r="R830" i="6" s="1"/>
  <c r="Q838" i="6"/>
  <c r="AI838" i="6"/>
  <c r="S838" i="6"/>
  <c r="R838" i="6" s="1"/>
  <c r="AF848" i="6"/>
  <c r="AH848" i="6" s="1"/>
  <c r="Q824" i="6"/>
  <c r="AF824" i="6" s="1"/>
  <c r="AH824" i="6" s="1"/>
  <c r="AI824" i="6"/>
  <c r="S824" i="6"/>
  <c r="R824" i="6" s="1"/>
  <c r="Q832" i="6"/>
  <c r="AI832" i="6"/>
  <c r="S832" i="6"/>
  <c r="R832" i="6" s="1"/>
  <c r="Q840" i="6"/>
  <c r="AI840" i="6"/>
  <c r="S840" i="6"/>
  <c r="R840" i="6" s="1"/>
  <c r="S848" i="6"/>
  <c r="R848" i="6" s="1"/>
  <c r="AI848" i="6"/>
  <c r="AF850" i="6"/>
  <c r="AH850" i="6" s="1"/>
  <c r="AJ850" i="6" s="1"/>
  <c r="AI851" i="6"/>
  <c r="S851" i="6"/>
  <c r="R851" i="6" s="1"/>
  <c r="Q851" i="6"/>
  <c r="AI856" i="6"/>
  <c r="S856" i="6"/>
  <c r="R856" i="6" s="1"/>
  <c r="AF865" i="6"/>
  <c r="AH865" i="6" s="1"/>
  <c r="AJ865" i="6" s="1"/>
  <c r="AI870" i="6"/>
  <c r="S870" i="6"/>
  <c r="R870" i="6" s="1"/>
  <c r="AI876" i="6"/>
  <c r="S876" i="6"/>
  <c r="R876" i="6" s="1"/>
  <c r="Q876" i="6"/>
  <c r="AF879" i="6"/>
  <c r="AH879" i="6" s="1"/>
  <c r="AI880" i="6"/>
  <c r="S880" i="6"/>
  <c r="R880" i="6" s="1"/>
  <c r="Q880" i="6"/>
  <c r="AF882" i="6"/>
  <c r="AH882" i="6" s="1"/>
  <c r="AF886" i="6"/>
  <c r="AH886" i="6" s="1"/>
  <c r="AF898" i="6"/>
  <c r="AH898" i="6" s="1"/>
  <c r="AF902" i="6"/>
  <c r="AH902" i="6" s="1"/>
  <c r="AI928" i="6"/>
  <c r="S928" i="6"/>
  <c r="R928" i="6" s="1"/>
  <c r="Q928" i="6"/>
  <c r="S804" i="6"/>
  <c r="R804" i="6" s="1"/>
  <c r="S805" i="6"/>
  <c r="R805" i="6" s="1"/>
  <c r="S850" i="6"/>
  <c r="R850" i="6" s="1"/>
  <c r="AI853" i="6"/>
  <c r="S853" i="6"/>
  <c r="R853" i="6" s="1"/>
  <c r="Q853" i="6"/>
  <c r="AI862" i="6"/>
  <c r="S862" i="6"/>
  <c r="R862" i="6" s="1"/>
  <c r="AI868" i="6"/>
  <c r="S868" i="6"/>
  <c r="R868" i="6" s="1"/>
  <c r="Q868" i="6"/>
  <c r="AF871" i="6"/>
  <c r="AH871" i="6" s="1"/>
  <c r="AJ871" i="6" s="1"/>
  <c r="AI872" i="6"/>
  <c r="S872" i="6"/>
  <c r="R872" i="6" s="1"/>
  <c r="Q872" i="6"/>
  <c r="AF872" i="6" s="1"/>
  <c r="AH872" i="6" s="1"/>
  <c r="AF980" i="6"/>
  <c r="AH980" i="6" s="1"/>
  <c r="AJ980" i="6" s="1"/>
  <c r="AI804" i="6"/>
  <c r="AI805" i="6"/>
  <c r="AH817" i="6"/>
  <c r="AH825" i="6"/>
  <c r="AH833" i="6"/>
  <c r="AH841" i="6"/>
  <c r="Q846" i="6"/>
  <c r="AI847" i="6"/>
  <c r="S847" i="6"/>
  <c r="R847" i="6" s="1"/>
  <c r="Q847" i="6"/>
  <c r="S852" i="6"/>
  <c r="R852" i="6" s="1"/>
  <c r="Q854" i="6"/>
  <c r="AI860" i="6"/>
  <c r="S860" i="6"/>
  <c r="R860" i="6" s="1"/>
  <c r="Q860" i="6"/>
  <c r="AF860" i="6" s="1"/>
  <c r="AH860" i="6" s="1"/>
  <c r="AF863" i="6"/>
  <c r="AH863" i="6" s="1"/>
  <c r="AJ863" i="6" s="1"/>
  <c r="AI864" i="6"/>
  <c r="S864" i="6"/>
  <c r="R864" i="6" s="1"/>
  <c r="Q864" i="6"/>
  <c r="AI879" i="6"/>
  <c r="AI920" i="6"/>
  <c r="S920" i="6"/>
  <c r="R920" i="6" s="1"/>
  <c r="Q920" i="6"/>
  <c r="AI936" i="6"/>
  <c r="S936" i="6"/>
  <c r="R936" i="6" s="1"/>
  <c r="Q936" i="6"/>
  <c r="AF936" i="6" s="1"/>
  <c r="AH936" i="6" s="1"/>
  <c r="AF813" i="6"/>
  <c r="AH813" i="6" s="1"/>
  <c r="AI813" i="6"/>
  <c r="AF815" i="6"/>
  <c r="AH815" i="6" s="1"/>
  <c r="AI815" i="6"/>
  <c r="AF817" i="6"/>
  <c r="AI817" i="6"/>
  <c r="AF819" i="6"/>
  <c r="AH819" i="6" s="1"/>
  <c r="AI819" i="6"/>
  <c r="AF821" i="6"/>
  <c r="AH821" i="6" s="1"/>
  <c r="AI821" i="6"/>
  <c r="AF823" i="6"/>
  <c r="AH823" i="6" s="1"/>
  <c r="AI823" i="6"/>
  <c r="AF825" i="6"/>
  <c r="AI825" i="6"/>
  <c r="AF827" i="6"/>
  <c r="AH827" i="6" s="1"/>
  <c r="AI827" i="6"/>
  <c r="AF829" i="6"/>
  <c r="AH829" i="6" s="1"/>
  <c r="AI829" i="6"/>
  <c r="AF831" i="6"/>
  <c r="AH831" i="6" s="1"/>
  <c r="AI831" i="6"/>
  <c r="AF833" i="6"/>
  <c r="AI833" i="6"/>
  <c r="AF835" i="6"/>
  <c r="AH835" i="6" s="1"/>
  <c r="AI835" i="6"/>
  <c r="AF837" i="6"/>
  <c r="AH837" i="6" s="1"/>
  <c r="AI837" i="6"/>
  <c r="AF839" i="6"/>
  <c r="AH839" i="6" s="1"/>
  <c r="AI839" i="6"/>
  <c r="AF841" i="6"/>
  <c r="AI841" i="6"/>
  <c r="AF843" i="6"/>
  <c r="AH843" i="6" s="1"/>
  <c r="AI843" i="6"/>
  <c r="AF845" i="6"/>
  <c r="AH845" i="6" s="1"/>
  <c r="AI845" i="6"/>
  <c r="S846" i="6"/>
  <c r="R846" i="6" s="1"/>
  <c r="AI849" i="6"/>
  <c r="S849" i="6"/>
  <c r="R849" i="6" s="1"/>
  <c r="Q849" i="6"/>
  <c r="S854" i="6"/>
  <c r="R854" i="6" s="1"/>
  <c r="Q856" i="6"/>
  <c r="AF856" i="6" s="1"/>
  <c r="AH856" i="6" s="1"/>
  <c r="AI858" i="6"/>
  <c r="S858" i="6"/>
  <c r="R858" i="6" s="1"/>
  <c r="Q870" i="6"/>
  <c r="AF870" i="6" s="1"/>
  <c r="AH870" i="6" s="1"/>
  <c r="AJ870" i="6" s="1"/>
  <c r="AI878" i="6"/>
  <c r="S878" i="6"/>
  <c r="R878" i="6" s="1"/>
  <c r="S879" i="6"/>
  <c r="R879" i="6" s="1"/>
  <c r="Q1027" i="6"/>
  <c r="S1027" i="6"/>
  <c r="R1027" i="6" s="1"/>
  <c r="AI1027" i="6"/>
  <c r="Q1031" i="6"/>
  <c r="S1031" i="6"/>
  <c r="R1031" i="6" s="1"/>
  <c r="AI1031" i="6"/>
  <c r="AF1037" i="6"/>
  <c r="AF1038" i="6"/>
  <c r="AF1040" i="6"/>
  <c r="AF1047" i="6"/>
  <c r="S865" i="6"/>
  <c r="R865" i="6" s="1"/>
  <c r="AI866" i="6"/>
  <c r="S866" i="6"/>
  <c r="R866" i="6" s="1"/>
  <c r="S873" i="6"/>
  <c r="R873" i="6" s="1"/>
  <c r="AI874" i="6"/>
  <c r="S874" i="6"/>
  <c r="R874" i="6" s="1"/>
  <c r="AI881" i="6"/>
  <c r="S881" i="6"/>
  <c r="R881" i="6" s="1"/>
  <c r="AI883" i="6"/>
  <c r="S883" i="6"/>
  <c r="R883" i="6" s="1"/>
  <c r="Q883" i="6"/>
  <c r="AI884" i="6"/>
  <c r="S884" i="6"/>
  <c r="R884" i="6" s="1"/>
  <c r="AI887" i="6"/>
  <c r="S887" i="6"/>
  <c r="R887" i="6" s="1"/>
  <c r="Q887" i="6"/>
  <c r="AF887" i="6" s="1"/>
  <c r="AH887" i="6" s="1"/>
  <c r="AI888" i="6"/>
  <c r="S888" i="6"/>
  <c r="R888" i="6" s="1"/>
  <c r="AI891" i="6"/>
  <c r="S891" i="6"/>
  <c r="R891" i="6" s="1"/>
  <c r="Q891" i="6"/>
  <c r="AF891" i="6" s="1"/>
  <c r="AH891" i="6" s="1"/>
  <c r="AI892" i="6"/>
  <c r="S892" i="6"/>
  <c r="R892" i="6" s="1"/>
  <c r="AI895" i="6"/>
  <c r="S895" i="6"/>
  <c r="R895" i="6" s="1"/>
  <c r="Q895" i="6"/>
  <c r="AI896" i="6"/>
  <c r="S896" i="6"/>
  <c r="R896" i="6" s="1"/>
  <c r="AI899" i="6"/>
  <c r="S899" i="6"/>
  <c r="R899" i="6" s="1"/>
  <c r="Q899" i="6"/>
  <c r="AI900" i="6"/>
  <c r="S900" i="6"/>
  <c r="R900" i="6" s="1"/>
  <c r="AI903" i="6"/>
  <c r="S903" i="6"/>
  <c r="R903" i="6" s="1"/>
  <c r="Q903" i="6"/>
  <c r="AF903" i="6" s="1"/>
  <c r="AH903" i="6" s="1"/>
  <c r="AI904" i="6"/>
  <c r="S904" i="6"/>
  <c r="R904" i="6" s="1"/>
  <c r="AI907" i="6"/>
  <c r="S907" i="6"/>
  <c r="R907" i="6" s="1"/>
  <c r="Q907" i="6"/>
  <c r="AF907" i="6" s="1"/>
  <c r="AH907" i="6" s="1"/>
  <c r="AI908" i="6"/>
  <c r="S908" i="6"/>
  <c r="R908" i="6" s="1"/>
  <c r="AF911" i="6"/>
  <c r="AH911" i="6" s="1"/>
  <c r="AF917" i="6"/>
  <c r="AH917" i="6" s="1"/>
  <c r="AF925" i="6"/>
  <c r="AH925" i="6" s="1"/>
  <c r="Q855" i="6"/>
  <c r="Q857" i="6"/>
  <c r="S859" i="6"/>
  <c r="R859" i="6" s="1"/>
  <c r="Q861" i="6"/>
  <c r="AF861" i="6" s="1"/>
  <c r="AH861" i="6" s="1"/>
  <c r="AJ861" i="6" s="1"/>
  <c r="Q866" i="6"/>
  <c r="S867" i="6"/>
  <c r="R867" i="6" s="1"/>
  <c r="Q869" i="6"/>
  <c r="AF869" i="6" s="1"/>
  <c r="AH869" i="6" s="1"/>
  <c r="AJ869" i="6" s="1"/>
  <c r="Q874" i="6"/>
  <c r="AF874" i="6" s="1"/>
  <c r="AH874" i="6" s="1"/>
  <c r="S875" i="6"/>
  <c r="R875" i="6" s="1"/>
  <c r="Q877" i="6"/>
  <c r="AI912" i="6"/>
  <c r="S912" i="6"/>
  <c r="R912" i="6" s="1"/>
  <c r="Q912" i="6"/>
  <c r="AI916" i="6"/>
  <c r="S916" i="6"/>
  <c r="R916" i="6" s="1"/>
  <c r="Q916" i="6"/>
  <c r="AF916" i="6" s="1"/>
  <c r="AH916" i="6" s="1"/>
  <c r="AI924" i="6"/>
  <c r="S924" i="6"/>
  <c r="R924" i="6" s="1"/>
  <c r="Q924" i="6"/>
  <c r="AF924" i="6" s="1"/>
  <c r="AH924" i="6" s="1"/>
  <c r="AI932" i="6"/>
  <c r="S932" i="6"/>
  <c r="R932" i="6" s="1"/>
  <c r="Q932" i="6"/>
  <c r="S855" i="6"/>
  <c r="R855" i="6" s="1"/>
  <c r="S857" i="6"/>
  <c r="R857" i="6" s="1"/>
  <c r="S861" i="6"/>
  <c r="R861" i="6" s="1"/>
  <c r="S869" i="6"/>
  <c r="R869" i="6" s="1"/>
  <c r="S877" i="6"/>
  <c r="R877" i="6" s="1"/>
  <c r="AI882" i="6"/>
  <c r="S882" i="6"/>
  <c r="R882" i="6" s="1"/>
  <c r="AI885" i="6"/>
  <c r="S885" i="6"/>
  <c r="R885" i="6" s="1"/>
  <c r="Q885" i="6"/>
  <c r="AF885" i="6" s="1"/>
  <c r="AH885" i="6" s="1"/>
  <c r="AI886" i="6"/>
  <c r="S886" i="6"/>
  <c r="R886" i="6" s="1"/>
  <c r="AI889" i="6"/>
  <c r="S889" i="6"/>
  <c r="R889" i="6" s="1"/>
  <c r="Q889" i="6"/>
  <c r="AI890" i="6"/>
  <c r="S890" i="6"/>
  <c r="R890" i="6" s="1"/>
  <c r="AI893" i="6"/>
  <c r="S893" i="6"/>
  <c r="R893" i="6" s="1"/>
  <c r="Q893" i="6"/>
  <c r="AI894" i="6"/>
  <c r="S894" i="6"/>
  <c r="R894" i="6" s="1"/>
  <c r="AI897" i="6"/>
  <c r="S897" i="6"/>
  <c r="R897" i="6" s="1"/>
  <c r="Q897" i="6"/>
  <c r="AF897" i="6" s="1"/>
  <c r="AH897" i="6" s="1"/>
  <c r="AI898" i="6"/>
  <c r="S898" i="6"/>
  <c r="R898" i="6" s="1"/>
  <c r="AI901" i="6"/>
  <c r="S901" i="6"/>
  <c r="R901" i="6" s="1"/>
  <c r="Q901" i="6"/>
  <c r="AF901" i="6" s="1"/>
  <c r="AH901" i="6" s="1"/>
  <c r="AI902" i="6"/>
  <c r="S902" i="6"/>
  <c r="R902" i="6" s="1"/>
  <c r="AI905" i="6"/>
  <c r="S905" i="6"/>
  <c r="R905" i="6" s="1"/>
  <c r="Q905" i="6"/>
  <c r="AI906" i="6"/>
  <c r="S906" i="6"/>
  <c r="R906" i="6" s="1"/>
  <c r="AI909" i="6"/>
  <c r="S909" i="6"/>
  <c r="R909" i="6" s="1"/>
  <c r="Q909" i="6"/>
  <c r="AI910" i="6"/>
  <c r="S910" i="6"/>
  <c r="R910" i="6" s="1"/>
  <c r="AI911" i="6"/>
  <c r="AF915" i="6"/>
  <c r="AH915" i="6" s="1"/>
  <c r="AF930" i="6"/>
  <c r="AH930" i="6" s="1"/>
  <c r="AF931" i="6"/>
  <c r="AH931" i="6" s="1"/>
  <c r="AF938" i="6"/>
  <c r="AH938" i="6" s="1"/>
  <c r="S913" i="6"/>
  <c r="R913" i="6" s="1"/>
  <c r="AI915" i="6"/>
  <c r="S915" i="6"/>
  <c r="R915" i="6" s="1"/>
  <c r="AI919" i="6"/>
  <c r="S919" i="6"/>
  <c r="R919" i="6" s="1"/>
  <c r="AI923" i="6"/>
  <c r="S923" i="6"/>
  <c r="R923" i="6" s="1"/>
  <c r="AI927" i="6"/>
  <c r="S927" i="6"/>
  <c r="R927" i="6" s="1"/>
  <c r="AI931" i="6"/>
  <c r="S931" i="6"/>
  <c r="R931" i="6" s="1"/>
  <c r="AI935" i="6"/>
  <c r="S935" i="6"/>
  <c r="R935" i="6" s="1"/>
  <c r="Q939" i="6"/>
  <c r="AF939" i="6" s="1"/>
  <c r="AH939" i="6" s="1"/>
  <c r="AJ939" i="6" s="1"/>
  <c r="S939" i="6"/>
  <c r="R939" i="6" s="1"/>
  <c r="AJ948" i="6"/>
  <c r="AJ956" i="6"/>
  <c r="AF960" i="6"/>
  <c r="AH960" i="6" s="1"/>
  <c r="AJ960" i="6" s="1"/>
  <c r="AJ968" i="6"/>
  <c r="AF984" i="6"/>
  <c r="AH984" i="6" s="1"/>
  <c r="AJ984" i="6" s="1"/>
  <c r="AF1000" i="6"/>
  <c r="AH1000" i="6" s="1"/>
  <c r="AJ1000" i="6" s="1"/>
  <c r="AI914" i="6"/>
  <c r="S914" i="6"/>
  <c r="R914" i="6" s="1"/>
  <c r="AI918" i="6"/>
  <c r="S918" i="6"/>
  <c r="R918" i="6" s="1"/>
  <c r="AI922" i="6"/>
  <c r="S922" i="6"/>
  <c r="R922" i="6" s="1"/>
  <c r="AI926" i="6"/>
  <c r="S926" i="6"/>
  <c r="R926" i="6" s="1"/>
  <c r="AI930" i="6"/>
  <c r="S930" i="6"/>
  <c r="R930" i="6" s="1"/>
  <c r="AI934" i="6"/>
  <c r="S934" i="6"/>
  <c r="R934" i="6" s="1"/>
  <c r="AI938" i="6"/>
  <c r="S938" i="6"/>
  <c r="R938" i="6" s="1"/>
  <c r="AJ972" i="6"/>
  <c r="AF988" i="6"/>
  <c r="AH988" i="6" s="1"/>
  <c r="AJ988" i="6" s="1"/>
  <c r="AI917" i="6"/>
  <c r="S917" i="6"/>
  <c r="R917" i="6" s="1"/>
  <c r="AI921" i="6"/>
  <c r="S921" i="6"/>
  <c r="R921" i="6" s="1"/>
  <c r="AI925" i="6"/>
  <c r="S925" i="6"/>
  <c r="R925" i="6" s="1"/>
  <c r="AI929" i="6"/>
  <c r="S929" i="6"/>
  <c r="R929" i="6" s="1"/>
  <c r="AI933" i="6"/>
  <c r="S933" i="6"/>
  <c r="R933" i="6" s="1"/>
  <c r="AI937" i="6"/>
  <c r="S937" i="6"/>
  <c r="R937" i="6" s="1"/>
  <c r="AJ944" i="6"/>
  <c r="AJ952" i="6"/>
  <c r="AF992" i="6"/>
  <c r="AH992" i="6" s="1"/>
  <c r="AJ992" i="6" s="1"/>
  <c r="AF1003" i="6"/>
  <c r="AH1003" i="6" s="1"/>
  <c r="AJ1003" i="6" s="1"/>
  <c r="Q943" i="6"/>
  <c r="AF943" i="6" s="1"/>
  <c r="AH943" i="6" s="1"/>
  <c r="AJ943" i="6" s="1"/>
  <c r="S943" i="6"/>
  <c r="R943" i="6" s="1"/>
  <c r="Q947" i="6"/>
  <c r="S947" i="6"/>
  <c r="R947" i="6" s="1"/>
  <c r="Q951" i="6"/>
  <c r="AF951" i="6" s="1"/>
  <c r="AH951" i="6" s="1"/>
  <c r="AJ951" i="6" s="1"/>
  <c r="S951" i="6"/>
  <c r="R951" i="6" s="1"/>
  <c r="Q955" i="6"/>
  <c r="S955" i="6"/>
  <c r="R955" i="6" s="1"/>
  <c r="Q959" i="6"/>
  <c r="AF959" i="6" s="1"/>
  <c r="AH959" i="6" s="1"/>
  <c r="AJ959" i="6" s="1"/>
  <c r="S959" i="6"/>
  <c r="R959" i="6" s="1"/>
  <c r="Q963" i="6"/>
  <c r="S963" i="6"/>
  <c r="R963" i="6" s="1"/>
  <c r="Q967" i="6"/>
  <c r="AF967" i="6" s="1"/>
  <c r="AH967" i="6" s="1"/>
  <c r="S967" i="6"/>
  <c r="R967" i="6" s="1"/>
  <c r="Q971" i="6"/>
  <c r="S971" i="6"/>
  <c r="R971" i="6" s="1"/>
  <c r="Q975" i="6"/>
  <c r="AF975" i="6" s="1"/>
  <c r="AH975" i="6" s="1"/>
  <c r="S975" i="6"/>
  <c r="R975" i="6" s="1"/>
  <c r="Q979" i="6"/>
  <c r="S979" i="6"/>
  <c r="R979" i="6" s="1"/>
  <c r="Q983" i="6"/>
  <c r="AF983" i="6" s="1"/>
  <c r="AH983" i="6" s="1"/>
  <c r="S983" i="6"/>
  <c r="R983" i="6" s="1"/>
  <c r="Q987" i="6"/>
  <c r="S987" i="6"/>
  <c r="R987" i="6" s="1"/>
  <c r="Q991" i="6"/>
  <c r="AF991" i="6" s="1"/>
  <c r="AH991" i="6" s="1"/>
  <c r="S991" i="6"/>
  <c r="R991" i="6" s="1"/>
  <c r="Q995" i="6"/>
  <c r="S995" i="6"/>
  <c r="R995" i="6" s="1"/>
  <c r="Q999" i="6"/>
  <c r="AF999" i="6" s="1"/>
  <c r="AH999" i="6" s="1"/>
  <c r="S999" i="6"/>
  <c r="R999" i="6" s="1"/>
  <c r="AF1026" i="6"/>
  <c r="AH1026" i="6" s="1"/>
  <c r="AJ1026" i="6" s="1"/>
  <c r="R1026" i="6"/>
  <c r="AF1030" i="6"/>
  <c r="AH1030" i="6" s="1"/>
  <c r="AJ1030" i="6" s="1"/>
  <c r="R1030" i="6"/>
  <c r="R956" i="6"/>
  <c r="R960" i="6"/>
  <c r="AI963" i="6"/>
  <c r="R964" i="6"/>
  <c r="AI967" i="6"/>
  <c r="R968" i="6"/>
  <c r="AI971" i="6"/>
  <c r="R972" i="6"/>
  <c r="AI975" i="6"/>
  <c r="R976" i="6"/>
  <c r="AI979" i="6"/>
  <c r="R980" i="6"/>
  <c r="AI983" i="6"/>
  <c r="R984" i="6"/>
  <c r="AI987" i="6"/>
  <c r="R988" i="6"/>
  <c r="AI991" i="6"/>
  <c r="R992" i="6"/>
  <c r="AI995" i="6"/>
  <c r="R996" i="6"/>
  <c r="AI999" i="6"/>
  <c r="R1000" i="6"/>
  <c r="S1044" i="6"/>
  <c r="R1044" i="6" s="1"/>
  <c r="Q1044" i="6"/>
  <c r="Q941" i="6"/>
  <c r="S941" i="6"/>
  <c r="R941" i="6" s="1"/>
  <c r="Q945" i="6"/>
  <c r="AF945" i="6" s="1"/>
  <c r="AH945" i="6" s="1"/>
  <c r="AJ945" i="6" s="1"/>
  <c r="S945" i="6"/>
  <c r="R945" i="6" s="1"/>
  <c r="Q949" i="6"/>
  <c r="S949" i="6"/>
  <c r="R949" i="6" s="1"/>
  <c r="Q953" i="6"/>
  <c r="AF953" i="6" s="1"/>
  <c r="AH953" i="6" s="1"/>
  <c r="AJ953" i="6" s="1"/>
  <c r="S953" i="6"/>
  <c r="R953" i="6" s="1"/>
  <c r="Q957" i="6"/>
  <c r="S957" i="6"/>
  <c r="R957" i="6" s="1"/>
  <c r="Q961" i="6"/>
  <c r="AF961" i="6" s="1"/>
  <c r="AH961" i="6" s="1"/>
  <c r="AJ961" i="6" s="1"/>
  <c r="S961" i="6"/>
  <c r="R961" i="6" s="1"/>
  <c r="Q965" i="6"/>
  <c r="S965" i="6"/>
  <c r="R965" i="6" s="1"/>
  <c r="Q969" i="6"/>
  <c r="AF969" i="6" s="1"/>
  <c r="AH969" i="6" s="1"/>
  <c r="AJ969" i="6" s="1"/>
  <c r="S969" i="6"/>
  <c r="R969" i="6" s="1"/>
  <c r="Q973" i="6"/>
  <c r="S973" i="6"/>
  <c r="R973" i="6" s="1"/>
  <c r="Q977" i="6"/>
  <c r="AF977" i="6" s="1"/>
  <c r="AH977" i="6" s="1"/>
  <c r="AJ977" i="6" s="1"/>
  <c r="S977" i="6"/>
  <c r="R977" i="6" s="1"/>
  <c r="Q981" i="6"/>
  <c r="S981" i="6"/>
  <c r="R981" i="6" s="1"/>
  <c r="Q985" i="6"/>
  <c r="AF985" i="6" s="1"/>
  <c r="AH985" i="6" s="1"/>
  <c r="AJ985" i="6" s="1"/>
  <c r="S985" i="6"/>
  <c r="R985" i="6" s="1"/>
  <c r="Q989" i="6"/>
  <c r="S989" i="6"/>
  <c r="R989" i="6" s="1"/>
  <c r="Q993" i="6"/>
  <c r="AF993" i="6" s="1"/>
  <c r="AH993" i="6" s="1"/>
  <c r="AJ993" i="6" s="1"/>
  <c r="S993" i="6"/>
  <c r="R993" i="6" s="1"/>
  <c r="Q997" i="6"/>
  <c r="S997" i="6"/>
  <c r="R997" i="6" s="1"/>
  <c r="Q1001" i="6"/>
  <c r="AF1001" i="6" s="1"/>
  <c r="AH1001" i="6" s="1"/>
  <c r="AJ1001" i="6" s="1"/>
  <c r="S1001" i="6"/>
  <c r="R1001" i="6" s="1"/>
  <c r="Q1005" i="6"/>
  <c r="S1005" i="6"/>
  <c r="R1005" i="6" s="1"/>
  <c r="Q1009" i="6"/>
  <c r="AF1009" i="6" s="1"/>
  <c r="AH1009" i="6" s="1"/>
  <c r="S1009" i="6"/>
  <c r="R1009" i="6" s="1"/>
  <c r="Q1013" i="6"/>
  <c r="S1013" i="6"/>
  <c r="R1013" i="6" s="1"/>
  <c r="Q1017" i="6"/>
  <c r="AF1017" i="6" s="1"/>
  <c r="AH1017" i="6" s="1"/>
  <c r="S1017" i="6"/>
  <c r="R1017" i="6" s="1"/>
  <c r="Q1021" i="6"/>
  <c r="S1021" i="6"/>
  <c r="R1021" i="6" s="1"/>
  <c r="Q1025" i="6"/>
  <c r="AF1025" i="6" s="1"/>
  <c r="AH1025" i="6" s="1"/>
  <c r="S1025" i="6"/>
  <c r="R1025" i="6" s="1"/>
  <c r="AI1025" i="6"/>
  <c r="S1036" i="6"/>
  <c r="R1036" i="6" s="1"/>
  <c r="Q1036" i="6"/>
  <c r="AF1039" i="6"/>
  <c r="AI1005" i="6"/>
  <c r="AI1009" i="6"/>
  <c r="AI1013" i="6"/>
  <c r="AI1017" i="6"/>
  <c r="AI1021" i="6"/>
  <c r="Q1029" i="6"/>
  <c r="AF1029" i="6" s="1"/>
  <c r="AH1029" i="6" s="1"/>
  <c r="AJ1029" i="6" s="1"/>
  <c r="S1029" i="6"/>
  <c r="R1029" i="6" s="1"/>
  <c r="Q1033" i="6"/>
  <c r="AI1033" i="6"/>
  <c r="S1033" i="6"/>
  <c r="R1033" i="6" s="1"/>
  <c r="S1042" i="6"/>
  <c r="R1042" i="6" s="1"/>
  <c r="Q1042" i="6"/>
  <c r="S1003" i="6"/>
  <c r="R1003" i="6" s="1"/>
  <c r="Q1007" i="6"/>
  <c r="AF1007" i="6" s="1"/>
  <c r="AH1007" i="6" s="1"/>
  <c r="AJ1007" i="6" s="1"/>
  <c r="S1007" i="6"/>
  <c r="R1007" i="6" s="1"/>
  <c r="Q1011" i="6"/>
  <c r="S1011" i="6"/>
  <c r="R1011" i="6" s="1"/>
  <c r="Q1015" i="6"/>
  <c r="AF1015" i="6" s="1"/>
  <c r="AH1015" i="6" s="1"/>
  <c r="AJ1015" i="6" s="1"/>
  <c r="S1015" i="6"/>
  <c r="R1015" i="6" s="1"/>
  <c r="Q1019" i="6"/>
  <c r="S1019" i="6"/>
  <c r="R1019" i="6" s="1"/>
  <c r="Q1023" i="6"/>
  <c r="AF1023" i="6" s="1"/>
  <c r="AH1023" i="6" s="1"/>
  <c r="AJ1023" i="6" s="1"/>
  <c r="S1023" i="6"/>
  <c r="R1023" i="6" s="1"/>
  <c r="AF1045" i="6"/>
  <c r="Q1046" i="6"/>
  <c r="AF1046" i="6" s="1"/>
  <c r="AF1035" i="6"/>
  <c r="AF1043" i="6"/>
  <c r="AF1041" i="6"/>
  <c r="AJ481" i="6" l="1"/>
  <c r="AJ560" i="6"/>
  <c r="AJ561" i="6"/>
  <c r="AJ533" i="6"/>
  <c r="AJ319" i="6"/>
  <c r="AJ315" i="6"/>
  <c r="AJ311" i="6"/>
  <c r="AJ307" i="6"/>
  <c r="AJ303" i="6"/>
  <c r="AJ299" i="6"/>
  <c r="AJ295" i="6"/>
  <c r="AJ291" i="6"/>
  <c r="AJ287" i="6"/>
  <c r="AJ283" i="6"/>
  <c r="AJ279" i="6"/>
  <c r="AJ275" i="6"/>
  <c r="AJ271" i="6"/>
  <c r="AJ267" i="6"/>
  <c r="AJ263" i="6"/>
  <c r="AJ259" i="6"/>
  <c r="AJ255" i="6"/>
  <c r="AJ251" i="6"/>
  <c r="AJ247" i="6"/>
  <c r="AJ243" i="6"/>
  <c r="AJ239" i="6"/>
  <c r="AJ799" i="6"/>
  <c r="AJ771" i="6"/>
  <c r="AJ490" i="6"/>
  <c r="AJ513" i="6"/>
  <c r="AJ497" i="6"/>
  <c r="AJ485" i="6"/>
  <c r="AJ519" i="6"/>
  <c r="AJ837" i="6"/>
  <c r="AJ829" i="6"/>
  <c r="AJ821" i="6"/>
  <c r="AJ813" i="6"/>
  <c r="AJ817" i="6"/>
  <c r="AJ872" i="6"/>
  <c r="AJ824" i="6"/>
  <c r="AJ617" i="6"/>
  <c r="AJ605" i="6"/>
  <c r="AJ589" i="6"/>
  <c r="AJ547" i="6"/>
  <c r="AJ559" i="6"/>
  <c r="AJ543" i="6"/>
  <c r="AJ527" i="6"/>
  <c r="AJ510" i="6"/>
  <c r="AJ494" i="6"/>
  <c r="AJ503" i="6"/>
  <c r="AJ410" i="6"/>
  <c r="AJ432" i="6"/>
  <c r="AJ1017" i="6"/>
  <c r="AJ564" i="6"/>
  <c r="AJ569" i="6"/>
  <c r="AJ521" i="6"/>
  <c r="AJ505" i="6"/>
  <c r="AJ518" i="6"/>
  <c r="AJ502" i="6"/>
  <c r="AJ511" i="6"/>
  <c r="AJ495" i="6"/>
  <c r="H7" i="6"/>
  <c r="AJ843" i="6"/>
  <c r="AJ835" i="6"/>
  <c r="AJ831" i="6"/>
  <c r="AJ823" i="6"/>
  <c r="AJ819" i="6"/>
  <c r="AJ815" i="6"/>
  <c r="AJ842" i="6"/>
  <c r="AJ839" i="6"/>
  <c r="AJ827" i="6"/>
  <c r="AJ822" i="6"/>
  <c r="AJ820" i="6"/>
  <c r="AJ803" i="6"/>
  <c r="AJ795" i="6"/>
  <c r="AJ688" i="6"/>
  <c r="AJ549" i="6"/>
  <c r="AJ478" i="6"/>
  <c r="AJ487" i="6"/>
  <c r="AJ833" i="6"/>
  <c r="AJ796" i="6"/>
  <c r="AJ792" i="6"/>
  <c r="AJ555" i="6"/>
  <c r="AJ337" i="6"/>
  <c r="AJ331" i="6"/>
  <c r="AJ341" i="6"/>
  <c r="AJ325" i="6"/>
  <c r="AJ901" i="6"/>
  <c r="AJ885" i="6"/>
  <c r="AJ916" i="6"/>
  <c r="AJ874" i="6"/>
  <c r="AJ656" i="6"/>
  <c r="AJ648" i="6"/>
  <c r="AJ640" i="6"/>
  <c r="AJ632" i="6"/>
  <c r="AJ609" i="6"/>
  <c r="AJ593" i="6"/>
  <c r="AJ568" i="6"/>
  <c r="Q9" i="6"/>
  <c r="AJ343" i="6"/>
  <c r="M9" i="6"/>
  <c r="Q8" i="6" s="1"/>
  <c r="AJ930" i="6"/>
  <c r="AJ897" i="6"/>
  <c r="AJ915" i="6"/>
  <c r="AJ911" i="6"/>
  <c r="AJ903" i="6"/>
  <c r="AJ887" i="6"/>
  <c r="AJ936" i="6"/>
  <c r="AJ841" i="6"/>
  <c r="AJ879" i="6"/>
  <c r="AJ848" i="6"/>
  <c r="AJ773" i="6"/>
  <c r="AJ601" i="6"/>
  <c r="AJ581" i="6"/>
  <c r="AJ566" i="6"/>
  <c r="AJ616" i="6"/>
  <c r="AJ614" i="6"/>
  <c r="AJ606" i="6"/>
  <c r="AJ598" i="6"/>
  <c r="AJ570" i="6"/>
  <c r="AJ565" i="6"/>
  <c r="AJ539" i="6"/>
  <c r="AJ567" i="6"/>
  <c r="AJ517" i="6"/>
  <c r="AJ501" i="6"/>
  <c r="AJ553" i="6"/>
  <c r="AJ537" i="6"/>
  <c r="AJ514" i="6"/>
  <c r="AJ498" i="6"/>
  <c r="AJ523" i="6"/>
  <c r="AJ507" i="6"/>
  <c r="AJ484" i="6"/>
  <c r="AJ476" i="6"/>
  <c r="AJ426" i="6"/>
  <c r="AJ436" i="6"/>
  <c r="AJ332" i="6"/>
  <c r="AJ342" i="6"/>
  <c r="AJ938" i="6"/>
  <c r="AJ902" i="6"/>
  <c r="AJ785" i="6"/>
  <c r="AJ690" i="6"/>
  <c r="AJ613" i="6"/>
  <c r="AJ597" i="6"/>
  <c r="AJ573" i="6"/>
  <c r="AJ586" i="6"/>
  <c r="AJ925" i="6"/>
  <c r="AJ825" i="6"/>
  <c r="AJ828" i="6"/>
  <c r="AJ818" i="6"/>
  <c r="AJ777" i="6"/>
  <c r="AJ781" i="6"/>
  <c r="AJ767" i="6"/>
  <c r="AJ680" i="6"/>
  <c r="AJ672" i="6"/>
  <c r="AJ668" i="6"/>
  <c r="AJ664" i="6"/>
  <c r="AJ660" i="6"/>
  <c r="AJ652" i="6"/>
  <c r="AJ644" i="6"/>
  <c r="AJ636" i="6"/>
  <c r="AJ610" i="6"/>
  <c r="AJ602" i="6"/>
  <c r="AJ594" i="6"/>
  <c r="AJ562" i="6"/>
  <c r="AJ531" i="6"/>
  <c r="AJ578" i="6"/>
  <c r="AJ489" i="6"/>
  <c r="AJ525" i="6"/>
  <c r="AJ509" i="6"/>
  <c r="AJ493" i="6"/>
  <c r="AJ522" i="6"/>
  <c r="AJ506" i="6"/>
  <c r="AJ515" i="6"/>
  <c r="AJ499" i="6"/>
  <c r="AJ312" i="6"/>
  <c r="AJ308" i="6"/>
  <c r="AJ304" i="6"/>
  <c r="AJ300" i="6"/>
  <c r="AJ296" i="6"/>
  <c r="AJ292" i="6"/>
  <c r="AJ288" i="6"/>
  <c r="AJ284" i="6"/>
  <c r="AJ280" i="6"/>
  <c r="AJ276" i="6"/>
  <c r="AJ272" i="6"/>
  <c r="AJ268" i="6"/>
  <c r="AJ264" i="6"/>
  <c r="AJ260" i="6"/>
  <c r="AJ256" i="6"/>
  <c r="AJ252" i="6"/>
  <c r="AJ248" i="6"/>
  <c r="AJ244" i="6"/>
  <c r="AJ240" i="6"/>
  <c r="AJ924" i="6"/>
  <c r="AJ917" i="6"/>
  <c r="AJ907" i="6"/>
  <c r="AJ891" i="6"/>
  <c r="AJ845" i="6"/>
  <c r="AJ860" i="6"/>
  <c r="AJ886" i="6"/>
  <c r="AJ789" i="6"/>
  <c r="AJ797" i="6"/>
  <c r="AF1036" i="6"/>
  <c r="AJ1025" i="6"/>
  <c r="AJ1009" i="6"/>
  <c r="AJ999" i="6"/>
  <c r="AJ991" i="6"/>
  <c r="AJ983" i="6"/>
  <c r="AJ975" i="6"/>
  <c r="AJ967" i="6"/>
  <c r="AJ931" i="6"/>
  <c r="AF922" i="6"/>
  <c r="AH922" i="6" s="1"/>
  <c r="AJ922" i="6" s="1"/>
  <c r="AF905" i="6"/>
  <c r="AH905" i="6" s="1"/>
  <c r="AJ905" i="6" s="1"/>
  <c r="AF889" i="6"/>
  <c r="AH889" i="6" s="1"/>
  <c r="AJ889" i="6" s="1"/>
  <c r="AF912" i="6"/>
  <c r="AH912" i="6" s="1"/>
  <c r="AJ912" i="6" s="1"/>
  <c r="AF866" i="6"/>
  <c r="AH866" i="6" s="1"/>
  <c r="AJ866" i="6" s="1"/>
  <c r="AF855" i="6"/>
  <c r="AH855" i="6" s="1"/>
  <c r="AJ855" i="6" s="1"/>
  <c r="AF927" i="6"/>
  <c r="AH927" i="6" s="1"/>
  <c r="AJ927" i="6" s="1"/>
  <c r="AF918" i="6"/>
  <c r="AH918" i="6" s="1"/>
  <c r="AJ918" i="6" s="1"/>
  <c r="AF895" i="6"/>
  <c r="AH895" i="6" s="1"/>
  <c r="AJ895" i="6" s="1"/>
  <c r="AF875" i="6"/>
  <c r="AH875" i="6" s="1"/>
  <c r="AJ875" i="6" s="1"/>
  <c r="AF867" i="6"/>
  <c r="AH867" i="6" s="1"/>
  <c r="AJ867" i="6" s="1"/>
  <c r="AF859" i="6"/>
  <c r="AH859" i="6" s="1"/>
  <c r="AJ859" i="6" s="1"/>
  <c r="AJ856" i="6"/>
  <c r="AF920" i="6"/>
  <c r="AH920" i="6" s="1"/>
  <c r="AJ920" i="6" s="1"/>
  <c r="AF904" i="6"/>
  <c r="AH904" i="6" s="1"/>
  <c r="AJ904" i="6" s="1"/>
  <c r="AF888" i="6"/>
  <c r="AH888" i="6" s="1"/>
  <c r="AJ888" i="6" s="1"/>
  <c r="AF864" i="6"/>
  <c r="AH864" i="6" s="1"/>
  <c r="AJ864" i="6" s="1"/>
  <c r="AF854" i="6"/>
  <c r="AH854" i="6" s="1"/>
  <c r="AJ854" i="6" s="1"/>
  <c r="AF853" i="6"/>
  <c r="AH853" i="6" s="1"/>
  <c r="AJ853" i="6" s="1"/>
  <c r="AF928" i="6"/>
  <c r="AH928" i="6" s="1"/>
  <c r="AJ928" i="6" s="1"/>
  <c r="AF906" i="6"/>
  <c r="AH906" i="6" s="1"/>
  <c r="AJ906" i="6" s="1"/>
  <c r="AF890" i="6"/>
  <c r="AH890" i="6" s="1"/>
  <c r="AJ890" i="6" s="1"/>
  <c r="AF876" i="6"/>
  <c r="AH876" i="6" s="1"/>
  <c r="AJ876" i="6" s="1"/>
  <c r="AF840" i="6"/>
  <c r="AH840" i="6" s="1"/>
  <c r="AJ840" i="6" s="1"/>
  <c r="AF838" i="6"/>
  <c r="AH838" i="6" s="1"/>
  <c r="AJ838" i="6" s="1"/>
  <c r="AJ793" i="6"/>
  <c r="AF844" i="6"/>
  <c r="AH844" i="6" s="1"/>
  <c r="AJ844" i="6" s="1"/>
  <c r="AF834" i="6"/>
  <c r="AH834" i="6" s="1"/>
  <c r="AJ834" i="6" s="1"/>
  <c r="AF804" i="6"/>
  <c r="AH804" i="6" s="1"/>
  <c r="AJ804" i="6" s="1"/>
  <c r="AF805" i="6"/>
  <c r="AH805" i="6" s="1"/>
  <c r="AJ805" i="6" s="1"/>
  <c r="AF761" i="6"/>
  <c r="AH761" i="6" s="1"/>
  <c r="AJ761" i="6" s="1"/>
  <c r="AF757" i="6"/>
  <c r="AH757" i="6" s="1"/>
  <c r="AJ757" i="6" s="1"/>
  <c r="AF753" i="6"/>
  <c r="AH753" i="6" s="1"/>
  <c r="AJ753" i="6" s="1"/>
  <c r="AF749" i="6"/>
  <c r="AH749" i="6" s="1"/>
  <c r="AJ749" i="6" s="1"/>
  <c r="AF745" i="6"/>
  <c r="AH745" i="6" s="1"/>
  <c r="AJ745" i="6" s="1"/>
  <c r="AF741" i="6"/>
  <c r="AH741" i="6" s="1"/>
  <c r="AJ741" i="6" s="1"/>
  <c r="AF769" i="6"/>
  <c r="AH769" i="6" s="1"/>
  <c r="AJ769" i="6" s="1"/>
  <c r="AF765" i="6"/>
  <c r="AH765" i="6" s="1"/>
  <c r="AJ765" i="6" s="1"/>
  <c r="AF787" i="6"/>
  <c r="AH787" i="6" s="1"/>
  <c r="AJ787" i="6" s="1"/>
  <c r="AF783" i="6"/>
  <c r="AH783" i="6" s="1"/>
  <c r="AJ783" i="6" s="1"/>
  <c r="AF779" i="6"/>
  <c r="AH779" i="6" s="1"/>
  <c r="AJ779" i="6" s="1"/>
  <c r="AF775" i="6"/>
  <c r="AH775" i="6" s="1"/>
  <c r="AJ775" i="6" s="1"/>
  <c r="AF768" i="6"/>
  <c r="AH768" i="6" s="1"/>
  <c r="AJ768" i="6" s="1"/>
  <c r="AF618" i="6"/>
  <c r="AH618" i="6" s="1"/>
  <c r="AJ618" i="6" s="1"/>
  <c r="AF615" i="6"/>
  <c r="AH615" i="6" s="1"/>
  <c r="AJ615" i="6" s="1"/>
  <c r="AF611" i="6"/>
  <c r="AH611" i="6" s="1"/>
  <c r="AJ611" i="6" s="1"/>
  <c r="AF607" i="6"/>
  <c r="AH607" i="6" s="1"/>
  <c r="AJ607" i="6" s="1"/>
  <c r="AF603" i="6"/>
  <c r="AH603" i="6" s="1"/>
  <c r="AJ603" i="6" s="1"/>
  <c r="AF599" i="6"/>
  <c r="AH599" i="6" s="1"/>
  <c r="AJ599" i="6" s="1"/>
  <c r="AF595" i="6"/>
  <c r="AH595" i="6" s="1"/>
  <c r="AJ595" i="6" s="1"/>
  <c r="AF591" i="6"/>
  <c r="AH591" i="6" s="1"/>
  <c r="AJ591" i="6" s="1"/>
  <c r="AF590" i="6"/>
  <c r="AH590" i="6" s="1"/>
  <c r="AJ590" i="6" s="1"/>
  <c r="AF582" i="6"/>
  <c r="AH582" i="6" s="1"/>
  <c r="AJ582" i="6" s="1"/>
  <c r="AF574" i="6"/>
  <c r="AH574" i="6" s="1"/>
  <c r="AJ574" i="6" s="1"/>
  <c r="AF556" i="6"/>
  <c r="AH556" i="6" s="1"/>
  <c r="AJ556" i="6" s="1"/>
  <c r="AF551" i="6"/>
  <c r="AH551" i="6" s="1"/>
  <c r="AJ551" i="6" s="1"/>
  <c r="AF540" i="6"/>
  <c r="AH540" i="6" s="1"/>
  <c r="AJ540" i="6" s="1"/>
  <c r="AF535" i="6"/>
  <c r="AH535" i="6" s="1"/>
  <c r="AJ535" i="6" s="1"/>
  <c r="AF524" i="6"/>
  <c r="AH524" i="6" s="1"/>
  <c r="AJ524" i="6" s="1"/>
  <c r="AF520" i="6"/>
  <c r="AH520" i="6" s="1"/>
  <c r="AJ520" i="6" s="1"/>
  <c r="AF516" i="6"/>
  <c r="AH516" i="6" s="1"/>
  <c r="AJ516" i="6" s="1"/>
  <c r="AF512" i="6"/>
  <c r="AH512" i="6" s="1"/>
  <c r="AJ512" i="6" s="1"/>
  <c r="AF508" i="6"/>
  <c r="AH508" i="6" s="1"/>
  <c r="AJ508" i="6" s="1"/>
  <c r="AF504" i="6"/>
  <c r="AH504" i="6" s="1"/>
  <c r="AJ504" i="6" s="1"/>
  <c r="AF500" i="6"/>
  <c r="AH500" i="6" s="1"/>
  <c r="AJ500" i="6" s="1"/>
  <c r="AF496" i="6"/>
  <c r="AH496" i="6" s="1"/>
  <c r="AJ496" i="6" s="1"/>
  <c r="AF492" i="6"/>
  <c r="AH492" i="6" s="1"/>
  <c r="AJ492" i="6" s="1"/>
  <c r="AF488" i="6"/>
  <c r="AH488" i="6" s="1"/>
  <c r="AJ488" i="6" s="1"/>
  <c r="AF583" i="6"/>
  <c r="AH583" i="6" s="1"/>
  <c r="AJ583" i="6" s="1"/>
  <c r="AF575" i="6"/>
  <c r="AH575" i="6" s="1"/>
  <c r="AJ575" i="6" s="1"/>
  <c r="AF563" i="6"/>
  <c r="AH563" i="6" s="1"/>
  <c r="AJ563" i="6" s="1"/>
  <c r="AF550" i="6"/>
  <c r="AH550" i="6" s="1"/>
  <c r="AJ550" i="6" s="1"/>
  <c r="AF545" i="6"/>
  <c r="AH545" i="6" s="1"/>
  <c r="AJ545" i="6" s="1"/>
  <c r="AF534" i="6"/>
  <c r="AH534" i="6" s="1"/>
  <c r="AJ534" i="6" s="1"/>
  <c r="AF529" i="6"/>
  <c r="AH529" i="6" s="1"/>
  <c r="AJ529" i="6" s="1"/>
  <c r="AF482" i="6"/>
  <c r="AH482" i="6" s="1"/>
  <c r="AJ482" i="6" s="1"/>
  <c r="AF474" i="6"/>
  <c r="AH474" i="6" s="1"/>
  <c r="AJ474" i="6" s="1"/>
  <c r="AF468" i="6"/>
  <c r="AH468" i="6" s="1"/>
  <c r="AJ468" i="6" s="1"/>
  <c r="AF460" i="6"/>
  <c r="AH460" i="6" s="1"/>
  <c r="AJ460" i="6" s="1"/>
  <c r="AF452" i="6"/>
  <c r="AH452" i="6" s="1"/>
  <c r="AJ452" i="6" s="1"/>
  <c r="AF444" i="6"/>
  <c r="AH444" i="6" s="1"/>
  <c r="AJ444" i="6" s="1"/>
  <c r="AF434" i="6"/>
  <c r="AH434" i="6" s="1"/>
  <c r="AJ434" i="6" s="1"/>
  <c r="AF483" i="6"/>
  <c r="AH483" i="6" s="1"/>
  <c r="AJ483" i="6" s="1"/>
  <c r="AF420" i="6"/>
  <c r="AH420" i="6" s="1"/>
  <c r="AJ420" i="6" s="1"/>
  <c r="AJ411" i="6"/>
  <c r="AJ392" i="6"/>
  <c r="AF424" i="6"/>
  <c r="AH424" i="6" s="1"/>
  <c r="AJ424" i="6" s="1"/>
  <c r="AJ401" i="6"/>
  <c r="V70" i="6"/>
  <c r="AN70" i="6" s="1"/>
  <c r="X70" i="6"/>
  <c r="AF70" i="6"/>
  <c r="AF338" i="6"/>
  <c r="AH338" i="6" s="1"/>
  <c r="AJ338" i="6" s="1"/>
  <c r="AF322" i="6"/>
  <c r="AH322" i="6" s="1"/>
  <c r="AJ322" i="6" s="1"/>
  <c r="AF318" i="6"/>
  <c r="AH318" i="6" s="1"/>
  <c r="AJ318" i="6" s="1"/>
  <c r="AF314" i="6"/>
  <c r="AH314" i="6" s="1"/>
  <c r="AJ314" i="6" s="1"/>
  <c r="AF310" i="6"/>
  <c r="AH310" i="6" s="1"/>
  <c r="AJ310" i="6" s="1"/>
  <c r="AF306" i="6"/>
  <c r="AH306" i="6" s="1"/>
  <c r="AJ306" i="6" s="1"/>
  <c r="AF302" i="6"/>
  <c r="AH302" i="6" s="1"/>
  <c r="AJ302" i="6" s="1"/>
  <c r="AF298" i="6"/>
  <c r="AH298" i="6" s="1"/>
  <c r="AJ298" i="6" s="1"/>
  <c r="AF294" i="6"/>
  <c r="AH294" i="6" s="1"/>
  <c r="AJ294" i="6" s="1"/>
  <c r="AF290" i="6"/>
  <c r="AH290" i="6" s="1"/>
  <c r="AJ290" i="6" s="1"/>
  <c r="AF286" i="6"/>
  <c r="AH286" i="6" s="1"/>
  <c r="AJ286" i="6" s="1"/>
  <c r="AF282" i="6"/>
  <c r="AH282" i="6" s="1"/>
  <c r="AJ282" i="6" s="1"/>
  <c r="AF278" i="6"/>
  <c r="AH278" i="6" s="1"/>
  <c r="AJ278" i="6" s="1"/>
  <c r="AF274" i="6"/>
  <c r="AH274" i="6" s="1"/>
  <c r="AJ274" i="6" s="1"/>
  <c r="AF270" i="6"/>
  <c r="AH270" i="6" s="1"/>
  <c r="AJ270" i="6" s="1"/>
  <c r="AF266" i="6"/>
  <c r="AH266" i="6" s="1"/>
  <c r="AJ266" i="6" s="1"/>
  <c r="AF262" i="6"/>
  <c r="AH262" i="6" s="1"/>
  <c r="AJ262" i="6" s="1"/>
  <c r="AF258" i="6"/>
  <c r="AH258" i="6" s="1"/>
  <c r="AJ258" i="6" s="1"/>
  <c r="AF254" i="6"/>
  <c r="AH254" i="6" s="1"/>
  <c r="AJ254" i="6" s="1"/>
  <c r="AF250" i="6"/>
  <c r="AH250" i="6" s="1"/>
  <c r="AJ250" i="6" s="1"/>
  <c r="AF246" i="6"/>
  <c r="AH246" i="6" s="1"/>
  <c r="AJ246" i="6" s="1"/>
  <c r="AF242" i="6"/>
  <c r="AH242" i="6" s="1"/>
  <c r="AJ242" i="6" s="1"/>
  <c r="AF238" i="6"/>
  <c r="AH238" i="6" s="1"/>
  <c r="AJ238" i="6" s="1"/>
  <c r="AF339" i="6"/>
  <c r="AH339" i="6" s="1"/>
  <c r="AJ339" i="6" s="1"/>
  <c r="AF323" i="6"/>
  <c r="AH323" i="6" s="1"/>
  <c r="AJ323" i="6" s="1"/>
  <c r="AJ333" i="6"/>
  <c r="AF335" i="6"/>
  <c r="AH335" i="6" s="1"/>
  <c r="AJ335" i="6" s="1"/>
  <c r="AF921" i="6"/>
  <c r="AH921" i="6" s="1"/>
  <c r="AJ921" i="6" s="1"/>
  <c r="AF935" i="6"/>
  <c r="AH935" i="6" s="1"/>
  <c r="AJ935" i="6" s="1"/>
  <c r="AF926" i="6"/>
  <c r="AH926" i="6" s="1"/>
  <c r="AJ926" i="6" s="1"/>
  <c r="AF900" i="6"/>
  <c r="AH900" i="6" s="1"/>
  <c r="AJ900" i="6" s="1"/>
  <c r="AF884" i="6"/>
  <c r="AH884" i="6" s="1"/>
  <c r="AJ884" i="6" s="1"/>
  <c r="AF913" i="6"/>
  <c r="AH913" i="6" s="1"/>
  <c r="AJ913" i="6" s="1"/>
  <c r="AF811" i="6"/>
  <c r="AH811" i="6" s="1"/>
  <c r="AJ811" i="6" s="1"/>
  <c r="AF809" i="6"/>
  <c r="AH809" i="6" s="1"/>
  <c r="AJ809" i="6" s="1"/>
  <c r="AF807" i="6"/>
  <c r="AH807" i="6" s="1"/>
  <c r="AJ807" i="6" s="1"/>
  <c r="AJ878" i="6"/>
  <c r="AF764" i="6"/>
  <c r="AH764" i="6" s="1"/>
  <c r="AJ764" i="6" s="1"/>
  <c r="AF760" i="6"/>
  <c r="AH760" i="6" s="1"/>
  <c r="AJ760" i="6" s="1"/>
  <c r="AF756" i="6"/>
  <c r="AH756" i="6" s="1"/>
  <c r="AJ756" i="6" s="1"/>
  <c r="AF752" i="6"/>
  <c r="AH752" i="6" s="1"/>
  <c r="AJ752" i="6" s="1"/>
  <c r="AF748" i="6"/>
  <c r="AH748" i="6" s="1"/>
  <c r="AJ748" i="6" s="1"/>
  <c r="AF744" i="6"/>
  <c r="AH744" i="6" s="1"/>
  <c r="AJ744" i="6" s="1"/>
  <c r="AF740" i="6"/>
  <c r="AH740" i="6" s="1"/>
  <c r="AJ740" i="6" s="1"/>
  <c r="AF791" i="6"/>
  <c r="AH791" i="6" s="1"/>
  <c r="AJ791" i="6" s="1"/>
  <c r="AF706" i="6"/>
  <c r="AH706" i="6" s="1"/>
  <c r="AJ706" i="6" s="1"/>
  <c r="AF702" i="6"/>
  <c r="AH702" i="6" s="1"/>
  <c r="AJ702" i="6" s="1"/>
  <c r="AF698" i="6"/>
  <c r="AH698" i="6" s="1"/>
  <c r="AJ698" i="6" s="1"/>
  <c r="AF694" i="6"/>
  <c r="AH694" i="6" s="1"/>
  <c r="AJ694" i="6" s="1"/>
  <c r="AF786" i="6"/>
  <c r="AH786" i="6" s="1"/>
  <c r="AJ786" i="6" s="1"/>
  <c r="AF782" i="6"/>
  <c r="AH782" i="6" s="1"/>
  <c r="AJ782" i="6" s="1"/>
  <c r="AF778" i="6"/>
  <c r="AH778" i="6" s="1"/>
  <c r="AJ778" i="6" s="1"/>
  <c r="AF774" i="6"/>
  <c r="AH774" i="6" s="1"/>
  <c r="AJ774" i="6" s="1"/>
  <c r="AF739" i="6"/>
  <c r="AH739" i="6" s="1"/>
  <c r="AJ739" i="6" s="1"/>
  <c r="AF737" i="6"/>
  <c r="AH737" i="6" s="1"/>
  <c r="AJ737" i="6" s="1"/>
  <c r="AF735" i="6"/>
  <c r="AH735" i="6" s="1"/>
  <c r="AJ735" i="6" s="1"/>
  <c r="AF733" i="6"/>
  <c r="AH733" i="6" s="1"/>
  <c r="AJ733" i="6" s="1"/>
  <c r="AF731" i="6"/>
  <c r="AH731" i="6" s="1"/>
  <c r="AJ731" i="6" s="1"/>
  <c r="AF729" i="6"/>
  <c r="AH729" i="6" s="1"/>
  <c r="AJ729" i="6" s="1"/>
  <c r="AF727" i="6"/>
  <c r="AH727" i="6" s="1"/>
  <c r="AJ727" i="6" s="1"/>
  <c r="AF725" i="6"/>
  <c r="AH725" i="6" s="1"/>
  <c r="AJ725" i="6" s="1"/>
  <c r="AF723" i="6"/>
  <c r="AH723" i="6" s="1"/>
  <c r="AJ723" i="6" s="1"/>
  <c r="AF721" i="6"/>
  <c r="AH721" i="6" s="1"/>
  <c r="AJ721" i="6" s="1"/>
  <c r="AF719" i="6"/>
  <c r="AH719" i="6" s="1"/>
  <c r="AJ719" i="6" s="1"/>
  <c r="AF717" i="6"/>
  <c r="AH717" i="6" s="1"/>
  <c r="AJ717" i="6" s="1"/>
  <c r="AF715" i="6"/>
  <c r="AH715" i="6" s="1"/>
  <c r="AJ715" i="6" s="1"/>
  <c r="AF713" i="6"/>
  <c r="AH713" i="6" s="1"/>
  <c r="AJ713" i="6" s="1"/>
  <c r="AF711" i="6"/>
  <c r="AH711" i="6" s="1"/>
  <c r="AJ711" i="6" s="1"/>
  <c r="AF709" i="6"/>
  <c r="AH709" i="6" s="1"/>
  <c r="AJ709" i="6" s="1"/>
  <c r="AF705" i="6"/>
  <c r="AH705" i="6" s="1"/>
  <c r="AJ705" i="6" s="1"/>
  <c r="AF701" i="6"/>
  <c r="AH701" i="6" s="1"/>
  <c r="AJ701" i="6" s="1"/>
  <c r="AF697" i="6"/>
  <c r="AH697" i="6" s="1"/>
  <c r="AJ697" i="6" s="1"/>
  <c r="AF693" i="6"/>
  <c r="AH693" i="6" s="1"/>
  <c r="AJ693" i="6" s="1"/>
  <c r="AJ684" i="6"/>
  <c r="AJ676" i="6"/>
  <c r="AF619" i="6"/>
  <c r="AH619" i="6" s="1"/>
  <c r="AJ619" i="6" s="1"/>
  <c r="AF588" i="6"/>
  <c r="AH588" i="6" s="1"/>
  <c r="AJ588" i="6" s="1"/>
  <c r="AF580" i="6"/>
  <c r="AH580" i="6" s="1"/>
  <c r="AJ580" i="6" s="1"/>
  <c r="AF572" i="6"/>
  <c r="AH572" i="6" s="1"/>
  <c r="AJ572" i="6" s="1"/>
  <c r="AF557" i="6"/>
  <c r="AH557" i="6" s="1"/>
  <c r="AJ557" i="6" s="1"/>
  <c r="AF546" i="6"/>
  <c r="AH546" i="6" s="1"/>
  <c r="AJ546" i="6" s="1"/>
  <c r="AF541" i="6"/>
  <c r="AH541" i="6" s="1"/>
  <c r="AJ541" i="6" s="1"/>
  <c r="AF530" i="6"/>
  <c r="AH530" i="6" s="1"/>
  <c r="AJ530" i="6" s="1"/>
  <c r="AF477" i="6"/>
  <c r="AH477" i="6" s="1"/>
  <c r="AJ477" i="6" s="1"/>
  <c r="AJ407" i="6"/>
  <c r="AF479" i="6"/>
  <c r="AH479" i="6" s="1"/>
  <c r="AJ479" i="6" s="1"/>
  <c r="AJ413" i="6"/>
  <c r="AJ397" i="6"/>
  <c r="AF326" i="6"/>
  <c r="AH326" i="6" s="1"/>
  <c r="AJ326" i="6" s="1"/>
  <c r="AF344" i="6"/>
  <c r="AH344" i="6" s="1"/>
  <c r="AJ344" i="6" s="1"/>
  <c r="AF328" i="6"/>
  <c r="AH328" i="6" s="1"/>
  <c r="AJ328" i="6" s="1"/>
  <c r="AF1013" i="6"/>
  <c r="AH1013" i="6" s="1"/>
  <c r="AJ1013" i="6" s="1"/>
  <c r="AF997" i="6"/>
  <c r="AH997" i="6" s="1"/>
  <c r="AJ997" i="6" s="1"/>
  <c r="AF973" i="6"/>
  <c r="AH973" i="6" s="1"/>
  <c r="AJ973" i="6" s="1"/>
  <c r="AF987" i="6"/>
  <c r="AH987" i="6" s="1"/>
  <c r="AJ987" i="6" s="1"/>
  <c r="AF934" i="6"/>
  <c r="AH934" i="6" s="1"/>
  <c r="AJ934" i="6" s="1"/>
  <c r="AF1027" i="6"/>
  <c r="AH1027" i="6" s="1"/>
  <c r="AJ1027" i="6" s="1"/>
  <c r="AF881" i="6"/>
  <c r="AH881" i="6" s="1"/>
  <c r="AJ881" i="6" s="1"/>
  <c r="AJ898" i="6"/>
  <c r="AF858" i="6"/>
  <c r="AH858" i="6" s="1"/>
  <c r="AJ858" i="6" s="1"/>
  <c r="AJ790" i="6"/>
  <c r="AF763" i="6"/>
  <c r="AH763" i="6" s="1"/>
  <c r="AJ763" i="6" s="1"/>
  <c r="AF759" i="6"/>
  <c r="AH759" i="6" s="1"/>
  <c r="AJ759" i="6" s="1"/>
  <c r="AF755" i="6"/>
  <c r="AH755" i="6" s="1"/>
  <c r="AJ755" i="6" s="1"/>
  <c r="AF751" i="6"/>
  <c r="AH751" i="6" s="1"/>
  <c r="AJ751" i="6" s="1"/>
  <c r="AF747" i="6"/>
  <c r="AH747" i="6" s="1"/>
  <c r="AJ747" i="6" s="1"/>
  <c r="AF743" i="6"/>
  <c r="AH743" i="6" s="1"/>
  <c r="AJ743" i="6" s="1"/>
  <c r="AF689" i="6"/>
  <c r="AH689" i="6" s="1"/>
  <c r="AJ689" i="6" s="1"/>
  <c r="AF587" i="6"/>
  <c r="AH587" i="6" s="1"/>
  <c r="AJ587" i="6" s="1"/>
  <c r="AF579" i="6"/>
  <c r="AH579" i="6" s="1"/>
  <c r="AJ579" i="6" s="1"/>
  <c r="AF571" i="6"/>
  <c r="AH571" i="6" s="1"/>
  <c r="AJ571" i="6" s="1"/>
  <c r="AF472" i="6"/>
  <c r="AH472" i="6" s="1"/>
  <c r="AJ472" i="6" s="1"/>
  <c r="AF464" i="6"/>
  <c r="AH464" i="6" s="1"/>
  <c r="AJ464" i="6" s="1"/>
  <c r="AF456" i="6"/>
  <c r="AH456" i="6" s="1"/>
  <c r="AJ456" i="6" s="1"/>
  <c r="AF448" i="6"/>
  <c r="AH448" i="6" s="1"/>
  <c r="AJ448" i="6" s="1"/>
  <c r="AF440" i="6"/>
  <c r="AH440" i="6" s="1"/>
  <c r="AJ440" i="6" s="1"/>
  <c r="AJ395" i="6"/>
  <c r="AJ409" i="6"/>
  <c r="AJ393" i="6"/>
  <c r="AJ330" i="6"/>
  <c r="AJ320" i="6"/>
  <c r="AJ316" i="6"/>
  <c r="AF327" i="6"/>
  <c r="AH327" i="6" s="1"/>
  <c r="AJ327" i="6" s="1"/>
  <c r="AF1021" i="6"/>
  <c r="AH1021" i="6" s="1"/>
  <c r="AJ1021" i="6" s="1"/>
  <c r="AF1005" i="6"/>
  <c r="AH1005" i="6" s="1"/>
  <c r="AJ1005" i="6" s="1"/>
  <c r="AF989" i="6"/>
  <c r="AH989" i="6" s="1"/>
  <c r="AJ989" i="6" s="1"/>
  <c r="AF981" i="6"/>
  <c r="AH981" i="6" s="1"/>
  <c r="AJ981" i="6" s="1"/>
  <c r="AF965" i="6"/>
  <c r="AH965" i="6" s="1"/>
  <c r="AJ965" i="6" s="1"/>
  <c r="AF957" i="6"/>
  <c r="AH957" i="6" s="1"/>
  <c r="AJ957" i="6" s="1"/>
  <c r="AF949" i="6"/>
  <c r="AH949" i="6" s="1"/>
  <c r="AJ949" i="6" s="1"/>
  <c r="AF941" i="6"/>
  <c r="AH941" i="6" s="1"/>
  <c r="AJ941" i="6" s="1"/>
  <c r="AF995" i="6"/>
  <c r="AH995" i="6" s="1"/>
  <c r="AJ995" i="6" s="1"/>
  <c r="AF979" i="6"/>
  <c r="AH979" i="6" s="1"/>
  <c r="AJ979" i="6" s="1"/>
  <c r="AF971" i="6"/>
  <c r="AH971" i="6" s="1"/>
  <c r="AJ971" i="6" s="1"/>
  <c r="AF963" i="6"/>
  <c r="AH963" i="6" s="1"/>
  <c r="AJ963" i="6" s="1"/>
  <c r="AF955" i="6"/>
  <c r="AH955" i="6" s="1"/>
  <c r="AJ955" i="6" s="1"/>
  <c r="AF947" i="6"/>
  <c r="AH947" i="6" s="1"/>
  <c r="AJ947" i="6" s="1"/>
  <c r="AF929" i="6"/>
  <c r="AH929" i="6" s="1"/>
  <c r="AJ929" i="6" s="1"/>
  <c r="AF896" i="6"/>
  <c r="AH896" i="6" s="1"/>
  <c r="AJ896" i="6" s="1"/>
  <c r="AF846" i="6"/>
  <c r="AH846" i="6" s="1"/>
  <c r="AJ846" i="6" s="1"/>
  <c r="AJ882" i="6"/>
  <c r="AF1019" i="6"/>
  <c r="AH1019" i="6" s="1"/>
  <c r="AJ1019" i="6" s="1"/>
  <c r="AF1011" i="6"/>
  <c r="AH1011" i="6" s="1"/>
  <c r="AJ1011" i="6" s="1"/>
  <c r="AF1042" i="6"/>
  <c r="AF1033" i="6"/>
  <c r="AH1033" i="6" s="1"/>
  <c r="AJ1033" i="6" s="1"/>
  <c r="AF1044" i="6"/>
  <c r="AF937" i="6"/>
  <c r="AH937" i="6" s="1"/>
  <c r="AJ937" i="6" s="1"/>
  <c r="AF923" i="6"/>
  <c r="AH923" i="6" s="1"/>
  <c r="AJ923" i="6" s="1"/>
  <c r="AF914" i="6"/>
  <c r="AH914" i="6" s="1"/>
  <c r="AJ914" i="6" s="1"/>
  <c r="AF909" i="6"/>
  <c r="AH909" i="6" s="1"/>
  <c r="AJ909" i="6" s="1"/>
  <c r="AF893" i="6"/>
  <c r="AH893" i="6" s="1"/>
  <c r="AJ893" i="6" s="1"/>
  <c r="AF932" i="6"/>
  <c r="AH932" i="6" s="1"/>
  <c r="AJ932" i="6" s="1"/>
  <c r="AF877" i="6"/>
  <c r="AH877" i="6" s="1"/>
  <c r="AJ877" i="6" s="1"/>
  <c r="AF857" i="6"/>
  <c r="AH857" i="6" s="1"/>
  <c r="AJ857" i="6" s="1"/>
  <c r="AF933" i="6"/>
  <c r="AH933" i="6" s="1"/>
  <c r="AJ933" i="6" s="1"/>
  <c r="AF919" i="6"/>
  <c r="AH919" i="6" s="1"/>
  <c r="AJ919" i="6" s="1"/>
  <c r="AF899" i="6"/>
  <c r="AH899" i="6" s="1"/>
  <c r="AJ899" i="6" s="1"/>
  <c r="AF883" i="6"/>
  <c r="AH883" i="6" s="1"/>
  <c r="AJ883" i="6" s="1"/>
  <c r="AF1031" i="6"/>
  <c r="AH1031" i="6" s="1"/>
  <c r="AJ1031" i="6" s="1"/>
  <c r="AF873" i="6"/>
  <c r="AH873" i="6" s="1"/>
  <c r="AJ873" i="6" s="1"/>
  <c r="AF849" i="6"/>
  <c r="AH849" i="6" s="1"/>
  <c r="AJ849" i="6" s="1"/>
  <c r="AF908" i="6"/>
  <c r="AH908" i="6" s="1"/>
  <c r="AJ908" i="6" s="1"/>
  <c r="AF892" i="6"/>
  <c r="AH892" i="6" s="1"/>
  <c r="AJ892" i="6" s="1"/>
  <c r="AF847" i="6"/>
  <c r="AH847" i="6" s="1"/>
  <c r="AJ847" i="6" s="1"/>
  <c r="AF868" i="6"/>
  <c r="AH868" i="6" s="1"/>
  <c r="AJ868" i="6" s="1"/>
  <c r="AF852" i="6"/>
  <c r="AH852" i="6" s="1"/>
  <c r="AJ852" i="6" s="1"/>
  <c r="AF910" i="6"/>
  <c r="AH910" i="6" s="1"/>
  <c r="AJ910" i="6" s="1"/>
  <c r="AF894" i="6"/>
  <c r="AH894" i="6" s="1"/>
  <c r="AJ894" i="6" s="1"/>
  <c r="AF880" i="6"/>
  <c r="AH880" i="6" s="1"/>
  <c r="AJ880" i="6" s="1"/>
  <c r="AF862" i="6"/>
  <c r="AH862" i="6" s="1"/>
  <c r="AJ862" i="6" s="1"/>
  <c r="AF851" i="6"/>
  <c r="AH851" i="6" s="1"/>
  <c r="AJ851" i="6" s="1"/>
  <c r="AF832" i="6"/>
  <c r="AH832" i="6" s="1"/>
  <c r="AJ832" i="6" s="1"/>
  <c r="AF830" i="6"/>
  <c r="AH830" i="6" s="1"/>
  <c r="AJ830" i="6" s="1"/>
  <c r="AF810" i="6"/>
  <c r="AH810" i="6" s="1"/>
  <c r="AJ810" i="6" s="1"/>
  <c r="AF808" i="6"/>
  <c r="AH808" i="6" s="1"/>
  <c r="AJ808" i="6" s="1"/>
  <c r="AF806" i="6"/>
  <c r="AH806" i="6" s="1"/>
  <c r="AJ806" i="6" s="1"/>
  <c r="AF802" i="6"/>
  <c r="AH802" i="6" s="1"/>
  <c r="AJ802" i="6" s="1"/>
  <c r="AJ798" i="6"/>
  <c r="AJ794" i="6"/>
  <c r="AF836" i="6"/>
  <c r="AH836" i="6" s="1"/>
  <c r="AJ836" i="6" s="1"/>
  <c r="AF826" i="6"/>
  <c r="AH826" i="6" s="1"/>
  <c r="AJ826" i="6" s="1"/>
  <c r="AF801" i="6"/>
  <c r="AH801" i="6" s="1"/>
  <c r="AJ801" i="6" s="1"/>
  <c r="AF762" i="6"/>
  <c r="AH762" i="6" s="1"/>
  <c r="AJ762" i="6" s="1"/>
  <c r="AF758" i="6"/>
  <c r="AH758" i="6" s="1"/>
  <c r="AJ758" i="6" s="1"/>
  <c r="AF754" i="6"/>
  <c r="AH754" i="6" s="1"/>
  <c r="AJ754" i="6" s="1"/>
  <c r="AF750" i="6"/>
  <c r="AH750" i="6" s="1"/>
  <c r="AJ750" i="6" s="1"/>
  <c r="AF746" i="6"/>
  <c r="AH746" i="6" s="1"/>
  <c r="AJ746" i="6" s="1"/>
  <c r="AF742" i="6"/>
  <c r="AH742" i="6" s="1"/>
  <c r="AJ742" i="6" s="1"/>
  <c r="AF770" i="6"/>
  <c r="AH770" i="6" s="1"/>
  <c r="AJ770" i="6" s="1"/>
  <c r="AF708" i="6"/>
  <c r="AH708" i="6" s="1"/>
  <c r="AJ708" i="6" s="1"/>
  <c r="AF704" i="6"/>
  <c r="AH704" i="6" s="1"/>
  <c r="AJ704" i="6" s="1"/>
  <c r="AF700" i="6"/>
  <c r="AH700" i="6" s="1"/>
  <c r="AJ700" i="6" s="1"/>
  <c r="AF696" i="6"/>
  <c r="AH696" i="6" s="1"/>
  <c r="AJ696" i="6" s="1"/>
  <c r="AF766" i="6"/>
  <c r="AH766" i="6" s="1"/>
  <c r="AJ766" i="6" s="1"/>
  <c r="AF788" i="6"/>
  <c r="AH788" i="6" s="1"/>
  <c r="AJ788" i="6" s="1"/>
  <c r="AF784" i="6"/>
  <c r="AH784" i="6" s="1"/>
  <c r="AJ784" i="6" s="1"/>
  <c r="AF780" i="6"/>
  <c r="AH780" i="6" s="1"/>
  <c r="AJ780" i="6" s="1"/>
  <c r="AF776" i="6"/>
  <c r="AH776" i="6" s="1"/>
  <c r="AJ776" i="6" s="1"/>
  <c r="AF772" i="6"/>
  <c r="AH772" i="6" s="1"/>
  <c r="AJ772" i="6" s="1"/>
  <c r="AF738" i="6"/>
  <c r="AH738" i="6" s="1"/>
  <c r="AJ738" i="6" s="1"/>
  <c r="AF736" i="6"/>
  <c r="AH736" i="6" s="1"/>
  <c r="AJ736" i="6" s="1"/>
  <c r="AF734" i="6"/>
  <c r="AH734" i="6" s="1"/>
  <c r="AJ734" i="6" s="1"/>
  <c r="AF732" i="6"/>
  <c r="AH732" i="6" s="1"/>
  <c r="AJ732" i="6" s="1"/>
  <c r="AF730" i="6"/>
  <c r="AH730" i="6" s="1"/>
  <c r="AJ730" i="6" s="1"/>
  <c r="AF728" i="6"/>
  <c r="AH728" i="6" s="1"/>
  <c r="AJ728" i="6" s="1"/>
  <c r="AF726" i="6"/>
  <c r="AH726" i="6" s="1"/>
  <c r="AJ726" i="6" s="1"/>
  <c r="AF724" i="6"/>
  <c r="AH724" i="6" s="1"/>
  <c r="AJ724" i="6" s="1"/>
  <c r="AF722" i="6"/>
  <c r="AH722" i="6" s="1"/>
  <c r="AJ722" i="6" s="1"/>
  <c r="AF720" i="6"/>
  <c r="AH720" i="6" s="1"/>
  <c r="AJ720" i="6" s="1"/>
  <c r="AF718" i="6"/>
  <c r="AH718" i="6" s="1"/>
  <c r="AJ718" i="6" s="1"/>
  <c r="AF716" i="6"/>
  <c r="AH716" i="6" s="1"/>
  <c r="AJ716" i="6" s="1"/>
  <c r="AF714" i="6"/>
  <c r="AH714" i="6" s="1"/>
  <c r="AJ714" i="6" s="1"/>
  <c r="AF712" i="6"/>
  <c r="AH712" i="6" s="1"/>
  <c r="AJ712" i="6" s="1"/>
  <c r="AF710" i="6"/>
  <c r="AH710" i="6" s="1"/>
  <c r="AJ710" i="6" s="1"/>
  <c r="AF707" i="6"/>
  <c r="AH707" i="6" s="1"/>
  <c r="AJ707" i="6" s="1"/>
  <c r="AF703" i="6"/>
  <c r="AH703" i="6" s="1"/>
  <c r="AJ703" i="6" s="1"/>
  <c r="AF699" i="6"/>
  <c r="AH699" i="6" s="1"/>
  <c r="AJ699" i="6" s="1"/>
  <c r="AF695" i="6"/>
  <c r="AH695" i="6" s="1"/>
  <c r="AJ695" i="6" s="1"/>
  <c r="AF685" i="6"/>
  <c r="AH685" i="6" s="1"/>
  <c r="AJ685" i="6" s="1"/>
  <c r="AF681" i="6"/>
  <c r="AH681" i="6" s="1"/>
  <c r="AJ681" i="6" s="1"/>
  <c r="AF677" i="6"/>
  <c r="AH677" i="6" s="1"/>
  <c r="AJ677" i="6" s="1"/>
  <c r="AF673" i="6"/>
  <c r="AH673" i="6" s="1"/>
  <c r="AJ673" i="6" s="1"/>
  <c r="AF669" i="6"/>
  <c r="AH669" i="6" s="1"/>
  <c r="AJ669" i="6" s="1"/>
  <c r="AF665" i="6"/>
  <c r="AH665" i="6" s="1"/>
  <c r="AJ665" i="6" s="1"/>
  <c r="AF661" i="6"/>
  <c r="AH661" i="6" s="1"/>
  <c r="AJ661" i="6" s="1"/>
  <c r="AF657" i="6"/>
  <c r="AH657" i="6" s="1"/>
  <c r="AJ657" i="6" s="1"/>
  <c r="AF653" i="6"/>
  <c r="AH653" i="6" s="1"/>
  <c r="AJ653" i="6" s="1"/>
  <c r="AF649" i="6"/>
  <c r="AH649" i="6" s="1"/>
  <c r="AJ649" i="6" s="1"/>
  <c r="AF645" i="6"/>
  <c r="AH645" i="6" s="1"/>
  <c r="AJ645" i="6" s="1"/>
  <c r="AF641" i="6"/>
  <c r="AH641" i="6" s="1"/>
  <c r="AJ641" i="6" s="1"/>
  <c r="AF637" i="6"/>
  <c r="AH637" i="6" s="1"/>
  <c r="AJ637" i="6" s="1"/>
  <c r="AF633" i="6"/>
  <c r="AH633" i="6" s="1"/>
  <c r="AJ633" i="6" s="1"/>
  <c r="AF629" i="6"/>
  <c r="AH629" i="6" s="1"/>
  <c r="AJ629" i="6" s="1"/>
  <c r="AF625" i="6"/>
  <c r="AH625" i="6" s="1"/>
  <c r="AJ625" i="6" s="1"/>
  <c r="AF621" i="6"/>
  <c r="AH621" i="6" s="1"/>
  <c r="AJ621" i="6" s="1"/>
  <c r="AF686" i="6"/>
  <c r="AH686" i="6" s="1"/>
  <c r="AJ686" i="6" s="1"/>
  <c r="AF682" i="6"/>
  <c r="AH682" i="6" s="1"/>
  <c r="AJ682" i="6" s="1"/>
  <c r="AF678" i="6"/>
  <c r="AH678" i="6" s="1"/>
  <c r="AJ678" i="6" s="1"/>
  <c r="AF674" i="6"/>
  <c r="AH674" i="6" s="1"/>
  <c r="AJ674" i="6" s="1"/>
  <c r="AF670" i="6"/>
  <c r="AH670" i="6" s="1"/>
  <c r="AJ670" i="6" s="1"/>
  <c r="AF666" i="6"/>
  <c r="AH666" i="6" s="1"/>
  <c r="AJ666" i="6" s="1"/>
  <c r="AF662" i="6"/>
  <c r="AH662" i="6" s="1"/>
  <c r="AJ662" i="6" s="1"/>
  <c r="AF658" i="6"/>
  <c r="AH658" i="6" s="1"/>
  <c r="AJ658" i="6" s="1"/>
  <c r="AF654" i="6"/>
  <c r="AH654" i="6" s="1"/>
  <c r="AJ654" i="6" s="1"/>
  <c r="AF650" i="6"/>
  <c r="AH650" i="6" s="1"/>
  <c r="AJ650" i="6" s="1"/>
  <c r="AF646" i="6"/>
  <c r="AH646" i="6" s="1"/>
  <c r="AJ646" i="6" s="1"/>
  <c r="AF642" i="6"/>
  <c r="AH642" i="6" s="1"/>
  <c r="AJ642" i="6" s="1"/>
  <c r="AF638" i="6"/>
  <c r="AH638" i="6" s="1"/>
  <c r="AJ638" i="6" s="1"/>
  <c r="AF634" i="6"/>
  <c r="AH634" i="6" s="1"/>
  <c r="AJ634" i="6" s="1"/>
  <c r="AF630" i="6"/>
  <c r="AH630" i="6" s="1"/>
  <c r="AJ630" i="6" s="1"/>
  <c r="AF626" i="6"/>
  <c r="AH626" i="6" s="1"/>
  <c r="AJ626" i="6" s="1"/>
  <c r="AF622" i="6"/>
  <c r="AH622" i="6" s="1"/>
  <c r="AJ622" i="6" s="1"/>
  <c r="AF691" i="6"/>
  <c r="AH691" i="6" s="1"/>
  <c r="AJ691" i="6" s="1"/>
  <c r="AF612" i="6"/>
  <c r="AH612" i="6" s="1"/>
  <c r="AJ612" i="6" s="1"/>
  <c r="AF608" i="6"/>
  <c r="AH608" i="6" s="1"/>
  <c r="AJ608" i="6" s="1"/>
  <c r="AF604" i="6"/>
  <c r="AH604" i="6" s="1"/>
  <c r="AJ604" i="6" s="1"/>
  <c r="AF600" i="6"/>
  <c r="AH600" i="6" s="1"/>
  <c r="AJ600" i="6" s="1"/>
  <c r="AF596" i="6"/>
  <c r="AH596" i="6" s="1"/>
  <c r="AJ596" i="6" s="1"/>
  <c r="AF592" i="6"/>
  <c r="AH592" i="6" s="1"/>
  <c r="AJ592" i="6" s="1"/>
  <c r="AF584" i="6"/>
  <c r="AH584" i="6" s="1"/>
  <c r="AJ584" i="6" s="1"/>
  <c r="AF576" i="6"/>
  <c r="AH576" i="6" s="1"/>
  <c r="AJ576" i="6" s="1"/>
  <c r="AF491" i="6"/>
  <c r="AH491" i="6" s="1"/>
  <c r="AJ491" i="6" s="1"/>
  <c r="AF585" i="6"/>
  <c r="AH585" i="6" s="1"/>
  <c r="AJ585" i="6" s="1"/>
  <c r="AF577" i="6"/>
  <c r="AH577" i="6" s="1"/>
  <c r="AJ577" i="6" s="1"/>
  <c r="AF470" i="6"/>
  <c r="AH470" i="6" s="1"/>
  <c r="AJ470" i="6" s="1"/>
  <c r="AF462" i="6"/>
  <c r="AH462" i="6" s="1"/>
  <c r="AJ462" i="6" s="1"/>
  <c r="AF454" i="6"/>
  <c r="AH454" i="6" s="1"/>
  <c r="AJ454" i="6" s="1"/>
  <c r="AF446" i="6"/>
  <c r="AH446" i="6" s="1"/>
  <c r="AJ446" i="6" s="1"/>
  <c r="AF418" i="6"/>
  <c r="AH418" i="6" s="1"/>
  <c r="AJ418" i="6" s="1"/>
  <c r="AF475" i="6"/>
  <c r="AH475" i="6" s="1"/>
  <c r="AJ475" i="6" s="1"/>
  <c r="AF428" i="6"/>
  <c r="AH428" i="6" s="1"/>
  <c r="AJ428" i="6" s="1"/>
  <c r="AJ391" i="6"/>
  <c r="AF430" i="6"/>
  <c r="AH430" i="6" s="1"/>
  <c r="AJ430" i="6" s="1"/>
  <c r="AF422" i="6"/>
  <c r="AH422" i="6" s="1"/>
  <c r="AJ422" i="6" s="1"/>
  <c r="AJ412" i="6"/>
  <c r="AJ405" i="6"/>
  <c r="AJ389" i="6"/>
  <c r="AF329" i="6"/>
  <c r="AH329" i="6" s="1"/>
  <c r="AJ329" i="6" s="1"/>
  <c r="AF321" i="6"/>
  <c r="AH321" i="6" s="1"/>
  <c r="AJ321" i="6" s="1"/>
  <c r="AF317" i="6"/>
  <c r="AH317" i="6" s="1"/>
  <c r="AJ317" i="6" s="1"/>
  <c r="AF313" i="6"/>
  <c r="AH313" i="6" s="1"/>
  <c r="AJ313" i="6" s="1"/>
  <c r="AF309" i="6"/>
  <c r="AH309" i="6" s="1"/>
  <c r="AJ309" i="6" s="1"/>
  <c r="AF305" i="6"/>
  <c r="AH305" i="6" s="1"/>
  <c r="AJ305" i="6" s="1"/>
  <c r="AF301" i="6"/>
  <c r="AH301" i="6" s="1"/>
  <c r="AJ301" i="6" s="1"/>
  <c r="AF297" i="6"/>
  <c r="AH297" i="6" s="1"/>
  <c r="AJ297" i="6" s="1"/>
  <c r="AF293" i="6"/>
  <c r="AH293" i="6" s="1"/>
  <c r="AJ293" i="6" s="1"/>
  <c r="AF289" i="6"/>
  <c r="AH289" i="6" s="1"/>
  <c r="AJ289" i="6" s="1"/>
  <c r="AF285" i="6"/>
  <c r="AH285" i="6" s="1"/>
  <c r="AJ285" i="6" s="1"/>
  <c r="AF281" i="6"/>
  <c r="AH281" i="6" s="1"/>
  <c r="AJ281" i="6" s="1"/>
  <c r="AF277" i="6"/>
  <c r="AH277" i="6" s="1"/>
  <c r="AJ277" i="6" s="1"/>
  <c r="AF273" i="6"/>
  <c r="AH273" i="6" s="1"/>
  <c r="AJ273" i="6" s="1"/>
  <c r="AF269" i="6"/>
  <c r="AH269" i="6" s="1"/>
  <c r="AJ269" i="6" s="1"/>
  <c r="AF265" i="6"/>
  <c r="AH265" i="6" s="1"/>
  <c r="AJ265" i="6" s="1"/>
  <c r="AF261" i="6"/>
  <c r="AH261" i="6" s="1"/>
  <c r="AJ261" i="6" s="1"/>
  <c r="AF257" i="6"/>
  <c r="AH257" i="6" s="1"/>
  <c r="AJ257" i="6" s="1"/>
  <c r="AF253" i="6"/>
  <c r="AH253" i="6" s="1"/>
  <c r="AJ253" i="6" s="1"/>
  <c r="AF249" i="6"/>
  <c r="AH249" i="6" s="1"/>
  <c r="AJ249" i="6" s="1"/>
  <c r="AF245" i="6"/>
  <c r="AH245" i="6" s="1"/>
  <c r="AJ245" i="6" s="1"/>
  <c r="AF241" i="6"/>
  <c r="AH241" i="6" s="1"/>
  <c r="AJ241" i="6" s="1"/>
  <c r="AF237" i="6"/>
  <c r="AH237" i="6" s="1"/>
  <c r="AJ237" i="6" s="1"/>
  <c r="AF340" i="6"/>
  <c r="AH340" i="6" s="1"/>
  <c r="AJ340" i="6" s="1"/>
  <c r="AF324" i="6"/>
  <c r="AH324" i="6" s="1"/>
  <c r="AJ324" i="6" s="1"/>
  <c r="AF334" i="6"/>
  <c r="AH334" i="6" s="1"/>
  <c r="AJ334" i="6" s="1"/>
  <c r="AF336" i="6"/>
  <c r="AH336" i="6" s="1"/>
  <c r="AJ336" i="6" s="1"/>
  <c r="M11" i="6" l="1"/>
  <c r="H14" i="6" s="1"/>
  <c r="M18" i="6"/>
</calcChain>
</file>

<file path=xl/sharedStrings.xml><?xml version="1.0" encoding="utf-8"?>
<sst xmlns="http://schemas.openxmlformats.org/spreadsheetml/2006/main" count="55978" uniqueCount="13897">
  <si>
    <t>Size Tire</t>
  </si>
  <si>
    <t>Additional Fees Per LB</t>
  </si>
  <si>
    <t>3 to 20 (LB)</t>
  </si>
  <si>
    <t xml:space="preserve">Weight </t>
  </si>
  <si>
    <t>Shipping weight/Size tier</t>
  </si>
  <si>
    <t>Large bulky</t>
  </si>
  <si>
    <t>Extra-large 0 to 50 lb</t>
  </si>
  <si>
    <t>Extra-large 50+ to 70 lb</t>
  </si>
  <si>
    <t>Extra-large 70+ to 150 lb</t>
  </si>
  <si>
    <t>Extra-large 150+ lb</t>
  </si>
  <si>
    <t>Tier</t>
  </si>
  <si>
    <t>LB</t>
  </si>
  <si>
    <t>OZ</t>
  </si>
  <si>
    <t>DIMS-59*33*33
Girth - 130</t>
  </si>
  <si>
    <t>59+*33+*33+
Girth - 130</t>
  </si>
  <si>
    <t>Fees</t>
  </si>
  <si>
    <t>Small standard-size</t>
  </si>
  <si>
    <t>Large standard</t>
  </si>
  <si>
    <t>Large standard-size</t>
  </si>
  <si>
    <t>SR.NO</t>
  </si>
  <si>
    <t>15*12*0.75
(16 oz)</t>
  </si>
  <si>
    <t>18*14*8
(20 LB)</t>
  </si>
  <si>
    <t>Final Fees Charged</t>
  </si>
  <si>
    <t>Additional fee applicable</t>
  </si>
  <si>
    <t xml:space="preserve">Fixed FBA Fees </t>
  </si>
  <si>
    <t>above first lb</t>
  </si>
  <si>
    <t>Large Bulky</t>
  </si>
  <si>
    <t>above 51 lb</t>
  </si>
  <si>
    <t>Extra-large 50 to 70 lb</t>
  </si>
  <si>
    <t>above 71 lb</t>
  </si>
  <si>
    <t>Extra-large 70 to 150 lb</t>
  </si>
  <si>
    <t>above 151 lb</t>
  </si>
  <si>
    <t>Extra-large 150+++ lb</t>
  </si>
  <si>
    <t>0 to 50 (LB)</t>
  </si>
  <si>
    <t>50 to 150 (LB)</t>
  </si>
  <si>
    <t>150+++ (LB)</t>
  </si>
  <si>
    <t>SKU</t>
  </si>
  <si>
    <t>LOCATION</t>
  </si>
  <si>
    <t>DC LIST</t>
  </si>
  <si>
    <t>CAT</t>
  </si>
  <si>
    <t>LO-1</t>
  </si>
  <si>
    <t>LO-2</t>
  </si>
  <si>
    <t>AVG. SALES</t>
  </si>
  <si>
    <t>RANK</t>
  </si>
  <si>
    <t>P. COST</t>
  </si>
  <si>
    <t>Stock Sheet</t>
  </si>
  <si>
    <t>Freight-FBA</t>
  </si>
  <si>
    <t>Freight-Canada</t>
  </si>
  <si>
    <t>Freight-WFS</t>
  </si>
  <si>
    <t>OLD/NEW</t>
  </si>
  <si>
    <t>NEW SKU(IMPR.)</t>
  </si>
  <si>
    <t>TOP 127</t>
  </si>
  <si>
    <t>B10</t>
  </si>
  <si>
    <t>C11-6249-B10</t>
  </si>
  <si>
    <t>CFB</t>
  </si>
  <si>
    <t>Tushar</t>
  </si>
  <si>
    <t>Darshan</t>
  </si>
  <si>
    <t>OLD</t>
  </si>
  <si>
    <t>B10J</t>
  </si>
  <si>
    <t>A03-0075-B10J</t>
  </si>
  <si>
    <t>B10X</t>
  </si>
  <si>
    <t>A14-0471-B10X</t>
  </si>
  <si>
    <t>B11</t>
  </si>
  <si>
    <t>C11-6256-B11</t>
  </si>
  <si>
    <t>B12</t>
  </si>
  <si>
    <t>C11-6262-B12</t>
  </si>
  <si>
    <t>B12F</t>
  </si>
  <si>
    <t>A07-0217-B12F</t>
  </si>
  <si>
    <t>B12H</t>
  </si>
  <si>
    <t>B2-4070-B12H</t>
  </si>
  <si>
    <t>B12J</t>
  </si>
  <si>
    <t>A09-0292-B12J</t>
  </si>
  <si>
    <t>B12X</t>
  </si>
  <si>
    <t>C4-6059-B12X</t>
  </si>
  <si>
    <t>B9J</t>
  </si>
  <si>
    <t>A11-0361-B9J</t>
  </si>
  <si>
    <t>BS10</t>
  </si>
  <si>
    <t>C10-6199-BS10</t>
  </si>
  <si>
    <t>BS9</t>
  </si>
  <si>
    <t>A10-0330-BS9</t>
  </si>
  <si>
    <t>CP-1-2425F</t>
  </si>
  <si>
    <t>A12-0402-CP-1-2425F</t>
  </si>
  <si>
    <t>CP</t>
  </si>
  <si>
    <t>Shubham</t>
  </si>
  <si>
    <t>CP-2-2425F</t>
  </si>
  <si>
    <t>A15-0512-CP-2-2425F</t>
  </si>
  <si>
    <t>NA</t>
  </si>
  <si>
    <t>CP-3-2425F</t>
  </si>
  <si>
    <t>A13-0433-CP-3-2425F</t>
  </si>
  <si>
    <t>CT-AM04</t>
  </si>
  <si>
    <t>A05-0179-CT-AM04</t>
  </si>
  <si>
    <t>CT</t>
  </si>
  <si>
    <t>Ronak</t>
  </si>
  <si>
    <t>CT-AM125</t>
  </si>
  <si>
    <t>B1-4023-CT-AM125</t>
  </si>
  <si>
    <t>CT-AS10</t>
  </si>
  <si>
    <t>B1-4029-CT-AS10</t>
  </si>
  <si>
    <t>CT-TC22</t>
  </si>
  <si>
    <t>B5-4253-CT-TC22</t>
  </si>
  <si>
    <t>CT-WK22</t>
  </si>
  <si>
    <t>B1-4049-CT-WK22</t>
  </si>
  <si>
    <t>DC 25</t>
  </si>
  <si>
    <t>DC</t>
  </si>
  <si>
    <t>DC2</t>
  </si>
  <si>
    <t>EH-03</t>
  </si>
  <si>
    <t>A06-0199-EH-03</t>
  </si>
  <si>
    <t>EH</t>
  </si>
  <si>
    <t>Janvi</t>
  </si>
  <si>
    <t>FP-61</t>
  </si>
  <si>
    <t>A27-1023-FP-61</t>
  </si>
  <si>
    <t>FP</t>
  </si>
  <si>
    <t>FP-64</t>
  </si>
  <si>
    <t>A25-0929-FP-64</t>
  </si>
  <si>
    <t>FP-68</t>
  </si>
  <si>
    <t>A07-0249-FP-68</t>
  </si>
  <si>
    <t>FP-71</t>
  </si>
  <si>
    <t>A03-0086-FP-71</t>
  </si>
  <si>
    <t>FPB-02</t>
  </si>
  <si>
    <t>A12-0425-FPB-02</t>
  </si>
  <si>
    <t>SEA</t>
  </si>
  <si>
    <t>FPB</t>
  </si>
  <si>
    <t>HB-10P</t>
  </si>
  <si>
    <t>C9-6161-HB-10P</t>
  </si>
  <si>
    <t>HB</t>
  </si>
  <si>
    <t>HB-18</t>
  </si>
  <si>
    <t>B2-4073-HB-18</t>
  </si>
  <si>
    <t>HB-25</t>
  </si>
  <si>
    <t>B2-4059-HB-25</t>
  </si>
  <si>
    <t>HB-35</t>
  </si>
  <si>
    <t>B1-4031-HB-35</t>
  </si>
  <si>
    <t>IB-A06</t>
  </si>
  <si>
    <t>C5-6071-IB-A06</t>
  </si>
  <si>
    <t>IB</t>
  </si>
  <si>
    <t>IB-A16</t>
  </si>
  <si>
    <t>D7-8026-IB-A16</t>
  </si>
  <si>
    <t>IB-C05</t>
  </si>
  <si>
    <t>B2-4091-IB-C05</t>
  </si>
  <si>
    <t>IB-C12</t>
  </si>
  <si>
    <t>D6-8023-IB-C12</t>
  </si>
  <si>
    <t>Tushar DC</t>
  </si>
  <si>
    <t>IB-D10</t>
  </si>
  <si>
    <t>D8-8032-IB-D10</t>
  </si>
  <si>
    <t>IB-F08</t>
  </si>
  <si>
    <t>D4-8014-IB-F08</t>
  </si>
  <si>
    <t>IB-G08</t>
  </si>
  <si>
    <t>D7-8028-IB-G08</t>
  </si>
  <si>
    <t>JMT-02</t>
  </si>
  <si>
    <t>D11-8043-JMT-02</t>
  </si>
  <si>
    <t>JMT</t>
  </si>
  <si>
    <t>JMT-03</t>
  </si>
  <si>
    <t>D6-8021-JMT-03</t>
  </si>
  <si>
    <t>JMT-103</t>
  </si>
  <si>
    <t>A03-0094-JMT-103</t>
  </si>
  <si>
    <t>JMT-118</t>
  </si>
  <si>
    <t>A08-0271-JMT-118</t>
  </si>
  <si>
    <t>JMT-25</t>
  </si>
  <si>
    <t>A06-0208-JMT-25</t>
  </si>
  <si>
    <t>JMT-59</t>
  </si>
  <si>
    <t>D11-8042-JMT-59</t>
  </si>
  <si>
    <t>JMT-96</t>
  </si>
  <si>
    <t>A12-0411-JMT-96</t>
  </si>
  <si>
    <t>MFI-13</t>
  </si>
  <si>
    <t>D1-8001-MFI-13</t>
  </si>
  <si>
    <t>PF</t>
  </si>
  <si>
    <t>PFB-01</t>
  </si>
  <si>
    <t>A15-0513-PFB-01</t>
  </si>
  <si>
    <t>PFB</t>
  </si>
  <si>
    <t>PFI-10</t>
  </si>
  <si>
    <t>D3-8011-PFI-10</t>
  </si>
  <si>
    <t>PFI-20</t>
  </si>
  <si>
    <t>D3-8012-PFI-20</t>
  </si>
  <si>
    <t>PFO-10</t>
  </si>
  <si>
    <t>D5-8020-PFO-10</t>
  </si>
  <si>
    <t>RCB-02</t>
  </si>
  <si>
    <t>A10-0343-RCB-02</t>
  </si>
  <si>
    <t>RCB</t>
  </si>
  <si>
    <t>RCB-03</t>
  </si>
  <si>
    <t>B4-4205-RCB-03</t>
  </si>
  <si>
    <t>RCB-06</t>
  </si>
  <si>
    <t>B5-4259-RCB-06</t>
  </si>
  <si>
    <t>RCB-07</t>
  </si>
  <si>
    <t>C1-6027-RCB-07</t>
  </si>
  <si>
    <t>RCB-09</t>
  </si>
  <si>
    <t>A07-0230-RCB-09</t>
  </si>
  <si>
    <t>S21</t>
  </si>
  <si>
    <t>A10-0325-S21</t>
  </si>
  <si>
    <t>HS</t>
  </si>
  <si>
    <t>S21X</t>
  </si>
  <si>
    <t>A07-0220-S21X</t>
  </si>
  <si>
    <t>S25</t>
  </si>
  <si>
    <t>C2-6033-S25</t>
  </si>
  <si>
    <t>S25J</t>
  </si>
  <si>
    <t>A08-0253-S25J</t>
  </si>
  <si>
    <t>S25X</t>
  </si>
  <si>
    <t>A05-0145-S25X</t>
  </si>
  <si>
    <t>S9J</t>
  </si>
  <si>
    <t>A05-0150-S9J</t>
  </si>
  <si>
    <t>S9X</t>
  </si>
  <si>
    <t>A08-0260-S9X</t>
  </si>
  <si>
    <t>V2</t>
  </si>
  <si>
    <t>C8-6128-V2</t>
  </si>
  <si>
    <t>VB</t>
  </si>
  <si>
    <t>V2-1212</t>
  </si>
  <si>
    <t>C9-6157-V2-1212</t>
  </si>
  <si>
    <t>V2-1224</t>
  </si>
  <si>
    <t>C9-6156-V2-1224</t>
  </si>
  <si>
    <t>V2-1824</t>
  </si>
  <si>
    <t>C4-6058-V2-1824</t>
  </si>
  <si>
    <t>V2E</t>
  </si>
  <si>
    <t>C3-6047-V2E</t>
  </si>
  <si>
    <t>V2F</t>
  </si>
  <si>
    <t>C1-6001-V2F</t>
  </si>
  <si>
    <t>V4</t>
  </si>
  <si>
    <t>C1-6007-V4</t>
  </si>
  <si>
    <t>V4-1212</t>
  </si>
  <si>
    <t>C9-6153-V4-1212</t>
  </si>
  <si>
    <t>V4-1224</t>
  </si>
  <si>
    <t>C8-6131-V4-1224</t>
  </si>
  <si>
    <t>V4-1824</t>
  </si>
  <si>
    <t>C4-6061-V4-1824</t>
  </si>
  <si>
    <t>V4E</t>
  </si>
  <si>
    <t>C5-6074-V4E</t>
  </si>
  <si>
    <t>V4F</t>
  </si>
  <si>
    <t>C8-6129-V4F</t>
  </si>
  <si>
    <t>V5</t>
  </si>
  <si>
    <t>C1-6011-V5</t>
  </si>
  <si>
    <t>V6</t>
  </si>
  <si>
    <t>D10-8038-V6</t>
  </si>
  <si>
    <t>V7</t>
  </si>
  <si>
    <t>D6-8022-V7</t>
  </si>
  <si>
    <t>WR-A118</t>
  </si>
  <si>
    <t>A05-0157-WR-A118</t>
  </si>
  <si>
    <t>WR</t>
  </si>
  <si>
    <t>WR-A124</t>
  </si>
  <si>
    <t>A05-0164-WR-A124</t>
  </si>
  <si>
    <t>WR-A130</t>
  </si>
  <si>
    <t>A07-0227-WR-A130</t>
  </si>
  <si>
    <t>WR-A136</t>
  </si>
  <si>
    <t>A07-0231-WR-A136</t>
  </si>
  <si>
    <t>WR-A142</t>
  </si>
  <si>
    <t>A07-0242-WR-A142</t>
  </si>
  <si>
    <t>WR-A160</t>
  </si>
  <si>
    <t>A16-0566-WR-A160</t>
  </si>
  <si>
    <t>WR-A212</t>
  </si>
  <si>
    <t>A06-0190-WR-A212</t>
  </si>
  <si>
    <t>WR-A218</t>
  </si>
  <si>
    <t>A03-0098-WR-A218</t>
  </si>
  <si>
    <t>WR-A224</t>
  </si>
  <si>
    <t>A07-0236-WR-A224</t>
  </si>
  <si>
    <t>WR-A230</t>
  </si>
  <si>
    <t>A07-0244-WR-A230</t>
  </si>
  <si>
    <t>WR-A236</t>
  </si>
  <si>
    <t>A12-0420-WR-A236</t>
  </si>
  <si>
    <t>WR-A242</t>
  </si>
  <si>
    <t>A16-0562-WR-A242</t>
  </si>
  <si>
    <t>WR-A260</t>
  </si>
  <si>
    <t>A16-0573-WR-A260</t>
  </si>
  <si>
    <t>WR-B215</t>
  </si>
  <si>
    <t>A06-0202-WR-B215</t>
  </si>
  <si>
    <t>WR-B224</t>
  </si>
  <si>
    <t>A16-0553-WR-B224</t>
  </si>
  <si>
    <t>Z4</t>
  </si>
  <si>
    <t>C11-6259-Z4</t>
  </si>
  <si>
    <t>Z4F</t>
  </si>
  <si>
    <t>A04-0114-Z4F</t>
  </si>
  <si>
    <t>Z4F2</t>
  </si>
  <si>
    <t>A04-0109-Z4F2</t>
  </si>
  <si>
    <t>PFB-03</t>
  </si>
  <si>
    <t>A16-0549-PFB-03</t>
  </si>
  <si>
    <t>PFB-08</t>
  </si>
  <si>
    <t>A16-0541-PFB-08</t>
  </si>
  <si>
    <t>JMT-134</t>
  </si>
  <si>
    <t>A15-0535-JMT-134</t>
  </si>
  <si>
    <t>HB-31P</t>
  </si>
  <si>
    <t>B3-4145-HB-31P</t>
  </si>
  <si>
    <t>FAB-44</t>
  </si>
  <si>
    <t>C10-6215-FAB-44</t>
  </si>
  <si>
    <t>IMP 502</t>
  </si>
  <si>
    <t>FAB</t>
  </si>
  <si>
    <t>FAB-502</t>
  </si>
  <si>
    <t>PR-03</t>
  </si>
  <si>
    <t>A14-0481-PR-03</t>
  </si>
  <si>
    <t>PR</t>
  </si>
  <si>
    <t>Janvi DC</t>
  </si>
  <si>
    <t>PR-08</t>
  </si>
  <si>
    <t>A10-0346-PR-08</t>
  </si>
  <si>
    <t>PR-12</t>
  </si>
  <si>
    <t>A24-0875-PR-12</t>
  </si>
  <si>
    <t>PR-14</t>
  </si>
  <si>
    <t>A08-0262-PR-14</t>
  </si>
  <si>
    <t>FAB-48</t>
  </si>
  <si>
    <t>C1-6005-FAB-48</t>
  </si>
  <si>
    <t>FAB-49</t>
  </si>
  <si>
    <t>C1-6004-FAB-49</t>
  </si>
  <si>
    <t>GEN-SB01</t>
  </si>
  <si>
    <t>A14-0501-GEN-SB01</t>
  </si>
  <si>
    <t>GEN</t>
  </si>
  <si>
    <t>GEN-SB02</t>
  </si>
  <si>
    <t>B2-4103-GEN-SB02</t>
  </si>
  <si>
    <t>B4F</t>
  </si>
  <si>
    <t>A27-1021-B4F</t>
  </si>
  <si>
    <t>GEN-SP02</t>
  </si>
  <si>
    <t>B3-4131-GEN-SP02</t>
  </si>
  <si>
    <t>GEN-SP03</t>
  </si>
  <si>
    <t>B3-4143-GEN-SP03</t>
  </si>
  <si>
    <t>FAB-117</t>
  </si>
  <si>
    <t>A08-0280-FAB-117</t>
  </si>
  <si>
    <t>GEN-CN01</t>
  </si>
  <si>
    <t>A16-0560-GEN-CN01</t>
  </si>
  <si>
    <t>GEN-CN02</t>
  </si>
  <si>
    <t>A11-0382-GEN-CN02</t>
  </si>
  <si>
    <t>GEN-CN03</t>
  </si>
  <si>
    <t>A10-0353-GEN-CN03</t>
  </si>
  <si>
    <t>GEN-CN05</t>
  </si>
  <si>
    <t>A13-0463-GEN-CN05</t>
  </si>
  <si>
    <t>GEN-CN06</t>
  </si>
  <si>
    <t>A15-0526-GEN-CN06</t>
  </si>
  <si>
    <t>GEN-CN07</t>
  </si>
  <si>
    <t>A15-0520-GEN-CN07</t>
  </si>
  <si>
    <t>GEN-CN08</t>
  </si>
  <si>
    <t>A10-0360-GEN-CN08</t>
  </si>
  <si>
    <t>GEN-SB03</t>
  </si>
  <si>
    <t>A13-0445-GEN-SB03</t>
  </si>
  <si>
    <t>GEN-SB04</t>
  </si>
  <si>
    <t>B4-4211-GEN-SB04</t>
  </si>
  <si>
    <t>FAB-149</t>
  </si>
  <si>
    <t>A09-0319-FAB-149</t>
  </si>
  <si>
    <t>FAB-150</t>
  </si>
  <si>
    <t>C6-6082-FAB-150</t>
  </si>
  <si>
    <t>FAB-151</t>
  </si>
  <si>
    <t>C6-6082-FAB-151</t>
  </si>
  <si>
    <t>FAB-152</t>
  </si>
  <si>
    <t>A08-0268-FAB-152</t>
  </si>
  <si>
    <t>PR-32</t>
  </si>
  <si>
    <t>A09-0298-PR-32</t>
  </si>
  <si>
    <t>FAB-173</t>
  </si>
  <si>
    <t>C6-6082-FAB-173</t>
  </si>
  <si>
    <t>HOLD 25</t>
  </si>
  <si>
    <t>FAB-244</t>
  </si>
  <si>
    <t>A13-0460-FAB-244</t>
  </si>
  <si>
    <t>FAB-245</t>
  </si>
  <si>
    <t>B4-4200-FAB-245</t>
  </si>
  <si>
    <t>FAB-246</t>
  </si>
  <si>
    <t>A08-0281-FAB-246</t>
  </si>
  <si>
    <t>FAB-247</t>
  </si>
  <si>
    <t>A12-0428-FAB-247</t>
  </si>
  <si>
    <t>CT-TC44</t>
  </si>
  <si>
    <t>C10-6232-CT-TC44</t>
  </si>
  <si>
    <t>HB-18P</t>
  </si>
  <si>
    <t>D4-8016-HB-18P</t>
  </si>
  <si>
    <t>JMT-168</t>
  </si>
  <si>
    <t>B4-4173-JMT-168</t>
  </si>
  <si>
    <t>Z4FK</t>
  </si>
  <si>
    <t>C11-6263-Z4FK</t>
  </si>
  <si>
    <t>FAB-311</t>
  </si>
  <si>
    <t>B2-4071-FAB-311</t>
  </si>
  <si>
    <t>ST-02</t>
  </si>
  <si>
    <t>B3-4111-ST-02</t>
  </si>
  <si>
    <t>ST</t>
  </si>
  <si>
    <t>IMP. NEW24</t>
  </si>
  <si>
    <t>ST-03</t>
  </si>
  <si>
    <t>B3-4123-ST-03</t>
  </si>
  <si>
    <t>ST-04</t>
  </si>
  <si>
    <t>C2-6043-ST-04</t>
  </si>
  <si>
    <t>V4-1524</t>
  </si>
  <si>
    <t>C5-6069-V4-1524</t>
  </si>
  <si>
    <t>BB-950135</t>
  </si>
  <si>
    <t>A08-0269-BB-950135</t>
  </si>
  <si>
    <t>BB-950155</t>
  </si>
  <si>
    <t>A10-0337-BB-950155</t>
  </si>
  <si>
    <t>BB-125185</t>
  </si>
  <si>
    <t>A03-0073-BB-125185</t>
  </si>
  <si>
    <t>BB-120235</t>
  </si>
  <si>
    <t>A14-0487-BB-120235</t>
  </si>
  <si>
    <t>V2-1112</t>
  </si>
  <si>
    <t>B3-4133-V2-1112</t>
  </si>
  <si>
    <t>B5</t>
  </si>
  <si>
    <t>C11-6258-B5</t>
  </si>
  <si>
    <t>FAB-50</t>
  </si>
  <si>
    <t>C1-6003-FAB-50</t>
  </si>
  <si>
    <t>CFB-11232</t>
  </si>
  <si>
    <t>B4-4172-CFB-11232</t>
  </si>
  <si>
    <t>RCB-12</t>
  </si>
  <si>
    <t>A05-0155-RCB-12</t>
  </si>
  <si>
    <t>ECO-01</t>
  </si>
  <si>
    <t>C9-6175-ECO-01</t>
  </si>
  <si>
    <t>ECO</t>
  </si>
  <si>
    <t>ECO-02</t>
  </si>
  <si>
    <t>C9-6175-ECO-02</t>
  </si>
  <si>
    <t>ECO-04</t>
  </si>
  <si>
    <t>C9-6175-ECO-04</t>
  </si>
  <si>
    <t>ECO-05</t>
  </si>
  <si>
    <t>C9-6175-ECO-05</t>
  </si>
  <si>
    <t>ECO-06</t>
  </si>
  <si>
    <t>C9-6175-ECO-06</t>
  </si>
  <si>
    <t>ECO-07</t>
  </si>
  <si>
    <t>C9-6175-ECO-07</t>
  </si>
  <si>
    <t>ECO-08</t>
  </si>
  <si>
    <t>C9-6175-ECO-08</t>
  </si>
  <si>
    <t>ECO-09</t>
  </si>
  <si>
    <t>C9-6175-ECO-09</t>
  </si>
  <si>
    <t>ECO-10</t>
  </si>
  <si>
    <t>C9-6175-ECO-10</t>
  </si>
  <si>
    <t>ECO-28</t>
  </si>
  <si>
    <t>C9-6175-ECO-28</t>
  </si>
  <si>
    <t>V9</t>
  </si>
  <si>
    <t>D14-8053-V9</t>
  </si>
  <si>
    <t>CFB-12448</t>
  </si>
  <si>
    <t>C7-6101-CFB-12448</t>
  </si>
  <si>
    <t>CFB-12460</t>
  </si>
  <si>
    <t>C7-6099-CFB-12460</t>
  </si>
  <si>
    <t>CFB-12496</t>
  </si>
  <si>
    <t>C7-6097-CFB-12496</t>
  </si>
  <si>
    <t>HB-19P</t>
  </si>
  <si>
    <t>D11-8044-HB-19P</t>
  </si>
  <si>
    <t>CFB-11648</t>
  </si>
  <si>
    <t>A07-0225-CFB-11648</t>
  </si>
  <si>
    <t>CFB-116100</t>
  </si>
  <si>
    <t>A12-0398-CFB-116100</t>
  </si>
  <si>
    <t>FAB-377</t>
  </si>
  <si>
    <t>C2-6037-FAB-377</t>
  </si>
  <si>
    <t>FAB-378</t>
  </si>
  <si>
    <t>B5-4241-FAB-378</t>
  </si>
  <si>
    <t>FAB-379</t>
  </si>
  <si>
    <t>C3-6051-FAB-379</t>
  </si>
  <si>
    <t>FAB-380</t>
  </si>
  <si>
    <t>B1-4054-FAB-380</t>
  </si>
  <si>
    <t>FAB-381</t>
  </si>
  <si>
    <t>B5-4258-FAB-381</t>
  </si>
  <si>
    <t>RCB-13</t>
  </si>
  <si>
    <t>A03-0082-RCB-13</t>
  </si>
  <si>
    <t>FAB-383</t>
  </si>
  <si>
    <t>C7-6115-FAB-383</t>
  </si>
  <si>
    <t>PF-S1</t>
  </si>
  <si>
    <t>C8-6136-PF-S1</t>
  </si>
  <si>
    <t>PF-S2</t>
  </si>
  <si>
    <t>C9-6167-PF-S2</t>
  </si>
  <si>
    <t>PF-POTS3</t>
  </si>
  <si>
    <t>C1-6026-PF-POTS3</t>
  </si>
  <si>
    <t>PO-AC6</t>
  </si>
  <si>
    <t>B5-4221-PO-AC6</t>
  </si>
  <si>
    <t>PO</t>
  </si>
  <si>
    <t>FAB-395</t>
  </si>
  <si>
    <t>C8-6139-FAB-395</t>
  </si>
  <si>
    <t>PR-44</t>
  </si>
  <si>
    <t>A13-0451-PR-44</t>
  </si>
  <si>
    <t>FAB-388</t>
  </si>
  <si>
    <t>C9-6174-FAB-388</t>
  </si>
  <si>
    <t>FAB-397</t>
  </si>
  <si>
    <t>A25-0909-FAB-397</t>
  </si>
  <si>
    <t>FAB-398</t>
  </si>
  <si>
    <t>A05-0168-FAB-398</t>
  </si>
  <si>
    <t>FAB-399</t>
  </si>
  <si>
    <t>A06-0206-FAB-399</t>
  </si>
  <si>
    <t>FAB-400</t>
  </si>
  <si>
    <t>A04-0133-FAB-400</t>
  </si>
  <si>
    <t>FAB-401</t>
  </si>
  <si>
    <t>A05-0170-FAB-401</t>
  </si>
  <si>
    <t>FAB-402</t>
  </si>
  <si>
    <t>A23-0828-FAB-402</t>
  </si>
  <si>
    <t>FAB-403</t>
  </si>
  <si>
    <t>A23-0831-FAB-403</t>
  </si>
  <si>
    <t>FAB-404</t>
  </si>
  <si>
    <t>A23-0835-FAB-404</t>
  </si>
  <si>
    <t>FAB-405</t>
  </si>
  <si>
    <t>A23-0837-FAB-405</t>
  </si>
  <si>
    <t>PO-AC7</t>
  </si>
  <si>
    <t>C9-6150-PO-AC7</t>
  </si>
  <si>
    <t>PO-AC8</t>
  </si>
  <si>
    <t>A06-0188-PO-AC8</t>
  </si>
  <si>
    <t>HT-27</t>
  </si>
  <si>
    <t>A23-0833-HT-27</t>
  </si>
  <si>
    <t>HT</t>
  </si>
  <si>
    <t>ECO-29</t>
  </si>
  <si>
    <t>ECO-32</t>
  </si>
  <si>
    <t>CP-1-2418F</t>
  </si>
  <si>
    <t>A23-0793-CP-1-2418F</t>
  </si>
  <si>
    <t>CP-3-2415F</t>
  </si>
  <si>
    <t>A27-0995-CP-3-2415F</t>
  </si>
  <si>
    <t>NEW24</t>
  </si>
  <si>
    <t>CFB-21524</t>
  </si>
  <si>
    <t>A08-0276-CFB-21524</t>
  </si>
  <si>
    <t>CFB-21648</t>
  </si>
  <si>
    <t>C8-6123-CFB-21648</t>
  </si>
  <si>
    <t>CFB-20812</t>
  </si>
  <si>
    <t>B4-4192-CFB-20812</t>
  </si>
  <si>
    <t>CFB-11524</t>
  </si>
  <si>
    <t>A05-0173-CFB-11524</t>
  </si>
  <si>
    <t>CFB-10812</t>
  </si>
  <si>
    <t>B4-4182-CFB-10812</t>
  </si>
  <si>
    <t>CFB-050812</t>
  </si>
  <si>
    <t>A11-0370-CFB-050812</t>
  </si>
  <si>
    <t>V4-2020</t>
  </si>
  <si>
    <t>B4-4165-V4-2020</t>
  </si>
  <si>
    <t>S21K</t>
  </si>
  <si>
    <t>A13-0440-S21K</t>
  </si>
  <si>
    <t>FAB-432</t>
  </si>
  <si>
    <t>A15-0508-FAB-432</t>
  </si>
  <si>
    <t>IMP. TOP 127</t>
  </si>
  <si>
    <t>FAB-433</t>
  </si>
  <si>
    <t>C10-6197-FAB-433</t>
  </si>
  <si>
    <t>FAB-436</t>
  </si>
  <si>
    <t>A09-0299-FAB-436</t>
  </si>
  <si>
    <t>FAB-437</t>
  </si>
  <si>
    <t>A09-0300-FAB-437</t>
  </si>
  <si>
    <t>FAB-438</t>
  </si>
  <si>
    <t>A09-0303-FAB-438</t>
  </si>
  <si>
    <t>FAB-439</t>
  </si>
  <si>
    <t>A26-0951-FAB-439</t>
  </si>
  <si>
    <t>FAB-440</t>
  </si>
  <si>
    <t>C6-6081-FAB-440</t>
  </si>
  <si>
    <t>Ronak DC</t>
  </si>
  <si>
    <t>FAB-441</t>
  </si>
  <si>
    <t>B2-4063-FAB-441</t>
  </si>
  <si>
    <t>FPB-04</t>
  </si>
  <si>
    <t>C10-6195-FPB-04</t>
  </si>
  <si>
    <t>STA-51</t>
  </si>
  <si>
    <t>NEW25</t>
  </si>
  <si>
    <t>FPB-05</t>
  </si>
  <si>
    <t>D15-8059-FPB-05</t>
  </si>
  <si>
    <t>FPB-06</t>
  </si>
  <si>
    <t>D10-8039-FPB-06</t>
  </si>
  <si>
    <t>ST-08</t>
  </si>
  <si>
    <t>ST-09</t>
  </si>
  <si>
    <t>ST-10</t>
  </si>
  <si>
    <t>ST-11</t>
  </si>
  <si>
    <t>ST-12</t>
  </si>
  <si>
    <t>C6-6093-ST-12</t>
  </si>
  <si>
    <t>GEN-SB05</t>
  </si>
  <si>
    <t>A27-1000-GEN-SB05</t>
  </si>
  <si>
    <t>ST-13</t>
  </si>
  <si>
    <t>B5-4255-ST-13</t>
  </si>
  <si>
    <t>ST-14</t>
  </si>
  <si>
    <t>B5-4267-ST-14</t>
  </si>
  <si>
    <t>FAB-465</t>
  </si>
  <si>
    <t>B2-4078-FAB-465</t>
  </si>
  <si>
    <t>FAB-466</t>
  </si>
  <si>
    <t>C6-6086-FAB-466</t>
  </si>
  <si>
    <t>FAB-467</t>
  </si>
  <si>
    <t>B2-4081-FAB-467</t>
  </si>
  <si>
    <t>ECO-33</t>
  </si>
  <si>
    <t>ECO-34</t>
  </si>
  <si>
    <t>STA-52</t>
  </si>
  <si>
    <t>STA-53</t>
  </si>
  <si>
    <t>STA-54</t>
  </si>
  <si>
    <t>STA-55</t>
  </si>
  <si>
    <t>STA-56</t>
  </si>
  <si>
    <t>STA-57</t>
  </si>
  <si>
    <t>STA-58</t>
  </si>
  <si>
    <t>ST-15</t>
  </si>
  <si>
    <t>FPB-10</t>
  </si>
  <si>
    <t>C7-6110-FPB-10</t>
  </si>
  <si>
    <t>FPB-11</t>
  </si>
  <si>
    <t>D7-8027-FPB-11</t>
  </si>
  <si>
    <t>FPB-12</t>
  </si>
  <si>
    <t>C9-6178-FPB-12</t>
  </si>
  <si>
    <t>FPB-13</t>
  </si>
  <si>
    <t>D13-8050-FPB-13</t>
  </si>
  <si>
    <t>FPB-14</t>
  </si>
  <si>
    <t>C7-6118-FPB-14</t>
  </si>
  <si>
    <t>FAB-473</t>
  </si>
  <si>
    <t>D9-8035-FAB-473</t>
  </si>
  <si>
    <t>FAB-474</t>
  </si>
  <si>
    <t>Shubham DC</t>
  </si>
  <si>
    <t>GEN-SB08</t>
  </si>
  <si>
    <t>A09-0305-GEN-SB08</t>
  </si>
  <si>
    <t>GEN-SB09</t>
  </si>
  <si>
    <t>A09-0316-GEN-SB09</t>
  </si>
  <si>
    <t>IB-A32</t>
  </si>
  <si>
    <t>FAB-475</t>
  </si>
  <si>
    <t>FAB-476</t>
  </si>
  <si>
    <t>IMP 584</t>
  </si>
  <si>
    <t>FAB-477</t>
  </si>
  <si>
    <t>IMP 585</t>
  </si>
  <si>
    <t>FAB-478</t>
  </si>
  <si>
    <t>IMP 586</t>
  </si>
  <si>
    <t>FAB-483</t>
  </si>
  <si>
    <t>CNF-01</t>
  </si>
  <si>
    <t>CN</t>
  </si>
  <si>
    <t>CNF-02</t>
  </si>
  <si>
    <t>CNF-03</t>
  </si>
  <si>
    <t>FAB-488</t>
  </si>
  <si>
    <t>ST-16</t>
  </si>
  <si>
    <t>ST-17</t>
  </si>
  <si>
    <t>ST-18</t>
  </si>
  <si>
    <t>GEN-CB1008</t>
  </si>
  <si>
    <t>FAB-489</t>
  </si>
  <si>
    <t>FAB-490</t>
  </si>
  <si>
    <t>FAB-491</t>
  </si>
  <si>
    <t>FAB-492</t>
  </si>
  <si>
    <t>FAB-493</t>
  </si>
  <si>
    <t>FAB-494</t>
  </si>
  <si>
    <t>FAB-495</t>
  </si>
  <si>
    <t>FAB-496</t>
  </si>
  <si>
    <t>FAB-497</t>
  </si>
  <si>
    <t>FAB-498</t>
  </si>
  <si>
    <t>FAB-499</t>
  </si>
  <si>
    <t>FAB-500</t>
  </si>
  <si>
    <t>FAB-501</t>
  </si>
  <si>
    <t>IMP. NEW25</t>
  </si>
  <si>
    <t>FAB-503</t>
  </si>
  <si>
    <t>FAB-504</t>
  </si>
  <si>
    <t>FAB-506</t>
  </si>
  <si>
    <t>FAB-509</t>
  </si>
  <si>
    <t>FAB-511</t>
  </si>
  <si>
    <t>FAB-512</t>
  </si>
  <si>
    <t>FAB-514</t>
  </si>
  <si>
    <t>FAB-515</t>
  </si>
  <si>
    <t>FAB-516</t>
  </si>
  <si>
    <t>FAB-521</t>
  </si>
  <si>
    <t>FAB-522</t>
  </si>
  <si>
    <t>FAB-523</t>
  </si>
  <si>
    <t>FAB-524</t>
  </si>
  <si>
    <t>FAB-525</t>
  </si>
  <si>
    <t>FAB-526</t>
  </si>
  <si>
    <t>FAB-527</t>
  </si>
  <si>
    <t>FAB-528</t>
  </si>
  <si>
    <t>FAB-529</t>
  </si>
  <si>
    <t>FAB-530</t>
  </si>
  <si>
    <t>FAB-531</t>
  </si>
  <si>
    <t>FAB-532</t>
  </si>
  <si>
    <t>FAB-533</t>
  </si>
  <si>
    <t>FAB-534</t>
  </si>
  <si>
    <t>FAB-535</t>
  </si>
  <si>
    <t>FAB-536</t>
  </si>
  <si>
    <t>FAB-537</t>
  </si>
  <si>
    <t>FAB-538</t>
  </si>
  <si>
    <t>FAB-539</t>
  </si>
  <si>
    <t>FAB-540</t>
  </si>
  <si>
    <t>FAB-541</t>
  </si>
  <si>
    <t>FAB-542</t>
  </si>
  <si>
    <t>FAB-543</t>
  </si>
  <si>
    <t>FAB-544</t>
  </si>
  <si>
    <t>FAB-545</t>
  </si>
  <si>
    <t>FAB-546</t>
  </si>
  <si>
    <t>FAB-547</t>
  </si>
  <si>
    <t>FAB-548</t>
  </si>
  <si>
    <t>FAB-549</t>
  </si>
  <si>
    <t>FAB-550</t>
  </si>
  <si>
    <t>FAB-551</t>
  </si>
  <si>
    <t>FAB-552</t>
  </si>
  <si>
    <t>FAB-553</t>
  </si>
  <si>
    <t>FAB-554</t>
  </si>
  <si>
    <t>FAB-555</t>
  </si>
  <si>
    <t>FAB-556</t>
  </si>
  <si>
    <t>FAB-557</t>
  </si>
  <si>
    <t>FAB-558</t>
  </si>
  <si>
    <t>FAB-559</t>
  </si>
  <si>
    <t>FAB-560</t>
  </si>
  <si>
    <t>FAB-561</t>
  </si>
  <si>
    <t>FAB-562</t>
  </si>
  <si>
    <t>FAB-563</t>
  </si>
  <si>
    <t>FAB-564</t>
  </si>
  <si>
    <t>FAB-565</t>
  </si>
  <si>
    <t>FAB-566</t>
  </si>
  <si>
    <t>FAB-567</t>
  </si>
  <si>
    <t>FAB-568</t>
  </si>
  <si>
    <t>FAB-569</t>
  </si>
  <si>
    <t>FAB-570</t>
  </si>
  <si>
    <t>FAB-571</t>
  </si>
  <si>
    <t>FAB-572</t>
  </si>
  <si>
    <t>FAB-573</t>
  </si>
  <si>
    <t>FAB-574</t>
  </si>
  <si>
    <t>FAB-575</t>
  </si>
  <si>
    <t>FAB-576</t>
  </si>
  <si>
    <t>FAB-577</t>
  </si>
  <si>
    <t>FAB-578</t>
  </si>
  <si>
    <t>PO-AC9</t>
  </si>
  <si>
    <t>GEN-CPB1009</t>
  </si>
  <si>
    <t>GEN-CPB1010</t>
  </si>
  <si>
    <t>GEN-CPB1011</t>
  </si>
  <si>
    <t>GEN-CPB1012</t>
  </si>
  <si>
    <t>GEN-CPB1013</t>
  </si>
  <si>
    <t>GEN-CPB1014</t>
  </si>
  <si>
    <t>FAB-579</t>
  </si>
  <si>
    <t>FAB-580</t>
  </si>
  <si>
    <t>FAB-581</t>
  </si>
  <si>
    <t>FAB-582</t>
  </si>
  <si>
    <t>FAB-583</t>
  </si>
  <si>
    <t>FAB-584</t>
  </si>
  <si>
    <t>FAB-585</t>
  </si>
  <si>
    <t>FAB-586</t>
  </si>
  <si>
    <t>FAB-587</t>
  </si>
  <si>
    <t>FAB-588</t>
  </si>
  <si>
    <t>FAB-589</t>
  </si>
  <si>
    <t>FAB-590</t>
  </si>
  <si>
    <t>FAB-591</t>
  </si>
  <si>
    <t>GEN-HW01</t>
  </si>
  <si>
    <t>GEN-HW02</t>
  </si>
  <si>
    <t>GEN-SP01</t>
  </si>
  <si>
    <t>GEN-SP04</t>
  </si>
  <si>
    <t>GEN-SP06</t>
  </si>
  <si>
    <t>GEN-SP07</t>
  </si>
  <si>
    <t>GEN-SP08</t>
  </si>
  <si>
    <t>FAB-592</t>
  </si>
  <si>
    <t>FAB-593</t>
  </si>
  <si>
    <t>FAB-594</t>
  </si>
  <si>
    <t>FAB-595</t>
  </si>
  <si>
    <t>GEN-CB1015</t>
  </si>
  <si>
    <t>GEN-CB1016</t>
  </si>
  <si>
    <t>GEN-CB1017</t>
  </si>
  <si>
    <t>GEN-CB1018</t>
  </si>
  <si>
    <t>GEN-CB1019</t>
  </si>
  <si>
    <t>GEN-CPB1020</t>
  </si>
  <si>
    <t>BB-115185</t>
  </si>
  <si>
    <t>BB</t>
  </si>
  <si>
    <t>BB-100210</t>
  </si>
  <si>
    <t>BB-950185</t>
  </si>
  <si>
    <t>BB-140226</t>
  </si>
  <si>
    <t>BB-105210</t>
  </si>
  <si>
    <t>GEN-CB1021</t>
  </si>
  <si>
    <t>GEN-CPB1022</t>
  </si>
  <si>
    <t>FP-69</t>
  </si>
  <si>
    <t>A25-0901-FP-69</t>
  </si>
  <si>
    <t>LNP</t>
  </si>
  <si>
    <t>DC 1</t>
  </si>
  <si>
    <t>FP-70</t>
  </si>
  <si>
    <t>A13-0454-FP-70</t>
  </si>
  <si>
    <t>LSF</t>
  </si>
  <si>
    <t>DC 2</t>
  </si>
  <si>
    <t>FP-72</t>
  </si>
  <si>
    <t>A11-0378-FP-72</t>
  </si>
  <si>
    <t>DC 3</t>
  </si>
  <si>
    <t>FPB-03</t>
  </si>
  <si>
    <t>C1-6019-FPB-03</t>
  </si>
  <si>
    <t>IMP FPB-11</t>
  </si>
  <si>
    <t>DC 4</t>
  </si>
  <si>
    <t>IB-E08</t>
  </si>
  <si>
    <t>D3-8009-IB-E08</t>
  </si>
  <si>
    <t>DC 5</t>
  </si>
  <si>
    <t>JMT-93</t>
  </si>
  <si>
    <t>A09-0309-JMT-93</t>
  </si>
  <si>
    <t>DC 6</t>
  </si>
  <si>
    <t>JMT-97</t>
  </si>
  <si>
    <t>A23-0839-JMT-97</t>
  </si>
  <si>
    <t>DC 7</t>
  </si>
  <si>
    <t>MFI-12</t>
  </si>
  <si>
    <t>D2-8005-MFI-12</t>
  </si>
  <si>
    <t>DC 8</t>
  </si>
  <si>
    <t>PF-11I</t>
  </si>
  <si>
    <t>C6-6095-PF-11I</t>
  </si>
  <si>
    <t>DC 9</t>
  </si>
  <si>
    <t>PF-20</t>
  </si>
  <si>
    <t>D8-8031-PF-20</t>
  </si>
  <si>
    <t>IMP PF-220</t>
  </si>
  <si>
    <t>DC 10</t>
  </si>
  <si>
    <t>PF-220</t>
  </si>
  <si>
    <t>PF-21</t>
  </si>
  <si>
    <t>C6-6091-PF-21</t>
  </si>
  <si>
    <t>DC 24</t>
  </si>
  <si>
    <t>DC 11</t>
  </si>
  <si>
    <t>PF-21I</t>
  </si>
  <si>
    <t>C6-6089-PF-21I</t>
  </si>
  <si>
    <t>DC 22</t>
  </si>
  <si>
    <t>DC 12</t>
  </si>
  <si>
    <t>PF-30</t>
  </si>
  <si>
    <t>D5-8017-PF-30</t>
  </si>
  <si>
    <t>DC 13</t>
  </si>
  <si>
    <t>PF-31</t>
  </si>
  <si>
    <t>C8-6143-PF-31</t>
  </si>
  <si>
    <t>DC 14</t>
  </si>
  <si>
    <t>PF-31I</t>
  </si>
  <si>
    <t>C5-6078-PF-31I</t>
  </si>
  <si>
    <t>DC 15</t>
  </si>
  <si>
    <t>PFB-02</t>
  </si>
  <si>
    <t>A06-0184-PFB-02</t>
  </si>
  <si>
    <t>DC 16</t>
  </si>
  <si>
    <t>PF-POT</t>
  </si>
  <si>
    <t>D5-8018-PF-POT</t>
  </si>
  <si>
    <t>DC 17</t>
  </si>
  <si>
    <t>PFR-10</t>
  </si>
  <si>
    <t>D13-8049-PFR-10</t>
  </si>
  <si>
    <t>DC 18</t>
  </si>
  <si>
    <t>PO-AC2</t>
  </si>
  <si>
    <t>C9-6154-PO-AC2</t>
  </si>
  <si>
    <t>DC 19</t>
  </si>
  <si>
    <t>PO-AC3</t>
  </si>
  <si>
    <t>A03-0078-PO-AC3</t>
  </si>
  <si>
    <t>HOLD</t>
  </si>
  <si>
    <t>DC 20</t>
  </si>
  <si>
    <t>TO-01</t>
  </si>
  <si>
    <t>A27-0998-TO-01</t>
  </si>
  <si>
    <t>HOLD 23</t>
  </si>
  <si>
    <t>TO</t>
  </si>
  <si>
    <t>DC 21</t>
  </si>
  <si>
    <t>TO-02</t>
  </si>
  <si>
    <t>A27-1014-TO-02</t>
  </si>
  <si>
    <t>TO-03</t>
  </si>
  <si>
    <t>A27-1012-TO-03</t>
  </si>
  <si>
    <t>DC 23</t>
  </si>
  <si>
    <t>TO-04</t>
  </si>
  <si>
    <t>A27-1015-TO-04</t>
  </si>
  <si>
    <t>TO-06</t>
  </si>
  <si>
    <t>A27-1009-TO-06</t>
  </si>
  <si>
    <t>TO-CO1</t>
  </si>
  <si>
    <t>A27-1032-TO-CO1</t>
  </si>
  <si>
    <t>DC 26</t>
  </si>
  <si>
    <t>V8</t>
  </si>
  <si>
    <t>D12-8046-V8</t>
  </si>
  <si>
    <t>DC 27</t>
  </si>
  <si>
    <t>PFI-O10</t>
  </si>
  <si>
    <t>C5-6075-PFI-O10</t>
  </si>
  <si>
    <t>DC 28</t>
  </si>
  <si>
    <t>PFB-04</t>
  </si>
  <si>
    <t>B4-4177-PFB-04</t>
  </si>
  <si>
    <t>DC 29</t>
  </si>
  <si>
    <t>PFB-05</t>
  </si>
  <si>
    <t>A15-0507-PFB-05</t>
  </si>
  <si>
    <t>DC 30</t>
  </si>
  <si>
    <t>PFB-06</t>
  </si>
  <si>
    <t>A16-0546-PFB-06</t>
  </si>
  <si>
    <t>DC 31</t>
  </si>
  <si>
    <t>PFB-07</t>
  </si>
  <si>
    <t>B3-4119-PFB-07</t>
  </si>
  <si>
    <t>DC 32</t>
  </si>
  <si>
    <t>JMT-138</t>
  </si>
  <si>
    <t>A24-0847-JMT-138</t>
  </si>
  <si>
    <t>DC 33</t>
  </si>
  <si>
    <t>FAB-06</t>
  </si>
  <si>
    <t>B1-4001-FAB-06</t>
  </si>
  <si>
    <t>DC 34</t>
  </si>
  <si>
    <t>FAB-07</t>
  </si>
  <si>
    <t>B1-4005-FAB-07</t>
  </si>
  <si>
    <t>LSF 22</t>
  </si>
  <si>
    <t>DC 35</t>
  </si>
  <si>
    <t>FAB-11</t>
  </si>
  <si>
    <t>C8-6123-FAB-11</t>
  </si>
  <si>
    <t>DC 36</t>
  </si>
  <si>
    <t>FAB-12</t>
  </si>
  <si>
    <t>C8-6125-FAB-12</t>
  </si>
  <si>
    <t>DC 37</t>
  </si>
  <si>
    <t>FAB-15</t>
  </si>
  <si>
    <t>A27-1027-FAB-15</t>
  </si>
  <si>
    <t>HOLD 22</t>
  </si>
  <si>
    <t>DC 38</t>
  </si>
  <si>
    <t>FAB-31</t>
  </si>
  <si>
    <t>A24-0866-FAB-31</t>
  </si>
  <si>
    <t>DC 39</t>
  </si>
  <si>
    <t>FAB-41</t>
  </si>
  <si>
    <t>B5-4230-FAB-41</t>
  </si>
  <si>
    <t>DC 40</t>
  </si>
  <si>
    <t>FAB-42</t>
  </si>
  <si>
    <t>B1-4016-FAB-42</t>
  </si>
  <si>
    <t>DC 41</t>
  </si>
  <si>
    <t>FAB-51</t>
  </si>
  <si>
    <t>A26-0970-FAB-51</t>
  </si>
  <si>
    <t>DC 42</t>
  </si>
  <si>
    <t>PFB-09</t>
  </si>
  <si>
    <t>A16-0544-PFB-09</t>
  </si>
  <si>
    <t>DC 43</t>
  </si>
  <si>
    <t>PFI-05</t>
  </si>
  <si>
    <t>D4-8015-PFI-05</t>
  </si>
  <si>
    <t>DC 44</t>
  </si>
  <si>
    <t>PFI-07</t>
  </si>
  <si>
    <t>D5-8019-PFI-07</t>
  </si>
  <si>
    <t>DC 45</t>
  </si>
  <si>
    <t>FAB-55</t>
  </si>
  <si>
    <t>D11-8041-FAB-55</t>
  </si>
  <si>
    <t>IMP 504</t>
  </si>
  <si>
    <t>DC 46</t>
  </si>
  <si>
    <t>FAB-78</t>
  </si>
  <si>
    <t>A25-0921-FAB-78</t>
  </si>
  <si>
    <t>DC 47</t>
  </si>
  <si>
    <t>FAB-79</t>
  </si>
  <si>
    <t>A25-0928-FAB-79</t>
  </si>
  <si>
    <t>LNP 22</t>
  </si>
  <si>
    <t>DC 48</t>
  </si>
  <si>
    <t>PKG-03</t>
  </si>
  <si>
    <t>A07-0233-PKG-03</t>
  </si>
  <si>
    <t>PKG</t>
  </si>
  <si>
    <t>DC 49</t>
  </si>
  <si>
    <t>PKG-04</t>
  </si>
  <si>
    <t>A12-0410-PKG-04</t>
  </si>
  <si>
    <t>DC 50</t>
  </si>
  <si>
    <t>PKG-05</t>
  </si>
  <si>
    <t>A14-0485-PKG-05</t>
  </si>
  <si>
    <t>DC 51</t>
  </si>
  <si>
    <t>PKG-07</t>
  </si>
  <si>
    <t>A06-0212-PKG-07</t>
  </si>
  <si>
    <t>DC 52</t>
  </si>
  <si>
    <t>PKG-08</t>
  </si>
  <si>
    <t>A15-0515-PKG-08</t>
  </si>
  <si>
    <t>DC 53</t>
  </si>
  <si>
    <t>FAB-104</t>
  </si>
  <si>
    <t>C10-6222-FAB-104</t>
  </si>
  <si>
    <t>Dc</t>
  </si>
  <si>
    <t>DC 54</t>
  </si>
  <si>
    <t>FAB-110</t>
  </si>
  <si>
    <t>B3-4151-FAB-110</t>
  </si>
  <si>
    <t>DC 55</t>
  </si>
  <si>
    <t>PKG-09</t>
  </si>
  <si>
    <t>A27-0991-PKG-09</t>
  </si>
  <si>
    <t>DC 56</t>
  </si>
  <si>
    <t>PKG-11</t>
  </si>
  <si>
    <t>A11-0371-PKG-11</t>
  </si>
  <si>
    <t>DC 57</t>
  </si>
  <si>
    <t>PF-RG3</t>
  </si>
  <si>
    <t>A23-0795-PF-RG3</t>
  </si>
  <si>
    <t>DC 58</t>
  </si>
  <si>
    <t>JMT-153</t>
  </si>
  <si>
    <t>A25-0913-JMT-153</t>
  </si>
  <si>
    <t>DC 59</t>
  </si>
  <si>
    <t>PKG-12</t>
  </si>
  <si>
    <t>A12-0431-PKG-12</t>
  </si>
  <si>
    <t>DC 60</t>
  </si>
  <si>
    <t>PS-35</t>
  </si>
  <si>
    <t>A27-0986-PS-35</t>
  </si>
  <si>
    <t>UPS</t>
  </si>
  <si>
    <t>PS</t>
  </si>
  <si>
    <t>DC 61</t>
  </si>
  <si>
    <t>PS-57</t>
  </si>
  <si>
    <t>A27-0987-PS-57</t>
  </si>
  <si>
    <t>DC 62</t>
  </si>
  <si>
    <t>PFB-13</t>
  </si>
  <si>
    <t>A16-0545-PFB-13</t>
  </si>
  <si>
    <t>DC 63</t>
  </si>
  <si>
    <t>FAB-122</t>
  </si>
  <si>
    <t>A25-0931-FAB-122</t>
  </si>
  <si>
    <t>DC 64</t>
  </si>
  <si>
    <t>JMT-154</t>
  </si>
  <si>
    <t>A04-0139-JMT-154</t>
  </si>
  <si>
    <t>DC 65</t>
  </si>
  <si>
    <t>JMT-159</t>
  </si>
  <si>
    <t>C8-6122-JMT-159</t>
  </si>
  <si>
    <t>DC 66</t>
  </si>
  <si>
    <t>GEN-PC01</t>
  </si>
  <si>
    <t>A24-0849-GEN-PC01</t>
  </si>
  <si>
    <t>DC 67</t>
  </si>
  <si>
    <t>GEN-NS12</t>
  </si>
  <si>
    <t>A26-0939-GEN-NS12</t>
  </si>
  <si>
    <t>DC 68</t>
  </si>
  <si>
    <t>FAB-180</t>
  </si>
  <si>
    <t>C8-6144-FAB-180</t>
  </si>
  <si>
    <t>IMP 505</t>
  </si>
  <si>
    <t>DC 69</t>
  </si>
  <si>
    <t>FAB-426</t>
  </si>
  <si>
    <t>PFI-11</t>
  </si>
  <si>
    <t>C6-6092-PFI-11</t>
  </si>
  <si>
    <t>DC 70</t>
  </si>
  <si>
    <t>PFI-12</t>
  </si>
  <si>
    <t>C4-6064-PFI-12</t>
  </si>
  <si>
    <t>DC 71</t>
  </si>
  <si>
    <t>FAB-183</t>
  </si>
  <si>
    <t>C4-6067-FAB-183</t>
  </si>
  <si>
    <t>DC 72</t>
  </si>
  <si>
    <t>FAB-191</t>
  </si>
  <si>
    <t>C3-6054-FAB-191</t>
  </si>
  <si>
    <t>DC 73</t>
  </si>
  <si>
    <t>SS-63</t>
  </si>
  <si>
    <t>A24-0876-SS-63</t>
  </si>
  <si>
    <t>SS</t>
  </si>
  <si>
    <t>DC 74</t>
  </si>
  <si>
    <t>SS-64</t>
  </si>
  <si>
    <t>A26-0969-SS-64</t>
  </si>
  <si>
    <t>DC 75</t>
  </si>
  <si>
    <t>SS-71</t>
  </si>
  <si>
    <t>A24-0874-SS-71</t>
  </si>
  <si>
    <t>DC 76</t>
  </si>
  <si>
    <t>SS-72</t>
  </si>
  <si>
    <t>A25-0887-SS-72</t>
  </si>
  <si>
    <t>DC 77</t>
  </si>
  <si>
    <t>FAB-195</t>
  </si>
  <si>
    <t>A26-0975-FAB-195</t>
  </si>
  <si>
    <t>DC 78</t>
  </si>
  <si>
    <t>FAB-196</t>
  </si>
  <si>
    <t>A26-0984-FAB-196</t>
  </si>
  <si>
    <t>DC 79</t>
  </si>
  <si>
    <t>FAB-197</t>
  </si>
  <si>
    <t>C10-6227-FAB-197</t>
  </si>
  <si>
    <t>DC 80</t>
  </si>
  <si>
    <t>FAB-199</t>
  </si>
  <si>
    <t>C10-6225-FAB-199</t>
  </si>
  <si>
    <t>DC 81</t>
  </si>
  <si>
    <t>FAB-208</t>
  </si>
  <si>
    <t>C6-6094-FAB-208</t>
  </si>
  <si>
    <t>DC 82</t>
  </si>
  <si>
    <t>FAB-209</t>
  </si>
  <si>
    <t>A25-0911-FAB-209</t>
  </si>
  <si>
    <t>DC 83</t>
  </si>
  <si>
    <t>FAB-210</t>
  </si>
  <si>
    <t>A26-0953-FAB-210</t>
  </si>
  <si>
    <t>DC 84</t>
  </si>
  <si>
    <t>FAB-211</t>
  </si>
  <si>
    <t>C6-6096-FAB-211</t>
  </si>
  <si>
    <t>DC 85</t>
  </si>
  <si>
    <t>FAB-214</t>
  </si>
  <si>
    <t>C9-6171-FAB-214</t>
  </si>
  <si>
    <t>DC 86</t>
  </si>
  <si>
    <t>FAB-216</t>
  </si>
  <si>
    <t>C8-6146-FAB-216</t>
  </si>
  <si>
    <t>IMP 506</t>
  </si>
  <si>
    <t>DC 87</t>
  </si>
  <si>
    <t>FAB-227</t>
  </si>
  <si>
    <t>B1-4012-FAB-227</t>
  </si>
  <si>
    <t>DC 88</t>
  </si>
  <si>
    <t>FAB-228</t>
  </si>
  <si>
    <t>C4-6068-FAB-228</t>
  </si>
  <si>
    <t>DC 89</t>
  </si>
  <si>
    <t>CT-WK44</t>
  </si>
  <si>
    <t>C10-6231-CT-WK44</t>
  </si>
  <si>
    <t>DC 90</t>
  </si>
  <si>
    <t>FAB-240</t>
  </si>
  <si>
    <t>B4-4187-FAB-240</t>
  </si>
  <si>
    <t>IMP 507</t>
  </si>
  <si>
    <t>DC 91</t>
  </si>
  <si>
    <t>FAB-241</t>
  </si>
  <si>
    <t>C7-6111-FAB-241</t>
  </si>
  <si>
    <t>IMP 508</t>
  </si>
  <si>
    <t>DC 92</t>
  </si>
  <si>
    <t>FAB-242</t>
  </si>
  <si>
    <t>D13-8051-FAB-242</t>
  </si>
  <si>
    <t>IMP 509</t>
  </si>
  <si>
    <t>DC 93</t>
  </si>
  <si>
    <t>FAB-509,FAB-564</t>
  </si>
  <si>
    <t>FAB-243</t>
  </si>
  <si>
    <t>D13-8052-FAB-243</t>
  </si>
  <si>
    <t>IMP 510</t>
  </si>
  <si>
    <t>DC 94</t>
  </si>
  <si>
    <t>PKG-13</t>
  </si>
  <si>
    <t>A10-0355-PKG-13</t>
  </si>
  <si>
    <t>DC 95</t>
  </si>
  <si>
    <t>JMT-163</t>
  </si>
  <si>
    <t>C4-6068-JMT-163</t>
  </si>
  <si>
    <t>DC 96</t>
  </si>
  <si>
    <t>FAB-252</t>
  </si>
  <si>
    <t>A24-0869-FAB-252</t>
  </si>
  <si>
    <t>DC 97</t>
  </si>
  <si>
    <t>JMT-166</t>
  </si>
  <si>
    <t>A11-0391-JMT-166</t>
  </si>
  <si>
    <t>DC 98</t>
  </si>
  <si>
    <t>JMT-167</t>
  </si>
  <si>
    <t>B4-4183-JMT-167</t>
  </si>
  <si>
    <t>DC 99</t>
  </si>
  <si>
    <t>FAB-261</t>
  </si>
  <si>
    <t>A25-0925-FAB-261</t>
  </si>
  <si>
    <t>DC 100</t>
  </si>
  <si>
    <t>FAB-265</t>
  </si>
  <si>
    <t>A25-0935-FAB-265</t>
  </si>
  <si>
    <t>DC 101</t>
  </si>
  <si>
    <t>FAB-267</t>
  </si>
  <si>
    <t>A24-0871-FAB-267</t>
  </si>
  <si>
    <t>DC 102</t>
  </si>
  <si>
    <t>FAB-270</t>
  </si>
  <si>
    <t>C5-6070-FAB-270</t>
  </si>
  <si>
    <t>DC 103</t>
  </si>
  <si>
    <t>FAB-279</t>
  </si>
  <si>
    <t>C7-6109-FAB-279</t>
  </si>
  <si>
    <t>FDA</t>
  </si>
  <si>
    <t>DC 104</t>
  </si>
  <si>
    <t>FAB-280</t>
  </si>
  <si>
    <t>B1-4011-FAB-280</t>
  </si>
  <si>
    <t>DC 105</t>
  </si>
  <si>
    <t>FAB-282</t>
  </si>
  <si>
    <t>C7-6113-FAB-282</t>
  </si>
  <si>
    <t>IMP 511</t>
  </si>
  <si>
    <t>DC 106</t>
  </si>
  <si>
    <t>FAB-283</t>
  </si>
  <si>
    <t>B3-4109-FAB-283</t>
  </si>
  <si>
    <t>DC 107</t>
  </si>
  <si>
    <t>FAB-286</t>
  </si>
  <si>
    <t>C1-6010-FAB-286</t>
  </si>
  <si>
    <t>IMP 512</t>
  </si>
  <si>
    <t>DC 108</t>
  </si>
  <si>
    <t>FAB-288</t>
  </si>
  <si>
    <t>C5-6080-FAB-288</t>
  </si>
  <si>
    <t>IMP 513</t>
  </si>
  <si>
    <t>DC 109</t>
  </si>
  <si>
    <t>FAB-427</t>
  </si>
  <si>
    <t>FAB-289</t>
  </si>
  <si>
    <t>B2-4055-FAB-289</t>
  </si>
  <si>
    <t>DC 110</t>
  </si>
  <si>
    <t>FAB-291</t>
  </si>
  <si>
    <t>B5-4251-FAB-291</t>
  </si>
  <si>
    <t>DC 111</t>
  </si>
  <si>
    <t>FAB-295</t>
  </si>
  <si>
    <t>C10-6213-FAB-295</t>
  </si>
  <si>
    <t>IMP 514</t>
  </si>
  <si>
    <t>DC 112</t>
  </si>
  <si>
    <t>FAB-296</t>
  </si>
  <si>
    <t>C1-6021-FAB-296</t>
  </si>
  <si>
    <t>DC 113</t>
  </si>
  <si>
    <t>FAB-298</t>
  </si>
  <si>
    <t>C6-6088-FAB-298</t>
  </si>
  <si>
    <t>DC 114</t>
  </si>
  <si>
    <t>FAB-299</t>
  </si>
  <si>
    <t>C10-6219-FAB-299</t>
  </si>
  <si>
    <t>DC 115</t>
  </si>
  <si>
    <t>FAB-300</t>
  </si>
  <si>
    <t>C1-6020-FAB-300</t>
  </si>
  <si>
    <t>DC 116</t>
  </si>
  <si>
    <t>FAB-301</t>
  </si>
  <si>
    <t>C1-6012-FAB-301</t>
  </si>
  <si>
    <t>DC 117</t>
  </si>
  <si>
    <t>FAB-302</t>
  </si>
  <si>
    <t>C10-6191-FAB-302</t>
  </si>
  <si>
    <t>DC 118</t>
  </si>
  <si>
    <t>FAB-307</t>
  </si>
  <si>
    <t>C2-6041-FAB-307</t>
  </si>
  <si>
    <t>DC 119</t>
  </si>
  <si>
    <t>FAB-308</t>
  </si>
  <si>
    <t>C1-6005-FAB-308</t>
  </si>
  <si>
    <t>DC 120</t>
  </si>
  <si>
    <t>FAB-309</t>
  </si>
  <si>
    <t>B4-4179-FAB-309</t>
  </si>
  <si>
    <t>DC 121</t>
  </si>
  <si>
    <t>FAB-310</t>
  </si>
  <si>
    <t>A09-0292-FAB-310</t>
  </si>
  <si>
    <t>DC 122</t>
  </si>
  <si>
    <t>FAB-313</t>
  </si>
  <si>
    <t>A24-0878-FAB-313</t>
  </si>
  <si>
    <t>DC 123</t>
  </si>
  <si>
    <t>FAB-314 (P1)</t>
  </si>
  <si>
    <t>C1-6017-FAB-314 (P1)</t>
  </si>
  <si>
    <t>DC 124</t>
  </si>
  <si>
    <t>FAB-317</t>
  </si>
  <si>
    <t>C3-6055-FAB-317</t>
  </si>
  <si>
    <t>DC 125</t>
  </si>
  <si>
    <t>FAB-318</t>
  </si>
  <si>
    <t>B5-4219-FAB-318</t>
  </si>
  <si>
    <t>DC 126</t>
  </si>
  <si>
    <t>FAB-319</t>
  </si>
  <si>
    <t>C3-6049-FAB-319</t>
  </si>
  <si>
    <t>DC 127</t>
  </si>
  <si>
    <t>ST-07</t>
  </si>
  <si>
    <t>B5-4223-ST-07</t>
  </si>
  <si>
    <t>IMPROVED</t>
  </si>
  <si>
    <t>DC 128</t>
  </si>
  <si>
    <t>FAB-326</t>
  </si>
  <si>
    <t>C1-6023-FAB-326</t>
  </si>
  <si>
    <t>DC 129</t>
  </si>
  <si>
    <t>FAB-327</t>
  </si>
  <si>
    <t>C3-6056-FAB-327</t>
  </si>
  <si>
    <t>DC 130</t>
  </si>
  <si>
    <t>FAB-328</t>
  </si>
  <si>
    <t>C3-6050-FAB-328</t>
  </si>
  <si>
    <t>DC 131</t>
  </si>
  <si>
    <t>FAB-329</t>
  </si>
  <si>
    <t>C3-6056-FAB-329</t>
  </si>
  <si>
    <t>DC 132</t>
  </si>
  <si>
    <t>FAB-331</t>
  </si>
  <si>
    <t>B2-4106-FAB-331</t>
  </si>
  <si>
    <t>DC 133</t>
  </si>
  <si>
    <t>FAB-332</t>
  </si>
  <si>
    <t>B2-4097-FAB-332</t>
  </si>
  <si>
    <t>DC 134</t>
  </si>
  <si>
    <t>FAB-333</t>
  </si>
  <si>
    <t>B2-4088-FAB-333</t>
  </si>
  <si>
    <t>DC 135</t>
  </si>
  <si>
    <t>FAB-334</t>
  </si>
  <si>
    <t>B1-4021-FAB-334</t>
  </si>
  <si>
    <t>DC 136</t>
  </si>
  <si>
    <t>FAB-335</t>
  </si>
  <si>
    <t>B1-4019-FAB-335</t>
  </si>
  <si>
    <t>DC 137</t>
  </si>
  <si>
    <t>FAB-336</t>
  </si>
  <si>
    <t>C1-6003-FAB-336</t>
  </si>
  <si>
    <t>DC 138</t>
  </si>
  <si>
    <t>FAB-339</t>
  </si>
  <si>
    <t>B5-4225-FAB-339</t>
  </si>
  <si>
    <t>DC 139</t>
  </si>
  <si>
    <t>FAB-341</t>
  </si>
  <si>
    <t>B5-4245-FAB-341</t>
  </si>
  <si>
    <t>DC 140</t>
  </si>
  <si>
    <t>FAB-342</t>
  </si>
  <si>
    <t>C7-6119-FAB-342</t>
  </si>
  <si>
    <t>IMP 515</t>
  </si>
  <si>
    <t>DC 141</t>
  </si>
  <si>
    <t>FAB-343</t>
  </si>
  <si>
    <t>C10-6228-FAB-343</t>
  </si>
  <si>
    <t>DC 142</t>
  </si>
  <si>
    <t>PFI-09</t>
  </si>
  <si>
    <t>A29-1090-PFI-09</t>
  </si>
  <si>
    <t>DC 143</t>
  </si>
  <si>
    <t>PFB-15</t>
  </si>
  <si>
    <t>B4-4189-PFB-15</t>
  </si>
  <si>
    <t>DC 144</t>
  </si>
  <si>
    <t>FAB-347</t>
  </si>
  <si>
    <t>C9-6173-FAB-347</t>
  </si>
  <si>
    <t>DC 145</t>
  </si>
  <si>
    <t>FAB-314 (P2)</t>
  </si>
  <si>
    <t>C1-6018-FAB-314 (P2)</t>
  </si>
  <si>
    <t>DC 146</t>
  </si>
  <si>
    <t>PF-16</t>
  </si>
  <si>
    <t>A29-1091-PF-16</t>
  </si>
  <si>
    <t>DC 147</t>
  </si>
  <si>
    <t>D12-8048-PF-220</t>
  </si>
  <si>
    <t>DC 148</t>
  </si>
  <si>
    <t>PF-D02</t>
  </si>
  <si>
    <t>B1-4045-PF-D02</t>
  </si>
  <si>
    <t>DC 149</t>
  </si>
  <si>
    <t>FAB-349</t>
  </si>
  <si>
    <t>B5-4235-FAB-349</t>
  </si>
  <si>
    <t>DC 150</t>
  </si>
  <si>
    <t>FAB-08B</t>
  </si>
  <si>
    <t>D8-8029-FAB-08B</t>
  </si>
  <si>
    <t>IMP 501</t>
  </si>
  <si>
    <t>DC 151</t>
  </si>
  <si>
    <t>FAB-13B</t>
  </si>
  <si>
    <t>C10-6189-FAB-13B</t>
  </si>
  <si>
    <t>DC 152</t>
  </si>
  <si>
    <t>ECO-16</t>
  </si>
  <si>
    <t>C9-6175-ECO-16</t>
  </si>
  <si>
    <t>DC 153</t>
  </si>
  <si>
    <t>ECO-17</t>
  </si>
  <si>
    <t>C9-6175-ECO-17</t>
  </si>
  <si>
    <t>DC 154</t>
  </si>
  <si>
    <t>FAB-355</t>
  </si>
  <si>
    <t>C10-6193-FAB-355</t>
  </si>
  <si>
    <t>IMP 516</t>
  </si>
  <si>
    <t>DC 155</t>
  </si>
  <si>
    <t>FAB-356</t>
  </si>
  <si>
    <t>C9-6172-FAB-356</t>
  </si>
  <si>
    <t>IMP 517</t>
  </si>
  <si>
    <t>DC 156</t>
  </si>
  <si>
    <t>FAB-357</t>
  </si>
  <si>
    <t>C9-6169-FAB-357</t>
  </si>
  <si>
    <t>IMP 518</t>
  </si>
  <si>
    <t>DC 157</t>
  </si>
  <si>
    <t>FAB-409</t>
  </si>
  <si>
    <t>FAB-358</t>
  </si>
  <si>
    <t>C10-6225-FAB-358</t>
  </si>
  <si>
    <t>IMP 519</t>
  </si>
  <si>
    <t>DC 158</t>
  </si>
  <si>
    <t>FAB-360</t>
  </si>
  <si>
    <t>C10-6223-FAB-360</t>
  </si>
  <si>
    <t>IMP 521</t>
  </si>
  <si>
    <t>DC 159</t>
  </si>
  <si>
    <t>FAB-361</t>
  </si>
  <si>
    <t>C10-6224-FAB-361</t>
  </si>
  <si>
    <t>IMP 522</t>
  </si>
  <si>
    <t>DC 160</t>
  </si>
  <si>
    <t>FAB-362</t>
  </si>
  <si>
    <t>C10-6229-FAB-362</t>
  </si>
  <si>
    <t>IMP 523</t>
  </si>
  <si>
    <t>DC 161</t>
  </si>
  <si>
    <t>FAB-363</t>
  </si>
  <si>
    <t>B3-4153-FAB-363</t>
  </si>
  <si>
    <t>IMP 524</t>
  </si>
  <si>
    <t>DC 162</t>
  </si>
  <si>
    <t>FAB-364</t>
  </si>
  <si>
    <t>B3-4118-FAB-364</t>
  </si>
  <si>
    <t>IMP 525</t>
  </si>
  <si>
    <t>DC 163</t>
  </si>
  <si>
    <t>FAB-365</t>
  </si>
  <si>
    <t>B3-4141-FAB-365</t>
  </si>
  <si>
    <t>IMP 526</t>
  </si>
  <si>
    <t>DC 164</t>
  </si>
  <si>
    <t>FAB-367</t>
  </si>
  <si>
    <t>B3-4125-FAB-367</t>
  </si>
  <si>
    <t>DC 165</t>
  </si>
  <si>
    <t>FAB-368</t>
  </si>
  <si>
    <t>A23-0807-FAB-368</t>
  </si>
  <si>
    <t>IMP 432</t>
  </si>
  <si>
    <t>DC 166</t>
  </si>
  <si>
    <t>FAB-369</t>
  </si>
  <si>
    <t>A23-0811-FAB-369</t>
  </si>
  <si>
    <t>IMP 433</t>
  </si>
  <si>
    <t>DC 167</t>
  </si>
  <si>
    <t>FAB-373</t>
  </si>
  <si>
    <t>A23-0821-FAB-373</t>
  </si>
  <si>
    <t>IMP 437</t>
  </si>
  <si>
    <t>DC 168</t>
  </si>
  <si>
    <t>FAB-374</t>
  </si>
  <si>
    <t>A23-0823-FAB-374</t>
  </si>
  <si>
    <t>IMP 439</t>
  </si>
  <si>
    <t>DC 169</t>
  </si>
  <si>
    <t>FAB-386</t>
  </si>
  <si>
    <t>C9-6176-FAB-386</t>
  </si>
  <si>
    <t>DC 170</t>
  </si>
  <si>
    <t>FAB-389</t>
  </si>
  <si>
    <t>A25-0929-FAB-389</t>
  </si>
  <si>
    <t>DC 171</t>
  </si>
  <si>
    <t>FAB-390</t>
  </si>
  <si>
    <t>A24-0859-FAB-390</t>
  </si>
  <si>
    <t>DC 172</t>
  </si>
  <si>
    <t>FAB-392</t>
  </si>
  <si>
    <t>A04-0142-FAB-392</t>
  </si>
  <si>
    <t>DC 173</t>
  </si>
  <si>
    <t>FAB-393</t>
  </si>
  <si>
    <t>A16-0569-FAB-393</t>
  </si>
  <si>
    <t>DC 174</t>
  </si>
  <si>
    <t>FAB-394</t>
  </si>
  <si>
    <t>A16-0571-FAB-394</t>
  </si>
  <si>
    <t>DC 175</t>
  </si>
  <si>
    <t>FAB-396</t>
  </si>
  <si>
    <t>D14-8055-FAB-396</t>
  </si>
  <si>
    <t>IMP 528</t>
  </si>
  <si>
    <t>DC 176</t>
  </si>
  <si>
    <t>ARF014</t>
  </si>
  <si>
    <t>A26-0977-ARF014</t>
  </si>
  <si>
    <t>ART</t>
  </si>
  <si>
    <t>DC 177</t>
  </si>
  <si>
    <t>ARF018</t>
  </si>
  <si>
    <t>A25-0917-ARF018</t>
  </si>
  <si>
    <t>DC 178</t>
  </si>
  <si>
    <t>ARF017</t>
  </si>
  <si>
    <t>C3-6053-ARF017</t>
  </si>
  <si>
    <t>DC 179</t>
  </si>
  <si>
    <t>ARF007-SC</t>
  </si>
  <si>
    <t>C6-6085-ARF007-SC</t>
  </si>
  <si>
    <t>DC 180</t>
  </si>
  <si>
    <t>ARF003-N</t>
  </si>
  <si>
    <t>A26-0961-ARF003-N</t>
  </si>
  <si>
    <t>DC 181</t>
  </si>
  <si>
    <t>ARF001-SC</t>
  </si>
  <si>
    <t>C6-6085-ARF001-SC</t>
  </si>
  <si>
    <t>DC 182</t>
  </si>
  <si>
    <t>ARF006</t>
  </si>
  <si>
    <t>C3-6053-ARF006</t>
  </si>
  <si>
    <t>DC 183</t>
  </si>
  <si>
    <t>FAB-407</t>
  </si>
  <si>
    <t>C9-6158-FAB-407</t>
  </si>
  <si>
    <t>IMP 530</t>
  </si>
  <si>
    <t>DC 184</t>
  </si>
  <si>
    <t>FAB-406</t>
  </si>
  <si>
    <t>C9-6149-FAB-406</t>
  </si>
  <si>
    <t>IMP 529</t>
  </si>
  <si>
    <t>DC 185</t>
  </si>
  <si>
    <t>ARF015-SC</t>
  </si>
  <si>
    <t>C6-6092-ARF015-SC</t>
  </si>
  <si>
    <t>DC 186</t>
  </si>
  <si>
    <t>C9-6151-FAB-409</t>
  </si>
  <si>
    <t>IMP 531</t>
  </si>
  <si>
    <t>DC 187</t>
  </si>
  <si>
    <t>FAB-410</t>
  </si>
  <si>
    <t>B1-4009-FAB-410</t>
  </si>
  <si>
    <t>DC 188</t>
  </si>
  <si>
    <t>FAB-411</t>
  </si>
  <si>
    <t>C10-6204-FAB-411</t>
  </si>
  <si>
    <t>DC 189</t>
  </si>
  <si>
    <t>FAB-412</t>
  </si>
  <si>
    <t>C8-6143-FAB-412</t>
  </si>
  <si>
    <t>DC 190</t>
  </si>
  <si>
    <t>TB-1000</t>
  </si>
  <si>
    <t>C7-6105-TB-1000</t>
  </si>
  <si>
    <t>TB</t>
  </si>
  <si>
    <t>DC 191</t>
  </si>
  <si>
    <t>FAB-413</t>
  </si>
  <si>
    <t>A15-0510-FAB-413</t>
  </si>
  <si>
    <t>DC 192</t>
  </si>
  <si>
    <t>FAB-414</t>
  </si>
  <si>
    <t>B3-4126-FAB-414</t>
  </si>
  <si>
    <t>IMP 532</t>
  </si>
  <si>
    <t>DC 193</t>
  </si>
  <si>
    <t>FAB-415</t>
  </si>
  <si>
    <t>C10-6205-FAB-415</t>
  </si>
  <si>
    <t>IMP 533</t>
  </si>
  <si>
    <t>DC 194</t>
  </si>
  <si>
    <t>FAB-416</t>
  </si>
  <si>
    <t>C10-6207-FAB-416</t>
  </si>
  <si>
    <t>IMP 534</t>
  </si>
  <si>
    <t>DC 195</t>
  </si>
  <si>
    <t>FAB-417</t>
  </si>
  <si>
    <t>D9-8034-FAB-417</t>
  </si>
  <si>
    <t>IMP 535</t>
  </si>
  <si>
    <t>DC 196</t>
  </si>
  <si>
    <t>FAB-419</t>
  </si>
  <si>
    <t>A07-0248-FAB-419</t>
  </si>
  <si>
    <t>DC 197</t>
  </si>
  <si>
    <t>FAB-420</t>
  </si>
  <si>
    <t>B1-4003-FAB-420</t>
  </si>
  <si>
    <t>IMP 536</t>
  </si>
  <si>
    <t>DC 198</t>
  </si>
  <si>
    <t>FAB-421</t>
  </si>
  <si>
    <t>B5-4233-FAB-421</t>
  </si>
  <si>
    <t>IMP 537</t>
  </si>
  <si>
    <t>DC 199</t>
  </si>
  <si>
    <t>FAB-422</t>
  </si>
  <si>
    <t>B1-4005-FAB-422</t>
  </si>
  <si>
    <t>IMP 538</t>
  </si>
  <si>
    <t>DC 200</t>
  </si>
  <si>
    <t>FAB-423</t>
  </si>
  <si>
    <t>B3-4115-FAB-423</t>
  </si>
  <si>
    <t>IMP 539</t>
  </si>
  <si>
    <t>DC 201</t>
  </si>
  <si>
    <t>FAB-424</t>
  </si>
  <si>
    <t>C10-6203-FAB-424</t>
  </si>
  <si>
    <t>IMP 540</t>
  </si>
  <si>
    <t>DC 202</t>
  </si>
  <si>
    <t>FAB-425</t>
  </si>
  <si>
    <t>C10-6228-FAB-425</t>
  </si>
  <si>
    <t>IMP 541</t>
  </si>
  <si>
    <t>DC 203</t>
  </si>
  <si>
    <t>B3-4139-FAB-426</t>
  </si>
  <si>
    <t>IMP 542</t>
  </si>
  <si>
    <t>DC 204</t>
  </si>
  <si>
    <t>C10-6206-FAB-427</t>
  </si>
  <si>
    <t>IMP 543</t>
  </si>
  <si>
    <t>DC 205</t>
  </si>
  <si>
    <t>FAB-428</t>
  </si>
  <si>
    <t>C10-6230-FAB-428</t>
  </si>
  <si>
    <t>IMP 544</t>
  </si>
  <si>
    <t>DC 206</t>
  </si>
  <si>
    <t>FAB-429</t>
  </si>
  <si>
    <t>C10-6221-FAB-429</t>
  </si>
  <si>
    <t>IMP 545</t>
  </si>
  <si>
    <t>DC 207</t>
  </si>
  <si>
    <t>FAB-430</t>
  </si>
  <si>
    <t>C9-6160-FAB-430</t>
  </si>
  <si>
    <t>IMP 546</t>
  </si>
  <si>
    <t>DC 208</t>
  </si>
  <si>
    <t>CP-1-2415F</t>
  </si>
  <si>
    <t>A25-0891-CP-1-2415F</t>
  </si>
  <si>
    <t>WASTE</t>
  </si>
  <si>
    <t>DC 209</t>
  </si>
  <si>
    <t>WR-A215</t>
  </si>
  <si>
    <t>A25-0936-WR-A215</t>
  </si>
  <si>
    <t>DC 210</t>
  </si>
  <si>
    <t>WR-A206(3)</t>
  </si>
  <si>
    <t>A12-0415-WR-A206(3)</t>
  </si>
  <si>
    <t>DC 211</t>
  </si>
  <si>
    <t>WR-B103(3)</t>
  </si>
  <si>
    <t>A27-1017-WR-B103(3)</t>
  </si>
  <si>
    <t>DC 212</t>
  </si>
  <si>
    <t>WR-B203(3)</t>
  </si>
  <si>
    <t>A27-1019-WR-B203(3)</t>
  </si>
  <si>
    <t>DC 213</t>
  </si>
  <si>
    <t>FAB-431</t>
  </si>
  <si>
    <t>B1-4015-FAB-431</t>
  </si>
  <si>
    <t>IMP 547</t>
  </si>
  <si>
    <t>DC 214</t>
  </si>
  <si>
    <t>FAB-435</t>
  </si>
  <si>
    <t>A26-0950-FAB-435</t>
  </si>
  <si>
    <t>IMP 474</t>
  </si>
  <si>
    <t>DC 215</t>
  </si>
  <si>
    <t>FPB-07</t>
  </si>
  <si>
    <t>C7-6112-FPB-07</t>
  </si>
  <si>
    <t>IMP FPB-12</t>
  </si>
  <si>
    <t>DC 216</t>
  </si>
  <si>
    <t>FAB-442</t>
  </si>
  <si>
    <t>D4-8013-FAB-442</t>
  </si>
  <si>
    <t>IMP 548</t>
  </si>
  <si>
    <t>DC 217</t>
  </si>
  <si>
    <t>FAB-443</t>
  </si>
  <si>
    <t>D9-8036-FAB-443</t>
  </si>
  <si>
    <t>IMP 549</t>
  </si>
  <si>
    <t>DC 218</t>
  </si>
  <si>
    <t>FAB-444</t>
  </si>
  <si>
    <t>C9-6175-FAB-444</t>
  </si>
  <si>
    <t>IMP 550</t>
  </si>
  <si>
    <t>DC 219</t>
  </si>
  <si>
    <t>FAB-445</t>
  </si>
  <si>
    <t>D10-8040-FAB-445</t>
  </si>
  <si>
    <t>IMP 551</t>
  </si>
  <si>
    <t>DC 220</t>
  </si>
  <si>
    <t>FAB-446</t>
  </si>
  <si>
    <t>D14-8056-FAB-446</t>
  </si>
  <si>
    <t>IMP 552</t>
  </si>
  <si>
    <t>DC 221</t>
  </si>
  <si>
    <t>FAB-447</t>
  </si>
  <si>
    <t>C3-6045-FAB-447</t>
  </si>
  <si>
    <t>IMP 553</t>
  </si>
  <si>
    <t>DC 222</t>
  </si>
  <si>
    <t>FAB-448</t>
  </si>
  <si>
    <t>D9-8034-FAB-448</t>
  </si>
  <si>
    <t>IMP 554</t>
  </si>
  <si>
    <t>DC 223</t>
  </si>
  <si>
    <t>FAB-449</t>
  </si>
  <si>
    <t>C2-6029-FAB-449</t>
  </si>
  <si>
    <t>IMP 555</t>
  </si>
  <si>
    <t>DC 224</t>
  </si>
  <si>
    <t>FAB-450</t>
  </si>
  <si>
    <t>D10-8037-FAB-450</t>
  </si>
  <si>
    <t>IMP 556</t>
  </si>
  <si>
    <t>DC 225</t>
  </si>
  <si>
    <t>EPX-01</t>
  </si>
  <si>
    <t>A06-0197-EPX-01</t>
  </si>
  <si>
    <t>EPX</t>
  </si>
  <si>
    <t>DC 226</t>
  </si>
  <si>
    <t>EPX-02</t>
  </si>
  <si>
    <t>B3-4127-EPX-02</t>
  </si>
  <si>
    <t>DC 227</t>
  </si>
  <si>
    <t>FAB-468</t>
  </si>
  <si>
    <t>C2-6031-FAB-468</t>
  </si>
  <si>
    <t>IMP 557</t>
  </si>
  <si>
    <t>DC 228</t>
  </si>
  <si>
    <t>FAB-469</t>
  </si>
  <si>
    <t>C7-6108-FAB-469</t>
  </si>
  <si>
    <t>IMP 558</t>
  </si>
  <si>
    <t>DC 229</t>
  </si>
  <si>
    <t>FAB-470</t>
  </si>
  <si>
    <t>C1-6010-FAB-470</t>
  </si>
  <si>
    <t>IMP 559</t>
  </si>
  <si>
    <t>DC 230</t>
  </si>
  <si>
    <t>FAB-471</t>
  </si>
  <si>
    <t>C1-6014-FAB-471</t>
  </si>
  <si>
    <t>IMP 560</t>
  </si>
  <si>
    <t>DC 231</t>
  </si>
  <si>
    <t>FAB-472</t>
  </si>
  <si>
    <t>C7-6104-FAB-472</t>
  </si>
  <si>
    <t>IMP 561</t>
  </si>
  <si>
    <t>DC 232</t>
  </si>
  <si>
    <t>FB-C06</t>
  </si>
  <si>
    <t>FB</t>
  </si>
  <si>
    <t>CP-2-2415F</t>
  </si>
  <si>
    <t>A10-0335-CP-2-2415F</t>
  </si>
  <si>
    <t>BS13</t>
  </si>
  <si>
    <t>C10-6198-BS13</t>
  </si>
  <si>
    <t>CM-B209</t>
  </si>
  <si>
    <t>A27-0991-CM-B209</t>
  </si>
  <si>
    <t>STK-DC</t>
  </si>
  <si>
    <t>CSM</t>
  </si>
  <si>
    <t>FB-0303</t>
  </si>
  <si>
    <t>A28-1069-FB-0303</t>
  </si>
  <si>
    <t>FP-66</t>
  </si>
  <si>
    <t>A24-0874-FP-66</t>
  </si>
  <si>
    <t>FP-73</t>
  </si>
  <si>
    <t>A14-0492-FP-73</t>
  </si>
  <si>
    <t>FPB-01</t>
  </si>
  <si>
    <t>C9-6177-FPB-01</t>
  </si>
  <si>
    <t>IMP FPB-10</t>
  </si>
  <si>
    <t>GT-12</t>
  </si>
  <si>
    <t>A25-0923-GT-12</t>
  </si>
  <si>
    <t>GT</t>
  </si>
  <si>
    <t>IB-C11M</t>
  </si>
  <si>
    <t>B2-4101-IB-C11M</t>
  </si>
  <si>
    <t>IB-E03</t>
  </si>
  <si>
    <t>A26-0969-IB-E03</t>
  </si>
  <si>
    <t>IC-1206</t>
  </si>
  <si>
    <t>A23-0793-IC-1206</t>
  </si>
  <si>
    <t>IC</t>
  </si>
  <si>
    <t>IC-1212</t>
  </si>
  <si>
    <t>A23-0793-IC-1212</t>
  </si>
  <si>
    <t>IC-1218</t>
  </si>
  <si>
    <t>A23-0793-IC-1218</t>
  </si>
  <si>
    <t>IC-1224</t>
  </si>
  <si>
    <t>A23-0793-IC-1224</t>
  </si>
  <si>
    <t>IC-1806</t>
  </si>
  <si>
    <t>A23-0793-IC-1806</t>
  </si>
  <si>
    <t>IC-1812</t>
  </si>
  <si>
    <t>A23-0793-IC-1812</t>
  </si>
  <si>
    <t>IC-1818</t>
  </si>
  <si>
    <t>A23-0793-IC-1818</t>
  </si>
  <si>
    <t>IC-2406</t>
  </si>
  <si>
    <t>A23-0793-IC-2406</t>
  </si>
  <si>
    <t>IC-2418</t>
  </si>
  <si>
    <t>A23-0793-IC-2418</t>
  </si>
  <si>
    <t>IC-3006</t>
  </si>
  <si>
    <t>A23-0793-IC-3006</t>
  </si>
  <si>
    <t>IC-3024</t>
  </si>
  <si>
    <t>A23-0793-IC-3024</t>
  </si>
  <si>
    <t>IC-3606</t>
  </si>
  <si>
    <t>A23-0793-IC-3606</t>
  </si>
  <si>
    <t>IC-3612</t>
  </si>
  <si>
    <t>A23-0793-IC-3612</t>
  </si>
  <si>
    <t>IC-3624</t>
  </si>
  <si>
    <t>A23-0793-IC-3624</t>
  </si>
  <si>
    <t>IC-4206</t>
  </si>
  <si>
    <t>A23-0793-IC-4206</t>
  </si>
  <si>
    <t>IC-4218</t>
  </si>
  <si>
    <t>A23-0793-IC-4218</t>
  </si>
  <si>
    <t>IC-4224</t>
  </si>
  <si>
    <t>A23-0793-IC-4224</t>
  </si>
  <si>
    <t>IC-4806</t>
  </si>
  <si>
    <t>A23-0793-IC-4806</t>
  </si>
  <si>
    <t>IC-4812</t>
  </si>
  <si>
    <t>A23-0793-IC-4812</t>
  </si>
  <si>
    <t>IC-4818</t>
  </si>
  <si>
    <t>A23-0793-IC-4818</t>
  </si>
  <si>
    <t>IC-4824</t>
  </si>
  <si>
    <t>A23-0793-IC-4824</t>
  </si>
  <si>
    <t>IC-6006</t>
  </si>
  <si>
    <t>A23-0793-IC-6006</t>
  </si>
  <si>
    <t>IC-6012</t>
  </si>
  <si>
    <t>A23-0793-IC-6012</t>
  </si>
  <si>
    <t>IC-6018</t>
  </si>
  <si>
    <t>A23-0793-IC-6018</t>
  </si>
  <si>
    <t>IC-6024</t>
  </si>
  <si>
    <t>A23-0793-IC-6024</t>
  </si>
  <si>
    <t>JMT-01</t>
  </si>
  <si>
    <t>D10-8037-JMT-01</t>
  </si>
  <si>
    <t>JMT-04</t>
  </si>
  <si>
    <t>A26-0978-JMT-04</t>
  </si>
  <si>
    <t>JMT-09</t>
  </si>
  <si>
    <t>A26-0955-JMT-09</t>
  </si>
  <si>
    <t>JMT-110</t>
  </si>
  <si>
    <t>A27-1024-JMT-110</t>
  </si>
  <si>
    <t>JMT-112</t>
  </si>
  <si>
    <t>A27-1003-JMT-112</t>
  </si>
  <si>
    <t>JMT-121</t>
  </si>
  <si>
    <t>A06-0208-JMT-121</t>
  </si>
  <si>
    <t>JMT-37</t>
  </si>
  <si>
    <t>A25-0898-JMT-37</t>
  </si>
  <si>
    <t>JMT-81</t>
  </si>
  <si>
    <t>A25-0925-JMT-81</t>
  </si>
  <si>
    <t>JMT-88</t>
  </si>
  <si>
    <t>A27-1006-JMT-88</t>
  </si>
  <si>
    <t>JMT-89</t>
  </si>
  <si>
    <t>A27-1004-JMT-89</t>
  </si>
  <si>
    <t>JMT-90</t>
  </si>
  <si>
    <t>A27-1007-JMT-90</t>
  </si>
  <si>
    <t>KW-06</t>
  </si>
  <si>
    <t>A23-0794-KW-06</t>
  </si>
  <si>
    <t>KW</t>
  </si>
  <si>
    <t>KW-07</t>
  </si>
  <si>
    <t>A23-0794-KW-07</t>
  </si>
  <si>
    <t>KW-10</t>
  </si>
  <si>
    <t>A23-0795-KW-10</t>
  </si>
  <si>
    <t>KW-11</t>
  </si>
  <si>
    <t>A23-0796-KW-11</t>
  </si>
  <si>
    <t>KW-17</t>
  </si>
  <si>
    <t>A23-0798-KW-17</t>
  </si>
  <si>
    <t>KW-18</t>
  </si>
  <si>
    <t>A23-0798-KW-18</t>
  </si>
  <si>
    <t>KW-19</t>
  </si>
  <si>
    <t>A23-0798-KW-19</t>
  </si>
  <si>
    <t>MFI-10</t>
  </si>
  <si>
    <t>D3-8012-MFI-10</t>
  </si>
  <si>
    <t>PF-11</t>
  </si>
  <si>
    <t>C6-6092-PF-11</t>
  </si>
  <si>
    <t>PF-22</t>
  </si>
  <si>
    <t>C9-6180-PF-22</t>
  </si>
  <si>
    <t>PF-50</t>
  </si>
  <si>
    <t>D7-8025-PF-50</t>
  </si>
  <si>
    <t>PF-RG1</t>
  </si>
  <si>
    <t>A25-0905-PF-RG1</t>
  </si>
  <si>
    <t>PF-RG2</t>
  </si>
  <si>
    <t>A25-0915-PF-RG2</t>
  </si>
  <si>
    <t>PO-AC1</t>
  </si>
  <si>
    <t>A23-0803-PO-AC1</t>
  </si>
  <si>
    <t>PO-M1</t>
  </si>
  <si>
    <t>PO-M2</t>
  </si>
  <si>
    <t>RS-0421</t>
  </si>
  <si>
    <t>A27-1016-RS-0421</t>
  </si>
  <si>
    <t>RS</t>
  </si>
  <si>
    <t>RS-0422</t>
  </si>
  <si>
    <t>A26-0974-RS-0422</t>
  </si>
  <si>
    <t>RS-0441</t>
  </si>
  <si>
    <t>A24-0875-RS-0441</t>
  </si>
  <si>
    <t>RS-0442</t>
  </si>
  <si>
    <t>A25-0933-RS-0442</t>
  </si>
  <si>
    <t>RS-1041</t>
  </si>
  <si>
    <t>A24-0842-RS-1041</t>
  </si>
  <si>
    <t>SOL-04</t>
  </si>
  <si>
    <t>A24-0877-SOL-04</t>
  </si>
  <si>
    <t>SOL</t>
  </si>
  <si>
    <t>SR-B1010</t>
  </si>
  <si>
    <t>A25-0910-SR-B1010</t>
  </si>
  <si>
    <t>SR</t>
  </si>
  <si>
    <t>SS-12</t>
  </si>
  <si>
    <t>A23-0803-SS-12</t>
  </si>
  <si>
    <t>SS-16</t>
  </si>
  <si>
    <t>A23-0804-SS-16</t>
  </si>
  <si>
    <t>TO-05</t>
  </si>
  <si>
    <t>A27-0997-TO-05</t>
  </si>
  <si>
    <t>ZS1</t>
  </si>
  <si>
    <t>A27-0989-ZS1</t>
  </si>
  <si>
    <t>RCB-10</t>
  </si>
  <si>
    <t>A07-0229-RCB-10</t>
  </si>
  <si>
    <t>FB-0506</t>
  </si>
  <si>
    <t>C8-6141-FB-0506</t>
  </si>
  <si>
    <t>PFI-11B</t>
  </si>
  <si>
    <t>C2-6035-PFI-11B</t>
  </si>
  <si>
    <t>PFI-20B</t>
  </si>
  <si>
    <t>D9-8035-PFI-20B</t>
  </si>
  <si>
    <t>PFI-21B</t>
  </si>
  <si>
    <t>D10-8039-PFI-21B</t>
  </si>
  <si>
    <t>PFI-22B</t>
  </si>
  <si>
    <t>D9-8034-PFI-22B</t>
  </si>
  <si>
    <t>JMT-135</t>
  </si>
  <si>
    <t>A09-0302-JMT-135</t>
  </si>
  <si>
    <t>JMT-136</t>
  </si>
  <si>
    <t>A04-0143-JMT-136</t>
  </si>
  <si>
    <t>JMT-137</t>
  </si>
  <si>
    <t>A24-0861-JMT-137</t>
  </si>
  <si>
    <t>FAB-10</t>
  </si>
  <si>
    <t>C8-6121-FAB-10</t>
  </si>
  <si>
    <t>FAB-14</t>
  </si>
  <si>
    <t>D4-8013-FAB-14</t>
  </si>
  <si>
    <t>FAB-33</t>
  </si>
  <si>
    <t>A24-0868-FAB-33</t>
  </si>
  <si>
    <t>SBA-13</t>
  </si>
  <si>
    <t>A27-1031-SBA-13</t>
  </si>
  <si>
    <t>SBA</t>
  </si>
  <si>
    <t>FAB-45</t>
  </si>
  <si>
    <t>A26-0981-FAB-45</t>
  </si>
  <si>
    <t>PFI-06</t>
  </si>
  <si>
    <t>D3-8010-PFI-06</t>
  </si>
  <si>
    <t>GT-15</t>
  </si>
  <si>
    <t>A24-0870-GT-15</t>
  </si>
  <si>
    <t>GT-21</t>
  </si>
  <si>
    <t>A24-0846-GT-21</t>
  </si>
  <si>
    <t>FAB-52</t>
  </si>
  <si>
    <t>A26-0980-FAB-52</t>
  </si>
  <si>
    <t>FAB-53</t>
  </si>
  <si>
    <t>B4-4171-FAB-53</t>
  </si>
  <si>
    <t>DC RAVI</t>
  </si>
  <si>
    <t>FAB-54</t>
  </si>
  <si>
    <t>C10-6217-FAB-54</t>
  </si>
  <si>
    <t>IMP 503</t>
  </si>
  <si>
    <t>FAB-58</t>
  </si>
  <si>
    <t>A24-0859-FAB-58</t>
  </si>
  <si>
    <t>FAB-60</t>
  </si>
  <si>
    <t>A25-0889-FAB-60</t>
  </si>
  <si>
    <t>FAB-62</t>
  </si>
  <si>
    <t>A25-0891-FAB-62</t>
  </si>
  <si>
    <t>FAB-83</t>
  </si>
  <si>
    <t>A14-0478-FAB-83</t>
  </si>
  <si>
    <t>FAB-84</t>
  </si>
  <si>
    <t>A25-0928-FAB-84</t>
  </si>
  <si>
    <t>FAB-96</t>
  </si>
  <si>
    <t>MASTER-BOX-FAB-96</t>
  </si>
  <si>
    <t>FAB-100</t>
  </si>
  <si>
    <t>MASTER-BOX-FAB-100</t>
  </si>
  <si>
    <t>FAB-102</t>
  </si>
  <si>
    <t>MASTER-BOX-FAB-102</t>
  </si>
  <si>
    <t>FAB-114</t>
  </si>
  <si>
    <t>MASTER-BOX-FAB-114</t>
  </si>
  <si>
    <t>FAB-116</t>
  </si>
  <si>
    <t>A25-0893-FAB-116</t>
  </si>
  <si>
    <t>GEN-SW03</t>
  </si>
  <si>
    <t>A27-0998-GEN-SW03</t>
  </si>
  <si>
    <t>GEN-SW05</t>
  </si>
  <si>
    <t>A24-0855-GEN-SW05</t>
  </si>
  <si>
    <t>GEN-SW06</t>
  </si>
  <si>
    <t>A27-0993-GEN-SW06</t>
  </si>
  <si>
    <t>GEN-SW11</t>
  </si>
  <si>
    <t>A26-0945-GEN-SW11</t>
  </si>
  <si>
    <t>GEN-SW12</t>
  </si>
  <si>
    <t>A25-0895-GEN-SW12</t>
  </si>
  <si>
    <t>GEN-SP05</t>
  </si>
  <si>
    <t>B2-4089-GEN-SP05</t>
  </si>
  <si>
    <t>SS-34</t>
  </si>
  <si>
    <t>A27-0994-SS-34</t>
  </si>
  <si>
    <t>ANTI DUMP</t>
  </si>
  <si>
    <t>SS-39</t>
  </si>
  <si>
    <t>A26-0947-SS-39</t>
  </si>
  <si>
    <t>SS-40</t>
  </si>
  <si>
    <t>A25-0902-SS-40</t>
  </si>
  <si>
    <t>SS-41</t>
  </si>
  <si>
    <t>A27-1001-SS-41</t>
  </si>
  <si>
    <t>SS-46</t>
  </si>
  <si>
    <t>A25-0903-SS-46</t>
  </si>
  <si>
    <t>SS-47</t>
  </si>
  <si>
    <t>A24-0847-SS-47</t>
  </si>
  <si>
    <t>FAB-124</t>
  </si>
  <si>
    <t>A27-1012-FAB-124</t>
  </si>
  <si>
    <t>FAB-139</t>
  </si>
  <si>
    <t>A24-0858-FAB-139</t>
  </si>
  <si>
    <t>MFI-12CO</t>
  </si>
  <si>
    <t>D6-8024-MFI-12CO</t>
  </si>
  <si>
    <t>MF</t>
  </si>
  <si>
    <t>PS-46</t>
  </si>
  <si>
    <t>A27-1019-PS-46</t>
  </si>
  <si>
    <t>PS-69</t>
  </si>
  <si>
    <t>A26-0970-PS-69</t>
  </si>
  <si>
    <t>PS-70</t>
  </si>
  <si>
    <t>A27-1013-PS-70</t>
  </si>
  <si>
    <t>PS-84</t>
  </si>
  <si>
    <t>A24-0874-PS-84</t>
  </si>
  <si>
    <t>PS-86</t>
  </si>
  <si>
    <t>A26-0939-PS-86</t>
  </si>
  <si>
    <t>PFB-12</t>
  </si>
  <si>
    <t>A05-0150-PFB-12</t>
  </si>
  <si>
    <t>FAB-143</t>
  </si>
  <si>
    <t>D7-8027-FAB-143</t>
  </si>
  <si>
    <t>FAB-153</t>
  </si>
  <si>
    <t>A24-0878-FAB-153</t>
  </si>
  <si>
    <t>FAB-155</t>
  </si>
  <si>
    <t>C9-6178-FAB-155</t>
  </si>
  <si>
    <t>FAB-157</t>
  </si>
  <si>
    <t>C6-6081-FAB-157</t>
  </si>
  <si>
    <t>FAB-158</t>
  </si>
  <si>
    <t>C6-6084-FAB-158</t>
  </si>
  <si>
    <t>JMT-156</t>
  </si>
  <si>
    <t>A27-1010-JMT-156</t>
  </si>
  <si>
    <t>FAB-172</t>
  </si>
  <si>
    <t>C9-6171-FAB-172</t>
  </si>
  <si>
    <t>FAB-175</t>
  </si>
  <si>
    <t>A26-0964-FAB-175</t>
  </si>
  <si>
    <t>FAB-176</t>
  </si>
  <si>
    <t>A26-0952-FAB-176</t>
  </si>
  <si>
    <t>FAB-177</t>
  </si>
  <si>
    <t>A27-1025-FAB-177</t>
  </si>
  <si>
    <t>FAB-178</t>
  </si>
  <si>
    <t>A26-0963-FAB-178</t>
  </si>
  <si>
    <t>FAB-179</t>
  </si>
  <si>
    <t>A25-0936-FAB-179</t>
  </si>
  <si>
    <t>GEN-PC02</t>
  </si>
  <si>
    <t>A24-0873-GEN-PC02</t>
  </si>
  <si>
    <t>GEN-PC03</t>
  </si>
  <si>
    <t>A27-0985-GEN-PC03</t>
  </si>
  <si>
    <t>GEN-PC07</t>
  </si>
  <si>
    <t>A26-0938-GEN-PC07</t>
  </si>
  <si>
    <t>GEN-PC08</t>
  </si>
  <si>
    <t>A26-0950-GEN-PC08</t>
  </si>
  <si>
    <t>GEN-NS01</t>
  </si>
  <si>
    <t>A27-1005-GEN-NS01</t>
  </si>
  <si>
    <t>PF-POTS1 (P1)</t>
  </si>
  <si>
    <t>C7-6116-PF-POTS1 PART-1</t>
  </si>
  <si>
    <t>IMP PF-POTS3</t>
  </si>
  <si>
    <t>PF-POTS1 (P2)</t>
  </si>
  <si>
    <t>C7-6116-PF-POTS1 PART-2</t>
  </si>
  <si>
    <t>CT-SK44</t>
  </si>
  <si>
    <t>D9-8033-CT-SK44</t>
  </si>
  <si>
    <t>SG-4830AA</t>
  </si>
  <si>
    <t>A27-0989-SG-4830AA</t>
  </si>
  <si>
    <t>SG</t>
  </si>
  <si>
    <t>SG-2448AC</t>
  </si>
  <si>
    <t>A27-0993-SG-2448AC</t>
  </si>
  <si>
    <t>SG-3038AB</t>
  </si>
  <si>
    <t>A27-0987-SG-3038AB</t>
  </si>
  <si>
    <t>SG-2436AE</t>
  </si>
  <si>
    <t>A26-0942-SG-2436AE</t>
  </si>
  <si>
    <t>SG-2432AC</t>
  </si>
  <si>
    <t>A26-0937-SG-2432AC</t>
  </si>
  <si>
    <t>SG-2432AD</t>
  </si>
  <si>
    <t>A25-0894-SG-2432AD</t>
  </si>
  <si>
    <t>SG-2424AC</t>
  </si>
  <si>
    <t>A25-0897-SG-2424AC</t>
  </si>
  <si>
    <t>SG-2424AD</t>
  </si>
  <si>
    <t>A26-0944-SG-2424AD</t>
  </si>
  <si>
    <t>SG-2424BC</t>
  </si>
  <si>
    <t>A26-0941-SG-2424BC</t>
  </si>
  <si>
    <t>FAB-186</t>
  </si>
  <si>
    <t>A24-0841-FAB-186</t>
  </si>
  <si>
    <t>FAB-187</t>
  </si>
  <si>
    <t>C4-6068-FAB-187</t>
  </si>
  <si>
    <t>FAB-189</t>
  </si>
  <si>
    <t>C5-6077-FAB-189</t>
  </si>
  <si>
    <t>FAB-193</t>
  </si>
  <si>
    <t>C9-6171-FAB-193</t>
  </si>
  <si>
    <t>SS-70</t>
  </si>
  <si>
    <t>A25-0927-SS-70</t>
  </si>
  <si>
    <t>SG-2448BC</t>
  </si>
  <si>
    <t>A25-0895-SG-2448BC</t>
  </si>
  <si>
    <t>PS-96</t>
  </si>
  <si>
    <t>A24-0860-PS-96</t>
  </si>
  <si>
    <t>GEN-HH04</t>
  </si>
  <si>
    <t>A05-0176-GEN-HH04</t>
  </si>
  <si>
    <t>FAB-215</t>
  </si>
  <si>
    <t>C9-6168-FAB-215</t>
  </si>
  <si>
    <t>IMP 430</t>
  </si>
  <si>
    <t>FAB-218</t>
  </si>
  <si>
    <t>D14-8056-FAB-218</t>
  </si>
  <si>
    <t>IMP 446</t>
  </si>
  <si>
    <t>FAB-223</t>
  </si>
  <si>
    <t>A24-0880-FAB-223</t>
  </si>
  <si>
    <t>FAB-224</t>
  </si>
  <si>
    <t>C3-6053-FAB-224</t>
  </si>
  <si>
    <t>FAB-231</t>
  </si>
  <si>
    <t>A24-0843-FAB-231</t>
  </si>
  <si>
    <t>FAB-232</t>
  </si>
  <si>
    <t>A26-0946-FAB-232</t>
  </si>
  <si>
    <t>PR-38</t>
  </si>
  <si>
    <t>A24-0859-PR-38</t>
  </si>
  <si>
    <t>PR-39</t>
  </si>
  <si>
    <t>A24-0853-PR-39</t>
  </si>
  <si>
    <t>FAB-253</t>
  </si>
  <si>
    <t>A25-0900-FAB-253</t>
  </si>
  <si>
    <t>FAB-254</t>
  </si>
  <si>
    <t>B2-4065-FAB-254</t>
  </si>
  <si>
    <t>FAB-262</t>
  </si>
  <si>
    <t>A26-0963-FAB-262</t>
  </si>
  <si>
    <t>FAB-264</t>
  </si>
  <si>
    <t>A24-0877-FAB-264</t>
  </si>
  <si>
    <t>FAB-266</t>
  </si>
  <si>
    <t>A26-0981-FAB-266</t>
  </si>
  <si>
    <t>FAB-268</t>
  </si>
  <si>
    <t>A27-1014-FAB-268</t>
  </si>
  <si>
    <t>FAB-269</t>
  </si>
  <si>
    <t>C4-6063-FAB-269</t>
  </si>
  <si>
    <t>LNP 24</t>
  </si>
  <si>
    <t>FAB-272</t>
  </si>
  <si>
    <t>C1-6014-FAB-272</t>
  </si>
  <si>
    <t>IMP 447</t>
  </si>
  <si>
    <t>FAB-273</t>
  </si>
  <si>
    <t>C10-6221-FAB-273</t>
  </si>
  <si>
    <t>IMP 450</t>
  </si>
  <si>
    <t>FAB-274</t>
  </si>
  <si>
    <t>D9-8035-FAB-274</t>
  </si>
  <si>
    <t>IMP 448</t>
  </si>
  <si>
    <t>PF-RP01</t>
  </si>
  <si>
    <t>A26-0937-PF-RP01</t>
  </si>
  <si>
    <t>REP</t>
  </si>
  <si>
    <t>PF-RP02</t>
  </si>
  <si>
    <t>A27-0986-PF-RP02</t>
  </si>
  <si>
    <t>PF-RP03</t>
  </si>
  <si>
    <t>A03-0105-PF-RP03</t>
  </si>
  <si>
    <t>PF-RP04</t>
  </si>
  <si>
    <t>A25-0890-PF-RP04</t>
  </si>
  <si>
    <t>PF-RP05</t>
  </si>
  <si>
    <t>A24-0845-PF-RP05</t>
  </si>
  <si>
    <t>PF-RP06</t>
  </si>
  <si>
    <t>A26-0962-PF-RP06</t>
  </si>
  <si>
    <t>PF-RP07</t>
  </si>
  <si>
    <t>A26-0938-PF-RP07</t>
  </si>
  <si>
    <t>PF-RP08</t>
  </si>
  <si>
    <t>A26-0941-PF-RP08</t>
  </si>
  <si>
    <t>PF-RP09</t>
  </si>
  <si>
    <t>A03-0106-PF-RP09</t>
  </si>
  <si>
    <t>PF-RP10</t>
  </si>
  <si>
    <t>A03-0106-PF-RP10</t>
  </si>
  <si>
    <t>PF-RP11</t>
  </si>
  <si>
    <t>A25-0889-PF-RP11</t>
  </si>
  <si>
    <t>PF-RP12</t>
  </si>
  <si>
    <t>A03-0106-PF-RP12</t>
  </si>
  <si>
    <t>PF-RP13</t>
  </si>
  <si>
    <t>A26-0943-PF-RP13</t>
  </si>
  <si>
    <t>PF-RP15</t>
  </si>
  <si>
    <t>A24-0844-PF-RP15</t>
  </si>
  <si>
    <t>PF-RP16</t>
  </si>
  <si>
    <t>PF-RP17</t>
  </si>
  <si>
    <t>A03-0106-PF-RP17</t>
  </si>
  <si>
    <t>BA-H03</t>
  </si>
  <si>
    <t>A27-1030-BA-H03</t>
  </si>
  <si>
    <t>BA</t>
  </si>
  <si>
    <t>FAB-276</t>
  </si>
  <si>
    <t>A03-0092-FAB-276</t>
  </si>
  <si>
    <t>BA-H11</t>
  </si>
  <si>
    <t>A24-0862-BA-H11</t>
  </si>
  <si>
    <t>BA-H13</t>
  </si>
  <si>
    <t>A26-0957-BA-H13</t>
  </si>
  <si>
    <t>BA-H14</t>
  </si>
  <si>
    <t>A24-0863-BA-H14</t>
  </si>
  <si>
    <t>FAB-284</t>
  </si>
  <si>
    <t>C3-6050-FAB-284</t>
  </si>
  <si>
    <t>FAB-285</t>
  </si>
  <si>
    <t>C1-6002-FAB-285</t>
  </si>
  <si>
    <t>RET</t>
  </si>
  <si>
    <t>FAB-287</t>
  </si>
  <si>
    <t>C4-6062-FAB-287</t>
  </si>
  <si>
    <t>FAB-290</t>
  </si>
  <si>
    <t>C2-6035-FAB-290</t>
  </si>
  <si>
    <t>FAB-292</t>
  </si>
  <si>
    <t>C10-6195-FAB-292</t>
  </si>
  <si>
    <t>FAB-294</t>
  </si>
  <si>
    <t>B3-4162-FAB-294</t>
  </si>
  <si>
    <t>FAB-297</t>
  </si>
  <si>
    <t>C10-6192-FAB-297</t>
  </si>
  <si>
    <t>FAB-305</t>
  </si>
  <si>
    <t>C7-6117-FAB-305</t>
  </si>
  <si>
    <t>FAB-306</t>
  </si>
  <si>
    <t>B2-4058-FAB-306</t>
  </si>
  <si>
    <t>JMT-169</t>
  </si>
  <si>
    <t>B4-4202-JMT-169</t>
  </si>
  <si>
    <t>FAB-312</t>
  </si>
  <si>
    <t>A11-0366-FAB-312</t>
  </si>
  <si>
    <t>FAB-315</t>
  </si>
  <si>
    <t>C7-6115-FAB-315</t>
  </si>
  <si>
    <t>IMP FAB-383</t>
  </si>
  <si>
    <t>GEN-SE02</t>
  </si>
  <si>
    <t>C6-6086-GEN-SE02</t>
  </si>
  <si>
    <t>GEN-SE03</t>
  </si>
  <si>
    <t>D9-8036-GEN-SE03</t>
  </si>
  <si>
    <t>PF-RG4</t>
  </si>
  <si>
    <t>FAB-321</t>
  </si>
  <si>
    <t>A26-0968-FAB-321</t>
  </si>
  <si>
    <t>FAB-324</t>
  </si>
  <si>
    <t>A26-0957-FAB-324</t>
  </si>
  <si>
    <t>FAB-325</t>
  </si>
  <si>
    <t>MASTER-BOX-FAB-325</t>
  </si>
  <si>
    <t>ST-01</t>
  </si>
  <si>
    <t>C2-6032-ST-01</t>
  </si>
  <si>
    <t>IMP ST-02</t>
  </si>
  <si>
    <t>ST-05</t>
  </si>
  <si>
    <t>B3-4159-ST-05</t>
  </si>
  <si>
    <t>IMP ST-13,14</t>
  </si>
  <si>
    <t>PFB-14</t>
  </si>
  <si>
    <t>FAB-330</t>
  </si>
  <si>
    <t>A27-0989-FAB-330</t>
  </si>
  <si>
    <t>FAB-338</t>
  </si>
  <si>
    <t>D10-8040-FAB-338</t>
  </si>
  <si>
    <t>IMP 396</t>
  </si>
  <si>
    <t>FAB-340</t>
  </si>
  <si>
    <t>B5-4227-FAB-340</t>
  </si>
  <si>
    <t>A05-0175-BB-115185</t>
  </si>
  <si>
    <t>A04-0118-BB-100210</t>
  </si>
  <si>
    <t>A11-0389-BB-950185</t>
  </si>
  <si>
    <t>A03-0083-BB-140226</t>
  </si>
  <si>
    <t>A11-0388-BB-105210</t>
  </si>
  <si>
    <t>PF-15</t>
  </si>
  <si>
    <t>C1-6028-PF-15</t>
  </si>
  <si>
    <t>MFI-14CO</t>
  </si>
  <si>
    <t>D8-8030-MFI-14CO</t>
  </si>
  <si>
    <t>PFB-16</t>
  </si>
  <si>
    <t>PFB-17</t>
  </si>
  <si>
    <t>PFI-13</t>
  </si>
  <si>
    <t>FAB-344</t>
  </si>
  <si>
    <t>B4-4175-FAB-344</t>
  </si>
  <si>
    <t>IMP 407</t>
  </si>
  <si>
    <t>FAB-345</t>
  </si>
  <si>
    <t>B1-4013-FAB-345</t>
  </si>
  <si>
    <t>GEN-SW04</t>
  </si>
  <si>
    <t>A27-1016-GEN-SW04</t>
  </si>
  <si>
    <t>FAB-04</t>
  </si>
  <si>
    <t>A26-0973-FAB-04</t>
  </si>
  <si>
    <t>PF-RP18</t>
  </si>
  <si>
    <t>A03-0105-PF-RP18</t>
  </si>
  <si>
    <t>PF-330</t>
  </si>
  <si>
    <t>D12-8047-PF-330</t>
  </si>
  <si>
    <t>PFB-10</t>
  </si>
  <si>
    <t>PFB-11</t>
  </si>
  <si>
    <t>FAB-350</t>
  </si>
  <si>
    <t>B5-4269-FAB-350</t>
  </si>
  <si>
    <t>FAB-09B</t>
  </si>
  <si>
    <t>D13-8050-FAB-09B</t>
  </si>
  <si>
    <t>FAB-351</t>
  </si>
  <si>
    <t>A26-0955-FAB-351</t>
  </si>
  <si>
    <t>ECO-03</t>
  </si>
  <si>
    <t>C9-6175-ECO-03</t>
  </si>
  <si>
    <t>ECO-11</t>
  </si>
  <si>
    <t>C9-6175-ECO-11</t>
  </si>
  <si>
    <t>ECO-12</t>
  </si>
  <si>
    <t>C9-6175-ECO-12</t>
  </si>
  <si>
    <t>ECO-13</t>
  </si>
  <si>
    <t>C9-6175-ECO-13</t>
  </si>
  <si>
    <t>ECO-14</t>
  </si>
  <si>
    <t>C9-6175-ECO-14</t>
  </si>
  <si>
    <t>ECO-15</t>
  </si>
  <si>
    <t>C9-6175-ECO-15</t>
  </si>
  <si>
    <t>ECO-18</t>
  </si>
  <si>
    <t>C9-6175-ECO-18</t>
  </si>
  <si>
    <t>ECO-19</t>
  </si>
  <si>
    <t>C9-6175-ECO-19</t>
  </si>
  <si>
    <t>ECO-20</t>
  </si>
  <si>
    <t>C9-6175-ECO-20</t>
  </si>
  <si>
    <t>ECO-21</t>
  </si>
  <si>
    <t>C9-6175-ECO-21</t>
  </si>
  <si>
    <t>ECO-22</t>
  </si>
  <si>
    <t>C9-6175-ECO-22</t>
  </si>
  <si>
    <t>ECO-23</t>
  </si>
  <si>
    <t>C9-6175-ECO-23</t>
  </si>
  <si>
    <t>ECO-24</t>
  </si>
  <si>
    <t>C9-6175-ECO-24</t>
  </si>
  <si>
    <t>ECO-25</t>
  </si>
  <si>
    <t>C9-6175-ECO-25</t>
  </si>
  <si>
    <t>ECO-26</t>
  </si>
  <si>
    <t>C9-6175-ECO-26</t>
  </si>
  <si>
    <t>ECO-27</t>
  </si>
  <si>
    <t>C9-6175-ECO-27</t>
  </si>
  <si>
    <t>FAB-353</t>
  </si>
  <si>
    <t>C2-6031-FAB-353</t>
  </si>
  <si>
    <t>IMP 468</t>
  </si>
  <si>
    <t>FAB-354</t>
  </si>
  <si>
    <t>C2-6030-FAB-354</t>
  </si>
  <si>
    <t>IMP 449</t>
  </si>
  <si>
    <t>FAB-359</t>
  </si>
  <si>
    <t>D14-8054-FAB-359</t>
  </si>
  <si>
    <t>IMP 520</t>
  </si>
  <si>
    <t>FAB-AC01</t>
  </si>
  <si>
    <t>FAB-AC02</t>
  </si>
  <si>
    <t>FAB-366</t>
  </si>
  <si>
    <t>B4-4195-FAB-366</t>
  </si>
  <si>
    <t>FAB-370</t>
  </si>
  <si>
    <t>A23-0813-FAB-370</t>
  </si>
  <si>
    <t>IMP 434</t>
  </si>
  <si>
    <t>FAB-434</t>
  </si>
  <si>
    <t>FAB-371</t>
  </si>
  <si>
    <t>A23-0815-FAB-371</t>
  </si>
  <si>
    <t>IMP 435</t>
  </si>
  <si>
    <t>FAB-372</t>
  </si>
  <si>
    <t>A23-0819-FAB-372</t>
  </si>
  <si>
    <t>IMP 436</t>
  </si>
  <si>
    <t>FAB-375</t>
  </si>
  <si>
    <t>A23-0825-FAB-375</t>
  </si>
  <si>
    <t>FAB-408</t>
  </si>
  <si>
    <t>FAB-376</t>
  </si>
  <si>
    <t>A23-0827-FAB-376</t>
  </si>
  <si>
    <t>IMP 408</t>
  </si>
  <si>
    <t>PFI-17</t>
  </si>
  <si>
    <t>A29-1092-PFI-17</t>
  </si>
  <si>
    <t>FAB-382</t>
  </si>
  <si>
    <t>A24-0867-FAB-382</t>
  </si>
  <si>
    <t>IMP 438</t>
  </si>
  <si>
    <t>PKG-14</t>
  </si>
  <si>
    <t>A25-0910-PKG-14</t>
  </si>
  <si>
    <t>BAG</t>
  </si>
  <si>
    <t>PKG-15</t>
  </si>
  <si>
    <t>FAB-384</t>
  </si>
  <si>
    <t>C8-6137-FAB-384</t>
  </si>
  <si>
    <t>FAB-385</t>
  </si>
  <si>
    <t>C9-6175-FAB-385</t>
  </si>
  <si>
    <t>FAB-391</t>
  </si>
  <si>
    <t>A26-0947-FAB-391</t>
  </si>
  <si>
    <t>BR-4015</t>
  </si>
  <si>
    <t>A25-0933-BR-4015</t>
  </si>
  <si>
    <t>BR</t>
  </si>
  <si>
    <t>BR-4024</t>
  </si>
  <si>
    <t>A24-0846-BR-4024</t>
  </si>
  <si>
    <t>BR-4030</t>
  </si>
  <si>
    <t>A25-0894-BR-4030</t>
  </si>
  <si>
    <t>BR-4075</t>
  </si>
  <si>
    <t>B3-4157-BR-4075</t>
  </si>
  <si>
    <t>FAB-387</t>
  </si>
  <si>
    <t>B3-4155-FAB-387</t>
  </si>
  <si>
    <t>IMP</t>
  </si>
  <si>
    <t>ARPS001</t>
  </si>
  <si>
    <t>A26-0940-ARPS001</t>
  </si>
  <si>
    <t>ARPS002</t>
  </si>
  <si>
    <t>A27-0999-ARPS002</t>
  </si>
  <si>
    <t>ARPS003</t>
  </si>
  <si>
    <t>A25-0894-ARPS003</t>
  </si>
  <si>
    <t>ARPZ003</t>
  </si>
  <si>
    <t>A27-0997-ARPZ003</t>
  </si>
  <si>
    <t>ART021</t>
  </si>
  <si>
    <t>A27-0998-ART021</t>
  </si>
  <si>
    <t>ARTS004</t>
  </si>
  <si>
    <t>A25-0896-ARTS004</t>
  </si>
  <si>
    <t>ARTS005</t>
  </si>
  <si>
    <t>A27-1009-ARTS005</t>
  </si>
  <si>
    <t>ARTS003</t>
  </si>
  <si>
    <t>A25-0909-ARTS003</t>
  </si>
  <si>
    <t>ARPZ008-M3</t>
  </si>
  <si>
    <t>A27-0987-ARPZ008-M3</t>
  </si>
  <si>
    <t>ARPZ008-B1</t>
  </si>
  <si>
    <t>A27-1000-ARPZ008-B1</t>
  </si>
  <si>
    <t>ARPZ008-I1</t>
  </si>
  <si>
    <t>A27-1012-ARPZ008-I1</t>
  </si>
  <si>
    <t>ARPZ008-R1</t>
  </si>
  <si>
    <t>A27-1011-ARPZ008-R1</t>
  </si>
  <si>
    <t>ARPZ008-F1</t>
  </si>
  <si>
    <t>A27-0988-ARPZ008-F1</t>
  </si>
  <si>
    <t>ARPZ008-A1</t>
  </si>
  <si>
    <t>A25-0899-ARPZ008-A1</t>
  </si>
  <si>
    <t>ARTS011</t>
  </si>
  <si>
    <t>A23-0822-ARTS011</t>
  </si>
  <si>
    <t>ARTS006</t>
  </si>
  <si>
    <t>A23-0793-ARTS006</t>
  </si>
  <si>
    <t>ARTS002</t>
  </si>
  <si>
    <t>A23-0799-ARTS002</t>
  </si>
  <si>
    <t>ARTS009</t>
  </si>
  <si>
    <t>A24-0857-ARTS009</t>
  </si>
  <si>
    <t>ARTS001</t>
  </si>
  <si>
    <t>A24-0865-ARTS001</t>
  </si>
  <si>
    <t>ARTS007</t>
  </si>
  <si>
    <t>A23-0796-ARTS007</t>
  </si>
  <si>
    <t>ARSR001</t>
  </si>
  <si>
    <t>A23-0806-ARSR001</t>
  </si>
  <si>
    <t>ARSL002</t>
  </si>
  <si>
    <t>A23-0805-ARSL002</t>
  </si>
  <si>
    <t>ARCO014</t>
  </si>
  <si>
    <t>A26-0956-ARCO014</t>
  </si>
  <si>
    <t>ARR001</t>
  </si>
  <si>
    <t>A24-0856-ARR001</t>
  </si>
  <si>
    <t>ARR002</t>
  </si>
  <si>
    <t>A25-0904-ARR002</t>
  </si>
  <si>
    <t>ARR004</t>
  </si>
  <si>
    <t>A23-0797-ARR004</t>
  </si>
  <si>
    <t>ARR020</t>
  </si>
  <si>
    <t>A26-0969-ARR020</t>
  </si>
  <si>
    <t>ART020</t>
  </si>
  <si>
    <t>A24-0853-ART020</t>
  </si>
  <si>
    <t>ARST001-R</t>
  </si>
  <si>
    <t>A25-0918-ARST001-R</t>
  </si>
  <si>
    <t>ARTR016-2</t>
  </si>
  <si>
    <t>A24-0855-ARTR016-2</t>
  </si>
  <si>
    <t>ARCO015</t>
  </si>
  <si>
    <t>A24-0867-ARCO015</t>
  </si>
  <si>
    <t>ARF012</t>
  </si>
  <si>
    <t>A24-0854-ARF012</t>
  </si>
  <si>
    <t>ARFM002</t>
  </si>
  <si>
    <t>A24-0868-ARFM002</t>
  </si>
  <si>
    <t>ARM008-N</t>
  </si>
  <si>
    <t>A26-0959-ARM008-N</t>
  </si>
  <si>
    <t>ARPS005</t>
  </si>
  <si>
    <t>A26-0943-ARPS005</t>
  </si>
  <si>
    <t>ARCO016</t>
  </si>
  <si>
    <t>A25-0897-ARCO016</t>
  </si>
  <si>
    <t>ARST007-C</t>
  </si>
  <si>
    <t>A26-0968-ARST007-C</t>
  </si>
  <si>
    <t>ARF005-N</t>
  </si>
  <si>
    <t>A25-0919-ARF005-N</t>
  </si>
  <si>
    <t>ARPS006-B</t>
  </si>
  <si>
    <t>A26-0942-ARPS006-B</t>
  </si>
  <si>
    <t>ARPZ009</t>
  </si>
  <si>
    <t>A24-0843-ARPZ009</t>
  </si>
  <si>
    <t>C9-6156-FAB-408</t>
  </si>
  <si>
    <t>QI</t>
  </si>
  <si>
    <t>GEN-SB07</t>
  </si>
  <si>
    <t>A04-0144-GEN-SB07</t>
  </si>
  <si>
    <t>TB-1001</t>
  </si>
  <si>
    <t>C7-6107-TB-1001</t>
  </si>
  <si>
    <t>TB-1002</t>
  </si>
  <si>
    <t>C7-6108-TB-1002</t>
  </si>
  <si>
    <t>ECO-30</t>
  </si>
  <si>
    <t>ECO-31</t>
  </si>
  <si>
    <t>FAB-418</t>
  </si>
  <si>
    <t>A07-0239-FAB-418</t>
  </si>
  <si>
    <t>VB-1005</t>
  </si>
  <si>
    <t>A04-0136-VB-1005</t>
  </si>
  <si>
    <t>VB-1006</t>
  </si>
  <si>
    <t>D15-8057-VB-1006</t>
  </si>
  <si>
    <t>BB-1003</t>
  </si>
  <si>
    <t>B3-4114-BB-1003</t>
  </si>
  <si>
    <t>BB-1004</t>
  </si>
  <si>
    <t>A23-0798-BB-1004</t>
  </si>
  <si>
    <t>ST-08G</t>
  </si>
  <si>
    <t>B4-4198-ST-08G</t>
  </si>
  <si>
    <t>IMP ST-15</t>
  </si>
  <si>
    <t>JMT-149</t>
  </si>
  <si>
    <t>VB-1007</t>
  </si>
  <si>
    <t>B4-4167-VB-1007</t>
  </si>
  <si>
    <t>WR-C109</t>
  </si>
  <si>
    <t>A24-0871-WR-C109</t>
  </si>
  <si>
    <t>WR-B209</t>
  </si>
  <si>
    <t>A25-0905-WR-B209</t>
  </si>
  <si>
    <t>WR-C115</t>
  </si>
  <si>
    <t>A26-0968-WR-C115</t>
  </si>
  <si>
    <t>WR-A103(4)</t>
  </si>
  <si>
    <t>A26-0965-WR-A103(4)</t>
  </si>
  <si>
    <t>WR-A203(4)</t>
  </si>
  <si>
    <t>A25-0908-WR-A203(4)</t>
  </si>
  <si>
    <t>WR-C103(2)</t>
  </si>
  <si>
    <t>A27-1003-WR-C103(2)</t>
  </si>
  <si>
    <t>C2-6036-FAB-434</t>
  </si>
  <si>
    <t>IMP. 474</t>
  </si>
  <si>
    <t>GEN-SB06</t>
  </si>
  <si>
    <t>FPB-08</t>
  </si>
  <si>
    <t>IMP FPB-13</t>
  </si>
  <si>
    <t>FPB-09</t>
  </si>
  <si>
    <t>IMP FPB-14</t>
  </si>
  <si>
    <t>FAB-451</t>
  </si>
  <si>
    <t>FAB-452</t>
  </si>
  <si>
    <t>FAB-453</t>
  </si>
  <si>
    <t>FAB-454</t>
  </si>
  <si>
    <t>FAB-455</t>
  </si>
  <si>
    <t>FAB-456</t>
  </si>
  <si>
    <t>FAB-457</t>
  </si>
  <si>
    <t>FAB-458</t>
  </si>
  <si>
    <t>FAB-459</t>
  </si>
  <si>
    <t>FAB-460</t>
  </si>
  <si>
    <t>FAB-461</t>
  </si>
  <si>
    <t>FAB-462</t>
  </si>
  <si>
    <t>FAB-463</t>
  </si>
  <si>
    <t>FAB-464</t>
  </si>
  <si>
    <t>FAB-479</t>
  </si>
  <si>
    <t>FAB-480</t>
  </si>
  <si>
    <t>IMP 563</t>
  </si>
  <si>
    <t>FAB-481</t>
  </si>
  <si>
    <t>FAB-482</t>
  </si>
  <si>
    <t>IMP 565</t>
  </si>
  <si>
    <t>FAB-484</t>
  </si>
  <si>
    <t>IMP 566</t>
  </si>
  <si>
    <t>FAB-485</t>
  </si>
  <si>
    <t>IMP 567</t>
  </si>
  <si>
    <t>FAB-486</t>
  </si>
  <si>
    <t>IMP 568</t>
  </si>
  <si>
    <t>FAB-487</t>
  </si>
  <si>
    <t>IMP 569</t>
  </si>
  <si>
    <t>FAB-505</t>
  </si>
  <si>
    <t>FAB-507</t>
  </si>
  <si>
    <t>FAB-508</t>
  </si>
  <si>
    <t>FAB-510</t>
  </si>
  <si>
    <t>FAB-513</t>
  </si>
  <si>
    <t>FAB-517</t>
  </si>
  <si>
    <t>FAB-518</t>
  </si>
  <si>
    <t>FAB-519</t>
  </si>
  <si>
    <t>FAB-520</t>
  </si>
  <si>
    <t>CP-1-24100F</t>
  </si>
  <si>
    <t>CR-1</t>
  </si>
  <si>
    <t>CR</t>
  </si>
  <si>
    <t>CR-G4005</t>
  </si>
  <si>
    <t>FB-B925F</t>
  </si>
  <si>
    <t>HT-02</t>
  </si>
  <si>
    <t>HT-11</t>
  </si>
  <si>
    <t>HT-12</t>
  </si>
  <si>
    <t>HT-22</t>
  </si>
  <si>
    <t>IB-D03</t>
  </si>
  <si>
    <t>IB-D06</t>
  </si>
  <si>
    <t>IB-E07M</t>
  </si>
  <si>
    <t>IB-F03</t>
  </si>
  <si>
    <t>IB-F03M</t>
  </si>
  <si>
    <t>IB-F07M</t>
  </si>
  <si>
    <t>IB-G07M</t>
  </si>
  <si>
    <t>JMT-10</t>
  </si>
  <si>
    <t>JMT-100</t>
  </si>
  <si>
    <t>JMT-104</t>
  </si>
  <si>
    <t>JMT-106</t>
  </si>
  <si>
    <t>JMT-115</t>
  </si>
  <si>
    <t>JMT-116</t>
  </si>
  <si>
    <t>JMT-117</t>
  </si>
  <si>
    <t>JMT-12</t>
  </si>
  <si>
    <t>JMT-120</t>
  </si>
  <si>
    <t>JMT-13</t>
  </si>
  <si>
    <t>JMT-14</t>
  </si>
  <si>
    <t>JMT-26</t>
  </si>
  <si>
    <t>JMT-31</t>
  </si>
  <si>
    <t>JMT-32</t>
  </si>
  <si>
    <t>JMT-39</t>
  </si>
  <si>
    <t>JMT-41</t>
  </si>
  <si>
    <t>JMT-46</t>
  </si>
  <si>
    <t>JMT-48</t>
  </si>
  <si>
    <t>JMT-60</t>
  </si>
  <si>
    <t>JMT-68</t>
  </si>
  <si>
    <t>A26-0965-JMT-68</t>
  </si>
  <si>
    <t>JMT-73</t>
  </si>
  <si>
    <t>JMT-85</t>
  </si>
  <si>
    <t>JMT-86</t>
  </si>
  <si>
    <t>JMT-87</t>
  </si>
  <si>
    <t>JMT-91</t>
  </si>
  <si>
    <t>JMT-92</t>
  </si>
  <si>
    <t>JMT-94</t>
  </si>
  <si>
    <t>JMT-95</t>
  </si>
  <si>
    <t>JMT-98</t>
  </si>
  <si>
    <t>JMT-99</t>
  </si>
  <si>
    <t>KW-04</t>
  </si>
  <si>
    <t>KW-14</t>
  </si>
  <si>
    <t>KW-16</t>
  </si>
  <si>
    <t>LS-1G</t>
  </si>
  <si>
    <t>LS</t>
  </si>
  <si>
    <t>PF-10</t>
  </si>
  <si>
    <t>PF-12</t>
  </si>
  <si>
    <t>PSC</t>
  </si>
  <si>
    <t>PT-1G</t>
  </si>
  <si>
    <t>PT</t>
  </si>
  <si>
    <t>PT-5G</t>
  </si>
  <si>
    <t>RS-0432</t>
  </si>
  <si>
    <t>S25H</t>
  </si>
  <si>
    <t>SR-A0404</t>
  </si>
  <si>
    <t>V4H</t>
  </si>
  <si>
    <t>VZ2</t>
  </si>
  <si>
    <t>VZ6</t>
  </si>
  <si>
    <t>WR-B124</t>
  </si>
  <si>
    <t>Z4J</t>
  </si>
  <si>
    <t>Z4X</t>
  </si>
  <si>
    <t>ZS4</t>
  </si>
  <si>
    <t>JMT-123</t>
  </si>
  <si>
    <t>JMT-125</t>
  </si>
  <si>
    <t>JMT-126</t>
  </si>
  <si>
    <t>JMT-127</t>
  </si>
  <si>
    <t>JMT-130</t>
  </si>
  <si>
    <t>JMT-131</t>
  </si>
  <si>
    <t>JMT-133</t>
  </si>
  <si>
    <t>FAB-08</t>
  </si>
  <si>
    <t>JMT-140</t>
  </si>
  <si>
    <t>JMT-142</t>
  </si>
  <si>
    <t>JMT-143</t>
  </si>
  <si>
    <t>FAB-30</t>
  </si>
  <si>
    <t>FAB-36</t>
  </si>
  <si>
    <t>PFI-04</t>
  </si>
  <si>
    <t>SBA-09</t>
  </si>
  <si>
    <t>PR-25</t>
  </si>
  <si>
    <t>JMT-139</t>
  </si>
  <si>
    <t>JMT-145</t>
  </si>
  <si>
    <t>JMT-146</t>
  </si>
  <si>
    <t>IB-E03M</t>
  </si>
  <si>
    <t>JMT-147</t>
  </si>
  <si>
    <t>JMT-148</t>
  </si>
  <si>
    <t>CU-19</t>
  </si>
  <si>
    <t>CU</t>
  </si>
  <si>
    <t>CU-30</t>
  </si>
  <si>
    <t>FAB-67</t>
  </si>
  <si>
    <t>FAB-73</t>
  </si>
  <si>
    <t>FAB-81</t>
  </si>
  <si>
    <t>FAB-82</t>
  </si>
  <si>
    <t>FAB-87</t>
  </si>
  <si>
    <t>FAB-88</t>
  </si>
  <si>
    <t>FAB-91</t>
  </si>
  <si>
    <t>FAB-97</t>
  </si>
  <si>
    <t>FAB-111</t>
  </si>
  <si>
    <t>FAB-112</t>
  </si>
  <si>
    <t>FAB-113</t>
  </si>
  <si>
    <t>GEN-SW02</t>
  </si>
  <si>
    <t>GEN-SW09</t>
  </si>
  <si>
    <t>GEN-SW16</t>
  </si>
  <si>
    <t>GEN-SW18</t>
  </si>
  <si>
    <t>JMT-152</t>
  </si>
  <si>
    <t>SS-29</t>
  </si>
  <si>
    <t>SS-35</t>
  </si>
  <si>
    <t>FAB-120</t>
  </si>
  <si>
    <t>FAB-141</t>
  </si>
  <si>
    <t>PS-38</t>
  </si>
  <si>
    <t>PS-47</t>
  </si>
  <si>
    <t>PS-54</t>
  </si>
  <si>
    <t>GEN-SW19</t>
  </si>
  <si>
    <t>FAB-145</t>
  </si>
  <si>
    <t>FAB-156</t>
  </si>
  <si>
    <t>JMT-157</t>
  </si>
  <si>
    <t>JMT-158</t>
  </si>
  <si>
    <t>FAB-168</t>
  </si>
  <si>
    <t>FAB-169</t>
  </si>
  <si>
    <t>ZS6</t>
  </si>
  <si>
    <t>Z6X</t>
  </si>
  <si>
    <t>GEN-PC04</t>
  </si>
  <si>
    <t>GEN-NS08</t>
  </si>
  <si>
    <t>GEN-NS13</t>
  </si>
  <si>
    <t>JMT-160</t>
  </si>
  <si>
    <t>FAB-181</t>
  </si>
  <si>
    <t>FAB-182</t>
  </si>
  <si>
    <t>SG-2448AE</t>
  </si>
  <si>
    <t>SG-2432BC</t>
  </si>
  <si>
    <t>PS-90</t>
  </si>
  <si>
    <t>PS-91</t>
  </si>
  <si>
    <t>FAB-185</t>
  </si>
  <si>
    <t>SS-51</t>
  </si>
  <si>
    <t>SS-52</t>
  </si>
  <si>
    <t>SS-55</t>
  </si>
  <si>
    <t>SS-56</t>
  </si>
  <si>
    <t>SS-58</t>
  </si>
  <si>
    <t>SS-59</t>
  </si>
  <si>
    <t>FAB-194</t>
  </si>
  <si>
    <t>JMT-161</t>
  </si>
  <si>
    <t>JMT-162</t>
  </si>
  <si>
    <t>FAB-201</t>
  </si>
  <si>
    <t>CT-SA44</t>
  </si>
  <si>
    <t>FAB-212</t>
  </si>
  <si>
    <t>FAB-217</t>
  </si>
  <si>
    <t>FAB-220</t>
  </si>
  <si>
    <t>PR-37</t>
  </si>
  <si>
    <t>PR-40</t>
  </si>
  <si>
    <t>PR-41</t>
  </si>
  <si>
    <t>PR-42</t>
  </si>
  <si>
    <t>FAB-236</t>
  </si>
  <si>
    <t>FAB-238</t>
  </si>
  <si>
    <t>FAB-251</t>
  </si>
  <si>
    <t>JMT-165</t>
  </si>
  <si>
    <t>FAB-260</t>
  </si>
  <si>
    <t>PR-43</t>
  </si>
  <si>
    <t>BA-H05</t>
  </si>
  <si>
    <t>BA-H09</t>
  </si>
  <si>
    <t>BA-H12</t>
  </si>
  <si>
    <t>SC-4518</t>
  </si>
  <si>
    <t>SC</t>
  </si>
  <si>
    <t>FAB-303</t>
  </si>
  <si>
    <t>FAB-304</t>
  </si>
  <si>
    <t>JMT-170</t>
  </si>
  <si>
    <t>GEN-NS05</t>
  </si>
  <si>
    <t>CP-1-1515F</t>
  </si>
  <si>
    <t>CP-1-2408F</t>
  </si>
  <si>
    <t>CP-1-2410F</t>
  </si>
  <si>
    <t>CP-2-1508F</t>
  </si>
  <si>
    <t>CP-2-1515F</t>
  </si>
  <si>
    <t>CP-2-1525F</t>
  </si>
  <si>
    <t>CP-2-2407F</t>
  </si>
  <si>
    <t>CP-2-2408F</t>
  </si>
  <si>
    <t>CP-2-2410F</t>
  </si>
  <si>
    <t>CP-3-1515F</t>
  </si>
  <si>
    <t>CP-3-2408F</t>
  </si>
  <si>
    <t>FAB-118</t>
  </si>
  <si>
    <t>FAB-119</t>
  </si>
  <si>
    <t>FAB-101</t>
  </si>
  <si>
    <t>AB-0204</t>
  </si>
  <si>
    <t>A25-0933-AB-0204</t>
  </si>
  <si>
    <t>AB</t>
  </si>
  <si>
    <t>B10F</t>
  </si>
  <si>
    <t>A26-0965-B10F</t>
  </si>
  <si>
    <t>B10H</t>
  </si>
  <si>
    <t>A23-0836-B10H</t>
  </si>
  <si>
    <t>B13X</t>
  </si>
  <si>
    <t>A25-0912-B13X</t>
  </si>
  <si>
    <t>B4</t>
  </si>
  <si>
    <t>C11-6263-B4</t>
  </si>
  <si>
    <t>B7FP</t>
  </si>
  <si>
    <t>A24-0851-B7FP</t>
  </si>
  <si>
    <t>B9F</t>
  </si>
  <si>
    <t>A23-0825-B9F</t>
  </si>
  <si>
    <t>B9H</t>
  </si>
  <si>
    <t>A26-0966-B9H</t>
  </si>
  <si>
    <t>CHM-06</t>
  </si>
  <si>
    <t>A26-0965-CHM-06</t>
  </si>
  <si>
    <t>CHM</t>
  </si>
  <si>
    <t>CM-A130</t>
  </si>
  <si>
    <t>A24-0872-CM-A130</t>
  </si>
  <si>
    <t>CM</t>
  </si>
  <si>
    <t>CM-B103</t>
  </si>
  <si>
    <t>A25-0902-CM-B103</t>
  </si>
  <si>
    <t>CM-C103</t>
  </si>
  <si>
    <t>A26-0971-CM-C103</t>
  </si>
  <si>
    <t>CM-C130</t>
  </si>
  <si>
    <t>CM-D103</t>
  </si>
  <si>
    <t>A25-0920-CM-D103</t>
  </si>
  <si>
    <t>CP-2-1212</t>
  </si>
  <si>
    <t>A23-0827-CP-2-1212</t>
  </si>
  <si>
    <t>CP-2-3624</t>
  </si>
  <si>
    <t>A23-0827-CP-2-3624</t>
  </si>
  <si>
    <t>CP-5-1939</t>
  </si>
  <si>
    <t>A23-0823-CP-5-1939</t>
  </si>
  <si>
    <t>CP-T-3150</t>
  </si>
  <si>
    <t>A23-0800-CP-T-3150</t>
  </si>
  <si>
    <t>CP-T-3250</t>
  </si>
  <si>
    <t>A23-0800-CP-T-3250</t>
  </si>
  <si>
    <t>CP-T-3350</t>
  </si>
  <si>
    <t>A23-0801-CP-T-3350</t>
  </si>
  <si>
    <t>CR-S2510</t>
  </si>
  <si>
    <t>A23-0810-CR-S2510</t>
  </si>
  <si>
    <t>CS</t>
  </si>
  <si>
    <t>CT-FS55</t>
  </si>
  <si>
    <t>A26-0974-CT-FS55</t>
  </si>
  <si>
    <t>FAB-105</t>
  </si>
  <si>
    <t>FAB-171</t>
  </si>
  <si>
    <t>FAB-25</t>
  </si>
  <si>
    <t>A03-0101-FAB-25</t>
  </si>
  <si>
    <t>FB-11</t>
  </si>
  <si>
    <t>FL-B02</t>
  </si>
  <si>
    <t>A23-0801-FL-B02</t>
  </si>
  <si>
    <t>FL</t>
  </si>
  <si>
    <t>FL-B07</t>
  </si>
  <si>
    <t>A23-0801-FL-B07</t>
  </si>
  <si>
    <t>FP-07</t>
  </si>
  <si>
    <t>A23-0817-FP-07</t>
  </si>
  <si>
    <t>FP-10</t>
  </si>
  <si>
    <t>A23-0817-FP-10</t>
  </si>
  <si>
    <t>FP-20</t>
  </si>
  <si>
    <t>A23-0818-FP-20</t>
  </si>
  <si>
    <t>FP-22</t>
  </si>
  <si>
    <t>A23-0818-FP-22</t>
  </si>
  <si>
    <t>FP-23</t>
  </si>
  <si>
    <t>A23-0818-FP-23</t>
  </si>
  <si>
    <t>FP-24</t>
  </si>
  <si>
    <t>A23-0819-FP-24</t>
  </si>
  <si>
    <t>FP-25</t>
  </si>
  <si>
    <t>A23-0819-FP-25</t>
  </si>
  <si>
    <t>FP-26</t>
  </si>
  <si>
    <t>A23-0819-FP-26</t>
  </si>
  <si>
    <t>FP-29</t>
  </si>
  <si>
    <t>FP-58</t>
  </si>
  <si>
    <t>A23-0821-FP-58</t>
  </si>
  <si>
    <t>GEN-SE01</t>
  </si>
  <si>
    <t>GYM-09T</t>
  </si>
  <si>
    <t>A24-0883-GYM-09T</t>
  </si>
  <si>
    <t>GYM</t>
  </si>
  <si>
    <t>HT-26</t>
  </si>
  <si>
    <t>A23-0833-HT-26</t>
  </si>
  <si>
    <t>IB-B07</t>
  </si>
  <si>
    <t>A25-0932-IB-B07</t>
  </si>
  <si>
    <t>IB-B28</t>
  </si>
  <si>
    <t>C4-6068-IB-B28</t>
  </si>
  <si>
    <t>IB-E16</t>
  </si>
  <si>
    <t>C4-6068-IB-E16</t>
  </si>
  <si>
    <t>IB-F14</t>
  </si>
  <si>
    <t>C4-6068-IB-F14</t>
  </si>
  <si>
    <t>IB-G03</t>
  </si>
  <si>
    <t>JMT-36</t>
  </si>
  <si>
    <t>A25-0934-JMT-36</t>
  </si>
  <si>
    <t>JMT-38</t>
  </si>
  <si>
    <t>A25-0934-JMT-38</t>
  </si>
  <si>
    <t>JMT-53</t>
  </si>
  <si>
    <t>JMT-54</t>
  </si>
  <si>
    <t>A26-0966-JMT-54</t>
  </si>
  <si>
    <t>JMT-83</t>
  </si>
  <si>
    <t>A24-0857-JMT-83</t>
  </si>
  <si>
    <t>NR-A1236</t>
  </si>
  <si>
    <t>A26-0965-NR-A1236</t>
  </si>
  <si>
    <t>NR</t>
  </si>
  <si>
    <t>NR-C1236</t>
  </si>
  <si>
    <t>A26-0965-NR-C1236</t>
  </si>
  <si>
    <t>PF-32</t>
  </si>
  <si>
    <t>PFI-30</t>
  </si>
  <si>
    <t>PFI-32</t>
  </si>
  <si>
    <t>PR-06</t>
  </si>
  <si>
    <t>PR-07</t>
  </si>
  <si>
    <t>A25-0904-PR-07</t>
  </si>
  <si>
    <t>PR-16</t>
  </si>
  <si>
    <t>PT-2Q</t>
  </si>
  <si>
    <t>A26-0966-PT-2Q</t>
  </si>
  <si>
    <t>SR-A0606</t>
  </si>
  <si>
    <t>SR-A1212</t>
  </si>
  <si>
    <t>SR-B1036</t>
  </si>
  <si>
    <t>SR-B1236</t>
  </si>
  <si>
    <t>A26-0965-SR-B1236</t>
  </si>
  <si>
    <t>SS-04</t>
  </si>
  <si>
    <t>A23-0802-SS-04</t>
  </si>
  <si>
    <t>SS-09</t>
  </si>
  <si>
    <t>A23-0803-SS-09</t>
  </si>
  <si>
    <t>SS-10</t>
  </si>
  <si>
    <t>A23-0803-SS-10</t>
  </si>
  <si>
    <t>SS-17</t>
  </si>
  <si>
    <t>A17-0587-SS-17</t>
  </si>
  <si>
    <t>SS-20</t>
  </si>
  <si>
    <t>US6</t>
  </si>
  <si>
    <t>C9-6167-US6</t>
  </si>
  <si>
    <t>V4X</t>
  </si>
  <si>
    <t>A24-0876-V4X</t>
  </si>
  <si>
    <t>VMX3</t>
  </si>
  <si>
    <t>C9-6167-VMX3</t>
  </si>
  <si>
    <t>WR-A109</t>
  </si>
  <si>
    <t>A26-0971-WR-A109</t>
  </si>
  <si>
    <t>WR-B103</t>
  </si>
  <si>
    <t>A26-0971-WR-B103</t>
  </si>
  <si>
    <t>WR-B203</t>
  </si>
  <si>
    <t>A26-0971-WR-B203</t>
  </si>
  <si>
    <t>WR-C103</t>
  </si>
  <si>
    <t>A26-0971-WR-C103</t>
  </si>
  <si>
    <t>WR-C124</t>
  </si>
  <si>
    <t>WR-C130</t>
  </si>
  <si>
    <t>UFAB-02</t>
  </si>
  <si>
    <t>UFAB-06</t>
  </si>
  <si>
    <t>UFAB-07</t>
  </si>
  <si>
    <t>UFAB-08</t>
  </si>
  <si>
    <t>UFAB-08B</t>
  </si>
  <si>
    <t>UFAB-09</t>
  </si>
  <si>
    <t>UFAB-10</t>
  </si>
  <si>
    <t>UFAB-100</t>
  </si>
  <si>
    <t>UFAB-11</t>
  </si>
  <si>
    <t>UFAB-111</t>
  </si>
  <si>
    <t>UFAB-112</t>
  </si>
  <si>
    <t>UFAB-12</t>
  </si>
  <si>
    <t>UFAB-13</t>
  </si>
  <si>
    <t>UFAB-14</t>
  </si>
  <si>
    <t>UFAB-143</t>
  </si>
  <si>
    <t>UFAB-155</t>
  </si>
  <si>
    <t>UFAB-159</t>
  </si>
  <si>
    <t>UFAB-162</t>
  </si>
  <si>
    <t>UFAB-163</t>
  </si>
  <si>
    <t>UFAB-164</t>
  </si>
  <si>
    <t>UFAB-167</t>
  </si>
  <si>
    <t>UFAB-168</t>
  </si>
  <si>
    <t>UFAB-169</t>
  </si>
  <si>
    <t>UFAB-171</t>
  </si>
  <si>
    <t>UFAB-180</t>
  </si>
  <si>
    <t>UFAB-181</t>
  </si>
  <si>
    <t>UFAB-182</t>
  </si>
  <si>
    <t>UFAB-183</t>
  </si>
  <si>
    <t>UFAB-194</t>
  </si>
  <si>
    <t>UFAB-199</t>
  </si>
  <si>
    <t>UFAB-200</t>
  </si>
  <si>
    <t>UFAB-209</t>
  </si>
  <si>
    <t>UFAB-214</t>
  </si>
  <si>
    <t>UFAB-215</t>
  </si>
  <si>
    <t>UFAB-216</t>
  </si>
  <si>
    <t>UFAB-218</t>
  </si>
  <si>
    <t>UFAB-221</t>
  </si>
  <si>
    <t>UFAB-222</t>
  </si>
  <si>
    <t>UFAB-232</t>
  </si>
  <si>
    <t>UFAB-239</t>
  </si>
  <si>
    <t>UFAB-240</t>
  </si>
  <si>
    <t>UFAB-242</t>
  </si>
  <si>
    <t>UFAB-243</t>
  </si>
  <si>
    <t>UFAB-250</t>
  </si>
  <si>
    <t>UFAB-254</t>
  </si>
  <si>
    <t>UFAB-272</t>
  </si>
  <si>
    <t>UFAB-274</t>
  </si>
  <si>
    <t>UFAB-284</t>
  </si>
  <si>
    <t>UFAB-288</t>
  </si>
  <si>
    <t>UFAB-297</t>
  </si>
  <si>
    <t>UFAB-306</t>
  </si>
  <si>
    <t>UFAB-308</t>
  </si>
  <si>
    <t>UFAB-310</t>
  </si>
  <si>
    <t>UFAB-315</t>
  </si>
  <si>
    <t>UFAB-328</t>
  </si>
  <si>
    <t>UFAB-338</t>
  </si>
  <si>
    <t>UFAB-41</t>
  </si>
  <si>
    <t>UFAB-42</t>
  </si>
  <si>
    <t>UFAB-44</t>
  </si>
  <si>
    <t>UFAB-49</t>
  </si>
  <si>
    <t>UFAB-83</t>
  </si>
  <si>
    <t>UFAB-84</t>
  </si>
  <si>
    <t>UFAB-86</t>
  </si>
  <si>
    <t>UFAB-88</t>
  </si>
  <si>
    <t>UFAB-89</t>
  </si>
  <si>
    <t>UFAB-94</t>
  </si>
  <si>
    <t>UFPB-03</t>
  </si>
  <si>
    <t>UHB-10P</t>
  </si>
  <si>
    <t>UHB-18</t>
  </si>
  <si>
    <t>UHB-18P</t>
  </si>
  <si>
    <t>UHB-25</t>
  </si>
  <si>
    <t>UHB-31P</t>
  </si>
  <si>
    <t>UHB-35</t>
  </si>
  <si>
    <t>UIC-1806</t>
  </si>
  <si>
    <t>UIC-2406</t>
  </si>
  <si>
    <t>UJMT-01</t>
  </si>
  <si>
    <t>UJMT-02</t>
  </si>
  <si>
    <t>UJMT-03</t>
  </si>
  <si>
    <t>UJMT-04</t>
  </si>
  <si>
    <t>UJMT-103</t>
  </si>
  <si>
    <t>UJMT-118</t>
  </si>
  <si>
    <t>UJMT-121</t>
  </si>
  <si>
    <t>UJMT-147</t>
  </si>
  <si>
    <t>UJMT-25</t>
  </si>
  <si>
    <t>UJMT-39</t>
  </si>
  <si>
    <t>UJMT-59</t>
  </si>
  <si>
    <t>UJMT-95</t>
  </si>
  <si>
    <t>UJMT-96</t>
  </si>
  <si>
    <t>UMFI-10</t>
  </si>
  <si>
    <t>UMFI-10CO</t>
  </si>
  <si>
    <t>UMFI-12</t>
  </si>
  <si>
    <t>UMFI-12CO</t>
  </si>
  <si>
    <t>UMFI-14CO</t>
  </si>
  <si>
    <t>UPF-15</t>
  </si>
  <si>
    <t>UPF-16</t>
  </si>
  <si>
    <t>UPF-20</t>
  </si>
  <si>
    <t>UPF-32</t>
  </si>
  <si>
    <t>UPF-330+UPF-D02+UPF-D02</t>
  </si>
  <si>
    <t>UPFB-03</t>
  </si>
  <si>
    <t>UPFB-05</t>
  </si>
  <si>
    <t>UPFB-07</t>
  </si>
  <si>
    <t>UPFB-09</t>
  </si>
  <si>
    <t>UPFI-05</t>
  </si>
  <si>
    <t>UPFI-06</t>
  </si>
  <si>
    <t>UPFI-07</t>
  </si>
  <si>
    <t>UPFI-09</t>
  </si>
  <si>
    <t>UPFI-10</t>
  </si>
  <si>
    <t>UPFI-10B</t>
  </si>
  <si>
    <t>UPFI-20</t>
  </si>
  <si>
    <t>UPFI-20B</t>
  </si>
  <si>
    <t>UPFI-22B</t>
  </si>
  <si>
    <t>UPFI-O10</t>
  </si>
  <si>
    <t>UPFO-10</t>
  </si>
  <si>
    <t>UPF-POT</t>
  </si>
  <si>
    <t>UPFR-10</t>
  </si>
  <si>
    <t>UPO-AC2</t>
  </si>
  <si>
    <t>UPO-AC3</t>
  </si>
  <si>
    <t>UPS-38</t>
  </si>
  <si>
    <t>FAB-106</t>
  </si>
  <si>
    <t>UFAB-55</t>
  </si>
  <si>
    <t>UPF-330</t>
  </si>
  <si>
    <t>UFAB-339</t>
  </si>
  <si>
    <t>FAB-107</t>
  </si>
  <si>
    <t>UFAB-329</t>
  </si>
  <si>
    <t>UFAB-280</t>
  </si>
  <si>
    <t>UFAB-160</t>
  </si>
  <si>
    <t>UFAB-156</t>
  </si>
  <si>
    <t>UPFI-11B</t>
  </si>
  <si>
    <t>UFAB-50</t>
  </si>
  <si>
    <t>UFAB-13B</t>
  </si>
  <si>
    <t>UFAB-219</t>
  </si>
  <si>
    <t>UFAB-220</t>
  </si>
  <si>
    <t>UFAB-229</t>
  </si>
  <si>
    <t>UFAB-241</t>
  </si>
  <si>
    <t>UFAB-299</t>
  </si>
  <si>
    <t>UFAB-302</t>
  </si>
  <si>
    <t>UPF-10S1</t>
  </si>
  <si>
    <t>UPFI-21B</t>
  </si>
  <si>
    <t>PF-20S2H</t>
  </si>
  <si>
    <t>UJMT-94</t>
  </si>
  <si>
    <t>UFAB-170</t>
  </si>
  <si>
    <t>UFAB-273</t>
  </si>
  <si>
    <t>UFAB-307</t>
  </si>
  <si>
    <t>FAB-94</t>
  </si>
  <si>
    <t>REP_SAMPLE</t>
  </si>
  <si>
    <t>(blank)</t>
  </si>
  <si>
    <t>FAB-314</t>
  </si>
  <si>
    <t>REP_PARTS</t>
  </si>
  <si>
    <t>UFAB-330</t>
  </si>
  <si>
    <t>UFAB-353</t>
  </si>
  <si>
    <t>UFAB-103</t>
  </si>
  <si>
    <t>UFAB-321</t>
  </si>
  <si>
    <t>UFAB-325</t>
  </si>
  <si>
    <t>UFAB-95</t>
  </si>
  <si>
    <t>UPFB-08</t>
  </si>
  <si>
    <t>UFAB-375</t>
  </si>
  <si>
    <t>UFAB-376</t>
  </si>
  <si>
    <t>UFAB-192</t>
  </si>
  <si>
    <t>UPFB-01</t>
  </si>
  <si>
    <t>UFAB-363</t>
  </si>
  <si>
    <t>FAB-37</t>
  </si>
  <si>
    <t>CFB-112448</t>
  </si>
  <si>
    <t>CP-3-24251</t>
  </si>
  <si>
    <t>UFAB-355</t>
  </si>
  <si>
    <t>UFAB-54</t>
  </si>
  <si>
    <t>CB-S2</t>
  </si>
  <si>
    <t>A25-0928-CB-S2</t>
  </si>
  <si>
    <t>CB</t>
  </si>
  <si>
    <t>CM-B109</t>
  </si>
  <si>
    <t>A23-0822-CM-B109</t>
  </si>
  <si>
    <t>CR-3</t>
  </si>
  <si>
    <t>A25-0917-CR-3</t>
  </si>
  <si>
    <t>CR-G1510</t>
  </si>
  <si>
    <t>A23-0817-CR-G1510</t>
  </si>
  <si>
    <t>CR-G1905</t>
  </si>
  <si>
    <t>A23-0805-CR-G1905</t>
  </si>
  <si>
    <t>CR-G2505</t>
  </si>
  <si>
    <t>A23-0806-CR-G2505</t>
  </si>
  <si>
    <t>CR-G5005</t>
  </si>
  <si>
    <t>A23-0809-CR-G5005</t>
  </si>
  <si>
    <t>CR-S5005</t>
  </si>
  <si>
    <t>A23-0813-CR-S5005</t>
  </si>
  <si>
    <t>FB-0302</t>
  </si>
  <si>
    <t>D12-8045-FB-0302</t>
  </si>
  <si>
    <t>FP-39</t>
  </si>
  <si>
    <t>A27-1027-FP-39</t>
  </si>
  <si>
    <t>HT-19</t>
  </si>
  <si>
    <t>A23-0831-HT-19</t>
  </si>
  <si>
    <t>HT-20</t>
  </si>
  <si>
    <t>A23-0832-HT-20</t>
  </si>
  <si>
    <t>IB-A15M</t>
  </si>
  <si>
    <t>B4-4197-IB-A15M</t>
  </si>
  <si>
    <t>IB-E04</t>
  </si>
  <si>
    <t>A25-0932-IB-E04</t>
  </si>
  <si>
    <t>IC-1824</t>
  </si>
  <si>
    <t>A23-0793-IC-1824</t>
  </si>
  <si>
    <t>IC-2424</t>
  </si>
  <si>
    <t>A23-0793-IC-2424</t>
  </si>
  <si>
    <t>IC-3012</t>
  </si>
  <si>
    <t>A23-0793-IC-3012</t>
  </si>
  <si>
    <t>IC-3618</t>
  </si>
  <si>
    <t>A23-0793-IC-3618</t>
  </si>
  <si>
    <t>IC-4212</t>
  </si>
  <si>
    <t>A23-0793-IC-4212</t>
  </si>
  <si>
    <t>JMT-47</t>
  </si>
  <si>
    <t>A25-0930-JMT-47</t>
  </si>
  <si>
    <t>KW-05</t>
  </si>
  <si>
    <t>A23-0793-KW-05</t>
  </si>
  <si>
    <t>PF-20S2L</t>
  </si>
  <si>
    <t>C6-6096-PF-20S2L</t>
  </si>
  <si>
    <t>PFI-10B</t>
  </si>
  <si>
    <t>C3-6051-PFI-10B</t>
  </si>
  <si>
    <t>RS-1061</t>
  </si>
  <si>
    <t>A23-0823-RS-1061</t>
  </si>
  <si>
    <t>S9FP</t>
  </si>
  <si>
    <t>A24-0843-S9FP</t>
  </si>
  <si>
    <t>SOL-05</t>
  </si>
  <si>
    <t>A24-0877-SOL-05</t>
  </si>
  <si>
    <t>SR-B0808</t>
  </si>
  <si>
    <t>A25-0909-SR-B0808</t>
  </si>
  <si>
    <t>SS-06</t>
  </si>
  <si>
    <t>A23-0802-SS-06</t>
  </si>
  <si>
    <t>TO-CO2</t>
  </si>
  <si>
    <t>A12-0415-TO-CO2</t>
  </si>
  <si>
    <t>V2-1236</t>
  </si>
  <si>
    <t>C9-6155-V2-1236</t>
  </si>
  <si>
    <t>VZ4</t>
  </si>
  <si>
    <t>C1-6009-VZ4</t>
  </si>
  <si>
    <t>VZ8</t>
  </si>
  <si>
    <t>D4-8014-VZ8</t>
  </si>
  <si>
    <t>WR-B136</t>
  </si>
  <si>
    <t>A27-1017-WR-B136</t>
  </si>
  <si>
    <t>WR-B236</t>
  </si>
  <si>
    <t>A26-0964-WR-B236</t>
  </si>
  <si>
    <t>Z1</t>
  </si>
  <si>
    <t>C11-6255-Z1</t>
  </si>
  <si>
    <t>Z1X</t>
  </si>
  <si>
    <t>C10-6197-Z1X</t>
  </si>
  <si>
    <t>FAB-05</t>
  </si>
  <si>
    <t>A24-0885-FAB-05</t>
  </si>
  <si>
    <t>FAB-09</t>
  </si>
  <si>
    <t>D3-8009-FAB-09</t>
  </si>
  <si>
    <t>FAB-13</t>
  </si>
  <si>
    <t>C8-6124-FAB-13</t>
  </si>
  <si>
    <t>PR-26</t>
  </si>
  <si>
    <t>A24-0871-PR-26</t>
  </si>
  <si>
    <t>PF-06</t>
  </si>
  <si>
    <t>C5-6077-PF-06</t>
  </si>
  <si>
    <t>FAB-47</t>
  </si>
  <si>
    <t>A23-0813-FAB-47</t>
  </si>
  <si>
    <t>PKG-01</t>
  </si>
  <si>
    <t>A12-0425-PKG-01</t>
  </si>
  <si>
    <t>GT-13</t>
  </si>
  <si>
    <t>A25-0916-GT-13</t>
  </si>
  <si>
    <t>GT-25</t>
  </si>
  <si>
    <t>A27-1011-GT-25</t>
  </si>
  <si>
    <t>GEN-HH01</t>
  </si>
  <si>
    <t>B5-4265-GEN-HH01</t>
  </si>
  <si>
    <t>FAB-56</t>
  </si>
  <si>
    <t>A24-0859-FAB-56</t>
  </si>
  <si>
    <t>FAB-57</t>
  </si>
  <si>
    <t>A24-0859-FAB-57</t>
  </si>
  <si>
    <t>FAB-65</t>
  </si>
  <si>
    <t>A24-0879-FAB-65</t>
  </si>
  <si>
    <t>FAB-68</t>
  </si>
  <si>
    <t>A23-0827-FAB-68</t>
  </si>
  <si>
    <t>FAB-71</t>
  </si>
  <si>
    <t>A24-0865-FAB-71</t>
  </si>
  <si>
    <t>B13</t>
  </si>
  <si>
    <t>C11-6257-B13</t>
  </si>
  <si>
    <t>FAB-86</t>
  </si>
  <si>
    <t>A26-0942-FAB-86</t>
  </si>
  <si>
    <t>FAB-95</t>
  </si>
  <si>
    <t>B2-4082-FAB-95</t>
  </si>
  <si>
    <t>FAB-98</t>
  </si>
  <si>
    <t>A26-0947-FAB-98</t>
  </si>
  <si>
    <t>FAB-103</t>
  </si>
  <si>
    <t>B2-4085-FAB-103</t>
  </si>
  <si>
    <t>FAB-108</t>
  </si>
  <si>
    <t>B2-4099-FAB-108</t>
  </si>
  <si>
    <t>FAB-109</t>
  </si>
  <si>
    <t>B1-4039-FAB-109</t>
  </si>
  <si>
    <t>GEN-SW08</t>
  </si>
  <si>
    <t>A25-0920-GEN-SW08</t>
  </si>
  <si>
    <t>FAB-128</t>
  </si>
  <si>
    <t>A23-0813-FAB-128</t>
  </si>
  <si>
    <t>FAB-138</t>
  </si>
  <si>
    <t>A23-0821-FAB-138</t>
  </si>
  <si>
    <t>FAB-142</t>
  </si>
  <si>
    <t>A27-1026-FAB-142</t>
  </si>
  <si>
    <t>MFI-10CO</t>
  </si>
  <si>
    <t>D3-8011-MFI-10CO</t>
  </si>
  <si>
    <t>PS-49</t>
  </si>
  <si>
    <t>A28-1046-PS-49</t>
  </si>
  <si>
    <t>PS-68</t>
  </si>
  <si>
    <t>A24-0877-PS-68</t>
  </si>
  <si>
    <t>PS-72</t>
  </si>
  <si>
    <t>A27-1015-PS-72</t>
  </si>
  <si>
    <t>PS-75</t>
  </si>
  <si>
    <t>A24-0878-PS-75</t>
  </si>
  <si>
    <t>PS-82</t>
  </si>
  <si>
    <t>A27-0995-PS-82</t>
  </si>
  <si>
    <t>FAB-154</t>
  </si>
  <si>
    <t>C6-6082-FAB-154</t>
  </si>
  <si>
    <t>FAB-159</t>
  </si>
  <si>
    <t>C9-6159-FAB-159</t>
  </si>
  <si>
    <t>FAB-160</t>
  </si>
  <si>
    <t>C8-6126-FAB-160</t>
  </si>
  <si>
    <t>FAB-161</t>
  </si>
  <si>
    <t>C8-6126-FAB-161</t>
  </si>
  <si>
    <t>FAB-164</t>
  </si>
  <si>
    <t>B1-4004-FAB-164</t>
  </si>
  <si>
    <t>FAB-166</t>
  </si>
  <si>
    <t>C10-6206-FAB-166</t>
  </si>
  <si>
    <t>FAB-167</t>
  </si>
  <si>
    <t>C10-6207-FAB-167</t>
  </si>
  <si>
    <t>FAB-170</t>
  </si>
  <si>
    <t>C10-6205-FAB-170</t>
  </si>
  <si>
    <t>GEN-PC05</t>
  </si>
  <si>
    <t>A26-0941-GEN-PC05</t>
  </si>
  <si>
    <t>GEN-NS03</t>
  </si>
  <si>
    <t>A27-0992-GEN-NS03</t>
  </si>
  <si>
    <t>GEN-NS04</t>
  </si>
  <si>
    <t>A24-0857-GEN-NS04</t>
  </si>
  <si>
    <t>GEN-NS14</t>
  </si>
  <si>
    <t>A24-0856-GEN-NS14</t>
  </si>
  <si>
    <t>PFI-22</t>
  </si>
  <si>
    <t>C2-6039-PFI-22</t>
  </si>
  <si>
    <t>SG-2432BD</t>
  </si>
  <si>
    <t>A27-0991-SG-2432BD</t>
  </si>
  <si>
    <t>FAB-188</t>
  </si>
  <si>
    <t>C1-6013-FAB-188</t>
  </si>
  <si>
    <t>FAB-192</t>
  </si>
  <si>
    <t>A23-0827-FAB-192</t>
  </si>
  <si>
    <t>SS-61</t>
  </si>
  <si>
    <t>A24-0856-SS-61</t>
  </si>
  <si>
    <t>SS-62</t>
  </si>
  <si>
    <t>A26-0962-SS-62</t>
  </si>
  <si>
    <t>SS-66</t>
  </si>
  <si>
    <t>A23-0812-SS-66</t>
  </si>
  <si>
    <t>SS-67</t>
  </si>
  <si>
    <t>A27-1008-SS-67</t>
  </si>
  <si>
    <t>SS-68</t>
  </si>
  <si>
    <t>A26-0937-SS-68</t>
  </si>
  <si>
    <t>SS-69</t>
  </si>
  <si>
    <t>A27-0988-SS-69</t>
  </si>
  <si>
    <t>FAB-198</t>
  </si>
  <si>
    <t>C9-6171-FAB-198</t>
  </si>
  <si>
    <t>FAB-200</t>
  </si>
  <si>
    <t>C10-6226-FAB-200</t>
  </si>
  <si>
    <t>FAB-202</t>
  </si>
  <si>
    <t>A25-0914-FAB-202</t>
  </si>
  <si>
    <t>GEN-HH05</t>
  </si>
  <si>
    <t>A13-0452-GEN-HH05</t>
  </si>
  <si>
    <t>FAB-213</t>
  </si>
  <si>
    <t>B4-4182-FAB-213</t>
  </si>
  <si>
    <t>FAB-219</t>
  </si>
  <si>
    <t>A10-0353-FAB-219</t>
  </si>
  <si>
    <t>FAB-226</t>
  </si>
  <si>
    <t>C8-6137-FAB-226</t>
  </si>
  <si>
    <t>FAB-233</t>
  </si>
  <si>
    <t>C2-6031-FAB-233</t>
  </si>
  <si>
    <t>PR-36</t>
  </si>
  <si>
    <t>A10-0336-PR-36</t>
  </si>
  <si>
    <t>FAB-237</t>
  </si>
  <si>
    <t>C5-6079-FAB-237</t>
  </si>
  <si>
    <t>FAB-239</t>
  </si>
  <si>
    <t>C3-6055-FAB-239</t>
  </si>
  <si>
    <t>JMT-164</t>
  </si>
  <si>
    <t>A06-0188-JMT-164</t>
  </si>
  <si>
    <t>FAB-250</t>
  </si>
  <si>
    <t>C6-6083-FAB-250</t>
  </si>
  <si>
    <t>FAB-258</t>
  </si>
  <si>
    <t>A26-0980-FAB-258</t>
  </si>
  <si>
    <t>FAB-263</t>
  </si>
  <si>
    <t>A26-0981-FAB-263</t>
  </si>
  <si>
    <t>PF-RP14</t>
  </si>
  <si>
    <t>BA-H01</t>
  </si>
  <si>
    <t>A24-0865-BA-H01</t>
  </si>
  <si>
    <t>BA-H02</t>
  </si>
  <si>
    <t>A24-0869-BA-H02</t>
  </si>
  <si>
    <t>BA-H04</t>
  </si>
  <si>
    <t>A26-0938-BA-H04</t>
  </si>
  <si>
    <t>BA-H08</t>
  </si>
  <si>
    <t>A24-0867-BA-H08</t>
  </si>
  <si>
    <t>FAB-281</t>
  </si>
  <si>
    <t>C2-6029-FAB-281</t>
  </si>
  <si>
    <t>FAB-320</t>
  </si>
  <si>
    <t>A08-0265-FAB-320</t>
  </si>
  <si>
    <t>FAB-322</t>
  </si>
  <si>
    <t>A04-0134-FAB-322</t>
  </si>
  <si>
    <t>FAB-323</t>
  </si>
  <si>
    <t>A12-0398-FAB-323</t>
  </si>
  <si>
    <t>ST-06</t>
  </si>
  <si>
    <t>B5-4267-ST-06</t>
  </si>
  <si>
    <t>PF-08</t>
  </si>
  <si>
    <t>IB-G06</t>
  </si>
  <si>
    <t>C4-6066-IB-G06</t>
  </si>
  <si>
    <t>FAB-337</t>
  </si>
  <si>
    <t>NOT SENT</t>
  </si>
  <si>
    <t>FAB-346</t>
  </si>
  <si>
    <t>GEN-NS15</t>
  </si>
  <si>
    <t>A27-0999-GEN-NS15</t>
  </si>
  <si>
    <t>GEN-NS11</t>
  </si>
  <si>
    <t>A25-0890-GEN-NS11</t>
  </si>
  <si>
    <t>GT-20</t>
  </si>
  <si>
    <t>A27-0999-GT-20</t>
  </si>
  <si>
    <t>FAB-348</t>
  </si>
  <si>
    <t>C10-6193-FAB-348</t>
  </si>
  <si>
    <t>FAB-352</t>
  </si>
  <si>
    <t>B4-4194-FAB-352</t>
  </si>
  <si>
    <t>FAB-89</t>
  </si>
  <si>
    <t>A23-0837-FAB-89</t>
  </si>
  <si>
    <t>JMT-114</t>
  </si>
  <si>
    <t>A28-1038-JMT-114</t>
  </si>
  <si>
    <t>NEW23</t>
  </si>
  <si>
    <t>ARPZ007</t>
  </si>
  <si>
    <t>PKG-16</t>
  </si>
  <si>
    <t>ARST005-C</t>
  </si>
  <si>
    <t>UFAB-331</t>
  </si>
  <si>
    <t>UJMT-169</t>
  </si>
  <si>
    <t>UFAB-368</t>
  </si>
  <si>
    <t>UFAB-369</t>
  </si>
  <si>
    <t>UFAB-370</t>
  </si>
  <si>
    <t>UFAB-372</t>
  </si>
  <si>
    <t>UFAB-158</t>
  </si>
  <si>
    <t>UFAB-48</t>
  </si>
  <si>
    <t>UFAB-395</t>
  </si>
  <si>
    <t>B6X</t>
  </si>
  <si>
    <t>UFAB-311</t>
  </si>
  <si>
    <t>UJMT-159</t>
  </si>
  <si>
    <t>UFAB-231</t>
  </si>
  <si>
    <t>FAB-99</t>
  </si>
  <si>
    <t>UFAB-428</t>
  </si>
  <si>
    <t>UFAB-430</t>
  </si>
  <si>
    <t>UFAB-349</t>
  </si>
  <si>
    <t>UFAB-295</t>
  </si>
  <si>
    <t>UFAB-09B</t>
  </si>
  <si>
    <t>UFAB-320</t>
  </si>
  <si>
    <t>UFAB-161</t>
  </si>
  <si>
    <t>UFAB-354</t>
  </si>
  <si>
    <t>UPF-S1</t>
  </si>
  <si>
    <t>UPF-S2</t>
  </si>
  <si>
    <t>UJMT-134</t>
  </si>
  <si>
    <t>UFAB-198</t>
  </si>
  <si>
    <t>UFAB-166</t>
  </si>
  <si>
    <t>UFAB-87</t>
  </si>
  <si>
    <t>UFAB-409</t>
  </si>
  <si>
    <t>FAB-AC09</t>
  </si>
  <si>
    <t>UGEN-CN02</t>
  </si>
  <si>
    <t>UJMT-91</t>
  </si>
  <si>
    <t>UFAB-371</t>
  </si>
  <si>
    <t>B11X</t>
  </si>
  <si>
    <t>UGEN-CN03</t>
  </si>
  <si>
    <t>UFAB-188</t>
  </si>
  <si>
    <t>UFAB-361</t>
  </si>
  <si>
    <t>UFAB-114</t>
  </si>
  <si>
    <t>UPO-AC6</t>
  </si>
  <si>
    <t>UFAB-378</t>
  </si>
  <si>
    <t>UFAB-386</t>
  </si>
  <si>
    <t>UFAB-360</t>
  </si>
  <si>
    <t>UFAB-373</t>
  </si>
  <si>
    <t>UFAB-108</t>
  </si>
  <si>
    <t>UFAB-380</t>
  </si>
  <si>
    <t>UFAB-423</t>
  </si>
  <si>
    <t>UFAB-446</t>
  </si>
  <si>
    <t>UFAB-377</t>
  </si>
  <si>
    <t>UFAB-45</t>
  </si>
  <si>
    <t>UJMT-168</t>
  </si>
  <si>
    <t>UPF-RG1</t>
  </si>
  <si>
    <t>UFAB-342</t>
  </si>
  <si>
    <t>UEH-03</t>
  </si>
  <si>
    <t>UFAB-425</t>
  </si>
  <si>
    <t>UFAB-387</t>
  </si>
  <si>
    <t>UFAB-379</t>
  </si>
  <si>
    <t>UJMT-99</t>
  </si>
  <si>
    <t>UFAB-187</t>
  </si>
  <si>
    <t>UPO-AC7</t>
  </si>
  <si>
    <t>B7</t>
  </si>
  <si>
    <t>UFAB-244</t>
  </si>
  <si>
    <t>REP-01</t>
  </si>
  <si>
    <t>REP-10</t>
  </si>
  <si>
    <t>UGEN-SP02</t>
  </si>
  <si>
    <t>UFAB-366</t>
  </si>
  <si>
    <t>UFAB-390</t>
  </si>
  <si>
    <t>B10FP</t>
  </si>
  <si>
    <t>B9</t>
  </si>
  <si>
    <t>BA-H06</t>
  </si>
  <si>
    <t>BA-H07</t>
  </si>
  <si>
    <t>BS5</t>
  </si>
  <si>
    <t>CBN-3612</t>
  </si>
  <si>
    <t>CBN</t>
  </si>
  <si>
    <t>CBN-4100</t>
  </si>
  <si>
    <t>CBN-7212C</t>
  </si>
  <si>
    <t>CB-S1</t>
  </si>
  <si>
    <t>CB-Z1</t>
  </si>
  <si>
    <t>CB-Z2</t>
  </si>
  <si>
    <t>CM-B130</t>
  </si>
  <si>
    <t>CM-B215</t>
  </si>
  <si>
    <t>CM-D115</t>
  </si>
  <si>
    <t>CM-D230</t>
  </si>
  <si>
    <t>CP-1-1508F</t>
  </si>
  <si>
    <t>CP-1-1510F</t>
  </si>
  <si>
    <t>CP-3-1508F</t>
  </si>
  <si>
    <t>CP-3-1510F</t>
  </si>
  <si>
    <t>CP-5-1539</t>
  </si>
  <si>
    <t>CR-2</t>
  </si>
  <si>
    <t>CR-4</t>
  </si>
  <si>
    <t>CR-S1505</t>
  </si>
  <si>
    <t>CS7-0623</t>
  </si>
  <si>
    <t>CU-03</t>
  </si>
  <si>
    <t>CU-06</t>
  </si>
  <si>
    <t>CU-10</t>
  </si>
  <si>
    <t>EH-01</t>
  </si>
  <si>
    <t>EH-02</t>
  </si>
  <si>
    <t>FAB-02</t>
  </si>
  <si>
    <t>FAB-03</t>
  </si>
  <si>
    <t>FAB-123</t>
  </si>
  <si>
    <t>FAB-125</t>
  </si>
  <si>
    <t>FAB-126</t>
  </si>
  <si>
    <t>FAB-127</t>
  </si>
  <si>
    <t>FAB-129</t>
  </si>
  <si>
    <t>FAB-131</t>
  </si>
  <si>
    <t>FAB-132</t>
  </si>
  <si>
    <t>FAB-133</t>
  </si>
  <si>
    <t>FAB-134</t>
  </si>
  <si>
    <t>FAB-135</t>
  </si>
  <si>
    <t>FAB-136</t>
  </si>
  <si>
    <t>FAB-137</t>
  </si>
  <si>
    <t>FAB-146</t>
  </si>
  <si>
    <t>FAB-147</t>
  </si>
  <si>
    <t>FAB-148</t>
  </si>
  <si>
    <t>FAB-162</t>
  </si>
  <si>
    <t>FAB-163</t>
  </si>
  <si>
    <t>FAB-165</t>
  </si>
  <si>
    <t>FAB-17</t>
  </si>
  <si>
    <t>FAB-174</t>
  </si>
  <si>
    <t>FAB-184</t>
  </si>
  <si>
    <t>FAB-190</t>
  </si>
  <si>
    <t>FAB-20</t>
  </si>
  <si>
    <t>FAB-203</t>
  </si>
  <si>
    <t>FAB-204</t>
  </si>
  <si>
    <t>FAB-205</t>
  </si>
  <si>
    <t>FAB-206</t>
  </si>
  <si>
    <t>FAB-207</t>
  </si>
  <si>
    <t>FAB-221</t>
  </si>
  <si>
    <t>FAB-222</t>
  </si>
  <si>
    <t>FAB-225</t>
  </si>
  <si>
    <t>FAB-229</t>
  </si>
  <si>
    <t>FAB-230</t>
  </si>
  <si>
    <t>FAB-234</t>
  </si>
  <si>
    <t>FAB-235</t>
  </si>
  <si>
    <t>FAB-248</t>
  </si>
  <si>
    <t>FAB-249</t>
  </si>
  <si>
    <t>FAB-255</t>
  </si>
  <si>
    <t>FAB-256</t>
  </si>
  <si>
    <t>FAB-257</t>
  </si>
  <si>
    <t>FAB-259</t>
  </si>
  <si>
    <t>FAB-26</t>
  </si>
  <si>
    <t>FAB-27</t>
  </si>
  <si>
    <t>FAB-28</t>
  </si>
  <si>
    <t>FAB-293</t>
  </si>
  <si>
    <t>FAB-32</t>
  </si>
  <si>
    <t>FAB-34</t>
  </si>
  <si>
    <t>FAB-35</t>
  </si>
  <si>
    <t>FAB-39</t>
  </si>
  <si>
    <t>FAB-40</t>
  </si>
  <si>
    <t>FAB-46</t>
  </si>
  <si>
    <t>FAB-59</t>
  </si>
  <si>
    <t>FAB-61</t>
  </si>
  <si>
    <t>FAB-63</t>
  </si>
  <si>
    <t>FAB-69</t>
  </si>
  <si>
    <t>FAB-72</t>
  </si>
  <si>
    <t>FAB-77</t>
  </si>
  <si>
    <t>FAB-80</t>
  </si>
  <si>
    <t>FAB-85</t>
  </si>
  <si>
    <t>FAB-90</t>
  </si>
  <si>
    <t>FAB-92</t>
  </si>
  <si>
    <t>FB-0105</t>
  </si>
  <si>
    <t>FB-0106</t>
  </si>
  <si>
    <t>FP-19</t>
  </si>
  <si>
    <t>FP-30</t>
  </si>
  <si>
    <t>FP-48</t>
  </si>
  <si>
    <t>GEN-CN04</t>
  </si>
  <si>
    <t>GEN-HH02</t>
  </si>
  <si>
    <t>GEN-HH03</t>
  </si>
  <si>
    <t>GEN-NS02</t>
  </si>
  <si>
    <t>GEN-NS06</t>
  </si>
  <si>
    <t>GEN-NS07</t>
  </si>
  <si>
    <t>GEN-NS09</t>
  </si>
  <si>
    <t>GEN-NS10</t>
  </si>
  <si>
    <t>GEN-PC06</t>
  </si>
  <si>
    <t>GEN-SW01</t>
  </si>
  <si>
    <t>GEN-SW07</t>
  </si>
  <si>
    <t>GEN-SW10</t>
  </si>
  <si>
    <t>GEN-SW13</t>
  </si>
  <si>
    <t>GEN-SW14</t>
  </si>
  <si>
    <t>GEN-SW15</t>
  </si>
  <si>
    <t>GEN-SW17</t>
  </si>
  <si>
    <t>GT-14</t>
  </si>
  <si>
    <t>GT-16</t>
  </si>
  <si>
    <t>GT-19</t>
  </si>
  <si>
    <t>GT-26</t>
  </si>
  <si>
    <t>HT-14</t>
  </si>
  <si>
    <t>HT-21</t>
  </si>
  <si>
    <t>IB-A06M</t>
  </si>
  <si>
    <t>IB-C03</t>
  </si>
  <si>
    <t>IB-C05M</t>
  </si>
  <si>
    <t>IB-D09M</t>
  </si>
  <si>
    <t>IB-G03M</t>
  </si>
  <si>
    <t>IB-GA01</t>
  </si>
  <si>
    <t>IB-H06</t>
  </si>
  <si>
    <t>IB-H12</t>
  </si>
  <si>
    <t>IC-2412</t>
  </si>
  <si>
    <t>IC-3018</t>
  </si>
  <si>
    <t>JMT-07</t>
  </si>
  <si>
    <t>JMT-105</t>
  </si>
  <si>
    <t>JMT-107</t>
  </si>
  <si>
    <t>JMT-108</t>
  </si>
  <si>
    <t>JMT-109</t>
  </si>
  <si>
    <t>JMT-111</t>
  </si>
  <si>
    <t>JMT-119</t>
  </si>
  <si>
    <t>JMT-150</t>
  </si>
  <si>
    <t>JMT-151</t>
  </si>
  <si>
    <t>JMT-21</t>
  </si>
  <si>
    <t>JMT-27</t>
  </si>
  <si>
    <t>JMT-35</t>
  </si>
  <si>
    <t>JMT-67</t>
  </si>
  <si>
    <t>JMT-74</t>
  </si>
  <si>
    <t>KW-03</t>
  </si>
  <si>
    <t>KW-08</t>
  </si>
  <si>
    <t>KW-15</t>
  </si>
  <si>
    <t>LS-1P</t>
  </si>
  <si>
    <t>LS-2Q</t>
  </si>
  <si>
    <t>M10</t>
  </si>
  <si>
    <t>MZ</t>
  </si>
  <si>
    <t>M14</t>
  </si>
  <si>
    <t>MS5</t>
  </si>
  <si>
    <t>MZ10</t>
  </si>
  <si>
    <t>MZ14</t>
  </si>
  <si>
    <t>NR-B1236</t>
  </si>
  <si>
    <t>PF-10S1</t>
  </si>
  <si>
    <t>PKG-10</t>
  </si>
  <si>
    <t>PO-AC4</t>
  </si>
  <si>
    <t>PO-AC5</t>
  </si>
  <si>
    <t>PR-02</t>
  </si>
  <si>
    <t>PR-05</t>
  </si>
  <si>
    <t>PR-17</t>
  </si>
  <si>
    <t>PR-22</t>
  </si>
  <si>
    <t>PR-24</t>
  </si>
  <si>
    <t>PR-30</t>
  </si>
  <si>
    <t>PR-31</t>
  </si>
  <si>
    <t>PR-33</t>
  </si>
  <si>
    <t>PR-34</t>
  </si>
  <si>
    <t>PR-35</t>
  </si>
  <si>
    <t>PS-02</t>
  </si>
  <si>
    <t>PS-03</t>
  </si>
  <si>
    <t>PS-05</t>
  </si>
  <si>
    <t>PS-06</t>
  </si>
  <si>
    <t>PS-07</t>
  </si>
  <si>
    <t>PS-09</t>
  </si>
  <si>
    <t>PS-10</t>
  </si>
  <si>
    <t>PS-14</t>
  </si>
  <si>
    <t>PS-15</t>
  </si>
  <si>
    <t>PS-18</t>
  </si>
  <si>
    <t>PS-19</t>
  </si>
  <si>
    <t>PS-20</t>
  </si>
  <si>
    <t>PS-22</t>
  </si>
  <si>
    <t>PS-23</t>
  </si>
  <si>
    <t>PS-24</t>
  </si>
  <si>
    <t>PS-25</t>
  </si>
  <si>
    <t>PS-26</t>
  </si>
  <si>
    <t>PS-27</t>
  </si>
  <si>
    <t>PS-28</t>
  </si>
  <si>
    <t>PS-29</t>
  </si>
  <si>
    <t>PS-30</t>
  </si>
  <si>
    <t>PS-31</t>
  </si>
  <si>
    <t>PS-33</t>
  </si>
  <si>
    <t>PS-34</t>
  </si>
  <si>
    <t>PS-36</t>
  </si>
  <si>
    <t>PS-37</t>
  </si>
  <si>
    <t>PS-39</t>
  </si>
  <si>
    <t>PS-40</t>
  </si>
  <si>
    <t>PS-41</t>
  </si>
  <si>
    <t>PS-42</t>
  </si>
  <si>
    <t>PS-43</t>
  </si>
  <si>
    <t>PS-45</t>
  </si>
  <si>
    <t>PS-51</t>
  </si>
  <si>
    <t>PS-52</t>
  </si>
  <si>
    <t>PS-55</t>
  </si>
  <si>
    <t>PS-58</t>
  </si>
  <si>
    <t>PS-59</t>
  </si>
  <si>
    <t>PS-60</t>
  </si>
  <si>
    <t>PS-61</t>
  </si>
  <si>
    <t>PS-63</t>
  </si>
  <si>
    <t>PS-65</t>
  </si>
  <si>
    <t>PS-66</t>
  </si>
  <si>
    <t>PS-67</t>
  </si>
  <si>
    <t>PS-71</t>
  </si>
  <si>
    <t>PS-73</t>
  </si>
  <si>
    <t>PS-74</t>
  </si>
  <si>
    <t>PS-78</t>
  </si>
  <si>
    <t>PS-79</t>
  </si>
  <si>
    <t>PS-80</t>
  </si>
  <si>
    <t>PS-81</t>
  </si>
  <si>
    <t>PS-83</t>
  </si>
  <si>
    <t>PS-85</t>
  </si>
  <si>
    <t>PS-88</t>
  </si>
  <si>
    <t>PS-93</t>
  </si>
  <si>
    <t>PS-94</t>
  </si>
  <si>
    <t>PS-95</t>
  </si>
  <si>
    <t>PS-97</t>
  </si>
  <si>
    <t>RS-0412</t>
  </si>
  <si>
    <t>RS-1021</t>
  </si>
  <si>
    <t>S13X</t>
  </si>
  <si>
    <t>S21F</t>
  </si>
  <si>
    <t>S21H</t>
  </si>
  <si>
    <t>S21J</t>
  </si>
  <si>
    <t>S25F</t>
  </si>
  <si>
    <t>SBA-11</t>
  </si>
  <si>
    <t>SBA-12</t>
  </si>
  <si>
    <t>SBA-15</t>
  </si>
  <si>
    <t>SBA-16</t>
  </si>
  <si>
    <t>SBA-17</t>
  </si>
  <si>
    <t>SBA-18</t>
  </si>
  <si>
    <t>SBA-19</t>
  </si>
  <si>
    <t>SC-4510</t>
  </si>
  <si>
    <t>SC-4512</t>
  </si>
  <si>
    <t>SC-4514</t>
  </si>
  <si>
    <t>SC-4516</t>
  </si>
  <si>
    <t>SG-2424BD</t>
  </si>
  <si>
    <t>SG-2436AC</t>
  </si>
  <si>
    <t>SG-2448AD</t>
  </si>
  <si>
    <t>SG-3038AA</t>
  </si>
  <si>
    <t>SG-4830AB</t>
  </si>
  <si>
    <t>SPE-02</t>
  </si>
  <si>
    <t>SPE</t>
  </si>
  <si>
    <t>SPE-03</t>
  </si>
  <si>
    <t>SR-A0808</t>
  </si>
  <si>
    <t>SR-B0404</t>
  </si>
  <si>
    <t>SR-B1212</t>
  </si>
  <si>
    <t>SS-01</t>
  </si>
  <si>
    <t>SS-07</t>
  </si>
  <si>
    <t>SS-13</t>
  </si>
  <si>
    <t>SS-18</t>
  </si>
  <si>
    <t>SS-19</t>
  </si>
  <si>
    <t>SS-22</t>
  </si>
  <si>
    <t>SS-23</t>
  </si>
  <si>
    <t>SS-24</t>
  </si>
  <si>
    <t>SS-25</t>
  </si>
  <si>
    <t>SS-26</t>
  </si>
  <si>
    <t>SS-27</t>
  </si>
  <si>
    <t>SS-28</t>
  </si>
  <si>
    <t>SS-30</t>
  </si>
  <si>
    <t>SS-32</t>
  </si>
  <si>
    <t>SS-33</t>
  </si>
  <si>
    <t>SS-36</t>
  </si>
  <si>
    <t>SS-37</t>
  </si>
  <si>
    <t>SS-38</t>
  </si>
  <si>
    <t>SS-42</t>
  </si>
  <si>
    <t>SS-43</t>
  </si>
  <si>
    <t>SS-44</t>
  </si>
  <si>
    <t>SS-45</t>
  </si>
  <si>
    <t>SS-48</t>
  </si>
  <si>
    <t>SS-49</t>
  </si>
  <si>
    <t>SS-50</t>
  </si>
  <si>
    <t>SS-53</t>
  </si>
  <si>
    <t>SS-54</t>
  </si>
  <si>
    <t>SS-57</t>
  </si>
  <si>
    <t>SS-65</t>
  </si>
  <si>
    <t>UFAB-116</t>
  </si>
  <si>
    <t>UFAB-151</t>
  </si>
  <si>
    <t>UFAB-300</t>
  </si>
  <si>
    <t>US5</t>
  </si>
  <si>
    <t>VZ4F</t>
  </si>
  <si>
    <t>WCP-A12</t>
  </si>
  <si>
    <t>WCP</t>
  </si>
  <si>
    <t>WCP-B12</t>
  </si>
  <si>
    <t>WCP-C12</t>
  </si>
  <si>
    <t>WCP-D24</t>
  </si>
  <si>
    <t>WCP-E12</t>
  </si>
  <si>
    <t>WCP-F12</t>
  </si>
  <si>
    <t>WCP-G12</t>
  </si>
  <si>
    <t>WCP-H24</t>
  </si>
  <si>
    <t>WR-A112</t>
  </si>
  <si>
    <t>WR-B109</t>
  </si>
  <si>
    <t>WR-B230</t>
  </si>
  <si>
    <t>WR-BX09</t>
  </si>
  <si>
    <t>WR-BX15</t>
  </si>
  <si>
    <t>WR-BX30</t>
  </si>
  <si>
    <t>Z5X</t>
  </si>
  <si>
    <t>Z6</t>
  </si>
  <si>
    <t>ZS5</t>
  </si>
  <si>
    <t>CFB-12960</t>
  </si>
  <si>
    <t>CP-12425F</t>
  </si>
  <si>
    <t>FAB-AC06</t>
  </si>
  <si>
    <t>FAB-AC07</t>
  </si>
  <si>
    <t>JMT-63</t>
  </si>
  <si>
    <t>CBN-7212</t>
  </si>
  <si>
    <t>REP_VALVES</t>
  </si>
  <si>
    <t>FAB-AC03</t>
  </si>
  <si>
    <t>FAB-AC04</t>
  </si>
  <si>
    <t>FAB-AC05</t>
  </si>
  <si>
    <t>FAB-AC08</t>
  </si>
  <si>
    <t>FAB-275</t>
  </si>
  <si>
    <t>REP_FOOTPAD</t>
  </si>
  <si>
    <t>REP_HANDLE</t>
  </si>
  <si>
    <t>REP_HOSE</t>
  </si>
  <si>
    <t>CT-TC55</t>
  </si>
  <si>
    <t>FB-C12</t>
  </si>
  <si>
    <t>Z4F+PF-RP15</t>
  </si>
  <si>
    <t>CFB+PF</t>
  </si>
  <si>
    <t>B5X</t>
  </si>
  <si>
    <t>Z4H</t>
  </si>
  <si>
    <t>PF-POT(S1)</t>
  </si>
  <si>
    <t>PF-07</t>
  </si>
  <si>
    <t xml:space="preserve">FAB-08B </t>
  </si>
  <si>
    <t xml:space="preserve"> RCB-02</t>
  </si>
  <si>
    <t>REP-03</t>
  </si>
  <si>
    <t>REP-04</t>
  </si>
  <si>
    <t>UJMT-149</t>
  </si>
  <si>
    <t>UPFI-11</t>
  </si>
  <si>
    <t>UFAB-312</t>
  </si>
  <si>
    <t>UPO-AC8</t>
  </si>
  <si>
    <t>UFAB-420</t>
  </si>
  <si>
    <t>REP-11</t>
  </si>
  <si>
    <t>UFAB-431</t>
  </si>
  <si>
    <t>UFAB-153</t>
  </si>
  <si>
    <t>REP-09</t>
  </si>
  <si>
    <t>UFAB-173</t>
  </si>
  <si>
    <t>UFAB-213</t>
  </si>
  <si>
    <t>UFAB-397</t>
  </si>
  <si>
    <t>REP-02</t>
  </si>
  <si>
    <t>UFAB-383</t>
  </si>
  <si>
    <t>UFAB-247</t>
  </si>
  <si>
    <t>UFAB-478</t>
  </si>
  <si>
    <t>UFAB-468</t>
  </si>
  <si>
    <t>REP-19</t>
  </si>
  <si>
    <t>UPFB-06</t>
  </si>
  <si>
    <t>UFAB-426</t>
  </si>
  <si>
    <t>REP-16</t>
  </si>
  <si>
    <t>UFAB-313</t>
  </si>
  <si>
    <t>REP-21</t>
  </si>
  <si>
    <t>Row Labels</t>
  </si>
  <si>
    <t>Real State</t>
  </si>
  <si>
    <t>Remarks</t>
  </si>
  <si>
    <t>AA</t>
  </si>
  <si>
    <t>AE</t>
  </si>
  <si>
    <t>Aguascalientes</t>
  </si>
  <si>
    <t>AG</t>
  </si>
  <si>
    <t>AK</t>
  </si>
  <si>
    <t>AL</t>
  </si>
  <si>
    <t>ALABAMA</t>
  </si>
  <si>
    <t>Alaska</t>
  </si>
  <si>
    <t>Alberta</t>
  </si>
  <si>
    <t>Antioquia</t>
  </si>
  <si>
    <t>CO-ANT</t>
  </si>
  <si>
    <t>AP</t>
  </si>
  <si>
    <t>AR</t>
  </si>
  <si>
    <t>ARIZONA</t>
  </si>
  <si>
    <t>AZ</t>
  </si>
  <si>
    <t>Arkansas</t>
  </si>
  <si>
    <t>Atlantico</t>
  </si>
  <si>
    <t>CO-ATL</t>
  </si>
  <si>
    <t>Atlántico</t>
  </si>
  <si>
    <t>BC</t>
  </si>
  <si>
    <t>Bogotá</t>
  </si>
  <si>
    <t>Bolívar</t>
  </si>
  <si>
    <t>British Columbia</t>
  </si>
  <si>
    <t>CA</t>
  </si>
  <si>
    <t>Ca.</t>
  </si>
  <si>
    <t>Cali</t>
  </si>
  <si>
    <t>CALIFORNIA</t>
  </si>
  <si>
    <t>CHIAPAS</t>
  </si>
  <si>
    <t>CO</t>
  </si>
  <si>
    <t>Colorado</t>
  </si>
  <si>
    <t>Connecticut</t>
  </si>
  <si>
    <t>Ct</t>
  </si>
  <si>
    <t>DE</t>
  </si>
  <si>
    <t>DELAWARE</t>
  </si>
  <si>
    <t>Fl.</t>
  </si>
  <si>
    <t>Florida</t>
  </si>
  <si>
    <t>GA</t>
  </si>
  <si>
    <t>GEORGIA</t>
  </si>
  <si>
    <t>Girón</t>
  </si>
  <si>
    <t>GU</t>
  </si>
  <si>
    <t>GUANAJUATO</t>
  </si>
  <si>
    <t>GJ</t>
  </si>
  <si>
    <t>HAWAII</t>
  </si>
  <si>
    <t>HI</t>
  </si>
  <si>
    <t>HIDALGO</t>
  </si>
  <si>
    <t>HD</t>
  </si>
  <si>
    <t>IA</t>
  </si>
  <si>
    <t>ID</t>
  </si>
  <si>
    <t>Idaho</t>
  </si>
  <si>
    <t>IL</t>
  </si>
  <si>
    <t>ILLINOIS</t>
  </si>
  <si>
    <t>IN</t>
  </si>
  <si>
    <t>Indiana</t>
  </si>
  <si>
    <t>IOWA</t>
  </si>
  <si>
    <t>Kansas</t>
  </si>
  <si>
    <t>KS</t>
  </si>
  <si>
    <t>Kentucky</t>
  </si>
  <si>
    <t>KY</t>
  </si>
  <si>
    <t>LA</t>
  </si>
  <si>
    <t>LOUISIANA</t>
  </si>
  <si>
    <t>MA</t>
  </si>
  <si>
    <t>maine</t>
  </si>
  <si>
    <t>ME</t>
  </si>
  <si>
    <t>Manitoba</t>
  </si>
  <si>
    <t>MB</t>
  </si>
  <si>
    <t>MARYLAND</t>
  </si>
  <si>
    <t>MD</t>
  </si>
  <si>
    <t>Massachusetts</t>
  </si>
  <si>
    <t>MEXICO</t>
  </si>
  <si>
    <t>MX</t>
  </si>
  <si>
    <t>MI</t>
  </si>
  <si>
    <t>Michigan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</si>
  <si>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</si>
  <si>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</si>
  <si>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</si>
  <si>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</si>
  <si>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</si>
  <si>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</si>
  <si>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</si>
  <si>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</si>
  <si>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N.C.</t>
  </si>
  <si>
    <t>NC</t>
  </si>
  <si>
    <t>NB</t>
  </si>
  <si>
    <t>ND</t>
  </si>
  <si>
    <t>NE</t>
  </si>
  <si>
    <t>NEBRASKA</t>
  </si>
  <si>
    <t>NEVADA</t>
  </si>
  <si>
    <t>NV</t>
  </si>
  <si>
    <t>New Brunswick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</si>
  <si>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</si>
  <si>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</si>
  <si>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</si>
  <si>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</si>
  <si>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</si>
  <si>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</si>
  <si>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</si>
  <si>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</si>
  <si>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Newfoundland</t>
  </si>
  <si>
    <t>NF</t>
  </si>
  <si>
    <t>NL</t>
  </si>
  <si>
    <t>North Carolina</t>
  </si>
  <si>
    <t>North Dakota</t>
  </si>
  <si>
    <t>Northwest Territories</t>
  </si>
  <si>
    <t>NT</t>
  </si>
  <si>
    <t>Nova Scotia</t>
  </si>
  <si>
    <t>NS</t>
  </si>
  <si>
    <t>NUEVO LEON</t>
  </si>
  <si>
    <t>OH</t>
  </si>
  <si>
    <t>Ohio</t>
  </si>
  <si>
    <t>OK</t>
  </si>
  <si>
    <t>Oklahoma</t>
  </si>
  <si>
    <t>ON</t>
  </si>
  <si>
    <t>On.</t>
  </si>
  <si>
    <t>Ontario</t>
  </si>
  <si>
    <t>OR</t>
  </si>
  <si>
    <t>OREGON</t>
  </si>
  <si>
    <t>PA</t>
  </si>
  <si>
    <t>pa.</t>
  </si>
  <si>
    <t>Pennsylvania</t>
  </si>
  <si>
    <t>Prince Edward Island</t>
  </si>
  <si>
    <t>PE</t>
  </si>
  <si>
    <t>Puerto Rico</t>
  </si>
  <si>
    <t>QC</t>
  </si>
  <si>
    <t>Quebec</t>
  </si>
  <si>
    <t>Québec</t>
  </si>
  <si>
    <t>Región metropolitana</t>
  </si>
  <si>
    <t>Rhode Island</t>
  </si>
  <si>
    <t>RI</t>
  </si>
  <si>
    <t>Saskatchewan</t>
  </si>
  <si>
    <t>SK</t>
  </si>
  <si>
    <t>SD</t>
  </si>
  <si>
    <t>SOUTH CAROLINA</t>
  </si>
  <si>
    <t>TENNESSEE</t>
  </si>
  <si>
    <t>TN</t>
  </si>
  <si>
    <t>TEXAS</t>
  </si>
  <si>
    <t>TX</t>
  </si>
  <si>
    <t>Ut</t>
  </si>
  <si>
    <t>UT</t>
  </si>
  <si>
    <t>Utah</t>
  </si>
  <si>
    <t>VA</t>
  </si>
  <si>
    <t>veracruz</t>
  </si>
  <si>
    <t>VC</t>
  </si>
  <si>
    <t>Vermont</t>
  </si>
  <si>
    <t>VT</t>
  </si>
  <si>
    <t>VI</t>
  </si>
  <si>
    <t>Virginia</t>
  </si>
  <si>
    <t>WA</t>
  </si>
  <si>
    <t>Wa.</t>
  </si>
  <si>
    <t>WASHINGTON</t>
  </si>
  <si>
    <t>West Virginia</t>
  </si>
  <si>
    <t>WV</t>
  </si>
  <si>
    <t>WI</t>
  </si>
  <si>
    <t>WISCONSIN</t>
  </si>
  <si>
    <t>WY</t>
  </si>
  <si>
    <t>Wyoming</t>
  </si>
  <si>
    <t>Quinta</t>
  </si>
  <si>
    <t>LQ</t>
  </si>
  <si>
    <t>Agusan del sur</t>
  </si>
  <si>
    <t>ADS</t>
  </si>
  <si>
    <t>chiang rai - Thoeng</t>
  </si>
  <si>
    <t>CEI</t>
  </si>
  <si>
    <t>Cundinamarca</t>
  </si>
  <si>
    <t>CUN</t>
  </si>
  <si>
    <t>Il.</t>
  </si>
  <si>
    <t>Friesland</t>
  </si>
  <si>
    <t>Yukon</t>
  </si>
  <si>
    <t>YN</t>
  </si>
  <si>
    <t>PUEBLA</t>
  </si>
  <si>
    <t>PU</t>
  </si>
  <si>
    <t>Western Bay of Plenty</t>
  </si>
  <si>
    <t>BOP</t>
  </si>
  <si>
    <t>N.Y.</t>
  </si>
  <si>
    <t>Lithrodontas</t>
  </si>
  <si>
    <t>Antioquia /Medellín / barrio laureles</t>
  </si>
  <si>
    <t>(in COLOMBIA)</t>
  </si>
  <si>
    <t>Colombia</t>
  </si>
  <si>
    <t>South Dakota</t>
  </si>
  <si>
    <t>Kuwait</t>
  </si>
  <si>
    <t>Meta</t>
  </si>
  <si>
    <t>Eastern Province</t>
  </si>
  <si>
    <t>Tn.</t>
  </si>
  <si>
    <t>CIUDAD DE MÉXICO</t>
  </si>
  <si>
    <t>CDMX</t>
  </si>
  <si>
    <t>Norte de Santander</t>
  </si>
  <si>
    <t>CO-NSA</t>
  </si>
  <si>
    <t>Aichi-ken</t>
  </si>
  <si>
    <t>Callao</t>
  </si>
  <si>
    <t>PE CLL</t>
  </si>
  <si>
    <t>Valparaiso</t>
  </si>
  <si>
    <t>NSW</t>
  </si>
  <si>
    <t>San Martin</t>
  </si>
  <si>
    <t>Bogota D.C.</t>
  </si>
  <si>
    <t>Cordoba/Montería</t>
  </si>
  <si>
    <t>CIUDAD DE MEXICO</t>
  </si>
  <si>
    <t>TODOS SANTOS</t>
  </si>
  <si>
    <t>Gauteng</t>
  </si>
  <si>
    <t>ZA-GP</t>
  </si>
  <si>
    <t>Queensland</t>
  </si>
  <si>
    <t>QLD</t>
  </si>
  <si>
    <t>JALISCO</t>
  </si>
  <si>
    <t>JA</t>
  </si>
  <si>
    <t>wi.</t>
  </si>
  <si>
    <t>Israel</t>
  </si>
  <si>
    <t>Caldas</t>
  </si>
  <si>
    <t>CO-CAL</t>
  </si>
  <si>
    <t>Antwerpen</t>
  </si>
  <si>
    <t>AN</t>
  </si>
  <si>
    <t>Roslev</t>
  </si>
  <si>
    <t>Mexico city</t>
  </si>
  <si>
    <t>VA    -    Virginia</t>
  </si>
  <si>
    <t>BOGOTA_DC</t>
  </si>
  <si>
    <t>Norte</t>
  </si>
  <si>
    <t>San José, Costa Rica</t>
  </si>
  <si>
    <t>CSTR</t>
  </si>
  <si>
    <t>TARAPACA</t>
  </si>
  <si>
    <t>Nouveau-Brunswick</t>
  </si>
  <si>
    <t>Arequipa - Arequipa</t>
  </si>
  <si>
    <t>Jeju-Do</t>
  </si>
  <si>
    <t>Danmark</t>
  </si>
  <si>
    <t>DK</t>
  </si>
  <si>
    <t>La Paz</t>
  </si>
  <si>
    <t>BAJA CALIFORNIA</t>
  </si>
  <si>
    <t>N.J.</t>
  </si>
  <si>
    <t>Pichincha</t>
  </si>
  <si>
    <t>Mi.</t>
  </si>
  <si>
    <t>SONORA</t>
  </si>
  <si>
    <t>VA.</t>
  </si>
  <si>
    <t>antioquia/colombia</t>
  </si>
  <si>
    <t>CO.AN</t>
  </si>
  <si>
    <t>Noord Brabant</t>
  </si>
  <si>
    <t>NL-NB</t>
  </si>
  <si>
    <t>Chapinero</t>
  </si>
  <si>
    <t>Storkøbenhavn</t>
  </si>
  <si>
    <t>Santiago</t>
  </si>
  <si>
    <t>Boyacá</t>
  </si>
  <si>
    <t>CO-BOY</t>
  </si>
  <si>
    <t>MICHOACAN DE OCAMPO</t>
  </si>
  <si>
    <t>CHIHUAHUA</t>
  </si>
  <si>
    <t>Kongens Lyngby</t>
  </si>
  <si>
    <t>MÉXICO</t>
  </si>
  <si>
    <t>Pest megye</t>
  </si>
  <si>
    <t>maule</t>
  </si>
  <si>
    <t>MG</t>
  </si>
  <si>
    <t>Casanare colombia</t>
  </si>
  <si>
    <t>CO-CAS</t>
  </si>
  <si>
    <t>region metropolitana</t>
  </si>
  <si>
    <t>ACT</t>
  </si>
  <si>
    <t>Southland</t>
  </si>
  <si>
    <t>STL</t>
  </si>
  <si>
    <t>13 Caraga</t>
  </si>
  <si>
    <t>Leiria</t>
  </si>
  <si>
    <t>ILL</t>
  </si>
  <si>
    <t>MP</t>
  </si>
  <si>
    <t>Medellín (antioquia</t>
  </si>
  <si>
    <t>Ar.</t>
  </si>
  <si>
    <t>la serena</t>
  </si>
  <si>
    <t>Israel - South</t>
  </si>
  <si>
    <t>France</t>
  </si>
  <si>
    <t>FR</t>
  </si>
  <si>
    <t>Bologna</t>
  </si>
  <si>
    <t>Uusimaa</t>
  </si>
  <si>
    <t>Cesko</t>
  </si>
  <si>
    <t>R.I.</t>
  </si>
  <si>
    <t>FM</t>
  </si>
  <si>
    <t>Trøndelag</t>
  </si>
  <si>
    <t>Tolima</t>
  </si>
  <si>
    <t>Antioquua</t>
  </si>
  <si>
    <t>Nueva Ecija</t>
  </si>
  <si>
    <t>QUERETARO</t>
  </si>
  <si>
    <t>QE</t>
  </si>
  <si>
    <t>GUERRERO</t>
  </si>
  <si>
    <t>GRO</t>
  </si>
  <si>
    <t>SINALOA</t>
  </si>
  <si>
    <t>SI</t>
  </si>
  <si>
    <t>Ile de France</t>
  </si>
  <si>
    <t>IDF</t>
  </si>
  <si>
    <t>Camarines Norte</t>
  </si>
  <si>
    <t>Albeta</t>
  </si>
  <si>
    <t>Región de Los Lagos</t>
  </si>
  <si>
    <t>Bogotá DC</t>
  </si>
  <si>
    <t>NARIÑO</t>
  </si>
  <si>
    <t>Toledo-talavera de la reina</t>
  </si>
  <si>
    <t>New Richmond</t>
  </si>
  <si>
    <t xml:space="preserve">RI </t>
  </si>
  <si>
    <t>Bogotá/cundinamarca</t>
  </si>
  <si>
    <t>AS</t>
  </si>
  <si>
    <t>S.C.</t>
  </si>
  <si>
    <t>Lima/Lima/Lima</t>
  </si>
  <si>
    <t>DF</t>
  </si>
  <si>
    <t>Colombie-Britannique</t>
  </si>
  <si>
    <t>BAJA CALIFORNIA SUR</t>
  </si>
  <si>
    <t>Terengganu</t>
  </si>
  <si>
    <t>Gyor-Moson-Sopron</t>
  </si>
  <si>
    <t>Atacama</t>
  </si>
  <si>
    <t>Mamarrosa</t>
  </si>
  <si>
    <t>Soria</t>
  </si>
  <si>
    <t>Hong Kong</t>
  </si>
  <si>
    <t>CN-HK</t>
  </si>
  <si>
    <t>COAHUILA DE ZARAGOZA</t>
  </si>
  <si>
    <t>Var</t>
  </si>
  <si>
    <t xml:space="preserve">MD </t>
  </si>
  <si>
    <t xml:space="preserve">MO </t>
  </si>
  <si>
    <t>bosques de las lomas</t>
  </si>
  <si>
    <t>Nagano-ken</t>
  </si>
  <si>
    <t>Mass</t>
  </si>
  <si>
    <t>Wiltshire</t>
  </si>
  <si>
    <t>QUINTANA ROO</t>
  </si>
  <si>
    <t>DURANGO</t>
  </si>
  <si>
    <t>YT</t>
  </si>
  <si>
    <t>Cauca</t>
  </si>
  <si>
    <t>SA</t>
  </si>
  <si>
    <t>Hamburg</t>
  </si>
  <si>
    <t>HH</t>
  </si>
  <si>
    <t>Perú/Arequipa/Arequipa</t>
  </si>
  <si>
    <t>YUCATAN</t>
  </si>
  <si>
    <t>YU</t>
  </si>
  <si>
    <t>Lambayeque</t>
  </si>
  <si>
    <t>LAM</t>
  </si>
  <si>
    <t>Tacna/Tacna/Tacna</t>
  </si>
  <si>
    <t>TAC</t>
  </si>
  <si>
    <t>Tacna</t>
  </si>
  <si>
    <t>Sucre</t>
  </si>
  <si>
    <t>SUC</t>
  </si>
  <si>
    <t>Ut.</t>
  </si>
  <si>
    <t>VERACRUZ DE IGNACIO DE LA LLAVE</t>
  </si>
  <si>
    <t>LA.</t>
  </si>
  <si>
    <t>hi.</t>
  </si>
  <si>
    <t>B.C.</t>
  </si>
  <si>
    <t>Center</t>
  </si>
  <si>
    <t>Czech Republic</t>
  </si>
  <si>
    <t>CZ</t>
  </si>
  <si>
    <t>Østfold</t>
  </si>
  <si>
    <t>Tirol</t>
  </si>
  <si>
    <t>TIR</t>
  </si>
  <si>
    <t>Denmark</t>
  </si>
  <si>
    <t>Me.</t>
  </si>
  <si>
    <t>Ñuble</t>
  </si>
  <si>
    <t>FLORIDABLANCA SANTANDER COLOMBIA</t>
  </si>
  <si>
    <t>Apartamentos de turbo por el acopio de taxi 312740</t>
  </si>
  <si>
    <t>Wicklow</t>
  </si>
  <si>
    <t>WW</t>
  </si>
  <si>
    <t>Makkah</t>
  </si>
  <si>
    <t>MK</t>
  </si>
  <si>
    <t>Bay of Plenty</t>
  </si>
  <si>
    <t>bolivar</t>
  </si>
  <si>
    <t>VE-F</t>
  </si>
  <si>
    <t>Uppland</t>
  </si>
  <si>
    <t>UP</t>
  </si>
  <si>
    <t>District Of Columbia</t>
  </si>
  <si>
    <t>METROPOLITANA</t>
  </si>
  <si>
    <t>MSU</t>
  </si>
  <si>
    <t>Estado de mexico</t>
  </si>
  <si>
    <t>Edomex</t>
  </si>
  <si>
    <t>Finland</t>
  </si>
  <si>
    <t>FI</t>
  </si>
  <si>
    <t>Port Said</t>
  </si>
  <si>
    <t>EG-PTS</t>
  </si>
  <si>
    <t>Slovakia</t>
  </si>
  <si>
    <t>Sector Galateo, Bo. El Verde</t>
  </si>
  <si>
    <t>Slovensko</t>
  </si>
  <si>
    <t>D.C.</t>
  </si>
  <si>
    <t>Bogotá, D. C.</t>
  </si>
  <si>
    <t>CO-DC</t>
  </si>
  <si>
    <t>Arica Parinacota</t>
  </si>
  <si>
    <t>CL-AP</t>
  </si>
  <si>
    <t>Doha Hazm, Markhiya 67 Street 845, House 144</t>
  </si>
  <si>
    <t>Northland</t>
  </si>
  <si>
    <t>NZ-NTL</t>
  </si>
  <si>
    <t>Mo.</t>
  </si>
  <si>
    <t>D.F.</t>
  </si>
  <si>
    <t>SANTANDER</t>
  </si>
  <si>
    <t>CO-SAN</t>
  </si>
  <si>
    <t>Phuket</t>
  </si>
  <si>
    <t>HKT</t>
  </si>
  <si>
    <t>Risaralda, Colombia</t>
  </si>
  <si>
    <t>CO-RIS</t>
  </si>
  <si>
    <t>São Paulo</t>
  </si>
  <si>
    <t>SP</t>
  </si>
  <si>
    <t>Araucania</t>
  </si>
  <si>
    <t>IX</t>
  </si>
  <si>
    <t>Chile</t>
  </si>
  <si>
    <t>Bio Bio</t>
  </si>
  <si>
    <t>VIII</t>
  </si>
  <si>
    <t>Bogota</t>
  </si>
  <si>
    <t>DC / CUN</t>
  </si>
  <si>
    <t>Chungcheongnam-do</t>
  </si>
  <si>
    <t>South Korea</t>
  </si>
  <si>
    <t>Clare</t>
  </si>
  <si>
    <t>CE</t>
  </si>
  <si>
    <t>Ireland</t>
  </si>
  <si>
    <t>Clarendon</t>
  </si>
  <si>
    <t>JA-13</t>
  </si>
  <si>
    <t>Jamaica</t>
  </si>
  <si>
    <t>Co Durham</t>
  </si>
  <si>
    <t>DUR</t>
  </si>
  <si>
    <t>United Kingdom</t>
  </si>
  <si>
    <t>decima region de los lagos</t>
  </si>
  <si>
    <t>X</t>
  </si>
  <si>
    <t>Dublin</t>
  </si>
  <si>
    <t>D</t>
  </si>
  <si>
    <t>Galil Elion</t>
  </si>
  <si>
    <t>IL-Z</t>
  </si>
  <si>
    <t>Gangwon-do,</t>
  </si>
  <si>
    <t>GW</t>
  </si>
  <si>
    <t>Huila</t>
  </si>
  <si>
    <t>HUI</t>
  </si>
  <si>
    <t>kuwait city</t>
  </si>
  <si>
    <t>N/A</t>
  </si>
  <si>
    <t>La Guajira</t>
  </si>
  <si>
    <t>LAG</t>
  </si>
  <si>
    <t>Lima</t>
  </si>
  <si>
    <t>LIM</t>
  </si>
  <si>
    <t>Peru</t>
  </si>
  <si>
    <t>Noord Holland</t>
  </si>
  <si>
    <t>Netherlands</t>
  </si>
  <si>
    <t>Nunavut</t>
  </si>
  <si>
    <t>NU</t>
  </si>
  <si>
    <t>Canada</t>
  </si>
  <si>
    <t>P.R.</t>
  </si>
  <si>
    <t>Qatar</t>
  </si>
  <si>
    <t>QA</t>
  </si>
  <si>
    <t>Quindio</t>
  </si>
  <si>
    <t>QUI</t>
  </si>
  <si>
    <t>Risaralda</t>
  </si>
  <si>
    <t>RIS</t>
  </si>
  <si>
    <t>Segunda Region</t>
  </si>
  <si>
    <t>II</t>
  </si>
  <si>
    <t>Tanzania</t>
  </si>
  <si>
    <t>TZ</t>
  </si>
  <si>
    <t>trento</t>
  </si>
  <si>
    <t>Italy</t>
  </si>
  <si>
    <t>Trujillo</t>
  </si>
  <si>
    <t>LAL</t>
  </si>
  <si>
    <t>Valle</t>
  </si>
  <si>
    <t>VAC</t>
  </si>
  <si>
    <t>Valle del cauca</t>
  </si>
  <si>
    <t>VIC</t>
  </si>
  <si>
    <t>Australia</t>
  </si>
  <si>
    <t>Victoria</t>
  </si>
  <si>
    <t>Wellington</t>
  </si>
  <si>
    <t>WGN</t>
  </si>
  <si>
    <t>New Zealand</t>
  </si>
  <si>
    <t>Shekef</t>
  </si>
  <si>
    <t xml:space="preserve">TX </t>
  </si>
  <si>
    <t xml:space="preserve">NY </t>
  </si>
  <si>
    <t>LONDON</t>
  </si>
  <si>
    <t>LDN</t>
  </si>
  <si>
    <t>CUND</t>
  </si>
  <si>
    <t>Puntarenus Puntarenus</t>
  </si>
  <si>
    <t>OAXACA</t>
  </si>
  <si>
    <t>OA</t>
  </si>
  <si>
    <t>Saitama-ken</t>
  </si>
  <si>
    <t>JP</t>
  </si>
  <si>
    <t>Monza e Brianza</t>
  </si>
  <si>
    <t>Guayas</t>
  </si>
  <si>
    <t>G</t>
  </si>
  <si>
    <t>--</t>
  </si>
  <si>
    <t>Md.</t>
  </si>
  <si>
    <t>ct.</t>
  </si>
  <si>
    <t>EU</t>
  </si>
  <si>
    <t>Cesar</t>
  </si>
  <si>
    <t>CES</t>
  </si>
  <si>
    <t>NAYARIT</t>
  </si>
  <si>
    <t>NAY</t>
  </si>
  <si>
    <t>Gyeongsangbuk-do</t>
  </si>
  <si>
    <t>KR</t>
  </si>
  <si>
    <t>SKU WITH BRACKET</t>
  </si>
  <si>
    <t>00001Q01T</t>
  </si>
  <si>
    <t>00002Q01T</t>
  </si>
  <si>
    <t>00003Q01T</t>
  </si>
  <si>
    <t>00004Q01T</t>
  </si>
  <si>
    <t>00005Q01A</t>
  </si>
  <si>
    <t>00006Q01A</t>
  </si>
  <si>
    <t>00007Q01A</t>
  </si>
  <si>
    <t>00008Q01A</t>
  </si>
  <si>
    <t>00009Q01T</t>
  </si>
  <si>
    <t>00010Q01T</t>
  </si>
  <si>
    <t>00011Q01P</t>
  </si>
  <si>
    <t>00012Q01T</t>
  </si>
  <si>
    <t>00013Q01P</t>
  </si>
  <si>
    <t>00014Q01T</t>
  </si>
  <si>
    <t>00015Q01T</t>
  </si>
  <si>
    <t>B10F2</t>
  </si>
  <si>
    <t>00016Q02T</t>
  </si>
  <si>
    <t>B12FP(2)</t>
  </si>
  <si>
    <t>00017Q01T</t>
  </si>
  <si>
    <t>00018Q01T</t>
  </si>
  <si>
    <t>00019Q01T</t>
  </si>
  <si>
    <t>00020Q01T</t>
  </si>
  <si>
    <t>00020Q03T</t>
  </si>
  <si>
    <t>B9F(3)</t>
  </si>
  <si>
    <t>00021Q01T</t>
  </si>
  <si>
    <t>00022Q01P</t>
  </si>
  <si>
    <t>00023Q01P</t>
  </si>
  <si>
    <t>00031Q01A</t>
  </si>
  <si>
    <t>00035Q01T</t>
  </si>
  <si>
    <t>00036Q01T</t>
  </si>
  <si>
    <t>00037Q01T</t>
  </si>
  <si>
    <t>00038Q01T</t>
  </si>
  <si>
    <t>00039Q01P</t>
  </si>
  <si>
    <t>00040Q01T</t>
  </si>
  <si>
    <t>00041Q01T</t>
  </si>
  <si>
    <t>00042Q01T</t>
  </si>
  <si>
    <t>00043Q01T</t>
  </si>
  <si>
    <t>00044Q01P</t>
  </si>
  <si>
    <t>00045Q01T</t>
  </si>
  <si>
    <t>00046Q01T</t>
  </si>
  <si>
    <t>00047Q01P</t>
  </si>
  <si>
    <t>00048Q01T</t>
  </si>
  <si>
    <t>00049Q01T</t>
  </si>
  <si>
    <t>00050Q01T</t>
  </si>
  <si>
    <t>CP-1-4831F</t>
  </si>
  <si>
    <t>00051Q01T</t>
  </si>
  <si>
    <t>00052Q01T</t>
  </si>
  <si>
    <t>00053Q01T</t>
  </si>
  <si>
    <t>00054Q01P</t>
  </si>
  <si>
    <t>Z5</t>
  </si>
  <si>
    <t>00055Q01T</t>
  </si>
  <si>
    <t>00056Q01T</t>
  </si>
  <si>
    <t>00057Q01T</t>
  </si>
  <si>
    <t>00058Q01T</t>
  </si>
  <si>
    <t>ZS3</t>
  </si>
  <si>
    <t>00059Q01T</t>
  </si>
  <si>
    <t>00060Q01A</t>
  </si>
  <si>
    <t>00061Q01T</t>
  </si>
  <si>
    <t>00062Q01A</t>
  </si>
  <si>
    <t>NR-A1208</t>
  </si>
  <si>
    <t>00063Q01A</t>
  </si>
  <si>
    <t>NR-A1212</t>
  </si>
  <si>
    <t>00065Q01A</t>
  </si>
  <si>
    <t>00066Q01A</t>
  </si>
  <si>
    <t>NR-A1248</t>
  </si>
  <si>
    <t>00067Q01A</t>
  </si>
  <si>
    <t>NR-B1206</t>
  </si>
  <si>
    <t>00068Q01A</t>
  </si>
  <si>
    <t>NR-B1208</t>
  </si>
  <si>
    <t>00069Q01A</t>
  </si>
  <si>
    <t>NR-B1212</t>
  </si>
  <si>
    <t>00070Q01A</t>
  </si>
  <si>
    <t>00072Q01A</t>
  </si>
  <si>
    <t>00077Q01A</t>
  </si>
  <si>
    <t>00078Q01A</t>
  </si>
  <si>
    <t>00079Q01A</t>
  </si>
  <si>
    <t>00080Q01A</t>
  </si>
  <si>
    <t>00084Q01A</t>
  </si>
  <si>
    <t>SR-B0336</t>
  </si>
  <si>
    <t>00085Q01A</t>
  </si>
  <si>
    <t>00087Q01A</t>
  </si>
  <si>
    <t>00088Q01A</t>
  </si>
  <si>
    <t>00089Q01A</t>
  </si>
  <si>
    <t>00090Q01A</t>
  </si>
  <si>
    <t>00092Q01A</t>
  </si>
  <si>
    <t>00093Q01A</t>
  </si>
  <si>
    <t>SR-B3636</t>
  </si>
  <si>
    <t>00094Q01T</t>
  </si>
  <si>
    <t>00095Q01T</t>
  </si>
  <si>
    <t>00096Q01T</t>
  </si>
  <si>
    <t>00097Q01T</t>
  </si>
  <si>
    <t>00098Q01T</t>
  </si>
  <si>
    <t>00099Q01T</t>
  </si>
  <si>
    <t>00100Q01T</t>
  </si>
  <si>
    <t>00101Q01T</t>
  </si>
  <si>
    <t>00102Q01T</t>
  </si>
  <si>
    <t>00103Q01T</t>
  </si>
  <si>
    <t>00104Q01T</t>
  </si>
  <si>
    <t>00105Q01T</t>
  </si>
  <si>
    <t>00106Q01T</t>
  </si>
  <si>
    <t>00107Q01T</t>
  </si>
  <si>
    <t>00108Q01T</t>
  </si>
  <si>
    <t>00109Q01T</t>
  </si>
  <si>
    <t>00110Q01T</t>
  </si>
  <si>
    <t>00111Q01T</t>
  </si>
  <si>
    <t>00112Q01T</t>
  </si>
  <si>
    <t>00113Q01T</t>
  </si>
  <si>
    <t>00114Q01T</t>
  </si>
  <si>
    <t>00115Q01T</t>
  </si>
  <si>
    <t>00116Q01T</t>
  </si>
  <si>
    <t>00117Q01T</t>
  </si>
  <si>
    <t>00118Q01T</t>
  </si>
  <si>
    <t>00119Q01T</t>
  </si>
  <si>
    <t>00120Q01T</t>
  </si>
  <si>
    <t>00121Q01T</t>
  </si>
  <si>
    <t>00122Q01T</t>
  </si>
  <si>
    <t>00123Q01T</t>
  </si>
  <si>
    <t>00124Q01T</t>
  </si>
  <si>
    <t>00125Q01T</t>
  </si>
  <si>
    <t>00126Q01A</t>
  </si>
  <si>
    <t>GT-01</t>
  </si>
  <si>
    <t>00127Q01A</t>
  </si>
  <si>
    <t>GT-03</t>
  </si>
  <si>
    <t>00128Q01A</t>
  </si>
  <si>
    <t>GT-04</t>
  </si>
  <si>
    <t>00129Q01A</t>
  </si>
  <si>
    <t>00130Q01A</t>
  </si>
  <si>
    <t>00131Q01A</t>
  </si>
  <si>
    <t>00132Q01A</t>
  </si>
  <si>
    <t>00133Q01A</t>
  </si>
  <si>
    <t>00134Q01A</t>
  </si>
  <si>
    <t>00135Q01A</t>
  </si>
  <si>
    <t>00136Q01A</t>
  </si>
  <si>
    <t>00137Q01A</t>
  </si>
  <si>
    <t>GT-17</t>
  </si>
  <si>
    <t>00138Q01A</t>
  </si>
  <si>
    <t>GT-18</t>
  </si>
  <si>
    <t>00139Q01A</t>
  </si>
  <si>
    <t>00140Q01T</t>
  </si>
  <si>
    <t>CS4-0623</t>
  </si>
  <si>
    <t>00141Q01T</t>
  </si>
  <si>
    <t>CS4-1212</t>
  </si>
  <si>
    <t>00142Q01T</t>
  </si>
  <si>
    <t>CS4-1223</t>
  </si>
  <si>
    <t>00143Q01A</t>
  </si>
  <si>
    <t>CS4-1235</t>
  </si>
  <si>
    <t>00144Q01A</t>
  </si>
  <si>
    <t>CS4-2323</t>
  </si>
  <si>
    <t>00145Q01A</t>
  </si>
  <si>
    <t>CS4-2335</t>
  </si>
  <si>
    <t>00146Q01T</t>
  </si>
  <si>
    <t>CS6-0623</t>
  </si>
  <si>
    <t>00147Q01T</t>
  </si>
  <si>
    <t>CS6-1212</t>
  </si>
  <si>
    <t>00148Q01T</t>
  </si>
  <si>
    <t>CS6-1223</t>
  </si>
  <si>
    <t>00149Q01A</t>
  </si>
  <si>
    <t>CS6-1235</t>
  </si>
  <si>
    <t>00150Q01A</t>
  </si>
  <si>
    <t>CS6-2323</t>
  </si>
  <si>
    <t>00151Q01A</t>
  </si>
  <si>
    <t>CS6-2335</t>
  </si>
  <si>
    <t>00152Q01T</t>
  </si>
  <si>
    <t>00153Q01T</t>
  </si>
  <si>
    <t>CS7-1212</t>
  </si>
  <si>
    <t>00154Q01T</t>
  </si>
  <si>
    <t>CS7-1223</t>
  </si>
  <si>
    <t>00155Q01A</t>
  </si>
  <si>
    <t>CS7-1235</t>
  </si>
  <si>
    <t>00156Q01A</t>
  </si>
  <si>
    <t>CS7-2323</t>
  </si>
  <si>
    <t>00157Q01A</t>
  </si>
  <si>
    <t>CS7-2335</t>
  </si>
  <si>
    <t>00158Q01T</t>
  </si>
  <si>
    <t>00159Q01T</t>
  </si>
  <si>
    <t>00160Q01T</t>
  </si>
  <si>
    <t>00162Q01T</t>
  </si>
  <si>
    <t>00163Q01T</t>
  </si>
  <si>
    <t>00164Q01A</t>
  </si>
  <si>
    <t>CM-B115</t>
  </si>
  <si>
    <t>00165Q01A</t>
  </si>
  <si>
    <t>00166Q01T</t>
  </si>
  <si>
    <t>CM-B203</t>
  </si>
  <si>
    <t>00167Q01T</t>
  </si>
  <si>
    <t>00168Q01A</t>
  </si>
  <si>
    <t>00169Q01A</t>
  </si>
  <si>
    <t>CM-B230</t>
  </si>
  <si>
    <t>00170Q01T</t>
  </si>
  <si>
    <t>00171Q01T</t>
  </si>
  <si>
    <t>CM-C109</t>
  </si>
  <si>
    <t>00174Q01T</t>
  </si>
  <si>
    <t>00176Q01A</t>
  </si>
  <si>
    <t>CM-C215</t>
  </si>
  <si>
    <t>00178Q01T</t>
  </si>
  <si>
    <t>00179Q01A</t>
  </si>
  <si>
    <t>CM-D109</t>
  </si>
  <si>
    <t>00180Q01A</t>
  </si>
  <si>
    <t>00181Q01A</t>
  </si>
  <si>
    <t>CM-D130</t>
  </si>
  <si>
    <t>00183Q01A</t>
  </si>
  <si>
    <t>CM-D209</t>
  </si>
  <si>
    <t>00184Q01A</t>
  </si>
  <si>
    <t>CM-D215</t>
  </si>
  <si>
    <t>00185Q01A</t>
  </si>
  <si>
    <t>00186Q01P</t>
  </si>
  <si>
    <t>00187Q01P</t>
  </si>
  <si>
    <t>00188Q01P</t>
  </si>
  <si>
    <t>00189Q01P</t>
  </si>
  <si>
    <t>00190Q01P</t>
  </si>
  <si>
    <t>CT-I1555</t>
  </si>
  <si>
    <t>00190Q02P</t>
  </si>
  <si>
    <t>CT-I1555(2)</t>
  </si>
  <si>
    <t>00191Q01P</t>
  </si>
  <si>
    <t>CT-SC60</t>
  </si>
  <si>
    <t>00192Q01P</t>
  </si>
  <si>
    <t>CT-SC80</t>
  </si>
  <si>
    <t>00193Q01P</t>
  </si>
  <si>
    <t>00194Q01P</t>
  </si>
  <si>
    <t>00195Q01P</t>
  </si>
  <si>
    <t>00196Q01P</t>
  </si>
  <si>
    <t>CT-WK55</t>
  </si>
  <si>
    <t>00197Q01P</t>
  </si>
  <si>
    <t>CT-AS110</t>
  </si>
  <si>
    <t>00198Q01T</t>
  </si>
  <si>
    <t>00199Q01T</t>
  </si>
  <si>
    <t>00200Q01PB</t>
  </si>
  <si>
    <t>00200Q01PL</t>
  </si>
  <si>
    <t>00200Q01PT</t>
  </si>
  <si>
    <t>00200Q02PB</t>
  </si>
  <si>
    <t>EPX-01(2)</t>
  </si>
  <si>
    <t>00200Q02PL</t>
  </si>
  <si>
    <t>00200Q02PT</t>
  </si>
  <si>
    <t>00202Q01P</t>
  </si>
  <si>
    <t>00203Q01P</t>
  </si>
  <si>
    <t>00204Q01P</t>
  </si>
  <si>
    <t>00205Q01P</t>
  </si>
  <si>
    <t>00206Q01P</t>
  </si>
  <si>
    <t>00207Q01P</t>
  </si>
  <si>
    <t>00208Q01P</t>
  </si>
  <si>
    <t>00209Q01P</t>
  </si>
  <si>
    <t>00210Q01A</t>
  </si>
  <si>
    <t>00211Q01A</t>
  </si>
  <si>
    <t>00212Q01P</t>
  </si>
  <si>
    <t>00213Q01P</t>
  </si>
  <si>
    <t>00214Q01P</t>
  </si>
  <si>
    <t>FB-0206</t>
  </si>
  <si>
    <t>00215Q01P</t>
  </si>
  <si>
    <t>00216Q01P</t>
  </si>
  <si>
    <t>00217Q01P</t>
  </si>
  <si>
    <t>FB-0402</t>
  </si>
  <si>
    <t>00218Q01P</t>
  </si>
  <si>
    <t>00220Q01T</t>
  </si>
  <si>
    <t>FB-11X</t>
  </si>
  <si>
    <t>00221Q01P</t>
  </si>
  <si>
    <t>00222Q01T</t>
  </si>
  <si>
    <t>FB-BS9</t>
  </si>
  <si>
    <t>00223Q01A</t>
  </si>
  <si>
    <t>00224Q01A</t>
  </si>
  <si>
    <t>00225Q01A</t>
  </si>
  <si>
    <t>GT-22</t>
  </si>
  <si>
    <t>00226Q01A</t>
  </si>
  <si>
    <t>GT-23</t>
  </si>
  <si>
    <t>00227Q01A</t>
  </si>
  <si>
    <t>GT-24</t>
  </si>
  <si>
    <t>00228Q01A</t>
  </si>
  <si>
    <t>00229Q01A</t>
  </si>
  <si>
    <t>00230Q01A</t>
  </si>
  <si>
    <t>GT-27</t>
  </si>
  <si>
    <t>00231Q01A</t>
  </si>
  <si>
    <t>GT-28</t>
  </si>
  <si>
    <t>00233Q01T</t>
  </si>
  <si>
    <t>YOG-01</t>
  </si>
  <si>
    <t>00234Q01T</t>
  </si>
  <si>
    <t>YOG-02</t>
  </si>
  <si>
    <t>00235Q01T</t>
  </si>
  <si>
    <t>YOG-03</t>
  </si>
  <si>
    <t>00236Q01T</t>
  </si>
  <si>
    <t>YOG-04</t>
  </si>
  <si>
    <t>00237Q01T</t>
  </si>
  <si>
    <t>YOG-05</t>
  </si>
  <si>
    <t>00238Q01T</t>
  </si>
  <si>
    <t>YOG-06</t>
  </si>
  <si>
    <t>00239Q01T</t>
  </si>
  <si>
    <t>00240Q01A</t>
  </si>
  <si>
    <t>GT-02</t>
  </si>
  <si>
    <t>00242Q01T</t>
  </si>
  <si>
    <t>CBN-3604C</t>
  </si>
  <si>
    <t>00243Q01T</t>
  </si>
  <si>
    <t>CBN-3610C</t>
  </si>
  <si>
    <t>00244Q01T</t>
  </si>
  <si>
    <t>00245Q01T</t>
  </si>
  <si>
    <t>CBN-3614C</t>
  </si>
  <si>
    <t>00246Q01T</t>
  </si>
  <si>
    <t>00247Q01T</t>
  </si>
  <si>
    <t>00248Q01T</t>
  </si>
  <si>
    <t>CBN-14412C</t>
  </si>
  <si>
    <t>00249Q01A</t>
  </si>
  <si>
    <t>00250Q01A</t>
  </si>
  <si>
    <t>00251Q01A</t>
  </si>
  <si>
    <t>00252Q01A</t>
  </si>
  <si>
    <t>00265Q01P</t>
  </si>
  <si>
    <t>00266Q01P</t>
  </si>
  <si>
    <t>FB-0112(266)</t>
  </si>
  <si>
    <t>00293Q01T</t>
  </si>
  <si>
    <t>00294Q01A</t>
  </si>
  <si>
    <t>00294Q02A</t>
  </si>
  <si>
    <t>FP-61(2)</t>
  </si>
  <si>
    <t>00295Q01A</t>
  </si>
  <si>
    <t>00296Q01A</t>
  </si>
  <si>
    <t>00296Q02A</t>
  </si>
  <si>
    <t>FP-64(2)</t>
  </si>
  <si>
    <t>00296Q03A</t>
  </si>
  <si>
    <t>FP-64(3)</t>
  </si>
  <si>
    <t>00298Q01A</t>
  </si>
  <si>
    <t>00298Q02A</t>
  </si>
  <si>
    <t>FP-68(2)</t>
  </si>
  <si>
    <t>00298Q03A</t>
  </si>
  <si>
    <t>FP-68(3)</t>
  </si>
  <si>
    <t>00299Q01A</t>
  </si>
  <si>
    <t>00299Q02A</t>
  </si>
  <si>
    <t>FP-69(2)</t>
  </si>
  <si>
    <t>00299Q03A</t>
  </si>
  <si>
    <t>FP-69(3)</t>
  </si>
  <si>
    <t>00300Q01A</t>
  </si>
  <si>
    <t>00301Q01A</t>
  </si>
  <si>
    <t>00302Q01A</t>
  </si>
  <si>
    <t>00303Q01A</t>
  </si>
  <si>
    <t>00304Q01A</t>
  </si>
  <si>
    <t>00305Q01A</t>
  </si>
  <si>
    <t>00306Q01A</t>
  </si>
  <si>
    <t>00307Q01T</t>
  </si>
  <si>
    <t>FS-1Q</t>
  </si>
  <si>
    <t>00308Q01T</t>
  </si>
  <si>
    <t>FS-1G</t>
  </si>
  <si>
    <t>00337Q01P</t>
  </si>
  <si>
    <t>00338Q01P</t>
  </si>
  <si>
    <t>00339Q01P</t>
  </si>
  <si>
    <t>00340Q01P</t>
  </si>
  <si>
    <t>00341Q01P</t>
  </si>
  <si>
    <t>00342Q01P</t>
  </si>
  <si>
    <t>00342Q02P</t>
  </si>
  <si>
    <t>IB-A06(2)</t>
  </si>
  <si>
    <t>00343Q01P</t>
  </si>
  <si>
    <t>00344Q01P</t>
  </si>
  <si>
    <t>00345Q01P</t>
  </si>
  <si>
    <t>00346Q01P</t>
  </si>
  <si>
    <t>00347Q01P</t>
  </si>
  <si>
    <t>00348Q01P</t>
  </si>
  <si>
    <t>00349Q01P</t>
  </si>
  <si>
    <t>00350Q01P</t>
  </si>
  <si>
    <t>00351Q01P</t>
  </si>
  <si>
    <t>00352Q01P</t>
  </si>
  <si>
    <t>00353Q01P</t>
  </si>
  <si>
    <t>00354Q01P</t>
  </si>
  <si>
    <t>00355Q01P</t>
  </si>
  <si>
    <t>00356Q01P</t>
  </si>
  <si>
    <t>00357Q01P</t>
  </si>
  <si>
    <t>00358Q01P</t>
  </si>
  <si>
    <t>00358Q02P</t>
  </si>
  <si>
    <t>IB-F08(2)</t>
  </si>
  <si>
    <t>00359Q01P</t>
  </si>
  <si>
    <t>00360Q01P</t>
  </si>
  <si>
    <t>00361Q01P</t>
  </si>
  <si>
    <t>00362Q01P</t>
  </si>
  <si>
    <t>00363Q01P</t>
  </si>
  <si>
    <t>00367Q01P</t>
  </si>
  <si>
    <t>00370Q01T</t>
  </si>
  <si>
    <t>00371Q01T</t>
  </si>
  <si>
    <t>00372Q01T</t>
  </si>
  <si>
    <t>00373Q01T</t>
  </si>
  <si>
    <t>00374Q01T</t>
  </si>
  <si>
    <t>00375Q01T</t>
  </si>
  <si>
    <t>00378Q01T</t>
  </si>
  <si>
    <t>00379Q01T</t>
  </si>
  <si>
    <t>00382Q01T</t>
  </si>
  <si>
    <t>00383Q01T</t>
  </si>
  <si>
    <t>00442Q01P</t>
  </si>
  <si>
    <t>00443Q01P</t>
  </si>
  <si>
    <t>00444Q01P</t>
  </si>
  <si>
    <t>00445Q01A</t>
  </si>
  <si>
    <t>00446Q01A</t>
  </si>
  <si>
    <t>JMT-05</t>
  </si>
  <si>
    <t>00448Q01A</t>
  </si>
  <si>
    <t>00449Q01A</t>
  </si>
  <si>
    <t>JMT-08</t>
  </si>
  <si>
    <t>00450Q01A</t>
  </si>
  <si>
    <t>00451Q01A</t>
  </si>
  <si>
    <t>00452Q01A</t>
  </si>
  <si>
    <t>00453Q01T</t>
  </si>
  <si>
    <t>JMT-101</t>
  </si>
  <si>
    <t>00454Q01T</t>
  </si>
  <si>
    <t>JMT-102</t>
  </si>
  <si>
    <t>00455Q01A</t>
  </si>
  <si>
    <t>00456Q01A</t>
  </si>
  <si>
    <t>00457Q01T</t>
  </si>
  <si>
    <t>00458Q01T</t>
  </si>
  <si>
    <t>00459Q01T</t>
  </si>
  <si>
    <t>00460Q01T</t>
  </si>
  <si>
    <t>00461Q01T</t>
  </si>
  <si>
    <t>00462Q01A</t>
  </si>
  <si>
    <t>JMT-11</t>
  </si>
  <si>
    <t>00463Q01T</t>
  </si>
  <si>
    <t>00464Q01T</t>
  </si>
  <si>
    <t>00465Q01T</t>
  </si>
  <si>
    <t>00467Q01A</t>
  </si>
  <si>
    <t>00468Q01A</t>
  </si>
  <si>
    <t>00469Q01A</t>
  </si>
  <si>
    <t>00470Q01A</t>
  </si>
  <si>
    <t>00471Q01A</t>
  </si>
  <si>
    <t>00472Q01A</t>
  </si>
  <si>
    <t>00473Q01A</t>
  </si>
  <si>
    <t>00474Q01A</t>
  </si>
  <si>
    <t>00475Q01A</t>
  </si>
  <si>
    <t>00476Q01A</t>
  </si>
  <si>
    <t>JMT-122</t>
  </si>
  <si>
    <t>00477Q01A</t>
  </si>
  <si>
    <t>00478Q01A</t>
  </si>
  <si>
    <t>JMT-124</t>
  </si>
  <si>
    <t>00479Q01A</t>
  </si>
  <si>
    <t>00480Q01A</t>
  </si>
  <si>
    <t>00481Q01A</t>
  </si>
  <si>
    <t>00481Q02A</t>
  </si>
  <si>
    <t>JMT-127(2)</t>
  </si>
  <si>
    <t>00482Q01A</t>
  </si>
  <si>
    <t>JMT-128</t>
  </si>
  <si>
    <t>00483Q01A</t>
  </si>
  <si>
    <t>JMT-129</t>
  </si>
  <si>
    <t>00484Q01A</t>
  </si>
  <si>
    <t>00485Q01A</t>
  </si>
  <si>
    <t>00486Q01A</t>
  </si>
  <si>
    <t>00487Q01A</t>
  </si>
  <si>
    <t>JMT-132</t>
  </si>
  <si>
    <t>00488Q01A</t>
  </si>
  <si>
    <t>00489Q01A</t>
  </si>
  <si>
    <t>00490Q01A</t>
  </si>
  <si>
    <t>00492Q01A</t>
  </si>
  <si>
    <t>00494Q01A</t>
  </si>
  <si>
    <t>JMT-18</t>
  </si>
  <si>
    <t>00495Q01A</t>
  </si>
  <si>
    <t>JMT-19</t>
  </si>
  <si>
    <t>00497Q01A</t>
  </si>
  <si>
    <t>00498Q01A</t>
  </si>
  <si>
    <t>JMT-22</t>
  </si>
  <si>
    <t>00499Q01A</t>
  </si>
  <si>
    <t>JMT-23</t>
  </si>
  <si>
    <t>00500Q01A</t>
  </si>
  <si>
    <t>JMT-24</t>
  </si>
  <si>
    <t>00501Q01A</t>
  </si>
  <si>
    <t>00502Q01A</t>
  </si>
  <si>
    <t>00503Q01A</t>
  </si>
  <si>
    <t>00504Q01A</t>
  </si>
  <si>
    <t>00507Q01A</t>
  </si>
  <si>
    <t>00508Q01A</t>
  </si>
  <si>
    <t>00510Q01T</t>
  </si>
  <si>
    <t>JMT-34</t>
  </si>
  <si>
    <t>00511Q01T</t>
  </si>
  <si>
    <t>00512Q01T</t>
  </si>
  <si>
    <t>00513Q01T</t>
  </si>
  <si>
    <t>00514Q01T</t>
  </si>
  <si>
    <t>00515Q01T</t>
  </si>
  <si>
    <t>00516Q01T</t>
  </si>
  <si>
    <t>JMT-40</t>
  </si>
  <si>
    <t>00517Q01A</t>
  </si>
  <si>
    <t>00519Q01A</t>
  </si>
  <si>
    <t>JMT-43</t>
  </si>
  <si>
    <t>00520Q01A</t>
  </si>
  <si>
    <t>JMT-44</t>
  </si>
  <si>
    <t>00521Q01A</t>
  </si>
  <si>
    <t>JMT-45</t>
  </si>
  <si>
    <t>00522Q01A</t>
  </si>
  <si>
    <t>00523Q01T</t>
  </si>
  <si>
    <t>00524Q01A</t>
  </si>
  <si>
    <t>00525Q01T</t>
  </si>
  <si>
    <t>JMT-49</t>
  </si>
  <si>
    <t>00525Q02T</t>
  </si>
  <si>
    <t>JMT-49(2)</t>
  </si>
  <si>
    <t>00525Q03T</t>
  </si>
  <si>
    <t>JMT-49(3)</t>
  </si>
  <si>
    <t>00525Q04T</t>
  </si>
  <si>
    <t>JMT-49(4)</t>
  </si>
  <si>
    <t>00526Q01T</t>
  </si>
  <si>
    <t>JMT-50</t>
  </si>
  <si>
    <t>00526Q02T</t>
  </si>
  <si>
    <t>JMT-50(2)</t>
  </si>
  <si>
    <t>00526Q03T</t>
  </si>
  <si>
    <t>JMT-50(3)</t>
  </si>
  <si>
    <t>00526Q04T</t>
  </si>
  <si>
    <t>JMT-50(4)</t>
  </si>
  <si>
    <t>00527Q01T</t>
  </si>
  <si>
    <t>JMT-51</t>
  </si>
  <si>
    <t>00528Q01T</t>
  </si>
  <si>
    <t>JMT-52</t>
  </si>
  <si>
    <t>00528Q02T</t>
  </si>
  <si>
    <t>JMT-52(2)</t>
  </si>
  <si>
    <t>00528Q03T</t>
  </si>
  <si>
    <t>JMT-52(3)</t>
  </si>
  <si>
    <t>00528Q04T</t>
  </si>
  <si>
    <t>JMT-52(4)</t>
  </si>
  <si>
    <t>00529Q01A</t>
  </si>
  <si>
    <t>00531Q01A</t>
  </si>
  <si>
    <t>JMT-55</t>
  </si>
  <si>
    <t>00534Q01A</t>
  </si>
  <si>
    <t>JMT-58</t>
  </si>
  <si>
    <t>00535Q01P</t>
  </si>
  <si>
    <t>00536Q01A</t>
  </si>
  <si>
    <t>00539Q01A</t>
  </si>
  <si>
    <t>00540Q01A</t>
  </si>
  <si>
    <t>JMT-64</t>
  </si>
  <si>
    <t>00541Q01A</t>
  </si>
  <si>
    <t>JMT-65</t>
  </si>
  <si>
    <t>00542Q01A</t>
  </si>
  <si>
    <t>JMT-66</t>
  </si>
  <si>
    <t>00543Q01A</t>
  </si>
  <si>
    <t>00544Q01A</t>
  </si>
  <si>
    <t>00547Q01T</t>
  </si>
  <si>
    <t>JMT-71</t>
  </si>
  <si>
    <t>00548Q01A</t>
  </si>
  <si>
    <t>JMT-72</t>
  </si>
  <si>
    <t>00549Q01A</t>
  </si>
  <si>
    <t>00550Q01A</t>
  </si>
  <si>
    <t>00551Q01A</t>
  </si>
  <si>
    <t>JMT-75</t>
  </si>
  <si>
    <t>00552Q01A</t>
  </si>
  <si>
    <t>JMT-76</t>
  </si>
  <si>
    <t>00553Q01A</t>
  </si>
  <si>
    <t>JMT-77</t>
  </si>
  <si>
    <t>00554Q01A</t>
  </si>
  <si>
    <t>00555Q01A</t>
  </si>
  <si>
    <t>JMT-79</t>
  </si>
  <si>
    <t>00556Q01A</t>
  </si>
  <si>
    <t>JMT-80</t>
  </si>
  <si>
    <t>00557Q01T</t>
  </si>
  <si>
    <t>00561Q01A</t>
  </si>
  <si>
    <t>00562Q01A</t>
  </si>
  <si>
    <t>00563Q01A</t>
  </si>
  <si>
    <t>00564Q01T</t>
  </si>
  <si>
    <t>00565Q01T</t>
  </si>
  <si>
    <t>00566Q01T</t>
  </si>
  <si>
    <t>00567Q01T</t>
  </si>
  <si>
    <t>00568Q01T</t>
  </si>
  <si>
    <t>00569Q01A</t>
  </si>
  <si>
    <t>00570Q01A</t>
  </si>
  <si>
    <t>00571Q01A</t>
  </si>
  <si>
    <t>00572Q01A</t>
  </si>
  <si>
    <t>00573Q01A</t>
  </si>
  <si>
    <t>00574Q01A</t>
  </si>
  <si>
    <t>00575Q01A</t>
  </si>
  <si>
    <t>00576Q01A</t>
  </si>
  <si>
    <t>00577Q01A</t>
  </si>
  <si>
    <t>00578Q01A</t>
  </si>
  <si>
    <t>00579Q01A</t>
  </si>
  <si>
    <t>00580Q01A</t>
  </si>
  <si>
    <t>00581Q01A</t>
  </si>
  <si>
    <t>00582Q01A</t>
  </si>
  <si>
    <t>00583Q01A</t>
  </si>
  <si>
    <t>00584Q01A</t>
  </si>
  <si>
    <t>00601Q01A</t>
  </si>
  <si>
    <t>00602Q01A</t>
  </si>
  <si>
    <t>00603Q01A</t>
  </si>
  <si>
    <t>LS-1Q</t>
  </si>
  <si>
    <t>00605Q01A</t>
  </si>
  <si>
    <t>00615Q01P</t>
  </si>
  <si>
    <t>PFR-10RG</t>
  </si>
  <si>
    <t>00618Q01P</t>
  </si>
  <si>
    <t>PFO-10BG</t>
  </si>
  <si>
    <t>00621Q01P</t>
  </si>
  <si>
    <t>00622Q01P</t>
  </si>
  <si>
    <t>00623Q01P</t>
  </si>
  <si>
    <t>00624Q01P</t>
  </si>
  <si>
    <t>00625Q01P</t>
  </si>
  <si>
    <t>00626Q01P</t>
  </si>
  <si>
    <t>00627Q01P</t>
  </si>
  <si>
    <t>00628Q01P</t>
  </si>
  <si>
    <t>00629Q01P</t>
  </si>
  <si>
    <t>00630Q01P</t>
  </si>
  <si>
    <t>00631Q01P</t>
  </si>
  <si>
    <t>00632Q01P</t>
  </si>
  <si>
    <t>00633Q01P</t>
  </si>
  <si>
    <t>00634Q01P</t>
  </si>
  <si>
    <t>00635Q01P</t>
  </si>
  <si>
    <t>00636Q01P</t>
  </si>
  <si>
    <t>00637Q01P</t>
  </si>
  <si>
    <t>00638Q01P</t>
  </si>
  <si>
    <t>00639Q01P</t>
  </si>
  <si>
    <t>00640Q01P</t>
  </si>
  <si>
    <t>00640Q01P1</t>
  </si>
  <si>
    <t>00641Q01P</t>
  </si>
  <si>
    <t>00642Q01P</t>
  </si>
  <si>
    <t>00643Q01P</t>
  </si>
  <si>
    <t>00644Q01P</t>
  </si>
  <si>
    <t>00645Q01P</t>
  </si>
  <si>
    <t>00646Q01P</t>
  </si>
  <si>
    <t>00647Q01P</t>
  </si>
  <si>
    <t>00648Q01P</t>
  </si>
  <si>
    <t>00649Q01P</t>
  </si>
  <si>
    <t>00650Q01P</t>
  </si>
  <si>
    <t>00651Q01T</t>
  </si>
  <si>
    <t>00652Q01T</t>
  </si>
  <si>
    <t>00653Q01T</t>
  </si>
  <si>
    <t>00654Q01A</t>
  </si>
  <si>
    <t>00655Q01T</t>
  </si>
  <si>
    <t>00656Q01T</t>
  </si>
  <si>
    <t>00657Q01T</t>
  </si>
  <si>
    <t>00658Q01T</t>
  </si>
  <si>
    <t>00659Q01T</t>
  </si>
  <si>
    <t>00660Q01T</t>
  </si>
  <si>
    <t>00661Q01A</t>
  </si>
  <si>
    <t>00662Q01P</t>
  </si>
  <si>
    <t>00663Q01P</t>
  </si>
  <si>
    <t>00664Q01P</t>
  </si>
  <si>
    <t>00668Q01T</t>
  </si>
  <si>
    <t>00669Q01T</t>
  </si>
  <si>
    <t>00670Q01T</t>
  </si>
  <si>
    <t>00673Q01A</t>
  </si>
  <si>
    <t>PR-01</t>
  </si>
  <si>
    <t>00674Q01A</t>
  </si>
  <si>
    <t>00675Q01A</t>
  </si>
  <si>
    <t>00676Q01A</t>
  </si>
  <si>
    <t>PR-04</t>
  </si>
  <si>
    <t>00677Q01A</t>
  </si>
  <si>
    <t>00678Q01A</t>
  </si>
  <si>
    <t>00680Q01A</t>
  </si>
  <si>
    <t>00681Q01A</t>
  </si>
  <si>
    <t>PR-09</t>
  </si>
  <si>
    <t>00682Q01A</t>
  </si>
  <si>
    <t>PR-10</t>
  </si>
  <si>
    <t>00684Q01A</t>
  </si>
  <si>
    <t>00684Q04A</t>
  </si>
  <si>
    <t>PR-12(4)</t>
  </si>
  <si>
    <t>00685Q01A</t>
  </si>
  <si>
    <t>PR-13</t>
  </si>
  <si>
    <t>00686Q01A</t>
  </si>
  <si>
    <t>00687Q01A</t>
  </si>
  <si>
    <t>PR-15</t>
  </si>
  <si>
    <t>00688Q01A</t>
  </si>
  <si>
    <t>00689Q01A</t>
  </si>
  <si>
    <t>00691Q01A</t>
  </si>
  <si>
    <t>PR-19</t>
  </si>
  <si>
    <t>00692Q01A</t>
  </si>
  <si>
    <t>PR-20</t>
  </si>
  <si>
    <t>00693Q01A</t>
  </si>
  <si>
    <t>PR-21</t>
  </si>
  <si>
    <t>00694Q01A</t>
  </si>
  <si>
    <t>00695Q01A</t>
  </si>
  <si>
    <t>PR-23</t>
  </si>
  <si>
    <t>00696Q01A</t>
  </si>
  <si>
    <t>00697Q01A</t>
  </si>
  <si>
    <t>00698Q01A</t>
  </si>
  <si>
    <t>00699Q01A</t>
  </si>
  <si>
    <t>PR-27</t>
  </si>
  <si>
    <t>00700Q01A</t>
  </si>
  <si>
    <t>PR-28</t>
  </si>
  <si>
    <t>00706Q01A</t>
  </si>
  <si>
    <t>00707Q01A</t>
  </si>
  <si>
    <t>00708Q01A</t>
  </si>
  <si>
    <t>PS-04</t>
  </si>
  <si>
    <t>00709Q01A</t>
  </si>
  <si>
    <t>00710Q01A</t>
  </si>
  <si>
    <t>00711Q01A</t>
  </si>
  <si>
    <t>00712Q01A</t>
  </si>
  <si>
    <t>PS-08</t>
  </si>
  <si>
    <t>00713Q01A</t>
  </si>
  <si>
    <t>00714Q01A</t>
  </si>
  <si>
    <t>00718Q01T</t>
  </si>
  <si>
    <t>00719Q01T</t>
  </si>
  <si>
    <t>00721Q01T</t>
  </si>
  <si>
    <t>PS-17</t>
  </si>
  <si>
    <t>00722Q01A</t>
  </si>
  <si>
    <t>00725Q01P</t>
  </si>
  <si>
    <t>RCB-01</t>
  </si>
  <si>
    <t>00726Q01P</t>
  </si>
  <si>
    <t>00727Q01P</t>
  </si>
  <si>
    <t>00730Q01P</t>
  </si>
  <si>
    <t>00730Q04P</t>
  </si>
  <si>
    <t>RCB-06(4)</t>
  </si>
  <si>
    <t>00731Q01P</t>
  </si>
  <si>
    <t>00731Q02P</t>
  </si>
  <si>
    <t>RCB-07(2)</t>
  </si>
  <si>
    <t>00732Q01P</t>
  </si>
  <si>
    <t>RCB-08</t>
  </si>
  <si>
    <t>00733Q01P</t>
  </si>
  <si>
    <t>00734Q01P</t>
  </si>
  <si>
    <t>00735Q01A</t>
  </si>
  <si>
    <t>00736Q01A</t>
  </si>
  <si>
    <t>00737Q01A</t>
  </si>
  <si>
    <t>00738Q01A</t>
  </si>
  <si>
    <t>00739Q01A</t>
  </si>
  <si>
    <t>00740Q01A</t>
  </si>
  <si>
    <t>00741Q01A</t>
  </si>
  <si>
    <t>00742Q01A</t>
  </si>
  <si>
    <t>00743Q01A</t>
  </si>
  <si>
    <t>00820Q01A</t>
  </si>
  <si>
    <t>00821Q01A</t>
  </si>
  <si>
    <t>00822Q01A</t>
  </si>
  <si>
    <t>00823Q01A</t>
  </si>
  <si>
    <t>00824Q01A</t>
  </si>
  <si>
    <t>00825Q01A</t>
  </si>
  <si>
    <t>00826Q01A</t>
  </si>
  <si>
    <t>00827Q01A</t>
  </si>
  <si>
    <t>00832Q01P</t>
  </si>
  <si>
    <t>00833Q01P</t>
  </si>
  <si>
    <t>00834Q01P</t>
  </si>
  <si>
    <t>00835Q01A</t>
  </si>
  <si>
    <t>00836Q01A</t>
  </si>
  <si>
    <t>00837Q01A</t>
  </si>
  <si>
    <t>00838Q01A</t>
  </si>
  <si>
    <t>00839Q01P</t>
  </si>
  <si>
    <t>00840Q01P</t>
  </si>
  <si>
    <t>00841Q01P</t>
  </si>
  <si>
    <t>00842Q01A</t>
  </si>
  <si>
    <t>00843Q01A</t>
  </si>
  <si>
    <t>00844Q01A</t>
  </si>
  <si>
    <t>00845Q01P</t>
  </si>
  <si>
    <t>00846Q01P</t>
  </si>
  <si>
    <t>00847Q01P</t>
  </si>
  <si>
    <t>00848Q01P</t>
  </si>
  <si>
    <t>00849Q01P</t>
  </si>
  <si>
    <t>00850Q01P</t>
  </si>
  <si>
    <t>00851Q01P</t>
  </si>
  <si>
    <t>00852Q01P</t>
  </si>
  <si>
    <t>00853Q01P</t>
  </si>
  <si>
    <t>00854Q01P</t>
  </si>
  <si>
    <t>00855Q01P</t>
  </si>
  <si>
    <t>00856Q01P</t>
  </si>
  <si>
    <t>00866Q01A</t>
  </si>
  <si>
    <t>00867Q01A</t>
  </si>
  <si>
    <t>00868Q01A</t>
  </si>
  <si>
    <t>00869Q01A</t>
  </si>
  <si>
    <t>00870Q01A</t>
  </si>
  <si>
    <t>00871Q01A</t>
  </si>
  <si>
    <t>00872Q01A</t>
  </si>
  <si>
    <t>00873Q01A</t>
  </si>
  <si>
    <t>00874Q01A</t>
  </si>
  <si>
    <t>00875Q01A</t>
  </si>
  <si>
    <t>00876Q01A</t>
  </si>
  <si>
    <t>00877Q01A</t>
  </si>
  <si>
    <t>00878Q01A</t>
  </si>
  <si>
    <t>00879Q01A</t>
  </si>
  <si>
    <t>00880Q01A</t>
  </si>
  <si>
    <t>00881Q01A</t>
  </si>
  <si>
    <t>WR-B115</t>
  </si>
  <si>
    <t>00882Q01A</t>
  </si>
  <si>
    <t>00883Q01A</t>
  </si>
  <si>
    <t>WR-B130</t>
  </si>
  <si>
    <t>00884Q01A</t>
  </si>
  <si>
    <t>00885Q01A</t>
  </si>
  <si>
    <t>00886Q01A</t>
  </si>
  <si>
    <t>00887Q01A</t>
  </si>
  <si>
    <t>00888Q01A</t>
  </si>
  <si>
    <t>00889Q01A</t>
  </si>
  <si>
    <t>00890Q01A</t>
  </si>
  <si>
    <t>00891Q01A</t>
  </si>
  <si>
    <t>00892Q01A</t>
  </si>
  <si>
    <t>00893Q01A</t>
  </si>
  <si>
    <t>00894Q01A</t>
  </si>
  <si>
    <t>WR-C136</t>
  </si>
  <si>
    <t>00899Q01A</t>
  </si>
  <si>
    <t>WW-S1A5</t>
  </si>
  <si>
    <t>00900Q01T</t>
  </si>
  <si>
    <t>00900Q02T</t>
  </si>
  <si>
    <t>PKG-01(2)</t>
  </si>
  <si>
    <t>00900Q04T</t>
  </si>
  <si>
    <t>PKG-01(4)</t>
  </si>
  <si>
    <t>00903Q01T</t>
  </si>
  <si>
    <t>00904Q01T</t>
  </si>
  <si>
    <t>00905Q01T</t>
  </si>
  <si>
    <t>00906Q01T</t>
  </si>
  <si>
    <t>00907Q01P</t>
  </si>
  <si>
    <t>00908Q01P</t>
  </si>
  <si>
    <t>00909Q01P</t>
  </si>
  <si>
    <t>00910Q01A</t>
  </si>
  <si>
    <t>00910Q02A</t>
  </si>
  <si>
    <t>JMT-143(2)</t>
  </si>
  <si>
    <t>00911Q01A</t>
  </si>
  <si>
    <t>00912Q01A</t>
  </si>
  <si>
    <t>00913Q01A</t>
  </si>
  <si>
    <t>JMT-141</t>
  </si>
  <si>
    <t>00913Q02A</t>
  </si>
  <si>
    <t>JMT-141(2)</t>
  </si>
  <si>
    <t>00914Q01P</t>
  </si>
  <si>
    <t>00915Q01T</t>
  </si>
  <si>
    <t>00916Q02P</t>
  </si>
  <si>
    <t>FAB-43(2)</t>
  </si>
  <si>
    <t>00917Q01P</t>
  </si>
  <si>
    <t>FAB-24</t>
  </si>
  <si>
    <t>00917Q02P</t>
  </si>
  <si>
    <t>FAB-24(2)</t>
  </si>
  <si>
    <t>00918Q01P</t>
  </si>
  <si>
    <t>00919Q01P</t>
  </si>
  <si>
    <t>00919Q02P</t>
  </si>
  <si>
    <t>FAB-26(2)</t>
  </si>
  <si>
    <t>00919Q05P</t>
  </si>
  <si>
    <t>FAB-26(5)</t>
  </si>
  <si>
    <t>00919Q25P</t>
  </si>
  <si>
    <t>FAB-26(25)</t>
  </si>
  <si>
    <t>00920Q01P</t>
  </si>
  <si>
    <t>00920Q02P</t>
  </si>
  <si>
    <t>FAB-27(2)</t>
  </si>
  <si>
    <t>00920Q05P</t>
  </si>
  <si>
    <t>FAB-27(5)</t>
  </si>
  <si>
    <t>00920Q25P</t>
  </si>
  <si>
    <t>FAB-27(25)</t>
  </si>
  <si>
    <t>00921Q01P</t>
  </si>
  <si>
    <t>00922Q01P</t>
  </si>
  <si>
    <t>FAB-29</t>
  </si>
  <si>
    <t>00923Q01P</t>
  </si>
  <si>
    <t>00923Q02P</t>
  </si>
  <si>
    <t>FAB-30(2)</t>
  </si>
  <si>
    <t>00923Q04P</t>
  </si>
  <si>
    <t>FAB-30(4)</t>
  </si>
  <si>
    <t>00923Q10P</t>
  </si>
  <si>
    <t>FAB-30(10)</t>
  </si>
  <si>
    <t>00924Q01P</t>
  </si>
  <si>
    <t>00924Q02P</t>
  </si>
  <si>
    <t>FAB-31(2)</t>
  </si>
  <si>
    <t>00924Q04P</t>
  </si>
  <si>
    <t>FAB-31(4)</t>
  </si>
  <si>
    <t>00924Q10P</t>
  </si>
  <si>
    <t>FAB-31(10)</t>
  </si>
  <si>
    <t>00925Q01P</t>
  </si>
  <si>
    <t>00925Q02P</t>
  </si>
  <si>
    <t>FAB-32(2)</t>
  </si>
  <si>
    <t>00925Q04P</t>
  </si>
  <si>
    <t>FAB-32(4)</t>
  </si>
  <si>
    <t>00925Q10P</t>
  </si>
  <si>
    <t>FAB-32(10)</t>
  </si>
  <si>
    <t>00926Q01P</t>
  </si>
  <si>
    <t>00926Q02P</t>
  </si>
  <si>
    <t>00926Q04P</t>
  </si>
  <si>
    <t>FAB-33(4)</t>
  </si>
  <si>
    <t>00926Q10P</t>
  </si>
  <si>
    <t>FAB-33(10)</t>
  </si>
  <si>
    <t>00927Q01P</t>
  </si>
  <si>
    <t>00928Q01P</t>
  </si>
  <si>
    <t>00929Q01P</t>
  </si>
  <si>
    <t>00930Q01P</t>
  </si>
  <si>
    <t>00931Q01P</t>
  </si>
  <si>
    <t>FAB-38</t>
  </si>
  <si>
    <t>00932Q01P</t>
  </si>
  <si>
    <t>00933Q01A</t>
  </si>
  <si>
    <t>00934Q01A</t>
  </si>
  <si>
    <t>00935Q01A</t>
  </si>
  <si>
    <t>00937Q01P</t>
  </si>
  <si>
    <t>00938Q01A</t>
  </si>
  <si>
    <t>FAB-16</t>
  </si>
  <si>
    <t>00939Q01P</t>
  </si>
  <si>
    <t>00940Q01P</t>
  </si>
  <si>
    <t>FAB-18</t>
  </si>
  <si>
    <t>00941Q01A</t>
  </si>
  <si>
    <t>FAB-19</t>
  </si>
  <si>
    <t>00942Q01A</t>
  </si>
  <si>
    <t>00943Q01A</t>
  </si>
  <si>
    <t>FAB-21</t>
  </si>
  <si>
    <t>00944Q01A</t>
  </si>
  <si>
    <t>FAB-22</t>
  </si>
  <si>
    <t>00946Q01P</t>
  </si>
  <si>
    <t>00947Q01P</t>
  </si>
  <si>
    <t>00948Q01P</t>
  </si>
  <si>
    <t>00949Q01P</t>
  </si>
  <si>
    <t>00950Q01A</t>
  </si>
  <si>
    <t>00951Q01A</t>
  </si>
  <si>
    <t>00952Q01A</t>
  </si>
  <si>
    <t>00953Q01A</t>
  </si>
  <si>
    <t>00954Q01A</t>
  </si>
  <si>
    <t>SS-21</t>
  </si>
  <si>
    <t>00955Q01A</t>
  </si>
  <si>
    <t>00956Q01A</t>
  </si>
  <si>
    <t>00957Q01A</t>
  </si>
  <si>
    <t>00958Q01A</t>
  </si>
  <si>
    <t>00959Q01A</t>
  </si>
  <si>
    <t>00959Q02A</t>
  </si>
  <si>
    <t>JMT-145(2)</t>
  </si>
  <si>
    <t>00960Q01P</t>
  </si>
  <si>
    <t>00961Q01A</t>
  </si>
  <si>
    <t>00962Q01A</t>
  </si>
  <si>
    <t>00963Q01A</t>
  </si>
  <si>
    <t>PS-21</t>
  </si>
  <si>
    <t>00964Q01A</t>
  </si>
  <si>
    <t>00965Q01A</t>
  </si>
  <si>
    <t>00966Q01A</t>
  </si>
  <si>
    <t>PR-29</t>
  </si>
  <si>
    <t>00967Q01A</t>
  </si>
  <si>
    <t>CU-01</t>
  </si>
  <si>
    <t>00968Q01A</t>
  </si>
  <si>
    <t>CU-02</t>
  </si>
  <si>
    <t>00968Q02A</t>
  </si>
  <si>
    <t>CU-02(2)</t>
  </si>
  <si>
    <t>00969Q01A</t>
  </si>
  <si>
    <t>00970Q01A</t>
  </si>
  <si>
    <t>CU-04</t>
  </si>
  <si>
    <t>00971Q01A</t>
  </si>
  <si>
    <t>CU-05</t>
  </si>
  <si>
    <t>00972Q01A</t>
  </si>
  <si>
    <t>00973Q01A</t>
  </si>
  <si>
    <t>CU-07</t>
  </si>
  <si>
    <t>00974Q01A</t>
  </si>
  <si>
    <t>CU-08</t>
  </si>
  <si>
    <t>00975Q01A</t>
  </si>
  <si>
    <t>CU-09</t>
  </si>
  <si>
    <t>00976Q01A</t>
  </si>
  <si>
    <t>00978Q01A</t>
  </si>
  <si>
    <t>CU-12</t>
  </si>
  <si>
    <t>00979Q01A</t>
  </si>
  <si>
    <t>CU-13</t>
  </si>
  <si>
    <t>00980Q01A</t>
  </si>
  <si>
    <t>CU-14</t>
  </si>
  <si>
    <t>00981Q01A</t>
  </si>
  <si>
    <t>CU-15</t>
  </si>
  <si>
    <t>00982Q01A</t>
  </si>
  <si>
    <t>CU-16</t>
  </si>
  <si>
    <t>00982Q02A</t>
  </si>
  <si>
    <t>CU-16(2)</t>
  </si>
  <si>
    <t>00983Q01A</t>
  </si>
  <si>
    <t>CU-17</t>
  </si>
  <si>
    <t>00984Q01A</t>
  </si>
  <si>
    <t>CU-18</t>
  </si>
  <si>
    <t>00985Q01A</t>
  </si>
  <si>
    <t>00985Q02A</t>
  </si>
  <si>
    <t>CU-19(2)</t>
  </si>
  <si>
    <t>00986Q01A</t>
  </si>
  <si>
    <t>CU-20</t>
  </si>
  <si>
    <t>00987Q01A</t>
  </si>
  <si>
    <t>CU-21</t>
  </si>
  <si>
    <t>00988Q01A</t>
  </si>
  <si>
    <t>CU-22</t>
  </si>
  <si>
    <t>00989Q01A</t>
  </si>
  <si>
    <t>CU-23</t>
  </si>
  <si>
    <t>00990Q01A</t>
  </si>
  <si>
    <t>CU-24</t>
  </si>
  <si>
    <t>00990Q04A</t>
  </si>
  <si>
    <t>CU-24(4)</t>
  </si>
  <si>
    <t>00991Q01A</t>
  </si>
  <si>
    <t>CU-25</t>
  </si>
  <si>
    <t>00992Q01A</t>
  </si>
  <si>
    <t>CU-26</t>
  </si>
  <si>
    <t>00993Q01A</t>
  </si>
  <si>
    <t>CU-27</t>
  </si>
  <si>
    <t>00994Q01A</t>
  </si>
  <si>
    <t>CU-28</t>
  </si>
  <si>
    <t>00995Q01A</t>
  </si>
  <si>
    <t>CU-29</t>
  </si>
  <si>
    <t>00996Q01A</t>
  </si>
  <si>
    <t>00998Q01A</t>
  </si>
  <si>
    <t>00999Q01A</t>
  </si>
  <si>
    <t>01000Q01A</t>
  </si>
  <si>
    <t>01001Q01A</t>
  </si>
  <si>
    <t>01002Q01T</t>
  </si>
  <si>
    <t>01003Q01P</t>
  </si>
  <si>
    <t>SBA-01</t>
  </si>
  <si>
    <t>01003Q02P</t>
  </si>
  <si>
    <t>SBA-01(2)</t>
  </si>
  <si>
    <t>01004Q01P</t>
  </si>
  <si>
    <t>SBA-02</t>
  </si>
  <si>
    <t>01004Q02P</t>
  </si>
  <si>
    <t>SBA-02(2)</t>
  </si>
  <si>
    <t>01004Q03P</t>
  </si>
  <si>
    <t>SBA-02(3)</t>
  </si>
  <si>
    <t>01004Q08P</t>
  </si>
  <si>
    <t>SBA-02(8)</t>
  </si>
  <si>
    <t>01006Q01P</t>
  </si>
  <si>
    <t>SBA-04</t>
  </si>
  <si>
    <t>01006Q02P</t>
  </si>
  <si>
    <t>SBA-04(2)</t>
  </si>
  <si>
    <t>01006Q03P</t>
  </si>
  <si>
    <t>SBA-04(3)</t>
  </si>
  <si>
    <t>01006Q05P</t>
  </si>
  <si>
    <t>SBA-04(5)</t>
  </si>
  <si>
    <t>01006Q08P</t>
  </si>
  <si>
    <t>SBA-04(8)</t>
  </si>
  <si>
    <t>01008Q01P</t>
  </si>
  <si>
    <t>SBA-06</t>
  </si>
  <si>
    <t>01008Q04P</t>
  </si>
  <si>
    <t>SBA-06(4)</t>
  </si>
  <si>
    <t>01009Q01P</t>
  </si>
  <si>
    <t>SBA-07</t>
  </si>
  <si>
    <t>01009Q03P</t>
  </si>
  <si>
    <t>SBA-07(3)</t>
  </si>
  <si>
    <t>01009Q04P</t>
  </si>
  <si>
    <t>SBA-07(4)</t>
  </si>
  <si>
    <t>01009Q05P</t>
  </si>
  <si>
    <t>SBA-07(5)</t>
  </si>
  <si>
    <t>01010Q01P</t>
  </si>
  <si>
    <t>SBA-08</t>
  </si>
  <si>
    <t>01010Q05P</t>
  </si>
  <si>
    <t>SBA-08(5)</t>
  </si>
  <si>
    <t>01010Q08P</t>
  </si>
  <si>
    <t>SBA-08(8)</t>
  </si>
  <si>
    <t>01011Q01P</t>
  </si>
  <si>
    <t>01011Q05P</t>
  </si>
  <si>
    <t>SBA-09(5)</t>
  </si>
  <si>
    <t>01011Q08P</t>
  </si>
  <si>
    <t>SBA-09(8)</t>
  </si>
  <si>
    <t>01012Q01P</t>
  </si>
  <si>
    <t>SBA-10</t>
  </si>
  <si>
    <t>01012Q05P</t>
  </si>
  <si>
    <t>SBA-10(5)</t>
  </si>
  <si>
    <t>01012Q08P</t>
  </si>
  <si>
    <t>SBA-10(8)</t>
  </si>
  <si>
    <t>01013Q01P</t>
  </si>
  <si>
    <t>01013Q05P</t>
  </si>
  <si>
    <t>SBA-11(5)</t>
  </si>
  <si>
    <t>01013Q08P</t>
  </si>
  <si>
    <t>SBA-11(8)</t>
  </si>
  <si>
    <t>01014Q02P</t>
  </si>
  <si>
    <t>SBA-12(2)</t>
  </si>
  <si>
    <t>01014Q05P</t>
  </si>
  <si>
    <t>SBA-12(5)</t>
  </si>
  <si>
    <t>01015Q02P</t>
  </si>
  <si>
    <t>SBA-13(2)</t>
  </si>
  <si>
    <t>01016Q01P</t>
  </si>
  <si>
    <t>SBA-14</t>
  </si>
  <si>
    <t>01016Q05P</t>
  </si>
  <si>
    <t>SBA-14(5)</t>
  </si>
  <si>
    <t>01017Q01P</t>
  </si>
  <si>
    <t>01017Q02P</t>
  </si>
  <si>
    <t>SBA-15(2)</t>
  </si>
  <si>
    <t>01017Q05P</t>
  </si>
  <si>
    <t>SBA-15(5)</t>
  </si>
  <si>
    <t>01018Q02P</t>
  </si>
  <si>
    <t>SBA-16(2)</t>
  </si>
  <si>
    <t>01018Q05P</t>
  </si>
  <si>
    <t>SBA-16(5)</t>
  </si>
  <si>
    <t>01019Q01P</t>
  </si>
  <si>
    <t>01019Q02P</t>
  </si>
  <si>
    <t>SBA-17(2)</t>
  </si>
  <si>
    <t>01019Q05P</t>
  </si>
  <si>
    <t>SBA-17(5)</t>
  </si>
  <si>
    <t>01020Q01P</t>
  </si>
  <si>
    <t>01020Q08P</t>
  </si>
  <si>
    <t>SBA-18(8)</t>
  </si>
  <si>
    <t>01021Q02P</t>
  </si>
  <si>
    <t>SBA-19(2)</t>
  </si>
  <si>
    <t>01021Q05P</t>
  </si>
  <si>
    <t>SBA-19(5)</t>
  </si>
  <si>
    <t>01022Q01P</t>
  </si>
  <si>
    <t>SBA-20</t>
  </si>
  <si>
    <t>01022Q02P</t>
  </si>
  <si>
    <t>SBA-20(2)</t>
  </si>
  <si>
    <t>01023Q01P</t>
  </si>
  <si>
    <t>SBA-21</t>
  </si>
  <si>
    <t>01023Q02P</t>
  </si>
  <si>
    <t>SBA-21(2)</t>
  </si>
  <si>
    <t>01023Q05P</t>
  </si>
  <si>
    <t>SBA-21(5)</t>
  </si>
  <si>
    <t>01024Q01A</t>
  </si>
  <si>
    <t>CHM-05B</t>
  </si>
  <si>
    <t>01024Q02A</t>
  </si>
  <si>
    <t>CHM-05B(2)</t>
  </si>
  <si>
    <t>01024Q04A</t>
  </si>
  <si>
    <t>CHM-05B(4)</t>
  </si>
  <si>
    <t>01025Q01A</t>
  </si>
  <si>
    <t>01026Q01A</t>
  </si>
  <si>
    <t>01027Q01A</t>
  </si>
  <si>
    <t>01028Q01A</t>
  </si>
  <si>
    <t>JMT-144</t>
  </si>
  <si>
    <t>01029Q01T</t>
  </si>
  <si>
    <t>01030Q01T</t>
  </si>
  <si>
    <t>01031Q01T</t>
  </si>
  <si>
    <t>01032Q01P</t>
  </si>
  <si>
    <t>01033Q01P</t>
  </si>
  <si>
    <t>01034Q01P</t>
  </si>
  <si>
    <t>01035Q01P</t>
  </si>
  <si>
    <t>01036Q01P</t>
  </si>
  <si>
    <t>01037Q01P</t>
  </si>
  <si>
    <t>01038Q01P</t>
  </si>
  <si>
    <t>01039Q01P</t>
  </si>
  <si>
    <t>01040Q01P</t>
  </si>
  <si>
    <t>FAB-64</t>
  </si>
  <si>
    <t>01041Q01P</t>
  </si>
  <si>
    <t>01042Q01P</t>
  </si>
  <si>
    <t>FAB-66(1042)</t>
  </si>
  <si>
    <t>01043Q01P</t>
  </si>
  <si>
    <t>01044Q01P</t>
  </si>
  <si>
    <t>01045Q01A</t>
  </si>
  <si>
    <t>01046Q01A</t>
  </si>
  <si>
    <t>FAB-70</t>
  </si>
  <si>
    <t>01047Q01P</t>
  </si>
  <si>
    <t>01048Q01A</t>
  </si>
  <si>
    <t>01049Q01P</t>
  </si>
  <si>
    <t>01050Q01P</t>
  </si>
  <si>
    <t>FAB-74</t>
  </si>
  <si>
    <t>01051Q01P</t>
  </si>
  <si>
    <t>FAB-75</t>
  </si>
  <si>
    <t>01052Q01P</t>
  </si>
  <si>
    <t>FAB-76</t>
  </si>
  <si>
    <t>01053Q01P</t>
  </si>
  <si>
    <t>01054Q01P</t>
  </si>
  <si>
    <t>01055Q01P</t>
  </si>
  <si>
    <t>01056Q01P</t>
  </si>
  <si>
    <t>01057Q01P</t>
  </si>
  <si>
    <t>01058Q01P</t>
  </si>
  <si>
    <t>01059Q01A</t>
  </si>
  <si>
    <t>PKG-02</t>
  </si>
  <si>
    <t>01060Q01A</t>
  </si>
  <si>
    <t>01061Q01A</t>
  </si>
  <si>
    <t>01062Q01A</t>
  </si>
  <si>
    <t>01063Q01A</t>
  </si>
  <si>
    <t>PKG-06</t>
  </si>
  <si>
    <t>01064Q01A</t>
  </si>
  <si>
    <t>01065Q01A</t>
  </si>
  <si>
    <t>01066Q01A</t>
  </si>
  <si>
    <t>01067Q01A</t>
  </si>
  <si>
    <t>01068Q01A</t>
  </si>
  <si>
    <t>01069Q01P</t>
  </si>
  <si>
    <t>01070Q01T</t>
  </si>
  <si>
    <t>S13</t>
  </si>
  <si>
    <t>01071Q01T</t>
  </si>
  <si>
    <t>01074Q01A</t>
  </si>
  <si>
    <t>01075Q01A</t>
  </si>
  <si>
    <t>01076Q01A</t>
  </si>
  <si>
    <t>01077Q01A</t>
  </si>
  <si>
    <t>01078Q01A</t>
  </si>
  <si>
    <t>01079Q01A</t>
  </si>
  <si>
    <t>01080Q01A</t>
  </si>
  <si>
    <t>01081Q01A</t>
  </si>
  <si>
    <t>01082Q01A</t>
  </si>
  <si>
    <t>01083Q01A</t>
  </si>
  <si>
    <t>01084Q01A</t>
  </si>
  <si>
    <t>01085Q01A</t>
  </si>
  <si>
    <t>01086Q01A</t>
  </si>
  <si>
    <t>01087Q01A</t>
  </si>
  <si>
    <t>01088Q01A</t>
  </si>
  <si>
    <t>01089Q01A</t>
  </si>
  <si>
    <t>01090Q01A</t>
  </si>
  <si>
    <t>01091Q01A</t>
  </si>
  <si>
    <t>01092Q01A</t>
  </si>
  <si>
    <t>01093Q01A</t>
  </si>
  <si>
    <t>01094Q01A</t>
  </si>
  <si>
    <t>01095Q01A</t>
  </si>
  <si>
    <t>01096Q01A</t>
  </si>
  <si>
    <t>01097Q01P</t>
  </si>
  <si>
    <t>01098Q01P</t>
  </si>
  <si>
    <t>01099Q01P</t>
  </si>
  <si>
    <t>01100Q01P</t>
  </si>
  <si>
    <t>01101Q01P</t>
  </si>
  <si>
    <t>01102Q01A</t>
  </si>
  <si>
    <t>01103Q01A</t>
  </si>
  <si>
    <t>SS-31</t>
  </si>
  <si>
    <t>01104Q01A</t>
  </si>
  <si>
    <t>01105Q01A</t>
  </si>
  <si>
    <t>01106Q01A</t>
  </si>
  <si>
    <t>01107Q01A</t>
  </si>
  <si>
    <t>01108Q01A</t>
  </si>
  <si>
    <t>01109Q01A</t>
  </si>
  <si>
    <t>01110Q01A</t>
  </si>
  <si>
    <t>01111Q01A</t>
  </si>
  <si>
    <t>01112Q01A</t>
  </si>
  <si>
    <t>01113Q01A</t>
  </si>
  <si>
    <t>01114Q01A</t>
  </si>
  <si>
    <t>01115Q01A</t>
  </si>
  <si>
    <t>01116Q01A</t>
  </si>
  <si>
    <t>01117Q01A</t>
  </si>
  <si>
    <t>01118Q01A</t>
  </si>
  <si>
    <t>01119Q01A</t>
  </si>
  <si>
    <t>01120Q01A</t>
  </si>
  <si>
    <t>01121Q01A</t>
  </si>
  <si>
    <t>01122Q01P</t>
  </si>
  <si>
    <t>01123Q01P</t>
  </si>
  <si>
    <t>01124Q01P</t>
  </si>
  <si>
    <t>01125Q01P</t>
  </si>
  <si>
    <t>01126Q01P</t>
  </si>
  <si>
    <t>FAB-121</t>
  </si>
  <si>
    <t>01128Q01P</t>
  </si>
  <si>
    <t>01129Q01P</t>
  </si>
  <si>
    <t>01130Q01P</t>
  </si>
  <si>
    <t>01132Q01P</t>
  </si>
  <si>
    <t>01133Q01P</t>
  </si>
  <si>
    <t>01134Q01P</t>
  </si>
  <si>
    <t>01135Q01P</t>
  </si>
  <si>
    <t>01136Q01P</t>
  </si>
  <si>
    <t>01137Q01P</t>
  </si>
  <si>
    <t>01138Q01P</t>
  </si>
  <si>
    <t>01139Q01P</t>
  </si>
  <si>
    <t>01140Q01P</t>
  </si>
  <si>
    <t>01141Q01P</t>
  </si>
  <si>
    <t>01142Q01P</t>
  </si>
  <si>
    <t>01143Q01P</t>
  </si>
  <si>
    <t>FAB-93</t>
  </si>
  <si>
    <t>01144Q01P</t>
  </si>
  <si>
    <t>01145Q01P</t>
  </si>
  <si>
    <t>01146Q01P</t>
  </si>
  <si>
    <t>01147Q01P</t>
  </si>
  <si>
    <t>01148Q01P</t>
  </si>
  <si>
    <t>01149Q01P</t>
  </si>
  <si>
    <t>01150Q01P</t>
  </si>
  <si>
    <t>01151Q01P</t>
  </si>
  <si>
    <t>01152Q01P</t>
  </si>
  <si>
    <t>01153Q01P</t>
  </si>
  <si>
    <t>01154Q01P</t>
  </si>
  <si>
    <t>01155Q01P</t>
  </si>
  <si>
    <t>01156Q01P</t>
  </si>
  <si>
    <t>01157Q01P</t>
  </si>
  <si>
    <t>01158Q01P</t>
  </si>
  <si>
    <t>01159Q01P</t>
  </si>
  <si>
    <t>01160Q01P</t>
  </si>
  <si>
    <t>01161Q01P</t>
  </si>
  <si>
    <t>01162Q01P</t>
  </si>
  <si>
    <t>01163Q01P</t>
  </si>
  <si>
    <t>01164Q01P</t>
  </si>
  <si>
    <t>01165Q01P</t>
  </si>
  <si>
    <t>FAB-115</t>
  </si>
  <si>
    <t>01166Q01P</t>
  </si>
  <si>
    <t>01167Q01P</t>
  </si>
  <si>
    <t>01168Q01A</t>
  </si>
  <si>
    <t>01169Q01A</t>
  </si>
  <si>
    <t>01170Q01A</t>
  </si>
  <si>
    <t>FAB-130</t>
  </si>
  <si>
    <t>01171Q01A</t>
  </si>
  <si>
    <t>01172Q01A</t>
  </si>
  <si>
    <t>01173Q01A</t>
  </si>
  <si>
    <t>01174Q01A</t>
  </si>
  <si>
    <t>01175Q01A</t>
  </si>
  <si>
    <t>01176Q01A</t>
  </si>
  <si>
    <t>01177Q01A</t>
  </si>
  <si>
    <t>01178Q01P</t>
  </si>
  <si>
    <t>01179Q01A</t>
  </si>
  <si>
    <t>01180Q01A</t>
  </si>
  <si>
    <t>FAB-140</t>
  </si>
  <si>
    <t>01181Q01P</t>
  </si>
  <si>
    <t>01182Q01P</t>
  </si>
  <si>
    <t>01183Q01A</t>
  </si>
  <si>
    <t>01184Q01A</t>
  </si>
  <si>
    <t>01185Q01A</t>
  </si>
  <si>
    <t>01186Q01A</t>
  </si>
  <si>
    <t>01187Q01A</t>
  </si>
  <si>
    <t>01188Q01A</t>
  </si>
  <si>
    <t>01189Q01A</t>
  </si>
  <si>
    <t>01190Q01A</t>
  </si>
  <si>
    <t>01191Q01A</t>
  </si>
  <si>
    <t>01192Q01A</t>
  </si>
  <si>
    <t>01193Q01A</t>
  </si>
  <si>
    <t>01194Q01A</t>
  </si>
  <si>
    <t>01195Q01T</t>
  </si>
  <si>
    <t>01196Q01A</t>
  </si>
  <si>
    <t>01197Q01A</t>
  </si>
  <si>
    <t>PS-32</t>
  </si>
  <si>
    <t>01198Q01A</t>
  </si>
  <si>
    <t>01199Q01A</t>
  </si>
  <si>
    <t>01200Q01T</t>
  </si>
  <si>
    <t>01201Q01A</t>
  </si>
  <si>
    <t>01202Q01A</t>
  </si>
  <si>
    <t>01203Q01A</t>
  </si>
  <si>
    <t>01204Q01A</t>
  </si>
  <si>
    <t>01205Q01T</t>
  </si>
  <si>
    <t>01206Q01A</t>
  </si>
  <si>
    <t>01207Q01A</t>
  </si>
  <si>
    <t>01208Q01A</t>
  </si>
  <si>
    <t>01209Q01T</t>
  </si>
  <si>
    <t>PS-44</t>
  </si>
  <si>
    <t>01210Q01A</t>
  </si>
  <si>
    <t>01211Q01A</t>
  </si>
  <si>
    <t>01212Q01A</t>
  </si>
  <si>
    <t>01213Q01T</t>
  </si>
  <si>
    <t>PS-48</t>
  </si>
  <si>
    <t>01214Q01A</t>
  </si>
  <si>
    <t>01215Q01A</t>
  </si>
  <si>
    <t>PS-50</t>
  </si>
  <si>
    <t>01216Q01A</t>
  </si>
  <si>
    <t>01217Q01T</t>
  </si>
  <si>
    <t>01218Q01A</t>
  </si>
  <si>
    <t>PS-53</t>
  </si>
  <si>
    <t>01219Q01A</t>
  </si>
  <si>
    <t>01220Q01A</t>
  </si>
  <si>
    <t>01221Q01T</t>
  </si>
  <si>
    <t>PS-56</t>
  </si>
  <si>
    <t>01222Q01T</t>
  </si>
  <si>
    <t>01223Q01A</t>
  </si>
  <si>
    <t>01224Q01A</t>
  </si>
  <si>
    <t>01225Q01A</t>
  </si>
  <si>
    <t>01226Q01A</t>
  </si>
  <si>
    <t>01227Q01T</t>
  </si>
  <si>
    <t>PS-62</t>
  </si>
  <si>
    <t>01228Q01A</t>
  </si>
  <si>
    <t>01229Q01A</t>
  </si>
  <si>
    <t>PS-64</t>
  </si>
  <si>
    <t>01230Q01A</t>
  </si>
  <si>
    <t>01231Q01A</t>
  </si>
  <si>
    <t>01232Q01A</t>
  </si>
  <si>
    <t>01233Q01A</t>
  </si>
  <si>
    <t>01234Q01A</t>
  </si>
  <si>
    <t>01235Q01A</t>
  </si>
  <si>
    <t>01236Q01A</t>
  </si>
  <si>
    <t>01237Q01A</t>
  </si>
  <si>
    <t>01238Q01A</t>
  </si>
  <si>
    <t>01239Q01A</t>
  </si>
  <si>
    <t>01240Q01A</t>
  </si>
  <si>
    <t>01241Q01T</t>
  </si>
  <si>
    <t>PS-76</t>
  </si>
  <si>
    <t>01242Q01T</t>
  </si>
  <si>
    <t>PS-77</t>
  </si>
  <si>
    <t>01243Q01T</t>
  </si>
  <si>
    <t>01244Q01T</t>
  </si>
  <si>
    <t>01245Q01A</t>
  </si>
  <si>
    <t>01246Q01A</t>
  </si>
  <si>
    <t>01247Q01A</t>
  </si>
  <si>
    <t>01248Q01A</t>
  </si>
  <si>
    <t>01249Q01A</t>
  </si>
  <si>
    <t>01250Q01A</t>
  </si>
  <si>
    <t>01251Q01T</t>
  </si>
  <si>
    <t>01252Q01T</t>
  </si>
  <si>
    <t>PS-87</t>
  </si>
  <si>
    <t>01253Q01T</t>
  </si>
  <si>
    <t>01254Q01T</t>
  </si>
  <si>
    <t>PS-89</t>
  </si>
  <si>
    <t>01255Q01A</t>
  </si>
  <si>
    <t>01256Q01P</t>
  </si>
  <si>
    <t>01257Q01P</t>
  </si>
  <si>
    <t>01258Q01P</t>
  </si>
  <si>
    <t>01259Q01P</t>
  </si>
  <si>
    <t>01261Q01A</t>
  </si>
  <si>
    <t>FAB-144</t>
  </si>
  <si>
    <t>01262Q01A</t>
  </si>
  <si>
    <t>WR-BX03</t>
  </si>
  <si>
    <t>01263Q01A</t>
  </si>
  <si>
    <t>01264Q01A</t>
  </si>
  <si>
    <t>01265Q01A</t>
  </si>
  <si>
    <t>01266Q01A</t>
  </si>
  <si>
    <t>01267Q01A</t>
  </si>
  <si>
    <t>01268Q01A</t>
  </si>
  <si>
    <t>0Q-RDSE-ZTKV</t>
  </si>
  <si>
    <t>NOTSKU</t>
  </si>
  <si>
    <t>2 Top plates of B1-4001-FAB-06</t>
  </si>
  <si>
    <t>REP_TOP_PLATES</t>
  </si>
  <si>
    <t>22-E7QP-JSUZ</t>
  </si>
  <si>
    <t>2N-DN9H-UIND</t>
  </si>
  <si>
    <t>3 WAY CONNECTION</t>
  </si>
  <si>
    <t>REP_3_WAY_CONNECTION</t>
  </si>
  <si>
    <t>3W-M2HY-TRLJ</t>
  </si>
  <si>
    <t>41-FWHU-0LWB</t>
  </si>
  <si>
    <t>6P-FXF2-D15T</t>
  </si>
  <si>
    <t>6Q-OZXL-FX1K</t>
  </si>
  <si>
    <t>72-AJ2H-SE2K</t>
  </si>
  <si>
    <t>7S-38DH-BKWT</t>
  </si>
  <si>
    <t>86-NKAF-MVU3</t>
  </si>
  <si>
    <t>8T-8ZD6-8HX8</t>
  </si>
  <si>
    <t>8V-CDDW-GFAV</t>
  </si>
  <si>
    <t>9E-JKKW-F2I2</t>
  </si>
  <si>
    <t>9K-KCAC-G2JW</t>
  </si>
  <si>
    <t>A021-B10F2 (015T)</t>
  </si>
  <si>
    <t>A021-B12F (014T)</t>
  </si>
  <si>
    <t>A03-0073-CP-3-2425F</t>
  </si>
  <si>
    <t>A03-0082-JMT-115</t>
  </si>
  <si>
    <t>A03-0084-JMT-120</t>
  </si>
  <si>
    <t>A03-0091-JMT-116</t>
  </si>
  <si>
    <t>A03-0092-FAB-33</t>
  </si>
  <si>
    <t>A03-0093-JMT-104</t>
  </si>
  <si>
    <t>A03-0097-JMT-126</t>
  </si>
  <si>
    <t>A03-0100-JMT-127</t>
  </si>
  <si>
    <t>A03-0104-JMT-131</t>
  </si>
  <si>
    <t>A03-0107-FAB-32</t>
  </si>
  <si>
    <t>A031-B12J (018T)</t>
  </si>
  <si>
    <t>A031-B12X (019T)</t>
  </si>
  <si>
    <t>A031-B9F (020T)</t>
  </si>
  <si>
    <t>A04-0109-BB-950155</t>
  </si>
  <si>
    <t>A04-0118-CU-30</t>
  </si>
  <si>
    <t>A04-0120-PS-36</t>
  </si>
  <si>
    <t>A04-0125-JMT-74</t>
  </si>
  <si>
    <t>A04-0127-JMT-41</t>
  </si>
  <si>
    <t>A04-0128-JMT-04</t>
  </si>
  <si>
    <t>A04-0131-FAB-51</t>
  </si>
  <si>
    <t>A04-0132-JMT-86</t>
  </si>
  <si>
    <t>A04-0134-PS-66</t>
  </si>
  <si>
    <t>A04-0136-JMT-130</t>
  </si>
  <si>
    <t>A04-0137-FAB-118</t>
  </si>
  <si>
    <t>A04-0141-JMT-147</t>
  </si>
  <si>
    <t>A04-0142-JMT-139</t>
  </si>
  <si>
    <t>A04-0144-JMT-99</t>
  </si>
  <si>
    <t>A041-B9J (037T)</t>
  </si>
  <si>
    <t>A042-CM-D230 (185A)</t>
  </si>
  <si>
    <t>A043-GT-24 (227A)</t>
  </si>
  <si>
    <t>A044-FP-61 (294A)</t>
  </si>
  <si>
    <t>A044-FP-68 (298A)</t>
  </si>
  <si>
    <t>A05-0148-PFB-13</t>
  </si>
  <si>
    <t>A05-0154-JMT-48</t>
  </si>
  <si>
    <t>A05-0159-JMT-152</t>
  </si>
  <si>
    <t>A05-0160-WR-A218</t>
  </si>
  <si>
    <t>A05-0163-JMT-148</t>
  </si>
  <si>
    <t>A05-0169-PR-32</t>
  </si>
  <si>
    <t>A05-0172-JMT-117</t>
  </si>
  <si>
    <t>A05-0173-PS-90</t>
  </si>
  <si>
    <t>A05-0174-JMT-153</t>
  </si>
  <si>
    <t>A05-0175-JMT-25</t>
  </si>
  <si>
    <t>A05-0175-JMT-32</t>
  </si>
  <si>
    <t>A05-0178-FAB-321</t>
  </si>
  <si>
    <t>A051-CP-1-2425F (045T)</t>
  </si>
  <si>
    <t>A051-Z4F (048T)</t>
  </si>
  <si>
    <t>A052-JMT-08 (449A)</t>
  </si>
  <si>
    <t>A052-JMT-103 (455A)</t>
  </si>
  <si>
    <t>A054-JMT-131 (486A)</t>
  </si>
  <si>
    <t>A06-0181-PFB-09</t>
  </si>
  <si>
    <t>A06-0188-Z4X</t>
  </si>
  <si>
    <t>A06-0208-PR-30</t>
  </si>
  <si>
    <t>A061-ZS1 (057T)</t>
  </si>
  <si>
    <t>A063-JMT-31 (507A)</t>
  </si>
  <si>
    <t>A063-JMT-32 (508A)</t>
  </si>
  <si>
    <t>A07-0224-Z6X</t>
  </si>
  <si>
    <t>A07-0226-CP-2-2407F</t>
  </si>
  <si>
    <t>A07-0235-FAB-207</t>
  </si>
  <si>
    <t>A07-0238-PR-40</t>
  </si>
  <si>
    <t>A07-0239-GEN-HH03</t>
  </si>
  <si>
    <t>A07-0241-PR-39</t>
  </si>
  <si>
    <t>A07-0249-FP-75</t>
  </si>
  <si>
    <t>FP-75</t>
  </si>
  <si>
    <t>A072-JMT-74 (550A)</t>
  </si>
  <si>
    <t>A072-JMT-86 (562A)</t>
  </si>
  <si>
    <t>A08-0253-S9J</t>
  </si>
  <si>
    <t>A08-0256-S25J</t>
  </si>
  <si>
    <t>A08-0267-JMT-145</t>
  </si>
  <si>
    <t>A08-0267-JMT-173</t>
  </si>
  <si>
    <t>A08-0278-PS-91</t>
  </si>
  <si>
    <t>A08-0280-JMT-149</t>
  </si>
  <si>
    <t>A08-0283-FAB-251</t>
  </si>
  <si>
    <t>A08-0284-JMT-157</t>
  </si>
  <si>
    <t>A08-0285-PS-47</t>
  </si>
  <si>
    <t>A08-0287-JMT-143</t>
  </si>
  <si>
    <t>A082-PFB-02 (654A)</t>
  </si>
  <si>
    <t>A082-PFB-09 (661A)</t>
  </si>
  <si>
    <t>A083-PR-05 (677A)</t>
  </si>
  <si>
    <t>A09-0289-PF-RP03</t>
  </si>
  <si>
    <t>A09-0290-PFB-13</t>
  </si>
  <si>
    <t>A09-0298-JMT-138</t>
  </si>
  <si>
    <t>A09-0299-PF-RP15</t>
  </si>
  <si>
    <t>A09-0300-JMT-137</t>
  </si>
  <si>
    <t>A09-0301-PF-RP05</t>
  </si>
  <si>
    <t>A09-0303-PF-RP06</t>
  </si>
  <si>
    <t>A09-0305-PF-RP11</t>
  </si>
  <si>
    <t>A09-0306-PF-RP01</t>
  </si>
  <si>
    <t>A09-0307-RCB-02</t>
  </si>
  <si>
    <t>A09-0310-PF-RP04</t>
  </si>
  <si>
    <t>A09-0312-FAB-120</t>
  </si>
  <si>
    <t>A09-0313-PF-RP07</t>
  </si>
  <si>
    <t>A09-0314-FAB-175</t>
  </si>
  <si>
    <t>A09-0315-PR-43</t>
  </si>
  <si>
    <t>A09-0316-PF-RP02</t>
  </si>
  <si>
    <t>A09-0317-JMT-25</t>
  </si>
  <si>
    <t>A09-0320-PR-08</t>
  </si>
  <si>
    <t>A09-0321-JMT-142</t>
  </si>
  <si>
    <t>A09-0322-JMT-145</t>
  </si>
  <si>
    <t>A09-0322-JMT-173</t>
  </si>
  <si>
    <t>A092-PR-26 (698A)</t>
  </si>
  <si>
    <t>A094-RS-0441 (739A)</t>
  </si>
  <si>
    <t>A10-0334-PF-RP08</t>
  </si>
  <si>
    <t>A10-0335-CP-1-2415F</t>
  </si>
  <si>
    <t>A10-0339-PR-42</t>
  </si>
  <si>
    <t>A10-0341-CP-3-1515F</t>
  </si>
  <si>
    <t>A10-0342-JMT-149</t>
  </si>
  <si>
    <t>A10-0344-SS-51</t>
  </si>
  <si>
    <t>A10-0348-RCB-09</t>
  </si>
  <si>
    <t>A10-0352-PF-RP13</t>
  </si>
  <si>
    <t>A10-0359-WR-BX09</t>
  </si>
  <si>
    <t>A101-CBN-14412C (248T)</t>
  </si>
  <si>
    <t>A102-TO-03 (822A)</t>
  </si>
  <si>
    <t>A102-TO-05 (824A)</t>
  </si>
  <si>
    <t>A102-TO-CO1 (826A)</t>
  </si>
  <si>
    <t>A11-0366-JMT-91</t>
  </si>
  <si>
    <t>A11-0369-PF-RG3</t>
  </si>
  <si>
    <t>A11-0370-CP-2-1508F</t>
  </si>
  <si>
    <t>A11-0371-FAB-266</t>
  </si>
  <si>
    <t>A11-0372-JMT-167</t>
  </si>
  <si>
    <t>A11-0375-JMT-31</t>
  </si>
  <si>
    <t>A11-0376-JMT-85</t>
  </si>
  <si>
    <t>A11-0377-CP-1-1510F</t>
  </si>
  <si>
    <t>A11-0378-CP-1-1508F</t>
  </si>
  <si>
    <t>A11-0380-FAB-259</t>
  </si>
  <si>
    <t>A11-0380-FAB-313</t>
  </si>
  <si>
    <t>A11-0387-PS-97</t>
  </si>
  <si>
    <t>A11-0388-BA-H06</t>
  </si>
  <si>
    <t>A11-0393-PR-38</t>
  </si>
  <si>
    <t>A112-V2-1212 (835A)</t>
  </si>
  <si>
    <t>A113-V2-1236 (837A)</t>
  </si>
  <si>
    <t>A12-0397-PS-29</t>
  </si>
  <si>
    <t>A12-0398-JMT-146</t>
  </si>
  <si>
    <t>A12-0400-Z4J</t>
  </si>
  <si>
    <t>A12-0402-CP-2-2415F</t>
  </si>
  <si>
    <t>A12-0404-FAB-162</t>
  </si>
  <si>
    <t>A12-0406-CP-1-1515F</t>
  </si>
  <si>
    <t>A12-0406-JMT-150</t>
  </si>
  <si>
    <t>A12-0414-CP-3-1510F</t>
  </si>
  <si>
    <t>A12-0414-JMT-165</t>
  </si>
  <si>
    <t>A12-0414-WR-B230</t>
  </si>
  <si>
    <t>A12-0415-CP-2-2410F</t>
  </si>
  <si>
    <t>A12-0416-FAB-176</t>
  </si>
  <si>
    <t>A12-0422-JMT-95</t>
  </si>
  <si>
    <t>A12-0424-PR-41</t>
  </si>
  <si>
    <t>A12-0426-BA-H09</t>
  </si>
  <si>
    <t>A123-WR-A212 (873A)</t>
  </si>
  <si>
    <t>A13-0433-JMT-164</t>
  </si>
  <si>
    <t>A13-0435-FAB-164</t>
  </si>
  <si>
    <t>A13-0436-CP-2-2408F</t>
  </si>
  <si>
    <t>A13-0436-JMT-140</t>
  </si>
  <si>
    <t>A13-0438-FAB-324</t>
  </si>
  <si>
    <t>A13-0442-CP-2-1525F</t>
  </si>
  <si>
    <t>A13-0443-CP-3-1508F</t>
  </si>
  <si>
    <t>A13-0444-TO-01</t>
  </si>
  <si>
    <t>A13-0445-SS-24</t>
  </si>
  <si>
    <t>A13-0458-SS-25</t>
  </si>
  <si>
    <t>A13-0462-GEN-CN03</t>
  </si>
  <si>
    <t>A13-0466-FAB-84</t>
  </si>
  <si>
    <t>A131-JMT-108 (460T)</t>
  </si>
  <si>
    <t>A131-JMT-37 (513T)</t>
  </si>
  <si>
    <t>A132-WR-C109 (890A)</t>
  </si>
  <si>
    <t>A134-SS-19 (952A)</t>
  </si>
  <si>
    <t>A14-0469-CP-1-2408F</t>
  </si>
  <si>
    <t>A14-0474-FAB-190</t>
  </si>
  <si>
    <t>A14-0484-CP-3-2415F</t>
  </si>
  <si>
    <t>A14-0489-SS-58</t>
  </si>
  <si>
    <t>A14-0490-FP-72</t>
  </si>
  <si>
    <t>A14-0496-FAB-114</t>
  </si>
  <si>
    <t>A14-0499-FAB-179</t>
  </si>
  <si>
    <t>A142-CU-13 (979A)</t>
  </si>
  <si>
    <t>A15-0505-CP-3-2408F</t>
  </si>
  <si>
    <t>A15-0508-CP-1-2410F</t>
  </si>
  <si>
    <t>A15-0514-FAB-177</t>
  </si>
  <si>
    <t>A15-0517-FAB-252</t>
  </si>
  <si>
    <t>A15-0523-GEN-SB02</t>
  </si>
  <si>
    <t>A15-0532-CBN-7212C</t>
  </si>
  <si>
    <t>A151-PFB-01 (653T)</t>
  </si>
  <si>
    <t>A151-PFB-04 (656T)</t>
  </si>
  <si>
    <t>A151-PFB-06 (658T)</t>
  </si>
  <si>
    <t>A16-0541-PFB-03</t>
  </si>
  <si>
    <t>A16-0559-CP-2-1515F</t>
  </si>
  <si>
    <t>A16-0559-PS-67</t>
  </si>
  <si>
    <t>A161-PO-AC2 (669T)</t>
  </si>
  <si>
    <t>A162-PF-RG3 (1093A)</t>
  </si>
  <si>
    <t>A17-0577-PKG-01</t>
  </si>
  <si>
    <t>A17-0584-PFB-06</t>
  </si>
  <si>
    <t>A17-0586-PKG-11</t>
  </si>
  <si>
    <t>A17-0591-GEN-CN08</t>
  </si>
  <si>
    <t>A17-0593-GEN-CN05</t>
  </si>
  <si>
    <t>A17-0595-PKG-04</t>
  </si>
  <si>
    <t>A17-0596-FP-70</t>
  </si>
  <si>
    <t>A17-0598-GEN-CN07</t>
  </si>
  <si>
    <t>A17-0605-PKG-05</t>
  </si>
  <si>
    <t>A17-0609-PKG-08</t>
  </si>
  <si>
    <t>A18-0613-PFB-01</t>
  </si>
  <si>
    <t>A18-0618-JMT-92</t>
  </si>
  <si>
    <t>A18-0623-FAB-253</t>
  </si>
  <si>
    <t>A18-0625-JMT-94</t>
  </si>
  <si>
    <t>A18-0629-TO-CO2</t>
  </si>
  <si>
    <t>A18-0630-FAB-149</t>
  </si>
  <si>
    <t>A18-0631-TO-06</t>
  </si>
  <si>
    <t>A18-0632-TO-04</t>
  </si>
  <si>
    <t>A18-0636-TO-05</t>
  </si>
  <si>
    <t>A18-0637-TO-02</t>
  </si>
  <si>
    <t>A18-0638-TO-03</t>
  </si>
  <si>
    <t>A18-0639-PR-37</t>
  </si>
  <si>
    <t>A18-0641-SS-21</t>
  </si>
  <si>
    <t>A18-0643-TO-C01</t>
  </si>
  <si>
    <t>A18-0645-46-JMT-96</t>
  </si>
  <si>
    <t>A18-0645-JMT-96</t>
  </si>
  <si>
    <t>A18-0647-SS-45</t>
  </si>
  <si>
    <t>A183-PS-38 (1203A)</t>
  </si>
  <si>
    <t>A184-PS-58 (1223A)</t>
  </si>
  <si>
    <t>A19-0653-PFB-07</t>
  </si>
  <si>
    <t>A19-0656-PF-RG1</t>
  </si>
  <si>
    <t>A19-0666-PS-54</t>
  </si>
  <si>
    <t>A19-0681-PS-42</t>
  </si>
  <si>
    <t>A20-0690-PFB-08</t>
  </si>
  <si>
    <t xml:space="preserve">A20-0699-JMT-98 </t>
  </si>
  <si>
    <t>A21-0722-Z4J</t>
  </si>
  <si>
    <t>A21-0726-PFB-04</t>
  </si>
  <si>
    <t>A21-0730-JMT-153</t>
  </si>
  <si>
    <t>A21-0735-JMT-96</t>
  </si>
  <si>
    <t>A21-0754-PR-12</t>
  </si>
  <si>
    <t>A22-0782-GEN-HH01</t>
  </si>
  <si>
    <t>A23-0793-KW-04</t>
  </si>
  <si>
    <t>A23-0796-KW-14</t>
  </si>
  <si>
    <t>A23-0797-KW-15</t>
  </si>
  <si>
    <t>A23-0797-KW-16</t>
  </si>
  <si>
    <t>A23-0799-JMT-161</t>
  </si>
  <si>
    <t>A23-0799-JMT-162</t>
  </si>
  <si>
    <t>A23-0803-SS-07</t>
  </si>
  <si>
    <t>A23-0804-SS-13</t>
  </si>
  <si>
    <t>A23-0807-GEN-PC06</t>
  </si>
  <si>
    <t>A23-0808-CR-G4005</t>
  </si>
  <si>
    <t>A23-0811-GEN-PC02</t>
  </si>
  <si>
    <t>A23-0820-FP-30</t>
  </si>
  <si>
    <t>A23-0821-JMT-12</t>
  </si>
  <si>
    <t>A23-0821-SBA-19</t>
  </si>
  <si>
    <t>A23-0822-FAB-20</t>
  </si>
  <si>
    <t>A23-0822-FAB-255</t>
  </si>
  <si>
    <t>A23-0822-FAB-30</t>
  </si>
  <si>
    <t>A23-0822-JMT-14</t>
  </si>
  <si>
    <t>A23-0823-GT-15</t>
  </si>
  <si>
    <t>A23-0823-JMT-109</t>
  </si>
  <si>
    <t>A23-0823-JMT-27</t>
  </si>
  <si>
    <t>A23-0823-SBA-09</t>
  </si>
  <si>
    <t>A23-0824-FP-66</t>
  </si>
  <si>
    <t>A23-0825-CP-1-2425F</t>
  </si>
  <si>
    <t>A23-0825-SS-49</t>
  </si>
  <si>
    <t>A23-0828-FAB-153</t>
  </si>
  <si>
    <t>A23-0828-JMT-158</t>
  </si>
  <si>
    <t>A23-0829-HT-02</t>
  </si>
  <si>
    <t>A23-0830-HT-11</t>
  </si>
  <si>
    <t>A23-0830-HT-12</t>
  </si>
  <si>
    <t>A23-0831-FAB-223</t>
  </si>
  <si>
    <t>A23-0831-HT-14</t>
  </si>
  <si>
    <t>A23-0832-S25H</t>
  </si>
  <si>
    <t>A23-0833-HT-22</t>
  </si>
  <si>
    <t>A23-0834-BA-H05</t>
  </si>
  <si>
    <t>A23-0834-FP-64</t>
  </si>
  <si>
    <t>A23-0834-PS-94</t>
  </si>
  <si>
    <t>A23-0835-B12H</t>
  </si>
  <si>
    <t>A23-0837-BA-H11</t>
  </si>
  <si>
    <t>A23-0837-S21J</t>
  </si>
  <si>
    <t>A23-0839-MZ10</t>
  </si>
  <si>
    <t>A24-0841-FB-B925F</t>
  </si>
  <si>
    <t>A24-0843-FAB-220</t>
  </si>
  <si>
    <t>A24-0853-PR-25</t>
  </si>
  <si>
    <t>A24-0854-SPE-02</t>
  </si>
  <si>
    <t>A24-0855-PS-74</t>
  </si>
  <si>
    <t>A24-0856-CU-06</t>
  </si>
  <si>
    <t>A24-0856-SPE-03</t>
  </si>
  <si>
    <t>A24-0857-GEN-NS02</t>
  </si>
  <si>
    <t>A24-0857-JMT-100</t>
  </si>
  <si>
    <t>A24-0857-JMT-60</t>
  </si>
  <si>
    <t>A24-0858-FAB-203</t>
  </si>
  <si>
    <t>A24-0858-FAB-204</t>
  </si>
  <si>
    <t>A24-0860-FAB-59</t>
  </si>
  <si>
    <t>A24-0860-FAB-63</t>
  </si>
  <si>
    <t>A24-0861-CM-B130</t>
  </si>
  <si>
    <t>A24-0862-FAB-293</t>
  </si>
  <si>
    <t>A24-0865-BA-H12</t>
  </si>
  <si>
    <t>A24-0865-FAB-27</t>
  </si>
  <si>
    <t>A24-0866-WR-C124</t>
  </si>
  <si>
    <t>A24-0867-GEN-NS10</t>
  </si>
  <si>
    <t>A24-0868-WR-B124</t>
  </si>
  <si>
    <t>A24-0869-CU-10</t>
  </si>
  <si>
    <t>A24-0869-FAB-184</t>
  </si>
  <si>
    <t>A24-0870-GEN-NS09</t>
  </si>
  <si>
    <t>A24-0873-RS-0432</t>
  </si>
  <si>
    <t>A24-0876-V7X</t>
  </si>
  <si>
    <t>V7X</t>
  </si>
  <si>
    <t>A24-0877-JMT-163</t>
  </si>
  <si>
    <t>A24-0878-FAB-201</t>
  </si>
  <si>
    <t>A24-0879-JMT-39</t>
  </si>
  <si>
    <t>A24-0880-PT-5G</t>
  </si>
  <si>
    <t>A24-0886-MZ14</t>
  </si>
  <si>
    <t>A24-0888-FAB-88</t>
  </si>
  <si>
    <t>A25-0889-WCP-A12</t>
  </si>
  <si>
    <t>A25-0889-WCP-B12</t>
  </si>
  <si>
    <t>A25-0890-WCP-C12</t>
  </si>
  <si>
    <t>A25-0891-WCP-D24</t>
  </si>
  <si>
    <t>A25-0893-WCP-E12</t>
  </si>
  <si>
    <t>A25-0893-WCP-F12</t>
  </si>
  <si>
    <t>A25-0894-WCP-G12</t>
  </si>
  <si>
    <t>A25-0895-WCP-H24</t>
  </si>
  <si>
    <t>A25-0896-SG-2448AE</t>
  </si>
  <si>
    <t>A25-0897-GEN-PC04</t>
  </si>
  <si>
    <t>A25-0897-JMT-106</t>
  </si>
  <si>
    <t>A25-0898-JMT-35</t>
  </si>
  <si>
    <t>A25-0899-SR-A0404</t>
  </si>
  <si>
    <t>A25-0900-SR-A0808</t>
  </si>
  <si>
    <t>A25-0904-CB-Z2</t>
  </si>
  <si>
    <t>A25-0906-GEN-NS07</t>
  </si>
  <si>
    <t>A25-0907-FPB-01</t>
  </si>
  <si>
    <t>A25-0907-SS-44</t>
  </si>
  <si>
    <t>A25-0908-WR-C130</t>
  </si>
  <si>
    <t>A25-0911-CM-B215</t>
  </si>
  <si>
    <t>A25-0913-JMT-123</t>
  </si>
  <si>
    <t>A25-0915-RS-0412</t>
  </si>
  <si>
    <t>A25-0915-SS-65</t>
  </si>
  <si>
    <t>A25-0918-CR-1</t>
  </si>
  <si>
    <t>A25-0919-FAB-36</t>
  </si>
  <si>
    <t>A25-0920-FAB-35</t>
  </si>
  <si>
    <t>A25-0922-CS7-0623</t>
  </si>
  <si>
    <t>A25-0925-FAB-125</t>
  </si>
  <si>
    <t>A25-0925-SS-38</t>
  </si>
  <si>
    <t>A25-0926-JMT-73</t>
  </si>
  <si>
    <t>A25-0928-CB-S1</t>
  </si>
  <si>
    <t>A25-0930-CP-1-24100F</t>
  </si>
  <si>
    <t>A25-0931-JMT-46</t>
  </si>
  <si>
    <t>A25-0932-SBA-15</t>
  </si>
  <si>
    <t>A25-0933-JMT-21</t>
  </si>
  <si>
    <t>A25-0936-SBA-17</t>
  </si>
  <si>
    <t>A26-0939-M10</t>
  </si>
  <si>
    <t>A26-0940-GEN-SW19</t>
  </si>
  <si>
    <t>A26-0941-IB-F07M</t>
  </si>
  <si>
    <t>A26-0942-FAB-26</t>
  </si>
  <si>
    <t>A26-0942-GEN-SW14</t>
  </si>
  <si>
    <t>A26-0943-IB-E07M</t>
  </si>
  <si>
    <t>A26-0945-SG-2436AC</t>
  </si>
  <si>
    <t>A26-0947-IB-D09M</t>
  </si>
  <si>
    <t>A26-0949-IB-G03M</t>
  </si>
  <si>
    <t>A26-0951-FAB-46</t>
  </si>
  <si>
    <t>A26-0951-IB-G07M</t>
  </si>
  <si>
    <t>A26-0953-IB-G03</t>
  </si>
  <si>
    <t>A26-0953-M14</t>
  </si>
  <si>
    <t>A26-0955-IB-F03M</t>
  </si>
  <si>
    <t>A26-0956-FAB-222</t>
  </si>
  <si>
    <t>A26-0958-PF-10</t>
  </si>
  <si>
    <t>A26-0959-SS-52</t>
  </si>
  <si>
    <t>A26-0961-SS-59</t>
  </si>
  <si>
    <t>A26-0965-PT-1G</t>
  </si>
  <si>
    <t>A26-0966-GEN-NS05</t>
  </si>
  <si>
    <t>A26-0966-JMT-26</t>
  </si>
  <si>
    <t>A26-0967-GEN-SW09</t>
  </si>
  <si>
    <t>A26-0968-PS-43</t>
  </si>
  <si>
    <t>A26-0973-FAB-02</t>
  </si>
  <si>
    <t>A26-0973-FAB-260</t>
  </si>
  <si>
    <t>A26-0975-FAB-94</t>
  </si>
  <si>
    <t>A26-0976-GEN-SW15</t>
  </si>
  <si>
    <t>A26-0977-IB-D03</t>
  </si>
  <si>
    <t>A26-0977-IB-D06</t>
  </si>
  <si>
    <t>A26-0979-IB-C03</t>
  </si>
  <si>
    <t>A26-0980-FAB-185</t>
  </si>
  <si>
    <t>A26-0980-IB-E03M</t>
  </si>
  <si>
    <t>A27-0986-GEN-SW10</t>
  </si>
  <si>
    <t>A27-0987-PR-15</t>
  </si>
  <si>
    <t>A27-0987-SS-58</t>
  </si>
  <si>
    <t>A27-0988-GEN-SW01</t>
  </si>
  <si>
    <t>A27-0990-PS-71</t>
  </si>
  <si>
    <t>A27-0993-SS-57</t>
  </si>
  <si>
    <t>A27-0996-GEN-SW13</t>
  </si>
  <si>
    <t>A27-0996-PS-37</t>
  </si>
  <si>
    <t>A27-0997-FAB-39</t>
  </si>
  <si>
    <t>A27-0997-GEN-NS08</t>
  </si>
  <si>
    <t>A27-0997-JMT-107</t>
  </si>
  <si>
    <t>A27-0998-EH-01</t>
  </si>
  <si>
    <t>A27-1001-JMT-111</t>
  </si>
  <si>
    <t>A27-1001-PR-35</t>
  </si>
  <si>
    <t>A27-1002-JMT-119</t>
  </si>
  <si>
    <t>A27-1004-SS-51</t>
  </si>
  <si>
    <t>A27-1007-PS-60</t>
  </si>
  <si>
    <t>A27-1009-SS-35</t>
  </si>
  <si>
    <t>A27-1010-FAB-133</t>
  </si>
  <si>
    <t>A27-1012-CU-19</t>
  </si>
  <si>
    <t>A27-1012-FAB-212</t>
  </si>
  <si>
    <t>A27-1012-SS-36</t>
  </si>
  <si>
    <t>A27-1013-SBA-18</t>
  </si>
  <si>
    <t>A27-1014-GEN-SW02</t>
  </si>
  <si>
    <t>A27-1017-SS-55</t>
  </si>
  <si>
    <t>A27-1018-SS-30</t>
  </si>
  <si>
    <t>A27-1019-PS-38</t>
  </si>
  <si>
    <t>A27-1020-PS-83</t>
  </si>
  <si>
    <t>A27-1023-FAB-87</t>
  </si>
  <si>
    <t>A27-1024-FAB-99</t>
  </si>
  <si>
    <t>A27-1025-FB-0105</t>
  </si>
  <si>
    <t>A27-1025-GEN-NS13</t>
  </si>
  <si>
    <t>A27-1025-IB-A06M</t>
  </si>
  <si>
    <t>A27-1026-CBN-3612</t>
  </si>
  <si>
    <t>A27-1028-GEN-CN04</t>
  </si>
  <si>
    <t>A27-1029-JMT-108</t>
  </si>
  <si>
    <t>A27-1031-PS-80</t>
  </si>
  <si>
    <t>A27-1032-JMT-125</t>
  </si>
  <si>
    <t>A28-0969-SS-64</t>
  </si>
  <si>
    <t>A28-1033-FAB-163</t>
  </si>
  <si>
    <t>A28-1033-FAB-231</t>
  </si>
  <si>
    <t>A28-1033-GEN-SB06</t>
  </si>
  <si>
    <t>A28-1033-PS-23</t>
  </si>
  <si>
    <t>A28-1034-FAB-72</t>
  </si>
  <si>
    <t>A28-1034-GEN-SW18</t>
  </si>
  <si>
    <t>A28-1034-PS-86</t>
  </si>
  <si>
    <t>A28-1035-FAB-60</t>
  </si>
  <si>
    <t>A28-1036-SG-2448BC</t>
  </si>
  <si>
    <t>A28-1037-PS-61</t>
  </si>
  <si>
    <t>A28-1038-FAB-116</t>
  </si>
  <si>
    <t>A28-1038-SG-2424AC</t>
  </si>
  <si>
    <t>A28-1039-FAB-186</t>
  </si>
  <si>
    <t>A28-1039-FAB-62</t>
  </si>
  <si>
    <t>A28-1039-SG-2448AD</t>
  </si>
  <si>
    <t>A28-1040-FAB-229</t>
  </si>
  <si>
    <t>A28-1041-SG-2432BC</t>
  </si>
  <si>
    <t>A28-1042-GEN-SW07</t>
  </si>
  <si>
    <t>A28-1043-B5X</t>
  </si>
  <si>
    <t>A28-1044-SC-4518</t>
  </si>
  <si>
    <t>A28-1047-BA-H07</t>
  </si>
  <si>
    <t>A28-1047-JMT-98</t>
  </si>
  <si>
    <t>A28-1047-PS-65</t>
  </si>
  <si>
    <t>A28-1048-FAB-69</t>
  </si>
  <si>
    <t>A28-1049-FAB-73</t>
  </si>
  <si>
    <t>A28-1049-SS-29</t>
  </si>
  <si>
    <t>A28-1050-FAB-77</t>
  </si>
  <si>
    <t>A28-1051-GEN-SW16</t>
  </si>
  <si>
    <t>A28-1051-PS-59</t>
  </si>
  <si>
    <t>A28-1053-JMT-97</t>
  </si>
  <si>
    <t>A28-1055-GT-19</t>
  </si>
  <si>
    <t>A28-1056-JMT-83</t>
  </si>
  <si>
    <t>A28-1056-PS-54</t>
  </si>
  <si>
    <t>A28-1057-FAB-67</t>
  </si>
  <si>
    <t>A28-1058-FAB-71</t>
  </si>
  <si>
    <t>A28-1059-GEN-SW17</t>
  </si>
  <si>
    <t>A28-1059-PS-24</t>
  </si>
  <si>
    <t>A28-1060-PS-68</t>
  </si>
  <si>
    <t>A28-1061-FAB-128</t>
  </si>
  <si>
    <t>A28-1061-FAB-34</t>
  </si>
  <si>
    <t>A28-1061-PS-46</t>
  </si>
  <si>
    <t>A28-1062-FAB-47</t>
  </si>
  <si>
    <t>A28-1063-PO-AC1</t>
  </si>
  <si>
    <t>A28-1066-SS-72</t>
  </si>
  <si>
    <t>A28-1067-FAB-138</t>
  </si>
  <si>
    <t>A28-1067-FAB-141</t>
  </si>
  <si>
    <t>A28-1068-PS-09</t>
  </si>
  <si>
    <t>A28-1068-S13X</t>
  </si>
  <si>
    <t>A28-1069-FAB-257</t>
  </si>
  <si>
    <t>A28-1069-SS-63</t>
  </si>
  <si>
    <t>A28-1070-FB-0506</t>
  </si>
  <si>
    <t>A28-1070-PS-05</t>
  </si>
  <si>
    <t>A28-1071-FAB-264</t>
  </si>
  <si>
    <t>A28-1071-JMT-151</t>
  </si>
  <si>
    <t>A28-1071-PR-12</t>
  </si>
  <si>
    <t>A28-1072-CM-B109</t>
  </si>
  <si>
    <t>A28-1073-GT-27</t>
  </si>
  <si>
    <t>A28-1073-JMT-13</t>
  </si>
  <si>
    <t>A28-1074-JMT-09</t>
  </si>
  <si>
    <t>A28-1074-JMT-10</t>
  </si>
  <si>
    <t>A28-1075-FAB-04</t>
  </si>
  <si>
    <t>A28-1075-PS-63</t>
  </si>
  <si>
    <t>A28-1076-RS-1061</t>
  </si>
  <si>
    <t>A28-1077-FAB-261</t>
  </si>
  <si>
    <t>A28-1077-SS-56</t>
  </si>
  <si>
    <t>A28-1078-FAB-105</t>
  </si>
  <si>
    <t>A28-1079-PS-69</t>
  </si>
  <si>
    <t>A28-1080-FAB-139</t>
  </si>
  <si>
    <t>A28-1080-FAB-194</t>
  </si>
  <si>
    <t>A29-1089-JMT-87</t>
  </si>
  <si>
    <t>A29-1092-FAB-59</t>
  </si>
  <si>
    <t>A29-1104-CU-03</t>
  </si>
  <si>
    <t>A29-1108-FAB-20</t>
  </si>
  <si>
    <t>A3-0075-B10J</t>
  </si>
  <si>
    <t>A3-0094-JMT-103</t>
  </si>
  <si>
    <t>A3-0100-JMT-127</t>
  </si>
  <si>
    <t>A3-0104-JMT-131</t>
  </si>
  <si>
    <t>A30-1134-JMT-09</t>
  </si>
  <si>
    <t>A30-1136-JMT-11</t>
  </si>
  <si>
    <t>A30-1166-JMT-39</t>
  </si>
  <si>
    <t>A33-1294-SBA-16</t>
  </si>
  <si>
    <t>A33-1298-SBA-08</t>
  </si>
  <si>
    <t>A33-1301-SBA-12</t>
  </si>
  <si>
    <t>A33-1310-SBA-21</t>
  </si>
  <si>
    <t>A3-AEF6-AFBX</t>
  </si>
  <si>
    <t>A4-0128-JMT-04</t>
  </si>
  <si>
    <t>A4-0140-CU-36</t>
  </si>
  <si>
    <t>CU-36</t>
  </si>
  <si>
    <t>A530-CT-AM04 (186P)</t>
  </si>
  <si>
    <t>A530-CT-SC60 (191P)</t>
  </si>
  <si>
    <t>A540-CT-TC22 (193P)</t>
  </si>
  <si>
    <t>A540-CT-TC55 (194P)</t>
  </si>
  <si>
    <t>A540-CT-WK55 (196P)</t>
  </si>
  <si>
    <t>A550-FAB-46 (209P)</t>
  </si>
  <si>
    <t>A560-FB-0402 (217P)</t>
  </si>
  <si>
    <t>A570-HB-18 (338P)</t>
  </si>
  <si>
    <t>A580-IB-A06 (342P)</t>
  </si>
  <si>
    <t>A6-0181-PFB-09</t>
  </si>
  <si>
    <t>A6-0184-PFB-02</t>
  </si>
  <si>
    <t>A7-0229-RCB-10</t>
  </si>
  <si>
    <t>A7-0236-WR-A224</t>
  </si>
  <si>
    <t>A8-0262-PR-14</t>
  </si>
  <si>
    <t>A8-0271-JMT-118</t>
  </si>
  <si>
    <t>A9-0299-PF-RP15</t>
  </si>
  <si>
    <t>A9-0303-PF-RP06</t>
  </si>
  <si>
    <t>A9-0306-PF-RP01</t>
  </si>
  <si>
    <t>A9-0309-FAB-16</t>
  </si>
  <si>
    <t>A9-0311-FAB-120</t>
  </si>
  <si>
    <t>AB-0104</t>
  </si>
  <si>
    <t>AO-X2WE-SAUB</t>
  </si>
  <si>
    <t>Ash Dump Door</t>
  </si>
  <si>
    <t>REP_Ash_Dump_Door</t>
  </si>
  <si>
    <t>B10 (039)</t>
  </si>
  <si>
    <t>B10 (AD)</t>
  </si>
  <si>
    <t>B10 (TS)</t>
  </si>
  <si>
    <t>B10..</t>
  </si>
  <si>
    <t>B10F2 (015)</t>
  </si>
  <si>
    <t>B10FP (4)</t>
  </si>
  <si>
    <t>B10FP(4)</t>
  </si>
  <si>
    <t>B10FPQ4</t>
  </si>
  <si>
    <t>B10J (009)</t>
  </si>
  <si>
    <t>B10J (SA)</t>
  </si>
  <si>
    <t>B10J..</t>
  </si>
  <si>
    <t>B10J-LS</t>
  </si>
  <si>
    <t>B10-LS</t>
  </si>
  <si>
    <t>B10X (010)</t>
  </si>
  <si>
    <t>B10X (010)..</t>
  </si>
  <si>
    <t>B10X (SA)</t>
  </si>
  <si>
    <t>B10X + RCB-02</t>
  </si>
  <si>
    <t>B10X+RCB-02</t>
  </si>
  <si>
    <t>B10X..</t>
  </si>
  <si>
    <t>B10X-LS</t>
  </si>
  <si>
    <t>B11 (011)</t>
  </si>
  <si>
    <t>B11 (011) (TC)</t>
  </si>
  <si>
    <t>B11 (011)..</t>
  </si>
  <si>
    <t>B11 (TC)</t>
  </si>
  <si>
    <t>B11 + RCB-06</t>
  </si>
  <si>
    <t>B11+RCB-06</t>
  </si>
  <si>
    <t>B11-LS</t>
  </si>
  <si>
    <t>B11X (012)</t>
  </si>
  <si>
    <t>B12 (013)</t>
  </si>
  <si>
    <t>B12 (013)..</t>
  </si>
  <si>
    <t>B12F (014)</t>
  </si>
  <si>
    <t>B12F (TC)</t>
  </si>
  <si>
    <t>B12F..</t>
  </si>
  <si>
    <t>B12F-LS</t>
  </si>
  <si>
    <t>B12FP (2)</t>
  </si>
  <si>
    <t>B12FP (2) (016)</t>
  </si>
  <si>
    <t>B12H (017)</t>
  </si>
  <si>
    <t>B12H..</t>
  </si>
  <si>
    <t>B12H-LS</t>
  </si>
  <si>
    <t>B12J (018)</t>
  </si>
  <si>
    <t>B12J (SA)</t>
  </si>
  <si>
    <t>B12J..</t>
  </si>
  <si>
    <t>B12J-LS</t>
  </si>
  <si>
    <t>B12-LS</t>
  </si>
  <si>
    <t>B12X (019)</t>
  </si>
  <si>
    <t>B12X (019) (TC)</t>
  </si>
  <si>
    <t>B12X (019)..</t>
  </si>
  <si>
    <t>B12X (TC)</t>
  </si>
  <si>
    <t>B12X-B12F-B12H-B12J-B12</t>
  </si>
  <si>
    <t>B12X-LS</t>
  </si>
  <si>
    <t>B13 (1069)</t>
  </si>
  <si>
    <t>B1-4003-FAB-165</t>
  </si>
  <si>
    <t>B1-4004-FAB-181</t>
  </si>
  <si>
    <t>B1-4009-FAB-45</t>
  </si>
  <si>
    <t>B1-4015-FAB-178</t>
  </si>
  <si>
    <t>B1-4015-FAB-191</t>
  </si>
  <si>
    <t>B1-4017-FAB-52</t>
  </si>
  <si>
    <t>B1-4018-FAB-187</t>
  </si>
  <si>
    <t>B1-4019-JMT-68</t>
  </si>
  <si>
    <t>B1-4021-LS-1G</t>
  </si>
  <si>
    <t>B1-4027-FAB-108</t>
  </si>
  <si>
    <t>B1-4037-FAB-111</t>
  </si>
  <si>
    <t>B1-4043-FAB-109</t>
  </si>
  <si>
    <t>B1-4045-CT-TC22</t>
  </si>
  <si>
    <t>B2-4067-IB-A06M</t>
  </si>
  <si>
    <t>B2-4069-IB-A06M</t>
  </si>
  <si>
    <t>B2-4086-FAB-330</t>
  </si>
  <si>
    <t>B2-4107-GEN-SP04</t>
  </si>
  <si>
    <t>B3-4113-IB-F03</t>
  </si>
  <si>
    <t>B3-4121-PFB-05</t>
  </si>
  <si>
    <t>B3-4124-PF-RG1</t>
  </si>
  <si>
    <t>B3-4127-IB-E08</t>
  </si>
  <si>
    <t>B3-4133-RCB-07</t>
  </si>
  <si>
    <t>B3-4137-GEN-SP03</t>
  </si>
  <si>
    <t>B3-4139-FAB-339</t>
  </si>
  <si>
    <t>B3-4153-FAB-112</t>
  </si>
  <si>
    <t>B3-4160-FAB-256</t>
  </si>
  <si>
    <t>B-4185-RCB-07</t>
  </si>
  <si>
    <t>B4-4169-FAB-186</t>
  </si>
  <si>
    <t>B4-4175-FAB-83</t>
  </si>
  <si>
    <t>B4-4176-FAB-230</t>
  </si>
  <si>
    <t>B4-4184-GEN-SB04</t>
  </si>
  <si>
    <t>B4-4215-FB-0302</t>
  </si>
  <si>
    <t>B4F (239)</t>
  </si>
  <si>
    <t>B4F (239T)</t>
  </si>
  <si>
    <t>B4F (SA)</t>
  </si>
  <si>
    <t>B4F. (239)</t>
  </si>
  <si>
    <t>B4F3</t>
  </si>
  <si>
    <t>B4F(3)</t>
  </si>
  <si>
    <t>B4F4</t>
  </si>
  <si>
    <t>B4F(4)</t>
  </si>
  <si>
    <t>B4F-LS</t>
  </si>
  <si>
    <t>B5 (023)</t>
  </si>
  <si>
    <t>B5 (023)-LS</t>
  </si>
  <si>
    <t>B5-4217-PS-35</t>
  </si>
  <si>
    <t>B5-4218-PS-40</t>
  </si>
  <si>
    <t>B5-4219-PS-30</t>
  </si>
  <si>
    <t>B5-4220-PS-57</t>
  </si>
  <si>
    <t>B5-4221-VZ2</t>
  </si>
  <si>
    <t>B5-4223-FAB-208</t>
  </si>
  <si>
    <t>B5-4226-FAB-86</t>
  </si>
  <si>
    <t>B5-4232-FAB-228</t>
  </si>
  <si>
    <t>B5-4234-FAB-211</t>
  </si>
  <si>
    <t>B5-4235-FAB-85</t>
  </si>
  <si>
    <t>B5-4237-FAB-220</t>
  </si>
  <si>
    <t>B5-4241-FAB-196</t>
  </si>
  <si>
    <t>B5-4243-FAB-87</t>
  </si>
  <si>
    <t>B5-4247-FAB-88</t>
  </si>
  <si>
    <t>B5-4253-PF-D02</t>
  </si>
  <si>
    <t>B5-4257-FAB-195</t>
  </si>
  <si>
    <t>B5-4267-FAB-89</t>
  </si>
  <si>
    <t>B5FP</t>
  </si>
  <si>
    <t>B6</t>
  </si>
  <si>
    <t>B6 (1072)</t>
  </si>
  <si>
    <t>B7 (024)</t>
  </si>
  <si>
    <t>B7X</t>
  </si>
  <si>
    <t>B7X (025)</t>
  </si>
  <si>
    <t>B8</t>
  </si>
  <si>
    <t>B9 (022)</t>
  </si>
  <si>
    <t>B9F (020)</t>
  </si>
  <si>
    <t>B9F (3) (020)</t>
  </si>
  <si>
    <t>B9FP</t>
  </si>
  <si>
    <t>B9J (037)</t>
  </si>
  <si>
    <t>B9J (037) (TH)</t>
  </si>
  <si>
    <t>B9J (2)</t>
  </si>
  <si>
    <t>B9J(2)</t>
  </si>
  <si>
    <t>B9J (TH)</t>
  </si>
  <si>
    <t>B9J-B9J (2)</t>
  </si>
  <si>
    <t>B9J-LS</t>
  </si>
  <si>
    <t>BA-CXIZ-7BQA</t>
  </si>
  <si>
    <t>BA-H01..</t>
  </si>
  <si>
    <t>BA-H02..</t>
  </si>
  <si>
    <t>BA-H03..</t>
  </si>
  <si>
    <t>BA-H04..</t>
  </si>
  <si>
    <t>BA-H05..</t>
  </si>
  <si>
    <t>BA-H06..</t>
  </si>
  <si>
    <t>BA-H07..</t>
  </si>
  <si>
    <t>BA-H08..</t>
  </si>
  <si>
    <t>BA-H09..</t>
  </si>
  <si>
    <t>BB-100210-LS</t>
  </si>
  <si>
    <t>BB-105210-LS</t>
  </si>
  <si>
    <t>BB-115185-LS</t>
  </si>
  <si>
    <t>BB-120235-LS</t>
  </si>
  <si>
    <t>BB-125185-LS</t>
  </si>
  <si>
    <t>BB-140226-LS</t>
  </si>
  <si>
    <t>BB-950135-LS</t>
  </si>
  <si>
    <t>BB-950155-LS</t>
  </si>
  <si>
    <t>BB-950185-LS</t>
  </si>
  <si>
    <t>Blanket piece</t>
  </si>
  <si>
    <t>REP_Blanket_piece</t>
  </si>
  <si>
    <t>Blower of HB-10P</t>
  </si>
  <si>
    <t>REP_Blower_of_HB-10P</t>
  </si>
  <si>
    <t>Body of PFI-20</t>
  </si>
  <si>
    <t>REP_Body_of_PFI-20</t>
  </si>
  <si>
    <t>BS10 (038)</t>
  </si>
  <si>
    <t>BS10 (038)..</t>
  </si>
  <si>
    <t>BS10 (SA)</t>
  </si>
  <si>
    <t>BS10 (SB)</t>
  </si>
  <si>
    <t>BS10-B10J-B10X-B11</t>
  </si>
  <si>
    <t>BS10-LS</t>
  </si>
  <si>
    <t>BS13 (040)</t>
  </si>
  <si>
    <t>BS13..</t>
  </si>
  <si>
    <t>BS13-LS</t>
  </si>
  <si>
    <t>BS5 (041)</t>
  </si>
  <si>
    <t>BS9 (043)</t>
  </si>
  <si>
    <t>BS9 (TS)</t>
  </si>
  <si>
    <t>BS9..</t>
  </si>
  <si>
    <t>BS9-B9J</t>
  </si>
  <si>
    <t>BS9-LS</t>
  </si>
  <si>
    <t>Burner Ball Valve</t>
  </si>
  <si>
    <t>REP_Burner_Ball_Valve</t>
  </si>
  <si>
    <t>C10-6193-BS5</t>
  </si>
  <si>
    <t>C10-6201-ZS1</t>
  </si>
  <si>
    <t>C10-6203-FAB-169</t>
  </si>
  <si>
    <t>C10-6204-FAB-168</t>
  </si>
  <si>
    <t>C10-6208-FAB-189</t>
  </si>
  <si>
    <t>C10-6209-PFI-10</t>
  </si>
  <si>
    <t>C10-6211-PFI-20</t>
  </si>
  <si>
    <t>C10-6213-IB-C12</t>
  </si>
  <si>
    <t>C10-6218-FAB-44</t>
  </si>
  <si>
    <t>C10-6219-FAB-82</t>
  </si>
  <si>
    <t>C10-6220-FAB-81</t>
  </si>
  <si>
    <t>C10-6224-FAB-217</t>
  </si>
  <si>
    <t>C10-6228-CT-SA44</t>
  </si>
  <si>
    <t>C10-6228-FAB-236</t>
  </si>
  <si>
    <t>C10-6228-FAB-242</t>
  </si>
  <si>
    <t>C10-6228-FAB-243</t>
  </si>
  <si>
    <t>C10-6229-FAB-218</t>
  </si>
  <si>
    <t>C10-6230-CT-WK44</t>
  </si>
  <si>
    <t>C1-6006-V4H</t>
  </si>
  <si>
    <t>C1-6011-VZ4F</t>
  </si>
  <si>
    <t>C1-6017-FAB-314 (PART-1)</t>
  </si>
  <si>
    <t>C1-6018-FAB-314 (PART-2)</t>
  </si>
  <si>
    <t>C1-6021-JMT-01</t>
  </si>
  <si>
    <t>C1-6022-FAB-325</t>
  </si>
  <si>
    <t>C1-6025-ST-06</t>
  </si>
  <si>
    <t>C1-6026-ST-05</t>
  </si>
  <si>
    <t>C1-6027-JMT-59</t>
  </si>
  <si>
    <t>C1-6029-FAB-281</t>
  </si>
  <si>
    <t>C1-6029-PF-15</t>
  </si>
  <si>
    <t>C2-6038-FAB-327</t>
  </si>
  <si>
    <t>C2-6039-FAB-238</t>
  </si>
  <si>
    <t>C2-6040-FAB-97</t>
  </si>
  <si>
    <t>C2-6042-VZ6</t>
  </si>
  <si>
    <t>C3-6045-FAB-151</t>
  </si>
  <si>
    <t>C3-6045-FAB-317</t>
  </si>
  <si>
    <t>C3-6046-FAB-329</t>
  </si>
  <si>
    <t>C3-6047-IB-A16</t>
  </si>
  <si>
    <t>C3-6048-FAB-319</t>
  </si>
  <si>
    <t>C3-6049-FAB-328</t>
  </si>
  <si>
    <t>C3-6050-V6</t>
  </si>
  <si>
    <t>C3-6051-IB-F08</t>
  </si>
  <si>
    <t>C3-6052-IB-F08</t>
  </si>
  <si>
    <t>C3-6053-PF-32</t>
  </si>
  <si>
    <t>C3-6053-PFI-32</t>
  </si>
  <si>
    <t>C4-6066-FAB-225</t>
  </si>
  <si>
    <t>C4-6066-PFI-22B</t>
  </si>
  <si>
    <t>C4-6068-PFI-04</t>
  </si>
  <si>
    <t>C5-6073-JMT-133</t>
  </si>
  <si>
    <t>C6-6082-FAB-174</t>
  </si>
  <si>
    <t>C6-6085-FAB-221</t>
  </si>
  <si>
    <t>C6-6087-SG-4836AD</t>
  </si>
  <si>
    <t>SG-4836AD</t>
  </si>
  <si>
    <t>C6-6088-SG-3038AA</t>
  </si>
  <si>
    <t>C6-6093-PF-12</t>
  </si>
  <si>
    <t>C7-6097-PF-POT</t>
  </si>
  <si>
    <t>C7-6112-FAB-274</t>
  </si>
  <si>
    <t>C7-6114-FAB-14</t>
  </si>
  <si>
    <t>C7-6114-FAB-182</t>
  </si>
  <si>
    <t>PF-POTS1(P1)</t>
  </si>
  <si>
    <t>PF-POTS1(P2)</t>
  </si>
  <si>
    <t>C7-6117-EPX-01</t>
  </si>
  <si>
    <t>C7-6119-FAB-147</t>
  </si>
  <si>
    <t>C8-6133-V4-1824</t>
  </si>
  <si>
    <t>C8-6135-FAB-100</t>
  </si>
  <si>
    <t>C8-6136-FAB-96</t>
  </si>
  <si>
    <t>C8-6139-FAB-92</t>
  </si>
  <si>
    <t>C8-6144-FAB-273</t>
  </si>
  <si>
    <t>C8-6145-FAB-17</t>
  </si>
  <si>
    <t>C8-6147-V5</t>
  </si>
  <si>
    <t>C9-6150-ZS4</t>
  </si>
  <si>
    <t>C9-6151-ZS6</t>
  </si>
  <si>
    <t>C9-6159-FAB-156</t>
  </si>
  <si>
    <t>C9-6163-V2-1824</t>
  </si>
  <si>
    <t>C9-6171-FAB-145</t>
  </si>
  <si>
    <t>C9-6172-FAB-106</t>
  </si>
  <si>
    <t>C9-6172-FAB-148</t>
  </si>
  <si>
    <t>C9-6172-FAB-91</t>
  </si>
  <si>
    <t>C9-6173-FAB-107</t>
  </si>
  <si>
    <t>C9-6175-FAB-101</t>
  </si>
  <si>
    <t>C9-6175-FAB-102</t>
  </si>
  <si>
    <t>C9-6176-FAB-113</t>
  </si>
  <si>
    <t>C9-6179-PFI-30</t>
  </si>
  <si>
    <t>C9-6181-PO-AC5</t>
  </si>
  <si>
    <t>CBN-14412C (248)</t>
  </si>
  <si>
    <t>CBN-3604C (242)</t>
  </si>
  <si>
    <t>CBN-3610C (243)</t>
  </si>
  <si>
    <t>CBN-3612 (244)</t>
  </si>
  <si>
    <t>CBN-3614C (245)</t>
  </si>
  <si>
    <t>CBN-4100 (246)</t>
  </si>
  <si>
    <t>CBN-7212C (247)</t>
  </si>
  <si>
    <t>CB-S1 (001)</t>
  </si>
  <si>
    <t>CB-S1 (001) (TH)</t>
  </si>
  <si>
    <t>CB-S1 (TH)</t>
  </si>
  <si>
    <t>CB-S2 (002)</t>
  </si>
  <si>
    <t>CB-Z1 (003)</t>
  </si>
  <si>
    <t>CB-Z2 (004)</t>
  </si>
  <si>
    <t>CB-Z2 (004) (TC)</t>
  </si>
  <si>
    <t>CB-Z2 (TC)</t>
  </si>
  <si>
    <t>CD-152N-WLCR</t>
  </si>
  <si>
    <t>CFB-11232..</t>
  </si>
  <si>
    <t>CG01</t>
  </si>
  <si>
    <t>CG-01</t>
  </si>
  <si>
    <t>CH-35</t>
  </si>
  <si>
    <t>CHM-05B (2) (1024)</t>
  </si>
  <si>
    <t>CHM-06 (031)</t>
  </si>
  <si>
    <t>CM-A103 (158)</t>
  </si>
  <si>
    <t>CM-A103</t>
  </si>
  <si>
    <t>CM-A109 (159)</t>
  </si>
  <si>
    <t>CM-A109</t>
  </si>
  <si>
    <t>CM-A115 (160)</t>
  </si>
  <si>
    <t>CM-A115</t>
  </si>
  <si>
    <t>CM-B103 (162)</t>
  </si>
  <si>
    <t>CM-B109 (163)</t>
  </si>
  <si>
    <t>CM-B109 (2)</t>
  </si>
  <si>
    <t>CM-B109(2)</t>
  </si>
  <si>
    <t>CM-B109 (3)</t>
  </si>
  <si>
    <t>CM-B109(3)</t>
  </si>
  <si>
    <t>CM-B109- Variant</t>
  </si>
  <si>
    <t>CM-B115 (164)</t>
  </si>
  <si>
    <t>CM-B130 (165)</t>
  </si>
  <si>
    <t>CM-B203 (166)</t>
  </si>
  <si>
    <t>CM-B209 (167)</t>
  </si>
  <si>
    <t>CM-B215 (168)</t>
  </si>
  <si>
    <t>CM-B230 (169)</t>
  </si>
  <si>
    <t>CM-C103 (170)</t>
  </si>
  <si>
    <t>CM-C109 (171)</t>
  </si>
  <si>
    <t>CM-C115 (172)</t>
  </si>
  <si>
    <t>CM-C115</t>
  </si>
  <si>
    <t>CM-C130 (173)</t>
  </si>
  <si>
    <t>CM-C203 (174)</t>
  </si>
  <si>
    <t>CM-C203</t>
  </si>
  <si>
    <t>CM-C209 (175)</t>
  </si>
  <si>
    <t>CM-C209</t>
  </si>
  <si>
    <t>CM-C215 (176)</t>
  </si>
  <si>
    <t>CM-C230 (177)</t>
  </si>
  <si>
    <t>CM-C230</t>
  </si>
  <si>
    <t>CM-D103 (178)</t>
  </si>
  <si>
    <t>CM-D109 (179)</t>
  </si>
  <si>
    <t>CM-D115 (180)</t>
  </si>
  <si>
    <t>CM-D130 (181)</t>
  </si>
  <si>
    <t>CM-D203 (182)</t>
  </si>
  <si>
    <t>CM-D203</t>
  </si>
  <si>
    <t>CM-D209 (183)</t>
  </si>
  <si>
    <t>CM-D215 (184)</t>
  </si>
  <si>
    <t>CM-D230 (185)</t>
  </si>
  <si>
    <t>Countertop Support</t>
  </si>
  <si>
    <t>CP10606</t>
  </si>
  <si>
    <t>CP-1-0606</t>
  </si>
  <si>
    <t>CP11212</t>
  </si>
  <si>
    <t>CP-1-1212</t>
  </si>
  <si>
    <t>CP11224</t>
  </si>
  <si>
    <t>CP-1-1224</t>
  </si>
  <si>
    <t>CP-1-24100F (042)</t>
  </si>
  <si>
    <t>CP-1-2425F (045)</t>
  </si>
  <si>
    <t>CP-1-2425F (045) (TC)</t>
  </si>
  <si>
    <t>CP-1-2425F (TC)</t>
  </si>
  <si>
    <t>CP-1-2425F-2-3</t>
  </si>
  <si>
    <t>CP-1-2425F-LS</t>
  </si>
  <si>
    <t>CP21212</t>
  </si>
  <si>
    <t>CP-2-2425F (051)</t>
  </si>
  <si>
    <t>CP-2-2425F (SA)</t>
  </si>
  <si>
    <t>CP-2-2425F-LS</t>
  </si>
  <si>
    <t>CP30624</t>
  </si>
  <si>
    <t>CP-3-0624</t>
  </si>
  <si>
    <t>CP31212</t>
  </si>
  <si>
    <t>CP-3-1212</t>
  </si>
  <si>
    <t>CP31224</t>
  </si>
  <si>
    <t>CP-3-1224</t>
  </si>
  <si>
    <t>CP32424</t>
  </si>
  <si>
    <t>CP-3-2424</t>
  </si>
  <si>
    <t>CP-3-2425F (055)</t>
  </si>
  <si>
    <t>CP-3-2425F (SA)</t>
  </si>
  <si>
    <t>CP-3-2425F-LS</t>
  </si>
  <si>
    <t>CP51539</t>
  </si>
  <si>
    <t>CP51939</t>
  </si>
  <si>
    <t>CP52439</t>
  </si>
  <si>
    <t>CP-5-2439</t>
  </si>
  <si>
    <t>CPT1150</t>
  </si>
  <si>
    <t>CP-T1150</t>
  </si>
  <si>
    <t>CPT1250</t>
  </si>
  <si>
    <t>CP-T1250</t>
  </si>
  <si>
    <t>CPT1350</t>
  </si>
  <si>
    <t>CP-T1350</t>
  </si>
  <si>
    <t>CPT2150</t>
  </si>
  <si>
    <t>CP-T2150</t>
  </si>
  <si>
    <t>CPT2250</t>
  </si>
  <si>
    <t>CP-T2250</t>
  </si>
  <si>
    <t>CPT2350</t>
  </si>
  <si>
    <t>CP-T2350</t>
  </si>
  <si>
    <t>CR-1 (005)</t>
  </si>
  <si>
    <t>CR-2 (006)</t>
  </si>
  <si>
    <t>CR-3 (007)</t>
  </si>
  <si>
    <t>CR-4 (008)</t>
  </si>
  <si>
    <t>CRG1505</t>
  </si>
  <si>
    <t>CR-G1505</t>
  </si>
  <si>
    <t>CRG1510</t>
  </si>
  <si>
    <t>CRG1905</t>
  </si>
  <si>
    <t>CR-G1910</t>
  </si>
  <si>
    <t>CRG2505</t>
  </si>
  <si>
    <t>CRG2510</t>
  </si>
  <si>
    <t>CR-G2510</t>
  </si>
  <si>
    <t>CR-G3005</t>
  </si>
  <si>
    <t>CR-G3010</t>
  </si>
  <si>
    <t>CRG4005</t>
  </si>
  <si>
    <t>CRG5005</t>
  </si>
  <si>
    <t>CRS1505</t>
  </si>
  <si>
    <t>CR-S1510</t>
  </si>
  <si>
    <t>CR-S2505</t>
  </si>
  <si>
    <t>CRS2510</t>
  </si>
  <si>
    <t>CRS4005</t>
  </si>
  <si>
    <t>CR-S4005</t>
  </si>
  <si>
    <t>CRS5005</t>
  </si>
  <si>
    <t>Crucible</t>
  </si>
  <si>
    <t>CS4-0623 (140)</t>
  </si>
  <si>
    <t>CS4-1212 (141)</t>
  </si>
  <si>
    <t>CS6-0623 (146)</t>
  </si>
  <si>
    <t>CS6-1223 (148)</t>
  </si>
  <si>
    <t>CS7-0623 (152)</t>
  </si>
  <si>
    <t>CS7-1212 (153)</t>
  </si>
  <si>
    <t>CT-AM04 (186)</t>
  </si>
  <si>
    <t>CT-AM04 (186) (TC)</t>
  </si>
  <si>
    <t>CT-AM04 (186..)</t>
  </si>
  <si>
    <t>CT-AM04 (TC)</t>
  </si>
  <si>
    <t>CT-AM04-LS</t>
  </si>
  <si>
    <t>CT-AM125 (187)</t>
  </si>
  <si>
    <t>CT-AM125 (187)..</t>
  </si>
  <si>
    <t>CT-AM125..</t>
  </si>
  <si>
    <t>CT-AM125-LS</t>
  </si>
  <si>
    <t>CT-AS10 (188)</t>
  </si>
  <si>
    <t>CT-AS10..</t>
  </si>
  <si>
    <t>CT-AS10-LS</t>
  </si>
  <si>
    <t>CT-AS110 (197)</t>
  </si>
  <si>
    <t>CT-FS55 (189)</t>
  </si>
  <si>
    <t>CT-I1555 (190)</t>
  </si>
  <si>
    <t>CT-I1555 (2) (190)</t>
  </si>
  <si>
    <t>CT-SA44 (1412)</t>
  </si>
  <si>
    <t>CT-SC60 (191)</t>
  </si>
  <si>
    <t>CT-SC80 (192)</t>
  </si>
  <si>
    <t>CT-SK44 (191)</t>
  </si>
  <si>
    <t>CT-SK44-LS</t>
  </si>
  <si>
    <t>CT-TC22 (193)</t>
  </si>
  <si>
    <t>CT-TC22 (193) (T)</t>
  </si>
  <si>
    <t>CT-TC22 (CA)</t>
  </si>
  <si>
    <t>CT-TC22 (TC)</t>
  </si>
  <si>
    <t>CT-TC22..</t>
  </si>
  <si>
    <t>CT-TC22-LS</t>
  </si>
  <si>
    <t>CT-TC44..</t>
  </si>
  <si>
    <t>CT-TC44-LS</t>
  </si>
  <si>
    <t>CT-TC55 (194)</t>
  </si>
  <si>
    <t>CT-WK22 (195)</t>
  </si>
  <si>
    <t>CT-WK22..</t>
  </si>
  <si>
    <t>CT-WK22-LS</t>
  </si>
  <si>
    <t>CT-WK44 (1411)</t>
  </si>
  <si>
    <t>CT-WK44 (1411)-LS</t>
  </si>
  <si>
    <t>CT-WK44..</t>
  </si>
  <si>
    <t>CT-WK55 (196)</t>
  </si>
  <si>
    <t>CU-01 (967)</t>
  </si>
  <si>
    <t>CU-03 (969)</t>
  </si>
  <si>
    <t>CU-04 (970)</t>
  </si>
  <si>
    <t>CU-05 (971)</t>
  </si>
  <si>
    <t>CU-06 (2)</t>
  </si>
  <si>
    <t>CU-06(2)</t>
  </si>
  <si>
    <t>CU-06 (2) (972)</t>
  </si>
  <si>
    <t>CU-07 (973)</t>
  </si>
  <si>
    <t>CU-08 (974)</t>
  </si>
  <si>
    <t>CU-09 (975)</t>
  </si>
  <si>
    <t>CU-10 (2)</t>
  </si>
  <si>
    <t>CU-10(2)</t>
  </si>
  <si>
    <t>CU-10 (2) (976)</t>
  </si>
  <si>
    <t>CU-11 (977)</t>
  </si>
  <si>
    <t>CU-11</t>
  </si>
  <si>
    <t>CU-12 (978)</t>
  </si>
  <si>
    <t>CU-13 (979)</t>
  </si>
  <si>
    <t>CU-14 (980)</t>
  </si>
  <si>
    <t>CU-15 (981)</t>
  </si>
  <si>
    <t>CU-16 (2) (982)</t>
  </si>
  <si>
    <t>CU-16 (982)</t>
  </si>
  <si>
    <t>CU-18 (2) (984)</t>
  </si>
  <si>
    <t>CU-18(2)</t>
  </si>
  <si>
    <t>CU-18 (984)</t>
  </si>
  <si>
    <t>CU-19 (2)</t>
  </si>
  <si>
    <t>CU-19 (2) (985)</t>
  </si>
  <si>
    <t>CU-19 (985)</t>
  </si>
  <si>
    <t>CU-21 (987)</t>
  </si>
  <si>
    <t>CU-22 (988)</t>
  </si>
  <si>
    <t>CU-23 (989)</t>
  </si>
  <si>
    <t>CU-24 (990)</t>
  </si>
  <si>
    <t>CU-25 (991)</t>
  </si>
  <si>
    <t>CU-26 (2) (992)</t>
  </si>
  <si>
    <t>CU-26(2)</t>
  </si>
  <si>
    <t>CU-27 (993)</t>
  </si>
  <si>
    <t>CU-28 (994)</t>
  </si>
  <si>
    <t>CU-29 (995)</t>
  </si>
  <si>
    <t>CU-30 (996)</t>
  </si>
  <si>
    <t>D11-8044-VZ6</t>
  </si>
  <si>
    <t>D12-8046-PF-220</t>
  </si>
  <si>
    <t>D12-8047-FAB-243</t>
  </si>
  <si>
    <t>D1-8003-PFI-10</t>
  </si>
  <si>
    <t>D1-8003-PFI-32</t>
  </si>
  <si>
    <t>D1-8006-PFI-20</t>
  </si>
  <si>
    <t>D1-8006-PFI-21B</t>
  </si>
  <si>
    <t>D1-8008-PFI-06</t>
  </si>
  <si>
    <t>D1-8008-PFI-20B</t>
  </si>
  <si>
    <t>D1-8010-PFI-07</t>
  </si>
  <si>
    <t>D1-8011-FAB-14</t>
  </si>
  <si>
    <t>D1-8011-VZ8</t>
  </si>
  <si>
    <t>D1-8013-V8</t>
  </si>
  <si>
    <t>D1-8016-PFI-22B</t>
  </si>
  <si>
    <t>D21-8081-PFR-10</t>
  </si>
  <si>
    <t>D8-8029-FAB-08</t>
  </si>
  <si>
    <t>ED-Z4GM-N60R</t>
  </si>
  <si>
    <t>EH-01 (198)</t>
  </si>
  <si>
    <t>EH-02 (199)</t>
  </si>
  <si>
    <t>EH-03 (915)</t>
  </si>
  <si>
    <t>EH-03 (915..)</t>
  </si>
  <si>
    <t>EH-03-LS</t>
  </si>
  <si>
    <t>EPX-01B</t>
  </si>
  <si>
    <t>EPX-01B (2) (200)</t>
  </si>
  <si>
    <t>EPX-01B(2)</t>
  </si>
  <si>
    <t>EPX-01B (200)</t>
  </si>
  <si>
    <t>EPX-01L (2) (200)</t>
  </si>
  <si>
    <t>EPX-01L(2)</t>
  </si>
  <si>
    <t>EPX-01L (200)</t>
  </si>
  <si>
    <t>EPX-01T</t>
  </si>
  <si>
    <t>EPX-01T (2) (200)</t>
  </si>
  <si>
    <t>EPX-01T(2)</t>
  </si>
  <si>
    <t>EPX-01T (200)</t>
  </si>
  <si>
    <t>FAB-02 (202)</t>
  </si>
  <si>
    <t>FAB-03 (203)</t>
  </si>
  <si>
    <t>FAB-04 (204)</t>
  </si>
  <si>
    <t>FAB-05 (205)</t>
  </si>
  <si>
    <t>FAB-06 (206)</t>
  </si>
  <si>
    <t>FAB-06 (SA)</t>
  </si>
  <si>
    <t>FAB-06 (TH)</t>
  </si>
  <si>
    <t>FAB-06 (TH)-FAB-344 (SA)</t>
  </si>
  <si>
    <t>FAB-06..</t>
  </si>
  <si>
    <t>FAB-06-LS</t>
  </si>
  <si>
    <t>FAB-07 (207)</t>
  </si>
  <si>
    <t>FAB-08 (946)</t>
  </si>
  <si>
    <t>FAB-08 (946..)</t>
  </si>
  <si>
    <t>FAB-08 (TS)</t>
  </si>
  <si>
    <t>FAB-08B..</t>
  </si>
  <si>
    <t>FAB-09 (949)</t>
  </si>
  <si>
    <t>FAB-09 (949..)</t>
  </si>
  <si>
    <t>FAB-09B (SA)</t>
  </si>
  <si>
    <t>FAB-09B..</t>
  </si>
  <si>
    <t>FAB-10 (903)</t>
  </si>
  <si>
    <t>FAB-10 (SA)</t>
  </si>
  <si>
    <t>FAB-10..</t>
  </si>
  <si>
    <t>FAB-100 (1150)</t>
  </si>
  <si>
    <t>FAB-100-LS</t>
  </si>
  <si>
    <t>FAB-101 (1151)</t>
  </si>
  <si>
    <t>FAB-102 (1152)</t>
  </si>
  <si>
    <t>FAB-102..</t>
  </si>
  <si>
    <t>FAB-102-LS</t>
  </si>
  <si>
    <t>FAB-103 (1153)</t>
  </si>
  <si>
    <t>FAB-103-LS</t>
  </si>
  <si>
    <t>FAB-104 (1154)</t>
  </si>
  <si>
    <t>FAB-105 (1155)</t>
  </si>
  <si>
    <t>FAB-106 (1156)</t>
  </si>
  <si>
    <t>FAB-107 (1157)</t>
  </si>
  <si>
    <t>FAB-108 (1158)</t>
  </si>
  <si>
    <t>FAB-108-LS</t>
  </si>
  <si>
    <t>FAB-109 (1159)</t>
  </si>
  <si>
    <t>FAB-109-LS</t>
  </si>
  <si>
    <t>FAB-10-LS</t>
  </si>
  <si>
    <t>FAB-11 (904)</t>
  </si>
  <si>
    <t>FAB-11 (SA)</t>
  </si>
  <si>
    <t>FAB-11..</t>
  </si>
  <si>
    <t>FAB-110 (1160)</t>
  </si>
  <si>
    <t>FAB-110-LS</t>
  </si>
  <si>
    <t>FAB-111 (1161)</t>
  </si>
  <si>
    <t>FAB-111-LS</t>
  </si>
  <si>
    <t>FAB-112 (1162)</t>
  </si>
  <si>
    <t>FAB-112-LS</t>
  </si>
  <si>
    <t>FAB-113 (1163)</t>
  </si>
  <si>
    <t>FAB-113-LS</t>
  </si>
  <si>
    <t>FAB-114 (1164)</t>
  </si>
  <si>
    <t>FAB-114-LS</t>
  </si>
  <si>
    <t>FAB-115 (1165)</t>
  </si>
  <si>
    <t>FAB-116 (1166)</t>
  </si>
  <si>
    <t>FAB-117 (1122)</t>
  </si>
  <si>
    <t>FAB-117 (SA)</t>
  </si>
  <si>
    <t>FAB-117..</t>
  </si>
  <si>
    <t>FAB-117-LS</t>
  </si>
  <si>
    <t>FAB-118 (1123)</t>
  </si>
  <si>
    <t>FAB-119 (1124)</t>
  </si>
  <si>
    <t>FAB-11-LS</t>
  </si>
  <si>
    <t>FAB-12 (905)</t>
  </si>
  <si>
    <t>FAB-12..</t>
  </si>
  <si>
    <t>FAB-120 (1125)</t>
  </si>
  <si>
    <t>FAB-121 (1126)</t>
  </si>
  <si>
    <t>FAB-122 (1127)</t>
  </si>
  <si>
    <t>FAB-123 (1128)</t>
  </si>
  <si>
    <t>FAB-124 (1129)</t>
  </si>
  <si>
    <t>FAB-125 (1130)</t>
  </si>
  <si>
    <t>FAB-126 (1131)</t>
  </si>
  <si>
    <t>FAB-127 (1132)</t>
  </si>
  <si>
    <t>FAB-128 (1168)</t>
  </si>
  <si>
    <t>FAB-129 (1169)</t>
  </si>
  <si>
    <t>FAB-12-LS</t>
  </si>
  <si>
    <t>FAB-13 (906)</t>
  </si>
  <si>
    <t>FAB-13 (906) (TC)</t>
  </si>
  <si>
    <t>FAB-13 (TC)</t>
  </si>
  <si>
    <t>FAB-13..</t>
  </si>
  <si>
    <t>FAB-130 (1170)</t>
  </si>
  <si>
    <t>FAB-131 (1171)</t>
  </si>
  <si>
    <t>FAB-13-13B</t>
  </si>
  <si>
    <t>FAB-132 (1172)</t>
  </si>
  <si>
    <t>FAB-133 (1173)</t>
  </si>
  <si>
    <t>FAB-134 (1174)</t>
  </si>
  <si>
    <t>FAB-135 (1175)</t>
  </si>
  <si>
    <t>FAB-136 (1176)</t>
  </si>
  <si>
    <t>FAB-137 (1177)</t>
  </si>
  <si>
    <t>FAB-138 (1178)</t>
  </si>
  <si>
    <t>FAB-139 (1179)</t>
  </si>
  <si>
    <t>FAB-13B..</t>
  </si>
  <si>
    <t>FAB-13-FAB-13B</t>
  </si>
  <si>
    <t>FAB-13-LS</t>
  </si>
  <si>
    <t>FAB-14 (908)</t>
  </si>
  <si>
    <t>FAB-14 (SA)</t>
  </si>
  <si>
    <t>FAB-140 (1180)</t>
  </si>
  <si>
    <t>FAB-142 (1182)</t>
  </si>
  <si>
    <t>FAB-143 (1260)</t>
  </si>
  <si>
    <t>FAB-143 (1260)-LS</t>
  </si>
  <si>
    <t>FAB-143 (HA)</t>
  </si>
  <si>
    <t>FAB-143 (TH)</t>
  </si>
  <si>
    <t>FAB-144 (1261)</t>
  </si>
  <si>
    <t>FAB-145 (1332)</t>
  </si>
  <si>
    <t>FAB-146 (1333)</t>
  </si>
  <si>
    <t>FAB-147 (1334)</t>
  </si>
  <si>
    <t>FAB-148 (1335)</t>
  </si>
  <si>
    <t>FAB-149 (158)</t>
  </si>
  <si>
    <t>FAB-149-LS</t>
  </si>
  <si>
    <t>FAB-14-LS</t>
  </si>
  <si>
    <t>FAB-15 (909)</t>
  </si>
  <si>
    <t>FAB-15..</t>
  </si>
  <si>
    <t>FAB-150 (1279)</t>
  </si>
  <si>
    <t>FAB-150 (1279)-LS</t>
  </si>
  <si>
    <t>FAB-150 1279</t>
  </si>
  <si>
    <t>FAB-151 (1280)</t>
  </si>
  <si>
    <t>FAB-151 (1280)-LS</t>
  </si>
  <si>
    <t>FAB-152 (1278)</t>
  </si>
  <si>
    <t>FAB-152 (1278)-LS</t>
  </si>
  <si>
    <t>FAB-153 (1277)</t>
  </si>
  <si>
    <t>FAB-153 1277</t>
  </si>
  <si>
    <t>FAB-154 (1281)</t>
  </si>
  <si>
    <t>FAB-154 1281</t>
  </si>
  <si>
    <t>FAB-155 (1288)</t>
  </si>
  <si>
    <t>FAB-155 (1426)</t>
  </si>
  <si>
    <t>FAB-155 (1426..)</t>
  </si>
  <si>
    <t>FAB-155-LS</t>
  </si>
  <si>
    <t>FAB-156 (1310)</t>
  </si>
  <si>
    <t>FAB-156-LS</t>
  </si>
  <si>
    <t>FAB-157 (1311)</t>
  </si>
  <si>
    <t>FAB-158 (1312)</t>
  </si>
  <si>
    <t>FAB-159 (1313)</t>
  </si>
  <si>
    <t>FAB-159-LS</t>
  </si>
  <si>
    <t>FAB-16 (938)</t>
  </si>
  <si>
    <t>FAB-160 (1314)</t>
  </si>
  <si>
    <t>FAB-160 (HA)</t>
  </si>
  <si>
    <t>FAB-160(1)</t>
  </si>
  <si>
    <t>FAB-160-161</t>
  </si>
  <si>
    <t>FAB-160-LS</t>
  </si>
  <si>
    <t>FAB-161 (1315)</t>
  </si>
  <si>
    <t>FAB-161 (1315)-LS</t>
  </si>
  <si>
    <t>FAB-161 (HA)</t>
  </si>
  <si>
    <t>FAB-161(1)</t>
  </si>
  <si>
    <t>FAB-161..</t>
  </si>
  <si>
    <t>FAB-162 (1336)</t>
  </si>
  <si>
    <t>FAB-162-170-181-182</t>
  </si>
  <si>
    <t>FAB-163 (1337)</t>
  </si>
  <si>
    <t>FAB-164 (1338)</t>
  </si>
  <si>
    <t>FAB-164-LS</t>
  </si>
  <si>
    <t>FAB-165 (1339)</t>
  </si>
  <si>
    <t>FAB-165-LS</t>
  </si>
  <si>
    <t>FAB-166 (1340)</t>
  </si>
  <si>
    <t>FAB-166-LS</t>
  </si>
  <si>
    <t>FAB-167 (1341)</t>
  </si>
  <si>
    <t>FAB-167-LS</t>
  </si>
  <si>
    <t>FAB-168 (1342)</t>
  </si>
  <si>
    <t>FAB-168..</t>
  </si>
  <si>
    <t>FAB-168-LS</t>
  </si>
  <si>
    <t>FAB-169 (1343)</t>
  </si>
  <si>
    <t>FAB-169..</t>
  </si>
  <si>
    <t>FAB-169-LS</t>
  </si>
  <si>
    <t>FAB-17 (939)</t>
  </si>
  <si>
    <t>FAB-170 (1344)</t>
  </si>
  <si>
    <t>FAB-170..</t>
  </si>
  <si>
    <t>FAB-170-LS</t>
  </si>
  <si>
    <t>FAB-171 (1318)</t>
  </si>
  <si>
    <t>FAB-172 (1319)</t>
  </si>
  <si>
    <t>FAB-173 (1282)</t>
  </si>
  <si>
    <t>FAB-173 (1282)-LS</t>
  </si>
  <si>
    <t>FAB-173 1282</t>
  </si>
  <si>
    <t>FAB-174 (1283)</t>
  </si>
  <si>
    <t>FAB-174 1283</t>
  </si>
  <si>
    <t>FAB-175 - 179</t>
  </si>
  <si>
    <t>FAB-175 (1345)</t>
  </si>
  <si>
    <t>FAB-175 (1345)-LS</t>
  </si>
  <si>
    <t>FAB-176 (1346)</t>
  </si>
  <si>
    <t>FAB-176 (1346)-LS</t>
  </si>
  <si>
    <t>FAB-177 (1347)</t>
  </si>
  <si>
    <t>FAB-177 (1347)-LS</t>
  </si>
  <si>
    <t>FAB-178 (1348)</t>
  </si>
  <si>
    <t>FAB-179 (1349)</t>
  </si>
  <si>
    <t>FAB-179 (1349)-LS</t>
  </si>
  <si>
    <t>FAB-18 (940)</t>
  </si>
  <si>
    <t>FAB-180 (1316)</t>
  </si>
  <si>
    <t>FAB-180 (1316)-LS</t>
  </si>
  <si>
    <t>FAB-180 (TS)</t>
  </si>
  <si>
    <t>FAB-180-08B-09B</t>
  </si>
  <si>
    <t>FAB-181 (1350)</t>
  </si>
  <si>
    <t>FAB-181-LS</t>
  </si>
  <si>
    <t>FAB-182 (1351)</t>
  </si>
  <si>
    <t>FAB-182-LS</t>
  </si>
  <si>
    <t>FAB-183 (1352)</t>
  </si>
  <si>
    <t>FAB-184 (1317)</t>
  </si>
  <si>
    <t>FAB-185 (1353)</t>
  </si>
  <si>
    <t>FAB-186 (1354)</t>
  </si>
  <si>
    <t>FAB-187 (1355)</t>
  </si>
  <si>
    <t>FAB-188 (1356)</t>
  </si>
  <si>
    <t>FAB-189 (1357)</t>
  </si>
  <si>
    <t>FAB-19 (941)</t>
  </si>
  <si>
    <t>FAB-190 (1358)</t>
  </si>
  <si>
    <t>FAB-191 (1359)</t>
  </si>
  <si>
    <t>FAB-192 (1360)</t>
  </si>
  <si>
    <t>FAB-193 (1361)</t>
  </si>
  <si>
    <t>FAB-194 (1362)</t>
  </si>
  <si>
    <t>FAB-194-200</t>
  </si>
  <si>
    <t>FAB-195 (1363)</t>
  </si>
  <si>
    <t>FAB-196..</t>
  </si>
  <si>
    <t>FAB-197 (1365)</t>
  </si>
  <si>
    <t>FAB-198 (1366)</t>
  </si>
  <si>
    <t>FAB-199 (1367)</t>
  </si>
  <si>
    <t>FAB-20 (942)</t>
  </si>
  <si>
    <t>FAB-200 (1368)</t>
  </si>
  <si>
    <t>FAB-201 (1369)</t>
  </si>
  <si>
    <t>FAB-202 (1370)</t>
  </si>
  <si>
    <t>FAB-203 (1430)</t>
  </si>
  <si>
    <t>FAB-204 (1372)</t>
  </si>
  <si>
    <t>FAB-205 (1373)</t>
  </si>
  <si>
    <t>FAB-206 (1374)</t>
  </si>
  <si>
    <t>FAB-207 (1375)</t>
  </si>
  <si>
    <t>FAB-208 (1376)</t>
  </si>
  <si>
    <t>FAB-209 (1377)</t>
  </si>
  <si>
    <t>FAB-21 (943)</t>
  </si>
  <si>
    <t>FAB-210 (1378)</t>
  </si>
  <si>
    <t>FAB-211 (1379)</t>
  </si>
  <si>
    <t>FAB-212 (1380)</t>
  </si>
  <si>
    <t>FAB-212..</t>
  </si>
  <si>
    <t>FAB-214 (1382)</t>
  </si>
  <si>
    <t>FAB-215 (1383)</t>
  </si>
  <si>
    <t>FAB-215..</t>
  </si>
  <si>
    <t>FAB-215-LS</t>
  </si>
  <si>
    <t>FAB-216 (HA)</t>
  </si>
  <si>
    <t>FAB-216 (TH)</t>
  </si>
  <si>
    <t>FAB-216..</t>
  </si>
  <si>
    <t>FAB-216-236-243</t>
  </si>
  <si>
    <t>FAB-217 (1385)</t>
  </si>
  <si>
    <t>FAB-217 (SA)</t>
  </si>
  <si>
    <t>FAB-217-LS</t>
  </si>
  <si>
    <t>FAB-218 (SA)</t>
  </si>
  <si>
    <t>FAB-218 (TH)</t>
  </si>
  <si>
    <t>FAB-218..</t>
  </si>
  <si>
    <t>FAB-218..-FAB-272 (SA)</t>
  </si>
  <si>
    <t>FAB-219 (HA)</t>
  </si>
  <si>
    <t>FAB-22 (944)</t>
  </si>
  <si>
    <t>FAB-221 (TH)</t>
  </si>
  <si>
    <t>FAB-223..</t>
  </si>
  <si>
    <t>FAB-224..</t>
  </si>
  <si>
    <t>FAB-226..</t>
  </si>
  <si>
    <t>FAB-227..</t>
  </si>
  <si>
    <t>FAB-228..</t>
  </si>
  <si>
    <t>FAB-231..</t>
  </si>
  <si>
    <t>FAB-232..</t>
  </si>
  <si>
    <t>FAB-233 (TH)</t>
  </si>
  <si>
    <t>FAB-233..</t>
  </si>
  <si>
    <t>FAB-236 (HA)</t>
  </si>
  <si>
    <t>FAB-236..</t>
  </si>
  <si>
    <t>FAB-237 (HA)</t>
  </si>
  <si>
    <t>FAB-237..</t>
  </si>
  <si>
    <t>FAB-238 (HA)</t>
  </si>
  <si>
    <t>FAB-238..</t>
  </si>
  <si>
    <t>FAB-239 (HA)</t>
  </si>
  <si>
    <t>FAB-239..</t>
  </si>
  <si>
    <t>FAB-240 (HA)</t>
  </si>
  <si>
    <t>FAB-240..</t>
  </si>
  <si>
    <t>FAB-241 (HA)</t>
  </si>
  <si>
    <t>FAB-241..</t>
  </si>
  <si>
    <t>FAB-242 (HA)</t>
  </si>
  <si>
    <t>FAB-242 (SA)</t>
  </si>
  <si>
    <t>FAB-242 (TH)</t>
  </si>
  <si>
    <t>FAB-242..</t>
  </si>
  <si>
    <t>FAB-243 (HA)</t>
  </si>
  <si>
    <t>FAB-243 (TH)</t>
  </si>
  <si>
    <t>FAB-244..</t>
  </si>
  <si>
    <t>FAB-245 (TH)</t>
  </si>
  <si>
    <t>FAB-245..</t>
  </si>
  <si>
    <t>FAB-245-117-244-246-247</t>
  </si>
  <si>
    <t>FAB-247..</t>
  </si>
  <si>
    <t>FAB-25 (918)</t>
  </si>
  <si>
    <t>FAB-251..</t>
  </si>
  <si>
    <t>FAB-252 (TH)</t>
  </si>
  <si>
    <t>FAB-252 (TH)-FAB-253 (TH)</t>
  </si>
  <si>
    <t>FAB-253 (HA)</t>
  </si>
  <si>
    <t>FAB-253 (TH)</t>
  </si>
  <si>
    <t>FAB-26 (2)</t>
  </si>
  <si>
    <t>FAB-26 (2) (919)</t>
  </si>
  <si>
    <t>FAB-26 (25)</t>
  </si>
  <si>
    <t>FAB-26 (25) (919)</t>
  </si>
  <si>
    <t>FAB-26 (5)</t>
  </si>
  <si>
    <t>FAB-26 (5) (919)</t>
  </si>
  <si>
    <t>FAB-26 (919)</t>
  </si>
  <si>
    <t>FAB-269 (TH)</t>
  </si>
  <si>
    <t>FAB-269..</t>
  </si>
  <si>
    <t>FAB-27 (2)</t>
  </si>
  <si>
    <t>FAB-27 (2) (920)</t>
  </si>
  <si>
    <t>FAB-27 (25)</t>
  </si>
  <si>
    <t>FAB-27 (25) (920)</t>
  </si>
  <si>
    <t>FAB-27 (5)</t>
  </si>
  <si>
    <t>FAB-27 (5) (920)</t>
  </si>
  <si>
    <t>FAB-27 (920)</t>
  </si>
  <si>
    <t>FAB-270..</t>
  </si>
  <si>
    <t>FAB-272 (SA)</t>
  </si>
  <si>
    <t>FAB-272..</t>
  </si>
  <si>
    <t>FAB-273 (TH)</t>
  </si>
  <si>
    <t>FAB-273..</t>
  </si>
  <si>
    <t>FAB-274 (SA)</t>
  </si>
  <si>
    <t>FAB-274 (TH)</t>
  </si>
  <si>
    <t>FAB-274..</t>
  </si>
  <si>
    <t>FAB-276-LS</t>
  </si>
  <si>
    <t>FAB-279..</t>
  </si>
  <si>
    <t>FAB-279-LS</t>
  </si>
  <si>
    <t>FAB-28 (921)</t>
  </si>
  <si>
    <t>FAB-280..</t>
  </si>
  <si>
    <t>FAB-281 (TH)</t>
  </si>
  <si>
    <t>FAB-281..</t>
  </si>
  <si>
    <t>FAB-282 (HA)</t>
  </si>
  <si>
    <t>FAB-282..</t>
  </si>
  <si>
    <t>FAB-284..</t>
  </si>
  <si>
    <t>FAB-285..</t>
  </si>
  <si>
    <t>FAB-288 (SA)</t>
  </si>
  <si>
    <t>FAB-288..</t>
  </si>
  <si>
    <t>FAB-288-LS</t>
  </si>
  <si>
    <t>FAB-289..</t>
  </si>
  <si>
    <t>FAB-29 (922)</t>
  </si>
  <si>
    <t>FAB-290..</t>
  </si>
  <si>
    <t>FAB-291-LS</t>
  </si>
  <si>
    <t>FAB-292..</t>
  </si>
  <si>
    <t>FAB-293 (TH)</t>
  </si>
  <si>
    <t>FAB-294..</t>
  </si>
  <si>
    <t>FAB-295..</t>
  </si>
  <si>
    <t>FAB-295.. (HA)</t>
  </si>
  <si>
    <t>FAB-297..</t>
  </si>
  <si>
    <t>FAB-297-LS</t>
  </si>
  <si>
    <t>FAB-298 (HA)</t>
  </si>
  <si>
    <t>FAB-298..</t>
  </si>
  <si>
    <t>FAB-299 (SA)</t>
  </si>
  <si>
    <t>FAB-299 (TH)</t>
  </si>
  <si>
    <t>FAB-299..</t>
  </si>
  <si>
    <t>FAB-30 (10)</t>
  </si>
  <si>
    <t>FAB-30 (10) (923)</t>
  </si>
  <si>
    <t>FAB-30 (2)</t>
  </si>
  <si>
    <t>FAB-30 (2) (923)</t>
  </si>
  <si>
    <t>FAB-30 (4)</t>
  </si>
  <si>
    <t>FAB-30 (4) (923)</t>
  </si>
  <si>
    <t>FAB-301..</t>
  </si>
  <si>
    <t>FAB-302..</t>
  </si>
  <si>
    <t>FAB-305-LS</t>
  </si>
  <si>
    <t>FAB-307-LS</t>
  </si>
  <si>
    <t>FAB-308.</t>
  </si>
  <si>
    <t>FAB-308..</t>
  </si>
  <si>
    <t>FAB-31 (10)</t>
  </si>
  <si>
    <t>FAB-31 (10) (924)</t>
  </si>
  <si>
    <t>FAB-31 (2)</t>
  </si>
  <si>
    <t>FAB-31 (2) (924)</t>
  </si>
  <si>
    <t>FAB-31 (4)</t>
  </si>
  <si>
    <t>FAB-31 (4) (924)</t>
  </si>
  <si>
    <t>FAB-31 (924)</t>
  </si>
  <si>
    <t>FAB-310 (TH)</t>
  </si>
  <si>
    <t>FAB-310..</t>
  </si>
  <si>
    <t>FAB-312..</t>
  </si>
  <si>
    <t>FAB-314 (PART-1)</t>
  </si>
  <si>
    <t>FAB-314(P1)</t>
  </si>
  <si>
    <t>FAB-314 (PART-2)</t>
  </si>
  <si>
    <t>FAB-314(P2)</t>
  </si>
  <si>
    <t>FAB-315 (SA)</t>
  </si>
  <si>
    <t>FAB-315..</t>
  </si>
  <si>
    <t>FAB-315-LS</t>
  </si>
  <si>
    <t>FAB-317-LS</t>
  </si>
  <si>
    <t>FAB-318-LS</t>
  </si>
  <si>
    <t>FAB-319-LS</t>
  </si>
  <si>
    <t>FAB-32 (10)</t>
  </si>
  <si>
    <t>FAB-32 (10) (925)</t>
  </si>
  <si>
    <t>FAB-32 (2)</t>
  </si>
  <si>
    <t>FAB-32 (2) (925)</t>
  </si>
  <si>
    <t>FAB-32 (4)</t>
  </si>
  <si>
    <t>FAB-32 (4) (925)</t>
  </si>
  <si>
    <t>FAB-32 (925)</t>
  </si>
  <si>
    <t>FAB-328-LS</t>
  </si>
  <si>
    <t>FAB-329-LS</t>
  </si>
  <si>
    <t>FAB-33 (10) (926)</t>
  </si>
  <si>
    <t>FAB-33 (10) (926)-LS</t>
  </si>
  <si>
    <t>FAB-33 (2) (926)</t>
  </si>
  <si>
    <t>FAB-33(2)</t>
  </si>
  <si>
    <t>FAB-33 (2) (926)-LS</t>
  </si>
  <si>
    <t>FAB-33 (4) (926)</t>
  </si>
  <si>
    <t>FAB-33 (4) (926)-LS</t>
  </si>
  <si>
    <t>FAB-33 (926)</t>
  </si>
  <si>
    <t>FAB-333..</t>
  </si>
  <si>
    <t>FAB-333-LS</t>
  </si>
  <si>
    <t>FAB-334..</t>
  </si>
  <si>
    <t>FAB-334-LS</t>
  </si>
  <si>
    <t>FAB-335..</t>
  </si>
  <si>
    <t>FAB-336-LS</t>
  </si>
  <si>
    <t>FAB-338 (HA)</t>
  </si>
  <si>
    <t>FAB-338..</t>
  </si>
  <si>
    <t>FAB-339..</t>
  </si>
  <si>
    <t>FAB-33-LS</t>
  </si>
  <si>
    <t>FAB-34 (927)</t>
  </si>
  <si>
    <t>FAB-340 (TH)</t>
  </si>
  <si>
    <t>FAB-340(HA)</t>
  </si>
  <si>
    <t>FAB-340-LS</t>
  </si>
  <si>
    <t>FAB-341..</t>
  </si>
  <si>
    <t>FAB-342 (SA)</t>
  </si>
  <si>
    <t>FAB-342..</t>
  </si>
  <si>
    <t>FAB-342-LS</t>
  </si>
  <si>
    <t>FAB-343 (HA)</t>
  </si>
  <si>
    <t>FAB-343..</t>
  </si>
  <si>
    <t>FAB-344 (SA)</t>
  </si>
  <si>
    <t>FAB-344-LS</t>
  </si>
  <si>
    <t>FAB-345-LS</t>
  </si>
  <si>
    <t>FAB-347 (HA)</t>
  </si>
  <si>
    <t>FAB-347..</t>
  </si>
  <si>
    <t>FAB-347-LS</t>
  </si>
  <si>
    <t>FAB-35 (928)</t>
  </si>
  <si>
    <t>FAB-36 (929)</t>
  </si>
  <si>
    <t>FAB-37 (930)</t>
  </si>
  <si>
    <t>FAB-38 (931)</t>
  </si>
  <si>
    <t>FAB-39 (932)</t>
  </si>
  <si>
    <t>FAB-40 (933)</t>
  </si>
  <si>
    <t>FAB-41 (934)</t>
  </si>
  <si>
    <t>FAB-41..</t>
  </si>
  <si>
    <t>FAB-41-42-340</t>
  </si>
  <si>
    <t>FAB-41-LS</t>
  </si>
  <si>
    <t>FAB-42 (935)</t>
  </si>
  <si>
    <t>FAB-42..</t>
  </si>
  <si>
    <t>FAB-42-LS</t>
  </si>
  <si>
    <t>FAB-44 (914)</t>
  </si>
  <si>
    <t>FAB-44 (914..)</t>
  </si>
  <si>
    <t>FAB-44..</t>
  </si>
  <si>
    <t>FAB-44-LS</t>
  </si>
  <si>
    <t>FAB-45 (208)</t>
  </si>
  <si>
    <t>FAB-45..</t>
  </si>
  <si>
    <t>FAB-45-LS</t>
  </si>
  <si>
    <t>FAB-46 (209)</t>
  </si>
  <si>
    <t>FAB-47 (210)</t>
  </si>
  <si>
    <t>FAB-48 (1025)</t>
  </si>
  <si>
    <t>FAB-49 (1026)</t>
  </si>
  <si>
    <t>FAB-49 (SA)</t>
  </si>
  <si>
    <t>FAB-49..</t>
  </si>
  <si>
    <t>FAB-49..(TH)</t>
  </si>
  <si>
    <t>FAB-50 (1027)</t>
  </si>
  <si>
    <t>FAB-51 (211)</t>
  </si>
  <si>
    <t>FAB-51 (211..)</t>
  </si>
  <si>
    <t>FAB-51-LS</t>
  </si>
  <si>
    <t>FAB-52 (212)</t>
  </si>
  <si>
    <t>FAB-52-LS</t>
  </si>
  <si>
    <t>FAB-53 (947)</t>
  </si>
  <si>
    <t>FAB-54 (948)</t>
  </si>
  <si>
    <t>FAB-54..</t>
  </si>
  <si>
    <t>FAB-54-LS</t>
  </si>
  <si>
    <t>FAB-55 (960)</t>
  </si>
  <si>
    <t>FAB-55 (960) (TH)</t>
  </si>
  <si>
    <t>FAB-55 (960..)</t>
  </si>
  <si>
    <t>FAB-55 (SA)</t>
  </si>
  <si>
    <t>FAB-55 (TH)</t>
  </si>
  <si>
    <t>FAB-55-LS</t>
  </si>
  <si>
    <t>FAB-56 (1032)</t>
  </si>
  <si>
    <t>FAB-59 (1035)</t>
  </si>
  <si>
    <t>FAB-60 (1036)</t>
  </si>
  <si>
    <t>FAB-61 (1037)</t>
  </si>
  <si>
    <t>FAB-63 (1039)</t>
  </si>
  <si>
    <t>FAB-64 (1040)</t>
  </si>
  <si>
    <t>FAB-66 (1042)</t>
  </si>
  <si>
    <t>FAB-66</t>
  </si>
  <si>
    <t>FAB-67 (1043)</t>
  </si>
  <si>
    <t>FAB-67 (SA)</t>
  </si>
  <si>
    <t>FAB-68 (1044)</t>
  </si>
  <si>
    <t>FAB-69 (1045)</t>
  </si>
  <si>
    <t>FAB-70 (1046)</t>
  </si>
  <si>
    <t>FAB-71 (1047)</t>
  </si>
  <si>
    <t>FAB-71 (SA)</t>
  </si>
  <si>
    <t>FAB-72 (1048)</t>
  </si>
  <si>
    <t>FAB-73 (1049)</t>
  </si>
  <si>
    <t>FAB-74 (1050)</t>
  </si>
  <si>
    <t>FAB-75 (1051)</t>
  </si>
  <si>
    <t>FAB-76 (1052)</t>
  </si>
  <si>
    <t>FAB-77 (1053)</t>
  </si>
  <si>
    <t>FAB-78 (SA)</t>
  </si>
  <si>
    <t>FAB-79 (1055)</t>
  </si>
  <si>
    <t>FAB-80 (1056)</t>
  </si>
  <si>
    <t>FAB-81 (1057)</t>
  </si>
  <si>
    <t>FAB-82 (1058)</t>
  </si>
  <si>
    <t>FAB-83 (1133)</t>
  </si>
  <si>
    <t>FAB-83-LS</t>
  </si>
  <si>
    <t>FAB-84 (1134)</t>
  </si>
  <si>
    <t>FAB-84-LS</t>
  </si>
  <si>
    <t>FAB-85 (1135)</t>
  </si>
  <si>
    <t>FAB-86 (1136)</t>
  </si>
  <si>
    <t>FAB-87 (1137)</t>
  </si>
  <si>
    <t>FAB-87..</t>
  </si>
  <si>
    <t>FAB-88 (1138)</t>
  </si>
  <si>
    <t>FAB-89 (1139)</t>
  </si>
  <si>
    <t>FAB-90 (1140)</t>
  </si>
  <si>
    <t>FAB-91 (1141)</t>
  </si>
  <si>
    <t>FAB-92 (1142)</t>
  </si>
  <si>
    <t>FAB-93 (1143)</t>
  </si>
  <si>
    <t>FAB-94 (1144)</t>
  </si>
  <si>
    <t>FAB-95 (1145)</t>
  </si>
  <si>
    <t>FAB-95-LS</t>
  </si>
  <si>
    <t>FAB-96 (1146)</t>
  </si>
  <si>
    <t>FAB-97 (1147)</t>
  </si>
  <si>
    <t>FAB-98 (1148)</t>
  </si>
  <si>
    <t>FAB-99 (1149)</t>
  </si>
  <si>
    <t>FA-VH7R-R5HC</t>
  </si>
  <si>
    <t>FB-0105 (265)</t>
  </si>
  <si>
    <t>FB-0112 (266)</t>
  </si>
  <si>
    <t>FB-0112</t>
  </si>
  <si>
    <t>FB-0206 (214)</t>
  </si>
  <si>
    <t>FB-0302 (215)</t>
  </si>
  <si>
    <t>FB-0302-LS</t>
  </si>
  <si>
    <t>FB-0303 (216)</t>
  </si>
  <si>
    <t>FB-0402 (217)</t>
  </si>
  <si>
    <t>FB-0506 (218)</t>
  </si>
  <si>
    <t>FB-11 (219)</t>
  </si>
  <si>
    <t>FB-11X (220)</t>
  </si>
  <si>
    <t>FB-B925F (221)</t>
  </si>
  <si>
    <t>FB-BS9 (222)</t>
  </si>
  <si>
    <t>FLA04</t>
  </si>
  <si>
    <t>FL-A04</t>
  </si>
  <si>
    <t>FLB03</t>
  </si>
  <si>
    <t>FL-B03</t>
  </si>
  <si>
    <t>FLB05</t>
  </si>
  <si>
    <t>FL-B05</t>
  </si>
  <si>
    <t>FLB06</t>
  </si>
  <si>
    <t>FL-B06</t>
  </si>
  <si>
    <t>FLB07</t>
  </si>
  <si>
    <t>FP04</t>
  </si>
  <si>
    <t>FP-04</t>
  </si>
  <si>
    <t>FP-17</t>
  </si>
  <si>
    <t>FP29</t>
  </si>
  <si>
    <t>FP30</t>
  </si>
  <si>
    <t>FP31</t>
  </si>
  <si>
    <t>FP-31</t>
  </si>
  <si>
    <t>FP32</t>
  </si>
  <si>
    <t>FP-32</t>
  </si>
  <si>
    <t>FP-39 (295)</t>
  </si>
  <si>
    <t>FP-39-LS</t>
  </si>
  <si>
    <t>FP42</t>
  </si>
  <si>
    <t>FP-42</t>
  </si>
  <si>
    <t>FP-48 (293)</t>
  </si>
  <si>
    <t>FP-54</t>
  </si>
  <si>
    <t>FP-61 (2)</t>
  </si>
  <si>
    <t>FP-61 (2) (294)</t>
  </si>
  <si>
    <t>FP-61 (2) (294) (TC)</t>
  </si>
  <si>
    <t>FP-61 (2) (294)-LS</t>
  </si>
  <si>
    <t>FP-61 (2) (TC)</t>
  </si>
  <si>
    <t>FP-61 (294)</t>
  </si>
  <si>
    <t>FP-61 (294) (TC)</t>
  </si>
  <si>
    <t>FP-61 (TC)</t>
  </si>
  <si>
    <t>FP-62</t>
  </si>
  <si>
    <t>FP63</t>
  </si>
  <si>
    <t>FP-63</t>
  </si>
  <si>
    <t>FP-64 (2)</t>
  </si>
  <si>
    <t>FP-64 (2) (296)-LS</t>
  </si>
  <si>
    <t>FP-64 (296)</t>
  </si>
  <si>
    <t>FP-64 (296) (TC)</t>
  </si>
  <si>
    <t>FP-64 (296)-LS</t>
  </si>
  <si>
    <t>FP-64 (3)</t>
  </si>
  <si>
    <t>FP-64 (3) (296)</t>
  </si>
  <si>
    <t>FP-64 (3) (296)-LS</t>
  </si>
  <si>
    <t>FP-64 (TC)</t>
  </si>
  <si>
    <t>FP-64..</t>
  </si>
  <si>
    <t>FP65</t>
  </si>
  <si>
    <t>FP-65</t>
  </si>
  <si>
    <t>FP66</t>
  </si>
  <si>
    <t>FP-68 (2)</t>
  </si>
  <si>
    <t>FP-68 (2) (298)</t>
  </si>
  <si>
    <t>FP-68 (2) (298)-LS</t>
  </si>
  <si>
    <t>FP-68 (298)</t>
  </si>
  <si>
    <t>FP-68 (298)-LS</t>
  </si>
  <si>
    <t>FP-68 (298..)</t>
  </si>
  <si>
    <t>FP-68 (3)</t>
  </si>
  <si>
    <t>FP-68 (3) (298)</t>
  </si>
  <si>
    <t>FP-68 (3) (298) (TC)</t>
  </si>
  <si>
    <t>FP-68 (3) (298)-LS</t>
  </si>
  <si>
    <t>FP-68 (3) (TC)</t>
  </si>
  <si>
    <t>FP-681P (298..)</t>
  </si>
  <si>
    <t>FP-69 (2)</t>
  </si>
  <si>
    <t>FP-69 (2) (299)</t>
  </si>
  <si>
    <t>FP-69 (299)</t>
  </si>
  <si>
    <t>FP-69 (3)</t>
  </si>
  <si>
    <t>FP-69 (3) (299)</t>
  </si>
  <si>
    <t>FP-70 (300)</t>
  </si>
  <si>
    <t>FP-70 (300)-LS</t>
  </si>
  <si>
    <t>FP-71 (301)</t>
  </si>
  <si>
    <t>FP-71 (301) (TC)</t>
  </si>
  <si>
    <t>FP-71 (301)-LS</t>
  </si>
  <si>
    <t>FP-71 (TC)</t>
  </si>
  <si>
    <t>FP-71..</t>
  </si>
  <si>
    <t>FP-72 (302)</t>
  </si>
  <si>
    <t>FP-72 (302)-LS</t>
  </si>
  <si>
    <t>FP-73 (303)</t>
  </si>
  <si>
    <t>FP-73 (303)-LS</t>
  </si>
  <si>
    <t>FPB-01 (304)</t>
  </si>
  <si>
    <t>FPB-01-LS</t>
  </si>
  <si>
    <t>FPB-02 (305)</t>
  </si>
  <si>
    <t>FPB-02-LS</t>
  </si>
  <si>
    <t>FPB-03 (306)</t>
  </si>
  <si>
    <t>FPB-03-LS</t>
  </si>
  <si>
    <t>FS-1G (308)</t>
  </si>
  <si>
    <t>FS-1Q (307)</t>
  </si>
  <si>
    <t>FV-5JR4-8OZY</t>
  </si>
  <si>
    <t>FW20</t>
  </si>
  <si>
    <t>FW-20</t>
  </si>
  <si>
    <t>GEN-CN01 (1183)</t>
  </si>
  <si>
    <t>GEN-CN01 (SA)</t>
  </si>
  <si>
    <t>GEN-CN01..</t>
  </si>
  <si>
    <t>GEN-CN01-04</t>
  </si>
  <si>
    <t>GEN-CN01-LS</t>
  </si>
  <si>
    <t>GEN-CN02 (1184)</t>
  </si>
  <si>
    <t>GEN-CN02 (SA)</t>
  </si>
  <si>
    <t>GEN-CN02-LS</t>
  </si>
  <si>
    <t>GEN-CN03 (1185)</t>
  </si>
  <si>
    <t>GEN-CN03 (SA)</t>
  </si>
  <si>
    <t>GEN-CN03-LS</t>
  </si>
  <si>
    <t>GEN-CN04 (1186)</t>
  </si>
  <si>
    <t>GEN-CN04 (SA)</t>
  </si>
  <si>
    <t>GEN-CN05 (1187)</t>
  </si>
  <si>
    <t>GEN-CN05 (SA)</t>
  </si>
  <si>
    <t>GEN-CN05..</t>
  </si>
  <si>
    <t>GEN-CN05-LS</t>
  </si>
  <si>
    <t>GEN-CN06 (1188)</t>
  </si>
  <si>
    <t>GEN-CN06 (SA)</t>
  </si>
  <si>
    <t>GEN-CN06..</t>
  </si>
  <si>
    <t>GEN-CN06-LS</t>
  </si>
  <si>
    <t>GEN-CN07 (1189)</t>
  </si>
  <si>
    <t>GEN-CN07 (SA)</t>
  </si>
  <si>
    <t>GEN-CN07..</t>
  </si>
  <si>
    <t>GEN-CN07-LS</t>
  </si>
  <si>
    <t>GEN-CN08 (1190)</t>
  </si>
  <si>
    <t>GEN-CN08 (SA)</t>
  </si>
  <si>
    <t>GEN-CN08-LS</t>
  </si>
  <si>
    <t>GEN-HH01 (251)</t>
  </si>
  <si>
    <t>GEN-HH01-04-05</t>
  </si>
  <si>
    <t>GEN-HH01-LS</t>
  </si>
  <si>
    <t>GEN-HH02 (252)</t>
  </si>
  <si>
    <t>GEN-HH03 (1276)</t>
  </si>
  <si>
    <t>GEN-HH04 (1409)</t>
  </si>
  <si>
    <t>GEN-HH04-LS</t>
  </si>
  <si>
    <t>GEN-HH05 (1410)</t>
  </si>
  <si>
    <t>GEN-HH05-LS</t>
  </si>
  <si>
    <t>GEN-NS01 (159)</t>
  </si>
  <si>
    <t>GEN-NS01 159</t>
  </si>
  <si>
    <t>GEN-NS02 (160)</t>
  </si>
  <si>
    <t>GEN-NS02 160</t>
  </si>
  <si>
    <t>GEN-NS03 (162)</t>
  </si>
  <si>
    <t>GEN-NS03 162</t>
  </si>
  <si>
    <t>GEN-NS04 (163)</t>
  </si>
  <si>
    <t>GEN-NS04 163</t>
  </si>
  <si>
    <t>GEN-NS05 (166)</t>
  </si>
  <si>
    <t>GEN-NS05 166</t>
  </si>
  <si>
    <t>GEN-NS06 (167)</t>
  </si>
  <si>
    <t>GEN-NS06 167</t>
  </si>
  <si>
    <t>GEN-NS07 (170)</t>
  </si>
  <si>
    <t>GEN-NS07 170</t>
  </si>
  <si>
    <t>GEN-NS08 (453)</t>
  </si>
  <si>
    <t>GEN-NS08 453</t>
  </si>
  <si>
    <t>GEN-NS09 (454)</t>
  </si>
  <si>
    <t>GEN-NS09 454</t>
  </si>
  <si>
    <t>GEN-NS10 (457)</t>
  </si>
  <si>
    <t>GEN-NS10 457</t>
  </si>
  <si>
    <t>GEN-NS11 (511)</t>
  </si>
  <si>
    <t>GEN-NS11 511</t>
  </si>
  <si>
    <t>GEN-NS12 (512)</t>
  </si>
  <si>
    <t>GEN-NS12 512</t>
  </si>
  <si>
    <t>GEN-NS13 (513)</t>
  </si>
  <si>
    <t>GEN-NS13 513</t>
  </si>
  <si>
    <t>GEN-NS14 (514)</t>
  </si>
  <si>
    <t>GEN-NS14 514</t>
  </si>
  <si>
    <t>GEN-PC03 (504)</t>
  </si>
  <si>
    <t>GEN-PC04 (539)</t>
  </si>
  <si>
    <t>GEN-PC04 539</t>
  </si>
  <si>
    <t>GEN-PC05 (554)</t>
  </si>
  <si>
    <t>GEN-PC06 (1286)</t>
  </si>
  <si>
    <t>GEN-PC07 (1287)</t>
  </si>
  <si>
    <t>GEN-PC08 (1288)</t>
  </si>
  <si>
    <t>GEN-SB01 (249)</t>
  </si>
  <si>
    <t>GEN-SB01..</t>
  </si>
  <si>
    <t>GEN-SB01-LS</t>
  </si>
  <si>
    <t>GEN-SB02 (250)</t>
  </si>
  <si>
    <t>GEN-SB02..</t>
  </si>
  <si>
    <t>GEN-SB02-04</t>
  </si>
  <si>
    <t>GEN-SB02-LS</t>
  </si>
  <si>
    <t>GEN-SB02-SB04</t>
  </si>
  <si>
    <t>GEN-SB03 (1266)</t>
  </si>
  <si>
    <t>GEN-SB03..</t>
  </si>
  <si>
    <t>GEN-SB03-LS</t>
  </si>
  <si>
    <t>GEN-SB04 (1267)</t>
  </si>
  <si>
    <t>GEN-SB04-LS</t>
  </si>
  <si>
    <t>GEN-SE01 (253)</t>
  </si>
  <si>
    <t>GEN-SP01 (1097)</t>
  </si>
  <si>
    <t>GEN-SP01-LS</t>
  </si>
  <si>
    <t>GEN-SP02 (1098)</t>
  </si>
  <si>
    <t>GEN-SP02-04</t>
  </si>
  <si>
    <t>GEN-SP02-LS</t>
  </si>
  <si>
    <t>GEN-SP03 (1099)</t>
  </si>
  <si>
    <t>GEN-SP03-LS</t>
  </si>
  <si>
    <t>GEN-SP04 (1100)</t>
  </si>
  <si>
    <t>GEN-SP04-LS</t>
  </si>
  <si>
    <t>GEN-SP05 (1101)</t>
  </si>
  <si>
    <t>GEN-SP05-LS</t>
  </si>
  <si>
    <t>GEN-SW</t>
  </si>
  <si>
    <t>GEN-SW01 (1075)</t>
  </si>
  <si>
    <t>GEN-SW02 (1076)</t>
  </si>
  <si>
    <t>GEN-SW03 (1077)</t>
  </si>
  <si>
    <t>GEN-SW04 (1078)</t>
  </si>
  <si>
    <t>GEN-SW05 (1079)</t>
  </si>
  <si>
    <t>GEN-SW06 (1080)</t>
  </si>
  <si>
    <t>GEN-SW07 (1081)</t>
  </si>
  <si>
    <t>GEN-SW08 (1082)</t>
  </si>
  <si>
    <t>GEN-SW09 (1083)</t>
  </si>
  <si>
    <t>GEN-SW10 (1084)</t>
  </si>
  <si>
    <t>GEN-SW11 (1085)</t>
  </si>
  <si>
    <t>GEN-SW12 (1086)</t>
  </si>
  <si>
    <t>GEN-SW13 (1087)</t>
  </si>
  <si>
    <t>GEN-SW14 (1088)</t>
  </si>
  <si>
    <t>GEN-SW15 (1089)</t>
  </si>
  <si>
    <t>GEN-SW16 (1090)</t>
  </si>
  <si>
    <t>GEN-SW17 (1091)</t>
  </si>
  <si>
    <t>GEN-SW18 (1092)</t>
  </si>
  <si>
    <t>GEN-SW19 (1268)</t>
  </si>
  <si>
    <t>GFR</t>
  </si>
  <si>
    <t>GIFT</t>
  </si>
  <si>
    <t>REP_GIFT</t>
  </si>
  <si>
    <t>GT-01 (126)</t>
  </si>
  <si>
    <t>GT-02 (240)</t>
  </si>
  <si>
    <t>GT-04 (128)</t>
  </si>
  <si>
    <t>GT06</t>
  </si>
  <si>
    <t>GT-06</t>
  </si>
  <si>
    <t>GT-08 (130) + GT-12 (132)</t>
  </si>
  <si>
    <t>GT-08+GT-12</t>
  </si>
  <si>
    <t>GT09</t>
  </si>
  <si>
    <t>GT-09</t>
  </si>
  <si>
    <t>GT10</t>
  </si>
  <si>
    <t>GT-10</t>
  </si>
  <si>
    <t>GT-11 (131) + GT-12 (132)</t>
  </si>
  <si>
    <t>GT-11+GT-12</t>
  </si>
  <si>
    <t>GT-12 (132)</t>
  </si>
  <si>
    <t>GT-13 (133)</t>
  </si>
  <si>
    <t>GT-14 (134)</t>
  </si>
  <si>
    <t>GT-15 (135)</t>
  </si>
  <si>
    <t>GT-16 (136)</t>
  </si>
  <si>
    <t>GT-17 (137)</t>
  </si>
  <si>
    <t>GT-18 (138)</t>
  </si>
  <si>
    <t>GT-19 (139)</t>
  </si>
  <si>
    <t>GT-20 (223)</t>
  </si>
  <si>
    <t>GT-21 (224)</t>
  </si>
  <si>
    <t>GT-22 (225)</t>
  </si>
  <si>
    <t>GT-23 (226)</t>
  </si>
  <si>
    <t>GT-24 (227)</t>
  </si>
  <si>
    <t>GT-25 (228)</t>
  </si>
  <si>
    <t>GT-26 (229)</t>
  </si>
  <si>
    <t>GT-27 (230)</t>
  </si>
  <si>
    <t>GT-28 (231)</t>
  </si>
  <si>
    <t>GT-30 (1271)</t>
  </si>
  <si>
    <t>GT-30</t>
  </si>
  <si>
    <t>GT-31 (1272)</t>
  </si>
  <si>
    <t>GT-31</t>
  </si>
  <si>
    <t>GT-32 (1273)</t>
  </si>
  <si>
    <t>GT-32</t>
  </si>
  <si>
    <t>GT-33 (1274)</t>
  </si>
  <si>
    <t>GT-33</t>
  </si>
  <si>
    <t>GTC01</t>
  </si>
  <si>
    <t>GT-C01</t>
  </si>
  <si>
    <t>GTDF01</t>
  </si>
  <si>
    <t>GT-DF01</t>
  </si>
  <si>
    <t>GTHS01</t>
  </si>
  <si>
    <t>GT-HS01</t>
  </si>
  <si>
    <t>GT-L01</t>
  </si>
  <si>
    <t>GTL02</t>
  </si>
  <si>
    <t>GT-L02</t>
  </si>
  <si>
    <t>GT-P01</t>
  </si>
  <si>
    <t>GT-P02</t>
  </si>
  <si>
    <t>GTP03</t>
  </si>
  <si>
    <t>GT-P03</t>
  </si>
  <si>
    <t>GYM08TRB</t>
  </si>
  <si>
    <t>GYM-08TRB</t>
  </si>
  <si>
    <t>GYM09TRB</t>
  </si>
  <si>
    <t>GYM-09TRB</t>
  </si>
  <si>
    <t>Handle of Rolling mill</t>
  </si>
  <si>
    <t>REP_Handle_of_Rolling_mill</t>
  </si>
  <si>
    <t>HB-10P (337)</t>
  </si>
  <si>
    <t>HB-10P (HA)</t>
  </si>
  <si>
    <t>HB-10P (SA)</t>
  </si>
  <si>
    <t>HB-10P..</t>
  </si>
  <si>
    <t>HB-10P-LS</t>
  </si>
  <si>
    <t>HB-18 (338)</t>
  </si>
  <si>
    <t>HB-18..</t>
  </si>
  <si>
    <t>HB-18-LS</t>
  </si>
  <si>
    <t>HB-18P..</t>
  </si>
  <si>
    <t>HB-18P-LS</t>
  </si>
  <si>
    <t>HB-25 (339)</t>
  </si>
  <si>
    <t>HB-25 (339)..</t>
  </si>
  <si>
    <t>HB-25 (TS)</t>
  </si>
  <si>
    <t>HB-25..</t>
  </si>
  <si>
    <t>HB-25-LS</t>
  </si>
  <si>
    <t>HB-31P (340)</t>
  </si>
  <si>
    <t>HB-31P (340..)</t>
  </si>
  <si>
    <t>HB-31P-LS</t>
  </si>
  <si>
    <t>HB-35 (341)</t>
  </si>
  <si>
    <t>HB-35 (341..)</t>
  </si>
  <si>
    <t>HB-35 (TS)</t>
  </si>
  <si>
    <t>HB-35-LS</t>
  </si>
  <si>
    <t>HD-ML4C-X034</t>
  </si>
  <si>
    <t>Hidden Island Countertop</t>
  </si>
  <si>
    <t>HT01</t>
  </si>
  <si>
    <t>HT-01</t>
  </si>
  <si>
    <t>HT02</t>
  </si>
  <si>
    <t>HT03</t>
  </si>
  <si>
    <t>HT-03</t>
  </si>
  <si>
    <t>HT04</t>
  </si>
  <si>
    <t>HT-04</t>
  </si>
  <si>
    <t>HT-05</t>
  </si>
  <si>
    <t>HT-06</t>
  </si>
  <si>
    <t>HT-07</t>
  </si>
  <si>
    <t>HT08</t>
  </si>
  <si>
    <t>HT-08</t>
  </si>
  <si>
    <t>HT09</t>
  </si>
  <si>
    <t>HT-09</t>
  </si>
  <si>
    <t>HT-10</t>
  </si>
  <si>
    <t>HT11</t>
  </si>
  <si>
    <t>HT12</t>
  </si>
  <si>
    <t>HT14</t>
  </si>
  <si>
    <t>HT-16</t>
  </si>
  <si>
    <t>HT-18</t>
  </si>
  <si>
    <t>HT19</t>
  </si>
  <si>
    <t>HT-19 + HT-20 + HT-22</t>
  </si>
  <si>
    <t>HT20</t>
  </si>
  <si>
    <t>HT21</t>
  </si>
  <si>
    <t>HT22</t>
  </si>
  <si>
    <t>HT23</t>
  </si>
  <si>
    <t>HT-23</t>
  </si>
  <si>
    <t>IB-A06 (2) (342)</t>
  </si>
  <si>
    <t>IB-A06 (2) (342)-LS</t>
  </si>
  <si>
    <t>IB-A06 (342)</t>
  </si>
  <si>
    <t>IB-A06 (342..)</t>
  </si>
  <si>
    <t>IB-A06 (SA)</t>
  </si>
  <si>
    <t>IB-A06-LS</t>
  </si>
  <si>
    <t>IB-A06M (343)</t>
  </si>
  <si>
    <t>IB-A15M (344)</t>
  </si>
  <si>
    <t>IB-A15M (344)..</t>
  </si>
  <si>
    <t>IB-A15M-LS</t>
  </si>
  <si>
    <t>IB-A16 (345)</t>
  </si>
  <si>
    <t>IB-A16 (345) (TH)</t>
  </si>
  <si>
    <t>IB-A16 (345)-LS</t>
  </si>
  <si>
    <t>IB-A16 (345..)</t>
  </si>
  <si>
    <t>IB-A16 (SA)</t>
  </si>
  <si>
    <t>IB-A16 (TH)</t>
  </si>
  <si>
    <t>IB-A16..</t>
  </si>
  <si>
    <t>IB-A16-LS</t>
  </si>
  <si>
    <t>IBB04</t>
  </si>
  <si>
    <t>IB-B04</t>
  </si>
  <si>
    <t>IBB08</t>
  </si>
  <si>
    <t>IB-B08</t>
  </si>
  <si>
    <t>IB-C05 (2)</t>
  </si>
  <si>
    <t>IB-C05(2)</t>
  </si>
  <si>
    <t>IB-C05 (3)</t>
  </si>
  <si>
    <t>IB-C05(3)</t>
  </si>
  <si>
    <t>IB-C05 (346)</t>
  </si>
  <si>
    <t>IB-C05 (346) (TC)</t>
  </si>
  <si>
    <t>IB-C05 (346..)</t>
  </si>
  <si>
    <t>IB-C05 (TC)</t>
  </si>
  <si>
    <t>IB-C05-LS</t>
  </si>
  <si>
    <t>IB-C05M (347)</t>
  </si>
  <si>
    <t>IBC06</t>
  </si>
  <si>
    <t>IB-C06</t>
  </si>
  <si>
    <t>IB-C11M (348)</t>
  </si>
  <si>
    <t>IB-C11M (348..)</t>
  </si>
  <si>
    <t>IB-C11M..</t>
  </si>
  <si>
    <t>IB-C11M-LS</t>
  </si>
  <si>
    <t>IB-C12 (349)</t>
  </si>
  <si>
    <t>IB-C12 (349) (TC)</t>
  </si>
  <si>
    <t>IB-C12 (SA)</t>
  </si>
  <si>
    <t>IB-C12 (TC)</t>
  </si>
  <si>
    <t>IB-C12..</t>
  </si>
  <si>
    <t>IB-C12-C05-C11M</t>
  </si>
  <si>
    <t>IB-C12-LS</t>
  </si>
  <si>
    <t>IBD03</t>
  </si>
  <si>
    <t>IBD06</t>
  </si>
  <si>
    <t>IB-D06 (2)</t>
  </si>
  <si>
    <t>IB-D06(2)</t>
  </si>
  <si>
    <t>IB-D06 (20)</t>
  </si>
  <si>
    <t>IB-D06(20)</t>
  </si>
  <si>
    <t>IB-D06 (40)</t>
  </si>
  <si>
    <t>IB-D06(40)</t>
  </si>
  <si>
    <t>IB-D06 (80)</t>
  </si>
  <si>
    <t>IB-D06(80)</t>
  </si>
  <si>
    <t>IB-D06 (80) (1)</t>
  </si>
  <si>
    <t>IB-D06-IB-D06 (80)</t>
  </si>
  <si>
    <t>IB-D09M (350)</t>
  </si>
  <si>
    <t>IB-D09M (350..)</t>
  </si>
  <si>
    <t>IB-D10 (351)</t>
  </si>
  <si>
    <t>IB-D10 (351)..</t>
  </si>
  <si>
    <t>IB-D10-LS</t>
  </si>
  <si>
    <t>IB-E03 (2)</t>
  </si>
  <si>
    <t>IB-E03(2)</t>
  </si>
  <si>
    <t>IB-E03 (352)</t>
  </si>
  <si>
    <t>IB-E03M (367)</t>
  </si>
  <si>
    <t>IB-E07M (354)</t>
  </si>
  <si>
    <t>IB-E08 (353)</t>
  </si>
  <si>
    <t>IB-E08-LS</t>
  </si>
  <si>
    <t>IB-F03 (355)</t>
  </si>
  <si>
    <t>IB-F03M (356)</t>
  </si>
  <si>
    <t>IB-F06</t>
  </si>
  <si>
    <t>IB-F07M (357)</t>
  </si>
  <si>
    <t>IB-F08 (2) (358)</t>
  </si>
  <si>
    <t>IB-F08 (2) (358)-LS</t>
  </si>
  <si>
    <t>IB-F08 (358)</t>
  </si>
  <si>
    <t>IB-F08 (358..)</t>
  </si>
  <si>
    <t>IB-F08 (SA)</t>
  </si>
  <si>
    <t>IB-F08-LS</t>
  </si>
  <si>
    <t>IB-G03 (359)</t>
  </si>
  <si>
    <t>IB-G03 (359..)</t>
  </si>
  <si>
    <t>IB-G03M (360)</t>
  </si>
  <si>
    <t>IB-G03M (360..)</t>
  </si>
  <si>
    <t>IB-G06 (P)</t>
  </si>
  <si>
    <t>IB-G06..</t>
  </si>
  <si>
    <t>IB-G06-LS</t>
  </si>
  <si>
    <t>IB-G07M (361)</t>
  </si>
  <si>
    <t>IB-G07M (361..)</t>
  </si>
  <si>
    <t>IB-G08 (2)</t>
  </si>
  <si>
    <t>IB-G08(2)</t>
  </si>
  <si>
    <t>IB-G08 (362)</t>
  </si>
  <si>
    <t>IB-G08 (362) (TC)</t>
  </si>
  <si>
    <t>IB-G08 (362..)</t>
  </si>
  <si>
    <t>IB-G08 (TC)</t>
  </si>
  <si>
    <t>IB-G08-LS</t>
  </si>
  <si>
    <t>IB-GA01 (363)</t>
  </si>
  <si>
    <t>IC-1206 (094)</t>
  </si>
  <si>
    <t>IC-1212 (095)</t>
  </si>
  <si>
    <t>IC-1218 (096)</t>
  </si>
  <si>
    <t>IC-1224 (097)</t>
  </si>
  <si>
    <t>IC-1806 (098)</t>
  </si>
  <si>
    <t>IC-1812 (099)</t>
  </si>
  <si>
    <t>IC-1818 (100)</t>
  </si>
  <si>
    <t>IC-1824 (101)</t>
  </si>
  <si>
    <t>IC-2406 (102)</t>
  </si>
  <si>
    <t>IC-2412 (103)</t>
  </si>
  <si>
    <t>IC-2418 (104)</t>
  </si>
  <si>
    <t>IC-2424 (105)</t>
  </si>
  <si>
    <t>IC-3006 (106)</t>
  </si>
  <si>
    <t>IC-3012 (107)</t>
  </si>
  <si>
    <t>IC-3018 (108)</t>
  </si>
  <si>
    <t>IC-3024 (109)</t>
  </si>
  <si>
    <t>IC-3606 (110)</t>
  </si>
  <si>
    <t>IC-3612 (111)</t>
  </si>
  <si>
    <t>IC-3618 (112)</t>
  </si>
  <si>
    <t>IC-3624 (113)</t>
  </si>
  <si>
    <t>IC-4206 (114)</t>
  </si>
  <si>
    <t>IC-4212 (115)</t>
  </si>
  <si>
    <t>IC-4218 (116)</t>
  </si>
  <si>
    <t>IC-4224 (117)</t>
  </si>
  <si>
    <t>IC-4806 (118)</t>
  </si>
  <si>
    <t>IC-4812 (119)</t>
  </si>
  <si>
    <t>IC-4818 (120)</t>
  </si>
  <si>
    <t>IC-4824 (121)</t>
  </si>
  <si>
    <t>IC-6006 (122)</t>
  </si>
  <si>
    <t>IC-6012 (123)</t>
  </si>
  <si>
    <t>IC-6018 (124)</t>
  </si>
  <si>
    <t>IC-6024 (125)</t>
  </si>
  <si>
    <t>IS-8DL6-ZC81</t>
  </si>
  <si>
    <t>JMT-01 (442)</t>
  </si>
  <si>
    <t>JMT-01-LS</t>
  </si>
  <si>
    <t>JMT-02 (443)</t>
  </si>
  <si>
    <t>JMT-03 (444)</t>
  </si>
  <si>
    <t>JMT-03-LS</t>
  </si>
  <si>
    <t>JMT-04 (445)</t>
  </si>
  <si>
    <t>JMT-04 (445) (TC)</t>
  </si>
  <si>
    <t>JMT-04 (445..)</t>
  </si>
  <si>
    <t>JMT-04 (SA)</t>
  </si>
  <si>
    <t>JMT-04 (SB)</t>
  </si>
  <si>
    <t>JMT-04 (TC)</t>
  </si>
  <si>
    <t>JMT-04-LS</t>
  </si>
  <si>
    <t>JMT-05 (446)</t>
  </si>
  <si>
    <t>JMT-07 (448)</t>
  </si>
  <si>
    <t>JMT-08 (449)</t>
  </si>
  <si>
    <t>JMT-09 (450)</t>
  </si>
  <si>
    <t>JMT-10 (451)</t>
  </si>
  <si>
    <t>JMT-100 (452)</t>
  </si>
  <si>
    <t>JMT-101 (453)</t>
  </si>
  <si>
    <t>JMT-102 (454)</t>
  </si>
  <si>
    <t>JMT-103 (455)</t>
  </si>
  <si>
    <t>JMT-103 (455) (TC)</t>
  </si>
  <si>
    <t>JMT-103 (455..)</t>
  </si>
  <si>
    <t>JMT-103 (SA)</t>
  </si>
  <si>
    <t>JMT-103 (TC)</t>
  </si>
  <si>
    <t>JMT-103-LS</t>
  </si>
  <si>
    <t>JMT-104 (456)</t>
  </si>
  <si>
    <t>JMT-104-LS</t>
  </si>
  <si>
    <t>JMT-105 (457)</t>
  </si>
  <si>
    <t>JMT-106 (458)</t>
  </si>
  <si>
    <t>JMT-107 (459)</t>
  </si>
  <si>
    <t>JMT-108 (460)</t>
  </si>
  <si>
    <t>JMT-109 (461)</t>
  </si>
  <si>
    <t>JMT-11 (462)</t>
  </si>
  <si>
    <t>JMT-110 (463)</t>
  </si>
  <si>
    <t>JMT-111 (464)</t>
  </si>
  <si>
    <t>JMT-112 (465)</t>
  </si>
  <si>
    <t>JMT-113 + JMT-61 + JMT-91</t>
  </si>
  <si>
    <t>JMT-113+JMT-61+JMT-91</t>
  </si>
  <si>
    <t>JMT-113+JMT-49+JMT-61+JMT-81+JMT-91</t>
  </si>
  <si>
    <t>JMT-114 (467)</t>
  </si>
  <si>
    <t>JMT-115 (468)</t>
  </si>
  <si>
    <t>JMT-115-LS</t>
  </si>
  <si>
    <t>JMT-116 (469)</t>
  </si>
  <si>
    <t>JMT-116-LS</t>
  </si>
  <si>
    <t>JMT-117 (470)</t>
  </si>
  <si>
    <t>JMT-117-LS</t>
  </si>
  <si>
    <t>JMT-118 (471)</t>
  </si>
  <si>
    <t>JMT-118 (471) + JMT-149 (583)</t>
  </si>
  <si>
    <t>JMT-118+JMT-149</t>
  </si>
  <si>
    <t>JMT-118 (471) + JMT-82 (558)</t>
  </si>
  <si>
    <t>JMT-118+JMT-82</t>
  </si>
  <si>
    <t>JMT-118 (471) + JMT-83 (559)</t>
  </si>
  <si>
    <t>JMT-118+JMT-83</t>
  </si>
  <si>
    <t>JMT-118 (471..)</t>
  </si>
  <si>
    <t>JMT-118 + JMT-81 + JMT-82</t>
  </si>
  <si>
    <t>JMT-118+JMT-81+JMT-82</t>
  </si>
  <si>
    <t>JMT-118-LS</t>
  </si>
  <si>
    <t>JMT-119 (472)</t>
  </si>
  <si>
    <t>JMT-12 (473)</t>
  </si>
  <si>
    <t>JMT-120 (474)</t>
  </si>
  <si>
    <t>JMT-120 (474) + JMT-121 (475)</t>
  </si>
  <si>
    <t>JMT-120+JMT-121</t>
  </si>
  <si>
    <t>JMT-120-LS</t>
  </si>
  <si>
    <t>JMT-121 (475)</t>
  </si>
  <si>
    <t>JMT-121 (475..)</t>
  </si>
  <si>
    <t>JMT-121 (SA)</t>
  </si>
  <si>
    <t>JMT-121-LS</t>
  </si>
  <si>
    <t>JMT-122 (476)</t>
  </si>
  <si>
    <t>JMT-123 (477)</t>
  </si>
  <si>
    <t>JMT-123 (477) + JMT-91 (567)</t>
  </si>
  <si>
    <t>JMT-123+JMT-91</t>
  </si>
  <si>
    <t>JMT-124 (478)</t>
  </si>
  <si>
    <t>JMT-125 (479)</t>
  </si>
  <si>
    <t>JMT-125..</t>
  </si>
  <si>
    <t>JMT-125-LS</t>
  </si>
  <si>
    <t>JMT-126 (480)</t>
  </si>
  <si>
    <t>JMT-126-LS</t>
  </si>
  <si>
    <t>JMT-127 (2) (481)</t>
  </si>
  <si>
    <t>JMT-127 (2) (481)-LS</t>
  </si>
  <si>
    <t>JMT-127 (481)</t>
  </si>
  <si>
    <t>JMT-127-LS</t>
  </si>
  <si>
    <t>JMT-128 (482)</t>
  </si>
  <si>
    <t>JMT-129 (483)</t>
  </si>
  <si>
    <t>JMT-13 (484)</t>
  </si>
  <si>
    <t>JMT-130 (485)</t>
  </si>
  <si>
    <t>JMT-131 (486)</t>
  </si>
  <si>
    <t>JMT-132 (487)</t>
  </si>
  <si>
    <t>JMT-132 (487) + JMT-81 (557)</t>
  </si>
  <si>
    <t>JMT-132+JMT-81</t>
  </si>
  <si>
    <t>JMT-133 (488)</t>
  </si>
  <si>
    <t>JMT-133 (488) + JMT-134 (489)</t>
  </si>
  <si>
    <t>JMT-133+JMT-134</t>
  </si>
  <si>
    <t>JMT-133-LS</t>
  </si>
  <si>
    <t>JMT-134 (489)</t>
  </si>
  <si>
    <t>JMT-134..</t>
  </si>
  <si>
    <t>JMT-134-LS</t>
  </si>
  <si>
    <t>JMT-135 (576)</t>
  </si>
  <si>
    <t>JMT-135-LS</t>
  </si>
  <si>
    <t>JMT-136 (577)</t>
  </si>
  <si>
    <t>JMT-136-LS</t>
  </si>
  <si>
    <t>JMT-137 (578)</t>
  </si>
  <si>
    <t>JMT-137-LS</t>
  </si>
  <si>
    <t>JMT-138 (579)</t>
  </si>
  <si>
    <t>JMT-138-LS</t>
  </si>
  <si>
    <t>JMT-139 (580)</t>
  </si>
  <si>
    <t>JMT-139-LS</t>
  </si>
  <si>
    <t>JMT-14 (490)</t>
  </si>
  <si>
    <t>JMT-140 (912)</t>
  </si>
  <si>
    <t>JMT-141 (2) (913)</t>
  </si>
  <si>
    <t>JMT-141 (913)</t>
  </si>
  <si>
    <t>JMT-142 (911)</t>
  </si>
  <si>
    <t>JMT-142-LS</t>
  </si>
  <si>
    <t>JMT-143 (2) (910)</t>
  </si>
  <si>
    <t>JMT-143 (2) (910)-LS</t>
  </si>
  <si>
    <t>JMT-143 (910)</t>
  </si>
  <si>
    <t>JMT-143-LS</t>
  </si>
  <si>
    <t>JMT-144 (1028)</t>
  </si>
  <si>
    <t>JMT-145 (2) (959)</t>
  </si>
  <si>
    <t>JMT-145 (2) (959)-LS</t>
  </si>
  <si>
    <t>JMT-145 (959)</t>
  </si>
  <si>
    <t>JMT-145-LS</t>
  </si>
  <si>
    <t>JMT-146 (060)</t>
  </si>
  <si>
    <t>JMT-147 (581)</t>
  </si>
  <si>
    <t>JMT-147-LS</t>
  </si>
  <si>
    <t>JMT-148 (582)</t>
  </si>
  <si>
    <t>JMT-148-LS</t>
  </si>
  <si>
    <t>JMT-149 (583)</t>
  </si>
  <si>
    <t>JMT-149 (583)-LS</t>
  </si>
  <si>
    <t>JMT-149..</t>
  </si>
  <si>
    <t>JMT-150 (584)</t>
  </si>
  <si>
    <t>JMT-151 (1002)</t>
  </si>
  <si>
    <t>JMT-152 (1074)</t>
  </si>
  <si>
    <t>JMT-152 (1074)-LS</t>
  </si>
  <si>
    <t>JMT-152..</t>
  </si>
  <si>
    <t>JMT-153 (1255)</t>
  </si>
  <si>
    <t>JMT-153 (1255) + JMT-92 (568)</t>
  </si>
  <si>
    <t>JMT-153+JMT-92</t>
  </si>
  <si>
    <t>JMT-154 (1275)</t>
  </si>
  <si>
    <t>JMT-156 (129)</t>
  </si>
  <si>
    <t>JMT-156 129</t>
  </si>
  <si>
    <t>JMT-157 (130)</t>
  </si>
  <si>
    <t>JMT-157 130</t>
  </si>
  <si>
    <t>JMT-157-LS</t>
  </si>
  <si>
    <t>JMT-158 (131)</t>
  </si>
  <si>
    <t>JMT-158 131</t>
  </si>
  <si>
    <t>JMT-159 (1295)</t>
  </si>
  <si>
    <t>JMT-159 (1295)-LS</t>
  </si>
  <si>
    <t>JMT-159 1295</t>
  </si>
  <si>
    <t>JMT-159..</t>
  </si>
  <si>
    <t>JMT-16</t>
  </si>
  <si>
    <t>JMT-16 (492)</t>
  </si>
  <si>
    <t>JMT-161 (1330)</t>
  </si>
  <si>
    <t>JMT-162 (1331)</t>
  </si>
  <si>
    <t>JMT-164-LS</t>
  </si>
  <si>
    <t>JMT-165..</t>
  </si>
  <si>
    <t>JMT-165-LS</t>
  </si>
  <si>
    <t>JMT-168 (SA)</t>
  </si>
  <si>
    <t>JMT-168..</t>
  </si>
  <si>
    <t>JMT-168-LS</t>
  </si>
  <si>
    <t>JMT-169..</t>
  </si>
  <si>
    <t>JMT-17</t>
  </si>
  <si>
    <t>JMT-17 (493)</t>
  </si>
  <si>
    <t>JMT-170-LS</t>
  </si>
  <si>
    <t>JMT-18 (494)</t>
  </si>
  <si>
    <t>JMT-19 (495)</t>
  </si>
  <si>
    <t>JMT-20</t>
  </si>
  <si>
    <t>JMT-21 (497)</t>
  </si>
  <si>
    <t>JMT-22 (498)</t>
  </si>
  <si>
    <t>JMT-23 (499)</t>
  </si>
  <si>
    <t>JMT-24 (500)</t>
  </si>
  <si>
    <t>JMT-25 (501)</t>
  </si>
  <si>
    <t>JMT-25-LS</t>
  </si>
  <si>
    <t>JMT-26 (502)</t>
  </si>
  <si>
    <t>JMT-27 (503)</t>
  </si>
  <si>
    <t>JMT-28</t>
  </si>
  <si>
    <t>JMT-28 (504)</t>
  </si>
  <si>
    <t>JMT-31 (507)</t>
  </si>
  <si>
    <t>JMT-31-LS</t>
  </si>
  <si>
    <t>JMT-32 (508)</t>
  </si>
  <si>
    <t>JMT-32-LS</t>
  </si>
  <si>
    <t>JMT-33+34+35+36+37+38</t>
  </si>
  <si>
    <t>JMT-34 (510)</t>
  </si>
  <si>
    <t>JMT-35 (511)</t>
  </si>
  <si>
    <t>JMT-36 (512)</t>
  </si>
  <si>
    <t>JMT-37 (513)</t>
  </si>
  <si>
    <t>JMT-38 (514)</t>
  </si>
  <si>
    <t>JMT-39 (515)</t>
  </si>
  <si>
    <t>JMT-39..</t>
  </si>
  <si>
    <t>JMT-39-LS</t>
  </si>
  <si>
    <t>JMT-40 (516)</t>
  </si>
  <si>
    <t>JMT-41 (517)</t>
  </si>
  <si>
    <t>JMT-43 (519)</t>
  </si>
  <si>
    <t>JMT-44 (520)</t>
  </si>
  <si>
    <t>JMT-45 (521)</t>
  </si>
  <si>
    <t>JMT-46 (522)</t>
  </si>
  <si>
    <t>JMT-47 (523)</t>
  </si>
  <si>
    <t>JMT-48 (524)</t>
  </si>
  <si>
    <t>JMT-48-LS</t>
  </si>
  <si>
    <t>JMT-49 (2) (525)</t>
  </si>
  <si>
    <t>JMT-49 (3) (525)</t>
  </si>
  <si>
    <t>JMT-49 (4) (525)</t>
  </si>
  <si>
    <t>JMT-49 (525)</t>
  </si>
  <si>
    <t>JMT-50 (2) (526)</t>
  </si>
  <si>
    <t>JMT-50 (3) (526)</t>
  </si>
  <si>
    <t>JMT-50 (4) (526)</t>
  </si>
  <si>
    <t>JMT-50 (526)</t>
  </si>
  <si>
    <t>JMT-51 (527)</t>
  </si>
  <si>
    <t>JMT-52 (2) (528)</t>
  </si>
  <si>
    <t>JMT-52 (3) (528)</t>
  </si>
  <si>
    <t>JMT-52 (4) (528)</t>
  </si>
  <si>
    <t>JMT-52 (528)</t>
  </si>
  <si>
    <t>JMT-53 (529)</t>
  </si>
  <si>
    <t>JMT-55 (531)</t>
  </si>
  <si>
    <t>JMT-58 (534)</t>
  </si>
  <si>
    <t>JMT-59 (535)</t>
  </si>
  <si>
    <t>JMT-59 (535..)</t>
  </si>
  <si>
    <t>JMT-59 (535P)</t>
  </si>
  <si>
    <t>JMT-59 (SA)</t>
  </si>
  <si>
    <t>JMT-59-LS</t>
  </si>
  <si>
    <t>JMT-60 (536)</t>
  </si>
  <si>
    <t>JMT-61</t>
  </si>
  <si>
    <t>JMT-63 (539)</t>
  </si>
  <si>
    <t>JMT-64 (540)</t>
  </si>
  <si>
    <t>JMT-65 (541)</t>
  </si>
  <si>
    <t>JMT-66 (542)</t>
  </si>
  <si>
    <t>JMT-67 (543)</t>
  </si>
  <si>
    <t>JMT-68 (544)</t>
  </si>
  <si>
    <t>JMT-71 (547)</t>
  </si>
  <si>
    <t>JMT-72 (548)</t>
  </si>
  <si>
    <t>JMT-73 (549)</t>
  </si>
  <si>
    <t>JMT-74 (550)</t>
  </si>
  <si>
    <t>JMT-76 (552)</t>
  </si>
  <si>
    <t>JMT-77 (553)</t>
  </si>
  <si>
    <t>JMT-78</t>
  </si>
  <si>
    <t>JMT-78 (554)</t>
  </si>
  <si>
    <t>JMT-79 (555)</t>
  </si>
  <si>
    <t>JMT-80 (556)</t>
  </si>
  <si>
    <t>JMT-81 (557)</t>
  </si>
  <si>
    <t>JMT-82</t>
  </si>
  <si>
    <t>JMT-85 (561)</t>
  </si>
  <si>
    <t>JMT-85-LS</t>
  </si>
  <si>
    <t>JMT-86 (562)</t>
  </si>
  <si>
    <t>JMT-86..</t>
  </si>
  <si>
    <t>JMT-86-LS</t>
  </si>
  <si>
    <t>JMT-87 (563)</t>
  </si>
  <si>
    <t>JMT-88 (564)</t>
  </si>
  <si>
    <t>JMT-89 (565)</t>
  </si>
  <si>
    <t>JMT-90 (566)</t>
  </si>
  <si>
    <t>JMT-91 (567)</t>
  </si>
  <si>
    <t>JMT-91..</t>
  </si>
  <si>
    <t>JMT-91-LS</t>
  </si>
  <si>
    <t>JMT-92 (568)</t>
  </si>
  <si>
    <t>JMT-92 (568)..</t>
  </si>
  <si>
    <t>JMT-92 (SA)</t>
  </si>
  <si>
    <t>JMT-92-LS</t>
  </si>
  <si>
    <t>JMT-93 (569)</t>
  </si>
  <si>
    <t>JMT-93-LS</t>
  </si>
  <si>
    <t>JMT-94 (570)</t>
  </si>
  <si>
    <t>JMT-94-LS</t>
  </si>
  <si>
    <t>JMT-95 (571)</t>
  </si>
  <si>
    <t>JMT-95-LS</t>
  </si>
  <si>
    <t>JMT-96 (572)</t>
  </si>
  <si>
    <t>JMT-96 (572) (TC)</t>
  </si>
  <si>
    <t>JMT-96 (572..)</t>
  </si>
  <si>
    <t>JMT-96 (SA)</t>
  </si>
  <si>
    <t>JMT-96 (TC)</t>
  </si>
  <si>
    <t>JMT-96-LS</t>
  </si>
  <si>
    <t>JMT-97 (573)</t>
  </si>
  <si>
    <t>JMT-97-LS</t>
  </si>
  <si>
    <t>JMT-98 (574)</t>
  </si>
  <si>
    <t>JMT-98..</t>
  </si>
  <si>
    <t>JMT-98-LS</t>
  </si>
  <si>
    <t>JMT-99 (575)</t>
  </si>
  <si>
    <t>JMT-99 (575) + JMT-100 (452)</t>
  </si>
  <si>
    <t>JMT-99+JMT-100</t>
  </si>
  <si>
    <t>JMT-99-LS</t>
  </si>
  <si>
    <t>JMTTC5</t>
  </si>
  <si>
    <t>JMT-TC5</t>
  </si>
  <si>
    <t>JMTTCR5</t>
  </si>
  <si>
    <t>JMT-TCR5</t>
  </si>
  <si>
    <t>JMTTM5</t>
  </si>
  <si>
    <t>JMT-TM5</t>
  </si>
  <si>
    <t>JMTTM5Q2</t>
  </si>
  <si>
    <t>JMT-TM5(2)</t>
  </si>
  <si>
    <t>JMTTP2</t>
  </si>
  <si>
    <t>JMT-TP2</t>
  </si>
  <si>
    <t>JMTTP4</t>
  </si>
  <si>
    <t>JMT-TP4</t>
  </si>
  <si>
    <t>JMTTP5</t>
  </si>
  <si>
    <t>JMT-TP5</t>
  </si>
  <si>
    <t>JMTTP5Q2</t>
  </si>
  <si>
    <t>JMT-TP5(2)</t>
  </si>
  <si>
    <t>KW01</t>
  </si>
  <si>
    <t>KW-01</t>
  </si>
  <si>
    <t>KW01Q02</t>
  </si>
  <si>
    <t>KW-01(2)</t>
  </si>
  <si>
    <t>KW02</t>
  </si>
  <si>
    <t>KW-02</t>
  </si>
  <si>
    <t>KW02Q05</t>
  </si>
  <si>
    <t>KW03</t>
  </si>
  <si>
    <t>KW03Q05</t>
  </si>
  <si>
    <t>KW04</t>
  </si>
  <si>
    <t>KW04Q05</t>
  </si>
  <si>
    <t>KW05</t>
  </si>
  <si>
    <t>KW05Q05</t>
  </si>
  <si>
    <t>KW06</t>
  </si>
  <si>
    <t>KW06Q05</t>
  </si>
  <si>
    <t>KW07</t>
  </si>
  <si>
    <t>KW-07 (5)</t>
  </si>
  <si>
    <t>KW-07(5)</t>
  </si>
  <si>
    <t>KW07Q05</t>
  </si>
  <si>
    <t>KW08</t>
  </si>
  <si>
    <t>KW08Q02</t>
  </si>
  <si>
    <t>KW09</t>
  </si>
  <si>
    <t>KW-09</t>
  </si>
  <si>
    <t>KW09Q02</t>
  </si>
  <si>
    <t>KW10</t>
  </si>
  <si>
    <t>KW10Q02</t>
  </si>
  <si>
    <t>KW10Q05</t>
  </si>
  <si>
    <t>KW11</t>
  </si>
  <si>
    <t>KW11Q02</t>
  </si>
  <si>
    <t>KW11Q05</t>
  </si>
  <si>
    <t>KW13</t>
  </si>
  <si>
    <t>KW-13</t>
  </si>
  <si>
    <t>KW13Q02</t>
  </si>
  <si>
    <t>KW14</t>
  </si>
  <si>
    <t>KW14Q05</t>
  </si>
  <si>
    <t>KW15</t>
  </si>
  <si>
    <t>KW15Q05</t>
  </si>
  <si>
    <t>KW16</t>
  </si>
  <si>
    <t>KW16Q05</t>
  </si>
  <si>
    <t>KW17</t>
  </si>
  <si>
    <t>KW17Q05</t>
  </si>
  <si>
    <t>KW18</t>
  </si>
  <si>
    <t>KW18Q05</t>
  </si>
  <si>
    <t>KW19</t>
  </si>
  <si>
    <t>KW19Q05</t>
  </si>
  <si>
    <t>L</t>
  </si>
  <si>
    <t>LABEL</t>
  </si>
  <si>
    <t>REP_LABEL</t>
  </si>
  <si>
    <t>LFAB-14 (908)</t>
  </si>
  <si>
    <t>LFAB-14</t>
  </si>
  <si>
    <t>LS-1G (601)</t>
  </si>
  <si>
    <t>LS-2G</t>
  </si>
  <si>
    <t>LS-2Q (605)</t>
  </si>
  <si>
    <t>M10 (035)</t>
  </si>
  <si>
    <t>M14 (036)</t>
  </si>
  <si>
    <t>MANOMETER</t>
  </si>
  <si>
    <t>REP_MANOMETER</t>
  </si>
  <si>
    <t>MF-10..</t>
  </si>
  <si>
    <t>MF-10</t>
  </si>
  <si>
    <t>MFI-10 (622)</t>
  </si>
  <si>
    <t>MFI-10 (622.)</t>
  </si>
  <si>
    <t>MFI-10 (CA)</t>
  </si>
  <si>
    <t>MFI-10 (CB)</t>
  </si>
  <si>
    <t>MFI-10..</t>
  </si>
  <si>
    <t>MFI-10+JMT-81+JMT-91+JMT-123</t>
  </si>
  <si>
    <t>MFI-10CO (1256)</t>
  </si>
  <si>
    <t>MFI-10CO (1256)-LS</t>
  </si>
  <si>
    <t>MFI-10CO (1256..)</t>
  </si>
  <si>
    <t>MFI-10CO (CA)</t>
  </si>
  <si>
    <t>MFI-10CO (HA)</t>
  </si>
  <si>
    <t>MFI-10-LS</t>
  </si>
  <si>
    <t>MFI-12 (623)</t>
  </si>
  <si>
    <t>MFI-12 (623.)</t>
  </si>
  <si>
    <t>MFI-12 (CA)</t>
  </si>
  <si>
    <t>MFI-12 (CB)</t>
  </si>
  <si>
    <t>MFI-12..</t>
  </si>
  <si>
    <t>MFI-12CO (1257)</t>
  </si>
  <si>
    <t>MFI-12CO (1257)-LS</t>
  </si>
  <si>
    <t>MFI-12CO (1257..)</t>
  </si>
  <si>
    <t>MFI-12CO (CA)</t>
  </si>
  <si>
    <t>MFI-12CO (HA)</t>
  </si>
  <si>
    <t>MFI-12CO..</t>
  </si>
  <si>
    <t>MFI-12CO.. (CA)</t>
  </si>
  <si>
    <t>MFI-12-LS</t>
  </si>
  <si>
    <t>MFI-13 (621)</t>
  </si>
  <si>
    <t>MFI-13 (621..)</t>
  </si>
  <si>
    <t>MFI-13 (TH)</t>
  </si>
  <si>
    <t>MFI-13-LS</t>
  </si>
  <si>
    <t>MFI-14CO (CA)</t>
  </si>
  <si>
    <t>MFI-14CO (CB)</t>
  </si>
  <si>
    <t>MFI-14CO (HA)</t>
  </si>
  <si>
    <t>MFI-14CO (HA)-12CO (HA)-10CO (HA)</t>
  </si>
  <si>
    <t>MFI-14CO (HB)</t>
  </si>
  <si>
    <t>MFI-14CO (TH)</t>
  </si>
  <si>
    <t>MFI-14CO-12CO</t>
  </si>
  <si>
    <t>MS5 (832)</t>
  </si>
  <si>
    <t>NR-A1208 (062)</t>
  </si>
  <si>
    <t>NR-A1212 (063)</t>
  </si>
  <si>
    <t>NR-A1236 (065)</t>
  </si>
  <si>
    <t>NR-A1248 (066)</t>
  </si>
  <si>
    <t>NR-B1212 (069)</t>
  </si>
  <si>
    <t>NR-B1236 (070)</t>
  </si>
  <si>
    <t>NR-C1236 (072)</t>
  </si>
  <si>
    <t>P01258Q01P</t>
  </si>
  <si>
    <t>P4-E6ZI-ATTY</t>
  </si>
  <si>
    <t>Part of burner</t>
  </si>
  <si>
    <t>REP_Part</t>
  </si>
  <si>
    <t>Parts of HB-10P</t>
  </si>
  <si>
    <t>REP_Parts_of_HB-10P</t>
  </si>
  <si>
    <t>Parts of Rolling Mill</t>
  </si>
  <si>
    <t>REP_Parts_of_Rolling_Mill</t>
  </si>
  <si>
    <t>Pentair Pump 340033</t>
  </si>
  <si>
    <t>PF-06 (907)</t>
  </si>
  <si>
    <t>PF-06 (SA)</t>
  </si>
  <si>
    <t>PF-07..</t>
  </si>
  <si>
    <t>PF-08 (TH)</t>
  </si>
  <si>
    <t>PF-08.</t>
  </si>
  <si>
    <t>PF-08. (TH)</t>
  </si>
  <si>
    <t>PF-08..</t>
  </si>
  <si>
    <t>PF-10 (628)</t>
  </si>
  <si>
    <t>PF-10 (628..)</t>
  </si>
  <si>
    <t>PF-10 (SA)</t>
  </si>
  <si>
    <t>PF-10S1 (624)</t>
  </si>
  <si>
    <t>PF-11 (629)</t>
  </si>
  <si>
    <t>PF-11 (629..)</t>
  </si>
  <si>
    <t>PF-11 (SA)</t>
  </si>
  <si>
    <t>PF-11I (625)</t>
  </si>
  <si>
    <t>PF-11I (625..)</t>
  </si>
  <si>
    <t>PF-11I (SA)</t>
  </si>
  <si>
    <t>PF-12 (630)</t>
  </si>
  <si>
    <t>PF-12 (630..)</t>
  </si>
  <si>
    <t>PF-12 (SA)</t>
  </si>
  <si>
    <t>PF-15 (TH)</t>
  </si>
  <si>
    <t>PF-15.. (TH)</t>
  </si>
  <si>
    <t>PF-16 (TH)</t>
  </si>
  <si>
    <t>PF-16..</t>
  </si>
  <si>
    <t>PF-20 (631)</t>
  </si>
  <si>
    <t>PF-20 (631)-LS</t>
  </si>
  <si>
    <t>PF-20 (SA)</t>
  </si>
  <si>
    <t>PF-20S2H (626)</t>
  </si>
  <si>
    <t>PF-20S2L (627)</t>
  </si>
  <si>
    <t>PF-20S2L (627..)</t>
  </si>
  <si>
    <t>PF-20S2L (SA)</t>
  </si>
  <si>
    <t>PF-21 (632)</t>
  </si>
  <si>
    <t>PF-21 (632..)</t>
  </si>
  <si>
    <t>PF-21I (633)</t>
  </si>
  <si>
    <t>PF-21I (633..)</t>
  </si>
  <si>
    <t>PF-21-LS</t>
  </si>
  <si>
    <t>PF-22 (634)</t>
  </si>
  <si>
    <t>PF-22 (634) (TC)</t>
  </si>
  <si>
    <t>PF-22 (634..)</t>
  </si>
  <si>
    <t>PF-22 (TC)</t>
  </si>
  <si>
    <t>PF-220 + PF-D02</t>
  </si>
  <si>
    <t>PF-220+PF-D02</t>
  </si>
  <si>
    <t>PF-220 + PF-D02 + PF-D02</t>
  </si>
  <si>
    <t>PF-220+PF-D02+PF-D02</t>
  </si>
  <si>
    <t>PF-220-330-D02</t>
  </si>
  <si>
    <t>PF-22-LS</t>
  </si>
  <si>
    <t>PF-30 (635)</t>
  </si>
  <si>
    <t>PF-30 (635..)</t>
  </si>
  <si>
    <t>PF-30 (SA)</t>
  </si>
  <si>
    <t>PF-30..</t>
  </si>
  <si>
    <t>PF-30-LS</t>
  </si>
  <si>
    <t>PF-31 (636)</t>
  </si>
  <si>
    <t>PF-31 (636..)</t>
  </si>
  <si>
    <t>PF-31I (637)</t>
  </si>
  <si>
    <t>PF-31I (637..)</t>
  </si>
  <si>
    <t>PF-31I-LS</t>
  </si>
  <si>
    <t>PF-31-LS</t>
  </si>
  <si>
    <t>PF-32 (638)</t>
  </si>
  <si>
    <t>PF-32 (638..)</t>
  </si>
  <si>
    <t>PF-32-LS</t>
  </si>
  <si>
    <t>PF-330 + PF-D02</t>
  </si>
  <si>
    <t>PF-330+PF-D02</t>
  </si>
  <si>
    <t>PF-330 + PF-D02 + PF-D02</t>
  </si>
  <si>
    <t>PF-330+PF-D02(2)</t>
  </si>
  <si>
    <t>PF-330 + PF-D02 + PF-D02 (SA)</t>
  </si>
  <si>
    <t>PF-330+PF-D02+PF-D02</t>
  </si>
  <si>
    <t>PF-50 (639)</t>
  </si>
  <si>
    <t>PF-50-LS</t>
  </si>
  <si>
    <t>PFB-01 (653)</t>
  </si>
  <si>
    <t>PFB-01 (653)-LS</t>
  </si>
  <si>
    <t>PFB-01..</t>
  </si>
  <si>
    <t>PFB-02 (654)</t>
  </si>
  <si>
    <t>PFB-02 (654) (TC)</t>
  </si>
  <si>
    <t>PFB-02 (TC)</t>
  </si>
  <si>
    <t>PFB-02-LS</t>
  </si>
  <si>
    <t>PFB-03 (655)</t>
  </si>
  <si>
    <t>PFB-03 (655) (TC)</t>
  </si>
  <si>
    <t>PFB-03 (655)-LS</t>
  </si>
  <si>
    <t>PFB-03 (SA)</t>
  </si>
  <si>
    <t>PFB-03 (TC)</t>
  </si>
  <si>
    <t>PFB-04 (656)</t>
  </si>
  <si>
    <t>PFB-04 (TC)</t>
  </si>
  <si>
    <t>PFB-04-LS</t>
  </si>
  <si>
    <t>PFB-05 (657)</t>
  </si>
  <si>
    <t>PFB-05 (657) (TC)</t>
  </si>
  <si>
    <t>PFB-05 (TC)</t>
  </si>
  <si>
    <t>PFB-05-LS</t>
  </si>
  <si>
    <t>PFB-06 (658)</t>
  </si>
  <si>
    <t>PFB-06-LS</t>
  </si>
  <si>
    <t>PFB-07 (659)</t>
  </si>
  <si>
    <t>PFB-07 (659) (TC)</t>
  </si>
  <si>
    <t>PFB-07 (TC)</t>
  </si>
  <si>
    <t>PFB-07-LS</t>
  </si>
  <si>
    <t>PFB-08 (660)</t>
  </si>
  <si>
    <t>PFB-08..</t>
  </si>
  <si>
    <t>PFB-08-LS</t>
  </si>
  <si>
    <t>PFB-09 (661)</t>
  </si>
  <si>
    <t>PFB-09 (661) (TC)</t>
  </si>
  <si>
    <t>PFB-09 (TC)</t>
  </si>
  <si>
    <t>PFB-09-LS</t>
  </si>
  <si>
    <t>PFB-12 (1269)</t>
  </si>
  <si>
    <t>PFB-12 (1269)-LS</t>
  </si>
  <si>
    <t>PFB-13 (1270)</t>
  </si>
  <si>
    <t>PFB-13 (1270)-LS</t>
  </si>
  <si>
    <t>PFB-15-LS</t>
  </si>
  <si>
    <t>PFI-04 (937)</t>
  </si>
  <si>
    <t>PFI-04 (937..)</t>
  </si>
  <si>
    <t>PFI-04 (SA)</t>
  </si>
  <si>
    <t>PFI-05 (662)</t>
  </si>
  <si>
    <t>PFI-05 (662) (TC)</t>
  </si>
  <si>
    <t>PFI-05 (662..)</t>
  </si>
  <si>
    <t>PFI-05 (SA)</t>
  </si>
  <si>
    <t>PFI-05 (TC)</t>
  </si>
  <si>
    <t>PFI-05-LS</t>
  </si>
  <si>
    <t>PFI-06 (663)</t>
  </si>
  <si>
    <t>PFI-06 (663..)</t>
  </si>
  <si>
    <t>PFI-06-LS</t>
  </si>
  <si>
    <t>PFI-07 (664)</t>
  </si>
  <si>
    <t>PFI-07 (664..)</t>
  </si>
  <si>
    <t>PFI-07 (SA)</t>
  </si>
  <si>
    <t>PFI-07-LS</t>
  </si>
  <si>
    <t>PFI-09..</t>
  </si>
  <si>
    <t>PFI-09-LS</t>
  </si>
  <si>
    <t>PFI-10 (640)</t>
  </si>
  <si>
    <t>PFI-10 (640..)</t>
  </si>
  <si>
    <t>PFI-10 (SA)</t>
  </si>
  <si>
    <t>PFI-10-10B-11B-11-12</t>
  </si>
  <si>
    <t>PFI-10B (641)</t>
  </si>
  <si>
    <t>PFI-10B (641..)</t>
  </si>
  <si>
    <t>PFI-10B (SA)</t>
  </si>
  <si>
    <t>PFI-10-LS</t>
  </si>
  <si>
    <t>PFI-10RG (619)</t>
  </si>
  <si>
    <t>PFI-10RG</t>
  </si>
  <si>
    <t>PFI-11 (1327)</t>
  </si>
  <si>
    <t>PFI-11 (1327..)</t>
  </si>
  <si>
    <t>PFI-11B (642)</t>
  </si>
  <si>
    <t>PFI-11B (642..)</t>
  </si>
  <si>
    <t>PFI-11B (SA)</t>
  </si>
  <si>
    <t>PFI-12 (1328)</t>
  </si>
  <si>
    <t>PFI-12 (1328..)</t>
  </si>
  <si>
    <t>PFI-20 (643)</t>
  </si>
  <si>
    <t>PFI-20 (643..)</t>
  </si>
  <si>
    <t>PFI-20 (SA)</t>
  </si>
  <si>
    <t>PFI-20. (643)</t>
  </si>
  <si>
    <t>PFI-20-20B</t>
  </si>
  <si>
    <t>PFI-20B (644)</t>
  </si>
  <si>
    <t>PFI-20B (644) (TC)</t>
  </si>
  <si>
    <t>PFI-20B (644..)</t>
  </si>
  <si>
    <t>PFI-20B (664..)</t>
  </si>
  <si>
    <t>PFI-20B (TC)</t>
  </si>
  <si>
    <t>PFI-20B (TS)</t>
  </si>
  <si>
    <t>PFI-20-LS</t>
  </si>
  <si>
    <t>PFI-21B (645)</t>
  </si>
  <si>
    <t>PFI-21B (645..)</t>
  </si>
  <si>
    <t>PFI-21B (TS)</t>
  </si>
  <si>
    <t>PFI-22 (1292)</t>
  </si>
  <si>
    <t>PFI-22 (1292..)</t>
  </si>
  <si>
    <t>PFI-22 (1292P)</t>
  </si>
  <si>
    <t>PFI-22B (646)</t>
  </si>
  <si>
    <t>PFI-22B (646..)</t>
  </si>
  <si>
    <t>PFI-30 (1293)</t>
  </si>
  <si>
    <t>PFI-30 (1293..)</t>
  </si>
  <si>
    <t>PFI-30 1293P</t>
  </si>
  <si>
    <t>PFI-32 (1294)</t>
  </si>
  <si>
    <t>PFI-32 (1294..)</t>
  </si>
  <si>
    <t>PFI-32 1294P</t>
  </si>
  <si>
    <t>PFI-O10 (647)</t>
  </si>
  <si>
    <t>PFI-O10 (647..)</t>
  </si>
  <si>
    <t>PFI-O10 (SA)</t>
  </si>
  <si>
    <t>PFO-10 (648)</t>
  </si>
  <si>
    <t>PFO-10 (648..)</t>
  </si>
  <si>
    <t>PFO-10 (TS)</t>
  </si>
  <si>
    <t>PFO-10BG (618)</t>
  </si>
  <si>
    <t>PFO-10-LS</t>
  </si>
  <si>
    <t>PF-POT (649)</t>
  </si>
  <si>
    <t>PF-POT (649..)</t>
  </si>
  <si>
    <t>PF-POT-LS</t>
  </si>
  <si>
    <t>PF-POTS1 (P1) (1284)</t>
  </si>
  <si>
    <t>PF-POTS1 (P1) (1284)+(P2)(1285)</t>
  </si>
  <si>
    <t>PF-POTS1(P1)+PF-POTS1(P2)</t>
  </si>
  <si>
    <t>PF-POTS1 (P1) (1284)+(P2)(1285)-LS</t>
  </si>
  <si>
    <t>PF-POTS1 (P2) (1285)</t>
  </si>
  <si>
    <t>PF-POTS1(P-1)(1284)+PF-POTS1(P-2)(1285)</t>
  </si>
  <si>
    <t>PFR-10 (650)</t>
  </si>
  <si>
    <t>PFR-10 (650..)</t>
  </si>
  <si>
    <t>PFR-10 (SA)</t>
  </si>
  <si>
    <t>PFR-10-LS</t>
  </si>
  <si>
    <t>PF-RG1 (651)</t>
  </si>
  <si>
    <t>PF-RG1-LS</t>
  </si>
  <si>
    <t>PF-RG2 (652)</t>
  </si>
  <si>
    <t>PF-RG3 (1093)</t>
  </si>
  <si>
    <t>PF-RG3-LS</t>
  </si>
  <si>
    <t>PKG-01 (10)</t>
  </si>
  <si>
    <t>PKG-01(10)</t>
  </si>
  <si>
    <t>PKG-01 (10) (900)</t>
  </si>
  <si>
    <t>PKG-01 (100)</t>
  </si>
  <si>
    <t>PKG-01(100)</t>
  </si>
  <si>
    <t>PKG-01 (100) (900)</t>
  </si>
  <si>
    <t>PKG-01 (2)</t>
  </si>
  <si>
    <t>PKG-01 (2) (900)</t>
  </si>
  <si>
    <t>PKG-01 (20)</t>
  </si>
  <si>
    <t>PKG-01(20)</t>
  </si>
  <si>
    <t>PKG-01 (20) (900)</t>
  </si>
  <si>
    <t>PKG-01 (4)</t>
  </si>
  <si>
    <t>PKG-01 (4) (900)</t>
  </si>
  <si>
    <t>PKG-01 (50)</t>
  </si>
  <si>
    <t>PKG-01(50)</t>
  </si>
  <si>
    <t>PKG-01 (50) (900)</t>
  </si>
  <si>
    <t>PKG-01 (900)</t>
  </si>
  <si>
    <t>PKG-02 (1059)</t>
  </si>
  <si>
    <t>PKG-03 (1060)</t>
  </si>
  <si>
    <t>PKG-03-LS</t>
  </si>
  <si>
    <t>PKG-04 (1061)</t>
  </si>
  <si>
    <t>PKG-04-LS</t>
  </si>
  <si>
    <t>PKG-05 (1062)</t>
  </si>
  <si>
    <t>PKG-05-LS</t>
  </si>
  <si>
    <t>PKG-06 (1063)</t>
  </si>
  <si>
    <t>PKG-07 (1064)</t>
  </si>
  <si>
    <t>PKG-07-LS</t>
  </si>
  <si>
    <t>PKG-08 (1065)</t>
  </si>
  <si>
    <t>PKG-08-LS</t>
  </si>
  <si>
    <t>PKG-09 (1066)</t>
  </si>
  <si>
    <t>PKG-09-LS</t>
  </si>
  <si>
    <t>PKG-10 (1067)</t>
  </si>
  <si>
    <t>PKG-11 (1068)</t>
  </si>
  <si>
    <t>PKG-11-LS</t>
  </si>
  <si>
    <t>PKG-12 (1191)</t>
  </si>
  <si>
    <t>PKG-12 (1191)-LS</t>
  </si>
  <si>
    <t>PKG-13 (TH)</t>
  </si>
  <si>
    <t>PL-0903</t>
  </si>
  <si>
    <t>PL-2525</t>
  </si>
  <si>
    <t>PL-4503</t>
  </si>
  <si>
    <t>PL-4505</t>
  </si>
  <si>
    <t>PO-AC1 (668)</t>
  </si>
  <si>
    <t>PO-AC2 (669)</t>
  </si>
  <si>
    <t>PO-AC2..</t>
  </si>
  <si>
    <t>PO-AC2-LS</t>
  </si>
  <si>
    <t>PO-AC3 (670)</t>
  </si>
  <si>
    <t>PO-AC3..</t>
  </si>
  <si>
    <t>PO-AC3..-PO-AC2..</t>
  </si>
  <si>
    <t>PO-AC3-LS</t>
  </si>
  <si>
    <t>PO-AC4 (1258)</t>
  </si>
  <si>
    <t>PO-AC5 (1259)</t>
  </si>
  <si>
    <t>PO-M1 (671)</t>
  </si>
  <si>
    <t>PO-M2 (672)</t>
  </si>
  <si>
    <t>PR-01 (673)</t>
  </si>
  <si>
    <t>PR-02 (674)</t>
  </si>
  <si>
    <t>PR-03 (675)</t>
  </si>
  <si>
    <t>PR-03..</t>
  </si>
  <si>
    <t>PR-03-LS</t>
  </si>
  <si>
    <t>PR-04 (676)</t>
  </si>
  <si>
    <t>PR-05 (2) (677)</t>
  </si>
  <si>
    <t>PR-05(2)</t>
  </si>
  <si>
    <t>PR-05 (677)</t>
  </si>
  <si>
    <t>PR-06 (2) (678)</t>
  </si>
  <si>
    <t>PR-06(2)</t>
  </si>
  <si>
    <t>PR-06 (678)</t>
  </si>
  <si>
    <t>PR-07 (679)</t>
  </si>
  <si>
    <t>PR-08 (680)</t>
  </si>
  <si>
    <t>PR-08-LS</t>
  </si>
  <si>
    <t>PR-09 (681)</t>
  </si>
  <si>
    <t>PR-10 (682)</t>
  </si>
  <si>
    <t>PR-12 (4) (684)</t>
  </si>
  <si>
    <t>PR-12 (4) (684)-LS</t>
  </si>
  <si>
    <t>PR-12 (684)</t>
  </si>
  <si>
    <t>PR-12..</t>
  </si>
  <si>
    <t>PR-12-LS</t>
  </si>
  <si>
    <t>PR-13 (685)</t>
  </si>
  <si>
    <t>PR-14 (686)</t>
  </si>
  <si>
    <t>PR-14 (686)-LS</t>
  </si>
  <si>
    <t>PR-14 (SA)</t>
  </si>
  <si>
    <t>PR-14..</t>
  </si>
  <si>
    <t>PR-14.. (SA)</t>
  </si>
  <si>
    <t>PR-15 (687)</t>
  </si>
  <si>
    <t>PR-16 (688)</t>
  </si>
  <si>
    <t>PR-17 (689)</t>
  </si>
  <si>
    <t>PR-19 (691)</t>
  </si>
  <si>
    <t>PR-20 (692)</t>
  </si>
  <si>
    <t>PR-21 (693)</t>
  </si>
  <si>
    <t>PR-22 (694)</t>
  </si>
  <si>
    <t>PR-23 (695)</t>
  </si>
  <si>
    <t>PR-24 (696)</t>
  </si>
  <si>
    <t>PR-25 (697)</t>
  </si>
  <si>
    <t>PR-26 (698)</t>
  </si>
  <si>
    <t>PR-27 (699)</t>
  </si>
  <si>
    <t>PR-28 (700)</t>
  </si>
  <si>
    <t>PR-29 (966)</t>
  </si>
  <si>
    <t>PR-30 (1320)</t>
  </si>
  <si>
    <t>PR-31 (1321)</t>
  </si>
  <si>
    <t>PR-32 (1322)</t>
  </si>
  <si>
    <t>PR-33 (1323)</t>
  </si>
  <si>
    <t>PR-34 (1324)</t>
  </si>
  <si>
    <t>PR-35 (1325)</t>
  </si>
  <si>
    <t>PR-36-LS</t>
  </si>
  <si>
    <t>PR-37-LS</t>
  </si>
  <si>
    <t>PR-38-LS</t>
  </si>
  <si>
    <t>PR-40-LS</t>
  </si>
  <si>
    <t>PR-41-LS</t>
  </si>
  <si>
    <t>PR-42-LS</t>
  </si>
  <si>
    <t>PR-43-LS</t>
  </si>
  <si>
    <t>PRAB02</t>
  </si>
  <si>
    <t>PR-AB02</t>
  </si>
  <si>
    <t>PRAB07</t>
  </si>
  <si>
    <t>PR-AB07</t>
  </si>
  <si>
    <t>PRAB12</t>
  </si>
  <si>
    <t>PR-AB12</t>
  </si>
  <si>
    <t>PRAW03</t>
  </si>
  <si>
    <t>PR-AW03</t>
  </si>
  <si>
    <t>PRTP01</t>
  </si>
  <si>
    <t>PR-TP01</t>
  </si>
  <si>
    <t>PRTP02</t>
  </si>
  <si>
    <t>PR-TP02</t>
  </si>
  <si>
    <t>PRTP03</t>
  </si>
  <si>
    <t>PR-TP03</t>
  </si>
  <si>
    <t>PRTP04</t>
  </si>
  <si>
    <t>PR-TP04</t>
  </si>
  <si>
    <t>PRTP06</t>
  </si>
  <si>
    <t>PR-TP06</t>
  </si>
  <si>
    <t>PS-02 (706)</t>
  </si>
  <si>
    <t>PS-03 (707)</t>
  </si>
  <si>
    <t>PS-04 (708)</t>
  </si>
  <si>
    <t>PS-05 (709)</t>
  </si>
  <si>
    <t>PS-06 (710)</t>
  </si>
  <si>
    <t>PS-07 (711)</t>
  </si>
  <si>
    <t>PS-08 (712)</t>
  </si>
  <si>
    <t>PS-09 (713)</t>
  </si>
  <si>
    <t>PS-10 (714)</t>
  </si>
  <si>
    <t>PS-15 (719)</t>
  </si>
  <si>
    <t>PS-16 (720)</t>
  </si>
  <si>
    <t>PS-16</t>
  </si>
  <si>
    <t>PS-17 (721)</t>
  </si>
  <si>
    <t>PS-18 (722)</t>
  </si>
  <si>
    <t>PS-19 (961)</t>
  </si>
  <si>
    <t>PS-20 (962)</t>
  </si>
  <si>
    <t>PS-21 (963)</t>
  </si>
  <si>
    <t>PS-22 (964)</t>
  </si>
  <si>
    <t>PS-23 (965)</t>
  </si>
  <si>
    <t>PS-24 (1094)</t>
  </si>
  <si>
    <t>PS-25 (1095)</t>
  </si>
  <si>
    <t>PS-26 (1096)</t>
  </si>
  <si>
    <t>PS-27 (1192)</t>
  </si>
  <si>
    <t>PS-28 (1193)</t>
  </si>
  <si>
    <t>PS-29 (1194)</t>
  </si>
  <si>
    <t>PS-30 (1195)</t>
  </si>
  <si>
    <t>PS-31 (1196)</t>
  </si>
  <si>
    <t>PS-32 (1197)</t>
  </si>
  <si>
    <t>PS-33 (1198)</t>
  </si>
  <si>
    <t>PS-34 (1199)</t>
  </si>
  <si>
    <t>PS-35 (1200)</t>
  </si>
  <si>
    <t>PS-36 (1201)</t>
  </si>
  <si>
    <t>PS-37 (1202)</t>
  </si>
  <si>
    <t>PS-38 (1203)</t>
  </si>
  <si>
    <t>PS-39 (1204)</t>
  </si>
  <si>
    <t>PS-40 (1205)</t>
  </si>
  <si>
    <t>PS-41 (1206)</t>
  </si>
  <si>
    <t>PS-42 (1207)</t>
  </si>
  <si>
    <t>PS-43 (1208)</t>
  </si>
  <si>
    <t>PS-44 (1209)</t>
  </si>
  <si>
    <t>PS-45 (1210)</t>
  </si>
  <si>
    <t>PS-46 (1211)</t>
  </si>
  <si>
    <t>PS-46 (1211)-LS</t>
  </si>
  <si>
    <t>PS-47 (1212)</t>
  </si>
  <si>
    <t>PS-47 (1212)-LS</t>
  </si>
  <si>
    <t>PS-48 (1213)</t>
  </si>
  <si>
    <t>PS-49 (1214)</t>
  </si>
  <si>
    <t>PS-50 (1215)</t>
  </si>
  <si>
    <t>PS-51 (1216)</t>
  </si>
  <si>
    <t>PS-52 (1217)</t>
  </si>
  <si>
    <t>PS-53 (1218)</t>
  </si>
  <si>
    <t>PS-54 (1219)</t>
  </si>
  <si>
    <t>PS-55 (1220)</t>
  </si>
  <si>
    <t>PS-56 (1221)</t>
  </si>
  <si>
    <t>PS-57 (1222)</t>
  </si>
  <si>
    <t>PS-58 (1223)</t>
  </si>
  <si>
    <t>PS-59 (1224)</t>
  </si>
  <si>
    <t>PS-60 (1225)</t>
  </si>
  <si>
    <t>PS-61 (1226)</t>
  </si>
  <si>
    <t>PS-63 (1228)</t>
  </si>
  <si>
    <t>PS-64 (1229)</t>
  </si>
  <si>
    <t>PS-65 (1230)</t>
  </si>
  <si>
    <t>PS-66 (1231)</t>
  </si>
  <si>
    <t>PS-67 (1232)</t>
  </si>
  <si>
    <t>PS-68 (1233)</t>
  </si>
  <si>
    <t>PS-69 (1234)</t>
  </si>
  <si>
    <t>PS-70 (1235)</t>
  </si>
  <si>
    <t>PS-71 (1236)</t>
  </si>
  <si>
    <t>PS-73 (1238)</t>
  </si>
  <si>
    <t>PS-74 (1239)</t>
  </si>
  <si>
    <t>PS-75 (1240)</t>
  </si>
  <si>
    <t>PS-77 (1242)</t>
  </si>
  <si>
    <t>PS-78 (1243)</t>
  </si>
  <si>
    <t>PS-79 (1244)</t>
  </si>
  <si>
    <t>PS-80 (1245)</t>
  </si>
  <si>
    <t>PS-81 (1246)</t>
  </si>
  <si>
    <t>PS-82 (1247)</t>
  </si>
  <si>
    <t>PS-83 (1248)</t>
  </si>
  <si>
    <t>PS-84 (1249)</t>
  </si>
  <si>
    <t>PS-85 (1250)</t>
  </si>
  <si>
    <t>PS-87 (1252)</t>
  </si>
  <si>
    <t>PS-88 (1253)</t>
  </si>
  <si>
    <t>PS-89 (1254)</t>
  </si>
  <si>
    <t>PS-90 (1289)</t>
  </si>
  <si>
    <t>PS-90 (1289)-LS</t>
  </si>
  <si>
    <t>PS-91 (1290)</t>
  </si>
  <si>
    <t>PS-91 (1290)-LS</t>
  </si>
  <si>
    <t>PS-92 (1424)</t>
  </si>
  <si>
    <t>PS-92</t>
  </si>
  <si>
    <t>PS-93 (1425)</t>
  </si>
  <si>
    <t>PS-94 (1326)</t>
  </si>
  <si>
    <t>PS-96 (1414)</t>
  </si>
  <si>
    <t>PSAB03</t>
  </si>
  <si>
    <t>PS-AB03</t>
  </si>
  <si>
    <t>PSAW03</t>
  </si>
  <si>
    <t>PS-AW03</t>
  </si>
  <si>
    <t>PSTP01</t>
  </si>
  <si>
    <t>PS-TP01</t>
  </si>
  <si>
    <t>PT-1G (01029Q01T)</t>
  </si>
  <si>
    <t>PT-1G (1029)</t>
  </si>
  <si>
    <t>PT-2Q (01030Q01T)</t>
  </si>
  <si>
    <t>PT-5G (1031)</t>
  </si>
  <si>
    <t>Punch No. 10</t>
  </si>
  <si>
    <t>REP_Punch_No_10</t>
  </si>
  <si>
    <t>R1-IY1X-RNH5</t>
  </si>
  <si>
    <t>RCB-01 (725)</t>
  </si>
  <si>
    <t>RCB-02 (726)</t>
  </si>
  <si>
    <t>RCB-02 (SA)</t>
  </si>
  <si>
    <t>RCB-02 (TC)</t>
  </si>
  <si>
    <t>RCB-02..</t>
  </si>
  <si>
    <t>RCB-02-LS</t>
  </si>
  <si>
    <t>RCB-03 (727)</t>
  </si>
  <si>
    <t>RCB-03 (727)..</t>
  </si>
  <si>
    <t>RCB-03 (727)-LS</t>
  </si>
  <si>
    <t>RCB-04</t>
  </si>
  <si>
    <t>RCB-06 (4)</t>
  </si>
  <si>
    <t>RCB-06 (4) (730)</t>
  </si>
  <si>
    <t>RCB-06 (4) (730)-LS</t>
  </si>
  <si>
    <t>RCB-06 (730)</t>
  </si>
  <si>
    <t>RCB-06 (730..)</t>
  </si>
  <si>
    <t>RCB-06..</t>
  </si>
  <si>
    <t>RCB-06-LS</t>
  </si>
  <si>
    <t>RCB-07 (2)</t>
  </si>
  <si>
    <t>RCB-07 (2) (731)</t>
  </si>
  <si>
    <t>RCB-07 (2) (731)-LS</t>
  </si>
  <si>
    <t>RCB-07 (731)</t>
  </si>
  <si>
    <t>RCB-07 (731) (TH)</t>
  </si>
  <si>
    <t>RCB-07 (731..)</t>
  </si>
  <si>
    <t>RCB-07 (TH)</t>
  </si>
  <si>
    <t>RCB-07-LS</t>
  </si>
  <si>
    <t>RCB-08 (732)</t>
  </si>
  <si>
    <t>RCB-09 (733)</t>
  </si>
  <si>
    <t>RCB-09-LS</t>
  </si>
  <si>
    <t>RCB-10 (734)</t>
  </si>
  <si>
    <t>RCB-10-LS</t>
  </si>
  <si>
    <t>RCB-12 (2)</t>
  </si>
  <si>
    <t>RCB-12(2)</t>
  </si>
  <si>
    <t>RCB-12..</t>
  </si>
  <si>
    <t>RCB-12-RCB-12 (2)</t>
  </si>
  <si>
    <t>Red Poly Net Bag</t>
  </si>
  <si>
    <t>REP_BARB</t>
  </si>
  <si>
    <t>REP_FIREBRICK</t>
  </si>
  <si>
    <t>REP_LEG</t>
  </si>
  <si>
    <t>Rep_legs</t>
  </si>
  <si>
    <t>REP_ORIFICE</t>
  </si>
  <si>
    <t>REP_Panels</t>
  </si>
  <si>
    <t>REP_PART</t>
  </si>
  <si>
    <t>REP_Reducer Disc</t>
  </si>
  <si>
    <t>REP_Reducer_Disc</t>
  </si>
  <si>
    <t>REP_REGULATOR</t>
  </si>
  <si>
    <t>REP_REREACTORY COATING</t>
  </si>
  <si>
    <t>REP_REREACTORY_COATING</t>
  </si>
  <si>
    <t xml:space="preserve">REP_STAND HB-31P (340)	</t>
  </si>
  <si>
    <t>REP_STAND_HB-31P</t>
  </si>
  <si>
    <t>REP_VALVES &amp; HOSE</t>
  </si>
  <si>
    <t>REP_VALVES_&amp;_HOSE</t>
  </si>
  <si>
    <t>RS-0412 (735)</t>
  </si>
  <si>
    <t>RS-0421 (736)</t>
  </si>
  <si>
    <t>RS-0422 (737)</t>
  </si>
  <si>
    <t>RS-0432 (738)</t>
  </si>
  <si>
    <t>RS-0441 (739)</t>
  </si>
  <si>
    <t>RS-0442 (740)</t>
  </si>
  <si>
    <t>RS-1021 (741)</t>
  </si>
  <si>
    <t>RS-1041 (742)</t>
  </si>
  <si>
    <t>RS-1061 (743)</t>
  </si>
  <si>
    <t>S13 (1070)</t>
  </si>
  <si>
    <t>S13J</t>
  </si>
  <si>
    <t>S13X (1071)</t>
  </si>
  <si>
    <t>S21 (370)</t>
  </si>
  <si>
    <t>S21F (371)</t>
  </si>
  <si>
    <t>S21H (372)</t>
  </si>
  <si>
    <t>S21J (373)</t>
  </si>
  <si>
    <t>S21-LS</t>
  </si>
  <si>
    <t>S21X (374)</t>
  </si>
  <si>
    <t>S21X-Test</t>
  </si>
  <si>
    <t>S25 (375)</t>
  </si>
  <si>
    <t>S25J (378)</t>
  </si>
  <si>
    <t>S25J-LS</t>
  </si>
  <si>
    <t>S25-LS</t>
  </si>
  <si>
    <t>S25X (379)</t>
  </si>
  <si>
    <t>S25X-LS</t>
  </si>
  <si>
    <t>S5-P3JL-ZR9U</t>
  </si>
  <si>
    <t>S9</t>
  </si>
  <si>
    <t>S9 (1073)</t>
  </si>
  <si>
    <t>S9FP (2)</t>
  </si>
  <si>
    <t>S9FP(2)</t>
  </si>
  <si>
    <t>S9FP (3)</t>
  </si>
  <si>
    <t>S9FP(3)</t>
  </si>
  <si>
    <t>S9FP (4)</t>
  </si>
  <si>
    <t>S9FP(4)</t>
  </si>
  <si>
    <t>S9FP VARIANT</t>
  </si>
  <si>
    <t>S9FP-S9FP (2)-S9FP (3)-S9FP (4)</t>
  </si>
  <si>
    <t>S9J (382)</t>
  </si>
  <si>
    <t>S9J-LS</t>
  </si>
  <si>
    <t>S9X (383)</t>
  </si>
  <si>
    <t>S9X-LS</t>
  </si>
  <si>
    <t>SBA-01 (1003)</t>
  </si>
  <si>
    <t>SBA-01 (2) (1003)</t>
  </si>
  <si>
    <t>SBA-01 (5) (1003)</t>
  </si>
  <si>
    <t>SBA-01(5)</t>
  </si>
  <si>
    <t>SBA-02 (1004)</t>
  </si>
  <si>
    <t>SBA-02 (2) (1004)</t>
  </si>
  <si>
    <t>SBA-03 (4) (1005)</t>
  </si>
  <si>
    <t>SBA-03(4)</t>
  </si>
  <si>
    <t>SBA-04 (1006)</t>
  </si>
  <si>
    <t>SBA-04 (2) (1006)</t>
  </si>
  <si>
    <t>SBA-04 (3) (1006)</t>
  </si>
  <si>
    <t>SBA-04 (5) (1006)</t>
  </si>
  <si>
    <t>SBA-04 (8) (1006)</t>
  </si>
  <si>
    <t>SBA-07 (4) (1009)</t>
  </si>
  <si>
    <t>SBA-08 (1010)</t>
  </si>
  <si>
    <t>SBA-08 (5) (1010)</t>
  </si>
  <si>
    <t>SBA-08 (8) (1010)</t>
  </si>
  <si>
    <t>SBA-09 (1011)</t>
  </si>
  <si>
    <t>SBA-09 (5)</t>
  </si>
  <si>
    <t>SBA-09 (5) (1011)</t>
  </si>
  <si>
    <t>SBA-09 (8)</t>
  </si>
  <si>
    <t>SBA-10 (1012)</t>
  </si>
  <si>
    <t>SBA-10 (5) (1012)</t>
  </si>
  <si>
    <t>SBA-10 (8) (1012)</t>
  </si>
  <si>
    <t>SBA-11 (1013)</t>
  </si>
  <si>
    <t>SBA-11 (5) (1013)</t>
  </si>
  <si>
    <t>SBA-11 (8) (1013)</t>
  </si>
  <si>
    <t>SBA-12 (2) (1014)</t>
  </si>
  <si>
    <t>SBA-12 (5) (1014)</t>
  </si>
  <si>
    <t>SBA-13 (1015)</t>
  </si>
  <si>
    <t>SBA-13 (2)</t>
  </si>
  <si>
    <t>SBA-13 (2) (1015)</t>
  </si>
  <si>
    <t>SBA-14 (2) (1016)</t>
  </si>
  <si>
    <t>SBA-14(2)</t>
  </si>
  <si>
    <t>SBA-14 (5) (1016)</t>
  </si>
  <si>
    <t>SBA-15 (1017)</t>
  </si>
  <si>
    <t>SBA-15 (2)</t>
  </si>
  <si>
    <t>SBA-15 (2) (1017)</t>
  </si>
  <si>
    <t>SBA-15 (5)</t>
  </si>
  <si>
    <t>SBA-15 (5) (1017)</t>
  </si>
  <si>
    <t>SBA-16 (2) (1018)</t>
  </si>
  <si>
    <t>SBA-16 (5) (1018)</t>
  </si>
  <si>
    <t>SBA-17 (2)</t>
  </si>
  <si>
    <t>SBA-17 (2) (1019)</t>
  </si>
  <si>
    <t>SBA-17 (5)</t>
  </si>
  <si>
    <t>SBA-17 (5) (1019)</t>
  </si>
  <si>
    <t>SBA-18 (1020)</t>
  </si>
  <si>
    <t>SBA-18 (2)</t>
  </si>
  <si>
    <t>SBA-18(2)</t>
  </si>
  <si>
    <t>SBA-18 (2) (1020)</t>
  </si>
  <si>
    <t>SBA-18 (8)</t>
  </si>
  <si>
    <t>SBA-18 (8) (1020)</t>
  </si>
  <si>
    <t>SBA-19 (1021)</t>
  </si>
  <si>
    <t>SBA-19 (2)</t>
  </si>
  <si>
    <t>SBA-19 (2) (1021)</t>
  </si>
  <si>
    <t>SBA-19 (5)</t>
  </si>
  <si>
    <t>SBA-19 (5) (1021)</t>
  </si>
  <si>
    <t>SBA-20 (2) (1022)</t>
  </si>
  <si>
    <t>SBA-21 (5) (1023)</t>
  </si>
  <si>
    <t>SE01</t>
  </si>
  <si>
    <t>SE-01</t>
  </si>
  <si>
    <t>SG-2424AC (1303)</t>
  </si>
  <si>
    <t>SG-2424AC (1303..)</t>
  </si>
  <si>
    <t>SG-2424AD (1302)</t>
  </si>
  <si>
    <t>SG-2424BC (1307)</t>
  </si>
  <si>
    <t>SG-2424BC(1307)</t>
  </si>
  <si>
    <t>SG-2424BD (1306)</t>
  </si>
  <si>
    <t>SG-2432AC (1304)</t>
  </si>
  <si>
    <t>SG-2432AD (1305)</t>
  </si>
  <si>
    <t>SG-2432BC (1308)</t>
  </si>
  <si>
    <t>SG-2432BD (1309)</t>
  </si>
  <si>
    <t>SG-2436AC (1300)</t>
  </si>
  <si>
    <t>SG-2436AE (1301)</t>
  </si>
  <si>
    <t>SG-2448AC (1296)</t>
  </si>
  <si>
    <t>SG-2448AD (1295)</t>
  </si>
  <si>
    <t>SG-2448AD (1429)</t>
  </si>
  <si>
    <t>SG-2448AE (1297)</t>
  </si>
  <si>
    <t>SG-2448AE (1297..)</t>
  </si>
  <si>
    <t>SG-3038AA (1294)</t>
  </si>
  <si>
    <t>SG-3038AA (1428)</t>
  </si>
  <si>
    <t>SG-3038AB (1293)</t>
  </si>
  <si>
    <t>SG-3038AB(1427)</t>
  </si>
  <si>
    <t>SG-4830AA (1292)</t>
  </si>
  <si>
    <t>SG-4830AB (1291)</t>
  </si>
  <si>
    <t>SG-4836AC (1299)</t>
  </si>
  <si>
    <t>SG-4836AC</t>
  </si>
  <si>
    <t>SG-4836AD (1298)</t>
  </si>
  <si>
    <t>Sneeze Guard</t>
  </si>
  <si>
    <t>SOL-01</t>
  </si>
  <si>
    <t>SOL-02</t>
  </si>
  <si>
    <t>SOL-03</t>
  </si>
  <si>
    <t>SOL04</t>
  </si>
  <si>
    <t>SOL05</t>
  </si>
  <si>
    <t>SOL06</t>
  </si>
  <si>
    <t>SOL-06</t>
  </si>
  <si>
    <t>SPE02</t>
  </si>
  <si>
    <t>SPE-02 (4)</t>
  </si>
  <si>
    <t>SPE-02(4)</t>
  </si>
  <si>
    <t>SPE02Q4</t>
  </si>
  <si>
    <t>SPE03</t>
  </si>
  <si>
    <t>SPE03Q4</t>
  </si>
  <si>
    <t>SPFA08124</t>
  </si>
  <si>
    <t>SPF-A08124</t>
  </si>
  <si>
    <t>SPFA1216</t>
  </si>
  <si>
    <t>SPF-A1216</t>
  </si>
  <si>
    <t>SPFA1414</t>
  </si>
  <si>
    <t>SPF-A1414</t>
  </si>
  <si>
    <t>SPFA2024</t>
  </si>
  <si>
    <t>SPF-A2024</t>
  </si>
  <si>
    <t>SPFA2024Q2</t>
  </si>
  <si>
    <t>SPF-A2024(2)</t>
  </si>
  <si>
    <t>SPFB1012</t>
  </si>
  <si>
    <t>SPF-B1012</t>
  </si>
  <si>
    <t>SPFC0812</t>
  </si>
  <si>
    <t>SPF-C0812</t>
  </si>
  <si>
    <t>SPFD1216</t>
  </si>
  <si>
    <t>SPF-D1216</t>
  </si>
  <si>
    <t>SPS04</t>
  </si>
  <si>
    <t>SP-S04</t>
  </si>
  <si>
    <t>SPS06</t>
  </si>
  <si>
    <t>SP-S06</t>
  </si>
  <si>
    <t>SPS10</t>
  </si>
  <si>
    <t>SP-S10</t>
  </si>
  <si>
    <t>SPS12</t>
  </si>
  <si>
    <t>SP-S12</t>
  </si>
  <si>
    <t>SPS-12</t>
  </si>
  <si>
    <t>SPS14</t>
  </si>
  <si>
    <t>SP-S14</t>
  </si>
  <si>
    <t>SPS15</t>
  </si>
  <si>
    <t>SP-S15</t>
  </si>
  <si>
    <t>SPS16</t>
  </si>
  <si>
    <t>SP-S16</t>
  </si>
  <si>
    <t>SPS20</t>
  </si>
  <si>
    <t>SP-S20</t>
  </si>
  <si>
    <t>SR-A0404 (077)</t>
  </si>
  <si>
    <t>SR-A0606 (078)</t>
  </si>
  <si>
    <t>SR-A0808 (079)</t>
  </si>
  <si>
    <t>SR-A1212 (080)</t>
  </si>
  <si>
    <t>SR-B0336 (084)</t>
  </si>
  <si>
    <t>SR-B0404 (085)</t>
  </si>
  <si>
    <t>SR-B0808 (087)</t>
  </si>
  <si>
    <t>SR-B1010 (088)</t>
  </si>
  <si>
    <t>SR-B1036 (089)</t>
  </si>
  <si>
    <t>SR-B1212 (090)</t>
  </si>
  <si>
    <t>SR-B1236 (092)</t>
  </si>
  <si>
    <t>SR-B3636 (093)</t>
  </si>
  <si>
    <t>SS Round Tube</t>
  </si>
  <si>
    <t>SS01</t>
  </si>
  <si>
    <t>SS03</t>
  </si>
  <si>
    <t>SS-03</t>
  </si>
  <si>
    <t>SS04</t>
  </si>
  <si>
    <t>SS06</t>
  </si>
  <si>
    <t>SS07</t>
  </si>
  <si>
    <t>SS08</t>
  </si>
  <si>
    <t>SS-08</t>
  </si>
  <si>
    <t>SS09</t>
  </si>
  <si>
    <t>SS10</t>
  </si>
  <si>
    <t>SS11</t>
  </si>
  <si>
    <t>SS-11</t>
  </si>
  <si>
    <t>SS12</t>
  </si>
  <si>
    <t>SS13</t>
  </si>
  <si>
    <t>SS14</t>
  </si>
  <si>
    <t>SS-14</t>
  </si>
  <si>
    <t>SS15</t>
  </si>
  <si>
    <t>SS-15</t>
  </si>
  <si>
    <t>SS16</t>
  </si>
  <si>
    <t>SS-17 (950)</t>
  </si>
  <si>
    <t>SS-18 (951)</t>
  </si>
  <si>
    <t>SS-19 (952)</t>
  </si>
  <si>
    <t>SS-20 (953)</t>
  </si>
  <si>
    <t>SS-21 (954)</t>
  </si>
  <si>
    <t>SS-22 (955)</t>
  </si>
  <si>
    <t>SS-23 (956)</t>
  </si>
  <si>
    <t>SS-24 (957)</t>
  </si>
  <si>
    <t>SS-25 (958)</t>
  </si>
  <si>
    <t>SS-27 (999)</t>
  </si>
  <si>
    <t>SS-29 (1001)</t>
  </si>
  <si>
    <t>SS-30 (1102)</t>
  </si>
  <si>
    <t>SS-31 (1103)</t>
  </si>
  <si>
    <t>SS-32 (1104)</t>
  </si>
  <si>
    <t>SS-33 (1105)</t>
  </si>
  <si>
    <t>SS-34 (1106)</t>
  </si>
  <si>
    <t>SS-35 (1107)</t>
  </si>
  <si>
    <t>SS-36 (1108)</t>
  </si>
  <si>
    <t>SS-37 (1109)</t>
  </si>
  <si>
    <t>SS-38 (1110)</t>
  </si>
  <si>
    <t>SS-39 (1111)</t>
  </si>
  <si>
    <t>SS-40 (1112)</t>
  </si>
  <si>
    <t>SS-41 (1113)</t>
  </si>
  <si>
    <t>SS-42 (1114)</t>
  </si>
  <si>
    <t>SS-43 (1115)</t>
  </si>
  <si>
    <t>SS-44 (1116)</t>
  </si>
  <si>
    <t>SS-45 (1117)</t>
  </si>
  <si>
    <t>SS-46 (1118)</t>
  </si>
  <si>
    <t>SS-47 (1119)</t>
  </si>
  <si>
    <t>SS-48 (1120)</t>
  </si>
  <si>
    <t>SS-49 (1121)</t>
  </si>
  <si>
    <t>ST-01 (HA)</t>
  </si>
  <si>
    <t>ST-03 (TH)</t>
  </si>
  <si>
    <t>ST-05-LS</t>
  </si>
  <si>
    <t>ST-06-LS</t>
  </si>
  <si>
    <t>ST-A103 (828)</t>
  </si>
  <si>
    <t>ST-A103</t>
  </si>
  <si>
    <t>ST-A109 (829)</t>
  </si>
  <si>
    <t>ST-A109</t>
  </si>
  <si>
    <t>ST-A115 (830)</t>
  </si>
  <si>
    <t>ST-A115</t>
  </si>
  <si>
    <t>ST-A130 (831)</t>
  </si>
  <si>
    <t>ST-A130</t>
  </si>
  <si>
    <t>test</t>
  </si>
  <si>
    <t>test_new</t>
  </si>
  <si>
    <t>testforlinks</t>
  </si>
  <si>
    <t>TO-01 (820)</t>
  </si>
  <si>
    <t>TO-01..</t>
  </si>
  <si>
    <t>TO-01-LS</t>
  </si>
  <si>
    <t>TO-02 (821)</t>
  </si>
  <si>
    <t>TO-02 (SA)</t>
  </si>
  <si>
    <t>TO-02..</t>
  </si>
  <si>
    <t>TO-02-LS</t>
  </si>
  <si>
    <t>TO-03 (822)</t>
  </si>
  <si>
    <t>TO-03-LS</t>
  </si>
  <si>
    <t>TO-04 (823)</t>
  </si>
  <si>
    <t>TO-04-LS</t>
  </si>
  <si>
    <t>TO-05 (824)</t>
  </si>
  <si>
    <t>TO-05-LS</t>
  </si>
  <si>
    <t>TO-06 (825)</t>
  </si>
  <si>
    <t>TO-06-LS</t>
  </si>
  <si>
    <t>TO-CO1 (826)</t>
  </si>
  <si>
    <t>TO-CO1-LS</t>
  </si>
  <si>
    <t>TO-CO2 (827)</t>
  </si>
  <si>
    <t>TO-CO2-LS</t>
  </si>
  <si>
    <t>tong</t>
  </si>
  <si>
    <t>UJMT-01 (442)</t>
  </si>
  <si>
    <t>UJMT-02 (443)</t>
  </si>
  <si>
    <t>UJMT-03(444)</t>
  </si>
  <si>
    <t>UJMT-59 (535)</t>
  </si>
  <si>
    <t>UMFI-10 (622)</t>
  </si>
  <si>
    <t>UMFI-12 (623)</t>
  </si>
  <si>
    <t>UPF-20 (631)</t>
  </si>
  <si>
    <t>UPF-32 (638)</t>
  </si>
  <si>
    <t>UPFI-05 (662)</t>
  </si>
  <si>
    <t>UPFI-06 (663)</t>
  </si>
  <si>
    <t>UPFI-10 (640)</t>
  </si>
  <si>
    <t>UPFI-10B (641)</t>
  </si>
  <si>
    <t>UPFI-20 (643)</t>
  </si>
  <si>
    <t>UPFI-20B (644)</t>
  </si>
  <si>
    <t>UPFO-10 (648)</t>
  </si>
  <si>
    <t>US5 (833)</t>
  </si>
  <si>
    <t>V1</t>
  </si>
  <si>
    <t>V2 (834)</t>
  </si>
  <si>
    <t>V2 (834..)</t>
  </si>
  <si>
    <t>V2-1212 (835)</t>
  </si>
  <si>
    <t>V2-1212 (835) (TC)</t>
  </si>
  <si>
    <t>V2-1212 (835..)</t>
  </si>
  <si>
    <t>V2-1212 (TC)</t>
  </si>
  <si>
    <t>V2-1212-LS</t>
  </si>
  <si>
    <t>V2-1224 (836)</t>
  </si>
  <si>
    <t>V2-1224 (836..)</t>
  </si>
  <si>
    <t>V2-1224 (SA)</t>
  </si>
  <si>
    <t>V2-1224.</t>
  </si>
  <si>
    <t>V2-1224..</t>
  </si>
  <si>
    <t>V2-1224-LS</t>
  </si>
  <si>
    <t>V2-1236 (837)</t>
  </si>
  <si>
    <t>V2-1236 (837..)</t>
  </si>
  <si>
    <t>V2-1824 (838)</t>
  </si>
  <si>
    <t>V2-1824 (838..)</t>
  </si>
  <si>
    <t>V2-1824 (SA)</t>
  </si>
  <si>
    <t>V2-1824-LS</t>
  </si>
  <si>
    <t>V2-8ATW-5WB9</t>
  </si>
  <si>
    <t>V2E (839)</t>
  </si>
  <si>
    <t>V2E (839..)</t>
  </si>
  <si>
    <t>V2E (SA)</t>
  </si>
  <si>
    <t>V2E-LS</t>
  </si>
  <si>
    <t>V2F (840)</t>
  </si>
  <si>
    <t>V2F-LS</t>
  </si>
  <si>
    <t>V2-LS</t>
  </si>
  <si>
    <t>V4 (841)</t>
  </si>
  <si>
    <t>V4 (841..)</t>
  </si>
  <si>
    <t>V4 (SA)</t>
  </si>
  <si>
    <t>V4-1212 (842)</t>
  </si>
  <si>
    <t>V4-1212 (842..)</t>
  </si>
  <si>
    <t>V4-1212 (SA)</t>
  </si>
  <si>
    <t>V4-1212.</t>
  </si>
  <si>
    <t>V4-1212-LS</t>
  </si>
  <si>
    <t>V4-1224 (843)</t>
  </si>
  <si>
    <t>V4-1224 (843..)</t>
  </si>
  <si>
    <t>V4-1224-LS</t>
  </si>
  <si>
    <t>V4-1524 (SA)</t>
  </si>
  <si>
    <t>V4-1524..</t>
  </si>
  <si>
    <t>V4-1524-LS</t>
  </si>
  <si>
    <t>V4-1824 (844)</t>
  </si>
  <si>
    <t>V4-1824.</t>
  </si>
  <si>
    <t>V4-1824-LS</t>
  </si>
  <si>
    <t>V4E (845)</t>
  </si>
  <si>
    <t>V4E (845..)</t>
  </si>
  <si>
    <t>V4E-LS</t>
  </si>
  <si>
    <t>V4F (846)</t>
  </si>
  <si>
    <t>V4F (846..)</t>
  </si>
  <si>
    <t>V4F.</t>
  </si>
  <si>
    <t>V4F..</t>
  </si>
  <si>
    <t>V4F-LS</t>
  </si>
  <si>
    <t>V4H (847)</t>
  </si>
  <si>
    <t>V4-LS</t>
  </si>
  <si>
    <t>V4X04</t>
  </si>
  <si>
    <t>V4X08</t>
  </si>
  <si>
    <t>V5 (848)</t>
  </si>
  <si>
    <t>V5 (848..)</t>
  </si>
  <si>
    <t>V5 (SA)</t>
  </si>
  <si>
    <t>V5..</t>
  </si>
  <si>
    <t>V5-LS</t>
  </si>
  <si>
    <t>V5X03</t>
  </si>
  <si>
    <t>V5X06</t>
  </si>
  <si>
    <t>V6 (849)</t>
  </si>
  <si>
    <t>V6 (849..)</t>
  </si>
  <si>
    <t>V6..</t>
  </si>
  <si>
    <t>V6-LS</t>
  </si>
  <si>
    <t>V6X03</t>
  </si>
  <si>
    <t>V6X06</t>
  </si>
  <si>
    <t>V7 (850)</t>
  </si>
  <si>
    <t>V7-LS</t>
  </si>
  <si>
    <t>V7X03</t>
  </si>
  <si>
    <t>V7X06</t>
  </si>
  <si>
    <t>V8 (851)</t>
  </si>
  <si>
    <t>V8 (851..)</t>
  </si>
  <si>
    <t>V8-LS</t>
  </si>
  <si>
    <t>VMX4</t>
  </si>
  <si>
    <t>VZ</t>
  </si>
  <si>
    <t>VZ2 (852)</t>
  </si>
  <si>
    <t>VZ4 (853)</t>
  </si>
  <si>
    <t>VZ4 (853)..</t>
  </si>
  <si>
    <t>VZ4F (854)</t>
  </si>
  <si>
    <t>VZ4F (854..).</t>
  </si>
  <si>
    <t>VZ4F (SA)</t>
  </si>
  <si>
    <t>VZ4F (TS)</t>
  </si>
  <si>
    <t>VZ6 (855)</t>
  </si>
  <si>
    <t>VZ6 (855)..</t>
  </si>
  <si>
    <t>VZ8 (856)</t>
  </si>
  <si>
    <t>VZ8 (856).</t>
  </si>
  <si>
    <t>WCPA12</t>
  </si>
  <si>
    <t>WCPB12</t>
  </si>
  <si>
    <t>WCPC12</t>
  </si>
  <si>
    <t>WCPD12</t>
  </si>
  <si>
    <t>WCP-D12</t>
  </si>
  <si>
    <t>WCPD24</t>
  </si>
  <si>
    <t>WCPE12</t>
  </si>
  <si>
    <t>WCPF12</t>
  </si>
  <si>
    <t>WCPG12</t>
  </si>
  <si>
    <t>WCPH24</t>
  </si>
  <si>
    <t>WR-A112 (866)</t>
  </si>
  <si>
    <t>WR-A118 (867)</t>
  </si>
  <si>
    <t>WR-A118-LS</t>
  </si>
  <si>
    <t>WR-A124 (868)</t>
  </si>
  <si>
    <t>WR-A124-LS</t>
  </si>
  <si>
    <t>WR-A130 (869)</t>
  </si>
  <si>
    <t>WR-A130-LS</t>
  </si>
  <si>
    <t>WR-A136 (870)</t>
  </si>
  <si>
    <t>WR-A136-LS</t>
  </si>
  <si>
    <t>WR-A142 (871)</t>
  </si>
  <si>
    <t>WR-A142-LS</t>
  </si>
  <si>
    <t>WR-A160 (872)</t>
  </si>
  <si>
    <t>WR-A160-LS</t>
  </si>
  <si>
    <t>WR-A212 (873)</t>
  </si>
  <si>
    <t>WR-A212 (873)..</t>
  </si>
  <si>
    <t>WR-A212.. (TC)</t>
  </si>
  <si>
    <t>WR-A212-LS</t>
  </si>
  <si>
    <t>WR-A218 (874)</t>
  </si>
  <si>
    <t>WR-A218 (874)-1</t>
  </si>
  <si>
    <t>WR-A218-LS</t>
  </si>
  <si>
    <t>WR-A224 (875)</t>
  </si>
  <si>
    <t>WR-A224-LS</t>
  </si>
  <si>
    <t>WR-A230 (876)</t>
  </si>
  <si>
    <t>WR-A230-LS</t>
  </si>
  <si>
    <t>WR-A236 (877)</t>
  </si>
  <si>
    <t>WR-A236-LS</t>
  </si>
  <si>
    <t>WR-A242 (878)</t>
  </si>
  <si>
    <t>WR-A242-LS</t>
  </si>
  <si>
    <t>WR-A260 (879)</t>
  </si>
  <si>
    <t>WR-A260-LS</t>
  </si>
  <si>
    <t>WR-B109 (880)</t>
  </si>
  <si>
    <t>WR-B115 (881)</t>
  </si>
  <si>
    <t>WR-B124 (882)</t>
  </si>
  <si>
    <t>WR-B130 (883)</t>
  </si>
  <si>
    <t>WR-B136 (884)</t>
  </si>
  <si>
    <t>WR-B209 (885)</t>
  </si>
  <si>
    <t>WR-B215 (886)</t>
  </si>
  <si>
    <t>WR-B215-LS</t>
  </si>
  <si>
    <t>WR-B224 (887)</t>
  </si>
  <si>
    <t>WR-B224-LS</t>
  </si>
  <si>
    <t>WR-B230 (888)</t>
  </si>
  <si>
    <t>WR-B236 (889)</t>
  </si>
  <si>
    <t>WR-BX03 (1262)</t>
  </si>
  <si>
    <t>WR-BX09 (1263)</t>
  </si>
  <si>
    <t>WR-BX15 (1264)</t>
  </si>
  <si>
    <t>WR-BX30 (1265)</t>
  </si>
  <si>
    <t>WR-C109 (890)</t>
  </si>
  <si>
    <t>WR-C115 (891)</t>
  </si>
  <si>
    <t>WR-C124 (892)</t>
  </si>
  <si>
    <t>WR-C130 (893)</t>
  </si>
  <si>
    <t>WR-C136 (894)</t>
  </si>
  <si>
    <t>WR-CFR</t>
  </si>
  <si>
    <t>WW-M2B5 (897)</t>
  </si>
  <si>
    <t>WW-M2B5</t>
  </si>
  <si>
    <t>WW-S1A5 (899)</t>
  </si>
  <si>
    <t>Z1 (044)</t>
  </si>
  <si>
    <t>Z1FP</t>
  </si>
  <si>
    <t>Z1-LS</t>
  </si>
  <si>
    <t>Z1X (046)</t>
  </si>
  <si>
    <t>Z1X (046) (TC)</t>
  </si>
  <si>
    <t>Z1X (046..)</t>
  </si>
  <si>
    <t>Z1X-LS</t>
  </si>
  <si>
    <t>Z4 (047)</t>
  </si>
  <si>
    <t>Z4 (047) (TC)</t>
  </si>
  <si>
    <t>Z4..</t>
  </si>
  <si>
    <t>Z4-copy</t>
  </si>
  <si>
    <t>Z4F (048)</t>
  </si>
  <si>
    <t>Z4F (048..)</t>
  </si>
  <si>
    <t>Z4F (SA)</t>
  </si>
  <si>
    <t>Z4F (SB)</t>
  </si>
  <si>
    <t>Z4F + PF-RP15</t>
  </si>
  <si>
    <t>Z4F + PF-RP15..</t>
  </si>
  <si>
    <t>Z4F + PF-RP15-LS</t>
  </si>
  <si>
    <t>Z4F.. (SA)</t>
  </si>
  <si>
    <t>Z4F2 (049)</t>
  </si>
  <si>
    <t>Z4F2 (049..)</t>
  </si>
  <si>
    <t>Z4F2-LS</t>
  </si>
  <si>
    <t>Z4FK (AD)</t>
  </si>
  <si>
    <t>Z4FK..</t>
  </si>
  <si>
    <t>Z4FK-B10J-CFB-11232</t>
  </si>
  <si>
    <t>Z4FK-LS</t>
  </si>
  <si>
    <t>Z4FK-Z4F-Z4J-Z4X-ZS4-B10J (SA)</t>
  </si>
  <si>
    <t>Z4F-LS</t>
  </si>
  <si>
    <t>Z4FP</t>
  </si>
  <si>
    <t>Z4J (052)</t>
  </si>
  <si>
    <t>Z4J (052..)</t>
  </si>
  <si>
    <t>Z4J-LS</t>
  </si>
  <si>
    <t>Z4-LS</t>
  </si>
  <si>
    <t>Z4X (053)</t>
  </si>
  <si>
    <t>Z4X + RCB-07</t>
  </si>
  <si>
    <t>Z4X+RCB-07</t>
  </si>
  <si>
    <t>Z4X-LS</t>
  </si>
  <si>
    <t>Z5 (054)</t>
  </si>
  <si>
    <t>Z6 (1167)</t>
  </si>
  <si>
    <t>Z6X-LS</t>
  </si>
  <si>
    <t>Z8-0BGU-LZZ9</t>
  </si>
  <si>
    <t>ZS1 (057)</t>
  </si>
  <si>
    <t>ZS1 (057) (TC)</t>
  </si>
  <si>
    <t>ZS1-LS</t>
  </si>
  <si>
    <t>ZS3 (058)</t>
  </si>
  <si>
    <t>ZS4 (059)</t>
  </si>
  <si>
    <t>ZS4 (059) (TC)</t>
  </si>
  <si>
    <t>ZS4 (TC)</t>
  </si>
  <si>
    <t>ZS4-LS</t>
  </si>
  <si>
    <t>ZS6 (174)</t>
  </si>
  <si>
    <t>ZS6 (174)-LS</t>
  </si>
  <si>
    <t>A022-NR-A1208 (062A)</t>
  </si>
  <si>
    <t>A022-NR-A1212 (063A)</t>
  </si>
  <si>
    <t>A022-NR-A1248 (066A)</t>
  </si>
  <si>
    <t>A022-NR-B1206 (067A)</t>
  </si>
  <si>
    <t>A022-NR-B1208 (068A)</t>
  </si>
  <si>
    <t>A023-NR-B1212 (069A)</t>
  </si>
  <si>
    <t>A03-0073-PS-52</t>
  </si>
  <si>
    <t>A03-0083-GT-20</t>
  </si>
  <si>
    <t>A03-0085-GT-24</t>
  </si>
  <si>
    <t>A03-0105-FAB-275</t>
  </si>
  <si>
    <t>A03-0107-FAB-278</t>
  </si>
  <si>
    <t>FAB-278</t>
  </si>
  <si>
    <t>A031-B13X (021T)</t>
  </si>
  <si>
    <t>A031-B9F (3) (020T)</t>
  </si>
  <si>
    <t>A032-GT-01 (126A)</t>
  </si>
  <si>
    <t>A032-GT-03 (127A)</t>
  </si>
  <si>
    <t>A033-CS4-2323 (144A)</t>
  </si>
  <si>
    <t>A033-CS4-2335 (145A)</t>
  </si>
  <si>
    <t>A033-CS6-1235 (149A)</t>
  </si>
  <si>
    <t>A033-CS6-2323 (150A)</t>
  </si>
  <si>
    <t>A034-CS6-2335 (151A)</t>
  </si>
  <si>
    <t>A034-CS7-1235 (155A)</t>
  </si>
  <si>
    <t>A034-CS7-2323 (156A)</t>
  </si>
  <si>
    <t>A034-CS7-2335 (157A)</t>
  </si>
  <si>
    <t>A04-0119-PR-33</t>
  </si>
  <si>
    <t>A04-0122-PR-34</t>
  </si>
  <si>
    <t>A04-0138-FAB-119</t>
  </si>
  <si>
    <t>A04-0140-CU-36</t>
  </si>
  <si>
    <t>A042-CM-B230 (169A)</t>
  </si>
  <si>
    <t>A042-CM-D209 (183A)</t>
  </si>
  <si>
    <t>A043-GT-02 (240A)</t>
  </si>
  <si>
    <t>A05-0166-FAB-144</t>
  </si>
  <si>
    <t>A05-0167-CU-27</t>
  </si>
  <si>
    <t>A05-0168-PKG-10</t>
  </si>
  <si>
    <t>A051-CP-1-4831F (050T)</t>
  </si>
  <si>
    <t>A052-JMT-05 (446A)</t>
  </si>
  <si>
    <t>A053-JMT-124 (478A)</t>
  </si>
  <si>
    <t>A054-JMT-127 (2) (481A)</t>
  </si>
  <si>
    <t>A054-JMT-128 (482A)</t>
  </si>
  <si>
    <t>A054-JMT-129 (483A)</t>
  </si>
  <si>
    <t>A054-JMT-132 (487A)</t>
  </si>
  <si>
    <t>A06-0210-CU-01</t>
  </si>
  <si>
    <t>A06-0213-GEN-NS06</t>
  </si>
  <si>
    <t>A061-Z5X (056T)</t>
  </si>
  <si>
    <t>A061-ZS3 (058T)</t>
  </si>
  <si>
    <t>A062-JMT-19 (495A)</t>
  </si>
  <si>
    <t>A062-JMT-23 (499A)</t>
  </si>
  <si>
    <t>A062-JMT-24 (500A)</t>
  </si>
  <si>
    <t>A063-JMT-55 (531A)</t>
  </si>
  <si>
    <t>A064-JMT-63 (539A)</t>
  </si>
  <si>
    <t>A064-JMT-64 (540A)</t>
  </si>
  <si>
    <t>A064-JMT-65 (541A)</t>
  </si>
  <si>
    <t>A07-0249-FP-76</t>
  </si>
  <si>
    <t>FP-76</t>
  </si>
  <si>
    <t>A071-CS4-1223 (142T)</t>
  </si>
  <si>
    <t>A071-CS6-1212 (147T)</t>
  </si>
  <si>
    <t>A071-CS6-1223 (148T)</t>
  </si>
  <si>
    <t>A071-ZS5 (061T)</t>
  </si>
  <si>
    <t>A081-CM-B203 (166T)</t>
  </si>
  <si>
    <t>A081-CM-C109 (171T)</t>
  </si>
  <si>
    <t>A081-CS7-1223 (154T)</t>
  </si>
  <si>
    <t>A082-LS-1P (602A)</t>
  </si>
  <si>
    <t>A082-LS-1Q (603A)</t>
  </si>
  <si>
    <t>A082-PR-01 (673A)</t>
  </si>
  <si>
    <t>A083-PR-09 (681A)</t>
  </si>
  <si>
    <t>A083-PR-10 (682A)</t>
  </si>
  <si>
    <t>A09-0308-PS-95</t>
  </si>
  <si>
    <t>A09-0309-FAB-16</t>
  </si>
  <si>
    <t>A09-0311-FAB-205</t>
  </si>
  <si>
    <t>A09-0319-FAB-19</t>
  </si>
  <si>
    <t>A10-0343-FAB-206</t>
  </si>
  <si>
    <t>A10-0358-JMT-172</t>
  </si>
  <si>
    <t>JMT-172</t>
  </si>
  <si>
    <t>A10-0360-SS-53</t>
  </si>
  <si>
    <t>A11-0379-SS-50</t>
  </si>
  <si>
    <t>A11-0381-WR-B209</t>
  </si>
  <si>
    <t>A11-0384-WR-BX15</t>
  </si>
  <si>
    <t>A111-FS-1Q (307T)</t>
  </si>
  <si>
    <t>A12-0413-JMT-32</t>
  </si>
  <si>
    <t>A12-0422-FAB-18</t>
  </si>
  <si>
    <t>A12-0430-FAB-123</t>
  </si>
  <si>
    <t>A13-0463-GEN-HH02</t>
  </si>
  <si>
    <t>A131-JMT-34 (510T)</t>
  </si>
  <si>
    <t>A131-JMT-40 (516T)</t>
  </si>
  <si>
    <t>A133-JMT-141 (2) (913A)</t>
  </si>
  <si>
    <t>A133-JMT-141 (913A)</t>
  </si>
  <si>
    <t>A133-JMT-143 (2) (910A)</t>
  </si>
  <si>
    <t>A14-0483-SS-42</t>
  </si>
  <si>
    <t>A14-0484-CBN-14412C</t>
  </si>
  <si>
    <t>A141-JMT-49 (2) (525T)</t>
  </si>
  <si>
    <t>A141-JMT-49 (3) (525T)</t>
  </si>
  <si>
    <t>A141-JMT-49 (4) (525T)</t>
  </si>
  <si>
    <t>A141-JMT-49 (525T)</t>
  </si>
  <si>
    <t>A141-JMT-50 (2) (526T)</t>
  </si>
  <si>
    <t>A141-JMT-50 (3) (526T)</t>
  </si>
  <si>
    <t>A141-JMT-50 (4) (526T)</t>
  </si>
  <si>
    <t>A141-JMT-50 (526T)</t>
  </si>
  <si>
    <t>A141-JMT-51 (527T)</t>
  </si>
  <si>
    <t>A141-JMT-52 (2) (528T)</t>
  </si>
  <si>
    <t>A141-JMT-52 (3) (528T)</t>
  </si>
  <si>
    <t>A141-JMT-52 (4) (528T)</t>
  </si>
  <si>
    <t>A141-JMT-52 (528T)</t>
  </si>
  <si>
    <t>A141-JMT-71 (547T)</t>
  </si>
  <si>
    <t>A142-CU-02 (2) (968A)</t>
  </si>
  <si>
    <t>A142-CU-02 (968A)</t>
  </si>
  <si>
    <t>A142-CU-04 (970A)</t>
  </si>
  <si>
    <t>A142-CU-05 (971A)</t>
  </si>
  <si>
    <t>A142-PR-29 (966A)</t>
  </si>
  <si>
    <t>A143-CU-16 (2) (982A)</t>
  </si>
  <si>
    <t>A143-CU-16 (982A)</t>
  </si>
  <si>
    <t>A143-CU-17 (983A)</t>
  </si>
  <si>
    <t>A143-CU-20 (986A)</t>
  </si>
  <si>
    <t>A143-CU-21 (987A)</t>
  </si>
  <si>
    <t>A143-CU-22 (988A)</t>
  </si>
  <si>
    <t>A143-CU-23 (989A)</t>
  </si>
  <si>
    <t>A143-CU-24 (4) (990A)</t>
  </si>
  <si>
    <t>A143-CU-24 (990A)</t>
  </si>
  <si>
    <t>A143-CU-28 (994A)</t>
  </si>
  <si>
    <t>A143-SS-26 (998A)</t>
  </si>
  <si>
    <t>A143-SS-27 (999A)</t>
  </si>
  <si>
    <t>A144-JMT-144 (1028A)</t>
  </si>
  <si>
    <t>A144-SS-28 (1000A)</t>
  </si>
  <si>
    <t>A15-0506-FAB-115</t>
  </si>
  <si>
    <t>A15-0517-SS-19</t>
  </si>
  <si>
    <t>A15-0536-WR-BX30</t>
  </si>
  <si>
    <t>A16-0551-SS-23</t>
  </si>
  <si>
    <t>A16-0557-SS-22</t>
  </si>
  <si>
    <t>A16-0568-PS-64</t>
  </si>
  <si>
    <t>A161-PS-14 (718T)</t>
  </si>
  <si>
    <t>A163-SS-33 (1105A)</t>
  </si>
  <si>
    <t>A164-SS-37 (1109A)</t>
  </si>
  <si>
    <t>A17-0600-SS-18</t>
  </si>
  <si>
    <t>A171-PKG-01 (2) (900T)</t>
  </si>
  <si>
    <t>A18-0633-SS-54</t>
  </si>
  <si>
    <t>A18-0640-PR-31</t>
  </si>
  <si>
    <t>A18-0643-TO-CO1</t>
  </si>
  <si>
    <t>A18-0645-SS-43</t>
  </si>
  <si>
    <t>A182-PS-32 (1197A)</t>
  </si>
  <si>
    <t>A184-PS-53 (1218A)</t>
  </si>
  <si>
    <t>A19-0659-PS-58</t>
  </si>
  <si>
    <t>A19-0662-PS-45</t>
  </si>
  <si>
    <t>A19-0671-PS-39</t>
  </si>
  <si>
    <t>A19-0679-PS-50</t>
  </si>
  <si>
    <t>A19-0680-PS-51</t>
  </si>
  <si>
    <t>A19-0682-PS-41</t>
  </si>
  <si>
    <t>A191-PS-44 (1209T)</t>
  </si>
  <si>
    <t>A194-WR-BX03 (1262A)</t>
  </si>
  <si>
    <t>A201-PS-62 (1227T)</t>
  </si>
  <si>
    <t>A211-PS-76 (1241T)</t>
  </si>
  <si>
    <t>A23-0793-KW-03</t>
  </si>
  <si>
    <t>A23-0795-KW-08</t>
  </si>
  <si>
    <t>A23-0795-KW-09</t>
  </si>
  <si>
    <t>A23-0802-SS-01</t>
  </si>
  <si>
    <t>A23-0802-SS-03</t>
  </si>
  <si>
    <t>A23-0804-SS-14</t>
  </si>
  <si>
    <t>A23-0807-CR-G2510</t>
  </si>
  <si>
    <t>A23-0810-CR-S1505</t>
  </si>
  <si>
    <t>A23-0812-CR-S4005</t>
  </si>
  <si>
    <t>A23-0812-PR-17</t>
  </si>
  <si>
    <t>A23-0817-FP-19</t>
  </si>
  <si>
    <t>A23-0822-FAB-225</t>
  </si>
  <si>
    <t>A23-0822-FP-65</t>
  </si>
  <si>
    <t>A23-0825-CP-1-1224</t>
  </si>
  <si>
    <t>A23-0826-CP-5-1539</t>
  </si>
  <si>
    <t>A23-0826-PR-24</t>
  </si>
  <si>
    <t>A23-0828-CP-3-1212</t>
  </si>
  <si>
    <t>A23-0828-PR-02</t>
  </si>
  <si>
    <t>A23-0829-HT-01</t>
  </si>
  <si>
    <t>A23-0832-HT-21</t>
  </si>
  <si>
    <t>A24-0841-B10FP</t>
  </si>
  <si>
    <t>A24-0841-B10FP4</t>
  </si>
  <si>
    <t>B10FP4</t>
  </si>
  <si>
    <t>A24-0846-RS-1021</t>
  </si>
  <si>
    <t>A24-0846-SBA-01</t>
  </si>
  <si>
    <t>A24-0847-S25F</t>
  </si>
  <si>
    <t>A24-0848-Z1FP</t>
  </si>
  <si>
    <t>A24-0849-B9FP</t>
  </si>
  <si>
    <t>A24-0853-CU-18</t>
  </si>
  <si>
    <t>A24-0853-CU-42</t>
  </si>
  <si>
    <t>CU-42</t>
  </si>
  <si>
    <t>A24-0853-PR-19</t>
  </si>
  <si>
    <t>A24-0853-SBA-02</t>
  </si>
  <si>
    <t>A24-0855-PR-04</t>
  </si>
  <si>
    <t>A24-0855-PS-73</t>
  </si>
  <si>
    <t>A24-0855-SBA-11</t>
  </si>
  <si>
    <t>A24-0856-CU-40</t>
  </si>
  <si>
    <t>CU-40</t>
  </si>
  <si>
    <t>A24-0857-PR-05</t>
  </si>
  <si>
    <t>A24-0858-PR-06</t>
  </si>
  <si>
    <t>A24-0859-FAB-127</t>
  </si>
  <si>
    <t>A24-0859-SBA-10</t>
  </si>
  <si>
    <t>A24-0860-CU-07</t>
  </si>
  <si>
    <t>A24-0860-CU-31</t>
  </si>
  <si>
    <t>CU-31</t>
  </si>
  <si>
    <t>A24-0860-FP-48</t>
  </si>
  <si>
    <t>A24-0865-FAB-277</t>
  </si>
  <si>
    <t>FAB-277</t>
  </si>
  <si>
    <t>A24-0865-FAB-29</t>
  </si>
  <si>
    <t>A24-0866-FAB-28</t>
  </si>
  <si>
    <t>A24-0867-CU-03</t>
  </si>
  <si>
    <t>A24-0867-PR-13</t>
  </si>
  <si>
    <t>A24-0867-PR-22</t>
  </si>
  <si>
    <t>A24-0869-CU-41</t>
  </si>
  <si>
    <t>CU-41</t>
  </si>
  <si>
    <t>A24-0870-WR-B115</t>
  </si>
  <si>
    <t>A24-0873-CR-2</t>
  </si>
  <si>
    <t>A24-0874-CM-B115</t>
  </si>
  <si>
    <t>A24-0878-SPF-A2024</t>
  </si>
  <si>
    <t>A24-0879-SBA-20</t>
  </si>
  <si>
    <t>A24-0880-PR-16</t>
  </si>
  <si>
    <t>A24-0882-FP-29</t>
  </si>
  <si>
    <t>A24-0882-SBA-21</t>
  </si>
  <si>
    <t>A24-0885-V5X</t>
  </si>
  <si>
    <t>V5X</t>
  </si>
  <si>
    <t>A24-0885-V5X03</t>
  </si>
  <si>
    <t>A24-0886-PS-28</t>
  </si>
  <si>
    <t>A25-0889-FB-11</t>
  </si>
  <si>
    <t>A25-0896-SR-B1212</t>
  </si>
  <si>
    <t>A25-0897-JMT-105</t>
  </si>
  <si>
    <t>A25-0901-FP-77</t>
  </si>
  <si>
    <t>FP-77</t>
  </si>
  <si>
    <t>A25-0901-FP-78</t>
  </si>
  <si>
    <t>FP-78</t>
  </si>
  <si>
    <t>A25-0901-FS-1G</t>
  </si>
  <si>
    <t>A25-0903-NR-B1236</t>
  </si>
  <si>
    <t>A25-0904-CB-Z1</t>
  </si>
  <si>
    <t>A25-0905-SR-A0606</t>
  </si>
  <si>
    <t>A25-0907-SR-A1212</t>
  </si>
  <si>
    <t>A25-0908-SR-B1036</t>
  </si>
  <si>
    <t>A25-0913-SR-B3636</t>
  </si>
  <si>
    <t>A25-0915-GT-04</t>
  </si>
  <si>
    <t>A25-0915-SS-48</t>
  </si>
  <si>
    <t>A25-0917-GT-18</t>
  </si>
  <si>
    <t>A25-0918-CM-C215</t>
  </si>
  <si>
    <t>A25-0919-CM-D109</t>
  </si>
  <si>
    <t>A25-0919-CR-4</t>
  </si>
  <si>
    <t>A25-0920-SR-B0404</t>
  </si>
  <si>
    <t>A25-0921-CM-D115</t>
  </si>
  <si>
    <t>A25-0922-CM-D130</t>
  </si>
  <si>
    <t>A25-0923-CM-D215</t>
  </si>
  <si>
    <t>A25-0924-CM-D230</t>
  </si>
  <si>
    <t>A25-0925-SBA-12</t>
  </si>
  <si>
    <t>A25-0927-JMT-72</t>
  </si>
  <si>
    <t>A25-0928-B12FP2</t>
  </si>
  <si>
    <t>B12FP2</t>
  </si>
  <si>
    <t>A25-0929-JMT-53</t>
  </si>
  <si>
    <t>A25-0932-JMT-18</t>
  </si>
  <si>
    <t>A25-0933-JMT-22</t>
  </si>
  <si>
    <t>A25-0935-JMT-102</t>
  </si>
  <si>
    <t>A26-0937-IB-GA01</t>
  </si>
  <si>
    <t>A26-0938-RCB-01</t>
  </si>
  <si>
    <t>A26-0949-SS-20</t>
  </si>
  <si>
    <t>A26-0961-LS-2Q</t>
  </si>
  <si>
    <t>A26-0965-JMT-07</t>
  </si>
  <si>
    <t>A26-0966-FAB-70</t>
  </si>
  <si>
    <t>A26-0967-IB-C05M</t>
  </si>
  <si>
    <t>A26-0981-PS-34</t>
  </si>
  <si>
    <t>A27-0985-SG-3038AA</t>
  </si>
  <si>
    <t>A27-0989-PS-17</t>
  </si>
  <si>
    <t>A27-0991-SG-4830AB</t>
  </si>
  <si>
    <t>A27-0992-CU-08</t>
  </si>
  <si>
    <t>A27-0993-S21F</t>
  </si>
  <si>
    <t>A27-0996-PKG-02</t>
  </si>
  <si>
    <t>A27-0999-PR-27</t>
  </si>
  <si>
    <t>A27-0999-SBA-16</t>
  </si>
  <si>
    <t>A27-1000-PKG-06</t>
  </si>
  <si>
    <t>A27-1004-PS-33</t>
  </si>
  <si>
    <t>A27-1008-PS-27</t>
  </si>
  <si>
    <t>A27-1011-PS-31</t>
  </si>
  <si>
    <t>A27-1011-SBA-08</t>
  </si>
  <si>
    <t>A27-1017-PS-55</t>
  </si>
  <si>
    <t>A27-1017-PS-81</t>
  </si>
  <si>
    <t>A27-1019-SS-32</t>
  </si>
  <si>
    <t>A27-1022-PS-93</t>
  </si>
  <si>
    <t>A27-1023-FP-74</t>
  </si>
  <si>
    <t>FP-74</t>
  </si>
  <si>
    <t>A27-1028-CBN-4100</t>
  </si>
  <si>
    <t>A27-1029-CU-25</t>
  </si>
  <si>
    <t>A27-1030-CU-26</t>
  </si>
  <si>
    <t>A27-1030-CU-43</t>
  </si>
  <si>
    <t>CU-43</t>
  </si>
  <si>
    <t>A28-1033-PS-85</t>
  </si>
  <si>
    <t>A28-1036-FAB-61</t>
  </si>
  <si>
    <t>A28-1037-EH-02</t>
  </si>
  <si>
    <t>A28-1037-PS-79</t>
  </si>
  <si>
    <t>A28-1040-SC-4512</t>
  </si>
  <si>
    <t>A28-1041-SC-4514</t>
  </si>
  <si>
    <t>A28-1043-GT-32</t>
  </si>
  <si>
    <t>A28-1043-SC-4516</t>
  </si>
  <si>
    <t>A28-1044-GT-33</t>
  </si>
  <si>
    <t>A28-1045-CU-29</t>
  </si>
  <si>
    <t>A28-1045-SBA-14</t>
  </si>
  <si>
    <t>A28-1045-US5</t>
  </si>
  <si>
    <t>S5</t>
  </si>
  <si>
    <t>A28-1046-PS-20</t>
  </si>
  <si>
    <t>A28-1047-PS-21</t>
  </si>
  <si>
    <t>A28-1047-PS-22</t>
  </si>
  <si>
    <t>A28-1049-FAB-74</t>
  </si>
  <si>
    <t>A28-1050-PS-03</t>
  </si>
  <si>
    <t>A28-1051-PS-04</t>
  </si>
  <si>
    <t>A28-1051-PS-07</t>
  </si>
  <si>
    <t>A28-1052-CU-12</t>
  </si>
  <si>
    <t>A28-1052-SC-4510</t>
  </si>
  <si>
    <t>A28-1053-CU-13</t>
  </si>
  <si>
    <t>A28-1053-FAB-136</t>
  </si>
  <si>
    <t>A28-1054-FAB-137</t>
  </si>
  <si>
    <t>A28-1055-FAB-140</t>
  </si>
  <si>
    <t>A28-1056-GT-14</t>
  </si>
  <si>
    <t>A28-1059-PS-25</t>
  </si>
  <si>
    <t>A28-1060-PS-26</t>
  </si>
  <si>
    <t>A28-1061-FAB-129</t>
  </si>
  <si>
    <t>A28-1063-PS-02</t>
  </si>
  <si>
    <t>A28-1063-PS-15</t>
  </si>
  <si>
    <t>A28-1064-PS-18</t>
  </si>
  <si>
    <t>A28-1065-CBN-3610C</t>
  </si>
  <si>
    <t>A28-1065-PS-10</t>
  </si>
  <si>
    <t>A28-1066-CU-09</t>
  </si>
  <si>
    <t>A28-1067-CBN-3614C</t>
  </si>
  <si>
    <t>A28-1067-CU-14</t>
  </si>
  <si>
    <t>A28-1069-PS-19</t>
  </si>
  <si>
    <t>A28-1071-PS-06</t>
  </si>
  <si>
    <t>A28-1072-PS-08</t>
  </si>
  <si>
    <t>A28-1074-GT-23</t>
  </si>
  <si>
    <t>A28-1074-GT-28</t>
  </si>
  <si>
    <t>A28-1075-GT-22</t>
  </si>
  <si>
    <t>A28-1076-FAB-130</t>
  </si>
  <si>
    <t>A28-1076-FAB-131</t>
  </si>
  <si>
    <t>A28-1077-FAB-132</t>
  </si>
  <si>
    <t>A28-1077-FAB-134</t>
  </si>
  <si>
    <t>A28-1078-FAB-135</t>
  </si>
  <si>
    <t>A29-1081-JMT-80</t>
  </si>
  <si>
    <t>A29-1081-PS-78</t>
  </si>
  <si>
    <t>A29-1082-GT-31</t>
  </si>
  <si>
    <t>A29-1083-SS-31</t>
  </si>
  <si>
    <t>A29-1084-PR-23</t>
  </si>
  <si>
    <t>A29-1086-JMT-67</t>
  </si>
  <si>
    <t>A29-1087-PS-87</t>
  </si>
  <si>
    <t>A29-1087-PS-88</t>
  </si>
  <si>
    <t>A29-1093-FAB-64</t>
  </si>
  <si>
    <t>A29-1093-FAB-75</t>
  </si>
  <si>
    <t>A29-1094-FAB-76</t>
  </si>
  <si>
    <t>A29-1103-FAB-37</t>
  </si>
  <si>
    <t>A29-1105-FAB-38</t>
  </si>
  <si>
    <t>A29-1113-CBN-3604C</t>
  </si>
  <si>
    <t>A29-1113-JMT-58</t>
  </si>
  <si>
    <t>A29-1120-S21H</t>
  </si>
  <si>
    <t>A30-1121-PS-77</t>
  </si>
  <si>
    <t>A30-1125-CS4-1212</t>
  </si>
  <si>
    <t>A30-1125-PS-89</t>
  </si>
  <si>
    <t>A30-1126-CS4-0623</t>
  </si>
  <si>
    <t>A30-1127-CS6-0623</t>
  </si>
  <si>
    <t>A30-1129-CS7-1212</t>
  </si>
  <si>
    <t>A30-1140-CU-15</t>
  </si>
  <si>
    <t>A30-1145-GT-30</t>
  </si>
  <si>
    <t>A30-1147-PR-28</t>
  </si>
  <si>
    <t>A30-1148-PR-20</t>
  </si>
  <si>
    <t>A30-1157-FAB-21</t>
  </si>
  <si>
    <t>A30-1158-PR-21</t>
  </si>
  <si>
    <t>A30-1160-JMT-122</t>
  </si>
  <si>
    <t>A31-1193-WR-B109</t>
  </si>
  <si>
    <t>A31-1195-WR-B130</t>
  </si>
  <si>
    <t>A31-1197-WR-A112</t>
  </si>
  <si>
    <t>A32-1229-FB-BS9</t>
  </si>
  <si>
    <t>A32-1243-FAB-93</t>
  </si>
  <si>
    <t>A32-1256-FAB-03</t>
  </si>
  <si>
    <t>A510-B5 (023P)</t>
  </si>
  <si>
    <t>A510-B9 (022P)</t>
  </si>
  <si>
    <t>A520-Z5 (054P)</t>
  </si>
  <si>
    <t>A530-CT-SC80 (192P)</t>
  </si>
  <si>
    <t>A540-EPX-01B (2) (200P)</t>
  </si>
  <si>
    <t>A540-EPX-01B (4) (200P)</t>
  </si>
  <si>
    <t>A560-FB-0106 (213P)</t>
  </si>
  <si>
    <t>A560-FB-0206 (214P)</t>
  </si>
  <si>
    <t>B11X (012T)</t>
  </si>
  <si>
    <t>B12FP</t>
  </si>
  <si>
    <t>B1-4041-FAB-171</t>
  </si>
  <si>
    <t>B2-4056-FAB-40</t>
  </si>
  <si>
    <t>B2-4098-FAB-126</t>
  </si>
  <si>
    <t>B3-4123-SG-2424BD</t>
  </si>
  <si>
    <t>B3-4126-PS-56</t>
  </si>
  <si>
    <t>B3-4143-GEN-SE01</t>
  </si>
  <si>
    <t>B3-4161-FAB-04</t>
  </si>
  <si>
    <t>B4-4177-FAB-80</t>
  </si>
  <si>
    <t>B4-4186-FAB-351</t>
  </si>
  <si>
    <t>B4-4210-GT-17</t>
  </si>
  <si>
    <t>B5-4229-PS-48</t>
  </si>
  <si>
    <t>B5-4239-GT-16</t>
  </si>
  <si>
    <t>B5-4240-GT-26</t>
  </si>
  <si>
    <t>B5-4251-FAB-90</t>
  </si>
  <si>
    <t>BA-H10</t>
  </si>
  <si>
    <t>C11-6253-Z6</t>
  </si>
  <si>
    <t>C11-6265-CT-AS110</t>
  </si>
  <si>
    <t>C4-6057-FAB-248</t>
  </si>
  <si>
    <t>C4-6058-FAB-249</t>
  </si>
  <si>
    <t>C5-6072-IB-A12</t>
  </si>
  <si>
    <t>IB-A12</t>
  </si>
  <si>
    <t>C6-6094-SG-4836AC</t>
  </si>
  <si>
    <t>C6-6096-PF-10S1</t>
  </si>
  <si>
    <t>C6-6096-PF-20S2H</t>
  </si>
  <si>
    <t>C7-6113-FAB-234</t>
  </si>
  <si>
    <t>C7-6120-FAB-146</t>
  </si>
  <si>
    <t>C9-6181-PO-AC4</t>
  </si>
  <si>
    <t>C9-6183-CT-SC60</t>
  </si>
  <si>
    <t>CHM-05B (1024A)</t>
  </si>
  <si>
    <t>CHM-05B (2) (1024A)</t>
  </si>
  <si>
    <t>CHM-05B (4) (1024A)</t>
  </si>
  <si>
    <t>CS4-1235 (143)</t>
  </si>
  <si>
    <t>CU-05 (2) (971)</t>
  </si>
  <si>
    <t>CU-21 (2) (987)</t>
  </si>
  <si>
    <t>FAB-24 (2) (917)</t>
  </si>
  <si>
    <t>FAB-24 (917)</t>
  </si>
  <si>
    <t>FAB-271</t>
  </si>
  <si>
    <t>FAB-316</t>
  </si>
  <si>
    <t>FAB-43 (2) (916)</t>
  </si>
  <si>
    <t>FAB-43</t>
  </si>
  <si>
    <t>FP-53</t>
  </si>
  <si>
    <t>FP-64 (2) (296)</t>
  </si>
  <si>
    <t>GP-C25</t>
  </si>
  <si>
    <t>GT-03 (6) (127)</t>
  </si>
  <si>
    <t>IB-H12 (365)</t>
  </si>
  <si>
    <t>JMT-122 (476) + JMT-91 (567)</t>
  </si>
  <si>
    <t>JMT-122+JMT-91</t>
  </si>
  <si>
    <t>JMT-51 (2) (1002)</t>
  </si>
  <si>
    <t>JMT-75 (551)</t>
  </si>
  <si>
    <t>KW-02 (5)</t>
  </si>
  <si>
    <t>KW-03 (5)</t>
  </si>
  <si>
    <t>KW-04 (5)</t>
  </si>
  <si>
    <t>KW-05 (5)</t>
  </si>
  <si>
    <t>KW-06 (5)</t>
  </si>
  <si>
    <t>KW-08 (2)</t>
  </si>
  <si>
    <t>KW-09 (2)</t>
  </si>
  <si>
    <t>KW-10 (2)</t>
  </si>
  <si>
    <t>KW-10 (5)</t>
  </si>
  <si>
    <t>KW-11 (2)</t>
  </si>
  <si>
    <t>KW-11 (5)</t>
  </si>
  <si>
    <t>KW-12</t>
  </si>
  <si>
    <t>KW-13 (2)</t>
  </si>
  <si>
    <t>KW-14 (5)</t>
  </si>
  <si>
    <t>KW-15 (5)</t>
  </si>
  <si>
    <t>KW-16 (5)</t>
  </si>
  <si>
    <t>KW-17 (5)</t>
  </si>
  <si>
    <t>KW-18 (5)</t>
  </si>
  <si>
    <t>KW-19 (5)</t>
  </si>
  <si>
    <t>PFR-10RG (615)</t>
  </si>
  <si>
    <t>PL-0405</t>
  </si>
  <si>
    <t>PR-17 (2) (689)</t>
  </si>
  <si>
    <t>RCB-11</t>
  </si>
  <si>
    <t>SBA-01 (10) (1003)</t>
  </si>
  <si>
    <t>SBA-02 (3) (1004)</t>
  </si>
  <si>
    <t>SBA-02 (8) (1004)</t>
  </si>
  <si>
    <t>SBA-05 (1007)</t>
  </si>
  <si>
    <t>SBA-05</t>
  </si>
  <si>
    <t>SBA-05 (4) (1007)</t>
  </si>
  <si>
    <t>SBA-06 (1008)</t>
  </si>
  <si>
    <t>SBA-06 (4) (1008)</t>
  </si>
  <si>
    <t>SBA-07 (1009)</t>
  </si>
  <si>
    <t>SBA-07 (3) (1009)</t>
  </si>
  <si>
    <t>SBA-07 (5) (1009)</t>
  </si>
  <si>
    <t>SBA-09 (8) (1011)</t>
  </si>
  <si>
    <t>SBA-21 (2) (1023)</t>
  </si>
  <si>
    <t>SPE-03 (4)</t>
  </si>
  <si>
    <t>SS-60</t>
  </si>
  <si>
    <t>SS-73</t>
  </si>
  <si>
    <t>SS-74</t>
  </si>
  <si>
    <t>SS-75</t>
  </si>
  <si>
    <t>US-6</t>
  </si>
  <si>
    <t>WW-M2B1 (896)</t>
  </si>
  <si>
    <t>WW-M2B1</t>
  </si>
  <si>
    <t>WW-S1B1 (901)</t>
  </si>
  <si>
    <t>WW-S1B1</t>
  </si>
  <si>
    <t>YOG-01 (233)</t>
  </si>
  <si>
    <t>YOG-02 (234)</t>
  </si>
  <si>
    <t>YOG-03 (235)</t>
  </si>
  <si>
    <t>YOG-04 (236)</t>
  </si>
  <si>
    <t>YOG-05 (237)</t>
  </si>
  <si>
    <t>YOG-06 (238)</t>
  </si>
  <si>
    <t>S6</t>
  </si>
  <si>
    <t>C2-6037-PFI-30</t>
  </si>
  <si>
    <t>PFI-20B (664)</t>
  </si>
  <si>
    <t>PS-86 (1251)</t>
  </si>
  <si>
    <t>PT-2Q (1030)</t>
  </si>
  <si>
    <t>A24-0862-JMT-98</t>
  </si>
  <si>
    <t>A23-0819-JMT-13</t>
  </si>
  <si>
    <t>A23-0820-GEN-SW16</t>
  </si>
  <si>
    <t>A23-0821-PS-69</t>
  </si>
  <si>
    <t>B1-4053-CFB-12448</t>
  </si>
  <si>
    <t>EPX-01 (200)</t>
  </si>
  <si>
    <t>FB-0106 (213)</t>
  </si>
  <si>
    <t>LS-1P (602)</t>
  </si>
  <si>
    <t>SBA-12 (1014)</t>
  </si>
  <si>
    <t>Z5X (056)</t>
  </si>
  <si>
    <t>ZS5 (061)</t>
  </si>
  <si>
    <t>FAB-30 (923)</t>
  </si>
  <si>
    <t>SBA-16 (1018)</t>
  </si>
  <si>
    <t>SBA-17 (1019)</t>
  </si>
  <si>
    <t>PS-14 (718)</t>
  </si>
  <si>
    <t>CU-06 (972)</t>
  </si>
  <si>
    <t>CU-10 (976)</t>
  </si>
  <si>
    <t>FAB-57 (1033)</t>
  </si>
  <si>
    <t>FAB-58 (1034)</t>
  </si>
  <si>
    <t>FAB-62 (1038)</t>
  </si>
  <si>
    <t>FAB-65 (1041)</t>
  </si>
  <si>
    <t>FAB-78 (1054)</t>
  </si>
  <si>
    <t>SS-26 (998)</t>
  </si>
  <si>
    <t>SS-28 (1000)</t>
  </si>
  <si>
    <t>FAB-141 (1181)</t>
  </si>
  <si>
    <t>PS-72 (1237)</t>
  </si>
  <si>
    <t>Z6X (178)</t>
  </si>
  <si>
    <t>GEN-PC01 (482)</t>
  </si>
  <si>
    <t>GEN-PC02 (492)</t>
  </si>
  <si>
    <t>SG-3038AB (1427)</t>
  </si>
  <si>
    <t>FAB-08B (SA)</t>
  </si>
  <si>
    <t>FAB-13B (AD)</t>
  </si>
  <si>
    <t>FAB-310 (SA)</t>
  </si>
  <si>
    <t>FAB-42 (SA)</t>
  </si>
  <si>
    <t>A23-0820-FAB-278</t>
  </si>
  <si>
    <t>A23-0822-FAB-275</t>
  </si>
  <si>
    <t>A25-0888-FAB-88</t>
  </si>
  <si>
    <t>A27-1012-CU-36</t>
  </si>
  <si>
    <t>FAB-243 (HB)</t>
  </si>
  <si>
    <t>MFI-12CO (CB)</t>
  </si>
  <si>
    <t>B10X + RCB-02 (SA)</t>
  </si>
  <si>
    <t>PF-POT (SA)</t>
  </si>
  <si>
    <t>PFI-22B (SA)</t>
  </si>
  <si>
    <t>CFB-12448 (SA)</t>
  </si>
  <si>
    <t>CFB-12460 (SA)</t>
  </si>
  <si>
    <t>B3-4114-FAB-353</t>
  </si>
  <si>
    <t>B5-4222-FAB-355</t>
  </si>
  <si>
    <t>C10-6223-FAB-359</t>
  </si>
  <si>
    <t>A27-1020-JMT-98</t>
  </si>
  <si>
    <t>A10-0343-TO-02</t>
  </si>
  <si>
    <t>A10-0350-TO-03</t>
  </si>
  <si>
    <t>A10-0344-TO-04</t>
  </si>
  <si>
    <t>A12-0414-TO-05</t>
  </si>
  <si>
    <t>A10-0346-TO-06</t>
  </si>
  <si>
    <t>A14-0469-PFB-06</t>
  </si>
  <si>
    <t>A14-0476-PKG-05</t>
  </si>
  <si>
    <t>A09-0322-FAB-149</t>
  </si>
  <si>
    <t>A10-0332-FAB-253</t>
  </si>
  <si>
    <t>CFB-12496 (SA)</t>
  </si>
  <si>
    <t>ECO-05 (3)</t>
  </si>
  <si>
    <t>ECO-05(3)</t>
  </si>
  <si>
    <t>ECO-08 (2)</t>
  </si>
  <si>
    <t>ECO-08(2)</t>
  </si>
  <si>
    <t>ECO-10 (4)</t>
  </si>
  <si>
    <t>ECO-10(4)</t>
  </si>
  <si>
    <t>FAB-149 (SA)</t>
  </si>
  <si>
    <t>FAB-152 (SA)</t>
  </si>
  <si>
    <t>FAB-167 (HA)</t>
  </si>
  <si>
    <t>FAB-173 (SA)</t>
  </si>
  <si>
    <t>FAB-180-LS</t>
  </si>
  <si>
    <t>FAB-355 (TH)</t>
  </si>
  <si>
    <t>FP-71-LS</t>
  </si>
  <si>
    <t>FP-73-LS</t>
  </si>
  <si>
    <t>GEN-CN08 (AD)</t>
  </si>
  <si>
    <t>IB-A06 (2)</t>
  </si>
  <si>
    <t>IB-A06 (2)-LS</t>
  </si>
  <si>
    <t>IB-A06 (SB)</t>
  </si>
  <si>
    <t>MFI-14CO (FC)</t>
  </si>
  <si>
    <t>PF-330 (SA)</t>
  </si>
  <si>
    <t>PFI-21B (SA)</t>
  </si>
  <si>
    <t>RCB-03-LS</t>
  </si>
  <si>
    <t>TO-01 (SB)</t>
  </si>
  <si>
    <t>TO-03 (SA)</t>
  </si>
  <si>
    <t>WR-A212 (SA)</t>
  </si>
  <si>
    <t>Z4F2 (SB)</t>
  </si>
  <si>
    <t>ZS1 (TC)</t>
  </si>
  <si>
    <t>ZS6-LS</t>
  </si>
  <si>
    <t>FAB-355.. (TH)</t>
  </si>
  <si>
    <t>ST-05 (TH)</t>
  </si>
  <si>
    <t>B5..</t>
  </si>
  <si>
    <t>A10-0341-FAB-253</t>
  </si>
  <si>
    <t>B5 (SA)</t>
  </si>
  <si>
    <t>B5-LS</t>
  </si>
  <si>
    <t>CFB-11232 (SA)</t>
  </si>
  <si>
    <t>CFB-12448..</t>
  </si>
  <si>
    <t>CFB-12496..</t>
  </si>
  <si>
    <t>CT-WK44-LS</t>
  </si>
  <si>
    <t>ECO-24 (4)</t>
  </si>
  <si>
    <t>ECO-24(4)</t>
  </si>
  <si>
    <t>FAB-143-LS</t>
  </si>
  <si>
    <t>FAB-161 (HB)</t>
  </si>
  <si>
    <t>FAB-188 (SA)</t>
  </si>
  <si>
    <t>FAB-192 (SA)</t>
  </si>
  <si>
    <t>FAB-284 (TH)</t>
  </si>
  <si>
    <t>FAB-299 (HA)</t>
  </si>
  <si>
    <t>FAB-330 (HA)</t>
  </si>
  <si>
    <t>FAB-353.. (TH)</t>
  </si>
  <si>
    <t>FAB-355 (SA)</t>
  </si>
  <si>
    <t>FAB-357.. (TH)</t>
  </si>
  <si>
    <t>FAB-48..</t>
  </si>
  <si>
    <t>FP-61 (2)-LS</t>
  </si>
  <si>
    <t>GEN-SB01.. (SA)</t>
  </si>
  <si>
    <t>GEN-SB02.. (SA)</t>
  </si>
  <si>
    <t>IB-F08 (2)</t>
  </si>
  <si>
    <t>PFI-06 (SA)</t>
  </si>
  <si>
    <t>ST-02 (HB)</t>
  </si>
  <si>
    <t>TO-02 (SB)</t>
  </si>
  <si>
    <t>TO-03..</t>
  </si>
  <si>
    <t>TO-05..</t>
  </si>
  <si>
    <t>WR-A218 (SA)</t>
  </si>
  <si>
    <t>WR-A230 (SA)</t>
  </si>
  <si>
    <t>Z4F2 (SA)</t>
  </si>
  <si>
    <t>Z4FK (DD)</t>
  </si>
  <si>
    <t>B10J (SB)</t>
  </si>
  <si>
    <t>B12..</t>
  </si>
  <si>
    <t>CFB-12460..</t>
  </si>
  <si>
    <t>ECO-06 (5)</t>
  </si>
  <si>
    <t>ECO-06(5)</t>
  </si>
  <si>
    <t>ECO-07 (2)</t>
  </si>
  <si>
    <t>ECO-07(2)</t>
  </si>
  <si>
    <t>ECO-28 (2)</t>
  </si>
  <si>
    <t>ECO-28(2)</t>
  </si>
  <si>
    <t>FAB-101..</t>
  </si>
  <si>
    <t>FAB-118..</t>
  </si>
  <si>
    <t>FAB-119..</t>
  </si>
  <si>
    <t>FAB-149 (SB)</t>
  </si>
  <si>
    <t>FAB-244 (TH)</t>
  </si>
  <si>
    <t>FAB-246 (TH)</t>
  </si>
  <si>
    <t>FAB-318..</t>
  </si>
  <si>
    <t>FAB-331..</t>
  </si>
  <si>
    <t>FAB-44 (SA)</t>
  </si>
  <si>
    <t>HB-31P..</t>
  </si>
  <si>
    <t>PFI-20B (SA)</t>
  </si>
  <si>
    <t>RCB-07 (2)-LS</t>
  </si>
  <si>
    <t>TO-04 (SA)</t>
  </si>
  <si>
    <t>TO-CO1 (826..)</t>
  </si>
  <si>
    <t>V2-1224 (SB)</t>
  </si>
  <si>
    <t>Z4FK (CD)</t>
  </si>
  <si>
    <t>ZS1..</t>
  </si>
  <si>
    <t>BS10..</t>
  </si>
  <si>
    <t>FAB-07..</t>
  </si>
  <si>
    <t>FAB-104..</t>
  </si>
  <si>
    <t>FAB-105..</t>
  </si>
  <si>
    <t>FAB-107..</t>
  </si>
  <si>
    <t>FAB-11 (904..)</t>
  </si>
  <si>
    <t>FAB-116..</t>
  </si>
  <si>
    <t>FAB-14..</t>
  </si>
  <si>
    <t>FAB-155..</t>
  </si>
  <si>
    <t>FAB-156..</t>
  </si>
  <si>
    <t>FAB-160..</t>
  </si>
  <si>
    <t>FAB-164..</t>
  </si>
  <si>
    <t>FAB-181..</t>
  </si>
  <si>
    <t>FAB-182..</t>
  </si>
  <si>
    <t>FAB-234..</t>
  </si>
  <si>
    <t>FAB-55..</t>
  </si>
  <si>
    <t>FAB-88..</t>
  </si>
  <si>
    <t>FAB-91..</t>
  </si>
  <si>
    <t>FAB-96..</t>
  </si>
  <si>
    <t>FAB-97..</t>
  </si>
  <si>
    <t>HB-10P (337..)</t>
  </si>
  <si>
    <t>HB-18 (338..)</t>
  </si>
  <si>
    <t>HB-35..</t>
  </si>
  <si>
    <t>IB-C05..</t>
  </si>
  <si>
    <t>IB-D10..</t>
  </si>
  <si>
    <t>JMT-01..</t>
  </si>
  <si>
    <t>JMT-02..</t>
  </si>
  <si>
    <t>JMT-03..</t>
  </si>
  <si>
    <t>JMT-25..</t>
  </si>
  <si>
    <t>JMT-92 (568..)</t>
  </si>
  <si>
    <t>PF-11..</t>
  </si>
  <si>
    <t>PF-21..</t>
  </si>
  <si>
    <t>PF-31I..</t>
  </si>
  <si>
    <t>PFB-02..</t>
  </si>
  <si>
    <t>PFB-03..</t>
  </si>
  <si>
    <t>PFB-04..</t>
  </si>
  <si>
    <t>PFB-07..</t>
  </si>
  <si>
    <t>S21..</t>
  </si>
  <si>
    <t>V2F (840..)</t>
  </si>
  <si>
    <t>VZ4 (853..)</t>
  </si>
  <si>
    <t>VZ4F..</t>
  </si>
  <si>
    <t>VZ6 (855..)</t>
  </si>
  <si>
    <t>WR-A230..</t>
  </si>
  <si>
    <t>WR-A242..</t>
  </si>
  <si>
    <t>WR-A260..</t>
  </si>
  <si>
    <t>Z1X..</t>
  </si>
  <si>
    <t>ZS4..</t>
  </si>
  <si>
    <t>PFI-04..</t>
  </si>
  <si>
    <t>MFI-12 (623..)</t>
  </si>
  <si>
    <t>FAB-214..</t>
  </si>
  <si>
    <t>FAB-94..</t>
  </si>
  <si>
    <t>FAB-90..</t>
  </si>
  <si>
    <t>B10 (039..)</t>
  </si>
  <si>
    <t>FAB-08..</t>
  </si>
  <si>
    <t>FAB-172..</t>
  </si>
  <si>
    <t>MFI-10 (622..)</t>
  </si>
  <si>
    <t>FAB-157..</t>
  </si>
  <si>
    <t>FAB-158..</t>
  </si>
  <si>
    <t>VZ2..</t>
  </si>
  <si>
    <t>FAB-167..</t>
  </si>
  <si>
    <t xml:space="preserve"> PF-31I..</t>
  </si>
  <si>
    <t>FAB-354 (TH)</t>
  </si>
  <si>
    <t>HB-10P (CA)</t>
  </si>
  <si>
    <t>FAB-360.. (TH)</t>
  </si>
  <si>
    <t>JMT-04..</t>
  </si>
  <si>
    <t>Advertised SKU</t>
  </si>
  <si>
    <t>MAINSKU</t>
  </si>
  <si>
    <t>ECO-12+ECO-13</t>
  </si>
  <si>
    <t>FAB-358 (TH)</t>
  </si>
  <si>
    <t>FAB-358.. (TH)</t>
  </si>
  <si>
    <t>FAB-359.. (TH)</t>
  </si>
  <si>
    <t>FAB-359 (TH)</t>
  </si>
  <si>
    <t>FAB-276 (SA)</t>
  </si>
  <si>
    <t>ECO-14+ECO-15 (4)</t>
  </si>
  <si>
    <t>ECO-14+ECO-15(4)</t>
  </si>
  <si>
    <t>TO-04..</t>
  </si>
  <si>
    <t>TO-02..(SA)</t>
  </si>
  <si>
    <t>FAB-191 (SA)</t>
  </si>
  <si>
    <t>IB-F08 (2)-LS</t>
  </si>
  <si>
    <t>FAB-189 (SA)</t>
  </si>
  <si>
    <t>FAB-187 (SA)</t>
  </si>
  <si>
    <t>FAB-186 (SA)</t>
  </si>
  <si>
    <t>FAB-45 (SA)</t>
  </si>
  <si>
    <t>GEN-SE02 (TH)</t>
  </si>
  <si>
    <t>GEN-SE03 (TH)</t>
  </si>
  <si>
    <t>BB-950155..</t>
  </si>
  <si>
    <t>BB-100210..</t>
  </si>
  <si>
    <t>V2-1112..</t>
  </si>
  <si>
    <t>B12X..</t>
  </si>
  <si>
    <t>FAB-361.. (TH)</t>
  </si>
  <si>
    <t>FAB-361 (TH)</t>
  </si>
  <si>
    <t>FAB-360 (TH)</t>
  </si>
  <si>
    <t>GEN-CN01.. (SA)</t>
  </si>
  <si>
    <t>FAB-298 (TH)</t>
  </si>
  <si>
    <t>CFB-116100..</t>
  </si>
  <si>
    <t>RCB-13..</t>
  </si>
  <si>
    <t>FAB-367.. (TH)</t>
  </si>
  <si>
    <t>FAB-367 (TH)</t>
  </si>
  <si>
    <t>CFB-11648..</t>
  </si>
  <si>
    <t>HB-19P..</t>
  </si>
  <si>
    <t>FAB-244 (SA)</t>
  </si>
  <si>
    <t>FAB-353 (TH)</t>
  </si>
  <si>
    <t>FAB-116 (SA)</t>
  </si>
  <si>
    <t>ECO-01 (4)</t>
  </si>
  <si>
    <t>ECO-01(4)</t>
  </si>
  <si>
    <t>S9J..</t>
  </si>
  <si>
    <t>S9X..</t>
  </si>
  <si>
    <t>FAB-327-LS</t>
  </si>
  <si>
    <t>TO-06..</t>
  </si>
  <si>
    <t>TO-06 (SA)</t>
  </si>
  <si>
    <t>PFI-17.. (TH)</t>
  </si>
  <si>
    <t>PFI-17 (TH)</t>
  </si>
  <si>
    <t>PFB-13-LS</t>
  </si>
  <si>
    <t>FAB-246..</t>
  </si>
  <si>
    <t>FAB-344..</t>
  </si>
  <si>
    <t>FAB-254 (HA)</t>
  </si>
  <si>
    <t>FAB-254 (HB)</t>
  </si>
  <si>
    <t>ST-02 (HA)</t>
  </si>
  <si>
    <t>FAB-289 (HA)</t>
  </si>
  <si>
    <t>ST-01 (HC)</t>
  </si>
  <si>
    <t>FAB-279 (HA)</t>
  </si>
  <si>
    <t>MFI-12CO (FB)</t>
  </si>
  <si>
    <t>MFI-14CO (FB)</t>
  </si>
  <si>
    <t>MFI-14CO (FA)</t>
  </si>
  <si>
    <t>PFI-20B..</t>
  </si>
  <si>
    <t>RCB-09..</t>
  </si>
  <si>
    <t>TO-05 (SB)</t>
  </si>
  <si>
    <t>Z4F (2) (SA)</t>
  </si>
  <si>
    <t>Z4F(2)</t>
  </si>
  <si>
    <t>Z4F (2) (SB)</t>
  </si>
  <si>
    <t>Z4F (2) (SC)</t>
  </si>
  <si>
    <t>FAB-368 + FAB-369 + FAB-370 + FAB-371</t>
  </si>
  <si>
    <t>FAB-368+FAB-369+FAB-370+FAB-371</t>
  </si>
  <si>
    <t>FAB-361 (SA)</t>
  </si>
  <si>
    <t>WR-A130 (SA)</t>
  </si>
  <si>
    <t>WR-B236 (SA)</t>
  </si>
  <si>
    <t>PFB-01 (SA)</t>
  </si>
  <si>
    <t>RCB-07 (SA)</t>
  </si>
  <si>
    <t>WR-B215 (SA)</t>
  </si>
  <si>
    <t>Z4F (2)</t>
  </si>
  <si>
    <t>FAB-368 + FAB-371</t>
  </si>
  <si>
    <t>FAB-368+FAB-371</t>
  </si>
  <si>
    <t>B4F (3)</t>
  </si>
  <si>
    <t>CP-1-2425F..</t>
  </si>
  <si>
    <t>B10 (SA)</t>
  </si>
  <si>
    <t>B4F (4)</t>
  </si>
  <si>
    <t>CFB-11648 (SA)</t>
  </si>
  <si>
    <t>FAB-252 (HA)</t>
  </si>
  <si>
    <t>FAB-333 (SA)</t>
  </si>
  <si>
    <t>FAB-368 + FAB-369 + FAB-370 + FAB-372</t>
  </si>
  <si>
    <t>FAB-368+FAB-369+FAB-370+FAB-372</t>
  </si>
  <si>
    <t>FAB-368 + FAB-369 + FAB-371</t>
  </si>
  <si>
    <t>FAB-368+FAB-369+FAB-371</t>
  </si>
  <si>
    <t>FAB-368 + FAB-369 + FAB-372</t>
  </si>
  <si>
    <t>FAB-368+FAB-369+FAB-372</t>
  </si>
  <si>
    <t>FAB-368 + FAB-369 + FAB-372 (TH)</t>
  </si>
  <si>
    <t>FAB-368 + FAB-369 + FAB-373</t>
  </si>
  <si>
    <t>FAB-368+FAB-369+FAB-373</t>
  </si>
  <si>
    <t>FAB-375 + FAB-376 (TH)</t>
  </si>
  <si>
    <t>FAB-375+FAB-376</t>
  </si>
  <si>
    <t>FAB-382 + FAB-374</t>
  </si>
  <si>
    <t>FAB-382+FAB-374</t>
  </si>
  <si>
    <t>PFB-01-LS</t>
  </si>
  <si>
    <t>V6 (SA)</t>
  </si>
  <si>
    <t>WR-A124 (SA)</t>
  </si>
  <si>
    <t>WR-A212 (2)</t>
  </si>
  <si>
    <t>WR-A212(2)</t>
  </si>
  <si>
    <t>WR-A212 (4)</t>
  </si>
  <si>
    <t>WR-A212(4)</t>
  </si>
  <si>
    <t>B5.. (SA)</t>
  </si>
  <si>
    <t>B9J..</t>
  </si>
  <si>
    <t>V9..</t>
  </si>
  <si>
    <t>WR-A218..</t>
  </si>
  <si>
    <t>FAB-375 + FAB-376..</t>
  </si>
  <si>
    <t>FAB-311..</t>
  </si>
  <si>
    <t>WR-A212 (3)</t>
  </si>
  <si>
    <t>WR-A212(3)</t>
  </si>
  <si>
    <t>FP-68-LS</t>
  </si>
  <si>
    <t>WR-A260 (SA)</t>
  </si>
  <si>
    <t>ST-01 (HD)</t>
  </si>
  <si>
    <t>WR-A212 (SB)</t>
  </si>
  <si>
    <t>FAB-375 + FAB-376 (SA)</t>
  </si>
  <si>
    <t>GEN-CN02..</t>
  </si>
  <si>
    <t>CT-AM04..</t>
  </si>
  <si>
    <t>CFB-116100 (SA)</t>
  </si>
  <si>
    <t>FAB-173 (SB)</t>
  </si>
  <si>
    <t>FAB-173 (SC)</t>
  </si>
  <si>
    <t>FAB-253 (AD)</t>
  </si>
  <si>
    <t>FAB-290 (HA)</t>
  </si>
  <si>
    <t>FAB-296 (HA)</t>
  </si>
  <si>
    <t>FAB-301 (HA)</t>
  </si>
  <si>
    <t>FAB-313 (HA)</t>
  </si>
  <si>
    <t>FAB-326 (MA)</t>
  </si>
  <si>
    <t>FAB-336..</t>
  </si>
  <si>
    <t>FAB-338 (SA)</t>
  </si>
  <si>
    <t>FAB-338 (SB)</t>
  </si>
  <si>
    <t>FAB-338 (TH)</t>
  </si>
  <si>
    <t>FAB-356.. (TH)</t>
  </si>
  <si>
    <t>FAB-357 (TH)</t>
  </si>
  <si>
    <t>FAB-368 + FAB-372</t>
  </si>
  <si>
    <t>FAB-368+FAB-372</t>
  </si>
  <si>
    <t>FP-68 (2)-LS</t>
  </si>
  <si>
    <t>MFI-14CO..</t>
  </si>
  <si>
    <t>PFI-20B (MA)</t>
  </si>
  <si>
    <t>S21X (SA)</t>
  </si>
  <si>
    <t>S9X (SA)</t>
  </si>
  <si>
    <t>ST-03 (HA)</t>
  </si>
  <si>
    <t>ST-04 (HA)</t>
  </si>
  <si>
    <t>WR-A118 (SA)</t>
  </si>
  <si>
    <t>WR-A224 (SA)</t>
  </si>
  <si>
    <t>WR-A236 (SA)</t>
  </si>
  <si>
    <t>WR-A242 (SA)</t>
  </si>
  <si>
    <t>FAB-335 (SA)</t>
  </si>
  <si>
    <t>RCB-10..</t>
  </si>
  <si>
    <t>FAB-343 (SA)</t>
  </si>
  <si>
    <t>FAB-343 (SB)</t>
  </si>
  <si>
    <t>RCB-09 (SA)</t>
  </si>
  <si>
    <t>ST-04 (TH)</t>
  </si>
  <si>
    <t>JMT-118 (SA)</t>
  </si>
  <si>
    <t>FP-71 (SA)</t>
  </si>
  <si>
    <t>PF-330 + PF-D02 + PF-D02..</t>
  </si>
  <si>
    <t>FAB-173..</t>
  </si>
  <si>
    <t>TO-06 (SB)</t>
  </si>
  <si>
    <t>Z4F2 (SC)</t>
  </si>
  <si>
    <t>IB-F08 (SB)</t>
  </si>
  <si>
    <t>FAB-331 (SA)</t>
  </si>
  <si>
    <t>B12 (SA)</t>
  </si>
  <si>
    <t>FAB-317 (TH)</t>
  </si>
  <si>
    <t>IB-C12 (SB)</t>
  </si>
  <si>
    <t>BB-140226..</t>
  </si>
  <si>
    <t>FP-72-LS</t>
  </si>
  <si>
    <t>FAB-150-LS</t>
  </si>
  <si>
    <t>IB-E08 (SA)</t>
  </si>
  <si>
    <t>BB-120235..</t>
  </si>
  <si>
    <t>MFI-12CO (FA)</t>
  </si>
  <si>
    <t>FAB-365 (TH)</t>
  </si>
  <si>
    <t>IB-G08 (SA)</t>
  </si>
  <si>
    <t>FAB-383..</t>
  </si>
  <si>
    <t>ST-03 (HB)</t>
  </si>
  <si>
    <t>ST-04 (HB)</t>
  </si>
  <si>
    <t>WR-B224 (SA)</t>
  </si>
  <si>
    <t>PFB-03-LS</t>
  </si>
  <si>
    <t>FAB-180..</t>
  </si>
  <si>
    <t>GEN-CN08..</t>
  </si>
  <si>
    <t>PF-15 (SA)</t>
  </si>
  <si>
    <t>FAB-175 (SA)</t>
  </si>
  <si>
    <t>FAB-177 (SA)</t>
  </si>
  <si>
    <t>FAB-149..</t>
  </si>
  <si>
    <t>FAB-151-LS</t>
  </si>
  <si>
    <t>FAB-176 (SA)</t>
  </si>
  <si>
    <t>B12X (SA)</t>
  </si>
  <si>
    <t>BB-115185..</t>
  </si>
  <si>
    <t>FAB-151..</t>
  </si>
  <si>
    <t>ARPZ007..</t>
  </si>
  <si>
    <t>ARPZ007 (MA)</t>
  </si>
  <si>
    <t>FAB-179 (SA)</t>
  </si>
  <si>
    <t>FAB-150..</t>
  </si>
  <si>
    <t>GEN-SB04..</t>
  </si>
  <si>
    <t>PF-330..</t>
  </si>
  <si>
    <t>FAB-42 (SB)</t>
  </si>
  <si>
    <t>TO-CO1 (SA)</t>
  </si>
  <si>
    <t>FAB-245 (SA)</t>
  </si>
  <si>
    <t>FAB-366 (TH)</t>
  </si>
  <si>
    <t>FAB-364 (TH)</t>
  </si>
  <si>
    <t>FAB-253.. (AD)</t>
  </si>
  <si>
    <t>FAB-356 (TH)</t>
  </si>
  <si>
    <t>FAB-276..</t>
  </si>
  <si>
    <t>FAB-178 (SA)</t>
  </si>
  <si>
    <t>TO-03 (SB)</t>
  </si>
  <si>
    <t>FAB-41 (SA)</t>
  </si>
  <si>
    <t>FAB-295 (SA)</t>
  </si>
  <si>
    <t>PFI-05 (SB)</t>
  </si>
  <si>
    <t>FAB-363 (TH)</t>
  </si>
  <si>
    <t>JMT-02 (SA)</t>
  </si>
  <si>
    <t>JMT-03 (SA)</t>
  </si>
  <si>
    <t>FAB-243..</t>
  </si>
  <si>
    <t>IB-C05 (SA)</t>
  </si>
  <si>
    <t>FAB-340..</t>
  </si>
  <si>
    <t>GEN-CN03..</t>
  </si>
  <si>
    <t>FP-71 (2)</t>
  </si>
  <si>
    <t>FP-71(2)</t>
  </si>
  <si>
    <t>FAB-152..</t>
  </si>
  <si>
    <t>PFI-06 (SB)</t>
  </si>
  <si>
    <t>JMT-01 (SA)</t>
  </si>
  <si>
    <t>FAB-339.. (SA)</t>
  </si>
  <si>
    <t>FAB-149 (2)</t>
  </si>
  <si>
    <t>FAB-149(2)</t>
  </si>
  <si>
    <t>FAB-06 (SB)</t>
  </si>
  <si>
    <t>FAB-295 (TH)</t>
  </si>
  <si>
    <t>RCB-13 (2)</t>
  </si>
  <si>
    <t>RCB-13(2)</t>
  </si>
  <si>
    <t>CFB-11648 (SB)</t>
  </si>
  <si>
    <t>FAB-357..</t>
  </si>
  <si>
    <t>FAB-353..</t>
  </si>
  <si>
    <t>FAB-354..</t>
  </si>
  <si>
    <t>FAB-355.. (HA)</t>
  </si>
  <si>
    <t>FAB-368 + FAB-369 + FAB-371 (SA)</t>
  </si>
  <si>
    <t>FAB-330 (HB)</t>
  </si>
  <si>
    <t>IB-G06 (SA)</t>
  </si>
  <si>
    <t>FAB-330..</t>
  </si>
  <si>
    <t>FAB-344.. (SA)</t>
  </si>
  <si>
    <t>B4F (2)</t>
  </si>
  <si>
    <t>B4F(2)</t>
  </si>
  <si>
    <t>BB-950185..</t>
  </si>
  <si>
    <t>CFB-116100 (SB)</t>
  </si>
  <si>
    <t>CFB-12496 (SB)</t>
  </si>
  <si>
    <t>FAB-226 (HA)</t>
  </si>
  <si>
    <t>FAB-231 (HA)</t>
  </si>
  <si>
    <t>FAB-232 (HA)</t>
  </si>
  <si>
    <t>FAB-233 (HA)</t>
  </si>
  <si>
    <t>FAB-300 (HA)</t>
  </si>
  <si>
    <t>FAB-301 (TH)</t>
  </si>
  <si>
    <t>FAB-327 (HA)</t>
  </si>
  <si>
    <t>FAB-334 (SA)</t>
  </si>
  <si>
    <t>FAB-41.. (SA)</t>
  </si>
  <si>
    <t>FAB-42.. (SA)</t>
  </si>
  <si>
    <t>FAB-51 (SA)</t>
  </si>
  <si>
    <t>FP-64 (2)-LS</t>
  </si>
  <si>
    <t>FP-64 (3)-LS</t>
  </si>
  <si>
    <t>FP-71 (3)</t>
  </si>
  <si>
    <t>FP-71(3)</t>
  </si>
  <si>
    <t>FP-71 (4)</t>
  </si>
  <si>
    <t>FP-71(4)</t>
  </si>
  <si>
    <t>FP-71 (5)</t>
  </si>
  <si>
    <t>FP-71(5)</t>
  </si>
  <si>
    <t>IB-D10 (SA)</t>
  </si>
  <si>
    <t>JMT-159-LS</t>
  </si>
  <si>
    <t>MFI-13..</t>
  </si>
  <si>
    <t>PF-15..</t>
  </si>
  <si>
    <t>PF-20-LS</t>
  </si>
  <si>
    <t>RCB-06 (4)-LS</t>
  </si>
  <si>
    <t>S25..</t>
  </si>
  <si>
    <t>S25J..</t>
  </si>
  <si>
    <t>S25X..</t>
  </si>
  <si>
    <t>TO-01 (SA)</t>
  </si>
  <si>
    <t>TO-CO1..</t>
  </si>
  <si>
    <t>WR-A212.. (2)</t>
  </si>
  <si>
    <t>WR-A224..</t>
  </si>
  <si>
    <t>Z4F (SC)</t>
  </si>
  <si>
    <t>Z4F2 (SD)</t>
  </si>
  <si>
    <t>CP-3-2425F..</t>
  </si>
  <si>
    <t>FAB-272.. (HA)</t>
  </si>
  <si>
    <t>Z4F2..</t>
  </si>
  <si>
    <t>JMT-118..</t>
  </si>
  <si>
    <t>TO-CO2..</t>
  </si>
  <si>
    <t>Z4F..</t>
  </si>
  <si>
    <t>FAB-379 + FAB-381</t>
  </si>
  <si>
    <t>FAB-379+FAB-381</t>
  </si>
  <si>
    <t>V2F..</t>
  </si>
  <si>
    <t>FAB-379 + FAB-380 + FAB-381</t>
  </si>
  <si>
    <t>FAB-379+FAB-380+FAB-381</t>
  </si>
  <si>
    <t>FAB-377 + FAB-378 + FAB-381</t>
  </si>
  <si>
    <t>FAB-377+FAB-378+FAB-381</t>
  </si>
  <si>
    <t>PFI-10..</t>
  </si>
  <si>
    <t>FAB-379+FAB-380</t>
  </si>
  <si>
    <t>FAB-377+FAB-378</t>
  </si>
  <si>
    <t>FAB-386..</t>
  </si>
  <si>
    <t>FAB-390..</t>
  </si>
  <si>
    <t>FAB-389..</t>
  </si>
  <si>
    <t>B4F..</t>
  </si>
  <si>
    <t>FAB-379 + FAB-380</t>
  </si>
  <si>
    <t>FAB-377 + FAB-378</t>
  </si>
  <si>
    <t>FAB-377 + FAB-381</t>
  </si>
  <si>
    <t>FAB-377+FAB-381</t>
  </si>
  <si>
    <t>FAB-228 (HA)</t>
  </si>
  <si>
    <t>V2-1824..</t>
  </si>
  <si>
    <t>V4-1224..</t>
  </si>
  <si>
    <t>V4-1212..</t>
  </si>
  <si>
    <t>FAB-273.. (HA)</t>
  </si>
  <si>
    <t>B10. (039)</t>
  </si>
  <si>
    <t>B10J (009..)</t>
  </si>
  <si>
    <t>B10X.</t>
  </si>
  <si>
    <t>B12X (019).</t>
  </si>
  <si>
    <t xml:space="preserve">B4F. (239) 
</t>
  </si>
  <si>
    <t>FAB-04 (204..)</t>
  </si>
  <si>
    <t>FB-11 (219).</t>
  </si>
  <si>
    <t xml:space="preserve">IB-C12..
</t>
  </si>
  <si>
    <t xml:space="preserve">IB-G08 (362..)
</t>
  </si>
  <si>
    <t xml:space="preserve">JMT-118 (471..)
</t>
  </si>
  <si>
    <t xml:space="preserve">JMT-59 (535..)
</t>
  </si>
  <si>
    <t>MFI-10. (622)</t>
  </si>
  <si>
    <t>MFI-12. (623)</t>
  </si>
  <si>
    <t>PF-06 (907..)</t>
  </si>
  <si>
    <t>PFI-10. (640)</t>
  </si>
  <si>
    <t xml:space="preserve">PFI-20 (643..)
</t>
  </si>
  <si>
    <t>PKG-01 (900..)</t>
  </si>
  <si>
    <t>RCB-06. (730)</t>
  </si>
  <si>
    <t xml:space="preserve">RCB-07 (731..)
</t>
  </si>
  <si>
    <t>S25X (379).</t>
  </si>
  <si>
    <t>SG-2432AD (1305..)</t>
  </si>
  <si>
    <t>SG-2436AC (1300..)</t>
  </si>
  <si>
    <t>V2.</t>
  </si>
  <si>
    <t>V2-1212.</t>
  </si>
  <si>
    <t xml:space="preserve">V2-1824 (838..) </t>
  </si>
  <si>
    <t>V2-1824.</t>
  </si>
  <si>
    <t>V2E.</t>
  </si>
  <si>
    <t>V4-1224.</t>
  </si>
  <si>
    <t>VZ4F (854..)</t>
  </si>
  <si>
    <t>WR-A212 (873..)</t>
  </si>
  <si>
    <t>Z4F. (048).</t>
  </si>
  <si>
    <t>BR-4015..</t>
  </si>
  <si>
    <t>BR-4024..</t>
  </si>
  <si>
    <t>BR-4030..</t>
  </si>
  <si>
    <t>FAB-225..</t>
  </si>
  <si>
    <t>FAB-244.. (HA)</t>
  </si>
  <si>
    <t>FAB-248..</t>
  </si>
  <si>
    <t>FAB-249..</t>
  </si>
  <si>
    <t>FAB-343.. (SA)</t>
  </si>
  <si>
    <t>FAB-355..(HA)</t>
  </si>
  <si>
    <t>FAB-391..</t>
  </si>
  <si>
    <t>FAB-50..</t>
  </si>
  <si>
    <t>FAB-54.. (HA)</t>
  </si>
  <si>
    <t>B1-4003-PO-AC6</t>
  </si>
  <si>
    <t>FAB-173-LS</t>
  </si>
  <si>
    <t>FAB-223 (HA)</t>
  </si>
  <si>
    <t>FAB-224 (HA)</t>
  </si>
  <si>
    <t>FAB-227 (HA)</t>
  </si>
  <si>
    <t>FAB-306..</t>
  </si>
  <si>
    <t>FAB-327.. (TH)</t>
  </si>
  <si>
    <t>FAB-355.. (SA)</t>
  </si>
  <si>
    <t>FAB-363 (HA)</t>
  </si>
  <si>
    <t>FAB-385..</t>
  </si>
  <si>
    <t>FB-C06..</t>
  </si>
  <si>
    <t>FP-72..</t>
  </si>
  <si>
    <t>FP-73..</t>
  </si>
  <si>
    <t>GEN-SE02..</t>
  </si>
  <si>
    <t>IB-E08..</t>
  </si>
  <si>
    <t>PFB-15..</t>
  </si>
  <si>
    <t>PFI-06..</t>
  </si>
  <si>
    <t>PF-POT..</t>
  </si>
  <si>
    <t>PF-S1..</t>
  </si>
  <si>
    <t>PO-AC6 (SA)</t>
  </si>
  <si>
    <t>PR-08..</t>
  </si>
  <si>
    <t>PR-32..</t>
  </si>
  <si>
    <t>RCB-03..</t>
  </si>
  <si>
    <t>ST-01..</t>
  </si>
  <si>
    <t>ST-03..</t>
  </si>
  <si>
    <t>ST-04 (SA)</t>
  </si>
  <si>
    <t>ST-04..</t>
  </si>
  <si>
    <t>TO-01..(SA)</t>
  </si>
  <si>
    <t>V2..</t>
  </si>
  <si>
    <t>V4-1824..</t>
  </si>
  <si>
    <t>Z1..</t>
  </si>
  <si>
    <t>Z4FK (BD)</t>
  </si>
  <si>
    <t>PO-AC6..</t>
  </si>
  <si>
    <t>V2E..</t>
  </si>
  <si>
    <t>FAB-306 (TH)</t>
  </si>
  <si>
    <t>PF-S1 + PF-S2</t>
  </si>
  <si>
    <t>PF-S1+PF-S2</t>
  </si>
  <si>
    <t>PF-S1 + PF-S2 + PF-S2</t>
  </si>
  <si>
    <t>PF-S1+PF-S2+PF-S2</t>
  </si>
  <si>
    <t>PF-S1.. + PF-S2..</t>
  </si>
  <si>
    <t>PF-S1 (SB)</t>
  </si>
  <si>
    <t>PF-S1 (SA)</t>
  </si>
  <si>
    <t>FAB-368+369+370+371+372+373+374+PKG-15</t>
  </si>
  <si>
    <t>FAB-368+FAB-369+FAB-370+FAB-371+FAB-372+FAB-373+FAB-374+PKG-15</t>
  </si>
  <si>
    <t>VIDEO CAMPAIGN - PFI-20</t>
  </si>
  <si>
    <t>Video Campaign Anvil</t>
  </si>
  <si>
    <t>PF-330 Video Campaign</t>
  </si>
  <si>
    <t>FAB-218-274 VIDEO</t>
  </si>
  <si>
    <t>FAB-218+FAB-274</t>
  </si>
  <si>
    <t>B5- Brand - New</t>
  </si>
  <si>
    <t>B5 - VIDEO</t>
  </si>
  <si>
    <t>B5 - BRAND - KW - TGT</t>
  </si>
  <si>
    <t>B5 - BRAND - KW - TGT 1</t>
  </si>
  <si>
    <t>PF-15 (HA)</t>
  </si>
  <si>
    <t>BR-4075..</t>
  </si>
  <si>
    <t>FAB-291 (HA)</t>
  </si>
  <si>
    <t>Febtech Brand Video ADV</t>
  </si>
  <si>
    <t>FAB-381..</t>
  </si>
  <si>
    <t>FAB-380..</t>
  </si>
  <si>
    <t>FAB-379..</t>
  </si>
  <si>
    <t>FAB-377..</t>
  </si>
  <si>
    <t>PFI-20..</t>
  </si>
  <si>
    <t>IB-A06..</t>
  </si>
  <si>
    <t>FAB-378..</t>
  </si>
  <si>
    <t>PKG-12-LS</t>
  </si>
  <si>
    <t>FAB-360..</t>
  </si>
  <si>
    <t>TO-05 (SA)</t>
  </si>
  <si>
    <t>FAB-335 (HB)</t>
  </si>
  <si>
    <t>FAB-334 (HB)</t>
  </si>
  <si>
    <t>FAB-333 (HB)</t>
  </si>
  <si>
    <t>FAB-253 (HC)</t>
  </si>
  <si>
    <t>FAB-252 (HB)</t>
  </si>
  <si>
    <t>FAB-51 (HB)</t>
  </si>
  <si>
    <t>FAB-387 + FAB-388</t>
  </si>
  <si>
    <t>FAB-387+FAB-388</t>
  </si>
  <si>
    <t>FAB-387 + FAB-388 + FAB-353</t>
  </si>
  <si>
    <t>FAB-387+FAB-388+FAB-353</t>
  </si>
  <si>
    <t>FAB-387 (HC)</t>
  </si>
  <si>
    <t>FAB-387 (HB)</t>
  </si>
  <si>
    <t>FAB-387 (HA)</t>
  </si>
  <si>
    <t>FAB-382 + FAB-374 (HA)</t>
  </si>
  <si>
    <t>FAB-313.. (HA)</t>
  </si>
  <si>
    <t>JMT-93 (SB)</t>
  </si>
  <si>
    <t>JMT-96 (SB)</t>
  </si>
  <si>
    <t>PF-POTS3 + HB-18</t>
  </si>
  <si>
    <t>PF-POTS3+HB-18</t>
  </si>
  <si>
    <t>CT-TC44.. (SA)</t>
  </si>
  <si>
    <t>FAB-295 (HA)</t>
  </si>
  <si>
    <t>FP-68 (3)-LS</t>
  </si>
  <si>
    <t>FP-70-LS</t>
  </si>
  <si>
    <t>JMT-93..</t>
  </si>
  <si>
    <t>RCB-02 (CA)</t>
  </si>
  <si>
    <t>PKG-01 (SA)</t>
  </si>
  <si>
    <t>FAB-368 + FAB-369 + FAB-370 + FAB-373</t>
  </si>
  <si>
    <t>FAB-368+FAB-369+FAB-370+FAB-373</t>
  </si>
  <si>
    <t>CT-TC22.. (SA)</t>
  </si>
  <si>
    <t>FAB-383 (HA)</t>
  </si>
  <si>
    <t>FAB-383 (HB)</t>
  </si>
  <si>
    <t>FAB-390 (HA)</t>
  </si>
  <si>
    <t>FAB-382 + FAB-374 (TH)</t>
  </si>
  <si>
    <t>BB-105210..</t>
  </si>
  <si>
    <t>CFB-12448 (SB)</t>
  </si>
  <si>
    <t>FAB-361..</t>
  </si>
  <si>
    <t>PKG-01 (SB)</t>
  </si>
  <si>
    <t>PKG-01 (SC)</t>
  </si>
  <si>
    <t>PKG-01 (SD)</t>
  </si>
  <si>
    <t>SB - CFB - Ceramic Blanket - B5 - Manual - KW - BR</t>
  </si>
  <si>
    <t>SB - CFB - Ceramic Blanket - B5 - Manual - KW - BR - 1</t>
  </si>
  <si>
    <t>SB - CFB - Ceramic Blanket - B5 - Manual - PRD - CAT &amp; KW</t>
  </si>
  <si>
    <t>SBV - CFB - Ceramic Blanket - B5 - Manual - CAT &amp; KW - Video</t>
  </si>
  <si>
    <t>SBV - PF - Forge SS - PF-330 - Manual - CAT &amp; KW - Video</t>
  </si>
  <si>
    <t>SBV - PFI - Forge - PFI-20 - Manual - CAT &amp; KW - Video</t>
  </si>
  <si>
    <t>ST-02..</t>
  </si>
  <si>
    <t>CFB-12496 (SC)</t>
  </si>
  <si>
    <t>CFB-12460 (SC)</t>
  </si>
  <si>
    <t>FAB-368 + FAB-369 + FAB-371..</t>
  </si>
  <si>
    <t>BB-125185..</t>
  </si>
  <si>
    <t>JMT-168 (TH)</t>
  </si>
  <si>
    <t>SD - FAB - Fire Pit Lid - FAB-218-274 - Manual - PRD - IND</t>
  </si>
  <si>
    <t>CFB-12448 (SC)</t>
  </si>
  <si>
    <t>SB - CFB - Ceramic Blanket - B5 - Manual - PRD - CAT &amp; PRD</t>
  </si>
  <si>
    <t>FAB-402 (2)</t>
  </si>
  <si>
    <t>FAB-402(2)</t>
  </si>
  <si>
    <t>FAB-356..</t>
  </si>
  <si>
    <t>FAB-359..</t>
  </si>
  <si>
    <t>FAB-295.. (HB)</t>
  </si>
  <si>
    <t>BB-950135..</t>
  </si>
  <si>
    <t>FAB-288 (HA)</t>
  </si>
  <si>
    <t>FAB-368 + FAB-369 + FAB-370 + FAB-371..</t>
  </si>
  <si>
    <t>FAB-402 (6) + HT-27</t>
  </si>
  <si>
    <t>FAB-402(6)+HT-27</t>
  </si>
  <si>
    <t>CFB-12460 (SB)</t>
  </si>
  <si>
    <t>B5 (AD)</t>
  </si>
  <si>
    <t>FAB-383 (HC)</t>
  </si>
  <si>
    <t>CFB-116100 (SC)</t>
  </si>
  <si>
    <t>CFB-11648 (SC)</t>
  </si>
  <si>
    <t>PKG-01 (10) (SA)</t>
  </si>
  <si>
    <t>PKG-01 (15)</t>
  </si>
  <si>
    <t>PKG-01(15)</t>
  </si>
  <si>
    <t>FAB-368 + FAB-369 + FAB-371 (HA)</t>
  </si>
  <si>
    <t>FAB-405 (4) + HT-27</t>
  </si>
  <si>
    <t>FAB-405(4)+HT-27</t>
  </si>
  <si>
    <t>FAB-402 (4) + HT-27</t>
  </si>
  <si>
    <t>FAB-402(4)+HT-27</t>
  </si>
  <si>
    <t>FAB-403 (4) + HT-27</t>
  </si>
  <si>
    <t>FAB-403(4)+HT-27</t>
  </si>
  <si>
    <t>Z4F (SD)</t>
  </si>
  <si>
    <t>FAB-403 (8) + HT-27</t>
  </si>
  <si>
    <t>FAB-403(8)+HT-27</t>
  </si>
  <si>
    <t>FAB-403 (10) + HT-27</t>
  </si>
  <si>
    <t>FAB-403(10)+HT-27</t>
  </si>
  <si>
    <t>FAB-403 (12) + HT-27</t>
  </si>
  <si>
    <t>FAB-403(12)+HT-27</t>
  </si>
  <si>
    <t>FAB-403 (16) + HT-27</t>
  </si>
  <si>
    <t>FAB-403(16)+HT-27</t>
  </si>
  <si>
    <t>FAB-403 (20) + HT-27</t>
  </si>
  <si>
    <t>FAB-403(20)+HT-27</t>
  </si>
  <si>
    <t>FAB-403 (50) + HT-27</t>
  </si>
  <si>
    <t>FAB-403(50)+HT-27</t>
  </si>
  <si>
    <t>FAB-404 (4) + HT-27</t>
  </si>
  <si>
    <t>FAB-404(4)+HT-27</t>
  </si>
  <si>
    <t>FAB-404 (6) + HT-27</t>
  </si>
  <si>
    <t>FAB-404(6)+HT-27</t>
  </si>
  <si>
    <t>FAB-404 (8) + HT-27</t>
  </si>
  <si>
    <t>FAB-404(8)+HT-27</t>
  </si>
  <si>
    <t>FAB-404 (10) + HT-27</t>
  </si>
  <si>
    <t>FAB-404(10)+HT-27</t>
  </si>
  <si>
    <t>FAB-404 (12) + HT-27</t>
  </si>
  <si>
    <t>FAB-404(12)+HT-27</t>
  </si>
  <si>
    <t>FAB-404 (16) + HT-27</t>
  </si>
  <si>
    <t>FAB-404(16)+HT-27</t>
  </si>
  <si>
    <t>FAB-404 (20) + HT-27</t>
  </si>
  <si>
    <t>FAB-404(20)+HT-27</t>
  </si>
  <si>
    <t>FAB-404 (50) + HT-27</t>
  </si>
  <si>
    <t>FAB-404(50)+HT-27</t>
  </si>
  <si>
    <t>FAB-405 (6) + HT-27</t>
  </si>
  <si>
    <t>FAB-405(6)+HT-27</t>
  </si>
  <si>
    <t>FAB-405 (8) + HT-27</t>
  </si>
  <si>
    <t>FAB-405(8)+HT-27</t>
  </si>
  <si>
    <t>FAB-405 (10) + HT-27</t>
  </si>
  <si>
    <t>FAB-405(10)+HT-27</t>
  </si>
  <si>
    <t>FAB-405 (12) + HT-27</t>
  </si>
  <si>
    <t>FAB-405(12)+HT-27</t>
  </si>
  <si>
    <t>FAB-405 (16) + HT-27</t>
  </si>
  <si>
    <t>FAB-405(16)+HT-27</t>
  </si>
  <si>
    <t>FAB-405 (20) + HT-27</t>
  </si>
  <si>
    <t>FAB-405(20)+HT-27</t>
  </si>
  <si>
    <t>PKG-01 (5)</t>
  </si>
  <si>
    <t>PKG-01(5)</t>
  </si>
  <si>
    <t>PKG-08 (2)</t>
  </si>
  <si>
    <t>PKG-08(2)</t>
  </si>
  <si>
    <t>ST-07..</t>
  </si>
  <si>
    <t>ST-05..</t>
  </si>
  <si>
    <t>FAB-406..</t>
  </si>
  <si>
    <t>CP-2-2425F..</t>
  </si>
  <si>
    <t>FPB-01 (SA)</t>
  </si>
  <si>
    <t>FPB-03 (SA)</t>
  </si>
  <si>
    <t>FAB-390 (2)</t>
  </si>
  <si>
    <t>FAB-390(2)</t>
  </si>
  <si>
    <t>FAB-395..</t>
  </si>
  <si>
    <t>B5 (SB)</t>
  </si>
  <si>
    <t>FAB-403 (6) + HT-27</t>
  </si>
  <si>
    <t>FAB-403(6)+HT-27</t>
  </si>
  <si>
    <t>PO-AC8..</t>
  </si>
  <si>
    <t>FAB-401..</t>
  </si>
  <si>
    <t>FAB-399..</t>
  </si>
  <si>
    <t>FAB-397..</t>
  </si>
  <si>
    <t>FAB-400..</t>
  </si>
  <si>
    <t>FAB-398..</t>
  </si>
  <si>
    <t>FPB-01..</t>
  </si>
  <si>
    <t>PO-AC7..</t>
  </si>
  <si>
    <t>GEN-SP02..</t>
  </si>
  <si>
    <t>FP-64-LS</t>
  </si>
  <si>
    <t>SB - FAB - SQUARE &amp; ROUND FP RINGS - MANUAL - KW</t>
  </si>
  <si>
    <t>BB-100210 (SA)</t>
  </si>
  <si>
    <t>FPB-03..</t>
  </si>
  <si>
    <t>GEN-SP04..</t>
  </si>
  <si>
    <t>FAB-143 (SA)</t>
  </si>
  <si>
    <t>SD Video - FAB - Fire Pit Lid - FAB-218 - Manual - PRD - IND</t>
  </si>
  <si>
    <t>GEN-SP03..</t>
  </si>
  <si>
    <t>A05-0154-FAB-371</t>
  </si>
  <si>
    <t>A06-0214-FAB-368</t>
  </si>
  <si>
    <t>A13-0449-FAB-369</t>
  </si>
  <si>
    <t>B12H (SA)</t>
  </si>
  <si>
    <t>BK</t>
  </si>
  <si>
    <t>BOX_01</t>
  </si>
  <si>
    <t>BOX_02</t>
  </si>
  <si>
    <t>BOX_03</t>
  </si>
  <si>
    <t>BOX_04</t>
  </si>
  <si>
    <t>BOX_05</t>
  </si>
  <si>
    <t>BOX_06</t>
  </si>
  <si>
    <t>BOX_07</t>
  </si>
  <si>
    <t>BOX_08</t>
  </si>
  <si>
    <t>BOX_09</t>
  </si>
  <si>
    <t>BOX_10</t>
  </si>
  <si>
    <t>BOX_11</t>
  </si>
  <si>
    <t>BOX_12</t>
  </si>
  <si>
    <t>BOX_13</t>
  </si>
  <si>
    <t>BOX_14</t>
  </si>
  <si>
    <t>BOX_15</t>
  </si>
  <si>
    <t>BOX_16</t>
  </si>
  <si>
    <t>BOX_17</t>
  </si>
  <si>
    <t>ECO-20+ECO-21 (4)</t>
  </si>
  <si>
    <t>ECO-20+ECO-21(4)</t>
  </si>
  <si>
    <t>FAB-152-LS</t>
  </si>
  <si>
    <t>FAB-157 (HA)</t>
  </si>
  <si>
    <t>FAB-327 (TH)</t>
  </si>
  <si>
    <t>FAB-33 (2)-LS</t>
  </si>
  <si>
    <t>FAB-335 (HA)</t>
  </si>
  <si>
    <t>GNTHIYA</t>
  </si>
  <si>
    <t>JMT-165 (SA)</t>
  </si>
  <si>
    <t>MFI-12CO (CC)</t>
  </si>
  <si>
    <t>REP_CRUCIBLE</t>
  </si>
  <si>
    <t>ST-03 (LB)</t>
  </si>
  <si>
    <t>FAB-393..</t>
  </si>
  <si>
    <t>ST-03 (LA)</t>
  </si>
  <si>
    <t>FAB-355 (HA)</t>
  </si>
  <si>
    <t>FAB-392..</t>
  </si>
  <si>
    <t>FAB-394..</t>
  </si>
  <si>
    <t>ST-04 (LB)</t>
  </si>
  <si>
    <t>ST-04 (LA)</t>
  </si>
  <si>
    <t>PF-POT + PF-POTS3 + HB-35</t>
  </si>
  <si>
    <t>PF-POT+PF-POTS3+HB-35</t>
  </si>
  <si>
    <t>FAB-409..</t>
  </si>
  <si>
    <t>PF-POT + PF-POTS3 + HB-25</t>
  </si>
  <si>
    <t>PF-POT+PF-POTS3+HB-25</t>
  </si>
  <si>
    <t>FAB-216.. (HA)</t>
  </si>
  <si>
    <t>PF-POT + PF-POTS3</t>
  </si>
  <si>
    <t>PF-POT+PF-POTS3</t>
  </si>
  <si>
    <t>FAB-143 (2)</t>
  </si>
  <si>
    <t>FAB-143(2)</t>
  </si>
  <si>
    <t>JMT-04.. (SA)</t>
  </si>
  <si>
    <t>B11..</t>
  </si>
  <si>
    <t>ST-02..(LA)</t>
  </si>
  <si>
    <t>FAB-358..</t>
  </si>
  <si>
    <t>V2F (SA)</t>
  </si>
  <si>
    <t>BS9 (SA)</t>
  </si>
  <si>
    <t>UFAB-375 + UFAB-376</t>
  </si>
  <si>
    <t>UFAB-375+UFAB-376</t>
  </si>
  <si>
    <t>JMT-59..</t>
  </si>
  <si>
    <t>BS13 (SA)</t>
  </si>
  <si>
    <t>SB - PF - Forge Stand - MAN - KW</t>
  </si>
  <si>
    <t>SBV-HB-COAL FORGE-MANUAL-KW-BR</t>
  </si>
  <si>
    <t>FAB-310 (HA)</t>
  </si>
  <si>
    <t>FAB-407 (LC)</t>
  </si>
  <si>
    <t>FAB-368 + FAB-369 + FAB-370 + FAB-373..</t>
  </si>
  <si>
    <t>PF-S1 + PF-S2 + PF-S2 (SA)</t>
  </si>
  <si>
    <t>PF-S1 + PF-S2 (SA)</t>
  </si>
  <si>
    <t>PF-S1 + PF-S2 + PF-S2 (SB)</t>
  </si>
  <si>
    <t>PF-S1 + PF-S2.. (SA)</t>
  </si>
  <si>
    <t>FAB-407..</t>
  </si>
  <si>
    <t>FAB-368 + FAB-371..</t>
  </si>
  <si>
    <t>FAB-368+369+370+371+372+373+374+PKG-15..</t>
  </si>
  <si>
    <t>FAB-368 + FAB-369 + FAB-372..</t>
  </si>
  <si>
    <t>FAB-368 + FAB-369 + FAB-373..</t>
  </si>
  <si>
    <t>FAB-368 + FAB-369 + FAB-370 + FAB-372..</t>
  </si>
  <si>
    <t>JMT-25 (SA)</t>
  </si>
  <si>
    <t>PF-S1 + PF-S2 (SB)</t>
  </si>
  <si>
    <t>PF-S1 + PF-S2 (SC)</t>
  </si>
  <si>
    <t>FAB-143..</t>
  </si>
  <si>
    <t> BS9..</t>
  </si>
  <si>
    <t>TB-1000..</t>
  </si>
  <si>
    <t>TB-1001..</t>
  </si>
  <si>
    <t>TB-1002..</t>
  </si>
  <si>
    <t>PO-AC3.. (SA)</t>
  </si>
  <si>
    <t>B9J.</t>
  </si>
  <si>
    <t>FAB-42.. (DA)</t>
  </si>
  <si>
    <t>FAB-153..</t>
  </si>
  <si>
    <t>FAB-368 + FAB-372..</t>
  </si>
  <si>
    <t>FP-61..</t>
  </si>
  <si>
    <t>FAB-382 + FAB-374..</t>
  </si>
  <si>
    <t>PKG-07..</t>
  </si>
  <si>
    <t>PKG-08..</t>
  </si>
  <si>
    <t>PKG-11..</t>
  </si>
  <si>
    <t>PF-POT + PF-POTS3..</t>
  </si>
  <si>
    <t>PKG-09..</t>
  </si>
  <si>
    <t>PKG-12..</t>
  </si>
  <si>
    <t>FP-70..</t>
  </si>
  <si>
    <t>FP-64.. (SA)</t>
  </si>
  <si>
    <t>WR-A236..</t>
  </si>
  <si>
    <t>JMT-97..</t>
  </si>
  <si>
    <t>GEN-CN06 (SB)</t>
  </si>
  <si>
    <t>FAB-410..</t>
  </si>
  <si>
    <t>FAB-412..</t>
  </si>
  <si>
    <t>GEN-CN07 (SB)</t>
  </si>
  <si>
    <t>V2 (SA)</t>
  </si>
  <si>
    <t>GEN-CN08 (SC)</t>
  </si>
  <si>
    <t>GEN-CN05 (SB)</t>
  </si>
  <si>
    <t>GEN-CN08 (SB)</t>
  </si>
  <si>
    <t>PF-POT + PF-POTS3 + HB-18</t>
  </si>
  <si>
    <t>PF-POT+PF-POTS3+HB-18</t>
  </si>
  <si>
    <t>RCB-02 (SB)</t>
  </si>
  <si>
    <t>FAB-407 (LD)</t>
  </si>
  <si>
    <t>FAB-411..</t>
  </si>
  <si>
    <t>FAB-245 (HA)</t>
  </si>
  <si>
    <t>RCB-13 (SA)</t>
  </si>
  <si>
    <t>GEN-SB04 (SA)</t>
  </si>
  <si>
    <t>PKG-13..</t>
  </si>
  <si>
    <t>PKG-03..</t>
  </si>
  <si>
    <t>PKG-04..</t>
  </si>
  <si>
    <t>PKG-05..</t>
  </si>
  <si>
    <t>VB-1005..</t>
  </si>
  <si>
    <t>ECO-29 (5)</t>
  </si>
  <si>
    <t>ECO-29(5)</t>
  </si>
  <si>
    <t>ECO-32 (2)</t>
  </si>
  <si>
    <t>ECO-32(2)</t>
  </si>
  <si>
    <t>FAB-401.. (HA)</t>
  </si>
  <si>
    <t>FAB-410 (TH)</t>
  </si>
  <si>
    <t>FAB-411 (TH)</t>
  </si>
  <si>
    <t>FAB-412 (TH)</t>
  </si>
  <si>
    <t>SB - FIRE PIT LIDS ALL - MANUAL - KW - EXACT</t>
  </si>
  <si>
    <t>FAB-218+FAB-272+FAB-274</t>
  </si>
  <si>
    <t>FAB-311 (HA)</t>
  </si>
  <si>
    <t>ECO-25 (4)</t>
  </si>
  <si>
    <t>ECO-25(4)</t>
  </si>
  <si>
    <t>ECO-22 (4)</t>
  </si>
  <si>
    <t>ECO-22(4)</t>
  </si>
  <si>
    <t>FAB-375 + FAB-376</t>
  </si>
  <si>
    <t>ECO-03 (20)</t>
  </si>
  <si>
    <t>ECO-03(20)</t>
  </si>
  <si>
    <t>ECO-02 (4)</t>
  </si>
  <si>
    <t>ECO-02(4)</t>
  </si>
  <si>
    <t>ECO-16+ECO-17 (4)</t>
  </si>
  <si>
    <t>ECO-16(4)+ECO-17(4)</t>
  </si>
  <si>
    <t>ECO-27 (8)</t>
  </si>
  <si>
    <t>ECO-27(8)</t>
  </si>
  <si>
    <t>ECO-26 (4)</t>
  </si>
  <si>
    <t>ECO-26(4)</t>
  </si>
  <si>
    <t>ECO-23 (2)</t>
  </si>
  <si>
    <t>ECO-23(2)</t>
  </si>
  <si>
    <t>ECO-18+ECO-19 (4)</t>
  </si>
  <si>
    <t>ECO-18+ECO-19(4)</t>
  </si>
  <si>
    <t>ECO-11 (10)</t>
  </si>
  <si>
    <t>ECO-11(10)</t>
  </si>
  <si>
    <t>ECO-09 (8)</t>
  </si>
  <si>
    <t>ECO-09(8)</t>
  </si>
  <si>
    <t>B9J (SA)</t>
  </si>
  <si>
    <t>ECO-01 (10)</t>
  </si>
  <si>
    <t>ECO-01(10)</t>
  </si>
  <si>
    <t>ECO-04 (5)</t>
  </si>
  <si>
    <t>ECO-04(5)</t>
  </si>
  <si>
    <t>FAB-175-LS</t>
  </si>
  <si>
    <t>FAB-176-LS</t>
  </si>
  <si>
    <t>FAB-177-LS</t>
  </si>
  <si>
    <t>FAB-179-LS</t>
  </si>
  <si>
    <t>FAB-341 (TH)</t>
  </si>
  <si>
    <t>FAB-343 (TH)</t>
  </si>
  <si>
    <t>IB-C11M (SA)</t>
  </si>
  <si>
    <t>IB-E08 (12)</t>
  </si>
  <si>
    <t>IB-E08(12)</t>
  </si>
  <si>
    <t>IB-E08 (24)</t>
  </si>
  <si>
    <t>IB-E08(24)</t>
  </si>
  <si>
    <t>IB-E08 (48)</t>
  </si>
  <si>
    <t>IB-E08(48)</t>
  </si>
  <si>
    <t>IB-E08 (SB)</t>
  </si>
  <si>
    <t>IB-F08 (24)</t>
  </si>
  <si>
    <t>IB-F08(24)</t>
  </si>
  <si>
    <t>IB-G08 (48)</t>
  </si>
  <si>
    <t>IB-G08(48)</t>
  </si>
  <si>
    <t>PF-20 (SB)</t>
  </si>
  <si>
    <t>PFO-10 (SA)</t>
  </si>
  <si>
    <t>PFR-10 (SB)</t>
  </si>
  <si>
    <t>PKG-03 (SA)</t>
  </si>
  <si>
    <t>PKG-04 (SA)</t>
  </si>
  <si>
    <t>PKG-05 (SA)</t>
  </si>
  <si>
    <t>PKG-07 (SA)</t>
  </si>
  <si>
    <t>PKG-08 (SA)</t>
  </si>
  <si>
    <t>PKG-09 (SA)</t>
  </si>
  <si>
    <t>PKG-11 (SA)</t>
  </si>
  <si>
    <t>PKG-12 (SA)</t>
  </si>
  <si>
    <t>PKG-13 (SA)</t>
  </si>
  <si>
    <t>PS-46-LS</t>
  </si>
  <si>
    <t>V2-1212 (SA)</t>
  </si>
  <si>
    <t>FAB-185 (SA)</t>
  </si>
  <si>
    <t>FAB-368 + FAB-369 + FAB-371.. (TH)</t>
  </si>
  <si>
    <t>FAB-368+FAB-369+FAB-370+FAB-372 (TH)</t>
  </si>
  <si>
    <t>IB-C05 (24)</t>
  </si>
  <si>
    <t>IB-C05(24)</t>
  </si>
  <si>
    <t>IB-C05 (48)</t>
  </si>
  <si>
    <t>IB-C05(48)</t>
  </si>
  <si>
    <t>IB-C05 (84)</t>
  </si>
  <si>
    <t>IB-C05(84)</t>
  </si>
  <si>
    <t>IB-E08 (48) (1)</t>
  </si>
  <si>
    <t>IB-E08(48)(1)</t>
  </si>
  <si>
    <t>IB-F08 (12)</t>
  </si>
  <si>
    <t>IB-F08(12)</t>
  </si>
  <si>
    <t>IB-F08 (24) (1)</t>
  </si>
  <si>
    <t>IB-F08(24)(1)</t>
  </si>
  <si>
    <t>IB-F08 (48)</t>
  </si>
  <si>
    <t>IB-F08(48)</t>
  </si>
  <si>
    <t>IB-F08 (48) (1)</t>
  </si>
  <si>
    <t>IB-F08(48)(1)</t>
  </si>
  <si>
    <t>IB-G08 (12)</t>
  </si>
  <si>
    <t>IB-G08(12)</t>
  </si>
  <si>
    <t>IB-G08 (24)</t>
  </si>
  <si>
    <t>IB-G08(24)</t>
  </si>
  <si>
    <t>IB-G08 (24) (1)</t>
  </si>
  <si>
    <t>IB-G08(24)(1)</t>
  </si>
  <si>
    <t>IB-G08 (48) (1)</t>
  </si>
  <si>
    <t>IB-G08(48)(1)</t>
  </si>
  <si>
    <t>JMT-127 (2)-LS</t>
  </si>
  <si>
    <t>JMT-149-LS</t>
  </si>
  <si>
    <t>JMT-152-LS</t>
  </si>
  <si>
    <t>JMT-98 (SA)</t>
  </si>
  <si>
    <t>PFB-12-LS</t>
  </si>
  <si>
    <t>PO-AC2 (SB)</t>
  </si>
  <si>
    <t>PS-47-LS</t>
  </si>
  <si>
    <t>PS-90-LS</t>
  </si>
  <si>
    <t>PS-91-LS</t>
  </si>
  <si>
    <t>ST-01 (SA)</t>
  </si>
  <si>
    <t>ST-01 (SB)</t>
  </si>
  <si>
    <t>ST-01 (SC)</t>
  </si>
  <si>
    <t>ST-01 (TH)</t>
  </si>
  <si>
    <t>ST-03 (SA)</t>
  </si>
  <si>
    <t>B12-B12F-B12J-B12H-B12X-FBA</t>
  </si>
  <si>
    <t>B4F-B4F (2)-B4F (3)-FBA</t>
  </si>
  <si>
    <t>B4F-B4F(2)-B4F(3)</t>
  </si>
  <si>
    <t>BS10-BS13</t>
  </si>
  <si>
    <t>CFB-11648-CFB-12448-CFB-12496-MSC</t>
  </si>
  <si>
    <t>CFB-12448-12460-12496-FBA</t>
  </si>
  <si>
    <t>CFB-12448-60-96-REG</t>
  </si>
  <si>
    <t>CM-B109-CM-B209</t>
  </si>
  <si>
    <t>CP-1-2425F-CP-3-2425F-FBA</t>
  </si>
  <si>
    <t>CT-AM04-CT-AM125-FBA</t>
  </si>
  <si>
    <t>FAB-08-FAB-08B..</t>
  </si>
  <si>
    <t>FAB-08-FAB-08B</t>
  </si>
  <si>
    <t>FAB-09-FAB-09B..</t>
  </si>
  <si>
    <t>FAB-09-FAB-09B</t>
  </si>
  <si>
    <t>FB-C06-FB-C12</t>
  </si>
  <si>
    <t>FPB-01-03 - FBA</t>
  </si>
  <si>
    <t>FPB-01-03-FBA</t>
  </si>
  <si>
    <t>GEN-CN02-CN03 FBA</t>
  </si>
  <si>
    <t>GEN-CN02-CN03FBA</t>
  </si>
  <si>
    <t>GEN-CN05 TO CN08</t>
  </si>
  <si>
    <t>GEN-CN05TOCN08</t>
  </si>
  <si>
    <t>GEN-CN05-06-07-08- NEW</t>
  </si>
  <si>
    <t>GEN-CN05-06-07-08-NEW</t>
  </si>
  <si>
    <t>GEN-SB01-03</t>
  </si>
  <si>
    <t>GEN-SP02-03-04 - FBA</t>
  </si>
  <si>
    <t>GEN-SP02-03-04-FBA</t>
  </si>
  <si>
    <t>IB-A06 (2)-IB-F08 (2)-IB-G08 (2)-REG</t>
  </si>
  <si>
    <t>IB-A06(2)-IB-F08(2)-IB-G08(2)-REG</t>
  </si>
  <si>
    <t>IB-A06-IB-A16-IB-G08-REG</t>
  </si>
  <si>
    <t>IB-A16-IB-A06 (2)</t>
  </si>
  <si>
    <t>IB-A16-IB-A06(2)</t>
  </si>
  <si>
    <t>IB-C05-IB-C05 (2)-IB-C05 (3)</t>
  </si>
  <si>
    <t>IB-C05-IB-C05(2)-IB-C05(3)</t>
  </si>
  <si>
    <t>IB-E08-IB-E08 (48)</t>
  </si>
  <si>
    <t>IB-E08-IB-E08(48)</t>
  </si>
  <si>
    <t>IB-F08-IB-F08 (48)</t>
  </si>
  <si>
    <t>IB-F08-IB-F08(48)</t>
  </si>
  <si>
    <t>IB-G08-IB-G08 (48)</t>
  </si>
  <si>
    <t>IB-G08-IB-G08(48)</t>
  </si>
  <si>
    <t>JMT-01 + JMT-02 + JMT-03</t>
  </si>
  <si>
    <t>JMT-01+JMT-02+JMT-03</t>
  </si>
  <si>
    <t>JMT-01 - JMT-02 - JMT-137 - JMT-136</t>
  </si>
  <si>
    <t>JMT-01-JMT-02-JMT-137-JMT-136</t>
  </si>
  <si>
    <t>JMT-134 - JMT-159 - JMT-97</t>
  </si>
  <si>
    <t>JMT-134-JMT-159-JMT-97</t>
  </si>
  <si>
    <t>JMT-96 - JMT-93 - JMT-90 - JMT-89</t>
  </si>
  <si>
    <t>JMT-96-JMT-93-JMT-90-JMT-89</t>
  </si>
  <si>
    <t>PF-16 - PFI-17</t>
  </si>
  <si>
    <t>PF-16-PFI-17</t>
  </si>
  <si>
    <t>PFI-07 - PF-330-DO2-DO2</t>
  </si>
  <si>
    <t>PFI-07-PF-330-DO2-DO2</t>
  </si>
  <si>
    <t>PFI-10 - PFO-10 - PFR-10 - PF-S1</t>
  </si>
  <si>
    <t>PFI-10-PFO-10-PFR-10-PF-S1</t>
  </si>
  <si>
    <t>PFI-20B - PFO-10 - PFR-10</t>
  </si>
  <si>
    <t>PFI-20B-PFO-10-PFR-10</t>
  </si>
  <si>
    <t>PFI-20B(1) - PF-21 - PF-11I - PF-21I</t>
  </si>
  <si>
    <t>PFI-20B(1)-PF-21-PF-11I-PF-21I</t>
  </si>
  <si>
    <t>PFI-21B - PFO-10(1) - PFR-10(1)</t>
  </si>
  <si>
    <t>PFI-21B-PFO-10(1)-PFR-10(1)</t>
  </si>
  <si>
    <t>PFI-22B - PFI-06(1) - PFI-05(1)</t>
  </si>
  <si>
    <t>PFI-22B-PFI-06(1)-PFI-05(1)</t>
  </si>
  <si>
    <t>PFI-22B - PFI-12 - PFI-11 - PFI-11B</t>
  </si>
  <si>
    <t>PFI-22B-PFI-12-PFI-11-PFI-11B</t>
  </si>
  <si>
    <t>PFI-32 - PF-30</t>
  </si>
  <si>
    <t>PFI-32-PF-30</t>
  </si>
  <si>
    <t>PO-AC2-AC6</t>
  </si>
  <si>
    <t>RCB-13-RCB-02-FBAM</t>
  </si>
  <si>
    <t>RCB-13-RCB-13 (2)</t>
  </si>
  <si>
    <t>RCB-13-RCB-13(2)</t>
  </si>
  <si>
    <t>S9J-S9X-S21-S25-FBA</t>
  </si>
  <si>
    <t>S9J-S9X-S21-S25-REG</t>
  </si>
  <si>
    <t>TB-1000-TB-1002-FBA</t>
  </si>
  <si>
    <t>TB-1000-TB-1002-M</t>
  </si>
  <si>
    <t>TO-05-TO-06</t>
  </si>
  <si>
    <t>V2-1212-V2-1112-FBA</t>
  </si>
  <si>
    <t>V2-1212-V2-1112-REG</t>
  </si>
  <si>
    <t>V2-V2-1824</t>
  </si>
  <si>
    <t>V2-V2-1824-FBA</t>
  </si>
  <si>
    <t>V4-1524-V4-1224-V4-1824-FBA</t>
  </si>
  <si>
    <t>V5-V6-V7-V8-V9-FBA</t>
  </si>
  <si>
    <t>WR-A212-WR-A212 (4)-FBA-R</t>
  </si>
  <si>
    <t>WR-A212-WR-A212(4)-FBA-R</t>
  </si>
  <si>
    <t>WR-A212-WR-B215-WR-C115</t>
  </si>
  <si>
    <t>Z4F (SA)-Z4F2 (SB)</t>
  </si>
  <si>
    <t>Z4F-Z4F2</t>
  </si>
  <si>
    <t>Z4F-Z4F2-B10J-CFB-11232</t>
  </si>
  <si>
    <t>Z4F-Z4F2-CFB-11232-FBA</t>
  </si>
  <si>
    <t>Z4FK-B10J-CFB-11648-2448-2460-2496-16100</t>
  </si>
  <si>
    <t>ZS1-Z1X-Z4-FBA</t>
  </si>
  <si>
    <t>FAB-330 (HC)</t>
  </si>
  <si>
    <t>FAB-286 (HA)</t>
  </si>
  <si>
    <t>FAB-286 (HB)</t>
  </si>
  <si>
    <t>FAB-377 (LA)</t>
  </si>
  <si>
    <t>FAB-408..</t>
  </si>
  <si>
    <t>SB - FAB - ROUND FP RINGS - MANUAL - KW</t>
  </si>
  <si>
    <t>FAB-240+FAB-242+FAB-243</t>
  </si>
  <si>
    <t>FAB-387(HA)</t>
  </si>
  <si>
    <t>FAB--173</t>
  </si>
  <si>
    <t>B5-AD</t>
  </si>
  <si>
    <t>FAB-368+369+370+372</t>
  </si>
  <si>
    <t>B5-(AD)</t>
  </si>
  <si>
    <t>B5(AD)</t>
  </si>
  <si>
    <t>ECO-16+ECO-17(4)</t>
  </si>
  <si>
    <t>SB - FAB - FAB-240-242-243 -  ROUND FP RINGS - MANUAL - KW</t>
  </si>
  <si>
    <t>B4-4212-FAB-377</t>
  </si>
  <si>
    <t>FAB-403 (6)</t>
  </si>
  <si>
    <t>FAB-403(6)</t>
  </si>
  <si>
    <t>FAB-422..</t>
  </si>
  <si>
    <t>FAB-423..</t>
  </si>
  <si>
    <t>FAB-419..</t>
  </si>
  <si>
    <t>PF-D02..</t>
  </si>
  <si>
    <t>FAB-376..</t>
  </si>
  <si>
    <t>PKG-15..</t>
  </si>
  <si>
    <t>FAB-372..</t>
  </si>
  <si>
    <t>FAB-371..</t>
  </si>
  <si>
    <t>FAB-373..</t>
  </si>
  <si>
    <t>PF-S2.. (SA)</t>
  </si>
  <si>
    <t>PF-RP15..</t>
  </si>
  <si>
    <t>BB-1003..</t>
  </si>
  <si>
    <t>FAB-418..</t>
  </si>
  <si>
    <t>V7..</t>
  </si>
  <si>
    <t>VB-1006..</t>
  </si>
  <si>
    <t>FAB-343.. (HA)</t>
  </si>
  <si>
    <t>JMT-103..</t>
  </si>
  <si>
    <t>JMT-96..</t>
  </si>
  <si>
    <t>RCB-07..</t>
  </si>
  <si>
    <t>S21X..</t>
  </si>
  <si>
    <t>FAB-413..</t>
  </si>
  <si>
    <t>V4..</t>
  </si>
  <si>
    <t>PF-S1 + PF-S2..</t>
  </si>
  <si>
    <t>MFI-14CO (FD)</t>
  </si>
  <si>
    <t>FAB-360 (HB)</t>
  </si>
  <si>
    <t>FAB-361 (HB)</t>
  </si>
  <si>
    <t>FAB-361 (HA)</t>
  </si>
  <si>
    <t>FAB-362 (HB)</t>
  </si>
  <si>
    <t>FAB-420..</t>
  </si>
  <si>
    <t>Z4FK(AD)</t>
  </si>
  <si>
    <t>FAB-377 (LB)</t>
  </si>
  <si>
    <t>FAB-379 (LA)</t>
  </si>
  <si>
    <t>FAB-387..</t>
  </si>
  <si>
    <t>VB-1007..</t>
  </si>
  <si>
    <t>FAB-377 + FAB-381 (LA)</t>
  </si>
  <si>
    <t>FAB-378 (LA)</t>
  </si>
  <si>
    <t>FAB-380 (LA)</t>
  </si>
  <si>
    <t>FAB-379 + FAB-381 (LA)</t>
  </si>
  <si>
    <t>FAB-377 + FAB-378 (LA)</t>
  </si>
  <si>
    <t>FAB-379 + FAB-380 + FAB-381 (LA)</t>
  </si>
  <si>
    <t>FAB-379 + FAB-380 (LA)</t>
  </si>
  <si>
    <t>FAB-377 + FAB-378 + FAB-381 (LA)</t>
  </si>
  <si>
    <t>FAB-362 (HA)</t>
  </si>
  <si>
    <t>FAB-360 (HC)</t>
  </si>
  <si>
    <t>SB - SQUARE FIRE PIT - FAB-406 - MANUAL -KW</t>
  </si>
  <si>
    <t>FAB-421..</t>
  </si>
  <si>
    <t>PR-03 (SA)</t>
  </si>
  <si>
    <t>PR-32 (SA)</t>
  </si>
  <si>
    <t>FP-68 (SA)</t>
  </si>
  <si>
    <t>JMT-02 (SB)</t>
  </si>
  <si>
    <t>B10X- Variant</t>
  </si>
  <si>
    <t>BS10 (038..)</t>
  </si>
  <si>
    <t>IB-C05 (1)</t>
  </si>
  <si>
    <t>IB-C05-Variant</t>
  </si>
  <si>
    <t xml:space="preserve">IB-F08 (24) </t>
  </si>
  <si>
    <t xml:space="preserve">IB-F08 (48) </t>
  </si>
  <si>
    <t>IB-G08..</t>
  </si>
  <si>
    <t xml:space="preserve">IB-G08 (48) </t>
  </si>
  <si>
    <t>S21X - Test</t>
  </si>
  <si>
    <t>V2-1824 -Variant</t>
  </si>
  <si>
    <t>V4 (834..)</t>
  </si>
  <si>
    <t>V4E..</t>
  </si>
  <si>
    <t xml:space="preserve"> 
Z4F (SB)</t>
  </si>
  <si>
    <t>Z4F (CFB-11524)</t>
  </si>
  <si>
    <t xml:space="preserve"> 
Z4F.. (SA)</t>
  </si>
  <si>
    <t xml:space="preserve">Z4F (SD)
</t>
  </si>
  <si>
    <t xml:space="preserve">Z4F2 (SC)
</t>
  </si>
  <si>
    <t>Z4F2 (CFB-11524 (2))</t>
  </si>
  <si>
    <t>PR-08 - VARIANT</t>
  </si>
  <si>
    <t>PR-14 - VARIANT</t>
  </si>
  <si>
    <t>FAB-48 - VARIANT</t>
  </si>
  <si>
    <t>PKG-03 - VARIANT</t>
  </si>
  <si>
    <t>PKG-05 - VARIANT</t>
  </si>
  <si>
    <t>PKG-07 - VARIANT</t>
  </si>
  <si>
    <t>GEN-CN05-VARIANT</t>
  </si>
  <si>
    <t>GEN-CN07-VARIANT</t>
  </si>
  <si>
    <t>GEN-CN08-VARIANT</t>
  </si>
  <si>
    <t xml:space="preserve">GEN-SB04 </t>
  </si>
  <si>
    <t>FAB-152-VARIANT</t>
  </si>
  <si>
    <t>FAB-180 - VARIANT</t>
  </si>
  <si>
    <t>FAB-215 - VARIANT</t>
  </si>
  <si>
    <t>FAB-216 - VARIANT</t>
  </si>
  <si>
    <t>FAB-218 - VARIANT</t>
  </si>
  <si>
    <t>FAB-270 - VARIANT</t>
  </si>
  <si>
    <t>FAB-286 -V</t>
  </si>
  <si>
    <t>FAB-310 - VARIANT</t>
  </si>
  <si>
    <t>FAB-311 - VARIANT</t>
  </si>
  <si>
    <t>ST-02 - VARIANT</t>
  </si>
  <si>
    <t>FAB-330- VARIANT</t>
  </si>
  <si>
    <t>FAB-339 - VARIANT</t>
  </si>
  <si>
    <t>MFI-14CO - VARIANT</t>
  </si>
  <si>
    <t>FAB-50 - VARIANT</t>
  </si>
  <si>
    <t>FAB-353 - VARIANT</t>
  </si>
  <si>
    <t>FAB-355 - VARIANT</t>
  </si>
  <si>
    <t>FAB-356 - VARIANT</t>
  </si>
  <si>
    <t>FAB-384 - VARIANT</t>
  </si>
  <si>
    <t>FAB-385 - VARIANT</t>
  </si>
  <si>
    <t>FAB-395 - VARIANT</t>
  </si>
  <si>
    <t>BR-4015 - VARIANT</t>
  </si>
  <si>
    <t>BR-4024 - VARIANT</t>
  </si>
  <si>
    <t>BR-4030 - VARIANT</t>
  </si>
  <si>
    <t>PR-44 - VARIANT</t>
  </si>
  <si>
    <t>FAB-387 - VARIANT</t>
  </si>
  <si>
    <t>FAB-398-VARIANT</t>
  </si>
  <si>
    <t>FAB-399-VARIANT</t>
  </si>
  <si>
    <t>FAB-401- VARIANT</t>
  </si>
  <si>
    <t>FAB-401 VARIANT</t>
  </si>
  <si>
    <t>FAB-408 - VARIANT</t>
  </si>
  <si>
    <t>FAB-410 - VARIANT</t>
  </si>
  <si>
    <t>FAB-411 - VARIANT</t>
  </si>
  <si>
    <t>FAB-412 - VARIANT</t>
  </si>
  <si>
    <t>FAB-419- VARIANT</t>
  </si>
  <si>
    <t>FAB-419-VARIANT</t>
  </si>
  <si>
    <t>FAB-420 - VARIANT</t>
  </si>
  <si>
    <t>FAB-421 - VARIANT</t>
  </si>
  <si>
    <t>FAB-422 - VARIANT</t>
  </si>
  <si>
    <t>FAB-423 - VARIANT</t>
  </si>
  <si>
    <t>FAB-340 -  VARIANT</t>
  </si>
  <si>
    <t>FAB-354 - VARIANT</t>
  </si>
  <si>
    <t>FAB-358 - VARIANT</t>
  </si>
  <si>
    <t>FAB-386 - VARIANT</t>
  </si>
  <si>
    <t>FAB-149 (2)-VARIANT</t>
  </si>
  <si>
    <t>FAB-149-VARIANT</t>
  </si>
  <si>
    <t>CP-3-2425F-Variant</t>
  </si>
  <si>
    <t>FAB-405 (16)</t>
  </si>
  <si>
    <t>FAB-405(16)</t>
  </si>
  <si>
    <t>FP-64 (3) (SA)</t>
  </si>
  <si>
    <t>FP-64 (SA)</t>
  </si>
  <si>
    <t>ST-02 (LA)</t>
  </si>
  <si>
    <t>ECO-14+ECO-15</t>
  </si>
  <si>
    <t>ECO-16+ECO-17</t>
  </si>
  <si>
    <t>ECO-18+ECO-19</t>
  </si>
  <si>
    <t>ECO-20+ECO-21</t>
  </si>
  <si>
    <t>FAB-368 + FAB-371 - VARIANT</t>
  </si>
  <si>
    <t>FAB-368 + FAB-369 + FAB-371 - VARIANT</t>
  </si>
  <si>
    <t>FAB-368 + FAB-369 + FAB-370 + FAB-371 - VARIANT</t>
  </si>
  <si>
    <t>ST-02 (LB)</t>
  </si>
  <si>
    <t>FAB-355..</t>
  </si>
  <si>
    <t>EH-03.. (DA)</t>
  </si>
  <si>
    <t>FP-68..</t>
  </si>
  <si>
    <t>WR-A212..</t>
  </si>
  <si>
    <t>FAB-402 (2)..</t>
  </si>
  <si>
    <t>FAB-403.. (10) + HT-27..</t>
  </si>
  <si>
    <t>FAB-405.. (16) + HT-27..</t>
  </si>
  <si>
    <t>FP-61 (2) (SA)</t>
  </si>
  <si>
    <t>FP-68 (SB)</t>
  </si>
  <si>
    <t>FP-64 (2) (SA)</t>
  </si>
  <si>
    <t>FP-68 (2) (SA)</t>
  </si>
  <si>
    <t>FP-68 (3) (SA)</t>
  </si>
  <si>
    <t>FP-71 (SB)</t>
  </si>
  <si>
    <t>FP-72 (SA)</t>
  </si>
  <si>
    <t>BB-1003 (SA)</t>
  </si>
  <si>
    <t>FP-73 (SA)</t>
  </si>
  <si>
    <t>FP-61 (SL)</t>
  </si>
  <si>
    <t>FAB-11 (CA)</t>
  </si>
  <si>
    <t>JMT-144 (01028Q01A)</t>
  </si>
  <si>
    <t>BR-4015 (HA)</t>
  </si>
  <si>
    <t>BR-4015 (HB)</t>
  </si>
  <si>
    <t>BR-4015 (HC)</t>
  </si>
  <si>
    <t>BR-4024 (HA)</t>
  </si>
  <si>
    <t>BR-4024 (HB)</t>
  </si>
  <si>
    <t>BR-4024 (HC)</t>
  </si>
  <si>
    <t>BR-4030 (HA)</t>
  </si>
  <si>
    <t>BR-4030 (HB)</t>
  </si>
  <si>
    <t>BR-4030 (HC)</t>
  </si>
  <si>
    <t>BR-4075 (HA)</t>
  </si>
  <si>
    <t>BR-4075 (HB)</t>
  </si>
  <si>
    <t>BR-4075 (HC)</t>
  </si>
  <si>
    <t>FAB-06 (HA)</t>
  </si>
  <si>
    <t>FAB-157 (SA)</t>
  </si>
  <si>
    <t>FAB-164 (HA)</t>
  </si>
  <si>
    <t>FAB-214 (HA)</t>
  </si>
  <si>
    <t>FAB-244 (HA)</t>
  </si>
  <si>
    <t>FAB-253 (HB)</t>
  </si>
  <si>
    <t>FAB-298 (HB)</t>
  </si>
  <si>
    <t>FAB-333 (HA)</t>
  </si>
  <si>
    <t>FAB-334 (HA)</t>
  </si>
  <si>
    <t>FAB-341 (HA)</t>
  </si>
  <si>
    <t>FAB-360 (HA)</t>
  </si>
  <si>
    <t>FAB-402 (4)</t>
  </si>
  <si>
    <t>FAB-402(4)</t>
  </si>
  <si>
    <t>FAB-402 (6)</t>
  </si>
  <si>
    <t>FAB-402(6)</t>
  </si>
  <si>
    <t>FAB-403 (10)</t>
  </si>
  <si>
    <t>FAB-403(10)</t>
  </si>
  <si>
    <t>FAB-403 (12)</t>
  </si>
  <si>
    <t>FAB-403(12)</t>
  </si>
  <si>
    <t>FAB-404 (10)</t>
  </si>
  <si>
    <t>FAB-404(10)</t>
  </si>
  <si>
    <t>FAB-404 (20)</t>
  </si>
  <si>
    <t>FAB-404(20)</t>
  </si>
  <si>
    <t>FAB-404.. (10) + HT-27..</t>
  </si>
  <si>
    <t>FAB-405 (10)</t>
  </si>
  <si>
    <t>FAB-405(10)</t>
  </si>
  <si>
    <t>FAB-405 (16) + HT-27..</t>
  </si>
  <si>
    <t>FAB-405 (6)</t>
  </si>
  <si>
    <t>FAB-405(6)</t>
  </si>
  <si>
    <t>FAB-410 (HA)</t>
  </si>
  <si>
    <t>FAB-411 (HA)</t>
  </si>
  <si>
    <t>FAB-412 (HA)</t>
  </si>
  <si>
    <t>FAB-51 (HA)</t>
  </si>
  <si>
    <t>FAB-194 (HA)</t>
  </si>
  <si>
    <t>FAB-216 (HB)</t>
  </si>
  <si>
    <t>FAB-245.. (HA)</t>
  </si>
  <si>
    <t>FAB-286..</t>
  </si>
  <si>
    <t>FAB-317..</t>
  </si>
  <si>
    <t>FAB-327..</t>
  </si>
  <si>
    <t>FAB-329..</t>
  </si>
  <si>
    <t>FAB-330 (AD)</t>
  </si>
  <si>
    <t>FAB-340 (HA)</t>
  </si>
  <si>
    <t>FAB-353 (HA)</t>
  </si>
  <si>
    <t>FAB-354 (HA)</t>
  </si>
  <si>
    <t>FAB-367..</t>
  </si>
  <si>
    <t>FAB-387 + FAB-388..</t>
  </si>
  <si>
    <t>FAB-402.. (4) + HT-27..</t>
  </si>
  <si>
    <t>FAB-402.. (6) + HT-27..</t>
  </si>
  <si>
    <t>FAB-403.. (4) + HT-27..</t>
  </si>
  <si>
    <t>FAB-403.. (6) + HT-27..</t>
  </si>
  <si>
    <t>FAB-404.. (4) + HT-27..</t>
  </si>
  <si>
    <t>FAB-404.. (6) + HT-27..</t>
  </si>
  <si>
    <t>FAB-405.. (10) + HT-27..</t>
  </si>
  <si>
    <t>FAB-405.. (4) + HT-27..</t>
  </si>
  <si>
    <t>FAB-405.. (6) + HT-27..</t>
  </si>
  <si>
    <t>GEN-SE02 (HA)</t>
  </si>
  <si>
    <t>GEN-SE03 (HA)</t>
  </si>
  <si>
    <t>PFI-17..</t>
  </si>
  <si>
    <t>ST-05 (HA)</t>
  </si>
  <si>
    <t>FAB-168 (TH)</t>
  </si>
  <si>
    <t>FAB-314..</t>
  </si>
  <si>
    <t>FAB-371.. (TH)</t>
  </si>
  <si>
    <t>HB-18P (SA)</t>
  </si>
  <si>
    <t>VZ4..</t>
  </si>
  <si>
    <t>FAB-159..</t>
  </si>
  <si>
    <t>PFI-30..</t>
  </si>
  <si>
    <t>PFR-10..</t>
  </si>
  <si>
    <t>PFI-10B..</t>
  </si>
  <si>
    <t>PFI-22..</t>
  </si>
  <si>
    <t>IB-D09M..</t>
  </si>
  <si>
    <t>BS5..</t>
  </si>
  <si>
    <t>VZ8..</t>
  </si>
  <si>
    <t>FAB-165..</t>
  </si>
  <si>
    <t>FAB-114..</t>
  </si>
  <si>
    <t>FAB-86..</t>
  </si>
  <si>
    <t>FAB-162..</t>
  </si>
  <si>
    <t>JMT-121..</t>
  </si>
  <si>
    <t>PFO-10..</t>
  </si>
  <si>
    <t>JMT-68..</t>
  </si>
  <si>
    <t>PFI-32..</t>
  </si>
  <si>
    <t>PFI-11B..</t>
  </si>
  <si>
    <t>IB-G03..</t>
  </si>
  <si>
    <t>FAB-84..</t>
  </si>
  <si>
    <t>RCB-13(2)..</t>
  </si>
  <si>
    <t>FAB-02..</t>
  </si>
  <si>
    <t>WR-A124..</t>
  </si>
  <si>
    <t>FAB-252..</t>
  </si>
  <si>
    <t>PFI-22B..</t>
  </si>
  <si>
    <t>FAB-09..</t>
  </si>
  <si>
    <t>PFI-21B..</t>
  </si>
  <si>
    <t>PF-31..</t>
  </si>
  <si>
    <t>IB-G03M..</t>
  </si>
  <si>
    <t>FAB-51..</t>
  </si>
  <si>
    <t>FAB-83..</t>
  </si>
  <si>
    <t>PFI-07..</t>
  </si>
  <si>
    <t>PFB-06..</t>
  </si>
  <si>
    <t>V2-1236..</t>
  </si>
  <si>
    <t>VZ6..</t>
  </si>
  <si>
    <t>CT-AS110..</t>
  </si>
  <si>
    <t>CR-1..</t>
  </si>
  <si>
    <t>JMT-92..</t>
  </si>
  <si>
    <t>PFI-05..</t>
  </si>
  <si>
    <t>IB-F08..</t>
  </si>
  <si>
    <t>FAB-52..</t>
  </si>
  <si>
    <t>JMT-48..</t>
  </si>
  <si>
    <t>V2-1212..</t>
  </si>
  <si>
    <t>FP-68 (SC)</t>
  </si>
  <si>
    <t xml:space="preserve">FAB-48.. </t>
  </si>
  <si>
    <t>FPB-03 (SB)</t>
  </si>
  <si>
    <t>JMT-134 (SA)</t>
  </si>
  <si>
    <t>JMT-169 (SA)</t>
  </si>
  <si>
    <t>JMT-25 (SB)</t>
  </si>
  <si>
    <t>CANT HOOKS ALLSIZE</t>
  </si>
  <si>
    <t>ECO-05-06-07-ECO-16+17-18+19-20+21-29-32</t>
  </si>
  <si>
    <t>ECO-05+ECO-06+ECO-07+ECO-16+ECO-17+ECO-18+ECO-19+ECO-20+ECO-21+ECO-29+ECO-32</t>
  </si>
  <si>
    <t>ECO-08-09-10-11-28</t>
  </si>
  <si>
    <t>ECO-08+ECO-09+ECO-10+ECO-11+ECO-28</t>
  </si>
  <si>
    <t>ECO-22 TO ECO-27</t>
  </si>
  <si>
    <t>ECO-22+ECO-23+ECO-24+ECO-25+ECO+26+ECO-27</t>
  </si>
  <si>
    <t>FAB-08B + FAB-180</t>
  </si>
  <si>
    <t>FAB-08B+FAB-180</t>
  </si>
  <si>
    <t>FAB-149-152</t>
  </si>
  <si>
    <t>FAB-149+FAB-150+FAB-151+FAB-152</t>
  </si>
  <si>
    <t>FAB-48 - FAB-49 (SA)</t>
  </si>
  <si>
    <t>FAB-48+FAB-49</t>
  </si>
  <si>
    <t>FAB-48.. - FAB-49..</t>
  </si>
  <si>
    <t>JMT-01 - JMT-02 - JMT- 03</t>
  </si>
  <si>
    <t>PFI-07 - PF-30 - PF-31</t>
  </si>
  <si>
    <t>PFI-07+PF-30+PF-31</t>
  </si>
  <si>
    <t>PFI-20B - PF-21 - PF-21I</t>
  </si>
  <si>
    <t>PFI-20B+PF-21+PF-21I</t>
  </si>
  <si>
    <t>PFI-20B - PF-330DO2 - PFI-32</t>
  </si>
  <si>
    <t>PFI-20B+PF-330+PF-DO2+PFI-32</t>
  </si>
  <si>
    <t>PFI-21B - PF-220</t>
  </si>
  <si>
    <t>PFI-21B+PF-220</t>
  </si>
  <si>
    <t>PR-03 to PR-44</t>
  </si>
  <si>
    <t>PR-08.. - PR-14..(SA)</t>
  </si>
  <si>
    <t>PR-08+PR-14</t>
  </si>
  <si>
    <t>TIMBER JACKS ALL</t>
  </si>
  <si>
    <t>UFAB-368+UFAB-369+UFAB-370+UFAB-372</t>
  </si>
  <si>
    <t>HB-10P (SB)</t>
  </si>
  <si>
    <t>UFAB-368 + UFAB-369 + UFAB-370 + UFAB-372</t>
  </si>
  <si>
    <t>FAB-364..</t>
  </si>
  <si>
    <t>FAB-363..</t>
  </si>
  <si>
    <t>FAB-389 (HA)</t>
  </si>
  <si>
    <t>B5-4247-FAB-414</t>
  </si>
  <si>
    <t>ECO-28 (2) (SA)</t>
  </si>
  <si>
    <t>PR-44 (2)</t>
  </si>
  <si>
    <t>PR-44(2)</t>
  </si>
  <si>
    <t>FAB-391 (HA)</t>
  </si>
  <si>
    <t>PR-14 (2)</t>
  </si>
  <si>
    <t>PR-14(2)</t>
  </si>
  <si>
    <t>FAB-416 (HA)</t>
  </si>
  <si>
    <t>FAB-415 (HA)</t>
  </si>
  <si>
    <t>FAB-414..</t>
  </si>
  <si>
    <t>PFI-06 (SC)</t>
  </si>
  <si>
    <t>CFB-21524..</t>
  </si>
  <si>
    <t>CFB-11524..</t>
  </si>
  <si>
    <t>FAB-417..</t>
  </si>
  <si>
    <t>FAB-426..</t>
  </si>
  <si>
    <t>FAB-428..</t>
  </si>
  <si>
    <t>FAB-430..</t>
  </si>
  <si>
    <t>CFB-10812..</t>
  </si>
  <si>
    <t>FAB-04..</t>
  </si>
  <si>
    <t>GEN-SB04.. (SA)</t>
  </si>
  <si>
    <t>PR-44..</t>
  </si>
  <si>
    <t>PFB-05..</t>
  </si>
  <si>
    <t>V8..</t>
  </si>
  <si>
    <t>CFB-21648..</t>
  </si>
  <si>
    <t>CFB-20812..</t>
  </si>
  <si>
    <t>CFB-050812..</t>
  </si>
  <si>
    <t>FAB-429..</t>
  </si>
  <si>
    <t>FAB-427..</t>
  </si>
  <si>
    <t>FAB-425..</t>
  </si>
  <si>
    <t>FAB-424..</t>
  </si>
  <si>
    <t>FAB-416..(HA)</t>
  </si>
  <si>
    <t>FAB-415..(HA)</t>
  </si>
  <si>
    <t>FAB-390 (HB)</t>
  </si>
  <si>
    <t> FAB-401..</t>
  </si>
  <si>
    <t>FAB-430 (HA)</t>
  </si>
  <si>
    <t>RCB-13 (SB)</t>
  </si>
  <si>
    <t>SB - FAB - SOLO STOVE LIDS - MANUAL - PRD TGT</t>
  </si>
  <si>
    <t>FAB-420+FAB-421+FAB-423</t>
  </si>
  <si>
    <t>FAB-377..(LA)</t>
  </si>
  <si>
    <t>FAB-424 (HA)</t>
  </si>
  <si>
    <t>FAB-414 (HB)</t>
  </si>
  <si>
    <t>ECO-06 (5) (SA)</t>
  </si>
  <si>
    <t>ECO-07 (2) (SA)</t>
  </si>
  <si>
    <t>ECO-08 (2) (SA)</t>
  </si>
  <si>
    <t>ECO-09 (8) (SA)</t>
  </si>
  <si>
    <t>ECO-11 (10) (SA)</t>
  </si>
  <si>
    <t>ECO-16 + ECO-17 (4) (SA)</t>
  </si>
  <si>
    <t>ECO-18 + ECO-19 (4) (SA)</t>
  </si>
  <si>
    <t>ECO-20 + ECO-21 (4) (SA)</t>
  </si>
  <si>
    <t>ECO-22 (4) (SA)</t>
  </si>
  <si>
    <t>ECO-23 (2) (SA)</t>
  </si>
  <si>
    <t>ECO-24 (4) (SA)</t>
  </si>
  <si>
    <t>ECO-25 (4) (SA)</t>
  </si>
  <si>
    <t>PR-14 (3)</t>
  </si>
  <si>
    <t>PR-14(3)</t>
  </si>
  <si>
    <t>PR-14 (4)</t>
  </si>
  <si>
    <t>PR-14(4)</t>
  </si>
  <si>
    <t>CP-3-2415F..</t>
  </si>
  <si>
    <t>ECO-10 (4) (SA)</t>
  </si>
  <si>
    <t>FAB-414 (HA)</t>
  </si>
  <si>
    <t>PFI-09 (HA)</t>
  </si>
  <si>
    <t>PF-15 (HB)</t>
  </si>
  <si>
    <t>FAB-377 (LC)</t>
  </si>
  <si>
    <t>FAB-379 (LC)</t>
  </si>
  <si>
    <t>CP-1-1224..</t>
  </si>
  <si>
    <t>CP-1-24100F..</t>
  </si>
  <si>
    <t>CP-5-1539..</t>
  </si>
  <si>
    <t>CR-3..</t>
  </si>
  <si>
    <t>CS4-0623..</t>
  </si>
  <si>
    <t>CS6-0623..</t>
  </si>
  <si>
    <t>CS7-0623..</t>
  </si>
  <si>
    <t>CS7-1212..</t>
  </si>
  <si>
    <t>EH-03..</t>
  </si>
  <si>
    <t>EPX-01B..</t>
  </si>
  <si>
    <t>FAB-100..</t>
  </si>
  <si>
    <t>FAB-106..</t>
  </si>
  <si>
    <t>FAB-163..</t>
  </si>
  <si>
    <t>FAB-250..</t>
  </si>
  <si>
    <t>FAB-89..</t>
  </si>
  <si>
    <t>FB-0303..</t>
  </si>
  <si>
    <t>IB-G07M..</t>
  </si>
  <si>
    <t>LS-1G..</t>
  </si>
  <si>
    <t>PF-06..</t>
  </si>
  <si>
    <t>PF-12..</t>
  </si>
  <si>
    <t>PF-20..</t>
  </si>
  <si>
    <t>PF-22..</t>
  </si>
  <si>
    <t>PF-32..</t>
  </si>
  <si>
    <t>PF-50..</t>
  </si>
  <si>
    <t>PFI-11..</t>
  </si>
  <si>
    <t>PFI-12..</t>
  </si>
  <si>
    <t>HT-27..</t>
  </si>
  <si>
    <t>PF-S2..</t>
  </si>
  <si>
    <t>FAB-07 (HA)</t>
  </si>
  <si>
    <t>JMT-25 (SC)</t>
  </si>
  <si>
    <t>CFB-12460 (2)</t>
  </si>
  <si>
    <t>CFB-12460(2)</t>
  </si>
  <si>
    <t>CFB-11648 (2)</t>
  </si>
  <si>
    <t>CFB-11648(2)</t>
  </si>
  <si>
    <t>CFB-12448 (2)</t>
  </si>
  <si>
    <t>CFB-12448(2)</t>
  </si>
  <si>
    <t>FAB-08B (SB)</t>
  </si>
  <si>
    <t>FAB-368+FAB-369+FAB-370+FAB-371.. (TH)</t>
  </si>
  <si>
    <t>JMT-03 (SB)</t>
  </si>
  <si>
    <t>V4-1212 (SB)</t>
  </si>
  <si>
    <t>V4-1824 (SA)</t>
  </si>
  <si>
    <t>V4E (SA)</t>
  </si>
  <si>
    <t>V4F (SA)</t>
  </si>
  <si>
    <t>WR-A118..</t>
  </si>
  <si>
    <t>WR-A136 (SA)</t>
  </si>
  <si>
    <t>WR-A142 (SA)</t>
  </si>
  <si>
    <t>WR-A160 (SA)</t>
  </si>
  <si>
    <t>BB-1003-BB-1004</t>
  </si>
  <si>
    <t>CFB-050812-CFB-10812-CFB-20812</t>
  </si>
  <si>
    <t>CP-1-2415F-CP-3-2425F</t>
  </si>
  <si>
    <t>FAB-10-11-12-13B</t>
  </si>
  <si>
    <t>FAB-150-151-173 (SC)</t>
  </si>
  <si>
    <t>FAB-150-151-173</t>
  </si>
  <si>
    <t>FAB-150-151-173 FBA</t>
  </si>
  <si>
    <t>FAB-215-241-242</t>
  </si>
  <si>
    <t>FAB-41-42-339</t>
  </si>
  <si>
    <t>FP-61-FP-61 (2)</t>
  </si>
  <si>
    <t>FP-61-FP-61(2)</t>
  </si>
  <si>
    <t>PFB-01 - PFB-02</t>
  </si>
  <si>
    <t>PFB-03 - PFB-04</t>
  </si>
  <si>
    <t>PFB-05 - PFB-06</t>
  </si>
  <si>
    <t>PFI-07 - PF-S3</t>
  </si>
  <si>
    <t>PFI-10 - PF-S1</t>
  </si>
  <si>
    <t>PO-AC2-PO-AC3</t>
  </si>
  <si>
    <t>PR-08 - 14 - 03 - 12 - 44</t>
  </si>
  <si>
    <t>RCB-03-RCB-09-M</t>
  </si>
  <si>
    <t>RCB-07-RCB-06-FBA</t>
  </si>
  <si>
    <t>WR-A-B-C</t>
  </si>
  <si>
    <t>FAB-218 (HA)</t>
  </si>
  <si>
    <t>FAB-409 (HA)</t>
  </si>
  <si>
    <t>FAB-368+FAB-369+FAB-370+FAB-371 (HA)</t>
  </si>
  <si>
    <t>BR-4015 - BR-4024</t>
  </si>
  <si>
    <t>BR-4015 - BR-4024 - BR-4030 - BR-4075</t>
  </si>
  <si>
    <t>CANT HOOK COMBO</t>
  </si>
  <si>
    <t>FAB-216-409-428-429-430</t>
  </si>
  <si>
    <t>FAB-232-FAB-233</t>
  </si>
  <si>
    <t>FAB-240-243-356-357-358-359</t>
  </si>
  <si>
    <t>FAB-273-354-424-425</t>
  </si>
  <si>
    <t>FAB-286 -414 -415 -416 -417</t>
  </si>
  <si>
    <t>FAB-353 - FAB-354</t>
  </si>
  <si>
    <t>FAB-392-393-394 FBA</t>
  </si>
  <si>
    <t>FAB-397-398-399-400-401</t>
  </si>
  <si>
    <t>FAB-397-398-399-400-401 - FBA</t>
  </si>
  <si>
    <t>PFI-09 - PFI-17</t>
  </si>
  <si>
    <t>ST-01 - ST-02</t>
  </si>
  <si>
    <t>ST-01 - ST-03 - ST-04</t>
  </si>
  <si>
    <t>ST-01 - ST-03 - ST-04 (AB)</t>
  </si>
  <si>
    <t>ST-05-ST-06</t>
  </si>
  <si>
    <t>TO-01-06</t>
  </si>
  <si>
    <t>ARPZ007-ARFM002</t>
  </si>
  <si>
    <t>ARST007-C-ARST005-C</t>
  </si>
  <si>
    <t>MFI-14CO - MFI-12CO</t>
  </si>
  <si>
    <t>MFI-14CO - MFI-12CO - MFI-13</t>
  </si>
  <si>
    <t>FAB-378 (LB)</t>
  </si>
  <si>
    <t>ST-02 - ST-03 - ST-04</t>
  </si>
  <si>
    <t>ST-02L - ST-03L - ST-04L</t>
  </si>
  <si>
    <t>B5-B10-FBA</t>
  </si>
  <si>
    <t>CFB-12448-12460-12496-11648-116100</t>
  </si>
  <si>
    <t>FAB-218-272-273-274</t>
  </si>
  <si>
    <t>IB-C12-IB-A16</t>
  </si>
  <si>
    <t>S25J-S25X-S25</t>
  </si>
  <si>
    <t xml:space="preserve"> S25X..</t>
  </si>
  <si>
    <t xml:space="preserve"> S25X</t>
  </si>
  <si>
    <t>SB - RCB - Rigidizer and Refractory - Manual - KW - PH</t>
  </si>
  <si>
    <t>RCB-07+RCB-13</t>
  </si>
  <si>
    <t>SB - IB - Fire Bricks - Manual - KW - PH - 1</t>
  </si>
  <si>
    <t>IB-A16+IB-C12+IB-A06</t>
  </si>
  <si>
    <t>SB - IB - Fire Bricks - Manual - KW - PH - 2</t>
  </si>
  <si>
    <t>Brand Campaign ST</t>
  </si>
  <si>
    <t>ST-02+ST-03+ST-04</t>
  </si>
  <si>
    <t>Barrel Stove KIT - All Brand Campaign</t>
  </si>
  <si>
    <t>FAB-377+FAB-378+FAB-379+FAB-380+FAB-381</t>
  </si>
  <si>
    <t>Square Fire Pit Lid All Brand Campaign</t>
  </si>
  <si>
    <t>FAB-360+FAB-361+FAB-362</t>
  </si>
  <si>
    <t>Spark Screen All Brand Campaign</t>
  </si>
  <si>
    <t>FAB-414+FAB-415+FAB-416+FAB-417</t>
  </si>
  <si>
    <t>SB - FAB - FAB-180-288-406-426-427 - FBA - SQUAR FIRE RINGS - MANUAL - KW</t>
  </si>
  <si>
    <t>FAB-180+FAB-288+FAB-406+FAB-426+FAB-427</t>
  </si>
  <si>
    <t>ST-03 (LC)</t>
  </si>
  <si>
    <t>CT-AM04 (SA)</t>
  </si>
  <si>
    <t>MFI-12CO (FC)</t>
  </si>
  <si>
    <t>MFI-10 (FA)</t>
  </si>
  <si>
    <t>JMT-118 (4)</t>
  </si>
  <si>
    <t>JMT-118(4)</t>
  </si>
  <si>
    <t>JMT-118 (2)</t>
  </si>
  <si>
    <t>JMT-118(2)</t>
  </si>
  <si>
    <t>SB - PF - Forge Stand - MAN - CAT</t>
  </si>
  <si>
    <t>MFI-12 (FA)</t>
  </si>
  <si>
    <t>FAB-431..</t>
  </si>
  <si>
    <t>S21K..</t>
  </si>
  <si>
    <t>V4-2020..</t>
  </si>
  <si>
    <t>FP-70 (SA)</t>
  </si>
  <si>
    <t>FP-71.. (SA)</t>
  </si>
  <si>
    <t>CT-WK22 (SA)</t>
  </si>
  <si>
    <t>V4-1824 (2)</t>
  </si>
  <si>
    <t>V4-1824(2)</t>
  </si>
  <si>
    <t>FAB-362..</t>
  </si>
  <si>
    <t>FAB-408 (HA)</t>
  </si>
  <si>
    <t>PR-32.. (SA)</t>
  </si>
  <si>
    <t>FAB-368 + FAB-369 + FAB-373 (TH)</t>
  </si>
  <si>
    <t>FAB-368 + FAB-371 (TH)</t>
  </si>
  <si>
    <t>JMT-103 (SC)</t>
  </si>
  <si>
    <t>GEN-SB05 (SA)</t>
  </si>
  <si>
    <t>FAB-368 + FAB-369 + FAB-371 (TH)</t>
  </si>
  <si>
    <t>IB-A16 (2)</t>
  </si>
  <si>
    <t>IB-A16(2)</t>
  </si>
  <si>
    <t>FPB-02 (SA)</t>
  </si>
  <si>
    <t>V2F.. (SA)</t>
  </si>
  <si>
    <t>MFI-12CO.. (FA)</t>
  </si>
  <si>
    <t>FAB-379..(LA)</t>
  </si>
  <si>
    <t>FAB-379 + FAB-381..</t>
  </si>
  <si>
    <t>FAB-379 + FAB-380..</t>
  </si>
  <si>
    <t>FAB-379 + FAB-380 + FAB-381..</t>
  </si>
  <si>
    <t>FAB-378..(LA)</t>
  </si>
  <si>
    <t>FAB-377 + FAB-381..</t>
  </si>
  <si>
    <t>FAB-377 + FAB-378..</t>
  </si>
  <si>
    <t>FAB-377 + FAB-378 + FAB-381..</t>
  </si>
  <si>
    <t>FPB-07..</t>
  </si>
  <si>
    <t>ST-04 + ST-08G..</t>
  </si>
  <si>
    <t>ST-04+ST-08G</t>
  </si>
  <si>
    <t>FAB-368+FAB-369+FAB-370+FAB-371 (HB)</t>
  </si>
  <si>
    <t>FAB-368+FAB-369+FAB-370+FAB-371 (TH)</t>
  </si>
  <si>
    <t>FAB-422 (HA)</t>
  </si>
  <si>
    <t>FAB-422.. (HA)</t>
  </si>
  <si>
    <t>FAB-218 (HB)</t>
  </si>
  <si>
    <t xml:space="preserve"> JMT-03..</t>
  </si>
  <si>
    <t xml:space="preserve"> JMT-03</t>
  </si>
  <si>
    <t xml:space="preserve"> PO-AC7..</t>
  </si>
  <si>
    <t xml:space="preserve"> PO-AC7</t>
  </si>
  <si>
    <t xml:space="preserve"> V6 (849..)</t>
  </si>
  <si>
    <t xml:space="preserve"> MFI-12CO.. (FA)</t>
  </si>
  <si>
    <t xml:space="preserve"> MFI-12CO</t>
  </si>
  <si>
    <t xml:space="preserve"> FAB-377 + FAB-378..</t>
  </si>
  <si>
    <t xml:space="preserve"> 
FAB-356..</t>
  </si>
  <si>
    <t>FAB-368 + FAB-372 (TH)</t>
  </si>
  <si>
    <t>FP-69 (2) (SA)</t>
  </si>
  <si>
    <t>JMT-134 (SB)</t>
  </si>
  <si>
    <t>JMT-89 (SB)</t>
  </si>
  <si>
    <t>GEN-SB01 (SA)</t>
  </si>
  <si>
    <t>CT-AS10 (SA)</t>
  </si>
  <si>
    <t>CT-TC22 (SA)</t>
  </si>
  <si>
    <t>CFB-11524 (2)</t>
  </si>
  <si>
    <t>CFB-11524(2)</t>
  </si>
  <si>
    <t>FAB-296 (HB)</t>
  </si>
  <si>
    <t>A06-0195-FPB-02</t>
  </si>
  <si>
    <t>MFI-14CO (SA)</t>
  </si>
  <si>
    <t>SB-FAB-ALL ROUND FIRE RINGS</t>
  </si>
  <si>
    <t>FAB-241+FAB-242+FAB-356</t>
  </si>
  <si>
    <t>ST-04 + ST-08G</t>
  </si>
  <si>
    <t>FAB-288 (HB)</t>
  </si>
  <si>
    <t>FAB-374..</t>
  </si>
  <si>
    <t>PF-S1 + PF-S2 + PF-S2..</t>
  </si>
  <si>
    <t>FAB-356 (HA)</t>
  </si>
  <si>
    <t>BB-950185 (SA)</t>
  </si>
  <si>
    <t>PF-S1 (SC)</t>
  </si>
  <si>
    <t>FAB-383.. (HA)</t>
  </si>
  <si>
    <t>BB-140226 (SA)</t>
  </si>
  <si>
    <t>PF-S1 + PF-S2 + PF-S2 (SC)</t>
  </si>
  <si>
    <t>V6 (2)</t>
  </si>
  <si>
    <t>V6(2)</t>
  </si>
  <si>
    <t>FAB-368 + FAB-369 + FAB-373 (SA)</t>
  </si>
  <si>
    <t>FAB-326 (3)</t>
  </si>
  <si>
    <t>FAB-326(3)</t>
  </si>
  <si>
    <t>FAB-326 (2)</t>
  </si>
  <si>
    <t>FAB-326(2)</t>
  </si>
  <si>
    <t>ST-08G..</t>
  </si>
  <si>
    <t>FAB-326 (FB)</t>
  </si>
  <si>
    <t>PF-S1 + PF S2 (SD)</t>
  </si>
  <si>
    <t>ST-04 (LC)</t>
  </si>
  <si>
    <t>FAB-406 (HA)</t>
  </si>
  <si>
    <t>FAB-180 (HA)</t>
  </si>
  <si>
    <t>FAB-282(HB)</t>
  </si>
  <si>
    <t>V2 (12)</t>
  </si>
  <si>
    <t>V2(12)</t>
  </si>
  <si>
    <t>V2 (24)</t>
  </si>
  <si>
    <t>V2(24)</t>
  </si>
  <si>
    <t>V2 (32)</t>
  </si>
  <si>
    <t>V2(32)</t>
  </si>
  <si>
    <t>V2 (66)</t>
  </si>
  <si>
    <t>V2(66)</t>
  </si>
  <si>
    <t>V2-1824 (4)</t>
  </si>
  <si>
    <t>V2-1824(4)</t>
  </si>
  <si>
    <t>V2-1824 (8)</t>
  </si>
  <si>
    <t>V2-1824(8)</t>
  </si>
  <si>
    <t>V2-1824 (16)</t>
  </si>
  <si>
    <t>V2-1824(16)</t>
  </si>
  <si>
    <t>V2-1824 (32)</t>
  </si>
  <si>
    <t>V2-1824(32)</t>
  </si>
  <si>
    <t>V2-1824 (64)</t>
  </si>
  <si>
    <t>V2-1824(64)</t>
  </si>
  <si>
    <t>V2-1224 (4)</t>
  </si>
  <si>
    <t>V2-1224(4)</t>
  </si>
  <si>
    <t>V2-1224 (8)</t>
  </si>
  <si>
    <t>V2-1224(8)</t>
  </si>
  <si>
    <t>V2-1224 (16)</t>
  </si>
  <si>
    <t>V2-1224(16)</t>
  </si>
  <si>
    <t>V2-1224 (32)</t>
  </si>
  <si>
    <t>V2-1224(32)</t>
  </si>
  <si>
    <t>V4-1824 (4)</t>
  </si>
  <si>
    <t>V4-1824(4)</t>
  </si>
  <si>
    <t>V4-1824 (24)</t>
  </si>
  <si>
    <t>V4-1824(24)</t>
  </si>
  <si>
    <t>V4-1824 (32)</t>
  </si>
  <si>
    <t>V4-1824(32)</t>
  </si>
  <si>
    <t>V4-1824 (12)</t>
  </si>
  <si>
    <t>V4-1824(12)</t>
  </si>
  <si>
    <t>V4-1824 (64)</t>
  </si>
  <si>
    <t>V4-1824(64)</t>
  </si>
  <si>
    <t>V4-1224 (4)</t>
  </si>
  <si>
    <t>V4-1224(4)</t>
  </si>
  <si>
    <t>V4-1224 (7)</t>
  </si>
  <si>
    <t>V4-1224(7)</t>
  </si>
  <si>
    <t>V4-1224 (14)</t>
  </si>
  <si>
    <t>V4-1224(14)</t>
  </si>
  <si>
    <t>V4-1224 (28)</t>
  </si>
  <si>
    <t>V4-1224(28)</t>
  </si>
  <si>
    <t>V4 (3)</t>
  </si>
  <si>
    <t>V4(3)</t>
  </si>
  <si>
    <t>V4 (6)</t>
  </si>
  <si>
    <t>V4(6)</t>
  </si>
  <si>
    <t>V4 (12)</t>
  </si>
  <si>
    <t>V4(12)</t>
  </si>
  <si>
    <t>V4-1524 (6)</t>
  </si>
  <si>
    <t>V4-1524(6)</t>
  </si>
  <si>
    <t>V4-1524 (3)</t>
  </si>
  <si>
    <t>V4-1524(3)</t>
  </si>
  <si>
    <t>V2F (2)</t>
  </si>
  <si>
    <t>V2F(2)</t>
  </si>
  <si>
    <t>V4-1824 (6)</t>
  </si>
  <si>
    <t>V4-1824(6)</t>
  </si>
  <si>
    <t>FAB-291 (HB)</t>
  </si>
  <si>
    <t>FAB-297 (HA)</t>
  </si>
  <si>
    <t>PF-S1..(BA)</t>
  </si>
  <si>
    <t>WR-A230.. (SA)</t>
  </si>
  <si>
    <t>FAB-441..</t>
  </si>
  <si>
    <t>PFB-09 (FB)..</t>
  </si>
  <si>
    <t>JMT-89..(FA)</t>
  </si>
  <si>
    <t>JMT-89 (FA)</t>
  </si>
  <si>
    <t>V2F (4)</t>
  </si>
  <si>
    <t>V2F(4)</t>
  </si>
  <si>
    <t>V2F (6)</t>
  </si>
  <si>
    <t>V2F(6)</t>
  </si>
  <si>
    <t>V4 (24)</t>
  </si>
  <si>
    <t>V4(24)</t>
  </si>
  <si>
    <t>V4 (32)</t>
  </si>
  <si>
    <t>V4(32)</t>
  </si>
  <si>
    <t>ST-13 (LA)</t>
  </si>
  <si>
    <t>FAB-446 (HA)</t>
  </si>
  <si>
    <t>A03-0104-FAB-435</t>
  </si>
  <si>
    <t>A08-0265-FPB-02</t>
  </si>
  <si>
    <t>A13-0452-FAB-437</t>
  </si>
  <si>
    <t>A27-0990-B11X</t>
  </si>
  <si>
    <t>A27-0992-B6X</t>
  </si>
  <si>
    <t>A27-0994-B7</t>
  </si>
  <si>
    <t>C6-6084-FAB-449</t>
  </si>
  <si>
    <t>C8-6139-FPB-05</t>
  </si>
  <si>
    <t xml:space="preserve">CFB-12448 </t>
  </si>
  <si>
    <t xml:space="preserve">CFB-12460 </t>
  </si>
  <si>
    <t xml:space="preserve">FAB-368 + FAB-369 + FAB-371 </t>
  </si>
  <si>
    <t xml:space="preserve">FAB-368+FAB-369+FAB-370+FAB-371 </t>
  </si>
  <si>
    <t xml:space="preserve">FAB-368+FAB-369+FAB-370+FAB-372 </t>
  </si>
  <si>
    <t xml:space="preserve">FAB-368 + FAB-372 </t>
  </si>
  <si>
    <t xml:space="preserve">FAB-368 + FAB-369 + FAB-373 </t>
  </si>
  <si>
    <t xml:space="preserve">FAB-382 + FAB-374 </t>
  </si>
  <si>
    <t xml:space="preserve">WR-A160 </t>
  </si>
  <si>
    <t xml:space="preserve">WR-A136 </t>
  </si>
  <si>
    <t xml:space="preserve">WR-A142 </t>
  </si>
  <si>
    <t xml:space="preserve">V4-1212 </t>
  </si>
  <si>
    <t xml:space="preserve">V4-1824 </t>
  </si>
  <si>
    <t xml:space="preserve">V4F </t>
  </si>
  <si>
    <t xml:space="preserve">V4E </t>
  </si>
  <si>
    <t xml:space="preserve">FP-70 </t>
  </si>
  <si>
    <t xml:space="preserve">FP-69 </t>
  </si>
  <si>
    <t xml:space="preserve">PFI-07 </t>
  </si>
  <si>
    <t xml:space="preserve">V2F.. </t>
  </si>
  <si>
    <t xml:space="preserve">JMT-118 </t>
  </si>
  <si>
    <t xml:space="preserve">JMT-134 </t>
  </si>
  <si>
    <t xml:space="preserve">JMT-89 </t>
  </si>
  <si>
    <t xml:space="preserve">GEN-SB01 </t>
  </si>
  <si>
    <t xml:space="preserve">CT-WK22 </t>
  </si>
  <si>
    <t xml:space="preserve">CT-AS10 </t>
  </si>
  <si>
    <t xml:space="preserve">CT-TC22 </t>
  </si>
  <si>
    <t xml:space="preserve">CFB-11524 </t>
  </si>
  <si>
    <t xml:space="preserve">GEN-SB05 </t>
  </si>
  <si>
    <t>JMT-90 (NW)</t>
  </si>
  <si>
    <t>BB-115185 (SA)</t>
  </si>
  <si>
    <t>BB-100210 (SB)</t>
  </si>
  <si>
    <t>BB-105210 (SA)</t>
  </si>
  <si>
    <t>BB-120235 (SA)</t>
  </si>
  <si>
    <t>BB-950135 (SA)</t>
  </si>
  <si>
    <t>BB-950155 (SA)</t>
  </si>
  <si>
    <t>V2F (12)</t>
  </si>
  <si>
    <t>V2F(12)</t>
  </si>
  <si>
    <t>V2F (24)</t>
  </si>
  <si>
    <t>V2F(24)</t>
  </si>
  <si>
    <t>JMT-103 (SD)</t>
  </si>
  <si>
    <t>V6 (8)</t>
  </si>
  <si>
    <t>V6(8)</t>
  </si>
  <si>
    <t>V6 (4)</t>
  </si>
  <si>
    <t>V6(4)</t>
  </si>
  <si>
    <t>FAB-448 (TS)</t>
  </si>
  <si>
    <t>ST-14 (LA)</t>
  </si>
  <si>
    <t>FAB-440 (HA)</t>
  </si>
  <si>
    <t>SB - FAB - ALL ROUND FIRE RINGS - MANUAL - KW - PHRASE</t>
  </si>
  <si>
    <t>FAB-240+FAB-241+FAB-242+FAB-243+FAB-356+FAB-357+FAB-358</t>
  </si>
  <si>
    <t>A07-0226-FAB-439</t>
  </si>
  <si>
    <t>A12-0418-FAB-438</t>
  </si>
  <si>
    <t>A13-0442-FAB-436</t>
  </si>
  <si>
    <t>D15-8058-FAB-448</t>
  </si>
  <si>
    <t>D15-8059-PFB-05</t>
  </si>
  <si>
    <t>D15-8060-FAB-446</t>
  </si>
  <si>
    <t>SB - JMT - 59,103 &amp; 03 - MAN</t>
  </si>
  <si>
    <t>JMT-03+JMT-59+JMT-103</t>
  </si>
  <si>
    <t>FAB-446 (TS)</t>
  </si>
  <si>
    <t>FAB-397 (HA)</t>
  </si>
  <si>
    <t>FAB-399 (HA)</t>
  </si>
  <si>
    <t>FAB-448 (HA)</t>
  </si>
  <si>
    <t>A26-1092-PFI-17</t>
  </si>
  <si>
    <t>A27-1018-GEN-HH05</t>
  </si>
  <si>
    <t>S25 (SA)</t>
  </si>
  <si>
    <t>FAB-400 (HA)</t>
  </si>
  <si>
    <t>FAB-449 (HA)</t>
  </si>
  <si>
    <t>FAB-383 (HD)</t>
  </si>
  <si>
    <t>FAB-433 + FAB-436</t>
  </si>
  <si>
    <t>FAB-433+FAB-436</t>
  </si>
  <si>
    <t>FAB-433 + FAB-436 (HA)</t>
  </si>
  <si>
    <t>CT-TC44 (SA)</t>
  </si>
  <si>
    <t>FAB-434 + FAB-437 (HA)</t>
  </si>
  <si>
    <t>FAB-434+FAB-437</t>
  </si>
  <si>
    <t>FAB-432 + FAB-437</t>
  </si>
  <si>
    <t>FAB-432+FAB-437</t>
  </si>
  <si>
    <t>FAB-434 + FAB-435</t>
  </si>
  <si>
    <t>FAB-434+FAB-435</t>
  </si>
  <si>
    <t>EPX-01 (SA)</t>
  </si>
  <si>
    <t>BB-125185 (SA)</t>
  </si>
  <si>
    <t>FAB-432 + FAB-435</t>
  </si>
  <si>
    <t>FAB-432+FAB-435</t>
  </si>
  <si>
    <t>FAB-433 + FAB-435</t>
  </si>
  <si>
    <t>FAB-433+FAB-435</t>
  </si>
  <si>
    <t>FAB-432 + FAB-436</t>
  </si>
  <si>
    <t>FAB-432+FAB-436</t>
  </si>
  <si>
    <t>FAB-434 + FAB-436</t>
  </si>
  <si>
    <t>FAB-434+FAB-436</t>
  </si>
  <si>
    <t>FAB-433 + FAB-437</t>
  </si>
  <si>
    <t>FAB-433+FAB-437</t>
  </si>
  <si>
    <t>FAB-434 + FAB-437</t>
  </si>
  <si>
    <t>FAB-438 + FAB-439</t>
  </si>
  <si>
    <t>FAB-438+FAB-439</t>
  </si>
  <si>
    <t>FAB-449..</t>
  </si>
  <si>
    <t>FAB-438 + FAB-439 (HA)</t>
  </si>
  <si>
    <t>EPX-02 (SA)</t>
  </si>
  <si>
    <t>FAB-433 + FAB-435 (HA)</t>
  </si>
  <si>
    <t>A240853-PR-39</t>
  </si>
  <si>
    <t>A27-1032-TO.C01</t>
  </si>
  <si>
    <t>PF_RP02</t>
  </si>
  <si>
    <t>PF_RP13</t>
  </si>
  <si>
    <t>A26-0957-FA8-324</t>
  </si>
  <si>
    <t>А26-0978-ЈМТ-04</t>
  </si>
  <si>
    <t>ЈМТ-04</t>
  </si>
  <si>
    <t>А24-0869-FAB-252</t>
  </si>
  <si>
    <t>А24-0878-FAB-15З</t>
  </si>
  <si>
    <t>FAB-15З</t>
  </si>
  <si>
    <t>А26-О965-СВN-7212</t>
  </si>
  <si>
    <t>СВN-7212</t>
  </si>
  <si>
    <t>А26-0980-FAB-52</t>
  </si>
  <si>
    <t>ВЗ-4121-РFB-05</t>
  </si>
  <si>
    <t>РFB-05</t>
  </si>
  <si>
    <t>FPB-05..</t>
  </si>
  <si>
    <t>EPX-02..</t>
  </si>
  <si>
    <t>ST-14..</t>
  </si>
  <si>
    <t>ST-13..</t>
  </si>
  <si>
    <t>FAB-434 + FAB-436 (HA)</t>
  </si>
  <si>
    <t>FAB-440..</t>
  </si>
  <si>
    <t>WR-A218
(NEW)</t>
  </si>
  <si>
    <t>WR-A224
(NEW)</t>
  </si>
  <si>
    <t>WR-A230
(NEW)</t>
  </si>
  <si>
    <t>FP - 68 (2)</t>
  </si>
  <si>
    <t xml:space="preserve">FAB-402 (6) </t>
  </si>
  <si>
    <t xml:space="preserve">FAB-403 (6) </t>
  </si>
  <si>
    <t xml:space="preserve">FAB-403 (10) </t>
  </si>
  <si>
    <t xml:space="preserve">FAB-403 (12) </t>
  </si>
  <si>
    <t>FAB-403(20) + HT-27</t>
  </si>
  <si>
    <t xml:space="preserve">FAB-405 (16) </t>
  </si>
  <si>
    <t>PF-POTS1</t>
  </si>
  <si>
    <t>PF-17</t>
  </si>
  <si>
    <t>IB-C12 (2)</t>
  </si>
  <si>
    <t>IB-C12(2)</t>
  </si>
  <si>
    <t>V7.. (SA)</t>
  </si>
  <si>
    <t>EPX-01..</t>
  </si>
  <si>
    <t>A26-0965-CBN-7212C</t>
  </si>
  <si>
    <t>FPB-06..</t>
  </si>
  <si>
    <t>FAB-273 (HA)</t>
  </si>
  <si>
    <t>FAB-433 + FAB-435..</t>
  </si>
  <si>
    <t>FAB-446 (HB)</t>
  </si>
  <si>
    <t>FAB-448... (TS)</t>
  </si>
  <si>
    <t>FAB-432 + FAB-435..</t>
  </si>
  <si>
    <t>FAB-432 + FAB-436..</t>
  </si>
  <si>
    <t>FAB-433 + FAB-436..</t>
  </si>
  <si>
    <t>FAB-317 (HA)</t>
  </si>
  <si>
    <t>A06-0215-PF-RG3</t>
  </si>
  <si>
    <t>A13-0444-JMT-138</t>
  </si>
  <si>
    <t>A13-0443-JMT-137</t>
  </si>
  <si>
    <t>A10-0348-FAB-149</t>
  </si>
  <si>
    <t>A09-0298-FAB-435</t>
  </si>
  <si>
    <t>A09-0305-FAB-439</t>
  </si>
  <si>
    <t>FAB-433 + FAB-437..</t>
  </si>
  <si>
    <t>FAB-06 (SC)</t>
  </si>
  <si>
    <t>FAB-437..</t>
  </si>
  <si>
    <t>FAB-435..</t>
  </si>
  <si>
    <t>FP-61.. (SA)</t>
  </si>
  <si>
    <t>FAB-434 + FAB-435 (HA)</t>
  </si>
  <si>
    <t>C3-6054-PFI-30</t>
  </si>
  <si>
    <t>FAB-314 (FA)</t>
  </si>
  <si>
    <t>FAB-446.. (TS)</t>
  </si>
  <si>
    <t>FAB-450 (HA)</t>
  </si>
  <si>
    <t>FAB-282.. (HC)</t>
  </si>
  <si>
    <t>PFI-09.. (HA)</t>
  </si>
  <si>
    <t>FAB-363.. (HA)</t>
  </si>
  <si>
    <t>RCB-09.. (SA)</t>
  </si>
  <si>
    <t xml:space="preserve"> 
FAB-382 + FAB-374</t>
  </si>
  <si>
    <t>FAB-432 + FAB-435 (HA)</t>
  </si>
  <si>
    <t>FAB-432 + FAB-436 (HA)</t>
  </si>
  <si>
    <t>FAB-433 + FAB-437 (HA)</t>
  </si>
  <si>
    <t>FAB-432 + FAB-437 (HA)</t>
  </si>
  <si>
    <t>FAB-398 (HA)</t>
  </si>
  <si>
    <t>V4-1824 (132)</t>
  </si>
  <si>
    <t>V4-1824(132)</t>
  </si>
  <si>
    <t>V2F (32)</t>
  </si>
  <si>
    <t>V2F(32)</t>
  </si>
  <si>
    <t>V4F (22)</t>
  </si>
  <si>
    <t>V4F(22)</t>
  </si>
  <si>
    <t>V4F (4)</t>
  </si>
  <si>
    <t>V4F(4)</t>
  </si>
  <si>
    <t>V4F (8)</t>
  </si>
  <si>
    <t>V4F(8)</t>
  </si>
  <si>
    <t>V4F (2)</t>
  </si>
  <si>
    <t>V4F(2)</t>
  </si>
  <si>
    <t>V4F (16)</t>
  </si>
  <si>
    <t>V4F(16)</t>
  </si>
  <si>
    <t>V6 (24)</t>
  </si>
  <si>
    <t>V6(24)</t>
  </si>
  <si>
    <t>V6 (32)</t>
  </si>
  <si>
    <t>V6(32)</t>
  </si>
  <si>
    <t>V6 (16)</t>
  </si>
  <si>
    <t>V6(16)</t>
  </si>
  <si>
    <t>FP-61 (SA)</t>
  </si>
  <si>
    <t>FAB-446 (SA)</t>
  </si>
  <si>
    <t>BS9 (SB)</t>
  </si>
  <si>
    <t>Z4 (SA)</t>
  </si>
  <si>
    <t>ECO-30 (16)</t>
  </si>
  <si>
    <t>ECO-30(16)</t>
  </si>
  <si>
    <t>ECO-30 (4)</t>
  </si>
  <si>
    <t>ECO-30(4)</t>
  </si>
  <si>
    <t>ECO-31 (2)</t>
  </si>
  <si>
    <t>ECO-31(2)</t>
  </si>
  <si>
    <t>ECO-30 (20)</t>
  </si>
  <si>
    <t>ECO-30(20)</t>
  </si>
  <si>
    <t>ECO-30 (12)</t>
  </si>
  <si>
    <t>ECO-30(12)</t>
  </si>
  <si>
    <t>ECO-31 (4)</t>
  </si>
  <si>
    <t>ECO-31(4)</t>
  </si>
  <si>
    <t>FAB-442 + FAB-443 + FAB-444</t>
  </si>
  <si>
    <t>FAB-442+FAB-443+FAB-444</t>
  </si>
  <si>
    <t>FAB-450 (HB)</t>
  </si>
  <si>
    <t>FAB-442 + FAB-443</t>
  </si>
  <si>
    <t>FAB-442+FAB-443</t>
  </si>
  <si>
    <t>WR-A212.. (SA)</t>
  </si>
  <si>
    <t>PF-16.. (HA)</t>
  </si>
  <si>
    <t>FAB-446..</t>
  </si>
  <si>
    <t>FAB-438 + FAB-439..</t>
  </si>
  <si>
    <t>FAB-434 + FAB-437..</t>
  </si>
  <si>
    <t>FAB-434 + FAB-436..</t>
  </si>
  <si>
    <t>FAB-434 + FAB-435..</t>
  </si>
  <si>
    <t>FAB-432 + FAB-437..</t>
  </si>
  <si>
    <t>CNS-17 (LA)</t>
  </si>
  <si>
    <t>CNS-17</t>
  </si>
  <si>
    <t>CNS-15</t>
  </si>
  <si>
    <t>CNS-07</t>
  </si>
  <si>
    <t>CNS-04</t>
  </si>
  <si>
    <t>FAB-282(HC)..</t>
  </si>
  <si>
    <t>PFI-09(HB)..</t>
  </si>
  <si>
    <t>PF-16 (FA)..</t>
  </si>
  <si>
    <t>FAB-442 + FAB-443 + FAB-444 + FAB-445</t>
  </si>
  <si>
    <t>FAB-442+FAB-443+FAB-444+FAB-445</t>
  </si>
  <si>
    <t>UFAB-368 + UFAB-369 + UFAB-371</t>
  </si>
  <si>
    <t>UFAB-368+UFAB-369+UFAB-371</t>
  </si>
  <si>
    <t>FAB-08B (HA)</t>
  </si>
  <si>
    <t>A07-0220-S21K</t>
  </si>
  <si>
    <t>FAB-430.. (HA)</t>
  </si>
  <si>
    <t>FAB-450.. (HA)</t>
  </si>
  <si>
    <t>FAB-430 (HB)</t>
  </si>
  <si>
    <t>FAB-442 + FAB-443 + FAB-444 (HA)</t>
  </si>
  <si>
    <t>FAB-442 + FAB-443 (HA)</t>
  </si>
  <si>
    <t>FP-61 (3)</t>
  </si>
  <si>
    <t>FP-61(3)</t>
  </si>
  <si>
    <t>HB-10P (SC)</t>
  </si>
  <si>
    <t>FAB-313 (HB)</t>
  </si>
  <si>
    <t>FAB-243 (HC)</t>
  </si>
  <si>
    <t>FAB-447.. (HA)</t>
  </si>
  <si>
    <t>ST-03.. (LA)</t>
  </si>
  <si>
    <t>B5-4249-FAB-321</t>
  </si>
  <si>
    <t>FAB-07 (HB)</t>
  </si>
  <si>
    <t>FAB-377.. (LA)</t>
  </si>
  <si>
    <t>FAB-270 (SA)</t>
  </si>
  <si>
    <t xml:space="preserve"> B10X </t>
  </si>
  <si>
    <t>MFI-12CO (V)</t>
  </si>
  <si>
    <t>FAB-241 (HD)</t>
  </si>
  <si>
    <t>FAB-436..</t>
  </si>
  <si>
    <t>FAB-241 (HC)</t>
  </si>
  <si>
    <t>FAB-442..</t>
  </si>
  <si>
    <t>FPB-04..</t>
  </si>
  <si>
    <t>RCB-03.. (SA)</t>
  </si>
  <si>
    <t>CNS-10</t>
  </si>
  <si>
    <t>CNF-01..</t>
  </si>
  <si>
    <t>CNF-30..</t>
  </si>
  <si>
    <t>CNF-30</t>
  </si>
  <si>
    <t>CNF-03.. (HA)</t>
  </si>
  <si>
    <t>CNF-03..</t>
  </si>
  <si>
    <t>CNF-02.. (HA)</t>
  </si>
  <si>
    <t>CNF-02..</t>
  </si>
  <si>
    <t>CNF-01.. (HA)</t>
  </si>
  <si>
    <t>S25.. (SA)</t>
  </si>
  <si>
    <t>FP-70 (SB)</t>
  </si>
  <si>
    <t>FAB-447 (HA)</t>
  </si>
  <si>
    <t>IB-D10 (SB)</t>
  </si>
  <si>
    <t>ST-12..</t>
  </si>
  <si>
    <t>S25 (SB)</t>
  </si>
  <si>
    <t>FAB-243 (HD)</t>
  </si>
  <si>
    <t>SB - CFB - Ceramic Blanket - B10-B12-B10X - Manual - KW - PH</t>
  </si>
  <si>
    <t>B10+B12+B10X</t>
  </si>
  <si>
    <t>FAB-377 + FAB-379</t>
  </si>
  <si>
    <t>FAB-377+FAB-379</t>
  </si>
  <si>
    <t>FAB-442+FAB-443+FAB-444+FAB-445 (HA)</t>
  </si>
  <si>
    <t>B2-4104-GEN-SB02</t>
  </si>
  <si>
    <t>B4-4212-GEN-SB04</t>
  </si>
  <si>
    <t>FAB-354 (HB)</t>
  </si>
  <si>
    <t>FAB-379 (FC)</t>
  </si>
  <si>
    <t>FAB-407 (FB)</t>
  </si>
  <si>
    <t>FAB-380 (FA)</t>
  </si>
  <si>
    <t>FAB-379 (FB)</t>
  </si>
  <si>
    <t>FAB-377 (FB)</t>
  </si>
  <si>
    <t>FAB-377 (FD)</t>
  </si>
  <si>
    <t>FAB-377 (FC)</t>
  </si>
  <si>
    <t>FAB-379 (FA)</t>
  </si>
  <si>
    <t>ST-13 (FB)</t>
  </si>
  <si>
    <t>ST-14 (FB)</t>
  </si>
  <si>
    <t>ST-13 (FA)</t>
  </si>
  <si>
    <t>ST-14 (FA)</t>
  </si>
  <si>
    <t>ST-03 (FC)</t>
  </si>
  <si>
    <t>ST-03 (FA)</t>
  </si>
  <si>
    <t>ST-03 (FD)</t>
  </si>
  <si>
    <t>FAB-379 + FAB-381 (FB)</t>
  </si>
  <si>
    <t>FAB-379 + FAB-380 + FAB-381 (FB)</t>
  </si>
  <si>
    <t>FAB-377 + FAB-381 (FB)</t>
  </si>
  <si>
    <t>FAB-377 + FAB-378 (FA)</t>
  </si>
  <si>
    <t>FAB-380 (FB)</t>
  </si>
  <si>
    <t>FAB-379 + FAB-381 (FA)</t>
  </si>
  <si>
    <t>FAB-387 (HE)</t>
  </si>
  <si>
    <t>FAB-387 (HF)</t>
  </si>
  <si>
    <t>FAB-431 (HA)</t>
  </si>
  <si>
    <t>FAB-429 (HA)</t>
  </si>
  <si>
    <t>FAB-273 (HB)</t>
  </si>
  <si>
    <t>FAB-383.. (HB)</t>
  </si>
  <si>
    <t>ST-14.. (FA)</t>
  </si>
  <si>
    <t>ST-13.. (FA)</t>
  </si>
  <si>
    <t>ST-12.. (FA)</t>
  </si>
  <si>
    <t>ST-07.. (FA)</t>
  </si>
  <si>
    <t>ST-05.. (FA)</t>
  </si>
  <si>
    <t>ST-04.. (FA)</t>
  </si>
  <si>
    <t>ST-03.. (FB)</t>
  </si>
  <si>
    <t>ST-03.. (FA)</t>
  </si>
  <si>
    <t>ST-02..(FA)</t>
  </si>
  <si>
    <t>FAB-407.. (FA)</t>
  </si>
  <si>
    <t>FAB-381.. (FA)</t>
  </si>
  <si>
    <t>FAB-380.. (FA)</t>
  </si>
  <si>
    <t>FAB-379.. (FB)</t>
  </si>
  <si>
    <t>FAB-379.. (FA)</t>
  </si>
  <si>
    <t>FAB-379 + FAB-381.. (FA)</t>
  </si>
  <si>
    <t>FAB-379 + FAB-380.. (FA)</t>
  </si>
  <si>
    <t>FAB-379 + FAB-380 + FAB-381.. (FA)</t>
  </si>
  <si>
    <t>FAB-378.. (FB)</t>
  </si>
  <si>
    <t>FAB-378.. (FA)</t>
  </si>
  <si>
    <t>FAB-377 + FAB-381.. (FA)</t>
  </si>
  <si>
    <t>FAB-377 + FAB-378.. (FA)</t>
  </si>
  <si>
    <t>FAB-377 + FAB-378 + FAB-381.. (FA)</t>
  </si>
  <si>
    <t>CNF-01.. (FA)</t>
  </si>
  <si>
    <t>CFB-20812.. (SA)</t>
  </si>
  <si>
    <t>FAB-286 (HC)</t>
  </si>
  <si>
    <t xml:space="preserve">JMT-103 </t>
  </si>
  <si>
    <t>FAB-368 + FAB-369 + FAB-371 (HB)</t>
  </si>
  <si>
    <t>FAB-368+FAB-369+FAB-370+FAB-372 (HA)</t>
  </si>
  <si>
    <t>FAB-368 + FAB-372 (HA)</t>
  </si>
  <si>
    <t>FAB-368 + FAB-369 + FAB-373 (HA)</t>
  </si>
  <si>
    <t>FAB-382 + FAB-374 (HB)</t>
  </si>
  <si>
    <t>V4-1524 (12)</t>
  </si>
  <si>
    <t>V4-1524(12)</t>
  </si>
  <si>
    <t>V4-1524 (24)</t>
  </si>
  <si>
    <t>V4-1524(24)</t>
  </si>
  <si>
    <t>V4-1524 (32)</t>
  </si>
  <si>
    <t>V4-1524(32)</t>
  </si>
  <si>
    <t>FAB-241 (HB)</t>
  </si>
  <si>
    <t>TO-03 (SC)</t>
  </si>
  <si>
    <t>FP-61 (4)</t>
  </si>
  <si>
    <t>FP-61(4)</t>
  </si>
  <si>
    <t>FP-61 (5)</t>
  </si>
  <si>
    <t>FP-61(5)</t>
  </si>
  <si>
    <t>FAB-44 (HB)</t>
  </si>
  <si>
    <t>FAB-243 (HE)</t>
  </si>
  <si>
    <t>FAB-318 (SA)</t>
  </si>
  <si>
    <t>FAB-330 (HD)</t>
  </si>
  <si>
    <t>FAB-336 (HA)</t>
  </si>
  <si>
    <t>FAB-298 (HC)</t>
  </si>
  <si>
    <t>EPX-01 (SB)</t>
  </si>
  <si>
    <t>PF-50 (SA)</t>
  </si>
  <si>
    <t>EPX-02 (SB)</t>
  </si>
  <si>
    <t>FAB-381 (FA)</t>
  </si>
  <si>
    <t>FAB-377 + FAB-378 + FAB-381 (FA)</t>
  </si>
  <si>
    <t>FP-72 (SB)</t>
  </si>
  <si>
    <t>FAB-378 (FA)</t>
  </si>
  <si>
    <t>ST-03 (FB)</t>
  </si>
  <si>
    <t>FAB-379 + FAB-380 (FA)</t>
  </si>
  <si>
    <t>FAB-379 + FAB-380 (FB)</t>
  </si>
  <si>
    <t>FAB-377 + FAB-381 (FA)</t>
  </si>
  <si>
    <t>FAB-377 + FAB-378 + FAB-381 (FB)</t>
  </si>
  <si>
    <t>FAB-395 (HA)</t>
  </si>
  <si>
    <t>FAB-387 (HD)</t>
  </si>
  <si>
    <t>FAB-422 (HB)</t>
  </si>
  <si>
    <t>FAB-425 (HA)</t>
  </si>
  <si>
    <t>ECO-18+ECO-20</t>
  </si>
  <si>
    <t>FAB-387(HB)</t>
  </si>
  <si>
    <t>FAB-387(HC)</t>
  </si>
  <si>
    <t>FAB-387+388</t>
  </si>
  <si>
    <t>FAB-387+388+353</t>
  </si>
  <si>
    <t>FAB-392-393-394</t>
  </si>
  <si>
    <t>FAB-392+FAB-393+FAB-394</t>
  </si>
  <si>
    <t>FAB-392-393-395</t>
  </si>
  <si>
    <t>FAB-392+FAB-393+FAB-395</t>
  </si>
  <si>
    <t>FAB-360 (HC )</t>
  </si>
  <si>
    <t>FAB-398.. (HA)</t>
  </si>
  <si>
    <t>FAB-447 (HB)</t>
  </si>
  <si>
    <t>FAB-379 (FD)</t>
  </si>
  <si>
    <t>FAB-379 + FAB-380 (FC)</t>
  </si>
  <si>
    <t>FAB-379 + FAB-380 + FAB-381 (FC)</t>
  </si>
  <si>
    <t>FAB-377 + FAB-381 (FC)</t>
  </si>
  <si>
    <t>FAB-379 + FAB-381 (FC)</t>
  </si>
  <si>
    <t>FAB-423 (HA)</t>
  </si>
  <si>
    <t>FAB-446 (HC)</t>
  </si>
  <si>
    <t>FAB-377 + FAB-378 + FAB-381 (FC)</t>
  </si>
  <si>
    <t>FAB-378 (FD)</t>
  </si>
  <si>
    <t>FAB-272 (HA)</t>
  </si>
  <si>
    <t>FAB-380 (FC)</t>
  </si>
  <si>
    <t>UFAB-368 + UFAB-369 + UFAB-370 + UFAB-371</t>
  </si>
  <si>
    <t>UFAB-368+UFAB-369+UFAB-370+UFAB-371</t>
  </si>
  <si>
    <t>FAB-378 (FE)</t>
  </si>
  <si>
    <t>FAB-377 + FAB-378 (FC)</t>
  </si>
  <si>
    <t>FAB-377 (FA)</t>
  </si>
  <si>
    <t>ST-04 (FA)</t>
  </si>
  <si>
    <t>FAB-48 (SA)</t>
  </si>
  <si>
    <t>RCB-03 (SA)</t>
  </si>
  <si>
    <t>ST-04 (FD)</t>
  </si>
  <si>
    <t>FAB-381 (FB)</t>
  </si>
  <si>
    <t>PF-S1 + PF S2.. (SB)</t>
  </si>
  <si>
    <t>FAB-378 (FC)</t>
  </si>
  <si>
    <t>FAB-377 + FAB-378 (FB)</t>
  </si>
  <si>
    <t>ST-04 (FB)</t>
  </si>
  <si>
    <t>Z4 (SB)</t>
  </si>
  <si>
    <t>CP-3-2415F (SA)</t>
  </si>
  <si>
    <t>FPB-02..</t>
  </si>
  <si>
    <t>FAB-08B.. (SA)</t>
  </si>
  <si>
    <t>FAB-366..</t>
  </si>
  <si>
    <t>FAB-378 (FB)</t>
  </si>
  <si>
    <t>FAB-379 + FAB-380 + FAB-381 (FA)</t>
  </si>
  <si>
    <t>FAB-295 (HC)</t>
  </si>
  <si>
    <t>SB - FAB - SOLO STOVE LIDS - KW - EXACT</t>
  </si>
  <si>
    <t>FP-71 - NEW</t>
  </si>
  <si>
    <t>FP-72 - NEW</t>
  </si>
  <si>
    <t>WR-A212 - NEW</t>
  </si>
  <si>
    <t>FP-73 NEW</t>
  </si>
  <si>
    <t>PF-220..</t>
  </si>
  <si>
    <t>FAB-428 (HA)</t>
  </si>
  <si>
    <t>FAB-243.. (HA)</t>
  </si>
  <si>
    <t>FAB-442+443</t>
  </si>
  <si>
    <t>FAB-442+443+444</t>
  </si>
  <si>
    <t>FAB-442+443+444+445</t>
  </si>
  <si>
    <t>ST-12 (FA)</t>
  </si>
  <si>
    <t>Z4.. (SA)</t>
  </si>
  <si>
    <t>JMT-103 (SE)</t>
  </si>
  <si>
    <t>FAB-54 (HB)</t>
  </si>
  <si>
    <t>V8 (SA)</t>
  </si>
  <si>
    <t>FAB-298 (2)</t>
  </si>
  <si>
    <t>FAB-298(2)</t>
  </si>
  <si>
    <t>FAB-51 (2)</t>
  </si>
  <si>
    <t>FAB-51(2)</t>
  </si>
  <si>
    <t>FAB-252 (2)</t>
  </si>
  <si>
    <t>FAB-252(2)</t>
  </si>
  <si>
    <t>FAB-253 (2)</t>
  </si>
  <si>
    <t>FAB-253(2)</t>
  </si>
  <si>
    <t>FAB-51 (4)</t>
  </si>
  <si>
    <t>FAB-51(4)</t>
  </si>
  <si>
    <t>FAB-51 (6)</t>
  </si>
  <si>
    <t>FAB-51(6)</t>
  </si>
  <si>
    <t>FAB-252 (6)</t>
  </si>
  <si>
    <t>FAB-252(6)</t>
  </si>
  <si>
    <t>FAB-253 (6)</t>
  </si>
  <si>
    <t>FAB-253(6)</t>
  </si>
  <si>
    <t>FAB-253 (4)</t>
  </si>
  <si>
    <t>FAB-253(4)</t>
  </si>
  <si>
    <t>FAB-333 (2)</t>
  </si>
  <si>
    <t>FAB-333(2)</t>
  </si>
  <si>
    <t>FAB-252 (4)</t>
  </si>
  <si>
    <t>FAB-252(4)</t>
  </si>
  <si>
    <t>FAB-333 (4)</t>
  </si>
  <si>
    <t>FAB-333(4)</t>
  </si>
  <si>
    <t>FAB-333 (6)</t>
  </si>
  <si>
    <t>FAB-333(6)</t>
  </si>
  <si>
    <t>FAB-334 (4)</t>
  </si>
  <si>
    <t>FAB-334(4)</t>
  </si>
  <si>
    <t>FAB-334 (2)</t>
  </si>
  <si>
    <t>FAB-334(2)</t>
  </si>
  <si>
    <t>FAB-334 (6)</t>
  </si>
  <si>
    <t>FAB-334(6)</t>
  </si>
  <si>
    <t>FAB-335 (2)</t>
  </si>
  <si>
    <t>FAB-335(2)</t>
  </si>
  <si>
    <t>FAB-335 (6)</t>
  </si>
  <si>
    <t>FAB-335(6)</t>
  </si>
  <si>
    <t>FAB-335 (4)</t>
  </si>
  <si>
    <t>FAB-335(4)</t>
  </si>
  <si>
    <t>RS-0421 (SA)</t>
  </si>
  <si>
    <t>ECO-06 (5) (SB)</t>
  </si>
  <si>
    <t>ECO-01 (2) + ECO-30 (2) + ECO-31</t>
  </si>
  <si>
    <t>ECO-01(2)+ECO-30(2)+ECO-31</t>
  </si>
  <si>
    <t>RS-1041 (SA)</t>
  </si>
  <si>
    <t>RS-0441 (SA)</t>
  </si>
  <si>
    <t>RS-0442 (SA)</t>
  </si>
  <si>
    <t>RS-0422 (SA)</t>
  </si>
  <si>
    <t>IC-1206 (SA)</t>
  </si>
  <si>
    <t>IC-3624 (SA)</t>
  </si>
  <si>
    <t>IC-4224 (SA)</t>
  </si>
  <si>
    <t>IC-4806 (SA)</t>
  </si>
  <si>
    <t>IC-3612 (SA)</t>
  </si>
  <si>
    <t>IC-1812 (SA)</t>
  </si>
  <si>
    <t>IC-3006 (SA)</t>
  </si>
  <si>
    <t>IC-6006 (SA)</t>
  </si>
  <si>
    <t>IC-2406 (SA)</t>
  </si>
  <si>
    <t>IC-4818 (SA)</t>
  </si>
  <si>
    <t>IC-1212 (SA)</t>
  </si>
  <si>
    <t>IC-4812 (SA)</t>
  </si>
  <si>
    <t>IC-3024 (SA)</t>
  </si>
  <si>
    <t>IC-1806 (SA)</t>
  </si>
  <si>
    <t>IC-4824 (SA)</t>
  </si>
  <si>
    <t>IC-1224 (SA)</t>
  </si>
  <si>
    <t>IC-1818 (SA)</t>
  </si>
  <si>
    <t>IC-2418 (SA)</t>
  </si>
  <si>
    <t>IC-1218 (SA)</t>
  </si>
  <si>
    <t>IC-4218 (SA)</t>
  </si>
  <si>
    <t>IC-4206 (SA)</t>
  </si>
  <si>
    <t>FAB-426 (HA)</t>
  </si>
  <si>
    <t>FPB-13..</t>
  </si>
  <si>
    <t>FAB-447..</t>
  </si>
  <si>
    <t>FAB-426.. (HA)</t>
  </si>
  <si>
    <t>FAB-450..</t>
  </si>
  <si>
    <t>CP-3-2410F</t>
  </si>
  <si>
    <t>A25-0928-GEN-SE01</t>
  </si>
  <si>
    <t>FAB-363 (HB)</t>
  </si>
  <si>
    <t>FAB-448..</t>
  </si>
  <si>
    <t>FAB-446.. (HA)</t>
  </si>
  <si>
    <t>FAB-327 (HB)</t>
  </si>
  <si>
    <t>FAB-309 (HA)</t>
  </si>
  <si>
    <t>PO-AC6.. (SA)</t>
  </si>
  <si>
    <t>V8.. (SA)</t>
  </si>
  <si>
    <t>JMT-168 (SB)</t>
  </si>
  <si>
    <t>ST-04.. (LA)</t>
  </si>
  <si>
    <t>FAB-468..</t>
  </si>
  <si>
    <t>FAB-365 (HA)</t>
  </si>
  <si>
    <t>ST-12 (FB)</t>
  </si>
  <si>
    <t>ST-02 (FC)</t>
  </si>
  <si>
    <t>ST-02 (FA)</t>
  </si>
  <si>
    <t>FAB-468 (HB)</t>
  </si>
  <si>
    <t>FAB-468 (HA)</t>
  </si>
  <si>
    <t>SB- ALL WOOD WEDGES- KW - PH</t>
  </si>
  <si>
    <t>FAB-117+FAB-244+FAB-245+FAB-246+FAB-247</t>
  </si>
  <si>
    <t>B5 (AA)</t>
  </si>
  <si>
    <t>S21X (SB)</t>
  </si>
  <si>
    <t>SB - FAB-446-447-448 - MANUAL - KW - EXACT</t>
  </si>
  <si>
    <t>FAB-446+FAB-447+FAB-448</t>
  </si>
  <si>
    <t>FAB-366 (HA)</t>
  </si>
  <si>
    <t xml:space="preserve">WR-A230 </t>
  </si>
  <si>
    <t>WR-A230 - NEW</t>
  </si>
  <si>
    <t>CT-TC22 - NEW</t>
  </si>
  <si>
    <t>CP-1-2425F - NEW</t>
  </si>
  <si>
    <t>CP-3-2425F-NEW</t>
  </si>
  <si>
    <t>FP-68 - NEW</t>
  </si>
  <si>
    <t>FP-71 (2) - NEW</t>
  </si>
  <si>
    <t>BS9-New</t>
  </si>
  <si>
    <t>IB-A16-NEW</t>
  </si>
  <si>
    <t>IB-C05-New</t>
  </si>
  <si>
    <t>IB-C12-NEW</t>
  </si>
  <si>
    <t>IB-G08-New</t>
  </si>
  <si>
    <t>FAB-424.. (HA)</t>
  </si>
  <si>
    <t>FAB-430.. (HB)</t>
  </si>
  <si>
    <t>FPB-10..</t>
  </si>
  <si>
    <t>GEN-SB08..</t>
  </si>
  <si>
    <t>GEN-SB09..</t>
  </si>
  <si>
    <t>UFAB-368 + UFAB-369 + UFAB-370 + UFAB-373</t>
  </si>
  <si>
    <t>UFAB-368+UFAB-369+UFAB-370+UFAB-373</t>
  </si>
  <si>
    <t>FP-61 (SB)</t>
  </si>
  <si>
    <t xml:space="preserve">
FAB-468..</t>
  </si>
  <si>
    <t>CT-AM04 (SB)</t>
  </si>
  <si>
    <t>FPB-07 (SA)</t>
  </si>
  <si>
    <t>CT-TC44 (SB)</t>
  </si>
  <si>
    <t>HB-19P (SA)</t>
  </si>
  <si>
    <t>FPB-13 (SA)</t>
  </si>
  <si>
    <t>FPB-11..</t>
  </si>
  <si>
    <t>FPB-14..</t>
  </si>
  <si>
    <t>FAB-469..</t>
  </si>
  <si>
    <t>FAB-470..</t>
  </si>
  <si>
    <t>FAB-471..</t>
  </si>
  <si>
    <t>FAB-473..</t>
  </si>
  <si>
    <t>FAB-430.. (HC)</t>
  </si>
  <si>
    <t>PF-S1 + PF S2 (SE)</t>
  </si>
  <si>
    <t>PF-S1 + PF-S2 + PF-S2 (SD)</t>
  </si>
  <si>
    <t>FPB-12..</t>
  </si>
  <si>
    <t>FAB-465..</t>
  </si>
  <si>
    <t>FAB-466..</t>
  </si>
  <si>
    <t>FAB-467..</t>
  </si>
  <si>
    <t>FAB-216.. (HB)</t>
  </si>
  <si>
    <t>FAB-380..(LA)</t>
  </si>
  <si>
    <t>FPB-03 (SC)</t>
  </si>
  <si>
    <t>FAB-473 (HA)</t>
  </si>
  <si>
    <t>B5-4270-GEN-SP01</t>
  </si>
  <si>
    <t>FAB-472..</t>
  </si>
  <si>
    <t>V2.. (SA)</t>
  </si>
  <si>
    <t>PF S2.. (SB)</t>
  </si>
  <si>
    <t>FAB-380.. (LA)</t>
  </si>
  <si>
    <t>FAB-274 (HA)</t>
  </si>
  <si>
    <t>BB-950155 (SB)</t>
  </si>
  <si>
    <t>FAB-446.. (HB)</t>
  </si>
  <si>
    <t>FAB-469 (HA)</t>
  </si>
  <si>
    <t>GEN-SP01..</t>
  </si>
  <si>
    <t>FAB-360..(HA)</t>
  </si>
  <si>
    <t>WR-A118 (SB)</t>
  </si>
  <si>
    <t>PF-POT + PF-POTS3 (SA)</t>
  </si>
  <si>
    <t>PFI-07 + PF-S1 + PF-S2 + PF-S2</t>
  </si>
  <si>
    <t>PFI-07+PF-S1+PF-S2+PF-S2</t>
  </si>
  <si>
    <t>PF-POTS3 + HB-18 + PF-POT (SA)</t>
  </si>
  <si>
    <t>PF-POTS3+HB-18+PF-POT</t>
  </si>
  <si>
    <t>PF-POT + PF-POTS3 + HB-25 (SA)</t>
  </si>
  <si>
    <t>PF-POT + PF-POTS3 + HB-35 (SA)</t>
  </si>
  <si>
    <t>SB - FAB - FAB-449-450-468-473 EX</t>
  </si>
  <si>
    <t>FAB-449+FAB-450+FAB-468+FAB-473</t>
  </si>
  <si>
    <t>FPB-01 (SB)</t>
  </si>
  <si>
    <t>FAB-465 (HA)</t>
  </si>
  <si>
    <t>FAB-466 (HA)</t>
  </si>
  <si>
    <t>SB - ALL SQUARE FIRE PIT LIDS - PHRASE</t>
  </si>
  <si>
    <t>FAB-08B+FAB-288+FAB-406+FAB-426+FAB-427</t>
  </si>
  <si>
    <t>FAB-425.. (HA)</t>
  </si>
  <si>
    <t>FAB-468.. (HB)</t>
  </si>
  <si>
    <t>PFB-01.. (SA)</t>
  </si>
  <si>
    <t>PFI-05 + PF-S1 + PF-S2</t>
  </si>
  <si>
    <t>PFI-05+PF-S1+PF-S2</t>
  </si>
  <si>
    <t>JMT-134 (SC)</t>
  </si>
  <si>
    <t>D9-8033-FAB-473</t>
  </si>
  <si>
    <t>D9-8035-FAB-448</t>
  </si>
  <si>
    <t>GEN-SP01 (SA)</t>
  </si>
  <si>
    <t>PFI-20 + PF-S1 + PF-S2</t>
  </si>
  <si>
    <t>PFI-20+PF-S1+PF-S2</t>
  </si>
  <si>
    <t>PF-S1 (SD)</t>
  </si>
  <si>
    <t>FAB-425 (HC)</t>
  </si>
  <si>
    <t>FAB-425 (HB)</t>
  </si>
  <si>
    <t>FPB-04 (HA)</t>
  </si>
  <si>
    <t>FAB-474 (HA)</t>
  </si>
  <si>
    <t>A12-0416-STA-57</t>
  </si>
  <si>
    <t>A04-0116-STA-54</t>
  </si>
  <si>
    <t>A04-0139-STA-58</t>
  </si>
  <si>
    <t>A06-0181-STA-56</t>
  </si>
  <si>
    <t>A08-0285-STA-53</t>
  </si>
  <si>
    <t>B3-4135-STA-52</t>
  </si>
  <si>
    <t>B5-4217-STA-55</t>
  </si>
  <si>
    <t>C10-6192-FAB-474</t>
  </si>
  <si>
    <t>D7-8025-ST-10</t>
  </si>
  <si>
    <t>D8-8030-ST-11</t>
  </si>
  <si>
    <t>HB-10P.. (SA)</t>
  </si>
  <si>
    <t>FAB-474..</t>
  </si>
  <si>
    <t>ST-11 + 52 + 55..</t>
  </si>
  <si>
    <t>ST-11+STA-52+STA-55</t>
  </si>
  <si>
    <t>ST-11..</t>
  </si>
  <si>
    <t>ST-11 + 52 + 52 + 55..</t>
  </si>
  <si>
    <t>ST-11+STA-52+STA-52+STA-55</t>
  </si>
  <si>
    <t>ST-11 + 52 + 52..</t>
  </si>
  <si>
    <t>ST-11+STA-52+STA-52</t>
  </si>
  <si>
    <t>ST-11 + 52 + 55 + 58..</t>
  </si>
  <si>
    <t>ST-11+STA-52+STA-55+STA-58</t>
  </si>
  <si>
    <t>ST-11 + 52 + 58..</t>
  </si>
  <si>
    <t>ST-11+STA-52+STA-58</t>
  </si>
  <si>
    <t>ST-11 + 52..</t>
  </si>
  <si>
    <t>ST-11+STA-52</t>
  </si>
  <si>
    <t>ST-11 + 58..</t>
  </si>
  <si>
    <t>ST-11+STA-58</t>
  </si>
  <si>
    <t>ST-11 + STA-52 + STA-52 + STA-58..</t>
  </si>
  <si>
    <t>ST-11+STA-52+STA-52+STA-58</t>
  </si>
  <si>
    <t>FAB-403..</t>
  </si>
  <si>
    <t>SB - FPB - 10-11-12 - EXACT</t>
  </si>
  <si>
    <t>FPB-10+FPB-11+FPB-12</t>
  </si>
  <si>
    <t>ST-09 + 52 + 53</t>
  </si>
  <si>
    <t>ST-09+STA-52+STA-53</t>
  </si>
  <si>
    <t>ST-09 + 52 + 53 + 56</t>
  </si>
  <si>
    <t>ST-09+STA-52+STA-53+STA-56</t>
  </si>
  <si>
    <t>ST-09 + 56</t>
  </si>
  <si>
    <t>ST-09+STA-56</t>
  </si>
  <si>
    <t>ST-09 + 52 + 56 (LA)</t>
  </si>
  <si>
    <t>ST-09+STA-52+STA-56</t>
  </si>
  <si>
    <t>ST-09 + 52 + 52 + 53 + 56</t>
  </si>
  <si>
    <t>ST-09 + 56 (LA)</t>
  </si>
  <si>
    <t>ST-09 + 53</t>
  </si>
  <si>
    <t>ST-09+STA-53</t>
  </si>
  <si>
    <t>A24-0855-JMT-154</t>
  </si>
  <si>
    <t>C4-6067-FAB-291</t>
  </si>
  <si>
    <t>FAB-405..</t>
  </si>
  <si>
    <t>SB - FPB - 03-05-06 - EXACT</t>
  </si>
  <si>
    <t>FPB-03+FPB-05+FPB-06</t>
  </si>
  <si>
    <t>ST-09 + 52 (LA)</t>
  </si>
  <si>
    <t>ST-09+STA-52</t>
  </si>
  <si>
    <t>ST-09 + 52 + 52 + 56</t>
  </si>
  <si>
    <t>ST-09 + 52 + 52</t>
  </si>
  <si>
    <t>ST-09 + 52 + 52 + 53</t>
  </si>
  <si>
    <t>FAB-364 (HA)</t>
  </si>
  <si>
    <t>CT-AM04 (SC)</t>
  </si>
  <si>
    <t>CT-TC22 (SC)</t>
  </si>
  <si>
    <t>ST-09 + 52 + 56</t>
  </si>
  <si>
    <t>FAB-426 (HB)</t>
  </si>
  <si>
    <t>ST-09..</t>
  </si>
  <si>
    <t>ST-11+52+52+55+58..</t>
  </si>
  <si>
    <t>ST-11+STA-52+STA-52+STA-55+STA-58</t>
  </si>
  <si>
    <t>ST-11+52+52+55..</t>
  </si>
  <si>
    <t>ST-11+52+52..</t>
  </si>
  <si>
    <t>ST-11+52+55..</t>
  </si>
  <si>
    <t>ST-11+52..</t>
  </si>
  <si>
    <t>ST-11+55..</t>
  </si>
  <si>
    <t>ST-11+STA-55</t>
  </si>
  <si>
    <t>V2-1212 (6)</t>
  </si>
  <si>
    <t>V2-1212(6)</t>
  </si>
  <si>
    <t>ST-09+52 (LA)</t>
  </si>
  <si>
    <t>ST-09+52+52+53+56</t>
  </si>
  <si>
    <t>ST-09+STA-52+STA-52+STA-53+STA-56</t>
  </si>
  <si>
    <t>ST-09+52+56 (LA)</t>
  </si>
  <si>
    <t>ST-09+56</t>
  </si>
  <si>
    <t>ST-10+54</t>
  </si>
  <si>
    <t>ST-10+STA-54</t>
  </si>
  <si>
    <t>ST-10+52+54</t>
  </si>
  <si>
    <t>ST-10+STA-52+STA-54</t>
  </si>
  <si>
    <t>ST-10+52+54+57 (LA)</t>
  </si>
  <si>
    <t>ST-10+STA-52+STA-54+STA-57</t>
  </si>
  <si>
    <t>ST-09+52+56</t>
  </si>
  <si>
    <t>ST-09+52+52+53</t>
  </si>
  <si>
    <t>ST-09+STA-52+STA-52+STA-53</t>
  </si>
  <si>
    <t>ST-09+52+53+56</t>
  </si>
  <si>
    <t>ST-09+52+52+56</t>
  </si>
  <si>
    <t>ST-09+STA-52+STA-52+STA-56</t>
  </si>
  <si>
    <t>ST-09+56 (LA)</t>
  </si>
  <si>
    <t>ST-09+53</t>
  </si>
  <si>
    <t>ST-09+52+53</t>
  </si>
  <si>
    <t>ST-09+52+52</t>
  </si>
  <si>
    <t>ST-09+STA-52+STA-52</t>
  </si>
  <si>
    <t>ST-09+52</t>
  </si>
  <si>
    <t>ST-10+52+54+57</t>
  </si>
  <si>
    <t>ST-10+52+52+57</t>
  </si>
  <si>
    <t>ST-10+STA-52+STA-52+STA-57</t>
  </si>
  <si>
    <t>ST-10+52+54 (LA)</t>
  </si>
  <si>
    <t>ST-10+57 (LA)</t>
  </si>
  <si>
    <t>ST-10+STA-57</t>
  </si>
  <si>
    <t>SB - ALL SQUARE FIRE RINGS - PHRASE</t>
  </si>
  <si>
    <t>FAB-427+FAB-288+FAB-406+FAB-426</t>
  </si>
  <si>
    <t>FPB-10 (SA)</t>
  </si>
  <si>
    <t>ST-10+52+57 (LA)</t>
  </si>
  <si>
    <t>ST-10+STA-52+STA-57</t>
  </si>
  <si>
    <t>ST-10+52 (LA)</t>
  </si>
  <si>
    <t>ST-10+STA-52</t>
  </si>
  <si>
    <t>ST-10+57</t>
  </si>
  <si>
    <t>ST-10+52+52+54+57 (LA)</t>
  </si>
  <si>
    <t>ST-10+STA-52+STA-52+STA-54+STA-57</t>
  </si>
  <si>
    <t>FAB-466 + FAB-467</t>
  </si>
  <si>
    <t>FAB-466+FAB-467</t>
  </si>
  <si>
    <t>FPB-10.. (SA)</t>
  </si>
  <si>
    <t>ST-10+52</t>
  </si>
  <si>
    <t>ST-10+52+52+54</t>
  </si>
  <si>
    <t>ST-10+STA-52+STA-52+STA-54</t>
  </si>
  <si>
    <t>FAB-465 + FAB-467</t>
  </si>
  <si>
    <t>FAB-465+FAB-467</t>
  </si>
  <si>
    <t>SB - ST-09 &amp; Combos -Brand</t>
  </si>
  <si>
    <t>SB - ST-10 &amp; Combos -Brand</t>
  </si>
  <si>
    <t>SB - ST-11 &amp; Combos -Brand</t>
  </si>
  <si>
    <t>HB-19P.. (SA)</t>
  </si>
  <si>
    <t>FAB-378.. (LA)</t>
  </si>
  <si>
    <t>FAB-377+FAB-378..</t>
  </si>
  <si>
    <t>FAB-379 + FAB- 381..</t>
  </si>
  <si>
    <t>FAB-377+ FAB-378+ FAB-381..</t>
  </si>
  <si>
    <t>ST-09+52+56..</t>
  </si>
  <si>
    <t>ST-10+52+52+54+57..</t>
  </si>
  <si>
    <t>ST-10+52+54+57..</t>
  </si>
  <si>
    <t>ST-10+52+52+57..</t>
  </si>
  <si>
    <t>ST-10+52+57..</t>
  </si>
  <si>
    <t>ST-10+57..</t>
  </si>
  <si>
    <t>ST-10+52+52+54+57</t>
  </si>
  <si>
    <t>ST-10+52+54..</t>
  </si>
  <si>
    <t>ST-09+56..</t>
  </si>
  <si>
    <t>ST-09+52..</t>
  </si>
  <si>
    <t>ST-10+52..</t>
  </si>
  <si>
    <t>ST-10+52+57</t>
  </si>
  <si>
    <t>ST-09+52+52+53..</t>
  </si>
  <si>
    <t>ST-09+52+53..</t>
  </si>
  <si>
    <t>ST-10+54..</t>
  </si>
  <si>
    <t>ST-09+53..</t>
  </si>
  <si>
    <t>ST-09+52+52+56..</t>
  </si>
  <si>
    <t>ST-09+52+52..</t>
  </si>
  <si>
    <t>ST-10+52+52</t>
  </si>
  <si>
    <t>ST-10+STA-52+STA-52</t>
  </si>
  <si>
    <t>ST-10+52+52+54..</t>
  </si>
  <si>
    <t>ST-10+52+52..</t>
  </si>
  <si>
    <t>ST-10+52+52+57 (LA)</t>
  </si>
  <si>
    <t>ST-09+52+53+56..</t>
  </si>
  <si>
    <t>ST-09+52+52+53+56..</t>
  </si>
  <si>
    <t>ST-11+52+52+55</t>
  </si>
  <si>
    <t>ST-11+52+55</t>
  </si>
  <si>
    <t>ST-11+55</t>
  </si>
  <si>
    <t>ST-11+52+52</t>
  </si>
  <si>
    <t>ST-11+52</t>
  </si>
  <si>
    <t>ST-11+52+52+58..</t>
  </si>
  <si>
    <t>ST-11+52+55+58..</t>
  </si>
  <si>
    <t>ST-11+52+55+58</t>
  </si>
  <si>
    <t>ST-11+52+52+58</t>
  </si>
  <si>
    <t>ST-11+52 +58..</t>
  </si>
  <si>
    <t>ST-11+52+58</t>
  </si>
  <si>
    <t>ST-11+58..</t>
  </si>
  <si>
    <t>ST-11+58</t>
  </si>
  <si>
    <t>ST-11+52+52+55+58</t>
  </si>
  <si>
    <t>ST-10..</t>
  </si>
  <si>
    <t>EH-03 (SA)</t>
  </si>
  <si>
    <t>CFB-11524 (SA)</t>
  </si>
  <si>
    <t>GEN-SB02 (SA)</t>
  </si>
  <si>
    <t>EH-03..(BA)</t>
  </si>
  <si>
    <t>HB-18 (SA)</t>
  </si>
  <si>
    <t>FPB-10 (SC)</t>
  </si>
  <si>
    <t>FAB-216.. (HC)</t>
  </si>
  <si>
    <t>FAB-417.. (HA)</t>
  </si>
  <si>
    <t>FAB-428.. (HA)</t>
  </si>
  <si>
    <t>FAB-429.. (HA)</t>
  </si>
  <si>
    <t>FAB-430. (HD)</t>
  </si>
  <si>
    <t>FAB-377..(LB)</t>
  </si>
  <si>
    <t>V2 (AA)</t>
  </si>
  <si>
    <t>FPB-10 (SB)</t>
  </si>
  <si>
    <t>FAB-54 (HA)</t>
  </si>
  <si>
    <t>FAB-446.. (LA)</t>
  </si>
  <si>
    <t>PO-AC3.. (LA)</t>
  </si>
  <si>
    <t>FAB-379 + FAB-380.. (LA)</t>
  </si>
  <si>
    <t>FAB-379 + FAB-381.. (LA)</t>
  </si>
  <si>
    <t>FAB-377.. (BA)</t>
  </si>
  <si>
    <t>FAB-379 + FAB-380.. (BA)</t>
  </si>
  <si>
    <t>FAB-379 + FAB-381.. (BA)</t>
  </si>
  <si>
    <t>FAB-441.. (BA)</t>
  </si>
  <si>
    <t>FAB-468 (SA)</t>
  </si>
  <si>
    <t>FAB-432 + FAB-436 (HB)</t>
  </si>
  <si>
    <t>PFI-10 + PF-S1</t>
  </si>
  <si>
    <t>PFI-10+PF-S1</t>
  </si>
  <si>
    <t>V4-2020 (SA)</t>
  </si>
  <si>
    <t>FAB-311..(HA)</t>
  </si>
  <si>
    <t>FAB-475..</t>
  </si>
  <si>
    <t>ST-15..</t>
  </si>
  <si>
    <t>FAB-421.. (HA)</t>
  </si>
  <si>
    <t>FAB-422.. (HB)</t>
  </si>
  <si>
    <t>FAB-449.. (HA)</t>
  </si>
  <si>
    <t>GEN-CB1008..</t>
  </si>
  <si>
    <t>IB-A32..</t>
  </si>
  <si>
    <t>FAB-08B.. (HA)</t>
  </si>
  <si>
    <t>FAB-361..(HA)</t>
  </si>
  <si>
    <t>ST-03.. (LB)</t>
  </si>
  <si>
    <t>FPB-10 (SE)</t>
  </si>
  <si>
    <t>FAB-478 (HA)</t>
  </si>
  <si>
    <t>FAB-477 (HA)</t>
  </si>
  <si>
    <t>B2-4083-FAB-475</t>
  </si>
  <si>
    <t>S25X (SA)</t>
  </si>
  <si>
    <t>JMT-137 (HA)</t>
  </si>
  <si>
    <t>FAB-476 (HA)</t>
  </si>
  <si>
    <t>FAB-475 (HB)</t>
  </si>
  <si>
    <t>FAB-410 (HB)</t>
  </si>
  <si>
    <t>IB-A32 (SA)</t>
  </si>
  <si>
    <t>CFB-21524 (SA)</t>
  </si>
  <si>
    <t>HB-19P (SB)</t>
  </si>
  <si>
    <t>FAB-475 (HA)</t>
  </si>
  <si>
    <t>FAB-475 (HC)</t>
  </si>
  <si>
    <t>FAB-433 + FAB-435 (HB)</t>
  </si>
  <si>
    <t>SB - FAB - FAB-447-449-450-468 EX</t>
  </si>
  <si>
    <t>FAB-447+FAB-449+FAB-450+FAB-468</t>
  </si>
  <si>
    <t>V4-1224 (SA)</t>
  </si>
  <si>
    <t>RCB-03 (SB)</t>
  </si>
  <si>
    <t>FAB-433 + FAB-437 (HB)</t>
  </si>
  <si>
    <t>FAB-432 + FAB-436.. (HA)</t>
  </si>
  <si>
    <t>FAB-432 + FAB-436.. (HB)</t>
  </si>
  <si>
    <t>FAB-433 + FAB-435.. (HA)</t>
  </si>
  <si>
    <t>FAB-433 + FAB-437.. (HB)</t>
  </si>
  <si>
    <t>CP-2-2425F (SB)</t>
  </si>
  <si>
    <t>FAB-449 (HB)</t>
  </si>
  <si>
    <t>D6-8024-IB-A32</t>
  </si>
  <si>
    <t>D3-8010-FAB-477</t>
  </si>
  <si>
    <t>D11-8041-FAB-478</t>
  </si>
  <si>
    <t>D12-8045-ST-09</t>
  </si>
  <si>
    <t>D12-8047-FAB-415</t>
  </si>
  <si>
    <t>D15-8057-ST-15</t>
  </si>
  <si>
    <t>C2-6035-FAB-476</t>
  </si>
  <si>
    <t>A26-0968-FAB-339</t>
  </si>
  <si>
    <t>B5-4227-GEN-CB1008</t>
  </si>
  <si>
    <t>C3-6056-FAB-42</t>
  </si>
  <si>
    <t>BB-115185 (SB)</t>
  </si>
  <si>
    <t>JMT-59 (SB)</t>
  </si>
  <si>
    <t>FAB-412 (HB)</t>
  </si>
  <si>
    <t>SB - FIREPIT STAND - FAB-475</t>
  </si>
  <si>
    <t>SP - FAB - FIREPIT STAND - FAB-475 - MANUAL - KW - EX</t>
  </si>
  <si>
    <t>FAB-476..</t>
  </si>
  <si>
    <t>FAB-477..</t>
  </si>
  <si>
    <t>FAB-478..</t>
  </si>
  <si>
    <t>SB - WR - Fiberglass Cloth - Manual - KW - PH - 1</t>
  </si>
  <si>
    <t>WR-A212+WR-A218+WR-A230</t>
  </si>
  <si>
    <t>SB - WR - Fiberglass Cloth - Manual - KW - PH - 2</t>
  </si>
  <si>
    <t>SB - WR - Fiberglass Cloth - Manual - KW - PH - 3</t>
  </si>
  <si>
    <t>SP - IB - Fire Bricks - Manual - KW - EX - Alpha - 1</t>
  </si>
  <si>
    <t>IB-A32+IB-A06+IB-A16+IB-C05+IB-C12+IB-E08+IB-D10+IB-F08+IB-G08</t>
  </si>
  <si>
    <t>HB-18P (SB)</t>
  </si>
  <si>
    <t>WR-A230 (SB)</t>
  </si>
  <si>
    <t>SP - HS- Aluminum Foil Faced Ceramic Fiber Blanket - Auto</t>
  </si>
  <si>
    <t>S25+S25X+S21+S9X+S21X+S9J+S25J+S21K</t>
  </si>
  <si>
    <t>FAB-424 (HB)</t>
  </si>
  <si>
    <t>FAB-272-447</t>
  </si>
  <si>
    <t>FAB-218-446</t>
  </si>
  <si>
    <t>BB-105210 (SB)</t>
  </si>
  <si>
    <t>ST-04 (LD)</t>
  </si>
  <si>
    <t>ALL CP - Auto</t>
  </si>
  <si>
    <t>CP-1-2425F+CP-3-2425F+CP-3-2415F</t>
  </si>
  <si>
    <t>RCB-09 (SB)</t>
  </si>
  <si>
    <t>S25J (SA)</t>
  </si>
  <si>
    <t>ST-09+ST-52</t>
  </si>
  <si>
    <t>SP - FAB - FAB-440-422 - 25.5 INCH FP LID - MANUAL - PRD - CAT</t>
  </si>
  <si>
    <t>FAB-440+FAB-422</t>
  </si>
  <si>
    <t>FAB - ALL Timber Jacks - MANUAL - CAT - PRD TGT</t>
  </si>
  <si>
    <t>FAB-432+FAB-433+FAB-437</t>
  </si>
  <si>
    <t>FAB - ALL Timber Jacks - MANUAL - CAT - PRD TGT - KW PH</t>
  </si>
  <si>
    <t>SB - FAB - ALL ROUND FIRE RINGS - EXACT - KW</t>
  </si>
  <si>
    <t>FAB-240+FAB-241+FAB-243</t>
  </si>
  <si>
    <t>FAB-440 (HB)</t>
  </si>
  <si>
    <t>FAB-380 (LB)</t>
  </si>
  <si>
    <t>B11 (SA)</t>
  </si>
  <si>
    <t>CT-AM04 (SD)</t>
  </si>
  <si>
    <t>FAB-440 (HD)</t>
  </si>
  <si>
    <t>V2-1112 (SA)</t>
  </si>
  <si>
    <t>FAB-501 (HA)</t>
  </si>
  <si>
    <t>FAB-400..(HA)</t>
  </si>
  <si>
    <t>FAB-489..</t>
  </si>
  <si>
    <t>FAB-542 (HA)</t>
  </si>
  <si>
    <t>FAB-501..</t>
  </si>
  <si>
    <t>FAB-506..</t>
  </si>
  <si>
    <t>FAB-532..</t>
  </si>
  <si>
    <t>FAB-540..</t>
  </si>
  <si>
    <t>FAB-542..</t>
  </si>
  <si>
    <t>FAB-544..S</t>
  </si>
  <si>
    <t>FAB-545..</t>
  </si>
  <si>
    <t>ST-03 (LD)</t>
  </si>
  <si>
    <t>B12F (SA)</t>
  </si>
  <si>
    <t>CT-TC22 (SD)</t>
  </si>
  <si>
    <t>FAB-506.. (HA)</t>
  </si>
  <si>
    <t>FAB-378 (LC)</t>
  </si>
  <si>
    <t>V2F (SB)</t>
  </si>
  <si>
    <t>FAB-08B (HB)</t>
  </si>
  <si>
    <t>Amazon.Found.B08372ZSS2</t>
  </si>
  <si>
    <t>FAB-381.. (LA)</t>
  </si>
  <si>
    <t>FAB-437.. (HB)</t>
  </si>
  <si>
    <t>FAB-380.. (BA)</t>
  </si>
  <si>
    <t>FAB-512..</t>
  </si>
  <si>
    <t>V5.. (SA)</t>
  </si>
  <si>
    <t xml:space="preserve">CNF-03 </t>
  </si>
  <si>
    <t>FAB-381.. (BA)</t>
  </si>
  <si>
    <t>FAB-399.. (HA)</t>
  </si>
  <si>
    <t>ST-16..</t>
  </si>
  <si>
    <t>ST-18..</t>
  </si>
  <si>
    <t>FAB-415..</t>
  </si>
  <si>
    <t>FAB-416..</t>
  </si>
  <si>
    <t>IB-D10.. (SA)</t>
  </si>
  <si>
    <t>BB-120235 (SB)</t>
  </si>
  <si>
    <t>BB-950135 (SB)</t>
  </si>
  <si>
    <t>CFB-10812 (SA)</t>
  </si>
  <si>
    <t>CFB-20812 (SA)</t>
  </si>
  <si>
    <t>CP-3-2425F (SB)</t>
  </si>
  <si>
    <t>CT-TC22 (SB)</t>
  </si>
  <si>
    <t>CT-WK22 (SB)</t>
  </si>
  <si>
    <t>CT-WK44 (SA)</t>
  </si>
  <si>
    <t>FAB-13B+JMT-118</t>
  </si>
  <si>
    <t>FAB-210 (SA)</t>
  </si>
  <si>
    <t>FAB-211 (SA)</t>
  </si>
  <si>
    <t>FP-64 (SB)</t>
  </si>
  <si>
    <t>FP-71 (SC)</t>
  </si>
  <si>
    <t>FPB-05 (HA)</t>
  </si>
  <si>
    <t>FPB-06 (HA)</t>
  </si>
  <si>
    <t>FPB-10 (SD)</t>
  </si>
  <si>
    <t>FPB-13 (SB)</t>
  </si>
  <si>
    <t>GEN-PC01 (SA)</t>
  </si>
  <si>
    <t>GEN-PC03 (SA)</t>
  </si>
  <si>
    <t>JMT-138 (HA)</t>
  </si>
  <si>
    <t>PR-14 (2) (SA)</t>
  </si>
  <si>
    <t>PR-14 (3) (SA)</t>
  </si>
  <si>
    <t>PR-14 (4) (SA)</t>
  </si>
  <si>
    <t>PR-14 (SB)</t>
  </si>
  <si>
    <t>S9J (SA)</t>
  </si>
  <si>
    <t>TO-01 + TO-02 + TO-03 + TO-04 + TO-06</t>
  </si>
  <si>
    <t>TO-01+TO-02+TO-03+TO-04+TO-06</t>
  </si>
  <si>
    <t>TO-04 (SB)</t>
  </si>
  <si>
    <t>V2-1212 (12)</t>
  </si>
  <si>
    <t>V2-1212(12)</t>
  </si>
  <si>
    <t>V2-1212 (24)</t>
  </si>
  <si>
    <t>V2-1212(24)</t>
  </si>
  <si>
    <t>V2-1212 (4)</t>
  </si>
  <si>
    <t>V2-1212(4)</t>
  </si>
  <si>
    <t>V4-1212 (12)</t>
  </si>
  <si>
    <t>V4-1212(12)</t>
  </si>
  <si>
    <t>V4-1212 (24)</t>
  </si>
  <si>
    <t>V4-1212(24)</t>
  </si>
  <si>
    <t>V4-1212 (4)</t>
  </si>
  <si>
    <t>V4-1212(4)</t>
  </si>
  <si>
    <t>V4-1212 (6)</t>
  </si>
  <si>
    <t>V4-1212(6)</t>
  </si>
  <si>
    <t>WR-A224 (SB)</t>
  </si>
  <si>
    <t>WR-A236 (SB)</t>
  </si>
  <si>
    <t>WR-A242 (SB)</t>
  </si>
  <si>
    <t>WR-A260 (SB)</t>
  </si>
  <si>
    <t>Z4 (SC)</t>
  </si>
  <si>
    <t>Amazon.Found.B07H1HSXD3</t>
  </si>
  <si>
    <t>B5 (SC)</t>
  </si>
  <si>
    <t>BB-140226 (SB)</t>
  </si>
  <si>
    <t>BB-950185 (SB)</t>
  </si>
  <si>
    <t>CT-AM125 (SA)</t>
  </si>
  <si>
    <t>CT-AS10 (SB)</t>
  </si>
  <si>
    <t>CT-TC44 (SC)</t>
  </si>
  <si>
    <t>CT-WK22 (SC)</t>
  </si>
  <si>
    <t>CT-WK44 (SB)</t>
  </si>
  <si>
    <t>FP-73 (SB)</t>
  </si>
  <si>
    <t>GEN-PC08 (SA)</t>
  </si>
  <si>
    <t>GEN-PC18</t>
  </si>
  <si>
    <t>IB-A16 (SB)</t>
  </si>
  <si>
    <t>JMT-10 (SA)</t>
  </si>
  <si>
    <t>JMT-100 (SA)</t>
  </si>
  <si>
    <t>JMT-114 (SA)</t>
  </si>
  <si>
    <t>JMT-118 (SB)</t>
  </si>
  <si>
    <t>JMT-125 (SA)</t>
  </si>
  <si>
    <t>JMT-126 (SA)</t>
  </si>
  <si>
    <t>JMT-127 (SA)</t>
  </si>
  <si>
    <t>JMT-39 (SA)</t>
  </si>
  <si>
    <t>38 INCH FAB-218-446 FBA</t>
  </si>
  <si>
    <t>B10-Z4-FBA</t>
  </si>
  <si>
    <t>B10-Z4</t>
  </si>
  <si>
    <t>B11X-B6X-B7</t>
  </si>
  <si>
    <t>BB-1100</t>
  </si>
  <si>
    <t>BS10 (SA)-BS9 (SB)</t>
  </si>
  <si>
    <t>BS10-BS9</t>
  </si>
  <si>
    <t>BS10-B10J-B10X-B11-REG</t>
  </si>
  <si>
    <t>CFB-050812-10812-20812-M</t>
  </si>
  <si>
    <t>CFB-11648 (2)-12448 (2)-12460 (2)</t>
  </si>
  <si>
    <t>CFB-11648(2)-12448(2)-12460(2)</t>
  </si>
  <si>
    <t>CP-31</t>
  </si>
  <si>
    <t>CT-TCWK-2244</t>
  </si>
  <si>
    <t>EPX12</t>
  </si>
  <si>
    <t>FAB-218-446 - VERSION 2</t>
  </si>
  <si>
    <t>FAB-272 + 447</t>
  </si>
  <si>
    <t>FAB-272+FAB-447</t>
  </si>
  <si>
    <t>FAB-273 + 450</t>
  </si>
  <si>
    <t>FAB-273+FAB-450</t>
  </si>
  <si>
    <t>FAB-274-448</t>
  </si>
  <si>
    <t>FAB-48 (SA) - FAB-49..</t>
  </si>
  <si>
    <t>FP-1P-25P</t>
  </si>
  <si>
    <t>FP-6115</t>
  </si>
  <si>
    <t>FP-671</t>
  </si>
  <si>
    <t>FPB-01-03 -07</t>
  </si>
  <si>
    <t>FPB-01-03-07</t>
  </si>
  <si>
    <t>FPB-05-06-10</t>
  </si>
  <si>
    <t>FPB-11-12-13-14</t>
  </si>
  <si>
    <t>IB-C12-IB-C12 (2)</t>
  </si>
  <si>
    <t>IB-C12-IB-C12(2)</t>
  </si>
  <si>
    <t>IB-E08-F08-FBA</t>
  </si>
  <si>
    <t>IC-1-6</t>
  </si>
  <si>
    <t>JMT-02 - JMT- 03</t>
  </si>
  <si>
    <t>JMT-02-JMT-03</t>
  </si>
  <si>
    <t>PF-31 - PF-50</t>
  </si>
  <si>
    <t>PF-31-PF-50</t>
  </si>
  <si>
    <t>PF-S1 - PF-S1+PF-S2</t>
  </si>
  <si>
    <t>PF-S1-PF-S1+PF-S2</t>
  </si>
  <si>
    <t>PFI-06 - PF-21 - PF-21I</t>
  </si>
  <si>
    <t>PFI-06-PF-21-PF-21I</t>
  </si>
  <si>
    <t>PKG-09-11-13</t>
  </si>
  <si>
    <t>PS-100</t>
  </si>
  <si>
    <t>RCB-03-RCB-09-FBA</t>
  </si>
  <si>
    <t>RS-0421-0422-1041-0441-0442</t>
  </si>
  <si>
    <t>V2-1212-461224</t>
  </si>
  <si>
    <t>V2-V2-1224-V2-1824-FBA</t>
  </si>
  <si>
    <t>V2-V2-1224-V2-1824-Merchant</t>
  </si>
  <si>
    <t>V2E-V2F-FBA</t>
  </si>
  <si>
    <t>V2E-V2F-MERCHANT</t>
  </si>
  <si>
    <t>V4-1224-1524-1824-2020</t>
  </si>
  <si>
    <t>V4-1824-1524-1224-V2-1824-1224-BK</t>
  </si>
  <si>
    <t>V4E-V4F-FBA</t>
  </si>
  <si>
    <t>V4E-V4F-New Merchant</t>
  </si>
  <si>
    <t>V4E-V4F-NewMerchant</t>
  </si>
  <si>
    <t>V5-V6-V7-V8-M</t>
  </si>
  <si>
    <t>VB-1007-1005-M</t>
  </si>
  <si>
    <t>WR-A113060</t>
  </si>
  <si>
    <t>Z4FM-Z4F2M</t>
  </si>
  <si>
    <t>FAB-214 (HB)</t>
  </si>
  <si>
    <t>FAB-215 (HA)</t>
  </si>
  <si>
    <t>FAB-216 (HC)</t>
  </si>
  <si>
    <t>FAB-216 (HD)</t>
  </si>
  <si>
    <t>FAB-227 (HB)</t>
  </si>
  <si>
    <t>FAB-228 (HB)</t>
  </si>
  <si>
    <t>FAB-289 (HB)</t>
  </si>
  <si>
    <t>FAB-295 (HD)</t>
  </si>
  <si>
    <t>FAB-361 (HD)</t>
  </si>
  <si>
    <t>FAB-361 (HE)</t>
  </si>
  <si>
    <t>FAB-411 (HB)</t>
  </si>
  <si>
    <t>FAB-413 (HA)</t>
  </si>
  <si>
    <t>FAB-422 (HC)</t>
  </si>
  <si>
    <t>FAB-422 (HD)</t>
  </si>
  <si>
    <t>FAB-428 (HB)</t>
  </si>
  <si>
    <t>FAB-428 (HC)</t>
  </si>
  <si>
    <t>FAB-429 (HB)</t>
  </si>
  <si>
    <t>FAB-44 (HC)</t>
  </si>
  <si>
    <t>FAB-440 (HC)</t>
  </si>
  <si>
    <t>FAB-441 (HA)</t>
  </si>
  <si>
    <t>FAB-470 (HA)</t>
  </si>
  <si>
    <t>FAB-470 (HB)</t>
  </si>
  <si>
    <t>FAB-471 (HA)</t>
  </si>
  <si>
    <t>FAB-471 (HB)</t>
  </si>
  <si>
    <t>FAB-472 (HA)</t>
  </si>
  <si>
    <t>FAB-472 (HB)</t>
  </si>
  <si>
    <t>FAB-544 (HA)</t>
  </si>
  <si>
    <t>FAB-360 (HD)</t>
  </si>
  <si>
    <t>FAB-362 (HC)</t>
  </si>
  <si>
    <t>FAB-51 (S1)</t>
  </si>
  <si>
    <t>FAB-51 (S2)</t>
  </si>
  <si>
    <t>FAB-51 (S3)</t>
  </si>
  <si>
    <t>FAB-51 (S4)</t>
  </si>
  <si>
    <t>FAB-07 (HA) - FAB-15</t>
  </si>
  <si>
    <t>FAB-07(HA)-FAB-15</t>
  </si>
  <si>
    <t>FAB-286 -414 -415 -417 -416</t>
  </si>
  <si>
    <t>FAB-286-414-415-417-416</t>
  </si>
  <si>
    <t>FAB-353-468-22 inch lid</t>
  </si>
  <si>
    <t>FAB-353-468-22inchlid</t>
  </si>
  <si>
    <t>FAB-363-364-365-366</t>
  </si>
  <si>
    <t>FAB-446 &amp; 473 LID VARIATION</t>
  </si>
  <si>
    <t>FAB-446&amp;473LIDVARIATION</t>
  </si>
  <si>
    <t>FAB-446-447-450 LIDS</t>
  </si>
  <si>
    <t>FAB-446-447-450LIDS</t>
  </si>
  <si>
    <t>MULTI SIZE CANT HOOKS NEW</t>
  </si>
  <si>
    <t>MULTISIZECANTHOOKSNEW</t>
  </si>
  <si>
    <t>MULTI SIZE PEAVEY HOOKS</t>
  </si>
  <si>
    <t>MULTISIZEPEAVEYHOOKS</t>
  </si>
  <si>
    <t>FAB-377 + FAB-378 (LB)</t>
  </si>
  <si>
    <t>FAB-378 (LD)</t>
  </si>
  <si>
    <t>FAB-379 + FAB-380 (LB)</t>
  </si>
  <si>
    <t>FAB-380 (LC)</t>
  </si>
  <si>
    <t>FAB-407 (LE)</t>
  </si>
  <si>
    <t>ST-02 (LC)</t>
  </si>
  <si>
    <t>ST-03 (LE)</t>
  </si>
  <si>
    <t>ST-09 (LA)</t>
  </si>
  <si>
    <t>ST-09+53 (LA)</t>
  </si>
  <si>
    <t>ST-10 (LA)</t>
  </si>
  <si>
    <t>ST-10+54 (LA)</t>
  </si>
  <si>
    <t>ST-11 (LA)</t>
  </si>
  <si>
    <t>ST-11+55 (LA)</t>
  </si>
  <si>
    <t>ST-11+58 (LA)</t>
  </si>
  <si>
    <t>ST-13 (LB)</t>
  </si>
  <si>
    <t>ST-15 (LA)</t>
  </si>
  <si>
    <t>FAB-377 + FAB-378 + FAB-381 (LB)</t>
  </si>
  <si>
    <t>FAB-377 + FAB-381 (LB)</t>
  </si>
  <si>
    <t>FAB-379 + FAB-380 + FAB-381 (LB)</t>
  </si>
  <si>
    <t>FAB-379 + FAB-381 (LB)</t>
  </si>
  <si>
    <t>FAB-381 (LA_</t>
  </si>
  <si>
    <t>ST-09+52+52 (LA)</t>
  </si>
  <si>
    <t>ST-09+52+52+53 (LA)</t>
  </si>
  <si>
    <t>ST-09+52+52+53+56 (LA)</t>
  </si>
  <si>
    <t>ST-09+52+52+56 (LA)</t>
  </si>
  <si>
    <t>ST-09+52+53 (LA)</t>
  </si>
  <si>
    <t>ST-09+52+53+56 (LA)</t>
  </si>
  <si>
    <t>ST-10+52+52 (LA)</t>
  </si>
  <si>
    <t>ST-10+52+52+54 (LA)</t>
  </si>
  <si>
    <t>ST-09+STA-52+STA-52+STA-54</t>
  </si>
  <si>
    <t>ST-11+52 (LA)</t>
  </si>
  <si>
    <t>ST-11+52+52 (LA)</t>
  </si>
  <si>
    <t>ST-11+52+52+55 (LA)</t>
  </si>
  <si>
    <t>ST-11+52+52+55+58 (LA)</t>
  </si>
  <si>
    <t>ST-11+52+52+58 (LA)</t>
  </si>
  <si>
    <t>ST-11+52+55 (LA)</t>
  </si>
  <si>
    <t>ST-11+52+55+58 (LA)</t>
  </si>
  <si>
    <t>ST-11+52+58 (LA)</t>
  </si>
  <si>
    <t>FAB-377 - FAB-378</t>
  </si>
  <si>
    <t>FAB-379 - FAB-380</t>
  </si>
  <si>
    <t>FAB-476-477-478</t>
  </si>
  <si>
    <t>FAB-476+FAB-477+FAB-478</t>
  </si>
  <si>
    <t>ST-02 - ST-03 - ST-04 - ST-15</t>
  </si>
  <si>
    <t>ST-02-ST-03-ST-04-ST-15</t>
  </si>
  <si>
    <t>ST-09 [ALL Combos]</t>
  </si>
  <si>
    <t>ST-09[ALLCombos]</t>
  </si>
  <si>
    <t>ST-10 [ALL Combos]</t>
  </si>
  <si>
    <t>ST-10[ALLCombos]</t>
  </si>
  <si>
    <t>ST-11 [ALL Combos]</t>
  </si>
  <si>
    <t>ST-11[ALLCombos]</t>
  </si>
  <si>
    <t>FAB-326 (FA)</t>
  </si>
  <si>
    <t>ST-02 (FB)</t>
  </si>
  <si>
    <t>ST-03 (FE)</t>
  </si>
  <si>
    <t>ST-04 (FC)</t>
  </si>
  <si>
    <t>ST-07 (FA)</t>
  </si>
  <si>
    <t>ST-13 (FC)</t>
  </si>
  <si>
    <t>ST-14 (FC)</t>
  </si>
  <si>
    <t>FAB-407 (FA)</t>
  </si>
  <si>
    <t>FAB-407 (FC)</t>
  </si>
  <si>
    <t>ST-04 + ST-08G (FA)</t>
  </si>
  <si>
    <t>ST-04 + ST-08G.. (FA)</t>
  </si>
  <si>
    <t>ST-05 (FA)</t>
  </si>
  <si>
    <t>MFI-10 (FA) - MFI-14CO (FA)</t>
  </si>
  <si>
    <t>MFI-14CO -MFI-12CO</t>
  </si>
  <si>
    <t>MFI-14CO-MFI-12CO</t>
  </si>
  <si>
    <t>B12-B12F-B12H-B12J-B12X</t>
  </si>
  <si>
    <t>CFB-050812-10812-20812</t>
  </si>
  <si>
    <t>CP-123</t>
  </si>
  <si>
    <t>FAB-240-242-243</t>
  </si>
  <si>
    <t>A24-0877-FAB-333</t>
  </si>
  <si>
    <t>A27-0985-FAB-349</t>
  </si>
  <si>
    <t>A27-1013-FAB-341</t>
  </si>
  <si>
    <t>B1-4015-FAB-547</t>
  </si>
  <si>
    <t>B1-4025-FAB-488</t>
  </si>
  <si>
    <t>B3-4137-CFB-20812</t>
  </si>
  <si>
    <t>C10-6201-ST-16</t>
  </si>
  <si>
    <t>C7-6117-ST-18</t>
  </si>
  <si>
    <t>D14-8055-FAB-544</t>
  </si>
  <si>
    <t>D15-8058-FAB-362</t>
  </si>
  <si>
    <t>D15-8060-FAB-540</t>
  </si>
  <si>
    <t>D16-8061-FAB-506</t>
  </si>
  <si>
    <t>D16-8062-FAB-545</t>
  </si>
  <si>
    <t>D16-8063-FAB-567</t>
  </si>
  <si>
    <t>D16-8064-FAB-564</t>
  </si>
  <si>
    <t>D17-8065-FAB-494</t>
  </si>
  <si>
    <t>D17-8067-FAB-495</t>
  </si>
  <si>
    <t>A24-0844-IC-2418</t>
  </si>
  <si>
    <t>A27-1026-JMT-110</t>
  </si>
  <si>
    <t>A27-0990-FAB-489</t>
  </si>
  <si>
    <t>C1-6019-FAB-501</t>
  </si>
  <si>
    <t>C1-6021-FAB-542</t>
  </si>
  <si>
    <t>FAB-506 (HA)</t>
  </si>
  <si>
    <t>FAB-446 (HD)</t>
  </si>
  <si>
    <t>FAB-488 (HA)</t>
  </si>
  <si>
    <t>ALL WR - Auto</t>
  </si>
  <si>
    <t>WR-A212+WR-A230+WR-A218+WR-A260</t>
  </si>
  <si>
    <t>FAB-435.. (HA)</t>
  </si>
  <si>
    <t>amzn.gr.FAB-151..-7qan86VcTz6eVjmrhKl-GD</t>
  </si>
  <si>
    <t>amzn.gr.JMT-103..-WiZwkA9DM5_1GsVRn4J-LN</t>
  </si>
  <si>
    <t>amzn.gr.PFI-10..-Jh9yrHh28I3hgIC-oRtn-VG</t>
  </si>
  <si>
    <t>amzn.gr.RCB-13_(SB)-6p5ZF5vhP_CKvDSID-VG</t>
  </si>
  <si>
    <t>amzn.gr.Z4F2_(049..)-uYQmu4bRfoG9mqyW-VG</t>
  </si>
  <si>
    <t>B099NJR31V</t>
  </si>
  <si>
    <t>B09B6X3G7Q</t>
  </si>
  <si>
    <t>B0BNFX5WHN</t>
  </si>
  <si>
    <t>B0BY23C4LB</t>
  </si>
  <si>
    <t>B07H1HSXD3</t>
  </si>
  <si>
    <t>B08F47MQGR</t>
  </si>
  <si>
    <t>B08FCLZTZL</t>
  </si>
  <si>
    <t>B08NZD9VTN</t>
  </si>
  <si>
    <t>B08Q7YFCFX</t>
  </si>
  <si>
    <t>B07LC6YZKJ</t>
  </si>
  <si>
    <t>B0C4KW8JMC</t>
  </si>
  <si>
    <t>FAB-495 (HA)</t>
  </si>
  <si>
    <t>HB-1P (SB)</t>
  </si>
  <si>
    <t>HB-1P</t>
  </si>
  <si>
    <t>UPF-S1 + UPF-S2</t>
  </si>
  <si>
    <t>UPF-S1+UPF-S2</t>
  </si>
  <si>
    <t>FAB-563 (HA)</t>
  </si>
  <si>
    <t>amzn.gr.JMT-103_(455..)-JmMoP4JbRYU1w-VG</t>
  </si>
  <si>
    <t>amzn.gr.JMT-103_(455..)-_BOOZfJ1QYJva-LN</t>
  </si>
  <si>
    <t>amzn.gr.FP-71_(SA)-YkhU3fVq6t6BK99Feb-LN</t>
  </si>
  <si>
    <t>amzn.gr.JMT-103_(455..)-pXg2mEkQzQFIm-LN</t>
  </si>
  <si>
    <t>amzn.gr.JMT-103_(SE)-WiZwkA9DM5_1GsVR-LN</t>
  </si>
  <si>
    <t>amzn.gr.PO-AC8..-fD4aOX0XXTHjpGT1gLOa-VG</t>
  </si>
  <si>
    <t>TO-CO2 (827..)</t>
  </si>
  <si>
    <t>amzn.gr.RCB-09_(SB)-_7ZGZ7dWqyKJROcuu-LN</t>
  </si>
  <si>
    <t>amzn.gr.JMT-103_(455..)-kPKJwCWndvLoz-LN</t>
  </si>
  <si>
    <t>amzn.gr.JMT-103_(SE)-krMbYPfiYNbWOoU8-VG</t>
  </si>
  <si>
    <t>amzn.gr.JMT-134_(SA)-CPHZTfKeBHCSovYb-VG</t>
  </si>
  <si>
    <t>amzn.gr.V4-1212_(SA)-D7qINq7YLGuA62OS-VG</t>
  </si>
  <si>
    <t>amzn.gr.Z4F_(048..)-6w9N4QuNTWaa6zyFy-LN</t>
  </si>
  <si>
    <t>amzn.gr.FAB-173..-LqetaSCQ-Wn1vvSB1wr-VG</t>
  </si>
  <si>
    <t>FAB-365..</t>
  </si>
  <si>
    <t>FAB-544..</t>
  </si>
  <si>
    <t>FAB-06 (206..)</t>
  </si>
  <si>
    <t>A24-0845-PFB-15</t>
  </si>
  <si>
    <t>A24-0848-PF-D02</t>
  </si>
  <si>
    <t>A24-0883-JMT-167</t>
  </si>
  <si>
    <t>A27-1001-FAB-335</t>
  </si>
  <si>
    <t>A27-0994-ST-07</t>
  </si>
  <si>
    <t>C3-6055-FAB-41</t>
  </si>
  <si>
    <t>FAB-545 (HA)</t>
  </si>
  <si>
    <t>FAB-558..</t>
  </si>
  <si>
    <t>FAB-559..</t>
  </si>
  <si>
    <t>FAB-560..</t>
  </si>
  <si>
    <t>FAB-561..</t>
  </si>
  <si>
    <t>amzn.gr.FP-71_(SA)-jZ11H2oNWmbBuhBwb_-LN</t>
  </si>
  <si>
    <t>amzn.gr.JMT-103_(455..)-sGueiVKqIjA1x-LN</t>
  </si>
  <si>
    <t>amzn.gr.PO-AC7..-9eZG3RMrthYTNZr_r6-4-VG</t>
  </si>
  <si>
    <t>amzn.gr.PO-AC8..-AzNsOk-j2IhclUvMHe3f-LN</t>
  </si>
  <si>
    <t>FAB-488..</t>
  </si>
  <si>
    <t>FAB-529..</t>
  </si>
  <si>
    <t>amzn.gr.EH-03_(915..)-V2FItulW0zRwVbB-LN</t>
  </si>
  <si>
    <t>amzn.gr.v2.mcssbVLjdLm96vj0GbcKp5xgY_A</t>
  </si>
  <si>
    <t>FAB-488.. (HA)</t>
  </si>
  <si>
    <t>FAB-536..</t>
  </si>
  <si>
    <t>FAB-537..</t>
  </si>
  <si>
    <t>FAB-538..</t>
  </si>
  <si>
    <t>FAB-539..</t>
  </si>
  <si>
    <t>FAB-546..</t>
  </si>
  <si>
    <t>FAB-547..</t>
  </si>
  <si>
    <t>FAB-552..</t>
  </si>
  <si>
    <t>FAB-563..</t>
  </si>
  <si>
    <t>FAB-564..</t>
  </si>
  <si>
    <t>FAB-566..</t>
  </si>
  <si>
    <t>FAB-567..</t>
  </si>
  <si>
    <t>FAB-568..</t>
  </si>
  <si>
    <t>FAB-569..</t>
  </si>
  <si>
    <t>YH-6YCL-VGTG</t>
  </si>
  <si>
    <t>V4-1824 (1)</t>
  </si>
  <si>
    <t>FAB-429-546</t>
  </si>
  <si>
    <t>FAB-429+FAB-546</t>
  </si>
  <si>
    <t>FAB-494..</t>
  </si>
  <si>
    <t>FAB-495..</t>
  </si>
  <si>
    <t>FAB-541..</t>
  </si>
  <si>
    <t>FAB-553..</t>
  </si>
  <si>
    <t>FAB-554..</t>
  </si>
  <si>
    <t>FAB-556..</t>
  </si>
  <si>
    <t>FAB-216.. (SA)</t>
  </si>
  <si>
    <t>FAB-552 (HA)</t>
  </si>
  <si>
    <t>amzn.gr.FAB-149..-pTtx3kCZO7T-96q2R7T-LN</t>
  </si>
  <si>
    <t>amzn.gr.PFI-20_(643..)-PWLuib_X6c0hxj-LN</t>
  </si>
  <si>
    <t>A25-0919-FAB-07</t>
  </si>
  <si>
    <t>C9-6156-FAB-569</t>
  </si>
  <si>
    <t>A29-1090-FAB-512</t>
  </si>
  <si>
    <t>A29-1091-FAB-552</t>
  </si>
  <si>
    <t>A29-1092-FAB-568</t>
  </si>
  <si>
    <t>A29-1093-FAB-565</t>
  </si>
  <si>
    <t>A29-1094-FAB-566</t>
  </si>
  <si>
    <t>L3-8ST9-VI3C</t>
  </si>
  <si>
    <t>Unknown</t>
  </si>
  <si>
    <t>amzn.gr.B9J..-0THd0XoOl0EpLOnWYqS1_4Y-LN</t>
  </si>
  <si>
    <t>amzn.gr.B9J..-NIrn_NKBe0MaPAVYc3ZhwVz-LN</t>
  </si>
  <si>
    <t>amzn.gr.FAB-151..-RTI1mrzLzyMSo3XmvOV-PO</t>
  </si>
  <si>
    <t>amzn.gr.FAB-173..-Qh1fblsZWgyLcSYjOCY-PO</t>
  </si>
  <si>
    <t>amzn.gr.JMT-103_(455..)-SN0I2VAvUTDlb-PO</t>
  </si>
  <si>
    <t>amzn.gr.JMT-103_(SE)-BIieiM_LCxEJ5k_E-PO</t>
  </si>
  <si>
    <t>FAB-540 (HA)</t>
  </si>
  <si>
    <t>FAB-564 (HA)</t>
  </si>
  <si>
    <t>A29-1095-FAB-556</t>
  </si>
  <si>
    <t>A29-1096-FAB-553</t>
  </si>
  <si>
    <t>A29-1097-FAB-563</t>
  </si>
  <si>
    <t>A29-1098-FAB-529</t>
  </si>
  <si>
    <t>A29-1099-FAB-286</t>
  </si>
  <si>
    <t>A29-1100-FAB-554</t>
  </si>
  <si>
    <t>A29-1101-FAB-541</t>
  </si>
  <si>
    <t>amzn.gr.CFB-21524_(SA)-b2VlRsl0icDbH6-LN</t>
  </si>
  <si>
    <t>amzn.gr.CFB-21524_(SA)-bZWwwVeYrSlPrk-LN</t>
  </si>
  <si>
    <t>FAB-521..</t>
  </si>
  <si>
    <t>FAB-534..</t>
  </si>
  <si>
    <t>FAB-565 (HA)</t>
  </si>
  <si>
    <t>FAB-529 (HA)</t>
  </si>
  <si>
    <t>ST-16 (LA)</t>
  </si>
  <si>
    <t>amzn.gr.JMT-103_(SE)-euLMzfwdxCkwn5Ll-AC</t>
  </si>
  <si>
    <t>FAB-565..</t>
  </si>
  <si>
    <t>FAB-565...</t>
  </si>
  <si>
    <t xml:space="preserve">PF-S1 </t>
  </si>
  <si>
    <t xml:space="preserve"> PF-S2 </t>
  </si>
  <si>
    <t xml:space="preserve"> PF-S2..</t>
  </si>
  <si>
    <t>FAB-439..</t>
  </si>
  <si>
    <t>FAB-436.. (HA)</t>
  </si>
  <si>
    <t>FAB-404.. (10)</t>
  </si>
  <si>
    <t>FAB-402..</t>
  </si>
  <si>
    <t>FAB-404..</t>
  </si>
  <si>
    <t>amzn.gr.PO-AC6.._(SA)-FGU8HEXL2DAjHQX-LN</t>
  </si>
  <si>
    <t>amzn.gr.JMT-103_(SC)-kPKJwCWndvLozZBm-LN</t>
  </si>
  <si>
    <t>amzn.gr.JMT-103_(SA)-sGueiVKqIjA1xVcA-LN</t>
  </si>
  <si>
    <t>FAB-546 (HA)</t>
  </si>
  <si>
    <t>FAB-536 (HB)</t>
  </si>
  <si>
    <t>FAB-489 (2)</t>
  </si>
  <si>
    <t>FAB-489(2)</t>
  </si>
  <si>
    <t>C10-6194-GEN-CPB1011</t>
  </si>
  <si>
    <t>C1-6014-GEN-CPB1013</t>
  </si>
  <si>
    <t>A11-0368-GEN-CPB1012</t>
  </si>
  <si>
    <t>B5-4252-GEN-CPB1014</t>
  </si>
  <si>
    <t>FAB-537 (HA)</t>
  </si>
  <si>
    <t>FAB-565 (HB)</t>
  </si>
  <si>
    <t>GEN-CPB1009..</t>
  </si>
  <si>
    <t>GEN-CPB1010..</t>
  </si>
  <si>
    <t>GEN-CPB1011..</t>
  </si>
  <si>
    <t>GEN-CPB1012..</t>
  </si>
  <si>
    <t>GEN-CPB1013..</t>
  </si>
  <si>
    <t>GEN-CPB1014..</t>
  </si>
  <si>
    <t>FAB-522 (HB)</t>
  </si>
  <si>
    <t>FAB-522..</t>
  </si>
  <si>
    <t>FAB-535..</t>
  </si>
  <si>
    <t>PF-S1 + PF-S2 + PF-S2.. (SA)</t>
  </si>
  <si>
    <t>amzn.gr.PO-AC8..-Ln455ALeeRwFKQZNpoVy-VG</t>
  </si>
  <si>
    <t>amzn.gr.PO-AC8..-k9OEfBzFyvs8RbAyqCik-VG</t>
  </si>
  <si>
    <t>amzn.gr.JMT-118_(471..)-8IGkdbk6JnGcC-LN</t>
  </si>
  <si>
    <t>FAB-533..</t>
  </si>
  <si>
    <t>HB-10P (SD)</t>
  </si>
  <si>
    <t>FAB-509 (HA)</t>
  </si>
  <si>
    <t>FAB-567 (HA)</t>
  </si>
  <si>
    <t>amzn.gr.FAB-173..-exbWz_G-1MoNqng2670-VG</t>
  </si>
  <si>
    <t>amzn.gr.FAB-44..-PR0JKu_mUQZZ8F2i5V0a-LN</t>
  </si>
  <si>
    <t>FAB-557..</t>
  </si>
  <si>
    <t>FAB-562..</t>
  </si>
  <si>
    <t>FAB-553 (HA)</t>
  </si>
  <si>
    <t>S21K (SA)</t>
  </si>
  <si>
    <t>amzn.gr.FAB-432___FAB-436.._(H-QoxiTp-VG</t>
  </si>
  <si>
    <t>HB-19P (SC)</t>
  </si>
  <si>
    <t>FAB-556 (HB)</t>
  </si>
  <si>
    <t>FAB-543 (HA)</t>
  </si>
  <si>
    <t>C1-6009-FAB-559</t>
  </si>
  <si>
    <t>C7-6107-FAB-558</t>
  </si>
  <si>
    <t>HB-18P (SC)</t>
  </si>
  <si>
    <t>HB-31P (SA)</t>
  </si>
  <si>
    <t>A04-0123-JMT-160</t>
  </si>
  <si>
    <t>A23-0796-FAB-309</t>
  </si>
  <si>
    <t>A23-0797-PFB-07</t>
  </si>
  <si>
    <t>A23-0799-FAB-413</t>
  </si>
  <si>
    <t>A23-0799-PFB-13</t>
  </si>
  <si>
    <t>A23-0800-CP-2-2415F</t>
  </si>
  <si>
    <t>A23-0800-FP-58</t>
  </si>
  <si>
    <t>A23-0801-FAB-310</t>
  </si>
  <si>
    <t>A24-0844-PFB-09</t>
  </si>
  <si>
    <t>A24-0845-FAB-192</t>
  </si>
  <si>
    <t>A24-0847-PFB-05</t>
  </si>
  <si>
    <t>A24-0850-PFB-06</t>
  </si>
  <si>
    <t>A24-0859-FAB-68</t>
  </si>
  <si>
    <t>A24-0885-SS-71</t>
  </si>
  <si>
    <t>A25-0900-PKG-03</t>
  </si>
  <si>
    <t>A25-0923-PFB-04</t>
  </si>
  <si>
    <t>A25-0925-FP-72</t>
  </si>
  <si>
    <t>A25-0928-HT-19</t>
  </si>
  <si>
    <t>A25-0929-FP-24</t>
  </si>
  <si>
    <t>A25-0929-FP-25</t>
  </si>
  <si>
    <t>A25-0929-FP-26</t>
  </si>
  <si>
    <t>A25-0935-FP-70</t>
  </si>
  <si>
    <t>A26-0944-PKG-04</t>
  </si>
  <si>
    <t>A26-0949-JMT-93</t>
  </si>
  <si>
    <t>A26-0959-PKG-05</t>
  </si>
  <si>
    <t>A26-0963-WR-A206(3)</t>
  </si>
  <si>
    <t>A26-0975-FAB-419</t>
  </si>
  <si>
    <t>A26-0980-PKG-08</t>
  </si>
  <si>
    <t>A27-0985-PKG-07</t>
  </si>
  <si>
    <t>A27-1020-SS-21</t>
  </si>
  <si>
    <t>A27-1025-FAB-392</t>
  </si>
  <si>
    <t>A27-1031-PFB-02</t>
  </si>
  <si>
    <t>B1-4013-FAB-547</t>
  </si>
  <si>
    <t>B4-4180-FAB-532</t>
  </si>
  <si>
    <t>B4-4216-FAB-437</t>
  </si>
  <si>
    <t>C10-6196-FAB-539</t>
  </si>
  <si>
    <t>C7-6106-FAB-536</t>
  </si>
  <si>
    <t>C8-6121-FAB-537</t>
  </si>
  <si>
    <t>C9-6162-FAB-538</t>
  </si>
  <si>
    <t>LPFI-21B</t>
  </si>
  <si>
    <t>RCB-05</t>
  </si>
  <si>
    <t>REP-05</t>
  </si>
  <si>
    <t>REP-06</t>
  </si>
  <si>
    <t>REP-07</t>
  </si>
  <si>
    <t>REP-08</t>
  </si>
  <si>
    <t>REP-12</t>
  </si>
  <si>
    <t>REP-13</t>
  </si>
  <si>
    <t>REP-14</t>
  </si>
  <si>
    <t>REP-15</t>
  </si>
  <si>
    <t>REP-17</t>
  </si>
  <si>
    <t>REP-18</t>
  </si>
  <si>
    <t>UFAB-109</t>
  </si>
  <si>
    <t>UFAB-152</t>
  </si>
  <si>
    <t>UFAB-174</t>
  </si>
  <si>
    <t>UFAB-196</t>
  </si>
  <si>
    <t>UFAB-197</t>
  </si>
  <si>
    <t>UFAB-233</t>
  </si>
  <si>
    <t>UFAB-246</t>
  </si>
  <si>
    <t>UFAB-253</t>
  </si>
  <si>
    <t>UFAB-283</t>
  </si>
  <si>
    <t>UFAB-286</t>
  </si>
  <si>
    <t>UFAB-327</t>
  </si>
  <si>
    <t>UFAB-344</t>
  </si>
  <si>
    <t>UFAB-351</t>
  </si>
  <si>
    <t>UFAB-352</t>
  </si>
  <si>
    <t>UFAB-364</t>
  </si>
  <si>
    <t>UFAB-367</t>
  </si>
  <si>
    <t>UFAB-374</t>
  </si>
  <si>
    <t>UFAB-382</t>
  </si>
  <si>
    <t>UFAB-384</t>
  </si>
  <si>
    <t>UFAB-389</t>
  </si>
  <si>
    <t>UFAB-391</t>
  </si>
  <si>
    <t>UFAB-392</t>
  </si>
  <si>
    <t>UFAB-393</t>
  </si>
  <si>
    <t>UFAB-394</t>
  </si>
  <si>
    <t>UFAB-399</t>
  </si>
  <si>
    <t>UFAB-400</t>
  </si>
  <si>
    <t>UFAB-401</t>
  </si>
  <si>
    <t>UFAB-406</t>
  </si>
  <si>
    <t>UFAB-407</t>
  </si>
  <si>
    <t>UFAB-408</t>
  </si>
  <si>
    <t>UFAB-412</t>
  </si>
  <si>
    <t>UFAB-415</t>
  </si>
  <si>
    <t>UFAB-421</t>
  </si>
  <si>
    <t>UFAB-422</t>
  </si>
  <si>
    <t>UFAB-427</t>
  </si>
  <si>
    <t>UFAB-429</t>
  </si>
  <si>
    <t>UFAB-432</t>
  </si>
  <si>
    <t>UFAB-433</t>
  </si>
  <si>
    <t>UFAB-434</t>
  </si>
  <si>
    <t>UFAB-435</t>
  </si>
  <si>
    <t>UFAB-436</t>
  </si>
  <si>
    <t>UFAB-437</t>
  </si>
  <si>
    <t>UFAB-438</t>
  </si>
  <si>
    <t>UFAB-447</t>
  </si>
  <si>
    <t>UFAB-448</t>
  </si>
  <si>
    <t>UFAB-449</t>
  </si>
  <si>
    <t>UFAB-450</t>
  </si>
  <si>
    <t>UFAB-465</t>
  </si>
  <si>
    <t>UFAB-474</t>
  </si>
  <si>
    <t>UFAB-475</t>
  </si>
  <si>
    <t>UFAB-93</t>
  </si>
  <si>
    <t>UFPB-04</t>
  </si>
  <si>
    <t>UFPB-10</t>
  </si>
  <si>
    <t>UFPB-13</t>
  </si>
  <si>
    <t>UGEN-CN01</t>
  </si>
  <si>
    <t>UHB-19P</t>
  </si>
  <si>
    <t>UJMT-104</t>
  </si>
  <si>
    <t>UJMT-74</t>
  </si>
  <si>
    <t>UJMT-93</t>
  </si>
  <si>
    <t>UMFI-13</t>
  </si>
  <si>
    <t>UPF-11</t>
  </si>
  <si>
    <t>UPF-30</t>
  </si>
  <si>
    <t>UPF-50</t>
  </si>
  <si>
    <t>UPFI-17</t>
  </si>
  <si>
    <t>amzn.gr.FAB-378..-Ix_u5n4XfCKg-VnIjoJ-VG</t>
  </si>
  <si>
    <t>amzn.gr.JMT-103_(SE)-RcA9pLbQZ--3Q75S-LN</t>
  </si>
  <si>
    <t>FAB-555..</t>
  </si>
  <si>
    <t>WR-A212 (2) (SA)</t>
  </si>
  <si>
    <t>FAB-541 (HA)</t>
  </si>
  <si>
    <t>FAB-494 (HA)</t>
  </si>
  <si>
    <t>FAB-547 (HA)</t>
  </si>
  <si>
    <t>FAB-568 (HA)</t>
  </si>
  <si>
    <t>FAB-539 (HA)</t>
  </si>
  <si>
    <t>FAB-538 (HA)</t>
  </si>
  <si>
    <t>ST-18 (LA)</t>
  </si>
  <si>
    <t>FAB-429 (HC)</t>
  </si>
  <si>
    <t>FAB-490 + FAB-493..</t>
  </si>
  <si>
    <t>FAB-490+FAB-493</t>
  </si>
  <si>
    <t>FAB-491 + FAB-493..</t>
  </si>
  <si>
    <t>FAB-491+FAB-493</t>
  </si>
  <si>
    <t>FAB-492 + FAB-493..</t>
  </si>
  <si>
    <t>FAB-492+FAB-493</t>
  </si>
  <si>
    <t>FAB-573..</t>
  </si>
  <si>
    <t>FAB-574..</t>
  </si>
  <si>
    <t>FAB-575..</t>
  </si>
  <si>
    <t>V4-1224 (2)</t>
  </si>
  <si>
    <t>V4-1224(2)</t>
  </si>
  <si>
    <t>S21 (SA)</t>
  </si>
  <si>
    <t>CFB-21648 (SA)</t>
  </si>
  <si>
    <t>IB-C05 (SB)</t>
  </si>
  <si>
    <t>FAB-543..</t>
  </si>
  <si>
    <t>amzn.gr.JMT-118_(471..)-dMdj2UlT5bIbY-LN</t>
  </si>
  <si>
    <t>IB-A06 (SC)</t>
  </si>
  <si>
    <t>IB-A16 (SC)</t>
  </si>
  <si>
    <t>FAB-558 (HA)</t>
  </si>
  <si>
    <t>FAB-490 + FAB-493</t>
  </si>
  <si>
    <t>amzn.gr.FPB-11..-n00Srxx6gUpBeS0WWJ1s-VG</t>
  </si>
  <si>
    <t>IB-F08 (SC)</t>
  </si>
  <si>
    <t>IB-G08 (SB)</t>
  </si>
  <si>
    <t>FAB-565…</t>
  </si>
  <si>
    <t>IB-C12 (SC)</t>
  </si>
  <si>
    <t>amzn.gr.JMT-103_(455..)-_BOOZfJ1QYJva-VG</t>
  </si>
  <si>
    <t>amzn.gr.WR-A212_(SA)-OjEzijqsXkBspb_B-VG</t>
  </si>
  <si>
    <t>FAB-560 (HA)</t>
  </si>
  <si>
    <t>FAB-492 + FAB-493</t>
  </si>
  <si>
    <t>amzn.gr.JMT-96_(SA)-RN_MXwInCGHhLqBGW-VG</t>
  </si>
  <si>
    <t>FAB-509..</t>
  </si>
  <si>
    <t>amzn.gr.FAB-360..-1unFtbV79DKMEzIm63Z-LN</t>
  </si>
  <si>
    <t>FAB-515..</t>
  </si>
  <si>
    <t>FAB-491 + FAB-493</t>
  </si>
  <si>
    <t>S9X (SB)</t>
  </si>
  <si>
    <t>FAB-522 (HC)</t>
  </si>
  <si>
    <t>C6-6083-FAB-440</t>
  </si>
  <si>
    <t>SB - FAB All Round Lid MANUAL - KW - EXACT</t>
  </si>
  <si>
    <t>FAB-446+FAB-447+FAB-448+FAB-450+FAB-555+FAB-556+FAB-557+FAB-552+FAB-553+FAB-554</t>
  </si>
  <si>
    <t>amzn.gr.CFB-12448_(SC)-wbTlK8OQKGwNRf-LN</t>
  </si>
  <si>
    <t>amzn.gr.FAB-150..-41ozBWrsPIbBGEguTC--VG</t>
  </si>
  <si>
    <t>amzn.gr.FAB-150..-iwO_NVvhOr6l28MlqRW-LN</t>
  </si>
  <si>
    <t>FAB-559 (HA)</t>
  </si>
  <si>
    <t>amzn.gr.GEN-SB03..-Lv5vfPLcQ5UBmk2cnu-LN</t>
  </si>
  <si>
    <t>PF-S1 + PF-S2 (SF)</t>
  </si>
  <si>
    <t>HB-35 (SA)</t>
  </si>
  <si>
    <t>FAB-08B (HC)</t>
  </si>
  <si>
    <t>SB - FAB - FAB-446-447-449-450 EX</t>
  </si>
  <si>
    <t>FAB-446+FAB-447+FAB-449+FAB-450</t>
  </si>
  <si>
    <t>FAB-569 (HA)</t>
  </si>
  <si>
    <t>amzn.gr.FAB-150..-7ODIhu4ISFnvJAXkiH1-VG</t>
  </si>
  <si>
    <t>amzn.gr.FAB-149_(SC)-uz-nKzbHw7Fyk0uY-VG</t>
  </si>
  <si>
    <t>amzn.gr.IB-C05_(346..)-smbCtSzK5RZLAy-VG</t>
  </si>
  <si>
    <t>FAB-149 (SC)</t>
  </si>
  <si>
    <t>FAB-427 (HB)</t>
  </si>
  <si>
    <t>FAB-557 (HA)</t>
  </si>
  <si>
    <t>FAB-436 (HA)</t>
  </si>
  <si>
    <t>amzn.gr.FAB-393_(HA)-G6Cyv5tjlV6vQ0EX-LN</t>
  </si>
  <si>
    <t>amzn.gr.ST-18_(LA)-fadtdDg-Y9af-RjOxx-VG</t>
  </si>
  <si>
    <t>FAB-393 (HA)</t>
  </si>
  <si>
    <t>MFI-12 (FB)</t>
  </si>
  <si>
    <t>GEN-SB09 (SA)</t>
  </si>
  <si>
    <t>FAB-561 (HA)</t>
  </si>
  <si>
    <t>FAB-416 (HB)</t>
  </si>
  <si>
    <t>EH-03.. (SA)</t>
  </si>
  <si>
    <t>amzn.gr.PO-AC6.._(SA)-4mTi59zuRv3NRs8-LN</t>
  </si>
  <si>
    <t>RCB-12.. (FA)</t>
  </si>
  <si>
    <t>RCB-12 (2) (FA)</t>
  </si>
  <si>
    <t>RCB-12 (FA)</t>
  </si>
  <si>
    <t>amzn.gr.JMT-103..-RcA9pLbQZ--3Q75SpUl-LN</t>
  </si>
  <si>
    <t>amzn.gr.PO-AC6.._(SA)-4mTi59zuRv3NRs8-VG</t>
  </si>
  <si>
    <t>HB-31P (SB)</t>
  </si>
  <si>
    <t>PFI-05 (SC)</t>
  </si>
  <si>
    <t>B12X (FA)</t>
  </si>
  <si>
    <t>GEN-SB01 (SB)</t>
  </si>
  <si>
    <t>amzn.gr.JMT-118_(471..)-A5TpMWB0wRJ1R-VG</t>
  </si>
  <si>
    <t>FAB-243 (HF)</t>
  </si>
  <si>
    <t>V4-1212 (FA)</t>
  </si>
  <si>
    <t>FAB-466 (HB)</t>
  </si>
  <si>
    <t>B10 (BD)</t>
  </si>
  <si>
    <t>V2-1224 (2)</t>
  </si>
  <si>
    <t>V2-1224(2)</t>
  </si>
  <si>
    <t>FAB-554 (HA)</t>
  </si>
  <si>
    <t>amzn.gr.S25X..-YM4fiRUqtKaeZ5Wzm9MWc7-VG</t>
  </si>
  <si>
    <t>amzn.gr.V2-1212_(835..)-FnZ8kVUkIN6wC-VG</t>
  </si>
  <si>
    <t>amzn.gr.V2-1824_(838..)-oQBIMGje0bcg--LN</t>
  </si>
  <si>
    <t>FAB-566 (HA)</t>
  </si>
  <si>
    <t>FAB-173 (SD)</t>
  </si>
  <si>
    <t>BS10 (FA)</t>
  </si>
  <si>
    <t>amzn.gr.FAB-488.._(HA)-O9ljNRQQr0l6rY-VG</t>
  </si>
  <si>
    <t>amzn.gr.FAB-379_(LC)-X-7jsS-WtBOIUjnx-VG</t>
  </si>
  <si>
    <t>GEN-SB09 (SB)</t>
  </si>
  <si>
    <t>IB-G08 (FA)</t>
  </si>
  <si>
    <t>C4-6064-JMT-25</t>
  </si>
  <si>
    <t>amzn.gr.IB-A16_(345..)-CBuytrnvuuzxHh-VG</t>
  </si>
  <si>
    <t>FAB-555 (HA)</t>
  </si>
  <si>
    <t>PFI-10 (SB)</t>
  </si>
  <si>
    <t>HB-25 (SA)</t>
  </si>
  <si>
    <t>FAB-430 (HE)</t>
  </si>
  <si>
    <t>amzn.gr.CNF-03..-4EnATA6ZDbs3FtfneyNd-LN</t>
  </si>
  <si>
    <t>amzn.gr.FAB-424_(HA)-AtNmsnIMDj0xjhRC-VG</t>
  </si>
  <si>
    <t>PF-S1 + PF-S2 + PF-S2 (SE)</t>
  </si>
  <si>
    <t>FAB-467 (HA)</t>
  </si>
  <si>
    <t>V4-1824 (FA)</t>
  </si>
  <si>
    <t>V4E (FA)</t>
  </si>
  <si>
    <t>amzn.gr.HB-10P..-PFywYOA09QOm1o3pZjOz-VG</t>
  </si>
  <si>
    <t>amzn.gr.FAB-424.._(HA)-Jr4YdQQYav0Ygi-AC</t>
  </si>
  <si>
    <t>amzn.gr.FAB-446.._(HA)-ZksESuF4_Nnp86-VG</t>
  </si>
  <si>
    <t>JMT-93 (SC)</t>
  </si>
  <si>
    <t>V2-1224 (FA)</t>
  </si>
  <si>
    <t>amzn.gr.JMT-59_(535..)-Bwy3sjPFpUKdWl-LN</t>
  </si>
  <si>
    <t>amzn.gr.V2-1212_(835..)-MZAqxihKe8d22-LN</t>
  </si>
  <si>
    <t>amzn.gr.FAB-446_(TS)-v8Kn96Owr5Nst0UC-LN</t>
  </si>
  <si>
    <t>FAB-468 (HD)</t>
  </si>
  <si>
    <t>RCB-02 (FA)</t>
  </si>
  <si>
    <t>amzn.gr.JMT-59_(535..)-Bwy3sjPFpUKdWl-VG</t>
  </si>
  <si>
    <t>amzn.gr.JMT-59_(535..)--9rn5U2-eq3wty-GD</t>
  </si>
  <si>
    <t>FAB-554 (HC)</t>
  </si>
  <si>
    <t>FAB-554 (HB)</t>
  </si>
  <si>
    <t>amzn.gr.FAB-311_(HB)-D52jCJA6LifoPIdO-VG</t>
  </si>
  <si>
    <t>amzn.gr.FAB-416_(HB)-g6SkJ0vTiGwQRcDM-AC</t>
  </si>
  <si>
    <t>amzn.gr.ST-02..(LA)-ed5qGD4jopIJeY9N4-PO</t>
  </si>
  <si>
    <t>FAB-497..</t>
  </si>
  <si>
    <t>FAB-498..</t>
  </si>
  <si>
    <t>FAB-499..</t>
  </si>
  <si>
    <t>FAB-500..</t>
  </si>
  <si>
    <t>amzn.gr.FAB-409_(HA)-0Lb9qjQPc7MTLQX8-LN</t>
  </si>
  <si>
    <t>amzn.gr.FAB-416_(HB)-5nZZPRaa5oI1RpVB-VG</t>
  </si>
  <si>
    <t>amzn.gr.ST-18..-uP35qSvMKlVIS8bZUygKC-VG</t>
  </si>
  <si>
    <t>FAB-539 - FAB-423</t>
  </si>
  <si>
    <t>FAB-539+FAB-423</t>
  </si>
  <si>
    <t>FAB-531..</t>
  </si>
  <si>
    <t>FAB-580 + FAB-581..</t>
  </si>
  <si>
    <t>FAB-580+FAB-581</t>
  </si>
  <si>
    <t>amzn.gr.FAB-446.._(HA)-1OYBA5JeIWkSAK-VG</t>
  </si>
  <si>
    <t>FAB-449 (HD)</t>
  </si>
  <si>
    <t>amzn.gr.FP-71.._(SA)-0d3XoDr8DCCVnGg1-LN</t>
  </si>
  <si>
    <t>amzn.gr.JMT-118_(471..)-A5TpMWB0wRJ1R-LN</t>
  </si>
  <si>
    <t>FAB-580..</t>
  </si>
  <si>
    <t>FAB-447 (HE)</t>
  </si>
  <si>
    <t>V2 (FA)</t>
  </si>
  <si>
    <t>B11 (FA)</t>
  </si>
  <si>
    <t>A06-0209-FAB-579</t>
  </si>
  <si>
    <t>A04-0127-FAB-581</t>
  </si>
  <si>
    <t>amzn.gr.ST-15..-O3BA8WeulKRIqT8rETpsX-VG</t>
  </si>
  <si>
    <t>amzn.gr.V2-1824_(838..)-6G5Gij3HtWrvZ-VG</t>
  </si>
  <si>
    <t>FAB-548 + FAB-549 + FAB-550..</t>
  </si>
  <si>
    <t>FAB-548+FAB-549+FAB-550</t>
  </si>
  <si>
    <t>amzn.gr.FAB-400..(HA)-SkCCKkaQjVcc0yw-VG</t>
  </si>
  <si>
    <t>FAB-449 (HF)</t>
  </si>
  <si>
    <t>FAB-449 (HE)</t>
  </si>
  <si>
    <t>FAB-580 + FAB-581</t>
  </si>
  <si>
    <t>amzn.gr.FAB-150..-xFX4q13RBb6snv-QOsg-LN</t>
  </si>
  <si>
    <t>FAB-242..(HA)</t>
  </si>
  <si>
    <t>FAB-427..(HA)</t>
  </si>
  <si>
    <t>FAB-548..</t>
  </si>
  <si>
    <t>FAB-552.. (HA)</t>
  </si>
  <si>
    <t>FAB-552.. (HB)</t>
  </si>
  <si>
    <t>amzn.gr.FAB-400..(HA)-8l3EIynbuqXES6V-LN</t>
  </si>
  <si>
    <t>amzn.gr.FAB-532..-onc8J3hm3JyRnp9Nmk_-VG</t>
  </si>
  <si>
    <t>PF-S1+PFS2</t>
  </si>
  <si>
    <t>GEN-CN02 (SB)</t>
  </si>
  <si>
    <t>FAB-504..</t>
  </si>
  <si>
    <t>JMT-103.. (SA)</t>
  </si>
  <si>
    <t>amzn.gr.FAB-446.._(TS)-GPJ3JL41sv1LaH-VG</t>
  </si>
  <si>
    <t>GEN-CB1008 (SA)</t>
  </si>
  <si>
    <t>FAB-571 (HA)</t>
  </si>
  <si>
    <t>FAB-398 (HB)</t>
  </si>
  <si>
    <t>FAB-569 + FAB-51 + FAB-491 + FAB-493</t>
  </si>
  <si>
    <t>FAB-569+FAB-51+FAB-491+FAB-493</t>
  </si>
  <si>
    <t>FAB-536 + FAB-51 + FAB-573</t>
  </si>
  <si>
    <t>FAB-536+FAB-51+FAB-573</t>
  </si>
  <si>
    <t>FAB-569 + FAB-51 + FAB-574</t>
  </si>
  <si>
    <t>FAB-569+FAB-51+FAB-574</t>
  </si>
  <si>
    <t>D8-8031-FAB-442</t>
  </si>
  <si>
    <t>D10-8039-IB-F08</t>
  </si>
  <si>
    <t>D12-8048-IB-E08</t>
  </si>
  <si>
    <t>D13-8049-FAB-509</t>
  </si>
  <si>
    <t>D14-8054-HB-18P</t>
  </si>
  <si>
    <t>D17-8066-FAB-546</t>
  </si>
  <si>
    <t>B5-4251-FAB-150</t>
  </si>
  <si>
    <t>B5-4248-FAB-493</t>
  </si>
  <si>
    <t>C10-6204-ST-14</t>
  </si>
  <si>
    <t>B5-4270-STA-56</t>
  </si>
  <si>
    <t>B5-4250-PO-AC8</t>
  </si>
  <si>
    <t>C9-6175-FAB-550</t>
  </si>
  <si>
    <t>C5-6075-FAB-580</t>
  </si>
  <si>
    <t>amzn.gr.PO-AC6.._(SA)-OLRKPkjyCzpH1SO-VG</t>
  </si>
  <si>
    <t>amzn.gr.PO-AC7..-uigvO9VMokSPynzerW8a-LN</t>
  </si>
  <si>
    <t>FAB-548 + FAB-549..</t>
  </si>
  <si>
    <t>FAB-548+FAB-549</t>
  </si>
  <si>
    <t>FAB-570..</t>
  </si>
  <si>
    <t>FAB-571..</t>
  </si>
  <si>
    <t>FAB-580 (HA)</t>
  </si>
  <si>
    <t>FAB-537 + FAB-51 + FAB-574</t>
  </si>
  <si>
    <t>FAB-537+FAB-51+FAB-574</t>
  </si>
  <si>
    <t>FAB-381 (LA)</t>
  </si>
  <si>
    <t>PFB-08 (SA)</t>
  </si>
  <si>
    <t>V2-1824 (2)</t>
  </si>
  <si>
    <t>V2-1824(2)</t>
  </si>
  <si>
    <t>A30-1095-FAB-556</t>
  </si>
  <si>
    <t>A30-1096-FAB-553</t>
  </si>
  <si>
    <t>A30-1097-FAB-563</t>
  </si>
  <si>
    <t>A30-1098-FAB-529</t>
  </si>
  <si>
    <t>A30-1099-FAB-286</t>
  </si>
  <si>
    <t>A31–1100-FAB-522</t>
  </si>
  <si>
    <t>A31-1101-FAB-541</t>
  </si>
  <si>
    <t>A31-1102-FAB-521</t>
  </si>
  <si>
    <t>A31-1103-FAB-570</t>
  </si>
  <si>
    <t>A31-1104-FAB-504</t>
  </si>
  <si>
    <t>C1-6013-FAB-555</t>
  </si>
  <si>
    <t>C6-6088-FAB-173</t>
  </si>
  <si>
    <t>C6-6087-FAB-151</t>
  </si>
  <si>
    <t>C6-6091-FAB-543</t>
  </si>
  <si>
    <t>C6-6089-FAB-531</t>
  </si>
  <si>
    <t>C6-6082-FAB-557</t>
  </si>
  <si>
    <t>C4-6063-GEN-CPB1009</t>
  </si>
  <si>
    <t>D22-8089-FAB-314 (P2)</t>
  </si>
  <si>
    <t>C3-6051-GEN-CPB1013</t>
  </si>
  <si>
    <t>D18-8068-MFI-13</t>
  </si>
  <si>
    <t>D19-8073-MFI-12</t>
  </si>
  <si>
    <t>D19-8075-PFI-10</t>
  </si>
  <si>
    <t>D19-8076-PFI-20</t>
  </si>
  <si>
    <t>D20-8078-FAB-396</t>
  </si>
  <si>
    <t>D20-8079-PFR-10</t>
  </si>
  <si>
    <t>D20-8080-PF-20</t>
  </si>
  <si>
    <t>D20-8081-PF-31</t>
  </si>
  <si>
    <t>D20-8082-PFI-05</t>
  </si>
  <si>
    <t>D21-8083-PF-220</t>
  </si>
  <si>
    <t>D21-8084-FAB-410</t>
  </si>
  <si>
    <t>D21-8084-FAB-411</t>
  </si>
  <si>
    <t>D21-8085-PF-21</t>
  </si>
  <si>
    <t>D21-8086-PF-30</t>
  </si>
  <si>
    <t>D21-8087-PFI-07</t>
  </si>
  <si>
    <t>D22-8088-PFO-10</t>
  </si>
  <si>
    <t>D22-8089-FAB-314 (P1)</t>
  </si>
  <si>
    <t>D22-8090-FAB-301</t>
  </si>
  <si>
    <t>D22-8091-PF-21I</t>
  </si>
  <si>
    <t>D22-8092-FAB-326</t>
  </si>
  <si>
    <t>D23-8093-FAB-560</t>
  </si>
  <si>
    <t>D23-8094-FAB-548</t>
  </si>
  <si>
    <t>D23-8095-FAB-571</t>
  </si>
  <si>
    <t>D23-8096-FAB-549</t>
  </si>
  <si>
    <t>D23-8097-FAB-497</t>
  </si>
  <si>
    <t>D24-8098-FAB-500</t>
  </si>
  <si>
    <t>D24-8099-FAB-499</t>
  </si>
  <si>
    <t>D24-8100-FAB-498</t>
  </si>
  <si>
    <t>D24-8101-FAB-561</t>
  </si>
  <si>
    <t>C6-6081-GEN-CPB1010</t>
  </si>
  <si>
    <t>amzn.gr.CFB-12496..-4-zbPV2lZste_Uc9l-LN</t>
  </si>
  <si>
    <t>amzn.gr.FP-71..-jZ11H2oNWmbBuhBwb_E7F-LN</t>
  </si>
  <si>
    <t>amzn.gr.JMT-59_(535..)-uCJyzt-yK3IrWF-VG</t>
  </si>
  <si>
    <t>amzn.gr.V2-1224.-Y30n6MXVttHpQQ2EChud-VG</t>
  </si>
  <si>
    <t>amzn.gr.FAB-431..-NQJ-h-rEH7aj-q5EynI-LN</t>
  </si>
  <si>
    <t>FAB-450 (HE)</t>
  </si>
  <si>
    <t>FAB-539 + FAB-51 + FAB-575</t>
  </si>
  <si>
    <t>FAB-539+FAB-51+FAB-575</t>
  </si>
  <si>
    <t>amzn.gr.S9J..-hEaIT5kRq74uOaE36lmMcBB-LN</t>
  </si>
  <si>
    <t>FAB-552.. (HC)</t>
  </si>
  <si>
    <t>FAB-468 (HC)</t>
  </si>
  <si>
    <t>FAB-552 (HB)</t>
  </si>
  <si>
    <t>amzn.gr.ST-18..-TFaE0K-ZhsUkMsEDCLNst-PO</t>
  </si>
  <si>
    <t>FAB-580 + FAB-581 (HA)</t>
  </si>
  <si>
    <t>FAB-570 (HA)</t>
  </si>
  <si>
    <t>FAB-447 (HD)</t>
  </si>
  <si>
    <t>amzn.gr.PO-AC7..-6cRjR-ajslWvv_JL4h3m-LN</t>
  </si>
  <si>
    <t>FAB-582..</t>
  </si>
  <si>
    <t>FAB-583..</t>
  </si>
  <si>
    <t>amzn.gr.FAB-08B-9ozOxS9Zn1vD3trNsfgDb-AC</t>
  </si>
  <si>
    <t>amzn.gr.FAB-363_(HC)-BRCErY22NFBZ_-T7-VG</t>
  </si>
  <si>
    <t>amzn.gr.FAB-414..-sKlOoplBW_IlmGKOkzV-VG</t>
  </si>
  <si>
    <t>amzn.gr.FAB-431..-uvhwfHPmmnTLDblvfIE-LN</t>
  </si>
  <si>
    <t>amzn.gr.FAB-446_(TS)-olgYEaie4vxwGJXp-LN</t>
  </si>
  <si>
    <t>FAB-584..</t>
  </si>
  <si>
    <t>FAB-585..</t>
  </si>
  <si>
    <t>FAB-586..</t>
  </si>
  <si>
    <t>amzn.gr.ST-02_(LC)-Og20dCiQ-AwUsfZY98-VG</t>
  </si>
  <si>
    <t>FAB-397 (HB)</t>
  </si>
  <si>
    <t>B2-4088-FAB-491</t>
  </si>
  <si>
    <t>FAB-552 (HD)</t>
  </si>
  <si>
    <t>FAB-552 (HC)</t>
  </si>
  <si>
    <t>amzn.gr.CP-2-2425F..-Q-ai8xUZCkXl-0rS-LN</t>
  </si>
  <si>
    <t>FAB-579..</t>
  </si>
  <si>
    <t>amzn.gr.ST-18_(LA)-TFaE0K-ZhsUkMsEDCL-PO</t>
  </si>
  <si>
    <t>amzn.gr.JMT-59_(535..)-uCJyzt-yK3IrWF-LN</t>
  </si>
  <si>
    <t>amzn.gr.PFI-20_(643..)-HHwuy-wEKMP-t0-VG</t>
  </si>
  <si>
    <t>amzn.gr.FAB-447.._(HA)-wwg5UrFQ4LPuJr-VG</t>
  </si>
  <si>
    <t>amzn.gr.FAB-449..-asSE8XLGaGgehREy-s6-VG</t>
  </si>
  <si>
    <t>SB - FAB - POLICE GEAR STAND &amp; RACK - BRAND ADD</t>
  </si>
  <si>
    <t>FAB-571+FAB-572</t>
  </si>
  <si>
    <t>FAB-580 + FAB-581 (HB)</t>
  </si>
  <si>
    <t>FAB-572 (HA)</t>
  </si>
  <si>
    <t>FAB-576 (HA)</t>
  </si>
  <si>
    <t>JMT-103 (SG)</t>
  </si>
  <si>
    <t>JMT-103 (SF)</t>
  </si>
  <si>
    <t>amzn.gr.ST-02_(LC)-ed5qGD4jopIJeY9N4x-PO</t>
  </si>
  <si>
    <t>amzn.gr.JMT-103_(SE)-RcA9pLbQZ--3Q75S-VG</t>
  </si>
  <si>
    <t>amzn.gr.FAB-473-SKt7Dj_3ezLWpoFdnXNpE-VG</t>
  </si>
  <si>
    <t>amzn.gr.FAB-473..-8NpD5FitZM3gT6IIyUG-AC</t>
  </si>
  <si>
    <t>FAB-577 (HA)</t>
  </si>
  <si>
    <t>JMT-103 (SH)</t>
  </si>
  <si>
    <t>amzn.gr.FAB-543-FEDIopcMxfGTuapNBFXAw-VG</t>
  </si>
  <si>
    <t>amzn.gr.FAB-543..-FEDIopcMxfGTuapNBFX-VG</t>
  </si>
  <si>
    <t>amzn.gr.V4_(841..)-OPmLystzJxFXzSTSVU-VG</t>
  </si>
  <si>
    <t>FAB-498 (HA)</t>
  </si>
  <si>
    <t>FAB-578 (HA)</t>
  </si>
  <si>
    <t>FAB-579 (HA)</t>
  </si>
  <si>
    <t>FAB-582 (HA)</t>
  </si>
  <si>
    <t>FAB-527 (HA)</t>
  </si>
  <si>
    <t>FAB-536 + FAB-573</t>
  </si>
  <si>
    <t>FAB-536+FAB-573</t>
  </si>
  <si>
    <t>FAB-569 + FAB-491 + FAB-493</t>
  </si>
  <si>
    <t>FAB-569+FAB-491+FAB-493</t>
  </si>
  <si>
    <t>FAB-554 (HD)</t>
  </si>
  <si>
    <t>FAB-583 (HA)</t>
  </si>
  <si>
    <t>JMT-103.. (SB)</t>
  </si>
  <si>
    <t>JMT-103.. (FA)</t>
  </si>
  <si>
    <t>JMT-103.. (FB)</t>
  </si>
  <si>
    <t>amzn.gr.FAB-288_(HA)-eBUFFRwPnb5rduDT-VG</t>
  </si>
  <si>
    <t>V2-1824 (FA)</t>
  </si>
  <si>
    <t>D22-8089-FAB-314 (PART-1)</t>
  </si>
  <si>
    <t>D22-8089-FAB-314 (PART-2)</t>
  </si>
  <si>
    <t>B12J (FA)</t>
  </si>
  <si>
    <t>B4F (FA)</t>
  </si>
  <si>
    <t>A25-0905-WR-A218</t>
  </si>
  <si>
    <t>A24-0861-STA-57</t>
  </si>
  <si>
    <t>A24-0877-RCB-02</t>
  </si>
  <si>
    <t>C1-6023-RCB-12</t>
  </si>
  <si>
    <t>C1-6017-RCB-13</t>
  </si>
  <si>
    <t>FAB-450 (HC)</t>
  </si>
  <si>
    <t>D19-8077-PF-POT</t>
  </si>
  <si>
    <t>B1-4037-GEN-CN07</t>
  </si>
  <si>
    <t>B4-4201-GEN-CN06</t>
  </si>
  <si>
    <t>B4-4167-FAB-152</t>
  </si>
  <si>
    <t>B4-4185-GEN-CN08</t>
  </si>
  <si>
    <t>B4-4203-GEN-CN01</t>
  </si>
  <si>
    <t>A26-0953-FAB-394</t>
  </si>
  <si>
    <t>A24-0856-FAB-393</t>
  </si>
  <si>
    <t>C4-6067-FAB-110</t>
  </si>
  <si>
    <t>C4-6068-FAB-210</t>
  </si>
  <si>
    <t>C4-6067-FAB-195</t>
  </si>
  <si>
    <t>FAB-552 (HE)</t>
  </si>
  <si>
    <t>V7 (SA)</t>
  </si>
  <si>
    <t>amzn.gr.FAB-431..-6maCIytF3HLCw73_esQ-VG</t>
  </si>
  <si>
    <t>amzn.gr.FAB-450.._(HA)-LnWEo7bVSkRYiv-VG</t>
  </si>
  <si>
    <t>amzn.gr.WR-A212.._(TC)-ELHs7DEDOxX78W-LN</t>
  </si>
  <si>
    <t>JMT-103.. (FC)</t>
  </si>
  <si>
    <t>JMT-103.. (FD)</t>
  </si>
  <si>
    <t>amzn.gr.PO-AC2..-LzVQMiqaL78HTTabFbNV-LN</t>
  </si>
  <si>
    <t>amzn.gr.FAB-395_(HB)-duWTVsCqUDGZkrU3-LN</t>
  </si>
  <si>
    <t>amzn.gr.FAB-397_(HB)-DJY1yf3ieNi_gJXP-VG</t>
  </si>
  <si>
    <t>amzn.gr.FAB-552.._(HC)-0XFjvLex2D1mhX-VG</t>
  </si>
  <si>
    <t>amzn.gr.FAB-552.._(HC)-3Q4saOIQhZ1Yag-VG</t>
  </si>
  <si>
    <t>FAB-537 + FAB-574</t>
  </si>
  <si>
    <t>FAB-537+FAB-574</t>
  </si>
  <si>
    <t>FAB-539 + FAB-575</t>
  </si>
  <si>
    <t>FAB-539+FAB-575</t>
  </si>
  <si>
    <t>FAB-569 + FAB-574</t>
  </si>
  <si>
    <t>FAB-569+FAB-574</t>
  </si>
  <si>
    <t>FAB-569 + FAB-475</t>
  </si>
  <si>
    <t>FAB-569+FAB-475</t>
  </si>
  <si>
    <t>FAB-473 (HB)</t>
  </si>
  <si>
    <t>PO-AC6 (SB)</t>
  </si>
  <si>
    <t>FAB-548 (HA)</t>
  </si>
  <si>
    <t>FAB-584 (LA)</t>
  </si>
  <si>
    <t>FAB-586 (LA)</t>
  </si>
  <si>
    <t>FAB-585 (LA)</t>
  </si>
  <si>
    <t>FAB-504 (SB)</t>
  </si>
  <si>
    <t>FAB-500 (HA)</t>
  </si>
  <si>
    <t>amzn.gr.FAB-150..-xFX4q13RBb6snv-QOsg-VG</t>
  </si>
  <si>
    <t>amzn.gr.FAB-49..-C06W_JgB8FmF3hSVHXpe-VG</t>
  </si>
  <si>
    <t>amzn.gr.JMT-168..-OkgCx2fA6XHIfLH65FY-VG</t>
  </si>
  <si>
    <t>amzn.gr.JMT-59_(535..)-JrZGifSj22pobg-LN</t>
  </si>
  <si>
    <t>JMT-02.. (SA)</t>
  </si>
  <si>
    <t>JMT-03.. (SA)</t>
  </si>
  <si>
    <t>amzn.gr.IB-D10..-GJyMNBgT0-0hEgtyR3xp-LN</t>
  </si>
  <si>
    <t>amzn.gr.PO-AC8..-o4CzY7Hk8V8-dhlyEGbL-VG</t>
  </si>
  <si>
    <t>amzn.gr.FAB-422.._(HB)-km3v6e0c5K1V2r-VG</t>
  </si>
  <si>
    <t>FAB-585 (LB)</t>
  </si>
  <si>
    <t>FAB-49 (SB)</t>
  </si>
  <si>
    <t>GEN-SB03 (SA)</t>
  </si>
  <si>
    <t>FAB-561 (HC)</t>
  </si>
  <si>
    <t>FAB-586 (LB)</t>
  </si>
  <si>
    <t>JMT-103 (FG)</t>
  </si>
  <si>
    <t>FAB-152 (SB)</t>
  </si>
  <si>
    <t>A03-0073-S25J</t>
  </si>
  <si>
    <t>A03-0077-B10J</t>
  </si>
  <si>
    <t>A03-0081-PO-AC3</t>
  </si>
  <si>
    <t>A03-0089-WR-A242</t>
  </si>
  <si>
    <t>A03-0107-GEN-CN05</t>
  </si>
  <si>
    <t>A03-0109-FAB-117</t>
  </si>
  <si>
    <t>A03-0111-JMT-134</t>
  </si>
  <si>
    <t>A04-0121-S21X</t>
  </si>
  <si>
    <t>A04-0132-CFB-116100</t>
  </si>
  <si>
    <t>A04-0133-WR-A212</t>
  </si>
  <si>
    <t>A04-0145-JMT-103</t>
  </si>
  <si>
    <t>A04-0157-FAB-246</t>
  </si>
  <si>
    <t>A05-0169-PFB-01</t>
  </si>
  <si>
    <t>A05-0171-GEN-CPB1012</t>
  </si>
  <si>
    <t>A05-0177-FAB-573</t>
  </si>
  <si>
    <t>A06-0217-S9X</t>
  </si>
  <si>
    <t>A06-0221-PFB-03</t>
  </si>
  <si>
    <t>A06-0225-STA-54</t>
  </si>
  <si>
    <t>A06-0253-FAB-244</t>
  </si>
  <si>
    <t>A06-0243-FAB-590</t>
  </si>
  <si>
    <t>A07-0265-CFB-11648</t>
  </si>
  <si>
    <t>A0007-0269-B9J</t>
  </si>
  <si>
    <t>A07-0277-BB-125185</t>
  </si>
  <si>
    <t>A07-0283-JMT-118</t>
  </si>
  <si>
    <t>A07-0285-FP-71</t>
  </si>
  <si>
    <t>A07-0273-B12F</t>
  </si>
  <si>
    <t>C3-6054-FAB-583</t>
  </si>
  <si>
    <t>AB-583</t>
  </si>
  <si>
    <t>A04-0145-S25X</t>
  </si>
  <si>
    <t>A04-0150-S9J</t>
  </si>
  <si>
    <t>A04-0157-WR-A118</t>
  </si>
  <si>
    <t>A06-0244-WR-A230</t>
  </si>
  <si>
    <t>A07-0269-BB-950135</t>
  </si>
  <si>
    <t>PO-AC7 (SA)</t>
  </si>
  <si>
    <t>B4-4175-STA-53</t>
  </si>
  <si>
    <t>FAB-527 (SA)</t>
  </si>
  <si>
    <t>A28-1047-BB-140226</t>
  </si>
  <si>
    <t>A03-0099-WR-B224</t>
  </si>
  <si>
    <t>A05-0205-FAB-247</t>
  </si>
  <si>
    <t>A05-0183-CP-3-2425F</t>
  </si>
  <si>
    <t>A07-0281-CP-2-2425F</t>
  </si>
  <si>
    <t>A05-0188-CFB-12460</t>
  </si>
  <si>
    <t>amzn.gr.V2-1824_(838..)-xKSLcCjiPS9I0-VG</t>
  </si>
  <si>
    <t>FAB-450 (HD)</t>
  </si>
  <si>
    <t>FAB-571 (HD)</t>
  </si>
  <si>
    <t>GEN-CN03 (SB)</t>
  </si>
  <si>
    <t>JMT-103 (FF)</t>
  </si>
  <si>
    <t>FAB-521 (HA)</t>
  </si>
  <si>
    <t>FAB-590 (2)</t>
  </si>
  <si>
    <t>FAB-590(2)</t>
  </si>
  <si>
    <t>JMT-103 (FE)</t>
  </si>
  <si>
    <t>FAB-562 (HA)</t>
  </si>
  <si>
    <t>A03-0109-Z4F2</t>
  </si>
  <si>
    <t>A03-0114-Z4F</t>
  </si>
  <si>
    <t>A05-0214-FAB-368</t>
  </si>
  <si>
    <t>A07-0292-B12J</t>
  </si>
  <si>
    <t>A28-1090-PFI-09</t>
  </si>
  <si>
    <t>A28-1090-FAB-512</t>
  </si>
  <si>
    <t>FAB-504 (SD)</t>
  </si>
  <si>
    <t>FAB-417 (HC)</t>
  </si>
  <si>
    <t>C7-6099-FAB-584</t>
  </si>
  <si>
    <t>C7-6103-FAB-585</t>
  </si>
  <si>
    <t>C7-6119-FAB-586</t>
  </si>
  <si>
    <t>amzn.gr.ST-16..-RyRC0PaQtxoQAjX3J8Qif-VG</t>
  </si>
  <si>
    <t>A28-1077-STA-58</t>
  </si>
  <si>
    <t>A25-0890-FAB-432</t>
  </si>
  <si>
    <t>amzn.gr.RCB-09.._(SA)-L73qjRj59aeJ0MB-LN</t>
  </si>
  <si>
    <t>amzn.gr.RCB-09.._(SA)-_7ZGZ7dWqyKJROc-LN</t>
  </si>
  <si>
    <t>amzn.gr.V5_(848..)-BQl5FVZOA4Dz08EjOB-VG</t>
  </si>
  <si>
    <t>amzn.gr.V5_(848..)-hGnMk6VcX0h29bSkRq-LN</t>
  </si>
  <si>
    <t>amzn.gr.FAB-450..-Sd_TKjnwgriwkaBAHTR-AC</t>
  </si>
  <si>
    <t>amzn.gr.FAB-565..-E6br3oFAKnxClNGz5o--VG</t>
  </si>
  <si>
    <t>FAB-548 + 549 (HC)</t>
  </si>
  <si>
    <t>amzn.gr.ST-04.._(LA)-wN_BVKXtXFWPWOuX-PO</t>
  </si>
  <si>
    <t>amzn.gr.FAB-288_(HA)-POZtbtARCLFQpQ-F-VG</t>
  </si>
  <si>
    <t>amzn.gr.IB-C05_(346..)-LkuES4xVdqtNmp-LN</t>
  </si>
  <si>
    <t>amzn.gr.IB-C05_(346..)-d01P3ApTPn90po-AC</t>
  </si>
  <si>
    <t>amzn.gr.CNF-03.._(HA)-0wkHb4ksY08HbL--VG</t>
  </si>
  <si>
    <t> V2F (4)</t>
  </si>
  <si>
    <t> FAB-466 + FAB-467</t>
  </si>
  <si>
    <t>FAB-552 (HD</t>
  </si>
  <si>
    <t>GEN-CPB1011 (SA)</t>
  </si>
  <si>
    <t>amzn.gr.FAB-401..-326QmDJVsyOiPcgTRMs-VG</t>
  </si>
  <si>
    <t>amzn.gr.FAB-430.._(HC)-ANA8XiIfEcJJup-VG</t>
  </si>
  <si>
    <t>amzn.gr.IB-A16_(SA)-V57b0Jr7u00NNztpj-VG</t>
  </si>
  <si>
    <t>amzn.gr.PO-AC3.._(SA)-ldubHy1X5NjLiH_-LN</t>
  </si>
  <si>
    <t>amzn.gr.V2_(834..)-BpCnX9rdjLA5fHDVhP-VG</t>
  </si>
  <si>
    <t>FAB-311.. (HB)</t>
  </si>
  <si>
    <t>FAB-414.. (HA)</t>
  </si>
  <si>
    <t>FAB-488..(HB)</t>
  </si>
  <si>
    <t>FAB-527..</t>
  </si>
  <si>
    <t>FAB-587..</t>
  </si>
  <si>
    <t>FAB-588..</t>
  </si>
  <si>
    <t>amzn.gr.FAB-240_(HA)-FL7c43PzAEygaFp2-LN</t>
  </si>
  <si>
    <t>amzn.gr.FAB-420..-1MsPt9y-IZoZVw11J_B-VG</t>
  </si>
  <si>
    <t>amzn.gr.FAB-428_(HA)-f-dG4IiNmAgJUDw1-VG</t>
  </si>
  <si>
    <t>amzn.gr.FAB-556-TYnKakA1JoIXC1RC79m6N-VG</t>
  </si>
  <si>
    <t>FAB-589..</t>
  </si>
  <si>
    <t>amzn.gr.FAB-417.._(HA)-QtYN45s340qZPe-GD</t>
  </si>
  <si>
    <t>FAB-531 (HA)</t>
  </si>
  <si>
    <t>amzn.gr.FAB-424-yVR5CJJSKo3Px0rIw5DD1-VG</t>
  </si>
  <si>
    <t>amzn.gr.FAB-552..-ctwCP3ncVieGyWAc7Ea-VG</t>
  </si>
  <si>
    <t>GEN-CB1008 (SB)</t>
  </si>
  <si>
    <t>GEN-CPB1009 (SA)</t>
  </si>
  <si>
    <t>GEN-CPB1010 (SA)</t>
  </si>
  <si>
    <t>GEN-CPB1012 (SA)</t>
  </si>
  <si>
    <t>amzn.gr.IB-A16_(345..)-V57b0Jr7u00NNz-VG</t>
  </si>
  <si>
    <t>amzn.gr.V4-2020..-PHQfbdX0-t_MOhsPl2g-LN</t>
  </si>
  <si>
    <t>amzn.gr.WR-A212.._(TC)-OjEzijqsXkBspb-VG</t>
  </si>
  <si>
    <t>amzn.gr.FAB-563..-npdNL3V3F0CtUvlBEJN-LN</t>
  </si>
  <si>
    <t>amzn.gr.ST-03.._(LA)-kJDnWqlxATz6ej90-LN</t>
  </si>
  <si>
    <t>amzn.gr.ST-13_(LB)-KKSmFpbKAm6VboWte4-VG</t>
  </si>
  <si>
    <t> FAB-414 (HA)</t>
  </si>
  <si>
    <t>amzn.gr.JMT-59_(535..)--9rn5U2-eq3wty-VG</t>
  </si>
  <si>
    <t>amzn.gr.V2F.._(SA)-Yt3sHBTtvKwTGnGdaQ-VG</t>
  </si>
  <si>
    <t>FAB-441.. (HA)</t>
  </si>
  <si>
    <t>amzn.gr.ST-16_(LA)-zyYhGFa1iLkRHxiLtm-PO</t>
  </si>
  <si>
    <t>amzn.gr.B12..-L_B8EaufbDurozDtn2X4TeU-LN</t>
  </si>
  <si>
    <t>amzn.gr.IB-A16_(345..)-tuloxV9rtbAHZi-LN</t>
  </si>
  <si>
    <t>amzn.gr.FAB-409_(HA)-hfncALWyzXh5ca95-VG</t>
  </si>
  <si>
    <t>amzn.gr.FAB-422.._(HA)-4xr65_nIoPM-F_-VG</t>
  </si>
  <si>
    <t>amzn.gr.FAB-422.._(HA)-Zbg_iynvFQZVdB-VG</t>
  </si>
  <si>
    <t>amzn.gr.IB-C05_(346..)-jV8BWAXNfwE2mq-LN</t>
  </si>
  <si>
    <t>amzn.gr.IB-C05_(346..)-jV8BWAXNfwE2mq-VG</t>
  </si>
  <si>
    <t>amzn.gr.JMT-25..-dPjcrNtsCAisWdm_4ckc-VG</t>
  </si>
  <si>
    <t>SD - Large Fire Pit Table</t>
  </si>
  <si>
    <t>amzn.gr.PO-AC2-TI-Xysaza64jkF103au9Ah-VG</t>
  </si>
  <si>
    <t>amzn.gr.PO-AC6..-qtYn_-yPDdI_6f8UmjlD-LN</t>
  </si>
  <si>
    <t>amzn.gr.S9J_(SA)-hEaIT5kRq74uOaE36lmM-LN</t>
  </si>
  <si>
    <t>amzn.gr.V4-1824.-PpHWtu-bJXl1QDfYR2no-LN</t>
  </si>
  <si>
    <t>amzn.gr.CNF-03..-N8QCDreIiKxMHyxgqLY1-VG</t>
  </si>
  <si>
    <t>amzn.gr.FAB-422.._(HA)-Zbg_iynvFQZVdB-LN</t>
  </si>
  <si>
    <t>amzn.gr.FAB-379..(LA)-X-7jsS-WtBOIUjn-VG</t>
  </si>
  <si>
    <t>PFI-10 (SC)</t>
  </si>
  <si>
    <t>V2E (SB)</t>
  </si>
  <si>
    <t>PFI-20 (SB)</t>
  </si>
  <si>
    <t>FAB-572 (HB)</t>
  </si>
  <si>
    <t>amzn.gr.PO-AC6_(SB)-OLRKPkjyCzpH1SOk2-VG</t>
  </si>
  <si>
    <t>amzn.gr.FAB-400-eNRLMG2ZyUHDGEXJ-bJlf-VG</t>
  </si>
  <si>
    <t>amzn.gr.CFB-12460..-kwpHmEINBEACh__sI-VG</t>
  </si>
  <si>
    <t>amzn.gr.GEN-SB02.._(SA)-cEI7v7Pdgln-s-GD</t>
  </si>
  <si>
    <t>amzn.gr.JMT-118_(471..)-Y2mS36K1wC0RJ-LN</t>
  </si>
  <si>
    <t>amzn.gr.PFI-20_(643..)-1HCqlJgeO_2JGk-LN</t>
  </si>
  <si>
    <t>amzn.gr.FAB-425..-LY1nCeKbtrgChSB_7Fi-VG</t>
  </si>
  <si>
    <t>amzn.gr.FAB-447.._(HA)-wFvSRnWmckt1Ak-VG</t>
  </si>
  <si>
    <t>JMT-103 (FH)</t>
  </si>
  <si>
    <t>FAB-497 (HA)</t>
  </si>
  <si>
    <t>FAB-548 + FAB-549 + FAB-550 (HB)</t>
  </si>
  <si>
    <t>amzn.gr.FAB-420..-zlRCtzqSjgGNunTmet7-LN</t>
  </si>
  <si>
    <t>amzn.gr.FAB-431..-HlhXntOJmtp1g_4vrMO-VG</t>
  </si>
  <si>
    <t>amzn.gr.FAB-449-3P6Uq20RZ6EDta4Ci2uPa-VG</t>
  </si>
  <si>
    <t>amzn.gr.FAB-449..-NGI_Dl3KuikYW4QNYLX-VG</t>
  </si>
  <si>
    <t>amzn.gr.JMT-59_(535..)-Kr0XOybFJ22Ne8-VG</t>
  </si>
  <si>
    <t>FAB-504 (SC)</t>
  </si>
  <si>
    <t>FAB-548 + FAB-549 + FAB-550 (HC)</t>
  </si>
  <si>
    <t>amzn.gr.RCB-03.._(SA)-RhtaM7OPZPjuDVw-VG</t>
  </si>
  <si>
    <t>amzn.gr.FAB-216.._(HC)-y5tOFwvRHPJjcP-VG</t>
  </si>
  <si>
    <t>amzn.gr.FAB-543-FEDIopcMxfGTuapNBFXAw-LN</t>
  </si>
  <si>
    <t>amzn.gr.FAB-561_(HC)-WQTTgJR6fT87-UjM-GD</t>
  </si>
  <si>
    <t>FAB-499 (HA)</t>
  </si>
  <si>
    <t>FAB-447 (HC)</t>
  </si>
  <si>
    <t>amzn.gr.GEN-SB01.._(SA)-grqQDE95xFCFt-LN</t>
  </si>
  <si>
    <t>amzn.gr.FAB-427..-IeBgn65tzkA03Nq51PM-LN</t>
  </si>
  <si>
    <t>amzn.gr.FAB-447.._(HA)-X3DFUcb7S7-ghN-VG</t>
  </si>
  <si>
    <t>amzn.gr.FAB-468-cknoeBys7kEqHOwQrYuCC-VG</t>
  </si>
  <si>
    <t>IB-D10 (SC)</t>
  </si>
  <si>
    <t>FAB-548 + 549 (HB)</t>
  </si>
  <si>
    <t>FAB-561 (HD)</t>
  </si>
  <si>
    <t>CT-AM125 (SB)</t>
  </si>
  <si>
    <t>PR-44 (SA)</t>
  </si>
  <si>
    <t>FAB-569 (HB)</t>
  </si>
  <si>
    <t>FAB-417 (HD)</t>
  </si>
  <si>
    <t>FAB-381 (LB)</t>
  </si>
  <si>
    <t>C12-6277-BS9</t>
  </si>
  <si>
    <t>C12-6279-S21</t>
  </si>
  <si>
    <t>C12-6281-B12J</t>
  </si>
  <si>
    <t>C12-6285-B10X</t>
  </si>
  <si>
    <t>C12-6287-S25X</t>
  </si>
  <si>
    <t>C12-6289-Z4F2</t>
  </si>
  <si>
    <t>D18-8068-FAB-512</t>
  </si>
  <si>
    <t>D18-8069-FAB-553</t>
  </si>
  <si>
    <t>D18-8070-FAB-535</t>
  </si>
  <si>
    <t>D18-8071-FAB-566</t>
  </si>
  <si>
    <t>D19-8072-FAB-568</t>
  </si>
  <si>
    <t>D19-8073-PFO-10</t>
  </si>
  <si>
    <t>D19-8074-FAB-504</t>
  </si>
  <si>
    <t>D19-8075-FAB-563</t>
  </si>
  <si>
    <t>D20-8076-FAB-570</t>
  </si>
  <si>
    <t>D20-8077-FAB-556</t>
  </si>
  <si>
    <t>D20-8078-FAB-541</t>
  </si>
  <si>
    <t>D20-8079-FAB-529</t>
  </si>
  <si>
    <t>D21-8080-FAB-522</t>
  </si>
  <si>
    <t>D21-8081-FAB-286</t>
  </si>
  <si>
    <t>D21-8082-PFI-20</t>
  </si>
  <si>
    <t>D21-8083-FAB-521</t>
  </si>
  <si>
    <t>D22-8084-FAB-499</t>
  </si>
  <si>
    <t>D22-8085-FAB-561</t>
  </si>
  <si>
    <t>D22-8086-FAB-497</t>
  </si>
  <si>
    <t>D22-8087-FAB-500</t>
  </si>
  <si>
    <t>D23-8088-FAB-571</t>
  </si>
  <si>
    <t>D23-8089-FAB-549</t>
  </si>
  <si>
    <t>D23-8090-FAB-560</t>
  </si>
  <si>
    <t>D23-8091-FAB-548</t>
  </si>
  <si>
    <t>D24-8092-PFI-05</t>
  </si>
  <si>
    <t>D24-8093-FAB-498</t>
  </si>
  <si>
    <t>D24-8094-MFI-12</t>
  </si>
  <si>
    <t>D24-8095-PFR-10</t>
  </si>
  <si>
    <t>D25-8096-PF-POT</t>
  </si>
  <si>
    <t>D25-8097-FAB-534</t>
  </si>
  <si>
    <t>D25-8098-FAB-533</t>
  </si>
  <si>
    <t>D25-8099-PFI-10</t>
  </si>
  <si>
    <t>E1-9001-MFI-13</t>
  </si>
  <si>
    <t>E2-9005-FAB-314 (PART-1)</t>
  </si>
  <si>
    <t>E2-9005-FAB-314 (PART-2)</t>
  </si>
  <si>
    <t>E2-9006-FAB-326</t>
  </si>
  <si>
    <t>E2-9007-PF-21I</t>
  </si>
  <si>
    <t>E2-9008-FAB-301</t>
  </si>
  <si>
    <t>E3-9009-FAB-396</t>
  </si>
  <si>
    <t>E3-9010-PF-20</t>
  </si>
  <si>
    <t>E3-9011-PF-31</t>
  </si>
  <si>
    <t>E4-9013-PF-220</t>
  </si>
  <si>
    <t>E4-9014-FAB-410</t>
  </si>
  <si>
    <t>E4-9015-PF-21</t>
  </si>
  <si>
    <t>E4-9016-PF-30</t>
  </si>
  <si>
    <t>D22-8087-PFI-07</t>
  </si>
  <si>
    <t>amzn.gr.PR-44_(SA)-0-eSJIwavcH894Gn1W-VG</t>
  </si>
  <si>
    <t>amzn.gr.FAB-415..(HA)-vBAiJKWZ-Ii2YF0-LN</t>
  </si>
  <si>
    <t>amzn.gr.FAB-432___FAB-435-es4ozVOrQjv-VG</t>
  </si>
  <si>
    <t>amzn.gr.FAB-361..(HA)-Ty3MSvgfiubABcp-VG</t>
  </si>
  <si>
    <t>amzn.gr.FAB-360..(HA)-Gh_WrKkiZ8xVmBv-VG</t>
  </si>
  <si>
    <t>amzn.gr.FAB-377___FAB-381..-Kddrt8340-PO</t>
  </si>
  <si>
    <t>FAB-580 + FAB-581 (FA)</t>
  </si>
  <si>
    <t>FAB-580 (FA)</t>
  </si>
  <si>
    <t>FAB-583 (FA)</t>
  </si>
  <si>
    <t>FAB-414 (HC)</t>
  </si>
  <si>
    <t>FAB-561 (HB)</t>
  </si>
  <si>
    <t>FAB-582 (FA)</t>
  </si>
  <si>
    <t>V4-1212 (SC)</t>
  </si>
  <si>
    <t>FAB-512 (HA)</t>
  </si>
  <si>
    <t>HB-31P (SC)</t>
  </si>
  <si>
    <t>HB-19P (SE)</t>
  </si>
  <si>
    <t>HB-18P (SD)</t>
  </si>
  <si>
    <t>amzn.gr.CFB-11232..-ARe57Y3gkUjqOC4mZ-PO</t>
  </si>
  <si>
    <t>amzn.gr.FP-61..-6Is_I7eriwaESJ0G8QUQK-PO</t>
  </si>
  <si>
    <t>amzn.gr.PFI-10..-4IqIh8fydYJkMlMbFvFo-PO</t>
  </si>
  <si>
    <t>amzn.gr.V4-1212.-CHK6_9c7Z0kOmOqz7Vso-PO</t>
  </si>
  <si>
    <t>amzn.gr.JMT-118..-Y-lqosAdH2QbWPDBNWH-PO</t>
  </si>
  <si>
    <t>amzn.gr.FAB-438___FAB-439..-a168Lz_Wl-PO</t>
  </si>
  <si>
    <t>amzn.gr.JMT-59_(535..)-xrPGXUW63CcvwW-PO</t>
  </si>
  <si>
    <t>amzn.gr.FAB-400..(HA)-EE75_TMBtZeAFjn-PO</t>
  </si>
  <si>
    <t>amzn.gr.FAB-534..-Qqp5h99WZ9-NLf038Iv-PO</t>
  </si>
  <si>
    <t>amzn.gr.FAB-432___FAB-436_(HA)-IougSb-PO</t>
  </si>
  <si>
    <t>amzn.gr.CNF-01.._(HA)-xV3DhFLfuLLZPEl-PO</t>
  </si>
  <si>
    <t>amzn.gr.FAB-393_(HA)-GL1ZuIGFuilIiLaP-PO</t>
  </si>
  <si>
    <t>amzn.gr.V4_(SA)-4sqcoygWhWRrhOipbi93E-PO</t>
  </si>
  <si>
    <t>amzn.gr.V4_(841..)-4sqcoygWhWRrhOipbi-PO</t>
  </si>
  <si>
    <t>amzn.gr.V4E_(845..)-WSUaqNODed72rXdnp-PO</t>
  </si>
  <si>
    <t>amzn.gr.PO-AC2..-Gb7MmFVYAZihRUOgi42L-PO</t>
  </si>
  <si>
    <t>amzn.gr.CFB-11648..-WD3KujSV-u90y5E3F-PO</t>
  </si>
  <si>
    <t>amzn.gr.FAB-488.._(HA)-N1E-7Kc3Kz20Ru-PO</t>
  </si>
  <si>
    <t>amzn.gr.FAB-552_(HE)-fqAo8DrEX6LXN1KY-PO</t>
  </si>
  <si>
    <t>amzn.gr.FAB-216.._(HB)-kJ2Yw4XZPAzBym-PO</t>
  </si>
  <si>
    <t>amzn.gr.FAB-449..-r-3jLuN0q7PZixsnuZ0-PO</t>
  </si>
  <si>
    <t>amzn.gr.CNF-03..-7TnUI7XJhLRFb5X6Hldx-PO</t>
  </si>
  <si>
    <t>amzn.gr.FAB-288_(HA)-rVJnpAEKvmMgCmS4-PO</t>
  </si>
  <si>
    <t>amzn.gr.FAB-08B..-gu3GOU7Mj5mbiYf9Zl7-PO</t>
  </si>
  <si>
    <t>amzn.gr.FAB-420..-3X3a6cS1vn6rAghjuqF-PO</t>
  </si>
  <si>
    <t>amzn.gr.FAB-180..-wu4-y6C4R6c5virRPY--PO</t>
  </si>
  <si>
    <t>amzn.gr.FAB-362_(HC)-fq0I9Zts_0yJgwdn-PO</t>
  </si>
  <si>
    <t>amzn.gr.FAB-426.._(HA)-UFglwbGcm_80oh-PO</t>
  </si>
  <si>
    <t>amzn.gr.FP-71..-jBkuhdciXajWMLZAP-u7m-PO</t>
  </si>
  <si>
    <t>amzn.gr.CFB-12496..-Z5Y-tXNtTcT_Luyb_-PO</t>
  </si>
  <si>
    <t>amzn.gr.FAB-149..-wV-hSzWRvmEjQgN1IXJ-PO</t>
  </si>
  <si>
    <t>amzn.gr.B10X..-daYMvsOFK9dW8U9imF9Z7S-PO</t>
  </si>
  <si>
    <t>amzn.gr.PO-AC7..-mYP5ptHb5lgXn9ZdZUEv-PO</t>
  </si>
  <si>
    <t>amzn.gr.JMT-118_(471..)-HXF-X5vW_eQYD-PO</t>
  </si>
  <si>
    <t>amzn.gr.GEN-SB03..-UJr2aIBiKQZAFbKDin-PO</t>
  </si>
  <si>
    <t>amzn.gr.FAB-311..(HA)-9NEejYX0D7TNJQH-PO</t>
  </si>
  <si>
    <t>amzn.gr.FAB-446.._(HA)-fqAo8DrEX6LXN1-PO</t>
  </si>
  <si>
    <t>amzn.gr.FAB-428.._(HA)-BqK3u0KccE0qS9-PO</t>
  </si>
  <si>
    <t>amzn.gr.FAB-416..(HA)-wy8IDmF0YYalhUB-PO</t>
  </si>
  <si>
    <t>amzn.gr.FAB-401..-CsmzShUGFZc5WMwirsr-PO</t>
  </si>
  <si>
    <t>amzn.gr.V2F_(SA)-SIvdIiHWmi9RCo17pjUb-PO</t>
  </si>
  <si>
    <t>amzn.gr.V2-1224.-Kmc09ca7BidvGwQG3EuF-PO</t>
  </si>
  <si>
    <t>amzn.gr.B4F._(239)-8ydXpJK4ECJVVkBxCg-PO</t>
  </si>
  <si>
    <t>amzn.gr.JMT-25..-jRvvhEh1tRth9ZVUrR68-PO</t>
  </si>
  <si>
    <t>amzn.gr.PO-AC6.._(SA)-clfWszU2a33vS7n-PO</t>
  </si>
  <si>
    <t>amzn.gr.HB-10P..-jfJ0_6rOPj8yrzp9O6TV-PO</t>
  </si>
  <si>
    <t>amzn.gr.PO-AC8..-qIH6Oo1yDk7zzJMthegK-PO</t>
  </si>
  <si>
    <t>amzn.gr.IB-C05_(346..)-VrYiYrwIT9-ESY-PO</t>
  </si>
  <si>
    <t>amzn.gr.CFB-116100..-ZPKp5dFWDc6M-z7E-PO</t>
  </si>
  <si>
    <t>amzn.gr.PFI-20_(643..)-ibR2AnEmmB4TKy-PO</t>
  </si>
  <si>
    <t>amzn.gr.RCB-09.._(SA)-KJeZb0P4PW7VK3k-PO</t>
  </si>
  <si>
    <t>amzn.gr.FP-61.._(SA)-ff8pWCyt83iv128l-PO</t>
  </si>
  <si>
    <t>amzn.gr.S21K..-KJld2hXDLR2xUAaNsgniwk-PO</t>
  </si>
  <si>
    <t>amzn.gr.FAB-541..-G6la7M09i4uc3bbqXzB-PO</t>
  </si>
  <si>
    <t>amzn.gr.FAB-450.._(HA)-nbKu3C8G7-Y6gw-PO</t>
  </si>
  <si>
    <t>amzn.gr.CNF-03.._(HA)-4zokANWxobsEw7n-PO</t>
  </si>
  <si>
    <t>amzn.gr.FAB-425-PN28DyBbN-VytoSRAuf3W-PO</t>
  </si>
  <si>
    <t>amzn.gr.FAB-565..-DUOJJeSZIM_A15oDnUn-PO</t>
  </si>
  <si>
    <t>amzn.gr.FAB-427..-Ssr36YW2LUnUpmV7JjV-PO</t>
  </si>
  <si>
    <t>FAB-579 (2)</t>
  </si>
  <si>
    <t>FAB-579(2)</t>
  </si>
  <si>
    <t>A06-0233-WR-A118</t>
  </si>
  <si>
    <t>WR-A218 (SB)</t>
  </si>
  <si>
    <t>amzn.gr.BS9..-9UwqDxMp8RdPrDDxmoQrwW4-LN</t>
  </si>
  <si>
    <t>amzn.gr.PO-AC7_(SA)-jOw4le-VY7Pjl60OR-LN</t>
  </si>
  <si>
    <t>amzn.gr.FAB-429_(HA)-XunxizGs-XX96uvn-VG</t>
  </si>
  <si>
    <t>FAB-383 (HE)</t>
  </si>
  <si>
    <t>amzn.gr.GEN-SB09..-5JNgSVvthpM1WPwncz-VG</t>
  </si>
  <si>
    <t>FAB-588 (HA)</t>
  </si>
  <si>
    <t>A23-0813-PR-32</t>
  </si>
  <si>
    <t>amzn.gr.V4-1524..-cE0FkqCt_tBEgKgNHY--LN</t>
  </si>
  <si>
    <t>amzn.gr.FAB-173..-KNW56wuC2PWtrPwfn-Y-LN</t>
  </si>
  <si>
    <t>amzn.gr.FAB-491___FAB-493..-E9DfNV6xf-VG</t>
  </si>
  <si>
    <t>GEN-CPB1013 (SB)</t>
  </si>
  <si>
    <t>HB-18.. (SA)</t>
  </si>
  <si>
    <t>amzn.gr.V2_(834..)-Z73s86NJ6oJDTgz0jx-LN</t>
  </si>
  <si>
    <t>amzn.gr.FAB-542..-4PDYMakc4kX9-N7mUhK-VG</t>
  </si>
  <si>
    <t>amzn.gr.FAB-173..-KNW56wuC2PWtrPwfn-Y-VG</t>
  </si>
  <si>
    <t>amzn.gr.ST-16..-ldmyPljghuCYoRm8pJknS-VG</t>
  </si>
  <si>
    <t>amzn.gr.B4F._(239)-ENDlzT-94P2vtkROKE-LN</t>
  </si>
  <si>
    <t>amzn.gr.V4-1824.-z6G84B23SU0BPGcyiT3W-VG</t>
  </si>
  <si>
    <t>amzn.gr.FAB-476_(HA)-0eFEqsnWALKrL4fS-VG</t>
  </si>
  <si>
    <t>amzn.gr.JMT-103_(SE)-DFDNAKrHDN8tOBi_-LN</t>
  </si>
  <si>
    <t>amzn.gr.S25..-gWAspvznHujA0jXTD7GS862-VG</t>
  </si>
  <si>
    <t>amzn.gr.V4-1224_(843..)-CkqKO1KDoT9nW-LN</t>
  </si>
  <si>
    <t>amzn.gr.V4-1524..-GyoVzDvZ3dOmVnTYyaV-LN</t>
  </si>
  <si>
    <t>amzn.gr.FAB-429..-rr-YDx9S53LkBP38MpB-LN</t>
  </si>
  <si>
    <t>amzn.gr.B12X..-mwE9_5YlWYnaq3BjngxUdN-LN</t>
  </si>
  <si>
    <t>amzn.gr.V2-1824_(838..)-aItPQSJ0tv4fF-LN</t>
  </si>
  <si>
    <t>amzn.gr.FAB-560_(HA)-6PWqWj-Cfacdz_zT-VG</t>
  </si>
  <si>
    <t>amzn.gr.PO-AC8..-eejw3Z8FWq9T2dVZ0AIF-VG</t>
  </si>
  <si>
    <t>amzn.gr.RCB-06_(730..)-SNoaSG8uqqpdjP-VG</t>
  </si>
  <si>
    <t>amzn.gr.S21K..-L-A6FXo53LH4bUlrdx_gcd-LN</t>
  </si>
  <si>
    <t>amzn.gr.V2_(834..)-BpCnX9rdjLA5fHDVhP-LN</t>
  </si>
  <si>
    <t>amzn.gr.V2_(834..)-oB00A6mm1964ZImW_V-VG</t>
  </si>
  <si>
    <t>amzn.gr.FAB-552_(HB)-0XFjvLex2D1mhXDE-VG</t>
  </si>
  <si>
    <t>amzn.gr.PO-AC6.._(SA)-m1Sfug1FkUP6L1f-VG</t>
  </si>
  <si>
    <t>amzn.gr.V4-1224_(843..)-WV-hZFgBFe8V8-VG</t>
  </si>
  <si>
    <t>amzn.gr.FAB-397_(HB)-v5KVBuqAzBFWS179-VG</t>
  </si>
  <si>
    <t>amzn.gr.FAB-406..-MIXK_PP4Eutyhp3OUFY-VG</t>
  </si>
  <si>
    <t>amzn.gr.FAB-422.._(HA)-0yPvjhrdW9funB-AC</t>
  </si>
  <si>
    <t>amzn.gr.FAB-473..-SKt7Dj_3ezLWpoFdnXN-VG</t>
  </si>
  <si>
    <t>amzn.gr.FAB-547..-QpQMueFVoEuIaVClVIl-VG</t>
  </si>
  <si>
    <t>amzn.gr.FAB-589..-yZ3d-eZB_oNiypuyY1c-VG</t>
  </si>
  <si>
    <t>amzn.gr.PO-AC7..-gj2KBywWyEFiDHoiNPal-LN</t>
  </si>
  <si>
    <t>amzn.gr.FAB-08B-s5WoSQKRBH_UDyolJzK3M-VG</t>
  </si>
  <si>
    <t>amzn.gr.CNF-03..-PYk6ycPuXOnvwF6ZLGgH-LN</t>
  </si>
  <si>
    <t>amzn.gr.FAB-416..(HA)-QbiATEFwDZzj4Ft-LN</t>
  </si>
  <si>
    <t>amzn.gr.HB-10P..-Iq8_R8lkEpIasQ2OzPeu-LN</t>
  </si>
  <si>
    <t>amzn.gr.FAB-49_(SB)-8zc1ZHSQkD3Emx677-VG</t>
  </si>
  <si>
    <t>amzn.gr.IB-A16_(345..)-R9OF1sT9oOuTvQ-VG</t>
  </si>
  <si>
    <t>amzn.gr.S25J..-L9fKDV5J0bi3LngtuP1Wb0-VG</t>
  </si>
  <si>
    <t>amzn.gr.V2-1824_(838..)-xKSLcCjiPS9I0-LN</t>
  </si>
  <si>
    <t>amzn.gr.V4-1824.-SPF51XbKXegEfkv-H5By-VG</t>
  </si>
  <si>
    <t>amzn.gr.V4F.-v8sQ9FJym6EOgCaWoBv_vHr2-VG</t>
  </si>
  <si>
    <t>amzn.gr.FAB-562..-QU_t4WUK2Kh2HAU5KRj-VG</t>
  </si>
  <si>
    <t>amzn.gr.V2F.._(SA)-Yt3sHBTtvKwTGnGdaQ-LN</t>
  </si>
  <si>
    <t>B4F (SB)</t>
  </si>
  <si>
    <t>CFB-20812 (SB)</t>
  </si>
  <si>
    <t>CP-1-2425F (SA)</t>
  </si>
  <si>
    <t>CT-TC22 (SE)</t>
  </si>
  <si>
    <t>FAB-150 (SA)</t>
  </si>
  <si>
    <t>FPB-14 (SA)</t>
  </si>
  <si>
    <t>FPB-14 (SB)</t>
  </si>
  <si>
    <t>GEN-CN05 (SC)</t>
  </si>
  <si>
    <t>GEN-CN06 (SC)</t>
  </si>
  <si>
    <t>GEN-CN07 (SC)</t>
  </si>
  <si>
    <t>GEN-SB08 (SA)</t>
  </si>
  <si>
    <t>GEN-SB08 (SB)</t>
  </si>
  <si>
    <t>HB-10P (SE)</t>
  </si>
  <si>
    <t>HB-10P (SF)</t>
  </si>
  <si>
    <t>HB-18 (SB)</t>
  </si>
  <si>
    <t>HB-19P (SD)</t>
  </si>
  <si>
    <t>HB-25 (SB)</t>
  </si>
  <si>
    <t>HB-35 (SB)</t>
  </si>
  <si>
    <t>IB-A16 (SD)</t>
  </si>
  <si>
    <t>JMT-02 (SC)</t>
  </si>
  <si>
    <t>JMT-02 (SD)</t>
  </si>
  <si>
    <t>JMT-02 (SE)</t>
  </si>
  <si>
    <t>JMT-03 (SC)</t>
  </si>
  <si>
    <t>JMT-03 (SD)</t>
  </si>
  <si>
    <t>JMT-159 (SA)</t>
  </si>
  <si>
    <t>PF-S1 (SE)</t>
  </si>
  <si>
    <t>PF-S1 + PF-S2 + PF-S2 (SF)</t>
  </si>
  <si>
    <t>PFB-01 (SB)</t>
  </si>
  <si>
    <t>PFB-04 (SA)</t>
  </si>
  <si>
    <t>PO-AC3 (SA)</t>
  </si>
  <si>
    <t>PO-AC3 (SB)</t>
  </si>
  <si>
    <t>PO-AC6 (SC)</t>
  </si>
  <si>
    <t>PO-AC8 (SA)</t>
  </si>
  <si>
    <t>V2 (2)</t>
  </si>
  <si>
    <t>V2(2)</t>
  </si>
  <si>
    <t>V2 (4)</t>
  </si>
  <si>
    <t>V2(4)</t>
  </si>
  <si>
    <t>V2 (6)</t>
  </si>
  <si>
    <t>V2(6)</t>
  </si>
  <si>
    <t>V2 (SB)</t>
  </si>
  <si>
    <t>CFB-050812 (SA)</t>
  </si>
  <si>
    <t>GEN-SP02 (SA)</t>
  </si>
  <si>
    <t>GEN-SP03 (SA)</t>
  </si>
  <si>
    <t>HB-18 (HC)</t>
  </si>
  <si>
    <t>PKG-03 (SB)</t>
  </si>
  <si>
    <t>PKG-07 (SB)</t>
  </si>
  <si>
    <t>PKG-09 (SB)</t>
  </si>
  <si>
    <t>ST-03 (SB)</t>
  </si>
  <si>
    <t>ST-04 (SB)</t>
  </si>
  <si>
    <t>V9 (SA)</t>
  </si>
  <si>
    <t>FAB-311 (HB)</t>
  </si>
  <si>
    <t>FAB-364 (HB)</t>
  </si>
  <si>
    <t>FAB-394 (HA)</t>
  </si>
  <si>
    <t>FAB-395 (HB)</t>
  </si>
  <si>
    <t>FAB-415 (HB)</t>
  </si>
  <si>
    <t>FAB-417 (HA)</t>
  </si>
  <si>
    <t>FAB-417 (HE)</t>
  </si>
  <si>
    <t>FAB-420 (HA)</t>
  </si>
  <si>
    <t>FAB-441 (HB)</t>
  </si>
  <si>
    <t>FAB-465 (HB)</t>
  </si>
  <si>
    <t>FAB-494 (HB)</t>
  </si>
  <si>
    <t>FAB-501 (HB)</t>
  </si>
  <si>
    <t>FAB-506 (HB)</t>
  </si>
  <si>
    <t>FAB-531 (HB)</t>
  </si>
  <si>
    <t>FAB-532 (HA)</t>
  </si>
  <si>
    <t>FAB-533 (HA)</t>
  </si>
  <si>
    <t>FAB-534 (HA)</t>
  </si>
  <si>
    <t>FAB-535 (HA)</t>
  </si>
  <si>
    <t>FAB-536 (HA)</t>
  </si>
  <si>
    <t>FAB-538 (HB)</t>
  </si>
  <si>
    <t>FAB-540 (HB)</t>
  </si>
  <si>
    <t>FAB-545 (HB)</t>
  </si>
  <si>
    <t>FAB-546 (HB)</t>
  </si>
  <si>
    <t>FAB-547 (HB)</t>
  </si>
  <si>
    <t>FAB-552 (HF)</t>
  </si>
  <si>
    <t>FAB-559 (HB)</t>
  </si>
  <si>
    <t>FAB-363 (HC)</t>
  </si>
  <si>
    <t>FAB-449 (HC)</t>
  </si>
  <si>
    <t>FAB-514..</t>
  </si>
  <si>
    <t>FAB-572..</t>
  </si>
  <si>
    <t>PO-AC9..</t>
  </si>
  <si>
    <t>MFI-13 (FA)</t>
  </si>
  <si>
    <t>FAB-585 (LC)</t>
  </si>
  <si>
    <t>ST-09 (LB)</t>
  </si>
  <si>
    <t>ST-10 (LB)</t>
  </si>
  <si>
    <t>ST-12 (LA)</t>
  </si>
  <si>
    <t>ST-14 (LB)</t>
  </si>
  <si>
    <t>V6(AA)</t>
  </si>
  <si>
    <t>PR-14 (NS)</t>
  </si>
  <si>
    <t>FAB-548 + FAB-549</t>
  </si>
  <si>
    <t>FAB-548 + FAB-549 + FAB-550</t>
  </si>
  <si>
    <t>FAB-AC11</t>
  </si>
  <si>
    <t>RCB-07 (NS)</t>
  </si>
  <si>
    <t>FAB-552 (HE</t>
  </si>
  <si>
    <t>amzn.gr.FPB-14..-KVNlqyXFZmYnNrNTfuga-VG</t>
  </si>
  <si>
    <t>amzn.gr.JMT-59_(535..)-kWT0clzVVsYraj-AC</t>
  </si>
  <si>
    <t>amzn.gr.S9J..-TpqRjWkfxZ4_wI7zp9pE9IP-LN</t>
  </si>
  <si>
    <t>amzn.gr.FAB-377_(LC)-eF4vHvLAwSu8uO-F-VG</t>
  </si>
  <si>
    <t>amzn.gr.FAB-401..-Nn69YquhRDuwQgxaUzu-LN</t>
  </si>
  <si>
    <t>amzn.gr.S25J_(SA)-xP_0caaAlqLxeD8mnsT-VG</t>
  </si>
  <si>
    <t>amzn.gr.V2-1824_(SA)-aItPQSJ0tv4fFfAl-VG</t>
  </si>
  <si>
    <t>amzn.gr.FAB-542..-gMfohZTjBmep2x_f1Te-VG</t>
  </si>
  <si>
    <t>amzn.gr.WR-A212.._(TC)-7JzOBvNlb-yOg--VG</t>
  </si>
  <si>
    <t>amzn.gr.FAB-422_(HB)-lNxfEpSRdOXafYrU-VG</t>
  </si>
  <si>
    <t>amzn.gr.FAB-421.._(HA)-faDhnHcoJCaQm0-VG</t>
  </si>
  <si>
    <t>amzn.gr.FAB-469-kEIwBKCsn5vRBnDnuRf61-LN</t>
  </si>
  <si>
    <t>amzn.gr.ST-12..-k9RK9SvRcvfH0rj5wpcvz-PO</t>
  </si>
  <si>
    <t>amzn.gr.FAB-561..-Qald0RtoLPR8lUuqjVe-VG</t>
  </si>
  <si>
    <t>amzn.gr.FAB-552..-luvB3_dJejp7YqQn5YN-LN</t>
  </si>
  <si>
    <t>amzn.gr.CFB-12496..-hDfwJ7fkrz5eezWBt-VG</t>
  </si>
  <si>
    <t>amzn.gr.FAB-558..-1utlcl0qMzAyvdAPWPR-VG</t>
  </si>
  <si>
    <t>amzn.gr.ST-04_(LD)-jsIKvqifPUekcHyKYs-VG</t>
  </si>
  <si>
    <t>amzn.gr.BS9..-PJ0hp3O381hRCpmMKuCvaEx-VG</t>
  </si>
  <si>
    <t>amzn.gr.FAB-579..-2i-ku9HAyfnw7qr_P68-AC</t>
  </si>
  <si>
    <t>amzn.gr.Z4F2_(049..)-urdunygZBJA3CYpk-PO</t>
  </si>
  <si>
    <t>amzn.gr.FAB-49_(SB)-lHBisBp3RVuHCb9gU-PO</t>
  </si>
  <si>
    <t>amzn.gr.EH-03.._(SA)-Hn2OxQW6_M40tWr0-PO</t>
  </si>
  <si>
    <t>amzn.gr.FAB-433___FAB-437.._(H-0eL7RY-PO</t>
  </si>
  <si>
    <t>amzn.gr.FAB-430._(HD)-ItvWloLCEjG7r5r-PO</t>
  </si>
  <si>
    <t>amzn.gr.FAB-543..-FpSuO7gKXEsBaxc1s4s-PO</t>
  </si>
  <si>
    <t>amzn.gr.FAB-241..-b79ADmVl5D1UagOD6Hc-PO</t>
  </si>
  <si>
    <t>amzn.gr.FAB-552_(HB)-kJJAyqHhQbxitHXM-PO</t>
  </si>
  <si>
    <t>amzn.gr.FAB-398_(HB)-qR4FO8HXEyR9p-Vr-LN</t>
  </si>
  <si>
    <t>amzn.gr.FAB-420_(HA)-LeNXYg2hdDOJLuT6-LN</t>
  </si>
  <si>
    <t>amzn.gr.FAB-440-I7yeq2cYAgR4B6KL-FERg-VG</t>
  </si>
  <si>
    <t>amzn.gr.FAB-562..-3yh4wtTk0JPxea-Ibjs-LN</t>
  </si>
  <si>
    <t>amzn.gr.JMT-118..-eNoaA9fvf2y2sg2V8Vp-LN</t>
  </si>
  <si>
    <t>amzn.gr.FAB-361_(HD)-6qWVD_PP4SSS2Dph-VG</t>
  </si>
  <si>
    <t>FAB-377 (LD)</t>
  </si>
  <si>
    <t>GEN-CPB1011 (SC)</t>
  </si>
  <si>
    <t>A26-0966-EH-03</t>
  </si>
  <si>
    <t>C7-6112-FAB-492</t>
  </si>
  <si>
    <t>ST-15 (SA)</t>
  </si>
  <si>
    <t>FAB-475 + FAB-388</t>
  </si>
  <si>
    <t>FAB-475+FAB-388</t>
  </si>
  <si>
    <t xml:space="preserve">PR-14 </t>
  </si>
  <si>
    <t xml:space="preserve">RCB-07 </t>
  </si>
  <si>
    <t xml:space="preserve">FAB-552 </t>
  </si>
  <si>
    <t>amzn.gr.JMT-59_</t>
  </si>
  <si>
    <t>amzn.gr.FAB-377_</t>
  </si>
  <si>
    <t>amzn.gr.S25J_</t>
  </si>
  <si>
    <t>amzn.gr.V2-1824_</t>
  </si>
  <si>
    <t>amzn.gr.WR-A212.._</t>
  </si>
  <si>
    <t>amzn.gr.FAB-422_</t>
  </si>
  <si>
    <t>amzn.gr.FAB-421.._</t>
  </si>
  <si>
    <t>amzn.gr.ST-04_</t>
  </si>
  <si>
    <t>amzn.gr.Z4F2_</t>
  </si>
  <si>
    <t>amzn.gr.FAB-49_</t>
  </si>
  <si>
    <t>amzn.gr.EH-03.._</t>
  </si>
  <si>
    <t>amzn.gr.FAB-433___FAB-437.._</t>
  </si>
  <si>
    <t>amzn.gr.FAB-430._</t>
  </si>
  <si>
    <t>amzn.gr.FAB-552_</t>
  </si>
  <si>
    <t>amzn.gr.FAB-398_</t>
  </si>
  <si>
    <t>amzn.gr.FAB-420_</t>
  </si>
  <si>
    <t>amzn.gr.FAB-361_</t>
  </si>
  <si>
    <t xml:space="preserve">FAB-377 </t>
  </si>
  <si>
    <t>amzn.gr.V4-1524..-zqhhWYxK-mlXVmkm13d-VG</t>
  </si>
  <si>
    <t>amzn.gr.V4-1524..-cE0FkqCt_tBEgKgNHY--VG</t>
  </si>
  <si>
    <t>amzn.gr.FAB-475_</t>
  </si>
  <si>
    <t xml:space="preserve">B12F </t>
  </si>
  <si>
    <t xml:space="preserve">IB-A16 </t>
  </si>
  <si>
    <t xml:space="preserve">S21X </t>
  </si>
  <si>
    <t xml:space="preserve">S9J </t>
  </si>
  <si>
    <t xml:space="preserve">S9X </t>
  </si>
  <si>
    <t xml:space="preserve">V5 </t>
  </si>
  <si>
    <t xml:space="preserve">V6 </t>
  </si>
  <si>
    <t xml:space="preserve">V7 </t>
  </si>
  <si>
    <t xml:space="preserve">Z4F </t>
  </si>
  <si>
    <t xml:space="preserve">Z4F2 </t>
  </si>
  <si>
    <t xml:space="preserve">FAB-475 </t>
  </si>
  <si>
    <t xml:space="preserve">FAB-433 + FAB-435 </t>
  </si>
  <si>
    <t xml:space="preserve">FAB-491 + FAB-493 </t>
  </si>
  <si>
    <t xml:space="preserve">FAB-492 + FAB-493 </t>
  </si>
  <si>
    <t>FAB-494 + FAB-495</t>
  </si>
  <si>
    <t>FAB-494+FAB-495</t>
  </si>
  <si>
    <t xml:space="preserve">FAB-379 + FAB-381 </t>
  </si>
  <si>
    <t xml:space="preserve">ST-09+53 </t>
  </si>
  <si>
    <t xml:space="preserve">ST-11+52+52+55+58 </t>
  </si>
  <si>
    <t xml:space="preserve">ST-11+55 </t>
  </si>
  <si>
    <t xml:space="preserve">ST-11+58 </t>
  </si>
  <si>
    <t xml:space="preserve">FAB-377 + FAB-378 </t>
  </si>
  <si>
    <t xml:space="preserve">FAB-377 + FAB-378 + FAB-381 </t>
  </si>
  <si>
    <t xml:space="preserve">FAB-379 </t>
  </si>
  <si>
    <t xml:space="preserve">FAB-381 </t>
  </si>
  <si>
    <t xml:space="preserve">ST-10+52+52+57 </t>
  </si>
  <si>
    <t xml:space="preserve">ST-10+52+54+57 </t>
  </si>
  <si>
    <t>FAB-537 + 577 + 574 + 569 + 491 + 493</t>
  </si>
  <si>
    <t>FAB-537+FAB-577+FAB-574+FAB-569+FAB-491+FAB-493</t>
  </si>
  <si>
    <t>A24-0881-PR-14</t>
  </si>
  <si>
    <t>A07-0269-B9J</t>
  </si>
  <si>
    <t>A25-0900-PF-RP08</t>
  </si>
  <si>
    <t>A26-0971-PF-RG3</t>
  </si>
  <si>
    <t>FAB-537+577+574+569+491+493</t>
  </si>
  <si>
    <t>A27-0991-EPX-02</t>
  </si>
  <si>
    <t>FAB-577 (SA)</t>
  </si>
  <si>
    <t>A26-0973-RCB-09</t>
  </si>
  <si>
    <t>C12-6306-GEN-SP01</t>
  </si>
  <si>
    <t>SB - Forge Stand</t>
  </si>
  <si>
    <t>amzn.gr.V6_(849..)-uWEbTA7Y199-ye8ojk-VG</t>
  </si>
  <si>
    <t>amzn.gr.RCB-13..-6p5ZF5vhP_CKvDSIDvgn-VG</t>
  </si>
  <si>
    <t>amzn.gr.FAB-417..-2zdAard29u-AGQ-UY8D-VG</t>
  </si>
  <si>
    <t>amzn.gr.PO-AC3_(SB)-aBIN3v6aHnXos7AqI-LN</t>
  </si>
  <si>
    <t>amzn.gr.S21..-Ms5rmrM4I80Q_fcRY7c4ZQd-LN</t>
  </si>
  <si>
    <t>amzn.gr.FAB-555..-QrnfU8qFgRRGxKG0F53-VG</t>
  </si>
  <si>
    <t>amzn.gr.FAB-433___FAB-435.._(H-VYSSti-LN</t>
  </si>
  <si>
    <t>amzn.gr.FAB-475_(HD)-mYvkx1c0IxwhEejl-VG</t>
  </si>
  <si>
    <t>B12F (TH)</t>
  </si>
  <si>
    <t>IB-A16 (2) (SA)</t>
  </si>
  <si>
    <t>S21X (TH)</t>
  </si>
  <si>
    <t>S9J (TH)</t>
  </si>
  <si>
    <t>S9X (TH)</t>
  </si>
  <si>
    <t>V5 (TH)</t>
  </si>
  <si>
    <t>V6 (TH)</t>
  </si>
  <si>
    <t>V7 (TH)</t>
  </si>
  <si>
    <t>Z4F (TH)</t>
  </si>
  <si>
    <t>Z4F2 (TH)</t>
  </si>
  <si>
    <t>FAB-475 (HD)</t>
  </si>
  <si>
    <t>FAB-433 + FAB-435 (HC)</t>
  </si>
  <si>
    <t>FAB-491 + FAB-493 (HA)</t>
  </si>
  <si>
    <t>FAB-492 + FAB-493 (HA)</t>
  </si>
  <si>
    <t>FAB-379 + FAB-381 (LC)</t>
  </si>
  <si>
    <t>ST-09+53 (LB)</t>
  </si>
  <si>
    <t>ST-11+52+52+55+58 (LB)</t>
  </si>
  <si>
    <t>ST-11+55 (LB)</t>
  </si>
  <si>
    <t>ST-11+58 (LB)</t>
  </si>
  <si>
    <t>FAB-377 + FAB-378 (LC)</t>
  </si>
  <si>
    <t>FAB-377 + FAB-378 + FAB-381 (LC)</t>
  </si>
  <si>
    <t>FAB-379 (LD)</t>
  </si>
  <si>
    <t>FAB-381 (LC)</t>
  </si>
  <si>
    <t>ST-10+52+52+57 (LB)</t>
  </si>
  <si>
    <t>ST-10+52+54+57 (LB)</t>
  </si>
  <si>
    <t>amzn.gr.FAB-559..-I27k1xWqsUD6dUztnT0-VG</t>
  </si>
  <si>
    <t>amzn.gr.FAB-406..-1WO0dfFQplR-1nMIojj-VG</t>
  </si>
  <si>
    <t>amzn.gr.CFB-12496..-CIL6H4_tDjFbeMZVN-LN</t>
  </si>
  <si>
    <t>amzn.gr.RCB-13..-31ZeBk0KaXuyx9eF9GWe-LN</t>
  </si>
  <si>
    <t>amzn.gr.S9J..-YBE7Qw9kZe3UIf8fGtSuN6l-VG</t>
  </si>
  <si>
    <t>amzn.gr.FAB-420_(HA)-QnNVsncHmCqsN0WX-LN</t>
  </si>
  <si>
    <t>amzn.gr.FAB-531..-GiWIJnkr6JN-z_5Be5L-VG</t>
  </si>
  <si>
    <t>amzn.gr.FAB-584..-u8l7cHSTg1WCSq7WkI6-VG</t>
  </si>
  <si>
    <t>amzn.gr.BS9..-aI-7pE0WnBSK-GGLcnGaNU6-VG</t>
  </si>
  <si>
    <t>amzn.gr.FAB-545_(HA)-a18pxymwfjRLjTd8-VG</t>
  </si>
  <si>
    <t>GEN-SP01 (SB)</t>
  </si>
  <si>
    <t>GEN-SP06..</t>
  </si>
  <si>
    <t>GEN-SP07..</t>
  </si>
  <si>
    <t>GEN-SP08..</t>
  </si>
  <si>
    <t>P6-NQHF-D13U</t>
  </si>
  <si>
    <t>P6</t>
  </si>
  <si>
    <t>FAB-523..(HA)</t>
  </si>
  <si>
    <t>amzn.gr.CNF-03.._(HA)-p6P4yt5t3eBwkzA-AC</t>
  </si>
  <si>
    <t>amzn.gr.FAB-433___FAB-436-XmJOt2MAwzD-LN</t>
  </si>
  <si>
    <t>amzn.gr.FAB-433___FAB-437.._(H-hZPZvf-VG</t>
  </si>
  <si>
    <t>amzn.gr.FAB-527..-K4kdYJS81MtV3amzY7K-VG</t>
  </si>
  <si>
    <t>amzn.gr.ST-12_(LA)-O7vZb093Bt6inXaeHH-LN</t>
  </si>
  <si>
    <t>GEN-SP02 (SB)</t>
  </si>
  <si>
    <t>GEN-SP03 (SB)</t>
  </si>
  <si>
    <t>GEN-SP04 (SA)</t>
  </si>
  <si>
    <t>GEN-SP04 (SB)</t>
  </si>
  <si>
    <t>GEN-SP06 (SA)</t>
  </si>
  <si>
    <t>GEN-SP07 (SA)</t>
  </si>
  <si>
    <t>GEN-SP08 (SA)</t>
  </si>
  <si>
    <t>V2-1212 (SB)</t>
  </si>
  <si>
    <t>V2-1224 (SC)</t>
  </si>
  <si>
    <t>BB-105210.. (SA)</t>
  </si>
  <si>
    <t>BB-115185.. (SA)</t>
  </si>
  <si>
    <t>amzn.gr.B10X_(SA)-8d1u1TGotxaeDbXwJDK-VG</t>
  </si>
  <si>
    <t>amzn.gr.JMT-59..-drfVbjw3onog80ElyPwM-VG</t>
  </si>
  <si>
    <t>amzn.gr.PO-AC7..-gj2KBywWyEFiDHoiNPal-VG</t>
  </si>
  <si>
    <t>amzn.gr.V2-1224.-vqe6dy_6glVgYEyiSzzK-LN</t>
  </si>
  <si>
    <t>amzn.gr.FAB-401..-kx_qmKU3BXLok87qy3d-GD</t>
  </si>
  <si>
    <t>amzn.gr.FAB-522_(HC)-DHObRBaCJkdKHF96-GD</t>
  </si>
  <si>
    <t>amzn.gr.FAB-543..-MoDSpglrC1DsknXt98y-VG</t>
  </si>
  <si>
    <t>amzn.gr.FAB-558_(HA)-DoUGlUHdYBYbieIM-VG</t>
  </si>
  <si>
    <t>amzn.gr.FAB-579..-IyNBZhG6MF58Vl_3aRz-LN</t>
  </si>
  <si>
    <t>amzn.gr.FAB-587..-IXRS7uUGr8hW_1I_lzN-VG</t>
  </si>
  <si>
    <t>FAB-379.. (LB)</t>
  </si>
  <si>
    <t>FAB-548 + FAB-549 (HA)</t>
  </si>
  <si>
    <t>JMT-103 (SI)</t>
  </si>
  <si>
    <t>JMT-103 (SJ)</t>
  </si>
  <si>
    <t>amzn.gr.B9J..-NOQY2KE1hKZeaHV0B09s3bY-VG</t>
  </si>
  <si>
    <t>amzn.gr.FAB-401..-nJcjbDe8_OALovl50f0-LN</t>
  </si>
  <si>
    <t>amzn.gr.FAB-426.._(HA)-MroVaQ21auf-hN-LN</t>
  </si>
  <si>
    <t>amzn.gr.JMT-59..-4tOUlZ_l5jI0YuMsxsHE-LN</t>
  </si>
  <si>
    <t>amzn.gr.V4F.-A9Oc89TAZJ2AeBJBdLo67T7O-VG</t>
  </si>
  <si>
    <t>amzn.gr.CFB-12460..-Mo-AT-tCcA0gfHV2w-LN</t>
  </si>
  <si>
    <t>amzn.gr.FAB-427..-ZMYYFOMy0feKrRd2CYA-VG</t>
  </si>
  <si>
    <t>amzn.gr.JMT-59..-Z27qqVePSEsrHxfbcPun-VG</t>
  </si>
  <si>
    <t>amzn.gr.V2-1824_(838..)-aItPQSJ0tv4fF-VG</t>
  </si>
  <si>
    <t>amzn.gr.V2-1824_(838..)-tR-HWFaUZ-U4Y-LN</t>
  </si>
  <si>
    <t>GEN-SP01 (SD)</t>
  </si>
  <si>
    <t>V2-1824 (SB)</t>
  </si>
  <si>
    <t>V2F (SC)</t>
  </si>
  <si>
    <t>V4-1212 (SD)</t>
  </si>
  <si>
    <t>V4-1224 (SB)</t>
  </si>
  <si>
    <t>V4-1824 (SB)</t>
  </si>
  <si>
    <t>V4F (SB)</t>
  </si>
  <si>
    <t>V6 (SB)</t>
  </si>
  <si>
    <t>BB-105210 (SC)</t>
  </si>
  <si>
    <t>FAB-523 (HA)</t>
  </si>
  <si>
    <t>FAB-523 (HB)</t>
  </si>
  <si>
    <t>FAB-523 (HC)</t>
  </si>
  <si>
    <t>FAB-523 (HD)</t>
  </si>
  <si>
    <t>FAB-523 (HE)</t>
  </si>
  <si>
    <t>FAB-523 (HF)</t>
  </si>
  <si>
    <t>GEN-DS01 (FA)</t>
  </si>
  <si>
    <t>GEN-DS01</t>
  </si>
  <si>
    <t>GEN-DS03</t>
  </si>
  <si>
    <t>GEN-DS04</t>
  </si>
  <si>
    <t>GEN-DS05</t>
  </si>
  <si>
    <t>GEN-DS10</t>
  </si>
  <si>
    <t>GEN-DS11</t>
  </si>
  <si>
    <t>GEN-DS12</t>
  </si>
  <si>
    <t>GEN-DS14 (FA)</t>
  </si>
  <si>
    <t>GEN-DS14</t>
  </si>
  <si>
    <t>GEN-DS15</t>
  </si>
  <si>
    <t>GEN-DS16</t>
  </si>
  <si>
    <t>GEN-DS17</t>
  </si>
  <si>
    <t>GEN-DS18</t>
  </si>
  <si>
    <t>GEN-DS19</t>
  </si>
  <si>
    <t>GEN-DS20</t>
  </si>
  <si>
    <t>GEN-DS21</t>
  </si>
  <si>
    <t>GEN-DS22</t>
  </si>
  <si>
    <t>GEN-DS23</t>
  </si>
  <si>
    <t>GEN-DS24</t>
  </si>
  <si>
    <t>GEN-DS26</t>
  </si>
  <si>
    <t>GEN-DS27</t>
  </si>
  <si>
    <t>GEN-DS28</t>
  </si>
  <si>
    <t>GEN-DS29</t>
  </si>
  <si>
    <t>GEN-DS30</t>
  </si>
  <si>
    <t>GEN-DS31</t>
  </si>
  <si>
    <t>GEN-DS32</t>
  </si>
  <si>
    <t>GEN-DS33</t>
  </si>
  <si>
    <t>GEN-DS34</t>
  </si>
  <si>
    <t>GEN-DS35</t>
  </si>
  <si>
    <t>GEN-DS36</t>
  </si>
  <si>
    <t>GEN-DS37</t>
  </si>
  <si>
    <t>GEN-DS38</t>
  </si>
  <si>
    <t>GEN-DS39</t>
  </si>
  <si>
    <t>B5 (TS)</t>
  </si>
  <si>
    <t>GEN-DS13</t>
  </si>
  <si>
    <t>FAB-379 + FAB-380 (LC)</t>
  </si>
  <si>
    <t>amzn.gr.FAB-564..-0qoyxNL1rmq6r6K7aLL-LN</t>
  </si>
  <si>
    <t>amzn.gr.FAB-421.._(HA)-kieGEGteFkLSHI-VG</t>
  </si>
  <si>
    <t>amzn.gr.FAB-539_(HA)-llarVt-EfuX-rL5O-VG</t>
  </si>
  <si>
    <t>amzn.gr.JMT-118_(471..)-_HahM_WURVJ4P-VG</t>
  </si>
  <si>
    <t>amzn.gr.FAB-377___FAB-381..-UlbVnfX6Y-VG</t>
  </si>
  <si>
    <t>GEN-CPB1013 (SA)</t>
  </si>
  <si>
    <t>GEN-CPB1014 (SA)</t>
  </si>
  <si>
    <t>GEN-DS40</t>
  </si>
  <si>
    <t>GEN-DS41</t>
  </si>
  <si>
    <t>GEN-DS42</t>
  </si>
  <si>
    <t>GEN-DS43</t>
  </si>
  <si>
    <t>GEN-DS44</t>
  </si>
  <si>
    <t>GEN-DS46</t>
  </si>
  <si>
    <t>GEN-DS47</t>
  </si>
  <si>
    <t>GEN-DS48</t>
  </si>
  <si>
    <t>GEN-DS49</t>
  </si>
  <si>
    <t>GEN-DS50</t>
  </si>
  <si>
    <t>GEN-DS51</t>
  </si>
  <si>
    <t>GEN-DS52</t>
  </si>
  <si>
    <t>GEN-DS53</t>
  </si>
  <si>
    <t>amzn.gr.V4E_(845..)-YrfI33V7Vlb0Oaf-B-VG</t>
  </si>
  <si>
    <t>amzn.gr.EH-03.._(SA)-DzuNwlACnotDIKxs-VG</t>
  </si>
  <si>
    <t>amzn.gr.CP-2-2425F..-SLbcTKcZyTNiF5tL-VG</t>
  </si>
  <si>
    <t>amzn.gr.V4F.-H3cKjtZ1ZWpJiMl78tp2q0h2-LN</t>
  </si>
  <si>
    <t>amzn.gr.CP-3-2415F_(SA)-phnyp6e4rhS9t-LN</t>
  </si>
  <si>
    <t>amzn.gr.V4-2020..-Q2Pl3nnTPdK4WnG423G-VG</t>
  </si>
  <si>
    <t>amzn.gr.CP-1-2425F..-qCSWjhvP1kQIUlo1-LN</t>
  </si>
  <si>
    <t>amzn.gr.PO-AC8_(SA)-rqSOmfsgPgajweWLA-LN</t>
  </si>
  <si>
    <t>amzn.gr.CP-2-2425F..-vcsqcKzPKGIOeOLX-VG</t>
  </si>
  <si>
    <t>amzn.gr.JMT-59..-2PRWLRWxFakvVmFOEmdN-VG</t>
  </si>
  <si>
    <t>amzn.gr.V2-1224.-8LtcpLaFjUYiPoDGXitU-LN</t>
  </si>
  <si>
    <t>amzn.gr.S9X_(SB)-jpJarKz3A7zScsnPVAW3-VG</t>
  </si>
  <si>
    <t>amzn.gr.V4_(841..)-pc7tPVjU0gMKlawye9-LN</t>
  </si>
  <si>
    <t>FPB-11 (SA)</t>
  </si>
  <si>
    <t>FAB-421 (HA)</t>
  </si>
  <si>
    <t>GEN-DS54</t>
  </si>
  <si>
    <t>GEN-DS55</t>
  </si>
  <si>
    <t>GEN-DS56</t>
  </si>
  <si>
    <t>GEN-DS57</t>
  </si>
  <si>
    <t>GEN-DS58</t>
  </si>
  <si>
    <t>GEN-DS59</t>
  </si>
  <si>
    <t>GEN-DS60</t>
  </si>
  <si>
    <t>GEN-DS61</t>
  </si>
  <si>
    <t>GEN-DS62</t>
  </si>
  <si>
    <t>GEN-DS63</t>
  </si>
  <si>
    <t>GEN-DS65</t>
  </si>
  <si>
    <t>GEN-DS66</t>
  </si>
  <si>
    <t>GEN-DS67</t>
  </si>
  <si>
    <t>GEN-DS68</t>
  </si>
  <si>
    <t>GEN-DS69</t>
  </si>
  <si>
    <t>GEN-DS71</t>
  </si>
  <si>
    <t>GEN-DS72</t>
  </si>
  <si>
    <t>GEN-DS64</t>
  </si>
  <si>
    <t>amzn.gr.V2F..-MJFBtkr8vLSwJ0YuQ37VDKE-VG</t>
  </si>
  <si>
    <t>amzn.gr.FAB-417_(HA)-2zdAard29u-AGQ-U-VG</t>
  </si>
  <si>
    <t>amzn.gr.JMT-59_(SA)-Bwy3sjPFpUKdWlCIq-VG</t>
  </si>
  <si>
    <t>amzn.gr.BB-140226..-tQDooZ6jVByR5PDWK-VG</t>
  </si>
  <si>
    <t>amzn.gr.JMT-59..-4tOUlZ_l5jI0YuMsxsHE-VG</t>
  </si>
  <si>
    <t>amzn.gr.FAB-247..-wpnUKKsau2ti9ZldsZL-LN</t>
  </si>
  <si>
    <t>amzn.gr.JMT-59_(SA)-Bwy3sjPFpUKdWlCIq-LN</t>
  </si>
  <si>
    <t>amzn.gr.JMT-59_(SA)-uCJyzt-yK3IrWFk7S-VG</t>
  </si>
  <si>
    <t>amzn.gr.PO-AC8_(SA)-k9OEfBzFyvs8RbAyq-VG</t>
  </si>
  <si>
    <t>amzn.gr.V2_(834..)-IJ11oAx-HnNmrFzDJb-VG</t>
  </si>
  <si>
    <t>amzn.gr.V4-1824.-rs1afomCtC7j-3wra4vn-LN</t>
  </si>
  <si>
    <t>amzn.gr.V4-2020_(SA)-grSSLvZ9HHFbRLfE-VG</t>
  </si>
  <si>
    <t>amzn.gr.FAB-522..-hYLs9mPIbytcQtbDsqt-VG</t>
  </si>
  <si>
    <t>GEN-DS70</t>
  </si>
  <si>
    <t>GEN-DS73</t>
  </si>
  <si>
    <t>GEN-DS74</t>
  </si>
  <si>
    <t>GEN-DS75</t>
  </si>
  <si>
    <t>GEN-DS76</t>
  </si>
  <si>
    <t>GEN-DS77</t>
  </si>
  <si>
    <t>GEN-DS79</t>
  </si>
  <si>
    <t>GEN-DS80</t>
  </si>
  <si>
    <t>GEN-DS81</t>
  </si>
  <si>
    <t>amzn.gr.BS10_(038)..-Rrl3nMkCPw03jf99-PO</t>
  </si>
  <si>
    <t>amzn.gr.V2_(834..)-H1Sa92xmdcoDiI7Fad-PO</t>
  </si>
  <si>
    <t>amzn.gr.FAB-492___FAB-493_(HA)-B6vP2y-PO</t>
  </si>
  <si>
    <t>amzn.gr.IB-A16_(345..)-V57b0Jr7u00NNz-LN</t>
  </si>
  <si>
    <t>amzn.gr.S25J..-xP_0caaAlqLxeD8mnsTw_1-VG</t>
  </si>
  <si>
    <t>amzn.gr.S21X_(SB)-l_ywyeMfq4nfGvYuQm6-VG</t>
  </si>
  <si>
    <t>A23-0805-PF-RP15</t>
  </si>
  <si>
    <t>DS - SB - Posture Corrector - Manual - KW - EX</t>
  </si>
  <si>
    <t>GEN-DS46+GEN-DS03+GEN-DS04+GEN-DS05</t>
  </si>
  <si>
    <t>DS - SB - Invisible Height Insole - Manual - KW - EX</t>
  </si>
  <si>
    <t>GEN-DS20+GEN-DS21+GEN-DS22</t>
  </si>
  <si>
    <t>amzn.gr.V5_(848..)-flzgGt-1pbWtLi3d2f-LN</t>
  </si>
  <si>
    <t>amzn.gr.PO-AC3_(SB)-bJcFaz0m_UUdtx6CQ-LN</t>
  </si>
  <si>
    <t>amzn.gr.HB-10P..-7tq6QsOZZAzPetpvJnFt-AC</t>
  </si>
  <si>
    <t>amzn.gr.BS9_(SA)-zS1qRiohtCVybjrHdT2d-LN</t>
  </si>
  <si>
    <t>amzn.gr.PR-14.._(SA)-1lnpRDoxzg68wotm-GD</t>
  </si>
  <si>
    <t>amzn.gr.V4-2020_(SA)-PHQfbdX0-t_MOhsP-LN</t>
  </si>
  <si>
    <t>amzn.gr.V4-2020_(SA)-Q2Pl3nnTPdK4WnG4-VG</t>
  </si>
  <si>
    <t>amzn.gr.V4F.-CnW9FRmZW_XdN_oSe47hXCi7-LN</t>
  </si>
  <si>
    <t>amzn.gr.V4F.-mFTvhJAWHMUW0KQSM1Q0O7n4-VG</t>
  </si>
  <si>
    <t>GEN-DS03..</t>
  </si>
  <si>
    <t>GEN-DS11..</t>
  </si>
  <si>
    <t>GEN-DS20..</t>
  </si>
  <si>
    <t>GEN-DS22..</t>
  </si>
  <si>
    <t>GEN-DS46..</t>
  </si>
  <si>
    <t>FAB-593 (HA)</t>
  </si>
  <si>
    <t>GEN-DS78</t>
  </si>
  <si>
    <t>GEN-DS82</t>
  </si>
  <si>
    <t>GEN-DS83</t>
  </si>
  <si>
    <t>GEN-DS85</t>
  </si>
  <si>
    <t>GEN-DS87</t>
  </si>
  <si>
    <t>A04-0150-GEN-HW01</t>
  </si>
  <si>
    <t>GEN-DS84</t>
  </si>
  <si>
    <t>amzn.gr.B12X..-mbJUbe11U40CXVakMJcjHY-LN</t>
  </si>
  <si>
    <t>amzn.gr.V4-1824.-SPF51XbKXegEfkv-H5By-LN</t>
  </si>
  <si>
    <t>amzn.gr.FAB-532_(HA)-onc8J3hm3JyRnp9N-VG</t>
  </si>
  <si>
    <t>amzn.gr.FAB-360_(HD)-LygL-g9wlt1BQ1mq-VG</t>
  </si>
  <si>
    <t>amzn.gr.FAB-506.._(HA)-yqMDDO1GEJianF-VG</t>
  </si>
  <si>
    <t>amzn.gr.FAB-529_(HA)-wjMNDdC9R3-qMewf-GD</t>
  </si>
  <si>
    <t>amzn.gr.FAB-560..-e2IoWNLp8uiSCi8nSNv-AC</t>
  </si>
  <si>
    <t>FAB-592 (HA)</t>
  </si>
  <si>
    <t>GEN-DS101</t>
  </si>
  <si>
    <t>GEN-DS102</t>
  </si>
  <si>
    <t>GEN-DS103</t>
  </si>
  <si>
    <t>GEN-DS104</t>
  </si>
  <si>
    <t>GEN-DS88</t>
  </si>
  <si>
    <t>GEN-DS89</t>
  </si>
  <si>
    <t>GEN-DS92</t>
  </si>
  <si>
    <t>amzn.gr.V4-1824.-3hKfEFowx9LRzZY7yO5P-VG</t>
  </si>
  <si>
    <t>amzn.gr.V2-1224.-m6KCF7q0HnFsdSM3Nzeq-VG</t>
  </si>
  <si>
    <t>amzn.gr.PO-AC8_(SA)-o4CzY7Hk8V8-dhlyE-VG</t>
  </si>
  <si>
    <t>FAB-466 (SA)</t>
  </si>
  <si>
    <t>amzn.gr.B4F-LS-Q14QwgnbnJYzm6MV3VbuVW-VG</t>
  </si>
  <si>
    <t>amzn.gr.B12X..-euJ_BDxj1KyzyZyMdsUFnd-VG</t>
  </si>
  <si>
    <t>amzn.gr.CFB-116100_(SB)-uzgEjeftoYx0D-VG</t>
  </si>
  <si>
    <t>amzn.gr.FAB-398.._(HA)-MWHeNyQyRZbKwA-VG</t>
  </si>
  <si>
    <t>amzn.gr.FAB-398.._(HA)-uuGMAhsvjquE76-VG</t>
  </si>
  <si>
    <t>amzn.gr.FAB-417_(HA)-2zdAard29u-AGQ-U-LN</t>
  </si>
  <si>
    <t>GEN-DS105</t>
  </si>
  <si>
    <t>GEN-DS90</t>
  </si>
  <si>
    <t>GEN-DS91</t>
  </si>
  <si>
    <t>GEN-DS93</t>
  </si>
  <si>
    <t>GEN-DS95</t>
  </si>
  <si>
    <t>FAB-379 + FAB-380 (SC)</t>
  </si>
  <si>
    <t>amzn.gr.JMT-03_(SD)-ma7K7EzTBompY7SVY-LN</t>
  </si>
  <si>
    <t>amzn.gr.V2F.._(SA)-9KDedO7p_uo_qxFgKr-LN</t>
  </si>
  <si>
    <t>amzn.gr.Z4F2_(049..)-maZTl8yJHVJb-nf0-LN</t>
  </si>
  <si>
    <t>amzn.gr.CP-1-2425F..-L6NdSd10u31Lz21q-VG</t>
  </si>
  <si>
    <t>amzn.gr.JMT-59_(SB)-4tOUlZ_l5jI0YuMsx-VG</t>
  </si>
  <si>
    <t>amzn.gr.V4-1824.-wOdSAx0XT4s6e3W6-52Y-VG</t>
  </si>
  <si>
    <t>amzn.gr.JMT-118_(SA)-dMdj2UlT5bIbYw33-LN</t>
  </si>
  <si>
    <t>amzn.gr.FAB-558_(HA)-8XsbTjJS_xSVmM5H-VG</t>
  </si>
  <si>
    <t>GEN-DS96</t>
  </si>
  <si>
    <t>amzn.gr.BB-950185..-eb0hrDgwqfHU_hMN9-VG</t>
  </si>
  <si>
    <t>amzn.gr.HB-10P_(SA)-WDRA9qSnyf_14nTpl-LN</t>
  </si>
  <si>
    <t>No</t>
  </si>
  <si>
    <t>5% discount</t>
  </si>
  <si>
    <t>Lower Price Limit</t>
  </si>
  <si>
    <t>FBA FEES CALCULATOR</t>
  </si>
  <si>
    <t>Removal Fees Calculator</t>
  </si>
  <si>
    <t>Liquidation Fees</t>
  </si>
  <si>
    <t>Weight (lb)</t>
  </si>
  <si>
    <t>Processing Fee ($)</t>
  </si>
  <si>
    <t>Enter Values</t>
  </si>
  <si>
    <t>Size Tier</t>
  </si>
  <si>
    <t>Weight(oz)</t>
  </si>
  <si>
    <t>Longest</t>
  </si>
  <si>
    <t>Median</t>
  </si>
  <si>
    <t>Shortest</t>
  </si>
  <si>
    <t>Qty</t>
  </si>
  <si>
    <t>Weight(lbs)</t>
  </si>
  <si>
    <t>Diemensional Weight (lb)</t>
  </si>
  <si>
    <t>Grade and Resell Fees</t>
  </si>
  <si>
    <t>Price ($)</t>
  </si>
  <si>
    <t>Amazon Fee ($)</t>
  </si>
  <si>
    <t>Profit ($)</t>
  </si>
  <si>
    <t>Length + girth</t>
  </si>
  <si>
    <t>Weight</t>
  </si>
  <si>
    <t>Shipping weight1</t>
  </si>
  <si>
    <t>Longest side</t>
  </si>
  <si>
    <t>Median side</t>
  </si>
  <si>
    <t>Shortest side</t>
  </si>
  <si>
    <t>Product size tier</t>
  </si>
  <si>
    <t>Up to 16 oz</t>
  </si>
  <si>
    <t>Up to 15 inches</t>
  </si>
  <si>
    <t>Up to 12 inches</t>
  </si>
  <si>
    <t>Up to 0.75 inch</t>
  </si>
  <si>
    <t>n/a</t>
  </si>
  <si>
    <t>Up to 20 lb</t>
  </si>
  <si>
    <t>Up to 18 inches</t>
  </si>
  <si>
    <t>Up to 14 inches</t>
  </si>
  <si>
    <t>Up to 8 inches</t>
  </si>
  <si>
    <t>Size tier</t>
  </si>
  <si>
    <t>Shipping weight</t>
  </si>
  <si>
    <t>Removal fee per unit</t>
  </si>
  <si>
    <t>Up to 50 lb</t>
  </si>
  <si>
    <t>Up to 59 inches</t>
  </si>
  <si>
    <t>Up to 33 inches</t>
  </si>
  <si>
    <t>Up to 130 inches</t>
  </si>
  <si>
    <t>LARGE</t>
  </si>
  <si>
    <t>Standard size</t>
  </si>
  <si>
    <t>0 to 0.5 lb</t>
  </si>
  <si>
    <t>$1.04</t>
  </si>
  <si>
    <t>Extra-large exceeds 59 inches for the longest side or 33 inches for the median side or 33 inches for the shortest side or 130 inches for length + girth, or if the product’s greater of unit weight or dimensional weight exceeds 50 lb.</t>
  </si>
  <si>
    <t>0.5+ to 1.0 lb</t>
  </si>
  <si>
    <t>$1.53</t>
  </si>
  <si>
    <t>SIZE</t>
  </si>
  <si>
    <t>50+ to 70 lb</t>
  </si>
  <si>
    <t>1.0+ to 2.0 lb</t>
  </si>
  <si>
    <t>$2.27</t>
  </si>
  <si>
    <t>70+ to 150 lb</t>
  </si>
  <si>
    <t>More than 2 lb</t>
  </si>
  <si>
    <t>$2.89 + $1.06/lb above 2 lb</t>
  </si>
  <si>
    <t>Over 150 lb</t>
  </si>
  <si>
    <t>Large bulky, extra-large and special handling items</t>
  </si>
  <si>
    <t>0 to 1.0 lb</t>
  </si>
  <si>
    <t>$3.12</t>
  </si>
  <si>
    <t>$4.30</t>
  </si>
  <si>
    <t>2.0+ to 4.0 lb</t>
  </si>
  <si>
    <t>$6.36</t>
  </si>
  <si>
    <t>4.0+ to 10.0 lb</t>
  </si>
  <si>
    <t>$10.04</t>
  </si>
  <si>
    <t>More than 10.0 lb</t>
  </si>
  <si>
    <t>$14.32 + $1.06/lb above 10 lb</t>
  </si>
  <si>
    <t>get data from parasbhai</t>
  </si>
  <si>
    <t>SR NO.</t>
  </si>
  <si>
    <t>L.O.</t>
  </si>
  <si>
    <t>DLTD</t>
  </si>
  <si>
    <t>RETURNLESS REFUND</t>
  </si>
  <si>
    <t>W</t>
  </si>
  <si>
    <t>H</t>
  </si>
  <si>
    <t>Dimension</t>
  </si>
  <si>
    <t>Volumetric</t>
  </si>
  <si>
    <t>Volumetric F</t>
  </si>
  <si>
    <t>MCF WEIGHT</t>
  </si>
  <si>
    <t>ACT(UNIT WEIGHT)</t>
  </si>
  <si>
    <t>MAX</t>
  </si>
  <si>
    <t>ACT(oz)</t>
  </si>
  <si>
    <t>Size-Tier</t>
  </si>
  <si>
    <t>Product Classification Calculator</t>
  </si>
  <si>
    <t>Sub-Tier</t>
  </si>
  <si>
    <t>Vol.</t>
  </si>
  <si>
    <t>Peak Season</t>
  </si>
  <si>
    <t>week</t>
  </si>
  <si>
    <t>Oversize</t>
  </si>
  <si>
    <t>TIER</t>
  </si>
  <si>
    <t>MCF TIER</t>
  </si>
  <si>
    <t>QTY (REMOVAL)</t>
  </si>
  <si>
    <t>Weight into Consideration</t>
  </si>
  <si>
    <t>Weight in Consideration</t>
  </si>
  <si>
    <t>Sale Price</t>
  </si>
  <si>
    <t>Sell Fees</t>
  </si>
  <si>
    <t>FBA fees</t>
  </si>
  <si>
    <t>Processing Fee</t>
  </si>
  <si>
    <t>TOTAL CHARGES</t>
  </si>
  <si>
    <t>AVG Removal/Disposal Fees</t>
  </si>
  <si>
    <t>Net Charge Loss</t>
  </si>
  <si>
    <t>P. Cost</t>
  </si>
  <si>
    <t>Freight</t>
  </si>
  <si>
    <t>Freight + P.cost</t>
  </si>
  <si>
    <t>Storage Fee</t>
  </si>
  <si>
    <t>Extra-large: 50+ to 70 lb</t>
  </si>
  <si>
    <t>22 – 28</t>
  </si>
  <si>
    <t>Yes</t>
  </si>
  <si>
    <t>Large bulky: up to 30 lb</t>
  </si>
  <si>
    <t>Large standard: 3+ to 20 lb</t>
  </si>
  <si>
    <t>Large bulky: above 30 lb</t>
  </si>
  <si>
    <t>-</t>
  </si>
  <si>
    <t>Small standard: 4 oz or less</t>
  </si>
  <si>
    <t>Large standard: 1+ to 2 lb</t>
  </si>
  <si>
    <t>Large standard: 12+ to 16 oz</t>
  </si>
  <si>
    <t>Paresh</t>
  </si>
  <si>
    <t>Prem</t>
  </si>
  <si>
    <t>Large standard: 2+ to 3 lb</t>
  </si>
  <si>
    <t>Prem DC</t>
  </si>
  <si>
    <t>Extra-large: 70+ to 150 lb</t>
  </si>
  <si>
    <t>Hold dc</t>
  </si>
  <si>
    <t>Paresh &amp; Janvi DC</t>
  </si>
  <si>
    <t>Extra-large: up to 50 lb</t>
  </si>
  <si>
    <t>STORE</t>
  </si>
  <si>
    <t>SHORT</t>
  </si>
  <si>
    <t>Amazon Califonia</t>
  </si>
  <si>
    <t>A-CA</t>
  </si>
  <si>
    <t>Amazon Hytech</t>
  </si>
  <si>
    <t>A-HY</t>
  </si>
  <si>
    <t>Amazon Silion</t>
  </si>
  <si>
    <t>A-SL</t>
  </si>
  <si>
    <t>Amazon SimondStore</t>
  </si>
  <si>
    <t>A-SS</t>
  </si>
  <si>
    <t>EBAY CALIFONIA</t>
  </si>
  <si>
    <t>E-CA</t>
  </si>
  <si>
    <t>Ebay Hytech</t>
  </si>
  <si>
    <t>E-HY</t>
  </si>
  <si>
    <t>Ebay Simondstore</t>
  </si>
  <si>
    <t>E-SS</t>
  </si>
  <si>
    <t>Walmart Store</t>
  </si>
  <si>
    <t>WALMART</t>
  </si>
  <si>
    <t>Amazon Hytech - FBA</t>
  </si>
  <si>
    <t>Amazon Silion - FBA</t>
  </si>
  <si>
    <t>Amazon Canada - FBA</t>
  </si>
  <si>
    <t>A-CAN</t>
  </si>
  <si>
    <t>WooCommerce Store</t>
  </si>
  <si>
    <t>WEBSITE</t>
  </si>
  <si>
    <t>Amazon Sohum - FBA</t>
  </si>
  <si>
    <t>A-SH</t>
  </si>
  <si>
    <t>Amazon Sohum</t>
  </si>
  <si>
    <t>Amazon California - FBA</t>
  </si>
  <si>
    <t>Amazon SimondStore - FBA</t>
  </si>
  <si>
    <t>Amazon Silion France - FBA</t>
  </si>
  <si>
    <t>A-SL(FR)</t>
  </si>
  <si>
    <t>Wayfair</t>
  </si>
  <si>
    <t>Amazon Silion Mexico - FBA</t>
  </si>
  <si>
    <t>A-SL(MX)</t>
  </si>
  <si>
    <t>amzn.gr.BB-140226..-0I7_sdgc-mjmtZTfz-PO</t>
  </si>
  <si>
    <t>amzn.gr.GEN-CB1008..-kQ-kZlay-y8mhohZ-PO</t>
  </si>
  <si>
    <t>amzn.gr.V4-1824.-N8y-t0YbAvcxqhjH9sT0-PO</t>
  </si>
  <si>
    <t>amzn.gr.RCB-09_(SB)-KJeZb0P4PW7VK3k5m-PO</t>
  </si>
  <si>
    <t>amzn.gr.BS9_(SA)-8sRtkZ2yG5qByIU0EHoe-PO</t>
  </si>
  <si>
    <t>amzn.gr.BB-120235..-Odw5aQEh6LslTXBJ0-PO</t>
  </si>
  <si>
    <t>amzn.gr.B4F_(SA)-8ydXpJK4ECJVVkBxCgMl-PO</t>
  </si>
  <si>
    <t>amzn.gr.BS10_(SB)-Rrl3nMkCPw03jf99idg-PO</t>
  </si>
  <si>
    <t>amzn.gr.V4F.-FYL-_JvMtYsaN4Oo2aAHheo6-PO</t>
  </si>
  <si>
    <t>amzn.gr.CP-1-2425F..-WOT1tDnUoxx9DYwt-PO</t>
  </si>
  <si>
    <t>amzn.gr.GEN-SB01.._(SA)-ViORvr6IOOUqs-PO</t>
  </si>
  <si>
    <t>amzn.gr.FAB-473..-Iv9R9z5fS77LTPoTU86-PO</t>
  </si>
  <si>
    <t>amzn.gr.FAB-360_(HD)-O0Pno5FtM2LIrINp-PO</t>
  </si>
  <si>
    <t>amzn.gr.FAB-440-VPGyzF2myzGJ36idBRXpD-PO</t>
  </si>
  <si>
    <t>amzn.gr.FAB-552..-loOzXnribKDEGgMFd7X-PO</t>
  </si>
  <si>
    <t>amzn.gr.FAB-566..-pPY-mrcq7hSswgkHZWE-PO</t>
  </si>
  <si>
    <t>amzn.gr.FAB-523_(HC)-fq0I9Zts_0yJgwdn-PO</t>
  </si>
  <si>
    <t>GEN-CB-1008</t>
  </si>
  <si>
    <t>GEN-DS100</t>
  </si>
  <si>
    <t>GEN-DS111</t>
  </si>
  <si>
    <t>GEN-DS113</t>
  </si>
  <si>
    <t>GEN-DS119</t>
  </si>
  <si>
    <t>GEN-DS120</t>
  </si>
  <si>
    <t>GEN-DS123</t>
  </si>
  <si>
    <t>GEN-DS124</t>
  </si>
  <si>
    <t>GEN-DS23 (FA)</t>
  </si>
  <si>
    <t>GEN-DS98</t>
  </si>
  <si>
    <t>UFAB-110</t>
  </si>
  <si>
    <t>UFAB-488</t>
  </si>
  <si>
    <t>UFAB-570</t>
  </si>
  <si>
    <t>Tejas</t>
  </si>
  <si>
    <t>Tejas DC</t>
  </si>
  <si>
    <t>SJSU</t>
  </si>
  <si>
    <t>San José</t>
  </si>
  <si>
    <t>DS - SB - Posture Corrector - Manual - Video</t>
  </si>
  <si>
    <t>GEN-DS01+GEN-DS02+GEN-DS03+GEN-DS46+GEN-DS93+GEN-DS102+GEN-DS103+GEN-DS104</t>
  </si>
  <si>
    <t>DS - SB - Ankle Wrist Weights - Video</t>
  </si>
  <si>
    <t>DS - SB - Invisible Height Insole - Manual - Video</t>
  </si>
  <si>
    <t>DS - SB - Golf Cart Bag - Manual - Video</t>
  </si>
  <si>
    <t>GEN-DS27+GEN-DS28+GEN-DS29+GEN-DS30+GEN-DS31</t>
  </si>
  <si>
    <t>A28-1033-CP-1-2425F</t>
  </si>
  <si>
    <t>C12-6323-CP-3-2425F</t>
  </si>
  <si>
    <t>A27-1021-CT-AM04</t>
  </si>
  <si>
    <t>A25-0935-FP-68</t>
  </si>
  <si>
    <t>A26-0980-FPB-02</t>
  </si>
  <si>
    <t>A24-0841-JMT-96</t>
  </si>
  <si>
    <t>A05-0207-RCB-09</t>
  </si>
  <si>
    <t>A28-1040-S9J</t>
  </si>
  <si>
    <t>A27-1011-WR-A124</t>
  </si>
  <si>
    <t>A23-0824-WR-A130</t>
  </si>
  <si>
    <t>A25-0903-WR-A136</t>
  </si>
  <si>
    <t>A27-0998-WR-A142</t>
  </si>
  <si>
    <t>A06-0263-WR-A160</t>
  </si>
  <si>
    <t>A24-0871-WR-A224</t>
  </si>
  <si>
    <t>A28-1067-WR-A230</t>
  </si>
  <si>
    <t>A24-0868-WR-A236</t>
  </si>
  <si>
    <t>A28-1085-WR-A260</t>
  </si>
  <si>
    <t>A26-0967-WR-B215</t>
  </si>
  <si>
    <t>A24-0847-PFB-08</t>
  </si>
  <si>
    <t>A24-0863-PR-03</t>
  </si>
  <si>
    <t>B1-4047-GEN-SB01</t>
  </si>
  <si>
    <t>C12-6304-GEN-SP02</t>
  </si>
  <si>
    <t>B1-4039-GEN-CN02</t>
  </si>
  <si>
    <t>C1-6017-GEN-CN03</t>
  </si>
  <si>
    <t>C1-6024-GEN-SB03</t>
  </si>
  <si>
    <t>B4-4169-FAB-149</t>
  </si>
  <si>
    <t>B4-4209-JMT-168</t>
  </si>
  <si>
    <t>A27-1003-BB-950135</t>
  </si>
  <si>
    <t>A03-0085-BB-950155</t>
  </si>
  <si>
    <t>A03-0091-BB-120235</t>
  </si>
  <si>
    <t>C12-6283-CFB-12460</t>
  </si>
  <si>
    <t>A25-0920-PR-44</t>
  </si>
  <si>
    <t>A24-0865-FAB-398</t>
  </si>
  <si>
    <t>A25-0925-FAB-399</t>
  </si>
  <si>
    <t>A24-0853-FAB-400</t>
  </si>
  <si>
    <t>A23-0827-FAB-401</t>
  </si>
  <si>
    <t>A26-0946-CFB-21524</t>
  </si>
  <si>
    <t>A25-0896-CFB-11524</t>
  </si>
  <si>
    <t>A25-0918-CFB-050812</t>
  </si>
  <si>
    <t>A28-1036-S21K</t>
  </si>
  <si>
    <t>A26-0964-FAB-436</t>
  </si>
  <si>
    <t>A23-0802-FAB-438</t>
  </si>
  <si>
    <t>C7-6119-FPB-05</t>
  </si>
  <si>
    <t>A26-0958-GEN-SB08</t>
  </si>
  <si>
    <t>A27-0997-GEN-SB09</t>
  </si>
  <si>
    <t>B3-4131-FAB-490</t>
  </si>
  <si>
    <t>C7-6113-FAB-511</t>
  </si>
  <si>
    <t>C10-6213-FAB-514</t>
  </si>
  <si>
    <t>C7-6120-FAB-515</t>
  </si>
  <si>
    <t>D25-8096-FAB-523</t>
  </si>
  <si>
    <t>B3-4141-FAB-524</t>
  </si>
  <si>
    <t>B3-4117-FAB-525</t>
  </si>
  <si>
    <t>C12-6309-FAB-526</t>
  </si>
  <si>
    <t>B4-4196-FAB-527</t>
  </si>
  <si>
    <t>D14-8056-FAB-552</t>
  </si>
  <si>
    <t>D9-8034-FAB-554</t>
  </si>
  <si>
    <t>B1-4019-FAB-562</t>
  </si>
  <si>
    <t>C6-6096-FAB-572</t>
  </si>
  <si>
    <t>C1-6007-FAB-574</t>
  </si>
  <si>
    <t>B4-4177-FAB-575</t>
  </si>
  <si>
    <t>A28-1075-FAB-576</t>
  </si>
  <si>
    <t>A28-1069-FAB-577</t>
  </si>
  <si>
    <t>B3-4151-FAB-578</t>
  </si>
  <si>
    <t>C12-6291-PO-AC9</t>
  </si>
  <si>
    <t>D26-8102-GEN-CPB1013</t>
  </si>
  <si>
    <t>C12-6301-GEN-CPB1014</t>
  </si>
  <si>
    <t>A24-0879-FAB-579</t>
  </si>
  <si>
    <t>A28-1043-FAB-581</t>
  </si>
  <si>
    <t>C8-6141-FAB-582</t>
  </si>
  <si>
    <t>D15-8059-FAB-586</t>
  </si>
  <si>
    <t>A06-0241-FAB-587</t>
  </si>
  <si>
    <t>A03-0105-FAB-588</t>
  </si>
  <si>
    <t>A06-0227-FAB-589</t>
  </si>
  <si>
    <t>A03-0103-GEN-HW02</t>
  </si>
  <si>
    <t>B2-4108-GEN-SP04</t>
  </si>
  <si>
    <t>B3-4127-GEN-SP06</t>
  </si>
  <si>
    <t>A05-0185-GEN-SP07</t>
  </si>
  <si>
    <t>A04-0141-GEN-SP08</t>
  </si>
  <si>
    <t>C5-6077-FAB-592</t>
  </si>
  <si>
    <t>C5-6078-FAB-593</t>
  </si>
  <si>
    <t>C2-6042-FAB-594</t>
  </si>
  <si>
    <t>C12-6299-GEN-CB1015</t>
  </si>
  <si>
    <t>D24-8094-GEN-CB1016</t>
  </si>
  <si>
    <t>D26-8103-GEN-CB1017</t>
  </si>
  <si>
    <t>D26-8100-GEN-CB1018</t>
  </si>
  <si>
    <t>C12-6297-GEN-CB1019</t>
  </si>
  <si>
    <t>D26-8101-GEN-CPB1020</t>
  </si>
  <si>
    <t>A28-1064-BB-115185</t>
  </si>
  <si>
    <t>A05-0191-BB-100210</t>
  </si>
  <si>
    <t>A06-0239-BB-950185</t>
  </si>
  <si>
    <t>A04-0138-BB-105210</t>
  </si>
  <si>
    <t>C12-6293-GEN-CB1021</t>
  </si>
  <si>
    <t>C12-6295-GEN-CPB1022</t>
  </si>
  <si>
    <t>DS - SB - Posture Corrector - Manual - TGT</t>
  </si>
  <si>
    <t>DS - SP - Golf Cart Bag - Manual - Video</t>
  </si>
  <si>
    <t>DS - SB - Invisible Height Insole - Manual - TGT</t>
  </si>
  <si>
    <t>P. R.</t>
  </si>
  <si>
    <t>FPB-11 (SB)</t>
  </si>
  <si>
    <t>amzn.gr.V2F..-HLVevO2a1l3n-jF725mZpvV-VG</t>
  </si>
  <si>
    <t>DS - SB - Back Brace - Man - Video</t>
  </si>
  <si>
    <t>GEN-DS10+GEN-DS11+GEN-DS12+GEN-DS101</t>
  </si>
  <si>
    <t>amzn.gr.V4-1524_(SA)-zqhhWYxK-mlXVmkm-VG</t>
  </si>
  <si>
    <t>amzn.gr.V2_(834..)-0ADLl7eY6Zpxp4bHZl-LN</t>
  </si>
  <si>
    <t>amzn.gr.FAB-506.._(HA)-nfuIaPTx9CIarN-VG</t>
  </si>
  <si>
    <t>DS - SB - Golf Cart Cover- Manual - Video - TGT</t>
  </si>
  <si>
    <t>GEN-DS106</t>
  </si>
  <si>
    <t>GEN-DS97</t>
  </si>
  <si>
    <t>amzn.gr.IB-A16_(345..)-eNAFn8BFCZErKq-LN</t>
  </si>
  <si>
    <t>GEN-DS107</t>
  </si>
  <si>
    <t>amzn.gr.V4-1524_(SA)-cE0FkqCt_tBEgKgN-VG</t>
  </si>
  <si>
    <t>BB-100210 (SC)</t>
  </si>
  <si>
    <t>amzn.gr.V4_(841..)-RQt5fu24dw714UZWYA-VG</t>
  </si>
  <si>
    <t>amzn.gr.JMT-59_(535..)-_9545XfsW9VQd4-LN</t>
  </si>
  <si>
    <t>amzn.gr.PO-AC7..-uigvO9VMokSPynzerW8a-VG</t>
  </si>
  <si>
    <t>amzn.gr.V5_(848..)-v2Mw_yYAbBJkC-OaTH-LN</t>
  </si>
  <si>
    <t>FAB-432 + FAB-435 (HB)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</si>
</sst>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mmm/yy;@"/>
    <numFmt numFmtId="165" formatCode="0.000"/>
    <numFmt numFmtId="166" formatCode="_-[$$-409]* #,##0.00_ ;_-[$$-409]* \-#,##0.00\ ;_-[$$-409]* &quot;-&quot;??_ ;_-@_ "/>
    <numFmt numFmtId="167" formatCode="[$-3009]dd/mmm/yy;@"/>
    <numFmt numFmtId="168" formatCode="[$-3009]dd/mmm/yy"/>
  </numFmts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7"/>
      <color rgb="FF232F3E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7"/>
      <color rgb="FF232F3E"/>
      <name val="Arial"/>
      <family val="2"/>
    </font>
    <font>
      <b/>
      <sz val="14"/>
      <color theme="1"/>
      <name val="Calibri"/>
      <family val="2"/>
      <scheme val="minor"/>
    </font>
    <font>
      <b/>
      <sz val="7"/>
      <color rgb="FF474A4F"/>
      <name val="Arial"/>
      <family val="2"/>
    </font>
    <font>
      <b/>
      <sz val="9"/>
      <color rgb="FF232F3E"/>
      <name val="Arial"/>
      <family val="2"/>
    </font>
    <font>
      <b/>
      <sz val="9"/>
      <color rgb="FF474A4F"/>
      <name val="Arial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71">
    <xf numFmtId="0" fontId="0" fillId="0" borderId="0"/>
    <xf numFmtId="164" fontId="3" fillId="0" borderId="0"/>
    <xf numFmtId="164" fontId="3" fillId="0" borderId="0"/>
    <xf numFmtId="167" fontId="4" fillId="0" borderId="0"/>
    <xf numFmtId="167" fontId="6" fillId="0" borderId="2"/>
    <xf numFmtId="167" fontId="4" fillId="3" borderId="3"/>
    <xf numFmtId="167" fontId="5" fillId="0" borderId="0"/>
    <xf numFmtId="167" fontId="3" fillId="0" borderId="0"/>
    <xf numFmtId="167" fontId="8" fillId="0" borderId="0"/>
    <xf numFmtId="164" fontId="7" fillId="2" borderId="0"/>
    <xf numFmtId="167" fontId="3" fillId="0" borderId="0"/>
    <xf numFmtId="164" fontId="3" fillId="0" borderId="0"/>
    <xf numFmtId="168" fontId="9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0" fontId="7" fillId="2" borderId="0"/>
    <xf numFmtId="164" fontId="3" fillId="0" borderId="0"/>
    <xf numFmtId="164" fontId="3" fillId="0" borderId="0"/>
    <xf numFmtId="167" fontId="4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4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4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4" fillId="0" borderId="0"/>
    <xf numFmtId="167" fontId="4" fillId="0" borderId="0"/>
    <xf numFmtId="164" fontId="3" fillId="0" borderId="0"/>
    <xf numFmtId="164" fontId="3" fillId="0" borderId="0"/>
    <xf numFmtId="167" fontId="4" fillId="0" borderId="0"/>
    <xf numFmtId="0" fontId="4" fillId="0" borderId="0"/>
    <xf numFmtId="0" fontId="4" fillId="0" borderId="0"/>
    <xf numFmtId="167" fontId="3" fillId="0" borderId="0"/>
    <xf numFmtId="164" fontId="7" fillId="2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4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4" fillId="0" borderId="0"/>
    <xf numFmtId="167" fontId="4" fillId="0" borderId="0"/>
    <xf numFmtId="167" fontId="4" fillId="0" borderId="0"/>
    <xf numFmtId="0" fontId="3" fillId="0" borderId="0"/>
    <xf numFmtId="0" fontId="4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4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7" fontId="3" fillId="0" borderId="0"/>
    <xf numFmtId="167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</cellStyleXfs>
  <cellXfs count="193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0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9" fontId="12" fillId="0" borderId="1" xfId="47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0" fillId="0" borderId="1" xfId="0" applyBorder="1"/>
    <xf numFmtId="0" fontId="0" fillId="4" borderId="1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2" fontId="0" fillId="0" borderId="0" xfId="0" applyNumberFormat="1"/>
    <xf numFmtId="0" fontId="11" fillId="0" borderId="0" xfId="0" applyFont="1"/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14" fillId="4" borderId="0" xfId="0" applyFont="1" applyFill="1"/>
    <xf numFmtId="0" fontId="0" fillId="5" borderId="17" xfId="0" applyFill="1" applyBorder="1" applyAlignment="1">
      <alignment vertical="center"/>
    </xf>
    <xf numFmtId="0" fontId="0" fillId="0" borderId="18" xfId="0" applyBorder="1"/>
    <xf numFmtId="0" fontId="0" fillId="7" borderId="0" xfId="0" applyFill="1"/>
    <xf numFmtId="0" fontId="0" fillId="8" borderId="0" xfId="0" applyFill="1"/>
    <xf numFmtId="0" fontId="0" fillId="5" borderId="19" xfId="0" applyFill="1" applyBorder="1" applyAlignment="1">
      <alignment vertical="center"/>
    </xf>
    <xf numFmtId="0" fontId="0" fillId="0" borderId="20" xfId="0" applyBorder="1"/>
    <xf numFmtId="0" fontId="0" fillId="5" borderId="18" xfId="0" applyFill="1" applyBorder="1" applyAlignment="1">
      <alignment horizontal="center" vertical="center"/>
    </xf>
    <xf numFmtId="0" fontId="14" fillId="0" borderId="0" xfId="0" applyFont="1"/>
    <xf numFmtId="0" fontId="0" fillId="4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11" borderId="19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11" borderId="19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7" fillId="10" borderId="34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0" borderId="34" xfId="0" applyFont="1" applyFill="1" applyBorder="1" applyAlignment="1">
      <alignment horizontal="left" vertical="center" wrapText="1"/>
    </xf>
    <xf numFmtId="0" fontId="19" fillId="11" borderId="34" xfId="0" applyFont="1" applyFill="1" applyBorder="1" applyAlignment="1">
      <alignment horizontal="left" vertical="center" wrapText="1"/>
    </xf>
    <xf numFmtId="0" fontId="19" fillId="0" borderId="34" xfId="0" applyFont="1" applyBorder="1" applyAlignment="1">
      <alignment horizontal="center" vertical="center" wrapText="1"/>
    </xf>
    <xf numFmtId="0" fontId="20" fillId="10" borderId="34" xfId="0" applyFont="1" applyFill="1" applyBorder="1" applyAlignment="1">
      <alignment horizontal="left" vertical="center" wrapText="1"/>
    </xf>
    <xf numFmtId="0" fontId="20" fillId="12" borderId="34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7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vertical="center"/>
    </xf>
    <xf numFmtId="0" fontId="19" fillId="12" borderId="34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/>
    </xf>
    <xf numFmtId="0" fontId="21" fillId="7" borderId="34" xfId="0" applyFont="1" applyFill="1" applyBorder="1" applyAlignment="1">
      <alignment horizontal="left" vertical="center"/>
    </xf>
    <xf numFmtId="0" fontId="21" fillId="12" borderId="34" xfId="0" applyFont="1" applyFill="1" applyBorder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2" fontId="0" fillId="13" borderId="30" xfId="0" applyNumberForma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2" fontId="0" fillId="4" borderId="30" xfId="0" applyNumberFormat="1" applyFill="1" applyBorder="1" applyAlignment="1">
      <alignment horizontal="center" vertical="center"/>
    </xf>
    <xf numFmtId="1" fontId="0" fillId="13" borderId="30" xfId="0" applyNumberFormat="1" applyFill="1" applyBorder="1" applyAlignment="1">
      <alignment horizontal="center" vertical="center"/>
    </xf>
    <xf numFmtId="2" fontId="0" fillId="13" borderId="30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/>
    </xf>
    <xf numFmtId="0" fontId="22" fillId="13" borderId="31" xfId="0" applyFont="1" applyFill="1" applyBorder="1" applyAlignment="1">
      <alignment horizontal="center" vertical="center"/>
    </xf>
    <xf numFmtId="0" fontId="22" fillId="13" borderId="31" xfId="0" applyFont="1" applyFill="1" applyBorder="1" applyAlignment="1">
      <alignment horizontal="center" vertical="center" wrapText="1"/>
    </xf>
    <xf numFmtId="0" fontId="22" fillId="7" borderId="3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9" fontId="12" fillId="0" borderId="1" xfId="47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7" fillId="12" borderId="36" xfId="0" applyFont="1" applyFill="1" applyBorder="1" applyAlignment="1">
      <alignment horizontal="left" vertical="center" wrapText="1"/>
    </xf>
    <xf numFmtId="0" fontId="17" fillId="12" borderId="40" xfId="0" applyFont="1" applyFill="1" applyBorder="1" applyAlignment="1">
      <alignment horizontal="left" vertical="center" wrapText="1"/>
    </xf>
    <xf numFmtId="0" fontId="17" fillId="12" borderId="42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/>
    </xf>
    <xf numFmtId="165" fontId="0" fillId="0" borderId="0" xfId="0" applyNumberFormat="1"/>
    <xf numFmtId="166" fontId="11" fillId="6" borderId="14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6" fontId="11" fillId="6" borderId="26" xfId="0" applyNumberFormat="1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50" xfId="0" applyFont="1" applyBorder="1"/>
    <xf numFmtId="0" fontId="11" fillId="0" borderId="48" xfId="0" applyFont="1" applyBorder="1" applyAlignment="1">
      <alignment vertical="center"/>
    </xf>
    <xf numFmtId="0" fontId="0" fillId="0" borderId="48" xfId="0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3" fillId="0" borderId="0" xfId="0" applyFont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" fillId="0" borderId="0" xfId="0" applyNumberFormat="1" applyFont="1"/>
    <xf numFmtId="1" fontId="1" fillId="0" borderId="48" xfId="0" applyNumberFormat="1" applyFont="1" applyBorder="1" applyAlignment="1">
      <alignment horizontal="center" vertical="center"/>
    </xf>
    <xf numFmtId="1" fontId="1" fillId="0" borderId="50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left" vertical="center" wrapText="1"/>
    </xf>
    <xf numFmtId="0" fontId="0" fillId="0" borderId="0" xfId="0"/>
    <xf numFmtId="164" fontId="1" fillId="0" borderId="48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4" fontId="1" fillId="0" borderId="48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7" borderId="48" xfId="0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11" fillId="0" borderId="15" xfId="0" applyFont="1" applyBorder="1" applyAlignment="1">
      <alignment horizontal="center" vertical="center"/>
    </xf>
    <xf numFmtId="0" fontId="0" fillId="0" borderId="47" xfId="0" applyBorder="1"/>
    <xf numFmtId="0" fontId="18" fillId="0" borderId="17" xfId="0" applyFont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20" fillId="12" borderId="34" xfId="0" applyFont="1" applyFill="1" applyBorder="1" applyAlignment="1">
      <alignment horizontal="center" vertical="center" wrapText="1"/>
    </xf>
    <xf numFmtId="0" fontId="0" fillId="0" borderId="39" xfId="0" applyBorder="1"/>
    <xf numFmtId="0" fontId="21" fillId="12" borderId="34" xfId="0" applyFont="1" applyFill="1" applyBorder="1" applyAlignment="1">
      <alignment horizontal="left" vertical="center" wrapText="1"/>
    </xf>
    <xf numFmtId="0" fontId="0" fillId="0" borderId="35" xfId="0" applyBorder="1"/>
    <xf numFmtId="0" fontId="15" fillId="9" borderId="15" xfId="0" applyFont="1" applyFill="1" applyBorder="1" applyAlignment="1">
      <alignment horizontal="center" vertical="center"/>
    </xf>
    <xf numFmtId="0" fontId="0" fillId="0" borderId="8" xfId="0" applyBorder="1"/>
    <xf numFmtId="0" fontId="17" fillId="12" borderId="34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0" fillId="0" borderId="40" xfId="0" applyBorder="1"/>
    <xf numFmtId="0" fontId="0" fillId="0" borderId="0" xfId="0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15" fillId="9" borderId="27" xfId="0" applyFont="1" applyFill="1" applyBorder="1" applyAlignment="1">
      <alignment horizontal="center" vertical="center"/>
    </xf>
    <xf numFmtId="0" fontId="0" fillId="0" borderId="22" xfId="0" applyBorder="1"/>
    <xf numFmtId="17" fontId="11" fillId="0" borderId="4" xfId="0" applyNumberFormat="1" applyFont="1" applyBorder="1" applyAlignment="1">
      <alignment horizontal="center"/>
    </xf>
    <xf numFmtId="0" fontId="0" fillId="0" borderId="4" xfId="0" applyBorder="1"/>
  </cellXfs>
  <cellStyles count="471">
    <cellStyle name="Bad 2" xfId="20"/>
    <cellStyle name="Bad 3" xfId="130"/>
    <cellStyle name="Bad 4" xfId="9"/>
    <cellStyle name="Heading 1 2" xfId="4"/>
    <cellStyle name="Hyperlink 2" xfId="8"/>
    <cellStyle name="Normal" xfId="0" builtinId="0"/>
    <cellStyle name="Normal 10" xfId="22"/>
    <cellStyle name="Normal 10 2" xfId="48"/>
    <cellStyle name="Normal 10 2 2" xfId="97"/>
    <cellStyle name="Normal 10 2 2 2" xfId="213"/>
    <cellStyle name="Normal 10 2 2 2 2" xfId="440"/>
    <cellStyle name="Normal 10 2 2 3" xfId="329"/>
    <cellStyle name="Normal 10 2 3" xfId="165"/>
    <cellStyle name="Normal 10 2 3 2" xfId="392"/>
    <cellStyle name="Normal 10 2 4" xfId="281"/>
    <cellStyle name="Normal 10 3" xfId="73"/>
    <cellStyle name="Normal 10 3 2" xfId="189"/>
    <cellStyle name="Normal 10 3 2 2" xfId="416"/>
    <cellStyle name="Normal 10 3 3" xfId="305"/>
    <cellStyle name="Normal 10 4" xfId="141"/>
    <cellStyle name="Normal 10 4 2" xfId="368"/>
    <cellStyle name="Normal 10 5" xfId="257"/>
    <cellStyle name="Normal 11" xfId="36"/>
    <cellStyle name="Normal 11 6" xfId="123"/>
    <cellStyle name="Normal 12" xfId="35"/>
    <cellStyle name="Normal 12 2" xfId="85"/>
    <cellStyle name="Normal 12 2 2" xfId="201"/>
    <cellStyle name="Normal 12 2 2 2" xfId="428"/>
    <cellStyle name="Normal 12 2 3" xfId="317"/>
    <cellStyle name="Normal 12 3" xfId="153"/>
    <cellStyle name="Normal 12 3 2" xfId="380"/>
    <cellStyle name="Normal 12 4" xfId="269"/>
    <cellStyle name="Normal 13" xfId="1"/>
    <cellStyle name="Normal 13 2" xfId="109"/>
    <cellStyle name="Normal 13 2 2" xfId="225"/>
    <cellStyle name="Normal 13 2 2 2" xfId="452"/>
    <cellStyle name="Normal 13 2 3" xfId="341"/>
    <cellStyle name="Normal 13 3" xfId="114"/>
    <cellStyle name="Normal 13 3 2" xfId="231"/>
    <cellStyle name="Normal 13 3 2 2" xfId="457"/>
    <cellStyle name="Normal 13 3 3" xfId="346"/>
    <cellStyle name="Normal 13 4" xfId="117"/>
    <cellStyle name="Normal 13 4 2" xfId="234"/>
    <cellStyle name="Normal 13 4 2 2" xfId="460"/>
    <cellStyle name="Normal 13 4 3" xfId="349"/>
    <cellStyle name="Normal 13 5" xfId="120"/>
    <cellStyle name="Normal 13 5 2" xfId="237"/>
    <cellStyle name="Normal 13 5 2 2" xfId="463"/>
    <cellStyle name="Normal 13 5 3" xfId="352"/>
    <cellStyle name="Normal 13 6" xfId="124"/>
    <cellStyle name="Normal 13 6 2" xfId="355"/>
    <cellStyle name="Normal 13 7" xfId="244"/>
    <cellStyle name="Normal 14" xfId="61"/>
    <cellStyle name="Normal 15" xfId="60"/>
    <cellStyle name="Normal 15 2" xfId="177"/>
    <cellStyle name="Normal 15 2 2" xfId="404"/>
    <cellStyle name="Normal 15 3" xfId="293"/>
    <cellStyle name="Normal 16" xfId="110"/>
    <cellStyle name="Normal 16 2" xfId="226"/>
    <cellStyle name="Normal 16 2 2" xfId="453"/>
    <cellStyle name="Normal 16 3" xfId="342"/>
    <cellStyle name="Normal 17" xfId="111"/>
    <cellStyle name="Normal 17 2" xfId="227"/>
    <cellStyle name="Normal 17 2 2" xfId="454"/>
    <cellStyle name="Normal 17 3" xfId="343"/>
    <cellStyle name="Normal 18" xfId="2"/>
    <cellStyle name="Normal 18 2" xfId="115"/>
    <cellStyle name="Normal 18 2 2" xfId="232"/>
    <cellStyle name="Normal 18 2 2 2" xfId="458"/>
    <cellStyle name="Normal 18 2 3" xfId="347"/>
    <cellStyle name="Normal 18 3" xfId="118"/>
    <cellStyle name="Normal 18 3 2" xfId="235"/>
    <cellStyle name="Normal 18 3 2 2" xfId="461"/>
    <cellStyle name="Normal 18 3 3" xfId="350"/>
    <cellStyle name="Normal 18 4" xfId="121"/>
    <cellStyle name="Normal 18 4 2" xfId="238"/>
    <cellStyle name="Normal 18 4 2 2" xfId="464"/>
    <cellStyle name="Normal 18 4 3" xfId="353"/>
    <cellStyle name="Normal 18 5" xfId="125"/>
    <cellStyle name="Normal 18 5 2" xfId="356"/>
    <cellStyle name="Normal 18 6" xfId="245"/>
    <cellStyle name="Normal 19" xfId="112"/>
    <cellStyle name="Normal 19 2" xfId="229"/>
    <cellStyle name="Normal 19 2 2" xfId="455"/>
    <cellStyle name="Normal 19 3" xfId="344"/>
    <cellStyle name="Normal 2" xfId="7"/>
    <cellStyle name="Normal 2 2" xfId="10"/>
    <cellStyle name="Normal 2 2 2" xfId="16"/>
    <cellStyle name="Normal 2 2 2 2" xfId="30"/>
    <cellStyle name="Normal 2 2 2 2 2" xfId="55"/>
    <cellStyle name="Normal 2 2 2 2 2 2" xfId="104"/>
    <cellStyle name="Normal 2 2 2 2 2 2 2" xfId="220"/>
    <cellStyle name="Normal 2 2 2 2 2 2 2 2" xfId="447"/>
    <cellStyle name="Normal 2 2 2 2 2 2 3" xfId="336"/>
    <cellStyle name="Normal 2 2 2 2 2 3" xfId="172"/>
    <cellStyle name="Normal 2 2 2 2 2 3 2" xfId="399"/>
    <cellStyle name="Normal 2 2 2 2 2 4" xfId="288"/>
    <cellStyle name="Normal 2 2 2 2 3" xfId="80"/>
    <cellStyle name="Normal 2 2 2 2 3 2" xfId="196"/>
    <cellStyle name="Normal 2 2 2 2 3 2 2" xfId="423"/>
    <cellStyle name="Normal 2 2 2 2 3 3" xfId="312"/>
    <cellStyle name="Normal 2 2 2 2 4" xfId="148"/>
    <cellStyle name="Normal 2 2 2 2 4 2" xfId="375"/>
    <cellStyle name="Normal 2 2 2 2 5" xfId="264"/>
    <cellStyle name="Normal 2 2 2 3" xfId="43"/>
    <cellStyle name="Normal 2 2 2 3 2" xfId="92"/>
    <cellStyle name="Normal 2 2 2 3 2 2" xfId="208"/>
    <cellStyle name="Normal 2 2 2 3 2 2 2" xfId="435"/>
    <cellStyle name="Normal 2 2 2 3 2 3" xfId="324"/>
    <cellStyle name="Normal 2 2 2 3 3" xfId="160"/>
    <cellStyle name="Normal 2 2 2 3 3 2" xfId="387"/>
    <cellStyle name="Normal 2 2 2 3 4" xfId="276"/>
    <cellStyle name="Normal 2 2 2 4" xfId="68"/>
    <cellStyle name="Normal 2 2 2 4 2" xfId="184"/>
    <cellStyle name="Normal 2 2 2 4 2 2" xfId="411"/>
    <cellStyle name="Normal 2 2 2 4 3" xfId="300"/>
    <cellStyle name="Normal 2 2 2 5" xfId="136"/>
    <cellStyle name="Normal 2 2 2 5 2" xfId="363"/>
    <cellStyle name="Normal 2 2 2 6" xfId="252"/>
    <cellStyle name="Normal 2 2 3" xfId="25"/>
    <cellStyle name="Normal 2 2 3 2" xfId="50"/>
    <cellStyle name="Normal 2 2 3 2 2" xfId="99"/>
    <cellStyle name="Normal 2 2 3 2 2 2" xfId="215"/>
    <cellStyle name="Normal 2 2 3 2 2 2 2" xfId="442"/>
    <cellStyle name="Normal 2 2 3 2 2 3" xfId="331"/>
    <cellStyle name="Normal 2 2 3 2 3" xfId="167"/>
    <cellStyle name="Normal 2 2 3 2 3 2" xfId="394"/>
    <cellStyle name="Normal 2 2 3 2 4" xfId="283"/>
    <cellStyle name="Normal 2 2 3 3" xfId="75"/>
    <cellStyle name="Normal 2 2 3 3 2" xfId="191"/>
    <cellStyle name="Normal 2 2 3 3 2 2" xfId="418"/>
    <cellStyle name="Normal 2 2 3 3 3" xfId="307"/>
    <cellStyle name="Normal 2 2 3 4" xfId="143"/>
    <cellStyle name="Normal 2 2 3 4 2" xfId="370"/>
    <cellStyle name="Normal 2 2 3 5" xfId="259"/>
    <cellStyle name="Normal 2 2 4" xfId="38"/>
    <cellStyle name="Normal 2 2 4 2" xfId="87"/>
    <cellStyle name="Normal 2 2 4 2 2" xfId="203"/>
    <cellStyle name="Normal 2 2 4 2 2 2" xfId="430"/>
    <cellStyle name="Normal 2 2 4 2 3" xfId="319"/>
    <cellStyle name="Normal 2 2 4 3" xfId="155"/>
    <cellStyle name="Normal 2 2 4 3 2" xfId="382"/>
    <cellStyle name="Normal 2 2 4 4" xfId="271"/>
    <cellStyle name="Normal 2 2 5" xfId="63"/>
    <cellStyle name="Normal 2 2 5 2" xfId="179"/>
    <cellStyle name="Normal 2 2 5 2 2" xfId="406"/>
    <cellStyle name="Normal 2 2 5 3" xfId="295"/>
    <cellStyle name="Normal 2 2 6" xfId="131"/>
    <cellStyle name="Normal 2 2 6 2" xfId="358"/>
    <cellStyle name="Normal 2 2 7" xfId="247"/>
    <cellStyle name="Normal 2 3" xfId="15"/>
    <cellStyle name="Normal 2 3 2" xfId="29"/>
    <cellStyle name="Normal 2 3 2 2" xfId="54"/>
    <cellStyle name="Normal 2 3 2 2 2" xfId="103"/>
    <cellStyle name="Normal 2 3 2 2 2 2" xfId="219"/>
    <cellStyle name="Normal 2 3 2 2 2 2 2" xfId="446"/>
    <cellStyle name="Normal 2 3 2 2 2 3" xfId="335"/>
    <cellStyle name="Normal 2 3 2 2 3" xfId="171"/>
    <cellStyle name="Normal 2 3 2 2 3 2" xfId="398"/>
    <cellStyle name="Normal 2 3 2 2 4" xfId="287"/>
    <cellStyle name="Normal 2 3 2 3" xfId="79"/>
    <cellStyle name="Normal 2 3 2 3 2" xfId="195"/>
    <cellStyle name="Normal 2 3 2 3 2 2" xfId="422"/>
    <cellStyle name="Normal 2 3 2 3 3" xfId="311"/>
    <cellStyle name="Normal 2 3 2 4" xfId="147"/>
    <cellStyle name="Normal 2 3 2 4 2" xfId="374"/>
    <cellStyle name="Normal 2 3 2 5" xfId="263"/>
    <cellStyle name="Normal 2 3 3" xfId="42"/>
    <cellStyle name="Normal 2 3 3 2" xfId="91"/>
    <cellStyle name="Normal 2 3 3 2 2" xfId="207"/>
    <cellStyle name="Normal 2 3 3 2 2 2" xfId="434"/>
    <cellStyle name="Normal 2 3 3 2 3" xfId="323"/>
    <cellStyle name="Normal 2 3 3 3" xfId="159"/>
    <cellStyle name="Normal 2 3 3 3 2" xfId="386"/>
    <cellStyle name="Normal 2 3 3 4" xfId="275"/>
    <cellStyle name="Normal 2 3 4" xfId="67"/>
    <cellStyle name="Normal 2 3 4 2" xfId="183"/>
    <cellStyle name="Normal 2 3 4 2 2" xfId="410"/>
    <cellStyle name="Normal 2 3 4 3" xfId="299"/>
    <cellStyle name="Normal 2 3 5" xfId="135"/>
    <cellStyle name="Normal 2 3 5 2" xfId="362"/>
    <cellStyle name="Normal 2 3 6" xfId="251"/>
    <cellStyle name="Normal 2 4" xfId="24"/>
    <cellStyle name="Normal 2 4 2" xfId="49"/>
    <cellStyle name="Normal 2 4 2 2" xfId="98"/>
    <cellStyle name="Normal 2 4 2 2 2" xfId="214"/>
    <cellStyle name="Normal 2 4 2 2 2 2" xfId="441"/>
    <cellStyle name="Normal 2 4 2 2 3" xfId="330"/>
    <cellStyle name="Normal 2 4 2 3" xfId="166"/>
    <cellStyle name="Normal 2 4 2 3 2" xfId="393"/>
    <cellStyle name="Normal 2 4 2 4" xfId="282"/>
    <cellStyle name="Normal 2 4 3" xfId="74"/>
    <cellStyle name="Normal 2 4 3 2" xfId="190"/>
    <cellStyle name="Normal 2 4 3 2 2" xfId="417"/>
    <cellStyle name="Normal 2 4 3 3" xfId="306"/>
    <cellStyle name="Normal 2 4 4" xfId="142"/>
    <cellStyle name="Normal 2 4 4 2" xfId="369"/>
    <cellStyle name="Normal 2 4 5" xfId="258"/>
    <cellStyle name="Normal 2 5" xfId="37"/>
    <cellStyle name="Normal 2 5 2" xfId="86"/>
    <cellStyle name="Normal 2 5 2 2" xfId="202"/>
    <cellStyle name="Normal 2 5 2 2 2" xfId="429"/>
    <cellStyle name="Normal 2 5 2 3" xfId="318"/>
    <cellStyle name="Normal 2 5 3" xfId="154"/>
    <cellStyle name="Normal 2 5 3 2" xfId="381"/>
    <cellStyle name="Normal 2 5 4" xfId="270"/>
    <cellStyle name="Normal 2 6" xfId="62"/>
    <cellStyle name="Normal 2 6 2" xfId="178"/>
    <cellStyle name="Normal 2 6 2 2" xfId="405"/>
    <cellStyle name="Normal 2 6 3" xfId="294"/>
    <cellStyle name="Normal 2 7" xfId="129"/>
    <cellStyle name="Normal 2 7 2" xfId="357"/>
    <cellStyle name="Normal 2 8" xfId="246"/>
    <cellStyle name="Normal 20" xfId="113"/>
    <cellStyle name="Normal 20 2" xfId="230"/>
    <cellStyle name="Normal 20 2 2" xfId="456"/>
    <cellStyle name="Normal 20 3" xfId="345"/>
    <cellStyle name="Normal 21" xfId="116"/>
    <cellStyle name="Normal 21 2" xfId="233"/>
    <cellStyle name="Normal 21 2 2" xfId="459"/>
    <cellStyle name="Normal 21 3" xfId="348"/>
    <cellStyle name="Normal 22" xfId="119"/>
    <cellStyle name="Normal 22 2" xfId="236"/>
    <cellStyle name="Normal 22 2 2" xfId="462"/>
    <cellStyle name="Normal 22 3" xfId="351"/>
    <cellStyle name="Normal 23" xfId="126"/>
    <cellStyle name="Normal 24" xfId="228"/>
    <cellStyle name="Normal 25" xfId="239"/>
    <cellStyle name="Normal 26" xfId="240"/>
    <cellStyle name="Normal 27" xfId="241"/>
    <cellStyle name="Normal 28" xfId="122"/>
    <cellStyle name="Normal 29" xfId="128"/>
    <cellStyle name="Normal 3" xfId="11"/>
    <cellStyle name="Normal 3 2" xfId="17"/>
    <cellStyle name="Normal 3 2 2" xfId="31"/>
    <cellStyle name="Normal 3 2 2 2" xfId="56"/>
    <cellStyle name="Normal 3 2 2 2 2" xfId="105"/>
    <cellStyle name="Normal 3 2 2 2 2 2" xfId="221"/>
    <cellStyle name="Normal 3 2 2 2 2 2 2" xfId="448"/>
    <cellStyle name="Normal 3 2 2 2 2 3" xfId="337"/>
    <cellStyle name="Normal 3 2 2 2 3" xfId="173"/>
    <cellStyle name="Normal 3 2 2 2 3 2" xfId="400"/>
    <cellStyle name="Normal 3 2 2 2 4" xfId="289"/>
    <cellStyle name="Normal 3 2 2 3" xfId="81"/>
    <cellStyle name="Normal 3 2 2 3 2" xfId="197"/>
    <cellStyle name="Normal 3 2 2 3 2 2" xfId="424"/>
    <cellStyle name="Normal 3 2 2 3 3" xfId="313"/>
    <cellStyle name="Normal 3 2 2 4" xfId="149"/>
    <cellStyle name="Normal 3 2 2 4 2" xfId="376"/>
    <cellStyle name="Normal 3 2 2 5" xfId="265"/>
    <cellStyle name="Normal 3 2 3" xfId="44"/>
    <cellStyle name="Normal 3 2 3 2" xfId="93"/>
    <cellStyle name="Normal 3 2 3 2 2" xfId="209"/>
    <cellStyle name="Normal 3 2 3 2 2 2" xfId="436"/>
    <cellStyle name="Normal 3 2 3 2 3" xfId="325"/>
    <cellStyle name="Normal 3 2 3 3" xfId="161"/>
    <cellStyle name="Normal 3 2 3 3 2" xfId="388"/>
    <cellStyle name="Normal 3 2 3 4" xfId="277"/>
    <cellStyle name="Normal 3 2 4" xfId="69"/>
    <cellStyle name="Normal 3 2 4 2" xfId="185"/>
    <cellStyle name="Normal 3 2 4 2 2" xfId="412"/>
    <cellStyle name="Normal 3 2 4 3" xfId="301"/>
    <cellStyle name="Normal 3 2 5" xfId="137"/>
    <cellStyle name="Normal 3 2 5 2" xfId="364"/>
    <cellStyle name="Normal 3 2 6" xfId="253"/>
    <cellStyle name="Normal 3 3" xfId="26"/>
    <cellStyle name="Normal 3 3 2" xfId="51"/>
    <cellStyle name="Normal 3 3 2 2" xfId="100"/>
    <cellStyle name="Normal 3 3 2 2 2" xfId="216"/>
    <cellStyle name="Normal 3 3 2 2 2 2" xfId="443"/>
    <cellStyle name="Normal 3 3 2 2 3" xfId="332"/>
    <cellStyle name="Normal 3 3 2 3" xfId="168"/>
    <cellStyle name="Normal 3 3 2 3 2" xfId="395"/>
    <cellStyle name="Normal 3 3 2 4" xfId="284"/>
    <cellStyle name="Normal 3 3 3" xfId="76"/>
    <cellStyle name="Normal 3 3 3 2" xfId="192"/>
    <cellStyle name="Normal 3 3 3 2 2" xfId="419"/>
    <cellStyle name="Normal 3 3 3 3" xfId="308"/>
    <cellStyle name="Normal 3 3 4" xfId="144"/>
    <cellStyle name="Normal 3 3 4 2" xfId="371"/>
    <cellStyle name="Normal 3 3 5" xfId="260"/>
    <cellStyle name="Normal 3 4" xfId="39"/>
    <cellStyle name="Normal 3 4 2" xfId="88"/>
    <cellStyle name="Normal 3 4 2 2" xfId="204"/>
    <cellStyle name="Normal 3 4 2 2 2" xfId="431"/>
    <cellStyle name="Normal 3 4 2 3" xfId="320"/>
    <cellStyle name="Normal 3 4 3" xfId="156"/>
    <cellStyle name="Normal 3 4 3 2" xfId="383"/>
    <cellStyle name="Normal 3 4 4" xfId="272"/>
    <cellStyle name="Normal 3 5" xfId="64"/>
    <cellStyle name="Normal 3 5 2" xfId="180"/>
    <cellStyle name="Normal 3 5 2 2" xfId="407"/>
    <cellStyle name="Normal 3 5 3" xfId="296"/>
    <cellStyle name="Normal 3 6" xfId="132"/>
    <cellStyle name="Normal 3 6 2" xfId="359"/>
    <cellStyle name="Normal 3 7" xfId="248"/>
    <cellStyle name="Normal 30" xfId="127"/>
    <cellStyle name="Normal 31" xfId="242"/>
    <cellStyle name="Normal 31 2" xfId="354"/>
    <cellStyle name="Normal 32" xfId="243"/>
    <cellStyle name="Normal 33" xfId="3"/>
    <cellStyle name="Normal 4" xfId="12"/>
    <cellStyle name="Normal 44" xfId="465"/>
    <cellStyle name="Normal 48" xfId="466"/>
    <cellStyle name="Normal 5" xfId="13"/>
    <cellStyle name="Normal 5 2" xfId="18"/>
    <cellStyle name="Normal 5 2 2" xfId="32"/>
    <cellStyle name="Normal 5 2 2 2" xfId="57"/>
    <cellStyle name="Normal 5 2 2 2 2" xfId="106"/>
    <cellStyle name="Normal 5 2 2 2 2 2" xfId="222"/>
    <cellStyle name="Normal 5 2 2 2 2 2 2" xfId="449"/>
    <cellStyle name="Normal 5 2 2 2 2 3" xfId="338"/>
    <cellStyle name="Normal 5 2 2 2 3" xfId="174"/>
    <cellStyle name="Normal 5 2 2 2 3 2" xfId="401"/>
    <cellStyle name="Normal 5 2 2 2 4" xfId="290"/>
    <cellStyle name="Normal 5 2 2 3" xfId="82"/>
    <cellStyle name="Normal 5 2 2 3 2" xfId="198"/>
    <cellStyle name="Normal 5 2 2 3 2 2" xfId="425"/>
    <cellStyle name="Normal 5 2 2 3 3" xfId="314"/>
    <cellStyle name="Normal 5 2 2 4" xfId="150"/>
    <cellStyle name="Normal 5 2 2 4 2" xfId="377"/>
    <cellStyle name="Normal 5 2 2 5" xfId="266"/>
    <cellStyle name="Normal 5 2 3" xfId="45"/>
    <cellStyle name="Normal 5 2 3 2" xfId="94"/>
    <cellStyle name="Normal 5 2 3 2 2" xfId="210"/>
    <cellStyle name="Normal 5 2 3 2 2 2" xfId="437"/>
    <cellStyle name="Normal 5 2 3 2 3" xfId="326"/>
    <cellStyle name="Normal 5 2 3 3" xfId="162"/>
    <cellStyle name="Normal 5 2 3 3 2" xfId="389"/>
    <cellStyle name="Normal 5 2 3 4" xfId="278"/>
    <cellStyle name="Normal 5 2 4" xfId="70"/>
    <cellStyle name="Normal 5 2 4 2" xfId="186"/>
    <cellStyle name="Normal 5 2 4 2 2" xfId="413"/>
    <cellStyle name="Normal 5 2 4 3" xfId="302"/>
    <cellStyle name="Normal 5 2 5" xfId="138"/>
    <cellStyle name="Normal 5 2 5 2" xfId="365"/>
    <cellStyle name="Normal 5 2 6" xfId="254"/>
    <cellStyle name="Normal 5 3" xfId="27"/>
    <cellStyle name="Normal 5 3 2" xfId="52"/>
    <cellStyle name="Normal 5 3 2 2" xfId="101"/>
    <cellStyle name="Normal 5 3 2 2 2" xfId="217"/>
    <cellStyle name="Normal 5 3 2 2 2 2" xfId="444"/>
    <cellStyle name="Normal 5 3 2 2 3" xfId="333"/>
    <cellStyle name="Normal 5 3 2 3" xfId="169"/>
    <cellStyle name="Normal 5 3 2 3 2" xfId="396"/>
    <cellStyle name="Normal 5 3 2 4" xfId="285"/>
    <cellStyle name="Normal 5 3 3" xfId="77"/>
    <cellStyle name="Normal 5 3 3 2" xfId="193"/>
    <cellStyle name="Normal 5 3 3 2 2" xfId="420"/>
    <cellStyle name="Normal 5 3 3 3" xfId="309"/>
    <cellStyle name="Normal 5 3 4" xfId="145"/>
    <cellStyle name="Normal 5 3 4 2" xfId="372"/>
    <cellStyle name="Normal 5 3 5" xfId="261"/>
    <cellStyle name="Normal 5 4" xfId="40"/>
    <cellStyle name="Normal 5 4 2" xfId="89"/>
    <cellStyle name="Normal 5 4 2 2" xfId="205"/>
    <cellStyle name="Normal 5 4 2 2 2" xfId="432"/>
    <cellStyle name="Normal 5 4 2 3" xfId="321"/>
    <cellStyle name="Normal 5 4 3" xfId="157"/>
    <cellStyle name="Normal 5 4 3 2" xfId="384"/>
    <cellStyle name="Normal 5 4 4" xfId="273"/>
    <cellStyle name="Normal 5 5" xfId="65"/>
    <cellStyle name="Normal 5 5 2" xfId="181"/>
    <cellStyle name="Normal 5 5 2 2" xfId="408"/>
    <cellStyle name="Normal 5 5 3" xfId="297"/>
    <cellStyle name="Normal 5 6" xfId="133"/>
    <cellStyle name="Normal 5 6 2" xfId="360"/>
    <cellStyle name="Normal 5 7" xfId="249"/>
    <cellStyle name="Normal 51" xfId="467"/>
    <cellStyle name="Normal 54" xfId="468"/>
    <cellStyle name="Normal 57" xfId="469"/>
    <cellStyle name="Normal 6" xfId="14"/>
    <cellStyle name="Normal 6 2" xfId="28"/>
    <cellStyle name="Normal 6 2 2" xfId="53"/>
    <cellStyle name="Normal 6 2 2 2" xfId="102"/>
    <cellStyle name="Normal 6 2 2 2 2" xfId="218"/>
    <cellStyle name="Normal 6 2 2 2 2 2" xfId="445"/>
    <cellStyle name="Normal 6 2 2 2 3" xfId="334"/>
    <cellStyle name="Normal 6 2 2 3" xfId="170"/>
    <cellStyle name="Normal 6 2 2 3 2" xfId="397"/>
    <cellStyle name="Normal 6 2 2 4" xfId="286"/>
    <cellStyle name="Normal 6 2 3" xfId="78"/>
    <cellStyle name="Normal 6 2 3 2" xfId="194"/>
    <cellStyle name="Normal 6 2 3 2 2" xfId="421"/>
    <cellStyle name="Normal 6 2 3 3" xfId="310"/>
    <cellStyle name="Normal 6 2 4" xfId="146"/>
    <cellStyle name="Normal 6 2 4 2" xfId="373"/>
    <cellStyle name="Normal 6 2 5" xfId="262"/>
    <cellStyle name="Normal 6 3" xfId="41"/>
    <cellStyle name="Normal 6 3 2" xfId="90"/>
    <cellStyle name="Normal 6 3 2 2" xfId="206"/>
    <cellStyle name="Normal 6 3 2 2 2" xfId="433"/>
    <cellStyle name="Normal 6 3 2 3" xfId="322"/>
    <cellStyle name="Normal 6 3 3" xfId="158"/>
    <cellStyle name="Normal 6 3 3 2" xfId="385"/>
    <cellStyle name="Normal 6 3 4" xfId="274"/>
    <cellStyle name="Normal 6 4" xfId="66"/>
    <cellStyle name="Normal 6 4 2" xfId="182"/>
    <cellStyle name="Normal 6 4 2 2" xfId="409"/>
    <cellStyle name="Normal 6 4 3" xfId="298"/>
    <cellStyle name="Normal 6 5" xfId="134"/>
    <cellStyle name="Normal 6 5 2" xfId="361"/>
    <cellStyle name="Normal 6 6" xfId="250"/>
    <cellStyle name="Normal 7" xfId="19"/>
    <cellStyle name="Normal 7 2" xfId="33"/>
    <cellStyle name="Normal 7 2 2" xfId="58"/>
    <cellStyle name="Normal 7 2 2 2" xfId="107"/>
    <cellStyle name="Normal 7 2 2 2 2" xfId="223"/>
    <cellStyle name="Normal 7 2 2 2 2 2" xfId="450"/>
    <cellStyle name="Normal 7 2 2 2 3" xfId="339"/>
    <cellStyle name="Normal 7 2 2 3" xfId="175"/>
    <cellStyle name="Normal 7 2 2 3 2" xfId="402"/>
    <cellStyle name="Normal 7 2 2 4" xfId="291"/>
    <cellStyle name="Normal 7 2 3" xfId="83"/>
    <cellStyle name="Normal 7 2 3 2" xfId="199"/>
    <cellStyle name="Normal 7 2 3 2 2" xfId="426"/>
    <cellStyle name="Normal 7 2 3 3" xfId="315"/>
    <cellStyle name="Normal 7 2 4" xfId="151"/>
    <cellStyle name="Normal 7 2 4 2" xfId="378"/>
    <cellStyle name="Normal 7 2 5" xfId="267"/>
    <cellStyle name="Normal 7 3" xfId="46"/>
    <cellStyle name="Normal 7 3 2" xfId="95"/>
    <cellStyle name="Normal 7 3 2 2" xfId="211"/>
    <cellStyle name="Normal 7 3 2 2 2" xfId="438"/>
    <cellStyle name="Normal 7 3 2 3" xfId="327"/>
    <cellStyle name="Normal 7 3 3" xfId="163"/>
    <cellStyle name="Normal 7 3 3 2" xfId="390"/>
    <cellStyle name="Normal 7 3 4" xfId="279"/>
    <cellStyle name="Normal 7 4" xfId="71"/>
    <cellStyle name="Normal 7 4 2" xfId="187"/>
    <cellStyle name="Normal 7 4 2 2" xfId="414"/>
    <cellStyle name="Normal 7 4 3" xfId="303"/>
    <cellStyle name="Normal 7 5" xfId="139"/>
    <cellStyle name="Normal 7 5 2" xfId="366"/>
    <cellStyle name="Normal 7 6" xfId="255"/>
    <cellStyle name="Normal 8" xfId="21"/>
    <cellStyle name="Normal 8 2" xfId="34"/>
    <cellStyle name="Normal 8 2 2" xfId="59"/>
    <cellStyle name="Normal 8 2 2 2" xfId="108"/>
    <cellStyle name="Normal 8 2 2 2 2" xfId="224"/>
    <cellStyle name="Normal 8 2 2 2 2 2" xfId="451"/>
    <cellStyle name="Normal 8 2 2 2 3" xfId="340"/>
    <cellStyle name="Normal 8 2 2 3" xfId="176"/>
    <cellStyle name="Normal 8 2 2 3 2" xfId="403"/>
    <cellStyle name="Normal 8 2 2 4" xfId="292"/>
    <cellStyle name="Normal 8 2 3" xfId="84"/>
    <cellStyle name="Normal 8 2 3 2" xfId="200"/>
    <cellStyle name="Normal 8 2 3 2 2" xfId="427"/>
    <cellStyle name="Normal 8 2 3 3" xfId="316"/>
    <cellStyle name="Normal 8 2 4" xfId="152"/>
    <cellStyle name="Normal 8 2 4 2" xfId="379"/>
    <cellStyle name="Normal 8 2 5" xfId="268"/>
    <cellStyle name="Normal 8 3" xfId="47"/>
    <cellStyle name="Normal 8 3 2" xfId="96"/>
    <cellStyle name="Normal 8 3 2 2" xfId="212"/>
    <cellStyle name="Normal 8 3 2 2 2" xfId="439"/>
    <cellStyle name="Normal 8 3 2 3" xfId="328"/>
    <cellStyle name="Normal 8 3 3" xfId="164"/>
    <cellStyle name="Normal 8 3 3 2" xfId="391"/>
    <cellStyle name="Normal 8 3 4" xfId="280"/>
    <cellStyle name="Normal 8 4" xfId="72"/>
    <cellStyle name="Normal 8 4 2" xfId="188"/>
    <cellStyle name="Normal 8 4 2 2" xfId="415"/>
    <cellStyle name="Normal 8 4 3" xfId="304"/>
    <cellStyle name="Normal 8 5" xfId="140"/>
    <cellStyle name="Normal 8 5 2" xfId="367"/>
    <cellStyle name="Normal 8 6" xfId="256"/>
    <cellStyle name="Normal 9" xfId="23"/>
    <cellStyle name="Note 2" xfId="5"/>
    <cellStyle name="Percent" xfId="470" builtinId="5"/>
    <cellStyle name="Title 2" xfId="6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m/FBA%20CALCULATOR/Option_FBA%20FEES%20CALCULATOR%20(FINAL%20ak)%20Mon%20(Recovered)%20fINAL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 Size + Std Ship (2)"/>
      <sheetName val="Large Size + Std Ship (2)"/>
      <sheetName val="FBA FEES"/>
      <sheetName val="backup"/>
      <sheetName val="FBA CHART"/>
      <sheetName val="REMOVAL FEES"/>
      <sheetName val="CALCULATOR"/>
      <sheetName val="REMOVAL CHART"/>
      <sheetName val="Sheet1"/>
      <sheetName val="CALCULATOR MAIN"/>
      <sheetName val="Sheet11"/>
      <sheetName val="Main Sheet"/>
      <sheetName val="Storage Fees Calculator"/>
      <sheetName val="Storage Fe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Tier</v>
          </cell>
          <cell r="B1" t="str">
            <v>Weight</v>
          </cell>
          <cell r="C1" t="str">
            <v>Fees</v>
          </cell>
          <cell r="E1" t="str">
            <v>Tier</v>
          </cell>
          <cell r="F1" t="str">
            <v>Weight</v>
          </cell>
          <cell r="G1" t="str">
            <v>Fees</v>
          </cell>
          <cell r="K1" t="str">
            <v>Small standard-size</v>
          </cell>
          <cell r="L1">
            <v>1</v>
          </cell>
        </row>
        <row r="2">
          <cell r="A2" t="str">
            <v>Standard size0.5</v>
          </cell>
          <cell r="B2">
            <v>0.5</v>
          </cell>
          <cell r="C2">
            <v>1.04</v>
          </cell>
          <cell r="E2" t="str">
            <v>Large bulky, extra-large and special handling items0.5</v>
          </cell>
          <cell r="F2">
            <v>0.5</v>
          </cell>
          <cell r="G2">
            <v>3.12</v>
          </cell>
          <cell r="K2" t="str">
            <v>Large standard-size</v>
          </cell>
          <cell r="L2">
            <v>1</v>
          </cell>
        </row>
        <row r="3">
          <cell r="A3" t="str">
            <v>Standard size1</v>
          </cell>
          <cell r="B3">
            <v>1</v>
          </cell>
          <cell r="C3">
            <v>1.53</v>
          </cell>
          <cell r="E3" t="str">
            <v>Large bulky, extra-large and special handling items1</v>
          </cell>
          <cell r="F3">
            <v>1</v>
          </cell>
          <cell r="G3">
            <v>3.12</v>
          </cell>
          <cell r="K3" t="str">
            <v>Large bulky</v>
          </cell>
          <cell r="L3">
            <v>2</v>
          </cell>
        </row>
        <row r="4">
          <cell r="A4" t="str">
            <v>Standard size2</v>
          </cell>
          <cell r="B4">
            <v>2</v>
          </cell>
          <cell r="C4">
            <v>2.27</v>
          </cell>
          <cell r="E4" t="str">
            <v>Large bulky, extra-large and special handling items2</v>
          </cell>
          <cell r="F4">
            <v>2</v>
          </cell>
          <cell r="G4">
            <v>4.3</v>
          </cell>
          <cell r="K4" t="str">
            <v>Extra-large 0 to 50 lb</v>
          </cell>
          <cell r="L4">
            <v>2</v>
          </cell>
        </row>
        <row r="5">
          <cell r="A5" t="str">
            <v>Standard size3</v>
          </cell>
          <cell r="B5">
            <v>3</v>
          </cell>
          <cell r="C5">
            <v>3.95</v>
          </cell>
          <cell r="E5" t="str">
            <v>Large bulky, extra-large and special handling items3</v>
          </cell>
          <cell r="F5">
            <v>3</v>
          </cell>
          <cell r="G5">
            <v>6.36</v>
          </cell>
          <cell r="K5" t="str">
            <v>Extra-large 50+ to 70 lb</v>
          </cell>
          <cell r="L5">
            <v>2</v>
          </cell>
        </row>
        <row r="6">
          <cell r="A6" t="str">
            <v>Standard size4</v>
          </cell>
          <cell r="B6">
            <v>4</v>
          </cell>
          <cell r="C6">
            <v>5.01</v>
          </cell>
          <cell r="E6" t="str">
            <v>Large bulky, extra-large and special handling items4</v>
          </cell>
          <cell r="F6">
            <v>4</v>
          </cell>
          <cell r="G6">
            <v>6.36</v>
          </cell>
          <cell r="K6" t="str">
            <v>Extra-large 70+ to 150 lb</v>
          </cell>
          <cell r="L6">
            <v>2</v>
          </cell>
        </row>
        <row r="7">
          <cell r="A7" t="str">
            <v>Standard size5</v>
          </cell>
          <cell r="B7">
            <v>5</v>
          </cell>
          <cell r="C7">
            <v>6.07</v>
          </cell>
          <cell r="E7" t="str">
            <v>Large bulky, extra-large and special handling items5</v>
          </cell>
          <cell r="F7">
            <v>5</v>
          </cell>
          <cell r="G7">
            <v>10.039999999999999</v>
          </cell>
          <cell r="K7" t="str">
            <v>Extra-large 150+ lb</v>
          </cell>
          <cell r="L7">
            <v>2</v>
          </cell>
        </row>
        <row r="8">
          <cell r="A8" t="str">
            <v>Standard size6</v>
          </cell>
          <cell r="B8">
            <v>6</v>
          </cell>
          <cell r="C8">
            <v>7.1300000000000008</v>
          </cell>
          <cell r="E8" t="str">
            <v>Large bulky, extra-large and special handling items6</v>
          </cell>
          <cell r="F8">
            <v>6</v>
          </cell>
          <cell r="G8">
            <v>10.039999999999999</v>
          </cell>
        </row>
        <row r="9">
          <cell r="A9" t="str">
            <v>Standard size7</v>
          </cell>
          <cell r="B9">
            <v>7</v>
          </cell>
          <cell r="C9">
            <v>8.1900000000000013</v>
          </cell>
          <cell r="E9" t="str">
            <v>Large bulky, extra-large and special handling items7</v>
          </cell>
          <cell r="F9">
            <v>7</v>
          </cell>
          <cell r="G9">
            <v>10.039999999999999</v>
          </cell>
        </row>
        <row r="10">
          <cell r="A10" t="str">
            <v>Standard size8</v>
          </cell>
          <cell r="B10">
            <v>8</v>
          </cell>
          <cell r="C10">
            <v>9.25</v>
          </cell>
          <cell r="E10" t="str">
            <v>Large bulky, extra-large and special handling items8</v>
          </cell>
          <cell r="F10">
            <v>8</v>
          </cell>
          <cell r="G10">
            <v>10.039999999999999</v>
          </cell>
        </row>
        <row r="11">
          <cell r="A11" t="str">
            <v>Standard size9</v>
          </cell>
          <cell r="B11">
            <v>9</v>
          </cell>
          <cell r="C11">
            <v>10.31</v>
          </cell>
          <cell r="E11" t="str">
            <v>Large bulky, extra-large and special handling items9</v>
          </cell>
          <cell r="F11">
            <v>9</v>
          </cell>
          <cell r="G11">
            <v>10.039999999999999</v>
          </cell>
        </row>
        <row r="12">
          <cell r="A12" t="str">
            <v>Standard size10</v>
          </cell>
          <cell r="B12">
            <v>10</v>
          </cell>
          <cell r="C12">
            <v>11.370000000000001</v>
          </cell>
          <cell r="E12" t="str">
            <v>Large bulky, extra-large and special handling items10</v>
          </cell>
          <cell r="F12">
            <v>10</v>
          </cell>
          <cell r="G12">
            <v>10.039999999999999</v>
          </cell>
        </row>
        <row r="13">
          <cell r="A13" t="str">
            <v>Standard size11</v>
          </cell>
          <cell r="B13">
            <v>11</v>
          </cell>
          <cell r="C13">
            <v>12.430000000000001</v>
          </cell>
          <cell r="E13" t="str">
            <v>Large bulky, extra-large and special handling items11</v>
          </cell>
          <cell r="F13">
            <v>11</v>
          </cell>
          <cell r="G13">
            <v>14.32</v>
          </cell>
        </row>
        <row r="14">
          <cell r="A14" t="str">
            <v>Standard size12</v>
          </cell>
          <cell r="B14">
            <v>12</v>
          </cell>
          <cell r="C14">
            <v>13.490000000000002</v>
          </cell>
        </row>
        <row r="15">
          <cell r="A15" t="str">
            <v>Standard size13</v>
          </cell>
          <cell r="B15">
            <v>13</v>
          </cell>
          <cell r="C15">
            <v>14.55</v>
          </cell>
        </row>
        <row r="16">
          <cell r="A16" t="str">
            <v>Standard size14</v>
          </cell>
          <cell r="B16">
            <v>14</v>
          </cell>
          <cell r="C16">
            <v>15.610000000000001</v>
          </cell>
        </row>
        <row r="17">
          <cell r="A17" t="str">
            <v>Standard size15</v>
          </cell>
          <cell r="B17">
            <v>15</v>
          </cell>
          <cell r="C17">
            <v>16.670000000000002</v>
          </cell>
        </row>
        <row r="18">
          <cell r="A18" t="str">
            <v>Standard size16</v>
          </cell>
          <cell r="B18">
            <v>16</v>
          </cell>
          <cell r="C18">
            <v>17.73</v>
          </cell>
        </row>
        <row r="19">
          <cell r="A19" t="str">
            <v>Standard size17</v>
          </cell>
          <cell r="B19">
            <v>17</v>
          </cell>
          <cell r="C19">
            <v>18.79</v>
          </cell>
        </row>
        <row r="20">
          <cell r="A20" t="str">
            <v>Standard size18</v>
          </cell>
          <cell r="B20">
            <v>18</v>
          </cell>
          <cell r="C20">
            <v>19.850000000000001</v>
          </cell>
        </row>
        <row r="21">
          <cell r="A21" t="str">
            <v>Standard size19</v>
          </cell>
          <cell r="B21">
            <v>19</v>
          </cell>
          <cell r="C21">
            <v>20.91</v>
          </cell>
        </row>
        <row r="22">
          <cell r="A22" t="str">
            <v>Standard size20</v>
          </cell>
          <cell r="B22">
            <v>20</v>
          </cell>
          <cell r="C22">
            <v>21.970000000000002</v>
          </cell>
        </row>
      </sheetData>
      <sheetData sheetId="6"/>
      <sheetData sheetId="7">
        <row r="20">
          <cell r="B20" t="str">
            <v>Large bulky, extra-large and special handling items</v>
          </cell>
        </row>
        <row r="21">
          <cell r="B21">
            <v>15.38</v>
          </cell>
        </row>
      </sheetData>
      <sheetData sheetId="8"/>
      <sheetData sheetId="9"/>
      <sheetData sheetId="10"/>
      <sheetData sheetId="11">
        <row r="6">
          <cell r="D6">
            <v>29</v>
          </cell>
          <cell r="J6">
            <v>12</v>
          </cell>
        </row>
      </sheetData>
      <sheetData sheetId="12"/>
      <sheetData sheetId="13">
        <row r="1">
          <cell r="A1" t="str">
            <v>Storage Duration (Weeks)</v>
          </cell>
          <cell r="B1" t="str">
            <v>Off-Peak Standard Base ($/cu ft)</v>
          </cell>
          <cell r="C1" t="str">
            <v>Off-Peak Standard Surcharge ($/cu ft)</v>
          </cell>
          <cell r="D1" t="str">
            <v>Off-Peak Standard Total ($/cu ft)</v>
          </cell>
          <cell r="E1" t="str">
            <v>Off-Peak Oversize Base ($/cu ft)</v>
          </cell>
          <cell r="F1" t="str">
            <v>Off-Peak Oversize Surcharge ($/cu ft)</v>
          </cell>
          <cell r="G1" t="str">
            <v>Off-Peak Oversize Total ($/cu ft)</v>
          </cell>
          <cell r="H1" t="str">
            <v>Peak Standard Base ($/cu ft)</v>
          </cell>
          <cell r="I1" t="str">
            <v>Peak Standard Surcharge ($/cu ft)</v>
          </cell>
          <cell r="J1" t="str">
            <v>Peak Standard Total ($/cu ft)</v>
          </cell>
          <cell r="K1" t="str">
            <v>Peak Oversize Base ($/cu ft)</v>
          </cell>
          <cell r="L1" t="str">
            <v>Peak Oversize Surcharge ($/cu ft)</v>
          </cell>
          <cell r="M1" t="str">
            <v>Peak Oversize Total ($/cu ft)</v>
          </cell>
        </row>
        <row r="2">
          <cell r="A2" t="str">
            <v>Below 22</v>
          </cell>
          <cell r="B2">
            <v>0.78</v>
          </cell>
          <cell r="C2">
            <v>0</v>
          </cell>
          <cell r="D2">
            <v>0.78</v>
          </cell>
          <cell r="E2">
            <v>0.56000000000000005</v>
          </cell>
          <cell r="F2">
            <v>0</v>
          </cell>
          <cell r="G2">
            <v>0.56000000000000005</v>
          </cell>
          <cell r="H2">
            <v>2.4</v>
          </cell>
          <cell r="I2">
            <v>0</v>
          </cell>
          <cell r="J2">
            <v>2.4</v>
          </cell>
          <cell r="K2">
            <v>1.4</v>
          </cell>
          <cell r="L2">
            <v>0</v>
          </cell>
          <cell r="M2">
            <v>1.4</v>
          </cell>
        </row>
        <row r="3">
          <cell r="A3" t="str">
            <v>22 – 28</v>
          </cell>
          <cell r="B3">
            <v>0.78</v>
          </cell>
          <cell r="C3">
            <v>0.44</v>
          </cell>
          <cell r="D3">
            <v>1.22</v>
          </cell>
          <cell r="E3">
            <v>0.56000000000000005</v>
          </cell>
          <cell r="F3">
            <v>0.23</v>
          </cell>
          <cell r="G3">
            <v>0.79</v>
          </cell>
          <cell r="H3">
            <v>2.4</v>
          </cell>
          <cell r="I3">
            <v>0.44</v>
          </cell>
          <cell r="J3">
            <v>2.84</v>
          </cell>
          <cell r="K3">
            <v>1.4</v>
          </cell>
          <cell r="L3">
            <v>0.23</v>
          </cell>
          <cell r="M3">
            <v>1.63</v>
          </cell>
        </row>
        <row r="4">
          <cell r="A4" t="str">
            <v>28 – 36</v>
          </cell>
          <cell r="B4">
            <v>0.78</v>
          </cell>
          <cell r="C4">
            <v>0.76</v>
          </cell>
          <cell r="D4">
            <v>1.54</v>
          </cell>
          <cell r="E4">
            <v>0.56000000000000005</v>
          </cell>
          <cell r="F4">
            <v>0.46</v>
          </cell>
          <cell r="G4">
            <v>1.02</v>
          </cell>
          <cell r="H4">
            <v>2.4</v>
          </cell>
          <cell r="I4">
            <v>0.76</v>
          </cell>
          <cell r="J4">
            <v>3.16</v>
          </cell>
          <cell r="K4">
            <v>1.4</v>
          </cell>
          <cell r="L4">
            <v>0.46</v>
          </cell>
          <cell r="M4">
            <v>1.86</v>
          </cell>
        </row>
        <row r="5">
          <cell r="A5" t="str">
            <v>36 – 44</v>
          </cell>
          <cell r="B5">
            <v>0.78</v>
          </cell>
          <cell r="C5">
            <v>1.1599999999999999</v>
          </cell>
          <cell r="D5">
            <v>1.94</v>
          </cell>
          <cell r="E5">
            <v>0.56000000000000005</v>
          </cell>
          <cell r="F5">
            <v>0.63</v>
          </cell>
          <cell r="G5">
            <v>1.19</v>
          </cell>
          <cell r="H5">
            <v>2.4</v>
          </cell>
          <cell r="I5">
            <v>1.1599999999999999</v>
          </cell>
          <cell r="J5">
            <v>3.56</v>
          </cell>
          <cell r="K5">
            <v>1.4</v>
          </cell>
          <cell r="L5">
            <v>0.63</v>
          </cell>
          <cell r="M5">
            <v>2.0299999999999998</v>
          </cell>
        </row>
        <row r="6">
          <cell r="A6" t="str">
            <v>44 – 52</v>
          </cell>
          <cell r="B6">
            <v>0.78</v>
          </cell>
          <cell r="C6">
            <v>1.58</v>
          </cell>
          <cell r="D6">
            <v>2.36</v>
          </cell>
          <cell r="E6">
            <v>0.56000000000000005</v>
          </cell>
          <cell r="F6">
            <v>0.76</v>
          </cell>
          <cell r="G6">
            <v>1.32</v>
          </cell>
          <cell r="H6">
            <v>2.4</v>
          </cell>
          <cell r="I6">
            <v>1.58</v>
          </cell>
          <cell r="J6">
            <v>3.98</v>
          </cell>
          <cell r="K6">
            <v>1.4</v>
          </cell>
          <cell r="L6">
            <v>0.76</v>
          </cell>
          <cell r="M6">
            <v>2.16</v>
          </cell>
        </row>
        <row r="7">
          <cell r="A7" t="str">
            <v>52+</v>
          </cell>
          <cell r="B7">
            <v>0.78</v>
          </cell>
          <cell r="C7">
            <v>1.88</v>
          </cell>
          <cell r="D7">
            <v>2.66</v>
          </cell>
          <cell r="E7">
            <v>0.56000000000000005</v>
          </cell>
          <cell r="F7">
            <v>1.26</v>
          </cell>
          <cell r="G7">
            <v>1.82</v>
          </cell>
          <cell r="H7">
            <v>2.4</v>
          </cell>
          <cell r="I7">
            <v>1.88</v>
          </cell>
          <cell r="J7">
            <v>4.28</v>
          </cell>
          <cell r="K7">
            <v>1.4</v>
          </cell>
          <cell r="L7">
            <v>1.26</v>
          </cell>
          <cell r="M7">
            <v>2.66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7"/>
  <sheetViews>
    <sheetView zoomScaleNormal="100" workbookViewId="0"/>
  </sheetViews>
  <sheetFormatPr defaultRowHeight="15" x14ac:dyDescent="0.25"/>
  <cols>
    <col min="1" max="1" width="6" style="157" customWidth="1"/>
    <col min="2" max="2" width="7.140625" style="157" customWidth="1"/>
    <col min="3" max="3" width="21.42578125" style="157" customWidth="1"/>
    <col min="4" max="4" width="23.5703125" style="157" customWidth="1"/>
    <col min="5" max="5" width="19.5703125" style="157" customWidth="1"/>
    <col min="6" max="8" width="18.7109375" style="157" customWidth="1"/>
    <col min="9" max="9" width="18.140625" style="157" customWidth="1"/>
    <col min="10" max="10" width="7.28515625" style="157" customWidth="1"/>
    <col min="11" max="11" width="7.5703125" style="157" customWidth="1"/>
    <col min="12" max="12" width="22.5703125" style="157" customWidth="1"/>
    <col min="13" max="13" width="25" style="157" customWidth="1"/>
    <col min="14" max="16" width="22.5703125" style="157" customWidth="1"/>
    <col min="17" max="17" width="22.5703125" style="157" bestFit="1" customWidth="1"/>
  </cols>
  <sheetData>
    <row r="1" spans="1:19" x14ac:dyDescent="0.25">
      <c r="C1" s="15" t="s">
        <v>0</v>
      </c>
      <c r="D1" s="15" t="s">
        <v>1</v>
      </c>
    </row>
    <row r="2" spans="1:19" x14ac:dyDescent="0.25">
      <c r="C2" s="3" t="s">
        <v>2</v>
      </c>
      <c r="D2" s="3">
        <v>0.32</v>
      </c>
      <c r="I2">
        <v>15.1</v>
      </c>
      <c r="K2" s="16" t="s">
        <v>3</v>
      </c>
      <c r="L2" s="16" t="s">
        <v>4</v>
      </c>
      <c r="M2" s="16" t="s">
        <v>5</v>
      </c>
      <c r="N2" s="16" t="s">
        <v>6</v>
      </c>
      <c r="O2" s="16" t="s">
        <v>7</v>
      </c>
      <c r="P2" s="16" t="s">
        <v>8</v>
      </c>
      <c r="Q2" s="16" t="s">
        <v>9</v>
      </c>
      <c r="S2" s="111" t="s">
        <v>10</v>
      </c>
    </row>
    <row r="3" spans="1:19" x14ac:dyDescent="0.25"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14</v>
      </c>
      <c r="P3" s="17" t="s">
        <v>14</v>
      </c>
      <c r="Q3" s="17" t="s">
        <v>14</v>
      </c>
      <c r="S3" s="111">
        <f>IF(AND($I$12&lt;=P44,$D$8&lt;=M44,$D$9&lt;=N44,$D$10&lt;=O44),K44,IF(AND($I$12&lt;=P45,$D$8&lt;=M45,$D$9&lt;=N45,$D$10&lt;=O45),K45,IF(AND($D$8&lt;=M46,$D$9&lt;=N46,$D$10&lt;=O46,$I$12&lt;=P46),K46,IF(AND($I$12&lt;=P47,OR(N$8&gt;M47,$D$9&gt;N47,$D$10&gt;O47)),K47,IF(AND($I$12&gt;P47,$I$12&lt;=P48),K48,IF(AND($I$12&gt;P48,$I$12&lt;=P49),K49,K50))))))</f>
        <v>47</v>
      </c>
    </row>
    <row r="4" spans="1:19" x14ac:dyDescent="0.25">
      <c r="K4" s="18">
        <v>1</v>
      </c>
      <c r="L4" s="19">
        <f t="shared" ref="L4:L35" si="0">K4*16</f>
        <v>16</v>
      </c>
      <c r="M4">
        <v>9.61</v>
      </c>
      <c r="N4">
        <v>26.33</v>
      </c>
      <c r="O4" s="20"/>
      <c r="P4" s="20"/>
      <c r="Q4" s="20"/>
      <c r="S4" s="25" t="s">
        <v>15</v>
      </c>
    </row>
    <row r="5" spans="1:19" ht="15.75" customHeight="1" thickBot="1" x14ac:dyDescent="0.3">
      <c r="K5" s="18">
        <v>2</v>
      </c>
      <c r="L5" s="19">
        <f t="shared" si="0"/>
        <v>32</v>
      </c>
      <c r="M5" s="19">
        <f t="shared" ref="M5:M36" si="1">$I$10+(K4*$I$18)</f>
        <v>9.99</v>
      </c>
      <c r="N5" s="19">
        <f t="shared" ref="N5:N36" si="2">$I$11+(K4*$I$18)</f>
        <v>26.709999999999997</v>
      </c>
      <c r="O5" s="20"/>
      <c r="P5" s="20"/>
      <c r="Q5" s="20"/>
      <c r="S5" s="25" t="e">
        <f>IFERROR(VLOOKUP(ROUNDUP($D$7,0),'FBA FEES'!$L$2:$Q$203,MATCH(S3,'FBA FEES'!$L$2:$Q$2,0),FALSE),VLOOKUP(ROUNDUP($D$7,0),'FBA FEES'!$C$6:$F$123,MATCH(S3,'FBA FEES'!$C$6:$F$6,0),FALSE))</f>
        <v>#VALUE!</v>
      </c>
    </row>
    <row r="6" spans="1:19" x14ac:dyDescent="0.25">
      <c r="A6" s="21"/>
      <c r="B6" s="22" t="s">
        <v>3</v>
      </c>
      <c r="C6" s="23" t="s">
        <v>4</v>
      </c>
      <c r="D6" s="23" t="s">
        <v>16</v>
      </c>
      <c r="E6" s="24" t="s">
        <v>17</v>
      </c>
      <c r="F6" s="24" t="s">
        <v>18</v>
      </c>
      <c r="G6" s="25"/>
      <c r="H6" s="25"/>
      <c r="I6" s="25"/>
      <c r="K6" s="18">
        <v>3</v>
      </c>
      <c r="L6" s="19">
        <f t="shared" si="0"/>
        <v>48</v>
      </c>
      <c r="M6" s="19">
        <f t="shared" si="1"/>
        <v>10.37</v>
      </c>
      <c r="N6" s="19">
        <f t="shared" si="2"/>
        <v>27.09</v>
      </c>
      <c r="O6" s="20"/>
      <c r="P6" s="20"/>
      <c r="Q6" s="20"/>
      <c r="S6" s="25">
        <f>ROUND(MAX($D$11,$D$12),0)</f>
        <v>3</v>
      </c>
    </row>
    <row r="7" spans="1:19" ht="30.75" customHeight="1" thickBot="1" x14ac:dyDescent="0.3">
      <c r="A7" s="26" t="s">
        <v>19</v>
      </c>
      <c r="B7" s="27" t="s">
        <v>11</v>
      </c>
      <c r="C7" s="28" t="s">
        <v>12</v>
      </c>
      <c r="D7" s="29" t="s">
        <v>20</v>
      </c>
      <c r="E7" s="30" t="s">
        <v>21</v>
      </c>
      <c r="F7" s="31" t="s">
        <v>22</v>
      </c>
      <c r="G7" s="25"/>
      <c r="H7" s="25"/>
      <c r="I7" s="25"/>
      <c r="K7" s="18">
        <v>4</v>
      </c>
      <c r="L7" s="19">
        <f t="shared" si="0"/>
        <v>64</v>
      </c>
      <c r="M7" s="19">
        <f t="shared" si="1"/>
        <v>10.75</v>
      </c>
      <c r="N7" s="19">
        <f t="shared" si="2"/>
        <v>27.47</v>
      </c>
      <c r="O7" s="20"/>
      <c r="P7" s="20"/>
      <c r="Q7" s="20"/>
    </row>
    <row r="8" spans="1:19" ht="15.75" customHeight="1" thickBot="1" x14ac:dyDescent="0.3">
      <c r="A8" s="32">
        <f t="shared" ref="A8:A39" si="3">ROUND(B8,2)</f>
        <v>0.04</v>
      </c>
      <c r="B8" s="32">
        <v>0.04</v>
      </c>
      <c r="C8">
        <v>1</v>
      </c>
      <c r="D8">
        <v>3.06</v>
      </c>
      <c r="E8">
        <v>3.68</v>
      </c>
      <c r="F8">
        <f t="shared" ref="F8:F39" si="4">IF(B8&lt;=3,E8,IF(B8&lt;=20,E8+((B8-3)*$D$2),))</f>
        <v>3.68</v>
      </c>
      <c r="K8" s="18">
        <v>5</v>
      </c>
      <c r="L8" s="19">
        <f t="shared" si="0"/>
        <v>80</v>
      </c>
      <c r="M8" s="19">
        <f t="shared" si="1"/>
        <v>11.129999999999999</v>
      </c>
      <c r="N8" s="19">
        <f t="shared" si="2"/>
        <v>27.849999999999998</v>
      </c>
      <c r="O8" s="20"/>
      <c r="P8" s="20"/>
      <c r="Q8" s="20"/>
    </row>
    <row r="9" spans="1:19" x14ac:dyDescent="0.25">
      <c r="A9" s="32">
        <f t="shared" si="3"/>
        <v>0.13</v>
      </c>
      <c r="B9" s="32">
        <v>0.125</v>
      </c>
      <c r="C9">
        <v>2</v>
      </c>
      <c r="D9">
        <v>3.06</v>
      </c>
      <c r="E9">
        <v>3.68</v>
      </c>
      <c r="F9">
        <f t="shared" si="4"/>
        <v>3.68</v>
      </c>
      <c r="G9" s="33" t="s">
        <v>23</v>
      </c>
      <c r="H9" s="34" t="s">
        <v>0</v>
      </c>
      <c r="I9" s="35" t="s">
        <v>24</v>
      </c>
      <c r="K9" s="18">
        <v>6</v>
      </c>
      <c r="L9" s="19">
        <f t="shared" si="0"/>
        <v>96</v>
      </c>
      <c r="M9" s="19">
        <f t="shared" si="1"/>
        <v>11.51</v>
      </c>
      <c r="N9" s="19">
        <f t="shared" si="2"/>
        <v>28.229999999999997</v>
      </c>
      <c r="O9" s="20"/>
      <c r="P9" s="20"/>
      <c r="Q9" s="20"/>
    </row>
    <row r="10" spans="1:19" x14ac:dyDescent="0.25">
      <c r="A10" s="32">
        <f t="shared" si="3"/>
        <v>0.19</v>
      </c>
      <c r="B10" s="32">
        <v>0.1875</v>
      </c>
      <c r="C10">
        <v>3</v>
      </c>
      <c r="D10">
        <v>3.15</v>
      </c>
      <c r="E10">
        <v>3.68</v>
      </c>
      <c r="F10">
        <f t="shared" si="4"/>
        <v>3.68</v>
      </c>
      <c r="G10" s="36" t="s">
        <v>25</v>
      </c>
      <c r="H10" s="37" t="s">
        <v>26</v>
      </c>
      <c r="I10" s="38">
        <v>9.61</v>
      </c>
      <c r="K10" s="18">
        <v>7</v>
      </c>
      <c r="L10" s="19">
        <f t="shared" si="0"/>
        <v>112</v>
      </c>
      <c r="M10" s="19">
        <f t="shared" si="1"/>
        <v>11.89</v>
      </c>
      <c r="N10" s="19">
        <f t="shared" si="2"/>
        <v>28.61</v>
      </c>
      <c r="O10" s="20"/>
      <c r="P10" s="20"/>
      <c r="Q10" s="20"/>
    </row>
    <row r="11" spans="1:19" x14ac:dyDescent="0.25">
      <c r="A11" s="32">
        <f t="shared" si="3"/>
        <v>0.25</v>
      </c>
      <c r="B11" s="32">
        <v>0.25</v>
      </c>
      <c r="C11">
        <v>4</v>
      </c>
      <c r="D11">
        <v>3.15</v>
      </c>
      <c r="E11">
        <v>3.68</v>
      </c>
      <c r="F11">
        <f t="shared" si="4"/>
        <v>3.68</v>
      </c>
      <c r="G11" s="36" t="s">
        <v>25</v>
      </c>
      <c r="H11" s="37" t="s">
        <v>6</v>
      </c>
      <c r="I11" s="38">
        <v>26.33</v>
      </c>
      <c r="K11" s="18">
        <v>8</v>
      </c>
      <c r="L11" s="19">
        <f t="shared" si="0"/>
        <v>128</v>
      </c>
      <c r="M11" s="19">
        <f t="shared" si="1"/>
        <v>12.27</v>
      </c>
      <c r="N11" s="19">
        <f t="shared" si="2"/>
        <v>28.99</v>
      </c>
      <c r="O11" s="20"/>
      <c r="P11" s="20"/>
      <c r="Q11" s="20"/>
    </row>
    <row r="12" spans="1:19" x14ac:dyDescent="0.25">
      <c r="A12" s="32">
        <f t="shared" si="3"/>
        <v>0.31</v>
      </c>
      <c r="B12" s="32">
        <v>0.3125</v>
      </c>
      <c r="C12">
        <v>5</v>
      </c>
      <c r="D12">
        <v>3.24</v>
      </c>
      <c r="E12">
        <v>3.9</v>
      </c>
      <c r="F12">
        <f t="shared" si="4"/>
        <v>3.9</v>
      </c>
      <c r="G12" s="39" t="s">
        <v>27</v>
      </c>
      <c r="H12" s="37" t="s">
        <v>28</v>
      </c>
      <c r="I12" s="38">
        <v>40.119999999999997</v>
      </c>
      <c r="K12" s="18">
        <v>9</v>
      </c>
      <c r="L12" s="19">
        <f t="shared" si="0"/>
        <v>144</v>
      </c>
      <c r="M12" s="19">
        <f t="shared" si="1"/>
        <v>12.649999999999999</v>
      </c>
      <c r="N12" s="19">
        <f t="shared" si="2"/>
        <v>29.369999999999997</v>
      </c>
      <c r="O12" s="20"/>
      <c r="P12" s="20"/>
      <c r="Q12" s="20"/>
    </row>
    <row r="13" spans="1:19" x14ac:dyDescent="0.25">
      <c r="A13" s="32">
        <f t="shared" si="3"/>
        <v>0.38</v>
      </c>
      <c r="B13" s="32">
        <v>0.375</v>
      </c>
      <c r="C13">
        <v>6</v>
      </c>
      <c r="D13">
        <v>3.24</v>
      </c>
      <c r="E13">
        <v>3.9</v>
      </c>
      <c r="F13">
        <f t="shared" si="4"/>
        <v>3.9</v>
      </c>
      <c r="G13" s="39" t="s">
        <v>29</v>
      </c>
      <c r="H13" s="37" t="s">
        <v>30</v>
      </c>
      <c r="I13" s="38">
        <v>54.81</v>
      </c>
      <c r="K13" s="18">
        <v>10</v>
      </c>
      <c r="L13" s="19">
        <f t="shared" si="0"/>
        <v>160</v>
      </c>
      <c r="M13" s="19">
        <f t="shared" si="1"/>
        <v>13.03</v>
      </c>
      <c r="N13" s="19">
        <f t="shared" si="2"/>
        <v>29.75</v>
      </c>
      <c r="O13" s="20"/>
      <c r="P13" s="20"/>
      <c r="Q13" s="20"/>
    </row>
    <row r="14" spans="1:19" ht="15.75" customHeight="1" thickBot="1" x14ac:dyDescent="0.3">
      <c r="A14" s="32">
        <f t="shared" si="3"/>
        <v>0.44</v>
      </c>
      <c r="B14" s="32">
        <v>0.4375</v>
      </c>
      <c r="C14">
        <v>7</v>
      </c>
      <c r="D14">
        <v>3.33</v>
      </c>
      <c r="E14">
        <v>3.9</v>
      </c>
      <c r="F14">
        <f t="shared" si="4"/>
        <v>3.9</v>
      </c>
      <c r="G14" s="40" t="s">
        <v>31</v>
      </c>
      <c r="H14" s="41" t="s">
        <v>32</v>
      </c>
      <c r="I14" s="42">
        <v>194.95</v>
      </c>
      <c r="K14" s="18">
        <v>11</v>
      </c>
      <c r="L14" s="19">
        <f t="shared" si="0"/>
        <v>176</v>
      </c>
      <c r="M14" s="19">
        <f t="shared" si="1"/>
        <v>13.41</v>
      </c>
      <c r="N14" s="19">
        <f t="shared" si="2"/>
        <v>30.13</v>
      </c>
      <c r="O14" s="20"/>
      <c r="P14" s="20"/>
      <c r="Q14" s="20"/>
    </row>
    <row r="15" spans="1:19" x14ac:dyDescent="0.25">
      <c r="A15" s="32">
        <f t="shared" si="3"/>
        <v>0.5</v>
      </c>
      <c r="B15" s="32">
        <v>0.5</v>
      </c>
      <c r="C15">
        <v>8</v>
      </c>
      <c r="D15">
        <v>3.33</v>
      </c>
      <c r="E15">
        <v>3.9</v>
      </c>
      <c r="F15">
        <f t="shared" si="4"/>
        <v>3.9</v>
      </c>
      <c r="K15" s="18">
        <v>12</v>
      </c>
      <c r="L15" s="19">
        <f t="shared" si="0"/>
        <v>192</v>
      </c>
      <c r="M15" s="19">
        <f t="shared" si="1"/>
        <v>13.79</v>
      </c>
      <c r="N15" s="19">
        <f t="shared" si="2"/>
        <v>30.509999999999998</v>
      </c>
      <c r="O15" s="20"/>
      <c r="P15" s="20"/>
      <c r="Q15" s="20"/>
    </row>
    <row r="16" spans="1:19" x14ac:dyDescent="0.25">
      <c r="A16" s="32">
        <f t="shared" si="3"/>
        <v>0.56000000000000005</v>
      </c>
      <c r="B16" s="32">
        <v>0.5625</v>
      </c>
      <c r="C16">
        <v>9</v>
      </c>
      <c r="D16">
        <v>3.43</v>
      </c>
      <c r="E16">
        <v>4.1500000000000004</v>
      </c>
      <c r="F16">
        <f t="shared" si="4"/>
        <v>4.1500000000000004</v>
      </c>
      <c r="K16" s="18">
        <v>13</v>
      </c>
      <c r="L16" s="19">
        <f t="shared" si="0"/>
        <v>208</v>
      </c>
      <c r="M16" s="19">
        <f t="shared" si="1"/>
        <v>14.17</v>
      </c>
      <c r="N16" s="19">
        <f t="shared" si="2"/>
        <v>30.89</v>
      </c>
      <c r="O16" s="20"/>
      <c r="P16" s="20"/>
      <c r="Q16" s="20"/>
    </row>
    <row r="17" spans="1:17" x14ac:dyDescent="0.25">
      <c r="A17" s="32">
        <f t="shared" si="3"/>
        <v>0.63</v>
      </c>
      <c r="B17" s="32">
        <v>0.625</v>
      </c>
      <c r="C17">
        <v>10</v>
      </c>
      <c r="D17">
        <v>3.43</v>
      </c>
      <c r="E17">
        <v>4.1500000000000004</v>
      </c>
      <c r="F17">
        <f t="shared" si="4"/>
        <v>4.1500000000000004</v>
      </c>
      <c r="H17" s="15" t="s">
        <v>0</v>
      </c>
      <c r="I17" s="43" t="s">
        <v>1</v>
      </c>
      <c r="K17" s="18">
        <v>14</v>
      </c>
      <c r="L17" s="19">
        <f t="shared" si="0"/>
        <v>224</v>
      </c>
      <c r="M17" s="19">
        <f t="shared" si="1"/>
        <v>14.55</v>
      </c>
      <c r="N17" s="19">
        <f t="shared" si="2"/>
        <v>31.27</v>
      </c>
      <c r="O17" s="20"/>
      <c r="P17" s="20"/>
      <c r="Q17" s="20"/>
    </row>
    <row r="18" spans="1:17" x14ac:dyDescent="0.25">
      <c r="A18" s="32">
        <f t="shared" si="3"/>
        <v>0.69</v>
      </c>
      <c r="B18" s="32">
        <v>0.6875</v>
      </c>
      <c r="C18">
        <v>11</v>
      </c>
      <c r="D18">
        <v>3.53</v>
      </c>
      <c r="E18">
        <v>4.1500000000000004</v>
      </c>
      <c r="F18">
        <f t="shared" si="4"/>
        <v>4.1500000000000004</v>
      </c>
      <c r="G18" s="44"/>
      <c r="H18" s="45" t="s">
        <v>33</v>
      </c>
      <c r="I18" s="46">
        <v>0.38</v>
      </c>
      <c r="K18" s="18">
        <v>15</v>
      </c>
      <c r="L18" s="19">
        <f t="shared" si="0"/>
        <v>240</v>
      </c>
      <c r="M18" s="19">
        <f t="shared" si="1"/>
        <v>14.93</v>
      </c>
      <c r="N18" s="19">
        <f t="shared" si="2"/>
        <v>31.65</v>
      </c>
      <c r="O18" s="20"/>
      <c r="P18" s="20"/>
      <c r="Q18" s="20"/>
    </row>
    <row r="19" spans="1:17" x14ac:dyDescent="0.25">
      <c r="A19" s="32">
        <f t="shared" si="3"/>
        <v>0.75</v>
      </c>
      <c r="B19" s="32">
        <v>0.75</v>
      </c>
      <c r="C19">
        <v>12</v>
      </c>
      <c r="D19">
        <v>3.53</v>
      </c>
      <c r="E19">
        <v>4.1500000000000004</v>
      </c>
      <c r="F19">
        <f t="shared" si="4"/>
        <v>4.1500000000000004</v>
      </c>
      <c r="H19" s="118" t="s">
        <v>34</v>
      </c>
      <c r="I19" s="46">
        <v>0.75</v>
      </c>
      <c r="K19" s="18">
        <v>16</v>
      </c>
      <c r="L19" s="19">
        <f t="shared" si="0"/>
        <v>256</v>
      </c>
      <c r="M19" s="19">
        <f t="shared" si="1"/>
        <v>15.309999999999999</v>
      </c>
      <c r="N19" s="19">
        <f t="shared" si="2"/>
        <v>32.03</v>
      </c>
      <c r="O19" s="20"/>
      <c r="P19" s="20"/>
      <c r="Q19" s="20"/>
    </row>
    <row r="20" spans="1:17" x14ac:dyDescent="0.25">
      <c r="A20" s="32">
        <f t="shared" si="3"/>
        <v>0.81</v>
      </c>
      <c r="B20" s="32">
        <v>0.8125</v>
      </c>
      <c r="C20">
        <v>13</v>
      </c>
      <c r="D20">
        <v>3.6</v>
      </c>
      <c r="E20">
        <v>4.55</v>
      </c>
      <c r="F20">
        <f t="shared" si="4"/>
        <v>4.55</v>
      </c>
      <c r="H20" s="47" t="s">
        <v>35</v>
      </c>
      <c r="I20" s="46">
        <v>0.19</v>
      </c>
      <c r="K20" s="18">
        <v>17</v>
      </c>
      <c r="L20" s="19">
        <f t="shared" si="0"/>
        <v>272</v>
      </c>
      <c r="M20" s="19">
        <f t="shared" si="1"/>
        <v>15.69</v>
      </c>
      <c r="N20" s="19">
        <f t="shared" si="2"/>
        <v>32.409999999999997</v>
      </c>
      <c r="O20" s="20"/>
      <c r="P20" s="20"/>
      <c r="Q20" s="20"/>
    </row>
    <row r="21" spans="1:17" x14ac:dyDescent="0.25">
      <c r="A21" s="32">
        <f t="shared" si="3"/>
        <v>0.88</v>
      </c>
      <c r="B21" s="32">
        <v>0.875</v>
      </c>
      <c r="C21">
        <v>14</v>
      </c>
      <c r="D21">
        <v>3.6</v>
      </c>
      <c r="E21">
        <v>4.55</v>
      </c>
      <c r="F21">
        <f t="shared" si="4"/>
        <v>4.55</v>
      </c>
      <c r="K21" s="18">
        <v>18</v>
      </c>
      <c r="L21" s="19">
        <f t="shared" si="0"/>
        <v>288</v>
      </c>
      <c r="M21" s="19">
        <f t="shared" si="1"/>
        <v>16.07</v>
      </c>
      <c r="N21" s="19">
        <f t="shared" si="2"/>
        <v>32.79</v>
      </c>
      <c r="O21" s="20"/>
      <c r="P21" s="20"/>
      <c r="Q21" s="20"/>
    </row>
    <row r="22" spans="1:17" x14ac:dyDescent="0.25">
      <c r="A22" s="32">
        <f t="shared" si="3"/>
        <v>0.94</v>
      </c>
      <c r="B22" s="32">
        <v>0.9375</v>
      </c>
      <c r="C22">
        <v>15</v>
      </c>
      <c r="D22">
        <v>3.65</v>
      </c>
      <c r="E22">
        <v>4.55</v>
      </c>
      <c r="F22">
        <f t="shared" si="4"/>
        <v>4.55</v>
      </c>
      <c r="K22" s="18">
        <v>19</v>
      </c>
      <c r="L22" s="19">
        <f t="shared" si="0"/>
        <v>304</v>
      </c>
      <c r="M22" s="19">
        <f t="shared" si="1"/>
        <v>16.45</v>
      </c>
      <c r="N22" s="19">
        <f t="shared" si="2"/>
        <v>33.17</v>
      </c>
      <c r="O22" s="20"/>
      <c r="P22" s="20"/>
      <c r="Q22" s="20"/>
    </row>
    <row r="23" spans="1:17" x14ac:dyDescent="0.25">
      <c r="A23" s="32">
        <f t="shared" si="3"/>
        <v>1</v>
      </c>
      <c r="B23" s="32">
        <v>1</v>
      </c>
      <c r="C23">
        <v>16</v>
      </c>
      <c r="D23">
        <v>3.65</v>
      </c>
      <c r="E23">
        <v>4.55</v>
      </c>
      <c r="F23">
        <f t="shared" si="4"/>
        <v>4.55</v>
      </c>
      <c r="K23" s="18">
        <v>20</v>
      </c>
      <c r="L23" s="19">
        <f t="shared" si="0"/>
        <v>320</v>
      </c>
      <c r="M23" s="19">
        <f t="shared" si="1"/>
        <v>16.829999999999998</v>
      </c>
      <c r="N23" s="19">
        <f t="shared" si="2"/>
        <v>33.549999999999997</v>
      </c>
      <c r="O23" s="20"/>
      <c r="P23" s="20"/>
      <c r="Q23" s="20"/>
    </row>
    <row r="24" spans="1:17" x14ac:dyDescent="0.25">
      <c r="A24" s="32">
        <f t="shared" si="3"/>
        <v>1.06</v>
      </c>
      <c r="B24" s="32">
        <v>1.0625</v>
      </c>
      <c r="C24">
        <v>17</v>
      </c>
      <c r="E24">
        <v>4.99</v>
      </c>
      <c r="F24">
        <f t="shared" si="4"/>
        <v>4.99</v>
      </c>
      <c r="K24" s="18">
        <v>21</v>
      </c>
      <c r="L24" s="19">
        <f t="shared" si="0"/>
        <v>336</v>
      </c>
      <c r="M24" s="19">
        <f t="shared" si="1"/>
        <v>17.21</v>
      </c>
      <c r="N24" s="19">
        <f t="shared" si="2"/>
        <v>33.93</v>
      </c>
      <c r="O24" s="20"/>
      <c r="P24" s="20"/>
      <c r="Q24" s="20"/>
    </row>
    <row r="25" spans="1:17" x14ac:dyDescent="0.25">
      <c r="A25" s="32">
        <f t="shared" si="3"/>
        <v>1.1299999999999999</v>
      </c>
      <c r="B25" s="32">
        <v>1.125</v>
      </c>
      <c r="C25">
        <v>18</v>
      </c>
      <c r="E25">
        <v>4.99</v>
      </c>
      <c r="F25">
        <f t="shared" si="4"/>
        <v>4.99</v>
      </c>
      <c r="K25" s="18">
        <v>22</v>
      </c>
      <c r="L25" s="19">
        <f t="shared" si="0"/>
        <v>352</v>
      </c>
      <c r="M25" s="19">
        <f t="shared" si="1"/>
        <v>17.59</v>
      </c>
      <c r="N25" s="19">
        <f t="shared" si="2"/>
        <v>34.31</v>
      </c>
      <c r="O25" s="20"/>
      <c r="P25" s="20"/>
      <c r="Q25" s="20"/>
    </row>
    <row r="26" spans="1:17" x14ac:dyDescent="0.25">
      <c r="A26" s="32">
        <f t="shared" si="3"/>
        <v>1.19</v>
      </c>
      <c r="B26" s="32">
        <v>1.1875</v>
      </c>
      <c r="C26">
        <v>19</v>
      </c>
      <c r="E26">
        <v>4.99</v>
      </c>
      <c r="F26">
        <f t="shared" si="4"/>
        <v>4.99</v>
      </c>
      <c r="K26" s="18">
        <v>23</v>
      </c>
      <c r="L26" s="19">
        <f t="shared" si="0"/>
        <v>368</v>
      </c>
      <c r="M26" s="19">
        <f t="shared" si="1"/>
        <v>17.97</v>
      </c>
      <c r="N26" s="19">
        <f t="shared" si="2"/>
        <v>34.69</v>
      </c>
      <c r="O26" s="20"/>
      <c r="P26" s="20"/>
      <c r="Q26" s="20"/>
    </row>
    <row r="27" spans="1:17" x14ac:dyDescent="0.25">
      <c r="A27" s="32">
        <f t="shared" si="3"/>
        <v>1.25</v>
      </c>
      <c r="B27" s="32">
        <v>1.25</v>
      </c>
      <c r="C27">
        <v>20</v>
      </c>
      <c r="E27">
        <v>4.99</v>
      </c>
      <c r="F27">
        <f t="shared" si="4"/>
        <v>4.99</v>
      </c>
      <c r="K27" s="18">
        <v>24</v>
      </c>
      <c r="L27" s="19">
        <f t="shared" si="0"/>
        <v>384</v>
      </c>
      <c r="M27" s="19">
        <f t="shared" si="1"/>
        <v>18.350000000000001</v>
      </c>
      <c r="N27" s="19">
        <f t="shared" si="2"/>
        <v>35.07</v>
      </c>
      <c r="O27" s="20"/>
      <c r="P27" s="20"/>
      <c r="Q27" s="20"/>
    </row>
    <row r="28" spans="1:17" x14ac:dyDescent="0.25">
      <c r="A28" s="32">
        <f t="shared" si="3"/>
        <v>1.31</v>
      </c>
      <c r="B28" s="32">
        <v>1.3125</v>
      </c>
      <c r="C28">
        <v>21</v>
      </c>
      <c r="E28">
        <v>5.37</v>
      </c>
      <c r="F28">
        <f t="shared" si="4"/>
        <v>5.37</v>
      </c>
      <c r="K28" s="18">
        <v>25</v>
      </c>
      <c r="L28" s="19">
        <f t="shared" si="0"/>
        <v>400</v>
      </c>
      <c r="M28" s="19">
        <f t="shared" si="1"/>
        <v>18.73</v>
      </c>
      <c r="N28" s="19">
        <f t="shared" si="2"/>
        <v>35.450000000000003</v>
      </c>
      <c r="O28" s="20"/>
      <c r="P28" s="20"/>
      <c r="Q28" s="20"/>
    </row>
    <row r="29" spans="1:17" x14ac:dyDescent="0.25">
      <c r="A29" s="32">
        <f t="shared" si="3"/>
        <v>1.38</v>
      </c>
      <c r="B29" s="32">
        <v>1.375</v>
      </c>
      <c r="C29">
        <v>22</v>
      </c>
      <c r="E29">
        <v>5.37</v>
      </c>
      <c r="F29">
        <f t="shared" si="4"/>
        <v>5.37</v>
      </c>
      <c r="K29" s="18">
        <v>26</v>
      </c>
      <c r="L29" s="19">
        <f t="shared" si="0"/>
        <v>416</v>
      </c>
      <c r="M29" s="19">
        <f t="shared" si="1"/>
        <v>19.11</v>
      </c>
      <c r="N29" s="19">
        <f t="shared" si="2"/>
        <v>35.83</v>
      </c>
      <c r="O29" s="20"/>
      <c r="P29" s="20"/>
      <c r="Q29" s="20"/>
    </row>
    <row r="30" spans="1:17" x14ac:dyDescent="0.25">
      <c r="A30" s="32">
        <f t="shared" si="3"/>
        <v>1.44</v>
      </c>
      <c r="B30" s="32">
        <v>1.4375</v>
      </c>
      <c r="C30">
        <v>23</v>
      </c>
      <c r="E30">
        <v>5.37</v>
      </c>
      <c r="F30">
        <f t="shared" si="4"/>
        <v>5.37</v>
      </c>
      <c r="K30" s="18">
        <v>27</v>
      </c>
      <c r="L30" s="19">
        <f t="shared" si="0"/>
        <v>432</v>
      </c>
      <c r="M30" s="19">
        <f t="shared" si="1"/>
        <v>19.490000000000002</v>
      </c>
      <c r="N30" s="19">
        <f t="shared" si="2"/>
        <v>36.21</v>
      </c>
      <c r="O30" s="20"/>
      <c r="P30" s="20"/>
      <c r="Q30" s="20"/>
    </row>
    <row r="31" spans="1:17" x14ac:dyDescent="0.25">
      <c r="A31" s="32">
        <f t="shared" si="3"/>
        <v>1.5</v>
      </c>
      <c r="B31" s="32">
        <v>1.5</v>
      </c>
      <c r="C31">
        <v>24</v>
      </c>
      <c r="E31">
        <v>5.37</v>
      </c>
      <c r="F31">
        <f t="shared" si="4"/>
        <v>5.37</v>
      </c>
      <c r="K31" s="18">
        <v>28</v>
      </c>
      <c r="L31" s="19">
        <f t="shared" si="0"/>
        <v>448</v>
      </c>
      <c r="M31" s="19">
        <f t="shared" si="1"/>
        <v>19.869999999999997</v>
      </c>
      <c r="N31" s="19">
        <f t="shared" si="2"/>
        <v>36.589999999999996</v>
      </c>
      <c r="O31" s="20"/>
      <c r="P31" s="20"/>
      <c r="Q31" s="20"/>
    </row>
    <row r="32" spans="1:17" x14ac:dyDescent="0.25">
      <c r="A32" s="32">
        <f t="shared" si="3"/>
        <v>1.56</v>
      </c>
      <c r="B32" s="32">
        <v>1.5625</v>
      </c>
      <c r="C32">
        <v>25</v>
      </c>
      <c r="E32">
        <v>5.52</v>
      </c>
      <c r="F32">
        <f t="shared" si="4"/>
        <v>5.52</v>
      </c>
      <c r="K32" s="18">
        <v>29</v>
      </c>
      <c r="L32" s="19">
        <f t="shared" si="0"/>
        <v>464</v>
      </c>
      <c r="M32" s="19">
        <f t="shared" si="1"/>
        <v>20.25</v>
      </c>
      <c r="N32" s="19">
        <f t="shared" si="2"/>
        <v>36.97</v>
      </c>
      <c r="O32" s="20"/>
      <c r="P32" s="20"/>
      <c r="Q32" s="20"/>
    </row>
    <row r="33" spans="1:17" x14ac:dyDescent="0.25">
      <c r="A33" s="32">
        <f t="shared" si="3"/>
        <v>1.63</v>
      </c>
      <c r="B33" s="32">
        <v>1.625</v>
      </c>
      <c r="C33">
        <v>26</v>
      </c>
      <c r="E33">
        <v>5.52</v>
      </c>
      <c r="F33">
        <f t="shared" si="4"/>
        <v>5.52</v>
      </c>
      <c r="K33" s="18">
        <v>30</v>
      </c>
      <c r="L33" s="19">
        <f t="shared" si="0"/>
        <v>480</v>
      </c>
      <c r="M33" s="19">
        <f t="shared" si="1"/>
        <v>20.63</v>
      </c>
      <c r="N33" s="19">
        <f t="shared" si="2"/>
        <v>37.349999999999994</v>
      </c>
      <c r="O33" s="20"/>
      <c r="P33" s="20"/>
      <c r="Q33" s="20"/>
    </row>
    <row r="34" spans="1:17" x14ac:dyDescent="0.25">
      <c r="A34" s="32">
        <f t="shared" si="3"/>
        <v>1.69</v>
      </c>
      <c r="B34" s="32">
        <v>1.6875</v>
      </c>
      <c r="C34">
        <v>27</v>
      </c>
      <c r="E34">
        <v>5.52</v>
      </c>
      <c r="F34">
        <f t="shared" si="4"/>
        <v>5.52</v>
      </c>
      <c r="K34" s="18">
        <v>31</v>
      </c>
      <c r="L34" s="19">
        <f t="shared" si="0"/>
        <v>496</v>
      </c>
      <c r="M34" s="19">
        <f t="shared" si="1"/>
        <v>21.009999999999998</v>
      </c>
      <c r="N34" s="19">
        <f t="shared" si="2"/>
        <v>37.729999999999997</v>
      </c>
      <c r="O34" s="20"/>
      <c r="P34" s="20"/>
      <c r="Q34" s="20"/>
    </row>
    <row r="35" spans="1:17" x14ac:dyDescent="0.25">
      <c r="A35" s="32">
        <f t="shared" si="3"/>
        <v>1.75</v>
      </c>
      <c r="B35" s="32">
        <v>1.75</v>
      </c>
      <c r="C35">
        <v>28</v>
      </c>
      <c r="E35">
        <v>5.52</v>
      </c>
      <c r="F35">
        <f t="shared" si="4"/>
        <v>5.52</v>
      </c>
      <c r="K35" s="18">
        <v>32</v>
      </c>
      <c r="L35" s="19">
        <f t="shared" si="0"/>
        <v>512</v>
      </c>
      <c r="M35" s="19">
        <f t="shared" si="1"/>
        <v>21.39</v>
      </c>
      <c r="N35" s="19">
        <f t="shared" si="2"/>
        <v>38.11</v>
      </c>
      <c r="O35" s="20"/>
      <c r="P35" s="20"/>
      <c r="Q35" s="20"/>
    </row>
    <row r="36" spans="1:17" x14ac:dyDescent="0.25">
      <c r="A36" s="32">
        <f t="shared" si="3"/>
        <v>1.81</v>
      </c>
      <c r="B36" s="32">
        <v>1.8125</v>
      </c>
      <c r="C36">
        <v>29</v>
      </c>
      <c r="E36">
        <v>5.77</v>
      </c>
      <c r="F36">
        <f t="shared" si="4"/>
        <v>5.77</v>
      </c>
      <c r="K36" s="18">
        <v>33</v>
      </c>
      <c r="L36" s="19">
        <f t="shared" ref="L36:L67" si="5">K36*16</f>
        <v>528</v>
      </c>
      <c r="M36" s="19">
        <f t="shared" si="1"/>
        <v>21.77</v>
      </c>
      <c r="N36" s="19">
        <f t="shared" si="2"/>
        <v>38.489999999999995</v>
      </c>
      <c r="O36" s="20"/>
      <c r="P36" s="20"/>
      <c r="Q36" s="20"/>
    </row>
    <row r="37" spans="1:17" x14ac:dyDescent="0.25">
      <c r="A37" s="32">
        <f t="shared" si="3"/>
        <v>1.88</v>
      </c>
      <c r="B37" s="32">
        <v>1.875</v>
      </c>
      <c r="C37">
        <v>30</v>
      </c>
      <c r="E37">
        <v>5.77</v>
      </c>
      <c r="F37">
        <f t="shared" si="4"/>
        <v>5.77</v>
      </c>
      <c r="K37" s="18">
        <v>34</v>
      </c>
      <c r="L37" s="19">
        <f t="shared" si="5"/>
        <v>544</v>
      </c>
      <c r="M37" s="19">
        <f t="shared" ref="M37:M53" si="6">$I$10+(K36*$I$18)</f>
        <v>22.15</v>
      </c>
      <c r="N37" s="19">
        <f t="shared" ref="N37:N53" si="7">$I$11+(K36*$I$18)</f>
        <v>38.869999999999997</v>
      </c>
      <c r="O37" s="20"/>
      <c r="P37" s="20"/>
      <c r="Q37" s="20"/>
    </row>
    <row r="38" spans="1:17" x14ac:dyDescent="0.25">
      <c r="A38" s="32">
        <f t="shared" si="3"/>
        <v>1.94</v>
      </c>
      <c r="B38" s="32">
        <v>1.9375</v>
      </c>
      <c r="C38">
        <v>31</v>
      </c>
      <c r="E38">
        <v>5.77</v>
      </c>
      <c r="F38">
        <f t="shared" si="4"/>
        <v>5.77</v>
      </c>
      <c r="K38" s="18">
        <v>35</v>
      </c>
      <c r="L38" s="19">
        <f t="shared" si="5"/>
        <v>560</v>
      </c>
      <c r="M38" s="19">
        <f t="shared" si="6"/>
        <v>22.53</v>
      </c>
      <c r="N38" s="19">
        <f t="shared" si="7"/>
        <v>39.25</v>
      </c>
      <c r="O38" s="20"/>
      <c r="P38" s="20"/>
      <c r="Q38" s="20"/>
    </row>
    <row r="39" spans="1:17" x14ac:dyDescent="0.25">
      <c r="A39" s="32">
        <f t="shared" si="3"/>
        <v>2</v>
      </c>
      <c r="B39" s="32">
        <v>2</v>
      </c>
      <c r="C39">
        <v>32</v>
      </c>
      <c r="E39">
        <v>5.77</v>
      </c>
      <c r="F39">
        <f t="shared" si="4"/>
        <v>5.77</v>
      </c>
      <c r="K39" s="18">
        <v>36</v>
      </c>
      <c r="L39" s="19">
        <f t="shared" si="5"/>
        <v>576</v>
      </c>
      <c r="M39" s="19">
        <f t="shared" si="6"/>
        <v>22.91</v>
      </c>
      <c r="N39" s="19">
        <f t="shared" si="7"/>
        <v>39.629999999999995</v>
      </c>
      <c r="O39" s="20"/>
      <c r="P39" s="20"/>
      <c r="Q39" s="20"/>
    </row>
    <row r="40" spans="1:17" x14ac:dyDescent="0.25">
      <c r="A40" s="32">
        <f t="shared" ref="A40:A71" si="8">ROUND(B40,2)</f>
        <v>2.06</v>
      </c>
      <c r="B40" s="32">
        <v>2.0625</v>
      </c>
      <c r="C40">
        <v>33</v>
      </c>
      <c r="E40">
        <v>5.87</v>
      </c>
      <c r="F40">
        <f t="shared" ref="F40:F71" si="9">IF(B40&lt;=3,E40,IF(B40&lt;=20,E40+((B40-3)*$D$2),))</f>
        <v>5.87</v>
      </c>
      <c r="K40" s="18">
        <v>37</v>
      </c>
      <c r="L40" s="19">
        <f t="shared" si="5"/>
        <v>592</v>
      </c>
      <c r="M40" s="19">
        <f t="shared" si="6"/>
        <v>23.29</v>
      </c>
      <c r="N40" s="19">
        <f t="shared" si="7"/>
        <v>40.01</v>
      </c>
      <c r="O40" s="20"/>
      <c r="P40" s="20"/>
      <c r="Q40" s="20"/>
    </row>
    <row r="41" spans="1:17" x14ac:dyDescent="0.25">
      <c r="A41" s="32">
        <f t="shared" si="8"/>
        <v>2.13</v>
      </c>
      <c r="B41" s="32">
        <v>2.125</v>
      </c>
      <c r="C41">
        <v>34</v>
      </c>
      <c r="E41">
        <v>5.87</v>
      </c>
      <c r="F41">
        <f t="shared" si="9"/>
        <v>5.87</v>
      </c>
      <c r="K41" s="18">
        <v>38</v>
      </c>
      <c r="L41" s="19">
        <f t="shared" si="5"/>
        <v>608</v>
      </c>
      <c r="M41" s="19">
        <f t="shared" si="6"/>
        <v>23.67</v>
      </c>
      <c r="N41" s="19">
        <f t="shared" si="7"/>
        <v>40.39</v>
      </c>
      <c r="O41" s="20"/>
      <c r="P41" s="20"/>
      <c r="Q41" s="20"/>
    </row>
    <row r="42" spans="1:17" x14ac:dyDescent="0.25">
      <c r="A42" s="32">
        <f t="shared" si="8"/>
        <v>2.19</v>
      </c>
      <c r="B42" s="32">
        <v>2.1875</v>
      </c>
      <c r="C42">
        <v>35</v>
      </c>
      <c r="E42">
        <v>5.87</v>
      </c>
      <c r="F42">
        <f t="shared" si="9"/>
        <v>5.87</v>
      </c>
      <c r="K42" s="18">
        <v>39</v>
      </c>
      <c r="L42" s="19">
        <f t="shared" si="5"/>
        <v>624</v>
      </c>
      <c r="M42" s="19">
        <f t="shared" si="6"/>
        <v>24.049999999999997</v>
      </c>
      <c r="N42" s="19">
        <f t="shared" si="7"/>
        <v>40.769999999999996</v>
      </c>
      <c r="O42" s="20"/>
      <c r="P42" s="20"/>
      <c r="Q42" s="20"/>
    </row>
    <row r="43" spans="1:17" x14ac:dyDescent="0.25">
      <c r="A43" s="32">
        <f t="shared" si="8"/>
        <v>2.25</v>
      </c>
      <c r="B43" s="32">
        <v>2.25</v>
      </c>
      <c r="C43">
        <v>36</v>
      </c>
      <c r="E43">
        <v>5.87</v>
      </c>
      <c r="F43">
        <f t="shared" si="9"/>
        <v>5.87</v>
      </c>
      <c r="K43" s="18">
        <v>40</v>
      </c>
      <c r="L43" s="19">
        <f t="shared" si="5"/>
        <v>640</v>
      </c>
      <c r="M43" s="19">
        <f t="shared" si="6"/>
        <v>24.43</v>
      </c>
      <c r="N43" s="19">
        <f t="shared" si="7"/>
        <v>41.15</v>
      </c>
      <c r="O43" s="20"/>
      <c r="P43" s="20"/>
      <c r="Q43" s="20"/>
    </row>
    <row r="44" spans="1:17" x14ac:dyDescent="0.25">
      <c r="A44" s="32">
        <f t="shared" si="8"/>
        <v>2.31</v>
      </c>
      <c r="B44" s="32">
        <v>2.3125</v>
      </c>
      <c r="C44">
        <v>37</v>
      </c>
      <c r="E44">
        <v>6.05</v>
      </c>
      <c r="F44">
        <f t="shared" si="9"/>
        <v>6.05</v>
      </c>
      <c r="K44" s="18">
        <v>41</v>
      </c>
      <c r="L44" s="19">
        <f t="shared" si="5"/>
        <v>656</v>
      </c>
      <c r="M44" s="19">
        <f t="shared" si="6"/>
        <v>24.81</v>
      </c>
      <c r="N44" s="19">
        <f t="shared" si="7"/>
        <v>41.53</v>
      </c>
      <c r="O44" s="20"/>
      <c r="P44" s="20"/>
      <c r="Q44" s="20"/>
    </row>
    <row r="45" spans="1:17" x14ac:dyDescent="0.25">
      <c r="A45" s="32">
        <f t="shared" si="8"/>
        <v>2.38</v>
      </c>
      <c r="B45" s="32">
        <v>2.375</v>
      </c>
      <c r="C45">
        <v>38</v>
      </c>
      <c r="E45">
        <v>6.05</v>
      </c>
      <c r="F45">
        <f t="shared" si="9"/>
        <v>6.05</v>
      </c>
      <c r="K45" s="18">
        <v>42</v>
      </c>
      <c r="L45" s="19">
        <f t="shared" si="5"/>
        <v>672</v>
      </c>
      <c r="M45" s="19">
        <f t="shared" si="6"/>
        <v>25.189999999999998</v>
      </c>
      <c r="N45" s="19">
        <f t="shared" si="7"/>
        <v>41.91</v>
      </c>
      <c r="O45" s="20"/>
      <c r="P45" s="20"/>
      <c r="Q45" s="20"/>
    </row>
    <row r="46" spans="1:17" x14ac:dyDescent="0.25">
      <c r="A46" s="32">
        <f t="shared" si="8"/>
        <v>2.44</v>
      </c>
      <c r="B46" s="32">
        <v>2.4375</v>
      </c>
      <c r="C46">
        <v>39</v>
      </c>
      <c r="E46">
        <v>6.05</v>
      </c>
      <c r="F46">
        <f t="shared" si="9"/>
        <v>6.05</v>
      </c>
      <c r="K46" s="18">
        <v>43</v>
      </c>
      <c r="L46" s="19">
        <f t="shared" si="5"/>
        <v>688</v>
      </c>
      <c r="M46" s="19">
        <f t="shared" si="6"/>
        <v>25.57</v>
      </c>
      <c r="N46" s="19">
        <f t="shared" si="7"/>
        <v>42.29</v>
      </c>
      <c r="O46" s="20"/>
      <c r="P46" s="20"/>
      <c r="Q46" s="20"/>
    </row>
    <row r="47" spans="1:17" x14ac:dyDescent="0.25">
      <c r="A47" s="32">
        <f t="shared" si="8"/>
        <v>2.5</v>
      </c>
      <c r="B47" s="32">
        <v>2.5</v>
      </c>
      <c r="C47">
        <v>40</v>
      </c>
      <c r="E47">
        <v>6.05</v>
      </c>
      <c r="F47">
        <f t="shared" si="9"/>
        <v>6.05</v>
      </c>
      <c r="K47" s="18">
        <v>44</v>
      </c>
      <c r="L47" s="19">
        <f t="shared" si="5"/>
        <v>704</v>
      </c>
      <c r="M47" s="19">
        <f t="shared" si="6"/>
        <v>25.95</v>
      </c>
      <c r="N47" s="19">
        <f t="shared" si="7"/>
        <v>42.67</v>
      </c>
      <c r="O47" s="20"/>
      <c r="P47" s="20"/>
      <c r="Q47" s="20"/>
    </row>
    <row r="48" spans="1:17" x14ac:dyDescent="0.25">
      <c r="A48" s="32">
        <f t="shared" si="8"/>
        <v>2.56</v>
      </c>
      <c r="B48" s="32">
        <v>2.5625</v>
      </c>
      <c r="C48">
        <v>41</v>
      </c>
      <c r="E48">
        <v>6.21</v>
      </c>
      <c r="F48">
        <f t="shared" si="9"/>
        <v>6.21</v>
      </c>
      <c r="K48" s="18">
        <v>45</v>
      </c>
      <c r="L48" s="19">
        <f t="shared" si="5"/>
        <v>720</v>
      </c>
      <c r="M48" s="19">
        <f t="shared" si="6"/>
        <v>26.33</v>
      </c>
      <c r="N48" s="19">
        <f t="shared" si="7"/>
        <v>43.05</v>
      </c>
      <c r="O48" s="20"/>
      <c r="P48" s="20"/>
      <c r="Q48" s="20"/>
    </row>
    <row r="49" spans="1:17" x14ac:dyDescent="0.25">
      <c r="A49" s="32">
        <f t="shared" si="8"/>
        <v>2.63</v>
      </c>
      <c r="B49" s="32">
        <v>2.625</v>
      </c>
      <c r="C49">
        <v>42</v>
      </c>
      <c r="E49">
        <v>6.21</v>
      </c>
      <c r="F49">
        <f t="shared" si="9"/>
        <v>6.21</v>
      </c>
      <c r="K49" s="18">
        <v>46</v>
      </c>
      <c r="L49" s="19">
        <f t="shared" si="5"/>
        <v>736</v>
      </c>
      <c r="M49" s="19">
        <f t="shared" si="6"/>
        <v>26.71</v>
      </c>
      <c r="N49" s="19">
        <f t="shared" si="7"/>
        <v>43.43</v>
      </c>
      <c r="O49" s="20"/>
      <c r="P49" s="20"/>
      <c r="Q49" s="20"/>
    </row>
    <row r="50" spans="1:17" x14ac:dyDescent="0.25">
      <c r="A50" s="32">
        <f t="shared" si="8"/>
        <v>2.69</v>
      </c>
      <c r="B50" s="32">
        <v>2.6875</v>
      </c>
      <c r="C50">
        <v>43</v>
      </c>
      <c r="E50">
        <v>6.21</v>
      </c>
      <c r="F50">
        <f t="shared" si="9"/>
        <v>6.21</v>
      </c>
      <c r="K50" s="18">
        <v>47</v>
      </c>
      <c r="L50" s="19">
        <f t="shared" si="5"/>
        <v>752</v>
      </c>
      <c r="M50" s="19">
        <f t="shared" si="6"/>
        <v>27.09</v>
      </c>
      <c r="N50" s="19">
        <f t="shared" si="7"/>
        <v>43.81</v>
      </c>
      <c r="O50" s="20"/>
      <c r="P50" s="20"/>
      <c r="Q50" s="20"/>
    </row>
    <row r="51" spans="1:17" x14ac:dyDescent="0.25">
      <c r="A51" s="32">
        <f t="shared" si="8"/>
        <v>2.75</v>
      </c>
      <c r="B51" s="32">
        <v>2.75</v>
      </c>
      <c r="C51">
        <v>44</v>
      </c>
      <c r="E51">
        <v>6.21</v>
      </c>
      <c r="F51">
        <f t="shared" si="9"/>
        <v>6.21</v>
      </c>
      <c r="K51" s="18">
        <v>48</v>
      </c>
      <c r="L51" s="19">
        <f t="shared" si="5"/>
        <v>768</v>
      </c>
      <c r="M51" s="19">
        <f t="shared" si="6"/>
        <v>27.47</v>
      </c>
      <c r="N51" s="19">
        <f t="shared" si="7"/>
        <v>44.19</v>
      </c>
      <c r="O51" s="20"/>
      <c r="P51" s="20"/>
      <c r="Q51" s="20"/>
    </row>
    <row r="52" spans="1:17" x14ac:dyDescent="0.25">
      <c r="A52" s="32">
        <f t="shared" si="8"/>
        <v>2.81</v>
      </c>
      <c r="B52" s="32">
        <v>2.8125</v>
      </c>
      <c r="C52">
        <v>45</v>
      </c>
      <c r="E52">
        <v>6.62</v>
      </c>
      <c r="F52">
        <f t="shared" si="9"/>
        <v>6.62</v>
      </c>
      <c r="K52" s="18">
        <v>49</v>
      </c>
      <c r="L52" s="19">
        <f t="shared" si="5"/>
        <v>784</v>
      </c>
      <c r="M52" s="19">
        <f t="shared" si="6"/>
        <v>27.85</v>
      </c>
      <c r="N52" s="19">
        <f t="shared" si="7"/>
        <v>44.57</v>
      </c>
      <c r="O52" s="20"/>
      <c r="P52" s="20"/>
      <c r="Q52" s="20"/>
    </row>
    <row r="53" spans="1:17" x14ac:dyDescent="0.25">
      <c r="A53" s="32">
        <f t="shared" si="8"/>
        <v>2.88</v>
      </c>
      <c r="B53" s="32">
        <v>2.875</v>
      </c>
      <c r="C53">
        <v>46</v>
      </c>
      <c r="E53">
        <v>6.62</v>
      </c>
      <c r="F53">
        <f t="shared" si="9"/>
        <v>6.62</v>
      </c>
      <c r="K53" s="18">
        <v>50</v>
      </c>
      <c r="L53" s="19">
        <f t="shared" si="5"/>
        <v>800</v>
      </c>
      <c r="M53" s="19">
        <f t="shared" si="6"/>
        <v>28.23</v>
      </c>
      <c r="N53" s="19">
        <f t="shared" si="7"/>
        <v>44.95</v>
      </c>
      <c r="O53" s="20"/>
      <c r="P53" s="20"/>
      <c r="Q53" s="20"/>
    </row>
    <row r="54" spans="1:17" x14ac:dyDescent="0.25">
      <c r="A54" s="32">
        <f t="shared" si="8"/>
        <v>2.94</v>
      </c>
      <c r="B54" s="32">
        <v>2.9375</v>
      </c>
      <c r="C54">
        <v>47</v>
      </c>
      <c r="E54">
        <v>6.62</v>
      </c>
      <c r="F54">
        <f t="shared" si="9"/>
        <v>6.62</v>
      </c>
      <c r="K54" s="18">
        <v>51</v>
      </c>
      <c r="L54" s="19">
        <f t="shared" si="5"/>
        <v>816</v>
      </c>
      <c r="M54" s="19"/>
      <c r="N54" s="19"/>
      <c r="O54">
        <v>40.119999999999997</v>
      </c>
      <c r="P54" s="20"/>
      <c r="Q54" s="20"/>
    </row>
    <row r="55" spans="1:17" x14ac:dyDescent="0.25">
      <c r="A55" s="32">
        <f t="shared" si="8"/>
        <v>3</v>
      </c>
      <c r="B55" s="32">
        <v>3</v>
      </c>
      <c r="C55">
        <v>48</v>
      </c>
      <c r="E55">
        <v>6.62</v>
      </c>
      <c r="F55">
        <f t="shared" si="9"/>
        <v>6.62</v>
      </c>
      <c r="K55" s="18">
        <v>52</v>
      </c>
      <c r="L55" s="19">
        <f t="shared" si="5"/>
        <v>832</v>
      </c>
      <c r="M55" s="19"/>
      <c r="N55" s="19"/>
      <c r="O55" s="19">
        <f t="shared" ref="O55:O73" si="10">IF(K54&lt;=50,$I$11+(K54*$I$18),IF(K54&lt;=70,$I$12+((K54-50)*$I$19),"-"))</f>
        <v>40.869999999999997</v>
      </c>
      <c r="P55" s="20"/>
      <c r="Q55" s="20"/>
    </row>
    <row r="56" spans="1:17" x14ac:dyDescent="0.25">
      <c r="A56" s="32">
        <f t="shared" si="8"/>
        <v>3.25</v>
      </c>
      <c r="B56" s="32">
        <v>3.25</v>
      </c>
      <c r="C56">
        <v>52</v>
      </c>
      <c r="E56" s="32">
        <v>6.92</v>
      </c>
      <c r="F56" s="133">
        <f t="shared" si="9"/>
        <v>7</v>
      </c>
      <c r="K56" s="18">
        <v>53</v>
      </c>
      <c r="L56" s="19">
        <f t="shared" si="5"/>
        <v>848</v>
      </c>
      <c r="M56" s="19"/>
      <c r="N56" s="19"/>
      <c r="O56" s="19">
        <f t="shared" si="10"/>
        <v>41.62</v>
      </c>
      <c r="P56" s="20"/>
      <c r="Q56" s="20"/>
    </row>
    <row r="57" spans="1:17" x14ac:dyDescent="0.25">
      <c r="A57" s="32">
        <f t="shared" si="8"/>
        <v>3.5</v>
      </c>
      <c r="B57" s="32">
        <v>3.5</v>
      </c>
      <c r="C57">
        <v>56</v>
      </c>
      <c r="E57" s="32">
        <v>6.92</v>
      </c>
      <c r="F57">
        <f t="shared" si="9"/>
        <v>7.08</v>
      </c>
      <c r="K57" s="18">
        <v>54</v>
      </c>
      <c r="L57" s="19">
        <f t="shared" si="5"/>
        <v>864</v>
      </c>
      <c r="M57" s="19"/>
      <c r="N57" s="19"/>
      <c r="O57" s="19">
        <f t="shared" si="10"/>
        <v>42.37</v>
      </c>
      <c r="P57" s="20"/>
      <c r="Q57" s="20"/>
    </row>
    <row r="58" spans="1:17" x14ac:dyDescent="0.25">
      <c r="A58" s="32">
        <f t="shared" si="8"/>
        <v>3.75</v>
      </c>
      <c r="B58" s="32">
        <v>3.75</v>
      </c>
      <c r="C58">
        <v>60</v>
      </c>
      <c r="E58" s="32">
        <v>6.92</v>
      </c>
      <c r="F58">
        <f t="shared" si="9"/>
        <v>7.16</v>
      </c>
      <c r="K58" s="18">
        <v>55</v>
      </c>
      <c r="L58" s="19">
        <f t="shared" si="5"/>
        <v>880</v>
      </c>
      <c r="M58" s="19"/>
      <c r="N58" s="19"/>
      <c r="O58" s="19">
        <f t="shared" si="10"/>
        <v>43.12</v>
      </c>
      <c r="P58" s="20"/>
      <c r="Q58" s="20"/>
    </row>
    <row r="59" spans="1:17" x14ac:dyDescent="0.25">
      <c r="A59" s="32">
        <f t="shared" si="8"/>
        <v>4</v>
      </c>
      <c r="B59" s="32">
        <v>4</v>
      </c>
      <c r="C59">
        <v>64</v>
      </c>
      <c r="E59" s="32">
        <v>6.92</v>
      </c>
      <c r="F59">
        <f t="shared" si="9"/>
        <v>7.24</v>
      </c>
      <c r="K59" s="18">
        <v>56</v>
      </c>
      <c r="L59" s="19">
        <f t="shared" si="5"/>
        <v>896</v>
      </c>
      <c r="M59" s="19"/>
      <c r="N59" s="19"/>
      <c r="O59" s="19">
        <f t="shared" si="10"/>
        <v>43.87</v>
      </c>
      <c r="P59" s="20"/>
      <c r="Q59" s="20"/>
    </row>
    <row r="60" spans="1:17" x14ac:dyDescent="0.25">
      <c r="A60" s="32">
        <f t="shared" si="8"/>
        <v>4.25</v>
      </c>
      <c r="B60" s="32">
        <v>4.25</v>
      </c>
      <c r="C60">
        <v>68</v>
      </c>
      <c r="E60" s="32">
        <v>6.92</v>
      </c>
      <c r="F60">
        <f t="shared" si="9"/>
        <v>7.32</v>
      </c>
      <c r="K60" s="18">
        <v>57</v>
      </c>
      <c r="L60" s="19">
        <f t="shared" si="5"/>
        <v>912</v>
      </c>
      <c r="M60" s="19"/>
      <c r="N60" s="19"/>
      <c r="O60" s="19">
        <f t="shared" si="10"/>
        <v>44.62</v>
      </c>
      <c r="P60" s="20"/>
      <c r="Q60" s="20"/>
    </row>
    <row r="61" spans="1:17" x14ac:dyDescent="0.25">
      <c r="A61" s="32">
        <f t="shared" si="8"/>
        <v>4.5</v>
      </c>
      <c r="B61" s="32">
        <v>4.5</v>
      </c>
      <c r="C61">
        <v>72</v>
      </c>
      <c r="E61" s="32">
        <v>6.92</v>
      </c>
      <c r="F61">
        <f t="shared" si="9"/>
        <v>7.4</v>
      </c>
      <c r="K61" s="18">
        <v>58</v>
      </c>
      <c r="L61" s="19">
        <f t="shared" si="5"/>
        <v>928</v>
      </c>
      <c r="M61" s="19"/>
      <c r="N61" s="19"/>
      <c r="O61" s="19">
        <f t="shared" si="10"/>
        <v>45.37</v>
      </c>
      <c r="P61" s="20"/>
      <c r="Q61" s="20"/>
    </row>
    <row r="62" spans="1:17" x14ac:dyDescent="0.25">
      <c r="A62" s="32">
        <f t="shared" si="8"/>
        <v>4.75</v>
      </c>
      <c r="B62" s="32">
        <v>4.75</v>
      </c>
      <c r="C62">
        <v>76</v>
      </c>
      <c r="E62" s="32">
        <v>6.92</v>
      </c>
      <c r="F62">
        <f t="shared" si="9"/>
        <v>7.48</v>
      </c>
      <c r="K62" s="18">
        <v>59</v>
      </c>
      <c r="L62" s="19">
        <f t="shared" si="5"/>
        <v>944</v>
      </c>
      <c r="M62" s="19"/>
      <c r="N62" s="19"/>
      <c r="O62" s="19">
        <f t="shared" si="10"/>
        <v>46.12</v>
      </c>
      <c r="P62" s="20"/>
      <c r="Q62" s="20"/>
    </row>
    <row r="63" spans="1:17" x14ac:dyDescent="0.25">
      <c r="A63" s="32">
        <f t="shared" si="8"/>
        <v>5</v>
      </c>
      <c r="B63" s="32">
        <v>5</v>
      </c>
      <c r="C63">
        <v>80</v>
      </c>
      <c r="E63" s="32">
        <v>6.92</v>
      </c>
      <c r="F63">
        <f t="shared" si="9"/>
        <v>7.56</v>
      </c>
      <c r="K63" s="18">
        <v>60</v>
      </c>
      <c r="L63" s="19">
        <f t="shared" si="5"/>
        <v>960</v>
      </c>
      <c r="M63" s="19"/>
      <c r="N63" s="19"/>
      <c r="O63" s="19">
        <f t="shared" si="10"/>
        <v>46.87</v>
      </c>
      <c r="P63" s="20"/>
      <c r="Q63" s="20"/>
    </row>
    <row r="64" spans="1:17" x14ac:dyDescent="0.25">
      <c r="A64" s="32">
        <f t="shared" si="8"/>
        <v>5.25</v>
      </c>
      <c r="B64" s="32">
        <v>5.25</v>
      </c>
      <c r="C64">
        <v>84</v>
      </c>
      <c r="E64" s="32">
        <v>6.92</v>
      </c>
      <c r="F64">
        <f t="shared" si="9"/>
        <v>7.64</v>
      </c>
      <c r="K64" s="18">
        <v>61</v>
      </c>
      <c r="L64" s="19">
        <f t="shared" si="5"/>
        <v>976</v>
      </c>
      <c r="M64" s="19"/>
      <c r="N64" s="19"/>
      <c r="O64" s="19">
        <f t="shared" si="10"/>
        <v>47.62</v>
      </c>
      <c r="P64" s="20"/>
      <c r="Q64" s="20"/>
    </row>
    <row r="65" spans="1:17" x14ac:dyDescent="0.25">
      <c r="A65" s="32">
        <f t="shared" si="8"/>
        <v>5.5</v>
      </c>
      <c r="B65" s="32">
        <v>5.5</v>
      </c>
      <c r="C65">
        <v>88</v>
      </c>
      <c r="E65" s="32">
        <v>6.92</v>
      </c>
      <c r="F65">
        <f t="shared" si="9"/>
        <v>7.72</v>
      </c>
      <c r="K65" s="18">
        <v>62</v>
      </c>
      <c r="L65" s="19">
        <f t="shared" si="5"/>
        <v>992</v>
      </c>
      <c r="M65" s="19"/>
      <c r="N65" s="19"/>
      <c r="O65" s="19">
        <f t="shared" si="10"/>
        <v>48.37</v>
      </c>
      <c r="P65" s="20"/>
      <c r="Q65" s="20"/>
    </row>
    <row r="66" spans="1:17" x14ac:dyDescent="0.25">
      <c r="A66" s="32">
        <f t="shared" si="8"/>
        <v>5.75</v>
      </c>
      <c r="B66" s="32">
        <v>5.75</v>
      </c>
      <c r="C66">
        <v>92</v>
      </c>
      <c r="E66" s="32">
        <v>6.92</v>
      </c>
      <c r="F66">
        <f t="shared" si="9"/>
        <v>7.8</v>
      </c>
      <c r="K66" s="18">
        <v>63</v>
      </c>
      <c r="L66" s="19">
        <f t="shared" si="5"/>
        <v>1008</v>
      </c>
      <c r="M66" s="19"/>
      <c r="N66" s="19"/>
      <c r="O66" s="19">
        <f t="shared" si="10"/>
        <v>49.12</v>
      </c>
      <c r="P66" s="20"/>
      <c r="Q66" s="20"/>
    </row>
    <row r="67" spans="1:17" x14ac:dyDescent="0.25">
      <c r="A67" s="32">
        <f t="shared" si="8"/>
        <v>6</v>
      </c>
      <c r="B67" s="32">
        <v>6</v>
      </c>
      <c r="C67">
        <v>96</v>
      </c>
      <c r="E67" s="32">
        <v>6.92</v>
      </c>
      <c r="F67">
        <f t="shared" si="9"/>
        <v>7.88</v>
      </c>
      <c r="K67" s="18">
        <v>64</v>
      </c>
      <c r="L67" s="19">
        <f t="shared" si="5"/>
        <v>1024</v>
      </c>
      <c r="M67" s="19"/>
      <c r="N67" s="19"/>
      <c r="O67" s="19">
        <f t="shared" si="10"/>
        <v>49.87</v>
      </c>
      <c r="P67" s="20"/>
      <c r="Q67" s="20"/>
    </row>
    <row r="68" spans="1:17" x14ac:dyDescent="0.25">
      <c r="A68" s="32">
        <f t="shared" si="8"/>
        <v>6.25</v>
      </c>
      <c r="B68" s="32">
        <v>6.25</v>
      </c>
      <c r="C68">
        <v>100</v>
      </c>
      <c r="E68" s="32">
        <v>6.92</v>
      </c>
      <c r="F68">
        <f t="shared" si="9"/>
        <v>7.96</v>
      </c>
      <c r="K68" s="18">
        <v>65</v>
      </c>
      <c r="L68" s="19">
        <f t="shared" ref="L68:L99" si="11">K68*16</f>
        <v>1040</v>
      </c>
      <c r="M68" s="19"/>
      <c r="N68" s="19"/>
      <c r="O68" s="19">
        <f t="shared" si="10"/>
        <v>50.62</v>
      </c>
      <c r="P68" s="20"/>
      <c r="Q68" s="20"/>
    </row>
    <row r="69" spans="1:17" x14ac:dyDescent="0.25">
      <c r="A69" s="32">
        <f t="shared" si="8"/>
        <v>6.5</v>
      </c>
      <c r="B69" s="32">
        <v>6.5</v>
      </c>
      <c r="C69">
        <v>104</v>
      </c>
      <c r="E69" s="32">
        <v>6.92</v>
      </c>
      <c r="F69">
        <f t="shared" si="9"/>
        <v>8.0399999999999991</v>
      </c>
      <c r="K69" s="18">
        <v>66</v>
      </c>
      <c r="L69" s="19">
        <f t="shared" si="11"/>
        <v>1056</v>
      </c>
      <c r="M69" s="19"/>
      <c r="N69" s="19"/>
      <c r="O69" s="19">
        <f t="shared" si="10"/>
        <v>51.37</v>
      </c>
      <c r="P69" s="20"/>
      <c r="Q69" s="20"/>
    </row>
    <row r="70" spans="1:17" x14ac:dyDescent="0.25">
      <c r="A70" s="32">
        <f t="shared" si="8"/>
        <v>6.75</v>
      </c>
      <c r="B70" s="32">
        <v>6.75</v>
      </c>
      <c r="C70">
        <v>108</v>
      </c>
      <c r="E70" s="32">
        <v>6.92</v>
      </c>
      <c r="F70">
        <f t="shared" si="9"/>
        <v>8.1199999999999992</v>
      </c>
      <c r="K70" s="18">
        <v>67</v>
      </c>
      <c r="L70" s="19">
        <f t="shared" si="11"/>
        <v>1072</v>
      </c>
      <c r="M70" s="19"/>
      <c r="N70" s="19"/>
      <c r="O70" s="19">
        <f t="shared" si="10"/>
        <v>52.12</v>
      </c>
      <c r="P70" s="20"/>
      <c r="Q70" s="20"/>
    </row>
    <row r="71" spans="1:17" x14ac:dyDescent="0.25">
      <c r="A71" s="32">
        <f t="shared" si="8"/>
        <v>7</v>
      </c>
      <c r="B71" s="32">
        <v>7</v>
      </c>
      <c r="C71">
        <v>112</v>
      </c>
      <c r="E71" s="32">
        <v>6.92</v>
      </c>
      <c r="F71">
        <f t="shared" si="9"/>
        <v>8.1999999999999993</v>
      </c>
      <c r="K71" s="18">
        <v>68</v>
      </c>
      <c r="L71" s="19">
        <f t="shared" si="11"/>
        <v>1088</v>
      </c>
      <c r="M71" s="19"/>
      <c r="N71" s="19"/>
      <c r="O71" s="19">
        <f t="shared" si="10"/>
        <v>52.87</v>
      </c>
      <c r="P71" s="20"/>
      <c r="Q71" s="20"/>
    </row>
    <row r="72" spans="1:17" x14ac:dyDescent="0.25">
      <c r="A72" s="32">
        <f t="shared" ref="A72:A103" si="12">ROUND(B72,2)</f>
        <v>7.25</v>
      </c>
      <c r="B72" s="32">
        <v>7.25</v>
      </c>
      <c r="C72">
        <v>116</v>
      </c>
      <c r="E72" s="32">
        <v>6.92</v>
      </c>
      <c r="F72">
        <f t="shared" ref="F72:F103" si="13">IF(B72&lt;=3,E72,IF(B72&lt;=20,E72+((B72-3)*$D$2),))</f>
        <v>8.2799999999999994</v>
      </c>
      <c r="K72" s="18">
        <v>69</v>
      </c>
      <c r="L72" s="19">
        <f t="shared" si="11"/>
        <v>1104</v>
      </c>
      <c r="M72" s="19"/>
      <c r="N72" s="19"/>
      <c r="O72" s="19">
        <f t="shared" si="10"/>
        <v>53.62</v>
      </c>
      <c r="P72" s="20"/>
      <c r="Q72" s="20"/>
    </row>
    <row r="73" spans="1:17" x14ac:dyDescent="0.25">
      <c r="A73" s="32">
        <f t="shared" si="12"/>
        <v>7.5</v>
      </c>
      <c r="B73" s="32">
        <v>7.5</v>
      </c>
      <c r="C73">
        <v>120</v>
      </c>
      <c r="E73" s="32">
        <v>6.92</v>
      </c>
      <c r="F73">
        <f t="shared" si="13"/>
        <v>8.36</v>
      </c>
      <c r="K73" s="18">
        <v>70</v>
      </c>
      <c r="L73" s="19">
        <f t="shared" si="11"/>
        <v>1120</v>
      </c>
      <c r="M73" s="19"/>
      <c r="N73" s="19"/>
      <c r="O73" s="19">
        <f t="shared" si="10"/>
        <v>54.37</v>
      </c>
      <c r="P73" s="20"/>
      <c r="Q73" s="20"/>
    </row>
    <row r="74" spans="1:17" x14ac:dyDescent="0.25">
      <c r="A74" s="32">
        <f t="shared" si="12"/>
        <v>7.75</v>
      </c>
      <c r="B74" s="32">
        <v>7.75</v>
      </c>
      <c r="C74">
        <v>124</v>
      </c>
      <c r="E74" s="32">
        <v>6.92</v>
      </c>
      <c r="F74">
        <f t="shared" si="13"/>
        <v>8.44</v>
      </c>
      <c r="K74" s="18">
        <v>71</v>
      </c>
      <c r="L74" s="19">
        <f t="shared" si="11"/>
        <v>1136</v>
      </c>
      <c r="M74" s="19"/>
      <c r="N74" s="19"/>
      <c r="O74" s="19"/>
      <c r="P74">
        <v>54.81</v>
      </c>
      <c r="Q74" s="20"/>
    </row>
    <row r="75" spans="1:17" x14ac:dyDescent="0.25">
      <c r="A75" s="32">
        <f t="shared" si="12"/>
        <v>8</v>
      </c>
      <c r="B75" s="32">
        <v>8</v>
      </c>
      <c r="C75">
        <v>128</v>
      </c>
      <c r="E75" s="32">
        <v>6.92</v>
      </c>
      <c r="F75">
        <f t="shared" si="13"/>
        <v>8.52</v>
      </c>
      <c r="K75" s="18">
        <v>72</v>
      </c>
      <c r="L75" s="19">
        <f t="shared" si="11"/>
        <v>1152</v>
      </c>
      <c r="M75" s="19"/>
      <c r="N75" s="19"/>
      <c r="O75" s="19"/>
      <c r="P75" s="19">
        <f t="shared" ref="P75:P106" si="14">IF(K74&lt;=50,$I$11+(K74*$I$18),IF(K74&lt;=70,$I$12+((K74-50)*$I$19),IF(K74&lt;=150,$I$13+((K74-70)*$I$19),)))</f>
        <v>55.56</v>
      </c>
      <c r="Q75" s="20"/>
    </row>
    <row r="76" spans="1:17" x14ac:dyDescent="0.25">
      <c r="A76" s="32">
        <f t="shared" si="12"/>
        <v>8.25</v>
      </c>
      <c r="B76" s="32">
        <v>8.25</v>
      </c>
      <c r="C76">
        <v>132</v>
      </c>
      <c r="E76" s="32">
        <v>6.92</v>
      </c>
      <c r="F76">
        <f t="shared" si="13"/>
        <v>8.6</v>
      </c>
      <c r="K76" s="18">
        <v>73</v>
      </c>
      <c r="L76" s="19">
        <f t="shared" si="11"/>
        <v>1168</v>
      </c>
      <c r="M76" s="19"/>
      <c r="N76" s="19"/>
      <c r="O76" s="19"/>
      <c r="P76" s="19">
        <f t="shared" si="14"/>
        <v>56.31</v>
      </c>
      <c r="Q76" s="20"/>
    </row>
    <row r="77" spans="1:17" x14ac:dyDescent="0.25">
      <c r="A77" s="32">
        <f t="shared" si="12"/>
        <v>8.5</v>
      </c>
      <c r="B77" s="32">
        <v>8.5</v>
      </c>
      <c r="C77">
        <v>136</v>
      </c>
      <c r="E77" s="32">
        <v>6.92</v>
      </c>
      <c r="F77">
        <f t="shared" si="13"/>
        <v>8.68</v>
      </c>
      <c r="K77" s="18">
        <v>74</v>
      </c>
      <c r="L77" s="19">
        <f t="shared" si="11"/>
        <v>1184</v>
      </c>
      <c r="M77" s="19"/>
      <c r="N77" s="19"/>
      <c r="O77" s="19"/>
      <c r="P77" s="19">
        <f t="shared" si="14"/>
        <v>57.06</v>
      </c>
      <c r="Q77" s="20"/>
    </row>
    <row r="78" spans="1:17" x14ac:dyDescent="0.25">
      <c r="A78" s="32">
        <f t="shared" si="12"/>
        <v>8.75</v>
      </c>
      <c r="B78" s="32">
        <v>8.75</v>
      </c>
      <c r="C78">
        <v>140</v>
      </c>
      <c r="E78" s="32">
        <v>6.92</v>
      </c>
      <c r="F78">
        <f t="shared" si="13"/>
        <v>8.76</v>
      </c>
      <c r="K78" s="18">
        <v>75</v>
      </c>
      <c r="L78" s="19">
        <f t="shared" si="11"/>
        <v>1200</v>
      </c>
      <c r="M78" s="19"/>
      <c r="N78" s="19"/>
      <c r="O78" s="19"/>
      <c r="P78" s="19">
        <f t="shared" si="14"/>
        <v>57.81</v>
      </c>
      <c r="Q78" s="20"/>
    </row>
    <row r="79" spans="1:17" x14ac:dyDescent="0.25">
      <c r="A79" s="32">
        <f t="shared" si="12"/>
        <v>9</v>
      </c>
      <c r="B79" s="32">
        <v>9</v>
      </c>
      <c r="C79">
        <v>144</v>
      </c>
      <c r="E79" s="32">
        <v>6.92</v>
      </c>
      <c r="F79">
        <f t="shared" si="13"/>
        <v>8.84</v>
      </c>
      <c r="K79" s="18">
        <v>76</v>
      </c>
      <c r="L79" s="19">
        <f t="shared" si="11"/>
        <v>1216</v>
      </c>
      <c r="M79" s="19"/>
      <c r="N79" s="19"/>
      <c r="O79" s="19"/>
      <c r="P79" s="19">
        <f t="shared" si="14"/>
        <v>58.56</v>
      </c>
      <c r="Q79" s="20"/>
    </row>
    <row r="80" spans="1:17" x14ac:dyDescent="0.25">
      <c r="A80" s="32">
        <f t="shared" si="12"/>
        <v>9.25</v>
      </c>
      <c r="B80" s="32">
        <v>9.25</v>
      </c>
      <c r="C80">
        <v>148</v>
      </c>
      <c r="E80" s="32">
        <v>6.92</v>
      </c>
      <c r="F80">
        <f t="shared" si="13"/>
        <v>8.92</v>
      </c>
      <c r="K80" s="18">
        <v>77</v>
      </c>
      <c r="L80" s="19">
        <f t="shared" si="11"/>
        <v>1232</v>
      </c>
      <c r="M80" s="19"/>
      <c r="N80" s="19"/>
      <c r="O80" s="19"/>
      <c r="P80" s="19">
        <f t="shared" si="14"/>
        <v>59.31</v>
      </c>
      <c r="Q80" s="20"/>
    </row>
    <row r="81" spans="1:17" x14ac:dyDescent="0.25">
      <c r="A81" s="32">
        <f t="shared" si="12"/>
        <v>9.5</v>
      </c>
      <c r="B81" s="32">
        <v>9.5</v>
      </c>
      <c r="C81">
        <v>152</v>
      </c>
      <c r="E81" s="32">
        <v>6.92</v>
      </c>
      <c r="F81">
        <f t="shared" si="13"/>
        <v>9</v>
      </c>
      <c r="K81" s="18">
        <v>78</v>
      </c>
      <c r="L81" s="19">
        <f t="shared" si="11"/>
        <v>1248</v>
      </c>
      <c r="M81" s="19"/>
      <c r="N81" s="19"/>
      <c r="O81" s="19"/>
      <c r="P81" s="19">
        <f t="shared" si="14"/>
        <v>60.06</v>
      </c>
      <c r="Q81" s="20"/>
    </row>
    <row r="82" spans="1:17" x14ac:dyDescent="0.25">
      <c r="A82" s="32">
        <f t="shared" si="12"/>
        <v>9.75</v>
      </c>
      <c r="B82" s="32">
        <v>9.75</v>
      </c>
      <c r="C82">
        <v>156</v>
      </c>
      <c r="E82" s="32">
        <v>6.92</v>
      </c>
      <c r="F82">
        <f t="shared" si="13"/>
        <v>9.08</v>
      </c>
      <c r="K82" s="18">
        <v>79</v>
      </c>
      <c r="L82" s="19">
        <f t="shared" si="11"/>
        <v>1264</v>
      </c>
      <c r="M82" s="19"/>
      <c r="N82" s="19"/>
      <c r="O82" s="19"/>
      <c r="P82" s="19">
        <f t="shared" si="14"/>
        <v>60.81</v>
      </c>
      <c r="Q82" s="20"/>
    </row>
    <row r="83" spans="1:17" x14ac:dyDescent="0.25">
      <c r="A83" s="32">
        <f t="shared" si="12"/>
        <v>10</v>
      </c>
      <c r="B83" s="32">
        <v>10</v>
      </c>
      <c r="C83">
        <v>160</v>
      </c>
      <c r="E83" s="32">
        <v>6.92</v>
      </c>
      <c r="F83">
        <f t="shared" si="13"/>
        <v>9.16</v>
      </c>
      <c r="K83" s="18">
        <v>80</v>
      </c>
      <c r="L83" s="19">
        <f t="shared" si="11"/>
        <v>1280</v>
      </c>
      <c r="M83" s="19"/>
      <c r="N83" s="19"/>
      <c r="O83" s="19"/>
      <c r="P83" s="19">
        <f t="shared" si="14"/>
        <v>61.56</v>
      </c>
      <c r="Q83" s="20"/>
    </row>
    <row r="84" spans="1:17" x14ac:dyDescent="0.25">
      <c r="A84" s="32">
        <f t="shared" si="12"/>
        <v>10.25</v>
      </c>
      <c r="B84" s="32">
        <v>10.25</v>
      </c>
      <c r="C84">
        <v>164</v>
      </c>
      <c r="E84" s="32">
        <v>6.92</v>
      </c>
      <c r="F84">
        <f t="shared" si="13"/>
        <v>9.24</v>
      </c>
      <c r="K84" s="18">
        <v>81</v>
      </c>
      <c r="L84" s="19">
        <f t="shared" si="11"/>
        <v>1296</v>
      </c>
      <c r="M84" s="19"/>
      <c r="N84" s="19"/>
      <c r="O84" s="19"/>
      <c r="P84" s="19">
        <f t="shared" si="14"/>
        <v>62.31</v>
      </c>
      <c r="Q84" s="20"/>
    </row>
    <row r="85" spans="1:17" x14ac:dyDescent="0.25">
      <c r="A85" s="32">
        <f t="shared" si="12"/>
        <v>10.5</v>
      </c>
      <c r="B85" s="32">
        <v>10.5</v>
      </c>
      <c r="C85">
        <v>168</v>
      </c>
      <c r="E85" s="32">
        <v>6.92</v>
      </c>
      <c r="F85">
        <f t="shared" si="13"/>
        <v>9.32</v>
      </c>
      <c r="K85" s="18">
        <v>82</v>
      </c>
      <c r="L85" s="19">
        <f t="shared" si="11"/>
        <v>1312</v>
      </c>
      <c r="M85" s="19"/>
      <c r="N85" s="19"/>
      <c r="O85" s="19"/>
      <c r="P85" s="19">
        <f t="shared" si="14"/>
        <v>63.06</v>
      </c>
      <c r="Q85" s="20"/>
    </row>
    <row r="86" spans="1:17" x14ac:dyDescent="0.25">
      <c r="A86" s="32">
        <f t="shared" si="12"/>
        <v>10.75</v>
      </c>
      <c r="B86" s="32">
        <v>10.75</v>
      </c>
      <c r="C86">
        <v>172</v>
      </c>
      <c r="E86" s="32">
        <v>6.92</v>
      </c>
      <c r="F86">
        <f t="shared" si="13"/>
        <v>9.4</v>
      </c>
      <c r="K86" s="18">
        <v>83</v>
      </c>
      <c r="L86" s="19">
        <f t="shared" si="11"/>
        <v>1328</v>
      </c>
      <c r="M86" s="19"/>
      <c r="N86" s="19"/>
      <c r="O86" s="19"/>
      <c r="P86" s="19">
        <f t="shared" si="14"/>
        <v>63.81</v>
      </c>
      <c r="Q86" s="20"/>
    </row>
    <row r="87" spans="1:17" x14ac:dyDescent="0.25">
      <c r="A87" s="32">
        <f t="shared" si="12"/>
        <v>11</v>
      </c>
      <c r="B87" s="32">
        <v>11</v>
      </c>
      <c r="C87">
        <v>176</v>
      </c>
      <c r="E87" s="32">
        <v>6.92</v>
      </c>
      <c r="F87">
        <f t="shared" si="13"/>
        <v>9.48</v>
      </c>
      <c r="K87" s="18">
        <v>84</v>
      </c>
      <c r="L87" s="19">
        <f t="shared" si="11"/>
        <v>1344</v>
      </c>
      <c r="M87" s="19"/>
      <c r="N87" s="19"/>
      <c r="O87" s="19"/>
      <c r="P87" s="19">
        <f t="shared" si="14"/>
        <v>64.56</v>
      </c>
      <c r="Q87" s="20"/>
    </row>
    <row r="88" spans="1:17" x14ac:dyDescent="0.25">
      <c r="A88" s="32">
        <f t="shared" si="12"/>
        <v>11.25</v>
      </c>
      <c r="B88" s="32">
        <v>11.25</v>
      </c>
      <c r="C88">
        <v>180</v>
      </c>
      <c r="E88" s="32">
        <v>6.92</v>
      </c>
      <c r="F88">
        <f t="shared" si="13"/>
        <v>9.56</v>
      </c>
      <c r="K88" s="18">
        <v>85</v>
      </c>
      <c r="L88" s="19">
        <f t="shared" si="11"/>
        <v>1360</v>
      </c>
      <c r="M88" s="19"/>
      <c r="N88" s="19"/>
      <c r="O88" s="19"/>
      <c r="P88" s="19">
        <f t="shared" si="14"/>
        <v>65.31</v>
      </c>
      <c r="Q88" s="20"/>
    </row>
    <row r="89" spans="1:17" x14ac:dyDescent="0.25">
      <c r="A89" s="32">
        <f t="shared" si="12"/>
        <v>11.5</v>
      </c>
      <c r="B89" s="32">
        <v>11.5</v>
      </c>
      <c r="C89">
        <v>184</v>
      </c>
      <c r="E89" s="32">
        <v>6.92</v>
      </c>
      <c r="F89">
        <f t="shared" si="13"/>
        <v>9.64</v>
      </c>
      <c r="K89" s="18">
        <v>86</v>
      </c>
      <c r="L89" s="19">
        <f t="shared" si="11"/>
        <v>1376</v>
      </c>
      <c r="M89" s="19"/>
      <c r="N89" s="19"/>
      <c r="O89" s="19"/>
      <c r="P89" s="19">
        <f t="shared" si="14"/>
        <v>66.06</v>
      </c>
      <c r="Q89" s="20"/>
    </row>
    <row r="90" spans="1:17" x14ac:dyDescent="0.25">
      <c r="A90" s="32">
        <f t="shared" si="12"/>
        <v>11.75</v>
      </c>
      <c r="B90" s="32">
        <v>11.75</v>
      </c>
      <c r="C90">
        <v>188</v>
      </c>
      <c r="E90" s="32">
        <v>6.92</v>
      </c>
      <c r="F90">
        <f t="shared" si="13"/>
        <v>9.7200000000000006</v>
      </c>
      <c r="K90" s="18">
        <v>87</v>
      </c>
      <c r="L90" s="19">
        <f t="shared" si="11"/>
        <v>1392</v>
      </c>
      <c r="M90" s="19"/>
      <c r="N90" s="19"/>
      <c r="O90" s="19"/>
      <c r="P90" s="19">
        <f t="shared" si="14"/>
        <v>66.81</v>
      </c>
      <c r="Q90" s="20"/>
    </row>
    <row r="91" spans="1:17" x14ac:dyDescent="0.25">
      <c r="A91" s="32">
        <f t="shared" si="12"/>
        <v>12</v>
      </c>
      <c r="B91" s="32">
        <v>12</v>
      </c>
      <c r="C91">
        <v>192</v>
      </c>
      <c r="E91" s="32">
        <v>6.92</v>
      </c>
      <c r="F91">
        <f t="shared" si="13"/>
        <v>9.8000000000000007</v>
      </c>
      <c r="K91" s="18">
        <v>88</v>
      </c>
      <c r="L91" s="19">
        <f t="shared" si="11"/>
        <v>1408</v>
      </c>
      <c r="M91" s="19"/>
      <c r="N91" s="19"/>
      <c r="O91" s="19"/>
      <c r="P91" s="19">
        <f t="shared" si="14"/>
        <v>67.56</v>
      </c>
      <c r="Q91" s="20"/>
    </row>
    <row r="92" spans="1:17" x14ac:dyDescent="0.25">
      <c r="A92" s="32">
        <f t="shared" si="12"/>
        <v>12.25</v>
      </c>
      <c r="B92" s="32">
        <v>12.25</v>
      </c>
      <c r="C92">
        <v>196</v>
      </c>
      <c r="E92" s="32">
        <v>6.92</v>
      </c>
      <c r="F92">
        <f t="shared" si="13"/>
        <v>9.879999999999999</v>
      </c>
      <c r="K92" s="18">
        <v>89</v>
      </c>
      <c r="L92" s="19">
        <f t="shared" si="11"/>
        <v>1424</v>
      </c>
      <c r="M92" s="19"/>
      <c r="N92" s="19"/>
      <c r="O92" s="19"/>
      <c r="P92" s="19">
        <f t="shared" si="14"/>
        <v>68.31</v>
      </c>
      <c r="Q92" s="20"/>
    </row>
    <row r="93" spans="1:17" x14ac:dyDescent="0.25">
      <c r="A93" s="32">
        <f t="shared" si="12"/>
        <v>12.5</v>
      </c>
      <c r="B93" s="32">
        <v>12.5</v>
      </c>
      <c r="C93">
        <v>200</v>
      </c>
      <c r="E93" s="32">
        <v>6.92</v>
      </c>
      <c r="F93">
        <f t="shared" si="13"/>
        <v>9.9600000000000009</v>
      </c>
      <c r="K93" s="18">
        <v>90</v>
      </c>
      <c r="L93" s="19">
        <f t="shared" si="11"/>
        <v>1440</v>
      </c>
      <c r="M93" s="19"/>
      <c r="N93" s="19"/>
      <c r="O93" s="19"/>
      <c r="P93" s="19">
        <f t="shared" si="14"/>
        <v>69.06</v>
      </c>
      <c r="Q93" s="20"/>
    </row>
    <row r="94" spans="1:17" x14ac:dyDescent="0.25">
      <c r="A94" s="32">
        <f t="shared" si="12"/>
        <v>12.75</v>
      </c>
      <c r="B94" s="32">
        <v>12.75</v>
      </c>
      <c r="C94">
        <v>204</v>
      </c>
      <c r="E94" s="32">
        <v>6.92</v>
      </c>
      <c r="F94">
        <f t="shared" si="13"/>
        <v>10.039999999999999</v>
      </c>
      <c r="K94" s="18">
        <v>91</v>
      </c>
      <c r="L94" s="19">
        <f t="shared" si="11"/>
        <v>1456</v>
      </c>
      <c r="M94" s="19"/>
      <c r="N94" s="19"/>
      <c r="O94" s="19"/>
      <c r="P94" s="19">
        <f t="shared" si="14"/>
        <v>69.81</v>
      </c>
      <c r="Q94" s="20"/>
    </row>
    <row r="95" spans="1:17" x14ac:dyDescent="0.25">
      <c r="A95" s="32">
        <f t="shared" si="12"/>
        <v>13</v>
      </c>
      <c r="B95" s="32">
        <v>13</v>
      </c>
      <c r="C95">
        <v>208</v>
      </c>
      <c r="E95" s="32">
        <v>6.92</v>
      </c>
      <c r="F95">
        <f t="shared" si="13"/>
        <v>10.120000000000001</v>
      </c>
      <c r="K95" s="18">
        <v>92</v>
      </c>
      <c r="L95" s="19">
        <f t="shared" si="11"/>
        <v>1472</v>
      </c>
      <c r="M95" s="19"/>
      <c r="N95" s="19"/>
      <c r="O95" s="19"/>
      <c r="P95" s="19">
        <f t="shared" si="14"/>
        <v>70.56</v>
      </c>
      <c r="Q95" s="20"/>
    </row>
    <row r="96" spans="1:17" x14ac:dyDescent="0.25">
      <c r="A96" s="32">
        <f t="shared" si="12"/>
        <v>13.25</v>
      </c>
      <c r="B96" s="32">
        <v>13.25</v>
      </c>
      <c r="C96">
        <v>212</v>
      </c>
      <c r="E96" s="32">
        <v>6.92</v>
      </c>
      <c r="F96">
        <f t="shared" si="13"/>
        <v>10.199999999999999</v>
      </c>
      <c r="K96" s="18">
        <v>93</v>
      </c>
      <c r="L96" s="19">
        <f t="shared" si="11"/>
        <v>1488</v>
      </c>
      <c r="M96" s="19"/>
      <c r="N96" s="19"/>
      <c r="O96" s="19"/>
      <c r="P96" s="19">
        <f t="shared" si="14"/>
        <v>71.31</v>
      </c>
      <c r="Q96" s="20"/>
    </row>
    <row r="97" spans="1:17" x14ac:dyDescent="0.25">
      <c r="A97" s="32">
        <f t="shared" si="12"/>
        <v>13.5</v>
      </c>
      <c r="B97" s="32">
        <v>13.5</v>
      </c>
      <c r="C97">
        <v>216</v>
      </c>
      <c r="E97" s="32">
        <v>6.92</v>
      </c>
      <c r="F97">
        <f t="shared" si="13"/>
        <v>10.28</v>
      </c>
      <c r="K97" s="18">
        <v>94</v>
      </c>
      <c r="L97" s="19">
        <f t="shared" si="11"/>
        <v>1504</v>
      </c>
      <c r="M97" s="19"/>
      <c r="N97" s="19"/>
      <c r="O97" s="19"/>
      <c r="P97" s="19">
        <f t="shared" si="14"/>
        <v>72.06</v>
      </c>
      <c r="Q97" s="20"/>
    </row>
    <row r="98" spans="1:17" x14ac:dyDescent="0.25">
      <c r="A98" s="32">
        <f t="shared" si="12"/>
        <v>13.75</v>
      </c>
      <c r="B98" s="32">
        <v>13.75</v>
      </c>
      <c r="C98">
        <v>220</v>
      </c>
      <c r="E98" s="32">
        <v>6.92</v>
      </c>
      <c r="F98">
        <f t="shared" si="13"/>
        <v>10.36</v>
      </c>
      <c r="K98" s="18">
        <v>95</v>
      </c>
      <c r="L98" s="19">
        <f t="shared" si="11"/>
        <v>1520</v>
      </c>
      <c r="M98" s="19"/>
      <c r="N98" s="19"/>
      <c r="O98" s="19"/>
      <c r="P98" s="19">
        <f t="shared" si="14"/>
        <v>72.81</v>
      </c>
      <c r="Q98" s="20"/>
    </row>
    <row r="99" spans="1:17" x14ac:dyDescent="0.25">
      <c r="A99" s="32">
        <f t="shared" si="12"/>
        <v>14</v>
      </c>
      <c r="B99" s="32">
        <v>14</v>
      </c>
      <c r="C99">
        <v>224</v>
      </c>
      <c r="E99" s="32">
        <v>6.92</v>
      </c>
      <c r="F99">
        <f t="shared" si="13"/>
        <v>10.44</v>
      </c>
      <c r="K99" s="18">
        <v>96</v>
      </c>
      <c r="L99" s="19">
        <f t="shared" si="11"/>
        <v>1536</v>
      </c>
      <c r="M99" s="19"/>
      <c r="N99" s="19"/>
      <c r="O99" s="19"/>
      <c r="P99" s="19">
        <f t="shared" si="14"/>
        <v>73.56</v>
      </c>
      <c r="Q99" s="20"/>
    </row>
    <row r="100" spans="1:17" x14ac:dyDescent="0.25">
      <c r="A100" s="32">
        <f t="shared" si="12"/>
        <v>14.25</v>
      </c>
      <c r="B100" s="32">
        <v>14.25</v>
      </c>
      <c r="C100">
        <v>228</v>
      </c>
      <c r="E100" s="32">
        <v>6.92</v>
      </c>
      <c r="F100">
        <f t="shared" si="13"/>
        <v>10.52</v>
      </c>
      <c r="K100" s="18">
        <v>97</v>
      </c>
      <c r="L100" s="19">
        <f t="shared" ref="L100:L131" si="15">K100*16</f>
        <v>1552</v>
      </c>
      <c r="M100" s="19"/>
      <c r="N100" s="19"/>
      <c r="O100" s="19"/>
      <c r="P100" s="19">
        <f t="shared" si="14"/>
        <v>74.31</v>
      </c>
      <c r="Q100" s="20"/>
    </row>
    <row r="101" spans="1:17" x14ac:dyDescent="0.25">
      <c r="A101" s="32">
        <f t="shared" si="12"/>
        <v>14.5</v>
      </c>
      <c r="B101" s="32">
        <v>14.5</v>
      </c>
      <c r="C101">
        <v>232</v>
      </c>
      <c r="E101" s="32">
        <v>6.92</v>
      </c>
      <c r="F101">
        <f t="shared" si="13"/>
        <v>10.6</v>
      </c>
      <c r="K101" s="18">
        <v>98</v>
      </c>
      <c r="L101" s="19">
        <f t="shared" si="15"/>
        <v>1568</v>
      </c>
      <c r="M101" s="19"/>
      <c r="N101" s="19"/>
      <c r="O101" s="19"/>
      <c r="P101" s="19">
        <f t="shared" si="14"/>
        <v>75.06</v>
      </c>
      <c r="Q101" s="20"/>
    </row>
    <row r="102" spans="1:17" x14ac:dyDescent="0.25">
      <c r="A102" s="32">
        <f t="shared" si="12"/>
        <v>14.75</v>
      </c>
      <c r="B102" s="32">
        <v>14.75</v>
      </c>
      <c r="C102">
        <v>236</v>
      </c>
      <c r="E102" s="32">
        <v>6.92</v>
      </c>
      <c r="F102">
        <f t="shared" si="13"/>
        <v>10.68</v>
      </c>
      <c r="K102" s="18">
        <v>99</v>
      </c>
      <c r="L102" s="19">
        <f t="shared" si="15"/>
        <v>1584</v>
      </c>
      <c r="M102" s="19"/>
      <c r="N102" s="19"/>
      <c r="O102" s="19"/>
      <c r="P102" s="19">
        <f t="shared" si="14"/>
        <v>75.81</v>
      </c>
      <c r="Q102" s="20"/>
    </row>
    <row r="103" spans="1:17" x14ac:dyDescent="0.25">
      <c r="A103" s="32">
        <f t="shared" si="12"/>
        <v>15</v>
      </c>
      <c r="B103" s="32">
        <v>15</v>
      </c>
      <c r="C103">
        <v>240</v>
      </c>
      <c r="E103" s="32">
        <v>6.92</v>
      </c>
      <c r="F103">
        <f t="shared" si="13"/>
        <v>10.76</v>
      </c>
      <c r="K103" s="18">
        <v>100</v>
      </c>
      <c r="L103" s="19">
        <f t="shared" si="15"/>
        <v>1600</v>
      </c>
      <c r="M103" s="19"/>
      <c r="N103" s="19"/>
      <c r="O103" s="19"/>
      <c r="P103" s="19">
        <f t="shared" si="14"/>
        <v>76.56</v>
      </c>
      <c r="Q103" s="20"/>
    </row>
    <row r="104" spans="1:17" x14ac:dyDescent="0.25">
      <c r="A104" s="32">
        <f t="shared" ref="A104:A123" si="16">ROUND(B104,2)</f>
        <v>15.25</v>
      </c>
      <c r="B104" s="32">
        <v>15.25</v>
      </c>
      <c r="C104">
        <v>244</v>
      </c>
      <c r="E104" s="32">
        <v>6.92</v>
      </c>
      <c r="F104">
        <f t="shared" ref="F104:F123" si="17">IF(B104&lt;=3,E104,IF(B104&lt;=20,E104+((B104-3)*$D$2),))</f>
        <v>10.84</v>
      </c>
      <c r="K104" s="18">
        <v>101</v>
      </c>
      <c r="L104" s="19">
        <f t="shared" si="15"/>
        <v>1616</v>
      </c>
      <c r="M104" s="19"/>
      <c r="N104" s="19"/>
      <c r="O104" s="19"/>
      <c r="P104" s="19">
        <f t="shared" si="14"/>
        <v>77.31</v>
      </c>
      <c r="Q104" s="20"/>
    </row>
    <row r="105" spans="1:17" x14ac:dyDescent="0.25">
      <c r="A105" s="32">
        <f t="shared" si="16"/>
        <v>15.5</v>
      </c>
      <c r="B105" s="32">
        <v>15.5</v>
      </c>
      <c r="C105">
        <v>248</v>
      </c>
      <c r="E105" s="32">
        <v>6.92</v>
      </c>
      <c r="F105">
        <f t="shared" si="17"/>
        <v>10.92</v>
      </c>
      <c r="K105" s="18">
        <v>102</v>
      </c>
      <c r="L105" s="19">
        <f t="shared" si="15"/>
        <v>1632</v>
      </c>
      <c r="M105" s="19"/>
      <c r="N105" s="19"/>
      <c r="O105" s="19"/>
      <c r="P105" s="19">
        <f t="shared" si="14"/>
        <v>78.06</v>
      </c>
      <c r="Q105" s="20"/>
    </row>
    <row r="106" spans="1:17" x14ac:dyDescent="0.25">
      <c r="A106" s="32">
        <f t="shared" si="16"/>
        <v>15.75</v>
      </c>
      <c r="B106" s="32">
        <v>15.75</v>
      </c>
      <c r="C106">
        <v>252</v>
      </c>
      <c r="E106" s="32">
        <v>6.92</v>
      </c>
      <c r="F106">
        <f t="shared" si="17"/>
        <v>11</v>
      </c>
      <c r="K106" s="18">
        <v>103</v>
      </c>
      <c r="L106" s="19">
        <f t="shared" si="15"/>
        <v>1648</v>
      </c>
      <c r="M106" s="19"/>
      <c r="N106" s="19"/>
      <c r="O106" s="19"/>
      <c r="P106" s="19">
        <f t="shared" si="14"/>
        <v>78.81</v>
      </c>
      <c r="Q106" s="20"/>
    </row>
    <row r="107" spans="1:17" x14ac:dyDescent="0.25">
      <c r="A107" s="32">
        <f t="shared" si="16"/>
        <v>16</v>
      </c>
      <c r="B107" s="32">
        <v>16</v>
      </c>
      <c r="C107">
        <v>256</v>
      </c>
      <c r="E107" s="32">
        <v>6.92</v>
      </c>
      <c r="F107">
        <f t="shared" si="17"/>
        <v>11.08</v>
      </c>
      <c r="K107" s="18">
        <v>104</v>
      </c>
      <c r="L107" s="19">
        <f t="shared" si="15"/>
        <v>1664</v>
      </c>
      <c r="M107" s="19"/>
      <c r="N107" s="19"/>
      <c r="O107" s="19"/>
      <c r="P107" s="19">
        <f t="shared" ref="P107:P138" si="18">IF(K106&lt;=50,$I$11+(K106*$I$18),IF(K106&lt;=70,$I$12+((K106-50)*$I$19),IF(K106&lt;=150,$I$13+((K106-70)*$I$19),)))</f>
        <v>79.56</v>
      </c>
      <c r="Q107" s="20"/>
    </row>
    <row r="108" spans="1:17" x14ac:dyDescent="0.25">
      <c r="A108" s="32">
        <f t="shared" si="16"/>
        <v>16.25</v>
      </c>
      <c r="B108" s="32">
        <v>16.25</v>
      </c>
      <c r="C108">
        <v>260</v>
      </c>
      <c r="E108" s="32">
        <v>6.92</v>
      </c>
      <c r="F108">
        <f t="shared" si="17"/>
        <v>11.16</v>
      </c>
      <c r="K108" s="18">
        <v>105</v>
      </c>
      <c r="L108" s="19">
        <f t="shared" si="15"/>
        <v>1680</v>
      </c>
      <c r="M108" s="19"/>
      <c r="N108" s="19"/>
      <c r="O108" s="19"/>
      <c r="P108" s="19">
        <f t="shared" si="18"/>
        <v>80.31</v>
      </c>
      <c r="Q108" s="20"/>
    </row>
    <row r="109" spans="1:17" x14ac:dyDescent="0.25">
      <c r="A109" s="32">
        <f t="shared" si="16"/>
        <v>16.5</v>
      </c>
      <c r="B109" s="32">
        <v>16.5</v>
      </c>
      <c r="C109">
        <v>264</v>
      </c>
      <c r="E109" s="32">
        <v>6.92</v>
      </c>
      <c r="F109">
        <f t="shared" si="17"/>
        <v>11.24</v>
      </c>
      <c r="K109" s="18">
        <v>106</v>
      </c>
      <c r="L109" s="19">
        <f t="shared" si="15"/>
        <v>1696</v>
      </c>
      <c r="M109" s="19"/>
      <c r="N109" s="19"/>
      <c r="O109" s="19"/>
      <c r="P109" s="19">
        <f t="shared" si="18"/>
        <v>81.06</v>
      </c>
      <c r="Q109" s="20"/>
    </row>
    <row r="110" spans="1:17" x14ac:dyDescent="0.25">
      <c r="A110" s="32">
        <f t="shared" si="16"/>
        <v>16.75</v>
      </c>
      <c r="B110" s="32">
        <v>16.75</v>
      </c>
      <c r="C110">
        <v>268</v>
      </c>
      <c r="E110" s="32">
        <v>6.92</v>
      </c>
      <c r="F110">
        <f t="shared" si="17"/>
        <v>11.32</v>
      </c>
      <c r="K110" s="18">
        <v>107</v>
      </c>
      <c r="L110" s="19">
        <f t="shared" si="15"/>
        <v>1712</v>
      </c>
      <c r="M110" s="19"/>
      <c r="N110" s="19"/>
      <c r="O110" s="19"/>
      <c r="P110" s="19">
        <f t="shared" si="18"/>
        <v>81.81</v>
      </c>
      <c r="Q110" s="20"/>
    </row>
    <row r="111" spans="1:17" x14ac:dyDescent="0.25">
      <c r="A111" s="32">
        <f t="shared" si="16"/>
        <v>17</v>
      </c>
      <c r="B111" s="32">
        <v>17</v>
      </c>
      <c r="C111">
        <v>272</v>
      </c>
      <c r="E111" s="32">
        <v>6.92</v>
      </c>
      <c r="F111">
        <f t="shared" si="17"/>
        <v>11.4</v>
      </c>
      <c r="K111" s="18">
        <v>108</v>
      </c>
      <c r="L111" s="19">
        <f t="shared" si="15"/>
        <v>1728</v>
      </c>
      <c r="M111" s="19"/>
      <c r="N111" s="19"/>
      <c r="O111" s="19"/>
      <c r="P111" s="19">
        <f t="shared" si="18"/>
        <v>82.56</v>
      </c>
      <c r="Q111" s="20"/>
    </row>
    <row r="112" spans="1:17" x14ac:dyDescent="0.25">
      <c r="A112" s="32">
        <f t="shared" si="16"/>
        <v>17.25</v>
      </c>
      <c r="B112" s="32">
        <v>17.25</v>
      </c>
      <c r="C112">
        <v>276</v>
      </c>
      <c r="E112" s="32">
        <v>6.92</v>
      </c>
      <c r="F112">
        <f t="shared" si="17"/>
        <v>11.48</v>
      </c>
      <c r="K112" s="18">
        <v>109</v>
      </c>
      <c r="L112" s="19">
        <f t="shared" si="15"/>
        <v>1744</v>
      </c>
      <c r="M112" s="19"/>
      <c r="N112" s="19"/>
      <c r="O112" s="19"/>
      <c r="P112" s="19">
        <f t="shared" si="18"/>
        <v>83.31</v>
      </c>
      <c r="Q112" s="20"/>
    </row>
    <row r="113" spans="1:17" x14ac:dyDescent="0.25">
      <c r="A113" s="32">
        <f t="shared" si="16"/>
        <v>17.5</v>
      </c>
      <c r="B113" s="32">
        <v>17.5</v>
      </c>
      <c r="C113">
        <v>280</v>
      </c>
      <c r="E113" s="32">
        <v>6.92</v>
      </c>
      <c r="F113">
        <f t="shared" si="17"/>
        <v>11.559999999999999</v>
      </c>
      <c r="K113" s="18">
        <v>110</v>
      </c>
      <c r="L113" s="19">
        <f t="shared" si="15"/>
        <v>1760</v>
      </c>
      <c r="M113" s="19"/>
      <c r="N113" s="19"/>
      <c r="O113" s="19"/>
      <c r="P113" s="19">
        <f t="shared" si="18"/>
        <v>84.06</v>
      </c>
      <c r="Q113" s="20"/>
    </row>
    <row r="114" spans="1:17" x14ac:dyDescent="0.25">
      <c r="A114" s="32">
        <f t="shared" si="16"/>
        <v>17.75</v>
      </c>
      <c r="B114" s="32">
        <v>17.75</v>
      </c>
      <c r="C114">
        <v>284</v>
      </c>
      <c r="E114" s="32">
        <v>6.92</v>
      </c>
      <c r="F114">
        <f t="shared" si="17"/>
        <v>11.64</v>
      </c>
      <c r="K114" s="18">
        <v>111</v>
      </c>
      <c r="L114" s="19">
        <f t="shared" si="15"/>
        <v>1776</v>
      </c>
      <c r="M114" s="19"/>
      <c r="N114" s="19"/>
      <c r="O114" s="19"/>
      <c r="P114" s="19">
        <f t="shared" si="18"/>
        <v>84.81</v>
      </c>
      <c r="Q114" s="20"/>
    </row>
    <row r="115" spans="1:17" x14ac:dyDescent="0.25">
      <c r="A115" s="32">
        <f t="shared" si="16"/>
        <v>18</v>
      </c>
      <c r="B115" s="32">
        <v>18</v>
      </c>
      <c r="C115">
        <v>288</v>
      </c>
      <c r="E115" s="32">
        <v>6.92</v>
      </c>
      <c r="F115">
        <f t="shared" si="17"/>
        <v>11.719999999999999</v>
      </c>
      <c r="K115" s="18">
        <v>112</v>
      </c>
      <c r="L115" s="19">
        <f t="shared" si="15"/>
        <v>1792</v>
      </c>
      <c r="M115" s="19"/>
      <c r="N115" s="19"/>
      <c r="O115" s="19"/>
      <c r="P115" s="19">
        <f t="shared" si="18"/>
        <v>85.56</v>
      </c>
      <c r="Q115" s="20"/>
    </row>
    <row r="116" spans="1:17" x14ac:dyDescent="0.25">
      <c r="A116" s="32">
        <f t="shared" si="16"/>
        <v>18.25</v>
      </c>
      <c r="B116" s="32">
        <v>18.25</v>
      </c>
      <c r="C116">
        <v>292</v>
      </c>
      <c r="E116" s="32">
        <v>6.92</v>
      </c>
      <c r="F116">
        <f t="shared" si="17"/>
        <v>11.8</v>
      </c>
      <c r="K116" s="18">
        <v>113</v>
      </c>
      <c r="L116" s="19">
        <f t="shared" si="15"/>
        <v>1808</v>
      </c>
      <c r="M116" s="19"/>
      <c r="N116" s="19"/>
      <c r="O116" s="19"/>
      <c r="P116" s="19">
        <f t="shared" si="18"/>
        <v>86.31</v>
      </c>
      <c r="Q116" s="20"/>
    </row>
    <row r="117" spans="1:17" x14ac:dyDescent="0.25">
      <c r="A117" s="32">
        <f t="shared" si="16"/>
        <v>18.5</v>
      </c>
      <c r="B117" s="32">
        <v>18.5</v>
      </c>
      <c r="C117">
        <v>296</v>
      </c>
      <c r="E117" s="32">
        <v>6.92</v>
      </c>
      <c r="F117">
        <f t="shared" si="17"/>
        <v>11.879999999999999</v>
      </c>
      <c r="K117" s="18">
        <v>114</v>
      </c>
      <c r="L117" s="19">
        <f t="shared" si="15"/>
        <v>1824</v>
      </c>
      <c r="M117" s="19"/>
      <c r="N117" s="19"/>
      <c r="O117" s="19"/>
      <c r="P117" s="19">
        <f t="shared" si="18"/>
        <v>87.06</v>
      </c>
      <c r="Q117" s="20"/>
    </row>
    <row r="118" spans="1:17" x14ac:dyDescent="0.25">
      <c r="A118" s="32">
        <f t="shared" si="16"/>
        <v>18.75</v>
      </c>
      <c r="B118" s="32">
        <v>18.75</v>
      </c>
      <c r="C118">
        <v>300</v>
      </c>
      <c r="E118" s="32">
        <v>6.92</v>
      </c>
      <c r="F118">
        <f t="shared" si="17"/>
        <v>11.96</v>
      </c>
      <c r="K118" s="18">
        <v>115</v>
      </c>
      <c r="L118" s="19">
        <f t="shared" si="15"/>
        <v>1840</v>
      </c>
      <c r="M118" s="19"/>
      <c r="N118" s="19"/>
      <c r="O118" s="19"/>
      <c r="P118" s="19">
        <f t="shared" si="18"/>
        <v>87.81</v>
      </c>
      <c r="Q118" s="20"/>
    </row>
    <row r="119" spans="1:17" x14ac:dyDescent="0.25">
      <c r="A119" s="32">
        <f t="shared" si="16"/>
        <v>19</v>
      </c>
      <c r="B119" s="32">
        <v>19</v>
      </c>
      <c r="C119">
        <v>304</v>
      </c>
      <c r="E119" s="32">
        <v>6.92</v>
      </c>
      <c r="F119">
        <f t="shared" si="17"/>
        <v>12.04</v>
      </c>
      <c r="K119" s="18">
        <v>116</v>
      </c>
      <c r="L119" s="19">
        <f t="shared" si="15"/>
        <v>1856</v>
      </c>
      <c r="M119" s="19"/>
      <c r="N119" s="19"/>
      <c r="O119" s="19"/>
      <c r="P119" s="19">
        <f t="shared" si="18"/>
        <v>88.56</v>
      </c>
      <c r="Q119" s="20"/>
    </row>
    <row r="120" spans="1:17" x14ac:dyDescent="0.25">
      <c r="A120" s="32">
        <f t="shared" si="16"/>
        <v>19.25</v>
      </c>
      <c r="B120" s="32">
        <v>19.25</v>
      </c>
      <c r="C120">
        <v>308</v>
      </c>
      <c r="E120" s="32">
        <v>6.92</v>
      </c>
      <c r="F120">
        <f t="shared" si="17"/>
        <v>12.120000000000001</v>
      </c>
      <c r="K120" s="18">
        <v>117</v>
      </c>
      <c r="L120" s="19">
        <f t="shared" si="15"/>
        <v>1872</v>
      </c>
      <c r="M120" s="19"/>
      <c r="N120" s="19"/>
      <c r="O120" s="19"/>
      <c r="P120" s="19">
        <f t="shared" si="18"/>
        <v>89.31</v>
      </c>
      <c r="Q120" s="20"/>
    </row>
    <row r="121" spans="1:17" x14ac:dyDescent="0.25">
      <c r="A121" s="32">
        <f t="shared" si="16"/>
        <v>19.5</v>
      </c>
      <c r="B121" s="32">
        <v>19.5</v>
      </c>
      <c r="C121">
        <v>312</v>
      </c>
      <c r="E121" s="32">
        <v>6.92</v>
      </c>
      <c r="F121">
        <f t="shared" si="17"/>
        <v>12.2</v>
      </c>
      <c r="K121" s="18">
        <v>118</v>
      </c>
      <c r="L121" s="19">
        <f t="shared" si="15"/>
        <v>1888</v>
      </c>
      <c r="M121" s="19"/>
      <c r="N121" s="19"/>
      <c r="O121" s="19"/>
      <c r="P121" s="19">
        <f t="shared" si="18"/>
        <v>90.06</v>
      </c>
      <c r="Q121" s="20"/>
    </row>
    <row r="122" spans="1:17" x14ac:dyDescent="0.25">
      <c r="A122" s="32">
        <f t="shared" si="16"/>
        <v>19.75</v>
      </c>
      <c r="B122" s="32">
        <v>19.75</v>
      </c>
      <c r="C122">
        <v>316</v>
      </c>
      <c r="E122" s="32">
        <v>6.92</v>
      </c>
      <c r="F122">
        <f t="shared" si="17"/>
        <v>12.280000000000001</v>
      </c>
      <c r="K122" s="18">
        <v>119</v>
      </c>
      <c r="L122" s="19">
        <f t="shared" si="15"/>
        <v>1904</v>
      </c>
      <c r="M122" s="19"/>
      <c r="N122" s="19"/>
      <c r="O122" s="19"/>
      <c r="P122" s="19">
        <f t="shared" si="18"/>
        <v>90.81</v>
      </c>
      <c r="Q122" s="20"/>
    </row>
    <row r="123" spans="1:17" x14ac:dyDescent="0.25">
      <c r="A123" s="32">
        <f t="shared" si="16"/>
        <v>20</v>
      </c>
      <c r="B123" s="32">
        <v>20</v>
      </c>
      <c r="C123">
        <v>320</v>
      </c>
      <c r="E123" s="32">
        <v>6.92</v>
      </c>
      <c r="F123">
        <f t="shared" si="17"/>
        <v>12.36</v>
      </c>
      <c r="K123" s="18">
        <v>120</v>
      </c>
      <c r="L123" s="19">
        <f t="shared" si="15"/>
        <v>1920</v>
      </c>
      <c r="M123" s="19"/>
      <c r="N123" s="19"/>
      <c r="O123" s="19"/>
      <c r="P123" s="19">
        <f t="shared" si="18"/>
        <v>91.56</v>
      </c>
      <c r="Q123" s="20"/>
    </row>
    <row r="124" spans="1:17" x14ac:dyDescent="0.25">
      <c r="B124" s="32"/>
      <c r="E124" s="32"/>
      <c r="K124" s="18">
        <v>121</v>
      </c>
      <c r="L124" s="19">
        <f t="shared" si="15"/>
        <v>1936</v>
      </c>
      <c r="M124" s="19"/>
      <c r="N124" s="19"/>
      <c r="O124" s="19"/>
      <c r="P124" s="19">
        <f t="shared" si="18"/>
        <v>92.31</v>
      </c>
      <c r="Q124" s="20"/>
    </row>
    <row r="125" spans="1:17" x14ac:dyDescent="0.25">
      <c r="B125" s="32"/>
      <c r="E125" s="32"/>
      <c r="K125" s="18">
        <v>122</v>
      </c>
      <c r="L125" s="19">
        <f t="shared" si="15"/>
        <v>1952</v>
      </c>
      <c r="M125" s="19"/>
      <c r="N125" s="19"/>
      <c r="O125" s="19"/>
      <c r="P125" s="19">
        <f t="shared" si="18"/>
        <v>93.06</v>
      </c>
      <c r="Q125" s="20"/>
    </row>
    <row r="126" spans="1:17" x14ac:dyDescent="0.25">
      <c r="B126" s="32"/>
      <c r="E126" s="32"/>
      <c r="K126" s="18">
        <v>123</v>
      </c>
      <c r="L126" s="19">
        <f t="shared" si="15"/>
        <v>1968</v>
      </c>
      <c r="M126" s="19"/>
      <c r="N126" s="19"/>
      <c r="O126" s="19"/>
      <c r="P126" s="19">
        <f t="shared" si="18"/>
        <v>93.81</v>
      </c>
      <c r="Q126" s="20"/>
    </row>
    <row r="127" spans="1:17" x14ac:dyDescent="0.25">
      <c r="B127" s="32"/>
      <c r="E127" s="32"/>
      <c r="K127" s="18">
        <v>124</v>
      </c>
      <c r="L127" s="19">
        <f t="shared" si="15"/>
        <v>1984</v>
      </c>
      <c r="M127" s="19"/>
      <c r="N127" s="19"/>
      <c r="O127" s="19"/>
      <c r="P127" s="19">
        <f t="shared" si="18"/>
        <v>94.56</v>
      </c>
      <c r="Q127" s="20"/>
    </row>
    <row r="128" spans="1:17" x14ac:dyDescent="0.25">
      <c r="B128" s="32"/>
      <c r="E128" s="32"/>
      <c r="K128" s="18">
        <v>125</v>
      </c>
      <c r="L128" s="19">
        <f t="shared" si="15"/>
        <v>2000</v>
      </c>
      <c r="M128" s="19"/>
      <c r="N128" s="19"/>
      <c r="O128" s="19"/>
      <c r="P128" s="19">
        <f t="shared" si="18"/>
        <v>95.31</v>
      </c>
      <c r="Q128" s="20"/>
    </row>
    <row r="129" spans="2:17" x14ac:dyDescent="0.25">
      <c r="B129" s="32"/>
      <c r="E129" s="32"/>
      <c r="K129" s="18">
        <v>126</v>
      </c>
      <c r="L129" s="19">
        <f t="shared" si="15"/>
        <v>2016</v>
      </c>
      <c r="M129" s="19"/>
      <c r="N129" s="19"/>
      <c r="O129" s="19"/>
      <c r="P129" s="19">
        <f t="shared" si="18"/>
        <v>96.06</v>
      </c>
      <c r="Q129" s="20"/>
    </row>
    <row r="130" spans="2:17" x14ac:dyDescent="0.25">
      <c r="B130" s="32"/>
      <c r="E130" s="32"/>
      <c r="K130" s="18">
        <v>127</v>
      </c>
      <c r="L130" s="19">
        <f t="shared" si="15"/>
        <v>2032</v>
      </c>
      <c r="M130" s="19"/>
      <c r="N130" s="19"/>
      <c r="O130" s="19"/>
      <c r="P130" s="19">
        <f t="shared" si="18"/>
        <v>96.81</v>
      </c>
      <c r="Q130" s="20"/>
    </row>
    <row r="131" spans="2:17" x14ac:dyDescent="0.25">
      <c r="B131" s="32"/>
      <c r="E131" s="32"/>
      <c r="K131" s="18">
        <v>128</v>
      </c>
      <c r="L131" s="19">
        <f t="shared" si="15"/>
        <v>2048</v>
      </c>
      <c r="M131" s="19"/>
      <c r="N131" s="19"/>
      <c r="O131" s="19"/>
      <c r="P131" s="19">
        <f t="shared" si="18"/>
        <v>97.56</v>
      </c>
      <c r="Q131" s="20"/>
    </row>
    <row r="132" spans="2:17" x14ac:dyDescent="0.25">
      <c r="B132" s="32"/>
      <c r="E132" s="32"/>
      <c r="K132" s="18">
        <v>129</v>
      </c>
      <c r="L132" s="19">
        <f t="shared" ref="L132:L163" si="19">K132*16</f>
        <v>2064</v>
      </c>
      <c r="M132" s="19"/>
      <c r="N132" s="19"/>
      <c r="O132" s="19"/>
      <c r="P132" s="19">
        <f t="shared" si="18"/>
        <v>98.31</v>
      </c>
      <c r="Q132" s="20"/>
    </row>
    <row r="133" spans="2:17" x14ac:dyDescent="0.25">
      <c r="B133" s="32"/>
      <c r="E133" s="32"/>
      <c r="K133" s="18">
        <v>130</v>
      </c>
      <c r="L133" s="19">
        <f t="shared" si="19"/>
        <v>2080</v>
      </c>
      <c r="M133" s="19"/>
      <c r="N133" s="19"/>
      <c r="O133" s="19"/>
      <c r="P133" s="19">
        <f t="shared" si="18"/>
        <v>99.06</v>
      </c>
      <c r="Q133" s="20"/>
    </row>
    <row r="134" spans="2:17" x14ac:dyDescent="0.25">
      <c r="B134" s="32"/>
      <c r="E134" s="32"/>
      <c r="K134" s="18">
        <v>131</v>
      </c>
      <c r="L134" s="19">
        <f t="shared" si="19"/>
        <v>2096</v>
      </c>
      <c r="M134" s="19"/>
      <c r="N134" s="19"/>
      <c r="O134" s="19"/>
      <c r="P134" s="19">
        <f t="shared" si="18"/>
        <v>99.81</v>
      </c>
      <c r="Q134" s="20"/>
    </row>
    <row r="135" spans="2:17" x14ac:dyDescent="0.25">
      <c r="B135" s="32"/>
      <c r="E135" s="32"/>
      <c r="K135" s="18">
        <v>132</v>
      </c>
      <c r="L135" s="19">
        <f t="shared" si="19"/>
        <v>2112</v>
      </c>
      <c r="M135" s="19"/>
      <c r="N135" s="19"/>
      <c r="O135" s="19"/>
      <c r="P135" s="19">
        <f t="shared" si="18"/>
        <v>100.56</v>
      </c>
      <c r="Q135" s="20"/>
    </row>
    <row r="136" spans="2:17" x14ac:dyDescent="0.25">
      <c r="B136" s="32"/>
      <c r="E136" s="32"/>
      <c r="K136" s="18">
        <v>133</v>
      </c>
      <c r="L136" s="19">
        <f t="shared" si="19"/>
        <v>2128</v>
      </c>
      <c r="M136" s="19"/>
      <c r="N136" s="19"/>
      <c r="O136" s="19"/>
      <c r="P136" s="19">
        <f t="shared" si="18"/>
        <v>101.31</v>
      </c>
      <c r="Q136" s="20"/>
    </row>
    <row r="137" spans="2:17" x14ac:dyDescent="0.25">
      <c r="B137" s="32"/>
      <c r="E137" s="32"/>
      <c r="K137" s="18">
        <v>134</v>
      </c>
      <c r="L137" s="19">
        <f t="shared" si="19"/>
        <v>2144</v>
      </c>
      <c r="M137" s="19"/>
      <c r="N137" s="19"/>
      <c r="O137" s="19"/>
      <c r="P137" s="19">
        <f t="shared" si="18"/>
        <v>102.06</v>
      </c>
      <c r="Q137" s="20"/>
    </row>
    <row r="138" spans="2:17" x14ac:dyDescent="0.25">
      <c r="B138" s="32"/>
      <c r="E138" s="32"/>
      <c r="K138" s="18">
        <v>135</v>
      </c>
      <c r="L138" s="19">
        <f t="shared" si="19"/>
        <v>2160</v>
      </c>
      <c r="M138" s="19"/>
      <c r="N138" s="19"/>
      <c r="O138" s="19"/>
      <c r="P138" s="19">
        <f t="shared" si="18"/>
        <v>102.81</v>
      </c>
      <c r="Q138" s="20"/>
    </row>
    <row r="139" spans="2:17" x14ac:dyDescent="0.25">
      <c r="B139" s="32"/>
      <c r="E139" s="32"/>
      <c r="K139" s="18">
        <v>136</v>
      </c>
      <c r="L139" s="19">
        <f t="shared" si="19"/>
        <v>2176</v>
      </c>
      <c r="M139" s="19"/>
      <c r="N139" s="19"/>
      <c r="O139" s="19"/>
      <c r="P139" s="19">
        <f t="shared" ref="P139:P153" si="20">IF(K138&lt;=50,$I$11+(K138*$I$18),IF(K138&lt;=70,$I$12+((K138-50)*$I$19),IF(K138&lt;=150,$I$13+((K138-70)*$I$19),)))</f>
        <v>103.56</v>
      </c>
      <c r="Q139" s="20"/>
    </row>
    <row r="140" spans="2:17" x14ac:dyDescent="0.25">
      <c r="B140" s="32"/>
      <c r="E140" s="32"/>
      <c r="K140" s="18">
        <v>137</v>
      </c>
      <c r="L140" s="19">
        <f t="shared" si="19"/>
        <v>2192</v>
      </c>
      <c r="M140" s="19"/>
      <c r="N140" s="19"/>
      <c r="O140" s="19"/>
      <c r="P140" s="19">
        <f t="shared" si="20"/>
        <v>104.31</v>
      </c>
      <c r="Q140" s="20"/>
    </row>
    <row r="141" spans="2:17" x14ac:dyDescent="0.25">
      <c r="B141" s="32"/>
      <c r="E141" s="32"/>
      <c r="K141" s="18">
        <v>138</v>
      </c>
      <c r="L141" s="19">
        <f t="shared" si="19"/>
        <v>2208</v>
      </c>
      <c r="M141" s="19"/>
      <c r="N141" s="19"/>
      <c r="O141" s="19"/>
      <c r="P141" s="19">
        <f t="shared" si="20"/>
        <v>105.06</v>
      </c>
      <c r="Q141" s="20"/>
    </row>
    <row r="142" spans="2:17" x14ac:dyDescent="0.25">
      <c r="B142" s="32"/>
      <c r="E142" s="32"/>
      <c r="K142" s="18">
        <v>139</v>
      </c>
      <c r="L142" s="19">
        <f t="shared" si="19"/>
        <v>2224</v>
      </c>
      <c r="M142" s="19"/>
      <c r="N142" s="19"/>
      <c r="O142" s="19"/>
      <c r="P142" s="19">
        <f t="shared" si="20"/>
        <v>105.81</v>
      </c>
      <c r="Q142" s="20"/>
    </row>
    <row r="143" spans="2:17" x14ac:dyDescent="0.25">
      <c r="B143" s="32"/>
      <c r="E143" s="32"/>
      <c r="K143" s="18">
        <v>140</v>
      </c>
      <c r="L143" s="19">
        <f t="shared" si="19"/>
        <v>2240</v>
      </c>
      <c r="M143" s="19"/>
      <c r="N143" s="19"/>
      <c r="O143" s="19"/>
      <c r="P143" s="19">
        <f t="shared" si="20"/>
        <v>106.56</v>
      </c>
      <c r="Q143" s="20"/>
    </row>
    <row r="144" spans="2:17" x14ac:dyDescent="0.25">
      <c r="B144" s="32"/>
      <c r="E144" s="32"/>
      <c r="K144" s="18">
        <v>141</v>
      </c>
      <c r="L144" s="19">
        <f t="shared" si="19"/>
        <v>2256</v>
      </c>
      <c r="M144" s="19"/>
      <c r="N144" s="19"/>
      <c r="O144" s="19"/>
      <c r="P144" s="19">
        <f t="shared" si="20"/>
        <v>107.31</v>
      </c>
      <c r="Q144" s="20"/>
    </row>
    <row r="145" spans="2:17" x14ac:dyDescent="0.25">
      <c r="B145" s="32"/>
      <c r="E145" s="32"/>
      <c r="K145" s="18">
        <v>142</v>
      </c>
      <c r="L145" s="19">
        <f t="shared" si="19"/>
        <v>2272</v>
      </c>
      <c r="M145" s="19"/>
      <c r="N145" s="19"/>
      <c r="O145" s="19"/>
      <c r="P145" s="19">
        <f t="shared" si="20"/>
        <v>108.06</v>
      </c>
      <c r="Q145" s="20"/>
    </row>
    <row r="146" spans="2:17" x14ac:dyDescent="0.25">
      <c r="B146" s="32"/>
      <c r="E146" s="32"/>
      <c r="K146" s="18">
        <v>143</v>
      </c>
      <c r="L146" s="19">
        <f t="shared" si="19"/>
        <v>2288</v>
      </c>
      <c r="M146" s="19"/>
      <c r="N146" s="19"/>
      <c r="O146" s="19"/>
      <c r="P146" s="19">
        <f t="shared" si="20"/>
        <v>108.81</v>
      </c>
      <c r="Q146" s="20"/>
    </row>
    <row r="147" spans="2:17" x14ac:dyDescent="0.25">
      <c r="B147" s="32"/>
      <c r="E147" s="32"/>
      <c r="K147" s="18">
        <v>144</v>
      </c>
      <c r="L147" s="19">
        <f t="shared" si="19"/>
        <v>2304</v>
      </c>
      <c r="M147" s="19"/>
      <c r="N147" s="19"/>
      <c r="O147" s="19"/>
      <c r="P147" s="19">
        <f t="shared" si="20"/>
        <v>109.56</v>
      </c>
      <c r="Q147" s="20"/>
    </row>
    <row r="148" spans="2:17" x14ac:dyDescent="0.25">
      <c r="B148" s="32"/>
      <c r="E148" s="32"/>
      <c r="K148" s="18">
        <v>145</v>
      </c>
      <c r="L148" s="19">
        <f t="shared" si="19"/>
        <v>2320</v>
      </c>
      <c r="M148" s="19"/>
      <c r="N148" s="19"/>
      <c r="O148" s="19"/>
      <c r="P148" s="19">
        <f t="shared" si="20"/>
        <v>110.31</v>
      </c>
      <c r="Q148" s="20"/>
    </row>
    <row r="149" spans="2:17" x14ac:dyDescent="0.25">
      <c r="B149" s="32"/>
      <c r="E149" s="32"/>
      <c r="K149" s="18">
        <v>146</v>
      </c>
      <c r="L149" s="19">
        <f t="shared" si="19"/>
        <v>2336</v>
      </c>
      <c r="M149" s="19"/>
      <c r="N149" s="19"/>
      <c r="O149" s="19"/>
      <c r="P149" s="19">
        <f t="shared" si="20"/>
        <v>111.06</v>
      </c>
      <c r="Q149" s="20"/>
    </row>
    <row r="150" spans="2:17" x14ac:dyDescent="0.25">
      <c r="B150" s="32"/>
      <c r="E150" s="32"/>
      <c r="K150" s="18">
        <v>147</v>
      </c>
      <c r="L150" s="19">
        <f t="shared" si="19"/>
        <v>2352</v>
      </c>
      <c r="M150" s="19"/>
      <c r="N150" s="19"/>
      <c r="O150" s="19"/>
      <c r="P150" s="19">
        <f t="shared" si="20"/>
        <v>111.81</v>
      </c>
      <c r="Q150" s="20"/>
    </row>
    <row r="151" spans="2:17" x14ac:dyDescent="0.25">
      <c r="B151" s="32"/>
      <c r="E151" s="32"/>
      <c r="K151" s="18">
        <v>148</v>
      </c>
      <c r="L151" s="19">
        <f t="shared" si="19"/>
        <v>2368</v>
      </c>
      <c r="M151" s="19"/>
      <c r="N151" s="19"/>
      <c r="O151" s="19"/>
      <c r="P151" s="19">
        <f t="shared" si="20"/>
        <v>112.56</v>
      </c>
      <c r="Q151" s="20"/>
    </row>
    <row r="152" spans="2:17" x14ac:dyDescent="0.25">
      <c r="B152" s="32"/>
      <c r="E152" s="32"/>
      <c r="K152" s="18">
        <v>149</v>
      </c>
      <c r="L152" s="19">
        <f t="shared" si="19"/>
        <v>2384</v>
      </c>
      <c r="M152" s="19"/>
      <c r="N152" s="19"/>
      <c r="O152" s="19"/>
      <c r="P152" s="19">
        <f t="shared" si="20"/>
        <v>113.31</v>
      </c>
      <c r="Q152" s="20"/>
    </row>
    <row r="153" spans="2:17" x14ac:dyDescent="0.25">
      <c r="B153" s="32"/>
      <c r="E153" s="32"/>
      <c r="K153" s="18">
        <v>150</v>
      </c>
      <c r="L153" s="19">
        <f t="shared" si="19"/>
        <v>2400</v>
      </c>
      <c r="M153" s="19"/>
      <c r="N153" s="19"/>
      <c r="O153" s="19"/>
      <c r="P153" s="19">
        <f t="shared" si="20"/>
        <v>114.06</v>
      </c>
      <c r="Q153" s="20"/>
    </row>
    <row r="154" spans="2:17" x14ac:dyDescent="0.25">
      <c r="B154" s="32"/>
      <c r="E154" s="32"/>
      <c r="K154" s="18">
        <v>151</v>
      </c>
      <c r="L154" s="19">
        <f t="shared" si="19"/>
        <v>2416</v>
      </c>
      <c r="M154" s="19"/>
      <c r="N154" s="19"/>
      <c r="O154" s="19"/>
      <c r="P154" s="19"/>
      <c r="Q154" s="19">
        <v>194.95</v>
      </c>
    </row>
    <row r="155" spans="2:17" x14ac:dyDescent="0.25">
      <c r="B155" s="32"/>
      <c r="E155" s="32"/>
      <c r="K155" s="18">
        <v>152</v>
      </c>
      <c r="L155" s="19">
        <f t="shared" si="19"/>
        <v>2432</v>
      </c>
      <c r="M155" s="19"/>
      <c r="N155" s="19"/>
      <c r="O155" s="19"/>
      <c r="P155" s="19"/>
      <c r="Q155" s="19">
        <f t="shared" ref="Q155:Q186" si="21">IF(K154&lt;=50,$I$11+(K154*$I$18),IF(K154&lt;=70,$I$12+((K154-50)*$I$19),IF(K154&lt;=150,$I$13+((K154-70)*$I$19),IF(K154&gt;150,$I$14+((K154-150)*$I$20)))))</f>
        <v>195.14</v>
      </c>
    </row>
    <row r="156" spans="2:17" x14ac:dyDescent="0.25">
      <c r="B156" s="32"/>
      <c r="E156" s="32"/>
      <c r="K156" s="18">
        <v>153</v>
      </c>
      <c r="L156" s="19">
        <f t="shared" si="19"/>
        <v>2448</v>
      </c>
      <c r="M156" s="19"/>
      <c r="N156" s="19"/>
      <c r="O156" s="19"/>
      <c r="P156" s="19"/>
      <c r="Q156" s="19">
        <f t="shared" si="21"/>
        <v>195.32999999999998</v>
      </c>
    </row>
    <row r="157" spans="2:17" x14ac:dyDescent="0.25">
      <c r="B157" s="32"/>
      <c r="E157" s="32"/>
      <c r="K157" s="18">
        <v>154</v>
      </c>
      <c r="L157" s="19">
        <f t="shared" si="19"/>
        <v>2464</v>
      </c>
      <c r="M157" s="19"/>
      <c r="N157" s="19"/>
      <c r="O157" s="19"/>
      <c r="P157" s="19"/>
      <c r="Q157" s="19">
        <f t="shared" si="21"/>
        <v>195.51999999999998</v>
      </c>
    </row>
    <row r="158" spans="2:17" x14ac:dyDescent="0.25">
      <c r="B158" s="32"/>
      <c r="E158" s="32"/>
      <c r="K158" s="18">
        <v>155</v>
      </c>
      <c r="L158" s="19">
        <f t="shared" si="19"/>
        <v>2480</v>
      </c>
      <c r="M158" s="19"/>
      <c r="N158" s="19"/>
      <c r="O158" s="19"/>
      <c r="P158" s="19"/>
      <c r="Q158" s="19">
        <f t="shared" si="21"/>
        <v>195.70999999999998</v>
      </c>
    </row>
    <row r="159" spans="2:17" x14ac:dyDescent="0.25">
      <c r="B159" s="32"/>
      <c r="E159" s="32"/>
      <c r="K159" s="18">
        <v>156</v>
      </c>
      <c r="L159" s="19">
        <f t="shared" si="19"/>
        <v>2496</v>
      </c>
      <c r="M159" s="19"/>
      <c r="N159" s="19"/>
      <c r="O159" s="19"/>
      <c r="P159" s="19"/>
      <c r="Q159" s="19">
        <f t="shared" si="21"/>
        <v>195.89999999999998</v>
      </c>
    </row>
    <row r="160" spans="2:17" x14ac:dyDescent="0.25">
      <c r="B160" s="32"/>
      <c r="E160" s="32"/>
      <c r="K160" s="18">
        <v>157</v>
      </c>
      <c r="L160" s="19">
        <f t="shared" si="19"/>
        <v>2512</v>
      </c>
      <c r="M160" s="19"/>
      <c r="N160" s="19"/>
      <c r="O160" s="19"/>
      <c r="P160" s="19"/>
      <c r="Q160" s="19">
        <f t="shared" si="21"/>
        <v>196.08999999999997</v>
      </c>
    </row>
    <row r="161" spans="2:17" x14ac:dyDescent="0.25">
      <c r="B161" s="32"/>
      <c r="E161" s="32"/>
      <c r="K161" s="18">
        <v>158</v>
      </c>
      <c r="L161" s="19">
        <f t="shared" si="19"/>
        <v>2528</v>
      </c>
      <c r="M161" s="19"/>
      <c r="N161" s="19"/>
      <c r="O161" s="19"/>
      <c r="P161" s="19"/>
      <c r="Q161" s="19">
        <f t="shared" si="21"/>
        <v>196.28</v>
      </c>
    </row>
    <row r="162" spans="2:17" x14ac:dyDescent="0.25">
      <c r="B162" s="32"/>
      <c r="E162" s="32"/>
      <c r="K162" s="18">
        <v>159</v>
      </c>
      <c r="L162" s="19">
        <f t="shared" si="19"/>
        <v>2544</v>
      </c>
      <c r="M162" s="19"/>
      <c r="N162" s="19"/>
      <c r="O162" s="19"/>
      <c r="P162" s="19"/>
      <c r="Q162" s="19">
        <f t="shared" si="21"/>
        <v>196.47</v>
      </c>
    </row>
    <row r="163" spans="2:17" x14ac:dyDescent="0.25">
      <c r="B163" s="32"/>
      <c r="E163" s="32"/>
      <c r="K163" s="18">
        <v>160</v>
      </c>
      <c r="L163" s="19">
        <f t="shared" si="19"/>
        <v>2560</v>
      </c>
      <c r="M163" s="19"/>
      <c r="N163" s="19"/>
      <c r="O163" s="19"/>
      <c r="P163" s="19"/>
      <c r="Q163" s="19">
        <f t="shared" si="21"/>
        <v>196.66</v>
      </c>
    </row>
    <row r="164" spans="2:17" x14ac:dyDescent="0.25">
      <c r="B164" s="32"/>
      <c r="E164" s="32"/>
      <c r="K164" s="18">
        <v>161</v>
      </c>
      <c r="L164" s="19">
        <f t="shared" ref="L164:L195" si="22">K164*16</f>
        <v>2576</v>
      </c>
      <c r="M164" s="19"/>
      <c r="N164" s="19"/>
      <c r="O164" s="19"/>
      <c r="P164" s="19"/>
      <c r="Q164" s="19">
        <f t="shared" si="21"/>
        <v>196.85</v>
      </c>
    </row>
    <row r="165" spans="2:17" x14ac:dyDescent="0.25">
      <c r="B165" s="32"/>
      <c r="E165" s="32"/>
      <c r="K165" s="18">
        <v>162</v>
      </c>
      <c r="L165" s="19">
        <f t="shared" si="22"/>
        <v>2592</v>
      </c>
      <c r="M165" s="19"/>
      <c r="N165" s="19"/>
      <c r="O165" s="19"/>
      <c r="P165" s="19"/>
      <c r="Q165" s="19">
        <f t="shared" si="21"/>
        <v>197.04</v>
      </c>
    </row>
    <row r="166" spans="2:17" x14ac:dyDescent="0.25">
      <c r="B166" s="32"/>
      <c r="E166" s="32"/>
      <c r="K166" s="18">
        <v>163</v>
      </c>
      <c r="L166" s="19">
        <f t="shared" si="22"/>
        <v>2608</v>
      </c>
      <c r="M166" s="19"/>
      <c r="N166" s="19"/>
      <c r="O166" s="19"/>
      <c r="P166" s="19"/>
      <c r="Q166" s="19">
        <f t="shared" si="21"/>
        <v>197.23</v>
      </c>
    </row>
    <row r="167" spans="2:17" x14ac:dyDescent="0.25">
      <c r="B167" s="32"/>
      <c r="E167" s="32"/>
      <c r="K167" s="18">
        <v>164</v>
      </c>
      <c r="L167" s="19">
        <f t="shared" si="22"/>
        <v>2624</v>
      </c>
      <c r="M167" s="19"/>
      <c r="N167" s="19"/>
      <c r="O167" s="19"/>
      <c r="P167" s="19"/>
      <c r="Q167" s="19">
        <f t="shared" si="21"/>
        <v>197.42</v>
      </c>
    </row>
    <row r="168" spans="2:17" x14ac:dyDescent="0.25">
      <c r="B168" s="32"/>
      <c r="E168" s="32"/>
      <c r="K168" s="18">
        <v>165</v>
      </c>
      <c r="L168" s="19">
        <f t="shared" si="22"/>
        <v>2640</v>
      </c>
      <c r="M168" s="19"/>
      <c r="N168" s="19"/>
      <c r="O168" s="19"/>
      <c r="P168" s="19"/>
      <c r="Q168" s="19">
        <f t="shared" si="21"/>
        <v>197.60999999999999</v>
      </c>
    </row>
    <row r="169" spans="2:17" x14ac:dyDescent="0.25">
      <c r="B169" s="32"/>
      <c r="E169" s="32"/>
      <c r="K169" s="18">
        <v>166</v>
      </c>
      <c r="L169" s="19">
        <f t="shared" si="22"/>
        <v>2656</v>
      </c>
      <c r="M169" s="19"/>
      <c r="N169" s="19"/>
      <c r="O169" s="19"/>
      <c r="P169" s="19"/>
      <c r="Q169" s="19">
        <f t="shared" si="21"/>
        <v>197.79999999999998</v>
      </c>
    </row>
    <row r="170" spans="2:17" x14ac:dyDescent="0.25">
      <c r="B170" s="32"/>
      <c r="E170" s="32"/>
      <c r="K170" s="18">
        <v>167</v>
      </c>
      <c r="L170" s="19">
        <f t="shared" si="22"/>
        <v>2672</v>
      </c>
      <c r="M170" s="19"/>
      <c r="N170" s="19"/>
      <c r="O170" s="19"/>
      <c r="P170" s="19"/>
      <c r="Q170" s="19">
        <f t="shared" si="21"/>
        <v>197.98999999999998</v>
      </c>
    </row>
    <row r="171" spans="2:17" x14ac:dyDescent="0.25">
      <c r="B171" s="32"/>
      <c r="E171" s="32"/>
      <c r="K171" s="18">
        <v>168</v>
      </c>
      <c r="L171" s="19">
        <f t="shared" si="22"/>
        <v>2688</v>
      </c>
      <c r="M171" s="19"/>
      <c r="N171" s="19"/>
      <c r="O171" s="19"/>
      <c r="P171" s="19"/>
      <c r="Q171" s="19">
        <f t="shared" si="21"/>
        <v>198.17999999999998</v>
      </c>
    </row>
    <row r="172" spans="2:17" x14ac:dyDescent="0.25">
      <c r="B172" s="32"/>
      <c r="E172" s="32"/>
      <c r="K172" s="18">
        <v>169</v>
      </c>
      <c r="L172" s="19">
        <f t="shared" si="22"/>
        <v>2704</v>
      </c>
      <c r="M172" s="19"/>
      <c r="N172" s="19"/>
      <c r="O172" s="19"/>
      <c r="P172" s="19"/>
      <c r="Q172" s="19">
        <f t="shared" si="21"/>
        <v>198.36999999999998</v>
      </c>
    </row>
    <row r="173" spans="2:17" x14ac:dyDescent="0.25">
      <c r="B173" s="32"/>
      <c r="E173" s="32"/>
      <c r="K173" s="18">
        <v>170</v>
      </c>
      <c r="L173" s="19">
        <f t="shared" si="22"/>
        <v>2720</v>
      </c>
      <c r="M173" s="19"/>
      <c r="N173" s="19"/>
      <c r="O173" s="19"/>
      <c r="P173" s="19"/>
      <c r="Q173" s="19">
        <f t="shared" si="21"/>
        <v>198.56</v>
      </c>
    </row>
    <row r="174" spans="2:17" x14ac:dyDescent="0.25">
      <c r="B174" s="32"/>
      <c r="E174" s="32"/>
      <c r="K174" s="18">
        <v>171</v>
      </c>
      <c r="L174" s="19">
        <f t="shared" si="22"/>
        <v>2736</v>
      </c>
      <c r="M174" s="19"/>
      <c r="N174" s="19"/>
      <c r="O174" s="19"/>
      <c r="P174" s="19"/>
      <c r="Q174" s="19">
        <f t="shared" si="21"/>
        <v>198.75</v>
      </c>
    </row>
    <row r="175" spans="2:17" x14ac:dyDescent="0.25">
      <c r="B175" s="32"/>
      <c r="E175" s="32"/>
      <c r="K175" s="18">
        <v>172</v>
      </c>
      <c r="L175" s="19">
        <f t="shared" si="22"/>
        <v>2752</v>
      </c>
      <c r="M175" s="19"/>
      <c r="N175" s="19"/>
      <c r="O175" s="19"/>
      <c r="P175" s="19"/>
      <c r="Q175" s="19">
        <f t="shared" si="21"/>
        <v>198.94</v>
      </c>
    </row>
    <row r="176" spans="2:17" x14ac:dyDescent="0.25">
      <c r="B176" s="32"/>
      <c r="E176" s="32"/>
      <c r="K176" s="18">
        <v>173</v>
      </c>
      <c r="L176" s="19">
        <f t="shared" si="22"/>
        <v>2768</v>
      </c>
      <c r="M176" s="19"/>
      <c r="N176" s="19"/>
      <c r="O176" s="19"/>
      <c r="P176" s="19"/>
      <c r="Q176" s="19">
        <f t="shared" si="21"/>
        <v>199.13</v>
      </c>
    </row>
    <row r="177" spans="2:17" x14ac:dyDescent="0.25">
      <c r="B177" s="32"/>
      <c r="E177" s="32"/>
      <c r="K177" s="18">
        <v>174</v>
      </c>
      <c r="L177" s="19">
        <f t="shared" si="22"/>
        <v>2784</v>
      </c>
      <c r="M177" s="19"/>
      <c r="N177" s="19"/>
      <c r="O177" s="19"/>
      <c r="P177" s="19"/>
      <c r="Q177" s="19">
        <f t="shared" si="21"/>
        <v>199.32</v>
      </c>
    </row>
    <row r="178" spans="2:17" x14ac:dyDescent="0.25">
      <c r="B178" s="32"/>
      <c r="E178" s="32"/>
      <c r="K178" s="18">
        <v>175</v>
      </c>
      <c r="L178" s="19">
        <f t="shared" si="22"/>
        <v>2800</v>
      </c>
      <c r="M178" s="19"/>
      <c r="N178" s="19"/>
      <c r="O178" s="19"/>
      <c r="P178" s="19"/>
      <c r="Q178" s="19">
        <f t="shared" si="21"/>
        <v>199.51</v>
      </c>
    </row>
    <row r="179" spans="2:17" x14ac:dyDescent="0.25">
      <c r="B179" s="32"/>
      <c r="E179" s="32"/>
      <c r="K179" s="18">
        <v>176</v>
      </c>
      <c r="L179" s="19">
        <f t="shared" si="22"/>
        <v>2816</v>
      </c>
      <c r="M179" s="19"/>
      <c r="N179" s="19"/>
      <c r="O179" s="19"/>
      <c r="P179" s="19"/>
      <c r="Q179" s="19">
        <f t="shared" si="21"/>
        <v>199.7</v>
      </c>
    </row>
    <row r="180" spans="2:17" x14ac:dyDescent="0.25">
      <c r="B180" s="32"/>
      <c r="E180" s="32"/>
      <c r="K180" s="18">
        <v>177</v>
      </c>
      <c r="L180" s="19">
        <f t="shared" si="22"/>
        <v>2832</v>
      </c>
      <c r="M180" s="19"/>
      <c r="N180" s="19"/>
      <c r="O180" s="19"/>
      <c r="P180" s="19"/>
      <c r="Q180" s="19">
        <f t="shared" si="21"/>
        <v>199.89</v>
      </c>
    </row>
    <row r="181" spans="2:17" x14ac:dyDescent="0.25">
      <c r="B181" s="32"/>
      <c r="E181" s="32"/>
      <c r="K181" s="18">
        <v>178</v>
      </c>
      <c r="L181" s="19">
        <f t="shared" si="22"/>
        <v>2848</v>
      </c>
      <c r="M181" s="19"/>
      <c r="N181" s="19"/>
      <c r="O181" s="19"/>
      <c r="P181" s="19"/>
      <c r="Q181" s="19">
        <f t="shared" si="21"/>
        <v>200.07999999999998</v>
      </c>
    </row>
    <row r="182" spans="2:17" x14ac:dyDescent="0.25">
      <c r="B182" s="32"/>
      <c r="E182" s="32"/>
      <c r="K182" s="18">
        <v>179</v>
      </c>
      <c r="L182" s="19">
        <f t="shared" si="22"/>
        <v>2864</v>
      </c>
      <c r="M182" s="19"/>
      <c r="N182" s="19"/>
      <c r="O182" s="19"/>
      <c r="P182" s="19"/>
      <c r="Q182" s="19">
        <f t="shared" si="21"/>
        <v>200.26999999999998</v>
      </c>
    </row>
    <row r="183" spans="2:17" x14ac:dyDescent="0.25">
      <c r="B183" s="32"/>
      <c r="E183" s="32"/>
      <c r="K183" s="18">
        <v>180</v>
      </c>
      <c r="L183" s="19">
        <f t="shared" si="22"/>
        <v>2880</v>
      </c>
      <c r="M183" s="19"/>
      <c r="N183" s="19"/>
      <c r="O183" s="19"/>
      <c r="P183" s="19"/>
      <c r="Q183" s="19">
        <f t="shared" si="21"/>
        <v>200.45999999999998</v>
      </c>
    </row>
    <row r="184" spans="2:17" x14ac:dyDescent="0.25">
      <c r="B184" s="32"/>
      <c r="E184" s="32"/>
      <c r="K184" s="18">
        <v>181</v>
      </c>
      <c r="L184" s="19">
        <f t="shared" si="22"/>
        <v>2896</v>
      </c>
      <c r="M184" s="19"/>
      <c r="N184" s="19"/>
      <c r="O184" s="19"/>
      <c r="P184" s="19"/>
      <c r="Q184" s="19">
        <f t="shared" si="21"/>
        <v>200.64999999999998</v>
      </c>
    </row>
    <row r="185" spans="2:17" x14ac:dyDescent="0.25">
      <c r="B185" s="32"/>
      <c r="E185" s="32"/>
      <c r="K185" s="18">
        <v>182</v>
      </c>
      <c r="L185" s="19">
        <f t="shared" si="22"/>
        <v>2912</v>
      </c>
      <c r="M185" s="19"/>
      <c r="N185" s="19"/>
      <c r="O185" s="19"/>
      <c r="P185" s="19"/>
      <c r="Q185" s="19">
        <f t="shared" si="21"/>
        <v>200.83999999999997</v>
      </c>
    </row>
    <row r="186" spans="2:17" x14ac:dyDescent="0.25">
      <c r="B186" s="32"/>
      <c r="E186" s="32"/>
      <c r="K186" s="18">
        <v>183</v>
      </c>
      <c r="L186" s="19">
        <f t="shared" si="22"/>
        <v>2928</v>
      </c>
      <c r="M186" s="19"/>
      <c r="N186" s="19"/>
      <c r="O186" s="19"/>
      <c r="P186" s="19"/>
      <c r="Q186" s="19">
        <f t="shared" si="21"/>
        <v>201.03</v>
      </c>
    </row>
    <row r="187" spans="2:17" x14ac:dyDescent="0.25">
      <c r="B187" s="32"/>
      <c r="E187" s="32"/>
      <c r="K187" s="18">
        <v>184</v>
      </c>
      <c r="L187" s="19">
        <f t="shared" si="22"/>
        <v>2944</v>
      </c>
      <c r="M187" s="19"/>
      <c r="N187" s="19"/>
      <c r="O187" s="19"/>
      <c r="P187" s="19"/>
      <c r="Q187" s="19">
        <f t="shared" ref="Q187:Q203" si="23">IF(K186&lt;=50,$I$11+(K186*$I$18),IF(K186&lt;=70,$I$12+((K186-50)*$I$19),IF(K186&lt;=150,$I$13+((K186-70)*$I$19),IF(K186&gt;150,$I$14+((K186-150)*$I$20)))))</f>
        <v>201.22</v>
      </c>
    </row>
    <row r="188" spans="2:17" x14ac:dyDescent="0.25">
      <c r="B188" s="32"/>
      <c r="E188" s="32"/>
      <c r="K188" s="18">
        <v>185</v>
      </c>
      <c r="L188" s="19">
        <f t="shared" si="22"/>
        <v>2960</v>
      </c>
      <c r="M188" s="19"/>
      <c r="N188" s="19"/>
      <c r="O188" s="19"/>
      <c r="P188" s="19"/>
      <c r="Q188" s="19">
        <f t="shared" si="23"/>
        <v>201.41</v>
      </c>
    </row>
    <row r="189" spans="2:17" x14ac:dyDescent="0.25">
      <c r="B189" s="32"/>
      <c r="E189" s="32"/>
      <c r="K189" s="18">
        <v>186</v>
      </c>
      <c r="L189" s="19">
        <f t="shared" si="22"/>
        <v>2976</v>
      </c>
      <c r="M189" s="19"/>
      <c r="N189" s="19"/>
      <c r="O189" s="19"/>
      <c r="P189" s="19"/>
      <c r="Q189" s="19">
        <f t="shared" si="23"/>
        <v>201.6</v>
      </c>
    </row>
    <row r="190" spans="2:17" x14ac:dyDescent="0.25">
      <c r="B190" s="32"/>
      <c r="E190" s="32"/>
      <c r="K190" s="18">
        <v>187</v>
      </c>
      <c r="L190" s="19">
        <f t="shared" si="22"/>
        <v>2992</v>
      </c>
      <c r="M190" s="19"/>
      <c r="N190" s="19"/>
      <c r="O190" s="19"/>
      <c r="P190" s="19"/>
      <c r="Q190" s="19">
        <f t="shared" si="23"/>
        <v>201.79</v>
      </c>
    </row>
    <row r="191" spans="2:17" x14ac:dyDescent="0.25">
      <c r="B191" s="32"/>
      <c r="E191" s="32"/>
      <c r="K191" s="18">
        <v>188</v>
      </c>
      <c r="L191" s="19">
        <f t="shared" si="22"/>
        <v>3008</v>
      </c>
      <c r="M191" s="19"/>
      <c r="N191" s="19"/>
      <c r="O191" s="19"/>
      <c r="P191" s="19"/>
      <c r="Q191" s="19">
        <f t="shared" si="23"/>
        <v>201.98</v>
      </c>
    </row>
    <row r="192" spans="2:17" x14ac:dyDescent="0.25">
      <c r="B192" s="32"/>
      <c r="E192" s="32"/>
      <c r="K192" s="18">
        <v>189</v>
      </c>
      <c r="L192" s="19">
        <f t="shared" si="22"/>
        <v>3024</v>
      </c>
      <c r="M192" s="19"/>
      <c r="N192" s="19"/>
      <c r="O192" s="19"/>
      <c r="P192" s="19"/>
      <c r="Q192" s="19">
        <f t="shared" si="23"/>
        <v>202.17</v>
      </c>
    </row>
    <row r="193" spans="2:17" x14ac:dyDescent="0.25">
      <c r="B193" s="32"/>
      <c r="E193" s="32"/>
      <c r="K193" s="18">
        <v>190</v>
      </c>
      <c r="L193" s="19">
        <f t="shared" si="22"/>
        <v>3040</v>
      </c>
      <c r="M193" s="19"/>
      <c r="N193" s="19"/>
      <c r="O193" s="19"/>
      <c r="P193" s="19"/>
      <c r="Q193" s="19">
        <f t="shared" si="23"/>
        <v>202.35999999999999</v>
      </c>
    </row>
    <row r="194" spans="2:17" x14ac:dyDescent="0.25">
      <c r="B194" s="32"/>
      <c r="E194" s="32"/>
      <c r="K194" s="18">
        <v>191</v>
      </c>
      <c r="L194" s="19">
        <f t="shared" si="22"/>
        <v>3056</v>
      </c>
      <c r="M194" s="19"/>
      <c r="N194" s="19"/>
      <c r="O194" s="19"/>
      <c r="P194" s="19"/>
      <c r="Q194" s="19">
        <f t="shared" si="23"/>
        <v>202.54999999999998</v>
      </c>
    </row>
    <row r="195" spans="2:17" x14ac:dyDescent="0.25">
      <c r="B195" s="32"/>
      <c r="E195" s="32"/>
      <c r="K195" s="18">
        <v>192</v>
      </c>
      <c r="L195" s="19">
        <f t="shared" si="22"/>
        <v>3072</v>
      </c>
      <c r="M195" s="19"/>
      <c r="N195" s="19"/>
      <c r="O195" s="19"/>
      <c r="P195" s="19"/>
      <c r="Q195" s="19">
        <f t="shared" si="23"/>
        <v>202.73999999999998</v>
      </c>
    </row>
    <row r="196" spans="2:17" x14ac:dyDescent="0.25">
      <c r="B196" s="32"/>
      <c r="E196" s="32"/>
      <c r="K196" s="18">
        <v>193</v>
      </c>
      <c r="L196" s="19">
        <f t="shared" ref="L196:L203" si="24">K196*16</f>
        <v>3088</v>
      </c>
      <c r="M196" s="19"/>
      <c r="N196" s="19"/>
      <c r="O196" s="19"/>
      <c r="P196" s="19"/>
      <c r="Q196" s="19">
        <f t="shared" si="23"/>
        <v>202.92999999999998</v>
      </c>
    </row>
    <row r="197" spans="2:17" x14ac:dyDescent="0.25">
      <c r="B197" s="32"/>
      <c r="E197" s="32"/>
      <c r="K197" s="18">
        <v>194</v>
      </c>
      <c r="L197" s="19">
        <f t="shared" si="24"/>
        <v>3104</v>
      </c>
      <c r="M197" s="19"/>
      <c r="N197" s="19"/>
      <c r="O197" s="19"/>
      <c r="P197" s="19"/>
      <c r="Q197" s="19">
        <f t="shared" si="23"/>
        <v>203.11999999999998</v>
      </c>
    </row>
    <row r="198" spans="2:17" x14ac:dyDescent="0.25">
      <c r="B198" s="32"/>
      <c r="E198" s="32"/>
      <c r="K198" s="18">
        <v>195</v>
      </c>
      <c r="L198" s="19">
        <f t="shared" si="24"/>
        <v>3120</v>
      </c>
      <c r="M198" s="19"/>
      <c r="N198" s="19"/>
      <c r="O198" s="19"/>
      <c r="P198" s="19"/>
      <c r="Q198" s="19">
        <f t="shared" si="23"/>
        <v>203.31</v>
      </c>
    </row>
    <row r="199" spans="2:17" x14ac:dyDescent="0.25">
      <c r="B199" s="32"/>
      <c r="E199" s="32"/>
      <c r="K199" s="18">
        <v>196</v>
      </c>
      <c r="L199" s="19">
        <f t="shared" si="24"/>
        <v>3136</v>
      </c>
      <c r="M199" s="19"/>
      <c r="N199" s="19"/>
      <c r="O199" s="19"/>
      <c r="P199" s="19"/>
      <c r="Q199" s="19">
        <f t="shared" si="23"/>
        <v>203.5</v>
      </c>
    </row>
    <row r="200" spans="2:17" x14ac:dyDescent="0.25">
      <c r="B200" s="32"/>
      <c r="E200" s="32"/>
      <c r="K200" s="18">
        <v>197</v>
      </c>
      <c r="L200" s="19">
        <f t="shared" si="24"/>
        <v>3152</v>
      </c>
      <c r="M200" s="19"/>
      <c r="N200" s="19"/>
      <c r="O200" s="19"/>
      <c r="P200" s="19"/>
      <c r="Q200" s="19">
        <f t="shared" si="23"/>
        <v>203.69</v>
      </c>
    </row>
    <row r="201" spans="2:17" x14ac:dyDescent="0.25">
      <c r="B201" s="32"/>
      <c r="E201" s="32"/>
      <c r="K201" s="18">
        <v>198</v>
      </c>
      <c r="L201" s="19">
        <f t="shared" si="24"/>
        <v>3168</v>
      </c>
      <c r="M201" s="19"/>
      <c r="N201" s="19"/>
      <c r="O201" s="19"/>
      <c r="P201" s="19"/>
      <c r="Q201" s="19">
        <f t="shared" si="23"/>
        <v>203.88</v>
      </c>
    </row>
    <row r="202" spans="2:17" x14ac:dyDescent="0.25">
      <c r="B202" s="32"/>
      <c r="E202" s="32"/>
      <c r="K202" s="18">
        <v>199</v>
      </c>
      <c r="L202" s="19">
        <f t="shared" si="24"/>
        <v>3184</v>
      </c>
      <c r="M202" s="19"/>
      <c r="N202" s="19"/>
      <c r="O202" s="19"/>
      <c r="P202" s="19"/>
      <c r="Q202" s="19">
        <f t="shared" si="23"/>
        <v>204.07</v>
      </c>
    </row>
    <row r="203" spans="2:17" x14ac:dyDescent="0.25">
      <c r="B203" s="32"/>
      <c r="E203" s="32"/>
      <c r="K203" s="18">
        <v>200</v>
      </c>
      <c r="L203" s="19">
        <f t="shared" si="24"/>
        <v>3200</v>
      </c>
      <c r="M203" s="19"/>
      <c r="N203" s="19"/>
      <c r="O203" s="19"/>
      <c r="P203" s="19"/>
      <c r="Q203" s="19">
        <f t="shared" si="23"/>
        <v>204.26</v>
      </c>
    </row>
    <row r="204" spans="2:17" x14ac:dyDescent="0.25">
      <c r="B204" s="32"/>
      <c r="E204" s="32"/>
      <c r="Q204" s="19"/>
    </row>
    <row r="205" spans="2:17" x14ac:dyDescent="0.25">
      <c r="B205" s="32"/>
      <c r="E205" s="32"/>
    </row>
    <row r="206" spans="2:17" x14ac:dyDescent="0.25">
      <c r="B206" s="32"/>
      <c r="E206" s="32"/>
    </row>
    <row r="207" spans="2:17" x14ac:dyDescent="0.25">
      <c r="B207" s="32"/>
      <c r="E207" s="32"/>
    </row>
    <row r="208" spans="2:17" x14ac:dyDescent="0.25">
      <c r="B208" s="32"/>
      <c r="E208" s="32"/>
    </row>
    <row r="209" spans="2:5" x14ac:dyDescent="0.25">
      <c r="B209" s="32"/>
      <c r="E209" s="32"/>
    </row>
    <row r="210" spans="2:5" x14ac:dyDescent="0.25">
      <c r="B210" s="32"/>
      <c r="E210" s="32"/>
    </row>
    <row r="211" spans="2:5" x14ac:dyDescent="0.25">
      <c r="B211" s="32"/>
      <c r="E211" s="32"/>
    </row>
    <row r="212" spans="2:5" x14ac:dyDescent="0.25">
      <c r="B212" s="32"/>
      <c r="E212" s="32"/>
    </row>
    <row r="213" spans="2:5" x14ac:dyDescent="0.25">
      <c r="B213" s="32"/>
      <c r="E213" s="32"/>
    </row>
    <row r="214" spans="2:5" x14ac:dyDescent="0.25">
      <c r="B214" s="32"/>
      <c r="E214" s="32"/>
    </row>
    <row r="215" spans="2:5" x14ac:dyDescent="0.25">
      <c r="B215" s="32"/>
      <c r="E215" s="32"/>
    </row>
    <row r="216" spans="2:5" x14ac:dyDescent="0.25">
      <c r="B216" s="32"/>
      <c r="E216" s="32"/>
    </row>
    <row r="217" spans="2:5" x14ac:dyDescent="0.25">
      <c r="B217" s="32"/>
      <c r="E217" s="32"/>
    </row>
    <row r="218" spans="2:5" x14ac:dyDescent="0.25">
      <c r="B218" s="32"/>
      <c r="E218" s="32"/>
    </row>
    <row r="219" spans="2:5" x14ac:dyDescent="0.25">
      <c r="B219" s="32"/>
      <c r="E219" s="32"/>
    </row>
    <row r="220" spans="2:5" x14ac:dyDescent="0.25">
      <c r="B220" s="32"/>
      <c r="E220" s="32"/>
    </row>
    <row r="221" spans="2:5" x14ac:dyDescent="0.25">
      <c r="B221" s="32"/>
      <c r="E221" s="32"/>
    </row>
    <row r="222" spans="2:5" x14ac:dyDescent="0.25">
      <c r="B222" s="32"/>
      <c r="E222" s="32"/>
    </row>
    <row r="223" spans="2:5" x14ac:dyDescent="0.25">
      <c r="B223" s="32"/>
      <c r="E223" s="32"/>
    </row>
    <row r="224" spans="2:5" x14ac:dyDescent="0.25">
      <c r="B224" s="32"/>
      <c r="E224" s="32"/>
    </row>
    <row r="225" spans="2:5" x14ac:dyDescent="0.25">
      <c r="B225" s="32"/>
      <c r="E225" s="32"/>
    </row>
    <row r="226" spans="2:5" x14ac:dyDescent="0.25">
      <c r="B226" s="32"/>
      <c r="E226" s="32"/>
    </row>
    <row r="227" spans="2:5" x14ac:dyDescent="0.25">
      <c r="B227" s="32"/>
      <c r="E227" s="32"/>
    </row>
    <row r="228" spans="2:5" x14ac:dyDescent="0.25">
      <c r="B228" s="32"/>
      <c r="E228" s="32"/>
    </row>
    <row r="229" spans="2:5" x14ac:dyDescent="0.25">
      <c r="B229" s="32"/>
      <c r="E229" s="32"/>
    </row>
    <row r="230" spans="2:5" x14ac:dyDescent="0.25">
      <c r="B230" s="32"/>
      <c r="E230" s="32"/>
    </row>
    <row r="231" spans="2:5" x14ac:dyDescent="0.25">
      <c r="B231" s="32"/>
      <c r="E231" s="32"/>
    </row>
    <row r="232" spans="2:5" x14ac:dyDescent="0.25">
      <c r="B232" s="32"/>
      <c r="E232" s="32"/>
    </row>
    <row r="233" spans="2:5" x14ac:dyDescent="0.25">
      <c r="B233" s="32"/>
      <c r="E233" s="32"/>
    </row>
    <row r="234" spans="2:5" x14ac:dyDescent="0.25">
      <c r="B234" s="32"/>
      <c r="E234" s="32"/>
    </row>
    <row r="235" spans="2:5" x14ac:dyDescent="0.25">
      <c r="B235" s="32"/>
      <c r="E235" s="32"/>
    </row>
    <row r="236" spans="2:5" x14ac:dyDescent="0.25">
      <c r="B236" s="32"/>
      <c r="E236" s="32"/>
    </row>
    <row r="237" spans="2:5" x14ac:dyDescent="0.25">
      <c r="B237" s="32"/>
      <c r="E237" s="32"/>
    </row>
    <row r="238" spans="2:5" x14ac:dyDescent="0.25">
      <c r="B238" s="32"/>
      <c r="E238" s="32"/>
    </row>
    <row r="239" spans="2:5" x14ac:dyDescent="0.25">
      <c r="B239" s="32"/>
      <c r="E239" s="32"/>
    </row>
    <row r="240" spans="2:5" x14ac:dyDescent="0.25">
      <c r="B240" s="32"/>
      <c r="E240" s="32"/>
    </row>
    <row r="241" spans="2:5" x14ac:dyDescent="0.25">
      <c r="B241" s="32"/>
      <c r="E241" s="32"/>
    </row>
    <row r="242" spans="2:5" x14ac:dyDescent="0.25">
      <c r="B242" s="32"/>
      <c r="E242" s="32"/>
    </row>
    <row r="243" spans="2:5" x14ac:dyDescent="0.25">
      <c r="B243" s="32"/>
      <c r="E243" s="32"/>
    </row>
    <row r="244" spans="2:5" x14ac:dyDescent="0.25">
      <c r="B244" s="32"/>
      <c r="E244" s="32"/>
    </row>
    <row r="245" spans="2:5" x14ac:dyDescent="0.25">
      <c r="B245" s="32"/>
      <c r="E245" s="32"/>
    </row>
    <row r="246" spans="2:5" x14ac:dyDescent="0.25">
      <c r="B246" s="32"/>
      <c r="E246" s="32"/>
    </row>
    <row r="247" spans="2:5" x14ac:dyDescent="0.25">
      <c r="B247" s="32"/>
      <c r="E247" s="32"/>
    </row>
    <row r="248" spans="2:5" x14ac:dyDescent="0.25">
      <c r="B248" s="32"/>
      <c r="E248" s="32"/>
    </row>
    <row r="249" spans="2:5" x14ac:dyDescent="0.25">
      <c r="B249" s="32"/>
      <c r="E249" s="32"/>
    </row>
    <row r="250" spans="2:5" x14ac:dyDescent="0.25">
      <c r="B250" s="32"/>
      <c r="E250" s="32"/>
    </row>
    <row r="251" spans="2:5" x14ac:dyDescent="0.25">
      <c r="B251" s="32"/>
      <c r="E251" s="32"/>
    </row>
    <row r="252" spans="2:5" x14ac:dyDescent="0.25">
      <c r="B252" s="32"/>
      <c r="E252" s="32"/>
    </row>
    <row r="253" spans="2:5" x14ac:dyDescent="0.25">
      <c r="B253" s="32"/>
      <c r="E253" s="32"/>
    </row>
    <row r="254" spans="2:5" x14ac:dyDescent="0.25">
      <c r="B254" s="32"/>
      <c r="E254" s="32"/>
    </row>
    <row r="255" spans="2:5" x14ac:dyDescent="0.25">
      <c r="B255" s="32"/>
      <c r="E255" s="32"/>
    </row>
    <row r="256" spans="2:5" x14ac:dyDescent="0.25">
      <c r="B256" s="32"/>
      <c r="E256" s="32"/>
    </row>
    <row r="257" spans="2:5" x14ac:dyDescent="0.25">
      <c r="B257" s="32"/>
      <c r="E257" s="32"/>
    </row>
    <row r="258" spans="2:5" x14ac:dyDescent="0.25">
      <c r="B258" s="32"/>
      <c r="E258" s="32"/>
    </row>
    <row r="259" spans="2:5" x14ac:dyDescent="0.25">
      <c r="B259" s="32"/>
      <c r="E259" s="32"/>
    </row>
    <row r="260" spans="2:5" x14ac:dyDescent="0.25">
      <c r="B260" s="32"/>
      <c r="E260" s="32"/>
    </row>
    <row r="261" spans="2:5" x14ac:dyDescent="0.25">
      <c r="B261" s="32"/>
      <c r="E261" s="32"/>
    </row>
    <row r="262" spans="2:5" x14ac:dyDescent="0.25">
      <c r="B262" s="32"/>
      <c r="E262" s="32"/>
    </row>
    <row r="263" spans="2:5" x14ac:dyDescent="0.25">
      <c r="B263" s="32"/>
      <c r="E263" s="32"/>
    </row>
    <row r="264" spans="2:5" x14ac:dyDescent="0.25">
      <c r="B264" s="32"/>
      <c r="E264" s="32"/>
    </row>
    <row r="265" spans="2:5" x14ac:dyDescent="0.25">
      <c r="B265" s="32"/>
      <c r="E265" s="32"/>
    </row>
    <row r="266" spans="2:5" x14ac:dyDescent="0.25">
      <c r="B266" s="32"/>
      <c r="E266" s="32"/>
    </row>
    <row r="267" spans="2:5" x14ac:dyDescent="0.25">
      <c r="B267" s="32"/>
      <c r="E267" s="32"/>
    </row>
    <row r="268" spans="2:5" x14ac:dyDescent="0.25">
      <c r="B268" s="32"/>
      <c r="E268" s="32"/>
    </row>
    <row r="269" spans="2:5" x14ac:dyDescent="0.25">
      <c r="B269" s="32"/>
      <c r="E269" s="32"/>
    </row>
    <row r="270" spans="2:5" x14ac:dyDescent="0.25">
      <c r="B270" s="32"/>
      <c r="E270" s="32"/>
    </row>
    <row r="271" spans="2:5" x14ac:dyDescent="0.25">
      <c r="B271" s="32"/>
      <c r="E271" s="32"/>
    </row>
    <row r="272" spans="2:5" x14ac:dyDescent="0.25">
      <c r="B272" s="32"/>
      <c r="E272" s="32"/>
    </row>
    <row r="273" spans="2:5" x14ac:dyDescent="0.25">
      <c r="B273" s="32"/>
      <c r="E273" s="32"/>
    </row>
    <row r="274" spans="2:5" x14ac:dyDescent="0.25">
      <c r="B274" s="32"/>
      <c r="E274" s="32"/>
    </row>
    <row r="275" spans="2:5" x14ac:dyDescent="0.25">
      <c r="B275" s="32"/>
      <c r="E275" s="32"/>
    </row>
    <row r="276" spans="2:5" x14ac:dyDescent="0.25">
      <c r="B276" s="32"/>
      <c r="E276" s="32"/>
    </row>
    <row r="277" spans="2:5" x14ac:dyDescent="0.25">
      <c r="B277" s="32"/>
      <c r="E277" s="32"/>
    </row>
    <row r="278" spans="2:5" x14ac:dyDescent="0.25">
      <c r="B278" s="32"/>
      <c r="E278" s="32"/>
    </row>
    <row r="279" spans="2:5" x14ac:dyDescent="0.25">
      <c r="B279" s="32"/>
      <c r="E279" s="32"/>
    </row>
    <row r="280" spans="2:5" x14ac:dyDescent="0.25">
      <c r="B280" s="32"/>
      <c r="E280" s="32"/>
    </row>
    <row r="281" spans="2:5" x14ac:dyDescent="0.25">
      <c r="B281" s="32"/>
      <c r="E281" s="32"/>
    </row>
    <row r="282" spans="2:5" x14ac:dyDescent="0.25">
      <c r="B282" s="32"/>
      <c r="E282" s="32"/>
    </row>
    <row r="283" spans="2:5" x14ac:dyDescent="0.25">
      <c r="B283" s="32"/>
      <c r="E283" s="32"/>
    </row>
    <row r="284" spans="2:5" x14ac:dyDescent="0.25">
      <c r="B284" s="32"/>
      <c r="E284" s="32"/>
    </row>
    <row r="285" spans="2:5" x14ac:dyDescent="0.25">
      <c r="B285" s="32"/>
      <c r="E285" s="32"/>
    </row>
    <row r="286" spans="2:5" x14ac:dyDescent="0.25">
      <c r="B286" s="32"/>
      <c r="E286" s="32"/>
    </row>
    <row r="287" spans="2:5" x14ac:dyDescent="0.25">
      <c r="B287" s="32"/>
      <c r="E287" s="32"/>
    </row>
    <row r="288" spans="2:5" x14ac:dyDescent="0.25">
      <c r="B288" s="32"/>
      <c r="E288" s="32"/>
    </row>
    <row r="289" spans="2:5" x14ac:dyDescent="0.25">
      <c r="B289" s="32"/>
      <c r="E289" s="32"/>
    </row>
    <row r="290" spans="2:5" x14ac:dyDescent="0.25">
      <c r="B290" s="32"/>
      <c r="E290" s="32"/>
    </row>
    <row r="291" spans="2:5" x14ac:dyDescent="0.25">
      <c r="B291" s="32"/>
      <c r="E291" s="32"/>
    </row>
    <row r="292" spans="2:5" x14ac:dyDescent="0.25">
      <c r="B292" s="32"/>
      <c r="E292" s="32"/>
    </row>
    <row r="293" spans="2:5" x14ac:dyDescent="0.25">
      <c r="B293" s="32"/>
      <c r="E293" s="32"/>
    </row>
    <row r="294" spans="2:5" x14ac:dyDescent="0.25">
      <c r="B294" s="32"/>
      <c r="E294" s="32"/>
    </row>
    <row r="295" spans="2:5" x14ac:dyDescent="0.25">
      <c r="B295" s="32"/>
      <c r="E295" s="32"/>
    </row>
    <row r="296" spans="2:5" x14ac:dyDescent="0.25">
      <c r="B296" s="32"/>
      <c r="E296" s="32"/>
    </row>
    <row r="297" spans="2:5" x14ac:dyDescent="0.25">
      <c r="B297" s="32"/>
      <c r="E297" s="32"/>
    </row>
    <row r="298" spans="2:5" x14ac:dyDescent="0.25">
      <c r="B298" s="32"/>
      <c r="E298" s="32"/>
    </row>
    <row r="299" spans="2:5" x14ac:dyDescent="0.25">
      <c r="B299" s="32"/>
      <c r="E299" s="32"/>
    </row>
    <row r="300" spans="2:5" x14ac:dyDescent="0.25">
      <c r="B300" s="32"/>
      <c r="E300" s="32"/>
    </row>
    <row r="301" spans="2:5" x14ac:dyDescent="0.25">
      <c r="B301" s="32"/>
      <c r="E301" s="32"/>
    </row>
    <row r="302" spans="2:5" x14ac:dyDescent="0.25">
      <c r="B302" s="32"/>
      <c r="E302" s="32"/>
    </row>
    <row r="303" spans="2:5" x14ac:dyDescent="0.25">
      <c r="B303" s="32"/>
      <c r="E303" s="32"/>
    </row>
    <row r="304" spans="2:5" x14ac:dyDescent="0.25">
      <c r="B304" s="32"/>
      <c r="E304" s="32"/>
    </row>
    <row r="305" spans="2:5" x14ac:dyDescent="0.25">
      <c r="B305" s="32"/>
      <c r="E305" s="32"/>
    </row>
    <row r="306" spans="2:5" x14ac:dyDescent="0.25">
      <c r="B306" s="32"/>
      <c r="E306" s="32"/>
    </row>
    <row r="307" spans="2:5" x14ac:dyDescent="0.25">
      <c r="B307" s="32"/>
      <c r="E307" s="32"/>
    </row>
    <row r="308" spans="2:5" x14ac:dyDescent="0.25">
      <c r="B308" s="32"/>
      <c r="E308" s="32"/>
    </row>
    <row r="309" spans="2:5" x14ac:dyDescent="0.25">
      <c r="B309" s="32"/>
      <c r="E309" s="32"/>
    </row>
    <row r="310" spans="2:5" x14ac:dyDescent="0.25">
      <c r="B310" s="32"/>
      <c r="E310" s="32"/>
    </row>
    <row r="311" spans="2:5" x14ac:dyDescent="0.25">
      <c r="B311" s="32"/>
      <c r="E311" s="32"/>
    </row>
    <row r="312" spans="2:5" x14ac:dyDescent="0.25">
      <c r="B312" s="32"/>
      <c r="E312" s="32"/>
    </row>
    <row r="313" spans="2:5" x14ac:dyDescent="0.25">
      <c r="B313" s="32"/>
      <c r="E313" s="32"/>
    </row>
    <row r="314" spans="2:5" x14ac:dyDescent="0.25">
      <c r="B314" s="32"/>
      <c r="E314" s="32"/>
    </row>
    <row r="315" spans="2:5" x14ac:dyDescent="0.25">
      <c r="B315" s="32"/>
      <c r="E315" s="32"/>
    </row>
    <row r="316" spans="2:5" x14ac:dyDescent="0.25">
      <c r="B316" s="32"/>
      <c r="E316" s="32"/>
    </row>
    <row r="317" spans="2:5" x14ac:dyDescent="0.25">
      <c r="B317" s="32"/>
      <c r="E317" s="32"/>
    </row>
    <row r="318" spans="2:5" x14ac:dyDescent="0.25">
      <c r="B318" s="32"/>
      <c r="E318" s="32"/>
    </row>
    <row r="319" spans="2:5" x14ac:dyDescent="0.25">
      <c r="B319" s="32"/>
      <c r="E319" s="32"/>
    </row>
    <row r="320" spans="2:5" x14ac:dyDescent="0.25">
      <c r="B320" s="32"/>
      <c r="E320" s="32"/>
    </row>
    <row r="321" spans="2:5" x14ac:dyDescent="0.25">
      <c r="B321" s="32"/>
      <c r="E321" s="32"/>
    </row>
    <row r="322" spans="2:5" x14ac:dyDescent="0.25">
      <c r="B322" s="32"/>
      <c r="E322" s="32"/>
    </row>
    <row r="323" spans="2:5" x14ac:dyDescent="0.25">
      <c r="B323" s="32"/>
      <c r="E323" s="32"/>
    </row>
    <row r="324" spans="2:5" x14ac:dyDescent="0.25">
      <c r="B324" s="32"/>
      <c r="E324" s="32"/>
    </row>
    <row r="325" spans="2:5" x14ac:dyDescent="0.25">
      <c r="B325" s="32"/>
      <c r="E325" s="32"/>
    </row>
    <row r="326" spans="2:5" x14ac:dyDescent="0.25">
      <c r="B326" s="32"/>
      <c r="E326" s="32"/>
    </row>
    <row r="327" spans="2:5" x14ac:dyDescent="0.25">
      <c r="B327" s="32"/>
      <c r="E327" s="32"/>
    </row>
  </sheetData>
  <autoFilter ref="A7:F7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7"/>
  <sheetViews>
    <sheetView zoomScale="115" zoomScaleNormal="115" workbookViewId="0">
      <pane ySplit="1" topLeftCell="A2" activePane="bottomLeft" state="frozen"/>
      <selection activeCell="A365" sqref="A365"/>
      <selection pane="bottomLeft"/>
    </sheetView>
  </sheetViews>
  <sheetFormatPr defaultColWidth="20" defaultRowHeight="16.5" customHeight="1" x14ac:dyDescent="0.25"/>
  <cols>
    <col min="1" max="1" width="19.140625" style="1" customWidth="1"/>
    <col min="2" max="2" width="26.140625" style="147" bestFit="1" customWidth="1"/>
    <col min="3" max="3" width="11.85546875" style="147" customWidth="1"/>
    <col min="4" max="4" width="10.42578125" style="1" customWidth="1"/>
    <col min="5" max="5" width="14.7109375" style="154" customWidth="1"/>
    <col min="6" max="6" width="12.7109375" style="154" customWidth="1"/>
    <col min="7" max="7" width="16.85546875" style="154" customWidth="1"/>
    <col min="8" max="8" width="10.7109375" style="154" customWidth="1"/>
    <col min="9" max="13" width="12.7109375" style="154" customWidth="1"/>
    <col min="14" max="14" width="14.28515625" style="1" customWidth="1"/>
    <col min="15" max="16" width="19.7109375" style="149" customWidth="1"/>
    <col min="17" max="44" width="20" style="149" customWidth="1"/>
    <col min="45" max="16384" width="20" style="149"/>
  </cols>
  <sheetData>
    <row r="1" spans="1:16" ht="16.5" customHeight="1" x14ac:dyDescent="0.25">
      <c r="A1" s="125" t="s">
        <v>36</v>
      </c>
      <c r="B1" s="126" t="s">
        <v>37</v>
      </c>
      <c r="C1" s="127" t="s">
        <v>38</v>
      </c>
      <c r="D1" s="128" t="s">
        <v>39</v>
      </c>
      <c r="E1" s="148" t="s">
        <v>40</v>
      </c>
      <c r="F1" s="148" t="s">
        <v>41</v>
      </c>
      <c r="G1" s="148" t="s">
        <v>42</v>
      </c>
      <c r="H1" s="148" t="s">
        <v>43</v>
      </c>
      <c r="I1" s="148" t="s">
        <v>44</v>
      </c>
      <c r="J1" s="148" t="s">
        <v>45</v>
      </c>
      <c r="K1" s="148" t="s">
        <v>46</v>
      </c>
      <c r="L1" s="148" t="s">
        <v>47</v>
      </c>
      <c r="M1" s="148" t="s">
        <v>48</v>
      </c>
      <c r="N1" s="128" t="s">
        <v>49</v>
      </c>
      <c r="O1" s="128" t="s">
        <v>50</v>
      </c>
      <c r="P1" s="128" t="s">
        <v>51</v>
      </c>
    </row>
    <row r="2" spans="1:16" ht="16.5" customHeight="1" x14ac:dyDescent="0.25">
      <c r="A2" s="2" t="s">
        <v>52</v>
      </c>
      <c r="B2" s="8" t="s">
        <v>53</v>
      </c>
      <c r="C2" s="8"/>
      <c r="D2" s="8" t="s">
        <v>54</v>
      </c>
      <c r="E2" s="150" t="s">
        <v>55</v>
      </c>
      <c r="F2" s="151" t="s">
        <v>56</v>
      </c>
      <c r="G2" s="152">
        <v>70</v>
      </c>
      <c r="H2" s="152">
        <v>13</v>
      </c>
      <c r="I2" s="153">
        <v>51.06</v>
      </c>
      <c r="J2" s="145">
        <v>1</v>
      </c>
      <c r="K2" s="153">
        <v>-16.75996666666666</v>
      </c>
      <c r="L2" s="153">
        <v>-52.7</v>
      </c>
      <c r="M2" s="153"/>
      <c r="N2" s="2" t="s">
        <v>57</v>
      </c>
      <c r="O2" s="2"/>
      <c r="P2" s="2" t="s">
        <v>51</v>
      </c>
    </row>
    <row r="3" spans="1:16" ht="16.5" customHeight="1" x14ac:dyDescent="0.25">
      <c r="A3" s="2" t="s">
        <v>58</v>
      </c>
      <c r="B3" s="8" t="s">
        <v>12735</v>
      </c>
      <c r="C3" s="8"/>
      <c r="D3" s="8" t="s">
        <v>54</v>
      </c>
      <c r="E3" s="150" t="s">
        <v>55</v>
      </c>
      <c r="F3" s="151" t="s">
        <v>56</v>
      </c>
      <c r="G3" s="152">
        <v>5</v>
      </c>
      <c r="H3" s="152">
        <v>314</v>
      </c>
      <c r="I3" s="153">
        <v>6.71</v>
      </c>
      <c r="J3" s="145">
        <v>2</v>
      </c>
      <c r="K3" s="153">
        <v>-7.0039999999999996</v>
      </c>
      <c r="L3" s="153">
        <v>-2.4853294611764141</v>
      </c>
      <c r="M3" s="153"/>
      <c r="N3" s="2" t="s">
        <v>57</v>
      </c>
      <c r="O3" s="2"/>
      <c r="P3" s="10"/>
    </row>
    <row r="4" spans="1:16" ht="16.5" customHeight="1" x14ac:dyDescent="0.25">
      <c r="A4" s="2" t="s">
        <v>60</v>
      </c>
      <c r="B4" s="8" t="s">
        <v>12910</v>
      </c>
      <c r="C4" s="8"/>
      <c r="D4" s="8" t="s">
        <v>54</v>
      </c>
      <c r="E4" s="150" t="s">
        <v>55</v>
      </c>
      <c r="F4" s="151" t="s">
        <v>56</v>
      </c>
      <c r="G4" s="152">
        <v>17</v>
      </c>
      <c r="H4" s="152">
        <v>123</v>
      </c>
      <c r="I4" s="153">
        <v>14.51</v>
      </c>
      <c r="J4" s="145">
        <v>3</v>
      </c>
      <c r="K4" s="153">
        <v>-10.486876237088911</v>
      </c>
      <c r="L4" s="153">
        <v>-9.3312076775987798</v>
      </c>
      <c r="M4" s="153"/>
      <c r="N4" s="2" t="s">
        <v>57</v>
      </c>
      <c r="O4" s="2"/>
      <c r="P4" s="2" t="s">
        <v>51</v>
      </c>
    </row>
    <row r="5" spans="1:16" ht="16.5" customHeight="1" x14ac:dyDescent="0.25">
      <c r="A5" s="2" t="s">
        <v>62</v>
      </c>
      <c r="B5" s="8" t="s">
        <v>63</v>
      </c>
      <c r="C5" s="8"/>
      <c r="D5" s="8" t="s">
        <v>54</v>
      </c>
      <c r="E5" s="150" t="s">
        <v>55</v>
      </c>
      <c r="F5" s="151" t="s">
        <v>56</v>
      </c>
      <c r="G5" s="152">
        <v>8</v>
      </c>
      <c r="H5" s="152">
        <v>108</v>
      </c>
      <c r="I5" s="153">
        <v>40.44</v>
      </c>
      <c r="J5" s="145">
        <v>4</v>
      </c>
      <c r="K5" s="153">
        <v>-19.171199999999999</v>
      </c>
      <c r="L5" s="153">
        <v>-31.54</v>
      </c>
      <c r="M5" s="153"/>
      <c r="N5" s="2" t="s">
        <v>57</v>
      </c>
      <c r="O5" s="2"/>
      <c r="P5" s="10"/>
    </row>
    <row r="6" spans="1:16" ht="16.5" customHeight="1" x14ac:dyDescent="0.25">
      <c r="A6" s="2" t="s">
        <v>64</v>
      </c>
      <c r="B6" s="8" t="s">
        <v>65</v>
      </c>
      <c r="C6" s="8"/>
      <c r="D6" s="8" t="s">
        <v>54</v>
      </c>
      <c r="E6" s="150" t="s">
        <v>55</v>
      </c>
      <c r="F6" s="151" t="s">
        <v>56</v>
      </c>
      <c r="G6" s="152">
        <v>14</v>
      </c>
      <c r="H6" s="152">
        <v>76</v>
      </c>
      <c r="I6" s="153">
        <v>49.59</v>
      </c>
      <c r="J6" s="145">
        <v>5</v>
      </c>
      <c r="K6" s="153">
        <v>-21.69017083696415</v>
      </c>
      <c r="L6" s="153">
        <v>-38.3005550536597</v>
      </c>
      <c r="M6" s="153"/>
      <c r="N6" s="2" t="s">
        <v>57</v>
      </c>
      <c r="O6" s="2"/>
      <c r="P6" s="2" t="s">
        <v>51</v>
      </c>
    </row>
    <row r="7" spans="1:16" ht="16.5" customHeight="1" x14ac:dyDescent="0.25">
      <c r="A7" s="2" t="s">
        <v>66</v>
      </c>
      <c r="B7" s="8" t="s">
        <v>12759</v>
      </c>
      <c r="C7" s="8"/>
      <c r="D7" s="8" t="s">
        <v>54</v>
      </c>
      <c r="E7" s="150" t="s">
        <v>55</v>
      </c>
      <c r="F7" s="151" t="s">
        <v>56</v>
      </c>
      <c r="G7" s="152">
        <v>13</v>
      </c>
      <c r="H7" s="152">
        <v>119</v>
      </c>
      <c r="I7" s="153">
        <v>4.2699999999999996</v>
      </c>
      <c r="J7" s="145">
        <v>6</v>
      </c>
      <c r="K7" s="153">
        <v>-1.54</v>
      </c>
      <c r="L7" s="153">
        <v>-3.57</v>
      </c>
      <c r="M7" s="153"/>
      <c r="N7" s="2" t="s">
        <v>57</v>
      </c>
      <c r="O7" s="2"/>
      <c r="P7" s="10"/>
    </row>
    <row r="8" spans="1:16" ht="16.5" customHeight="1" x14ac:dyDescent="0.25">
      <c r="A8" s="2" t="s">
        <v>68</v>
      </c>
      <c r="B8" s="8" t="s">
        <v>69</v>
      </c>
      <c r="C8" s="8"/>
      <c r="D8" s="8" t="s">
        <v>54</v>
      </c>
      <c r="E8" s="150" t="s">
        <v>55</v>
      </c>
      <c r="F8" s="151" t="s">
        <v>56</v>
      </c>
      <c r="G8" s="152">
        <v>8</v>
      </c>
      <c r="H8" s="152">
        <v>232</v>
      </c>
      <c r="I8" s="153">
        <v>9.42</v>
      </c>
      <c r="J8" s="145">
        <v>7</v>
      </c>
      <c r="K8" s="153">
        <v>-8.4795736559537467</v>
      </c>
      <c r="L8" s="153">
        <v>-8.2773910436582749</v>
      </c>
      <c r="M8" s="153"/>
      <c r="N8" s="2" t="s">
        <v>57</v>
      </c>
      <c r="O8" s="2"/>
      <c r="P8" s="10"/>
    </row>
    <row r="9" spans="1:16" ht="16.5" customHeight="1" x14ac:dyDescent="0.25">
      <c r="A9" s="2" t="s">
        <v>70</v>
      </c>
      <c r="B9" s="8" t="s">
        <v>12909</v>
      </c>
      <c r="C9" s="8"/>
      <c r="D9" s="8" t="s">
        <v>54</v>
      </c>
      <c r="E9" s="150" t="s">
        <v>55</v>
      </c>
      <c r="F9" s="151" t="s">
        <v>56</v>
      </c>
      <c r="G9" s="152">
        <v>7</v>
      </c>
      <c r="H9" s="152">
        <v>236</v>
      </c>
      <c r="I9" s="153">
        <v>14.72</v>
      </c>
      <c r="J9" s="145">
        <v>8</v>
      </c>
      <c r="K9" s="153">
        <v>-15.036052882857859</v>
      </c>
      <c r="L9" s="153">
        <v>-12.200814430622801</v>
      </c>
      <c r="M9" s="153"/>
      <c r="N9" s="2" t="s">
        <v>57</v>
      </c>
      <c r="O9" s="2"/>
      <c r="P9" s="10"/>
    </row>
    <row r="10" spans="1:16" ht="16.5" customHeight="1" x14ac:dyDescent="0.25">
      <c r="A10" s="2" t="s">
        <v>72</v>
      </c>
      <c r="B10" s="8" t="s">
        <v>73</v>
      </c>
      <c r="C10" s="8"/>
      <c r="D10" s="8" t="s">
        <v>54</v>
      </c>
      <c r="E10" s="150" t="s">
        <v>55</v>
      </c>
      <c r="F10" s="151" t="s">
        <v>56</v>
      </c>
      <c r="G10" s="152">
        <v>22</v>
      </c>
      <c r="H10" s="152">
        <v>103</v>
      </c>
      <c r="I10" s="153">
        <v>26.98</v>
      </c>
      <c r="J10" s="145">
        <v>9</v>
      </c>
      <c r="K10" s="153">
        <v>-15.760168051416549</v>
      </c>
      <c r="L10" s="153">
        <v>-7.5770381149901249</v>
      </c>
      <c r="M10" s="153"/>
      <c r="N10" s="2" t="s">
        <v>57</v>
      </c>
      <c r="O10" s="2"/>
      <c r="P10" s="2" t="s">
        <v>51</v>
      </c>
    </row>
    <row r="11" spans="1:16" ht="16.5" customHeight="1" x14ac:dyDescent="0.25">
      <c r="A11" s="2" t="s">
        <v>74</v>
      </c>
      <c r="B11" s="8" t="s">
        <v>13282</v>
      </c>
      <c r="C11" s="8"/>
      <c r="D11" s="8" t="s">
        <v>54</v>
      </c>
      <c r="E11" s="150" t="s">
        <v>55</v>
      </c>
      <c r="F11" s="151" t="s">
        <v>56</v>
      </c>
      <c r="G11" s="152">
        <v>40</v>
      </c>
      <c r="H11" s="152">
        <v>131</v>
      </c>
      <c r="I11" s="153">
        <v>3.99</v>
      </c>
      <c r="J11" s="145">
        <v>10</v>
      </c>
      <c r="K11" s="153">
        <v>-6.0278533848398412</v>
      </c>
      <c r="L11" s="153">
        <v>-2.8322583803313202</v>
      </c>
      <c r="M11" s="153"/>
      <c r="N11" s="2" t="s">
        <v>57</v>
      </c>
      <c r="O11" s="2"/>
      <c r="P11" s="2" t="s">
        <v>51</v>
      </c>
    </row>
    <row r="12" spans="1:16" ht="16.5" customHeight="1" x14ac:dyDescent="0.25">
      <c r="A12" s="2" t="s">
        <v>76</v>
      </c>
      <c r="B12" s="8" t="s">
        <v>77</v>
      </c>
      <c r="C12" s="8"/>
      <c r="D12" s="8" t="s">
        <v>54</v>
      </c>
      <c r="E12" s="150" t="s">
        <v>55</v>
      </c>
      <c r="F12" s="151" t="s">
        <v>56</v>
      </c>
      <c r="G12" s="152">
        <v>44</v>
      </c>
      <c r="H12" s="152">
        <v>57</v>
      </c>
      <c r="I12" s="153">
        <v>26.17</v>
      </c>
      <c r="J12" s="145">
        <v>11</v>
      </c>
      <c r="K12" s="153">
        <v>-14.8221875</v>
      </c>
      <c r="L12" s="153">
        <v>-29.8</v>
      </c>
      <c r="M12" s="153"/>
      <c r="N12" s="2" t="s">
        <v>57</v>
      </c>
      <c r="O12" s="2"/>
      <c r="P12" s="2" t="s">
        <v>51</v>
      </c>
    </row>
    <row r="13" spans="1:16" ht="16.5" customHeight="1" x14ac:dyDescent="0.25">
      <c r="A13" s="2" t="s">
        <v>78</v>
      </c>
      <c r="B13" s="8" t="s">
        <v>12907</v>
      </c>
      <c r="C13" s="8"/>
      <c r="D13" s="8" t="s">
        <v>54</v>
      </c>
      <c r="E13" s="150" t="s">
        <v>55</v>
      </c>
      <c r="F13" s="151" t="s">
        <v>56</v>
      </c>
      <c r="G13" s="152">
        <v>13</v>
      </c>
      <c r="H13" s="152">
        <v>157</v>
      </c>
      <c r="I13" s="153">
        <v>18.93</v>
      </c>
      <c r="J13" s="145">
        <v>12</v>
      </c>
      <c r="K13" s="153">
        <v>-15.404283767553631</v>
      </c>
      <c r="L13" s="153">
        <v>-12.39</v>
      </c>
      <c r="M13" s="153"/>
      <c r="N13" s="2" t="s">
        <v>57</v>
      </c>
      <c r="O13" s="2"/>
      <c r="P13" s="2" t="s">
        <v>51</v>
      </c>
    </row>
    <row r="14" spans="1:16" ht="16.5" customHeight="1" x14ac:dyDescent="0.25">
      <c r="A14" s="2" t="s">
        <v>80</v>
      </c>
      <c r="B14" s="8" t="s">
        <v>13781</v>
      </c>
      <c r="C14" s="8"/>
      <c r="D14" s="8" t="s">
        <v>82</v>
      </c>
      <c r="E14" s="150" t="s">
        <v>83</v>
      </c>
      <c r="F14" s="151" t="s">
        <v>56</v>
      </c>
      <c r="G14" s="152">
        <v>6</v>
      </c>
      <c r="H14" s="152">
        <v>213</v>
      </c>
      <c r="I14" s="153">
        <v>19.8</v>
      </c>
      <c r="J14" s="145">
        <v>13</v>
      </c>
      <c r="K14" s="153">
        <v>-6.2999777777777783</v>
      </c>
      <c r="L14" s="153">
        <v>-1.9356283825646921</v>
      </c>
      <c r="M14" s="153"/>
      <c r="N14" s="2" t="s">
        <v>57</v>
      </c>
      <c r="O14" s="2"/>
      <c r="P14" s="2" t="s">
        <v>51</v>
      </c>
    </row>
    <row r="15" spans="1:16" ht="16.5" customHeight="1" x14ac:dyDescent="0.25">
      <c r="A15" s="2" t="s">
        <v>84</v>
      </c>
      <c r="B15" s="8" t="s">
        <v>12774</v>
      </c>
      <c r="C15" s="8"/>
      <c r="D15" s="8" t="s">
        <v>82</v>
      </c>
      <c r="E15" s="150" t="s">
        <v>83</v>
      </c>
      <c r="F15" s="151" t="s">
        <v>56</v>
      </c>
      <c r="G15" s="152">
        <v>3</v>
      </c>
      <c r="H15" s="152">
        <v>251</v>
      </c>
      <c r="I15" s="153">
        <v>37.68</v>
      </c>
      <c r="J15" s="145">
        <v>14</v>
      </c>
      <c r="K15" s="153">
        <v>-2.9065608345704361</v>
      </c>
      <c r="L15" s="153" t="s">
        <v>86</v>
      </c>
      <c r="M15" s="153"/>
      <c r="N15" s="2" t="s">
        <v>57</v>
      </c>
      <c r="O15" s="2"/>
      <c r="P15" s="10"/>
    </row>
    <row r="16" spans="1:16" ht="16.5" customHeight="1" x14ac:dyDescent="0.25">
      <c r="A16" s="2" t="s">
        <v>87</v>
      </c>
      <c r="B16" s="8" t="s">
        <v>13782</v>
      </c>
      <c r="C16" s="8"/>
      <c r="D16" s="8" t="s">
        <v>82</v>
      </c>
      <c r="E16" s="150" t="s">
        <v>83</v>
      </c>
      <c r="F16" s="151" t="s">
        <v>56</v>
      </c>
      <c r="G16" s="152">
        <v>3</v>
      </c>
      <c r="H16" s="152">
        <v>248</v>
      </c>
      <c r="I16" s="153">
        <v>51.7</v>
      </c>
      <c r="J16" s="145">
        <v>15</v>
      </c>
      <c r="K16" s="153">
        <v>-7.7450000000000001</v>
      </c>
      <c r="L16" s="153">
        <v>-3.8545329359040239</v>
      </c>
      <c r="M16" s="153"/>
      <c r="N16" s="2" t="s">
        <v>57</v>
      </c>
      <c r="O16" s="2"/>
      <c r="P16" s="2" t="s">
        <v>51</v>
      </c>
    </row>
    <row r="17" spans="1:16" ht="16.5" customHeight="1" x14ac:dyDescent="0.25">
      <c r="A17" s="2" t="s">
        <v>89</v>
      </c>
      <c r="B17" s="8" t="s">
        <v>13783</v>
      </c>
      <c r="C17" s="8"/>
      <c r="D17" s="8" t="s">
        <v>91</v>
      </c>
      <c r="E17" s="150" t="s">
        <v>92</v>
      </c>
      <c r="F17" s="151" t="s">
        <v>56</v>
      </c>
      <c r="G17" s="152">
        <v>42</v>
      </c>
      <c r="H17" s="152">
        <v>129</v>
      </c>
      <c r="I17" s="153">
        <v>6.07</v>
      </c>
      <c r="J17" s="145">
        <v>16</v>
      </c>
      <c r="K17" s="153">
        <v>-1.4121590909090911</v>
      </c>
      <c r="L17" s="153">
        <v>-0.8</v>
      </c>
      <c r="M17" s="153"/>
      <c r="N17" s="2" t="s">
        <v>57</v>
      </c>
      <c r="O17" s="2"/>
      <c r="P17" s="2" t="s">
        <v>51</v>
      </c>
    </row>
    <row r="18" spans="1:16" ht="16.5" customHeight="1" x14ac:dyDescent="0.25">
      <c r="A18" s="2" t="s">
        <v>93</v>
      </c>
      <c r="B18" s="8" t="s">
        <v>94</v>
      </c>
      <c r="C18" s="8"/>
      <c r="D18" s="8" t="s">
        <v>91</v>
      </c>
      <c r="E18" s="150" t="s">
        <v>92</v>
      </c>
      <c r="F18" s="151" t="s">
        <v>56</v>
      </c>
      <c r="G18" s="152">
        <v>13</v>
      </c>
      <c r="H18" s="152">
        <v>120</v>
      </c>
      <c r="I18" s="153">
        <v>17.170000000000002</v>
      </c>
      <c r="J18" s="145">
        <v>17</v>
      </c>
      <c r="K18" s="153">
        <v>-5.2866666666666662</v>
      </c>
      <c r="L18" s="153" t="s">
        <v>86</v>
      </c>
      <c r="M18" s="153"/>
      <c r="N18" s="2" t="s">
        <v>57</v>
      </c>
      <c r="O18" s="2"/>
      <c r="P18" s="10"/>
    </row>
    <row r="19" spans="1:16" ht="16.5" customHeight="1" x14ac:dyDescent="0.25">
      <c r="A19" s="2" t="s">
        <v>95</v>
      </c>
      <c r="B19" s="8" t="s">
        <v>96</v>
      </c>
      <c r="C19" s="8"/>
      <c r="D19" s="8" t="s">
        <v>91</v>
      </c>
      <c r="E19" s="150" t="s">
        <v>92</v>
      </c>
      <c r="F19" s="151" t="s">
        <v>56</v>
      </c>
      <c r="G19" s="152">
        <v>9</v>
      </c>
      <c r="H19" s="152">
        <v>220</v>
      </c>
      <c r="I19" s="153">
        <v>11.91</v>
      </c>
      <c r="J19" s="145">
        <v>18</v>
      </c>
      <c r="K19" s="153" t="s">
        <v>86</v>
      </c>
      <c r="L19" s="153" t="s">
        <v>86</v>
      </c>
      <c r="M19" s="153"/>
      <c r="N19" s="2" t="s">
        <v>57</v>
      </c>
      <c r="O19" s="2"/>
      <c r="P19" s="10"/>
    </row>
    <row r="20" spans="1:16" ht="16.5" customHeight="1" x14ac:dyDescent="0.25">
      <c r="A20" s="2" t="s">
        <v>97</v>
      </c>
      <c r="B20" s="8" t="s">
        <v>98</v>
      </c>
      <c r="C20" s="8"/>
      <c r="D20" s="8" t="s">
        <v>91</v>
      </c>
      <c r="E20" s="150" t="s">
        <v>92</v>
      </c>
      <c r="F20" s="151" t="s">
        <v>56</v>
      </c>
      <c r="G20" s="152">
        <v>24</v>
      </c>
      <c r="H20" s="152">
        <v>49</v>
      </c>
      <c r="I20" s="153">
        <v>60.85</v>
      </c>
      <c r="J20" s="145">
        <v>19</v>
      </c>
      <c r="K20" s="153">
        <v>-11.560108855420401</v>
      </c>
      <c r="L20" s="153">
        <v>-2.27</v>
      </c>
      <c r="M20" s="153"/>
      <c r="N20" s="2" t="s">
        <v>57</v>
      </c>
      <c r="O20" s="2"/>
      <c r="P20" s="2" t="s">
        <v>51</v>
      </c>
    </row>
    <row r="21" spans="1:16" ht="16.5" customHeight="1" x14ac:dyDescent="0.25">
      <c r="A21" s="2" t="s">
        <v>99</v>
      </c>
      <c r="B21" s="8" t="s">
        <v>100</v>
      </c>
      <c r="C21" s="8" t="s">
        <v>101</v>
      </c>
      <c r="D21" s="8" t="s">
        <v>91</v>
      </c>
      <c r="E21" s="150" t="s">
        <v>511</v>
      </c>
      <c r="F21" s="151" t="s">
        <v>103</v>
      </c>
      <c r="G21" s="152">
        <v>6</v>
      </c>
      <c r="H21" s="152">
        <v>134</v>
      </c>
      <c r="I21" s="153">
        <v>29.72</v>
      </c>
      <c r="J21" s="145">
        <v>20</v>
      </c>
      <c r="K21" s="153">
        <v>-12.96875</v>
      </c>
      <c r="L21" s="153" t="s">
        <v>86</v>
      </c>
      <c r="M21" s="153"/>
      <c r="N21" s="2" t="s">
        <v>57</v>
      </c>
      <c r="O21" s="2"/>
      <c r="P21" s="10"/>
    </row>
    <row r="22" spans="1:16" ht="16.5" customHeight="1" x14ac:dyDescent="0.25">
      <c r="A22" s="2" t="s">
        <v>104</v>
      </c>
      <c r="B22" s="8" t="s">
        <v>13223</v>
      </c>
      <c r="C22" s="8"/>
      <c r="D22" s="8" t="s">
        <v>106</v>
      </c>
      <c r="E22" s="150" t="s">
        <v>13771</v>
      </c>
      <c r="F22" s="151" t="s">
        <v>56</v>
      </c>
      <c r="G22" s="152">
        <v>12</v>
      </c>
      <c r="H22" s="152">
        <v>178</v>
      </c>
      <c r="I22" s="153">
        <v>10.52</v>
      </c>
      <c r="J22" s="145">
        <v>21</v>
      </c>
      <c r="K22" s="153">
        <v>-0.57250000000000001</v>
      </c>
      <c r="L22" s="153">
        <v>-0.38</v>
      </c>
      <c r="M22" s="153"/>
      <c r="N22" s="2" t="s">
        <v>57</v>
      </c>
      <c r="O22" s="2"/>
      <c r="P22" s="10"/>
    </row>
    <row r="23" spans="1:16" ht="16.5" customHeight="1" x14ac:dyDescent="0.25">
      <c r="A23" s="2" t="s">
        <v>108</v>
      </c>
      <c r="B23" s="8" t="s">
        <v>109</v>
      </c>
      <c r="C23" s="8"/>
      <c r="D23" s="8" t="s">
        <v>110</v>
      </c>
      <c r="E23" s="150" t="s">
        <v>83</v>
      </c>
      <c r="F23" s="151" t="s">
        <v>56</v>
      </c>
      <c r="G23" s="152">
        <v>49</v>
      </c>
      <c r="H23" s="152">
        <v>158</v>
      </c>
      <c r="I23" s="153">
        <v>3.03</v>
      </c>
      <c r="J23" s="145">
        <v>22</v>
      </c>
      <c r="K23" s="153">
        <v>-0.68279166666666669</v>
      </c>
      <c r="L23" s="153">
        <v>-0.42867746476893992</v>
      </c>
      <c r="M23" s="153"/>
      <c r="N23" s="2" t="s">
        <v>57</v>
      </c>
      <c r="O23" s="2"/>
      <c r="P23" s="2" t="s">
        <v>51</v>
      </c>
    </row>
    <row r="24" spans="1:16" ht="16.5" customHeight="1" x14ac:dyDescent="0.25">
      <c r="A24" s="2" t="s">
        <v>111</v>
      </c>
      <c r="B24" s="8" t="s">
        <v>112</v>
      </c>
      <c r="C24" s="8"/>
      <c r="D24" s="8" t="s">
        <v>110</v>
      </c>
      <c r="E24" s="150" t="s">
        <v>83</v>
      </c>
      <c r="F24" s="151" t="s">
        <v>56</v>
      </c>
      <c r="G24" s="152">
        <v>8</v>
      </c>
      <c r="H24" s="152">
        <v>468</v>
      </c>
      <c r="I24" s="153">
        <v>3.03</v>
      </c>
      <c r="J24" s="145">
        <v>23</v>
      </c>
      <c r="K24" s="153">
        <v>-0.47813953488372091</v>
      </c>
      <c r="L24" s="153" t="s">
        <v>86</v>
      </c>
      <c r="M24" s="153"/>
      <c r="N24" s="2" t="s">
        <v>57</v>
      </c>
      <c r="O24" s="2"/>
      <c r="P24" s="10"/>
    </row>
    <row r="25" spans="1:16" ht="16.5" customHeight="1" x14ac:dyDescent="0.25">
      <c r="A25" s="2" t="s">
        <v>113</v>
      </c>
      <c r="B25" s="8" t="s">
        <v>13784</v>
      </c>
      <c r="C25" s="8"/>
      <c r="D25" s="8" t="s">
        <v>110</v>
      </c>
      <c r="E25" s="150" t="s">
        <v>83</v>
      </c>
      <c r="F25" s="151" t="s">
        <v>56</v>
      </c>
      <c r="G25" s="152">
        <v>80</v>
      </c>
      <c r="H25" s="152">
        <v>78</v>
      </c>
      <c r="I25" s="153">
        <v>3.03</v>
      </c>
      <c r="J25" s="145">
        <v>24</v>
      </c>
      <c r="K25" s="153">
        <v>-0.56966666666666665</v>
      </c>
      <c r="L25" s="153">
        <v>-0.12</v>
      </c>
      <c r="M25" s="153"/>
      <c r="N25" s="2" t="s">
        <v>57</v>
      </c>
      <c r="O25" s="2"/>
      <c r="P25" s="10"/>
    </row>
    <row r="26" spans="1:16" ht="16.5" customHeight="1" x14ac:dyDescent="0.25">
      <c r="A26" s="2" t="s">
        <v>115</v>
      </c>
      <c r="B26" s="8" t="s">
        <v>12758</v>
      </c>
      <c r="C26" s="8"/>
      <c r="D26" s="8" t="s">
        <v>110</v>
      </c>
      <c r="E26" s="150" t="s">
        <v>83</v>
      </c>
      <c r="F26" s="151" t="s">
        <v>56</v>
      </c>
      <c r="G26" s="152">
        <v>89</v>
      </c>
      <c r="H26" s="152">
        <v>56</v>
      </c>
      <c r="I26" s="153">
        <v>8.8000000000000007</v>
      </c>
      <c r="J26" s="145">
        <v>25</v>
      </c>
      <c r="K26" s="153">
        <v>-1.384545454545455</v>
      </c>
      <c r="L26" s="153">
        <v>-1.4809243030027459</v>
      </c>
      <c r="M26" s="153"/>
      <c r="N26" s="2" t="s">
        <v>57</v>
      </c>
      <c r="O26" s="2"/>
      <c r="P26" s="2" t="s">
        <v>51</v>
      </c>
    </row>
    <row r="27" spans="1:16" ht="16.5" customHeight="1" x14ac:dyDescent="0.25">
      <c r="A27" s="2" t="s">
        <v>117</v>
      </c>
      <c r="B27" s="8" t="s">
        <v>13785</v>
      </c>
      <c r="C27" s="8" t="s">
        <v>119</v>
      </c>
      <c r="D27" s="8" t="s">
        <v>120</v>
      </c>
      <c r="E27" s="150" t="s">
        <v>13771</v>
      </c>
      <c r="F27" s="151" t="s">
        <v>56</v>
      </c>
      <c r="G27" s="152">
        <v>0</v>
      </c>
      <c r="H27" s="152"/>
      <c r="I27" s="153">
        <v>22</v>
      </c>
      <c r="J27" s="145">
        <v>26</v>
      </c>
      <c r="K27" s="153">
        <v>-3.772222222222223</v>
      </c>
      <c r="L27" s="153" t="s">
        <v>86</v>
      </c>
      <c r="M27" s="153"/>
      <c r="N27" s="2" t="s">
        <v>57</v>
      </c>
      <c r="O27" s="2"/>
      <c r="P27" s="10"/>
    </row>
    <row r="28" spans="1:16" ht="16.5" customHeight="1" x14ac:dyDescent="0.25">
      <c r="A28" s="2" t="s">
        <v>121</v>
      </c>
      <c r="B28" s="8" t="s">
        <v>122</v>
      </c>
      <c r="C28" s="8"/>
      <c r="D28" s="8" t="s">
        <v>123</v>
      </c>
      <c r="E28" s="150" t="s">
        <v>92</v>
      </c>
      <c r="F28" s="151" t="s">
        <v>56</v>
      </c>
      <c r="G28" s="152">
        <v>54</v>
      </c>
      <c r="H28" s="152">
        <v>8</v>
      </c>
      <c r="I28" s="153">
        <v>39.15</v>
      </c>
      <c r="J28" s="145">
        <v>27</v>
      </c>
      <c r="K28" s="153">
        <v>-6.877163165266106</v>
      </c>
      <c r="L28" s="153">
        <v>-5.47836430765377</v>
      </c>
      <c r="M28" s="153">
        <v>-4</v>
      </c>
      <c r="N28" s="2" t="s">
        <v>57</v>
      </c>
      <c r="O28" s="2"/>
      <c r="P28" s="2" t="s">
        <v>51</v>
      </c>
    </row>
    <row r="29" spans="1:16" ht="16.5" customHeight="1" x14ac:dyDescent="0.25">
      <c r="A29" s="2" t="s">
        <v>124</v>
      </c>
      <c r="B29" s="8" t="s">
        <v>125</v>
      </c>
      <c r="C29" s="8"/>
      <c r="D29" s="8" t="s">
        <v>123</v>
      </c>
      <c r="E29" s="150" t="s">
        <v>92</v>
      </c>
      <c r="F29" s="151" t="s">
        <v>56</v>
      </c>
      <c r="G29" s="152">
        <v>9</v>
      </c>
      <c r="H29" s="152">
        <v>69</v>
      </c>
      <c r="I29" s="153">
        <v>30.4</v>
      </c>
      <c r="J29" s="145">
        <v>28</v>
      </c>
      <c r="K29" s="153">
        <v>-4.21</v>
      </c>
      <c r="L29" s="153">
        <v>-16.65155102996415</v>
      </c>
      <c r="M29" s="153"/>
      <c r="N29" s="2" t="s">
        <v>57</v>
      </c>
      <c r="O29" s="2"/>
      <c r="P29" s="10"/>
    </row>
    <row r="30" spans="1:16" ht="16.5" customHeight="1" x14ac:dyDescent="0.25">
      <c r="A30" s="2" t="s">
        <v>126</v>
      </c>
      <c r="B30" s="8" t="s">
        <v>127</v>
      </c>
      <c r="C30" s="8"/>
      <c r="D30" s="8" t="s">
        <v>123</v>
      </c>
      <c r="E30" s="150" t="s">
        <v>92</v>
      </c>
      <c r="F30" s="151" t="s">
        <v>56</v>
      </c>
      <c r="G30" s="152">
        <v>12</v>
      </c>
      <c r="H30" s="152">
        <v>67</v>
      </c>
      <c r="I30" s="153">
        <v>33.86</v>
      </c>
      <c r="J30" s="145">
        <v>29</v>
      </c>
      <c r="K30" s="153">
        <v>-7.824287433742569</v>
      </c>
      <c r="L30" s="153">
        <v>-20.125093793439099</v>
      </c>
      <c r="M30" s="153"/>
      <c r="N30" s="2" t="s">
        <v>57</v>
      </c>
      <c r="O30" s="2"/>
      <c r="P30" s="2" t="s">
        <v>51</v>
      </c>
    </row>
    <row r="31" spans="1:16" ht="16.5" customHeight="1" x14ac:dyDescent="0.25">
      <c r="A31" s="2" t="s">
        <v>128</v>
      </c>
      <c r="B31" s="8" t="s">
        <v>129</v>
      </c>
      <c r="C31" s="8"/>
      <c r="D31" s="8" t="s">
        <v>123</v>
      </c>
      <c r="E31" s="150" t="s">
        <v>92</v>
      </c>
      <c r="F31" s="151" t="s">
        <v>56</v>
      </c>
      <c r="G31" s="152">
        <v>7</v>
      </c>
      <c r="H31" s="152">
        <v>104</v>
      </c>
      <c r="I31" s="153">
        <v>46.04</v>
      </c>
      <c r="J31" s="145">
        <v>30</v>
      </c>
      <c r="K31" s="153">
        <v>-10.63516666666667</v>
      </c>
      <c r="L31" s="153">
        <v>-43.190765082099148</v>
      </c>
      <c r="M31" s="153"/>
      <c r="N31" s="2" t="s">
        <v>57</v>
      </c>
      <c r="O31" s="2"/>
      <c r="P31" s="10"/>
    </row>
    <row r="32" spans="1:16" ht="16.5" customHeight="1" x14ac:dyDescent="0.25">
      <c r="A32" s="2" t="s">
        <v>130</v>
      </c>
      <c r="B32" s="8" t="s">
        <v>131</v>
      </c>
      <c r="C32" s="8"/>
      <c r="D32" s="8" t="s">
        <v>132</v>
      </c>
      <c r="E32" s="150" t="s">
        <v>55</v>
      </c>
      <c r="F32" s="151" t="s">
        <v>56</v>
      </c>
      <c r="G32" s="152">
        <v>43</v>
      </c>
      <c r="H32" s="152">
        <v>52</v>
      </c>
      <c r="I32" s="153">
        <v>13.21</v>
      </c>
      <c r="J32" s="145">
        <v>31</v>
      </c>
      <c r="K32" s="153">
        <v>-5.5303333333333331</v>
      </c>
      <c r="L32" s="153">
        <v>-3.7730391533327401</v>
      </c>
      <c r="M32" s="153"/>
      <c r="N32" s="2" t="s">
        <v>57</v>
      </c>
      <c r="O32" s="2"/>
      <c r="P32" s="2" t="s">
        <v>51</v>
      </c>
    </row>
    <row r="33" spans="1:16" ht="16.5" customHeight="1" x14ac:dyDescent="0.25">
      <c r="A33" s="2" t="s">
        <v>133</v>
      </c>
      <c r="B33" s="8" t="s">
        <v>134</v>
      </c>
      <c r="C33" s="8"/>
      <c r="D33" s="8" t="s">
        <v>132</v>
      </c>
      <c r="E33" s="150" t="s">
        <v>55</v>
      </c>
      <c r="F33" s="151" t="s">
        <v>56</v>
      </c>
      <c r="G33" s="152">
        <v>77</v>
      </c>
      <c r="H33" s="152">
        <v>20</v>
      </c>
      <c r="I33" s="153">
        <v>29.04</v>
      </c>
      <c r="J33" s="145">
        <v>32</v>
      </c>
      <c r="K33" s="153">
        <v>-11.962971764210829</v>
      </c>
      <c r="L33" s="153">
        <v>-11.3851526462041</v>
      </c>
      <c r="M33" s="153"/>
      <c r="N33" s="2" t="s">
        <v>57</v>
      </c>
      <c r="O33" s="2"/>
      <c r="P33" s="2" t="s">
        <v>51</v>
      </c>
    </row>
    <row r="34" spans="1:16" ht="16.5" customHeight="1" x14ac:dyDescent="0.25">
      <c r="A34" s="2" t="s">
        <v>135</v>
      </c>
      <c r="B34" s="8" t="s">
        <v>136</v>
      </c>
      <c r="C34" s="8"/>
      <c r="D34" s="8" t="s">
        <v>132</v>
      </c>
      <c r="E34" s="150" t="s">
        <v>55</v>
      </c>
      <c r="F34" s="151" t="s">
        <v>56</v>
      </c>
      <c r="G34" s="152">
        <v>28</v>
      </c>
      <c r="H34" s="152">
        <v>63</v>
      </c>
      <c r="I34" s="153">
        <v>14.92</v>
      </c>
      <c r="J34" s="145">
        <v>33</v>
      </c>
      <c r="K34" s="153">
        <v>-5.6400000000000006</v>
      </c>
      <c r="L34" s="153">
        <v>-3.51404596614816</v>
      </c>
      <c r="M34" s="153"/>
      <c r="N34" s="2" t="s">
        <v>57</v>
      </c>
      <c r="O34" s="2"/>
      <c r="P34" s="2" t="s">
        <v>51</v>
      </c>
    </row>
    <row r="35" spans="1:16" ht="16.5" customHeight="1" x14ac:dyDescent="0.25">
      <c r="A35" s="2" t="s">
        <v>137</v>
      </c>
      <c r="B35" s="8" t="s">
        <v>138</v>
      </c>
      <c r="C35" s="8" t="s">
        <v>101</v>
      </c>
      <c r="D35" s="8" t="s">
        <v>132</v>
      </c>
      <c r="E35" s="150" t="s">
        <v>139</v>
      </c>
      <c r="F35" s="151" t="s">
        <v>103</v>
      </c>
      <c r="G35" s="152">
        <v>54</v>
      </c>
      <c r="H35" s="152">
        <v>30</v>
      </c>
      <c r="I35" s="153">
        <v>31.35</v>
      </c>
      <c r="J35" s="145">
        <v>34</v>
      </c>
      <c r="K35" s="153">
        <v>-12.644096296296301</v>
      </c>
      <c r="L35" s="153">
        <v>-7.2306862673652299</v>
      </c>
      <c r="M35" s="153">
        <v>-6.24</v>
      </c>
      <c r="N35" s="2" t="s">
        <v>57</v>
      </c>
      <c r="O35" s="2"/>
      <c r="P35" s="2" t="s">
        <v>51</v>
      </c>
    </row>
    <row r="36" spans="1:16" ht="16.5" customHeight="1" x14ac:dyDescent="0.25">
      <c r="A36" s="2" t="s">
        <v>140</v>
      </c>
      <c r="B36" s="8" t="s">
        <v>141</v>
      </c>
      <c r="C36" s="8" t="s">
        <v>101</v>
      </c>
      <c r="D36" s="8" t="s">
        <v>132</v>
      </c>
      <c r="E36" s="150" t="s">
        <v>139</v>
      </c>
      <c r="F36" s="151" t="s">
        <v>103</v>
      </c>
      <c r="G36" s="152">
        <v>10</v>
      </c>
      <c r="H36" s="152">
        <v>64</v>
      </c>
      <c r="I36" s="153">
        <v>33.549999999999997</v>
      </c>
      <c r="J36" s="145">
        <v>35</v>
      </c>
      <c r="K36" s="153">
        <v>-11.815</v>
      </c>
      <c r="L36" s="153">
        <v>-11.543399907206879</v>
      </c>
      <c r="M36" s="153"/>
      <c r="N36" s="2" t="s">
        <v>57</v>
      </c>
      <c r="O36" s="2"/>
      <c r="P36" s="10"/>
    </row>
    <row r="37" spans="1:16" ht="16.5" customHeight="1" x14ac:dyDescent="0.25">
      <c r="A37" s="2" t="s">
        <v>142</v>
      </c>
      <c r="B37" s="8" t="s">
        <v>12524</v>
      </c>
      <c r="C37" s="8"/>
      <c r="D37" s="8" t="s">
        <v>132</v>
      </c>
      <c r="E37" s="150" t="s">
        <v>55</v>
      </c>
      <c r="F37" s="151" t="s">
        <v>56</v>
      </c>
      <c r="G37" s="152">
        <v>22</v>
      </c>
      <c r="H37" s="152">
        <v>45</v>
      </c>
      <c r="I37" s="153">
        <v>32.14</v>
      </c>
      <c r="J37" s="145">
        <v>36</v>
      </c>
      <c r="K37" s="153">
        <v>-9.485718754271856</v>
      </c>
      <c r="L37" s="153">
        <v>-20.86407403747053</v>
      </c>
      <c r="M37" s="153"/>
      <c r="N37" s="2" t="s">
        <v>57</v>
      </c>
      <c r="O37" s="2"/>
      <c r="P37" s="2" t="s">
        <v>51</v>
      </c>
    </row>
    <row r="38" spans="1:16" ht="16.5" customHeight="1" x14ac:dyDescent="0.25">
      <c r="A38" s="2" t="s">
        <v>144</v>
      </c>
      <c r="B38" s="8" t="s">
        <v>145</v>
      </c>
      <c r="C38" s="8" t="s">
        <v>101</v>
      </c>
      <c r="D38" s="8" t="s">
        <v>132</v>
      </c>
      <c r="E38" s="150" t="s">
        <v>139</v>
      </c>
      <c r="F38" s="151" t="s">
        <v>103</v>
      </c>
      <c r="G38" s="152">
        <v>52</v>
      </c>
      <c r="H38" s="152">
        <v>24</v>
      </c>
      <c r="I38" s="153">
        <v>41.8</v>
      </c>
      <c r="J38" s="145">
        <v>37</v>
      </c>
      <c r="K38" s="153">
        <v>-8.6113378774067471</v>
      </c>
      <c r="L38" s="153">
        <v>-14.534707799113001</v>
      </c>
      <c r="M38" s="153"/>
      <c r="N38" s="2" t="s">
        <v>57</v>
      </c>
      <c r="O38" s="2"/>
      <c r="P38" s="2" t="s">
        <v>51</v>
      </c>
    </row>
    <row r="39" spans="1:16" ht="16.5" customHeight="1" x14ac:dyDescent="0.25">
      <c r="A39" s="2" t="s">
        <v>146</v>
      </c>
      <c r="B39" s="8" t="s">
        <v>147</v>
      </c>
      <c r="C39" s="8"/>
      <c r="D39" s="8" t="s">
        <v>148</v>
      </c>
      <c r="E39" s="150" t="s">
        <v>83</v>
      </c>
      <c r="F39" s="151" t="s">
        <v>56</v>
      </c>
      <c r="G39" s="152">
        <v>2</v>
      </c>
      <c r="H39" s="152">
        <v>216</v>
      </c>
      <c r="I39" s="153">
        <v>127.96</v>
      </c>
      <c r="J39" s="145">
        <v>38</v>
      </c>
      <c r="K39" s="153">
        <v>-23.323333333333331</v>
      </c>
      <c r="L39" s="153">
        <v>-31.465189285960239</v>
      </c>
      <c r="M39" s="153"/>
      <c r="N39" s="2" t="s">
        <v>57</v>
      </c>
      <c r="O39" s="2"/>
      <c r="P39" s="2" t="s">
        <v>51</v>
      </c>
    </row>
    <row r="40" spans="1:16" ht="16.5" customHeight="1" x14ac:dyDescent="0.25">
      <c r="A40" s="2" t="s">
        <v>149</v>
      </c>
      <c r="B40" s="8" t="s">
        <v>150</v>
      </c>
      <c r="C40" s="8"/>
      <c r="D40" s="8" t="s">
        <v>148</v>
      </c>
      <c r="E40" s="150" t="s">
        <v>83</v>
      </c>
      <c r="F40" s="151" t="s">
        <v>56</v>
      </c>
      <c r="G40" s="152">
        <v>4</v>
      </c>
      <c r="H40" s="152">
        <v>44</v>
      </c>
      <c r="I40" s="153">
        <v>160.06</v>
      </c>
      <c r="J40" s="145">
        <v>39</v>
      </c>
      <c r="K40" s="153">
        <v>-21.772033333333329</v>
      </c>
      <c r="L40" s="153">
        <v>-39.025252947641</v>
      </c>
      <c r="M40" s="153"/>
      <c r="N40" s="2" t="s">
        <v>57</v>
      </c>
      <c r="O40" s="2"/>
      <c r="P40" s="2" t="s">
        <v>51</v>
      </c>
    </row>
    <row r="41" spans="1:16" ht="16.5" customHeight="1" x14ac:dyDescent="0.25">
      <c r="A41" s="2" t="s">
        <v>151</v>
      </c>
      <c r="B41" s="8" t="s">
        <v>12744</v>
      </c>
      <c r="C41" s="8"/>
      <c r="D41" s="8" t="s">
        <v>148</v>
      </c>
      <c r="E41" s="150" t="s">
        <v>83</v>
      </c>
      <c r="F41" s="151" t="s">
        <v>56</v>
      </c>
      <c r="G41" s="152">
        <v>54</v>
      </c>
      <c r="H41" s="152">
        <v>43</v>
      </c>
      <c r="I41" s="153">
        <v>13.2</v>
      </c>
      <c r="J41" s="145">
        <v>40</v>
      </c>
      <c r="K41" s="153">
        <v>-0.90779999999999994</v>
      </c>
      <c r="L41" s="153">
        <v>-0.40616381283504138</v>
      </c>
      <c r="M41" s="153">
        <v>-0.34904761904761911</v>
      </c>
      <c r="N41" s="2" t="s">
        <v>57</v>
      </c>
      <c r="O41" s="2"/>
      <c r="P41" s="2" t="s">
        <v>51</v>
      </c>
    </row>
    <row r="42" spans="1:16" ht="16.5" customHeight="1" x14ac:dyDescent="0.25">
      <c r="A42" s="2" t="s">
        <v>153</v>
      </c>
      <c r="B42" s="8" t="s">
        <v>12757</v>
      </c>
      <c r="C42" s="8"/>
      <c r="D42" s="8" t="s">
        <v>148</v>
      </c>
      <c r="E42" s="150" t="s">
        <v>83</v>
      </c>
      <c r="F42" s="151" t="s">
        <v>56</v>
      </c>
      <c r="G42" s="152">
        <v>166</v>
      </c>
      <c r="H42" s="152">
        <v>15</v>
      </c>
      <c r="I42" s="153">
        <v>8.8000000000000007</v>
      </c>
      <c r="J42" s="145">
        <v>41</v>
      </c>
      <c r="K42" s="153">
        <v>-1.482233585858586</v>
      </c>
      <c r="L42" s="153">
        <v>-0.81093903143816826</v>
      </c>
      <c r="M42" s="153">
        <v>-0.72300000000000009</v>
      </c>
      <c r="N42" s="2" t="s">
        <v>57</v>
      </c>
      <c r="O42" s="2"/>
      <c r="P42" s="2" t="s">
        <v>51</v>
      </c>
    </row>
    <row r="43" spans="1:16" ht="16.5" customHeight="1" x14ac:dyDescent="0.25">
      <c r="A43" s="2" t="s">
        <v>155</v>
      </c>
      <c r="B43" s="8" t="s">
        <v>12442</v>
      </c>
      <c r="C43" s="8"/>
      <c r="D43" s="8" t="s">
        <v>148</v>
      </c>
      <c r="E43" s="150" t="s">
        <v>83</v>
      </c>
      <c r="F43" s="151" t="s">
        <v>56</v>
      </c>
      <c r="G43" s="152">
        <v>2</v>
      </c>
      <c r="H43" s="152">
        <v>175</v>
      </c>
      <c r="I43" s="153">
        <v>66</v>
      </c>
      <c r="J43" s="145">
        <v>42</v>
      </c>
      <c r="K43" s="153">
        <v>-10.48723033567312</v>
      </c>
      <c r="L43" s="153">
        <v>-3.7375334437178691</v>
      </c>
      <c r="M43" s="153"/>
      <c r="N43" s="2" t="s">
        <v>57</v>
      </c>
      <c r="O43" s="2"/>
      <c r="P43" s="2" t="s">
        <v>51</v>
      </c>
    </row>
    <row r="44" spans="1:16" ht="16.5" customHeight="1" x14ac:dyDescent="0.25">
      <c r="A44" s="2" t="s">
        <v>157</v>
      </c>
      <c r="B44" s="8" t="s">
        <v>158</v>
      </c>
      <c r="C44" s="8"/>
      <c r="D44" s="8" t="s">
        <v>148</v>
      </c>
      <c r="E44" s="150" t="s">
        <v>83</v>
      </c>
      <c r="F44" s="151" t="s">
        <v>56</v>
      </c>
      <c r="G44" s="152">
        <v>157</v>
      </c>
      <c r="H44" s="152">
        <v>6</v>
      </c>
      <c r="I44" s="153">
        <v>55</v>
      </c>
      <c r="J44" s="145">
        <v>43</v>
      </c>
      <c r="K44" s="153">
        <v>-9.3976845238095255</v>
      </c>
      <c r="L44" s="153">
        <v>-3.34</v>
      </c>
      <c r="M44" s="153"/>
      <c r="N44" s="2" t="s">
        <v>57</v>
      </c>
      <c r="O44" s="2"/>
      <c r="P44" s="2" t="s">
        <v>51</v>
      </c>
    </row>
    <row r="45" spans="1:16" ht="16.5" customHeight="1" x14ac:dyDescent="0.25">
      <c r="A45" s="2" t="s">
        <v>159</v>
      </c>
      <c r="B45" s="8" t="s">
        <v>13786</v>
      </c>
      <c r="C45" s="8"/>
      <c r="D45" s="8" t="s">
        <v>148</v>
      </c>
      <c r="E45" s="150" t="s">
        <v>83</v>
      </c>
      <c r="F45" s="151" t="s">
        <v>56</v>
      </c>
      <c r="G45" s="152">
        <v>34</v>
      </c>
      <c r="H45" s="152">
        <v>72</v>
      </c>
      <c r="I45" s="153">
        <v>9.69</v>
      </c>
      <c r="J45" s="145">
        <v>44</v>
      </c>
      <c r="K45" s="153">
        <v>-1.7146750989311721</v>
      </c>
      <c r="L45" s="153">
        <v>-4.43</v>
      </c>
      <c r="M45" s="153"/>
      <c r="N45" s="2" t="s">
        <v>57</v>
      </c>
      <c r="O45" s="2"/>
      <c r="P45" s="10"/>
    </row>
    <row r="46" spans="1:16" ht="16.5" customHeight="1" x14ac:dyDescent="0.25">
      <c r="A46" s="2" t="s">
        <v>161</v>
      </c>
      <c r="B46" s="8" t="s">
        <v>12945</v>
      </c>
      <c r="C46" s="8"/>
      <c r="D46" s="8" t="s">
        <v>163</v>
      </c>
      <c r="E46" s="150" t="s">
        <v>83</v>
      </c>
      <c r="F46" s="151" t="s">
        <v>56</v>
      </c>
      <c r="G46" s="152">
        <v>1</v>
      </c>
      <c r="H46" s="152">
        <v>37</v>
      </c>
      <c r="I46" s="153">
        <v>200.2</v>
      </c>
      <c r="J46" s="145">
        <v>45</v>
      </c>
      <c r="K46" s="153">
        <v>-37.47</v>
      </c>
      <c r="L46" s="153" t="s">
        <v>86</v>
      </c>
      <c r="M46" s="153"/>
      <c r="N46" s="2" t="s">
        <v>57</v>
      </c>
      <c r="O46" s="2"/>
      <c r="P46" s="10"/>
    </row>
    <row r="47" spans="1:16" ht="16.5" customHeight="1" x14ac:dyDescent="0.25">
      <c r="A47" s="2" t="s">
        <v>164</v>
      </c>
      <c r="B47" s="8" t="s">
        <v>12746</v>
      </c>
      <c r="C47" s="8"/>
      <c r="D47" s="8" t="s">
        <v>166</v>
      </c>
      <c r="E47" s="150" t="s">
        <v>83</v>
      </c>
      <c r="F47" s="151" t="s">
        <v>56</v>
      </c>
      <c r="G47" s="152">
        <v>11</v>
      </c>
      <c r="H47" s="152">
        <v>109</v>
      </c>
      <c r="I47" s="153">
        <v>40.700000000000003</v>
      </c>
      <c r="J47" s="145">
        <v>46</v>
      </c>
      <c r="K47" s="153">
        <v>-3.5766666666666671</v>
      </c>
      <c r="L47" s="153">
        <v>-19.464675848825369</v>
      </c>
      <c r="M47" s="153"/>
      <c r="N47" s="2" t="s">
        <v>57</v>
      </c>
      <c r="O47" s="2"/>
      <c r="P47" s="10"/>
    </row>
    <row r="48" spans="1:16" ht="16.5" customHeight="1" x14ac:dyDescent="0.25">
      <c r="A48" s="2" t="s">
        <v>167</v>
      </c>
      <c r="B48" s="8" t="s">
        <v>12944</v>
      </c>
      <c r="C48" s="8"/>
      <c r="D48" s="8" t="s">
        <v>163</v>
      </c>
      <c r="E48" s="150" t="s">
        <v>83</v>
      </c>
      <c r="F48" s="151" t="s">
        <v>56</v>
      </c>
      <c r="G48" s="152">
        <v>381</v>
      </c>
      <c r="H48" s="152">
        <v>1</v>
      </c>
      <c r="I48" s="153">
        <v>63.8</v>
      </c>
      <c r="J48" s="145">
        <v>47</v>
      </c>
      <c r="K48" s="153">
        <v>-11.771359508547009</v>
      </c>
      <c r="L48" s="153">
        <v>-15.885518013103839</v>
      </c>
      <c r="M48" s="153">
        <v>-6.2843999999999998</v>
      </c>
      <c r="N48" s="2" t="s">
        <v>57</v>
      </c>
      <c r="O48" s="2"/>
      <c r="P48" s="2" t="s">
        <v>51</v>
      </c>
    </row>
    <row r="49" spans="1:16" ht="16.5" customHeight="1" x14ac:dyDescent="0.25">
      <c r="A49" s="2" t="s">
        <v>169</v>
      </c>
      <c r="B49" s="8" t="s">
        <v>12927</v>
      </c>
      <c r="C49" s="8"/>
      <c r="D49" s="8" t="s">
        <v>163</v>
      </c>
      <c r="E49" s="150" t="s">
        <v>83</v>
      </c>
      <c r="F49" s="151" t="s">
        <v>56</v>
      </c>
      <c r="G49" s="152">
        <v>364</v>
      </c>
      <c r="H49" s="152">
        <v>2</v>
      </c>
      <c r="I49" s="153">
        <v>83.6</v>
      </c>
      <c r="J49" s="145">
        <v>48</v>
      </c>
      <c r="K49" s="153">
        <v>-16.206323529411769</v>
      </c>
      <c r="L49" s="153">
        <v>-10.39</v>
      </c>
      <c r="M49" s="153">
        <v>-6.33</v>
      </c>
      <c r="N49" s="2" t="s">
        <v>57</v>
      </c>
      <c r="O49" s="2"/>
      <c r="P49" s="2" t="s">
        <v>51</v>
      </c>
    </row>
    <row r="50" spans="1:16" ht="16.5" customHeight="1" x14ac:dyDescent="0.25">
      <c r="A50" s="2" t="s">
        <v>171</v>
      </c>
      <c r="B50" s="8" t="s">
        <v>12918</v>
      </c>
      <c r="C50" s="8"/>
      <c r="D50" s="8" t="s">
        <v>163</v>
      </c>
      <c r="E50" s="150" t="s">
        <v>563</v>
      </c>
      <c r="F50" s="151" t="s">
        <v>103</v>
      </c>
      <c r="G50" s="152">
        <v>30</v>
      </c>
      <c r="H50" s="152">
        <v>23</v>
      </c>
      <c r="I50" s="153">
        <v>66</v>
      </c>
      <c r="J50" s="145">
        <v>49</v>
      </c>
      <c r="K50" s="153">
        <v>-6.043703703703704</v>
      </c>
      <c r="L50" s="153">
        <v>-22.934576910955599</v>
      </c>
      <c r="M50" s="153"/>
      <c r="N50" s="2" t="s">
        <v>57</v>
      </c>
      <c r="O50" s="2"/>
      <c r="P50" s="10"/>
    </row>
    <row r="51" spans="1:16" ht="16.5" customHeight="1" x14ac:dyDescent="0.25">
      <c r="A51" s="2" t="s">
        <v>173</v>
      </c>
      <c r="B51" s="8" t="s">
        <v>12675</v>
      </c>
      <c r="C51" s="8"/>
      <c r="D51" s="8" t="s">
        <v>175</v>
      </c>
      <c r="E51" s="150" t="s">
        <v>55</v>
      </c>
      <c r="F51" s="151" t="s">
        <v>56</v>
      </c>
      <c r="G51" s="152">
        <v>33</v>
      </c>
      <c r="H51" s="152">
        <v>83</v>
      </c>
      <c r="I51" s="153">
        <v>22</v>
      </c>
      <c r="J51" s="145">
        <v>50</v>
      </c>
      <c r="K51" s="153">
        <v>-1.7497499999999999</v>
      </c>
      <c r="L51" s="153">
        <v>-0.96079149229895977</v>
      </c>
      <c r="M51" s="153"/>
      <c r="N51" s="2" t="s">
        <v>57</v>
      </c>
      <c r="O51" s="2"/>
      <c r="P51" s="2" t="s">
        <v>51</v>
      </c>
    </row>
    <row r="52" spans="1:16" ht="16.5" customHeight="1" x14ac:dyDescent="0.25">
      <c r="A52" s="2" t="s">
        <v>176</v>
      </c>
      <c r="B52" s="8" t="s">
        <v>177</v>
      </c>
      <c r="C52" s="8"/>
      <c r="D52" s="8" t="s">
        <v>175</v>
      </c>
      <c r="E52" s="150" t="s">
        <v>55</v>
      </c>
      <c r="F52" s="151" t="s">
        <v>56</v>
      </c>
      <c r="G52" s="152">
        <v>13</v>
      </c>
      <c r="H52" s="152">
        <v>159</v>
      </c>
      <c r="I52" s="153">
        <v>20.350000000000001</v>
      </c>
      <c r="J52" s="145">
        <v>51</v>
      </c>
      <c r="K52" s="153">
        <v>-8.3410000000000011</v>
      </c>
      <c r="L52" s="153" t="s">
        <v>86</v>
      </c>
      <c r="M52" s="153"/>
      <c r="N52" s="2" t="s">
        <v>57</v>
      </c>
      <c r="O52" s="2"/>
      <c r="P52" s="10"/>
    </row>
    <row r="53" spans="1:16" ht="16.5" customHeight="1" x14ac:dyDescent="0.25">
      <c r="A53" s="2" t="s">
        <v>178</v>
      </c>
      <c r="B53" s="8" t="s">
        <v>179</v>
      </c>
      <c r="C53" s="8"/>
      <c r="D53" s="8" t="s">
        <v>175</v>
      </c>
      <c r="E53" s="150" t="s">
        <v>55</v>
      </c>
      <c r="F53" s="151" t="s">
        <v>56</v>
      </c>
      <c r="G53" s="152">
        <v>26</v>
      </c>
      <c r="H53" s="152">
        <v>41</v>
      </c>
      <c r="I53" s="153">
        <v>14.85</v>
      </c>
      <c r="J53" s="145">
        <v>52</v>
      </c>
      <c r="K53" s="153">
        <v>-4.5419999999999998</v>
      </c>
      <c r="L53" s="153">
        <v>-8.5315229608837413</v>
      </c>
      <c r="M53" s="153"/>
      <c r="N53" s="2" t="s">
        <v>57</v>
      </c>
      <c r="O53" s="2"/>
      <c r="P53" s="2" t="s">
        <v>51</v>
      </c>
    </row>
    <row r="54" spans="1:16" ht="16.5" customHeight="1" x14ac:dyDescent="0.25">
      <c r="A54" s="2" t="s">
        <v>180</v>
      </c>
      <c r="B54" s="8" t="s">
        <v>181</v>
      </c>
      <c r="C54" s="8"/>
      <c r="D54" s="8" t="s">
        <v>175</v>
      </c>
      <c r="E54" s="150" t="s">
        <v>55</v>
      </c>
      <c r="F54" s="151" t="s">
        <v>56</v>
      </c>
      <c r="G54" s="152">
        <v>227</v>
      </c>
      <c r="H54" s="152">
        <v>14</v>
      </c>
      <c r="I54" s="153">
        <v>4.4000000000000004</v>
      </c>
      <c r="J54" s="145">
        <v>53</v>
      </c>
      <c r="K54" s="153">
        <v>-1.3979330193615911</v>
      </c>
      <c r="L54" s="153">
        <v>-1.6804156618942441</v>
      </c>
      <c r="M54" s="153"/>
      <c r="N54" s="2" t="s">
        <v>57</v>
      </c>
      <c r="O54" s="2"/>
      <c r="P54" s="2" t="s">
        <v>51</v>
      </c>
    </row>
    <row r="55" spans="1:16" ht="16.5" customHeight="1" x14ac:dyDescent="0.25">
      <c r="A55" s="2" t="s">
        <v>182</v>
      </c>
      <c r="B55" s="8" t="s">
        <v>13787</v>
      </c>
      <c r="C55" s="8"/>
      <c r="D55" s="8" t="s">
        <v>175</v>
      </c>
      <c r="E55" s="150" t="s">
        <v>55</v>
      </c>
      <c r="F55" s="151" t="s">
        <v>56</v>
      </c>
      <c r="G55" s="152">
        <v>3</v>
      </c>
      <c r="H55" s="152">
        <v>423</v>
      </c>
      <c r="I55" s="153">
        <v>5.84</v>
      </c>
      <c r="J55" s="145">
        <v>54</v>
      </c>
      <c r="K55" s="153">
        <v>-1.7246874999999999</v>
      </c>
      <c r="L55" s="153" t="s">
        <v>86</v>
      </c>
      <c r="M55" s="153"/>
      <c r="N55" s="2" t="s">
        <v>57</v>
      </c>
      <c r="O55" s="2"/>
      <c r="P55" s="10"/>
    </row>
    <row r="56" spans="1:16" ht="16.5" customHeight="1" x14ac:dyDescent="0.25">
      <c r="A56" s="2" t="s">
        <v>184</v>
      </c>
      <c r="B56" s="8" t="s">
        <v>12908</v>
      </c>
      <c r="C56" s="8"/>
      <c r="D56" s="8" t="s">
        <v>186</v>
      </c>
      <c r="E56" s="150" t="s">
        <v>55</v>
      </c>
      <c r="F56" s="151" t="s">
        <v>56</v>
      </c>
      <c r="G56" s="152">
        <v>9</v>
      </c>
      <c r="H56" s="152">
        <v>138</v>
      </c>
      <c r="I56" s="153">
        <v>27.5</v>
      </c>
      <c r="J56" s="145">
        <v>55</v>
      </c>
      <c r="K56" s="153">
        <v>-10.037133935802579</v>
      </c>
      <c r="L56" s="153">
        <v>-8.1197535654962696</v>
      </c>
      <c r="M56" s="153"/>
      <c r="N56" s="2" t="s">
        <v>57</v>
      </c>
      <c r="O56" s="2"/>
      <c r="P56" s="2" t="s">
        <v>51</v>
      </c>
    </row>
    <row r="57" spans="1:16" ht="16.5" customHeight="1" x14ac:dyDescent="0.25">
      <c r="A57" s="2" t="s">
        <v>187</v>
      </c>
      <c r="B57" s="8" t="s">
        <v>12741</v>
      </c>
      <c r="C57" s="8"/>
      <c r="D57" s="8" t="s">
        <v>186</v>
      </c>
      <c r="E57" s="150" t="s">
        <v>55</v>
      </c>
      <c r="F57" s="151" t="s">
        <v>56</v>
      </c>
      <c r="G57" s="152">
        <v>2</v>
      </c>
      <c r="H57" s="152">
        <v>316</v>
      </c>
      <c r="I57" s="153">
        <v>14.3</v>
      </c>
      <c r="J57" s="145">
        <v>56</v>
      </c>
      <c r="K57" s="153">
        <v>-7.4497833913668972</v>
      </c>
      <c r="L57" s="153">
        <v>-7.17</v>
      </c>
      <c r="M57" s="153"/>
      <c r="N57" s="2" t="s">
        <v>57</v>
      </c>
      <c r="O57" s="2"/>
      <c r="P57" s="10"/>
    </row>
    <row r="58" spans="1:16" ht="16.5" customHeight="1" x14ac:dyDescent="0.25">
      <c r="A58" s="2" t="s">
        <v>189</v>
      </c>
      <c r="B58" s="8" t="s">
        <v>190</v>
      </c>
      <c r="C58" s="8"/>
      <c r="D58" s="8" t="s">
        <v>186</v>
      </c>
      <c r="E58" s="150" t="s">
        <v>55</v>
      </c>
      <c r="F58" s="151" t="s">
        <v>56</v>
      </c>
      <c r="G58" s="152">
        <v>9</v>
      </c>
      <c r="H58" s="152">
        <v>162</v>
      </c>
      <c r="I58" s="153">
        <v>30.8</v>
      </c>
      <c r="J58" s="145">
        <v>57</v>
      </c>
      <c r="K58" s="153">
        <v>-12.17604683360481</v>
      </c>
      <c r="L58" s="153">
        <v>-16.059999999999999</v>
      </c>
      <c r="M58" s="153"/>
      <c r="N58" s="2" t="s">
        <v>57</v>
      </c>
      <c r="O58" s="2"/>
      <c r="P58" s="2" t="s">
        <v>51</v>
      </c>
    </row>
    <row r="59" spans="1:16" ht="16.5" customHeight="1" x14ac:dyDescent="0.25">
      <c r="A59" s="2" t="s">
        <v>191</v>
      </c>
      <c r="B59" s="8" t="s">
        <v>12734</v>
      </c>
      <c r="C59" s="8"/>
      <c r="D59" s="8" t="s">
        <v>186</v>
      </c>
      <c r="E59" s="150" t="s">
        <v>55</v>
      </c>
      <c r="F59" s="151" t="s">
        <v>56</v>
      </c>
      <c r="G59" s="152">
        <v>12</v>
      </c>
      <c r="H59" s="152">
        <v>155</v>
      </c>
      <c r="I59" s="153">
        <v>8.8000000000000007</v>
      </c>
      <c r="J59" s="145">
        <v>58</v>
      </c>
      <c r="K59" s="153">
        <v>-4.668480729096129</v>
      </c>
      <c r="L59" s="153">
        <v>-5.33</v>
      </c>
      <c r="M59" s="153"/>
      <c r="N59" s="2" t="s">
        <v>57</v>
      </c>
      <c r="O59" s="2"/>
      <c r="P59" s="10"/>
    </row>
    <row r="60" spans="1:16" ht="16.5" customHeight="1" x14ac:dyDescent="0.25">
      <c r="A60" s="2" t="s">
        <v>193</v>
      </c>
      <c r="B60" s="8" t="s">
        <v>12911</v>
      </c>
      <c r="C60" s="8"/>
      <c r="D60" s="8" t="s">
        <v>186</v>
      </c>
      <c r="E60" s="150" t="s">
        <v>55</v>
      </c>
      <c r="F60" s="151" t="s">
        <v>56</v>
      </c>
      <c r="G60" s="152">
        <v>2</v>
      </c>
      <c r="H60" s="152">
        <v>130</v>
      </c>
      <c r="I60" s="153">
        <v>17.05</v>
      </c>
      <c r="J60" s="145">
        <v>59</v>
      </c>
      <c r="K60" s="153">
        <v>-7.2832899904368844</v>
      </c>
      <c r="L60" s="153">
        <v>-8.6701116632741293</v>
      </c>
      <c r="M60" s="153"/>
      <c r="N60" s="2" t="s">
        <v>57</v>
      </c>
      <c r="O60" s="2"/>
      <c r="P60" s="2" t="s">
        <v>51</v>
      </c>
    </row>
    <row r="61" spans="1:16" ht="16.5" customHeight="1" x14ac:dyDescent="0.25">
      <c r="A61" s="2" t="s">
        <v>195</v>
      </c>
      <c r="B61" s="8" t="s">
        <v>13788</v>
      </c>
      <c r="C61" s="8"/>
      <c r="D61" s="8" t="s">
        <v>186</v>
      </c>
      <c r="E61" s="150" t="s">
        <v>55</v>
      </c>
      <c r="F61" s="151" t="s">
        <v>56</v>
      </c>
      <c r="G61" s="152">
        <v>5</v>
      </c>
      <c r="H61" s="152">
        <v>271</v>
      </c>
      <c r="I61" s="153">
        <v>6.64</v>
      </c>
      <c r="J61" s="145">
        <v>60</v>
      </c>
      <c r="K61" s="153">
        <v>-6.0791066686362081</v>
      </c>
      <c r="L61" s="153">
        <v>-5.41</v>
      </c>
      <c r="M61" s="153"/>
      <c r="N61" s="2" t="s">
        <v>57</v>
      </c>
      <c r="O61" s="2"/>
      <c r="P61" s="10"/>
    </row>
    <row r="62" spans="1:16" ht="16.5" customHeight="1" x14ac:dyDescent="0.25">
      <c r="A62" s="2" t="s">
        <v>197</v>
      </c>
      <c r="B62" s="8" t="s">
        <v>12749</v>
      </c>
      <c r="C62" s="8"/>
      <c r="D62" s="8" t="s">
        <v>186</v>
      </c>
      <c r="E62" s="150" t="s">
        <v>55</v>
      </c>
      <c r="F62" s="151" t="s">
        <v>56</v>
      </c>
      <c r="G62" s="152">
        <v>6</v>
      </c>
      <c r="H62" s="152">
        <v>246</v>
      </c>
      <c r="I62" s="153">
        <v>12.1</v>
      </c>
      <c r="J62" s="145">
        <v>61</v>
      </c>
      <c r="K62" s="153">
        <v>-5.4585339659526584</v>
      </c>
      <c r="L62" s="153">
        <v>-5.4790974811731497</v>
      </c>
      <c r="M62" s="153"/>
      <c r="N62" s="2" t="s">
        <v>57</v>
      </c>
      <c r="O62" s="2"/>
      <c r="P62" s="2" t="s">
        <v>51</v>
      </c>
    </row>
    <row r="63" spans="1:16" ht="16.5" customHeight="1" x14ac:dyDescent="0.25">
      <c r="A63" s="2" t="s">
        <v>199</v>
      </c>
      <c r="B63" s="8" t="s">
        <v>200</v>
      </c>
      <c r="C63" s="8"/>
      <c r="D63" s="8" t="s">
        <v>201</v>
      </c>
      <c r="E63" s="150" t="s">
        <v>55</v>
      </c>
      <c r="F63" s="151" t="s">
        <v>56</v>
      </c>
      <c r="G63" s="152">
        <v>59</v>
      </c>
      <c r="H63" s="152">
        <v>25</v>
      </c>
      <c r="I63" s="153">
        <v>18.7</v>
      </c>
      <c r="J63" s="145">
        <v>62</v>
      </c>
      <c r="K63" s="153">
        <v>-7.8330574816629266</v>
      </c>
      <c r="L63" s="153">
        <v>-3.699972399527875</v>
      </c>
      <c r="M63" s="153"/>
      <c r="N63" s="2" t="s">
        <v>57</v>
      </c>
      <c r="O63" s="2"/>
      <c r="P63" s="2" t="s">
        <v>51</v>
      </c>
    </row>
    <row r="64" spans="1:16" ht="16.5" customHeight="1" x14ac:dyDescent="0.25">
      <c r="A64" s="2" t="s">
        <v>202</v>
      </c>
      <c r="B64" s="8" t="s">
        <v>203</v>
      </c>
      <c r="C64" s="8"/>
      <c r="D64" s="8" t="s">
        <v>201</v>
      </c>
      <c r="E64" s="150" t="s">
        <v>55</v>
      </c>
      <c r="F64" s="151" t="s">
        <v>56</v>
      </c>
      <c r="G64" s="152">
        <v>48</v>
      </c>
      <c r="H64" s="152">
        <v>86</v>
      </c>
      <c r="I64" s="153">
        <v>4.4000000000000004</v>
      </c>
      <c r="J64" s="145">
        <v>63</v>
      </c>
      <c r="K64" s="153">
        <v>-1.5114705882352939</v>
      </c>
      <c r="L64" s="153">
        <v>-2.1</v>
      </c>
      <c r="M64" s="153"/>
      <c r="N64" s="2" t="s">
        <v>57</v>
      </c>
      <c r="O64" s="2"/>
      <c r="P64" s="2" t="s">
        <v>51</v>
      </c>
    </row>
    <row r="65" spans="1:16" ht="16.5" customHeight="1" x14ac:dyDescent="0.25">
      <c r="A65" s="2" t="s">
        <v>204</v>
      </c>
      <c r="B65" s="8" t="s">
        <v>205</v>
      </c>
      <c r="C65" s="8"/>
      <c r="D65" s="8" t="s">
        <v>201</v>
      </c>
      <c r="E65" s="150" t="s">
        <v>55</v>
      </c>
      <c r="F65" s="151" t="s">
        <v>56</v>
      </c>
      <c r="G65" s="152">
        <v>37</v>
      </c>
      <c r="H65" s="152">
        <v>60</v>
      </c>
      <c r="I65" s="153">
        <v>9.35</v>
      </c>
      <c r="J65" s="145">
        <v>64</v>
      </c>
      <c r="K65" s="153">
        <v>-6.7716868052784456</v>
      </c>
      <c r="L65" s="153">
        <v>-9.1401006612776126</v>
      </c>
      <c r="M65" s="153"/>
      <c r="N65" s="2" t="s">
        <v>57</v>
      </c>
      <c r="O65" s="2"/>
      <c r="P65" s="2" t="s">
        <v>51</v>
      </c>
    </row>
    <row r="66" spans="1:16" ht="16.5" customHeight="1" x14ac:dyDescent="0.25">
      <c r="A66" s="2" t="s">
        <v>206</v>
      </c>
      <c r="B66" s="8" t="s">
        <v>207</v>
      </c>
      <c r="C66" s="8"/>
      <c r="D66" s="8" t="s">
        <v>201</v>
      </c>
      <c r="E66" s="150" t="s">
        <v>55</v>
      </c>
      <c r="F66" s="151" t="s">
        <v>56</v>
      </c>
      <c r="G66" s="152">
        <v>70</v>
      </c>
      <c r="H66" s="152">
        <v>33</v>
      </c>
      <c r="I66" s="153">
        <v>10.07</v>
      </c>
      <c r="J66" s="145">
        <v>65</v>
      </c>
      <c r="K66" s="153">
        <v>-7.1279446528372352</v>
      </c>
      <c r="L66" s="153">
        <v>-4.05</v>
      </c>
      <c r="M66" s="153"/>
      <c r="N66" s="2" t="s">
        <v>57</v>
      </c>
      <c r="O66" s="2"/>
      <c r="P66" s="2" t="s">
        <v>51</v>
      </c>
    </row>
    <row r="67" spans="1:16" ht="16.5" customHeight="1" x14ac:dyDescent="0.25">
      <c r="A67" s="2" t="s">
        <v>208</v>
      </c>
      <c r="B67" s="8" t="s">
        <v>209</v>
      </c>
      <c r="C67" s="8"/>
      <c r="D67" s="8" t="s">
        <v>201</v>
      </c>
      <c r="E67" s="150" t="s">
        <v>55</v>
      </c>
      <c r="F67" s="151" t="s">
        <v>56</v>
      </c>
      <c r="G67" s="152">
        <v>19</v>
      </c>
      <c r="H67" s="152">
        <v>107</v>
      </c>
      <c r="I67" s="153">
        <v>13.75</v>
      </c>
      <c r="J67" s="145">
        <v>66</v>
      </c>
      <c r="K67" s="153">
        <v>-7.0962811090875642</v>
      </c>
      <c r="L67" s="153">
        <v>-7.680603195339395</v>
      </c>
      <c r="M67" s="153"/>
      <c r="N67" s="2" t="s">
        <v>57</v>
      </c>
      <c r="O67" s="2"/>
      <c r="P67" s="2" t="s">
        <v>51</v>
      </c>
    </row>
    <row r="68" spans="1:16" ht="16.5" customHeight="1" x14ac:dyDescent="0.25">
      <c r="A68" s="2" t="s">
        <v>210</v>
      </c>
      <c r="B68" s="8" t="s">
        <v>211</v>
      </c>
      <c r="C68" s="8"/>
      <c r="D68" s="8" t="s">
        <v>201</v>
      </c>
      <c r="E68" s="150" t="s">
        <v>55</v>
      </c>
      <c r="F68" s="151" t="s">
        <v>56</v>
      </c>
      <c r="G68" s="152">
        <v>14</v>
      </c>
      <c r="H68" s="152">
        <v>82</v>
      </c>
      <c r="I68" s="153">
        <v>20.9</v>
      </c>
      <c r="J68" s="145">
        <v>67</v>
      </c>
      <c r="K68" s="153">
        <v>-8.9927748397435909</v>
      </c>
      <c r="L68" s="153">
        <v>-18.59</v>
      </c>
      <c r="M68" s="153"/>
      <c r="N68" s="2" t="s">
        <v>57</v>
      </c>
      <c r="O68" s="2"/>
      <c r="P68" s="2" t="s">
        <v>51</v>
      </c>
    </row>
    <row r="69" spans="1:16" ht="16.5" customHeight="1" x14ac:dyDescent="0.25">
      <c r="A69" s="2" t="s">
        <v>212</v>
      </c>
      <c r="B69" s="8" t="s">
        <v>213</v>
      </c>
      <c r="C69" s="8"/>
      <c r="D69" s="8" t="s">
        <v>201</v>
      </c>
      <c r="E69" s="150" t="s">
        <v>55</v>
      </c>
      <c r="F69" s="151" t="s">
        <v>56</v>
      </c>
      <c r="G69" s="152">
        <v>12</v>
      </c>
      <c r="H69" s="152">
        <v>66</v>
      </c>
      <c r="I69" s="153">
        <v>25.55</v>
      </c>
      <c r="J69" s="145">
        <v>68</v>
      </c>
      <c r="K69" s="153">
        <v>-10.925857296693099</v>
      </c>
      <c r="L69" s="153">
        <v>-6.8435616648697559</v>
      </c>
      <c r="M69" s="153"/>
      <c r="N69" s="2" t="s">
        <v>57</v>
      </c>
      <c r="O69" s="2"/>
      <c r="P69" s="2" t="s">
        <v>51</v>
      </c>
    </row>
    <row r="70" spans="1:16" ht="16.5" customHeight="1" x14ac:dyDescent="0.25">
      <c r="A70" s="2" t="s">
        <v>214</v>
      </c>
      <c r="B70" s="8" t="s">
        <v>215</v>
      </c>
      <c r="C70" s="8"/>
      <c r="D70" s="8" t="s">
        <v>201</v>
      </c>
      <c r="E70" s="150" t="s">
        <v>55</v>
      </c>
      <c r="F70" s="151" t="s">
        <v>56</v>
      </c>
      <c r="G70" s="152">
        <v>14</v>
      </c>
      <c r="H70" s="152">
        <v>142</v>
      </c>
      <c r="I70" s="153">
        <v>6.6</v>
      </c>
      <c r="J70" s="145">
        <v>69</v>
      </c>
      <c r="K70" s="153">
        <v>-1.6231249999999999</v>
      </c>
      <c r="L70" s="153">
        <v>-2.5031725353981811</v>
      </c>
      <c r="M70" s="153"/>
      <c r="N70" s="2" t="s">
        <v>57</v>
      </c>
      <c r="O70" s="2"/>
      <c r="P70" s="10"/>
    </row>
    <row r="71" spans="1:16" ht="16.5" customHeight="1" x14ac:dyDescent="0.25">
      <c r="A71" s="2" t="s">
        <v>216</v>
      </c>
      <c r="B71" s="8" t="s">
        <v>217</v>
      </c>
      <c r="C71" s="8"/>
      <c r="D71" s="8" t="s">
        <v>201</v>
      </c>
      <c r="E71" s="150" t="s">
        <v>55</v>
      </c>
      <c r="F71" s="151" t="s">
        <v>56</v>
      </c>
      <c r="G71" s="152">
        <v>59</v>
      </c>
      <c r="H71" s="152">
        <v>38</v>
      </c>
      <c r="I71" s="153">
        <v>11.32</v>
      </c>
      <c r="J71" s="145">
        <v>70</v>
      </c>
      <c r="K71" s="153">
        <v>-5.354387964579467</v>
      </c>
      <c r="L71" s="153">
        <v>-3.0794302429031322</v>
      </c>
      <c r="M71" s="153"/>
      <c r="N71" s="2" t="s">
        <v>57</v>
      </c>
      <c r="O71" s="2"/>
      <c r="P71" s="2" t="s">
        <v>51</v>
      </c>
    </row>
    <row r="72" spans="1:16" ht="16.5" customHeight="1" x14ac:dyDescent="0.25">
      <c r="A72" s="2" t="s">
        <v>218</v>
      </c>
      <c r="B72" s="8" t="s">
        <v>219</v>
      </c>
      <c r="C72" s="8"/>
      <c r="D72" s="8" t="s">
        <v>201</v>
      </c>
      <c r="E72" s="150" t="s">
        <v>55</v>
      </c>
      <c r="F72" s="151" t="s">
        <v>56</v>
      </c>
      <c r="G72" s="152">
        <v>68</v>
      </c>
      <c r="H72" s="152">
        <v>35</v>
      </c>
      <c r="I72" s="153">
        <v>16.5</v>
      </c>
      <c r="J72" s="145">
        <v>71</v>
      </c>
      <c r="K72" s="153">
        <v>-6.0848172988128244</v>
      </c>
      <c r="L72" s="153">
        <v>-4.3499999999999996</v>
      </c>
      <c r="M72" s="153"/>
      <c r="N72" s="2" t="s">
        <v>57</v>
      </c>
      <c r="O72" s="2"/>
      <c r="P72" s="2" t="s">
        <v>51</v>
      </c>
    </row>
    <row r="73" spans="1:16" ht="16.5" customHeight="1" x14ac:dyDescent="0.25">
      <c r="A73" s="2" t="s">
        <v>220</v>
      </c>
      <c r="B73" s="8" t="s">
        <v>221</v>
      </c>
      <c r="C73" s="8"/>
      <c r="D73" s="8" t="s">
        <v>201</v>
      </c>
      <c r="E73" s="150" t="s">
        <v>55</v>
      </c>
      <c r="F73" s="151" t="s">
        <v>56</v>
      </c>
      <c r="G73" s="152">
        <v>7</v>
      </c>
      <c r="H73" s="152">
        <v>124</v>
      </c>
      <c r="I73" s="153">
        <v>23.1</v>
      </c>
      <c r="J73" s="145">
        <v>72</v>
      </c>
      <c r="K73" s="153">
        <v>-10.062051806024909</v>
      </c>
      <c r="L73" s="153">
        <v>-10.45</v>
      </c>
      <c r="M73" s="153"/>
      <c r="N73" s="2" t="s">
        <v>57</v>
      </c>
      <c r="O73" s="2"/>
      <c r="P73" s="10"/>
    </row>
    <row r="74" spans="1:16" ht="16.5" customHeight="1" x14ac:dyDescent="0.25">
      <c r="A74" s="2" t="s">
        <v>222</v>
      </c>
      <c r="B74" s="8" t="s">
        <v>223</v>
      </c>
      <c r="C74" s="8"/>
      <c r="D74" s="8" t="s">
        <v>201</v>
      </c>
      <c r="E74" s="150" t="s">
        <v>55</v>
      </c>
      <c r="F74" s="151" t="s">
        <v>56</v>
      </c>
      <c r="G74" s="152">
        <v>15</v>
      </c>
      <c r="H74" s="152">
        <v>68</v>
      </c>
      <c r="I74" s="153">
        <v>30.8</v>
      </c>
      <c r="J74" s="145">
        <v>73</v>
      </c>
      <c r="K74" s="153">
        <v>-6.8184203993637453</v>
      </c>
      <c r="L74" s="153">
        <v>-12.44</v>
      </c>
      <c r="M74" s="153"/>
      <c r="N74" s="2" t="s">
        <v>57</v>
      </c>
      <c r="O74" s="2"/>
      <c r="P74" s="2" t="s">
        <v>51</v>
      </c>
    </row>
    <row r="75" spans="1:16" ht="16.5" customHeight="1" x14ac:dyDescent="0.25">
      <c r="A75" s="2" t="s">
        <v>224</v>
      </c>
      <c r="B75" s="8" t="s">
        <v>225</v>
      </c>
      <c r="C75" s="8"/>
      <c r="D75" s="8" t="s">
        <v>201</v>
      </c>
      <c r="E75" s="150" t="s">
        <v>55</v>
      </c>
      <c r="F75" s="151" t="s">
        <v>56</v>
      </c>
      <c r="G75" s="152">
        <v>6</v>
      </c>
      <c r="H75" s="152">
        <v>144</v>
      </c>
      <c r="I75" s="153">
        <v>41.8</v>
      </c>
      <c r="J75" s="145">
        <v>74</v>
      </c>
      <c r="K75" s="153">
        <v>-12.1035592918668</v>
      </c>
      <c r="L75" s="153">
        <v>-28.33102119188468</v>
      </c>
      <c r="M75" s="153"/>
      <c r="N75" s="2" t="s">
        <v>57</v>
      </c>
      <c r="O75" s="2"/>
      <c r="P75" s="10"/>
    </row>
    <row r="76" spans="1:16" ht="16.5" customHeight="1" x14ac:dyDescent="0.25">
      <c r="A76" s="2" t="s">
        <v>226</v>
      </c>
      <c r="B76" s="8" t="s">
        <v>227</v>
      </c>
      <c r="C76" s="8"/>
      <c r="D76" s="8" t="s">
        <v>201</v>
      </c>
      <c r="E76" s="150" t="s">
        <v>55</v>
      </c>
      <c r="F76" s="151" t="s">
        <v>56</v>
      </c>
      <c r="G76" s="152">
        <v>37</v>
      </c>
      <c r="H76" s="152">
        <v>26</v>
      </c>
      <c r="I76" s="153">
        <v>51.33</v>
      </c>
      <c r="J76" s="145">
        <v>75</v>
      </c>
      <c r="K76" s="153">
        <v>-12.45538924386566</v>
      </c>
      <c r="L76" s="153">
        <v>-14.89</v>
      </c>
      <c r="M76" s="153"/>
      <c r="N76" s="2" t="s">
        <v>57</v>
      </c>
      <c r="O76" s="2"/>
      <c r="P76" s="2" t="s">
        <v>51</v>
      </c>
    </row>
    <row r="77" spans="1:16" ht="16.5" customHeight="1" x14ac:dyDescent="0.25">
      <c r="A77" s="2" t="s">
        <v>228</v>
      </c>
      <c r="B77" s="8" t="s">
        <v>229</v>
      </c>
      <c r="C77" s="8"/>
      <c r="D77" s="8" t="s">
        <v>201</v>
      </c>
      <c r="E77" s="150" t="s">
        <v>55</v>
      </c>
      <c r="F77" s="151" t="s">
        <v>56</v>
      </c>
      <c r="G77" s="152">
        <v>5</v>
      </c>
      <c r="H77" s="152">
        <v>110</v>
      </c>
      <c r="I77" s="153">
        <v>69.62</v>
      </c>
      <c r="J77" s="145">
        <v>76</v>
      </c>
      <c r="K77" s="153">
        <v>-14.774333333333329</v>
      </c>
      <c r="L77" s="153">
        <v>-30.77267693470057</v>
      </c>
      <c r="M77" s="153"/>
      <c r="N77" s="2" t="s">
        <v>57</v>
      </c>
      <c r="O77" s="2"/>
      <c r="P77" s="10"/>
    </row>
    <row r="78" spans="1:16" ht="16.5" customHeight="1" x14ac:dyDescent="0.25">
      <c r="A78" s="2" t="s">
        <v>230</v>
      </c>
      <c r="B78" s="8" t="s">
        <v>13037</v>
      </c>
      <c r="C78" s="8"/>
      <c r="D78" s="8" t="s">
        <v>232</v>
      </c>
      <c r="E78" s="150" t="s">
        <v>83</v>
      </c>
      <c r="F78" s="151" t="s">
        <v>56</v>
      </c>
      <c r="G78" s="152">
        <v>7</v>
      </c>
      <c r="H78" s="152">
        <v>262</v>
      </c>
      <c r="I78" s="153">
        <v>7.7</v>
      </c>
      <c r="J78" s="145">
        <v>77</v>
      </c>
      <c r="K78" s="153">
        <v>-1.038214285714286</v>
      </c>
      <c r="L78" s="153" t="s">
        <v>86</v>
      </c>
      <c r="M78" s="153"/>
      <c r="N78" s="2" t="s">
        <v>57</v>
      </c>
      <c r="O78" s="2"/>
      <c r="P78" s="10"/>
    </row>
    <row r="79" spans="1:16" ht="16.5" customHeight="1" x14ac:dyDescent="0.25">
      <c r="A79" s="2" t="s">
        <v>233</v>
      </c>
      <c r="B79" s="8" t="s">
        <v>13789</v>
      </c>
      <c r="C79" s="8"/>
      <c r="D79" s="8" t="s">
        <v>232</v>
      </c>
      <c r="E79" s="150" t="s">
        <v>83</v>
      </c>
      <c r="F79" s="151" t="s">
        <v>56</v>
      </c>
      <c r="G79" s="152">
        <v>1</v>
      </c>
      <c r="H79" s="152">
        <v>444</v>
      </c>
      <c r="I79" s="153">
        <v>12.25</v>
      </c>
      <c r="J79" s="145">
        <v>78</v>
      </c>
      <c r="K79" s="153" t="s">
        <v>86</v>
      </c>
      <c r="L79" s="153" t="s">
        <v>86</v>
      </c>
      <c r="M79" s="153"/>
      <c r="N79" s="2" t="s">
        <v>57</v>
      </c>
      <c r="O79" s="2"/>
      <c r="P79" s="10"/>
    </row>
    <row r="80" spans="1:16" ht="16.5" customHeight="1" x14ac:dyDescent="0.25">
      <c r="A80" s="2" t="s">
        <v>235</v>
      </c>
      <c r="B80" s="8" t="s">
        <v>13790</v>
      </c>
      <c r="C80" s="8"/>
      <c r="D80" s="8" t="s">
        <v>232</v>
      </c>
      <c r="E80" s="150" t="s">
        <v>83</v>
      </c>
      <c r="F80" s="151" t="s">
        <v>56</v>
      </c>
      <c r="G80" s="152">
        <v>2</v>
      </c>
      <c r="H80" s="152">
        <v>369</v>
      </c>
      <c r="I80" s="153">
        <v>10.45</v>
      </c>
      <c r="J80" s="145">
        <v>79</v>
      </c>
      <c r="K80" s="153" t="s">
        <v>86</v>
      </c>
      <c r="L80" s="153" t="s">
        <v>86</v>
      </c>
      <c r="M80" s="153"/>
      <c r="N80" s="2" t="s">
        <v>57</v>
      </c>
      <c r="O80" s="2"/>
      <c r="P80" s="10"/>
    </row>
    <row r="81" spans="1:16" ht="16.5" customHeight="1" x14ac:dyDescent="0.25">
      <c r="A81" s="2" t="s">
        <v>237</v>
      </c>
      <c r="B81" s="8" t="s">
        <v>13791</v>
      </c>
      <c r="C81" s="8"/>
      <c r="D81" s="8" t="s">
        <v>232</v>
      </c>
      <c r="E81" s="150" t="s">
        <v>83</v>
      </c>
      <c r="F81" s="151" t="s">
        <v>56</v>
      </c>
      <c r="G81" s="152">
        <v>1</v>
      </c>
      <c r="H81" s="152">
        <v>516</v>
      </c>
      <c r="I81" s="153">
        <v>14.3</v>
      </c>
      <c r="J81" s="145">
        <v>80</v>
      </c>
      <c r="K81" s="153" t="s">
        <v>86</v>
      </c>
      <c r="L81" s="153" t="s">
        <v>86</v>
      </c>
      <c r="M81" s="153"/>
      <c r="N81" s="2" t="s">
        <v>57</v>
      </c>
      <c r="O81" s="2"/>
      <c r="P81" s="10"/>
    </row>
    <row r="82" spans="1:16" ht="16.5" customHeight="1" x14ac:dyDescent="0.25">
      <c r="A82" s="2" t="s">
        <v>239</v>
      </c>
      <c r="B82" s="8" t="s">
        <v>13792</v>
      </c>
      <c r="C82" s="8"/>
      <c r="D82" s="8" t="s">
        <v>232</v>
      </c>
      <c r="E82" s="150" t="s">
        <v>83</v>
      </c>
      <c r="F82" s="151" t="s">
        <v>56</v>
      </c>
      <c r="G82" s="152">
        <v>1</v>
      </c>
      <c r="H82" s="152">
        <v>548</v>
      </c>
      <c r="I82" s="153">
        <v>19.8</v>
      </c>
      <c r="J82" s="145">
        <v>81</v>
      </c>
      <c r="K82" s="153" t="s">
        <v>86</v>
      </c>
      <c r="L82" s="153" t="s">
        <v>86</v>
      </c>
      <c r="M82" s="153"/>
      <c r="N82" s="2" t="s">
        <v>57</v>
      </c>
      <c r="O82" s="2"/>
      <c r="P82" s="10"/>
    </row>
    <row r="83" spans="1:16" ht="16.5" customHeight="1" x14ac:dyDescent="0.25">
      <c r="A83" s="2" t="s">
        <v>241</v>
      </c>
      <c r="B83" s="8" t="s">
        <v>13793</v>
      </c>
      <c r="C83" s="8"/>
      <c r="D83" s="8" t="s">
        <v>232</v>
      </c>
      <c r="E83" s="150" t="s">
        <v>83</v>
      </c>
      <c r="F83" s="151" t="s">
        <v>56</v>
      </c>
      <c r="G83" s="152">
        <v>2</v>
      </c>
      <c r="H83" s="152">
        <v>453</v>
      </c>
      <c r="I83" s="153">
        <v>27.5</v>
      </c>
      <c r="J83" s="145">
        <v>82</v>
      </c>
      <c r="K83" s="153" t="s">
        <v>86</v>
      </c>
      <c r="L83" s="153" t="s">
        <v>86</v>
      </c>
      <c r="M83" s="153"/>
      <c r="N83" s="2" t="s">
        <v>57</v>
      </c>
      <c r="O83" s="2"/>
      <c r="P83" s="10"/>
    </row>
    <row r="84" spans="1:16" ht="16.5" customHeight="1" x14ac:dyDescent="0.25">
      <c r="A84" s="2" t="s">
        <v>243</v>
      </c>
      <c r="B84" s="8" t="s">
        <v>12743</v>
      </c>
      <c r="C84" s="8"/>
      <c r="D84" s="8" t="s">
        <v>232</v>
      </c>
      <c r="E84" s="150" t="s">
        <v>83</v>
      </c>
      <c r="F84" s="151" t="s">
        <v>56</v>
      </c>
      <c r="G84" s="152">
        <v>152</v>
      </c>
      <c r="H84" s="152">
        <v>29</v>
      </c>
      <c r="I84" s="153">
        <v>6.36</v>
      </c>
      <c r="J84" s="145">
        <v>83</v>
      </c>
      <c r="K84" s="153">
        <v>-1.0146090534979419</v>
      </c>
      <c r="L84" s="153">
        <v>-0.93143648360863218</v>
      </c>
      <c r="M84" s="153"/>
      <c r="N84" s="2" t="s">
        <v>57</v>
      </c>
      <c r="O84" s="2"/>
      <c r="P84" s="2" t="s">
        <v>51</v>
      </c>
    </row>
    <row r="85" spans="1:16" ht="16.5" customHeight="1" x14ac:dyDescent="0.25">
      <c r="A85" s="2" t="s">
        <v>245</v>
      </c>
      <c r="B85" s="8" t="s">
        <v>12673</v>
      </c>
      <c r="C85" s="8"/>
      <c r="D85" s="8" t="s">
        <v>232</v>
      </c>
      <c r="E85" s="150" t="s">
        <v>83</v>
      </c>
      <c r="F85" s="151" t="s">
        <v>56</v>
      </c>
      <c r="G85" s="152">
        <v>20</v>
      </c>
      <c r="H85" s="152">
        <v>87</v>
      </c>
      <c r="I85" s="153">
        <v>11.09</v>
      </c>
      <c r="J85" s="145">
        <v>84</v>
      </c>
      <c r="K85" s="153">
        <v>-1.329</v>
      </c>
      <c r="L85" s="153">
        <v>-1.5552255397444319</v>
      </c>
      <c r="M85" s="153"/>
      <c r="N85" s="2" t="s">
        <v>57</v>
      </c>
      <c r="O85" s="2"/>
      <c r="P85" s="10"/>
    </row>
    <row r="86" spans="1:16" ht="16.5" customHeight="1" x14ac:dyDescent="0.25">
      <c r="A86" s="2" t="s">
        <v>247</v>
      </c>
      <c r="B86" s="8" t="s">
        <v>13794</v>
      </c>
      <c r="C86" s="8"/>
      <c r="D86" s="8" t="s">
        <v>232</v>
      </c>
      <c r="E86" s="150" t="s">
        <v>83</v>
      </c>
      <c r="F86" s="151" t="s">
        <v>56</v>
      </c>
      <c r="G86" s="152">
        <v>3</v>
      </c>
      <c r="H86" s="152">
        <v>292</v>
      </c>
      <c r="I86" s="153">
        <v>17.64</v>
      </c>
      <c r="J86" s="145">
        <v>85</v>
      </c>
      <c r="K86" s="153">
        <v>-1.637</v>
      </c>
      <c r="L86" s="153" t="s">
        <v>86</v>
      </c>
      <c r="M86" s="153"/>
      <c r="N86" s="2" t="s">
        <v>57</v>
      </c>
      <c r="O86" s="2"/>
      <c r="P86" s="10"/>
    </row>
    <row r="87" spans="1:16" ht="16.5" customHeight="1" x14ac:dyDescent="0.25">
      <c r="A87" s="2" t="s">
        <v>249</v>
      </c>
      <c r="B87" s="8" t="s">
        <v>13795</v>
      </c>
      <c r="C87" s="8"/>
      <c r="D87" s="8" t="s">
        <v>232</v>
      </c>
      <c r="E87" s="150" t="s">
        <v>83</v>
      </c>
      <c r="F87" s="151" t="s">
        <v>56</v>
      </c>
      <c r="G87" s="152">
        <v>20</v>
      </c>
      <c r="H87" s="152">
        <v>102</v>
      </c>
      <c r="I87" s="153">
        <v>16.37</v>
      </c>
      <c r="J87" s="145">
        <v>86</v>
      </c>
      <c r="K87" s="153">
        <v>-1.907559523809524</v>
      </c>
      <c r="L87" s="153">
        <v>-1.523565591256778</v>
      </c>
      <c r="M87" s="153"/>
      <c r="N87" s="2" t="s">
        <v>57</v>
      </c>
      <c r="O87" s="2"/>
      <c r="P87" s="2" t="s">
        <v>51</v>
      </c>
    </row>
    <row r="88" spans="1:16" ht="16.5" customHeight="1" x14ac:dyDescent="0.25">
      <c r="A88" s="2" t="s">
        <v>251</v>
      </c>
      <c r="B88" s="8" t="s">
        <v>13796</v>
      </c>
      <c r="C88" s="8"/>
      <c r="D88" s="8" t="s">
        <v>232</v>
      </c>
      <c r="E88" s="150" t="s">
        <v>83</v>
      </c>
      <c r="F88" s="151" t="s">
        <v>56</v>
      </c>
      <c r="G88" s="152">
        <v>3</v>
      </c>
      <c r="H88" s="152">
        <v>284</v>
      </c>
      <c r="I88" s="153">
        <v>19.8</v>
      </c>
      <c r="J88" s="145">
        <v>87</v>
      </c>
      <c r="K88" s="153">
        <v>-2.1991666666666672</v>
      </c>
      <c r="L88" s="153" t="s">
        <v>86</v>
      </c>
      <c r="M88" s="153"/>
      <c r="N88" s="2" t="s">
        <v>57</v>
      </c>
      <c r="O88" s="2"/>
      <c r="P88" s="10"/>
    </row>
    <row r="89" spans="1:16" ht="16.5" customHeight="1" x14ac:dyDescent="0.25">
      <c r="A89" s="2" t="s">
        <v>253</v>
      </c>
      <c r="B89" s="8" t="s">
        <v>12737</v>
      </c>
      <c r="C89" s="8"/>
      <c r="D89" s="8" t="s">
        <v>232</v>
      </c>
      <c r="E89" s="150" t="s">
        <v>83</v>
      </c>
      <c r="F89" s="151" t="s">
        <v>56</v>
      </c>
      <c r="G89" s="152">
        <v>6</v>
      </c>
      <c r="H89" s="152">
        <v>115</v>
      </c>
      <c r="I89" s="153">
        <v>24.5</v>
      </c>
      <c r="J89" s="145">
        <v>88</v>
      </c>
      <c r="K89" s="153">
        <v>-2.5230000000000001</v>
      </c>
      <c r="L89" s="153">
        <v>-15.94916975246271</v>
      </c>
      <c r="M89" s="153"/>
      <c r="N89" s="2" t="s">
        <v>57</v>
      </c>
      <c r="O89" s="2"/>
      <c r="P89" s="10"/>
    </row>
    <row r="90" spans="1:16" ht="16.5" customHeight="1" x14ac:dyDescent="0.25">
      <c r="A90" s="2" t="s">
        <v>255</v>
      </c>
      <c r="B90" s="8" t="s">
        <v>13797</v>
      </c>
      <c r="C90" s="8"/>
      <c r="D90" s="8" t="s">
        <v>232</v>
      </c>
      <c r="E90" s="150" t="s">
        <v>83</v>
      </c>
      <c r="F90" s="151" t="s">
        <v>56</v>
      </c>
      <c r="G90" s="152">
        <v>10</v>
      </c>
      <c r="H90" s="152">
        <v>97</v>
      </c>
      <c r="I90" s="153">
        <v>29.45</v>
      </c>
      <c r="J90" s="145">
        <v>89</v>
      </c>
      <c r="K90" s="153">
        <v>-3.6988888888888889</v>
      </c>
      <c r="L90" s="153">
        <v>-18.4157904998278</v>
      </c>
      <c r="M90" s="153"/>
      <c r="N90" s="2" t="s">
        <v>57</v>
      </c>
      <c r="O90" s="2"/>
      <c r="P90" s="10"/>
    </row>
    <row r="91" spans="1:16" ht="16.5" customHeight="1" x14ac:dyDescent="0.25">
      <c r="A91" s="2" t="s">
        <v>257</v>
      </c>
      <c r="B91" s="8" t="s">
        <v>13798</v>
      </c>
      <c r="C91" s="8"/>
      <c r="D91" s="8" t="s">
        <v>232</v>
      </c>
      <c r="E91" s="150" t="s">
        <v>83</v>
      </c>
      <c r="F91" s="151" t="s">
        <v>56</v>
      </c>
      <c r="G91" s="152">
        <v>9</v>
      </c>
      <c r="H91" s="152">
        <v>201</v>
      </c>
      <c r="I91" s="153">
        <v>14.85</v>
      </c>
      <c r="J91" s="145">
        <v>90</v>
      </c>
      <c r="K91" s="153" t="s">
        <v>86</v>
      </c>
      <c r="L91" s="153" t="s">
        <v>86</v>
      </c>
      <c r="M91" s="153"/>
      <c r="N91" s="2" t="s">
        <v>57</v>
      </c>
      <c r="O91" s="2"/>
      <c r="P91" s="10"/>
    </row>
    <row r="92" spans="1:16" ht="16.5" customHeight="1" x14ac:dyDescent="0.25">
      <c r="A92" s="2" t="s">
        <v>259</v>
      </c>
      <c r="B92" s="8" t="s">
        <v>12771</v>
      </c>
      <c r="C92" s="8"/>
      <c r="D92" s="8" t="s">
        <v>232</v>
      </c>
      <c r="E92" s="150" t="s">
        <v>83</v>
      </c>
      <c r="F92" s="151" t="s">
        <v>56</v>
      </c>
      <c r="G92" s="152">
        <v>2</v>
      </c>
      <c r="H92" s="152">
        <v>328</v>
      </c>
      <c r="I92" s="153">
        <v>23.1</v>
      </c>
      <c r="J92" s="145">
        <v>91</v>
      </c>
      <c r="K92" s="153" t="s">
        <v>86</v>
      </c>
      <c r="L92" s="153" t="s">
        <v>86</v>
      </c>
      <c r="M92" s="153"/>
      <c r="N92" s="2" t="s">
        <v>57</v>
      </c>
      <c r="O92" s="2"/>
      <c r="P92" s="10"/>
    </row>
    <row r="93" spans="1:16" ht="16.5" customHeight="1" x14ac:dyDescent="0.25">
      <c r="A93" s="2" t="s">
        <v>261</v>
      </c>
      <c r="B93" s="8" t="s">
        <v>262</v>
      </c>
      <c r="C93" s="8"/>
      <c r="D93" s="8" t="s">
        <v>54</v>
      </c>
      <c r="E93" s="150" t="s">
        <v>55</v>
      </c>
      <c r="F93" s="151" t="s">
        <v>56</v>
      </c>
      <c r="G93" s="152">
        <v>20</v>
      </c>
      <c r="H93" s="152">
        <v>46</v>
      </c>
      <c r="I93" s="153">
        <v>66.11</v>
      </c>
      <c r="J93" s="145">
        <v>92</v>
      </c>
      <c r="K93" s="153">
        <v>-19.213333333333331</v>
      </c>
      <c r="L93" s="153">
        <v>-44.89</v>
      </c>
      <c r="M93" s="153"/>
      <c r="N93" s="2" t="s">
        <v>57</v>
      </c>
      <c r="O93" s="2"/>
      <c r="P93" s="2" t="s">
        <v>51</v>
      </c>
    </row>
    <row r="94" spans="1:16" ht="16.5" customHeight="1" x14ac:dyDescent="0.25">
      <c r="A94" s="2" t="s">
        <v>263</v>
      </c>
      <c r="B94" s="8" t="s">
        <v>12787</v>
      </c>
      <c r="C94" s="8"/>
      <c r="D94" s="8" t="s">
        <v>54</v>
      </c>
      <c r="E94" s="150" t="s">
        <v>55</v>
      </c>
      <c r="F94" s="151" t="s">
        <v>56</v>
      </c>
      <c r="G94" s="152">
        <v>107</v>
      </c>
      <c r="H94" s="152">
        <v>40</v>
      </c>
      <c r="I94" s="153">
        <v>2.72</v>
      </c>
      <c r="J94" s="145">
        <v>93</v>
      </c>
      <c r="K94" s="153">
        <v>-0.89333333333333331</v>
      </c>
      <c r="L94" s="153">
        <v>-3.93</v>
      </c>
      <c r="M94" s="153">
        <v>-0.2290625</v>
      </c>
      <c r="N94" s="2" t="s">
        <v>57</v>
      </c>
      <c r="O94" s="2"/>
      <c r="P94" s="2" t="s">
        <v>51</v>
      </c>
    </row>
    <row r="95" spans="1:16" ht="16.5" customHeight="1" x14ac:dyDescent="0.25">
      <c r="A95" s="2" t="s">
        <v>265</v>
      </c>
      <c r="B95" s="8" t="s">
        <v>12912</v>
      </c>
      <c r="C95" s="8"/>
      <c r="D95" s="8" t="s">
        <v>54</v>
      </c>
      <c r="E95" s="150" t="s">
        <v>55</v>
      </c>
      <c r="F95" s="151" t="s">
        <v>56</v>
      </c>
      <c r="G95" s="152">
        <v>75</v>
      </c>
      <c r="H95" s="152">
        <v>55</v>
      </c>
      <c r="I95" s="153">
        <v>5.25</v>
      </c>
      <c r="J95" s="145">
        <v>94</v>
      </c>
      <c r="K95" s="153">
        <v>-1.225357142857143</v>
      </c>
      <c r="L95" s="153">
        <v>-4.4790495544639644</v>
      </c>
      <c r="M95" s="153">
        <v>-0.458125</v>
      </c>
      <c r="N95" s="2" t="s">
        <v>57</v>
      </c>
      <c r="O95" s="2"/>
      <c r="P95" s="2" t="s">
        <v>51</v>
      </c>
    </row>
    <row r="96" spans="1:16" ht="16.5" customHeight="1" x14ac:dyDescent="0.25">
      <c r="A96" s="2" t="s">
        <v>267</v>
      </c>
      <c r="B96" s="8" t="s">
        <v>12750</v>
      </c>
      <c r="C96" s="8"/>
      <c r="D96" s="8" t="s">
        <v>166</v>
      </c>
      <c r="E96" s="150" t="s">
        <v>83</v>
      </c>
      <c r="F96" s="151" t="s">
        <v>56</v>
      </c>
      <c r="G96" s="152">
        <v>15</v>
      </c>
      <c r="H96" s="152">
        <v>71</v>
      </c>
      <c r="I96" s="153">
        <v>46.45</v>
      </c>
      <c r="J96" s="145">
        <v>95</v>
      </c>
      <c r="K96" s="153">
        <v>-7.0595833333333333</v>
      </c>
      <c r="L96" s="153">
        <v>-6.28</v>
      </c>
      <c r="M96" s="153"/>
      <c r="N96" s="2" t="s">
        <v>57</v>
      </c>
      <c r="O96" s="2"/>
      <c r="P96" s="10"/>
    </row>
    <row r="97" spans="1:16" ht="16.5" customHeight="1" x14ac:dyDescent="0.25">
      <c r="A97" s="2" t="s">
        <v>269</v>
      </c>
      <c r="B97" s="8" t="s">
        <v>13799</v>
      </c>
      <c r="C97" s="8"/>
      <c r="D97" s="8" t="s">
        <v>166</v>
      </c>
      <c r="E97" s="150" t="s">
        <v>83</v>
      </c>
      <c r="F97" s="151" t="s">
        <v>56</v>
      </c>
      <c r="G97" s="152">
        <v>1</v>
      </c>
      <c r="H97" s="152">
        <v>163</v>
      </c>
      <c r="I97" s="153">
        <v>31.91</v>
      </c>
      <c r="J97" s="145">
        <v>96</v>
      </c>
      <c r="K97" s="153">
        <v>-6.7149999999999999</v>
      </c>
      <c r="L97" s="153">
        <v>-21.204632346848751</v>
      </c>
      <c r="M97" s="153"/>
      <c r="N97" s="2" t="s">
        <v>57</v>
      </c>
      <c r="O97" s="2"/>
      <c r="P97" s="10"/>
    </row>
    <row r="98" spans="1:16" ht="16.5" customHeight="1" x14ac:dyDescent="0.25">
      <c r="A98" s="2" t="s">
        <v>271</v>
      </c>
      <c r="B98" s="8" t="s">
        <v>12740</v>
      </c>
      <c r="C98" s="8"/>
      <c r="D98" s="8" t="s">
        <v>148</v>
      </c>
      <c r="E98" s="150" t="s">
        <v>83</v>
      </c>
      <c r="F98" s="151" t="s">
        <v>56</v>
      </c>
      <c r="G98" s="152">
        <v>28</v>
      </c>
      <c r="H98" s="152">
        <v>85</v>
      </c>
      <c r="I98" s="153">
        <v>10.18</v>
      </c>
      <c r="J98" s="145">
        <v>97</v>
      </c>
      <c r="K98" s="153">
        <v>-6.3928222222222217</v>
      </c>
      <c r="L98" s="153">
        <v>-1.56</v>
      </c>
      <c r="M98" s="153"/>
      <c r="N98" s="2" t="s">
        <v>57</v>
      </c>
      <c r="O98" s="2"/>
      <c r="P98" s="2" t="s">
        <v>51</v>
      </c>
    </row>
    <row r="99" spans="1:16" ht="16.5" customHeight="1" x14ac:dyDescent="0.25">
      <c r="A99" s="2" t="s">
        <v>273</v>
      </c>
      <c r="B99" s="8" t="s">
        <v>274</v>
      </c>
      <c r="C99" s="8"/>
      <c r="D99" s="8" t="s">
        <v>123</v>
      </c>
      <c r="E99" s="150" t="s">
        <v>92</v>
      </c>
      <c r="F99" s="151" t="s">
        <v>56</v>
      </c>
      <c r="G99" s="152">
        <v>10</v>
      </c>
      <c r="H99" s="152">
        <v>95</v>
      </c>
      <c r="I99" s="153">
        <v>53.3</v>
      </c>
      <c r="J99" s="145">
        <v>98</v>
      </c>
      <c r="K99" s="153">
        <v>-12.68480519480519</v>
      </c>
      <c r="L99" s="153">
        <v>-17.329999999999998</v>
      </c>
      <c r="M99" s="153"/>
      <c r="N99" s="2" t="s">
        <v>57</v>
      </c>
      <c r="O99" s="2"/>
      <c r="P99" s="10"/>
    </row>
    <row r="100" spans="1:16" ht="16.5" customHeight="1" x14ac:dyDescent="0.25">
      <c r="A100" s="2" t="s">
        <v>275</v>
      </c>
      <c r="B100" s="8" t="s">
        <v>276</v>
      </c>
      <c r="C100" s="8" t="s">
        <v>277</v>
      </c>
      <c r="D100" s="8" t="s">
        <v>278</v>
      </c>
      <c r="E100" s="150" t="s">
        <v>102</v>
      </c>
      <c r="F100" s="151" t="s">
        <v>103</v>
      </c>
      <c r="G100" s="152">
        <v>16</v>
      </c>
      <c r="H100" s="152">
        <v>42</v>
      </c>
      <c r="I100" s="153">
        <v>92.35</v>
      </c>
      <c r="J100" s="145">
        <v>99</v>
      </c>
      <c r="K100" s="153">
        <v>-15.363</v>
      </c>
      <c r="L100" s="153">
        <v>-19.288982026785138</v>
      </c>
      <c r="M100" s="153"/>
      <c r="N100" s="2" t="s">
        <v>57</v>
      </c>
      <c r="O100" s="2" t="s">
        <v>279</v>
      </c>
      <c r="P100" s="2" t="s">
        <v>51</v>
      </c>
    </row>
    <row r="101" spans="1:16" ht="16.5" customHeight="1" x14ac:dyDescent="0.25">
      <c r="A101" s="2" t="s">
        <v>280</v>
      </c>
      <c r="B101" s="8" t="s">
        <v>13800</v>
      </c>
      <c r="C101" s="8"/>
      <c r="D101" s="8" t="s">
        <v>282</v>
      </c>
      <c r="E101" s="150" t="s">
        <v>13772</v>
      </c>
      <c r="F101" s="151" t="s">
        <v>103</v>
      </c>
      <c r="G101" s="152">
        <v>13</v>
      </c>
      <c r="H101" s="152">
        <v>224</v>
      </c>
      <c r="I101" s="153">
        <v>3.58</v>
      </c>
      <c r="J101" s="145">
        <v>100</v>
      </c>
      <c r="K101" s="153">
        <v>-5.3659999999999997</v>
      </c>
      <c r="L101" s="153" t="s">
        <v>86</v>
      </c>
      <c r="M101" s="153"/>
      <c r="N101" s="2" t="s">
        <v>57</v>
      </c>
      <c r="O101" s="2"/>
      <c r="P101" s="10"/>
    </row>
    <row r="102" spans="1:16" ht="16.5" customHeight="1" x14ac:dyDescent="0.25">
      <c r="A102" s="2" t="s">
        <v>284</v>
      </c>
      <c r="B102" s="8" t="s">
        <v>285</v>
      </c>
      <c r="C102" s="8" t="s">
        <v>101</v>
      </c>
      <c r="D102" s="8" t="s">
        <v>282</v>
      </c>
      <c r="E102" s="150" t="s">
        <v>13772</v>
      </c>
      <c r="F102" s="151" t="s">
        <v>103</v>
      </c>
      <c r="G102" s="152">
        <v>6</v>
      </c>
      <c r="H102" s="152">
        <v>526</v>
      </c>
      <c r="I102" s="153">
        <v>6.69</v>
      </c>
      <c r="J102" s="145">
        <v>101</v>
      </c>
      <c r="K102" s="153">
        <v>-5.3436309523809529</v>
      </c>
      <c r="L102" s="153" t="s">
        <v>86</v>
      </c>
      <c r="M102" s="153"/>
      <c r="N102" s="2" t="s">
        <v>57</v>
      </c>
      <c r="O102" s="2"/>
      <c r="P102" s="10"/>
    </row>
    <row r="103" spans="1:16" ht="16.5" customHeight="1" x14ac:dyDescent="0.25">
      <c r="A103" s="2" t="s">
        <v>286</v>
      </c>
      <c r="B103" s="8" t="s">
        <v>287</v>
      </c>
      <c r="C103" s="8"/>
      <c r="D103" s="8" t="s">
        <v>282</v>
      </c>
      <c r="E103" s="150" t="s">
        <v>13772</v>
      </c>
      <c r="F103" s="151" t="s">
        <v>103</v>
      </c>
      <c r="G103" s="152">
        <v>9</v>
      </c>
      <c r="H103" s="152">
        <v>187</v>
      </c>
      <c r="I103" s="153">
        <v>15.96</v>
      </c>
      <c r="J103" s="145">
        <v>102</v>
      </c>
      <c r="K103" s="153">
        <v>-6.894000000000001</v>
      </c>
      <c r="L103" s="153" t="s">
        <v>86</v>
      </c>
      <c r="M103" s="153"/>
      <c r="N103" s="2" t="s">
        <v>57</v>
      </c>
      <c r="O103" s="2"/>
      <c r="P103" s="10"/>
    </row>
    <row r="104" spans="1:16" ht="16.5" customHeight="1" x14ac:dyDescent="0.25">
      <c r="A104" s="2" t="s">
        <v>288</v>
      </c>
      <c r="B104" s="8" t="s">
        <v>13281</v>
      </c>
      <c r="C104" s="8"/>
      <c r="D104" s="8" t="s">
        <v>282</v>
      </c>
      <c r="E104" s="150" t="s">
        <v>13772</v>
      </c>
      <c r="F104" s="151" t="s">
        <v>103</v>
      </c>
      <c r="G104" s="152">
        <v>50</v>
      </c>
      <c r="H104" s="152">
        <v>126</v>
      </c>
      <c r="I104" s="153">
        <v>8.07</v>
      </c>
      <c r="J104" s="145">
        <v>103</v>
      </c>
      <c r="K104" s="153">
        <v>-0.89449999999999996</v>
      </c>
      <c r="L104" s="153" t="s">
        <v>86</v>
      </c>
      <c r="M104" s="153"/>
      <c r="N104" s="2" t="s">
        <v>57</v>
      </c>
      <c r="O104" s="2"/>
      <c r="P104" s="10"/>
    </row>
    <row r="105" spans="1:16" ht="16.5" customHeight="1" x14ac:dyDescent="0.25">
      <c r="A105" s="2" t="s">
        <v>290</v>
      </c>
      <c r="B105" s="8" t="s">
        <v>291</v>
      </c>
      <c r="C105" s="8"/>
      <c r="D105" s="8" t="s">
        <v>278</v>
      </c>
      <c r="E105" s="150" t="s">
        <v>83</v>
      </c>
      <c r="F105" s="151" t="s">
        <v>56</v>
      </c>
      <c r="G105" s="152">
        <v>2</v>
      </c>
      <c r="H105" s="152">
        <v>310</v>
      </c>
      <c r="I105" s="153">
        <v>43.6</v>
      </c>
      <c r="J105" s="145">
        <v>104</v>
      </c>
      <c r="K105" s="153">
        <v>-8.3460000000000001</v>
      </c>
      <c r="L105" s="153" t="s">
        <v>86</v>
      </c>
      <c r="M105" s="153"/>
      <c r="N105" s="2" t="s">
        <v>57</v>
      </c>
      <c r="O105" s="2"/>
      <c r="P105" s="10"/>
    </row>
    <row r="106" spans="1:16" ht="16.5" customHeight="1" x14ac:dyDescent="0.25">
      <c r="A106" s="2" t="s">
        <v>292</v>
      </c>
      <c r="B106" s="8" t="s">
        <v>293</v>
      </c>
      <c r="C106" s="8"/>
      <c r="D106" s="8" t="s">
        <v>278</v>
      </c>
      <c r="E106" s="150" t="s">
        <v>83</v>
      </c>
      <c r="F106" s="151" t="s">
        <v>56</v>
      </c>
      <c r="G106" s="152">
        <v>5</v>
      </c>
      <c r="H106" s="152">
        <v>125</v>
      </c>
      <c r="I106" s="153">
        <v>50.05</v>
      </c>
      <c r="J106" s="145">
        <v>105</v>
      </c>
      <c r="K106" s="153">
        <v>-10.77467220289857</v>
      </c>
      <c r="L106" s="153" t="s">
        <v>86</v>
      </c>
      <c r="M106" s="153"/>
      <c r="N106" s="2" t="s">
        <v>57</v>
      </c>
      <c r="O106" s="2"/>
      <c r="P106" s="10"/>
    </row>
    <row r="107" spans="1:16" ht="16.5" customHeight="1" x14ac:dyDescent="0.25">
      <c r="A107" s="2" t="s">
        <v>294</v>
      </c>
      <c r="B107" s="8" t="s">
        <v>13801</v>
      </c>
      <c r="C107" s="8"/>
      <c r="D107" s="8" t="s">
        <v>296</v>
      </c>
      <c r="E107" s="150" t="s">
        <v>13771</v>
      </c>
      <c r="F107" s="151" t="s">
        <v>56</v>
      </c>
      <c r="G107" s="152">
        <v>12</v>
      </c>
      <c r="H107" s="152">
        <v>140</v>
      </c>
      <c r="I107" s="153">
        <v>40.700000000000003</v>
      </c>
      <c r="J107" s="145">
        <v>106</v>
      </c>
      <c r="K107" s="153">
        <v>-3.2106249999999998</v>
      </c>
      <c r="L107" s="153">
        <v>-3.8367784357290309</v>
      </c>
      <c r="M107" s="153"/>
      <c r="N107" s="2" t="s">
        <v>57</v>
      </c>
      <c r="O107" s="2"/>
      <c r="P107" s="2" t="s">
        <v>51</v>
      </c>
    </row>
    <row r="108" spans="1:16" ht="16.5" customHeight="1" x14ac:dyDescent="0.25">
      <c r="A108" s="2" t="s">
        <v>297</v>
      </c>
      <c r="B108" s="8" t="s">
        <v>298</v>
      </c>
      <c r="C108" s="8"/>
      <c r="D108" s="8" t="s">
        <v>296</v>
      </c>
      <c r="E108" s="150" t="s">
        <v>13771</v>
      </c>
      <c r="F108" s="151" t="s">
        <v>56</v>
      </c>
      <c r="G108" s="152">
        <v>11</v>
      </c>
      <c r="H108" s="152">
        <v>211</v>
      </c>
      <c r="I108" s="153">
        <v>19.260000000000002</v>
      </c>
      <c r="J108" s="145">
        <v>107</v>
      </c>
      <c r="K108" s="153">
        <v>-1.626349206349206</v>
      </c>
      <c r="L108" s="153">
        <v>-4.1621168069717598</v>
      </c>
      <c r="M108" s="153"/>
      <c r="N108" s="2" t="s">
        <v>57</v>
      </c>
      <c r="O108" s="2"/>
      <c r="P108" s="2" t="s">
        <v>51</v>
      </c>
    </row>
    <row r="109" spans="1:16" ht="16.5" customHeight="1" x14ac:dyDescent="0.25">
      <c r="A109" s="2" t="s">
        <v>299</v>
      </c>
      <c r="B109" s="8" t="s">
        <v>300</v>
      </c>
      <c r="C109" s="8"/>
      <c r="D109" s="8" t="s">
        <v>54</v>
      </c>
      <c r="E109" s="150" t="s">
        <v>55</v>
      </c>
      <c r="F109" s="151" t="s">
        <v>56</v>
      </c>
      <c r="G109" s="152">
        <v>82</v>
      </c>
      <c r="H109" s="152">
        <v>88</v>
      </c>
      <c r="I109" s="153">
        <v>1.21</v>
      </c>
      <c r="J109" s="145">
        <v>108</v>
      </c>
      <c r="K109" s="153">
        <v>-0.58558749999999993</v>
      </c>
      <c r="L109" s="153">
        <v>-1.759626610682272</v>
      </c>
      <c r="M109" s="153">
        <v>-0.1582608695652174</v>
      </c>
      <c r="N109" s="2" t="s">
        <v>57</v>
      </c>
      <c r="O109" s="2"/>
      <c r="P109" s="2" t="s">
        <v>51</v>
      </c>
    </row>
    <row r="110" spans="1:16" ht="16.5" customHeight="1" x14ac:dyDescent="0.25">
      <c r="A110" s="2" t="s">
        <v>301</v>
      </c>
      <c r="B110" s="8" t="s">
        <v>13802</v>
      </c>
      <c r="C110" s="8" t="s">
        <v>119</v>
      </c>
      <c r="D110" s="8" t="s">
        <v>296</v>
      </c>
      <c r="E110" s="150" t="s">
        <v>83</v>
      </c>
      <c r="F110" s="151" t="s">
        <v>56</v>
      </c>
      <c r="G110" s="152">
        <v>28</v>
      </c>
      <c r="H110" s="152">
        <v>167</v>
      </c>
      <c r="I110" s="153">
        <v>68.69</v>
      </c>
      <c r="J110" s="145">
        <v>109</v>
      </c>
      <c r="K110" s="153">
        <v>-11.234248484848489</v>
      </c>
      <c r="L110" s="153">
        <v>-9.6778772803569062</v>
      </c>
      <c r="M110" s="153"/>
      <c r="N110" s="2" t="s">
        <v>57</v>
      </c>
      <c r="O110" s="2"/>
      <c r="P110" s="2" t="s">
        <v>51</v>
      </c>
    </row>
    <row r="111" spans="1:16" ht="16.5" customHeight="1" x14ac:dyDescent="0.25">
      <c r="A111" s="2" t="s">
        <v>303</v>
      </c>
      <c r="B111" s="8" t="s">
        <v>304</v>
      </c>
      <c r="C111" s="8" t="s">
        <v>119</v>
      </c>
      <c r="D111" s="8" t="s">
        <v>296</v>
      </c>
      <c r="E111" s="150" t="s">
        <v>83</v>
      </c>
      <c r="F111" s="151" t="s">
        <v>56</v>
      </c>
      <c r="G111" s="152">
        <v>10</v>
      </c>
      <c r="H111" s="152">
        <v>304</v>
      </c>
      <c r="I111" s="153">
        <v>85.7</v>
      </c>
      <c r="J111" s="145">
        <v>110</v>
      </c>
      <c r="K111" s="153">
        <v>-15.804372549019609</v>
      </c>
      <c r="L111" s="153">
        <v>-9.7403151982946916</v>
      </c>
      <c r="M111" s="153"/>
      <c r="N111" s="2" t="s">
        <v>57</v>
      </c>
      <c r="O111" s="2"/>
      <c r="P111" s="2" t="s">
        <v>51</v>
      </c>
    </row>
    <row r="112" spans="1:16" ht="16.5" customHeight="1" x14ac:dyDescent="0.25">
      <c r="A112" s="2" t="s">
        <v>305</v>
      </c>
      <c r="B112" s="8" t="s">
        <v>12739</v>
      </c>
      <c r="C112" s="8"/>
      <c r="D112" s="8" t="s">
        <v>278</v>
      </c>
      <c r="E112" s="150" t="s">
        <v>13771</v>
      </c>
      <c r="F112" s="151" t="s">
        <v>56</v>
      </c>
      <c r="G112" s="152">
        <v>18</v>
      </c>
      <c r="H112" s="152">
        <v>133</v>
      </c>
      <c r="I112" s="153">
        <v>34.17</v>
      </c>
      <c r="J112" s="145">
        <v>111</v>
      </c>
      <c r="K112" s="153">
        <v>-5.27</v>
      </c>
      <c r="L112" s="153">
        <v>-6.6739066248701659</v>
      </c>
      <c r="M112" s="153"/>
      <c r="N112" s="2" t="s">
        <v>57</v>
      </c>
      <c r="O112" s="2"/>
      <c r="P112" s="2" t="s">
        <v>51</v>
      </c>
    </row>
    <row r="113" spans="1:16" ht="16.5" customHeight="1" x14ac:dyDescent="0.25">
      <c r="A113" s="2" t="s">
        <v>307</v>
      </c>
      <c r="B113" s="8" t="s">
        <v>12684</v>
      </c>
      <c r="C113" s="8"/>
      <c r="D113" s="8" t="s">
        <v>296</v>
      </c>
      <c r="E113" s="150" t="s">
        <v>13771</v>
      </c>
      <c r="F113" s="151" t="s">
        <v>56</v>
      </c>
      <c r="G113" s="152">
        <v>6</v>
      </c>
      <c r="H113" s="152">
        <v>161</v>
      </c>
      <c r="I113" s="153">
        <v>52.8</v>
      </c>
      <c r="J113" s="145">
        <v>112</v>
      </c>
      <c r="K113" s="153">
        <v>-2.14</v>
      </c>
      <c r="L113" s="153" t="s">
        <v>86</v>
      </c>
      <c r="M113" s="153"/>
      <c r="N113" s="2" t="s">
        <v>57</v>
      </c>
      <c r="O113" s="2"/>
      <c r="P113" s="10"/>
    </row>
    <row r="114" spans="1:16" ht="16.5" customHeight="1" x14ac:dyDescent="0.25">
      <c r="A114" s="2" t="s">
        <v>309</v>
      </c>
      <c r="B114" s="8" t="s">
        <v>13803</v>
      </c>
      <c r="C114" s="8"/>
      <c r="D114" s="8" t="s">
        <v>296</v>
      </c>
      <c r="E114" s="150" t="s">
        <v>13771</v>
      </c>
      <c r="F114" s="151" t="s">
        <v>56</v>
      </c>
      <c r="G114" s="152">
        <v>3</v>
      </c>
      <c r="H114" s="152">
        <v>247</v>
      </c>
      <c r="I114" s="153">
        <v>90.2</v>
      </c>
      <c r="J114" s="145">
        <v>113</v>
      </c>
      <c r="K114" s="153">
        <v>-2.4180000000000001</v>
      </c>
      <c r="L114" s="153" t="s">
        <v>86</v>
      </c>
      <c r="M114" s="153"/>
      <c r="N114" s="2" t="s">
        <v>57</v>
      </c>
      <c r="O114" s="2"/>
      <c r="P114" s="10"/>
    </row>
    <row r="115" spans="1:16" ht="16.5" customHeight="1" x14ac:dyDescent="0.25">
      <c r="A115" s="2" t="s">
        <v>311</v>
      </c>
      <c r="B115" s="8" t="s">
        <v>13804</v>
      </c>
      <c r="C115" s="8"/>
      <c r="D115" s="8" t="s">
        <v>296</v>
      </c>
      <c r="E115" s="150" t="s">
        <v>13771</v>
      </c>
      <c r="F115" s="151" t="s">
        <v>56</v>
      </c>
      <c r="G115" s="152">
        <v>1</v>
      </c>
      <c r="H115" s="152">
        <v>274</v>
      </c>
      <c r="I115" s="153">
        <v>143.13</v>
      </c>
      <c r="J115" s="145">
        <v>114</v>
      </c>
      <c r="K115" s="153">
        <v>-9.6566666666666663</v>
      </c>
      <c r="L115" s="153" t="s">
        <v>86</v>
      </c>
      <c r="M115" s="153"/>
      <c r="N115" s="2" t="s">
        <v>57</v>
      </c>
      <c r="O115" s="2"/>
      <c r="P115" s="10"/>
    </row>
    <row r="116" spans="1:16" ht="16.5" customHeight="1" x14ac:dyDescent="0.25">
      <c r="A116" s="2" t="s">
        <v>313</v>
      </c>
      <c r="B116" s="8" t="s">
        <v>12738</v>
      </c>
      <c r="C116" s="8"/>
      <c r="D116" s="8" t="s">
        <v>296</v>
      </c>
      <c r="E116" s="150" t="s">
        <v>13771</v>
      </c>
      <c r="F116" s="151" t="s">
        <v>56</v>
      </c>
      <c r="G116" s="152">
        <v>4</v>
      </c>
      <c r="H116" s="152">
        <v>272</v>
      </c>
      <c r="I116" s="153">
        <v>29.7</v>
      </c>
      <c r="J116" s="145">
        <v>115</v>
      </c>
      <c r="K116" s="153">
        <v>-2.249166666666667</v>
      </c>
      <c r="L116" s="153" t="s">
        <v>86</v>
      </c>
      <c r="M116" s="153"/>
      <c r="N116" s="2" t="s">
        <v>57</v>
      </c>
      <c r="O116" s="2"/>
      <c r="P116" s="10"/>
    </row>
    <row r="117" spans="1:16" ht="16.5" customHeight="1" x14ac:dyDescent="0.25">
      <c r="A117" s="2" t="s">
        <v>315</v>
      </c>
      <c r="B117" s="8" t="s">
        <v>12681</v>
      </c>
      <c r="C117" s="8"/>
      <c r="D117" s="8" t="s">
        <v>296</v>
      </c>
      <c r="E117" s="150" t="s">
        <v>13771</v>
      </c>
      <c r="F117" s="151" t="s">
        <v>56</v>
      </c>
      <c r="G117" s="152">
        <v>4</v>
      </c>
      <c r="H117" s="152">
        <v>325</v>
      </c>
      <c r="I117" s="153">
        <v>34.1</v>
      </c>
      <c r="J117" s="145">
        <v>116</v>
      </c>
      <c r="K117" s="153">
        <v>-2.5649999999999999</v>
      </c>
      <c r="L117" s="153" t="s">
        <v>86</v>
      </c>
      <c r="M117" s="153"/>
      <c r="N117" s="2" t="s">
        <v>57</v>
      </c>
      <c r="O117" s="2"/>
      <c r="P117" s="10"/>
    </row>
    <row r="118" spans="1:16" ht="16.5" customHeight="1" x14ac:dyDescent="0.25">
      <c r="A118" s="2" t="s">
        <v>317</v>
      </c>
      <c r="B118" s="8" t="s">
        <v>12680</v>
      </c>
      <c r="C118" s="8"/>
      <c r="D118" s="8" t="s">
        <v>296</v>
      </c>
      <c r="E118" s="150" t="s">
        <v>13771</v>
      </c>
      <c r="F118" s="151" t="s">
        <v>56</v>
      </c>
      <c r="G118" s="152">
        <v>5</v>
      </c>
      <c r="H118" s="152">
        <v>276</v>
      </c>
      <c r="I118" s="153">
        <v>38.5</v>
      </c>
      <c r="J118" s="145">
        <v>117</v>
      </c>
      <c r="K118" s="153">
        <v>-2.9661249999999999</v>
      </c>
      <c r="L118" s="153" t="s">
        <v>86</v>
      </c>
      <c r="M118" s="153"/>
      <c r="N118" s="2" t="s">
        <v>57</v>
      </c>
      <c r="O118" s="2"/>
      <c r="P118" s="10"/>
    </row>
    <row r="119" spans="1:16" ht="16.5" customHeight="1" x14ac:dyDescent="0.25">
      <c r="A119" s="2" t="s">
        <v>319</v>
      </c>
      <c r="B119" s="8" t="s">
        <v>12683</v>
      </c>
      <c r="C119" s="8"/>
      <c r="D119" s="8" t="s">
        <v>296</v>
      </c>
      <c r="E119" s="150" t="s">
        <v>13771</v>
      </c>
      <c r="F119" s="151" t="s">
        <v>56</v>
      </c>
      <c r="G119" s="152">
        <v>4</v>
      </c>
      <c r="H119" s="152">
        <v>282</v>
      </c>
      <c r="I119" s="153">
        <v>41.8</v>
      </c>
      <c r="J119" s="145">
        <v>118</v>
      </c>
      <c r="K119" s="153">
        <v>-2.9658333333333342</v>
      </c>
      <c r="L119" s="153" t="s">
        <v>86</v>
      </c>
      <c r="M119" s="153"/>
      <c r="N119" s="2" t="s">
        <v>57</v>
      </c>
      <c r="O119" s="2"/>
      <c r="P119" s="10"/>
    </row>
    <row r="120" spans="1:16" ht="16.5" customHeight="1" x14ac:dyDescent="0.25">
      <c r="A120" s="2" t="s">
        <v>321</v>
      </c>
      <c r="B120" s="8" t="s">
        <v>13805</v>
      </c>
      <c r="C120" s="8"/>
      <c r="D120" s="8" t="s">
        <v>296</v>
      </c>
      <c r="E120" s="150" t="s">
        <v>13771</v>
      </c>
      <c r="F120" s="151" t="s">
        <v>56</v>
      </c>
      <c r="G120" s="152">
        <v>2</v>
      </c>
      <c r="H120" s="152">
        <v>420</v>
      </c>
      <c r="I120" s="153">
        <v>80.33</v>
      </c>
      <c r="J120" s="145">
        <v>119</v>
      </c>
      <c r="K120" s="153">
        <v>-9.1950000000000003</v>
      </c>
      <c r="L120" s="153">
        <v>-5.63</v>
      </c>
      <c r="M120" s="153"/>
      <c r="N120" s="2" t="s">
        <v>57</v>
      </c>
      <c r="O120" s="2"/>
      <c r="P120" s="2" t="s">
        <v>51</v>
      </c>
    </row>
    <row r="121" spans="1:16" ht="16.5" customHeight="1" x14ac:dyDescent="0.25">
      <c r="A121" s="2" t="s">
        <v>323</v>
      </c>
      <c r="B121" s="8" t="s">
        <v>324</v>
      </c>
      <c r="C121" s="8"/>
      <c r="D121" s="8" t="s">
        <v>296</v>
      </c>
      <c r="E121" s="150" t="s">
        <v>13771</v>
      </c>
      <c r="F121" s="151" t="s">
        <v>56</v>
      </c>
      <c r="G121" s="152">
        <v>5</v>
      </c>
      <c r="H121" s="152">
        <v>464</v>
      </c>
      <c r="I121" s="153">
        <v>24.75</v>
      </c>
      <c r="J121" s="145">
        <v>120</v>
      </c>
      <c r="K121" s="153">
        <v>-9.7785714285714285</v>
      </c>
      <c r="L121" s="153">
        <v>-9.6996829121508021</v>
      </c>
      <c r="M121" s="153"/>
      <c r="N121" s="2" t="s">
        <v>57</v>
      </c>
      <c r="O121" s="2"/>
      <c r="P121" s="2" t="s">
        <v>51</v>
      </c>
    </row>
    <row r="122" spans="1:16" ht="16.5" customHeight="1" x14ac:dyDescent="0.25">
      <c r="A122" s="2" t="s">
        <v>325</v>
      </c>
      <c r="B122" s="8" t="s">
        <v>13806</v>
      </c>
      <c r="C122" s="8"/>
      <c r="D122" s="8" t="s">
        <v>278</v>
      </c>
      <c r="E122" s="150" t="s">
        <v>83</v>
      </c>
      <c r="F122" s="151" t="s">
        <v>56</v>
      </c>
      <c r="G122" s="152">
        <v>1</v>
      </c>
      <c r="H122" s="152">
        <v>525</v>
      </c>
      <c r="I122" s="153">
        <v>8.25</v>
      </c>
      <c r="J122" s="145">
        <v>121</v>
      </c>
      <c r="K122" s="153">
        <v>-1.423571428571428</v>
      </c>
      <c r="L122" s="153">
        <v>-3.949624860309298</v>
      </c>
      <c r="M122" s="153"/>
      <c r="N122" s="2" t="s">
        <v>57</v>
      </c>
      <c r="O122" s="2"/>
      <c r="P122" s="10"/>
    </row>
    <row r="123" spans="1:16" ht="16.5" customHeight="1" x14ac:dyDescent="0.25">
      <c r="A123" s="2" t="s">
        <v>327</v>
      </c>
      <c r="B123" s="8" t="s">
        <v>12529</v>
      </c>
      <c r="C123" s="8"/>
      <c r="D123" s="8" t="s">
        <v>278</v>
      </c>
      <c r="E123" s="150" t="s">
        <v>83</v>
      </c>
      <c r="F123" s="151" t="s">
        <v>56</v>
      </c>
      <c r="G123" s="152">
        <v>1</v>
      </c>
      <c r="H123" s="152">
        <v>546</v>
      </c>
      <c r="I123" s="153">
        <v>14.29</v>
      </c>
      <c r="J123" s="145">
        <v>122</v>
      </c>
      <c r="K123" s="153">
        <v>-7.4622916666666672</v>
      </c>
      <c r="L123" s="153" t="s">
        <v>86</v>
      </c>
      <c r="M123" s="153"/>
      <c r="N123" s="2" t="s">
        <v>57</v>
      </c>
      <c r="O123" s="2"/>
      <c r="P123" s="10"/>
    </row>
    <row r="124" spans="1:16" ht="16.5" customHeight="1" x14ac:dyDescent="0.25">
      <c r="A124" s="2" t="s">
        <v>329</v>
      </c>
      <c r="B124" s="8" t="s">
        <v>12561</v>
      </c>
      <c r="C124" s="8" t="s">
        <v>101</v>
      </c>
      <c r="D124" s="8" t="s">
        <v>278</v>
      </c>
      <c r="E124" s="150" t="s">
        <v>83</v>
      </c>
      <c r="F124" s="151" t="s">
        <v>56</v>
      </c>
      <c r="G124" s="152">
        <v>0</v>
      </c>
      <c r="H124" s="152">
        <v>417</v>
      </c>
      <c r="I124" s="153">
        <v>28.05</v>
      </c>
      <c r="J124" s="145">
        <v>123</v>
      </c>
      <c r="K124" s="153">
        <v>-9.1563333333333325</v>
      </c>
      <c r="L124" s="153" t="s">
        <v>86</v>
      </c>
      <c r="M124" s="153"/>
      <c r="N124" s="2" t="s">
        <v>57</v>
      </c>
      <c r="O124" s="2"/>
      <c r="P124" s="10"/>
    </row>
    <row r="125" spans="1:16" ht="16.5" customHeight="1" x14ac:dyDescent="0.25">
      <c r="A125" s="2" t="s">
        <v>331</v>
      </c>
      <c r="B125" s="8" t="s">
        <v>12682</v>
      </c>
      <c r="C125" s="8"/>
      <c r="D125" s="8" t="s">
        <v>278</v>
      </c>
      <c r="E125" s="150" t="s">
        <v>83</v>
      </c>
      <c r="F125" s="151" t="s">
        <v>56</v>
      </c>
      <c r="G125" s="152">
        <v>0</v>
      </c>
      <c r="H125" s="152">
        <v>936</v>
      </c>
      <c r="I125" s="153">
        <v>8.8000000000000007</v>
      </c>
      <c r="J125" s="145">
        <v>124</v>
      </c>
      <c r="K125" s="153">
        <v>-1.3174999999999999</v>
      </c>
      <c r="L125" s="153" t="s">
        <v>86</v>
      </c>
      <c r="M125" s="153"/>
      <c r="N125" s="2" t="s">
        <v>57</v>
      </c>
      <c r="O125" s="2"/>
      <c r="P125" s="10"/>
    </row>
    <row r="126" spans="1:16" ht="16.5" customHeight="1" x14ac:dyDescent="0.25">
      <c r="A126" s="2" t="s">
        <v>333</v>
      </c>
      <c r="B126" s="8" t="s">
        <v>13045</v>
      </c>
      <c r="C126" s="8"/>
      <c r="D126" s="8" t="s">
        <v>282</v>
      </c>
      <c r="E126" s="150" t="s">
        <v>13772</v>
      </c>
      <c r="F126" s="151" t="s">
        <v>103</v>
      </c>
      <c r="G126" s="152">
        <v>5</v>
      </c>
      <c r="H126" s="152">
        <v>280</v>
      </c>
      <c r="I126" s="153">
        <v>4.7699999999999996</v>
      </c>
      <c r="J126" s="145">
        <v>125</v>
      </c>
      <c r="K126" s="153">
        <v>-0.76964285714285718</v>
      </c>
      <c r="L126" s="153" t="s">
        <v>86</v>
      </c>
      <c r="M126" s="153"/>
      <c r="N126" s="2" t="s">
        <v>57</v>
      </c>
      <c r="O126" s="2"/>
      <c r="P126" s="10"/>
    </row>
    <row r="127" spans="1:16" ht="16.5" customHeight="1" x14ac:dyDescent="0.25">
      <c r="A127" s="2" t="s">
        <v>335</v>
      </c>
      <c r="B127" s="8" t="s">
        <v>12560</v>
      </c>
      <c r="C127" s="8" t="s">
        <v>337</v>
      </c>
      <c r="D127" s="8" t="s">
        <v>278</v>
      </c>
      <c r="E127" s="150" t="s">
        <v>83</v>
      </c>
      <c r="F127" s="151" t="s">
        <v>56</v>
      </c>
      <c r="G127" s="152">
        <v>3</v>
      </c>
      <c r="H127" s="152">
        <v>334</v>
      </c>
      <c r="I127" s="153">
        <v>20.14</v>
      </c>
      <c r="J127" s="145">
        <v>126</v>
      </c>
      <c r="K127" s="153">
        <v>-7.6186080412347907</v>
      </c>
      <c r="L127" s="153" t="s">
        <v>86</v>
      </c>
      <c r="M127" s="153"/>
      <c r="N127" s="2" t="s">
        <v>57</v>
      </c>
      <c r="O127" s="2"/>
      <c r="P127" s="10"/>
    </row>
    <row r="128" spans="1:16" ht="16.5" customHeight="1" x14ac:dyDescent="0.25">
      <c r="A128" s="2" t="s">
        <v>338</v>
      </c>
      <c r="B128" s="8" t="s">
        <v>12752</v>
      </c>
      <c r="C128" s="8"/>
      <c r="D128" s="8" t="s">
        <v>278</v>
      </c>
      <c r="E128" s="150" t="s">
        <v>13771</v>
      </c>
      <c r="F128" s="151" t="s">
        <v>56</v>
      </c>
      <c r="G128" s="152">
        <v>2</v>
      </c>
      <c r="H128" s="152">
        <v>298</v>
      </c>
      <c r="I128" s="153">
        <v>45.1</v>
      </c>
      <c r="J128" s="145">
        <v>127</v>
      </c>
      <c r="K128" s="153">
        <v>-0.77158573547890041</v>
      </c>
      <c r="L128" s="153" t="s">
        <v>86</v>
      </c>
      <c r="M128" s="153"/>
      <c r="N128" s="2" t="s">
        <v>57</v>
      </c>
      <c r="O128" s="2"/>
      <c r="P128" s="10"/>
    </row>
    <row r="129" spans="1:16" ht="16.5" customHeight="1" x14ac:dyDescent="0.25">
      <c r="A129" s="2" t="s">
        <v>340</v>
      </c>
      <c r="B129" s="8" t="s">
        <v>341</v>
      </c>
      <c r="C129" s="8"/>
      <c r="D129" s="8" t="s">
        <v>278</v>
      </c>
      <c r="E129" s="150" t="s">
        <v>13771</v>
      </c>
      <c r="F129" s="151" t="s">
        <v>56</v>
      </c>
      <c r="G129" s="152">
        <v>5</v>
      </c>
      <c r="H129" s="152">
        <v>200</v>
      </c>
      <c r="I129" s="153">
        <v>52.98</v>
      </c>
      <c r="J129" s="145">
        <v>128</v>
      </c>
      <c r="K129" s="153">
        <v>-0.83779601965432793</v>
      </c>
      <c r="L129" s="153" t="s">
        <v>86</v>
      </c>
      <c r="M129" s="153"/>
      <c r="N129" s="2" t="s">
        <v>57</v>
      </c>
      <c r="O129" s="2"/>
      <c r="P129" s="2" t="s">
        <v>51</v>
      </c>
    </row>
    <row r="130" spans="1:16" ht="16.5" customHeight="1" x14ac:dyDescent="0.25">
      <c r="A130" s="2" t="s">
        <v>342</v>
      </c>
      <c r="B130" s="8" t="s">
        <v>12745</v>
      </c>
      <c r="C130" s="8"/>
      <c r="D130" s="8" t="s">
        <v>278</v>
      </c>
      <c r="E130" s="150" t="s">
        <v>13771</v>
      </c>
      <c r="F130" s="151" t="s">
        <v>56</v>
      </c>
      <c r="G130" s="152">
        <v>10</v>
      </c>
      <c r="H130" s="152">
        <v>415</v>
      </c>
      <c r="I130" s="153">
        <v>13.2</v>
      </c>
      <c r="J130" s="145">
        <v>129</v>
      </c>
      <c r="K130" s="153">
        <v>-1.9380952380952381</v>
      </c>
      <c r="L130" s="153">
        <v>-1.135517602065317</v>
      </c>
      <c r="M130" s="153"/>
      <c r="N130" s="2" t="s">
        <v>57</v>
      </c>
      <c r="O130" s="2"/>
      <c r="P130" s="10"/>
    </row>
    <row r="131" spans="1:16" ht="16.5" customHeight="1" x14ac:dyDescent="0.25">
      <c r="A131" s="2" t="s">
        <v>344</v>
      </c>
      <c r="B131" s="8" t="s">
        <v>12772</v>
      </c>
      <c r="C131" s="8"/>
      <c r="D131" s="8" t="s">
        <v>278</v>
      </c>
      <c r="E131" s="150" t="s">
        <v>13771</v>
      </c>
      <c r="F131" s="151" t="s">
        <v>56</v>
      </c>
      <c r="G131" s="152">
        <v>5</v>
      </c>
      <c r="H131" s="152">
        <v>320</v>
      </c>
      <c r="I131" s="153">
        <v>20.16</v>
      </c>
      <c r="J131" s="145">
        <v>130</v>
      </c>
      <c r="K131" s="153">
        <v>-3.0607291666666669</v>
      </c>
      <c r="L131" s="153">
        <v>-12.16701793983623</v>
      </c>
      <c r="M131" s="153"/>
      <c r="N131" s="2" t="s">
        <v>57</v>
      </c>
      <c r="O131" s="2"/>
      <c r="P131" s="10"/>
    </row>
    <row r="132" spans="1:16" ht="16.5" customHeight="1" x14ac:dyDescent="0.25">
      <c r="A132" s="2" t="s">
        <v>346</v>
      </c>
      <c r="B132" s="8" t="s">
        <v>347</v>
      </c>
      <c r="C132" s="8"/>
      <c r="D132" s="8" t="s">
        <v>91</v>
      </c>
      <c r="E132" s="150" t="s">
        <v>92</v>
      </c>
      <c r="F132" s="151" t="s">
        <v>56</v>
      </c>
      <c r="G132" s="152">
        <v>5</v>
      </c>
      <c r="H132" s="152">
        <v>189</v>
      </c>
      <c r="I132" s="153">
        <v>104.63</v>
      </c>
      <c r="J132" s="145">
        <v>131</v>
      </c>
      <c r="K132" s="153">
        <v>-11.3168556529457</v>
      </c>
      <c r="L132" s="153">
        <v>-9.99</v>
      </c>
      <c r="M132" s="153"/>
      <c r="N132" s="2" t="s">
        <v>57</v>
      </c>
      <c r="O132" s="2"/>
      <c r="P132" s="10"/>
    </row>
    <row r="133" spans="1:16" ht="16.5" customHeight="1" x14ac:dyDescent="0.25">
      <c r="A133" s="2" t="s">
        <v>348</v>
      </c>
      <c r="B133" s="8" t="s">
        <v>12527</v>
      </c>
      <c r="C133" s="8"/>
      <c r="D133" s="8" t="s">
        <v>123</v>
      </c>
      <c r="E133" s="150" t="s">
        <v>92</v>
      </c>
      <c r="F133" s="151" t="s">
        <v>56</v>
      </c>
      <c r="G133" s="152">
        <v>36</v>
      </c>
      <c r="H133" s="152">
        <v>21</v>
      </c>
      <c r="I133" s="153">
        <v>89.94</v>
      </c>
      <c r="J133" s="145">
        <v>132</v>
      </c>
      <c r="K133" s="153">
        <v>-15.798</v>
      </c>
      <c r="L133" s="153">
        <v>-6.0591814318781676</v>
      </c>
      <c r="M133" s="153"/>
      <c r="N133" s="2" t="s">
        <v>57</v>
      </c>
      <c r="O133" s="2"/>
      <c r="P133" s="2" t="s">
        <v>51</v>
      </c>
    </row>
    <row r="134" spans="1:16" ht="16.5" customHeight="1" x14ac:dyDescent="0.25">
      <c r="A134" s="2" t="s">
        <v>350</v>
      </c>
      <c r="B134" s="8" t="s">
        <v>13807</v>
      </c>
      <c r="C134" s="8"/>
      <c r="D134" s="8" t="s">
        <v>148</v>
      </c>
      <c r="E134" s="150" t="s">
        <v>83</v>
      </c>
      <c r="F134" s="151" t="s">
        <v>56</v>
      </c>
      <c r="G134" s="152">
        <v>23</v>
      </c>
      <c r="H134" s="152">
        <v>98</v>
      </c>
      <c r="I134" s="153">
        <v>23.1</v>
      </c>
      <c r="J134" s="145">
        <v>133</v>
      </c>
      <c r="K134" s="153">
        <v>-2.1429166666666668</v>
      </c>
      <c r="L134" s="153">
        <v>-10.66049596882703</v>
      </c>
      <c r="M134" s="153"/>
      <c r="N134" s="2" t="s">
        <v>57</v>
      </c>
      <c r="O134" s="2"/>
      <c r="P134" s="2" t="s">
        <v>51</v>
      </c>
    </row>
    <row r="135" spans="1:16" ht="16.5" customHeight="1" x14ac:dyDescent="0.25">
      <c r="A135" s="2" t="s">
        <v>352</v>
      </c>
      <c r="B135" s="8" t="s">
        <v>353</v>
      </c>
      <c r="C135" s="8"/>
      <c r="D135" s="8" t="s">
        <v>54</v>
      </c>
      <c r="E135" s="150" t="s">
        <v>55</v>
      </c>
      <c r="F135" s="151" t="s">
        <v>56</v>
      </c>
      <c r="G135" s="152">
        <v>51</v>
      </c>
      <c r="H135" s="152">
        <v>106</v>
      </c>
      <c r="I135" s="153">
        <v>2.96</v>
      </c>
      <c r="J135" s="145">
        <v>134</v>
      </c>
      <c r="K135" s="153">
        <v>-0.76166666666666671</v>
      </c>
      <c r="L135" s="153">
        <v>-4.0414642818653661</v>
      </c>
      <c r="M135" s="153">
        <v>-0.230625</v>
      </c>
      <c r="N135" s="2" t="s">
        <v>57</v>
      </c>
      <c r="O135" s="2"/>
      <c r="P135" s="10"/>
    </row>
    <row r="136" spans="1:16" ht="16.5" customHeight="1" x14ac:dyDescent="0.25">
      <c r="A136" s="2" t="s">
        <v>354</v>
      </c>
      <c r="B136" s="8" t="s">
        <v>355</v>
      </c>
      <c r="C136" s="8"/>
      <c r="D136" s="8" t="s">
        <v>278</v>
      </c>
      <c r="E136" s="150" t="s">
        <v>13771</v>
      </c>
      <c r="F136" s="151" t="s">
        <v>56</v>
      </c>
      <c r="G136" s="152">
        <v>0</v>
      </c>
      <c r="H136" s="152"/>
      <c r="I136" s="153">
        <v>51.7</v>
      </c>
      <c r="J136" s="145">
        <v>135</v>
      </c>
      <c r="K136" s="153">
        <v>-9.3986714285714292</v>
      </c>
      <c r="L136" s="153" t="s">
        <v>86</v>
      </c>
      <c r="M136" s="153"/>
      <c r="N136" s="2" t="s">
        <v>57</v>
      </c>
      <c r="O136" s="2"/>
      <c r="P136" s="10"/>
    </row>
    <row r="137" spans="1:16" ht="16.5" customHeight="1" x14ac:dyDescent="0.25">
      <c r="A137" s="2" t="s">
        <v>356</v>
      </c>
      <c r="B137" s="8" t="s">
        <v>357</v>
      </c>
      <c r="C137" s="8"/>
      <c r="D137" s="8" t="s">
        <v>358</v>
      </c>
      <c r="E137" s="150" t="s">
        <v>13771</v>
      </c>
      <c r="F137" s="151" t="s">
        <v>56</v>
      </c>
      <c r="G137" s="152">
        <v>1</v>
      </c>
      <c r="H137" s="152">
        <v>925</v>
      </c>
      <c r="I137" s="153">
        <v>47.92</v>
      </c>
      <c r="J137" s="145">
        <v>136</v>
      </c>
      <c r="K137" s="153">
        <v>-12.14684169180493</v>
      </c>
      <c r="L137" s="153">
        <v>-16.82</v>
      </c>
      <c r="M137" s="153"/>
      <c r="N137" s="2" t="s">
        <v>359</v>
      </c>
      <c r="O137" s="2"/>
      <c r="P137" s="2" t="s">
        <v>51</v>
      </c>
    </row>
    <row r="138" spans="1:16" ht="16.5" customHeight="1" x14ac:dyDescent="0.25">
      <c r="A138" s="2" t="s">
        <v>360</v>
      </c>
      <c r="B138" s="8" t="s">
        <v>361</v>
      </c>
      <c r="C138" s="8"/>
      <c r="D138" s="8" t="s">
        <v>358</v>
      </c>
      <c r="E138" s="150" t="s">
        <v>13771</v>
      </c>
      <c r="F138" s="151" t="s">
        <v>56</v>
      </c>
      <c r="G138" s="152">
        <v>3</v>
      </c>
      <c r="H138" s="152">
        <v>746</v>
      </c>
      <c r="I138" s="153">
        <v>61.71</v>
      </c>
      <c r="J138" s="145">
        <v>137</v>
      </c>
      <c r="K138" s="153">
        <v>-12.12270833333333</v>
      </c>
      <c r="L138" s="153">
        <v>-14.5</v>
      </c>
      <c r="M138" s="153"/>
      <c r="N138" s="2" t="s">
        <v>57</v>
      </c>
      <c r="O138" s="2"/>
      <c r="P138" s="10"/>
    </row>
    <row r="139" spans="1:16" ht="16.5" customHeight="1" x14ac:dyDescent="0.25">
      <c r="A139" s="2" t="s">
        <v>362</v>
      </c>
      <c r="B139" s="8" t="s">
        <v>363</v>
      </c>
      <c r="C139" s="8"/>
      <c r="D139" s="8" t="s">
        <v>358</v>
      </c>
      <c r="E139" s="150" t="s">
        <v>13771</v>
      </c>
      <c r="F139" s="151" t="s">
        <v>56</v>
      </c>
      <c r="G139" s="152">
        <v>2</v>
      </c>
      <c r="H139" s="152">
        <v>882</v>
      </c>
      <c r="I139" s="153">
        <v>100.88</v>
      </c>
      <c r="J139" s="145">
        <v>138</v>
      </c>
      <c r="K139" s="153">
        <v>-14.0151</v>
      </c>
      <c r="L139" s="153">
        <v>-26.287621337880509</v>
      </c>
      <c r="M139" s="153"/>
      <c r="N139" s="2" t="s">
        <v>57</v>
      </c>
      <c r="O139" s="2"/>
      <c r="P139" s="2" t="s">
        <v>51</v>
      </c>
    </row>
    <row r="140" spans="1:16" ht="16.5" customHeight="1" x14ac:dyDescent="0.25">
      <c r="A140" s="2" t="s">
        <v>364</v>
      </c>
      <c r="B140" s="8" t="s">
        <v>365</v>
      </c>
      <c r="C140" s="8"/>
      <c r="D140" s="8" t="s">
        <v>201</v>
      </c>
      <c r="E140" s="150" t="s">
        <v>55</v>
      </c>
      <c r="F140" s="151" t="s">
        <v>56</v>
      </c>
      <c r="G140" s="152">
        <v>1</v>
      </c>
      <c r="H140" s="152"/>
      <c r="I140" s="153">
        <v>27.65</v>
      </c>
      <c r="J140" s="145">
        <v>139</v>
      </c>
      <c r="K140" s="153">
        <v>-9.3631674764283481</v>
      </c>
      <c r="L140" s="153">
        <v>-2.4641594685419839</v>
      </c>
      <c r="M140" s="153"/>
      <c r="N140" s="2" t="s">
        <v>57</v>
      </c>
      <c r="O140" s="2"/>
      <c r="P140" s="2" t="s">
        <v>51</v>
      </c>
    </row>
    <row r="141" spans="1:16" ht="16.5" customHeight="1" x14ac:dyDescent="0.25">
      <c r="A141" s="2" t="s">
        <v>366</v>
      </c>
      <c r="B141" s="8" t="s">
        <v>13808</v>
      </c>
      <c r="C141" s="8" t="s">
        <v>119</v>
      </c>
      <c r="D141" s="8" t="s">
        <v>201</v>
      </c>
      <c r="E141" s="150" t="s">
        <v>83</v>
      </c>
      <c r="F141" s="151" t="s">
        <v>56</v>
      </c>
      <c r="G141" s="152">
        <v>0</v>
      </c>
      <c r="H141" s="152"/>
      <c r="I141" s="153">
        <v>8.92</v>
      </c>
      <c r="J141" s="145">
        <v>140</v>
      </c>
      <c r="K141" s="153">
        <v>-2.0933333333333328</v>
      </c>
      <c r="L141" s="153" t="s">
        <v>86</v>
      </c>
      <c r="M141" s="153"/>
      <c r="N141" s="2" t="s">
        <v>57</v>
      </c>
      <c r="O141" s="2"/>
      <c r="P141" s="10"/>
    </row>
    <row r="142" spans="1:16" ht="16.5" customHeight="1" x14ac:dyDescent="0.25">
      <c r="A142" s="2" t="s">
        <v>368</v>
      </c>
      <c r="B142" s="8" t="s">
        <v>13809</v>
      </c>
      <c r="C142" s="8" t="s">
        <v>119</v>
      </c>
      <c r="D142" s="8" t="s">
        <v>201</v>
      </c>
      <c r="E142" s="150" t="s">
        <v>83</v>
      </c>
      <c r="F142" s="151" t="s">
        <v>56</v>
      </c>
      <c r="G142" s="152">
        <v>0</v>
      </c>
      <c r="H142" s="152"/>
      <c r="I142" s="153">
        <v>10.32</v>
      </c>
      <c r="J142" s="145">
        <v>141</v>
      </c>
      <c r="K142" s="153">
        <v>-2.2200000000000002</v>
      </c>
      <c r="L142" s="153" t="s">
        <v>86</v>
      </c>
      <c r="M142" s="153"/>
      <c r="N142" s="2" t="s">
        <v>57</v>
      </c>
      <c r="O142" s="2"/>
      <c r="P142" s="10"/>
    </row>
    <row r="143" spans="1:16" ht="16.5" customHeight="1" x14ac:dyDescent="0.25">
      <c r="A143" s="2" t="s">
        <v>370</v>
      </c>
      <c r="B143" s="8" t="s">
        <v>12756</v>
      </c>
      <c r="C143" s="8" t="s">
        <v>119</v>
      </c>
      <c r="D143" s="8" t="s">
        <v>201</v>
      </c>
      <c r="E143" s="150" t="s">
        <v>83</v>
      </c>
      <c r="F143" s="151" t="s">
        <v>56</v>
      </c>
      <c r="G143" s="152">
        <v>0</v>
      </c>
      <c r="H143" s="152"/>
      <c r="I143" s="153">
        <v>11</v>
      </c>
      <c r="J143" s="145">
        <v>142</v>
      </c>
      <c r="K143" s="153">
        <v>-3.1840000000000002</v>
      </c>
      <c r="L143" s="153" t="s">
        <v>86</v>
      </c>
      <c r="M143" s="153"/>
      <c r="N143" s="2" t="s">
        <v>57</v>
      </c>
      <c r="O143" s="2"/>
      <c r="P143" s="10"/>
    </row>
    <row r="144" spans="1:16" ht="16.5" customHeight="1" x14ac:dyDescent="0.25">
      <c r="A144" s="2" t="s">
        <v>372</v>
      </c>
      <c r="B144" s="8" t="s">
        <v>13810</v>
      </c>
      <c r="C144" s="8" t="s">
        <v>119</v>
      </c>
      <c r="D144" s="8" t="s">
        <v>201</v>
      </c>
      <c r="E144" s="150" t="s">
        <v>83</v>
      </c>
      <c r="F144" s="151" t="s">
        <v>56</v>
      </c>
      <c r="G144" s="152">
        <v>0</v>
      </c>
      <c r="H144" s="152"/>
      <c r="I144" s="153">
        <v>10.95</v>
      </c>
      <c r="J144" s="145">
        <v>143</v>
      </c>
      <c r="K144" s="153">
        <v>-7.2575000000000003</v>
      </c>
      <c r="L144" s="153" t="s">
        <v>86</v>
      </c>
      <c r="M144" s="153"/>
      <c r="N144" s="2" t="s">
        <v>57</v>
      </c>
      <c r="O144" s="2"/>
      <c r="P144" s="10"/>
    </row>
    <row r="145" spans="1:16" ht="16.5" customHeight="1" x14ac:dyDescent="0.25">
      <c r="A145" s="2" t="s">
        <v>374</v>
      </c>
      <c r="B145" s="8" t="s">
        <v>375</v>
      </c>
      <c r="C145" s="8"/>
      <c r="D145" s="8" t="s">
        <v>201</v>
      </c>
      <c r="E145" s="150" t="s">
        <v>55</v>
      </c>
      <c r="F145" s="151" t="s">
        <v>56</v>
      </c>
      <c r="G145" s="152">
        <v>0</v>
      </c>
      <c r="H145" s="152"/>
      <c r="I145" s="153">
        <v>3.58</v>
      </c>
      <c r="J145" s="145">
        <v>144</v>
      </c>
      <c r="K145" s="153">
        <v>-1.105</v>
      </c>
      <c r="L145" s="153">
        <v>-6.314954615013626</v>
      </c>
      <c r="M145" s="153"/>
      <c r="N145" s="2" t="s">
        <v>57</v>
      </c>
      <c r="O145" s="2"/>
      <c r="P145" s="10"/>
    </row>
    <row r="146" spans="1:16" ht="16.5" customHeight="1" x14ac:dyDescent="0.25">
      <c r="A146" s="2" t="s">
        <v>376</v>
      </c>
      <c r="B146" s="8" t="s">
        <v>377</v>
      </c>
      <c r="C146" s="8"/>
      <c r="D146" s="8" t="s">
        <v>54</v>
      </c>
      <c r="E146" s="150" t="s">
        <v>55</v>
      </c>
      <c r="F146" s="151" t="s">
        <v>56</v>
      </c>
      <c r="G146" s="152">
        <v>0</v>
      </c>
      <c r="H146" s="152"/>
      <c r="I146" s="153">
        <v>42.32</v>
      </c>
      <c r="J146" s="145">
        <v>145</v>
      </c>
      <c r="K146" s="153">
        <v>-15.91225</v>
      </c>
      <c r="L146" s="153">
        <v>-38.75</v>
      </c>
      <c r="M146" s="153"/>
      <c r="N146" s="2" t="s">
        <v>57</v>
      </c>
      <c r="O146" s="2"/>
      <c r="P146" s="2" t="s">
        <v>51</v>
      </c>
    </row>
    <row r="147" spans="1:16" ht="16.5" customHeight="1" x14ac:dyDescent="0.25">
      <c r="A147" s="2" t="s">
        <v>378</v>
      </c>
      <c r="B147" s="8" t="s">
        <v>379</v>
      </c>
      <c r="C147" s="8"/>
      <c r="D147" s="8" t="s">
        <v>278</v>
      </c>
      <c r="E147" s="150" t="s">
        <v>13772</v>
      </c>
      <c r="F147" s="151" t="s">
        <v>103</v>
      </c>
      <c r="G147" s="152">
        <v>0</v>
      </c>
      <c r="H147" s="152"/>
      <c r="I147" s="153">
        <v>67.23</v>
      </c>
      <c r="J147" s="145">
        <v>146</v>
      </c>
      <c r="K147" s="153" t="s">
        <v>86</v>
      </c>
      <c r="L147" s="153" t="s">
        <v>86</v>
      </c>
      <c r="M147" s="153"/>
      <c r="N147" s="2" t="s">
        <v>57</v>
      </c>
      <c r="O147" s="2"/>
      <c r="P147" s="2"/>
    </row>
    <row r="148" spans="1:16" ht="16.5" customHeight="1" x14ac:dyDescent="0.25">
      <c r="A148" s="2" t="s">
        <v>380</v>
      </c>
      <c r="B148" s="8" t="s">
        <v>381</v>
      </c>
      <c r="C148" s="8"/>
      <c r="D148" s="8" t="s">
        <v>54</v>
      </c>
      <c r="E148" s="150" t="s">
        <v>55</v>
      </c>
      <c r="F148" s="151" t="s">
        <v>56</v>
      </c>
      <c r="G148" s="152">
        <v>0</v>
      </c>
      <c r="H148" s="152"/>
      <c r="I148" s="153">
        <v>3.27</v>
      </c>
      <c r="J148" s="145">
        <v>147</v>
      </c>
      <c r="K148" s="153">
        <v>-1.404705882352941</v>
      </c>
      <c r="L148" s="153">
        <v>-3.8310674253720132</v>
      </c>
      <c r="M148" s="153"/>
      <c r="N148" s="2" t="s">
        <v>57</v>
      </c>
      <c r="O148" s="2"/>
      <c r="P148" s="2" t="s">
        <v>51</v>
      </c>
    </row>
    <row r="149" spans="1:16" ht="16.5" customHeight="1" x14ac:dyDescent="0.25">
      <c r="A149" s="2" t="s">
        <v>382</v>
      </c>
      <c r="B149" s="8" t="s">
        <v>12676</v>
      </c>
      <c r="C149" s="8"/>
      <c r="D149" s="8" t="s">
        <v>175</v>
      </c>
      <c r="E149" s="150" t="s">
        <v>55</v>
      </c>
      <c r="F149" s="151" t="s">
        <v>56</v>
      </c>
      <c r="G149" s="152">
        <v>0</v>
      </c>
      <c r="H149" s="152"/>
      <c r="I149" s="153">
        <v>2.2000000000000002</v>
      </c>
      <c r="J149" s="145">
        <v>148</v>
      </c>
      <c r="K149" s="153">
        <v>-0.91</v>
      </c>
      <c r="L149" s="153">
        <v>-0.73</v>
      </c>
      <c r="M149" s="153"/>
      <c r="N149" s="2" t="s">
        <v>57</v>
      </c>
      <c r="O149" s="2"/>
      <c r="P149" s="2" t="s">
        <v>51</v>
      </c>
    </row>
    <row r="150" spans="1:16" ht="16.5" customHeight="1" x14ac:dyDescent="0.25">
      <c r="A150" s="2" t="s">
        <v>384</v>
      </c>
      <c r="B150" s="8" t="s">
        <v>385</v>
      </c>
      <c r="C150" s="8"/>
      <c r="D150" s="8" t="s">
        <v>386</v>
      </c>
      <c r="E150" s="150" t="s">
        <v>13772</v>
      </c>
      <c r="F150" s="151" t="s">
        <v>103</v>
      </c>
      <c r="G150" s="152">
        <v>0</v>
      </c>
      <c r="H150" s="152"/>
      <c r="I150" s="153">
        <v>2.83</v>
      </c>
      <c r="J150" s="145">
        <v>149</v>
      </c>
      <c r="K150" s="153">
        <v>-1.0643750000000001</v>
      </c>
      <c r="L150" s="153" t="s">
        <v>86</v>
      </c>
      <c r="M150" s="153"/>
      <c r="N150" s="2" t="s">
        <v>57</v>
      </c>
      <c r="O150" s="2"/>
      <c r="P150" s="10"/>
    </row>
    <row r="151" spans="1:16" ht="16.5" customHeight="1" x14ac:dyDescent="0.25">
      <c r="A151" s="2" t="s">
        <v>387</v>
      </c>
      <c r="B151" s="8" t="s">
        <v>388</v>
      </c>
      <c r="C151" s="8"/>
      <c r="D151" s="8" t="s">
        <v>386</v>
      </c>
      <c r="E151" s="150" t="s">
        <v>13772</v>
      </c>
      <c r="F151" s="151" t="s">
        <v>103</v>
      </c>
      <c r="G151" s="152">
        <v>0</v>
      </c>
      <c r="H151" s="152"/>
      <c r="I151" s="153">
        <v>1.28</v>
      </c>
      <c r="J151" s="145">
        <v>150</v>
      </c>
      <c r="K151" s="153" t="s">
        <v>86</v>
      </c>
      <c r="L151" s="153" t="s">
        <v>86</v>
      </c>
      <c r="M151" s="153"/>
      <c r="N151" s="2" t="s">
        <v>57</v>
      </c>
      <c r="O151" s="2"/>
      <c r="P151" s="10"/>
    </row>
    <row r="152" spans="1:16" ht="16.5" customHeight="1" x14ac:dyDescent="0.25">
      <c r="A152" s="2" t="s">
        <v>389</v>
      </c>
      <c r="B152" s="8" t="s">
        <v>390</v>
      </c>
      <c r="C152" s="8"/>
      <c r="D152" s="8" t="s">
        <v>386</v>
      </c>
      <c r="E152" s="150" t="s">
        <v>13772</v>
      </c>
      <c r="F152" s="151" t="s">
        <v>103</v>
      </c>
      <c r="G152" s="152">
        <v>0</v>
      </c>
      <c r="H152" s="152"/>
      <c r="I152" s="153">
        <v>3.98</v>
      </c>
      <c r="J152" s="145">
        <v>151</v>
      </c>
      <c r="K152" s="153" t="s">
        <v>86</v>
      </c>
      <c r="L152" s="153" t="s">
        <v>86</v>
      </c>
      <c r="M152" s="153"/>
      <c r="N152" s="2" t="s">
        <v>57</v>
      </c>
      <c r="O152" s="2"/>
      <c r="P152" s="10"/>
    </row>
    <row r="153" spans="1:16" ht="16.5" customHeight="1" x14ac:dyDescent="0.25">
      <c r="A153" s="2" t="s">
        <v>391</v>
      </c>
      <c r="B153" s="8" t="s">
        <v>392</v>
      </c>
      <c r="C153" s="8"/>
      <c r="D153" s="8" t="s">
        <v>386</v>
      </c>
      <c r="E153" s="150" t="s">
        <v>13772</v>
      </c>
      <c r="F153" s="151" t="s">
        <v>103</v>
      </c>
      <c r="G153" s="152">
        <v>0</v>
      </c>
      <c r="H153" s="152"/>
      <c r="I153" s="153">
        <v>3.85</v>
      </c>
      <c r="J153" s="145">
        <v>152</v>
      </c>
      <c r="K153" s="153" t="s">
        <v>86</v>
      </c>
      <c r="L153" s="153" t="s">
        <v>86</v>
      </c>
      <c r="M153" s="153"/>
      <c r="N153" s="2" t="s">
        <v>57</v>
      </c>
      <c r="O153" s="2"/>
      <c r="P153" s="10"/>
    </row>
    <row r="154" spans="1:16" ht="16.5" customHeight="1" x14ac:dyDescent="0.25">
      <c r="A154" s="2" t="s">
        <v>393</v>
      </c>
      <c r="B154" s="8" t="s">
        <v>394</v>
      </c>
      <c r="C154" s="8"/>
      <c r="D154" s="8" t="s">
        <v>386</v>
      </c>
      <c r="E154" s="150" t="s">
        <v>13772</v>
      </c>
      <c r="F154" s="151" t="s">
        <v>103</v>
      </c>
      <c r="G154" s="152">
        <v>0</v>
      </c>
      <c r="H154" s="152"/>
      <c r="I154" s="153">
        <v>2.85</v>
      </c>
      <c r="J154" s="145">
        <v>153</v>
      </c>
      <c r="K154" s="153" t="s">
        <v>86</v>
      </c>
      <c r="L154" s="153" t="s">
        <v>86</v>
      </c>
      <c r="M154" s="153"/>
      <c r="N154" s="2" t="s">
        <v>57</v>
      </c>
      <c r="O154" s="2"/>
      <c r="P154" s="10"/>
    </row>
    <row r="155" spans="1:16" ht="16.5" customHeight="1" x14ac:dyDescent="0.25">
      <c r="A155" s="2" t="s">
        <v>395</v>
      </c>
      <c r="B155" s="8" t="s">
        <v>396</v>
      </c>
      <c r="C155" s="8"/>
      <c r="D155" s="8" t="s">
        <v>386</v>
      </c>
      <c r="E155" s="150" t="s">
        <v>13772</v>
      </c>
      <c r="F155" s="151" t="s">
        <v>103</v>
      </c>
      <c r="G155" s="152">
        <v>0</v>
      </c>
      <c r="H155" s="152"/>
      <c r="I155" s="153">
        <v>4.03</v>
      </c>
      <c r="J155" s="145">
        <v>154</v>
      </c>
      <c r="K155" s="153" t="s">
        <v>86</v>
      </c>
      <c r="L155" s="153" t="s">
        <v>86</v>
      </c>
      <c r="M155" s="153"/>
      <c r="N155" s="2" t="s">
        <v>57</v>
      </c>
      <c r="O155" s="2"/>
      <c r="P155" s="10"/>
    </row>
    <row r="156" spans="1:16" ht="16.5" customHeight="1" x14ac:dyDescent="0.25">
      <c r="A156" s="2" t="s">
        <v>397</v>
      </c>
      <c r="B156" s="8" t="s">
        <v>398</v>
      </c>
      <c r="C156" s="8"/>
      <c r="D156" s="8" t="s">
        <v>386</v>
      </c>
      <c r="E156" s="150" t="s">
        <v>13772</v>
      </c>
      <c r="F156" s="151" t="s">
        <v>103</v>
      </c>
      <c r="G156" s="152">
        <v>0</v>
      </c>
      <c r="H156" s="152"/>
      <c r="I156" s="153">
        <v>2.2000000000000002</v>
      </c>
      <c r="J156" s="145">
        <v>155</v>
      </c>
      <c r="K156" s="153" t="s">
        <v>86</v>
      </c>
      <c r="L156" s="153" t="s">
        <v>86</v>
      </c>
      <c r="M156" s="153"/>
      <c r="N156" s="2" t="s">
        <v>57</v>
      </c>
      <c r="O156" s="2"/>
      <c r="P156" s="10"/>
    </row>
    <row r="157" spans="1:16" ht="16.5" customHeight="1" x14ac:dyDescent="0.25">
      <c r="A157" s="2" t="s">
        <v>399</v>
      </c>
      <c r="B157" s="8" t="s">
        <v>400</v>
      </c>
      <c r="C157" s="8"/>
      <c r="D157" s="8" t="s">
        <v>386</v>
      </c>
      <c r="E157" s="150" t="s">
        <v>13772</v>
      </c>
      <c r="F157" s="151" t="s">
        <v>103</v>
      </c>
      <c r="G157" s="152">
        <v>0</v>
      </c>
      <c r="H157" s="152"/>
      <c r="I157" s="153">
        <v>1.65</v>
      </c>
      <c r="J157" s="145">
        <v>156</v>
      </c>
      <c r="K157" s="153" t="s">
        <v>86</v>
      </c>
      <c r="L157" s="153" t="s">
        <v>86</v>
      </c>
      <c r="M157" s="153"/>
      <c r="N157" s="2" t="s">
        <v>57</v>
      </c>
      <c r="O157" s="2"/>
      <c r="P157" s="2"/>
    </row>
    <row r="158" spans="1:16" ht="16.5" customHeight="1" x14ac:dyDescent="0.25">
      <c r="A158" s="2" t="s">
        <v>401</v>
      </c>
      <c r="B158" s="8" t="s">
        <v>402</v>
      </c>
      <c r="C158" s="8"/>
      <c r="D158" s="8" t="s">
        <v>386</v>
      </c>
      <c r="E158" s="150" t="s">
        <v>13772</v>
      </c>
      <c r="F158" s="151" t="s">
        <v>103</v>
      </c>
      <c r="G158" s="152">
        <v>0</v>
      </c>
      <c r="H158" s="152"/>
      <c r="I158" s="153">
        <v>1.96</v>
      </c>
      <c r="J158" s="145">
        <v>157</v>
      </c>
      <c r="K158" s="153" t="s">
        <v>86</v>
      </c>
      <c r="L158" s="153" t="s">
        <v>86</v>
      </c>
      <c r="M158" s="153"/>
      <c r="N158" s="2" t="s">
        <v>57</v>
      </c>
      <c r="O158" s="2"/>
      <c r="P158" s="2"/>
    </row>
    <row r="159" spans="1:16" ht="16.5" customHeight="1" x14ac:dyDescent="0.25">
      <c r="A159" s="2" t="s">
        <v>403</v>
      </c>
      <c r="B159" s="8" t="s">
        <v>404</v>
      </c>
      <c r="C159" s="8"/>
      <c r="D159" s="8" t="s">
        <v>386</v>
      </c>
      <c r="E159" s="150" t="s">
        <v>13772</v>
      </c>
      <c r="F159" s="151" t="s">
        <v>103</v>
      </c>
      <c r="G159" s="152">
        <v>0</v>
      </c>
      <c r="H159" s="152"/>
      <c r="I159" s="153">
        <v>2.2000000000000002</v>
      </c>
      <c r="J159" s="145">
        <v>158</v>
      </c>
      <c r="K159" s="153" t="s">
        <v>86</v>
      </c>
      <c r="L159" s="153" t="s">
        <v>86</v>
      </c>
      <c r="M159" s="153"/>
      <c r="N159" s="2" t="s">
        <v>57</v>
      </c>
      <c r="O159" s="2"/>
      <c r="P159" s="10"/>
    </row>
    <row r="160" spans="1:16" ht="16.5" customHeight="1" x14ac:dyDescent="0.25">
      <c r="A160" s="2" t="s">
        <v>405</v>
      </c>
      <c r="B160" s="8" t="s">
        <v>406</v>
      </c>
      <c r="C160" s="8"/>
      <c r="D160" s="8" t="s">
        <v>201</v>
      </c>
      <c r="E160" s="150" t="s">
        <v>55</v>
      </c>
      <c r="F160" s="151" t="s">
        <v>56</v>
      </c>
      <c r="G160" s="152">
        <v>0</v>
      </c>
      <c r="H160" s="152"/>
      <c r="I160" s="153">
        <v>42.83</v>
      </c>
      <c r="J160" s="145">
        <v>159</v>
      </c>
      <c r="K160" s="153">
        <v>-10.08261666666667</v>
      </c>
      <c r="L160" s="153">
        <v>-17.48</v>
      </c>
      <c r="M160" s="153"/>
      <c r="N160" s="2" t="s">
        <v>57</v>
      </c>
      <c r="O160" s="2"/>
      <c r="P160" s="10"/>
    </row>
    <row r="161" spans="1:16" ht="16.5" customHeight="1" x14ac:dyDescent="0.25">
      <c r="A161" s="2" t="s">
        <v>407</v>
      </c>
      <c r="B161" s="8" t="s">
        <v>408</v>
      </c>
      <c r="C161" s="8"/>
      <c r="D161" s="8" t="s">
        <v>54</v>
      </c>
      <c r="E161" s="150" t="s">
        <v>55</v>
      </c>
      <c r="F161" s="151" t="s">
        <v>56</v>
      </c>
      <c r="G161" s="152">
        <v>0</v>
      </c>
      <c r="H161" s="152"/>
      <c r="I161" s="153">
        <v>8.7100000000000009</v>
      </c>
      <c r="J161" s="145">
        <v>160</v>
      </c>
      <c r="K161" s="153">
        <v>-7.2878457883122856</v>
      </c>
      <c r="L161" s="153">
        <v>-7.6471346099667947</v>
      </c>
      <c r="M161" s="153"/>
      <c r="N161" s="2" t="s">
        <v>57</v>
      </c>
      <c r="O161" s="2"/>
      <c r="P161" s="2" t="s">
        <v>51</v>
      </c>
    </row>
    <row r="162" spans="1:16" ht="16.5" customHeight="1" x14ac:dyDescent="0.25">
      <c r="A162" s="2" t="s">
        <v>409</v>
      </c>
      <c r="B162" s="8" t="s">
        <v>13811</v>
      </c>
      <c r="C162" s="8"/>
      <c r="D162" s="8" t="s">
        <v>54</v>
      </c>
      <c r="E162" s="150" t="s">
        <v>55</v>
      </c>
      <c r="F162" s="151" t="s">
        <v>56</v>
      </c>
      <c r="G162" s="152">
        <v>0</v>
      </c>
      <c r="H162" s="152"/>
      <c r="I162" s="153">
        <v>10.99</v>
      </c>
      <c r="J162" s="145">
        <v>161</v>
      </c>
      <c r="K162" s="153">
        <v>-7.575333333333333</v>
      </c>
      <c r="L162" s="153">
        <v>-5.5687731975235799</v>
      </c>
      <c r="M162" s="153"/>
      <c r="N162" s="2" t="s">
        <v>57</v>
      </c>
      <c r="O162" s="2"/>
      <c r="P162" s="2" t="s">
        <v>51</v>
      </c>
    </row>
    <row r="163" spans="1:16" ht="16.5" customHeight="1" x14ac:dyDescent="0.25">
      <c r="A163" s="2" t="s">
        <v>411</v>
      </c>
      <c r="B163" s="8" t="s">
        <v>412</v>
      </c>
      <c r="C163" s="8"/>
      <c r="D163" s="8" t="s">
        <v>54</v>
      </c>
      <c r="E163" s="150" t="s">
        <v>55</v>
      </c>
      <c r="F163" s="151" t="s">
        <v>56</v>
      </c>
      <c r="G163" s="152">
        <v>0</v>
      </c>
      <c r="H163" s="152"/>
      <c r="I163" s="153">
        <v>18</v>
      </c>
      <c r="J163" s="145">
        <v>162</v>
      </c>
      <c r="K163" s="153">
        <v>-10.00851869183205</v>
      </c>
      <c r="L163" s="153">
        <v>-20.753827017462012</v>
      </c>
      <c r="M163" s="153"/>
      <c r="N163" s="2" t="s">
        <v>57</v>
      </c>
      <c r="O163" s="2"/>
      <c r="P163" s="2" t="s">
        <v>51</v>
      </c>
    </row>
    <row r="164" spans="1:16" ht="16.5" customHeight="1" x14ac:dyDescent="0.25">
      <c r="A164" s="2" t="s">
        <v>413</v>
      </c>
      <c r="B164" s="8" t="s">
        <v>414</v>
      </c>
      <c r="C164" s="8"/>
      <c r="D164" s="8" t="s">
        <v>123</v>
      </c>
      <c r="E164" s="150" t="s">
        <v>92</v>
      </c>
      <c r="F164" s="151" t="s">
        <v>56</v>
      </c>
      <c r="G164" s="152">
        <v>0</v>
      </c>
      <c r="H164" s="152"/>
      <c r="I164" s="153">
        <v>100.38</v>
      </c>
      <c r="J164" s="145">
        <v>163</v>
      </c>
      <c r="K164" s="153">
        <v>-11.19608433017687</v>
      </c>
      <c r="L164" s="153" t="s">
        <v>86</v>
      </c>
      <c r="M164" s="153"/>
      <c r="N164" s="2" t="s">
        <v>57</v>
      </c>
      <c r="O164" s="2"/>
      <c r="P164" s="2" t="s">
        <v>51</v>
      </c>
    </row>
    <row r="165" spans="1:16" ht="16.5" customHeight="1" x14ac:dyDescent="0.25">
      <c r="A165" s="2" t="s">
        <v>415</v>
      </c>
      <c r="B165" s="8" t="s">
        <v>12754</v>
      </c>
      <c r="C165" s="8" t="s">
        <v>101</v>
      </c>
      <c r="D165" s="8" t="s">
        <v>54</v>
      </c>
      <c r="E165" s="150" t="s">
        <v>139</v>
      </c>
      <c r="F165" s="151" t="s">
        <v>103</v>
      </c>
      <c r="G165" s="152">
        <v>0</v>
      </c>
      <c r="H165" s="152"/>
      <c r="I165" s="153">
        <v>7.7</v>
      </c>
      <c r="J165" s="145">
        <v>164</v>
      </c>
      <c r="K165" s="153">
        <v>-2.4771428571428569</v>
      </c>
      <c r="L165" s="153">
        <v>-6.87</v>
      </c>
      <c r="M165" s="153"/>
      <c r="N165" s="2" t="s">
        <v>57</v>
      </c>
      <c r="O165" s="2"/>
      <c r="P165" s="10"/>
    </row>
    <row r="166" spans="1:16" ht="16.5" customHeight="1" x14ac:dyDescent="0.25">
      <c r="A166" s="2" t="s">
        <v>417</v>
      </c>
      <c r="B166" s="8" t="s">
        <v>12742</v>
      </c>
      <c r="C166" s="8" t="s">
        <v>101</v>
      </c>
      <c r="D166" s="8" t="s">
        <v>54</v>
      </c>
      <c r="E166" s="150" t="s">
        <v>139</v>
      </c>
      <c r="F166" s="151" t="s">
        <v>103</v>
      </c>
      <c r="G166" s="152">
        <v>0</v>
      </c>
      <c r="H166" s="152"/>
      <c r="I166" s="153">
        <v>15.95</v>
      </c>
      <c r="J166" s="145">
        <v>165</v>
      </c>
      <c r="K166" s="153">
        <v>-8.3837500000000009</v>
      </c>
      <c r="L166" s="153">
        <v>-5.8766993562032521</v>
      </c>
      <c r="M166" s="153"/>
      <c r="N166" s="2" t="s">
        <v>57</v>
      </c>
      <c r="O166" s="2"/>
      <c r="P166" s="10"/>
    </row>
    <row r="167" spans="1:16" ht="16.5" customHeight="1" x14ac:dyDescent="0.25">
      <c r="A167" s="2" t="s">
        <v>419</v>
      </c>
      <c r="B167" s="8" t="s">
        <v>420</v>
      </c>
      <c r="C167" s="8"/>
      <c r="D167" s="8" t="s">
        <v>278</v>
      </c>
      <c r="E167" s="150" t="s">
        <v>92</v>
      </c>
      <c r="F167" s="151" t="s">
        <v>56</v>
      </c>
      <c r="G167" s="152">
        <v>0</v>
      </c>
      <c r="H167" s="152"/>
      <c r="I167" s="153">
        <v>51.38</v>
      </c>
      <c r="J167" s="145">
        <v>166</v>
      </c>
      <c r="K167" s="153">
        <v>-9.0732499999999998</v>
      </c>
      <c r="L167" s="153">
        <v>-10.079805529468601</v>
      </c>
      <c r="M167" s="153"/>
      <c r="N167" s="2" t="s">
        <v>57</v>
      </c>
      <c r="O167" s="2"/>
      <c r="P167" s="2" t="s">
        <v>51</v>
      </c>
    </row>
    <row r="168" spans="1:16" ht="16.5" customHeight="1" x14ac:dyDescent="0.25">
      <c r="A168" s="2" t="s">
        <v>421</v>
      </c>
      <c r="B168" s="8" t="s">
        <v>422</v>
      </c>
      <c r="C168" s="8"/>
      <c r="D168" s="8" t="s">
        <v>278</v>
      </c>
      <c r="E168" s="150" t="s">
        <v>92</v>
      </c>
      <c r="F168" s="151" t="s">
        <v>56</v>
      </c>
      <c r="G168" s="152">
        <v>0</v>
      </c>
      <c r="H168" s="152"/>
      <c r="I168" s="153">
        <v>35.17</v>
      </c>
      <c r="J168" s="145">
        <v>167</v>
      </c>
      <c r="K168" s="153">
        <v>-5.4416415508670841</v>
      </c>
      <c r="L168" s="153">
        <v>-7.72</v>
      </c>
      <c r="M168" s="153"/>
      <c r="N168" s="2" t="s">
        <v>57</v>
      </c>
      <c r="O168" s="2"/>
      <c r="P168" s="2" t="s">
        <v>51</v>
      </c>
    </row>
    <row r="169" spans="1:16" ht="16.5" customHeight="1" x14ac:dyDescent="0.25">
      <c r="A169" s="2" t="s">
        <v>423</v>
      </c>
      <c r="B169" s="8" t="s">
        <v>424</v>
      </c>
      <c r="C169" s="8"/>
      <c r="D169" s="8" t="s">
        <v>278</v>
      </c>
      <c r="E169" s="150" t="s">
        <v>92</v>
      </c>
      <c r="F169" s="151" t="s">
        <v>56</v>
      </c>
      <c r="G169" s="152">
        <v>0</v>
      </c>
      <c r="H169" s="152"/>
      <c r="I169" s="153">
        <v>52.04</v>
      </c>
      <c r="J169" s="145">
        <v>168</v>
      </c>
      <c r="K169" s="153">
        <v>-8.0406942246835449</v>
      </c>
      <c r="L169" s="153">
        <v>-12.952795902548649</v>
      </c>
      <c r="M169" s="153"/>
      <c r="N169" s="2" t="s">
        <v>57</v>
      </c>
      <c r="O169" s="2"/>
      <c r="P169" s="2" t="s">
        <v>51</v>
      </c>
    </row>
    <row r="170" spans="1:16" ht="16.5" customHeight="1" x14ac:dyDescent="0.25">
      <c r="A170" s="2" t="s">
        <v>425</v>
      </c>
      <c r="B170" s="8" t="s">
        <v>426</v>
      </c>
      <c r="C170" s="8"/>
      <c r="D170" s="8" t="s">
        <v>278</v>
      </c>
      <c r="E170" s="150" t="s">
        <v>92</v>
      </c>
      <c r="F170" s="151" t="s">
        <v>56</v>
      </c>
      <c r="G170" s="152">
        <v>0</v>
      </c>
      <c r="H170" s="152"/>
      <c r="I170" s="153">
        <v>32.549999999999997</v>
      </c>
      <c r="J170" s="145">
        <v>169</v>
      </c>
      <c r="K170" s="153">
        <v>-5.1443057753164556</v>
      </c>
      <c r="L170" s="153">
        <v>-9.9145628158707542</v>
      </c>
      <c r="M170" s="153"/>
      <c r="N170" s="2" t="s">
        <v>57</v>
      </c>
      <c r="O170" s="2"/>
      <c r="P170" s="2" t="s">
        <v>51</v>
      </c>
    </row>
    <row r="171" spans="1:16" ht="16.5" customHeight="1" x14ac:dyDescent="0.25">
      <c r="A171" s="2" t="s">
        <v>427</v>
      </c>
      <c r="B171" s="8" t="s">
        <v>428</v>
      </c>
      <c r="C171" s="8"/>
      <c r="D171" s="8" t="s">
        <v>278</v>
      </c>
      <c r="E171" s="150" t="s">
        <v>92</v>
      </c>
      <c r="F171" s="151" t="s">
        <v>56</v>
      </c>
      <c r="G171" s="152">
        <v>0</v>
      </c>
      <c r="H171" s="152"/>
      <c r="I171" s="153">
        <v>36.590000000000003</v>
      </c>
      <c r="J171" s="145">
        <v>170</v>
      </c>
      <c r="K171" s="153">
        <v>-5.6342090803001321</v>
      </c>
      <c r="L171" s="153">
        <v>-4.3193102115535584</v>
      </c>
      <c r="M171" s="153"/>
      <c r="N171" s="2" t="s">
        <v>57</v>
      </c>
      <c r="O171" s="2"/>
      <c r="P171" s="2" t="s">
        <v>51</v>
      </c>
    </row>
    <row r="172" spans="1:16" ht="16.5" customHeight="1" x14ac:dyDescent="0.25">
      <c r="A172" s="2" t="s">
        <v>429</v>
      </c>
      <c r="B172" s="8" t="s">
        <v>12677</v>
      </c>
      <c r="C172" s="8"/>
      <c r="D172" s="8" t="s">
        <v>175</v>
      </c>
      <c r="E172" s="150" t="s">
        <v>55</v>
      </c>
      <c r="F172" s="151" t="s">
        <v>56</v>
      </c>
      <c r="G172" s="152">
        <v>0</v>
      </c>
      <c r="H172" s="152"/>
      <c r="I172" s="153">
        <v>6.6</v>
      </c>
      <c r="J172" s="145">
        <v>171</v>
      </c>
      <c r="K172" s="153">
        <v>-1.7575000000000001</v>
      </c>
      <c r="L172" s="153">
        <v>-1.3180536449334059</v>
      </c>
      <c r="M172" s="153"/>
      <c r="N172" s="2" t="s">
        <v>57</v>
      </c>
      <c r="O172" s="2"/>
      <c r="P172" s="2" t="s">
        <v>51</v>
      </c>
    </row>
    <row r="173" spans="1:16" ht="16.5" customHeight="1" x14ac:dyDescent="0.25">
      <c r="A173" s="2" t="s">
        <v>431</v>
      </c>
      <c r="B173" s="8" t="s">
        <v>432</v>
      </c>
      <c r="C173" s="8"/>
      <c r="D173" s="8" t="s">
        <v>278</v>
      </c>
      <c r="E173" s="150" t="s">
        <v>13771</v>
      </c>
      <c r="F173" s="151" t="s">
        <v>56</v>
      </c>
      <c r="G173" s="152">
        <v>0</v>
      </c>
      <c r="H173" s="152"/>
      <c r="I173" s="153">
        <v>147.25</v>
      </c>
      <c r="J173" s="145">
        <v>172</v>
      </c>
      <c r="K173" s="153">
        <v>-17.725000000000001</v>
      </c>
      <c r="L173" s="153" t="s">
        <v>86</v>
      </c>
      <c r="M173" s="153"/>
      <c r="N173" s="2" t="s">
        <v>359</v>
      </c>
      <c r="O173" s="2"/>
      <c r="P173" s="2" t="s">
        <v>51</v>
      </c>
    </row>
    <row r="174" spans="1:16" ht="16.5" customHeight="1" x14ac:dyDescent="0.25">
      <c r="A174" s="2" t="s">
        <v>433</v>
      </c>
      <c r="B174" s="8" t="s">
        <v>434</v>
      </c>
      <c r="C174" s="8"/>
      <c r="D174" s="8" t="s">
        <v>163</v>
      </c>
      <c r="E174" s="150" t="s">
        <v>83</v>
      </c>
      <c r="F174" s="151" t="s">
        <v>56</v>
      </c>
      <c r="G174" s="152">
        <v>0</v>
      </c>
      <c r="H174" s="152"/>
      <c r="I174" s="153">
        <v>52.04</v>
      </c>
      <c r="J174" s="145">
        <v>173</v>
      </c>
      <c r="K174" s="153">
        <v>-10.441658490248001</v>
      </c>
      <c r="L174" s="153">
        <v>-7.8812843704789781</v>
      </c>
      <c r="M174" s="153"/>
      <c r="N174" s="2" t="s">
        <v>57</v>
      </c>
      <c r="O174" s="2"/>
      <c r="P174" s="2" t="s">
        <v>51</v>
      </c>
    </row>
    <row r="175" spans="1:16" ht="16.5" customHeight="1" x14ac:dyDescent="0.25">
      <c r="A175" s="2" t="s">
        <v>435</v>
      </c>
      <c r="B175" s="8" t="s">
        <v>436</v>
      </c>
      <c r="C175" s="8"/>
      <c r="D175" s="8" t="s">
        <v>163</v>
      </c>
      <c r="E175" s="150" t="s">
        <v>83</v>
      </c>
      <c r="F175" s="151" t="s">
        <v>56</v>
      </c>
      <c r="G175" s="152">
        <v>0</v>
      </c>
      <c r="H175" s="152"/>
      <c r="I175" s="153">
        <v>19.73</v>
      </c>
      <c r="J175" s="145">
        <v>174</v>
      </c>
      <c r="K175" s="153">
        <v>-3.448610087425227</v>
      </c>
      <c r="L175" s="153">
        <v>-1.3721099051811769</v>
      </c>
      <c r="M175" s="153"/>
      <c r="N175" s="2" t="s">
        <v>57</v>
      </c>
      <c r="O175" s="2"/>
      <c r="P175" s="10"/>
    </row>
    <row r="176" spans="1:16" ht="16.5" customHeight="1" x14ac:dyDescent="0.25">
      <c r="A176" s="2" t="s">
        <v>437</v>
      </c>
      <c r="B176" s="8" t="s">
        <v>438</v>
      </c>
      <c r="C176" s="8"/>
      <c r="D176" s="8" t="s">
        <v>163</v>
      </c>
      <c r="E176" s="150" t="s">
        <v>83</v>
      </c>
      <c r="F176" s="151" t="s">
        <v>56</v>
      </c>
      <c r="G176" s="152">
        <v>0</v>
      </c>
      <c r="H176" s="152"/>
      <c r="I176" s="153">
        <v>110.99</v>
      </c>
      <c r="J176" s="145">
        <v>175</v>
      </c>
      <c r="K176" s="153" t="s">
        <v>86</v>
      </c>
      <c r="L176" s="153" t="s">
        <v>86</v>
      </c>
      <c r="M176" s="153"/>
      <c r="N176" s="2" t="s">
        <v>359</v>
      </c>
      <c r="O176" s="2"/>
      <c r="P176" s="2"/>
    </row>
    <row r="177" spans="1:16" ht="16.5" customHeight="1" x14ac:dyDescent="0.25">
      <c r="A177" s="2" t="s">
        <v>439</v>
      </c>
      <c r="B177" s="8" t="s">
        <v>440</v>
      </c>
      <c r="C177" s="8"/>
      <c r="D177" s="8" t="s">
        <v>441</v>
      </c>
      <c r="E177" s="150" t="s">
        <v>13771</v>
      </c>
      <c r="F177" s="151" t="s">
        <v>56</v>
      </c>
      <c r="G177" s="152">
        <v>0</v>
      </c>
      <c r="H177" s="152"/>
      <c r="I177" s="153">
        <v>41.94</v>
      </c>
      <c r="J177" s="145">
        <v>176</v>
      </c>
      <c r="K177" s="153">
        <v>-8.0223055555555547</v>
      </c>
      <c r="L177" s="153">
        <v>-5.9980428062657092</v>
      </c>
      <c r="M177" s="153"/>
      <c r="N177" s="2" t="s">
        <v>57</v>
      </c>
      <c r="O177" s="2"/>
      <c r="P177" s="10"/>
    </row>
    <row r="178" spans="1:16" ht="16.5" customHeight="1" x14ac:dyDescent="0.25">
      <c r="A178" s="2" t="s">
        <v>442</v>
      </c>
      <c r="B178" s="8" t="s">
        <v>443</v>
      </c>
      <c r="C178" s="8"/>
      <c r="D178" s="8" t="s">
        <v>278</v>
      </c>
      <c r="E178" s="150" t="s">
        <v>13771</v>
      </c>
      <c r="F178" s="151" t="s">
        <v>56</v>
      </c>
      <c r="G178" s="152">
        <v>0</v>
      </c>
      <c r="H178" s="152"/>
      <c r="I178" s="153">
        <v>49.5</v>
      </c>
      <c r="J178" s="145">
        <v>177</v>
      </c>
      <c r="K178" s="153">
        <v>-8.5602444737801502</v>
      </c>
      <c r="L178" s="153" t="s">
        <v>86</v>
      </c>
      <c r="M178" s="153"/>
      <c r="N178" s="2" t="s">
        <v>57</v>
      </c>
      <c r="O178" s="2"/>
      <c r="P178" s="10"/>
    </row>
    <row r="179" spans="1:16" ht="16.5" customHeight="1" x14ac:dyDescent="0.25">
      <c r="A179" s="2" t="s">
        <v>444</v>
      </c>
      <c r="B179" s="8" t="s">
        <v>13812</v>
      </c>
      <c r="C179" s="8"/>
      <c r="D179" s="8" t="s">
        <v>282</v>
      </c>
      <c r="E179" s="150" t="s">
        <v>13772</v>
      </c>
      <c r="F179" s="151" t="s">
        <v>103</v>
      </c>
      <c r="G179" s="152">
        <v>0</v>
      </c>
      <c r="H179" s="152"/>
      <c r="I179" s="153">
        <v>7.7</v>
      </c>
      <c r="J179" s="145">
        <v>178</v>
      </c>
      <c r="K179" s="153">
        <v>-1.151764705882353</v>
      </c>
      <c r="L179" s="153" t="s">
        <v>86</v>
      </c>
      <c r="M179" s="153"/>
      <c r="N179" s="2" t="s">
        <v>57</v>
      </c>
      <c r="O179" s="2"/>
      <c r="P179" s="10"/>
    </row>
    <row r="180" spans="1:16" ht="16.5" customHeight="1" x14ac:dyDescent="0.25">
      <c r="A180" s="2" t="s">
        <v>446</v>
      </c>
      <c r="B180" s="8" t="s">
        <v>447</v>
      </c>
      <c r="C180" s="8"/>
      <c r="D180" s="8" t="s">
        <v>278</v>
      </c>
      <c r="E180" s="150" t="s">
        <v>13772</v>
      </c>
      <c r="F180" s="151" t="s">
        <v>103</v>
      </c>
      <c r="G180" s="152">
        <v>0</v>
      </c>
      <c r="H180" s="152"/>
      <c r="I180" s="153">
        <v>37.4</v>
      </c>
      <c r="J180" s="145">
        <v>179</v>
      </c>
      <c r="K180" s="153" t="s">
        <v>86</v>
      </c>
      <c r="L180" s="153" t="s">
        <v>86</v>
      </c>
      <c r="M180" s="153"/>
      <c r="N180" s="2" t="s">
        <v>57</v>
      </c>
      <c r="O180" s="2"/>
      <c r="P180" s="10"/>
    </row>
    <row r="181" spans="1:16" ht="16.5" customHeight="1" x14ac:dyDescent="0.25">
      <c r="A181" s="2" t="s">
        <v>448</v>
      </c>
      <c r="B181" s="8" t="s">
        <v>449</v>
      </c>
      <c r="C181" s="8"/>
      <c r="D181" s="8" t="s">
        <v>278</v>
      </c>
      <c r="E181" s="150" t="s">
        <v>83</v>
      </c>
      <c r="F181" s="151" t="s">
        <v>56</v>
      </c>
      <c r="G181" s="152">
        <v>0</v>
      </c>
      <c r="H181" s="152"/>
      <c r="I181" s="153">
        <v>10.47</v>
      </c>
      <c r="J181" s="145">
        <v>180</v>
      </c>
      <c r="K181" s="153">
        <v>-1.6324000000000001</v>
      </c>
      <c r="L181" s="153" t="s">
        <v>86</v>
      </c>
      <c r="M181" s="153"/>
      <c r="N181" s="2" t="s">
        <v>57</v>
      </c>
      <c r="O181" s="2"/>
      <c r="P181" s="10"/>
    </row>
    <row r="182" spans="1:16" ht="16.5" customHeight="1" x14ac:dyDescent="0.25">
      <c r="A182" s="2" t="s">
        <v>450</v>
      </c>
      <c r="B182" s="8" t="s">
        <v>13813</v>
      </c>
      <c r="C182" s="8"/>
      <c r="D182" s="8" t="s">
        <v>278</v>
      </c>
      <c r="E182" s="150" t="s">
        <v>83</v>
      </c>
      <c r="F182" s="151" t="s">
        <v>56</v>
      </c>
      <c r="G182" s="152">
        <v>0</v>
      </c>
      <c r="H182" s="152"/>
      <c r="I182" s="153">
        <v>11.55</v>
      </c>
      <c r="J182" s="145">
        <v>181</v>
      </c>
      <c r="K182" s="153">
        <v>-3.276470588235294</v>
      </c>
      <c r="L182" s="153" t="s">
        <v>86</v>
      </c>
      <c r="M182" s="153"/>
      <c r="N182" s="2" t="s">
        <v>57</v>
      </c>
      <c r="O182" s="2"/>
      <c r="P182" s="10"/>
    </row>
    <row r="183" spans="1:16" ht="16.5" customHeight="1" x14ac:dyDescent="0.25">
      <c r="A183" s="2" t="s">
        <v>452</v>
      </c>
      <c r="B183" s="8" t="s">
        <v>13814</v>
      </c>
      <c r="C183" s="8"/>
      <c r="D183" s="8" t="s">
        <v>278</v>
      </c>
      <c r="E183" s="150" t="s">
        <v>83</v>
      </c>
      <c r="F183" s="151" t="s">
        <v>56</v>
      </c>
      <c r="G183" s="152">
        <v>0</v>
      </c>
      <c r="H183" s="152"/>
      <c r="I183" s="153">
        <v>12.1</v>
      </c>
      <c r="J183" s="145">
        <v>182</v>
      </c>
      <c r="K183" s="153">
        <v>-2.72</v>
      </c>
      <c r="L183" s="153" t="s">
        <v>86</v>
      </c>
      <c r="M183" s="153"/>
      <c r="N183" s="2" t="s">
        <v>57</v>
      </c>
      <c r="O183" s="2"/>
      <c r="P183" s="10"/>
    </row>
    <row r="184" spans="1:16" ht="16.5" customHeight="1" x14ac:dyDescent="0.25">
      <c r="A184" s="2" t="s">
        <v>454</v>
      </c>
      <c r="B184" s="8" t="s">
        <v>13815</v>
      </c>
      <c r="C184" s="8"/>
      <c r="D184" s="8" t="s">
        <v>278</v>
      </c>
      <c r="E184" s="150" t="s">
        <v>83</v>
      </c>
      <c r="F184" s="151" t="s">
        <v>56</v>
      </c>
      <c r="G184" s="152">
        <v>0</v>
      </c>
      <c r="H184" s="152"/>
      <c r="I184" s="153">
        <v>13.21</v>
      </c>
      <c r="J184" s="145">
        <v>183</v>
      </c>
      <c r="K184" s="153">
        <v>-0.80729354643783735</v>
      </c>
      <c r="L184" s="153" t="s">
        <v>86</v>
      </c>
      <c r="M184" s="153"/>
      <c r="N184" s="2" t="s">
        <v>57</v>
      </c>
      <c r="O184" s="2"/>
      <c r="P184" s="10"/>
    </row>
    <row r="185" spans="1:16" ht="16.5" customHeight="1" x14ac:dyDescent="0.25">
      <c r="A185" s="2" t="s">
        <v>456</v>
      </c>
      <c r="B185" s="8" t="s">
        <v>13816</v>
      </c>
      <c r="C185" s="8"/>
      <c r="D185" s="8" t="s">
        <v>278</v>
      </c>
      <c r="E185" s="150" t="s">
        <v>83</v>
      </c>
      <c r="F185" s="151" t="s">
        <v>56</v>
      </c>
      <c r="G185" s="152">
        <v>0</v>
      </c>
      <c r="H185" s="152"/>
      <c r="I185" s="153">
        <v>14.3</v>
      </c>
      <c r="J185" s="145">
        <v>184</v>
      </c>
      <c r="K185" s="153">
        <v>-0.72944029614601924</v>
      </c>
      <c r="L185" s="153" t="s">
        <v>86</v>
      </c>
      <c r="M185" s="153"/>
      <c r="N185" s="2" t="s">
        <v>57</v>
      </c>
      <c r="O185" s="2"/>
      <c r="P185" s="10"/>
    </row>
    <row r="186" spans="1:16" ht="16.5" customHeight="1" x14ac:dyDescent="0.25">
      <c r="A186" s="2" t="s">
        <v>458</v>
      </c>
      <c r="B186" s="8" t="s">
        <v>459</v>
      </c>
      <c r="C186" s="8"/>
      <c r="D186" s="8" t="s">
        <v>278</v>
      </c>
      <c r="E186" s="150" t="s">
        <v>83</v>
      </c>
      <c r="F186" s="151" t="s">
        <v>56</v>
      </c>
      <c r="G186" s="152">
        <v>0</v>
      </c>
      <c r="H186" s="152"/>
      <c r="I186" s="153">
        <v>2.2000000000000002</v>
      </c>
      <c r="J186" s="145">
        <v>185</v>
      </c>
      <c r="K186" s="153">
        <v>-0.51071770401106509</v>
      </c>
      <c r="L186" s="153">
        <v>-0.35</v>
      </c>
      <c r="M186" s="153"/>
      <c r="N186" s="2" t="s">
        <v>57</v>
      </c>
      <c r="O186" s="2"/>
      <c r="P186" s="10"/>
    </row>
    <row r="187" spans="1:16" ht="16.5" customHeight="1" x14ac:dyDescent="0.25">
      <c r="A187" s="2" t="s">
        <v>460</v>
      </c>
      <c r="B187" s="8" t="s">
        <v>461</v>
      </c>
      <c r="C187" s="8"/>
      <c r="D187" s="8" t="s">
        <v>278</v>
      </c>
      <c r="E187" s="150" t="s">
        <v>83</v>
      </c>
      <c r="F187" s="151" t="s">
        <v>56</v>
      </c>
      <c r="G187" s="152">
        <v>0</v>
      </c>
      <c r="H187" s="152"/>
      <c r="I187" s="153">
        <v>1.65</v>
      </c>
      <c r="J187" s="145">
        <v>186</v>
      </c>
      <c r="K187" s="153">
        <v>-0.15221695629278559</v>
      </c>
      <c r="L187" s="153">
        <v>-0.3221538618042038</v>
      </c>
      <c r="M187" s="153"/>
      <c r="N187" s="2" t="s">
        <v>57</v>
      </c>
      <c r="O187" s="2"/>
      <c r="P187" s="10"/>
    </row>
    <row r="188" spans="1:16" ht="16.5" customHeight="1" x14ac:dyDescent="0.25">
      <c r="A188" s="2" t="s">
        <v>462</v>
      </c>
      <c r="B188" s="8" t="s">
        <v>463</v>
      </c>
      <c r="C188" s="8"/>
      <c r="D188" s="8" t="s">
        <v>278</v>
      </c>
      <c r="E188" s="150" t="s">
        <v>83</v>
      </c>
      <c r="F188" s="151" t="s">
        <v>56</v>
      </c>
      <c r="G188" s="152">
        <v>0</v>
      </c>
      <c r="H188" s="152"/>
      <c r="I188" s="153">
        <v>2.37</v>
      </c>
      <c r="J188" s="145">
        <v>187</v>
      </c>
      <c r="K188" s="153">
        <v>-0.23869284876905039</v>
      </c>
      <c r="L188" s="153" t="s">
        <v>86</v>
      </c>
      <c r="M188" s="153"/>
      <c r="N188" s="2" t="s">
        <v>57</v>
      </c>
      <c r="O188" s="2"/>
      <c r="P188" s="10"/>
    </row>
    <row r="189" spans="1:16" ht="16.5" customHeight="1" x14ac:dyDescent="0.25">
      <c r="A189" s="2" t="s">
        <v>464</v>
      </c>
      <c r="B189" s="8" t="s">
        <v>465</v>
      </c>
      <c r="C189" s="8"/>
      <c r="D189" s="8" t="s">
        <v>278</v>
      </c>
      <c r="E189" s="150" t="s">
        <v>83</v>
      </c>
      <c r="F189" s="151" t="s">
        <v>56</v>
      </c>
      <c r="G189" s="152">
        <v>0</v>
      </c>
      <c r="H189" s="152"/>
      <c r="I189" s="153">
        <v>2.5</v>
      </c>
      <c r="J189" s="145">
        <v>188</v>
      </c>
      <c r="K189" s="153">
        <v>-0.44641609719058473</v>
      </c>
      <c r="L189" s="153">
        <v>-0.1</v>
      </c>
      <c r="M189" s="153"/>
      <c r="N189" s="2" t="s">
        <v>57</v>
      </c>
      <c r="O189" s="2"/>
      <c r="P189" s="10"/>
    </row>
    <row r="190" spans="1:16" ht="16.5" customHeight="1" x14ac:dyDescent="0.25">
      <c r="A190" s="8" t="s">
        <v>466</v>
      </c>
      <c r="B190" s="8" t="s">
        <v>467</v>
      </c>
      <c r="C190" s="8"/>
      <c r="D190" s="8" t="s">
        <v>441</v>
      </c>
      <c r="E190" s="150" t="s">
        <v>13771</v>
      </c>
      <c r="F190" s="151" t="s">
        <v>56</v>
      </c>
      <c r="G190" s="152">
        <v>0</v>
      </c>
      <c r="H190" s="152"/>
      <c r="I190" s="153">
        <v>43.03</v>
      </c>
      <c r="J190" s="145">
        <v>189</v>
      </c>
      <c r="K190" s="153">
        <v>-12.97542677011432</v>
      </c>
      <c r="L190" s="153" t="s">
        <v>86</v>
      </c>
      <c r="M190" s="153"/>
      <c r="N190" s="2" t="s">
        <v>57</v>
      </c>
      <c r="O190" s="2"/>
      <c r="P190" s="2" t="s">
        <v>51</v>
      </c>
    </row>
    <row r="191" spans="1:16" ht="16.5" customHeight="1" x14ac:dyDescent="0.25">
      <c r="A191" s="8" t="s">
        <v>468</v>
      </c>
      <c r="B191" s="8" t="s">
        <v>12533</v>
      </c>
      <c r="C191" s="8"/>
      <c r="D191" s="8" t="s">
        <v>441</v>
      </c>
      <c r="E191" s="150" t="s">
        <v>13771</v>
      </c>
      <c r="F191" s="151" t="s">
        <v>56</v>
      </c>
      <c r="G191" s="152">
        <v>0</v>
      </c>
      <c r="H191" s="152"/>
      <c r="I191" s="153">
        <v>22</v>
      </c>
      <c r="J191" s="145">
        <v>190</v>
      </c>
      <c r="K191" s="153">
        <v>-5.3033333333333328</v>
      </c>
      <c r="L191" s="153" t="s">
        <v>86</v>
      </c>
      <c r="M191" s="153"/>
      <c r="N191" s="2" t="s">
        <v>57</v>
      </c>
      <c r="O191" s="2"/>
      <c r="P191" s="2" t="s">
        <v>51</v>
      </c>
    </row>
    <row r="192" spans="1:16" ht="16.5" customHeight="1" x14ac:dyDescent="0.25">
      <c r="A192" s="8" t="s">
        <v>470</v>
      </c>
      <c r="B192" s="8" t="s">
        <v>471</v>
      </c>
      <c r="C192" s="8"/>
      <c r="D192" s="8" t="s">
        <v>472</v>
      </c>
      <c r="E192" s="150" t="s">
        <v>13771</v>
      </c>
      <c r="F192" s="151" t="s">
        <v>56</v>
      </c>
      <c r="G192" s="152">
        <v>0</v>
      </c>
      <c r="H192" s="152"/>
      <c r="I192" s="153">
        <v>4.5</v>
      </c>
      <c r="J192" s="145">
        <v>191</v>
      </c>
      <c r="K192" s="153">
        <v>-0.80433561123766129</v>
      </c>
      <c r="L192" s="153">
        <v>-0.44435015421269491</v>
      </c>
      <c r="M192" s="153"/>
      <c r="N192" s="2" t="s">
        <v>57</v>
      </c>
      <c r="O192" s="2"/>
      <c r="P192" s="10"/>
    </row>
    <row r="193" spans="1:16" ht="16.5" customHeight="1" x14ac:dyDescent="0.25">
      <c r="A193" s="146" t="s">
        <v>473</v>
      </c>
      <c r="B193" s="146" t="s">
        <v>473</v>
      </c>
      <c r="C193" s="8"/>
      <c r="D193" s="8" t="s">
        <v>386</v>
      </c>
      <c r="E193" s="150" t="s">
        <v>13772</v>
      </c>
      <c r="F193" s="151" t="s">
        <v>103</v>
      </c>
      <c r="G193" s="152">
        <v>0</v>
      </c>
      <c r="H193" s="152"/>
      <c r="I193" s="153">
        <v>3.56</v>
      </c>
      <c r="J193" s="145">
        <v>192</v>
      </c>
      <c r="K193" s="153" t="s">
        <v>86</v>
      </c>
      <c r="L193" s="153" t="s">
        <v>86</v>
      </c>
      <c r="M193" s="153"/>
      <c r="N193" s="2" t="s">
        <v>57</v>
      </c>
      <c r="O193" s="2"/>
      <c r="P193" s="10"/>
    </row>
    <row r="194" spans="1:16" ht="16.5" customHeight="1" x14ac:dyDescent="0.25">
      <c r="A194" s="146" t="s">
        <v>474</v>
      </c>
      <c r="B194" s="146" t="s">
        <v>474</v>
      </c>
      <c r="C194" s="8"/>
      <c r="D194" s="8" t="s">
        <v>386</v>
      </c>
      <c r="E194" s="150" t="s">
        <v>13772</v>
      </c>
      <c r="F194" s="151" t="s">
        <v>103</v>
      </c>
      <c r="G194" s="152">
        <v>0</v>
      </c>
      <c r="H194" s="152"/>
      <c r="I194" s="153">
        <v>5.74</v>
      </c>
      <c r="J194" s="145">
        <v>193</v>
      </c>
      <c r="K194" s="153" t="s">
        <v>86</v>
      </c>
      <c r="L194" s="153" t="s">
        <v>86</v>
      </c>
      <c r="M194" s="153"/>
      <c r="N194" s="2" t="s">
        <v>57</v>
      </c>
      <c r="O194" s="2"/>
      <c r="P194" s="10"/>
    </row>
    <row r="195" spans="1:16" ht="16.5" customHeight="1" x14ac:dyDescent="0.25">
      <c r="A195" s="146" t="s">
        <v>475</v>
      </c>
      <c r="B195" s="146" t="s">
        <v>476</v>
      </c>
      <c r="C195" s="8"/>
      <c r="D195" s="8" t="s">
        <v>82</v>
      </c>
      <c r="E195" s="150" t="s">
        <v>83</v>
      </c>
      <c r="F195" s="151" t="s">
        <v>56</v>
      </c>
      <c r="G195" s="152">
        <v>0</v>
      </c>
      <c r="H195" s="152"/>
      <c r="I195" s="153">
        <v>13.2</v>
      </c>
      <c r="J195" s="145">
        <v>194</v>
      </c>
      <c r="K195" s="153" t="s">
        <v>86</v>
      </c>
      <c r="L195" s="153" t="s">
        <v>86</v>
      </c>
      <c r="M195" s="153"/>
      <c r="N195" s="2" t="s">
        <v>57</v>
      </c>
      <c r="O195" s="2"/>
      <c r="P195" s="10"/>
    </row>
    <row r="196" spans="1:16" ht="16.5" customHeight="1" x14ac:dyDescent="0.25">
      <c r="A196" s="2" t="s">
        <v>477</v>
      </c>
      <c r="B196" s="8" t="s">
        <v>478</v>
      </c>
      <c r="C196" s="8"/>
      <c r="D196" s="8" t="s">
        <v>82</v>
      </c>
      <c r="E196" s="150" t="s">
        <v>83</v>
      </c>
      <c r="F196" s="151" t="s">
        <v>56</v>
      </c>
      <c r="G196" s="152">
        <v>0</v>
      </c>
      <c r="H196" s="152"/>
      <c r="I196" s="153">
        <v>19.8</v>
      </c>
      <c r="J196" s="145">
        <v>195</v>
      </c>
      <c r="K196" s="153">
        <v>-4.3454795070146917</v>
      </c>
      <c r="L196" s="153">
        <v>-6.45</v>
      </c>
      <c r="M196" s="153"/>
      <c r="N196" s="2" t="s">
        <v>479</v>
      </c>
      <c r="O196" s="2"/>
      <c r="P196" s="10"/>
    </row>
    <row r="197" spans="1:16" ht="16.5" customHeight="1" x14ac:dyDescent="0.25">
      <c r="A197" s="2" t="s">
        <v>480</v>
      </c>
      <c r="B197" s="8" t="s">
        <v>13817</v>
      </c>
      <c r="C197" s="8"/>
      <c r="D197" s="8" t="s">
        <v>54</v>
      </c>
      <c r="E197" s="150" t="s">
        <v>55</v>
      </c>
      <c r="F197" s="151" t="s">
        <v>56</v>
      </c>
      <c r="G197" s="152">
        <v>0</v>
      </c>
      <c r="H197" s="152"/>
      <c r="I197" s="153">
        <v>5.5</v>
      </c>
      <c r="J197" s="145">
        <v>196</v>
      </c>
      <c r="K197" s="153">
        <v>-1.54</v>
      </c>
      <c r="L197" s="153">
        <v>-7.14</v>
      </c>
      <c r="M197" s="153"/>
      <c r="N197" s="2" t="s">
        <v>479</v>
      </c>
      <c r="O197" s="2"/>
      <c r="P197" s="10"/>
    </row>
    <row r="198" spans="1:16" ht="16.5" customHeight="1" x14ac:dyDescent="0.25">
      <c r="A198" s="2" t="s">
        <v>482</v>
      </c>
      <c r="B198" s="8" t="s">
        <v>483</v>
      </c>
      <c r="C198" s="8" t="s">
        <v>101</v>
      </c>
      <c r="D198" s="8" t="s">
        <v>54</v>
      </c>
      <c r="E198" s="150" t="s">
        <v>139</v>
      </c>
      <c r="F198" s="151" t="s">
        <v>103</v>
      </c>
      <c r="G198" s="152">
        <v>0</v>
      </c>
      <c r="H198" s="152"/>
      <c r="I198" s="153">
        <v>13.2</v>
      </c>
      <c r="J198" s="145">
        <v>197</v>
      </c>
      <c r="K198" s="153">
        <v>-6.9115624999999996</v>
      </c>
      <c r="L198" s="153">
        <v>-6.7620817398500597</v>
      </c>
      <c r="M198" s="153"/>
      <c r="N198" s="2" t="s">
        <v>479</v>
      </c>
      <c r="O198" s="2"/>
      <c r="P198" s="10"/>
    </row>
    <row r="199" spans="1:16" ht="16.5" customHeight="1" x14ac:dyDescent="0.25">
      <c r="A199" s="2" t="s">
        <v>484</v>
      </c>
      <c r="B199" s="8" t="s">
        <v>12027</v>
      </c>
      <c r="C199" s="8" t="s">
        <v>101</v>
      </c>
      <c r="D199" s="8" t="s">
        <v>54</v>
      </c>
      <c r="E199" s="150" t="s">
        <v>139</v>
      </c>
      <c r="F199" s="151" t="s">
        <v>103</v>
      </c>
      <c r="G199" s="152">
        <v>0</v>
      </c>
      <c r="H199" s="152"/>
      <c r="I199" s="153">
        <v>5.96</v>
      </c>
      <c r="J199" s="145">
        <v>198</v>
      </c>
      <c r="K199" s="153">
        <v>-4.9066666666666663</v>
      </c>
      <c r="L199" s="153">
        <v>-2.4351202949837201</v>
      </c>
      <c r="M199" s="153"/>
      <c r="N199" s="2" t="s">
        <v>479</v>
      </c>
      <c r="O199" s="2"/>
      <c r="P199" s="10"/>
    </row>
    <row r="200" spans="1:16" ht="16.5" customHeight="1" x14ac:dyDescent="0.25">
      <c r="A200" s="2" t="s">
        <v>486</v>
      </c>
      <c r="B200" s="8" t="s">
        <v>13818</v>
      </c>
      <c r="C200" s="8" t="s">
        <v>101</v>
      </c>
      <c r="D200" s="8" t="s">
        <v>54</v>
      </c>
      <c r="E200" s="150" t="s">
        <v>139</v>
      </c>
      <c r="F200" s="151" t="s">
        <v>103</v>
      </c>
      <c r="G200" s="152">
        <v>0</v>
      </c>
      <c r="H200" s="152"/>
      <c r="I200" s="153">
        <v>3.64</v>
      </c>
      <c r="J200" s="145">
        <v>199</v>
      </c>
      <c r="K200" s="153">
        <v>-0.95500000000000007</v>
      </c>
      <c r="L200" s="153">
        <v>-3.14</v>
      </c>
      <c r="M200" s="153"/>
      <c r="N200" s="2" t="s">
        <v>479</v>
      </c>
      <c r="O200" s="2"/>
      <c r="P200" s="10"/>
    </row>
    <row r="201" spans="1:16" ht="16.5" customHeight="1" x14ac:dyDescent="0.25">
      <c r="A201" s="2" t="s">
        <v>488</v>
      </c>
      <c r="B201" s="8" t="s">
        <v>489</v>
      </c>
      <c r="C201" s="8" t="s">
        <v>101</v>
      </c>
      <c r="D201" s="8" t="s">
        <v>54</v>
      </c>
      <c r="E201" s="150" t="s">
        <v>139</v>
      </c>
      <c r="F201" s="151" t="s">
        <v>103</v>
      </c>
      <c r="G201" s="152">
        <v>0</v>
      </c>
      <c r="H201" s="152"/>
      <c r="I201" s="153">
        <v>4.25</v>
      </c>
      <c r="J201" s="145">
        <v>200</v>
      </c>
      <c r="K201" s="153">
        <v>-1.931</v>
      </c>
      <c r="L201" s="153">
        <v>-4.8137933373041939</v>
      </c>
      <c r="M201" s="153"/>
      <c r="N201" s="2" t="s">
        <v>479</v>
      </c>
      <c r="O201" s="2"/>
      <c r="P201" s="10"/>
    </row>
    <row r="202" spans="1:16" ht="16.5" customHeight="1" x14ac:dyDescent="0.25">
      <c r="A202" s="2" t="s">
        <v>490</v>
      </c>
      <c r="B202" s="8" t="s">
        <v>13819</v>
      </c>
      <c r="C202" s="8" t="s">
        <v>101</v>
      </c>
      <c r="D202" s="8" t="s">
        <v>54</v>
      </c>
      <c r="E202" s="150" t="s">
        <v>139</v>
      </c>
      <c r="F202" s="151" t="s">
        <v>103</v>
      </c>
      <c r="G202" s="152">
        <v>0</v>
      </c>
      <c r="H202" s="152"/>
      <c r="I202" s="153">
        <v>1.1000000000000001</v>
      </c>
      <c r="J202" s="145">
        <v>201</v>
      </c>
      <c r="K202" s="153">
        <v>-0.42875000000000002</v>
      </c>
      <c r="L202" s="153">
        <v>-0.92</v>
      </c>
      <c r="M202" s="153"/>
      <c r="N202" s="2" t="s">
        <v>479</v>
      </c>
      <c r="O202" s="2"/>
      <c r="P202" s="10"/>
    </row>
    <row r="203" spans="1:16" ht="16.5" customHeight="1" x14ac:dyDescent="0.25">
      <c r="A203" s="2" t="s">
        <v>492</v>
      </c>
      <c r="B203" s="8" t="s">
        <v>493</v>
      </c>
      <c r="C203" s="8"/>
      <c r="D203" s="8" t="s">
        <v>201</v>
      </c>
      <c r="E203" s="150" t="s">
        <v>55</v>
      </c>
      <c r="F203" s="151" t="s">
        <v>56</v>
      </c>
      <c r="G203" s="152">
        <v>0</v>
      </c>
      <c r="H203" s="152"/>
      <c r="I203" s="153">
        <v>26.95</v>
      </c>
      <c r="J203" s="145">
        <v>202</v>
      </c>
      <c r="K203" s="153">
        <v>-7.5271111111111111</v>
      </c>
      <c r="L203" s="153">
        <v>-4.5999999999999996</v>
      </c>
      <c r="M203" s="153"/>
      <c r="N203" s="2" t="s">
        <v>479</v>
      </c>
      <c r="O203" s="2"/>
      <c r="P203" s="2"/>
    </row>
    <row r="204" spans="1:16" ht="16.5" customHeight="1" x14ac:dyDescent="0.25">
      <c r="A204" s="2" t="s">
        <v>494</v>
      </c>
      <c r="B204" s="8" t="s">
        <v>13820</v>
      </c>
      <c r="C204" s="8"/>
      <c r="D204" s="8" t="s">
        <v>186</v>
      </c>
      <c r="E204" s="150" t="s">
        <v>55</v>
      </c>
      <c r="F204" s="151" t="s">
        <v>56</v>
      </c>
      <c r="G204" s="152">
        <v>0</v>
      </c>
      <c r="H204" s="152"/>
      <c r="I204" s="153">
        <v>8.36</v>
      </c>
      <c r="J204" s="145">
        <v>203</v>
      </c>
      <c r="K204" s="153">
        <v>-7.0590703177333074</v>
      </c>
      <c r="L204" s="153">
        <v>-5.3130642241679</v>
      </c>
      <c r="M204" s="153"/>
      <c r="N204" s="2" t="s">
        <v>479</v>
      </c>
      <c r="O204" s="2"/>
      <c r="P204" s="10"/>
    </row>
    <row r="205" spans="1:16" ht="16.5" customHeight="1" x14ac:dyDescent="0.25">
      <c r="A205" s="2" t="s">
        <v>496</v>
      </c>
      <c r="B205" s="8" t="s">
        <v>12799</v>
      </c>
      <c r="C205" s="8"/>
      <c r="D205" s="8" t="s">
        <v>278</v>
      </c>
      <c r="E205" s="150" t="s">
        <v>13771</v>
      </c>
      <c r="F205" s="151" t="s">
        <v>56</v>
      </c>
      <c r="G205" s="152">
        <v>0</v>
      </c>
      <c r="H205" s="152"/>
      <c r="I205" s="153">
        <v>21.03</v>
      </c>
      <c r="J205" s="145">
        <v>204</v>
      </c>
      <c r="K205" s="153">
        <v>-7.0794233392121644</v>
      </c>
      <c r="L205" s="153" t="s">
        <v>86</v>
      </c>
      <c r="M205" s="153"/>
      <c r="N205" s="2" t="s">
        <v>359</v>
      </c>
      <c r="O205" s="2"/>
      <c r="P205" s="10" t="s">
        <v>498</v>
      </c>
    </row>
    <row r="206" spans="1:16" ht="16.5" customHeight="1" x14ac:dyDescent="0.25">
      <c r="A206" s="2" t="s">
        <v>499</v>
      </c>
      <c r="B206" s="8" t="s">
        <v>500</v>
      </c>
      <c r="C206" s="8"/>
      <c r="D206" s="8" t="s">
        <v>278</v>
      </c>
      <c r="E206" s="150" t="s">
        <v>13771</v>
      </c>
      <c r="F206" s="151" t="s">
        <v>56</v>
      </c>
      <c r="G206" s="152">
        <v>0</v>
      </c>
      <c r="H206" s="152"/>
      <c r="I206" s="153">
        <v>25.36</v>
      </c>
      <c r="J206" s="145">
        <v>205</v>
      </c>
      <c r="K206" s="153">
        <v>-8.0054702909155644</v>
      </c>
      <c r="L206" s="153" t="s">
        <v>86</v>
      </c>
      <c r="M206" s="153"/>
      <c r="N206" s="2" t="s">
        <v>359</v>
      </c>
      <c r="O206" s="2"/>
      <c r="P206" s="2"/>
    </row>
    <row r="207" spans="1:16" ht="16.5" customHeight="1" x14ac:dyDescent="0.25">
      <c r="A207" s="2" t="s">
        <v>501</v>
      </c>
      <c r="B207" s="8" t="s">
        <v>13821</v>
      </c>
      <c r="C207" s="8"/>
      <c r="D207" s="8" t="s">
        <v>278</v>
      </c>
      <c r="E207" s="150" t="s">
        <v>13771</v>
      </c>
      <c r="F207" s="151" t="s">
        <v>56</v>
      </c>
      <c r="G207" s="152">
        <v>0</v>
      </c>
      <c r="H207" s="152"/>
      <c r="I207" s="153">
        <v>2.79</v>
      </c>
      <c r="J207" s="145">
        <v>206</v>
      </c>
      <c r="K207" s="153">
        <v>-1.1508700146599631</v>
      </c>
      <c r="L207" s="153" t="s">
        <v>86</v>
      </c>
      <c r="M207" s="153"/>
      <c r="N207" s="2" t="s">
        <v>359</v>
      </c>
      <c r="O207" s="2"/>
      <c r="P207" s="2"/>
    </row>
    <row r="208" spans="1:16" ht="16.5" customHeight="1" x14ac:dyDescent="0.25">
      <c r="A208" s="2" t="s">
        <v>503</v>
      </c>
      <c r="B208" s="8" t="s">
        <v>12256</v>
      </c>
      <c r="C208" s="8"/>
      <c r="D208" s="8" t="s">
        <v>278</v>
      </c>
      <c r="E208" s="150" t="s">
        <v>13771</v>
      </c>
      <c r="F208" s="151" t="s">
        <v>56</v>
      </c>
      <c r="G208" s="152">
        <v>0</v>
      </c>
      <c r="H208" s="152"/>
      <c r="I208" s="153">
        <v>7.15</v>
      </c>
      <c r="J208" s="145">
        <v>207</v>
      </c>
      <c r="K208" s="153">
        <v>-2.620058864303267</v>
      </c>
      <c r="L208" s="153" t="s">
        <v>86</v>
      </c>
      <c r="M208" s="153"/>
      <c r="N208" s="2" t="s">
        <v>359</v>
      </c>
      <c r="O208" s="2"/>
      <c r="P208" s="2"/>
    </row>
    <row r="209" spans="1:16" ht="16.5" customHeight="1" x14ac:dyDescent="0.25">
      <c r="A209" s="2" t="s">
        <v>505</v>
      </c>
      <c r="B209" s="8" t="s">
        <v>13822</v>
      </c>
      <c r="C209" s="8"/>
      <c r="D209" s="8" t="s">
        <v>278</v>
      </c>
      <c r="E209" s="150" t="s">
        <v>13771</v>
      </c>
      <c r="F209" s="151" t="s">
        <v>56</v>
      </c>
      <c r="G209" s="152">
        <v>0</v>
      </c>
      <c r="H209" s="152"/>
      <c r="I209" s="153">
        <v>7.83</v>
      </c>
      <c r="J209" s="145">
        <v>208</v>
      </c>
      <c r="K209" s="153">
        <v>-4.4706416347381861</v>
      </c>
      <c r="L209" s="153" t="s">
        <v>86</v>
      </c>
      <c r="M209" s="153"/>
      <c r="N209" s="2" t="s">
        <v>359</v>
      </c>
      <c r="O209" s="2"/>
      <c r="P209" s="2"/>
    </row>
    <row r="210" spans="1:16" ht="16.5" customHeight="1" x14ac:dyDescent="0.25">
      <c r="A210" s="2" t="s">
        <v>507</v>
      </c>
      <c r="B210" s="8" t="s">
        <v>508</v>
      </c>
      <c r="C210" s="8"/>
      <c r="D210" s="8" t="s">
        <v>278</v>
      </c>
      <c r="E210" s="150" t="s">
        <v>13771</v>
      </c>
      <c r="F210" s="151" t="s">
        <v>56</v>
      </c>
      <c r="G210" s="152">
        <v>0</v>
      </c>
      <c r="H210" s="152"/>
      <c r="I210" s="153">
        <v>3.65</v>
      </c>
      <c r="J210" s="145">
        <v>209</v>
      </c>
      <c r="K210" s="153">
        <v>-2.0846250319284798</v>
      </c>
      <c r="L210" s="153" t="s">
        <v>86</v>
      </c>
      <c r="M210" s="153"/>
      <c r="N210" s="2" t="s">
        <v>359</v>
      </c>
      <c r="O210" s="2"/>
      <c r="P210" s="2"/>
    </row>
    <row r="211" spans="1:16" ht="16.5" customHeight="1" x14ac:dyDescent="0.25">
      <c r="A211" s="2" t="s">
        <v>509</v>
      </c>
      <c r="B211" s="8" t="s">
        <v>12385</v>
      </c>
      <c r="C211" s="8"/>
      <c r="D211" s="8" t="s">
        <v>278</v>
      </c>
      <c r="E211" s="150" t="s">
        <v>511</v>
      </c>
      <c r="F211" s="151" t="s">
        <v>103</v>
      </c>
      <c r="G211" s="152">
        <v>0</v>
      </c>
      <c r="H211" s="152"/>
      <c r="I211" s="153">
        <v>38.5</v>
      </c>
      <c r="J211" s="145">
        <v>210</v>
      </c>
      <c r="K211" s="153">
        <v>-9.7273778400249</v>
      </c>
      <c r="L211" s="153" t="s">
        <v>86</v>
      </c>
      <c r="M211" s="153"/>
      <c r="N211" s="2" t="s">
        <v>479</v>
      </c>
      <c r="O211" s="2"/>
      <c r="P211" s="2"/>
    </row>
    <row r="212" spans="1:16" ht="16.5" customHeight="1" x14ac:dyDescent="0.25">
      <c r="A212" s="2" t="s">
        <v>512</v>
      </c>
      <c r="B212" s="8" t="s">
        <v>513</v>
      </c>
      <c r="C212" s="8"/>
      <c r="D212" s="8" t="s">
        <v>278</v>
      </c>
      <c r="E212" s="150" t="s">
        <v>511</v>
      </c>
      <c r="F212" s="151" t="s">
        <v>103</v>
      </c>
      <c r="G212" s="152">
        <v>0</v>
      </c>
      <c r="H212" s="152"/>
      <c r="I212" s="153">
        <v>27.5</v>
      </c>
      <c r="J212" s="145">
        <v>211</v>
      </c>
      <c r="K212" s="153">
        <v>-10.434708333333329</v>
      </c>
      <c r="L212" s="153" t="s">
        <v>86</v>
      </c>
      <c r="M212" s="153"/>
      <c r="N212" s="2" t="s">
        <v>479</v>
      </c>
      <c r="O212" s="2"/>
      <c r="P212" s="2"/>
    </row>
    <row r="213" spans="1:16" ht="16.5" customHeight="1" x14ac:dyDescent="0.25">
      <c r="A213" s="2" t="s">
        <v>514</v>
      </c>
      <c r="B213" s="8" t="s">
        <v>515</v>
      </c>
      <c r="C213" s="8" t="s">
        <v>119</v>
      </c>
      <c r="D213" s="8" t="s">
        <v>120</v>
      </c>
      <c r="E213" s="150" t="s">
        <v>13772</v>
      </c>
      <c r="F213" s="151" t="s">
        <v>103</v>
      </c>
      <c r="G213" s="152">
        <v>0</v>
      </c>
      <c r="H213" s="152"/>
      <c r="I213" s="153">
        <v>51.7</v>
      </c>
      <c r="J213" s="145">
        <v>212</v>
      </c>
      <c r="K213" s="153">
        <v>-13.3</v>
      </c>
      <c r="L213" s="153" t="s">
        <v>86</v>
      </c>
      <c r="M213" s="153"/>
      <c r="N213" s="2" t="s">
        <v>479</v>
      </c>
      <c r="O213" s="2"/>
      <c r="P213" s="2"/>
    </row>
    <row r="214" spans="1:16" ht="16.5" customHeight="1" x14ac:dyDescent="0.25">
      <c r="A214" s="2" t="s">
        <v>516</v>
      </c>
      <c r="B214" s="8" t="s">
        <v>516</v>
      </c>
      <c r="C214" s="8"/>
      <c r="D214" s="8" t="s">
        <v>358</v>
      </c>
      <c r="E214" s="150" t="s">
        <v>13771</v>
      </c>
      <c r="F214" s="151" t="s">
        <v>56</v>
      </c>
      <c r="G214" s="152">
        <v>0</v>
      </c>
      <c r="H214" s="152"/>
      <c r="I214" s="153">
        <v>0</v>
      </c>
      <c r="J214" s="145">
        <v>213</v>
      </c>
      <c r="K214" s="153" t="s">
        <v>86</v>
      </c>
      <c r="L214" s="153" t="s">
        <v>86</v>
      </c>
      <c r="M214" s="153"/>
      <c r="N214" s="2" t="s">
        <v>517</v>
      </c>
      <c r="O214" s="2"/>
      <c r="P214" s="2"/>
    </row>
    <row r="215" spans="1:16" ht="16.5" customHeight="1" x14ac:dyDescent="0.25">
      <c r="A215" s="2" t="s">
        <v>518</v>
      </c>
      <c r="B215" s="8" t="s">
        <v>13823</v>
      </c>
      <c r="C215" s="8" t="s">
        <v>119</v>
      </c>
      <c r="D215" s="8" t="s">
        <v>120</v>
      </c>
      <c r="E215" s="150" t="s">
        <v>13771</v>
      </c>
      <c r="F215" s="151" t="s">
        <v>56</v>
      </c>
      <c r="G215" s="152">
        <v>0</v>
      </c>
      <c r="H215" s="152"/>
      <c r="I215" s="153">
        <v>75.53</v>
      </c>
      <c r="J215" s="145">
        <v>214</v>
      </c>
      <c r="K215" s="153">
        <v>-15.525</v>
      </c>
      <c r="L215" s="153" t="s">
        <v>86</v>
      </c>
      <c r="M215" s="153"/>
      <c r="N215" s="2" t="s">
        <v>479</v>
      </c>
      <c r="O215" s="2"/>
      <c r="P215" s="2"/>
    </row>
    <row r="216" spans="1:16" ht="16.5" customHeight="1" x14ac:dyDescent="0.25">
      <c r="A216" s="2" t="s">
        <v>520</v>
      </c>
      <c r="B216" s="8" t="s">
        <v>521</v>
      </c>
      <c r="C216" s="8" t="s">
        <v>119</v>
      </c>
      <c r="D216" s="8" t="s">
        <v>120</v>
      </c>
      <c r="E216" s="150" t="s">
        <v>13771</v>
      </c>
      <c r="F216" s="151" t="s">
        <v>56</v>
      </c>
      <c r="G216" s="152">
        <v>0</v>
      </c>
      <c r="H216" s="152"/>
      <c r="I216" s="153">
        <v>86.96</v>
      </c>
      <c r="J216" s="145">
        <v>215</v>
      </c>
      <c r="K216" s="153">
        <v>-18.6431</v>
      </c>
      <c r="L216" s="153" t="s">
        <v>86</v>
      </c>
      <c r="M216" s="153"/>
      <c r="N216" s="2" t="s">
        <v>479</v>
      </c>
      <c r="O216" s="2"/>
      <c r="P216" s="2"/>
    </row>
    <row r="217" spans="1:16" ht="16.5" customHeight="1" x14ac:dyDescent="0.25">
      <c r="A217" s="2" t="s">
        <v>522</v>
      </c>
      <c r="B217" s="8" t="s">
        <v>522</v>
      </c>
      <c r="C217" s="8"/>
      <c r="D217" s="8" t="s">
        <v>358</v>
      </c>
      <c r="E217" s="150" t="s">
        <v>13772</v>
      </c>
      <c r="F217" s="151" t="s">
        <v>103</v>
      </c>
      <c r="G217" s="152">
        <v>0</v>
      </c>
      <c r="H217" s="152"/>
      <c r="I217" s="153">
        <v>0</v>
      </c>
      <c r="J217" s="145">
        <v>216</v>
      </c>
      <c r="K217" s="153" t="s">
        <v>86</v>
      </c>
      <c r="L217" s="153" t="s">
        <v>86</v>
      </c>
      <c r="M217" s="153"/>
      <c r="N217" s="2" t="s">
        <v>517</v>
      </c>
      <c r="O217" s="2"/>
      <c r="P217" s="2"/>
    </row>
    <row r="218" spans="1:16" ht="16.5" customHeight="1" x14ac:dyDescent="0.25">
      <c r="A218" s="2" t="s">
        <v>523</v>
      </c>
      <c r="B218" s="8" t="s">
        <v>11699</v>
      </c>
      <c r="C218" s="8"/>
      <c r="D218" s="8" t="s">
        <v>358</v>
      </c>
      <c r="E218" s="150" t="s">
        <v>13771</v>
      </c>
      <c r="F218" s="151" t="s">
        <v>56</v>
      </c>
      <c r="G218" s="152">
        <v>0</v>
      </c>
      <c r="H218" s="152"/>
      <c r="I218" s="153">
        <v>76.430000000000007</v>
      </c>
      <c r="J218" s="145">
        <v>217</v>
      </c>
      <c r="K218" s="153" t="s">
        <v>86</v>
      </c>
      <c r="L218" s="153" t="s">
        <v>86</v>
      </c>
      <c r="M218" s="153"/>
      <c r="N218" s="2" t="s">
        <v>479</v>
      </c>
      <c r="O218" s="2"/>
      <c r="P218" s="2"/>
    </row>
    <row r="219" spans="1:16" ht="16.5" customHeight="1" x14ac:dyDescent="0.25">
      <c r="A219" s="2" t="s">
        <v>524</v>
      </c>
      <c r="B219" s="8" t="s">
        <v>11474</v>
      </c>
      <c r="C219" s="8"/>
      <c r="D219" s="8" t="s">
        <v>358</v>
      </c>
      <c r="E219" s="150" t="s">
        <v>13771</v>
      </c>
      <c r="F219" s="151" t="s">
        <v>56</v>
      </c>
      <c r="G219" s="152">
        <v>0</v>
      </c>
      <c r="H219" s="152"/>
      <c r="I219" s="153">
        <v>111.43</v>
      </c>
      <c r="J219" s="145">
        <v>218</v>
      </c>
      <c r="K219" s="153" t="s">
        <v>86</v>
      </c>
      <c r="L219" s="153" t="s">
        <v>86</v>
      </c>
      <c r="M219" s="153"/>
      <c r="N219" s="2" t="s">
        <v>479</v>
      </c>
      <c r="O219" s="2"/>
      <c r="P219" s="2"/>
    </row>
    <row r="220" spans="1:16" ht="16.5" customHeight="1" x14ac:dyDescent="0.25">
      <c r="A220" s="2" t="s">
        <v>525</v>
      </c>
      <c r="B220" s="8" t="s">
        <v>11475</v>
      </c>
      <c r="C220" s="8"/>
      <c r="D220" s="8" t="s">
        <v>358</v>
      </c>
      <c r="E220" s="150" t="s">
        <v>13771</v>
      </c>
      <c r="F220" s="151" t="s">
        <v>56</v>
      </c>
      <c r="G220" s="152">
        <v>0</v>
      </c>
      <c r="H220" s="152"/>
      <c r="I220" s="153">
        <v>135.32</v>
      </c>
      <c r="J220" s="145">
        <v>219</v>
      </c>
      <c r="K220" s="153" t="s">
        <v>86</v>
      </c>
      <c r="L220" s="153" t="s">
        <v>86</v>
      </c>
      <c r="M220" s="153"/>
      <c r="N220" s="2" t="s">
        <v>479</v>
      </c>
      <c r="O220" s="2"/>
      <c r="P220" s="2"/>
    </row>
    <row r="221" spans="1:16" ht="16.5" customHeight="1" x14ac:dyDescent="0.25">
      <c r="A221" s="2" t="s">
        <v>526</v>
      </c>
      <c r="B221" s="8" t="s">
        <v>527</v>
      </c>
      <c r="C221" s="8"/>
      <c r="D221" s="8" t="s">
        <v>358</v>
      </c>
      <c r="E221" s="150" t="s">
        <v>13771</v>
      </c>
      <c r="F221" s="151" t="s">
        <v>56</v>
      </c>
      <c r="G221" s="152">
        <v>0</v>
      </c>
      <c r="H221" s="152"/>
      <c r="I221" s="153">
        <v>67.38</v>
      </c>
      <c r="J221" s="145">
        <v>220</v>
      </c>
      <c r="K221" s="153">
        <v>-16.731111111111112</v>
      </c>
      <c r="L221" s="153" t="s">
        <v>86</v>
      </c>
      <c r="M221" s="153"/>
      <c r="N221" s="2" t="s">
        <v>479</v>
      </c>
      <c r="O221" s="2"/>
      <c r="P221" s="2"/>
    </row>
    <row r="222" spans="1:16" ht="16.5" customHeight="1" x14ac:dyDescent="0.25">
      <c r="A222" s="2" t="s">
        <v>528</v>
      </c>
      <c r="B222" s="8" t="s">
        <v>529</v>
      </c>
      <c r="C222" s="8"/>
      <c r="D222" s="8" t="s">
        <v>296</v>
      </c>
      <c r="E222" s="150" t="s">
        <v>13771</v>
      </c>
      <c r="F222" s="151" t="s">
        <v>56</v>
      </c>
      <c r="G222" s="152">
        <v>0</v>
      </c>
      <c r="H222" s="152"/>
      <c r="I222" s="153">
        <v>7.88</v>
      </c>
      <c r="J222" s="145">
        <v>221</v>
      </c>
      <c r="K222" s="153" t="s">
        <v>86</v>
      </c>
      <c r="L222" s="153" t="s">
        <v>86</v>
      </c>
      <c r="M222" s="153"/>
      <c r="N222" s="2" t="s">
        <v>479</v>
      </c>
      <c r="O222" s="2"/>
      <c r="P222" s="10"/>
    </row>
    <row r="223" spans="1:16" ht="16.5" customHeight="1" x14ac:dyDescent="0.25">
      <c r="A223" s="2" t="s">
        <v>530</v>
      </c>
      <c r="B223" s="8" t="s">
        <v>531</v>
      </c>
      <c r="C223" s="8"/>
      <c r="D223" s="8" t="s">
        <v>358</v>
      </c>
      <c r="E223" s="150" t="s">
        <v>13771</v>
      </c>
      <c r="F223" s="151" t="s">
        <v>56</v>
      </c>
      <c r="G223" s="152">
        <v>0</v>
      </c>
      <c r="H223" s="152"/>
      <c r="I223" s="153">
        <v>34.380000000000003</v>
      </c>
      <c r="J223" s="145">
        <v>222</v>
      </c>
      <c r="K223" s="153">
        <v>-6.7193333333333332</v>
      </c>
      <c r="L223" s="153" t="s">
        <v>86</v>
      </c>
      <c r="M223" s="153"/>
      <c r="N223" s="2" t="s">
        <v>359</v>
      </c>
      <c r="O223" s="2"/>
      <c r="P223" s="2"/>
    </row>
    <row r="224" spans="1:16" ht="16.5" customHeight="1" x14ac:dyDescent="0.25">
      <c r="A224" s="2" t="s">
        <v>532</v>
      </c>
      <c r="B224" s="8" t="s">
        <v>12531</v>
      </c>
      <c r="C224" s="8"/>
      <c r="D224" s="8" t="s">
        <v>358</v>
      </c>
      <c r="E224" s="150" t="s">
        <v>13771</v>
      </c>
      <c r="F224" s="151" t="s">
        <v>56</v>
      </c>
      <c r="G224" s="152">
        <v>0</v>
      </c>
      <c r="H224" s="152"/>
      <c r="I224" s="153">
        <v>43.02</v>
      </c>
      <c r="J224" s="145">
        <v>223</v>
      </c>
      <c r="K224" s="153">
        <v>-6.8566666666666656</v>
      </c>
      <c r="L224" s="153" t="s">
        <v>86</v>
      </c>
      <c r="M224" s="153"/>
      <c r="N224" s="2" t="s">
        <v>479</v>
      </c>
      <c r="O224" s="2"/>
      <c r="P224" s="2"/>
    </row>
    <row r="225" spans="1:16" ht="16.5" customHeight="1" x14ac:dyDescent="0.25">
      <c r="A225" s="2" t="s">
        <v>534</v>
      </c>
      <c r="B225" s="8" t="s">
        <v>535</v>
      </c>
      <c r="C225" s="8"/>
      <c r="D225" s="8" t="s">
        <v>278</v>
      </c>
      <c r="E225" s="150" t="s">
        <v>13771</v>
      </c>
      <c r="F225" s="151" t="s">
        <v>56</v>
      </c>
      <c r="G225" s="152">
        <v>0</v>
      </c>
      <c r="H225" s="152"/>
      <c r="I225" s="153">
        <v>22</v>
      </c>
      <c r="J225" s="145">
        <v>224</v>
      </c>
      <c r="K225" s="153">
        <v>-8.8785555555555558</v>
      </c>
      <c r="L225" s="153" t="s">
        <v>86</v>
      </c>
      <c r="M225" s="153"/>
      <c r="N225" s="2" t="s">
        <v>479</v>
      </c>
      <c r="O225" s="2"/>
      <c r="P225" s="2"/>
    </row>
    <row r="226" spans="1:16" ht="16.5" customHeight="1" x14ac:dyDescent="0.25">
      <c r="A226" s="2" t="s">
        <v>536</v>
      </c>
      <c r="B226" s="8" t="s">
        <v>537</v>
      </c>
      <c r="C226" s="8"/>
      <c r="D226" s="8" t="s">
        <v>278</v>
      </c>
      <c r="E226" s="150" t="s">
        <v>13771</v>
      </c>
      <c r="F226" s="151" t="s">
        <v>56</v>
      </c>
      <c r="G226" s="152">
        <v>0</v>
      </c>
      <c r="H226" s="152"/>
      <c r="I226" s="153">
        <v>31.9</v>
      </c>
      <c r="J226" s="145">
        <v>225</v>
      </c>
      <c r="K226" s="153">
        <v>-10.526999999999999</v>
      </c>
      <c r="L226" s="153" t="s">
        <v>86</v>
      </c>
      <c r="M226" s="153"/>
      <c r="N226" s="2" t="s">
        <v>479</v>
      </c>
      <c r="O226" s="2"/>
      <c r="P226" s="2"/>
    </row>
    <row r="227" spans="1:16" ht="16.5" customHeight="1" x14ac:dyDescent="0.25">
      <c r="A227" s="2" t="s">
        <v>538</v>
      </c>
      <c r="B227" s="8" t="s">
        <v>539</v>
      </c>
      <c r="C227" s="8"/>
      <c r="D227" s="8" t="s">
        <v>278</v>
      </c>
      <c r="E227" s="150" t="s">
        <v>13771</v>
      </c>
      <c r="F227" s="151" t="s">
        <v>56</v>
      </c>
      <c r="G227" s="152">
        <v>0</v>
      </c>
      <c r="H227" s="152"/>
      <c r="I227" s="153">
        <v>15.4</v>
      </c>
      <c r="J227" s="145">
        <v>226</v>
      </c>
      <c r="K227" s="153">
        <v>-6.987333333333333</v>
      </c>
      <c r="L227" s="153" t="s">
        <v>86</v>
      </c>
      <c r="M227" s="153"/>
      <c r="N227" s="2" t="s">
        <v>479</v>
      </c>
      <c r="O227" s="2"/>
      <c r="P227" s="2"/>
    </row>
    <row r="228" spans="1:16" ht="16.5" customHeight="1" x14ac:dyDescent="0.25">
      <c r="A228" s="2" t="s">
        <v>540</v>
      </c>
      <c r="B228" s="8" t="s">
        <v>540</v>
      </c>
      <c r="C228" s="8"/>
      <c r="D228" s="8" t="s">
        <v>386</v>
      </c>
      <c r="E228" s="150" t="s">
        <v>102</v>
      </c>
      <c r="F228" s="151" t="s">
        <v>103</v>
      </c>
      <c r="G228" s="152">
        <v>0</v>
      </c>
      <c r="H228" s="152"/>
      <c r="I228" s="153">
        <v>1.54</v>
      </c>
      <c r="J228" s="145">
        <v>227</v>
      </c>
      <c r="K228" s="153" t="s">
        <v>86</v>
      </c>
      <c r="L228" s="153" t="s">
        <v>86</v>
      </c>
      <c r="M228" s="153"/>
      <c r="N228" s="2" t="s">
        <v>517</v>
      </c>
      <c r="O228" s="2"/>
      <c r="P228" s="2"/>
    </row>
    <row r="229" spans="1:16" ht="16.5" customHeight="1" x14ac:dyDescent="0.25">
      <c r="A229" s="2" t="s">
        <v>541</v>
      </c>
      <c r="B229" s="8" t="s">
        <v>541</v>
      </c>
      <c r="C229" s="8"/>
      <c r="D229" s="8" t="s">
        <v>386</v>
      </c>
      <c r="E229" s="150" t="s">
        <v>102</v>
      </c>
      <c r="F229" s="151" t="s">
        <v>103</v>
      </c>
      <c r="G229" s="152">
        <v>0</v>
      </c>
      <c r="H229" s="152"/>
      <c r="I229" s="153">
        <v>2.09</v>
      </c>
      <c r="J229" s="145">
        <v>228</v>
      </c>
      <c r="K229" s="153" t="s">
        <v>86</v>
      </c>
      <c r="L229" s="153" t="s">
        <v>86</v>
      </c>
      <c r="M229" s="153"/>
      <c r="N229" s="2" t="s">
        <v>517</v>
      </c>
      <c r="O229" s="2"/>
      <c r="P229" s="2"/>
    </row>
    <row r="230" spans="1:16" ht="16.5" customHeight="1" x14ac:dyDescent="0.25">
      <c r="A230" s="2" t="s">
        <v>542</v>
      </c>
      <c r="B230" s="8" t="s">
        <v>11471</v>
      </c>
      <c r="C230" s="8"/>
      <c r="D230" s="8" t="s">
        <v>358</v>
      </c>
      <c r="E230" s="150" t="s">
        <v>13771</v>
      </c>
      <c r="F230" s="151" t="s">
        <v>56</v>
      </c>
      <c r="G230" s="152">
        <v>0</v>
      </c>
      <c r="H230" s="152"/>
      <c r="I230" s="153">
        <v>11.51</v>
      </c>
      <c r="J230" s="145">
        <v>229</v>
      </c>
      <c r="K230" s="153" t="s">
        <v>86</v>
      </c>
      <c r="L230" s="153" t="s">
        <v>86</v>
      </c>
      <c r="M230" s="153"/>
      <c r="N230" s="2" t="s">
        <v>479</v>
      </c>
      <c r="O230" s="2"/>
      <c r="P230" s="2"/>
    </row>
    <row r="231" spans="1:16" ht="16.5" customHeight="1" x14ac:dyDescent="0.25">
      <c r="A231" s="2" t="s">
        <v>543</v>
      </c>
      <c r="B231" s="8" t="s">
        <v>12768</v>
      </c>
      <c r="C231" s="8"/>
      <c r="D231" s="8" t="s">
        <v>358</v>
      </c>
      <c r="E231" s="150" t="s">
        <v>13771</v>
      </c>
      <c r="F231" s="151" t="s">
        <v>56</v>
      </c>
      <c r="G231" s="152">
        <v>0</v>
      </c>
      <c r="H231" s="152"/>
      <c r="I231" s="153">
        <v>17.79</v>
      </c>
      <c r="J231" s="145">
        <v>230</v>
      </c>
      <c r="K231" s="153" t="s">
        <v>86</v>
      </c>
      <c r="L231" s="153" t="s">
        <v>86</v>
      </c>
      <c r="M231" s="153"/>
      <c r="N231" s="2" t="s">
        <v>479</v>
      </c>
      <c r="O231" s="2"/>
      <c r="P231" s="2"/>
    </row>
    <row r="232" spans="1:16" ht="16.5" customHeight="1" x14ac:dyDescent="0.25">
      <c r="A232" s="2" t="s">
        <v>544</v>
      </c>
      <c r="B232" s="8" t="s">
        <v>12751</v>
      </c>
      <c r="C232" s="8"/>
      <c r="D232" s="8" t="s">
        <v>358</v>
      </c>
      <c r="E232" s="150" t="s">
        <v>13771</v>
      </c>
      <c r="F232" s="151" t="s">
        <v>56</v>
      </c>
      <c r="G232" s="152">
        <v>0</v>
      </c>
      <c r="H232" s="152"/>
      <c r="I232" s="153">
        <v>26.57</v>
      </c>
      <c r="J232" s="145">
        <v>231</v>
      </c>
      <c r="K232" s="153" t="s">
        <v>86</v>
      </c>
      <c r="L232" s="153" t="s">
        <v>86</v>
      </c>
      <c r="M232" s="153"/>
      <c r="N232" s="2" t="s">
        <v>479</v>
      </c>
      <c r="O232" s="2"/>
      <c r="P232" s="2"/>
    </row>
    <row r="233" spans="1:16" ht="16.5" customHeight="1" x14ac:dyDescent="0.25">
      <c r="A233" s="2" t="s">
        <v>545</v>
      </c>
      <c r="B233" s="8" t="s">
        <v>11472</v>
      </c>
      <c r="C233" s="8"/>
      <c r="D233" s="8" t="s">
        <v>358</v>
      </c>
      <c r="E233" s="150" t="s">
        <v>13771</v>
      </c>
      <c r="F233" s="151" t="s">
        <v>56</v>
      </c>
      <c r="G233" s="152">
        <v>0</v>
      </c>
      <c r="H233" s="152"/>
      <c r="I233" s="153">
        <v>32.659999999999997</v>
      </c>
      <c r="J233" s="145">
        <v>232</v>
      </c>
      <c r="K233" s="153" t="s">
        <v>86</v>
      </c>
      <c r="L233" s="153" t="s">
        <v>86</v>
      </c>
      <c r="M233" s="153"/>
      <c r="N233" s="2" t="s">
        <v>479</v>
      </c>
      <c r="O233" s="2"/>
      <c r="P233" s="2"/>
    </row>
    <row r="234" spans="1:16" ht="16.5" customHeight="1" x14ac:dyDescent="0.25">
      <c r="A234" s="2" t="s">
        <v>546</v>
      </c>
      <c r="B234" s="8" t="s">
        <v>12532</v>
      </c>
      <c r="C234" s="8"/>
      <c r="D234" s="8" t="s">
        <v>358</v>
      </c>
      <c r="E234" s="150" t="s">
        <v>13771</v>
      </c>
      <c r="F234" s="151" t="s">
        <v>56</v>
      </c>
      <c r="G234" s="152">
        <v>0</v>
      </c>
      <c r="H234" s="152"/>
      <c r="I234" s="153">
        <v>12.56</v>
      </c>
      <c r="J234" s="145">
        <v>233</v>
      </c>
      <c r="K234" s="153" t="s">
        <v>86</v>
      </c>
      <c r="L234" s="153" t="s">
        <v>86</v>
      </c>
      <c r="M234" s="153"/>
      <c r="N234" s="2" t="s">
        <v>479</v>
      </c>
      <c r="O234" s="2"/>
      <c r="P234" s="2"/>
    </row>
    <row r="235" spans="1:16" ht="16.5" customHeight="1" x14ac:dyDescent="0.25">
      <c r="A235" s="2" t="s">
        <v>547</v>
      </c>
      <c r="B235" s="8" t="s">
        <v>12674</v>
      </c>
      <c r="C235" s="8"/>
      <c r="D235" s="8" t="s">
        <v>358</v>
      </c>
      <c r="E235" s="150" t="s">
        <v>13771</v>
      </c>
      <c r="F235" s="151" t="s">
        <v>56</v>
      </c>
      <c r="G235" s="152">
        <v>0</v>
      </c>
      <c r="H235" s="152"/>
      <c r="I235" s="153">
        <v>16.309999999999999</v>
      </c>
      <c r="J235" s="145">
        <v>234</v>
      </c>
      <c r="K235" s="153" t="s">
        <v>86</v>
      </c>
      <c r="L235" s="153" t="s">
        <v>86</v>
      </c>
      <c r="M235" s="153"/>
      <c r="N235" s="2" t="s">
        <v>479</v>
      </c>
      <c r="O235" s="2"/>
      <c r="P235" s="2"/>
    </row>
    <row r="236" spans="1:16" ht="16.5" customHeight="1" x14ac:dyDescent="0.25">
      <c r="A236" s="2" t="s">
        <v>548</v>
      </c>
      <c r="B236" s="8" t="s">
        <v>12798</v>
      </c>
      <c r="C236" s="8"/>
      <c r="D236" s="8" t="s">
        <v>358</v>
      </c>
      <c r="E236" s="150" t="s">
        <v>13771</v>
      </c>
      <c r="F236" s="151" t="s">
        <v>56</v>
      </c>
      <c r="G236" s="152">
        <v>0</v>
      </c>
      <c r="H236" s="152"/>
      <c r="I236" s="153">
        <v>17.5</v>
      </c>
      <c r="J236" s="145">
        <v>235</v>
      </c>
      <c r="K236" s="153" t="s">
        <v>86</v>
      </c>
      <c r="L236" s="153" t="s">
        <v>86</v>
      </c>
      <c r="M236" s="153"/>
      <c r="N236" s="2" t="s">
        <v>479</v>
      </c>
      <c r="O236" s="2"/>
      <c r="P236" s="2"/>
    </row>
    <row r="237" spans="1:16" ht="16.5" customHeight="1" x14ac:dyDescent="0.25">
      <c r="A237" s="2" t="s">
        <v>549</v>
      </c>
      <c r="B237" s="8" t="s">
        <v>11701</v>
      </c>
      <c r="C237" s="8"/>
      <c r="D237" s="8" t="s">
        <v>358</v>
      </c>
      <c r="E237" s="150" t="s">
        <v>13771</v>
      </c>
      <c r="F237" s="151" t="s">
        <v>56</v>
      </c>
      <c r="G237" s="152">
        <v>0</v>
      </c>
      <c r="H237" s="152"/>
      <c r="I237" s="153">
        <v>118.66</v>
      </c>
      <c r="J237" s="145">
        <v>236</v>
      </c>
      <c r="K237" s="153">
        <v>-15.143333333333331</v>
      </c>
      <c r="L237" s="153" t="s">
        <v>86</v>
      </c>
      <c r="M237" s="153"/>
      <c r="N237" s="2" t="s">
        <v>359</v>
      </c>
      <c r="O237" s="2"/>
      <c r="P237" s="2"/>
    </row>
    <row r="238" spans="1:16" ht="16.5" customHeight="1" x14ac:dyDescent="0.25">
      <c r="A238" s="2" t="s">
        <v>550</v>
      </c>
      <c r="B238" s="8" t="s">
        <v>551</v>
      </c>
      <c r="C238" s="8" t="s">
        <v>119</v>
      </c>
      <c r="D238" s="8" t="s">
        <v>120</v>
      </c>
      <c r="E238" s="150" t="s">
        <v>13771</v>
      </c>
      <c r="F238" s="151" t="s">
        <v>56</v>
      </c>
      <c r="G238" s="152">
        <v>0</v>
      </c>
      <c r="H238" s="152"/>
      <c r="I238" s="153">
        <v>66.95</v>
      </c>
      <c r="J238" s="145">
        <v>237</v>
      </c>
      <c r="K238" s="153">
        <v>-4.3947238984055561</v>
      </c>
      <c r="L238" s="153" t="s">
        <v>86</v>
      </c>
      <c r="M238" s="153"/>
      <c r="N238" s="2" t="s">
        <v>359</v>
      </c>
      <c r="O238" s="2"/>
      <c r="P238" s="10" t="s">
        <v>498</v>
      </c>
    </row>
    <row r="239" spans="1:16" ht="16.5" customHeight="1" x14ac:dyDescent="0.25">
      <c r="A239" s="2" t="s">
        <v>552</v>
      </c>
      <c r="B239" s="8" t="s">
        <v>553</v>
      </c>
      <c r="C239" s="8" t="s">
        <v>119</v>
      </c>
      <c r="D239" s="8" t="s">
        <v>120</v>
      </c>
      <c r="E239" s="150" t="s">
        <v>13771</v>
      </c>
      <c r="F239" s="151" t="s">
        <v>56</v>
      </c>
      <c r="G239" s="152">
        <v>0</v>
      </c>
      <c r="H239" s="152"/>
      <c r="I239" s="153">
        <v>73.930000000000007</v>
      </c>
      <c r="J239" s="145">
        <v>238</v>
      </c>
      <c r="K239" s="153">
        <v>-14.771000000000001</v>
      </c>
      <c r="L239" s="153">
        <v>-14.02</v>
      </c>
      <c r="M239" s="153"/>
      <c r="N239" s="2" t="s">
        <v>359</v>
      </c>
      <c r="O239" s="2"/>
      <c r="P239" s="10" t="s">
        <v>498</v>
      </c>
    </row>
    <row r="240" spans="1:16" ht="16.5" customHeight="1" x14ac:dyDescent="0.25">
      <c r="A240" s="2" t="s">
        <v>554</v>
      </c>
      <c r="B240" s="8" t="s">
        <v>555</v>
      </c>
      <c r="C240" s="8" t="s">
        <v>119</v>
      </c>
      <c r="D240" s="8" t="s">
        <v>120</v>
      </c>
      <c r="E240" s="150" t="s">
        <v>13771</v>
      </c>
      <c r="F240" s="151" t="s">
        <v>56</v>
      </c>
      <c r="G240" s="152">
        <v>0</v>
      </c>
      <c r="H240" s="152"/>
      <c r="I240" s="153">
        <v>77.06</v>
      </c>
      <c r="J240" s="145">
        <v>239</v>
      </c>
      <c r="K240" s="153">
        <v>-13.17493333333333</v>
      </c>
      <c r="L240" s="153" t="s">
        <v>86</v>
      </c>
      <c r="M240" s="153"/>
      <c r="N240" s="2" t="s">
        <v>479</v>
      </c>
      <c r="O240" s="2"/>
      <c r="P240" s="2"/>
    </row>
    <row r="241" spans="1:16" ht="16.5" customHeight="1" x14ac:dyDescent="0.25">
      <c r="A241" s="2" t="s">
        <v>556</v>
      </c>
      <c r="B241" s="8" t="s">
        <v>557</v>
      </c>
      <c r="C241" s="8" t="s">
        <v>119</v>
      </c>
      <c r="D241" s="8" t="s">
        <v>120</v>
      </c>
      <c r="E241" s="150" t="s">
        <v>13771</v>
      </c>
      <c r="F241" s="151" t="s">
        <v>56</v>
      </c>
      <c r="G241" s="152">
        <v>0</v>
      </c>
      <c r="H241" s="152"/>
      <c r="I241" s="153">
        <v>73.13</v>
      </c>
      <c r="J241" s="145">
        <v>240</v>
      </c>
      <c r="K241" s="153">
        <v>-13.45683333333333</v>
      </c>
      <c r="L241" s="153" t="s">
        <v>86</v>
      </c>
      <c r="M241" s="153"/>
      <c r="N241" s="2" t="s">
        <v>479</v>
      </c>
      <c r="O241" s="2"/>
      <c r="P241" s="2"/>
    </row>
    <row r="242" spans="1:16" ht="16.5" customHeight="1" x14ac:dyDescent="0.25">
      <c r="A242" s="2" t="s">
        <v>558</v>
      </c>
      <c r="B242" s="8" t="s">
        <v>559</v>
      </c>
      <c r="C242" s="8" t="s">
        <v>119</v>
      </c>
      <c r="D242" s="8" t="s">
        <v>120</v>
      </c>
      <c r="E242" s="150" t="s">
        <v>13771</v>
      </c>
      <c r="F242" s="151" t="s">
        <v>56</v>
      </c>
      <c r="G242" s="152">
        <v>0</v>
      </c>
      <c r="H242" s="152"/>
      <c r="I242" s="153">
        <v>76.16</v>
      </c>
      <c r="J242" s="145">
        <v>241</v>
      </c>
      <c r="K242" s="153">
        <v>-11.720625</v>
      </c>
      <c r="L242" s="153" t="s">
        <v>86</v>
      </c>
      <c r="M242" s="153"/>
      <c r="N242" s="2" t="s">
        <v>479</v>
      </c>
      <c r="O242" s="2"/>
      <c r="P242" s="2"/>
    </row>
    <row r="243" spans="1:16" ht="16.5" customHeight="1" x14ac:dyDescent="0.25">
      <c r="A243" s="2" t="s">
        <v>560</v>
      </c>
      <c r="B243" s="8" t="s">
        <v>561</v>
      </c>
      <c r="C243" s="8"/>
      <c r="D243" s="8" t="s">
        <v>278</v>
      </c>
      <c r="E243" s="150" t="s">
        <v>92</v>
      </c>
      <c r="F243" s="151" t="s">
        <v>56</v>
      </c>
      <c r="G243" s="152">
        <v>0</v>
      </c>
      <c r="H243" s="152"/>
      <c r="I243" s="153">
        <v>84.27</v>
      </c>
      <c r="J243" s="145">
        <v>242</v>
      </c>
      <c r="K243" s="153">
        <v>-25.39394444444444</v>
      </c>
      <c r="L243" s="153" t="s">
        <v>86</v>
      </c>
      <c r="M243" s="153"/>
      <c r="N243" s="2" t="s">
        <v>479</v>
      </c>
      <c r="O243" s="2"/>
      <c r="P243" s="2"/>
    </row>
    <row r="244" spans="1:16" ht="16.5" customHeight="1" x14ac:dyDescent="0.25">
      <c r="A244" s="2" t="s">
        <v>562</v>
      </c>
      <c r="B244" s="8" t="s">
        <v>11473</v>
      </c>
      <c r="C244" s="8"/>
      <c r="D244" s="8" t="s">
        <v>278</v>
      </c>
      <c r="E244" s="150" t="s">
        <v>13772</v>
      </c>
      <c r="F244" s="151" t="s">
        <v>103</v>
      </c>
      <c r="G244" s="152">
        <v>0</v>
      </c>
      <c r="H244" s="152"/>
      <c r="I244" s="153">
        <v>41.8</v>
      </c>
      <c r="J244" s="145">
        <v>243</v>
      </c>
      <c r="K244" s="153">
        <v>-24.313400000000001</v>
      </c>
      <c r="L244" s="153" t="s">
        <v>86</v>
      </c>
      <c r="M244" s="153"/>
      <c r="N244" s="2" t="s">
        <v>479</v>
      </c>
      <c r="O244" s="2"/>
      <c r="P244" s="2"/>
    </row>
    <row r="245" spans="1:16" ht="16.5" customHeight="1" x14ac:dyDescent="0.25">
      <c r="A245" s="2" t="s">
        <v>564</v>
      </c>
      <c r="B245" s="8" t="s">
        <v>13824</v>
      </c>
      <c r="C245" s="8"/>
      <c r="D245" s="8" t="s">
        <v>296</v>
      </c>
      <c r="E245" s="150" t="s">
        <v>13771</v>
      </c>
      <c r="F245" s="151" t="s">
        <v>56</v>
      </c>
      <c r="G245" s="152">
        <v>0</v>
      </c>
      <c r="H245" s="152"/>
      <c r="I245" s="153">
        <v>10.62</v>
      </c>
      <c r="J245" s="145">
        <v>244</v>
      </c>
      <c r="K245" s="153">
        <v>-0.92066666666666674</v>
      </c>
      <c r="L245" s="153" t="s">
        <v>86</v>
      </c>
      <c r="M245" s="153"/>
      <c r="N245" s="2" t="s">
        <v>479</v>
      </c>
      <c r="O245" s="2"/>
      <c r="P245" s="2"/>
    </row>
    <row r="246" spans="1:16" ht="16.5" customHeight="1" x14ac:dyDescent="0.25">
      <c r="A246" s="2" t="s">
        <v>566</v>
      </c>
      <c r="B246" s="8" t="s">
        <v>13825</v>
      </c>
      <c r="C246" s="8"/>
      <c r="D246" s="8" t="s">
        <v>296</v>
      </c>
      <c r="E246" s="150" t="s">
        <v>13771</v>
      </c>
      <c r="F246" s="151" t="s">
        <v>56</v>
      </c>
      <c r="G246" s="152">
        <v>0</v>
      </c>
      <c r="H246" s="152"/>
      <c r="I246" s="153">
        <v>13.74</v>
      </c>
      <c r="J246" s="145">
        <v>245</v>
      </c>
      <c r="K246" s="153">
        <v>-1.2146153846153851</v>
      </c>
      <c r="L246" s="153" t="s">
        <v>86</v>
      </c>
      <c r="M246" s="153"/>
      <c r="N246" s="2" t="s">
        <v>479</v>
      </c>
      <c r="O246" s="2"/>
      <c r="P246" s="2"/>
    </row>
    <row r="247" spans="1:16" ht="16.5" customHeight="1" x14ac:dyDescent="0.25">
      <c r="A247" s="2" t="s">
        <v>568</v>
      </c>
      <c r="B247" s="8" t="s">
        <v>11696</v>
      </c>
      <c r="C247" s="8"/>
      <c r="D247" s="8" t="s">
        <v>132</v>
      </c>
      <c r="E247" s="150" t="s">
        <v>55</v>
      </c>
      <c r="F247" s="151" t="s">
        <v>56</v>
      </c>
      <c r="G247" s="152">
        <v>0</v>
      </c>
      <c r="H247" s="152"/>
      <c r="I247" s="153">
        <v>58.2</v>
      </c>
      <c r="J247" s="145">
        <v>246</v>
      </c>
      <c r="K247" s="153">
        <v>-20.88</v>
      </c>
      <c r="L247" s="153" t="s">
        <v>86</v>
      </c>
      <c r="M247" s="153"/>
      <c r="N247" s="2" t="s">
        <v>479</v>
      </c>
      <c r="O247" s="2"/>
      <c r="P247" s="2"/>
    </row>
    <row r="248" spans="1:16" ht="16.5" customHeight="1" x14ac:dyDescent="0.25">
      <c r="A248" s="2" t="s">
        <v>569</v>
      </c>
      <c r="B248" s="8" t="s">
        <v>11673</v>
      </c>
      <c r="C248" s="8"/>
      <c r="D248" s="8" t="s">
        <v>278</v>
      </c>
      <c r="E248" s="150" t="s">
        <v>13771</v>
      </c>
      <c r="F248" s="151" t="s">
        <v>56</v>
      </c>
      <c r="G248" s="152">
        <v>0</v>
      </c>
      <c r="H248" s="152"/>
      <c r="I248" s="153">
        <v>20.46</v>
      </c>
      <c r="J248" s="145">
        <v>247</v>
      </c>
      <c r="K248" s="153">
        <v>-5.5766666666666671</v>
      </c>
      <c r="L248" s="153" t="s">
        <v>86</v>
      </c>
      <c r="M248" s="153"/>
      <c r="N248" s="2" t="s">
        <v>479</v>
      </c>
      <c r="O248" s="2"/>
      <c r="P248" s="2"/>
    </row>
    <row r="249" spans="1:16" ht="16.5" customHeight="1" x14ac:dyDescent="0.25">
      <c r="A249" s="2" t="s">
        <v>570</v>
      </c>
      <c r="B249" s="8" t="s">
        <v>11702</v>
      </c>
      <c r="C249" s="8" t="s">
        <v>571</v>
      </c>
      <c r="D249" s="8" t="s">
        <v>278</v>
      </c>
      <c r="E249" s="150" t="s">
        <v>511</v>
      </c>
      <c r="F249" s="151" t="s">
        <v>103</v>
      </c>
      <c r="G249" s="152">
        <v>0</v>
      </c>
      <c r="H249" s="152"/>
      <c r="I249" s="153">
        <v>34.200000000000003</v>
      </c>
      <c r="J249" s="145">
        <v>248</v>
      </c>
      <c r="K249" s="153">
        <v>-10.59466666666667</v>
      </c>
      <c r="L249" s="153" t="s">
        <v>86</v>
      </c>
      <c r="M249" s="153"/>
      <c r="N249" s="2" t="s">
        <v>479</v>
      </c>
      <c r="O249" s="2"/>
      <c r="P249" s="2"/>
    </row>
    <row r="250" spans="1:16" ht="16.5" customHeight="1" x14ac:dyDescent="0.25">
      <c r="A250" s="2" t="s">
        <v>572</v>
      </c>
      <c r="B250" s="8" t="s">
        <v>11697</v>
      </c>
      <c r="C250" s="8" t="s">
        <v>573</v>
      </c>
      <c r="D250" s="8" t="s">
        <v>278</v>
      </c>
      <c r="E250" s="150" t="s">
        <v>102</v>
      </c>
      <c r="F250" s="151" t="s">
        <v>103</v>
      </c>
      <c r="G250" s="152">
        <v>0</v>
      </c>
      <c r="H250" s="152"/>
      <c r="I250" s="153">
        <v>46.79</v>
      </c>
      <c r="J250" s="145">
        <v>249</v>
      </c>
      <c r="K250" s="153">
        <v>-22.638999999999999</v>
      </c>
      <c r="L250" s="153" t="s">
        <v>86</v>
      </c>
      <c r="M250" s="153"/>
      <c r="N250" s="2" t="s">
        <v>479</v>
      </c>
      <c r="O250" s="2"/>
      <c r="P250" s="2"/>
    </row>
    <row r="251" spans="1:16" ht="16.5" customHeight="1" x14ac:dyDescent="0.25">
      <c r="A251" s="2" t="s">
        <v>574</v>
      </c>
      <c r="B251" s="8" t="s">
        <v>11698</v>
      </c>
      <c r="C251" s="8" t="s">
        <v>575</v>
      </c>
      <c r="D251" s="8" t="s">
        <v>278</v>
      </c>
      <c r="E251" s="150" t="s">
        <v>102</v>
      </c>
      <c r="F251" s="151" t="s">
        <v>103</v>
      </c>
      <c r="G251" s="152">
        <v>0</v>
      </c>
      <c r="H251" s="152"/>
      <c r="I251" s="153">
        <v>62.05</v>
      </c>
      <c r="J251" s="145">
        <v>250</v>
      </c>
      <c r="K251" s="153">
        <v>-22.140999999999998</v>
      </c>
      <c r="L251" s="153" t="s">
        <v>86</v>
      </c>
      <c r="M251" s="153"/>
      <c r="N251" s="2" t="s">
        <v>479</v>
      </c>
      <c r="O251" s="2"/>
      <c r="P251" s="2"/>
    </row>
    <row r="252" spans="1:16" ht="16.5" customHeight="1" x14ac:dyDescent="0.25">
      <c r="A252" s="2" t="s">
        <v>576</v>
      </c>
      <c r="B252" s="8" t="s">
        <v>576</v>
      </c>
      <c r="C252" s="8"/>
      <c r="D252" s="8" t="s">
        <v>278</v>
      </c>
      <c r="E252" s="150" t="s">
        <v>102</v>
      </c>
      <c r="F252" s="151" t="s">
        <v>103</v>
      </c>
      <c r="G252" s="152">
        <v>0</v>
      </c>
      <c r="H252" s="152"/>
      <c r="I252" s="153">
        <v>0</v>
      </c>
      <c r="J252" s="145">
        <v>251</v>
      </c>
      <c r="K252" s="153" t="s">
        <v>86</v>
      </c>
      <c r="L252" s="153" t="s">
        <v>86</v>
      </c>
      <c r="M252" s="153"/>
      <c r="N252" s="2" t="s">
        <v>517</v>
      </c>
      <c r="O252" s="2"/>
      <c r="P252" s="2"/>
    </row>
    <row r="253" spans="1:16" ht="16.5" customHeight="1" x14ac:dyDescent="0.25">
      <c r="A253" s="2" t="s">
        <v>577</v>
      </c>
      <c r="B253" s="8" t="s">
        <v>577</v>
      </c>
      <c r="C253" s="8" t="s">
        <v>101</v>
      </c>
      <c r="D253" s="8" t="s">
        <v>578</v>
      </c>
      <c r="E253" s="150" t="s">
        <v>13772</v>
      </c>
      <c r="F253" s="151" t="s">
        <v>103</v>
      </c>
      <c r="G253" s="152">
        <v>0</v>
      </c>
      <c r="H253" s="152"/>
      <c r="I253" s="153">
        <v>40.47</v>
      </c>
      <c r="J253" s="145">
        <v>252</v>
      </c>
      <c r="K253" s="153">
        <v>-19.38</v>
      </c>
      <c r="L253" s="153" t="s">
        <v>86</v>
      </c>
      <c r="M253" s="153"/>
      <c r="N253" s="2" t="s">
        <v>479</v>
      </c>
      <c r="O253" s="2"/>
      <c r="P253" s="2"/>
    </row>
    <row r="254" spans="1:16" ht="16.5" customHeight="1" x14ac:dyDescent="0.25">
      <c r="A254" s="2" t="s">
        <v>579</v>
      </c>
      <c r="B254" s="8" t="s">
        <v>579</v>
      </c>
      <c r="C254" s="8" t="s">
        <v>101</v>
      </c>
      <c r="D254" s="8" t="s">
        <v>578</v>
      </c>
      <c r="E254" s="150" t="s">
        <v>13772</v>
      </c>
      <c r="F254" s="151" t="s">
        <v>103</v>
      </c>
      <c r="G254" s="152">
        <v>0</v>
      </c>
      <c r="H254" s="152"/>
      <c r="I254" s="153">
        <v>23.72</v>
      </c>
      <c r="J254" s="145">
        <v>253</v>
      </c>
      <c r="K254" s="153">
        <v>-7.93</v>
      </c>
      <c r="L254" s="153" t="s">
        <v>86</v>
      </c>
      <c r="M254" s="153"/>
      <c r="N254" s="2" t="s">
        <v>479</v>
      </c>
      <c r="O254" s="2"/>
      <c r="P254" s="2"/>
    </row>
    <row r="255" spans="1:16" ht="16.5" customHeight="1" x14ac:dyDescent="0.25">
      <c r="A255" s="2" t="s">
        <v>580</v>
      </c>
      <c r="B255" s="8" t="s">
        <v>580</v>
      </c>
      <c r="C255" s="8" t="s">
        <v>101</v>
      </c>
      <c r="D255" s="8" t="s">
        <v>578</v>
      </c>
      <c r="E255" s="150" t="s">
        <v>13772</v>
      </c>
      <c r="F255" s="151" t="s">
        <v>103</v>
      </c>
      <c r="G255" s="152">
        <v>0</v>
      </c>
      <c r="H255" s="152"/>
      <c r="I255" s="153">
        <v>39.6</v>
      </c>
      <c r="J255" s="145">
        <v>254</v>
      </c>
      <c r="K255" s="153">
        <v>-13.67</v>
      </c>
      <c r="L255" s="153" t="s">
        <v>86</v>
      </c>
      <c r="M255" s="153"/>
      <c r="N255" s="2" t="s">
        <v>479</v>
      </c>
      <c r="O255" s="2"/>
      <c r="P255" s="2"/>
    </row>
    <row r="256" spans="1:16" ht="16.5" customHeight="1" x14ac:dyDescent="0.25">
      <c r="A256" s="2" t="s">
        <v>581</v>
      </c>
      <c r="B256" s="8" t="s">
        <v>12026</v>
      </c>
      <c r="C256" s="8"/>
      <c r="D256" s="8" t="s">
        <v>278</v>
      </c>
      <c r="E256" s="150" t="s">
        <v>13771</v>
      </c>
      <c r="F256" s="151" t="s">
        <v>56</v>
      </c>
      <c r="G256" s="152">
        <v>0</v>
      </c>
      <c r="H256" s="152"/>
      <c r="I256" s="153">
        <v>31.15</v>
      </c>
      <c r="J256" s="145">
        <v>255</v>
      </c>
      <c r="K256" s="153">
        <v>-6.0679999999999996</v>
      </c>
      <c r="L256" s="153" t="s">
        <v>86</v>
      </c>
      <c r="M256" s="153"/>
      <c r="N256" s="2" t="s">
        <v>517</v>
      </c>
      <c r="O256" s="2"/>
      <c r="P256" s="2"/>
    </row>
    <row r="257" spans="1:16" ht="16.5" customHeight="1" x14ac:dyDescent="0.25">
      <c r="A257" s="2" t="s">
        <v>582</v>
      </c>
      <c r="B257" s="8" t="s">
        <v>12028</v>
      </c>
      <c r="C257" s="8"/>
      <c r="D257" s="8" t="s">
        <v>358</v>
      </c>
      <c r="E257" s="150" t="s">
        <v>13771</v>
      </c>
      <c r="F257" s="151" t="s">
        <v>56</v>
      </c>
      <c r="G257" s="152">
        <v>0</v>
      </c>
      <c r="H257" s="152"/>
      <c r="I257" s="153">
        <v>57.95</v>
      </c>
      <c r="J257" s="145">
        <v>256</v>
      </c>
      <c r="K257" s="153">
        <v>-12.2425</v>
      </c>
      <c r="L257" s="153" t="s">
        <v>86</v>
      </c>
      <c r="M257" s="153"/>
      <c r="N257" s="2" t="s">
        <v>517</v>
      </c>
      <c r="O257" s="2"/>
      <c r="P257" s="2"/>
    </row>
    <row r="258" spans="1:16" ht="16.5" customHeight="1" x14ac:dyDescent="0.25">
      <c r="A258" s="2" t="s">
        <v>583</v>
      </c>
      <c r="B258" s="8" t="s">
        <v>583</v>
      </c>
      <c r="C258" s="8"/>
      <c r="D258" s="8" t="s">
        <v>358</v>
      </c>
      <c r="E258" s="150" t="s">
        <v>13772</v>
      </c>
      <c r="F258" s="151" t="s">
        <v>103</v>
      </c>
      <c r="G258" s="152">
        <v>0</v>
      </c>
      <c r="H258" s="152"/>
      <c r="I258" s="153">
        <v>0</v>
      </c>
      <c r="J258" s="145">
        <v>257</v>
      </c>
      <c r="K258" s="153" t="s">
        <v>86</v>
      </c>
      <c r="L258" s="153" t="s">
        <v>86</v>
      </c>
      <c r="M258" s="153"/>
      <c r="N258" s="2" t="s">
        <v>517</v>
      </c>
      <c r="O258" s="2"/>
      <c r="P258" s="2"/>
    </row>
    <row r="259" spans="1:16" ht="16.5" customHeight="1" x14ac:dyDescent="0.25">
      <c r="A259" s="2" t="s">
        <v>584</v>
      </c>
      <c r="B259" s="8" t="s">
        <v>12029</v>
      </c>
      <c r="C259" s="8" t="s">
        <v>101</v>
      </c>
      <c r="D259" s="8" t="s">
        <v>358</v>
      </c>
      <c r="E259" s="150" t="s">
        <v>13771</v>
      </c>
      <c r="F259" s="151" t="s">
        <v>56</v>
      </c>
      <c r="G259" s="152">
        <v>0</v>
      </c>
      <c r="H259" s="152"/>
      <c r="I259" s="153">
        <v>77</v>
      </c>
      <c r="J259" s="145">
        <v>258</v>
      </c>
      <c r="K259" s="153">
        <v>-11.01766666666667</v>
      </c>
      <c r="L259" s="153" t="s">
        <v>86</v>
      </c>
      <c r="M259" s="153"/>
      <c r="N259" s="2" t="s">
        <v>517</v>
      </c>
      <c r="O259" s="2"/>
      <c r="P259" s="2"/>
    </row>
    <row r="260" spans="1:16" ht="16.5" customHeight="1" x14ac:dyDescent="0.25">
      <c r="A260" s="2" t="s">
        <v>585</v>
      </c>
      <c r="B260" s="8" t="s">
        <v>11704</v>
      </c>
      <c r="C260" s="8"/>
      <c r="D260" s="8" t="s">
        <v>296</v>
      </c>
      <c r="E260" s="150" t="s">
        <v>13771</v>
      </c>
      <c r="F260" s="151" t="s">
        <v>56</v>
      </c>
      <c r="G260" s="152">
        <v>0</v>
      </c>
      <c r="H260" s="152"/>
      <c r="I260" s="153">
        <v>9.16</v>
      </c>
      <c r="J260" s="145">
        <v>259</v>
      </c>
      <c r="K260" s="153">
        <v>-5.5441666666666656</v>
      </c>
      <c r="L260" s="153" t="s">
        <v>86</v>
      </c>
      <c r="M260" s="153"/>
      <c r="N260" s="2" t="s">
        <v>479</v>
      </c>
      <c r="O260" s="2"/>
      <c r="P260" s="2"/>
    </row>
    <row r="261" spans="1:16" ht="16.5" customHeight="1" x14ac:dyDescent="0.25">
      <c r="A261" s="2" t="s">
        <v>586</v>
      </c>
      <c r="B261" s="8" t="s">
        <v>12041</v>
      </c>
      <c r="C261" s="8"/>
      <c r="D261" s="8" t="s">
        <v>278</v>
      </c>
      <c r="E261" s="150" t="s">
        <v>13771</v>
      </c>
      <c r="F261" s="151" t="s">
        <v>56</v>
      </c>
      <c r="G261" s="152">
        <v>0</v>
      </c>
      <c r="H261" s="152"/>
      <c r="I261" s="153">
        <v>25.07</v>
      </c>
      <c r="J261" s="145">
        <v>260</v>
      </c>
      <c r="K261" s="153" t="s">
        <v>86</v>
      </c>
      <c r="L261" s="153" t="s">
        <v>86</v>
      </c>
      <c r="M261" s="153"/>
      <c r="N261" s="2" t="s">
        <v>517</v>
      </c>
      <c r="O261" s="2"/>
      <c r="P261" s="2"/>
    </row>
    <row r="262" spans="1:16" ht="16.5" customHeight="1" x14ac:dyDescent="0.25">
      <c r="A262" s="2" t="s">
        <v>587</v>
      </c>
      <c r="B262" s="8" t="s">
        <v>13826</v>
      </c>
      <c r="C262" s="8"/>
      <c r="D262" s="8" t="s">
        <v>278</v>
      </c>
      <c r="E262" s="150" t="s">
        <v>92</v>
      </c>
      <c r="F262" s="151" t="s">
        <v>56</v>
      </c>
      <c r="G262" s="152">
        <v>0</v>
      </c>
      <c r="H262" s="152"/>
      <c r="I262" s="153">
        <v>25.85</v>
      </c>
      <c r="J262" s="145">
        <v>261</v>
      </c>
      <c r="K262" s="153">
        <v>-6.842881355932203</v>
      </c>
      <c r="L262" s="153" t="s">
        <v>86</v>
      </c>
      <c r="M262" s="153"/>
      <c r="N262" s="2" t="s">
        <v>517</v>
      </c>
      <c r="O262" s="2"/>
      <c r="P262" s="2"/>
    </row>
    <row r="263" spans="1:16" ht="16.5" customHeight="1" x14ac:dyDescent="0.25">
      <c r="A263" s="2" t="s">
        <v>588</v>
      </c>
      <c r="B263" s="8" t="s">
        <v>12627</v>
      </c>
      <c r="C263" s="8"/>
      <c r="D263" s="8" t="s">
        <v>278</v>
      </c>
      <c r="E263" s="150" t="s">
        <v>92</v>
      </c>
      <c r="F263" s="151" t="s">
        <v>56</v>
      </c>
      <c r="G263" s="152">
        <v>0</v>
      </c>
      <c r="H263" s="152"/>
      <c r="I263" s="153">
        <v>29.7</v>
      </c>
      <c r="J263" s="145">
        <v>262</v>
      </c>
      <c r="K263" s="153">
        <v>-9.57</v>
      </c>
      <c r="L263" s="153" t="s">
        <v>86</v>
      </c>
      <c r="M263" s="153"/>
      <c r="N263" s="2" t="s">
        <v>517</v>
      </c>
      <c r="O263" s="2"/>
      <c r="P263" s="2"/>
    </row>
    <row r="264" spans="1:16" ht="16.5" customHeight="1" x14ac:dyDescent="0.25">
      <c r="A264" s="2" t="s">
        <v>589</v>
      </c>
      <c r="B264" s="8" t="s">
        <v>13224</v>
      </c>
      <c r="C264" s="8"/>
      <c r="D264" s="8" t="s">
        <v>278</v>
      </c>
      <c r="E264" s="150" t="s">
        <v>92</v>
      </c>
      <c r="F264" s="151" t="s">
        <v>56</v>
      </c>
      <c r="G264" s="152">
        <v>0</v>
      </c>
      <c r="H264" s="152"/>
      <c r="I264" s="153">
        <v>35.200000000000003</v>
      </c>
      <c r="J264" s="145">
        <v>263</v>
      </c>
      <c r="K264" s="153">
        <v>-9.8498245614035085</v>
      </c>
      <c r="L264" s="153" t="s">
        <v>86</v>
      </c>
      <c r="M264" s="153"/>
      <c r="N264" s="2" t="s">
        <v>517</v>
      </c>
      <c r="O264" s="2"/>
      <c r="P264" s="2"/>
    </row>
    <row r="265" spans="1:16" ht="16.5" customHeight="1" x14ac:dyDescent="0.25">
      <c r="A265" s="2" t="s">
        <v>590</v>
      </c>
      <c r="B265" s="8" t="s">
        <v>12530</v>
      </c>
      <c r="C265" s="8"/>
      <c r="D265" s="8" t="s">
        <v>278</v>
      </c>
      <c r="E265" s="150" t="s">
        <v>92</v>
      </c>
      <c r="F265" s="151" t="s">
        <v>56</v>
      </c>
      <c r="G265" s="152">
        <v>0</v>
      </c>
      <c r="H265" s="152"/>
      <c r="I265" s="153">
        <v>6.6</v>
      </c>
      <c r="J265" s="145">
        <v>264</v>
      </c>
      <c r="K265" s="153">
        <v>-1.9268454504906329</v>
      </c>
      <c r="L265" s="153" t="s">
        <v>86</v>
      </c>
      <c r="M265" s="153"/>
      <c r="N265" s="2" t="s">
        <v>517</v>
      </c>
      <c r="O265" s="2"/>
      <c r="P265" s="2"/>
    </row>
    <row r="266" spans="1:16" ht="16.5" customHeight="1" x14ac:dyDescent="0.25">
      <c r="A266" s="2" t="s">
        <v>591</v>
      </c>
      <c r="B266" s="8" t="s">
        <v>12037</v>
      </c>
      <c r="C266" s="8"/>
      <c r="D266" s="8" t="s">
        <v>278</v>
      </c>
      <c r="E266" s="150" t="s">
        <v>13771</v>
      </c>
      <c r="F266" s="151" t="s">
        <v>56</v>
      </c>
      <c r="G266" s="152">
        <v>0</v>
      </c>
      <c r="H266" s="152"/>
      <c r="I266" s="153">
        <v>44.5</v>
      </c>
      <c r="J266" s="145">
        <v>265</v>
      </c>
      <c r="K266" s="153">
        <v>-24.326000000000001</v>
      </c>
      <c r="L266" s="153" t="s">
        <v>86</v>
      </c>
      <c r="M266" s="153"/>
      <c r="N266" s="2" t="s">
        <v>517</v>
      </c>
      <c r="O266" s="2"/>
      <c r="P266" s="2"/>
    </row>
    <row r="267" spans="1:16" ht="16.5" customHeight="1" x14ac:dyDescent="0.25">
      <c r="A267" s="2" t="s">
        <v>592</v>
      </c>
      <c r="B267" s="8" t="s">
        <v>12038</v>
      </c>
      <c r="C267" s="8"/>
      <c r="D267" s="8" t="s">
        <v>278</v>
      </c>
      <c r="E267" s="150" t="s">
        <v>13771</v>
      </c>
      <c r="F267" s="151" t="s">
        <v>56</v>
      </c>
      <c r="G267" s="152">
        <v>0</v>
      </c>
      <c r="H267" s="152"/>
      <c r="I267" s="153">
        <v>50.24</v>
      </c>
      <c r="J267" s="145">
        <v>266</v>
      </c>
      <c r="K267" s="153">
        <v>-24.628</v>
      </c>
      <c r="L267" s="153" t="s">
        <v>86</v>
      </c>
      <c r="M267" s="153"/>
      <c r="N267" s="2" t="s">
        <v>517</v>
      </c>
      <c r="O267" s="2"/>
      <c r="P267" s="2"/>
    </row>
    <row r="268" spans="1:16" ht="16.5" customHeight="1" x14ac:dyDescent="0.25">
      <c r="A268" s="2" t="s">
        <v>593</v>
      </c>
      <c r="B268" s="8" t="s">
        <v>593</v>
      </c>
      <c r="C268" s="8"/>
      <c r="D268" s="8" t="s">
        <v>278</v>
      </c>
      <c r="E268" s="150" t="s">
        <v>13771</v>
      </c>
      <c r="F268" s="151" t="s">
        <v>56</v>
      </c>
      <c r="G268" s="152">
        <v>0</v>
      </c>
      <c r="H268" s="152"/>
      <c r="I268" s="153">
        <v>0</v>
      </c>
      <c r="J268" s="145">
        <v>267</v>
      </c>
      <c r="K268" s="153" t="s">
        <v>86</v>
      </c>
      <c r="L268" s="153" t="s">
        <v>86</v>
      </c>
      <c r="M268" s="153"/>
      <c r="N268" s="2" t="s">
        <v>517</v>
      </c>
      <c r="O268" s="2"/>
      <c r="P268" s="2"/>
    </row>
    <row r="269" spans="1:16" ht="16.5" customHeight="1" x14ac:dyDescent="0.25">
      <c r="A269" s="2" t="s">
        <v>594</v>
      </c>
      <c r="B269" s="8" t="s">
        <v>12931</v>
      </c>
      <c r="C269" s="8"/>
      <c r="D269" s="8" t="s">
        <v>278</v>
      </c>
      <c r="E269" s="150" t="s">
        <v>92</v>
      </c>
      <c r="F269" s="151" t="s">
        <v>56</v>
      </c>
      <c r="G269" s="152">
        <v>0</v>
      </c>
      <c r="H269" s="152"/>
      <c r="I269" s="153">
        <v>86.99</v>
      </c>
      <c r="J269" s="145">
        <v>268</v>
      </c>
      <c r="K269" s="153" t="s">
        <v>86</v>
      </c>
      <c r="L269" s="153" t="s">
        <v>86</v>
      </c>
      <c r="M269" s="153"/>
      <c r="N269" s="2" t="s">
        <v>517</v>
      </c>
      <c r="O269" s="2"/>
      <c r="P269" s="2"/>
    </row>
    <row r="270" spans="1:16" ht="16.5" customHeight="1" x14ac:dyDescent="0.25">
      <c r="A270" s="2" t="s">
        <v>595</v>
      </c>
      <c r="B270" s="8" t="s">
        <v>12938</v>
      </c>
      <c r="C270" s="8"/>
      <c r="D270" s="8" t="s">
        <v>278</v>
      </c>
      <c r="E270" s="150" t="s">
        <v>92</v>
      </c>
      <c r="F270" s="151" t="s">
        <v>56</v>
      </c>
      <c r="G270" s="152">
        <v>0</v>
      </c>
      <c r="H270" s="152"/>
      <c r="I270" s="153">
        <v>99.08</v>
      </c>
      <c r="J270" s="145">
        <v>269</v>
      </c>
      <c r="K270" s="153" t="s">
        <v>86</v>
      </c>
      <c r="L270" s="153" t="s">
        <v>86</v>
      </c>
      <c r="M270" s="153"/>
      <c r="N270" s="2" t="s">
        <v>517</v>
      </c>
      <c r="O270" s="2"/>
      <c r="P270" s="2"/>
    </row>
    <row r="271" spans="1:16" ht="16.5" customHeight="1" x14ac:dyDescent="0.25">
      <c r="A271" s="2" t="s">
        <v>596</v>
      </c>
      <c r="B271" s="8" t="s">
        <v>12929</v>
      </c>
      <c r="C271" s="8"/>
      <c r="D271" s="8" t="s">
        <v>278</v>
      </c>
      <c r="E271" s="150" t="s">
        <v>92</v>
      </c>
      <c r="F271" s="151" t="s">
        <v>56</v>
      </c>
      <c r="G271" s="152">
        <v>0</v>
      </c>
      <c r="H271" s="152"/>
      <c r="I271" s="153">
        <v>109.35</v>
      </c>
      <c r="J271" s="145">
        <v>270</v>
      </c>
      <c r="K271" s="153" t="s">
        <v>86</v>
      </c>
      <c r="L271" s="153" t="s">
        <v>86</v>
      </c>
      <c r="M271" s="153"/>
      <c r="N271" s="2" t="s">
        <v>517</v>
      </c>
      <c r="O271" s="2"/>
      <c r="P271" s="2"/>
    </row>
    <row r="272" spans="1:16" ht="16.5" customHeight="1" x14ac:dyDescent="0.25">
      <c r="A272" s="2" t="s">
        <v>597</v>
      </c>
      <c r="B272" s="8" t="s">
        <v>12932</v>
      </c>
      <c r="C272" s="8"/>
      <c r="D272" s="8" t="s">
        <v>278</v>
      </c>
      <c r="E272" s="150" t="s">
        <v>92</v>
      </c>
      <c r="F272" s="151" t="s">
        <v>56</v>
      </c>
      <c r="G272" s="152">
        <v>0</v>
      </c>
      <c r="H272" s="152"/>
      <c r="I272" s="153">
        <v>125.93</v>
      </c>
      <c r="J272" s="145">
        <v>271</v>
      </c>
      <c r="K272" s="153" t="s">
        <v>86</v>
      </c>
      <c r="L272" s="153" t="s">
        <v>86</v>
      </c>
      <c r="M272" s="153"/>
      <c r="N272" s="2" t="s">
        <v>517</v>
      </c>
      <c r="O272" s="2"/>
      <c r="P272" s="2"/>
    </row>
    <row r="273" spans="1:16" ht="16.5" customHeight="1" x14ac:dyDescent="0.25">
      <c r="A273" s="2" t="s">
        <v>598</v>
      </c>
      <c r="B273" s="8" t="s">
        <v>12042</v>
      </c>
      <c r="C273" s="8"/>
      <c r="D273" s="8" t="s">
        <v>278</v>
      </c>
      <c r="E273" s="150" t="s">
        <v>511</v>
      </c>
      <c r="F273" s="151" t="s">
        <v>103</v>
      </c>
      <c r="G273" s="152">
        <v>0</v>
      </c>
      <c r="H273" s="152"/>
      <c r="I273" s="153">
        <v>64.709999999999994</v>
      </c>
      <c r="J273" s="145">
        <v>272</v>
      </c>
      <c r="K273" s="153">
        <v>-7.8214513805486847</v>
      </c>
      <c r="L273" s="153" t="s">
        <v>86</v>
      </c>
      <c r="M273" s="153"/>
      <c r="N273" s="2" t="s">
        <v>599</v>
      </c>
      <c r="O273" s="2"/>
      <c r="P273" s="10" t="s">
        <v>498</v>
      </c>
    </row>
    <row r="274" spans="1:16" ht="16.5" customHeight="1" x14ac:dyDescent="0.25">
      <c r="A274" s="2" t="s">
        <v>279</v>
      </c>
      <c r="B274" s="8" t="s">
        <v>279</v>
      </c>
      <c r="C274" s="8"/>
      <c r="D274" s="8" t="s">
        <v>278</v>
      </c>
      <c r="E274" s="150" t="s">
        <v>13771</v>
      </c>
      <c r="F274" s="151" t="s">
        <v>56</v>
      </c>
      <c r="G274" s="152">
        <v>0</v>
      </c>
      <c r="H274" s="152"/>
      <c r="I274" s="153">
        <v>0</v>
      </c>
      <c r="J274" s="145">
        <v>273</v>
      </c>
      <c r="K274" s="153" t="s">
        <v>86</v>
      </c>
      <c r="L274" s="153" t="s">
        <v>86</v>
      </c>
      <c r="M274" s="153"/>
      <c r="N274" s="2" t="s">
        <v>599</v>
      </c>
      <c r="O274" s="2"/>
      <c r="P274" s="2"/>
    </row>
    <row r="275" spans="1:16" ht="16.5" customHeight="1" x14ac:dyDescent="0.25">
      <c r="A275" s="2" t="s">
        <v>600</v>
      </c>
      <c r="B275" s="8" t="s">
        <v>600</v>
      </c>
      <c r="C275" s="8"/>
      <c r="D275" s="8" t="s">
        <v>278</v>
      </c>
      <c r="E275" s="150" t="s">
        <v>92</v>
      </c>
      <c r="F275" s="151" t="s">
        <v>56</v>
      </c>
      <c r="G275" s="152">
        <v>0</v>
      </c>
      <c r="H275" s="152"/>
      <c r="I275" s="153">
        <v>0</v>
      </c>
      <c r="J275" s="145">
        <v>274</v>
      </c>
      <c r="K275" s="153" t="s">
        <v>86</v>
      </c>
      <c r="L275" s="153" t="s">
        <v>86</v>
      </c>
      <c r="M275" s="153"/>
      <c r="N275" s="2" t="s">
        <v>599</v>
      </c>
      <c r="O275" s="2"/>
      <c r="P275" s="2"/>
    </row>
    <row r="276" spans="1:16" ht="16.5" customHeight="1" x14ac:dyDescent="0.25">
      <c r="A276" s="2" t="s">
        <v>601</v>
      </c>
      <c r="B276" s="8" t="s">
        <v>12919</v>
      </c>
      <c r="C276" s="8"/>
      <c r="D276" s="8" t="s">
        <v>278</v>
      </c>
      <c r="E276" s="150" t="s">
        <v>83</v>
      </c>
      <c r="F276" s="151" t="s">
        <v>56</v>
      </c>
      <c r="G276" s="152">
        <v>0</v>
      </c>
      <c r="H276" s="152"/>
      <c r="I276" s="153">
        <v>143.80000000000001</v>
      </c>
      <c r="J276" s="145">
        <v>275</v>
      </c>
      <c r="K276" s="153" t="s">
        <v>86</v>
      </c>
      <c r="L276" s="153" t="s">
        <v>86</v>
      </c>
      <c r="M276" s="153"/>
      <c r="N276" s="2" t="s">
        <v>599</v>
      </c>
      <c r="O276" s="2"/>
      <c r="P276" s="2"/>
    </row>
    <row r="277" spans="1:16" ht="16.5" customHeight="1" x14ac:dyDescent="0.25">
      <c r="A277" s="2" t="s">
        <v>602</v>
      </c>
      <c r="B277" s="8" t="s">
        <v>12033</v>
      </c>
      <c r="C277" s="8"/>
      <c r="D277" s="8" t="s">
        <v>278</v>
      </c>
      <c r="E277" s="150" t="s">
        <v>92</v>
      </c>
      <c r="F277" s="151" t="s">
        <v>56</v>
      </c>
      <c r="G277" s="152">
        <v>0</v>
      </c>
      <c r="H277" s="152"/>
      <c r="I277" s="153">
        <v>73.52</v>
      </c>
      <c r="J277" s="145">
        <v>276</v>
      </c>
      <c r="K277" s="153">
        <v>-18.927805954603119</v>
      </c>
      <c r="L277" s="153" t="s">
        <v>86</v>
      </c>
      <c r="M277" s="153"/>
      <c r="N277" s="2" t="s">
        <v>599</v>
      </c>
      <c r="O277" s="2"/>
      <c r="P277" s="10" t="s">
        <v>498</v>
      </c>
    </row>
    <row r="278" spans="1:16" ht="16.5" customHeight="1" x14ac:dyDescent="0.25">
      <c r="A278" s="2" t="s">
        <v>603</v>
      </c>
      <c r="B278" s="8" t="s">
        <v>12526</v>
      </c>
      <c r="C278" s="8" t="s">
        <v>101</v>
      </c>
      <c r="D278" s="8" t="s">
        <v>278</v>
      </c>
      <c r="E278" s="150" t="s">
        <v>511</v>
      </c>
      <c r="F278" s="151" t="s">
        <v>103</v>
      </c>
      <c r="G278" s="152">
        <v>0</v>
      </c>
      <c r="H278" s="152"/>
      <c r="I278" s="153">
        <v>100.85</v>
      </c>
      <c r="J278" s="145">
        <v>277</v>
      </c>
      <c r="K278" s="153">
        <v>-17.96</v>
      </c>
      <c r="L278" s="153" t="s">
        <v>86</v>
      </c>
      <c r="M278" s="153"/>
      <c r="N278" s="2" t="s">
        <v>599</v>
      </c>
      <c r="O278" s="2"/>
      <c r="P278" s="10" t="s">
        <v>498</v>
      </c>
    </row>
    <row r="279" spans="1:16" ht="16.5" customHeight="1" x14ac:dyDescent="0.25">
      <c r="A279" s="2" t="s">
        <v>604</v>
      </c>
      <c r="B279" s="8" t="s">
        <v>13827</v>
      </c>
      <c r="C279" s="8" t="s">
        <v>337</v>
      </c>
      <c r="D279" s="8" t="s">
        <v>278</v>
      </c>
      <c r="E279" s="150" t="s">
        <v>13771</v>
      </c>
      <c r="F279" s="151" t="s">
        <v>56</v>
      </c>
      <c r="G279" s="152">
        <v>0</v>
      </c>
      <c r="H279" s="152"/>
      <c r="I279" s="153">
        <v>88.3</v>
      </c>
      <c r="J279" s="145">
        <v>278</v>
      </c>
      <c r="K279" s="153" t="s">
        <v>86</v>
      </c>
      <c r="L279" s="153" t="s">
        <v>86</v>
      </c>
      <c r="M279" s="153"/>
      <c r="N279" s="2" t="s">
        <v>517</v>
      </c>
      <c r="O279" s="2"/>
      <c r="P279" s="2"/>
    </row>
    <row r="280" spans="1:16" ht="16.5" customHeight="1" x14ac:dyDescent="0.25">
      <c r="A280" s="2" t="s">
        <v>605</v>
      </c>
      <c r="B280" s="8" t="s">
        <v>12913</v>
      </c>
      <c r="C280" s="8"/>
      <c r="D280" s="8" t="s">
        <v>278</v>
      </c>
      <c r="E280" s="150" t="s">
        <v>83</v>
      </c>
      <c r="F280" s="151" t="s">
        <v>56</v>
      </c>
      <c r="G280" s="152">
        <v>0</v>
      </c>
      <c r="H280" s="152"/>
      <c r="I280" s="153">
        <v>65.62</v>
      </c>
      <c r="J280" s="145">
        <v>279</v>
      </c>
      <c r="K280" s="153" t="s">
        <v>86</v>
      </c>
      <c r="L280" s="153" t="s">
        <v>86</v>
      </c>
      <c r="M280" s="153"/>
      <c r="N280" s="2" t="s">
        <v>599</v>
      </c>
      <c r="O280" s="2"/>
      <c r="P280" s="2"/>
    </row>
    <row r="281" spans="1:16" ht="16.5" customHeight="1" x14ac:dyDescent="0.25">
      <c r="A281" s="2" t="s">
        <v>606</v>
      </c>
      <c r="B281" s="8" t="s">
        <v>13828</v>
      </c>
      <c r="C281" s="8"/>
      <c r="D281" s="8" t="s">
        <v>278</v>
      </c>
      <c r="E281" s="150" t="s">
        <v>13771</v>
      </c>
      <c r="F281" s="151" t="s">
        <v>56</v>
      </c>
      <c r="G281" s="152">
        <v>0</v>
      </c>
      <c r="H281" s="152"/>
      <c r="I281" s="153">
        <v>92.95</v>
      </c>
      <c r="J281" s="145">
        <v>280</v>
      </c>
      <c r="K281" s="153" t="s">
        <v>86</v>
      </c>
      <c r="L281" s="153" t="s">
        <v>86</v>
      </c>
      <c r="M281" s="153"/>
      <c r="N281" s="2" t="s">
        <v>599</v>
      </c>
      <c r="O281" s="2"/>
      <c r="P281" s="2"/>
    </row>
    <row r="282" spans="1:16" ht="16.5" customHeight="1" x14ac:dyDescent="0.25">
      <c r="A282" s="2" t="s">
        <v>607</v>
      </c>
      <c r="B282" s="8" t="s">
        <v>13829</v>
      </c>
      <c r="C282" s="8"/>
      <c r="D282" s="8" t="s">
        <v>278</v>
      </c>
      <c r="E282" s="150" t="s">
        <v>13771</v>
      </c>
      <c r="F282" s="151" t="s">
        <v>56</v>
      </c>
      <c r="G282" s="152">
        <v>0</v>
      </c>
      <c r="H282" s="152"/>
      <c r="I282" s="153">
        <v>53.59</v>
      </c>
      <c r="J282" s="145">
        <v>281</v>
      </c>
      <c r="K282" s="153">
        <v>-13.78</v>
      </c>
      <c r="L282" s="153" t="s">
        <v>86</v>
      </c>
      <c r="M282" s="153"/>
      <c r="N282" s="2" t="s">
        <v>517</v>
      </c>
      <c r="O282" s="2"/>
      <c r="P282" s="2"/>
    </row>
    <row r="283" spans="1:16" ht="16.5" customHeight="1" x14ac:dyDescent="0.25">
      <c r="A283" s="2" t="s">
        <v>608</v>
      </c>
      <c r="B283" s="8" t="s">
        <v>608</v>
      </c>
      <c r="C283" s="8"/>
      <c r="D283" s="8" t="s">
        <v>278</v>
      </c>
      <c r="E283" s="150" t="s">
        <v>102</v>
      </c>
      <c r="F283" s="151" t="s">
        <v>103</v>
      </c>
      <c r="G283" s="152">
        <v>0</v>
      </c>
      <c r="H283" s="152"/>
      <c r="I283" s="153">
        <v>0</v>
      </c>
      <c r="J283" s="145">
        <v>282</v>
      </c>
      <c r="K283" s="153" t="s">
        <v>86</v>
      </c>
      <c r="L283" s="153" t="s">
        <v>86</v>
      </c>
      <c r="M283" s="153"/>
      <c r="N283" s="2" t="s">
        <v>517</v>
      </c>
      <c r="O283" s="2"/>
      <c r="P283" s="2"/>
    </row>
    <row r="284" spans="1:16" ht="16.5" customHeight="1" x14ac:dyDescent="0.25">
      <c r="A284" s="2" t="s">
        <v>609</v>
      </c>
      <c r="B284" s="8" t="s">
        <v>12928</v>
      </c>
      <c r="C284" s="8"/>
      <c r="D284" s="8" t="s">
        <v>278</v>
      </c>
      <c r="E284" s="150" t="s">
        <v>92</v>
      </c>
      <c r="F284" s="151" t="s">
        <v>56</v>
      </c>
      <c r="G284" s="152">
        <v>0</v>
      </c>
      <c r="H284" s="152"/>
      <c r="I284" s="153">
        <v>82.82</v>
      </c>
      <c r="J284" s="145">
        <v>283</v>
      </c>
      <c r="K284" s="153">
        <v>-7.8759999999999986</v>
      </c>
      <c r="L284" s="153" t="s">
        <v>86</v>
      </c>
      <c r="M284" s="153"/>
      <c r="N284" s="2" t="s">
        <v>599</v>
      </c>
      <c r="O284" s="2"/>
      <c r="P284" s="2"/>
    </row>
    <row r="285" spans="1:16" ht="16.5" customHeight="1" x14ac:dyDescent="0.25">
      <c r="A285" s="2" t="s">
        <v>610</v>
      </c>
      <c r="B285" s="8" t="s">
        <v>12925</v>
      </c>
      <c r="C285" s="8"/>
      <c r="D285" s="8" t="s">
        <v>278</v>
      </c>
      <c r="E285" s="150" t="s">
        <v>511</v>
      </c>
      <c r="F285" s="151" t="s">
        <v>103</v>
      </c>
      <c r="G285" s="152">
        <v>0</v>
      </c>
      <c r="H285" s="152"/>
      <c r="I285" s="153">
        <v>87.63</v>
      </c>
      <c r="J285" s="145">
        <v>284</v>
      </c>
      <c r="K285" s="153">
        <v>-7.8439999999999994</v>
      </c>
      <c r="L285" s="153" t="s">
        <v>86</v>
      </c>
      <c r="M285" s="153"/>
      <c r="N285" s="2" t="s">
        <v>599</v>
      </c>
      <c r="O285" s="2"/>
      <c r="P285" s="2"/>
    </row>
    <row r="286" spans="1:16" ht="16.5" customHeight="1" x14ac:dyDescent="0.25">
      <c r="A286" s="2" t="s">
        <v>611</v>
      </c>
      <c r="B286" s="8" t="s">
        <v>13830</v>
      </c>
      <c r="C286" s="8"/>
      <c r="D286" s="8" t="s">
        <v>278</v>
      </c>
      <c r="E286" s="150" t="s">
        <v>92</v>
      </c>
      <c r="F286" s="151" t="s">
        <v>56</v>
      </c>
      <c r="G286" s="152">
        <v>0</v>
      </c>
      <c r="H286" s="152"/>
      <c r="I286" s="153">
        <v>84.7</v>
      </c>
      <c r="J286" s="145">
        <v>285</v>
      </c>
      <c r="K286" s="153" t="s">
        <v>86</v>
      </c>
      <c r="L286" s="153" t="s">
        <v>86</v>
      </c>
      <c r="M286" s="153"/>
      <c r="N286" s="2" t="s">
        <v>599</v>
      </c>
      <c r="O286" s="2"/>
      <c r="P286" s="2"/>
    </row>
    <row r="287" spans="1:16" ht="16.5" customHeight="1" x14ac:dyDescent="0.25">
      <c r="A287" s="2" t="s">
        <v>612</v>
      </c>
      <c r="B287" s="8" t="s">
        <v>13831</v>
      </c>
      <c r="C287" s="8"/>
      <c r="D287" s="8" t="s">
        <v>278</v>
      </c>
      <c r="E287" s="150" t="s">
        <v>13771</v>
      </c>
      <c r="F287" s="151" t="s">
        <v>56</v>
      </c>
      <c r="G287" s="152">
        <v>0</v>
      </c>
      <c r="H287" s="152"/>
      <c r="I287" s="153">
        <v>36.299999999999997</v>
      </c>
      <c r="J287" s="145">
        <v>286</v>
      </c>
      <c r="K287" s="153" t="s">
        <v>86</v>
      </c>
      <c r="L287" s="153" t="s">
        <v>86</v>
      </c>
      <c r="M287" s="153"/>
      <c r="N287" s="2" t="s">
        <v>517</v>
      </c>
      <c r="O287" s="2"/>
      <c r="P287" s="2"/>
    </row>
    <row r="288" spans="1:16" ht="16.5" customHeight="1" x14ac:dyDescent="0.25">
      <c r="A288" s="2" t="s">
        <v>613</v>
      </c>
      <c r="B288" s="8" t="s">
        <v>13832</v>
      </c>
      <c r="C288" s="8"/>
      <c r="D288" s="8" t="s">
        <v>278</v>
      </c>
      <c r="E288" s="150" t="s">
        <v>13771</v>
      </c>
      <c r="F288" s="151" t="s">
        <v>56</v>
      </c>
      <c r="G288" s="152">
        <v>0</v>
      </c>
      <c r="H288" s="152"/>
      <c r="I288" s="153">
        <v>46.75</v>
      </c>
      <c r="J288" s="145">
        <v>287</v>
      </c>
      <c r="K288" s="153" t="s">
        <v>86</v>
      </c>
      <c r="L288" s="153" t="s">
        <v>86</v>
      </c>
      <c r="M288" s="153"/>
      <c r="N288" s="2" t="s">
        <v>517</v>
      </c>
      <c r="O288" s="2"/>
      <c r="P288" s="2"/>
    </row>
    <row r="289" spans="1:16" ht="16.5" customHeight="1" x14ac:dyDescent="0.25">
      <c r="A289" s="2" t="s">
        <v>614</v>
      </c>
      <c r="B289" s="8" t="s">
        <v>13833</v>
      </c>
      <c r="C289" s="8"/>
      <c r="D289" s="8" t="s">
        <v>278</v>
      </c>
      <c r="E289" s="150" t="s">
        <v>13771</v>
      </c>
      <c r="F289" s="151" t="s">
        <v>56</v>
      </c>
      <c r="G289" s="152">
        <v>0</v>
      </c>
      <c r="H289" s="152"/>
      <c r="I289" s="153">
        <v>55</v>
      </c>
      <c r="J289" s="145">
        <v>288</v>
      </c>
      <c r="K289" s="153" t="s">
        <v>86</v>
      </c>
      <c r="L289" s="153" t="s">
        <v>86</v>
      </c>
      <c r="M289" s="153"/>
      <c r="N289" s="2" t="s">
        <v>517</v>
      </c>
      <c r="O289" s="2"/>
      <c r="P289" s="2"/>
    </row>
    <row r="290" spans="1:16" ht="16.5" customHeight="1" x14ac:dyDescent="0.25">
      <c r="A290" s="2" t="s">
        <v>615</v>
      </c>
      <c r="B290" s="8" t="s">
        <v>13834</v>
      </c>
      <c r="C290" s="8"/>
      <c r="D290" s="8" t="s">
        <v>278</v>
      </c>
      <c r="E290" s="150" t="s">
        <v>13771</v>
      </c>
      <c r="F290" s="151" t="s">
        <v>56</v>
      </c>
      <c r="G290" s="152">
        <v>0</v>
      </c>
      <c r="H290" s="152"/>
      <c r="I290" s="153">
        <v>67.33</v>
      </c>
      <c r="J290" s="145">
        <v>289</v>
      </c>
      <c r="K290" s="153">
        <v>-12.86</v>
      </c>
      <c r="L290" s="153" t="s">
        <v>86</v>
      </c>
      <c r="M290" s="153"/>
      <c r="N290" s="2" t="s">
        <v>517</v>
      </c>
      <c r="O290" s="2"/>
      <c r="P290" s="2"/>
    </row>
    <row r="291" spans="1:16" ht="16.5" customHeight="1" x14ac:dyDescent="0.25">
      <c r="A291" s="2" t="s">
        <v>616</v>
      </c>
      <c r="B291" s="8" t="s">
        <v>616</v>
      </c>
      <c r="C291" s="8" t="s">
        <v>101</v>
      </c>
      <c r="D291" s="8" t="s">
        <v>278</v>
      </c>
      <c r="E291" s="150" t="s">
        <v>13771</v>
      </c>
      <c r="F291" s="151" t="s">
        <v>56</v>
      </c>
      <c r="G291" s="152">
        <v>0</v>
      </c>
      <c r="H291" s="152"/>
      <c r="I291" s="153">
        <v>0</v>
      </c>
      <c r="J291" s="145">
        <v>290</v>
      </c>
      <c r="K291" s="153" t="s">
        <v>86</v>
      </c>
      <c r="L291" s="153" t="s">
        <v>86</v>
      </c>
      <c r="M291" s="153"/>
      <c r="N291" s="2" t="s">
        <v>517</v>
      </c>
      <c r="O291" s="2"/>
      <c r="P291" s="2"/>
    </row>
    <row r="292" spans="1:16" ht="16.5" customHeight="1" x14ac:dyDescent="0.25">
      <c r="A292" s="2" t="s">
        <v>617</v>
      </c>
      <c r="B292" s="8" t="s">
        <v>12924</v>
      </c>
      <c r="C292" s="8"/>
      <c r="D292" s="8" t="s">
        <v>278</v>
      </c>
      <c r="E292" s="150" t="s">
        <v>511</v>
      </c>
      <c r="F292" s="151" t="s">
        <v>103</v>
      </c>
      <c r="G292" s="152">
        <v>0</v>
      </c>
      <c r="H292" s="152"/>
      <c r="I292" s="153">
        <v>68.56</v>
      </c>
      <c r="J292" s="145">
        <v>291</v>
      </c>
      <c r="K292" s="153">
        <v>-8.685793540717258</v>
      </c>
      <c r="L292" s="153" t="s">
        <v>86</v>
      </c>
      <c r="M292" s="153"/>
      <c r="N292" s="2" t="s">
        <v>599</v>
      </c>
      <c r="O292" s="2"/>
      <c r="P292" s="2"/>
    </row>
    <row r="293" spans="1:16" ht="16.5" customHeight="1" x14ac:dyDescent="0.25">
      <c r="A293" s="2" t="s">
        <v>618</v>
      </c>
      <c r="B293" s="8" t="s">
        <v>618</v>
      </c>
      <c r="C293" s="8"/>
      <c r="D293" s="8" t="s">
        <v>278</v>
      </c>
      <c r="E293" s="150" t="s">
        <v>13771</v>
      </c>
      <c r="F293" s="151" t="s">
        <v>56</v>
      </c>
      <c r="G293" s="152">
        <v>0</v>
      </c>
      <c r="H293" s="152"/>
      <c r="I293" s="153">
        <v>0</v>
      </c>
      <c r="J293" s="145">
        <v>292</v>
      </c>
      <c r="K293" s="153" t="s">
        <v>86</v>
      </c>
      <c r="L293" s="153" t="s">
        <v>86</v>
      </c>
      <c r="M293" s="153"/>
      <c r="N293" s="2" t="s">
        <v>517</v>
      </c>
      <c r="O293" s="2"/>
      <c r="P293" s="2"/>
    </row>
    <row r="294" spans="1:16" ht="16.5" customHeight="1" x14ac:dyDescent="0.25">
      <c r="A294" s="2" t="s">
        <v>619</v>
      </c>
      <c r="B294" s="8" t="s">
        <v>12563</v>
      </c>
      <c r="C294" s="8"/>
      <c r="D294" s="8" t="s">
        <v>278</v>
      </c>
      <c r="E294" s="150" t="s">
        <v>511</v>
      </c>
      <c r="F294" s="151" t="s">
        <v>103</v>
      </c>
      <c r="G294" s="152">
        <v>0</v>
      </c>
      <c r="H294" s="152"/>
      <c r="I294" s="153">
        <v>63.32</v>
      </c>
      <c r="J294" s="145">
        <v>293</v>
      </c>
      <c r="K294" s="153">
        <v>-13.52</v>
      </c>
      <c r="L294" s="153" t="s">
        <v>86</v>
      </c>
      <c r="M294" s="153"/>
      <c r="N294" s="2" t="s">
        <v>599</v>
      </c>
      <c r="O294" s="2"/>
      <c r="P294" s="2"/>
    </row>
    <row r="295" spans="1:16" ht="16.5" customHeight="1" x14ac:dyDescent="0.25">
      <c r="A295" s="2" t="s">
        <v>620</v>
      </c>
      <c r="B295" s="8" t="s">
        <v>12255</v>
      </c>
      <c r="C295" s="8"/>
      <c r="D295" s="8" t="s">
        <v>278</v>
      </c>
      <c r="E295" s="150" t="s">
        <v>83</v>
      </c>
      <c r="F295" s="151" t="s">
        <v>56</v>
      </c>
      <c r="G295" s="152">
        <v>0</v>
      </c>
      <c r="H295" s="152"/>
      <c r="I295" s="153">
        <v>23.06</v>
      </c>
      <c r="J295" s="145">
        <v>294</v>
      </c>
      <c r="K295" s="153">
        <v>-7.4600742802089703</v>
      </c>
      <c r="L295" s="153" t="s">
        <v>86</v>
      </c>
      <c r="M295" s="153"/>
      <c r="N295" s="2" t="s">
        <v>599</v>
      </c>
      <c r="O295" s="2"/>
      <c r="P295" s="2"/>
    </row>
    <row r="296" spans="1:16" ht="16.5" customHeight="1" x14ac:dyDescent="0.25">
      <c r="A296" s="2" t="s">
        <v>621</v>
      </c>
      <c r="B296" s="8" t="s">
        <v>12943</v>
      </c>
      <c r="C296" s="8"/>
      <c r="D296" s="8" t="s">
        <v>278</v>
      </c>
      <c r="E296" s="150" t="s">
        <v>83</v>
      </c>
      <c r="F296" s="151" t="s">
        <v>56</v>
      </c>
      <c r="G296" s="152">
        <v>0</v>
      </c>
      <c r="H296" s="152"/>
      <c r="I296" s="153">
        <v>68.88</v>
      </c>
      <c r="J296" s="145">
        <v>295</v>
      </c>
      <c r="K296" s="153">
        <v>-15.62166666666667</v>
      </c>
      <c r="L296" s="153" t="s">
        <v>86</v>
      </c>
      <c r="M296" s="153"/>
      <c r="N296" s="2" t="s">
        <v>599</v>
      </c>
      <c r="O296" s="2"/>
      <c r="P296" s="2"/>
    </row>
    <row r="297" spans="1:16" ht="16.5" customHeight="1" x14ac:dyDescent="0.25">
      <c r="A297" s="2" t="s">
        <v>622</v>
      </c>
      <c r="B297" s="8" t="s">
        <v>12942</v>
      </c>
      <c r="C297" s="8"/>
      <c r="D297" s="8" t="s">
        <v>278</v>
      </c>
      <c r="E297" s="150" t="s">
        <v>83</v>
      </c>
      <c r="F297" s="151" t="s">
        <v>56</v>
      </c>
      <c r="G297" s="152">
        <v>0</v>
      </c>
      <c r="H297" s="152"/>
      <c r="I297" s="153">
        <v>81.319999999999993</v>
      </c>
      <c r="J297" s="145">
        <v>296</v>
      </c>
      <c r="K297" s="153">
        <v>-19.64866666666666</v>
      </c>
      <c r="L297" s="153" t="s">
        <v>86</v>
      </c>
      <c r="M297" s="153"/>
      <c r="N297" s="2" t="s">
        <v>599</v>
      </c>
      <c r="O297" s="2"/>
      <c r="P297" s="2"/>
    </row>
    <row r="298" spans="1:16" ht="16.5" customHeight="1" x14ac:dyDescent="0.25">
      <c r="A298" s="2" t="s">
        <v>623</v>
      </c>
      <c r="B298" s="8" t="s">
        <v>12915</v>
      </c>
      <c r="C298" s="8"/>
      <c r="D298" s="8" t="s">
        <v>278</v>
      </c>
      <c r="E298" s="150" t="s">
        <v>83</v>
      </c>
      <c r="F298" s="151" t="s">
        <v>56</v>
      </c>
      <c r="G298" s="152">
        <v>0</v>
      </c>
      <c r="H298" s="152"/>
      <c r="I298" s="153">
        <v>86.75</v>
      </c>
      <c r="J298" s="145">
        <v>297</v>
      </c>
      <c r="K298" s="153">
        <v>-31.935500000000001</v>
      </c>
      <c r="L298" s="153" t="s">
        <v>86</v>
      </c>
      <c r="M298" s="153"/>
      <c r="N298" s="2" t="s">
        <v>599</v>
      </c>
      <c r="O298" s="2"/>
      <c r="P298" s="2"/>
    </row>
    <row r="299" spans="1:16" ht="16.5" customHeight="1" x14ac:dyDescent="0.25">
      <c r="A299" s="2" t="s">
        <v>624</v>
      </c>
      <c r="B299" s="8" t="s">
        <v>12258</v>
      </c>
      <c r="C299" s="8"/>
      <c r="D299" s="8" t="s">
        <v>278</v>
      </c>
      <c r="E299" s="150" t="s">
        <v>92</v>
      </c>
      <c r="F299" s="151" t="s">
        <v>56</v>
      </c>
      <c r="G299" s="152">
        <v>0</v>
      </c>
      <c r="H299" s="152"/>
      <c r="I299" s="153">
        <v>20.74</v>
      </c>
      <c r="J299" s="145">
        <v>298</v>
      </c>
      <c r="K299" s="153">
        <v>-7.0589999999999993</v>
      </c>
      <c r="L299" s="153" t="s">
        <v>86</v>
      </c>
      <c r="M299" s="153"/>
      <c r="N299" s="2" t="s">
        <v>599</v>
      </c>
      <c r="O299" s="2"/>
      <c r="P299" s="2"/>
    </row>
    <row r="300" spans="1:16" ht="16.5" customHeight="1" x14ac:dyDescent="0.25">
      <c r="A300" s="2" t="s">
        <v>625</v>
      </c>
      <c r="B300" s="8" t="s">
        <v>12259</v>
      </c>
      <c r="C300" s="8"/>
      <c r="D300" s="8" t="s">
        <v>278</v>
      </c>
      <c r="E300" s="150" t="s">
        <v>92</v>
      </c>
      <c r="F300" s="151" t="s">
        <v>56</v>
      </c>
      <c r="G300" s="152">
        <v>0</v>
      </c>
      <c r="H300" s="152"/>
      <c r="I300" s="153">
        <v>27.92</v>
      </c>
      <c r="J300" s="145">
        <v>299</v>
      </c>
      <c r="K300" s="153">
        <v>-7.8203312581234083</v>
      </c>
      <c r="L300" s="153" t="s">
        <v>86</v>
      </c>
      <c r="M300" s="153"/>
      <c r="N300" s="2" t="s">
        <v>599</v>
      </c>
      <c r="O300" s="2"/>
      <c r="P300" s="10" t="s">
        <v>498</v>
      </c>
    </row>
    <row r="301" spans="1:16" ht="16.5" customHeight="1" x14ac:dyDescent="0.25">
      <c r="A301" s="2" t="s">
        <v>626</v>
      </c>
      <c r="B301" s="8" t="s">
        <v>12260</v>
      </c>
      <c r="C301" s="8"/>
      <c r="D301" s="8" t="s">
        <v>278</v>
      </c>
      <c r="E301" s="150" t="s">
        <v>92</v>
      </c>
      <c r="F301" s="151" t="s">
        <v>56</v>
      </c>
      <c r="G301" s="152">
        <v>0</v>
      </c>
      <c r="H301" s="152"/>
      <c r="I301" s="153">
        <v>38.299999999999997</v>
      </c>
      <c r="J301" s="145">
        <v>300</v>
      </c>
      <c r="K301" s="153">
        <v>-12.56510184306836</v>
      </c>
      <c r="L301" s="153" t="s">
        <v>86</v>
      </c>
      <c r="M301" s="153"/>
      <c r="N301" s="2" t="s">
        <v>599</v>
      </c>
      <c r="O301" s="2"/>
      <c r="P301" s="2"/>
    </row>
    <row r="302" spans="1:16" ht="16.5" customHeight="1" x14ac:dyDescent="0.25">
      <c r="A302" s="2" t="s">
        <v>627</v>
      </c>
      <c r="B302" s="8" t="s">
        <v>12257</v>
      </c>
      <c r="C302" s="8"/>
      <c r="D302" s="8" t="s">
        <v>278</v>
      </c>
      <c r="E302" s="150" t="s">
        <v>92</v>
      </c>
      <c r="F302" s="151" t="s">
        <v>56</v>
      </c>
      <c r="G302" s="152">
        <v>0</v>
      </c>
      <c r="H302" s="152"/>
      <c r="I302" s="153">
        <v>43.3</v>
      </c>
      <c r="J302" s="145">
        <v>301</v>
      </c>
      <c r="K302" s="153">
        <v>-13.782462475583429</v>
      </c>
      <c r="L302" s="153" t="s">
        <v>86</v>
      </c>
      <c r="M302" s="153"/>
      <c r="N302" s="2" t="s">
        <v>599</v>
      </c>
      <c r="O302" s="2"/>
      <c r="P302" s="10" t="s">
        <v>498</v>
      </c>
    </row>
    <row r="303" spans="1:16" ht="16.5" customHeight="1" x14ac:dyDescent="0.25">
      <c r="A303" s="2" t="s">
        <v>628</v>
      </c>
      <c r="B303" s="8" t="s">
        <v>12032</v>
      </c>
      <c r="C303" s="8"/>
      <c r="D303" s="8" t="s">
        <v>278</v>
      </c>
      <c r="E303" s="150" t="s">
        <v>511</v>
      </c>
      <c r="F303" s="151" t="s">
        <v>103</v>
      </c>
      <c r="G303" s="152">
        <v>0</v>
      </c>
      <c r="H303" s="152"/>
      <c r="I303" s="153">
        <v>49.19</v>
      </c>
      <c r="J303" s="145">
        <v>302</v>
      </c>
      <c r="K303" s="153">
        <v>-9.7813751069951653</v>
      </c>
      <c r="L303" s="153" t="s">
        <v>86</v>
      </c>
      <c r="M303" s="153"/>
      <c r="N303" s="2" t="s">
        <v>599</v>
      </c>
      <c r="O303" s="2"/>
      <c r="P303" s="2"/>
    </row>
    <row r="304" spans="1:16" ht="16.5" customHeight="1" x14ac:dyDescent="0.25">
      <c r="A304" s="2" t="s">
        <v>629</v>
      </c>
      <c r="B304" s="8" t="s">
        <v>12923</v>
      </c>
      <c r="C304" s="8"/>
      <c r="D304" s="8" t="s">
        <v>278</v>
      </c>
      <c r="E304" s="150" t="s">
        <v>511</v>
      </c>
      <c r="F304" s="151" t="s">
        <v>103</v>
      </c>
      <c r="G304" s="152">
        <v>0</v>
      </c>
      <c r="H304" s="152"/>
      <c r="I304" s="153">
        <v>79.790000000000006</v>
      </c>
      <c r="J304" s="145">
        <v>303</v>
      </c>
      <c r="K304" s="153">
        <v>-24.909166666666671</v>
      </c>
      <c r="L304" s="153" t="s">
        <v>86</v>
      </c>
      <c r="M304" s="153"/>
      <c r="N304" s="2" t="s">
        <v>599</v>
      </c>
      <c r="O304" s="2"/>
      <c r="P304" s="2"/>
    </row>
    <row r="305" spans="1:16" ht="16.5" customHeight="1" x14ac:dyDescent="0.25">
      <c r="A305" s="2" t="s">
        <v>630</v>
      </c>
      <c r="B305" s="8" t="s">
        <v>12043</v>
      </c>
      <c r="C305" s="8"/>
      <c r="D305" s="8" t="s">
        <v>278</v>
      </c>
      <c r="E305" s="150" t="s">
        <v>511</v>
      </c>
      <c r="F305" s="151" t="s">
        <v>103</v>
      </c>
      <c r="G305" s="152">
        <v>0</v>
      </c>
      <c r="H305" s="152"/>
      <c r="I305" s="153">
        <v>50.67</v>
      </c>
      <c r="J305" s="145">
        <v>304</v>
      </c>
      <c r="K305" s="153">
        <v>-4.4754751616529349</v>
      </c>
      <c r="L305" s="153" t="s">
        <v>86</v>
      </c>
      <c r="M305" s="153"/>
      <c r="N305" s="2" t="s">
        <v>599</v>
      </c>
      <c r="O305" s="2"/>
      <c r="P305" s="2"/>
    </row>
    <row r="306" spans="1:16" ht="16.5" customHeight="1" x14ac:dyDescent="0.25">
      <c r="A306" s="2" t="s">
        <v>631</v>
      </c>
      <c r="B306" s="8" t="s">
        <v>12562</v>
      </c>
      <c r="C306" s="8"/>
      <c r="D306" s="8" t="s">
        <v>278</v>
      </c>
      <c r="E306" s="150" t="s">
        <v>511</v>
      </c>
      <c r="F306" s="151" t="s">
        <v>103</v>
      </c>
      <c r="G306" s="152">
        <v>0</v>
      </c>
      <c r="H306" s="152"/>
      <c r="I306" s="153">
        <v>62.95</v>
      </c>
      <c r="J306" s="145">
        <v>305</v>
      </c>
      <c r="K306" s="153">
        <v>-13.342000000000001</v>
      </c>
      <c r="L306" s="153" t="s">
        <v>86</v>
      </c>
      <c r="M306" s="153"/>
      <c r="N306" s="2" t="s">
        <v>599</v>
      </c>
      <c r="O306" s="2"/>
      <c r="P306" s="2"/>
    </row>
    <row r="307" spans="1:16" ht="16.5" customHeight="1" x14ac:dyDescent="0.25">
      <c r="A307" s="2" t="s">
        <v>632</v>
      </c>
      <c r="B307" s="8" t="s">
        <v>12030</v>
      </c>
      <c r="C307" s="8"/>
      <c r="D307" s="8" t="s">
        <v>278</v>
      </c>
      <c r="E307" s="150" t="s">
        <v>92</v>
      </c>
      <c r="F307" s="151" t="s">
        <v>56</v>
      </c>
      <c r="G307" s="152">
        <v>0</v>
      </c>
      <c r="H307" s="152"/>
      <c r="I307" s="153">
        <v>75.69</v>
      </c>
      <c r="J307" s="145">
        <v>306</v>
      </c>
      <c r="K307" s="153">
        <v>-18.478709883956729</v>
      </c>
      <c r="L307" s="153" t="s">
        <v>86</v>
      </c>
      <c r="M307" s="153"/>
      <c r="N307" s="2" t="s">
        <v>599</v>
      </c>
      <c r="O307" s="2"/>
      <c r="P307" s="2"/>
    </row>
    <row r="308" spans="1:16" ht="16.5" customHeight="1" x14ac:dyDescent="0.25">
      <c r="A308" s="2" t="s">
        <v>633</v>
      </c>
      <c r="B308" s="8" t="s">
        <v>12034</v>
      </c>
      <c r="C308" s="8"/>
      <c r="D308" s="8" t="s">
        <v>278</v>
      </c>
      <c r="E308" s="150" t="s">
        <v>511</v>
      </c>
      <c r="F308" s="151" t="s">
        <v>103</v>
      </c>
      <c r="G308" s="152">
        <v>0</v>
      </c>
      <c r="H308" s="152"/>
      <c r="I308" s="153">
        <v>64.77</v>
      </c>
      <c r="J308" s="145">
        <v>307</v>
      </c>
      <c r="K308" s="153">
        <v>-19.97108076378214</v>
      </c>
      <c r="L308" s="153" t="s">
        <v>86</v>
      </c>
      <c r="M308" s="153"/>
      <c r="N308" s="2" t="s">
        <v>599</v>
      </c>
      <c r="O308" s="2"/>
      <c r="P308" s="2"/>
    </row>
    <row r="309" spans="1:16" ht="16.5" customHeight="1" x14ac:dyDescent="0.25">
      <c r="A309" s="2" t="s">
        <v>634</v>
      </c>
      <c r="B309" s="8" t="s">
        <v>12528</v>
      </c>
      <c r="C309" s="8"/>
      <c r="D309" s="8" t="s">
        <v>278</v>
      </c>
      <c r="E309" s="150" t="s">
        <v>511</v>
      </c>
      <c r="F309" s="151" t="s">
        <v>103</v>
      </c>
      <c r="G309" s="152">
        <v>0</v>
      </c>
      <c r="H309" s="152"/>
      <c r="I309" s="153">
        <v>71.02</v>
      </c>
      <c r="J309" s="145">
        <v>308</v>
      </c>
      <c r="K309" s="153">
        <v>-13.925516148206849</v>
      </c>
      <c r="L309" s="153" t="s">
        <v>86</v>
      </c>
      <c r="M309" s="153"/>
      <c r="N309" s="2" t="s">
        <v>599</v>
      </c>
      <c r="O309" s="2"/>
      <c r="P309" s="2"/>
    </row>
    <row r="310" spans="1:16" ht="16.5" customHeight="1" x14ac:dyDescent="0.25">
      <c r="A310" s="2" t="s">
        <v>635</v>
      </c>
      <c r="B310" s="8" t="s">
        <v>12254</v>
      </c>
      <c r="C310" s="8"/>
      <c r="D310" s="8" t="s">
        <v>278</v>
      </c>
      <c r="E310" s="150" t="s">
        <v>511</v>
      </c>
      <c r="F310" s="151" t="s">
        <v>103</v>
      </c>
      <c r="G310" s="152">
        <v>0</v>
      </c>
      <c r="H310" s="152"/>
      <c r="I310" s="153">
        <v>30.62</v>
      </c>
      <c r="J310" s="145">
        <v>309</v>
      </c>
      <c r="K310" s="153">
        <v>-6.3116051605463994</v>
      </c>
      <c r="L310" s="153" t="s">
        <v>86</v>
      </c>
      <c r="M310" s="153"/>
      <c r="N310" s="2" t="s">
        <v>599</v>
      </c>
      <c r="O310" s="2"/>
      <c r="P310" s="2"/>
    </row>
    <row r="311" spans="1:16" ht="16.5" customHeight="1" x14ac:dyDescent="0.25">
      <c r="A311" s="2" t="s">
        <v>636</v>
      </c>
      <c r="B311" s="8" t="s">
        <v>12936</v>
      </c>
      <c r="C311" s="8"/>
      <c r="D311" s="8" t="s">
        <v>278</v>
      </c>
      <c r="E311" s="150" t="s">
        <v>83</v>
      </c>
      <c r="F311" s="151" t="s">
        <v>56</v>
      </c>
      <c r="G311" s="152">
        <v>0</v>
      </c>
      <c r="H311" s="152"/>
      <c r="I311" s="153">
        <v>129.65</v>
      </c>
      <c r="J311" s="145">
        <v>310</v>
      </c>
      <c r="K311" s="153" t="s">
        <v>86</v>
      </c>
      <c r="L311" s="153" t="s">
        <v>86</v>
      </c>
      <c r="M311" s="153"/>
      <c r="N311" s="2" t="s">
        <v>599</v>
      </c>
      <c r="O311" s="2"/>
      <c r="P311" s="2"/>
    </row>
    <row r="312" spans="1:16" ht="16.5" customHeight="1" x14ac:dyDescent="0.25">
      <c r="A312" s="2" t="s">
        <v>637</v>
      </c>
      <c r="B312" s="8" t="s">
        <v>12934</v>
      </c>
      <c r="C312" s="8"/>
      <c r="D312" s="8" t="s">
        <v>278</v>
      </c>
      <c r="E312" s="150" t="s">
        <v>83</v>
      </c>
      <c r="F312" s="151" t="s">
        <v>56</v>
      </c>
      <c r="G312" s="152">
        <v>0</v>
      </c>
      <c r="H312" s="152"/>
      <c r="I312" s="153">
        <v>143.55000000000001</v>
      </c>
      <c r="J312" s="145">
        <v>311</v>
      </c>
      <c r="K312" s="153" t="s">
        <v>86</v>
      </c>
      <c r="L312" s="153" t="s">
        <v>86</v>
      </c>
      <c r="M312" s="153"/>
      <c r="N312" s="2" t="s">
        <v>599</v>
      </c>
      <c r="O312" s="2"/>
      <c r="P312" s="2"/>
    </row>
    <row r="313" spans="1:16" ht="16.5" customHeight="1" x14ac:dyDescent="0.25">
      <c r="A313" s="2" t="s">
        <v>638</v>
      </c>
      <c r="B313" s="8" t="s">
        <v>12534</v>
      </c>
      <c r="C313" s="8"/>
      <c r="D313" s="8" t="s">
        <v>278</v>
      </c>
      <c r="E313" s="150" t="s">
        <v>83</v>
      </c>
      <c r="F313" s="151" t="s">
        <v>56</v>
      </c>
      <c r="G313" s="152">
        <v>0</v>
      </c>
      <c r="H313" s="152"/>
      <c r="I313" s="153">
        <v>101.62</v>
      </c>
      <c r="J313" s="145">
        <v>312</v>
      </c>
      <c r="K313" s="153" t="s">
        <v>86</v>
      </c>
      <c r="L313" s="153" t="s">
        <v>86</v>
      </c>
      <c r="M313" s="153"/>
      <c r="N313" s="2" t="s">
        <v>599</v>
      </c>
      <c r="O313" s="2"/>
      <c r="P313" s="2"/>
    </row>
    <row r="314" spans="1:16" ht="16.5" customHeight="1" x14ac:dyDescent="0.25">
      <c r="A314" s="2" t="s">
        <v>639</v>
      </c>
      <c r="B314" s="8" t="s">
        <v>639</v>
      </c>
      <c r="C314" s="8"/>
      <c r="D314" s="8" t="s">
        <v>278</v>
      </c>
      <c r="E314" s="150" t="s">
        <v>92</v>
      </c>
      <c r="F314" s="151" t="s">
        <v>56</v>
      </c>
      <c r="G314" s="152">
        <v>0</v>
      </c>
      <c r="H314" s="152"/>
      <c r="I314" s="153">
        <v>0</v>
      </c>
      <c r="J314" s="145">
        <v>313</v>
      </c>
      <c r="K314" s="153" t="s">
        <v>86</v>
      </c>
      <c r="L314" s="153" t="s">
        <v>86</v>
      </c>
      <c r="M314" s="153"/>
      <c r="N314" s="2" t="s">
        <v>599</v>
      </c>
      <c r="O314" s="2"/>
      <c r="P314" s="2"/>
    </row>
    <row r="315" spans="1:16" ht="16.5" customHeight="1" x14ac:dyDescent="0.25">
      <c r="A315" s="2" t="s">
        <v>640</v>
      </c>
      <c r="B315" s="8" t="s">
        <v>13835</v>
      </c>
      <c r="C315" s="8"/>
      <c r="D315" s="8" t="s">
        <v>278</v>
      </c>
      <c r="E315" s="150" t="s">
        <v>92</v>
      </c>
      <c r="F315" s="151" t="s">
        <v>56</v>
      </c>
      <c r="G315" s="152">
        <v>0</v>
      </c>
      <c r="H315" s="152"/>
      <c r="I315" s="153">
        <v>84.36</v>
      </c>
      <c r="J315" s="145">
        <v>314</v>
      </c>
      <c r="K315" s="153">
        <v>-25.28833333333333</v>
      </c>
      <c r="L315" s="153" t="s">
        <v>86</v>
      </c>
      <c r="M315" s="153"/>
      <c r="N315" s="2" t="s">
        <v>599</v>
      </c>
      <c r="O315" s="2"/>
      <c r="P315" s="2"/>
    </row>
    <row r="316" spans="1:16" ht="16.5" customHeight="1" x14ac:dyDescent="0.25">
      <c r="A316" s="2" t="s">
        <v>641</v>
      </c>
      <c r="B316" s="8" t="s">
        <v>12914</v>
      </c>
      <c r="C316" s="8"/>
      <c r="D316" s="8" t="s">
        <v>278</v>
      </c>
      <c r="E316" s="150" t="s">
        <v>92</v>
      </c>
      <c r="F316" s="151" t="s">
        <v>56</v>
      </c>
      <c r="G316" s="152">
        <v>0</v>
      </c>
      <c r="H316" s="152"/>
      <c r="I316" s="153">
        <v>55.01</v>
      </c>
      <c r="J316" s="145">
        <v>315</v>
      </c>
      <c r="K316" s="153">
        <v>-12.07281947157397</v>
      </c>
      <c r="L316" s="153" t="s">
        <v>86</v>
      </c>
      <c r="M316" s="153"/>
      <c r="N316" s="2" t="s">
        <v>599</v>
      </c>
      <c r="O316" s="2"/>
      <c r="P316" s="2"/>
    </row>
    <row r="317" spans="1:16" ht="16.5" customHeight="1" x14ac:dyDescent="0.25">
      <c r="A317" s="2" t="s">
        <v>642</v>
      </c>
      <c r="B317" s="8" t="s">
        <v>13836</v>
      </c>
      <c r="C317" s="8"/>
      <c r="D317" s="8" t="s">
        <v>278</v>
      </c>
      <c r="E317" s="150" t="s">
        <v>92</v>
      </c>
      <c r="F317" s="151" t="s">
        <v>56</v>
      </c>
      <c r="G317" s="152">
        <v>0</v>
      </c>
      <c r="H317" s="152"/>
      <c r="I317" s="153">
        <v>106.13</v>
      </c>
      <c r="J317" s="145">
        <v>316</v>
      </c>
      <c r="K317" s="153">
        <v>-10.6563053469342</v>
      </c>
      <c r="L317" s="153" t="s">
        <v>86</v>
      </c>
      <c r="M317" s="153"/>
      <c r="N317" s="2" t="s">
        <v>599</v>
      </c>
      <c r="O317" s="2"/>
      <c r="P317" s="2"/>
    </row>
    <row r="318" spans="1:16" ht="16.5" customHeight="1" x14ac:dyDescent="0.25">
      <c r="A318" s="2" t="s">
        <v>643</v>
      </c>
      <c r="B318" s="8" t="s">
        <v>12559</v>
      </c>
      <c r="C318" s="8"/>
      <c r="D318" s="8" t="s">
        <v>278</v>
      </c>
      <c r="E318" s="150" t="s">
        <v>511</v>
      </c>
      <c r="F318" s="151" t="s">
        <v>103</v>
      </c>
      <c r="G318" s="152">
        <v>0</v>
      </c>
      <c r="H318" s="152"/>
      <c r="I318" s="153">
        <v>47.97</v>
      </c>
      <c r="J318" s="145">
        <v>317</v>
      </c>
      <c r="K318" s="153">
        <v>-11.43416666666667</v>
      </c>
      <c r="L318" s="153" t="s">
        <v>86</v>
      </c>
      <c r="M318" s="153"/>
      <c r="N318" s="2" t="s">
        <v>599</v>
      </c>
      <c r="O318" s="2"/>
      <c r="P318" s="2"/>
    </row>
    <row r="319" spans="1:16" ht="16.5" customHeight="1" x14ac:dyDescent="0.25">
      <c r="A319" s="2" t="s">
        <v>644</v>
      </c>
      <c r="B319" s="8" t="s">
        <v>12922</v>
      </c>
      <c r="C319" s="8"/>
      <c r="D319" s="8" t="s">
        <v>278</v>
      </c>
      <c r="E319" s="150" t="s">
        <v>92</v>
      </c>
      <c r="F319" s="151" t="s">
        <v>56</v>
      </c>
      <c r="G319" s="152">
        <v>0</v>
      </c>
      <c r="H319" s="152"/>
      <c r="I319" s="153">
        <v>87.66</v>
      </c>
      <c r="J319" s="145">
        <v>318</v>
      </c>
      <c r="K319" s="153">
        <v>-24.77333333333333</v>
      </c>
      <c r="L319" s="153" t="s">
        <v>86</v>
      </c>
      <c r="M319" s="153"/>
      <c r="N319" s="2" t="s">
        <v>599</v>
      </c>
      <c r="O319" s="2"/>
      <c r="P319" s="2"/>
    </row>
    <row r="320" spans="1:16" ht="16.5" customHeight="1" x14ac:dyDescent="0.25">
      <c r="A320" s="2" t="s">
        <v>645</v>
      </c>
      <c r="B320" s="8" t="s">
        <v>12564</v>
      </c>
      <c r="C320" s="8"/>
      <c r="D320" s="8" t="s">
        <v>278</v>
      </c>
      <c r="E320" s="150" t="s">
        <v>511</v>
      </c>
      <c r="F320" s="151" t="s">
        <v>103</v>
      </c>
      <c r="G320" s="152">
        <v>0</v>
      </c>
      <c r="H320" s="152"/>
      <c r="I320" s="153">
        <v>34.33</v>
      </c>
      <c r="J320" s="145">
        <v>319</v>
      </c>
      <c r="K320" s="153">
        <v>-6.092451234109709</v>
      </c>
      <c r="L320" s="153" t="s">
        <v>86</v>
      </c>
      <c r="M320" s="153"/>
      <c r="N320" s="2" t="s">
        <v>599</v>
      </c>
      <c r="O320" s="2"/>
      <c r="P320" s="2"/>
    </row>
    <row r="321" spans="1:16" ht="16.5" customHeight="1" x14ac:dyDescent="0.25">
      <c r="A321" s="2" t="s">
        <v>646</v>
      </c>
      <c r="B321" s="8" t="s">
        <v>12219</v>
      </c>
      <c r="C321" s="8"/>
      <c r="D321" s="8" t="s">
        <v>278</v>
      </c>
      <c r="E321" s="150" t="s">
        <v>511</v>
      </c>
      <c r="F321" s="151" t="s">
        <v>103</v>
      </c>
      <c r="G321" s="152">
        <v>0</v>
      </c>
      <c r="H321" s="152"/>
      <c r="I321" s="153">
        <v>27.52</v>
      </c>
      <c r="J321" s="145">
        <v>320</v>
      </c>
      <c r="K321" s="153">
        <v>-6.3025357594238374</v>
      </c>
      <c r="L321" s="153" t="s">
        <v>86</v>
      </c>
      <c r="M321" s="153"/>
      <c r="N321" s="2" t="s">
        <v>599</v>
      </c>
      <c r="O321" s="2"/>
      <c r="P321" s="2"/>
    </row>
    <row r="322" spans="1:16" ht="16.5" customHeight="1" x14ac:dyDescent="0.25">
      <c r="A322" s="2" t="s">
        <v>647</v>
      </c>
      <c r="B322" s="8" t="s">
        <v>12218</v>
      </c>
      <c r="C322" s="8"/>
      <c r="D322" s="8" t="s">
        <v>278</v>
      </c>
      <c r="E322" s="150" t="s">
        <v>511</v>
      </c>
      <c r="F322" s="151" t="s">
        <v>103</v>
      </c>
      <c r="G322" s="152">
        <v>0</v>
      </c>
      <c r="H322" s="152"/>
      <c r="I322" s="153">
        <v>36.56</v>
      </c>
      <c r="J322" s="145">
        <v>321</v>
      </c>
      <c r="K322" s="153">
        <v>-8.7972935985368821</v>
      </c>
      <c r="L322" s="153" t="s">
        <v>86</v>
      </c>
      <c r="M322" s="153"/>
      <c r="N322" s="2" t="s">
        <v>599</v>
      </c>
      <c r="O322" s="2"/>
      <c r="P322" s="2"/>
    </row>
    <row r="323" spans="1:16" ht="16.5" customHeight="1" x14ac:dyDescent="0.25">
      <c r="A323" s="2" t="s">
        <v>648</v>
      </c>
      <c r="B323" s="8" t="s">
        <v>12935</v>
      </c>
      <c r="C323" s="8"/>
      <c r="D323" s="8" t="s">
        <v>278</v>
      </c>
      <c r="E323" s="150" t="s">
        <v>511</v>
      </c>
      <c r="F323" s="151" t="s">
        <v>103</v>
      </c>
      <c r="G323" s="152">
        <v>0</v>
      </c>
      <c r="H323" s="152"/>
      <c r="I323" s="153">
        <v>43.68</v>
      </c>
      <c r="J323" s="145">
        <v>322</v>
      </c>
      <c r="K323" s="153">
        <v>-18.6658556170377</v>
      </c>
      <c r="L323" s="153" t="s">
        <v>86</v>
      </c>
      <c r="M323" s="153"/>
      <c r="N323" s="2" t="s">
        <v>599</v>
      </c>
      <c r="O323" s="2"/>
      <c r="P323" s="2"/>
    </row>
    <row r="324" spans="1:16" ht="16.5" customHeight="1" x14ac:dyDescent="0.25">
      <c r="A324" s="2" t="s">
        <v>649</v>
      </c>
      <c r="B324" s="8" t="s">
        <v>12930</v>
      </c>
      <c r="C324" s="8"/>
      <c r="D324" s="8" t="s">
        <v>278</v>
      </c>
      <c r="E324" s="150" t="s">
        <v>92</v>
      </c>
      <c r="F324" s="151" t="s">
        <v>56</v>
      </c>
      <c r="G324" s="152">
        <v>0</v>
      </c>
      <c r="H324" s="152"/>
      <c r="I324" s="153">
        <v>52.05</v>
      </c>
      <c r="J324" s="145">
        <v>323</v>
      </c>
      <c r="K324" s="153">
        <v>-5.931</v>
      </c>
      <c r="L324" s="153" t="s">
        <v>86</v>
      </c>
      <c r="M324" s="153"/>
      <c r="N324" s="2" t="s">
        <v>599</v>
      </c>
      <c r="O324" s="2"/>
      <c r="P324" s="2"/>
    </row>
    <row r="325" spans="1:16" ht="16.5" customHeight="1" x14ac:dyDescent="0.25">
      <c r="A325" s="2" t="s">
        <v>650</v>
      </c>
      <c r="B325" s="8" t="s">
        <v>13837</v>
      </c>
      <c r="C325" s="8"/>
      <c r="D325" s="8" t="s">
        <v>278</v>
      </c>
      <c r="E325" s="150" t="s">
        <v>92</v>
      </c>
      <c r="F325" s="151" t="s">
        <v>56</v>
      </c>
      <c r="G325" s="152">
        <v>0</v>
      </c>
      <c r="H325" s="152"/>
      <c r="I325" s="153">
        <v>47.65</v>
      </c>
      <c r="J325" s="145">
        <v>324</v>
      </c>
      <c r="K325" s="153">
        <v>-9.8706666666666667</v>
      </c>
      <c r="L325" s="153" t="s">
        <v>86</v>
      </c>
      <c r="M325" s="153"/>
      <c r="N325" s="2" t="s">
        <v>517</v>
      </c>
      <c r="O325" s="2"/>
      <c r="P325" s="10" t="s">
        <v>498</v>
      </c>
    </row>
    <row r="326" spans="1:16" ht="16.5" customHeight="1" x14ac:dyDescent="0.25">
      <c r="A326" s="2" t="s">
        <v>651</v>
      </c>
      <c r="B326" s="8" t="s">
        <v>12920</v>
      </c>
      <c r="C326" s="8"/>
      <c r="D326" s="8" t="s">
        <v>278</v>
      </c>
      <c r="E326" s="150" t="s">
        <v>92</v>
      </c>
      <c r="F326" s="151" t="s">
        <v>56</v>
      </c>
      <c r="G326" s="152">
        <v>0</v>
      </c>
      <c r="H326" s="152"/>
      <c r="I326" s="153">
        <v>67.010000000000005</v>
      </c>
      <c r="J326" s="145">
        <v>325</v>
      </c>
      <c r="K326" s="153">
        <v>-16.103262918728309</v>
      </c>
      <c r="L326" s="153" t="s">
        <v>86</v>
      </c>
      <c r="M326" s="153"/>
      <c r="N326" s="2" t="s">
        <v>517</v>
      </c>
      <c r="O326" s="2"/>
      <c r="P326" s="2"/>
    </row>
    <row r="327" spans="1:16" ht="16.5" customHeight="1" x14ac:dyDescent="0.25">
      <c r="A327" s="2" t="s">
        <v>652</v>
      </c>
      <c r="B327" s="8" t="s">
        <v>12036</v>
      </c>
      <c r="C327" s="8"/>
      <c r="D327" s="8" t="s">
        <v>278</v>
      </c>
      <c r="E327" s="150" t="s">
        <v>92</v>
      </c>
      <c r="F327" s="151" t="s">
        <v>56</v>
      </c>
      <c r="G327" s="152">
        <v>0</v>
      </c>
      <c r="H327" s="152"/>
      <c r="I327" s="153">
        <v>81.569999999999993</v>
      </c>
      <c r="J327" s="145">
        <v>326</v>
      </c>
      <c r="K327" s="153">
        <v>-14.497336887584449</v>
      </c>
      <c r="L327" s="153" t="s">
        <v>86</v>
      </c>
      <c r="M327" s="153"/>
      <c r="N327" s="2" t="s">
        <v>517</v>
      </c>
      <c r="O327" s="2"/>
      <c r="P327" s="10" t="s">
        <v>498</v>
      </c>
    </row>
    <row r="328" spans="1:16" ht="16.5" customHeight="1" x14ac:dyDescent="0.25">
      <c r="A328" s="2" t="s">
        <v>653</v>
      </c>
      <c r="B328" s="8" t="s">
        <v>12141</v>
      </c>
      <c r="C328" s="8" t="s">
        <v>101</v>
      </c>
      <c r="D328" s="8" t="s">
        <v>278</v>
      </c>
      <c r="E328" s="150" t="s">
        <v>92</v>
      </c>
      <c r="F328" s="151" t="s">
        <v>56</v>
      </c>
      <c r="G328" s="152">
        <v>0</v>
      </c>
      <c r="H328" s="152"/>
      <c r="I328" s="153">
        <v>95.43</v>
      </c>
      <c r="J328" s="145">
        <v>327</v>
      </c>
      <c r="K328" s="153">
        <v>-19.926333333333339</v>
      </c>
      <c r="L328" s="153" t="s">
        <v>86</v>
      </c>
      <c r="M328" s="153"/>
      <c r="N328" s="2" t="s">
        <v>517</v>
      </c>
      <c r="O328" s="2"/>
      <c r="P328" s="10" t="s">
        <v>498</v>
      </c>
    </row>
    <row r="329" spans="1:16" ht="16.5" customHeight="1" x14ac:dyDescent="0.25">
      <c r="A329" s="2" t="s">
        <v>654</v>
      </c>
      <c r="B329" s="8" t="s">
        <v>12916</v>
      </c>
      <c r="C329" s="8"/>
      <c r="D329" s="8" t="s">
        <v>278</v>
      </c>
      <c r="E329" s="150" t="s">
        <v>92</v>
      </c>
      <c r="F329" s="151" t="s">
        <v>56</v>
      </c>
      <c r="G329" s="152">
        <v>0</v>
      </c>
      <c r="H329" s="152"/>
      <c r="I329" s="153">
        <v>53.8</v>
      </c>
      <c r="J329" s="145">
        <v>328</v>
      </c>
      <c r="K329" s="153">
        <v>-14.2</v>
      </c>
      <c r="L329" s="153" t="s">
        <v>86</v>
      </c>
      <c r="M329" s="153"/>
      <c r="N329" s="2" t="s">
        <v>517</v>
      </c>
      <c r="O329" s="2"/>
      <c r="P329" s="2"/>
    </row>
    <row r="330" spans="1:16" ht="16.5" customHeight="1" x14ac:dyDescent="0.25">
      <c r="A330" s="2" t="s">
        <v>655</v>
      </c>
      <c r="B330" s="8" t="s">
        <v>12035</v>
      </c>
      <c r="C330" s="8"/>
      <c r="D330" s="8" t="s">
        <v>278</v>
      </c>
      <c r="E330" s="150" t="s">
        <v>92</v>
      </c>
      <c r="F330" s="151" t="s">
        <v>56</v>
      </c>
      <c r="G330" s="152">
        <v>0</v>
      </c>
      <c r="H330" s="152"/>
      <c r="I330" s="153">
        <v>69.92</v>
      </c>
      <c r="J330" s="145">
        <v>329</v>
      </c>
      <c r="K330" s="153">
        <v>-20.563694653065799</v>
      </c>
      <c r="L330" s="153" t="s">
        <v>86</v>
      </c>
      <c r="M330" s="153"/>
      <c r="N330" s="2" t="s">
        <v>517</v>
      </c>
      <c r="O330" s="2"/>
      <c r="P330" s="2"/>
    </row>
    <row r="331" spans="1:16" ht="16.5" customHeight="1" x14ac:dyDescent="0.25">
      <c r="A331" s="2" t="s">
        <v>656</v>
      </c>
      <c r="B331" s="8" t="s">
        <v>12917</v>
      </c>
      <c r="C331" s="8"/>
      <c r="D331" s="8" t="s">
        <v>278</v>
      </c>
      <c r="E331" s="150" t="s">
        <v>92</v>
      </c>
      <c r="F331" s="151" t="s">
        <v>56</v>
      </c>
      <c r="G331" s="152">
        <v>0</v>
      </c>
      <c r="H331" s="152"/>
      <c r="I331" s="153">
        <v>77.59</v>
      </c>
      <c r="J331" s="145">
        <v>330</v>
      </c>
      <c r="K331" s="153">
        <v>-16.72266311241555</v>
      </c>
      <c r="L331" s="153" t="s">
        <v>86</v>
      </c>
      <c r="M331" s="153"/>
      <c r="N331" s="2" t="s">
        <v>517</v>
      </c>
      <c r="O331" s="2"/>
      <c r="P331" s="2"/>
    </row>
    <row r="332" spans="1:16" ht="16.5" customHeight="1" x14ac:dyDescent="0.25">
      <c r="A332" s="2" t="s">
        <v>657</v>
      </c>
      <c r="B332" s="8" t="s">
        <v>12137</v>
      </c>
      <c r="C332" s="8"/>
      <c r="D332" s="8" t="s">
        <v>278</v>
      </c>
      <c r="E332" s="150" t="s">
        <v>83</v>
      </c>
      <c r="F332" s="151" t="s">
        <v>56</v>
      </c>
      <c r="G332" s="152">
        <v>0</v>
      </c>
      <c r="H332" s="152"/>
      <c r="I332" s="153">
        <v>36.01</v>
      </c>
      <c r="J332" s="145">
        <v>331</v>
      </c>
      <c r="K332" s="153">
        <v>-6</v>
      </c>
      <c r="L332" s="153" t="s">
        <v>86</v>
      </c>
      <c r="M332" s="153"/>
      <c r="N332" s="2" t="s">
        <v>599</v>
      </c>
      <c r="O332" s="2"/>
      <c r="P332" s="2"/>
    </row>
    <row r="333" spans="1:16" ht="16.5" customHeight="1" x14ac:dyDescent="0.25">
      <c r="A333" s="2" t="s">
        <v>658</v>
      </c>
      <c r="B333" s="8" t="s">
        <v>12921</v>
      </c>
      <c r="C333" s="8"/>
      <c r="D333" s="8" t="s">
        <v>278</v>
      </c>
      <c r="E333" s="150" t="s">
        <v>83</v>
      </c>
      <c r="F333" s="151" t="s">
        <v>56</v>
      </c>
      <c r="G333" s="152">
        <v>0</v>
      </c>
      <c r="H333" s="152"/>
      <c r="I333" s="153">
        <v>75.91</v>
      </c>
      <c r="J333" s="145">
        <v>332</v>
      </c>
      <c r="K333" s="153" t="s">
        <v>86</v>
      </c>
      <c r="L333" s="153" t="s">
        <v>86</v>
      </c>
      <c r="M333" s="153"/>
      <c r="N333" s="2" t="s">
        <v>517</v>
      </c>
      <c r="O333" s="2"/>
      <c r="P333" s="2"/>
    </row>
    <row r="334" spans="1:16" ht="16.5" customHeight="1" x14ac:dyDescent="0.25">
      <c r="A334" s="2" t="s">
        <v>659</v>
      </c>
      <c r="B334" s="8" t="s">
        <v>12933</v>
      </c>
      <c r="C334" s="8"/>
      <c r="D334" s="8" t="s">
        <v>278</v>
      </c>
      <c r="E334" s="150" t="s">
        <v>83</v>
      </c>
      <c r="F334" s="151" t="s">
        <v>56</v>
      </c>
      <c r="G334" s="152">
        <v>0</v>
      </c>
      <c r="H334" s="152"/>
      <c r="I334" s="153">
        <v>87.02</v>
      </c>
      <c r="J334" s="145">
        <v>333</v>
      </c>
      <c r="K334" s="153" t="s">
        <v>86</v>
      </c>
      <c r="L334" s="153" t="s">
        <v>86</v>
      </c>
      <c r="M334" s="153"/>
      <c r="N334" s="2" t="s">
        <v>517</v>
      </c>
      <c r="O334" s="2"/>
      <c r="P334" s="2"/>
    </row>
    <row r="335" spans="1:16" ht="16.5" customHeight="1" x14ac:dyDescent="0.25">
      <c r="A335" s="2" t="s">
        <v>660</v>
      </c>
      <c r="B335" s="8" t="s">
        <v>13838</v>
      </c>
      <c r="C335" s="8"/>
      <c r="D335" s="8" t="s">
        <v>278</v>
      </c>
      <c r="E335" s="150" t="s">
        <v>83</v>
      </c>
      <c r="F335" s="151" t="s">
        <v>56</v>
      </c>
      <c r="G335" s="152">
        <v>0</v>
      </c>
      <c r="H335" s="152"/>
      <c r="I335" s="153">
        <v>60.31</v>
      </c>
      <c r="J335" s="145">
        <v>334</v>
      </c>
      <c r="K335" s="153" t="s">
        <v>86</v>
      </c>
      <c r="L335" s="153" t="s">
        <v>86</v>
      </c>
      <c r="M335" s="153"/>
      <c r="N335" s="2" t="s">
        <v>517</v>
      </c>
      <c r="O335" s="2"/>
      <c r="P335" s="2"/>
    </row>
    <row r="336" spans="1:16" ht="16.5" customHeight="1" x14ac:dyDescent="0.25">
      <c r="A336" s="2" t="s">
        <v>661</v>
      </c>
      <c r="B336" s="8" t="s">
        <v>12748</v>
      </c>
      <c r="C336" s="8"/>
      <c r="D336" s="8" t="s">
        <v>278</v>
      </c>
      <c r="E336" s="150" t="s">
        <v>92</v>
      </c>
      <c r="F336" s="151" t="s">
        <v>56</v>
      </c>
      <c r="G336" s="152">
        <v>0</v>
      </c>
      <c r="H336" s="152"/>
      <c r="I336" s="153">
        <v>12.66</v>
      </c>
      <c r="J336" s="145">
        <v>335</v>
      </c>
      <c r="K336" s="153" t="s">
        <v>86</v>
      </c>
      <c r="L336" s="153" t="s">
        <v>86</v>
      </c>
      <c r="M336" s="153"/>
      <c r="N336" s="2" t="s">
        <v>517</v>
      </c>
      <c r="O336" s="2"/>
      <c r="P336" s="2"/>
    </row>
    <row r="337" spans="1:16" ht="16.5" customHeight="1" x14ac:dyDescent="0.25">
      <c r="A337" s="2" t="s">
        <v>662</v>
      </c>
      <c r="B337" s="8" t="s">
        <v>13839</v>
      </c>
      <c r="C337" s="8"/>
      <c r="D337" s="8" t="s">
        <v>278</v>
      </c>
      <c r="E337" s="150" t="s">
        <v>92</v>
      </c>
      <c r="F337" s="151" t="s">
        <v>56</v>
      </c>
      <c r="G337" s="152">
        <v>0</v>
      </c>
      <c r="H337" s="152"/>
      <c r="I337" s="153">
        <v>17.37</v>
      </c>
      <c r="J337" s="145">
        <v>336</v>
      </c>
      <c r="K337" s="153" t="s">
        <v>86</v>
      </c>
      <c r="L337" s="153" t="s">
        <v>86</v>
      </c>
      <c r="M337" s="153"/>
      <c r="N337" s="2" t="s">
        <v>517</v>
      </c>
      <c r="O337" s="2"/>
      <c r="P337" s="2"/>
    </row>
    <row r="338" spans="1:16" ht="16.5" customHeight="1" x14ac:dyDescent="0.25">
      <c r="A338" s="2" t="s">
        <v>663</v>
      </c>
      <c r="B338" s="8" t="s">
        <v>13840</v>
      </c>
      <c r="C338" s="8"/>
      <c r="D338" s="8" t="s">
        <v>278</v>
      </c>
      <c r="E338" s="150" t="s">
        <v>92</v>
      </c>
      <c r="F338" s="151" t="s">
        <v>56</v>
      </c>
      <c r="G338" s="152">
        <v>0</v>
      </c>
      <c r="H338" s="152"/>
      <c r="I338" s="153">
        <v>22.95</v>
      </c>
      <c r="J338" s="145">
        <v>337</v>
      </c>
      <c r="K338" s="153">
        <v>-9.043333333333333</v>
      </c>
      <c r="L338" s="153" t="s">
        <v>86</v>
      </c>
      <c r="M338" s="153"/>
      <c r="N338" s="2" t="s">
        <v>517</v>
      </c>
      <c r="O338" s="2"/>
      <c r="P338" s="2"/>
    </row>
    <row r="339" spans="1:16" ht="16.5" customHeight="1" x14ac:dyDescent="0.25">
      <c r="A339" s="2" t="s">
        <v>664</v>
      </c>
      <c r="B339" s="8" t="s">
        <v>13841</v>
      </c>
      <c r="C339" s="8"/>
      <c r="D339" s="8" t="s">
        <v>278</v>
      </c>
      <c r="E339" s="150" t="s">
        <v>92</v>
      </c>
      <c r="F339" s="151" t="s">
        <v>56</v>
      </c>
      <c r="G339" s="152">
        <v>0</v>
      </c>
      <c r="H339" s="152"/>
      <c r="I339" s="153">
        <v>34.82</v>
      </c>
      <c r="J339" s="145">
        <v>338</v>
      </c>
      <c r="K339" s="153" t="s">
        <v>86</v>
      </c>
      <c r="L339" s="153" t="s">
        <v>86</v>
      </c>
      <c r="M339" s="153"/>
      <c r="N339" s="2" t="s">
        <v>517</v>
      </c>
      <c r="O339" s="2"/>
      <c r="P339" s="2"/>
    </row>
    <row r="340" spans="1:16" ht="16.5" customHeight="1" x14ac:dyDescent="0.25">
      <c r="A340" s="2" t="s">
        <v>665</v>
      </c>
      <c r="B340" s="8" t="s">
        <v>13842</v>
      </c>
      <c r="C340" s="8"/>
      <c r="D340" s="8" t="s">
        <v>278</v>
      </c>
      <c r="E340" s="150" t="s">
        <v>92</v>
      </c>
      <c r="F340" s="151" t="s">
        <v>56</v>
      </c>
      <c r="G340" s="152">
        <v>0</v>
      </c>
      <c r="H340" s="152"/>
      <c r="I340" s="153">
        <v>50.17</v>
      </c>
      <c r="J340" s="145">
        <v>339</v>
      </c>
      <c r="K340" s="153" t="s">
        <v>86</v>
      </c>
      <c r="L340" s="153" t="s">
        <v>86</v>
      </c>
      <c r="M340" s="153"/>
      <c r="N340" s="2" t="s">
        <v>517</v>
      </c>
      <c r="O340" s="2"/>
      <c r="P340" s="2"/>
    </row>
    <row r="341" spans="1:16" ht="16.5" customHeight="1" x14ac:dyDescent="0.25">
      <c r="A341" s="2" t="s">
        <v>666</v>
      </c>
      <c r="B341" s="8" t="s">
        <v>13843</v>
      </c>
      <c r="C341" s="8"/>
      <c r="D341" s="8" t="s">
        <v>278</v>
      </c>
      <c r="E341" s="150" t="s">
        <v>92</v>
      </c>
      <c r="F341" s="151" t="s">
        <v>56</v>
      </c>
      <c r="G341" s="152">
        <v>0</v>
      </c>
      <c r="H341" s="152"/>
      <c r="I341" s="153">
        <v>65.239999999999995</v>
      </c>
      <c r="J341" s="145">
        <v>340</v>
      </c>
      <c r="K341" s="153" t="s">
        <v>86</v>
      </c>
      <c r="L341" s="153" t="s">
        <v>86</v>
      </c>
      <c r="M341" s="153"/>
      <c r="N341" s="2" t="s">
        <v>517</v>
      </c>
      <c r="O341" s="2"/>
      <c r="P341" s="2"/>
    </row>
    <row r="342" spans="1:16" ht="16.5" customHeight="1" x14ac:dyDescent="0.25">
      <c r="A342" s="2" t="s">
        <v>667</v>
      </c>
      <c r="B342" s="8" t="s">
        <v>13844</v>
      </c>
      <c r="C342" s="8"/>
      <c r="D342" s="8" t="s">
        <v>441</v>
      </c>
      <c r="E342" s="150" t="s">
        <v>13771</v>
      </c>
      <c r="F342" s="151" t="s">
        <v>56</v>
      </c>
      <c r="G342" s="152">
        <v>0</v>
      </c>
      <c r="H342" s="152"/>
      <c r="I342" s="153">
        <v>43.45</v>
      </c>
      <c r="J342" s="145">
        <v>341</v>
      </c>
      <c r="K342" s="153" t="s">
        <v>86</v>
      </c>
      <c r="L342" s="153" t="s">
        <v>86</v>
      </c>
      <c r="M342" s="153"/>
      <c r="N342" s="2" t="s">
        <v>517</v>
      </c>
      <c r="O342" s="2"/>
      <c r="P342" s="2"/>
    </row>
    <row r="343" spans="1:16" ht="16.5" customHeight="1" x14ac:dyDescent="0.25">
      <c r="A343" s="2" t="s">
        <v>668</v>
      </c>
      <c r="B343" s="8" t="s">
        <v>12565</v>
      </c>
      <c r="C343" s="8"/>
      <c r="D343" s="8" t="s">
        <v>296</v>
      </c>
      <c r="E343" s="150" t="s">
        <v>13771</v>
      </c>
      <c r="F343" s="151" t="s">
        <v>56</v>
      </c>
      <c r="G343" s="152">
        <v>0</v>
      </c>
      <c r="H343" s="152"/>
      <c r="I343" s="153">
        <v>68.900000000000006</v>
      </c>
      <c r="J343" s="145">
        <v>342</v>
      </c>
      <c r="K343" s="153">
        <v>-26.989000000000001</v>
      </c>
      <c r="L343" s="153" t="s">
        <v>86</v>
      </c>
      <c r="M343" s="153"/>
      <c r="N343" s="2" t="s">
        <v>517</v>
      </c>
      <c r="O343" s="2"/>
      <c r="P343" s="2"/>
    </row>
    <row r="344" spans="1:16" ht="16.5" customHeight="1" x14ac:dyDescent="0.25">
      <c r="A344" s="2" t="s">
        <v>669</v>
      </c>
      <c r="B344" s="8" t="s">
        <v>12597</v>
      </c>
      <c r="C344" s="8"/>
      <c r="D344" s="8" t="s">
        <v>296</v>
      </c>
      <c r="E344" s="150" t="s">
        <v>13771</v>
      </c>
      <c r="F344" s="151" t="s">
        <v>56</v>
      </c>
      <c r="G344" s="152">
        <v>0</v>
      </c>
      <c r="H344" s="152"/>
      <c r="I344" s="153">
        <v>75.599999999999994</v>
      </c>
      <c r="J344" s="145">
        <v>343</v>
      </c>
      <c r="K344" s="153">
        <v>-27.001666666666669</v>
      </c>
      <c r="L344" s="153" t="s">
        <v>86</v>
      </c>
      <c r="M344" s="153"/>
      <c r="N344" s="2" t="s">
        <v>517</v>
      </c>
      <c r="O344" s="2"/>
      <c r="P344" s="2"/>
    </row>
    <row r="345" spans="1:16" ht="16.5" customHeight="1" x14ac:dyDescent="0.25">
      <c r="A345" s="2" t="s">
        <v>670</v>
      </c>
      <c r="B345" s="8" t="s">
        <v>12185</v>
      </c>
      <c r="C345" s="8"/>
      <c r="D345" s="8" t="s">
        <v>296</v>
      </c>
      <c r="E345" s="150" t="s">
        <v>13771</v>
      </c>
      <c r="F345" s="151" t="s">
        <v>56</v>
      </c>
      <c r="G345" s="152">
        <v>0</v>
      </c>
      <c r="H345" s="152"/>
      <c r="I345" s="153">
        <v>37.4</v>
      </c>
      <c r="J345" s="145">
        <v>344</v>
      </c>
      <c r="K345" s="153" t="s">
        <v>86</v>
      </c>
      <c r="L345" s="153" t="s">
        <v>86</v>
      </c>
      <c r="M345" s="153"/>
      <c r="N345" s="2" t="s">
        <v>517</v>
      </c>
      <c r="O345" s="2"/>
      <c r="P345" s="2"/>
    </row>
    <row r="346" spans="1:16" ht="16.5" customHeight="1" x14ac:dyDescent="0.25">
      <c r="A346" s="2" t="s">
        <v>671</v>
      </c>
      <c r="B346" s="8" t="s">
        <v>12747</v>
      </c>
      <c r="C346" s="8"/>
      <c r="D346" s="8" t="s">
        <v>296</v>
      </c>
      <c r="E346" s="150" t="s">
        <v>13771</v>
      </c>
      <c r="F346" s="151" t="s">
        <v>56</v>
      </c>
      <c r="G346" s="152">
        <v>0</v>
      </c>
      <c r="H346" s="152"/>
      <c r="I346" s="153">
        <v>8.36</v>
      </c>
      <c r="J346" s="145">
        <v>345</v>
      </c>
      <c r="K346" s="153" t="s">
        <v>86</v>
      </c>
      <c r="L346" s="153" t="s">
        <v>86</v>
      </c>
      <c r="M346" s="153"/>
      <c r="N346" s="2" t="s">
        <v>517</v>
      </c>
      <c r="O346" s="2"/>
      <c r="P346" s="2"/>
    </row>
    <row r="347" spans="1:16" ht="16.5" customHeight="1" x14ac:dyDescent="0.25">
      <c r="A347" s="2" t="s">
        <v>672</v>
      </c>
      <c r="B347" s="8" t="s">
        <v>13845</v>
      </c>
      <c r="C347" s="8"/>
      <c r="D347" s="8" t="s">
        <v>296</v>
      </c>
      <c r="E347" s="150" t="s">
        <v>13771</v>
      </c>
      <c r="F347" s="151" t="s">
        <v>56</v>
      </c>
      <c r="G347" s="152">
        <v>0</v>
      </c>
      <c r="H347" s="152"/>
      <c r="I347" s="153">
        <v>40.15</v>
      </c>
      <c r="J347" s="145">
        <v>346</v>
      </c>
      <c r="K347" s="153" t="s">
        <v>86</v>
      </c>
      <c r="L347" s="153" t="s">
        <v>86</v>
      </c>
      <c r="M347" s="153"/>
      <c r="N347" s="2" t="s">
        <v>517</v>
      </c>
      <c r="O347" s="2"/>
      <c r="P347" s="2"/>
    </row>
    <row r="348" spans="1:16" ht="16.5" customHeight="1" x14ac:dyDescent="0.25">
      <c r="A348" s="2" t="s">
        <v>673</v>
      </c>
      <c r="B348" s="8" t="s">
        <v>13846</v>
      </c>
      <c r="C348" s="8"/>
      <c r="D348" s="8" t="s">
        <v>296</v>
      </c>
      <c r="E348" s="150" t="s">
        <v>13771</v>
      </c>
      <c r="F348" s="151" t="s">
        <v>56</v>
      </c>
      <c r="G348" s="152">
        <v>0</v>
      </c>
      <c r="H348" s="152"/>
      <c r="I348" s="153">
        <v>10.35</v>
      </c>
      <c r="J348" s="145">
        <v>347</v>
      </c>
      <c r="K348" s="153" t="s">
        <v>86</v>
      </c>
      <c r="L348" s="153" t="s">
        <v>86</v>
      </c>
      <c r="M348" s="153"/>
      <c r="N348" s="2" t="s">
        <v>517</v>
      </c>
      <c r="O348" s="2"/>
      <c r="P348" s="2"/>
    </row>
    <row r="349" spans="1:16" ht="16.5" customHeight="1" x14ac:dyDescent="0.25">
      <c r="A349" s="2" t="s">
        <v>674</v>
      </c>
      <c r="B349" s="2" t="s">
        <v>13847</v>
      </c>
      <c r="C349" s="8"/>
      <c r="D349" s="8" t="s">
        <v>278</v>
      </c>
      <c r="E349" s="150" t="s">
        <v>83</v>
      </c>
      <c r="F349" s="151" t="s">
        <v>56</v>
      </c>
      <c r="G349" s="152">
        <v>0</v>
      </c>
      <c r="H349" s="152"/>
      <c r="I349" s="153">
        <v>7.08</v>
      </c>
      <c r="J349" s="145">
        <v>348</v>
      </c>
      <c r="K349" s="153">
        <v>-2.2000000000000002</v>
      </c>
      <c r="L349" s="153" t="s">
        <v>86</v>
      </c>
      <c r="M349" s="153"/>
      <c r="N349" s="2" t="s">
        <v>517</v>
      </c>
      <c r="O349" s="2"/>
      <c r="P349" s="2"/>
    </row>
    <row r="350" spans="1:16" ht="16.5" customHeight="1" x14ac:dyDescent="0.25">
      <c r="A350" s="2" t="s">
        <v>675</v>
      </c>
      <c r="B350" s="2" t="s">
        <v>12535</v>
      </c>
      <c r="C350" s="8"/>
      <c r="D350" s="8" t="s">
        <v>278</v>
      </c>
      <c r="E350" s="150" t="s">
        <v>83</v>
      </c>
      <c r="F350" s="151" t="s">
        <v>56</v>
      </c>
      <c r="G350" s="152">
        <v>0</v>
      </c>
      <c r="H350" s="152"/>
      <c r="I350" s="153">
        <v>66.319999999999993</v>
      </c>
      <c r="J350" s="145">
        <v>349</v>
      </c>
      <c r="K350" s="153" t="s">
        <v>86</v>
      </c>
      <c r="L350" s="153" t="s">
        <v>86</v>
      </c>
      <c r="M350" s="153"/>
      <c r="N350" s="2" t="s">
        <v>517</v>
      </c>
      <c r="O350" s="2"/>
      <c r="P350" s="2"/>
    </row>
    <row r="351" spans="1:16" ht="16.5" customHeight="1" x14ac:dyDescent="0.25">
      <c r="A351" s="2" t="s">
        <v>676</v>
      </c>
      <c r="B351" s="2" t="s">
        <v>13848</v>
      </c>
      <c r="C351" s="8"/>
      <c r="D351" s="8" t="s">
        <v>278</v>
      </c>
      <c r="E351" s="150" t="s">
        <v>83</v>
      </c>
      <c r="F351" s="151" t="s">
        <v>56</v>
      </c>
      <c r="G351" s="152">
        <v>0</v>
      </c>
      <c r="H351" s="152"/>
      <c r="I351" s="153">
        <v>18.600000000000001</v>
      </c>
      <c r="J351" s="145">
        <v>350</v>
      </c>
      <c r="K351" s="153" t="s">
        <v>86</v>
      </c>
      <c r="L351" s="153" t="s">
        <v>86</v>
      </c>
      <c r="M351" s="153"/>
      <c r="N351" s="2" t="s">
        <v>517</v>
      </c>
      <c r="O351" s="2"/>
      <c r="P351" s="2"/>
    </row>
    <row r="352" spans="1:16" ht="16.5" customHeight="1" x14ac:dyDescent="0.25">
      <c r="A352" s="2" t="s">
        <v>677</v>
      </c>
      <c r="B352" s="2" t="s">
        <v>13849</v>
      </c>
      <c r="C352" s="8"/>
      <c r="D352" s="8" t="s">
        <v>278</v>
      </c>
      <c r="E352" s="150" t="s">
        <v>83</v>
      </c>
      <c r="F352" s="151" t="s">
        <v>56</v>
      </c>
      <c r="G352" s="152">
        <v>0</v>
      </c>
      <c r="H352" s="152"/>
      <c r="I352" s="153">
        <v>52.49</v>
      </c>
      <c r="J352" s="145">
        <v>351</v>
      </c>
      <c r="K352" s="153" t="s">
        <v>86</v>
      </c>
      <c r="L352" s="153" t="s">
        <v>86</v>
      </c>
      <c r="M352" s="153"/>
      <c r="N352" s="2" t="s">
        <v>517</v>
      </c>
      <c r="O352" s="2"/>
      <c r="P352" s="2"/>
    </row>
    <row r="353" spans="1:16" ht="16.5" customHeight="1" x14ac:dyDescent="0.25">
      <c r="A353" s="2" t="s">
        <v>678</v>
      </c>
      <c r="B353" s="2" t="s">
        <v>12760</v>
      </c>
      <c r="C353" s="8"/>
      <c r="D353" s="8" t="s">
        <v>278</v>
      </c>
      <c r="E353" s="150" t="s">
        <v>83</v>
      </c>
      <c r="F353" s="151" t="s">
        <v>56</v>
      </c>
      <c r="G353" s="152">
        <v>0</v>
      </c>
      <c r="H353" s="152"/>
      <c r="I353" s="153">
        <v>49.69</v>
      </c>
      <c r="J353" s="145">
        <v>352</v>
      </c>
      <c r="K353" s="153" t="s">
        <v>86</v>
      </c>
      <c r="L353" s="153" t="s">
        <v>86</v>
      </c>
      <c r="M353" s="153"/>
      <c r="N353" s="2" t="s">
        <v>517</v>
      </c>
      <c r="O353" s="2"/>
      <c r="P353" s="2"/>
    </row>
    <row r="354" spans="1:16" ht="16.5" customHeight="1" x14ac:dyDescent="0.25">
      <c r="A354" s="2" t="s">
        <v>679</v>
      </c>
      <c r="B354" s="2" t="s">
        <v>12794</v>
      </c>
      <c r="C354" s="8"/>
      <c r="D354" s="8" t="s">
        <v>278</v>
      </c>
      <c r="E354" s="150" t="s">
        <v>92</v>
      </c>
      <c r="F354" s="151" t="s">
        <v>56</v>
      </c>
      <c r="G354" s="152">
        <v>0</v>
      </c>
      <c r="H354" s="152"/>
      <c r="I354" s="153">
        <v>39.81</v>
      </c>
      <c r="J354" s="145">
        <v>353</v>
      </c>
      <c r="K354" s="153">
        <v>-9.907</v>
      </c>
      <c r="L354" s="153" t="s">
        <v>86</v>
      </c>
      <c r="M354" s="153"/>
      <c r="N354" s="2" t="s">
        <v>517</v>
      </c>
      <c r="O354" s="2"/>
      <c r="P354" s="2"/>
    </row>
    <row r="355" spans="1:16" ht="16.5" customHeight="1" x14ac:dyDescent="0.25">
      <c r="A355" s="2" t="s">
        <v>680</v>
      </c>
      <c r="B355" s="2" t="s">
        <v>12795</v>
      </c>
      <c r="C355" s="8"/>
      <c r="D355" s="8" t="s">
        <v>278</v>
      </c>
      <c r="E355" s="150" t="s">
        <v>92</v>
      </c>
      <c r="F355" s="151" t="s">
        <v>56</v>
      </c>
      <c r="G355" s="152">
        <v>0</v>
      </c>
      <c r="H355" s="152"/>
      <c r="I355" s="153">
        <v>54.02</v>
      </c>
      <c r="J355" s="145">
        <v>354</v>
      </c>
      <c r="K355" s="153">
        <v>-18.7395</v>
      </c>
      <c r="L355" s="153" t="s">
        <v>86</v>
      </c>
      <c r="M355" s="153"/>
      <c r="N355" s="2" t="s">
        <v>517</v>
      </c>
      <c r="O355" s="2"/>
      <c r="P355" s="2"/>
    </row>
    <row r="356" spans="1:16" ht="16.5" customHeight="1" x14ac:dyDescent="0.25">
      <c r="A356" s="2" t="s">
        <v>681</v>
      </c>
      <c r="B356" s="2" t="s">
        <v>13850</v>
      </c>
      <c r="C356" s="8"/>
      <c r="D356" s="8" t="s">
        <v>278</v>
      </c>
      <c r="E356" s="150" t="s">
        <v>92</v>
      </c>
      <c r="F356" s="151" t="s">
        <v>56</v>
      </c>
      <c r="G356" s="152">
        <v>0</v>
      </c>
      <c r="H356" s="152"/>
      <c r="I356" s="153">
        <v>70.81</v>
      </c>
      <c r="J356" s="145">
        <v>355</v>
      </c>
      <c r="K356" s="153">
        <v>-30.01</v>
      </c>
      <c r="L356" s="153" t="s">
        <v>86</v>
      </c>
      <c r="M356" s="153"/>
      <c r="N356" s="2" t="s">
        <v>517</v>
      </c>
      <c r="O356" s="2"/>
      <c r="P356" s="2"/>
    </row>
    <row r="357" spans="1:16" ht="16.5" customHeight="1" x14ac:dyDescent="0.25">
      <c r="A357" s="2" t="s">
        <v>682</v>
      </c>
      <c r="B357" s="2" t="s">
        <v>13851</v>
      </c>
      <c r="C357" s="8"/>
      <c r="D357" s="8" t="s">
        <v>278</v>
      </c>
      <c r="E357" s="150" t="s">
        <v>13771</v>
      </c>
      <c r="F357" s="151" t="s">
        <v>56</v>
      </c>
      <c r="G357" s="152">
        <v>0</v>
      </c>
      <c r="H357" s="152"/>
      <c r="I357" s="153">
        <v>11.94</v>
      </c>
      <c r="J357" s="145">
        <v>356</v>
      </c>
      <c r="K357" s="153">
        <v>-5.65</v>
      </c>
      <c r="L357" s="153" t="s">
        <v>86</v>
      </c>
      <c r="M357" s="153"/>
      <c r="N357" s="2" t="s">
        <v>517</v>
      </c>
      <c r="O357" s="2"/>
      <c r="P357" s="2"/>
    </row>
    <row r="358" spans="1:16" ht="16.5" customHeight="1" x14ac:dyDescent="0.25">
      <c r="A358" s="2" t="s">
        <v>683</v>
      </c>
      <c r="B358" s="2" t="s">
        <v>13852</v>
      </c>
      <c r="C358" s="8"/>
      <c r="D358" s="8" t="s">
        <v>278</v>
      </c>
      <c r="E358" s="150" t="s">
        <v>13771</v>
      </c>
      <c r="F358" s="151" t="s">
        <v>56</v>
      </c>
      <c r="G358" s="152">
        <v>0</v>
      </c>
      <c r="H358" s="152"/>
      <c r="I358" s="153">
        <v>13.51</v>
      </c>
      <c r="J358" s="145">
        <v>357</v>
      </c>
      <c r="K358" s="153">
        <v>-6.42</v>
      </c>
      <c r="L358" s="153" t="s">
        <v>86</v>
      </c>
      <c r="M358" s="153"/>
      <c r="N358" s="2" t="s">
        <v>517</v>
      </c>
      <c r="O358" s="2"/>
      <c r="P358" s="2"/>
    </row>
    <row r="359" spans="1:16" ht="16.5" customHeight="1" x14ac:dyDescent="0.25">
      <c r="A359" s="2" t="s">
        <v>684</v>
      </c>
      <c r="B359" s="2" t="s">
        <v>13853</v>
      </c>
      <c r="C359" s="8"/>
      <c r="D359" s="8" t="s">
        <v>278</v>
      </c>
      <c r="E359" s="150" t="s">
        <v>13771</v>
      </c>
      <c r="F359" s="151" t="s">
        <v>56</v>
      </c>
      <c r="G359" s="152">
        <v>0</v>
      </c>
      <c r="H359" s="152"/>
      <c r="I359" s="153">
        <v>25.07</v>
      </c>
      <c r="J359" s="145">
        <v>358</v>
      </c>
      <c r="K359" s="153">
        <v>-25.3</v>
      </c>
      <c r="L359" s="153" t="s">
        <v>86</v>
      </c>
      <c r="M359" s="153"/>
      <c r="N359" s="2" t="s">
        <v>517</v>
      </c>
      <c r="O359" s="2"/>
      <c r="P359" s="2"/>
    </row>
    <row r="360" spans="1:16" ht="16.5" customHeight="1" x14ac:dyDescent="0.25">
      <c r="A360" s="2" t="s">
        <v>685</v>
      </c>
      <c r="B360" s="2" t="s">
        <v>12753</v>
      </c>
      <c r="C360" s="8"/>
      <c r="D360" s="8" t="s">
        <v>278</v>
      </c>
      <c r="E360" s="150" t="s">
        <v>13771</v>
      </c>
      <c r="F360" s="151" t="s">
        <v>56</v>
      </c>
      <c r="G360" s="152">
        <v>0</v>
      </c>
      <c r="H360" s="152"/>
      <c r="I360" s="153">
        <v>25.44</v>
      </c>
      <c r="J360" s="145">
        <v>359</v>
      </c>
      <c r="K360" s="153" t="s">
        <v>86</v>
      </c>
      <c r="L360" s="153" t="s">
        <v>86</v>
      </c>
      <c r="M360" s="153"/>
      <c r="N360" s="2" t="s">
        <v>517</v>
      </c>
      <c r="O360" s="2"/>
      <c r="P360" s="2"/>
    </row>
    <row r="361" spans="1:16" ht="16.5" customHeight="1" x14ac:dyDescent="0.25">
      <c r="A361" s="2" t="s">
        <v>686</v>
      </c>
      <c r="B361" s="2" t="s">
        <v>686</v>
      </c>
      <c r="C361" s="8"/>
      <c r="D361" s="8" t="s">
        <v>278</v>
      </c>
      <c r="E361" s="150" t="s">
        <v>13771</v>
      </c>
      <c r="F361" s="151" t="s">
        <v>56</v>
      </c>
      <c r="G361" s="152">
        <v>0</v>
      </c>
      <c r="H361" s="152"/>
      <c r="I361" s="153">
        <v>0</v>
      </c>
      <c r="J361" s="145">
        <v>360</v>
      </c>
      <c r="K361" s="153" t="s">
        <v>86</v>
      </c>
      <c r="L361" s="153" t="s">
        <v>86</v>
      </c>
      <c r="M361" s="153"/>
      <c r="N361" s="2" t="s">
        <v>517</v>
      </c>
      <c r="O361" s="2"/>
      <c r="P361" s="2"/>
    </row>
    <row r="362" spans="1:16" ht="16.5" customHeight="1" x14ac:dyDescent="0.25">
      <c r="A362" s="2" t="s">
        <v>687</v>
      </c>
      <c r="B362" s="2" t="s">
        <v>13539</v>
      </c>
      <c r="C362" s="8"/>
      <c r="D362" s="8" t="s">
        <v>296</v>
      </c>
      <c r="E362" s="150" t="s">
        <v>55</v>
      </c>
      <c r="F362" s="151" t="s">
        <v>56</v>
      </c>
      <c r="G362" s="152">
        <v>0</v>
      </c>
      <c r="H362" s="152"/>
      <c r="I362" s="153">
        <v>17.05</v>
      </c>
      <c r="J362" s="145">
        <v>361</v>
      </c>
      <c r="K362" s="153">
        <v>-11.55</v>
      </c>
      <c r="L362" s="153" t="s">
        <v>86</v>
      </c>
      <c r="M362" s="153"/>
      <c r="N362" s="2" t="s">
        <v>517</v>
      </c>
      <c r="O362" s="2"/>
      <c r="P362" s="2"/>
    </row>
    <row r="363" spans="1:16" ht="16.5" customHeight="1" x14ac:dyDescent="0.25">
      <c r="A363" s="2" t="s">
        <v>688</v>
      </c>
      <c r="B363" s="2" t="s">
        <v>13854</v>
      </c>
      <c r="C363" s="8"/>
      <c r="D363" s="8" t="s">
        <v>296</v>
      </c>
      <c r="E363" s="150" t="s">
        <v>55</v>
      </c>
      <c r="F363" s="151" t="s">
        <v>56</v>
      </c>
      <c r="G363" s="152">
        <v>0</v>
      </c>
      <c r="H363" s="152"/>
      <c r="I363" s="153">
        <v>16.5</v>
      </c>
      <c r="J363" s="145">
        <v>362</v>
      </c>
      <c r="K363" s="153" t="s">
        <v>86</v>
      </c>
      <c r="L363" s="153" t="s">
        <v>86</v>
      </c>
      <c r="M363" s="153"/>
      <c r="N363" s="2" t="s">
        <v>517</v>
      </c>
      <c r="O363" s="2"/>
      <c r="P363" s="2"/>
    </row>
    <row r="364" spans="1:16" ht="16.5" customHeight="1" x14ac:dyDescent="0.25">
      <c r="A364" s="2" t="s">
        <v>689</v>
      </c>
      <c r="B364" s="2" t="s">
        <v>13289</v>
      </c>
      <c r="C364" s="8" t="s">
        <v>119</v>
      </c>
      <c r="D364" s="8" t="s">
        <v>296</v>
      </c>
      <c r="E364" s="150" t="s">
        <v>83</v>
      </c>
      <c r="F364" s="151" t="s">
        <v>56</v>
      </c>
      <c r="G364" s="152">
        <v>0</v>
      </c>
      <c r="H364" s="152"/>
      <c r="I364" s="153">
        <v>50.07</v>
      </c>
      <c r="J364" s="145">
        <v>363</v>
      </c>
      <c r="K364" s="153">
        <v>-11.55</v>
      </c>
      <c r="L364" s="153" t="s">
        <v>86</v>
      </c>
      <c r="M364" s="153"/>
      <c r="N364" s="2" t="s">
        <v>517</v>
      </c>
      <c r="O364" s="2"/>
      <c r="P364" s="2"/>
    </row>
    <row r="365" spans="1:16" ht="16.5" customHeight="1" x14ac:dyDescent="0.25">
      <c r="A365" s="2" t="s">
        <v>690</v>
      </c>
      <c r="B365" s="2" t="s">
        <v>13855</v>
      </c>
      <c r="C365" s="8" t="s">
        <v>119</v>
      </c>
      <c r="D365" s="8" t="s">
        <v>296</v>
      </c>
      <c r="E365" s="150" t="s">
        <v>83</v>
      </c>
      <c r="F365" s="151" t="s">
        <v>56</v>
      </c>
      <c r="G365" s="152">
        <v>0</v>
      </c>
      <c r="H365" s="152"/>
      <c r="I365" s="153">
        <v>92.73</v>
      </c>
      <c r="J365" s="145">
        <v>364</v>
      </c>
      <c r="K365" s="153">
        <v>-11.55</v>
      </c>
      <c r="L365" s="153" t="s">
        <v>86</v>
      </c>
      <c r="M365" s="153"/>
      <c r="N365" s="2" t="s">
        <v>517</v>
      </c>
      <c r="O365" s="2"/>
      <c r="P365" s="2"/>
    </row>
    <row r="366" spans="1:16" ht="16.5" customHeight="1" x14ac:dyDescent="0.25">
      <c r="A366" s="2" t="s">
        <v>691</v>
      </c>
      <c r="B366" s="2" t="s">
        <v>13856</v>
      </c>
      <c r="C366" s="8" t="s">
        <v>119</v>
      </c>
      <c r="D366" s="8" t="s">
        <v>296</v>
      </c>
      <c r="E366" s="150" t="s">
        <v>83</v>
      </c>
      <c r="F366" s="151" t="s">
        <v>56</v>
      </c>
      <c r="G366" s="152">
        <v>0</v>
      </c>
      <c r="H366" s="152"/>
      <c r="I366" s="153">
        <v>25.55</v>
      </c>
      <c r="J366" s="145">
        <v>365</v>
      </c>
      <c r="K366" s="153">
        <v>-4.2</v>
      </c>
      <c r="L366" s="153" t="s">
        <v>86</v>
      </c>
      <c r="M366" s="153"/>
      <c r="N366" s="2" t="s">
        <v>517</v>
      </c>
      <c r="O366" s="2"/>
      <c r="P366" s="2"/>
    </row>
    <row r="367" spans="1:16" ht="16.5" customHeight="1" x14ac:dyDescent="0.25">
      <c r="A367" s="2" t="s">
        <v>692</v>
      </c>
      <c r="B367" s="2" t="s">
        <v>13857</v>
      </c>
      <c r="C367" s="8" t="s">
        <v>119</v>
      </c>
      <c r="D367" s="8" t="s">
        <v>296</v>
      </c>
      <c r="E367" s="150" t="s">
        <v>83</v>
      </c>
      <c r="F367" s="151" t="s">
        <v>56</v>
      </c>
      <c r="G367" s="152">
        <v>0</v>
      </c>
      <c r="H367" s="152"/>
      <c r="I367" s="153">
        <v>30.37</v>
      </c>
      <c r="J367" s="145">
        <v>366</v>
      </c>
      <c r="K367" s="153">
        <v>-5.15</v>
      </c>
      <c r="L367" s="153" t="s">
        <v>86</v>
      </c>
      <c r="M367" s="153"/>
      <c r="N367" s="2" t="s">
        <v>517</v>
      </c>
      <c r="O367" s="2"/>
      <c r="P367" s="2"/>
    </row>
    <row r="368" spans="1:16" ht="16.5" customHeight="1" x14ac:dyDescent="0.25">
      <c r="A368" s="2" t="s">
        <v>693</v>
      </c>
      <c r="B368" s="2" t="s">
        <v>13858</v>
      </c>
      <c r="C368" s="8" t="s">
        <v>119</v>
      </c>
      <c r="D368" s="8" t="s">
        <v>296</v>
      </c>
      <c r="E368" s="150" t="s">
        <v>83</v>
      </c>
      <c r="F368" s="151" t="s">
        <v>56</v>
      </c>
      <c r="G368" s="152">
        <v>0</v>
      </c>
      <c r="H368" s="152"/>
      <c r="I368" s="153">
        <v>39.68</v>
      </c>
      <c r="J368" s="145">
        <v>367</v>
      </c>
      <c r="K368" s="153">
        <v>-5.74</v>
      </c>
      <c r="L368" s="153" t="s">
        <v>86</v>
      </c>
      <c r="M368" s="153"/>
      <c r="N368" s="2" t="s">
        <v>517</v>
      </c>
      <c r="O368" s="2"/>
      <c r="P368" s="2"/>
    </row>
    <row r="369" spans="1:16" ht="16.5" customHeight="1" x14ac:dyDescent="0.25">
      <c r="A369" s="2" t="s">
        <v>694</v>
      </c>
      <c r="B369" s="8" t="s">
        <v>13859</v>
      </c>
      <c r="C369" s="8"/>
      <c r="D369" s="8" t="s">
        <v>278</v>
      </c>
      <c r="E369" s="150" t="s">
        <v>92</v>
      </c>
      <c r="F369" s="151" t="s">
        <v>56</v>
      </c>
      <c r="G369" s="152">
        <v>0</v>
      </c>
      <c r="H369" s="152"/>
      <c r="I369" s="153">
        <v>36.299999999999997</v>
      </c>
      <c r="J369" s="145">
        <v>368</v>
      </c>
      <c r="K369" s="153" t="s">
        <v>86</v>
      </c>
      <c r="L369" s="153" t="s">
        <v>86</v>
      </c>
      <c r="M369" s="153"/>
      <c r="N369" s="2" t="s">
        <v>517</v>
      </c>
      <c r="O369" s="2"/>
      <c r="P369" s="2"/>
    </row>
    <row r="370" spans="1:16" ht="16.5" customHeight="1" x14ac:dyDescent="0.25">
      <c r="A370" s="2" t="s">
        <v>695</v>
      </c>
      <c r="B370" s="8" t="s">
        <v>13860</v>
      </c>
      <c r="C370" s="8"/>
      <c r="D370" s="8" t="s">
        <v>278</v>
      </c>
      <c r="E370" s="150" t="s">
        <v>92</v>
      </c>
      <c r="F370" s="151" t="s">
        <v>56</v>
      </c>
      <c r="G370" s="152">
        <v>0</v>
      </c>
      <c r="H370" s="152"/>
      <c r="I370" s="153">
        <v>47.3</v>
      </c>
      <c r="J370" s="145">
        <v>369</v>
      </c>
      <c r="K370" s="153" t="s">
        <v>86</v>
      </c>
      <c r="L370" s="153" t="s">
        <v>86</v>
      </c>
      <c r="M370" s="153"/>
      <c r="N370" s="2" t="s">
        <v>517</v>
      </c>
      <c r="O370" s="2"/>
      <c r="P370" s="2"/>
    </row>
    <row r="371" spans="1:16" ht="16.5" customHeight="1" x14ac:dyDescent="0.25">
      <c r="A371" s="2" t="s">
        <v>696</v>
      </c>
      <c r="B371" s="8" t="s">
        <v>13861</v>
      </c>
      <c r="C371" s="8"/>
      <c r="D371" s="8" t="s">
        <v>278</v>
      </c>
      <c r="E371" s="150" t="s">
        <v>92</v>
      </c>
      <c r="F371" s="151" t="s">
        <v>56</v>
      </c>
      <c r="G371" s="152">
        <v>0</v>
      </c>
      <c r="H371" s="152"/>
      <c r="I371" s="153">
        <v>39.6</v>
      </c>
      <c r="J371" s="145">
        <v>370</v>
      </c>
      <c r="K371" s="153" t="s">
        <v>86</v>
      </c>
      <c r="L371" s="153" t="s">
        <v>86</v>
      </c>
      <c r="M371" s="153"/>
      <c r="N371" s="2" t="s">
        <v>517</v>
      </c>
      <c r="O371" s="2"/>
      <c r="P371" s="2"/>
    </row>
    <row r="372" spans="1:16" ht="16.5" customHeight="1" x14ac:dyDescent="0.25">
      <c r="A372" s="2" t="s">
        <v>697</v>
      </c>
      <c r="B372" s="8" t="s">
        <v>697</v>
      </c>
      <c r="C372" s="8"/>
      <c r="D372" s="8" t="s">
        <v>278</v>
      </c>
      <c r="E372" s="150" t="s">
        <v>92</v>
      </c>
      <c r="F372" s="151" t="s">
        <v>56</v>
      </c>
      <c r="G372" s="152">
        <v>0</v>
      </c>
      <c r="H372" s="152"/>
      <c r="I372" s="153">
        <v>0</v>
      </c>
      <c r="J372" s="145">
        <v>371</v>
      </c>
      <c r="K372" s="153" t="s">
        <v>86</v>
      </c>
      <c r="L372" s="153" t="s">
        <v>86</v>
      </c>
      <c r="M372" s="153"/>
      <c r="N372" s="2" t="s">
        <v>517</v>
      </c>
      <c r="O372" s="2"/>
      <c r="P372" s="2"/>
    </row>
    <row r="373" spans="1:16" ht="16.5" customHeight="1" x14ac:dyDescent="0.25">
      <c r="A373" s="2" t="s">
        <v>698</v>
      </c>
      <c r="B373" s="8" t="s">
        <v>13862</v>
      </c>
      <c r="C373" s="8"/>
      <c r="D373" s="8" t="s">
        <v>296</v>
      </c>
      <c r="E373" s="150" t="s">
        <v>13771</v>
      </c>
      <c r="F373" s="151" t="s">
        <v>56</v>
      </c>
      <c r="G373" s="152">
        <v>0</v>
      </c>
      <c r="H373" s="152"/>
      <c r="I373" s="153">
        <v>7.7</v>
      </c>
      <c r="J373" s="145">
        <v>372</v>
      </c>
      <c r="K373" s="153" t="s">
        <v>86</v>
      </c>
      <c r="L373" s="153" t="s">
        <v>86</v>
      </c>
      <c r="M373" s="153"/>
      <c r="N373" s="2" t="s">
        <v>517</v>
      </c>
      <c r="O373" s="2"/>
      <c r="P373" s="2"/>
    </row>
    <row r="374" spans="1:16" ht="16.5" customHeight="1" x14ac:dyDescent="0.25">
      <c r="A374" s="2" t="s">
        <v>699</v>
      </c>
      <c r="B374" s="8" t="s">
        <v>13863</v>
      </c>
      <c r="C374" s="8"/>
      <c r="D374" s="8" t="s">
        <v>296</v>
      </c>
      <c r="E374" s="150" t="s">
        <v>13771</v>
      </c>
      <c r="F374" s="151" t="s">
        <v>56</v>
      </c>
      <c r="G374" s="152">
        <v>0</v>
      </c>
      <c r="H374" s="152"/>
      <c r="I374" s="153">
        <v>37.4</v>
      </c>
      <c r="J374" s="145">
        <v>373</v>
      </c>
      <c r="K374" s="153" t="s">
        <v>86</v>
      </c>
      <c r="L374" s="153" t="s">
        <v>86</v>
      </c>
      <c r="M374" s="153"/>
      <c r="N374" s="2" t="s">
        <v>517</v>
      </c>
      <c r="O374" s="2"/>
      <c r="P374" s="2"/>
    </row>
    <row r="375" spans="1:16" ht="16.5" customHeight="1" x14ac:dyDescent="0.25">
      <c r="A375" s="2" t="s">
        <v>700</v>
      </c>
      <c r="B375" s="8" t="s">
        <v>13864</v>
      </c>
      <c r="C375" s="8"/>
      <c r="D375" s="8" t="s">
        <v>296</v>
      </c>
      <c r="E375" s="150" t="s">
        <v>13771</v>
      </c>
      <c r="F375" s="151" t="s">
        <v>56</v>
      </c>
      <c r="G375" s="152">
        <v>0</v>
      </c>
      <c r="H375" s="152"/>
      <c r="I375" s="153">
        <v>70.400000000000006</v>
      </c>
      <c r="J375" s="145">
        <v>374</v>
      </c>
      <c r="K375" s="153" t="s">
        <v>86</v>
      </c>
      <c r="L375" s="153" t="s">
        <v>86</v>
      </c>
      <c r="M375" s="153"/>
      <c r="N375" s="2" t="s">
        <v>517</v>
      </c>
      <c r="O375" s="2"/>
      <c r="P375" s="2"/>
    </row>
    <row r="376" spans="1:16" ht="16.5" customHeight="1" x14ac:dyDescent="0.25">
      <c r="A376" s="2" t="s">
        <v>701</v>
      </c>
      <c r="B376" s="8" t="s">
        <v>13865</v>
      </c>
      <c r="C376" s="8"/>
      <c r="D376" s="8" t="s">
        <v>296</v>
      </c>
      <c r="E376" s="150" t="s">
        <v>13771</v>
      </c>
      <c r="F376" s="151" t="s">
        <v>56</v>
      </c>
      <c r="G376" s="152">
        <v>0</v>
      </c>
      <c r="H376" s="152"/>
      <c r="I376" s="153">
        <v>57.2</v>
      </c>
      <c r="J376" s="145">
        <v>375</v>
      </c>
      <c r="K376" s="153" t="s">
        <v>86</v>
      </c>
      <c r="L376" s="153" t="s">
        <v>86</v>
      </c>
      <c r="M376" s="153"/>
      <c r="N376" s="2" t="s">
        <v>517</v>
      </c>
      <c r="O376" s="2"/>
      <c r="P376" s="2"/>
    </row>
    <row r="377" spans="1:16" ht="16.5" customHeight="1" x14ac:dyDescent="0.25">
      <c r="A377" s="2" t="s">
        <v>702</v>
      </c>
      <c r="B377" s="8" t="s">
        <v>13866</v>
      </c>
      <c r="C377" s="8"/>
      <c r="D377" s="8" t="s">
        <v>296</v>
      </c>
      <c r="E377" s="150" t="s">
        <v>13771</v>
      </c>
      <c r="F377" s="151" t="s">
        <v>56</v>
      </c>
      <c r="G377" s="152">
        <v>0</v>
      </c>
      <c r="H377" s="152"/>
      <c r="I377" s="153">
        <v>9.9</v>
      </c>
      <c r="J377" s="145">
        <v>376</v>
      </c>
      <c r="K377" s="153" t="s">
        <v>86</v>
      </c>
      <c r="L377" s="153" t="s">
        <v>86</v>
      </c>
      <c r="M377" s="153"/>
      <c r="N377" s="2" t="s">
        <v>517</v>
      </c>
      <c r="O377" s="2"/>
      <c r="P377" s="2"/>
    </row>
    <row r="378" spans="1:16" ht="16.5" customHeight="1" x14ac:dyDescent="0.25">
      <c r="A378" s="2" t="s">
        <v>703</v>
      </c>
      <c r="B378" s="8" t="s">
        <v>13867</v>
      </c>
      <c r="C378" s="8"/>
      <c r="D378" s="8" t="s">
        <v>296</v>
      </c>
      <c r="E378" s="150" t="s">
        <v>13771</v>
      </c>
      <c r="F378" s="151" t="s">
        <v>56</v>
      </c>
      <c r="G378" s="152">
        <v>0</v>
      </c>
      <c r="H378" s="152"/>
      <c r="I378" s="153">
        <v>51.7</v>
      </c>
      <c r="J378" s="145">
        <v>377</v>
      </c>
      <c r="K378" s="153" t="s">
        <v>86</v>
      </c>
      <c r="L378" s="153" t="s">
        <v>86</v>
      </c>
      <c r="M378" s="153"/>
      <c r="N378" s="2" t="s">
        <v>517</v>
      </c>
      <c r="O378" s="2"/>
      <c r="P378" s="2"/>
    </row>
    <row r="379" spans="1:16" ht="16.5" customHeight="1" x14ac:dyDescent="0.25">
      <c r="A379" s="142" t="s">
        <v>704</v>
      </c>
      <c r="B379" s="142" t="s">
        <v>13868</v>
      </c>
      <c r="C379" s="8" t="s">
        <v>119</v>
      </c>
      <c r="D379" s="142" t="s">
        <v>705</v>
      </c>
      <c r="E379" s="150" t="s">
        <v>83</v>
      </c>
      <c r="F379" s="151" t="s">
        <v>56</v>
      </c>
      <c r="G379" s="152">
        <v>0</v>
      </c>
      <c r="H379" s="152"/>
      <c r="I379" s="153">
        <v>9.9</v>
      </c>
      <c r="J379" s="145">
        <v>378</v>
      </c>
      <c r="K379" s="153">
        <v>-3.39</v>
      </c>
      <c r="L379" s="153" t="s">
        <v>86</v>
      </c>
      <c r="M379" s="153"/>
      <c r="N379" s="2" t="s">
        <v>517</v>
      </c>
      <c r="O379" s="2"/>
      <c r="P379" s="2"/>
    </row>
    <row r="380" spans="1:16" ht="16.5" customHeight="1" x14ac:dyDescent="0.25">
      <c r="A380" s="142" t="s">
        <v>706</v>
      </c>
      <c r="B380" s="142" t="s">
        <v>13869</v>
      </c>
      <c r="C380" s="8" t="s">
        <v>119</v>
      </c>
      <c r="D380" s="142" t="s">
        <v>705</v>
      </c>
      <c r="E380" s="150" t="s">
        <v>83</v>
      </c>
      <c r="F380" s="151" t="s">
        <v>56</v>
      </c>
      <c r="G380" s="152">
        <v>0</v>
      </c>
      <c r="H380" s="152"/>
      <c r="I380" s="153">
        <v>9.9</v>
      </c>
      <c r="J380" s="145">
        <v>379</v>
      </c>
      <c r="K380" s="153">
        <v>-3.44</v>
      </c>
      <c r="L380" s="153" t="s">
        <v>86</v>
      </c>
      <c r="M380" s="153"/>
      <c r="N380" s="2" t="s">
        <v>517</v>
      </c>
      <c r="O380" s="2"/>
      <c r="P380" s="2"/>
    </row>
    <row r="381" spans="1:16" ht="16.5" customHeight="1" x14ac:dyDescent="0.25">
      <c r="A381" s="142" t="s">
        <v>707</v>
      </c>
      <c r="B381" s="142" t="s">
        <v>13870</v>
      </c>
      <c r="C381" s="8" t="s">
        <v>119</v>
      </c>
      <c r="D381" s="142" t="s">
        <v>705</v>
      </c>
      <c r="E381" s="150" t="s">
        <v>83</v>
      </c>
      <c r="F381" s="151" t="s">
        <v>56</v>
      </c>
      <c r="G381" s="152">
        <v>0</v>
      </c>
      <c r="H381" s="152"/>
      <c r="I381" s="153">
        <v>8.8000000000000007</v>
      </c>
      <c r="J381" s="145">
        <v>380</v>
      </c>
      <c r="K381" s="153">
        <v>-2.96</v>
      </c>
      <c r="L381" s="153" t="s">
        <v>86</v>
      </c>
      <c r="M381" s="153"/>
      <c r="N381" s="2" t="s">
        <v>517</v>
      </c>
      <c r="O381" s="2"/>
      <c r="P381" s="2"/>
    </row>
    <row r="382" spans="1:16" ht="16.5" customHeight="1" x14ac:dyDescent="0.25">
      <c r="A382" s="142" t="s">
        <v>708</v>
      </c>
      <c r="B382" s="142" t="s">
        <v>12770</v>
      </c>
      <c r="C382" s="8" t="s">
        <v>119</v>
      </c>
      <c r="D382" s="142" t="s">
        <v>705</v>
      </c>
      <c r="E382" s="150" t="s">
        <v>83</v>
      </c>
      <c r="F382" s="151" t="s">
        <v>56</v>
      </c>
      <c r="G382" s="152">
        <v>0</v>
      </c>
      <c r="H382" s="152"/>
      <c r="I382" s="153">
        <v>13.2</v>
      </c>
      <c r="J382" s="145">
        <v>381</v>
      </c>
      <c r="K382" s="153">
        <v>-7.73</v>
      </c>
      <c r="L382" s="153" t="s">
        <v>86</v>
      </c>
      <c r="M382" s="153"/>
      <c r="N382" s="2" t="s">
        <v>517</v>
      </c>
      <c r="O382" s="2"/>
      <c r="P382" s="2"/>
    </row>
    <row r="383" spans="1:16" ht="16.5" customHeight="1" x14ac:dyDescent="0.25">
      <c r="A383" s="142" t="s">
        <v>709</v>
      </c>
      <c r="B383" s="142" t="s">
        <v>13871</v>
      </c>
      <c r="C383" s="8" t="s">
        <v>119</v>
      </c>
      <c r="D383" s="142" t="s">
        <v>705</v>
      </c>
      <c r="E383" s="150" t="s">
        <v>83</v>
      </c>
      <c r="F383" s="151" t="s">
        <v>56</v>
      </c>
      <c r="G383" s="152">
        <v>0</v>
      </c>
      <c r="H383" s="152"/>
      <c r="I383" s="153">
        <v>9.9</v>
      </c>
      <c r="J383" s="145">
        <v>382</v>
      </c>
      <c r="K383" s="153">
        <v>-7.47</v>
      </c>
      <c r="L383" s="153" t="s">
        <v>86</v>
      </c>
      <c r="M383" s="153"/>
      <c r="N383" s="2" t="s">
        <v>517</v>
      </c>
      <c r="O383" s="2"/>
      <c r="P383" s="2"/>
    </row>
    <row r="384" spans="1:16" ht="16.5" customHeight="1" x14ac:dyDescent="0.25">
      <c r="A384" s="142" t="s">
        <v>710</v>
      </c>
      <c r="B384" s="142" t="s">
        <v>13872</v>
      </c>
      <c r="C384" s="8"/>
      <c r="D384" s="142" t="s">
        <v>296</v>
      </c>
      <c r="E384" s="150" t="s">
        <v>13771</v>
      </c>
      <c r="F384" s="151" t="s">
        <v>56</v>
      </c>
      <c r="G384" s="152">
        <v>0</v>
      </c>
      <c r="H384" s="152"/>
      <c r="I384" s="153">
        <v>7.7</v>
      </c>
      <c r="J384" s="145">
        <v>383</v>
      </c>
      <c r="K384" s="153" t="s">
        <v>86</v>
      </c>
      <c r="L384" s="153" t="s">
        <v>86</v>
      </c>
      <c r="M384" s="153"/>
      <c r="N384" s="2" t="s">
        <v>517</v>
      </c>
      <c r="O384" s="2"/>
      <c r="P384" s="2"/>
    </row>
    <row r="385" spans="1:16" ht="16.5" customHeight="1" x14ac:dyDescent="0.25">
      <c r="A385" s="142" t="s">
        <v>711</v>
      </c>
      <c r="B385" s="142" t="s">
        <v>13873</v>
      </c>
      <c r="C385" s="8"/>
      <c r="D385" s="142" t="s">
        <v>296</v>
      </c>
      <c r="E385" s="150" t="s">
        <v>13771</v>
      </c>
      <c r="F385" s="151" t="s">
        <v>56</v>
      </c>
      <c r="G385" s="152">
        <v>0</v>
      </c>
      <c r="H385" s="152"/>
      <c r="I385" s="153">
        <v>7.7</v>
      </c>
      <c r="J385" s="145">
        <v>384</v>
      </c>
      <c r="K385" s="153" t="s">
        <v>86</v>
      </c>
      <c r="L385" s="153" t="s">
        <v>86</v>
      </c>
      <c r="M385" s="153"/>
      <c r="N385" s="2" t="s">
        <v>517</v>
      </c>
      <c r="O385" s="2"/>
      <c r="P385" s="2"/>
    </row>
    <row r="386" spans="1:16" ht="16.5" customHeight="1" x14ac:dyDescent="0.25">
      <c r="A386" s="142" t="s">
        <v>1239</v>
      </c>
      <c r="B386" s="142" t="s">
        <v>1239</v>
      </c>
      <c r="C386" s="142"/>
      <c r="D386" s="142" t="s">
        <v>278</v>
      </c>
      <c r="E386" s="150" t="s">
        <v>13772</v>
      </c>
      <c r="F386" s="151" t="s">
        <v>103</v>
      </c>
      <c r="G386" s="152">
        <v>0</v>
      </c>
      <c r="H386" s="150"/>
      <c r="I386" s="159" t="s">
        <v>13695</v>
      </c>
      <c r="J386" s="160">
        <v>385</v>
      </c>
      <c r="K386" s="159"/>
      <c r="L386" s="159"/>
      <c r="M386" s="159"/>
      <c r="N386" s="158"/>
      <c r="O386" s="158"/>
      <c r="P386" s="158"/>
    </row>
    <row r="387" spans="1:16" ht="16.5" customHeight="1" x14ac:dyDescent="0.25">
      <c r="A387" s="142" t="s">
        <v>2042</v>
      </c>
      <c r="B387" s="142" t="s">
        <v>2042</v>
      </c>
      <c r="C387" s="142"/>
      <c r="D387" s="142" t="s">
        <v>278</v>
      </c>
      <c r="E387" s="150" t="s">
        <v>86</v>
      </c>
      <c r="F387" s="151" t="s">
        <v>86</v>
      </c>
      <c r="G387" s="152">
        <v>0</v>
      </c>
      <c r="H387" s="150"/>
      <c r="I387" s="159" t="s">
        <v>13695</v>
      </c>
      <c r="J387" s="160">
        <v>386</v>
      </c>
      <c r="K387" s="159"/>
      <c r="L387" s="159"/>
      <c r="M387" s="159"/>
      <c r="N387" s="158"/>
      <c r="O387" s="158"/>
      <c r="P387" s="158"/>
    </row>
    <row r="388" spans="1:16" ht="16.5" customHeight="1" x14ac:dyDescent="0.25">
      <c r="A388" s="142" t="s">
        <v>1453</v>
      </c>
      <c r="B388" s="142" t="s">
        <v>1453</v>
      </c>
      <c r="C388" s="142"/>
      <c r="D388" s="142" t="s">
        <v>278</v>
      </c>
      <c r="E388" s="150" t="s">
        <v>511</v>
      </c>
      <c r="F388" s="151" t="s">
        <v>103</v>
      </c>
      <c r="G388" s="152">
        <v>0</v>
      </c>
      <c r="H388" s="150"/>
      <c r="I388" s="159" t="s">
        <v>13695</v>
      </c>
      <c r="J388" s="160">
        <v>387</v>
      </c>
      <c r="K388" s="159"/>
      <c r="L388" s="159"/>
      <c r="M388" s="159"/>
      <c r="N388" s="158"/>
      <c r="O388" s="158"/>
      <c r="P388" s="158"/>
    </row>
    <row r="389" spans="1:16" ht="16.5" customHeight="1" x14ac:dyDescent="0.25">
      <c r="A389" s="142" t="s">
        <v>2226</v>
      </c>
      <c r="B389" s="142" t="s">
        <v>2226</v>
      </c>
      <c r="C389" s="142"/>
      <c r="D389" s="142" t="s">
        <v>278</v>
      </c>
      <c r="E389" s="150" t="s">
        <v>86</v>
      </c>
      <c r="F389" s="151" t="s">
        <v>86</v>
      </c>
      <c r="G389" s="152">
        <v>0</v>
      </c>
      <c r="H389" s="150"/>
      <c r="I389" s="159" t="s">
        <v>13695</v>
      </c>
      <c r="J389" s="160">
        <v>388</v>
      </c>
      <c r="K389" s="159"/>
      <c r="L389" s="159"/>
      <c r="M389" s="159"/>
      <c r="N389" s="158"/>
      <c r="O389" s="158"/>
      <c r="P389" s="158"/>
    </row>
    <row r="390" spans="1:16" ht="16.5" customHeight="1" x14ac:dyDescent="0.25">
      <c r="A390" s="142" t="s">
        <v>2229</v>
      </c>
      <c r="B390" s="142" t="s">
        <v>2229</v>
      </c>
      <c r="C390" s="142"/>
      <c r="D390" s="142" t="s">
        <v>278</v>
      </c>
      <c r="E390" s="150" t="s">
        <v>86</v>
      </c>
      <c r="F390" s="151" t="s">
        <v>86</v>
      </c>
      <c r="G390" s="152">
        <v>0</v>
      </c>
      <c r="H390" s="150"/>
      <c r="I390" s="159" t="s">
        <v>13695</v>
      </c>
      <c r="J390" s="160">
        <v>389</v>
      </c>
      <c r="K390" s="159"/>
      <c r="L390" s="159"/>
      <c r="M390" s="159"/>
      <c r="N390" s="158"/>
      <c r="O390" s="158"/>
      <c r="P390" s="158"/>
    </row>
    <row r="391" spans="1:16" ht="16.5" customHeight="1" x14ac:dyDescent="0.25">
      <c r="A391" s="2" t="s">
        <v>712</v>
      </c>
      <c r="B391" s="8" t="s">
        <v>713</v>
      </c>
      <c r="C391" s="8" t="s">
        <v>714</v>
      </c>
      <c r="D391" s="8" t="s">
        <v>110</v>
      </c>
      <c r="E391" s="150" t="s">
        <v>563</v>
      </c>
      <c r="F391" s="151" t="s">
        <v>103</v>
      </c>
      <c r="G391" s="152">
        <v>3</v>
      </c>
      <c r="H391" s="152">
        <v>471</v>
      </c>
      <c r="I391" s="153">
        <v>2.23</v>
      </c>
      <c r="J391" s="145" t="s">
        <v>715</v>
      </c>
      <c r="K391" s="153" t="s">
        <v>86</v>
      </c>
      <c r="L391" s="153" t="s">
        <v>86</v>
      </c>
      <c r="M391" s="153"/>
      <c r="N391" s="2" t="s">
        <v>57</v>
      </c>
      <c r="O391" s="2"/>
      <c r="P391" s="2"/>
    </row>
    <row r="392" spans="1:16" ht="16.5" customHeight="1" x14ac:dyDescent="0.25">
      <c r="A392" s="2" t="s">
        <v>716</v>
      </c>
      <c r="B392" s="8" t="s">
        <v>717</v>
      </c>
      <c r="C392" s="8" t="s">
        <v>718</v>
      </c>
      <c r="D392" s="8" t="s">
        <v>110</v>
      </c>
      <c r="E392" s="150" t="s">
        <v>563</v>
      </c>
      <c r="F392" s="151" t="s">
        <v>103</v>
      </c>
      <c r="G392" s="152">
        <v>7</v>
      </c>
      <c r="H392" s="152">
        <v>259</v>
      </c>
      <c r="I392" s="153">
        <v>12.97</v>
      </c>
      <c r="J392" s="145" t="s">
        <v>719</v>
      </c>
      <c r="K392" s="153">
        <v>-1.902857142857143</v>
      </c>
      <c r="L392" s="153" t="s">
        <v>86</v>
      </c>
      <c r="M392" s="153"/>
      <c r="N392" s="2" t="s">
        <v>57</v>
      </c>
      <c r="O392" s="2"/>
      <c r="P392" s="10"/>
    </row>
    <row r="393" spans="1:16" ht="16.5" customHeight="1" x14ac:dyDescent="0.25">
      <c r="A393" s="2" t="s">
        <v>720</v>
      </c>
      <c r="B393" s="8" t="s">
        <v>721</v>
      </c>
      <c r="C393" s="8" t="s">
        <v>718</v>
      </c>
      <c r="D393" s="8" t="s">
        <v>110</v>
      </c>
      <c r="E393" s="150" t="s">
        <v>563</v>
      </c>
      <c r="F393" s="151" t="s">
        <v>103</v>
      </c>
      <c r="G393" s="152">
        <v>7</v>
      </c>
      <c r="H393" s="152">
        <v>168</v>
      </c>
      <c r="I393" s="153">
        <v>20</v>
      </c>
      <c r="J393" s="145" t="s">
        <v>722</v>
      </c>
      <c r="K393" s="153">
        <v>-3.0637500000000002</v>
      </c>
      <c r="L393" s="153" t="s">
        <v>86</v>
      </c>
      <c r="M393" s="153"/>
      <c r="N393" s="2" t="s">
        <v>57</v>
      </c>
      <c r="O393" s="2"/>
      <c r="P393" s="10"/>
    </row>
    <row r="394" spans="1:16" ht="16.5" customHeight="1" x14ac:dyDescent="0.25">
      <c r="A394" s="2" t="s">
        <v>723</v>
      </c>
      <c r="B394" s="8" t="s">
        <v>724</v>
      </c>
      <c r="C394" s="8" t="s">
        <v>725</v>
      </c>
      <c r="D394" s="8" t="s">
        <v>120</v>
      </c>
      <c r="E394" s="150" t="s">
        <v>13772</v>
      </c>
      <c r="F394" s="151" t="s">
        <v>103</v>
      </c>
      <c r="G394" s="152">
        <v>1</v>
      </c>
      <c r="H394" s="152">
        <v>649</v>
      </c>
      <c r="I394" s="153">
        <v>59.999999999999993</v>
      </c>
      <c r="J394" s="145" t="s">
        <v>726</v>
      </c>
      <c r="K394" s="153">
        <v>-11.13111111111111</v>
      </c>
      <c r="L394" s="153">
        <v>-4.5323888480823404</v>
      </c>
      <c r="M394" s="153"/>
      <c r="N394" s="2" t="s">
        <v>57</v>
      </c>
      <c r="O394" s="2" t="s">
        <v>552</v>
      </c>
      <c r="P394" s="2" t="s">
        <v>51</v>
      </c>
    </row>
    <row r="395" spans="1:16" ht="16.5" customHeight="1" x14ac:dyDescent="0.25">
      <c r="A395" s="2" t="s">
        <v>727</v>
      </c>
      <c r="B395" s="8" t="s">
        <v>728</v>
      </c>
      <c r="C395" s="8" t="s">
        <v>101</v>
      </c>
      <c r="D395" s="8" t="s">
        <v>132</v>
      </c>
      <c r="E395" s="150" t="s">
        <v>139</v>
      </c>
      <c r="F395" s="151" t="s">
        <v>103</v>
      </c>
      <c r="G395" s="152">
        <v>3</v>
      </c>
      <c r="H395" s="152">
        <v>260</v>
      </c>
      <c r="I395" s="153">
        <v>26.95</v>
      </c>
      <c r="J395" s="145" t="s">
        <v>729</v>
      </c>
      <c r="K395" s="153">
        <v>-13.13916666666667</v>
      </c>
      <c r="L395" s="153" t="s">
        <v>86</v>
      </c>
      <c r="M395" s="153"/>
      <c r="N395" s="2" t="s">
        <v>57</v>
      </c>
      <c r="O395" s="2"/>
      <c r="P395" s="10"/>
    </row>
    <row r="396" spans="1:16" ht="16.5" customHeight="1" x14ac:dyDescent="0.25">
      <c r="A396" s="2" t="s">
        <v>730</v>
      </c>
      <c r="B396" s="8" t="s">
        <v>731</v>
      </c>
      <c r="C396" s="8" t="s">
        <v>101</v>
      </c>
      <c r="D396" s="8" t="s">
        <v>148</v>
      </c>
      <c r="E396" s="150" t="s">
        <v>83</v>
      </c>
      <c r="F396" s="151" t="s">
        <v>56</v>
      </c>
      <c r="G396" s="152">
        <v>1</v>
      </c>
      <c r="H396" s="152">
        <v>450</v>
      </c>
      <c r="I396" s="153">
        <v>7.31</v>
      </c>
      <c r="J396" s="145" t="s">
        <v>732</v>
      </c>
      <c r="K396" s="153">
        <v>-6.3831000000000007</v>
      </c>
      <c r="L396" s="153" t="s">
        <v>86</v>
      </c>
      <c r="M396" s="153"/>
      <c r="N396" s="2" t="s">
        <v>57</v>
      </c>
      <c r="O396" s="2"/>
      <c r="P396" s="10"/>
    </row>
    <row r="397" spans="1:16" ht="16.5" customHeight="1" x14ac:dyDescent="0.25">
      <c r="A397" s="2" t="s">
        <v>733</v>
      </c>
      <c r="B397" s="8" t="s">
        <v>734</v>
      </c>
      <c r="C397" s="8" t="s">
        <v>101</v>
      </c>
      <c r="D397" s="8" t="s">
        <v>148</v>
      </c>
      <c r="E397" s="150" t="s">
        <v>83</v>
      </c>
      <c r="F397" s="151" t="s">
        <v>56</v>
      </c>
      <c r="G397" s="152">
        <v>1</v>
      </c>
      <c r="H397" s="152">
        <v>297</v>
      </c>
      <c r="I397" s="153">
        <v>10.94</v>
      </c>
      <c r="J397" s="145" t="s">
        <v>735</v>
      </c>
      <c r="K397" s="153">
        <v>-6.5845555555555562</v>
      </c>
      <c r="L397" s="153" t="s">
        <v>86</v>
      </c>
      <c r="M397" s="153"/>
      <c r="N397" s="2" t="s">
        <v>57</v>
      </c>
      <c r="O397" s="2"/>
      <c r="P397" s="10"/>
    </row>
    <row r="398" spans="1:16" ht="16.5" customHeight="1" x14ac:dyDescent="0.25">
      <c r="A398" s="2" t="s">
        <v>736</v>
      </c>
      <c r="B398" s="8" t="s">
        <v>737</v>
      </c>
      <c r="C398" s="8" t="s">
        <v>714</v>
      </c>
      <c r="D398" s="8" t="s">
        <v>163</v>
      </c>
      <c r="E398" s="150" t="s">
        <v>563</v>
      </c>
      <c r="F398" s="151" t="s">
        <v>103</v>
      </c>
      <c r="G398" s="152">
        <v>27</v>
      </c>
      <c r="H398" s="152">
        <v>9</v>
      </c>
      <c r="I398" s="153">
        <v>76</v>
      </c>
      <c r="J398" s="145" t="s">
        <v>738</v>
      </c>
      <c r="K398" s="153">
        <v>-17.138400000000001</v>
      </c>
      <c r="L398" s="153">
        <v>-41.598739483286117</v>
      </c>
      <c r="M398" s="153">
        <v>-6.48</v>
      </c>
      <c r="N398" s="2" t="s">
        <v>57</v>
      </c>
      <c r="O398" s="2"/>
      <c r="P398" s="10"/>
    </row>
    <row r="399" spans="1:16" ht="16.5" customHeight="1" x14ac:dyDescent="0.25">
      <c r="A399" s="2" t="s">
        <v>739</v>
      </c>
      <c r="B399" s="8" t="s">
        <v>740</v>
      </c>
      <c r="C399" s="8">
        <v>45635</v>
      </c>
      <c r="D399" s="8" t="s">
        <v>163</v>
      </c>
      <c r="E399" s="150" t="s">
        <v>563</v>
      </c>
      <c r="F399" s="151" t="s">
        <v>103</v>
      </c>
      <c r="G399" s="152">
        <v>0</v>
      </c>
      <c r="H399" s="152">
        <v>637</v>
      </c>
      <c r="I399" s="153">
        <v>126</v>
      </c>
      <c r="J399" s="145" t="s">
        <v>741</v>
      </c>
      <c r="K399" s="153" t="s">
        <v>86</v>
      </c>
      <c r="L399" s="153" t="s">
        <v>86</v>
      </c>
      <c r="M399" s="153"/>
      <c r="N399" s="2" t="s">
        <v>57</v>
      </c>
      <c r="O399" s="2"/>
      <c r="P399" s="2"/>
    </row>
    <row r="400" spans="1:16" ht="16.5" customHeight="1" x14ac:dyDescent="0.25">
      <c r="A400" s="2" t="s">
        <v>742</v>
      </c>
      <c r="B400" s="8" t="s">
        <v>743</v>
      </c>
      <c r="C400" s="8" t="s">
        <v>744</v>
      </c>
      <c r="D400" s="8" t="s">
        <v>163</v>
      </c>
      <c r="E400" s="150" t="s">
        <v>563</v>
      </c>
      <c r="F400" s="151" t="s">
        <v>103</v>
      </c>
      <c r="G400" s="152">
        <v>3</v>
      </c>
      <c r="H400" s="152">
        <v>61</v>
      </c>
      <c r="I400" s="153">
        <v>124</v>
      </c>
      <c r="J400" s="145" t="s">
        <v>745</v>
      </c>
      <c r="K400" s="153">
        <v>-12.46833333333333</v>
      </c>
      <c r="L400" s="153" t="s">
        <v>86</v>
      </c>
      <c r="M400" s="153"/>
      <c r="N400" s="2" t="s">
        <v>57</v>
      </c>
      <c r="O400" s="2" t="s">
        <v>746</v>
      </c>
      <c r="P400" s="10"/>
    </row>
    <row r="401" spans="1:16" ht="16.5" customHeight="1" x14ac:dyDescent="0.25">
      <c r="A401" s="2" t="s">
        <v>747</v>
      </c>
      <c r="B401" s="8" t="s">
        <v>748</v>
      </c>
      <c r="C401" s="8" t="s">
        <v>749</v>
      </c>
      <c r="D401" s="8" t="s">
        <v>163</v>
      </c>
      <c r="E401" s="150" t="s">
        <v>563</v>
      </c>
      <c r="F401" s="151" t="s">
        <v>103</v>
      </c>
      <c r="G401" s="152">
        <v>0</v>
      </c>
      <c r="H401" s="152">
        <v>153</v>
      </c>
      <c r="I401" s="153">
        <v>136.44</v>
      </c>
      <c r="J401" s="145" t="s">
        <v>750</v>
      </c>
      <c r="K401" s="153">
        <v>-15.446</v>
      </c>
      <c r="L401" s="153">
        <v>-44.031241047943134</v>
      </c>
      <c r="M401" s="153"/>
      <c r="N401" s="2" t="s">
        <v>57</v>
      </c>
      <c r="O401" s="2"/>
      <c r="P401" s="10"/>
    </row>
    <row r="402" spans="1:16" ht="16.5" customHeight="1" x14ac:dyDescent="0.25">
      <c r="A402" s="2" t="s">
        <v>751</v>
      </c>
      <c r="B402" s="8" t="s">
        <v>752</v>
      </c>
      <c r="C402" s="8" t="s">
        <v>753</v>
      </c>
      <c r="D402" s="8" t="s">
        <v>163</v>
      </c>
      <c r="E402" s="150" t="s">
        <v>563</v>
      </c>
      <c r="F402" s="151" t="s">
        <v>103</v>
      </c>
      <c r="G402" s="152">
        <v>0</v>
      </c>
      <c r="H402" s="152">
        <v>254</v>
      </c>
      <c r="I402" s="153">
        <v>170.01</v>
      </c>
      <c r="J402" s="145" t="s">
        <v>754</v>
      </c>
      <c r="K402" s="153" t="s">
        <v>86</v>
      </c>
      <c r="L402" s="153" t="s">
        <v>86</v>
      </c>
      <c r="M402" s="153"/>
      <c r="N402" s="2" t="s">
        <v>57</v>
      </c>
      <c r="O402" s="2"/>
      <c r="P402" s="10"/>
    </row>
    <row r="403" spans="1:16" ht="16.5" customHeight="1" x14ac:dyDescent="0.25">
      <c r="A403" s="2" t="s">
        <v>755</v>
      </c>
      <c r="B403" s="8" t="s">
        <v>756</v>
      </c>
      <c r="C403" s="8" t="s">
        <v>749</v>
      </c>
      <c r="D403" s="8" t="s">
        <v>163</v>
      </c>
      <c r="E403" s="150" t="s">
        <v>563</v>
      </c>
      <c r="F403" s="151" t="s">
        <v>103</v>
      </c>
      <c r="G403" s="152">
        <v>10</v>
      </c>
      <c r="H403" s="152">
        <v>19</v>
      </c>
      <c r="I403" s="153">
        <v>161</v>
      </c>
      <c r="J403" s="145" t="s">
        <v>757</v>
      </c>
      <c r="K403" s="153">
        <v>-19.416250000000002</v>
      </c>
      <c r="L403" s="153">
        <v>-93.205222437137365</v>
      </c>
      <c r="M403" s="153"/>
      <c r="N403" s="2" t="s">
        <v>57</v>
      </c>
      <c r="O403" s="2"/>
      <c r="P403" s="10"/>
    </row>
    <row r="404" spans="1:16" ht="16.5" customHeight="1" x14ac:dyDescent="0.25">
      <c r="A404" s="2" t="s">
        <v>758</v>
      </c>
      <c r="B404" s="8" t="s">
        <v>759</v>
      </c>
      <c r="C404" s="8" t="s">
        <v>749</v>
      </c>
      <c r="D404" s="8" t="s">
        <v>163</v>
      </c>
      <c r="E404" s="150" t="s">
        <v>563</v>
      </c>
      <c r="F404" s="151" t="s">
        <v>103</v>
      </c>
      <c r="G404" s="152">
        <v>4</v>
      </c>
      <c r="H404" s="152">
        <v>53</v>
      </c>
      <c r="I404" s="153">
        <v>175</v>
      </c>
      <c r="J404" s="145" t="s">
        <v>760</v>
      </c>
      <c r="K404" s="153">
        <v>-14.48666666666667</v>
      </c>
      <c r="L404" s="153">
        <v>-55.075063775344347</v>
      </c>
      <c r="M404" s="153"/>
      <c r="N404" s="2" t="s">
        <v>57</v>
      </c>
      <c r="O404" s="2"/>
      <c r="P404" s="10"/>
    </row>
    <row r="405" spans="1:16" ht="16.5" customHeight="1" x14ac:dyDescent="0.25">
      <c r="A405" s="2" t="s">
        <v>761</v>
      </c>
      <c r="B405" s="8" t="s">
        <v>762</v>
      </c>
      <c r="C405" s="8" t="s">
        <v>749</v>
      </c>
      <c r="D405" s="8" t="s">
        <v>163</v>
      </c>
      <c r="E405" s="150" t="s">
        <v>563</v>
      </c>
      <c r="F405" s="151" t="s">
        <v>103</v>
      </c>
      <c r="G405" s="152">
        <v>2</v>
      </c>
      <c r="H405" s="152">
        <v>101</v>
      </c>
      <c r="I405" s="153">
        <v>204.08</v>
      </c>
      <c r="J405" s="145" t="s">
        <v>763</v>
      </c>
      <c r="K405" s="153" t="s">
        <v>86</v>
      </c>
      <c r="L405" s="153">
        <v>-115.6727992771323</v>
      </c>
      <c r="M405" s="153"/>
      <c r="N405" s="2" t="s">
        <v>57</v>
      </c>
      <c r="O405" s="2"/>
      <c r="P405" s="10"/>
    </row>
    <row r="406" spans="1:16" ht="16.5" customHeight="1" x14ac:dyDescent="0.25">
      <c r="A406" s="2" t="s">
        <v>764</v>
      </c>
      <c r="B406" s="8" t="s">
        <v>765</v>
      </c>
      <c r="C406" s="8" t="s">
        <v>101</v>
      </c>
      <c r="D406" s="8" t="s">
        <v>166</v>
      </c>
      <c r="E406" s="150" t="s">
        <v>83</v>
      </c>
      <c r="F406" s="151" t="s">
        <v>56</v>
      </c>
      <c r="G406" s="152">
        <v>3</v>
      </c>
      <c r="H406" s="152">
        <v>308</v>
      </c>
      <c r="I406" s="153">
        <v>20</v>
      </c>
      <c r="J406" s="145" t="s">
        <v>766</v>
      </c>
      <c r="K406" s="153">
        <v>-3.3374999999999999</v>
      </c>
      <c r="L406" s="153">
        <v>-8.48</v>
      </c>
      <c r="M406" s="153"/>
      <c r="N406" s="2" t="s">
        <v>57</v>
      </c>
      <c r="O406" s="2"/>
      <c r="P406" s="10"/>
    </row>
    <row r="407" spans="1:16" ht="16.5" customHeight="1" x14ac:dyDescent="0.25">
      <c r="A407" s="2" t="s">
        <v>767</v>
      </c>
      <c r="B407" s="8" t="s">
        <v>768</v>
      </c>
      <c r="C407" s="8" t="s">
        <v>714</v>
      </c>
      <c r="D407" s="8" t="s">
        <v>163</v>
      </c>
      <c r="E407" s="150" t="s">
        <v>563</v>
      </c>
      <c r="F407" s="151" t="s">
        <v>103</v>
      </c>
      <c r="G407" s="152">
        <v>18</v>
      </c>
      <c r="H407" s="152">
        <v>22</v>
      </c>
      <c r="I407" s="153">
        <v>99.66</v>
      </c>
      <c r="J407" s="145" t="s">
        <v>769</v>
      </c>
      <c r="K407" s="153">
        <v>-3.759147756028796</v>
      </c>
      <c r="L407" s="153">
        <v>-30.89292762240521</v>
      </c>
      <c r="M407" s="153">
        <v>-7.23</v>
      </c>
      <c r="N407" s="2" t="s">
        <v>57</v>
      </c>
      <c r="O407" s="2"/>
      <c r="P407" s="2" t="s">
        <v>51</v>
      </c>
    </row>
    <row r="408" spans="1:16" ht="16.5" customHeight="1" x14ac:dyDescent="0.25">
      <c r="A408" s="2" t="s">
        <v>770</v>
      </c>
      <c r="B408" s="8" t="s">
        <v>771</v>
      </c>
      <c r="C408" s="8" t="s">
        <v>749</v>
      </c>
      <c r="D408" s="8" t="s">
        <v>163</v>
      </c>
      <c r="E408" s="150" t="s">
        <v>563</v>
      </c>
      <c r="F408" s="151" t="s">
        <v>103</v>
      </c>
      <c r="G408" s="152">
        <v>47</v>
      </c>
      <c r="H408" s="152">
        <v>12</v>
      </c>
      <c r="I408" s="153">
        <v>59.999999999999993</v>
      </c>
      <c r="J408" s="145" t="s">
        <v>772</v>
      </c>
      <c r="K408" s="153">
        <v>-6.043703703703704</v>
      </c>
      <c r="L408" s="153">
        <v>-39.592616018862337</v>
      </c>
      <c r="M408" s="153"/>
      <c r="N408" s="2" t="s">
        <v>57</v>
      </c>
      <c r="O408" s="2"/>
      <c r="P408" s="2" t="s">
        <v>51</v>
      </c>
    </row>
    <row r="409" spans="1:16" ht="16.5" customHeight="1" x14ac:dyDescent="0.25">
      <c r="A409" s="2" t="s">
        <v>773</v>
      </c>
      <c r="B409" s="8" t="s">
        <v>774</v>
      </c>
      <c r="C409" s="8" t="s">
        <v>714</v>
      </c>
      <c r="D409" s="8" t="s">
        <v>441</v>
      </c>
      <c r="E409" s="150" t="s">
        <v>13772</v>
      </c>
      <c r="F409" s="151" t="s">
        <v>103</v>
      </c>
      <c r="G409" s="152">
        <v>6</v>
      </c>
      <c r="H409" s="152">
        <v>99</v>
      </c>
      <c r="I409" s="153">
        <v>74.989999999999995</v>
      </c>
      <c r="J409" s="145" t="s">
        <v>775</v>
      </c>
      <c r="K409" s="153">
        <v>-11.21084045584046</v>
      </c>
      <c r="L409" s="153">
        <v>-9.09</v>
      </c>
      <c r="M409" s="153"/>
      <c r="N409" s="2" t="s">
        <v>57</v>
      </c>
      <c r="O409" s="2"/>
      <c r="P409" s="2" t="s">
        <v>51</v>
      </c>
    </row>
    <row r="410" spans="1:16" ht="16.5" customHeight="1" x14ac:dyDescent="0.25">
      <c r="A410" s="2" t="s">
        <v>776</v>
      </c>
      <c r="B410" s="8" t="s">
        <v>777</v>
      </c>
      <c r="C410" s="8" t="s">
        <v>778</v>
      </c>
      <c r="D410" s="8" t="s">
        <v>441</v>
      </c>
      <c r="E410" s="150" t="s">
        <v>13772</v>
      </c>
      <c r="F410" s="151" t="s">
        <v>103</v>
      </c>
      <c r="G410" s="152">
        <v>6</v>
      </c>
      <c r="H410" s="152">
        <v>114</v>
      </c>
      <c r="I410" s="153">
        <v>35.270000000000003</v>
      </c>
      <c r="J410" s="145" t="s">
        <v>779</v>
      </c>
      <c r="K410" s="153">
        <v>-4.4118750000000002</v>
      </c>
      <c r="L410" s="153">
        <v>-2.400376988622555</v>
      </c>
      <c r="M410" s="153">
        <v>-3.96</v>
      </c>
      <c r="N410" s="2" t="s">
        <v>57</v>
      </c>
      <c r="O410" s="2"/>
      <c r="P410" s="2" t="s">
        <v>51</v>
      </c>
    </row>
    <row r="411" spans="1:16" ht="16.5" customHeight="1" x14ac:dyDescent="0.25">
      <c r="A411" s="2" t="s">
        <v>780</v>
      </c>
      <c r="B411" s="8" t="s">
        <v>781</v>
      </c>
      <c r="C411" s="8" t="s">
        <v>782</v>
      </c>
      <c r="D411" s="8" t="s">
        <v>783</v>
      </c>
      <c r="E411" s="150" t="s">
        <v>13772</v>
      </c>
      <c r="F411" s="151" t="s">
        <v>103</v>
      </c>
      <c r="G411" s="152">
        <v>5</v>
      </c>
      <c r="H411" s="152">
        <v>360</v>
      </c>
      <c r="I411" s="153">
        <v>8.56</v>
      </c>
      <c r="J411" s="145" t="s">
        <v>784</v>
      </c>
      <c r="K411" s="153">
        <v>-0.64089546053470481</v>
      </c>
      <c r="L411" s="153" t="s">
        <v>86</v>
      </c>
      <c r="M411" s="153"/>
      <c r="N411" s="2" t="s">
        <v>57</v>
      </c>
      <c r="O411" s="2"/>
      <c r="P411" s="10"/>
    </row>
    <row r="412" spans="1:16" ht="16.5" customHeight="1" x14ac:dyDescent="0.25">
      <c r="A412" s="2" t="s">
        <v>785</v>
      </c>
      <c r="B412" s="8" t="s">
        <v>786</v>
      </c>
      <c r="C412" s="8" t="s">
        <v>782</v>
      </c>
      <c r="D412" s="8" t="s">
        <v>783</v>
      </c>
      <c r="E412" s="150" t="s">
        <v>13772</v>
      </c>
      <c r="F412" s="151" t="s">
        <v>103</v>
      </c>
      <c r="G412" s="152">
        <v>3</v>
      </c>
      <c r="H412" s="152">
        <v>326</v>
      </c>
      <c r="I412" s="153">
        <v>8.57</v>
      </c>
      <c r="J412" s="145" t="s">
        <v>753</v>
      </c>
      <c r="K412" s="153">
        <v>-0.47055541702058018</v>
      </c>
      <c r="L412" s="153" t="s">
        <v>86</v>
      </c>
      <c r="M412" s="153"/>
      <c r="N412" s="2" t="s">
        <v>57</v>
      </c>
      <c r="O412" s="2"/>
      <c r="P412" s="10"/>
    </row>
    <row r="413" spans="1:16" ht="16.5" customHeight="1" x14ac:dyDescent="0.25">
      <c r="A413" s="2" t="s">
        <v>787</v>
      </c>
      <c r="B413" s="8" t="s">
        <v>788</v>
      </c>
      <c r="C413" s="8" t="s">
        <v>782</v>
      </c>
      <c r="D413" s="8" t="s">
        <v>783</v>
      </c>
      <c r="E413" s="150" t="s">
        <v>13772</v>
      </c>
      <c r="F413" s="151" t="s">
        <v>103</v>
      </c>
      <c r="G413" s="152">
        <v>18</v>
      </c>
      <c r="H413" s="152">
        <v>77</v>
      </c>
      <c r="I413" s="153">
        <v>8.6199999999999992</v>
      </c>
      <c r="J413" s="145" t="s">
        <v>789</v>
      </c>
      <c r="K413" s="153">
        <v>-0.58200000000000007</v>
      </c>
      <c r="L413" s="153">
        <v>-7.9374640494204316</v>
      </c>
      <c r="M413" s="153"/>
      <c r="N413" s="2" t="s">
        <v>57</v>
      </c>
      <c r="O413" s="2"/>
      <c r="P413" s="10"/>
    </row>
    <row r="414" spans="1:16" ht="16.5" customHeight="1" x14ac:dyDescent="0.25">
      <c r="A414" s="2" t="s">
        <v>790</v>
      </c>
      <c r="B414" s="8" t="s">
        <v>791</v>
      </c>
      <c r="C414" s="8" t="s">
        <v>782</v>
      </c>
      <c r="D414" s="8" t="s">
        <v>783</v>
      </c>
      <c r="E414" s="150" t="s">
        <v>13772</v>
      </c>
      <c r="F414" s="151" t="s">
        <v>103</v>
      </c>
      <c r="G414" s="152">
        <v>2</v>
      </c>
      <c r="H414" s="152">
        <v>345</v>
      </c>
      <c r="I414" s="153">
        <v>8.49</v>
      </c>
      <c r="J414" s="145" t="s">
        <v>749</v>
      </c>
      <c r="K414" s="153">
        <v>-0.50250000000000006</v>
      </c>
      <c r="L414" s="153">
        <v>-6.6107472196775996</v>
      </c>
      <c r="M414" s="153"/>
      <c r="N414" s="2" t="s">
        <v>57</v>
      </c>
      <c r="O414" s="2"/>
      <c r="P414" s="10"/>
    </row>
    <row r="415" spans="1:16" ht="16.5" customHeight="1" x14ac:dyDescent="0.25">
      <c r="A415" s="2" t="s">
        <v>792</v>
      </c>
      <c r="B415" s="8" t="s">
        <v>793</v>
      </c>
      <c r="C415" s="8" t="s">
        <v>782</v>
      </c>
      <c r="D415" s="8" t="s">
        <v>783</v>
      </c>
      <c r="E415" s="150" t="s">
        <v>13772</v>
      </c>
      <c r="F415" s="151" t="s">
        <v>103</v>
      </c>
      <c r="G415" s="152">
        <v>3</v>
      </c>
      <c r="H415" s="152">
        <v>389</v>
      </c>
      <c r="I415" s="153">
        <v>8.33</v>
      </c>
      <c r="J415" s="145" t="s">
        <v>101</v>
      </c>
      <c r="K415" s="153">
        <v>-0.43620907893059052</v>
      </c>
      <c r="L415" s="153">
        <v>-6.6107472196775996</v>
      </c>
      <c r="M415" s="153"/>
      <c r="N415" s="2" t="s">
        <v>57</v>
      </c>
      <c r="O415" s="2"/>
      <c r="P415" s="10"/>
    </row>
    <row r="416" spans="1:16" ht="16.5" customHeight="1" x14ac:dyDescent="0.25">
      <c r="A416" s="2" t="s">
        <v>794</v>
      </c>
      <c r="B416" s="8" t="s">
        <v>795</v>
      </c>
      <c r="C416" s="8" t="s">
        <v>782</v>
      </c>
      <c r="D416" s="8" t="s">
        <v>783</v>
      </c>
      <c r="E416" s="150" t="s">
        <v>13772</v>
      </c>
      <c r="F416" s="151" t="s">
        <v>103</v>
      </c>
      <c r="G416" s="152">
        <v>1</v>
      </c>
      <c r="H416" s="152">
        <v>181</v>
      </c>
      <c r="I416" s="153">
        <v>32.119999999999997</v>
      </c>
      <c r="J416" s="145" t="s">
        <v>796</v>
      </c>
      <c r="K416" s="153">
        <v>-1.948</v>
      </c>
      <c r="L416" s="153">
        <v>-11.841424001184039</v>
      </c>
      <c r="M416" s="153"/>
      <c r="N416" s="2" t="s">
        <v>57</v>
      </c>
      <c r="O416" s="2"/>
      <c r="P416" s="10"/>
    </row>
    <row r="417" spans="1:16" ht="16.5" customHeight="1" x14ac:dyDescent="0.25">
      <c r="A417" s="2" t="s">
        <v>797</v>
      </c>
      <c r="B417" s="8" t="s">
        <v>798</v>
      </c>
      <c r="C417" s="8" t="s">
        <v>101</v>
      </c>
      <c r="D417" s="8" t="s">
        <v>201</v>
      </c>
      <c r="E417" s="150" t="s">
        <v>139</v>
      </c>
      <c r="F417" s="151" t="s">
        <v>103</v>
      </c>
      <c r="G417" s="152">
        <v>3</v>
      </c>
      <c r="H417" s="152">
        <v>233</v>
      </c>
      <c r="I417" s="153">
        <v>82.62</v>
      </c>
      <c r="J417" s="145" t="s">
        <v>799</v>
      </c>
      <c r="K417" s="153">
        <v>-22.585625</v>
      </c>
      <c r="L417" s="153" t="s">
        <v>86</v>
      </c>
      <c r="M417" s="153"/>
      <c r="N417" s="2" t="s">
        <v>57</v>
      </c>
      <c r="O417" s="2"/>
      <c r="P417" s="2"/>
    </row>
    <row r="418" spans="1:16" ht="16.5" customHeight="1" x14ac:dyDescent="0.25">
      <c r="A418" s="2" t="s">
        <v>800</v>
      </c>
      <c r="B418" s="8" t="s">
        <v>801</v>
      </c>
      <c r="C418" s="8">
        <v>45635</v>
      </c>
      <c r="D418" s="8" t="s">
        <v>163</v>
      </c>
      <c r="E418" s="150" t="s">
        <v>563</v>
      </c>
      <c r="F418" s="151" t="s">
        <v>103</v>
      </c>
      <c r="G418" s="152">
        <v>0</v>
      </c>
      <c r="H418" s="152">
        <v>169</v>
      </c>
      <c r="I418" s="153">
        <v>68</v>
      </c>
      <c r="J418" s="145" t="s">
        <v>802</v>
      </c>
      <c r="K418" s="153" t="s">
        <v>86</v>
      </c>
      <c r="L418" s="153">
        <v>-30.64788510631908</v>
      </c>
      <c r="M418" s="153"/>
      <c r="N418" s="2" t="s">
        <v>57</v>
      </c>
      <c r="O418" s="2"/>
      <c r="P418" s="10"/>
    </row>
    <row r="419" spans="1:16" ht="16.5" customHeight="1" x14ac:dyDescent="0.25">
      <c r="A419" s="2" t="s">
        <v>803</v>
      </c>
      <c r="B419" s="8" t="s">
        <v>804</v>
      </c>
      <c r="C419" s="8" t="s">
        <v>101</v>
      </c>
      <c r="D419" s="8" t="s">
        <v>166</v>
      </c>
      <c r="E419" s="150" t="s">
        <v>83</v>
      </c>
      <c r="F419" s="151" t="s">
        <v>56</v>
      </c>
      <c r="G419" s="152">
        <v>8</v>
      </c>
      <c r="H419" s="152">
        <v>112</v>
      </c>
      <c r="I419" s="153">
        <v>16</v>
      </c>
      <c r="J419" s="145" t="s">
        <v>805</v>
      </c>
      <c r="K419" s="153">
        <v>-0.94900000000000007</v>
      </c>
      <c r="L419" s="153">
        <v>-19.237997415616171</v>
      </c>
      <c r="M419" s="153"/>
      <c r="N419" s="2" t="s">
        <v>57</v>
      </c>
      <c r="O419" s="2"/>
      <c r="P419" s="10"/>
    </row>
    <row r="420" spans="1:16" ht="16.5" customHeight="1" x14ac:dyDescent="0.25">
      <c r="A420" s="2" t="s">
        <v>806</v>
      </c>
      <c r="B420" s="8" t="s">
        <v>807</v>
      </c>
      <c r="C420" s="8" t="s">
        <v>749</v>
      </c>
      <c r="D420" s="8" t="s">
        <v>166</v>
      </c>
      <c r="E420" s="150" t="s">
        <v>563</v>
      </c>
      <c r="F420" s="151" t="s">
        <v>103</v>
      </c>
      <c r="G420" s="152">
        <v>3</v>
      </c>
      <c r="H420" s="152">
        <v>171</v>
      </c>
      <c r="I420" s="153">
        <v>52.19</v>
      </c>
      <c r="J420" s="145" t="s">
        <v>808</v>
      </c>
      <c r="K420" s="153">
        <v>-9.5500000000000007</v>
      </c>
      <c r="L420" s="153" t="s">
        <v>86</v>
      </c>
      <c r="M420" s="153"/>
      <c r="N420" s="2" t="s">
        <v>57</v>
      </c>
      <c r="O420" s="2"/>
      <c r="P420" s="10"/>
    </row>
    <row r="421" spans="1:16" ht="16.5" customHeight="1" x14ac:dyDescent="0.25">
      <c r="A421" s="2" t="s">
        <v>809</v>
      </c>
      <c r="B421" s="8" t="s">
        <v>810</v>
      </c>
      <c r="C421" s="8" t="s">
        <v>749</v>
      </c>
      <c r="D421" s="8" t="s">
        <v>166</v>
      </c>
      <c r="E421" s="150" t="s">
        <v>563</v>
      </c>
      <c r="F421" s="151" t="s">
        <v>103</v>
      </c>
      <c r="G421" s="152">
        <v>1</v>
      </c>
      <c r="H421" s="152">
        <v>197</v>
      </c>
      <c r="I421" s="153">
        <v>37</v>
      </c>
      <c r="J421" s="145" t="s">
        <v>811</v>
      </c>
      <c r="K421" s="153">
        <v>-5.9474999999999998</v>
      </c>
      <c r="L421" s="153" t="s">
        <v>86</v>
      </c>
      <c r="M421" s="153"/>
      <c r="N421" s="2" t="s">
        <v>57</v>
      </c>
      <c r="O421" s="2"/>
      <c r="P421" s="10"/>
    </row>
    <row r="422" spans="1:16" ht="16.5" customHeight="1" x14ac:dyDescent="0.25">
      <c r="A422" s="2" t="s">
        <v>812</v>
      </c>
      <c r="B422" s="8" t="s">
        <v>813</v>
      </c>
      <c r="C422" s="8" t="s">
        <v>101</v>
      </c>
      <c r="D422" s="8" t="s">
        <v>166</v>
      </c>
      <c r="E422" s="150" t="s">
        <v>83</v>
      </c>
      <c r="F422" s="151" t="s">
        <v>56</v>
      </c>
      <c r="G422" s="152">
        <v>5</v>
      </c>
      <c r="H422" s="152">
        <v>74</v>
      </c>
      <c r="I422" s="153">
        <v>45</v>
      </c>
      <c r="J422" s="145" t="s">
        <v>814</v>
      </c>
      <c r="K422" s="153" t="s">
        <v>86</v>
      </c>
      <c r="L422" s="153">
        <v>-22.57700633236259</v>
      </c>
      <c r="M422" s="153"/>
      <c r="N422" s="2" t="s">
        <v>57</v>
      </c>
      <c r="O422" s="2"/>
      <c r="P422" s="2"/>
    </row>
    <row r="423" spans="1:16" ht="16.5" customHeight="1" x14ac:dyDescent="0.25">
      <c r="A423" s="2" t="s">
        <v>815</v>
      </c>
      <c r="B423" s="8" t="s">
        <v>816</v>
      </c>
      <c r="C423" s="8" t="s">
        <v>102</v>
      </c>
      <c r="D423" s="8" t="s">
        <v>148</v>
      </c>
      <c r="E423" s="150" t="s">
        <v>563</v>
      </c>
      <c r="F423" s="151" t="s">
        <v>103</v>
      </c>
      <c r="G423" s="152">
        <v>0</v>
      </c>
      <c r="H423" s="152">
        <v>639</v>
      </c>
      <c r="I423" s="153">
        <v>8.44</v>
      </c>
      <c r="J423" s="145" t="s">
        <v>817</v>
      </c>
      <c r="K423" s="153" t="s">
        <v>86</v>
      </c>
      <c r="L423" s="153" t="s">
        <v>86</v>
      </c>
      <c r="M423" s="153"/>
      <c r="N423" s="2" t="s">
        <v>57</v>
      </c>
      <c r="O423" s="2"/>
      <c r="P423" s="10"/>
    </row>
    <row r="424" spans="1:16" ht="16.5" customHeight="1" x14ac:dyDescent="0.25">
      <c r="A424" s="2" t="s">
        <v>818</v>
      </c>
      <c r="B424" s="8" t="s">
        <v>819</v>
      </c>
      <c r="C424" s="8" t="s">
        <v>714</v>
      </c>
      <c r="D424" s="8" t="s">
        <v>278</v>
      </c>
      <c r="E424" s="150" t="s">
        <v>511</v>
      </c>
      <c r="F424" s="151" t="s">
        <v>103</v>
      </c>
      <c r="G424" s="152">
        <v>15</v>
      </c>
      <c r="H424" s="152">
        <v>90</v>
      </c>
      <c r="I424" s="153">
        <v>30.93</v>
      </c>
      <c r="J424" s="145" t="s">
        <v>820</v>
      </c>
      <c r="K424" s="153">
        <v>-6.4325000000000001</v>
      </c>
      <c r="L424" s="153">
        <v>-12.13</v>
      </c>
      <c r="M424" s="153"/>
      <c r="N424" s="2" t="s">
        <v>57</v>
      </c>
      <c r="O424" s="2"/>
      <c r="P424" s="10"/>
    </row>
    <row r="425" spans="1:16" ht="16.5" customHeight="1" x14ac:dyDescent="0.25">
      <c r="A425" s="2" t="s">
        <v>821</v>
      </c>
      <c r="B425" s="8" t="s">
        <v>822</v>
      </c>
      <c r="C425" s="8" t="s">
        <v>823</v>
      </c>
      <c r="D425" s="8" t="s">
        <v>278</v>
      </c>
      <c r="E425" s="150" t="s">
        <v>102</v>
      </c>
      <c r="F425" s="151" t="s">
        <v>103</v>
      </c>
      <c r="G425" s="152">
        <v>0</v>
      </c>
      <c r="H425" s="152">
        <v>692</v>
      </c>
      <c r="I425" s="153">
        <v>23.99</v>
      </c>
      <c r="J425" s="145" t="s">
        <v>824</v>
      </c>
      <c r="K425" s="153" t="s">
        <v>86</v>
      </c>
      <c r="L425" s="153">
        <v>-11.23793247006599</v>
      </c>
      <c r="M425" s="153"/>
      <c r="N425" s="2" t="s">
        <v>57</v>
      </c>
      <c r="O425" s="2"/>
      <c r="P425" s="10"/>
    </row>
    <row r="426" spans="1:16" ht="16.5" customHeight="1" x14ac:dyDescent="0.25">
      <c r="A426" s="2" t="s">
        <v>825</v>
      </c>
      <c r="B426" s="8" t="s">
        <v>826</v>
      </c>
      <c r="C426" s="8" t="s">
        <v>714</v>
      </c>
      <c r="D426" s="8" t="s">
        <v>278</v>
      </c>
      <c r="E426" s="150" t="s">
        <v>102</v>
      </c>
      <c r="F426" s="151" t="s">
        <v>103</v>
      </c>
      <c r="G426" s="152">
        <v>11</v>
      </c>
      <c r="H426" s="152">
        <v>93</v>
      </c>
      <c r="I426" s="153">
        <v>21.95</v>
      </c>
      <c r="J426" s="145" t="s">
        <v>827</v>
      </c>
      <c r="K426" s="153">
        <v>-6.7366666666666672</v>
      </c>
      <c r="L426" s="153">
        <v>-8.75</v>
      </c>
      <c r="M426" s="153"/>
      <c r="N426" s="2" t="s">
        <v>57</v>
      </c>
      <c r="O426" s="2"/>
      <c r="P426" s="10"/>
    </row>
    <row r="427" spans="1:16" ht="16.5" customHeight="1" x14ac:dyDescent="0.25">
      <c r="A427" s="2" t="s">
        <v>828</v>
      </c>
      <c r="B427" s="8" t="s">
        <v>829</v>
      </c>
      <c r="C427" s="8" t="s">
        <v>714</v>
      </c>
      <c r="D427" s="8" t="s">
        <v>278</v>
      </c>
      <c r="E427" s="150" t="s">
        <v>511</v>
      </c>
      <c r="F427" s="151" t="s">
        <v>103</v>
      </c>
      <c r="G427" s="152">
        <v>27</v>
      </c>
      <c r="H427" s="152">
        <v>48</v>
      </c>
      <c r="I427" s="153">
        <v>21.84</v>
      </c>
      <c r="J427" s="145" t="s">
        <v>830</v>
      </c>
      <c r="K427" s="153">
        <v>-8.0136055555555537</v>
      </c>
      <c r="L427" s="153">
        <v>-9.5399999999999991</v>
      </c>
      <c r="M427" s="153"/>
      <c r="N427" s="2" t="s">
        <v>57</v>
      </c>
      <c r="O427" s="2"/>
      <c r="P427" s="2" t="s">
        <v>51</v>
      </c>
    </row>
    <row r="428" spans="1:16" ht="16.5" customHeight="1" x14ac:dyDescent="0.25">
      <c r="A428" s="2" t="s">
        <v>831</v>
      </c>
      <c r="B428" s="8" t="s">
        <v>832</v>
      </c>
      <c r="C428" s="8" t="s">
        <v>833</v>
      </c>
      <c r="D428" s="8" t="s">
        <v>278</v>
      </c>
      <c r="E428" s="150" t="s">
        <v>511</v>
      </c>
      <c r="F428" s="151" t="s">
        <v>103</v>
      </c>
      <c r="G428" s="152">
        <v>2</v>
      </c>
      <c r="H428" s="152">
        <v>293</v>
      </c>
      <c r="I428" s="153">
        <v>33.5</v>
      </c>
      <c r="J428" s="145" t="s">
        <v>834</v>
      </c>
      <c r="K428" s="153" t="s">
        <v>86</v>
      </c>
      <c r="L428" s="153">
        <v>-20.018759265272699</v>
      </c>
      <c r="M428" s="153"/>
      <c r="N428" s="2" t="s">
        <v>57</v>
      </c>
      <c r="O428" s="2"/>
      <c r="P428" s="2"/>
    </row>
    <row r="429" spans="1:16" ht="16.5" customHeight="1" x14ac:dyDescent="0.25">
      <c r="A429" s="2" t="s">
        <v>835</v>
      </c>
      <c r="B429" s="8" t="s">
        <v>836</v>
      </c>
      <c r="C429" s="8" t="s">
        <v>714</v>
      </c>
      <c r="D429" s="8" t="s">
        <v>278</v>
      </c>
      <c r="E429" s="150" t="s">
        <v>511</v>
      </c>
      <c r="F429" s="151" t="s">
        <v>103</v>
      </c>
      <c r="G429" s="152">
        <v>2</v>
      </c>
      <c r="H429" s="152">
        <v>1105</v>
      </c>
      <c r="I429" s="153">
        <v>4.3899999999999997</v>
      </c>
      <c r="J429" s="145" t="s">
        <v>837</v>
      </c>
      <c r="K429" s="153" t="s">
        <v>86</v>
      </c>
      <c r="L429" s="153" t="s">
        <v>86</v>
      </c>
      <c r="M429" s="153"/>
      <c r="N429" s="2" t="s">
        <v>57</v>
      </c>
      <c r="O429" s="2"/>
      <c r="P429" s="10"/>
    </row>
    <row r="430" spans="1:16" ht="16.5" customHeight="1" x14ac:dyDescent="0.25">
      <c r="A430" s="2" t="s">
        <v>838</v>
      </c>
      <c r="B430" s="8" t="s">
        <v>839</v>
      </c>
      <c r="C430" s="8" t="s">
        <v>714</v>
      </c>
      <c r="D430" s="8" t="s">
        <v>278</v>
      </c>
      <c r="E430" s="150" t="s">
        <v>511</v>
      </c>
      <c r="F430" s="151" t="s">
        <v>103</v>
      </c>
      <c r="G430" s="152">
        <v>7</v>
      </c>
      <c r="H430" s="152">
        <v>266</v>
      </c>
      <c r="I430" s="153">
        <v>26.94</v>
      </c>
      <c r="J430" s="145" t="s">
        <v>840</v>
      </c>
      <c r="K430" s="153">
        <v>-2.1675</v>
      </c>
      <c r="L430" s="153">
        <v>-1.63</v>
      </c>
      <c r="M430" s="153"/>
      <c r="N430" s="2" t="s">
        <v>57</v>
      </c>
      <c r="O430" s="2"/>
      <c r="P430" s="10"/>
    </row>
    <row r="431" spans="1:16" ht="16.5" customHeight="1" x14ac:dyDescent="0.25">
      <c r="A431" s="2" t="s">
        <v>841</v>
      </c>
      <c r="B431" s="8" t="s">
        <v>842</v>
      </c>
      <c r="C431" s="8" t="s">
        <v>714</v>
      </c>
      <c r="D431" s="8" t="s">
        <v>278</v>
      </c>
      <c r="E431" s="150" t="s">
        <v>102</v>
      </c>
      <c r="F431" s="151" t="s">
        <v>103</v>
      </c>
      <c r="G431" s="152">
        <v>15</v>
      </c>
      <c r="H431" s="152">
        <v>136</v>
      </c>
      <c r="I431" s="153">
        <v>29.23</v>
      </c>
      <c r="J431" s="145" t="s">
        <v>843</v>
      </c>
      <c r="K431" s="153">
        <v>-6.4835000000000012</v>
      </c>
      <c r="L431" s="153">
        <v>-3.5</v>
      </c>
      <c r="M431" s="153"/>
      <c r="N431" s="2" t="s">
        <v>57</v>
      </c>
      <c r="O431" s="2"/>
      <c r="P431" s="2" t="s">
        <v>51</v>
      </c>
    </row>
    <row r="432" spans="1:16" ht="16.5" customHeight="1" x14ac:dyDescent="0.25">
      <c r="A432" s="2" t="s">
        <v>844</v>
      </c>
      <c r="B432" s="8" t="s">
        <v>845</v>
      </c>
      <c r="C432" s="8" t="s">
        <v>714</v>
      </c>
      <c r="D432" s="8" t="s">
        <v>278</v>
      </c>
      <c r="E432" s="150" t="s">
        <v>13772</v>
      </c>
      <c r="F432" s="151" t="s">
        <v>103</v>
      </c>
      <c r="G432" s="152">
        <v>13</v>
      </c>
      <c r="H432" s="152">
        <v>150</v>
      </c>
      <c r="I432" s="153">
        <v>5.24</v>
      </c>
      <c r="J432" s="145" t="s">
        <v>846</v>
      </c>
      <c r="K432" s="153">
        <v>-5.7647619047619054</v>
      </c>
      <c r="L432" s="153">
        <v>-6.4914384467999398</v>
      </c>
      <c r="M432" s="153">
        <v>-3.88</v>
      </c>
      <c r="N432" s="2" t="s">
        <v>57</v>
      </c>
      <c r="O432" s="2"/>
      <c r="P432" s="10"/>
    </row>
    <row r="433" spans="1:16" ht="16.5" customHeight="1" x14ac:dyDescent="0.25">
      <c r="A433" s="2" t="s">
        <v>847</v>
      </c>
      <c r="B433" s="8" t="s">
        <v>848</v>
      </c>
      <c r="C433" s="8" t="s">
        <v>749</v>
      </c>
      <c r="D433" s="8" t="s">
        <v>166</v>
      </c>
      <c r="E433" s="150" t="s">
        <v>563</v>
      </c>
      <c r="F433" s="151" t="s">
        <v>103</v>
      </c>
      <c r="G433" s="152">
        <v>3</v>
      </c>
      <c r="H433" s="152">
        <v>100</v>
      </c>
      <c r="I433" s="153">
        <v>73</v>
      </c>
      <c r="J433" s="145" t="s">
        <v>849</v>
      </c>
      <c r="K433" s="153">
        <v>-7.9666666666666659</v>
      </c>
      <c r="L433" s="153" t="s">
        <v>86</v>
      </c>
      <c r="M433" s="153"/>
      <c r="N433" s="2" t="s">
        <v>57</v>
      </c>
      <c r="O433" s="2"/>
      <c r="P433" s="10"/>
    </row>
    <row r="434" spans="1:16" ht="16.5" customHeight="1" x14ac:dyDescent="0.25">
      <c r="A434" s="2" t="s">
        <v>850</v>
      </c>
      <c r="B434" s="8" t="s">
        <v>851</v>
      </c>
      <c r="C434" s="8" t="s">
        <v>749</v>
      </c>
      <c r="D434" s="8" t="s">
        <v>163</v>
      </c>
      <c r="E434" s="150" t="s">
        <v>83</v>
      </c>
      <c r="F434" s="151" t="s">
        <v>56</v>
      </c>
      <c r="G434" s="152">
        <v>91</v>
      </c>
      <c r="H434" s="152">
        <v>5</v>
      </c>
      <c r="I434" s="153">
        <v>90</v>
      </c>
      <c r="J434" s="145" t="s">
        <v>852</v>
      </c>
      <c r="K434" s="153">
        <v>-15.554009523809521</v>
      </c>
      <c r="L434" s="153">
        <v>-11.33097212020585</v>
      </c>
      <c r="M434" s="153">
        <v>-6.81</v>
      </c>
      <c r="N434" s="2" t="s">
        <v>57</v>
      </c>
      <c r="O434" s="2"/>
      <c r="P434" s="2" t="s">
        <v>51</v>
      </c>
    </row>
    <row r="435" spans="1:16" ht="16.5" customHeight="1" x14ac:dyDescent="0.25">
      <c r="A435" s="2" t="s">
        <v>853</v>
      </c>
      <c r="B435" s="8" t="s">
        <v>854</v>
      </c>
      <c r="C435" s="8" t="s">
        <v>749</v>
      </c>
      <c r="D435" s="8" t="s">
        <v>163</v>
      </c>
      <c r="E435" s="150" t="s">
        <v>563</v>
      </c>
      <c r="F435" s="151" t="s">
        <v>103</v>
      </c>
      <c r="G435" s="152">
        <v>88</v>
      </c>
      <c r="H435" s="152">
        <v>3</v>
      </c>
      <c r="I435" s="153">
        <v>122</v>
      </c>
      <c r="J435" s="145" t="s">
        <v>855</v>
      </c>
      <c r="K435" s="153">
        <v>-13.171749999999999</v>
      </c>
      <c r="L435" s="153">
        <v>-46.65676619233296</v>
      </c>
      <c r="M435" s="153"/>
      <c r="N435" s="2" t="s">
        <v>57</v>
      </c>
      <c r="O435" s="2"/>
      <c r="P435" s="2" t="s">
        <v>51</v>
      </c>
    </row>
    <row r="436" spans="1:16" ht="16.5" customHeight="1" x14ac:dyDescent="0.25">
      <c r="A436" s="2" t="s">
        <v>856</v>
      </c>
      <c r="B436" s="8" t="s">
        <v>857</v>
      </c>
      <c r="C436" s="8" t="s">
        <v>858</v>
      </c>
      <c r="D436" s="8" t="s">
        <v>278</v>
      </c>
      <c r="E436" s="150" t="s">
        <v>102</v>
      </c>
      <c r="F436" s="151" t="s">
        <v>103</v>
      </c>
      <c r="G436" s="152">
        <v>13</v>
      </c>
      <c r="H436" s="152">
        <v>32</v>
      </c>
      <c r="I436" s="153">
        <v>138.85</v>
      </c>
      <c r="J436" s="145" t="s">
        <v>859</v>
      </c>
      <c r="K436" s="153">
        <v>-22.550509259259261</v>
      </c>
      <c r="L436" s="153">
        <v>-59.787313249318103</v>
      </c>
      <c r="M436" s="153"/>
      <c r="N436" s="2" t="s">
        <v>57</v>
      </c>
      <c r="O436" s="2"/>
      <c r="P436" s="2" t="s">
        <v>51</v>
      </c>
    </row>
    <row r="437" spans="1:16" ht="16.5" customHeight="1" x14ac:dyDescent="0.25">
      <c r="A437" s="2" t="s">
        <v>860</v>
      </c>
      <c r="B437" s="8" t="s">
        <v>861</v>
      </c>
      <c r="C437" s="8" t="s">
        <v>718</v>
      </c>
      <c r="D437" s="8" t="s">
        <v>278</v>
      </c>
      <c r="E437" s="150" t="s">
        <v>511</v>
      </c>
      <c r="F437" s="151" t="s">
        <v>103</v>
      </c>
      <c r="G437" s="152">
        <v>0</v>
      </c>
      <c r="H437" s="152"/>
      <c r="I437" s="153">
        <v>51.34</v>
      </c>
      <c r="J437" s="145" t="s">
        <v>862</v>
      </c>
      <c r="K437" s="153" t="s">
        <v>86</v>
      </c>
      <c r="L437" s="153" t="s">
        <v>86</v>
      </c>
      <c r="M437" s="153"/>
      <c r="N437" s="2" t="s">
        <v>57</v>
      </c>
      <c r="O437" s="2"/>
      <c r="P437" s="2"/>
    </row>
    <row r="438" spans="1:16" ht="16.5" customHeight="1" x14ac:dyDescent="0.25">
      <c r="A438" s="2" t="s">
        <v>863</v>
      </c>
      <c r="B438" s="8" t="s">
        <v>864</v>
      </c>
      <c r="C438" s="8" t="s">
        <v>865</v>
      </c>
      <c r="D438" s="8" t="s">
        <v>278</v>
      </c>
      <c r="E438" s="150" t="s">
        <v>102</v>
      </c>
      <c r="F438" s="151" t="s">
        <v>103</v>
      </c>
      <c r="G438" s="152">
        <v>1</v>
      </c>
      <c r="H438" s="152">
        <v>399</v>
      </c>
      <c r="I438" s="153">
        <v>57.81</v>
      </c>
      <c r="J438" s="145" t="s">
        <v>866</v>
      </c>
      <c r="K438" s="153" t="s">
        <v>86</v>
      </c>
      <c r="L438" s="153" t="s">
        <v>86</v>
      </c>
      <c r="M438" s="153"/>
      <c r="N438" s="2" t="s">
        <v>57</v>
      </c>
      <c r="O438" s="2"/>
      <c r="P438" s="10"/>
    </row>
    <row r="439" spans="1:16" ht="16.5" customHeight="1" x14ac:dyDescent="0.25">
      <c r="A439" s="2" t="s">
        <v>867</v>
      </c>
      <c r="B439" s="8" t="s">
        <v>868</v>
      </c>
      <c r="C439" s="8" t="s">
        <v>718</v>
      </c>
      <c r="D439" s="8" t="s">
        <v>869</v>
      </c>
      <c r="E439" s="150" t="s">
        <v>13772</v>
      </c>
      <c r="F439" s="151" t="s">
        <v>103</v>
      </c>
      <c r="G439" s="152">
        <v>5</v>
      </c>
      <c r="H439" s="152">
        <v>416</v>
      </c>
      <c r="I439" s="153">
        <v>2.4500000000000002</v>
      </c>
      <c r="J439" s="145" t="s">
        <v>870</v>
      </c>
      <c r="K439" s="153">
        <v>-0.6</v>
      </c>
      <c r="L439" s="153" t="s">
        <v>86</v>
      </c>
      <c r="M439" s="153"/>
      <c r="N439" s="2" t="s">
        <v>57</v>
      </c>
      <c r="O439" s="2"/>
      <c r="P439" s="10"/>
    </row>
    <row r="440" spans="1:16" ht="16.5" customHeight="1" x14ac:dyDescent="0.25">
      <c r="A440" s="2" t="s">
        <v>871</v>
      </c>
      <c r="B440" s="8" t="s">
        <v>872</v>
      </c>
      <c r="C440" s="8" t="s">
        <v>718</v>
      </c>
      <c r="D440" s="8" t="s">
        <v>869</v>
      </c>
      <c r="E440" s="150" t="s">
        <v>13772</v>
      </c>
      <c r="F440" s="151" t="s">
        <v>103</v>
      </c>
      <c r="G440" s="152">
        <v>3</v>
      </c>
      <c r="H440" s="152">
        <v>406</v>
      </c>
      <c r="I440" s="153">
        <v>6.16</v>
      </c>
      <c r="J440" s="145" t="s">
        <v>873</v>
      </c>
      <c r="K440" s="153">
        <v>-0.85799999999999998</v>
      </c>
      <c r="L440" s="153" t="s">
        <v>86</v>
      </c>
      <c r="M440" s="153"/>
      <c r="N440" s="2" t="s">
        <v>57</v>
      </c>
      <c r="O440" s="2"/>
      <c r="P440" s="10"/>
    </row>
    <row r="441" spans="1:16" ht="16.5" customHeight="1" x14ac:dyDescent="0.25">
      <c r="A441" s="2" t="s">
        <v>874</v>
      </c>
      <c r="B441" s="8" t="s">
        <v>875</v>
      </c>
      <c r="C441" s="8" t="s">
        <v>718</v>
      </c>
      <c r="D441" s="8" t="s">
        <v>869</v>
      </c>
      <c r="E441" s="150" t="s">
        <v>13772</v>
      </c>
      <c r="F441" s="151" t="s">
        <v>103</v>
      </c>
      <c r="G441" s="152">
        <v>3</v>
      </c>
      <c r="H441" s="152">
        <v>303</v>
      </c>
      <c r="I441" s="153">
        <v>11.59</v>
      </c>
      <c r="J441" s="145" t="s">
        <v>876</v>
      </c>
      <c r="K441" s="153">
        <v>-1.5128571428571429</v>
      </c>
      <c r="L441" s="153" t="s">
        <v>86</v>
      </c>
      <c r="M441" s="153"/>
      <c r="N441" s="2" t="s">
        <v>57</v>
      </c>
      <c r="O441" s="2"/>
      <c r="P441" s="10"/>
    </row>
    <row r="442" spans="1:16" ht="16.5" customHeight="1" x14ac:dyDescent="0.25">
      <c r="A442" s="2" t="s">
        <v>877</v>
      </c>
      <c r="B442" s="8" t="s">
        <v>878</v>
      </c>
      <c r="C442" s="8" t="s">
        <v>718</v>
      </c>
      <c r="D442" s="8" t="s">
        <v>869</v>
      </c>
      <c r="E442" s="150" t="s">
        <v>13772</v>
      </c>
      <c r="F442" s="151" t="s">
        <v>103</v>
      </c>
      <c r="G442" s="152">
        <v>6</v>
      </c>
      <c r="H442" s="152">
        <v>387</v>
      </c>
      <c r="I442" s="153">
        <v>2.72</v>
      </c>
      <c r="J442" s="145" t="s">
        <v>879</v>
      </c>
      <c r="K442" s="153">
        <v>-0.74450000000000005</v>
      </c>
      <c r="L442" s="153" t="s">
        <v>86</v>
      </c>
      <c r="M442" s="153"/>
      <c r="N442" s="2" t="s">
        <v>57</v>
      </c>
      <c r="O442" s="2"/>
      <c r="P442" s="10"/>
    </row>
    <row r="443" spans="1:16" ht="16.5" customHeight="1" x14ac:dyDescent="0.25">
      <c r="A443" s="2" t="s">
        <v>880</v>
      </c>
      <c r="B443" s="8" t="s">
        <v>881</v>
      </c>
      <c r="C443" s="8" t="s">
        <v>718</v>
      </c>
      <c r="D443" s="8" t="s">
        <v>869</v>
      </c>
      <c r="E443" s="150" t="s">
        <v>13772</v>
      </c>
      <c r="F443" s="151" t="s">
        <v>103</v>
      </c>
      <c r="G443" s="152">
        <v>2</v>
      </c>
      <c r="H443" s="152">
        <v>438</v>
      </c>
      <c r="I443" s="153">
        <v>6</v>
      </c>
      <c r="J443" s="145" t="s">
        <v>882</v>
      </c>
      <c r="K443" s="153">
        <v>-0.84299999999999997</v>
      </c>
      <c r="L443" s="153" t="s">
        <v>86</v>
      </c>
      <c r="M443" s="153"/>
      <c r="N443" s="2" t="s">
        <v>57</v>
      </c>
      <c r="O443" s="2"/>
      <c r="P443" s="10"/>
    </row>
    <row r="444" spans="1:16" ht="16.5" customHeight="1" x14ac:dyDescent="0.25">
      <c r="A444" s="2" t="s">
        <v>883</v>
      </c>
      <c r="B444" s="8" t="s">
        <v>884</v>
      </c>
      <c r="C444" s="8" t="s">
        <v>865</v>
      </c>
      <c r="D444" s="8" t="s">
        <v>278</v>
      </c>
      <c r="E444" s="150" t="s">
        <v>885</v>
      </c>
      <c r="F444" s="151" t="s">
        <v>103</v>
      </c>
      <c r="G444" s="152">
        <v>0</v>
      </c>
      <c r="H444" s="152">
        <v>473</v>
      </c>
      <c r="I444" s="153">
        <v>222.25</v>
      </c>
      <c r="J444" s="145" t="s">
        <v>886</v>
      </c>
      <c r="K444" s="153" t="s">
        <v>86</v>
      </c>
      <c r="L444" s="153">
        <v>-53.838891203637083</v>
      </c>
      <c r="M444" s="153"/>
      <c r="N444" s="2" t="s">
        <v>57</v>
      </c>
      <c r="O444" s="2"/>
      <c r="P444" s="2"/>
    </row>
    <row r="445" spans="1:16" ht="16.5" customHeight="1" x14ac:dyDescent="0.25">
      <c r="A445" s="2" t="s">
        <v>887</v>
      </c>
      <c r="B445" s="8" t="s">
        <v>888</v>
      </c>
      <c r="C445" s="8" t="s">
        <v>714</v>
      </c>
      <c r="D445" s="8" t="s">
        <v>278</v>
      </c>
      <c r="E445" s="150" t="s">
        <v>13772</v>
      </c>
      <c r="F445" s="151" t="s">
        <v>103</v>
      </c>
      <c r="G445" s="152">
        <v>1</v>
      </c>
      <c r="H445" s="152">
        <v>373</v>
      </c>
      <c r="I445" s="153">
        <v>43.21</v>
      </c>
      <c r="J445" s="145" t="s">
        <v>889</v>
      </c>
      <c r="K445" s="153" t="s">
        <v>86</v>
      </c>
      <c r="L445" s="153" t="s">
        <v>86</v>
      </c>
      <c r="M445" s="153"/>
      <c r="N445" s="2" t="s">
        <v>57</v>
      </c>
      <c r="O445" s="2"/>
      <c r="P445" s="10"/>
    </row>
    <row r="446" spans="1:16" ht="16.5" customHeight="1" x14ac:dyDescent="0.25">
      <c r="A446" s="2" t="s">
        <v>890</v>
      </c>
      <c r="B446" s="8" t="s">
        <v>891</v>
      </c>
      <c r="C446" s="8" t="s">
        <v>718</v>
      </c>
      <c r="D446" s="8" t="s">
        <v>869</v>
      </c>
      <c r="E446" s="150" t="s">
        <v>13772</v>
      </c>
      <c r="F446" s="151" t="s">
        <v>103</v>
      </c>
      <c r="G446" s="152">
        <v>7</v>
      </c>
      <c r="H446" s="152">
        <v>502</v>
      </c>
      <c r="I446" s="153">
        <v>1.64</v>
      </c>
      <c r="J446" s="145" t="s">
        <v>892</v>
      </c>
      <c r="K446" s="153">
        <v>-0.61</v>
      </c>
      <c r="L446" s="153" t="s">
        <v>86</v>
      </c>
      <c r="M446" s="153"/>
      <c r="N446" s="2" t="s">
        <v>57</v>
      </c>
      <c r="O446" s="2"/>
      <c r="P446" s="10"/>
    </row>
    <row r="447" spans="1:16" ht="16.5" customHeight="1" x14ac:dyDescent="0.25">
      <c r="A447" s="2" t="s">
        <v>893</v>
      </c>
      <c r="B447" s="8" t="s">
        <v>894</v>
      </c>
      <c r="C447" s="8" t="s">
        <v>718</v>
      </c>
      <c r="D447" s="8" t="s">
        <v>869</v>
      </c>
      <c r="E447" s="150" t="s">
        <v>13772</v>
      </c>
      <c r="F447" s="151" t="s">
        <v>103</v>
      </c>
      <c r="G447" s="152">
        <v>2</v>
      </c>
      <c r="H447" s="152">
        <v>566</v>
      </c>
      <c r="I447" s="153">
        <v>6.16</v>
      </c>
      <c r="J447" s="145" t="s">
        <v>895</v>
      </c>
      <c r="K447" s="153">
        <v>-1.3563333333333329</v>
      </c>
      <c r="L447" s="153" t="s">
        <v>86</v>
      </c>
      <c r="M447" s="153"/>
      <c r="N447" s="2" t="s">
        <v>57</v>
      </c>
      <c r="O447" s="2"/>
      <c r="P447" s="10"/>
    </row>
    <row r="448" spans="1:16" ht="16.5" customHeight="1" x14ac:dyDescent="0.25">
      <c r="A448" s="2" t="s">
        <v>896</v>
      </c>
      <c r="B448" s="8" t="s">
        <v>897</v>
      </c>
      <c r="C448" s="8" t="s">
        <v>749</v>
      </c>
      <c r="D448" s="8" t="s">
        <v>163</v>
      </c>
      <c r="E448" s="150" t="s">
        <v>563</v>
      </c>
      <c r="F448" s="151" t="s">
        <v>103</v>
      </c>
      <c r="G448" s="152">
        <v>1</v>
      </c>
      <c r="H448" s="152"/>
      <c r="I448" s="153">
        <v>14</v>
      </c>
      <c r="J448" s="145" t="s">
        <v>898</v>
      </c>
      <c r="K448" s="153" t="s">
        <v>86</v>
      </c>
      <c r="L448" s="153" t="s">
        <v>86</v>
      </c>
      <c r="M448" s="153"/>
      <c r="N448" s="2" t="s">
        <v>57</v>
      </c>
      <c r="O448" s="2"/>
      <c r="P448" s="10"/>
    </row>
    <row r="449" spans="1:16" ht="16.5" customHeight="1" x14ac:dyDescent="0.25">
      <c r="A449" s="2" t="s">
        <v>899</v>
      </c>
      <c r="B449" s="8" t="s">
        <v>900</v>
      </c>
      <c r="C449" s="8" t="s">
        <v>865</v>
      </c>
      <c r="D449" s="8" t="s">
        <v>148</v>
      </c>
      <c r="E449" s="150" t="s">
        <v>563</v>
      </c>
      <c r="F449" s="151" t="s">
        <v>103</v>
      </c>
      <c r="G449" s="152">
        <v>1</v>
      </c>
      <c r="H449" s="152">
        <v>794</v>
      </c>
      <c r="I449" s="153">
        <v>5.65</v>
      </c>
      <c r="J449" s="145" t="s">
        <v>901</v>
      </c>
      <c r="K449" s="153" t="s">
        <v>86</v>
      </c>
      <c r="L449" s="153" t="s">
        <v>86</v>
      </c>
      <c r="M449" s="153"/>
      <c r="N449" s="2" t="s">
        <v>57</v>
      </c>
      <c r="O449" s="2"/>
      <c r="P449" s="2"/>
    </row>
    <row r="450" spans="1:16" ht="16.5" customHeight="1" x14ac:dyDescent="0.25">
      <c r="A450" s="2" t="s">
        <v>902</v>
      </c>
      <c r="B450" s="8" t="s">
        <v>903</v>
      </c>
      <c r="C450" s="8" t="s">
        <v>718</v>
      </c>
      <c r="D450" s="8" t="s">
        <v>869</v>
      </c>
      <c r="E450" s="150" t="s">
        <v>13772</v>
      </c>
      <c r="F450" s="151" t="s">
        <v>103</v>
      </c>
      <c r="G450" s="152">
        <v>3</v>
      </c>
      <c r="H450" s="152">
        <v>457</v>
      </c>
      <c r="I450" s="153">
        <v>11.59</v>
      </c>
      <c r="J450" s="145" t="s">
        <v>904</v>
      </c>
      <c r="K450" s="153">
        <v>-1.5128571428571429</v>
      </c>
      <c r="L450" s="153" t="s">
        <v>86</v>
      </c>
      <c r="M450" s="153"/>
      <c r="N450" s="2" t="s">
        <v>57</v>
      </c>
      <c r="O450" s="2"/>
      <c r="P450" s="2"/>
    </row>
    <row r="451" spans="1:16" ht="16.5" customHeight="1" x14ac:dyDescent="0.25">
      <c r="A451" s="2" t="s">
        <v>905</v>
      </c>
      <c r="B451" s="8" t="s">
        <v>906</v>
      </c>
      <c r="C451" s="8" t="s">
        <v>907</v>
      </c>
      <c r="D451" s="8" t="s">
        <v>908</v>
      </c>
      <c r="E451" s="150" t="s">
        <v>563</v>
      </c>
      <c r="F451" s="151" t="s">
        <v>103</v>
      </c>
      <c r="G451" s="152">
        <v>2</v>
      </c>
      <c r="H451" s="152">
        <v>497</v>
      </c>
      <c r="I451" s="153">
        <v>17.18</v>
      </c>
      <c r="J451" s="145" t="s">
        <v>909</v>
      </c>
      <c r="K451" s="153" t="s">
        <v>86</v>
      </c>
      <c r="L451" s="153" t="s">
        <v>86</v>
      </c>
      <c r="M451" s="153"/>
      <c r="N451" s="2" t="s">
        <v>57</v>
      </c>
      <c r="O451" s="2"/>
      <c r="P451" s="2"/>
    </row>
    <row r="452" spans="1:16" ht="16.5" customHeight="1" x14ac:dyDescent="0.25">
      <c r="A452" s="2" t="s">
        <v>910</v>
      </c>
      <c r="B452" s="8" t="s">
        <v>911</v>
      </c>
      <c r="C452" s="8" t="s">
        <v>907</v>
      </c>
      <c r="D452" s="8" t="s">
        <v>908</v>
      </c>
      <c r="E452" s="150" t="s">
        <v>563</v>
      </c>
      <c r="F452" s="151" t="s">
        <v>103</v>
      </c>
      <c r="G452" s="152">
        <v>6</v>
      </c>
      <c r="H452" s="152">
        <v>312</v>
      </c>
      <c r="I452" s="153">
        <v>19.16</v>
      </c>
      <c r="J452" s="145" t="s">
        <v>912</v>
      </c>
      <c r="K452" s="153" t="s">
        <v>86</v>
      </c>
      <c r="L452" s="153" t="s">
        <v>86</v>
      </c>
      <c r="M452" s="153"/>
      <c r="N452" s="2" t="s">
        <v>57</v>
      </c>
      <c r="O452" s="2"/>
      <c r="P452" s="10"/>
    </row>
    <row r="453" spans="1:16" ht="16.5" customHeight="1" x14ac:dyDescent="0.25">
      <c r="A453" s="2" t="s">
        <v>913</v>
      </c>
      <c r="B453" s="8" t="s">
        <v>914</v>
      </c>
      <c r="C453" s="8" t="s">
        <v>749</v>
      </c>
      <c r="D453" s="8" t="s">
        <v>166</v>
      </c>
      <c r="E453" s="150" t="s">
        <v>563</v>
      </c>
      <c r="F453" s="151" t="s">
        <v>103</v>
      </c>
      <c r="G453" s="152">
        <v>1</v>
      </c>
      <c r="H453" s="152">
        <v>403</v>
      </c>
      <c r="I453" s="153">
        <v>28</v>
      </c>
      <c r="J453" s="145" t="s">
        <v>915</v>
      </c>
      <c r="K453" s="153" t="s">
        <v>86</v>
      </c>
      <c r="L453" s="153" t="s">
        <v>86</v>
      </c>
      <c r="M453" s="153"/>
      <c r="N453" s="2" t="s">
        <v>57</v>
      </c>
      <c r="O453" s="2"/>
      <c r="P453" s="2"/>
    </row>
    <row r="454" spans="1:16" ht="16.5" customHeight="1" x14ac:dyDescent="0.25">
      <c r="A454" s="2" t="s">
        <v>916</v>
      </c>
      <c r="B454" s="8" t="s">
        <v>917</v>
      </c>
      <c r="C454" s="8" t="s">
        <v>865</v>
      </c>
      <c r="D454" s="8" t="s">
        <v>278</v>
      </c>
      <c r="E454" s="150" t="s">
        <v>102</v>
      </c>
      <c r="F454" s="151" t="s">
        <v>103</v>
      </c>
      <c r="G454" s="152">
        <v>8</v>
      </c>
      <c r="H454" s="152">
        <v>905</v>
      </c>
      <c r="I454" s="153">
        <v>34.07</v>
      </c>
      <c r="J454" s="145" t="s">
        <v>918</v>
      </c>
      <c r="K454" s="153" t="s">
        <v>86</v>
      </c>
      <c r="L454" s="153" t="s">
        <v>86</v>
      </c>
      <c r="M454" s="153"/>
      <c r="N454" s="2" t="s">
        <v>57</v>
      </c>
      <c r="O454" s="2"/>
      <c r="P454" s="2"/>
    </row>
    <row r="455" spans="1:16" ht="16.5" customHeight="1" x14ac:dyDescent="0.25">
      <c r="A455" s="2" t="s">
        <v>919</v>
      </c>
      <c r="B455" s="8" t="s">
        <v>920</v>
      </c>
      <c r="C455" s="8" t="s">
        <v>865</v>
      </c>
      <c r="D455" s="8" t="s">
        <v>148</v>
      </c>
      <c r="E455" s="150" t="s">
        <v>563</v>
      </c>
      <c r="F455" s="151" t="s">
        <v>103</v>
      </c>
      <c r="G455" s="152">
        <v>1</v>
      </c>
      <c r="H455" s="152">
        <v>565</v>
      </c>
      <c r="I455" s="153">
        <v>7</v>
      </c>
      <c r="J455" s="145" t="s">
        <v>921</v>
      </c>
      <c r="K455" s="153" t="s">
        <v>86</v>
      </c>
      <c r="L455" s="153" t="s">
        <v>86</v>
      </c>
      <c r="M455" s="153"/>
      <c r="N455" s="2" t="s">
        <v>57</v>
      </c>
      <c r="O455" s="2"/>
      <c r="P455" s="10"/>
    </row>
    <row r="456" spans="1:16" ht="16.5" customHeight="1" x14ac:dyDescent="0.25">
      <c r="A456" s="2" t="s">
        <v>922</v>
      </c>
      <c r="B456" s="8" t="s">
        <v>923</v>
      </c>
      <c r="C456" s="8" t="s">
        <v>101</v>
      </c>
      <c r="D456" s="8" t="s">
        <v>148</v>
      </c>
      <c r="E456" s="150" t="s">
        <v>83</v>
      </c>
      <c r="F456" s="151" t="s">
        <v>56</v>
      </c>
      <c r="G456" s="152">
        <v>1</v>
      </c>
      <c r="H456" s="152">
        <v>386</v>
      </c>
      <c r="I456" s="153">
        <v>14.18</v>
      </c>
      <c r="J456" s="145" t="s">
        <v>924</v>
      </c>
      <c r="K456" s="153">
        <v>-8.0258333333333347</v>
      </c>
      <c r="L456" s="153" t="s">
        <v>86</v>
      </c>
      <c r="M456" s="153"/>
      <c r="N456" s="2" t="s">
        <v>57</v>
      </c>
      <c r="O456" s="2"/>
      <c r="P456" s="10"/>
    </row>
    <row r="457" spans="1:16" ht="16.5" customHeight="1" x14ac:dyDescent="0.25">
      <c r="A457" s="2" t="s">
        <v>925</v>
      </c>
      <c r="B457" s="8" t="s">
        <v>926</v>
      </c>
      <c r="C457" s="8" t="s">
        <v>823</v>
      </c>
      <c r="D457" s="8" t="s">
        <v>296</v>
      </c>
      <c r="E457" s="150" t="s">
        <v>563</v>
      </c>
      <c r="F457" s="151" t="s">
        <v>103</v>
      </c>
      <c r="G457" s="152">
        <v>0</v>
      </c>
      <c r="H457" s="152"/>
      <c r="I457" s="153">
        <v>14.24</v>
      </c>
      <c r="J457" s="145" t="s">
        <v>927</v>
      </c>
      <c r="K457" s="153" t="s">
        <v>86</v>
      </c>
      <c r="L457" s="153" t="s">
        <v>86</v>
      </c>
      <c r="M457" s="153"/>
      <c r="N457" s="2" t="s">
        <v>57</v>
      </c>
      <c r="O457" s="2"/>
      <c r="P457" s="2"/>
    </row>
    <row r="458" spans="1:16" ht="16.5" customHeight="1" x14ac:dyDescent="0.25">
      <c r="A458" s="2" t="s">
        <v>928</v>
      </c>
      <c r="B458" s="8" t="s">
        <v>929</v>
      </c>
      <c r="C458" s="8" t="s">
        <v>823</v>
      </c>
      <c r="D458" s="8" t="s">
        <v>296</v>
      </c>
      <c r="E458" s="150" t="s">
        <v>563</v>
      </c>
      <c r="F458" s="151" t="s">
        <v>103</v>
      </c>
      <c r="G458" s="152">
        <v>1</v>
      </c>
      <c r="H458" s="152">
        <v>613</v>
      </c>
      <c r="I458" s="153">
        <v>22.18</v>
      </c>
      <c r="J458" s="145" t="s">
        <v>930</v>
      </c>
      <c r="K458" s="153" t="s">
        <v>86</v>
      </c>
      <c r="L458" s="153" t="s">
        <v>86</v>
      </c>
      <c r="M458" s="153"/>
      <c r="N458" s="2" t="s">
        <v>57</v>
      </c>
      <c r="O458" s="2"/>
      <c r="P458" s="10"/>
    </row>
    <row r="459" spans="1:16" ht="16.5" customHeight="1" x14ac:dyDescent="0.25">
      <c r="A459" s="2" t="s">
        <v>931</v>
      </c>
      <c r="B459" s="8" t="s">
        <v>932</v>
      </c>
      <c r="C459" s="8" t="s">
        <v>933</v>
      </c>
      <c r="D459" s="8" t="s">
        <v>278</v>
      </c>
      <c r="E459" s="150" t="s">
        <v>511</v>
      </c>
      <c r="F459" s="151" t="s">
        <v>103</v>
      </c>
      <c r="G459" s="152">
        <v>10</v>
      </c>
      <c r="H459" s="152">
        <v>73</v>
      </c>
      <c r="I459" s="153">
        <v>55.99</v>
      </c>
      <c r="J459" s="145" t="s">
        <v>934</v>
      </c>
      <c r="K459" s="153">
        <v>-10.607749999999999</v>
      </c>
      <c r="L459" s="153">
        <v>-14.28</v>
      </c>
      <c r="M459" s="153"/>
      <c r="N459" s="2" t="s">
        <v>57</v>
      </c>
      <c r="O459" s="2" t="s">
        <v>935</v>
      </c>
      <c r="P459" s="2" t="s">
        <v>51</v>
      </c>
    </row>
    <row r="460" spans="1:16" ht="16.5" customHeight="1" x14ac:dyDescent="0.25">
      <c r="A460" s="2" t="s">
        <v>936</v>
      </c>
      <c r="B460" s="8" t="s">
        <v>937</v>
      </c>
      <c r="C460" s="8">
        <v>45590</v>
      </c>
      <c r="D460" s="8" t="s">
        <v>163</v>
      </c>
      <c r="E460" s="150" t="s">
        <v>563</v>
      </c>
      <c r="F460" s="151" t="s">
        <v>103</v>
      </c>
      <c r="G460" s="152">
        <v>0</v>
      </c>
      <c r="H460" s="152">
        <v>550</v>
      </c>
      <c r="I460" s="153">
        <v>70.05</v>
      </c>
      <c r="J460" s="145" t="s">
        <v>938</v>
      </c>
      <c r="K460" s="153" t="s">
        <v>86</v>
      </c>
      <c r="L460" s="153" t="s">
        <v>86</v>
      </c>
      <c r="M460" s="153"/>
      <c r="N460" s="2" t="s">
        <v>57</v>
      </c>
      <c r="O460" s="2"/>
      <c r="P460" s="10"/>
    </row>
    <row r="461" spans="1:16" ht="16.5" customHeight="1" x14ac:dyDescent="0.25">
      <c r="A461" s="2" t="s">
        <v>939</v>
      </c>
      <c r="B461" s="8" t="s">
        <v>940</v>
      </c>
      <c r="C461" s="8">
        <v>45635</v>
      </c>
      <c r="D461" s="8" t="s">
        <v>163</v>
      </c>
      <c r="E461" s="150" t="s">
        <v>563</v>
      </c>
      <c r="F461" s="151" t="s">
        <v>103</v>
      </c>
      <c r="G461" s="152">
        <v>0</v>
      </c>
      <c r="H461" s="152">
        <v>371</v>
      </c>
      <c r="I461" s="153">
        <v>78</v>
      </c>
      <c r="J461" s="145" t="s">
        <v>941</v>
      </c>
      <c r="K461" s="153" t="s">
        <v>86</v>
      </c>
      <c r="L461" s="153" t="s">
        <v>86</v>
      </c>
      <c r="M461" s="153"/>
      <c r="N461" s="2" t="s">
        <v>57</v>
      </c>
      <c r="O461" s="2"/>
      <c r="P461" s="2"/>
    </row>
    <row r="462" spans="1:16" ht="16.5" customHeight="1" x14ac:dyDescent="0.25">
      <c r="A462" s="2" t="s">
        <v>942</v>
      </c>
      <c r="B462" s="8" t="s">
        <v>943</v>
      </c>
      <c r="C462" s="8" t="s">
        <v>865</v>
      </c>
      <c r="D462" s="8" t="s">
        <v>278</v>
      </c>
      <c r="E462" s="150" t="s">
        <v>511</v>
      </c>
      <c r="F462" s="151" t="s">
        <v>103</v>
      </c>
      <c r="G462" s="152">
        <v>0</v>
      </c>
      <c r="H462" s="152">
        <v>844</v>
      </c>
      <c r="I462" s="153">
        <v>66.67</v>
      </c>
      <c r="J462" s="145" t="s">
        <v>944</v>
      </c>
      <c r="K462" s="153" t="s">
        <v>86</v>
      </c>
      <c r="L462" s="153" t="s">
        <v>86</v>
      </c>
      <c r="M462" s="153"/>
      <c r="N462" s="2" t="s">
        <v>57</v>
      </c>
      <c r="O462" s="2"/>
      <c r="P462" s="10"/>
    </row>
    <row r="463" spans="1:16" ht="16.5" customHeight="1" x14ac:dyDescent="0.25">
      <c r="A463" s="2" t="s">
        <v>945</v>
      </c>
      <c r="B463" s="8" t="s">
        <v>946</v>
      </c>
      <c r="C463" s="8" t="s">
        <v>823</v>
      </c>
      <c r="D463" s="8" t="s">
        <v>278</v>
      </c>
      <c r="E463" s="150" t="s">
        <v>102</v>
      </c>
      <c r="F463" s="151" t="s">
        <v>103</v>
      </c>
      <c r="G463" s="152">
        <v>0</v>
      </c>
      <c r="H463" s="152">
        <v>950</v>
      </c>
      <c r="I463" s="153">
        <v>21.06</v>
      </c>
      <c r="J463" s="145" t="s">
        <v>947</v>
      </c>
      <c r="K463" s="153" t="s">
        <v>86</v>
      </c>
      <c r="L463" s="153" t="s">
        <v>86</v>
      </c>
      <c r="M463" s="153"/>
      <c r="N463" s="2" t="s">
        <v>57</v>
      </c>
      <c r="O463" s="2"/>
      <c r="P463" s="2"/>
    </row>
    <row r="464" spans="1:16" ht="16.5" customHeight="1" x14ac:dyDescent="0.25">
      <c r="A464" s="2" t="s">
        <v>948</v>
      </c>
      <c r="B464" s="8" t="s">
        <v>949</v>
      </c>
      <c r="C464" s="8">
        <v>44374</v>
      </c>
      <c r="D464" s="8" t="s">
        <v>950</v>
      </c>
      <c r="E464" s="150" t="s">
        <v>13772</v>
      </c>
      <c r="F464" s="151" t="s">
        <v>103</v>
      </c>
      <c r="G464" s="152">
        <v>0</v>
      </c>
      <c r="H464" s="152"/>
      <c r="I464" s="153">
        <v>31.85</v>
      </c>
      <c r="J464" s="145" t="s">
        <v>951</v>
      </c>
      <c r="K464" s="153" t="s">
        <v>86</v>
      </c>
      <c r="L464" s="153" t="s">
        <v>86</v>
      </c>
      <c r="M464" s="153"/>
      <c r="N464" s="2" t="s">
        <v>57</v>
      </c>
      <c r="O464" s="2"/>
      <c r="P464" s="2"/>
    </row>
    <row r="465" spans="1:16" ht="16.5" customHeight="1" x14ac:dyDescent="0.25">
      <c r="A465" s="2" t="s">
        <v>952</v>
      </c>
      <c r="B465" s="8" t="s">
        <v>953</v>
      </c>
      <c r="C465" s="8">
        <v>44374</v>
      </c>
      <c r="D465" s="8" t="s">
        <v>950</v>
      </c>
      <c r="E465" s="150" t="s">
        <v>13772</v>
      </c>
      <c r="F465" s="151" t="s">
        <v>103</v>
      </c>
      <c r="G465" s="152">
        <v>0</v>
      </c>
      <c r="H465" s="152">
        <v>881</v>
      </c>
      <c r="I465" s="153">
        <v>40.74</v>
      </c>
      <c r="J465" s="145" t="s">
        <v>954</v>
      </c>
      <c r="K465" s="153" t="s">
        <v>86</v>
      </c>
      <c r="L465" s="153" t="s">
        <v>86</v>
      </c>
      <c r="M465" s="153"/>
      <c r="N465" s="2" t="s">
        <v>57</v>
      </c>
      <c r="O465" s="2"/>
      <c r="P465" s="10"/>
    </row>
    <row r="466" spans="1:16" ht="16.5" customHeight="1" x14ac:dyDescent="0.25">
      <c r="A466" s="2" t="s">
        <v>955</v>
      </c>
      <c r="B466" s="8" t="s">
        <v>956</v>
      </c>
      <c r="C466" s="8">
        <v>44374</v>
      </c>
      <c r="D466" s="8" t="s">
        <v>950</v>
      </c>
      <c r="E466" s="150" t="s">
        <v>13772</v>
      </c>
      <c r="F466" s="151" t="s">
        <v>103</v>
      </c>
      <c r="G466" s="152">
        <v>0</v>
      </c>
      <c r="H466" s="152"/>
      <c r="I466" s="153">
        <v>43.41</v>
      </c>
      <c r="J466" s="145" t="s">
        <v>957</v>
      </c>
      <c r="K466" s="153" t="s">
        <v>86</v>
      </c>
      <c r="L466" s="153" t="s">
        <v>86</v>
      </c>
      <c r="M466" s="153"/>
      <c r="N466" s="2" t="s">
        <v>57</v>
      </c>
      <c r="O466" s="2"/>
      <c r="P466" s="2"/>
    </row>
    <row r="467" spans="1:16" ht="16.5" customHeight="1" x14ac:dyDescent="0.25">
      <c r="A467" s="2" t="s">
        <v>958</v>
      </c>
      <c r="B467" s="8" t="s">
        <v>959</v>
      </c>
      <c r="C467" s="8">
        <v>44374</v>
      </c>
      <c r="D467" s="8" t="s">
        <v>950</v>
      </c>
      <c r="E467" s="150" t="s">
        <v>13772</v>
      </c>
      <c r="F467" s="151" t="s">
        <v>103</v>
      </c>
      <c r="G467" s="152">
        <v>0</v>
      </c>
      <c r="H467" s="152">
        <v>851</v>
      </c>
      <c r="I467" s="153">
        <v>57.63</v>
      </c>
      <c r="J467" s="145" t="s">
        <v>960</v>
      </c>
      <c r="K467" s="153" t="s">
        <v>86</v>
      </c>
      <c r="L467" s="153" t="s">
        <v>86</v>
      </c>
      <c r="M467" s="153"/>
      <c r="N467" s="2" t="s">
        <v>57</v>
      </c>
      <c r="O467" s="2"/>
      <c r="P467" s="2"/>
    </row>
    <row r="468" spans="1:16" ht="16.5" customHeight="1" x14ac:dyDescent="0.25">
      <c r="A468" s="2" t="s">
        <v>961</v>
      </c>
      <c r="B468" s="8" t="s">
        <v>962</v>
      </c>
      <c r="C468" s="8" t="s">
        <v>823</v>
      </c>
      <c r="D468" s="8" t="s">
        <v>278</v>
      </c>
      <c r="E468" s="150" t="s">
        <v>511</v>
      </c>
      <c r="F468" s="151" t="s">
        <v>103</v>
      </c>
      <c r="G468" s="152">
        <v>0</v>
      </c>
      <c r="H468" s="152"/>
      <c r="I468" s="153">
        <v>41.55</v>
      </c>
      <c r="J468" s="145" t="s">
        <v>963</v>
      </c>
      <c r="K468" s="153" t="s">
        <v>86</v>
      </c>
      <c r="L468" s="153" t="s">
        <v>86</v>
      </c>
      <c r="M468" s="153"/>
      <c r="N468" s="2" t="s">
        <v>57</v>
      </c>
      <c r="O468" s="2"/>
      <c r="P468" s="2"/>
    </row>
    <row r="469" spans="1:16" ht="16.5" customHeight="1" x14ac:dyDescent="0.25">
      <c r="A469" s="2" t="s">
        <v>964</v>
      </c>
      <c r="B469" s="8" t="s">
        <v>965</v>
      </c>
      <c r="C469" s="8" t="s">
        <v>823</v>
      </c>
      <c r="D469" s="8" t="s">
        <v>278</v>
      </c>
      <c r="E469" s="150" t="s">
        <v>511</v>
      </c>
      <c r="F469" s="151" t="s">
        <v>103</v>
      </c>
      <c r="G469" s="152">
        <v>0</v>
      </c>
      <c r="H469" s="152"/>
      <c r="I469" s="153">
        <v>46.63</v>
      </c>
      <c r="J469" s="145" t="s">
        <v>966</v>
      </c>
      <c r="K469" s="153" t="s">
        <v>86</v>
      </c>
      <c r="L469" s="153" t="s">
        <v>86</v>
      </c>
      <c r="M469" s="153"/>
      <c r="N469" s="2" t="s">
        <v>57</v>
      </c>
      <c r="O469" s="2"/>
      <c r="P469" s="2"/>
    </row>
    <row r="470" spans="1:16" ht="16.5" customHeight="1" x14ac:dyDescent="0.25">
      <c r="A470" s="2" t="s">
        <v>967</v>
      </c>
      <c r="B470" s="8" t="s">
        <v>968</v>
      </c>
      <c r="C470" s="8" t="s">
        <v>823</v>
      </c>
      <c r="D470" s="8" t="s">
        <v>278</v>
      </c>
      <c r="E470" s="150" t="s">
        <v>511</v>
      </c>
      <c r="F470" s="151" t="s">
        <v>103</v>
      </c>
      <c r="G470" s="152">
        <v>0</v>
      </c>
      <c r="H470" s="152">
        <v>856</v>
      </c>
      <c r="I470" s="153">
        <v>58.890000000000008</v>
      </c>
      <c r="J470" s="145" t="s">
        <v>969</v>
      </c>
      <c r="K470" s="153" t="s">
        <v>86</v>
      </c>
      <c r="L470" s="153" t="s">
        <v>86</v>
      </c>
      <c r="M470" s="153"/>
      <c r="N470" s="2" t="s">
        <v>57</v>
      </c>
      <c r="O470" s="2"/>
      <c r="P470" s="2"/>
    </row>
    <row r="471" spans="1:16" ht="16.5" customHeight="1" x14ac:dyDescent="0.25">
      <c r="A471" s="2" t="s">
        <v>970</v>
      </c>
      <c r="B471" s="8" t="s">
        <v>971</v>
      </c>
      <c r="C471" s="8" t="s">
        <v>823</v>
      </c>
      <c r="D471" s="8" t="s">
        <v>278</v>
      </c>
      <c r="E471" s="150" t="s">
        <v>511</v>
      </c>
      <c r="F471" s="151" t="s">
        <v>103</v>
      </c>
      <c r="G471" s="152">
        <v>0</v>
      </c>
      <c r="H471" s="152"/>
      <c r="I471" s="153">
        <v>67.12</v>
      </c>
      <c r="J471" s="145" t="s">
        <v>972</v>
      </c>
      <c r="K471" s="153" t="s">
        <v>86</v>
      </c>
      <c r="L471" s="153" t="s">
        <v>86</v>
      </c>
      <c r="M471" s="153"/>
      <c r="N471" s="2" t="s">
        <v>57</v>
      </c>
      <c r="O471" s="2"/>
      <c r="P471" s="2"/>
    </row>
    <row r="472" spans="1:16" ht="16.5" customHeight="1" x14ac:dyDescent="0.25">
      <c r="A472" s="2" t="s">
        <v>973</v>
      </c>
      <c r="B472" s="8" t="s">
        <v>974</v>
      </c>
      <c r="C472" s="8" t="s">
        <v>823</v>
      </c>
      <c r="D472" s="8" t="s">
        <v>278</v>
      </c>
      <c r="E472" s="150" t="s">
        <v>511</v>
      </c>
      <c r="F472" s="151" t="s">
        <v>103</v>
      </c>
      <c r="G472" s="152">
        <v>0</v>
      </c>
      <c r="H472" s="152"/>
      <c r="I472" s="153">
        <v>40.64</v>
      </c>
      <c r="J472" s="145" t="s">
        <v>975</v>
      </c>
      <c r="K472" s="153" t="s">
        <v>86</v>
      </c>
      <c r="L472" s="153" t="s">
        <v>86</v>
      </c>
      <c r="M472" s="153"/>
      <c r="N472" s="2" t="s">
        <v>57</v>
      </c>
      <c r="O472" s="2"/>
      <c r="P472" s="10"/>
    </row>
    <row r="473" spans="1:16" ht="16.5" customHeight="1" x14ac:dyDescent="0.25">
      <c r="A473" s="2" t="s">
        <v>976</v>
      </c>
      <c r="B473" s="8" t="s">
        <v>977</v>
      </c>
      <c r="C473" s="8" t="s">
        <v>823</v>
      </c>
      <c r="D473" s="8" t="s">
        <v>278</v>
      </c>
      <c r="E473" s="150" t="s">
        <v>511</v>
      </c>
      <c r="F473" s="151" t="s">
        <v>103</v>
      </c>
      <c r="G473" s="152">
        <v>1</v>
      </c>
      <c r="H473" s="152">
        <v>701</v>
      </c>
      <c r="I473" s="153">
        <v>22.35</v>
      </c>
      <c r="J473" s="145" t="s">
        <v>978</v>
      </c>
      <c r="K473" s="153" t="s">
        <v>86</v>
      </c>
      <c r="L473" s="153" t="s">
        <v>86</v>
      </c>
      <c r="M473" s="153"/>
      <c r="N473" s="2" t="s">
        <v>57</v>
      </c>
      <c r="O473" s="2"/>
      <c r="P473" s="2"/>
    </row>
    <row r="474" spans="1:16" ht="16.5" customHeight="1" x14ac:dyDescent="0.25">
      <c r="A474" s="2" t="s">
        <v>979</v>
      </c>
      <c r="B474" s="8" t="s">
        <v>980</v>
      </c>
      <c r="C474" s="8" t="s">
        <v>823</v>
      </c>
      <c r="D474" s="8" t="s">
        <v>278</v>
      </c>
      <c r="E474" s="150" t="s">
        <v>511</v>
      </c>
      <c r="F474" s="151" t="s">
        <v>103</v>
      </c>
      <c r="G474" s="152">
        <v>0</v>
      </c>
      <c r="H474" s="152">
        <v>807</v>
      </c>
      <c r="I474" s="153">
        <v>24.28</v>
      </c>
      <c r="J474" s="145" t="s">
        <v>981</v>
      </c>
      <c r="K474" s="153" t="s">
        <v>86</v>
      </c>
      <c r="L474" s="153" t="s">
        <v>86</v>
      </c>
      <c r="M474" s="153"/>
      <c r="N474" s="2" t="s">
        <v>57</v>
      </c>
      <c r="O474" s="2"/>
      <c r="P474" s="2"/>
    </row>
    <row r="475" spans="1:16" ht="16.5" customHeight="1" x14ac:dyDescent="0.25">
      <c r="A475" s="2" t="s">
        <v>982</v>
      </c>
      <c r="B475" s="8" t="s">
        <v>983</v>
      </c>
      <c r="C475" s="8" t="s">
        <v>823</v>
      </c>
      <c r="D475" s="8" t="s">
        <v>278</v>
      </c>
      <c r="E475" s="150" t="s">
        <v>511</v>
      </c>
      <c r="F475" s="151" t="s">
        <v>103</v>
      </c>
      <c r="G475" s="152">
        <v>0</v>
      </c>
      <c r="H475" s="152">
        <v>941</v>
      </c>
      <c r="I475" s="153">
        <v>27.2</v>
      </c>
      <c r="J475" s="145" t="s">
        <v>984</v>
      </c>
      <c r="K475" s="153" t="s">
        <v>86</v>
      </c>
      <c r="L475" s="153" t="s">
        <v>86</v>
      </c>
      <c r="M475" s="153"/>
      <c r="N475" s="2" t="s">
        <v>57</v>
      </c>
      <c r="O475" s="2"/>
      <c r="P475" s="2"/>
    </row>
    <row r="476" spans="1:16" ht="16.5" customHeight="1" x14ac:dyDescent="0.25">
      <c r="A476" s="2" t="s">
        <v>985</v>
      </c>
      <c r="B476" s="8" t="s">
        <v>986</v>
      </c>
      <c r="C476" s="8" t="s">
        <v>865</v>
      </c>
      <c r="D476" s="8" t="s">
        <v>278</v>
      </c>
      <c r="E476" s="150" t="s">
        <v>102</v>
      </c>
      <c r="F476" s="151" t="s">
        <v>103</v>
      </c>
      <c r="G476" s="152">
        <v>0</v>
      </c>
      <c r="H476" s="152">
        <v>434</v>
      </c>
      <c r="I476" s="153">
        <v>65.489999999999995</v>
      </c>
      <c r="J476" s="145" t="s">
        <v>987</v>
      </c>
      <c r="K476" s="153" t="s">
        <v>86</v>
      </c>
      <c r="L476" s="153" t="s">
        <v>86</v>
      </c>
      <c r="M476" s="153"/>
      <c r="N476" s="2" t="s">
        <v>57</v>
      </c>
      <c r="O476" s="2"/>
      <c r="P476" s="2"/>
    </row>
    <row r="477" spans="1:16" ht="16.5" customHeight="1" x14ac:dyDescent="0.25">
      <c r="A477" s="2" t="s">
        <v>988</v>
      </c>
      <c r="B477" s="8" t="s">
        <v>989</v>
      </c>
      <c r="C477" s="8" t="s">
        <v>990</v>
      </c>
      <c r="D477" s="8" t="s">
        <v>278</v>
      </c>
      <c r="E477" s="150" t="s">
        <v>511</v>
      </c>
      <c r="F477" s="151" t="s">
        <v>103</v>
      </c>
      <c r="G477" s="152">
        <v>4</v>
      </c>
      <c r="H477" s="152">
        <v>183</v>
      </c>
      <c r="I477" s="153">
        <v>65</v>
      </c>
      <c r="J477" s="145" t="s">
        <v>991</v>
      </c>
      <c r="K477" s="153">
        <v>-14.05274358974359</v>
      </c>
      <c r="L477" s="153" t="s">
        <v>86</v>
      </c>
      <c r="M477" s="153"/>
      <c r="N477" s="2" t="s">
        <v>57</v>
      </c>
      <c r="O477" s="2" t="s">
        <v>602</v>
      </c>
      <c r="P477" s="2" t="s">
        <v>51</v>
      </c>
    </row>
    <row r="478" spans="1:16" ht="16.5" customHeight="1" x14ac:dyDescent="0.25">
      <c r="A478" s="2" t="s">
        <v>992</v>
      </c>
      <c r="B478" s="8" t="s">
        <v>993</v>
      </c>
      <c r="C478" s="8" t="s">
        <v>714</v>
      </c>
      <c r="D478" s="8" t="s">
        <v>278</v>
      </c>
      <c r="E478" s="150" t="s">
        <v>511</v>
      </c>
      <c r="F478" s="151" t="s">
        <v>103</v>
      </c>
      <c r="G478" s="152">
        <v>0</v>
      </c>
      <c r="H478" s="152">
        <v>865</v>
      </c>
      <c r="I478" s="153">
        <v>32.15</v>
      </c>
      <c r="J478" s="145" t="s">
        <v>994</v>
      </c>
      <c r="K478" s="153" t="s">
        <v>86</v>
      </c>
      <c r="L478" s="153" t="s">
        <v>86</v>
      </c>
      <c r="M478" s="153"/>
      <c r="N478" s="2" t="s">
        <v>57</v>
      </c>
      <c r="O478" s="2"/>
      <c r="P478" s="2"/>
    </row>
    <row r="479" spans="1:16" ht="16.5" customHeight="1" x14ac:dyDescent="0.25">
      <c r="A479" s="2" t="s">
        <v>995</v>
      </c>
      <c r="B479" s="8" t="s">
        <v>996</v>
      </c>
      <c r="C479" s="8" t="s">
        <v>823</v>
      </c>
      <c r="D479" s="8" t="s">
        <v>278</v>
      </c>
      <c r="E479" s="150" t="s">
        <v>511</v>
      </c>
      <c r="F479" s="151" t="s">
        <v>103</v>
      </c>
      <c r="G479" s="152">
        <v>0</v>
      </c>
      <c r="H479" s="152"/>
      <c r="I479" s="153">
        <v>38.090000000000003</v>
      </c>
      <c r="J479" s="145" t="s">
        <v>997</v>
      </c>
      <c r="K479" s="153" t="s">
        <v>86</v>
      </c>
      <c r="L479" s="153" t="s">
        <v>86</v>
      </c>
      <c r="M479" s="153"/>
      <c r="N479" s="2" t="s">
        <v>57</v>
      </c>
      <c r="O479" s="2"/>
      <c r="P479" s="10"/>
    </row>
    <row r="480" spans="1:16" ht="16.5" customHeight="1" x14ac:dyDescent="0.25">
      <c r="A480" s="2" t="s">
        <v>998</v>
      </c>
      <c r="B480" s="8" t="s">
        <v>999</v>
      </c>
      <c r="C480" s="8" t="s">
        <v>718</v>
      </c>
      <c r="D480" s="8" t="s">
        <v>91</v>
      </c>
      <c r="E480" s="150" t="s">
        <v>511</v>
      </c>
      <c r="F480" s="151" t="s">
        <v>103</v>
      </c>
      <c r="G480" s="152">
        <v>9</v>
      </c>
      <c r="H480" s="152">
        <v>145</v>
      </c>
      <c r="I480" s="153">
        <v>53.73</v>
      </c>
      <c r="J480" s="145" t="s">
        <v>1000</v>
      </c>
      <c r="K480" s="153">
        <v>-20.837499999999999</v>
      </c>
      <c r="L480" s="153" t="s">
        <v>86</v>
      </c>
      <c r="M480" s="153"/>
      <c r="N480" s="2" t="s">
        <v>57</v>
      </c>
      <c r="O480" s="2"/>
      <c r="P480" s="10"/>
    </row>
    <row r="481" spans="1:16" ht="16.5" customHeight="1" x14ac:dyDescent="0.25">
      <c r="A481" s="2" t="s">
        <v>1001</v>
      </c>
      <c r="B481" s="8" t="s">
        <v>1002</v>
      </c>
      <c r="C481" s="8" t="s">
        <v>1003</v>
      </c>
      <c r="D481" s="8" t="s">
        <v>278</v>
      </c>
      <c r="E481" s="150" t="s">
        <v>511</v>
      </c>
      <c r="F481" s="151" t="s">
        <v>103</v>
      </c>
      <c r="G481" s="152">
        <v>4</v>
      </c>
      <c r="H481" s="152">
        <v>367</v>
      </c>
      <c r="I481" s="153">
        <v>46.39</v>
      </c>
      <c r="J481" s="145" t="s">
        <v>1004</v>
      </c>
      <c r="K481" s="153">
        <v>-11.4015</v>
      </c>
      <c r="L481" s="153">
        <v>-16.429712526102328</v>
      </c>
      <c r="M481" s="153"/>
      <c r="N481" s="2" t="s">
        <v>57</v>
      </c>
      <c r="O481" s="2" t="s">
        <v>650</v>
      </c>
      <c r="P481" s="2" t="s">
        <v>51</v>
      </c>
    </row>
    <row r="482" spans="1:16" ht="16.5" customHeight="1" x14ac:dyDescent="0.25">
      <c r="A482" s="2" t="s">
        <v>1005</v>
      </c>
      <c r="B482" s="8" t="s">
        <v>1006</v>
      </c>
      <c r="C482" s="8" t="s">
        <v>1007</v>
      </c>
      <c r="D482" s="8" t="s">
        <v>278</v>
      </c>
      <c r="E482" s="150" t="s">
        <v>511</v>
      </c>
      <c r="F482" s="151" t="s">
        <v>103</v>
      </c>
      <c r="G482" s="152">
        <v>0</v>
      </c>
      <c r="H482" s="152"/>
      <c r="I482" s="153">
        <v>61.720000000000013</v>
      </c>
      <c r="J482" s="145" t="s">
        <v>1008</v>
      </c>
      <c r="K482" s="153">
        <v>-17.579999999999998</v>
      </c>
      <c r="L482" s="153">
        <v>-24.620266781465499</v>
      </c>
      <c r="M482" s="153"/>
      <c r="N482" s="2" t="s">
        <v>57</v>
      </c>
      <c r="O482" s="2" t="s">
        <v>651</v>
      </c>
      <c r="P482" s="10"/>
    </row>
    <row r="483" spans="1:16" ht="16.5" customHeight="1" x14ac:dyDescent="0.25">
      <c r="A483" s="2" t="s">
        <v>1009</v>
      </c>
      <c r="B483" s="8" t="s">
        <v>1010</v>
      </c>
      <c r="C483" s="8" t="s">
        <v>1011</v>
      </c>
      <c r="D483" s="8" t="s">
        <v>278</v>
      </c>
      <c r="E483" s="150" t="s">
        <v>511</v>
      </c>
      <c r="F483" s="151" t="s">
        <v>103</v>
      </c>
      <c r="G483" s="152">
        <v>7</v>
      </c>
      <c r="H483" s="152">
        <v>116</v>
      </c>
      <c r="I483" s="153">
        <v>85</v>
      </c>
      <c r="J483" s="145" t="s">
        <v>1012</v>
      </c>
      <c r="K483" s="153">
        <v>-12.72</v>
      </c>
      <c r="L483" s="153">
        <v>-51.02</v>
      </c>
      <c r="M483" s="153"/>
      <c r="N483" s="2" t="s">
        <v>57</v>
      </c>
      <c r="O483" s="2" t="s">
        <v>1013</v>
      </c>
      <c r="P483" s="2" t="s">
        <v>51</v>
      </c>
    </row>
    <row r="484" spans="1:16" ht="16.5" customHeight="1" x14ac:dyDescent="0.25">
      <c r="A484" s="2" t="s">
        <v>1014</v>
      </c>
      <c r="B484" s="8" t="s">
        <v>1015</v>
      </c>
      <c r="C484" s="8" t="s">
        <v>1016</v>
      </c>
      <c r="D484" s="8" t="s">
        <v>278</v>
      </c>
      <c r="E484" s="150" t="s">
        <v>511</v>
      </c>
      <c r="F484" s="151" t="s">
        <v>103</v>
      </c>
      <c r="G484" s="152">
        <v>7</v>
      </c>
      <c r="H484" s="152">
        <v>180</v>
      </c>
      <c r="I484" s="153">
        <v>104</v>
      </c>
      <c r="J484" s="145" t="s">
        <v>1017</v>
      </c>
      <c r="K484" s="153">
        <v>-19.692777777777781</v>
      </c>
      <c r="L484" s="153">
        <v>-23.15</v>
      </c>
      <c r="M484" s="153"/>
      <c r="N484" s="2" t="s">
        <v>57</v>
      </c>
      <c r="O484" s="2" t="s">
        <v>653</v>
      </c>
      <c r="P484" s="2" t="s">
        <v>51</v>
      </c>
    </row>
    <row r="485" spans="1:16" ht="16.5" customHeight="1" x14ac:dyDescent="0.25">
      <c r="A485" s="2" t="s">
        <v>1018</v>
      </c>
      <c r="B485" s="8" t="s">
        <v>1019</v>
      </c>
      <c r="C485" s="8" t="s">
        <v>718</v>
      </c>
      <c r="D485" s="8" t="s">
        <v>869</v>
      </c>
      <c r="E485" s="150" t="s">
        <v>13772</v>
      </c>
      <c r="F485" s="151" t="s">
        <v>103</v>
      </c>
      <c r="G485" s="152">
        <v>1</v>
      </c>
      <c r="H485" s="152">
        <v>711</v>
      </c>
      <c r="I485" s="153">
        <v>11.69</v>
      </c>
      <c r="J485" s="145" t="s">
        <v>1020</v>
      </c>
      <c r="K485" s="153">
        <v>-2.0828571428571432</v>
      </c>
      <c r="L485" s="153" t="s">
        <v>86</v>
      </c>
      <c r="M485" s="153"/>
      <c r="N485" s="2" t="s">
        <v>57</v>
      </c>
      <c r="O485" s="2"/>
      <c r="P485" s="10"/>
    </row>
    <row r="486" spans="1:16" ht="16.5" customHeight="1" x14ac:dyDescent="0.25">
      <c r="A486" s="2" t="s">
        <v>1021</v>
      </c>
      <c r="B486" s="8" t="s">
        <v>1022</v>
      </c>
      <c r="C486" s="8" t="s">
        <v>865</v>
      </c>
      <c r="D486" s="8" t="s">
        <v>148</v>
      </c>
      <c r="E486" s="150" t="s">
        <v>563</v>
      </c>
      <c r="F486" s="151" t="s">
        <v>103</v>
      </c>
      <c r="G486" s="152">
        <v>3</v>
      </c>
      <c r="H486" s="152">
        <v>494</v>
      </c>
      <c r="I486" s="153">
        <v>28.44</v>
      </c>
      <c r="J486" s="145" t="s">
        <v>1023</v>
      </c>
      <c r="K486" s="153" t="s">
        <v>86</v>
      </c>
      <c r="L486" s="153" t="s">
        <v>86</v>
      </c>
      <c r="M486" s="153"/>
      <c r="N486" s="2" t="s">
        <v>57</v>
      </c>
      <c r="O486" s="2"/>
      <c r="P486" s="10"/>
    </row>
    <row r="487" spans="1:16" ht="16.5" customHeight="1" x14ac:dyDescent="0.25">
      <c r="A487" s="2" t="s">
        <v>1024</v>
      </c>
      <c r="B487" s="8" t="s">
        <v>1025</v>
      </c>
      <c r="C487" s="8" t="s">
        <v>718</v>
      </c>
      <c r="D487" s="8" t="s">
        <v>278</v>
      </c>
      <c r="E487" s="150" t="s">
        <v>13772</v>
      </c>
      <c r="F487" s="151" t="s">
        <v>103</v>
      </c>
      <c r="G487" s="152">
        <v>9</v>
      </c>
      <c r="H487" s="152">
        <v>413</v>
      </c>
      <c r="I487" s="153">
        <v>4.68</v>
      </c>
      <c r="J487" s="145" t="s">
        <v>1026</v>
      </c>
      <c r="K487" s="153">
        <v>-4.9947499999999998</v>
      </c>
      <c r="L487" s="153" t="s">
        <v>86</v>
      </c>
      <c r="M487" s="153"/>
      <c r="N487" s="2" t="s">
        <v>57</v>
      </c>
      <c r="O487" s="2"/>
      <c r="P487" s="10"/>
    </row>
    <row r="488" spans="1:16" ht="16.5" customHeight="1" x14ac:dyDescent="0.25">
      <c r="A488" s="2" t="s">
        <v>1027</v>
      </c>
      <c r="B488" s="8" t="s">
        <v>1028</v>
      </c>
      <c r="C488" s="8" t="s">
        <v>101</v>
      </c>
      <c r="D488" s="8" t="s">
        <v>148</v>
      </c>
      <c r="E488" s="150" t="s">
        <v>563</v>
      </c>
      <c r="F488" s="151" t="s">
        <v>103</v>
      </c>
      <c r="G488" s="152">
        <v>1</v>
      </c>
      <c r="H488" s="152">
        <v>604</v>
      </c>
      <c r="I488" s="153">
        <v>29.61</v>
      </c>
      <c r="J488" s="145" t="s">
        <v>1029</v>
      </c>
      <c r="K488" s="153" t="s">
        <v>86</v>
      </c>
      <c r="L488" s="153" t="s">
        <v>86</v>
      </c>
      <c r="M488" s="153"/>
      <c r="N488" s="2" t="s">
        <v>57</v>
      </c>
      <c r="O488" s="2"/>
      <c r="P488" s="10"/>
    </row>
    <row r="489" spans="1:16" ht="16.5" customHeight="1" x14ac:dyDescent="0.25">
      <c r="A489" s="2" t="s">
        <v>1030</v>
      </c>
      <c r="B489" s="8" t="s">
        <v>1031</v>
      </c>
      <c r="C489" s="8" t="s">
        <v>101</v>
      </c>
      <c r="D489" s="8" t="s">
        <v>148</v>
      </c>
      <c r="E489" s="150" t="s">
        <v>563</v>
      </c>
      <c r="F489" s="151" t="s">
        <v>103</v>
      </c>
      <c r="G489" s="152">
        <v>2</v>
      </c>
      <c r="H489" s="152">
        <v>513</v>
      </c>
      <c r="I489" s="153">
        <v>40.43</v>
      </c>
      <c r="J489" s="145" t="s">
        <v>1032</v>
      </c>
      <c r="K489" s="153" t="s">
        <v>86</v>
      </c>
      <c r="L489" s="153" t="s">
        <v>86</v>
      </c>
      <c r="M489" s="153"/>
      <c r="N489" s="2" t="s">
        <v>57</v>
      </c>
      <c r="O489" s="2"/>
      <c r="P489" s="2"/>
    </row>
    <row r="490" spans="1:16" ht="16.5" customHeight="1" x14ac:dyDescent="0.25">
      <c r="A490" s="2" t="s">
        <v>1033</v>
      </c>
      <c r="B490" s="8" t="s">
        <v>1034</v>
      </c>
      <c r="C490" s="8" t="s">
        <v>714</v>
      </c>
      <c r="D490" s="8" t="s">
        <v>278</v>
      </c>
      <c r="E490" s="150" t="s">
        <v>102</v>
      </c>
      <c r="F490" s="151" t="s">
        <v>103</v>
      </c>
      <c r="G490" s="152">
        <v>0</v>
      </c>
      <c r="H490" s="152">
        <v>724</v>
      </c>
      <c r="I490" s="153">
        <v>39.72</v>
      </c>
      <c r="J490" s="145" t="s">
        <v>1035</v>
      </c>
      <c r="K490" s="153" t="s">
        <v>86</v>
      </c>
      <c r="L490" s="153" t="s">
        <v>86</v>
      </c>
      <c r="M490" s="153"/>
      <c r="N490" s="2" t="s">
        <v>57</v>
      </c>
      <c r="O490" s="2"/>
      <c r="P490" s="10"/>
    </row>
    <row r="491" spans="1:16" ht="16.5" customHeight="1" x14ac:dyDescent="0.25">
      <c r="A491" s="2" t="s">
        <v>1036</v>
      </c>
      <c r="B491" s="8" t="s">
        <v>1037</v>
      </c>
      <c r="C491" s="8" t="s">
        <v>865</v>
      </c>
      <c r="D491" s="8" t="s">
        <v>278</v>
      </c>
      <c r="E491" s="150" t="s">
        <v>13772</v>
      </c>
      <c r="F491" s="151" t="s">
        <v>103</v>
      </c>
      <c r="G491" s="152">
        <v>0</v>
      </c>
      <c r="H491" s="152">
        <v>955</v>
      </c>
      <c r="I491" s="153">
        <v>25.48</v>
      </c>
      <c r="J491" s="145" t="s">
        <v>1038</v>
      </c>
      <c r="K491" s="153" t="s">
        <v>86</v>
      </c>
      <c r="L491" s="153" t="s">
        <v>86</v>
      </c>
      <c r="M491" s="153"/>
      <c r="N491" s="2" t="s">
        <v>57</v>
      </c>
      <c r="O491" s="2"/>
      <c r="P491" s="10"/>
    </row>
    <row r="492" spans="1:16" ht="16.5" customHeight="1" x14ac:dyDescent="0.25">
      <c r="A492" s="2" t="s">
        <v>1039</v>
      </c>
      <c r="B492" s="8" t="s">
        <v>1040</v>
      </c>
      <c r="C492" s="8" t="s">
        <v>865</v>
      </c>
      <c r="D492" s="8" t="s">
        <v>278</v>
      </c>
      <c r="E492" s="150" t="s">
        <v>102</v>
      </c>
      <c r="F492" s="151" t="s">
        <v>103</v>
      </c>
      <c r="G492" s="152">
        <v>0</v>
      </c>
      <c r="H492" s="152">
        <v>1092</v>
      </c>
      <c r="I492" s="153">
        <v>10.119999999999999</v>
      </c>
      <c r="J492" s="145" t="s">
        <v>1041</v>
      </c>
      <c r="K492" s="153" t="s">
        <v>86</v>
      </c>
      <c r="L492" s="153" t="s">
        <v>86</v>
      </c>
      <c r="M492" s="153"/>
      <c r="N492" s="2" t="s">
        <v>57</v>
      </c>
      <c r="O492" s="2"/>
      <c r="P492" s="2"/>
    </row>
    <row r="493" spans="1:16" ht="16.5" customHeight="1" x14ac:dyDescent="0.25">
      <c r="A493" s="2" t="s">
        <v>1042</v>
      </c>
      <c r="B493" s="8" t="s">
        <v>1043</v>
      </c>
      <c r="C493" s="8" t="s">
        <v>714</v>
      </c>
      <c r="D493" s="8" t="s">
        <v>278</v>
      </c>
      <c r="E493" s="150" t="s">
        <v>13772</v>
      </c>
      <c r="F493" s="151" t="s">
        <v>103</v>
      </c>
      <c r="G493" s="152">
        <v>3</v>
      </c>
      <c r="H493" s="152">
        <v>332</v>
      </c>
      <c r="I493" s="153">
        <v>39.18</v>
      </c>
      <c r="J493" s="145" t="s">
        <v>1044</v>
      </c>
      <c r="K493" s="153">
        <v>-8.1787500000000009</v>
      </c>
      <c r="L493" s="153" t="s">
        <v>86</v>
      </c>
      <c r="M493" s="153"/>
      <c r="N493" s="2" t="s">
        <v>57</v>
      </c>
      <c r="O493" s="2"/>
      <c r="P493" s="10"/>
    </row>
    <row r="494" spans="1:16" ht="16.5" customHeight="1" x14ac:dyDescent="0.25">
      <c r="A494" s="2" t="s">
        <v>1045</v>
      </c>
      <c r="B494" s="8" t="s">
        <v>1046</v>
      </c>
      <c r="C494" s="8" t="s">
        <v>1047</v>
      </c>
      <c r="D494" s="8" t="s">
        <v>278</v>
      </c>
      <c r="E494" s="150" t="s">
        <v>13772</v>
      </c>
      <c r="F494" s="151" t="s">
        <v>103</v>
      </c>
      <c r="G494" s="152">
        <v>1</v>
      </c>
      <c r="H494" s="152">
        <v>730</v>
      </c>
      <c r="I494" s="153">
        <v>91.8</v>
      </c>
      <c r="J494" s="145" t="s">
        <v>1048</v>
      </c>
      <c r="K494" s="153" t="s">
        <v>86</v>
      </c>
      <c r="L494" s="153" t="s">
        <v>86</v>
      </c>
      <c r="M494" s="153"/>
      <c r="N494" s="2" t="s">
        <v>57</v>
      </c>
      <c r="O494" s="2"/>
      <c r="P494" s="10"/>
    </row>
    <row r="495" spans="1:16" ht="16.5" customHeight="1" x14ac:dyDescent="0.25">
      <c r="A495" s="2" t="s">
        <v>1049</v>
      </c>
      <c r="B495" s="8" t="s">
        <v>1050</v>
      </c>
      <c r="C495" s="8" t="s">
        <v>1047</v>
      </c>
      <c r="D495" s="8" t="s">
        <v>278</v>
      </c>
      <c r="E495" s="150" t="s">
        <v>13772</v>
      </c>
      <c r="F495" s="151" t="s">
        <v>103</v>
      </c>
      <c r="G495" s="152">
        <v>6</v>
      </c>
      <c r="H495" s="152">
        <v>357</v>
      </c>
      <c r="I495" s="153">
        <v>34.1</v>
      </c>
      <c r="J495" s="145" t="s">
        <v>1051</v>
      </c>
      <c r="K495" s="153" t="s">
        <v>86</v>
      </c>
      <c r="L495" s="153" t="s">
        <v>86</v>
      </c>
      <c r="M495" s="153"/>
      <c r="N495" s="2" t="s">
        <v>57</v>
      </c>
      <c r="O495" s="2"/>
      <c r="P495" s="10"/>
    </row>
    <row r="496" spans="1:16" ht="16.5" customHeight="1" x14ac:dyDescent="0.25">
      <c r="A496" s="2" t="s">
        <v>1052</v>
      </c>
      <c r="B496" s="8" t="s">
        <v>1053</v>
      </c>
      <c r="C496" s="8" t="s">
        <v>1054</v>
      </c>
      <c r="D496" s="8" t="s">
        <v>278</v>
      </c>
      <c r="E496" s="150" t="s">
        <v>102</v>
      </c>
      <c r="F496" s="151" t="s">
        <v>103</v>
      </c>
      <c r="G496" s="152">
        <v>6</v>
      </c>
      <c r="H496" s="152">
        <v>185</v>
      </c>
      <c r="I496" s="153">
        <v>81.61</v>
      </c>
      <c r="J496" s="145" t="s">
        <v>1055</v>
      </c>
      <c r="K496" s="153">
        <v>-19.48270926978741</v>
      </c>
      <c r="L496" s="153" t="s">
        <v>86</v>
      </c>
      <c r="M496" s="153"/>
      <c r="N496" s="2" t="s">
        <v>57</v>
      </c>
      <c r="O496" s="2"/>
      <c r="P496" s="10"/>
    </row>
    <row r="497" spans="1:16" ht="16.5" customHeight="1" x14ac:dyDescent="0.25">
      <c r="A497" s="2" t="s">
        <v>1056</v>
      </c>
      <c r="B497" s="8" t="s">
        <v>1057</v>
      </c>
      <c r="C497" s="8" t="s">
        <v>714</v>
      </c>
      <c r="D497" s="8" t="s">
        <v>278</v>
      </c>
      <c r="E497" s="150" t="s">
        <v>13772</v>
      </c>
      <c r="F497" s="151" t="s">
        <v>103</v>
      </c>
      <c r="G497" s="152">
        <v>0</v>
      </c>
      <c r="H497" s="152"/>
      <c r="I497" s="153">
        <v>43.5</v>
      </c>
      <c r="J497" s="145" t="s">
        <v>1058</v>
      </c>
      <c r="K497" s="153" t="s">
        <v>86</v>
      </c>
      <c r="L497" s="153" t="s">
        <v>86</v>
      </c>
      <c r="M497" s="153"/>
      <c r="N497" s="2" t="s">
        <v>57</v>
      </c>
      <c r="O497" s="2"/>
      <c r="P497" s="10"/>
    </row>
    <row r="498" spans="1:16" ht="16.5" customHeight="1" x14ac:dyDescent="0.25">
      <c r="A498" s="2" t="s">
        <v>1059</v>
      </c>
      <c r="B498" s="8" t="s">
        <v>1060</v>
      </c>
      <c r="C498" s="8" t="s">
        <v>1061</v>
      </c>
      <c r="D498" s="8" t="s">
        <v>278</v>
      </c>
      <c r="E498" s="150" t="s">
        <v>563</v>
      </c>
      <c r="F498" s="151" t="s">
        <v>103</v>
      </c>
      <c r="G498" s="152">
        <v>0</v>
      </c>
      <c r="H498" s="152"/>
      <c r="I498" s="153">
        <v>56.04</v>
      </c>
      <c r="J498" s="145" t="s">
        <v>1062</v>
      </c>
      <c r="K498" s="153">
        <v>-31.334</v>
      </c>
      <c r="L498" s="153" t="s">
        <v>86</v>
      </c>
      <c r="M498" s="153"/>
      <c r="N498" s="2" t="s">
        <v>57</v>
      </c>
      <c r="O498" s="2"/>
      <c r="P498" s="10"/>
    </row>
    <row r="499" spans="1:16" ht="16.5" customHeight="1" x14ac:dyDescent="0.25">
      <c r="A499" s="2" t="s">
        <v>1063</v>
      </c>
      <c r="B499" s="8" t="s">
        <v>1064</v>
      </c>
      <c r="C499" s="8" t="s">
        <v>1065</v>
      </c>
      <c r="D499" s="8" t="s">
        <v>278</v>
      </c>
      <c r="E499" s="150" t="s">
        <v>511</v>
      </c>
      <c r="F499" s="151" t="s">
        <v>103</v>
      </c>
      <c r="G499" s="152">
        <v>2</v>
      </c>
      <c r="H499" s="152">
        <v>760</v>
      </c>
      <c r="I499" s="153">
        <v>72.989999999999995</v>
      </c>
      <c r="J499" s="145" t="s">
        <v>1066</v>
      </c>
      <c r="K499" s="153">
        <v>-11.93490740740741</v>
      </c>
      <c r="L499" s="153">
        <v>-9.5992456999501243</v>
      </c>
      <c r="M499" s="153"/>
      <c r="N499" s="2" t="s">
        <v>57</v>
      </c>
      <c r="O499" s="2" t="s">
        <v>1067</v>
      </c>
      <c r="P499" s="2" t="s">
        <v>51</v>
      </c>
    </row>
    <row r="500" spans="1:16" ht="16.5" customHeight="1" x14ac:dyDescent="0.25">
      <c r="A500" s="2" t="s">
        <v>1068</v>
      </c>
      <c r="B500" s="8" t="s">
        <v>1069</v>
      </c>
      <c r="C500" s="8" t="s">
        <v>718</v>
      </c>
      <c r="D500" s="8" t="s">
        <v>278</v>
      </c>
      <c r="E500" s="150" t="s">
        <v>13772</v>
      </c>
      <c r="F500" s="151" t="s">
        <v>103</v>
      </c>
      <c r="G500" s="152">
        <v>0</v>
      </c>
      <c r="H500" s="152"/>
      <c r="I500" s="153">
        <v>9.18</v>
      </c>
      <c r="J500" s="145" t="s">
        <v>1070</v>
      </c>
      <c r="K500" s="153" t="s">
        <v>86</v>
      </c>
      <c r="L500" s="153" t="s">
        <v>86</v>
      </c>
      <c r="M500" s="153"/>
      <c r="N500" s="2" t="s">
        <v>57</v>
      </c>
      <c r="O500" s="2"/>
      <c r="P500" s="2"/>
    </row>
    <row r="501" spans="1:16" ht="16.5" customHeight="1" x14ac:dyDescent="0.25">
      <c r="A501" s="2" t="s">
        <v>1071</v>
      </c>
      <c r="B501" s="8" t="s">
        <v>1072</v>
      </c>
      <c r="C501" s="8" t="s">
        <v>714</v>
      </c>
      <c r="D501" s="8" t="s">
        <v>278</v>
      </c>
      <c r="E501" s="150" t="s">
        <v>13772</v>
      </c>
      <c r="F501" s="151" t="s">
        <v>103</v>
      </c>
      <c r="G501" s="152">
        <v>0</v>
      </c>
      <c r="H501" s="152"/>
      <c r="I501" s="153">
        <v>41.46</v>
      </c>
      <c r="J501" s="145" t="s">
        <v>1073</v>
      </c>
      <c r="K501" s="153" t="s">
        <v>86</v>
      </c>
      <c r="L501" s="153" t="s">
        <v>86</v>
      </c>
      <c r="M501" s="153"/>
      <c r="N501" s="2" t="s">
        <v>57</v>
      </c>
      <c r="O501" s="2"/>
      <c r="P501" s="10"/>
    </row>
    <row r="502" spans="1:16" ht="16.5" customHeight="1" x14ac:dyDescent="0.25">
      <c r="A502" s="2" t="s">
        <v>1074</v>
      </c>
      <c r="B502" s="8" t="s">
        <v>1075</v>
      </c>
      <c r="C502" s="8" t="s">
        <v>1076</v>
      </c>
      <c r="D502" s="8" t="s">
        <v>278</v>
      </c>
      <c r="E502" s="150" t="s">
        <v>102</v>
      </c>
      <c r="F502" s="151" t="s">
        <v>103</v>
      </c>
      <c r="G502" s="152">
        <v>1</v>
      </c>
      <c r="H502" s="152"/>
      <c r="I502" s="153">
        <v>88.21</v>
      </c>
      <c r="J502" s="145" t="s">
        <v>1077</v>
      </c>
      <c r="K502" s="153">
        <v>-20.308</v>
      </c>
      <c r="L502" s="153" t="s">
        <v>86</v>
      </c>
      <c r="M502" s="153"/>
      <c r="N502" s="2" t="s">
        <v>57</v>
      </c>
      <c r="O502" s="2" t="s">
        <v>606</v>
      </c>
      <c r="P502" s="10"/>
    </row>
    <row r="503" spans="1:16" ht="16.5" customHeight="1" x14ac:dyDescent="0.25">
      <c r="A503" s="2" t="s">
        <v>1078</v>
      </c>
      <c r="B503" s="8" t="s">
        <v>1079</v>
      </c>
      <c r="C503" s="8" t="s">
        <v>865</v>
      </c>
      <c r="D503" s="8" t="s">
        <v>278</v>
      </c>
      <c r="E503" s="150" t="s">
        <v>13772</v>
      </c>
      <c r="F503" s="151" t="s">
        <v>103</v>
      </c>
      <c r="G503" s="152">
        <v>1</v>
      </c>
      <c r="H503" s="152">
        <v>806</v>
      </c>
      <c r="I503" s="153">
        <v>66.33</v>
      </c>
      <c r="J503" s="145" t="s">
        <v>1080</v>
      </c>
      <c r="K503" s="153" t="s">
        <v>86</v>
      </c>
      <c r="L503" s="153" t="s">
        <v>86</v>
      </c>
      <c r="M503" s="153"/>
      <c r="N503" s="2" t="s">
        <v>57</v>
      </c>
      <c r="O503" s="2"/>
      <c r="P503" s="2"/>
    </row>
    <row r="504" spans="1:16" ht="16.5" customHeight="1" x14ac:dyDescent="0.25">
      <c r="A504" s="2" t="s">
        <v>1081</v>
      </c>
      <c r="B504" s="8" t="s">
        <v>1082</v>
      </c>
      <c r="C504" s="8" t="s">
        <v>718</v>
      </c>
      <c r="D504" s="8" t="s">
        <v>278</v>
      </c>
      <c r="E504" s="150" t="s">
        <v>102</v>
      </c>
      <c r="F504" s="151" t="s">
        <v>103</v>
      </c>
      <c r="G504" s="152">
        <v>0</v>
      </c>
      <c r="H504" s="152"/>
      <c r="I504" s="153">
        <v>56.25</v>
      </c>
      <c r="J504" s="145" t="s">
        <v>1083</v>
      </c>
      <c r="K504" s="153" t="s">
        <v>86</v>
      </c>
      <c r="L504" s="153" t="s">
        <v>86</v>
      </c>
      <c r="M504" s="153"/>
      <c r="N504" s="2" t="s">
        <v>57</v>
      </c>
      <c r="O504" s="2"/>
      <c r="P504" s="10"/>
    </row>
    <row r="505" spans="1:16" ht="16.5" customHeight="1" x14ac:dyDescent="0.25">
      <c r="A505" s="2" t="s">
        <v>1084</v>
      </c>
      <c r="B505" s="8" t="s">
        <v>1085</v>
      </c>
      <c r="C505" s="8" t="s">
        <v>714</v>
      </c>
      <c r="D505" s="8" t="s">
        <v>278</v>
      </c>
      <c r="E505" s="150" t="s">
        <v>13772</v>
      </c>
      <c r="F505" s="151" t="s">
        <v>103</v>
      </c>
      <c r="G505" s="152">
        <v>11</v>
      </c>
      <c r="H505" s="152">
        <v>327</v>
      </c>
      <c r="I505" s="153">
        <v>89.01</v>
      </c>
      <c r="J505" s="145" t="s">
        <v>1086</v>
      </c>
      <c r="K505" s="153">
        <v>-20.785833333333329</v>
      </c>
      <c r="L505" s="153" t="s">
        <v>86</v>
      </c>
      <c r="M505" s="153"/>
      <c r="N505" s="2" t="s">
        <v>57</v>
      </c>
      <c r="O505" s="2"/>
      <c r="P505" s="10"/>
    </row>
    <row r="506" spans="1:16" ht="16.5" customHeight="1" x14ac:dyDescent="0.25">
      <c r="A506" s="2" t="s">
        <v>1087</v>
      </c>
      <c r="B506" s="8" t="s">
        <v>1088</v>
      </c>
      <c r="C506" s="8" t="s">
        <v>102</v>
      </c>
      <c r="D506" s="8" t="s">
        <v>278</v>
      </c>
      <c r="E506" s="150" t="s">
        <v>102</v>
      </c>
      <c r="F506" s="151" t="s">
        <v>103</v>
      </c>
      <c r="G506" s="152">
        <v>4</v>
      </c>
      <c r="H506" s="152"/>
      <c r="I506" s="153">
        <v>54.02</v>
      </c>
      <c r="J506" s="145" t="s">
        <v>1089</v>
      </c>
      <c r="K506" s="153" t="s">
        <v>86</v>
      </c>
      <c r="L506" s="153" t="s">
        <v>86</v>
      </c>
      <c r="M506" s="153"/>
      <c r="N506" s="2" t="s">
        <v>57</v>
      </c>
      <c r="O506" s="2"/>
      <c r="P506" s="10"/>
    </row>
    <row r="507" spans="1:16" ht="16.5" customHeight="1" x14ac:dyDescent="0.25">
      <c r="A507" s="2" t="s">
        <v>1090</v>
      </c>
      <c r="B507" s="8" t="s">
        <v>1091</v>
      </c>
      <c r="C507" s="8" t="s">
        <v>718</v>
      </c>
      <c r="D507" s="8" t="s">
        <v>278</v>
      </c>
      <c r="E507" s="150" t="s">
        <v>511</v>
      </c>
      <c r="F507" s="151" t="s">
        <v>103</v>
      </c>
      <c r="G507" s="152">
        <v>0</v>
      </c>
      <c r="H507" s="152"/>
      <c r="I507" s="153">
        <v>35.159999999999997</v>
      </c>
      <c r="J507" s="145" t="s">
        <v>1092</v>
      </c>
      <c r="K507" s="153" t="s">
        <v>86</v>
      </c>
      <c r="L507" s="153" t="s">
        <v>86</v>
      </c>
      <c r="M507" s="153"/>
      <c r="N507" s="2" t="s">
        <v>57</v>
      </c>
      <c r="O507" s="2"/>
      <c r="P507" s="10"/>
    </row>
    <row r="508" spans="1:16" ht="16.5" customHeight="1" x14ac:dyDescent="0.25">
      <c r="A508" s="2" t="s">
        <v>1093</v>
      </c>
      <c r="B508" s="8" t="s">
        <v>1094</v>
      </c>
      <c r="C508" s="8" t="s">
        <v>718</v>
      </c>
      <c r="D508" s="8" t="s">
        <v>278</v>
      </c>
      <c r="E508" s="150" t="s">
        <v>511</v>
      </c>
      <c r="F508" s="151" t="s">
        <v>103</v>
      </c>
      <c r="G508" s="152">
        <v>1</v>
      </c>
      <c r="H508" s="152"/>
      <c r="I508" s="153">
        <v>31</v>
      </c>
      <c r="J508" s="145" t="s">
        <v>1095</v>
      </c>
      <c r="K508" s="153" t="s">
        <v>86</v>
      </c>
      <c r="L508" s="153" t="s">
        <v>86</v>
      </c>
      <c r="M508" s="153"/>
      <c r="N508" s="2" t="s">
        <v>57</v>
      </c>
      <c r="O508" s="2"/>
      <c r="P508" s="10"/>
    </row>
    <row r="509" spans="1:16" ht="16.5" customHeight="1" x14ac:dyDescent="0.25">
      <c r="A509" s="2" t="s">
        <v>1096</v>
      </c>
      <c r="B509" s="8" t="s">
        <v>1097</v>
      </c>
      <c r="C509" s="8" t="s">
        <v>1047</v>
      </c>
      <c r="D509" s="8" t="s">
        <v>278</v>
      </c>
      <c r="E509" s="150" t="s">
        <v>511</v>
      </c>
      <c r="F509" s="151" t="s">
        <v>103</v>
      </c>
      <c r="G509" s="152">
        <v>0</v>
      </c>
      <c r="H509" s="152"/>
      <c r="I509" s="153">
        <v>41.81</v>
      </c>
      <c r="J509" s="145" t="s">
        <v>1098</v>
      </c>
      <c r="K509" s="153" t="s">
        <v>86</v>
      </c>
      <c r="L509" s="153" t="s">
        <v>86</v>
      </c>
      <c r="M509" s="153"/>
      <c r="N509" s="2" t="s">
        <v>57</v>
      </c>
      <c r="O509" s="2"/>
      <c r="P509" s="2"/>
    </row>
    <row r="510" spans="1:16" ht="16.5" customHeight="1" x14ac:dyDescent="0.25">
      <c r="A510" s="2" t="s">
        <v>1099</v>
      </c>
      <c r="B510" s="8" t="s">
        <v>1100</v>
      </c>
      <c r="C510" s="8" t="s">
        <v>102</v>
      </c>
      <c r="D510" s="8" t="s">
        <v>278</v>
      </c>
      <c r="E510" s="150" t="s">
        <v>511</v>
      </c>
      <c r="F510" s="151" t="s">
        <v>103</v>
      </c>
      <c r="G510" s="152">
        <v>1</v>
      </c>
      <c r="H510" s="152"/>
      <c r="I510" s="153">
        <v>34.51</v>
      </c>
      <c r="J510" s="145" t="s">
        <v>1101</v>
      </c>
      <c r="K510" s="153" t="s">
        <v>86</v>
      </c>
      <c r="L510" s="153" t="s">
        <v>86</v>
      </c>
      <c r="M510" s="153"/>
      <c r="N510" s="2" t="s">
        <v>57</v>
      </c>
      <c r="O510" s="2"/>
      <c r="P510" s="10"/>
    </row>
    <row r="511" spans="1:16" ht="16.5" customHeight="1" x14ac:dyDescent="0.25">
      <c r="A511" s="2" t="s">
        <v>1102</v>
      </c>
      <c r="B511" s="8" t="s">
        <v>1103</v>
      </c>
      <c r="C511" s="8" t="s">
        <v>718</v>
      </c>
      <c r="D511" s="8" t="s">
        <v>278</v>
      </c>
      <c r="E511" s="150" t="s">
        <v>511</v>
      </c>
      <c r="F511" s="151" t="s">
        <v>103</v>
      </c>
      <c r="G511" s="152">
        <v>0</v>
      </c>
      <c r="H511" s="152"/>
      <c r="I511" s="153">
        <v>56.09</v>
      </c>
      <c r="J511" s="145" t="s">
        <v>1104</v>
      </c>
      <c r="K511" s="153" t="s">
        <v>86</v>
      </c>
      <c r="L511" s="153" t="s">
        <v>86</v>
      </c>
      <c r="M511" s="153"/>
      <c r="N511" s="2" t="s">
        <v>57</v>
      </c>
      <c r="O511" s="2"/>
      <c r="P511" s="2"/>
    </row>
    <row r="512" spans="1:16" ht="16.5" customHeight="1" x14ac:dyDescent="0.25">
      <c r="A512" s="2" t="s">
        <v>1105</v>
      </c>
      <c r="B512" s="8" t="s">
        <v>1106</v>
      </c>
      <c r="C512" s="8" t="s">
        <v>101</v>
      </c>
      <c r="D512" s="8" t="s">
        <v>278</v>
      </c>
      <c r="E512" s="150" t="s">
        <v>511</v>
      </c>
      <c r="F512" s="151" t="s">
        <v>103</v>
      </c>
      <c r="G512" s="152">
        <v>1</v>
      </c>
      <c r="H512" s="152"/>
      <c r="I512" s="153">
        <v>10.36</v>
      </c>
      <c r="J512" s="145" t="s">
        <v>1107</v>
      </c>
      <c r="K512" s="153">
        <v>-6.6002777777777766</v>
      </c>
      <c r="L512" s="153" t="s">
        <v>86</v>
      </c>
      <c r="M512" s="153"/>
      <c r="N512" s="2" t="s">
        <v>57</v>
      </c>
      <c r="O512" s="2"/>
      <c r="P512" s="10"/>
    </row>
    <row r="513" spans="1:16" ht="16.5" customHeight="1" x14ac:dyDescent="0.25">
      <c r="A513" s="2" t="s">
        <v>1108</v>
      </c>
      <c r="B513" s="8" t="s">
        <v>1109</v>
      </c>
      <c r="C513" s="8" t="s">
        <v>718</v>
      </c>
      <c r="D513" s="8" t="s">
        <v>278</v>
      </c>
      <c r="E513" s="150" t="s">
        <v>102</v>
      </c>
      <c r="F513" s="151" t="s">
        <v>103</v>
      </c>
      <c r="G513" s="152">
        <v>0</v>
      </c>
      <c r="H513" s="152"/>
      <c r="I513" s="153">
        <v>10.62</v>
      </c>
      <c r="J513" s="145" t="s">
        <v>1110</v>
      </c>
      <c r="K513" s="153">
        <v>-1.1000000000000001</v>
      </c>
      <c r="L513" s="153" t="s">
        <v>86</v>
      </c>
      <c r="M513" s="153"/>
      <c r="N513" s="2" t="s">
        <v>57</v>
      </c>
      <c r="O513" s="2"/>
      <c r="P513" s="10"/>
    </row>
    <row r="514" spans="1:16" ht="16.5" customHeight="1" x14ac:dyDescent="0.25">
      <c r="A514" s="2" t="s">
        <v>1111</v>
      </c>
      <c r="B514" s="8" t="s">
        <v>1112</v>
      </c>
      <c r="C514" s="8" t="s">
        <v>718</v>
      </c>
      <c r="D514" s="8" t="s">
        <v>278</v>
      </c>
      <c r="E514" s="150" t="s">
        <v>102</v>
      </c>
      <c r="F514" s="151" t="s">
        <v>103</v>
      </c>
      <c r="G514" s="152">
        <v>0</v>
      </c>
      <c r="H514" s="152"/>
      <c r="I514" s="153">
        <v>50.48</v>
      </c>
      <c r="J514" s="145" t="s">
        <v>1113</v>
      </c>
      <c r="K514" s="153" t="s">
        <v>86</v>
      </c>
      <c r="L514" s="153" t="s">
        <v>86</v>
      </c>
      <c r="M514" s="153"/>
      <c r="N514" s="2" t="s">
        <v>57</v>
      </c>
      <c r="O514" s="2"/>
      <c r="P514" s="2"/>
    </row>
    <row r="515" spans="1:16" ht="16.5" customHeight="1" x14ac:dyDescent="0.25">
      <c r="A515" s="2" t="s">
        <v>1114</v>
      </c>
      <c r="B515" s="8" t="s">
        <v>1115</v>
      </c>
      <c r="C515" s="8" t="s">
        <v>718</v>
      </c>
      <c r="D515" s="8" t="s">
        <v>278</v>
      </c>
      <c r="E515" s="150" t="s">
        <v>511</v>
      </c>
      <c r="F515" s="151" t="s">
        <v>103</v>
      </c>
      <c r="G515" s="152">
        <v>0</v>
      </c>
      <c r="H515" s="152"/>
      <c r="I515" s="153">
        <v>16.66</v>
      </c>
      <c r="J515" s="145" t="s">
        <v>1116</v>
      </c>
      <c r="K515" s="153" t="s">
        <v>86</v>
      </c>
      <c r="L515" s="153" t="s">
        <v>86</v>
      </c>
      <c r="M515" s="153"/>
      <c r="N515" s="2" t="s">
        <v>57</v>
      </c>
      <c r="O515" s="2"/>
      <c r="P515" s="2"/>
    </row>
    <row r="516" spans="1:16" ht="16.5" customHeight="1" x14ac:dyDescent="0.25">
      <c r="A516" s="2" t="s">
        <v>1117</v>
      </c>
      <c r="B516" s="8" t="s">
        <v>1118</v>
      </c>
      <c r="C516" s="8" t="s">
        <v>101</v>
      </c>
      <c r="D516" s="8" t="s">
        <v>278</v>
      </c>
      <c r="E516" s="150" t="s">
        <v>511</v>
      </c>
      <c r="F516" s="151" t="s">
        <v>103</v>
      </c>
      <c r="G516" s="152">
        <v>0</v>
      </c>
      <c r="H516" s="152"/>
      <c r="I516" s="153">
        <v>18.2</v>
      </c>
      <c r="J516" s="145" t="s">
        <v>1119</v>
      </c>
      <c r="K516" s="153" t="s">
        <v>86</v>
      </c>
      <c r="L516" s="153" t="s">
        <v>86</v>
      </c>
      <c r="M516" s="153"/>
      <c r="N516" s="2" t="s">
        <v>57</v>
      </c>
      <c r="O516" s="2"/>
      <c r="P516" s="2"/>
    </row>
    <row r="517" spans="1:16" ht="16.5" customHeight="1" x14ac:dyDescent="0.25">
      <c r="A517" s="2" t="s">
        <v>1120</v>
      </c>
      <c r="B517" s="8" t="s">
        <v>1121</v>
      </c>
      <c r="C517" s="8" t="s">
        <v>714</v>
      </c>
      <c r="D517" s="8" t="s">
        <v>278</v>
      </c>
      <c r="E517" s="150" t="s">
        <v>511</v>
      </c>
      <c r="F517" s="151" t="s">
        <v>103</v>
      </c>
      <c r="G517" s="152">
        <v>0</v>
      </c>
      <c r="H517" s="152"/>
      <c r="I517" s="153">
        <v>21.26</v>
      </c>
      <c r="J517" s="145" t="s">
        <v>1122</v>
      </c>
      <c r="K517" s="153" t="s">
        <v>86</v>
      </c>
      <c r="L517" s="153" t="s">
        <v>86</v>
      </c>
      <c r="M517" s="153"/>
      <c r="N517" s="2" t="s">
        <v>57</v>
      </c>
      <c r="O517" s="2"/>
      <c r="P517" s="2"/>
    </row>
    <row r="518" spans="1:16" ht="16.5" customHeight="1" x14ac:dyDescent="0.25">
      <c r="A518" s="2" t="s">
        <v>1123</v>
      </c>
      <c r="B518" s="8" t="s">
        <v>1124</v>
      </c>
      <c r="C518" s="8" t="s">
        <v>1125</v>
      </c>
      <c r="D518" s="8" t="s">
        <v>358</v>
      </c>
      <c r="E518" s="150" t="s">
        <v>13772</v>
      </c>
      <c r="F518" s="151" t="s">
        <v>103</v>
      </c>
      <c r="G518" s="152">
        <v>0</v>
      </c>
      <c r="H518" s="152"/>
      <c r="I518" s="153">
        <v>34.42</v>
      </c>
      <c r="J518" s="145" t="s">
        <v>1126</v>
      </c>
      <c r="K518" s="153">
        <v>-8.0868749999999991</v>
      </c>
      <c r="L518" s="153" t="s">
        <v>86</v>
      </c>
      <c r="M518" s="153"/>
      <c r="N518" s="2" t="s">
        <v>57</v>
      </c>
      <c r="O518" s="2"/>
      <c r="P518" s="10"/>
    </row>
    <row r="519" spans="1:16" ht="16.5" customHeight="1" x14ac:dyDescent="0.25">
      <c r="A519" s="2" t="s">
        <v>1127</v>
      </c>
      <c r="B519" s="8" t="s">
        <v>1128</v>
      </c>
      <c r="C519" s="8" t="s">
        <v>1047</v>
      </c>
      <c r="D519" s="8" t="s">
        <v>278</v>
      </c>
      <c r="E519" s="150" t="s">
        <v>102</v>
      </c>
      <c r="F519" s="151" t="s">
        <v>103</v>
      </c>
      <c r="G519" s="152">
        <v>0</v>
      </c>
      <c r="H519" s="152"/>
      <c r="I519" s="153">
        <v>88.6</v>
      </c>
      <c r="J519" s="145" t="s">
        <v>1129</v>
      </c>
      <c r="K519" s="153" t="s">
        <v>86</v>
      </c>
      <c r="L519" s="153" t="s">
        <v>86</v>
      </c>
      <c r="M519" s="153"/>
      <c r="N519" s="2" t="s">
        <v>57</v>
      </c>
      <c r="O519" s="2"/>
      <c r="P519" s="2"/>
    </row>
    <row r="520" spans="1:16" ht="16.5" customHeight="1" x14ac:dyDescent="0.25">
      <c r="A520" s="2" t="s">
        <v>1130</v>
      </c>
      <c r="B520" s="8" t="s">
        <v>1131</v>
      </c>
      <c r="C520" s="8" t="s">
        <v>714</v>
      </c>
      <c r="D520" s="8" t="s">
        <v>278</v>
      </c>
      <c r="E520" s="150" t="s">
        <v>511</v>
      </c>
      <c r="F520" s="151" t="s">
        <v>103</v>
      </c>
      <c r="G520" s="152">
        <v>0</v>
      </c>
      <c r="H520" s="152"/>
      <c r="I520" s="153">
        <v>71.349999999999994</v>
      </c>
      <c r="J520" s="145" t="s">
        <v>1132</v>
      </c>
      <c r="K520" s="153" t="s">
        <v>86</v>
      </c>
      <c r="L520" s="153" t="s">
        <v>86</v>
      </c>
      <c r="M520" s="153"/>
      <c r="N520" s="2" t="s">
        <v>57</v>
      </c>
      <c r="O520" s="2"/>
      <c r="P520" s="2"/>
    </row>
    <row r="521" spans="1:16" ht="16.5" customHeight="1" x14ac:dyDescent="0.25">
      <c r="A521" s="2" t="s">
        <v>1133</v>
      </c>
      <c r="B521" s="8" t="s">
        <v>1134</v>
      </c>
      <c r="C521" s="8" t="s">
        <v>714</v>
      </c>
      <c r="D521" s="8" t="s">
        <v>278</v>
      </c>
      <c r="E521" s="150" t="s">
        <v>511</v>
      </c>
      <c r="F521" s="151" t="s">
        <v>103</v>
      </c>
      <c r="G521" s="152">
        <v>0</v>
      </c>
      <c r="H521" s="152"/>
      <c r="I521" s="153">
        <v>28.77</v>
      </c>
      <c r="J521" s="145" t="s">
        <v>1135</v>
      </c>
      <c r="K521" s="153" t="s">
        <v>86</v>
      </c>
      <c r="L521" s="153" t="s">
        <v>86</v>
      </c>
      <c r="M521" s="153"/>
      <c r="N521" s="2" t="s">
        <v>57</v>
      </c>
      <c r="O521" s="2"/>
      <c r="P521" s="2"/>
    </row>
    <row r="522" spans="1:16" ht="16.5" customHeight="1" x14ac:dyDescent="0.25">
      <c r="A522" s="2" t="s">
        <v>1136</v>
      </c>
      <c r="B522" s="8" t="s">
        <v>1137</v>
      </c>
      <c r="C522" s="8" t="s">
        <v>714</v>
      </c>
      <c r="D522" s="8" t="s">
        <v>278</v>
      </c>
      <c r="E522" s="150" t="s">
        <v>511</v>
      </c>
      <c r="F522" s="151" t="s">
        <v>103</v>
      </c>
      <c r="G522" s="152">
        <v>0</v>
      </c>
      <c r="H522" s="152"/>
      <c r="I522" s="153">
        <v>33.94</v>
      </c>
      <c r="J522" s="145" t="s">
        <v>1138</v>
      </c>
      <c r="K522" s="153" t="s">
        <v>86</v>
      </c>
      <c r="L522" s="153" t="s">
        <v>86</v>
      </c>
      <c r="M522" s="153"/>
      <c r="N522" s="2" t="s">
        <v>57</v>
      </c>
      <c r="O522" s="2"/>
      <c r="P522" s="10"/>
    </row>
    <row r="523" spans="1:16" ht="16.5" customHeight="1" x14ac:dyDescent="0.25">
      <c r="A523" s="2" t="s">
        <v>1139</v>
      </c>
      <c r="B523" s="8" t="s">
        <v>1140</v>
      </c>
      <c r="C523" s="8" t="s">
        <v>718</v>
      </c>
      <c r="D523" s="8" t="s">
        <v>278</v>
      </c>
      <c r="E523" s="150" t="s">
        <v>511</v>
      </c>
      <c r="F523" s="151" t="s">
        <v>103</v>
      </c>
      <c r="G523" s="152">
        <v>0</v>
      </c>
      <c r="H523" s="152"/>
      <c r="I523" s="153">
        <v>19.78</v>
      </c>
      <c r="J523" s="145" t="s">
        <v>1141</v>
      </c>
      <c r="K523" s="153">
        <v>-4.6210000000000004</v>
      </c>
      <c r="L523" s="153" t="s">
        <v>86</v>
      </c>
      <c r="M523" s="153"/>
      <c r="N523" s="2" t="s">
        <v>57</v>
      </c>
      <c r="O523" s="2"/>
      <c r="P523" s="10"/>
    </row>
    <row r="524" spans="1:16" ht="16.5" customHeight="1" x14ac:dyDescent="0.25">
      <c r="A524" s="2" t="s">
        <v>1142</v>
      </c>
      <c r="B524" s="8" t="s">
        <v>1143</v>
      </c>
      <c r="C524" s="8" t="s">
        <v>714</v>
      </c>
      <c r="D524" s="8" t="s">
        <v>278</v>
      </c>
      <c r="E524" s="150" t="s">
        <v>511</v>
      </c>
      <c r="F524" s="151" t="s">
        <v>103</v>
      </c>
      <c r="G524" s="152">
        <v>0</v>
      </c>
      <c r="H524" s="152"/>
      <c r="I524" s="153">
        <v>13.84</v>
      </c>
      <c r="J524" s="145" t="s">
        <v>1144</v>
      </c>
      <c r="K524" s="153" t="s">
        <v>86</v>
      </c>
      <c r="L524" s="153" t="s">
        <v>86</v>
      </c>
      <c r="M524" s="153"/>
      <c r="N524" s="2" t="s">
        <v>57</v>
      </c>
      <c r="O524" s="2"/>
      <c r="P524" s="2"/>
    </row>
    <row r="525" spans="1:16" ht="16.5" customHeight="1" x14ac:dyDescent="0.25">
      <c r="A525" s="2" t="s">
        <v>1145</v>
      </c>
      <c r="B525" s="8" t="s">
        <v>1146</v>
      </c>
      <c r="C525" s="8" t="s">
        <v>714</v>
      </c>
      <c r="D525" s="8" t="s">
        <v>278</v>
      </c>
      <c r="E525" s="150" t="s">
        <v>13772</v>
      </c>
      <c r="F525" s="151" t="s">
        <v>103</v>
      </c>
      <c r="G525" s="152">
        <v>0</v>
      </c>
      <c r="H525" s="152"/>
      <c r="I525" s="153">
        <v>7.4</v>
      </c>
      <c r="J525" s="145" t="s">
        <v>1147</v>
      </c>
      <c r="K525" s="153">
        <v>-4.7033333333333331</v>
      </c>
      <c r="L525" s="153" t="s">
        <v>86</v>
      </c>
      <c r="M525" s="153"/>
      <c r="N525" s="2" t="s">
        <v>57</v>
      </c>
      <c r="O525" s="2"/>
      <c r="P525" s="10"/>
    </row>
    <row r="526" spans="1:16" ht="16.5" customHeight="1" x14ac:dyDescent="0.25">
      <c r="A526" s="2" t="s">
        <v>1148</v>
      </c>
      <c r="B526" s="8" t="s">
        <v>1149</v>
      </c>
      <c r="C526" s="8" t="s">
        <v>714</v>
      </c>
      <c r="D526" s="8" t="s">
        <v>278</v>
      </c>
      <c r="E526" s="150" t="s">
        <v>13772</v>
      </c>
      <c r="F526" s="151" t="s">
        <v>103</v>
      </c>
      <c r="G526" s="152">
        <v>0</v>
      </c>
      <c r="H526" s="152"/>
      <c r="I526" s="153">
        <v>7.63</v>
      </c>
      <c r="J526" s="145" t="s">
        <v>1150</v>
      </c>
      <c r="K526" s="153">
        <v>-5.001666666666666</v>
      </c>
      <c r="L526" s="153" t="s">
        <v>86</v>
      </c>
      <c r="M526" s="153"/>
      <c r="N526" s="2" t="s">
        <v>57</v>
      </c>
      <c r="O526" s="2"/>
      <c r="P526" s="2"/>
    </row>
    <row r="527" spans="1:16" ht="16.5" customHeight="1" x14ac:dyDescent="0.25">
      <c r="A527" s="2" t="s">
        <v>1151</v>
      </c>
      <c r="B527" s="8" t="s">
        <v>1152</v>
      </c>
      <c r="C527" s="8" t="s">
        <v>714</v>
      </c>
      <c r="D527" s="8" t="s">
        <v>278</v>
      </c>
      <c r="E527" s="150" t="s">
        <v>13772</v>
      </c>
      <c r="F527" s="151" t="s">
        <v>103</v>
      </c>
      <c r="G527" s="152">
        <v>0</v>
      </c>
      <c r="H527" s="152"/>
      <c r="I527" s="153">
        <v>5.75</v>
      </c>
      <c r="J527" s="145" t="s">
        <v>1153</v>
      </c>
      <c r="K527" s="153">
        <v>-5.0622222222222222</v>
      </c>
      <c r="L527" s="153" t="s">
        <v>86</v>
      </c>
      <c r="M527" s="153"/>
      <c r="N527" s="2" t="s">
        <v>57</v>
      </c>
      <c r="O527" s="2"/>
      <c r="P527" s="10"/>
    </row>
    <row r="528" spans="1:16" ht="16.5" customHeight="1" x14ac:dyDescent="0.25">
      <c r="A528" s="2" t="s">
        <v>1154</v>
      </c>
      <c r="B528" s="8" t="s">
        <v>1155</v>
      </c>
      <c r="C528" s="8" t="s">
        <v>1047</v>
      </c>
      <c r="D528" s="8" t="s">
        <v>278</v>
      </c>
      <c r="E528" s="150" t="s">
        <v>511</v>
      </c>
      <c r="F528" s="151" t="s">
        <v>103</v>
      </c>
      <c r="G528" s="152">
        <v>0</v>
      </c>
      <c r="H528" s="152"/>
      <c r="I528" s="153">
        <v>40.880000000000003</v>
      </c>
      <c r="J528" s="145" t="s">
        <v>1156</v>
      </c>
      <c r="K528" s="153">
        <v>-12.43</v>
      </c>
      <c r="L528" s="153" t="s">
        <v>86</v>
      </c>
      <c r="M528" s="153"/>
      <c r="N528" s="2" t="s">
        <v>57</v>
      </c>
      <c r="O528" s="2"/>
      <c r="P528" s="10"/>
    </row>
    <row r="529" spans="1:16" ht="16.5" customHeight="1" x14ac:dyDescent="0.25">
      <c r="A529" s="2" t="s">
        <v>1157</v>
      </c>
      <c r="B529" s="8" t="s">
        <v>1158</v>
      </c>
      <c r="C529" s="8" t="s">
        <v>714</v>
      </c>
      <c r="D529" s="8" t="s">
        <v>278</v>
      </c>
      <c r="E529" s="150" t="s">
        <v>102</v>
      </c>
      <c r="F529" s="151" t="s">
        <v>103</v>
      </c>
      <c r="G529" s="152">
        <v>0</v>
      </c>
      <c r="H529" s="152"/>
      <c r="I529" s="153">
        <v>31.57</v>
      </c>
      <c r="J529" s="145" t="s">
        <v>1159</v>
      </c>
      <c r="K529" s="153">
        <v>-7.4733333333333327</v>
      </c>
      <c r="L529" s="153">
        <v>-2.85</v>
      </c>
      <c r="M529" s="153"/>
      <c r="N529" s="2" t="s">
        <v>57</v>
      </c>
      <c r="O529" s="2"/>
      <c r="P529" s="10"/>
    </row>
    <row r="530" spans="1:16" ht="16.5" customHeight="1" x14ac:dyDescent="0.25">
      <c r="A530" s="2" t="s">
        <v>1160</v>
      </c>
      <c r="B530" s="8" t="s">
        <v>1161</v>
      </c>
      <c r="C530" s="8" t="s">
        <v>714</v>
      </c>
      <c r="D530" s="8" t="s">
        <v>278</v>
      </c>
      <c r="E530" s="150" t="s">
        <v>13772</v>
      </c>
      <c r="F530" s="151" t="s">
        <v>103</v>
      </c>
      <c r="G530" s="152">
        <v>0</v>
      </c>
      <c r="H530" s="152"/>
      <c r="I530" s="153">
        <v>16.91</v>
      </c>
      <c r="J530" s="145" t="s">
        <v>1162</v>
      </c>
      <c r="K530" s="153">
        <v>-5.746666666666667</v>
      </c>
      <c r="L530" s="153" t="s">
        <v>86</v>
      </c>
      <c r="M530" s="153"/>
      <c r="N530" s="2" t="s">
        <v>57</v>
      </c>
      <c r="O530" s="2"/>
      <c r="P530" s="10"/>
    </row>
    <row r="531" spans="1:16" ht="16.5" customHeight="1" x14ac:dyDescent="0.25">
      <c r="A531" s="2" t="s">
        <v>1163</v>
      </c>
      <c r="B531" s="8" t="s">
        <v>1164</v>
      </c>
      <c r="C531" s="8" t="s">
        <v>1165</v>
      </c>
      <c r="D531" s="8" t="s">
        <v>278</v>
      </c>
      <c r="E531" s="150" t="s">
        <v>511</v>
      </c>
      <c r="F531" s="151" t="s">
        <v>103</v>
      </c>
      <c r="G531" s="152">
        <v>0</v>
      </c>
      <c r="H531" s="152"/>
      <c r="I531" s="153">
        <v>49.93</v>
      </c>
      <c r="J531" s="145" t="s">
        <v>1166</v>
      </c>
      <c r="K531" s="153">
        <v>-10.753</v>
      </c>
      <c r="L531" s="153">
        <v>-10.64</v>
      </c>
      <c r="M531" s="153"/>
      <c r="N531" s="2" t="s">
        <v>57</v>
      </c>
      <c r="O531" s="2"/>
      <c r="P531" s="10"/>
    </row>
    <row r="532" spans="1:16" ht="16.5" customHeight="1" x14ac:dyDescent="0.25">
      <c r="A532" s="2" t="s">
        <v>1167</v>
      </c>
      <c r="B532" s="8" t="s">
        <v>1168</v>
      </c>
      <c r="C532" s="8" t="s">
        <v>718</v>
      </c>
      <c r="D532" s="8" t="s">
        <v>278</v>
      </c>
      <c r="E532" s="150" t="s">
        <v>511</v>
      </c>
      <c r="F532" s="151" t="s">
        <v>103</v>
      </c>
      <c r="G532" s="152">
        <v>0</v>
      </c>
      <c r="H532" s="152"/>
      <c r="I532" s="153">
        <v>56.83</v>
      </c>
      <c r="J532" s="145" t="s">
        <v>1169</v>
      </c>
      <c r="K532" s="153">
        <v>-10.5025</v>
      </c>
      <c r="L532" s="153" t="s">
        <v>86</v>
      </c>
      <c r="M532" s="153"/>
      <c r="N532" s="2" t="s">
        <v>57</v>
      </c>
      <c r="O532" s="2"/>
      <c r="P532" s="10"/>
    </row>
    <row r="533" spans="1:16" ht="16.5" customHeight="1" x14ac:dyDescent="0.25">
      <c r="A533" s="2" t="s">
        <v>1170</v>
      </c>
      <c r="B533" s="8" t="s">
        <v>1171</v>
      </c>
      <c r="C533" s="8" t="s">
        <v>102</v>
      </c>
      <c r="D533" s="8" t="s">
        <v>163</v>
      </c>
      <c r="E533" s="150" t="s">
        <v>563</v>
      </c>
      <c r="F533" s="151" t="s">
        <v>103</v>
      </c>
      <c r="G533" s="152">
        <v>0</v>
      </c>
      <c r="H533" s="152"/>
      <c r="I533" s="153">
        <v>34</v>
      </c>
      <c r="J533" s="145" t="s">
        <v>1172</v>
      </c>
      <c r="K533" s="153">
        <v>-5.9270370370370369</v>
      </c>
      <c r="L533" s="153">
        <v>-12.832179172922469</v>
      </c>
      <c r="M533" s="153"/>
      <c r="N533" s="2" t="s">
        <v>57</v>
      </c>
      <c r="O533" s="2"/>
      <c r="P533" s="2" t="s">
        <v>51</v>
      </c>
    </row>
    <row r="534" spans="1:16" ht="16.5" customHeight="1" x14ac:dyDescent="0.25">
      <c r="A534" s="2" t="s">
        <v>1173</v>
      </c>
      <c r="B534" s="8" t="s">
        <v>1174</v>
      </c>
      <c r="C534" s="8" t="s">
        <v>749</v>
      </c>
      <c r="D534" s="8" t="s">
        <v>163</v>
      </c>
      <c r="E534" s="150" t="s">
        <v>563</v>
      </c>
      <c r="F534" s="151" t="s">
        <v>103</v>
      </c>
      <c r="G534" s="152">
        <v>0</v>
      </c>
      <c r="H534" s="152"/>
      <c r="I534" s="153">
        <v>17</v>
      </c>
      <c r="J534" s="145" t="s">
        <v>1175</v>
      </c>
      <c r="K534" s="153">
        <v>-1.1125</v>
      </c>
      <c r="L534" s="153" t="s">
        <v>86</v>
      </c>
      <c r="M534" s="153"/>
      <c r="N534" s="2" t="s">
        <v>57</v>
      </c>
      <c r="O534" s="2"/>
      <c r="P534" s="10"/>
    </row>
    <row r="535" spans="1:16" ht="16.5" customHeight="1" x14ac:dyDescent="0.25">
      <c r="A535" s="2" t="s">
        <v>1176</v>
      </c>
      <c r="B535" s="8" t="s">
        <v>1177</v>
      </c>
      <c r="C535" s="8" t="s">
        <v>714</v>
      </c>
      <c r="D535" s="8" t="s">
        <v>278</v>
      </c>
      <c r="E535" s="150" t="s">
        <v>511</v>
      </c>
      <c r="F535" s="151" t="s">
        <v>103</v>
      </c>
      <c r="G535" s="152">
        <v>0</v>
      </c>
      <c r="H535" s="152"/>
      <c r="I535" s="153">
        <v>120.03</v>
      </c>
      <c r="J535" s="145" t="s">
        <v>1178</v>
      </c>
      <c r="K535" s="153" t="s">
        <v>86</v>
      </c>
      <c r="L535" s="153" t="s">
        <v>86</v>
      </c>
      <c r="M535" s="153"/>
      <c r="N535" s="2" t="s">
        <v>57</v>
      </c>
      <c r="O535" s="2"/>
      <c r="P535" s="2"/>
    </row>
    <row r="536" spans="1:16" ht="16.5" customHeight="1" x14ac:dyDescent="0.25">
      <c r="A536" s="2" t="s">
        <v>1179</v>
      </c>
      <c r="B536" s="8" t="s">
        <v>1180</v>
      </c>
      <c r="C536" s="8" t="s">
        <v>718</v>
      </c>
      <c r="D536" s="8" t="s">
        <v>278</v>
      </c>
      <c r="E536" s="150" t="s">
        <v>102</v>
      </c>
      <c r="F536" s="151" t="s">
        <v>103</v>
      </c>
      <c r="G536" s="152">
        <v>0</v>
      </c>
      <c r="H536" s="152"/>
      <c r="I536" s="153">
        <v>18.02</v>
      </c>
      <c r="J536" s="145" t="s">
        <v>1181</v>
      </c>
      <c r="K536" s="153" t="s">
        <v>86</v>
      </c>
      <c r="L536" s="153" t="s">
        <v>86</v>
      </c>
      <c r="M536" s="153"/>
      <c r="N536" s="2" t="s">
        <v>57</v>
      </c>
      <c r="O536" s="2"/>
      <c r="P536" s="2"/>
    </row>
    <row r="537" spans="1:16" ht="16.5" customHeight="1" x14ac:dyDescent="0.25">
      <c r="A537" s="2" t="s">
        <v>1182</v>
      </c>
      <c r="B537" s="8" t="s">
        <v>1183</v>
      </c>
      <c r="C537" s="8" t="s">
        <v>102</v>
      </c>
      <c r="D537" s="8" t="s">
        <v>163</v>
      </c>
      <c r="E537" s="150" t="s">
        <v>563</v>
      </c>
      <c r="F537" s="151" t="s">
        <v>103</v>
      </c>
      <c r="G537" s="152">
        <v>0</v>
      </c>
      <c r="H537" s="152"/>
      <c r="I537" s="153">
        <v>40</v>
      </c>
      <c r="J537" s="145" t="s">
        <v>1184</v>
      </c>
      <c r="K537" s="153">
        <v>-3.3037037037037038</v>
      </c>
      <c r="L537" s="153">
        <v>-13.42376438225042</v>
      </c>
      <c r="M537" s="153"/>
      <c r="N537" s="2" t="s">
        <v>57</v>
      </c>
      <c r="O537" s="2"/>
      <c r="P537" s="2" t="s">
        <v>51</v>
      </c>
    </row>
    <row r="538" spans="1:16" ht="16.5" customHeight="1" x14ac:dyDescent="0.25">
      <c r="A538" s="2" t="s">
        <v>746</v>
      </c>
      <c r="B538" s="8" t="s">
        <v>1185</v>
      </c>
      <c r="C538" s="8" t="s">
        <v>749</v>
      </c>
      <c r="D538" s="8" t="s">
        <v>163</v>
      </c>
      <c r="E538" s="150" t="s">
        <v>563</v>
      </c>
      <c r="F538" s="151" t="s">
        <v>103</v>
      </c>
      <c r="G538" s="152">
        <v>0</v>
      </c>
      <c r="H538" s="152"/>
      <c r="I538" s="153">
        <v>130</v>
      </c>
      <c r="J538" s="145" t="s">
        <v>1186</v>
      </c>
      <c r="K538" s="153">
        <v>-17.545000000000002</v>
      </c>
      <c r="L538" s="153" t="s">
        <v>86</v>
      </c>
      <c r="M538" s="153"/>
      <c r="N538" s="2" t="s">
        <v>359</v>
      </c>
      <c r="O538" s="2"/>
      <c r="P538" s="10"/>
    </row>
    <row r="539" spans="1:16" ht="16.5" customHeight="1" x14ac:dyDescent="0.25">
      <c r="A539" s="2" t="s">
        <v>1187</v>
      </c>
      <c r="B539" s="8" t="s">
        <v>1188</v>
      </c>
      <c r="C539" s="8" t="s">
        <v>749</v>
      </c>
      <c r="D539" s="8" t="s">
        <v>163</v>
      </c>
      <c r="E539" s="150" t="s">
        <v>563</v>
      </c>
      <c r="F539" s="151" t="s">
        <v>103</v>
      </c>
      <c r="G539" s="152">
        <v>0</v>
      </c>
      <c r="H539" s="152"/>
      <c r="I539" s="153">
        <v>29.2</v>
      </c>
      <c r="J539" s="145" t="s">
        <v>1189</v>
      </c>
      <c r="K539" s="153">
        <v>-2.4594776943462899</v>
      </c>
      <c r="L539" s="153" t="s">
        <v>86</v>
      </c>
      <c r="M539" s="153"/>
      <c r="N539" s="2" t="s">
        <v>57</v>
      </c>
      <c r="O539" s="2"/>
      <c r="P539" s="10"/>
    </row>
    <row r="540" spans="1:16" ht="16.5" customHeight="1" x14ac:dyDescent="0.25">
      <c r="A540" s="2" t="s">
        <v>1190</v>
      </c>
      <c r="B540" s="8" t="s">
        <v>1191</v>
      </c>
      <c r="C540" s="8" t="s">
        <v>714</v>
      </c>
      <c r="D540" s="8" t="s">
        <v>278</v>
      </c>
      <c r="E540" s="150" t="s">
        <v>511</v>
      </c>
      <c r="F540" s="151" t="s">
        <v>103</v>
      </c>
      <c r="G540" s="152">
        <v>0</v>
      </c>
      <c r="H540" s="152"/>
      <c r="I540" s="153">
        <v>16.61</v>
      </c>
      <c r="J540" s="145" t="s">
        <v>1192</v>
      </c>
      <c r="K540" s="153" t="s">
        <v>86</v>
      </c>
      <c r="L540" s="153" t="s">
        <v>86</v>
      </c>
      <c r="M540" s="153"/>
      <c r="N540" s="2" t="s">
        <v>57</v>
      </c>
      <c r="O540" s="2"/>
      <c r="P540" s="2"/>
    </row>
    <row r="541" spans="1:16" ht="16.5" customHeight="1" x14ac:dyDescent="0.25">
      <c r="A541" s="2" t="s">
        <v>1193</v>
      </c>
      <c r="B541" s="8" t="s">
        <v>1194</v>
      </c>
      <c r="C541" s="8" t="s">
        <v>1195</v>
      </c>
      <c r="D541" s="8" t="s">
        <v>278</v>
      </c>
      <c r="E541" s="150" t="s">
        <v>511</v>
      </c>
      <c r="F541" s="151" t="s">
        <v>103</v>
      </c>
      <c r="G541" s="152">
        <v>0</v>
      </c>
      <c r="H541" s="152"/>
      <c r="I541" s="153">
        <v>49.73</v>
      </c>
      <c r="J541" s="145" t="s">
        <v>1196</v>
      </c>
      <c r="K541" s="153">
        <v>-12.378666666666669</v>
      </c>
      <c r="L541" s="153">
        <v>-8.4388253506261695</v>
      </c>
      <c r="M541" s="153"/>
      <c r="N541" s="2" t="s">
        <v>57</v>
      </c>
      <c r="O541" s="2" t="s">
        <v>598</v>
      </c>
      <c r="P541" s="2" t="s">
        <v>51</v>
      </c>
    </row>
    <row r="542" spans="1:16" ht="16.5" customHeight="1" x14ac:dyDescent="0.25">
      <c r="A542" s="2" t="s">
        <v>1197</v>
      </c>
      <c r="B542" s="8" t="s">
        <v>1198</v>
      </c>
      <c r="C542" s="8" t="s">
        <v>714</v>
      </c>
      <c r="D542" s="8" t="s">
        <v>278</v>
      </c>
      <c r="E542" s="150" t="s">
        <v>511</v>
      </c>
      <c r="F542" s="151" t="s">
        <v>103</v>
      </c>
      <c r="G542" s="152">
        <v>0</v>
      </c>
      <c r="H542" s="152"/>
      <c r="I542" s="153">
        <v>36.090000000000003</v>
      </c>
      <c r="J542" s="145" t="s">
        <v>1199</v>
      </c>
      <c r="K542" s="153">
        <v>-9.208000000000002</v>
      </c>
      <c r="L542" s="153">
        <v>-11.64</v>
      </c>
      <c r="M542" s="153"/>
      <c r="N542" s="2" t="s">
        <v>57</v>
      </c>
      <c r="O542" s="2"/>
      <c r="P542" s="2" t="s">
        <v>51</v>
      </c>
    </row>
    <row r="543" spans="1:16" ht="16.5" customHeight="1" x14ac:dyDescent="0.25">
      <c r="A543" s="2" t="s">
        <v>1200</v>
      </c>
      <c r="B543" s="8" t="s">
        <v>1201</v>
      </c>
      <c r="C543" s="8" t="s">
        <v>101</v>
      </c>
      <c r="D543" s="8" t="s">
        <v>386</v>
      </c>
      <c r="E543" s="150" t="s">
        <v>13772</v>
      </c>
      <c r="F543" s="151" t="s">
        <v>103</v>
      </c>
      <c r="G543" s="152">
        <v>0</v>
      </c>
      <c r="H543" s="152"/>
      <c r="I543" s="153">
        <v>3.890000000000001</v>
      </c>
      <c r="J543" s="145" t="s">
        <v>1202</v>
      </c>
      <c r="K543" s="153" t="s">
        <v>86</v>
      </c>
      <c r="L543" s="153" t="s">
        <v>86</v>
      </c>
      <c r="M543" s="153"/>
      <c r="N543" s="2" t="s">
        <v>57</v>
      </c>
      <c r="O543" s="2"/>
      <c r="P543" s="2"/>
    </row>
    <row r="544" spans="1:16" ht="16.5" customHeight="1" x14ac:dyDescent="0.25">
      <c r="A544" s="2" t="s">
        <v>1203</v>
      </c>
      <c r="B544" s="8" t="s">
        <v>1204</v>
      </c>
      <c r="C544" s="8" t="s">
        <v>101</v>
      </c>
      <c r="D544" s="8" t="s">
        <v>386</v>
      </c>
      <c r="E544" s="150" t="s">
        <v>13772</v>
      </c>
      <c r="F544" s="151" t="s">
        <v>103</v>
      </c>
      <c r="G544" s="152">
        <v>0</v>
      </c>
      <c r="H544" s="152"/>
      <c r="I544" s="153">
        <v>2.71</v>
      </c>
      <c r="J544" s="145" t="s">
        <v>1205</v>
      </c>
      <c r="K544" s="153" t="s">
        <v>86</v>
      </c>
      <c r="L544" s="153" t="s">
        <v>86</v>
      </c>
      <c r="M544" s="153"/>
      <c r="N544" s="2" t="s">
        <v>57</v>
      </c>
      <c r="O544" s="2"/>
      <c r="P544" s="2"/>
    </row>
    <row r="545" spans="1:16" ht="16.5" customHeight="1" x14ac:dyDescent="0.25">
      <c r="A545" s="2" t="s">
        <v>1206</v>
      </c>
      <c r="B545" s="8" t="s">
        <v>1207</v>
      </c>
      <c r="C545" s="8" t="s">
        <v>1208</v>
      </c>
      <c r="D545" s="8" t="s">
        <v>278</v>
      </c>
      <c r="E545" s="150" t="s">
        <v>511</v>
      </c>
      <c r="F545" s="151" t="s">
        <v>103</v>
      </c>
      <c r="G545" s="152">
        <v>0</v>
      </c>
      <c r="H545" s="152"/>
      <c r="I545" s="153">
        <v>38.79</v>
      </c>
      <c r="J545" s="145" t="s">
        <v>1209</v>
      </c>
      <c r="K545" s="153">
        <v>-7.993095238095238</v>
      </c>
      <c r="L545" s="153">
        <v>-5.64</v>
      </c>
      <c r="M545" s="153"/>
      <c r="N545" s="2" t="s">
        <v>57</v>
      </c>
      <c r="O545" s="2"/>
      <c r="P545" s="10"/>
    </row>
    <row r="546" spans="1:16" ht="16.5" customHeight="1" x14ac:dyDescent="0.25">
      <c r="A546" s="2" t="s">
        <v>1210</v>
      </c>
      <c r="B546" s="8" t="s">
        <v>1211</v>
      </c>
      <c r="C546" s="8" t="s">
        <v>1212</v>
      </c>
      <c r="D546" s="8" t="s">
        <v>278</v>
      </c>
      <c r="E546" s="150" t="s">
        <v>511</v>
      </c>
      <c r="F546" s="151" t="s">
        <v>103</v>
      </c>
      <c r="G546" s="152">
        <v>0</v>
      </c>
      <c r="H546" s="152"/>
      <c r="I546" s="153">
        <v>57.1</v>
      </c>
      <c r="J546" s="145" t="s">
        <v>1213</v>
      </c>
      <c r="K546" s="153">
        <v>-11.814416666666659</v>
      </c>
      <c r="L546" s="153" t="s">
        <v>86</v>
      </c>
      <c r="M546" s="153"/>
      <c r="N546" s="2" t="s">
        <v>57</v>
      </c>
      <c r="O546" s="2" t="s">
        <v>654</v>
      </c>
      <c r="P546" s="10"/>
    </row>
    <row r="547" spans="1:16" ht="16.5" customHeight="1" x14ac:dyDescent="0.25">
      <c r="A547" s="2" t="s">
        <v>1214</v>
      </c>
      <c r="B547" s="8" t="s">
        <v>1215</v>
      </c>
      <c r="C547" s="8" t="s">
        <v>1216</v>
      </c>
      <c r="D547" s="8" t="s">
        <v>278</v>
      </c>
      <c r="E547" s="150" t="s">
        <v>511</v>
      </c>
      <c r="F547" s="151" t="s">
        <v>103</v>
      </c>
      <c r="G547" s="152">
        <v>0</v>
      </c>
      <c r="H547" s="152"/>
      <c r="I547" s="153">
        <v>67.150000000000006</v>
      </c>
      <c r="J547" s="145" t="s">
        <v>1217</v>
      </c>
      <c r="K547" s="153">
        <v>-24.033571428571431</v>
      </c>
      <c r="L547" s="153" t="s">
        <v>86</v>
      </c>
      <c r="M547" s="153"/>
      <c r="N547" s="2" t="s">
        <v>57</v>
      </c>
      <c r="O547" s="2" t="s">
        <v>1218</v>
      </c>
      <c r="P547" s="10"/>
    </row>
    <row r="548" spans="1:16" ht="16.5" customHeight="1" x14ac:dyDescent="0.25">
      <c r="A548" s="2" t="s">
        <v>1219</v>
      </c>
      <c r="B548" s="8" t="s">
        <v>1220</v>
      </c>
      <c r="C548" s="8" t="s">
        <v>1221</v>
      </c>
      <c r="D548" s="8" t="s">
        <v>278</v>
      </c>
      <c r="E548" s="150" t="s">
        <v>511</v>
      </c>
      <c r="F548" s="151" t="s">
        <v>103</v>
      </c>
      <c r="G548" s="152">
        <v>0</v>
      </c>
      <c r="H548" s="152"/>
      <c r="I548" s="153">
        <v>64.53</v>
      </c>
      <c r="J548" s="145" t="s">
        <v>1222</v>
      </c>
      <c r="K548" s="153">
        <v>-15.624333333333331</v>
      </c>
      <c r="L548" s="153" t="s">
        <v>86</v>
      </c>
      <c r="M548" s="153"/>
      <c r="N548" s="2" t="s">
        <v>57</v>
      </c>
      <c r="O548" s="2" t="s">
        <v>655</v>
      </c>
      <c r="P548" s="10"/>
    </row>
    <row r="549" spans="1:16" ht="16.5" customHeight="1" x14ac:dyDescent="0.25">
      <c r="A549" s="2" t="s">
        <v>1223</v>
      </c>
      <c r="B549" s="8" t="s">
        <v>1224</v>
      </c>
      <c r="C549" s="8" t="s">
        <v>1225</v>
      </c>
      <c r="D549" s="8" t="s">
        <v>278</v>
      </c>
      <c r="E549" s="150" t="s">
        <v>511</v>
      </c>
      <c r="F549" s="151" t="s">
        <v>103</v>
      </c>
      <c r="G549" s="152">
        <v>0</v>
      </c>
      <c r="H549" s="152"/>
      <c r="I549" s="153">
        <v>71</v>
      </c>
      <c r="J549" s="145" t="s">
        <v>1226</v>
      </c>
      <c r="K549" s="153">
        <v>-25.040166666666671</v>
      </c>
      <c r="L549" s="153">
        <v>-28.639756033240101</v>
      </c>
      <c r="M549" s="153"/>
      <c r="N549" s="2" t="s">
        <v>57</v>
      </c>
      <c r="O549" s="2" t="s">
        <v>609</v>
      </c>
      <c r="P549" s="2" t="s">
        <v>51</v>
      </c>
    </row>
    <row r="550" spans="1:16" ht="16.5" customHeight="1" x14ac:dyDescent="0.25">
      <c r="A550" s="2" t="s">
        <v>1227</v>
      </c>
      <c r="B550" s="8" t="s">
        <v>1228</v>
      </c>
      <c r="C550" s="8" t="s">
        <v>1229</v>
      </c>
      <c r="D550" s="8" t="s">
        <v>278</v>
      </c>
      <c r="E550" s="150" t="s">
        <v>511</v>
      </c>
      <c r="F550" s="151" t="s">
        <v>103</v>
      </c>
      <c r="G550" s="152">
        <v>0</v>
      </c>
      <c r="H550" s="152"/>
      <c r="I550" s="153">
        <v>76</v>
      </c>
      <c r="J550" s="145" t="s">
        <v>1230</v>
      </c>
      <c r="K550" s="153">
        <v>-26.43133823529412</v>
      </c>
      <c r="L550" s="153">
        <v>-42.97</v>
      </c>
      <c r="M550" s="153"/>
      <c r="N550" s="2" t="s">
        <v>57</v>
      </c>
      <c r="O550" s="2" t="s">
        <v>610</v>
      </c>
      <c r="P550" s="2" t="s">
        <v>51</v>
      </c>
    </row>
    <row r="551" spans="1:16" ht="16.5" customHeight="1" x14ac:dyDescent="0.25">
      <c r="A551" s="2" t="s">
        <v>1231</v>
      </c>
      <c r="B551" s="8" t="s">
        <v>1232</v>
      </c>
      <c r="C551" s="8" t="s">
        <v>1233</v>
      </c>
      <c r="D551" s="8" t="s">
        <v>278</v>
      </c>
      <c r="E551" s="150" t="s">
        <v>511</v>
      </c>
      <c r="F551" s="151" t="s">
        <v>103</v>
      </c>
      <c r="G551" s="152">
        <v>0</v>
      </c>
      <c r="H551" s="152"/>
      <c r="I551" s="153">
        <v>82</v>
      </c>
      <c r="J551" s="145" t="s">
        <v>1234</v>
      </c>
      <c r="K551" s="153">
        <v>-131.27375000000001</v>
      </c>
      <c r="L551" s="153" t="s">
        <v>86</v>
      </c>
      <c r="M551" s="153"/>
      <c r="N551" s="2" t="s">
        <v>57</v>
      </c>
      <c r="O551" s="2" t="s">
        <v>611</v>
      </c>
      <c r="P551" s="10"/>
    </row>
    <row r="552" spans="1:16" ht="16.5" customHeight="1" x14ac:dyDescent="0.25">
      <c r="A552" s="2" t="s">
        <v>1235</v>
      </c>
      <c r="B552" s="8" t="s">
        <v>1236</v>
      </c>
      <c r="C552" s="8" t="s">
        <v>1237</v>
      </c>
      <c r="D552" s="8" t="s">
        <v>278</v>
      </c>
      <c r="E552" s="150" t="s">
        <v>102</v>
      </c>
      <c r="F552" s="151" t="s">
        <v>103</v>
      </c>
      <c r="G552" s="152">
        <v>0</v>
      </c>
      <c r="H552" s="152"/>
      <c r="I552" s="153">
        <v>30.579999999999991</v>
      </c>
      <c r="J552" s="145" t="s">
        <v>1238</v>
      </c>
      <c r="K552" s="153">
        <v>-4.07</v>
      </c>
      <c r="L552" s="153" t="s">
        <v>86</v>
      </c>
      <c r="M552" s="153"/>
      <c r="N552" s="2" t="s">
        <v>57</v>
      </c>
      <c r="O552" s="2"/>
      <c r="P552" s="10"/>
    </row>
    <row r="553" spans="1:16" ht="16.5" customHeight="1" x14ac:dyDescent="0.25">
      <c r="A553" s="2" t="s">
        <v>1243</v>
      </c>
      <c r="B553" s="8" t="s">
        <v>1244</v>
      </c>
      <c r="C553" s="8" t="s">
        <v>1245</v>
      </c>
      <c r="D553" s="8" t="s">
        <v>278</v>
      </c>
      <c r="E553" s="150" t="s">
        <v>102</v>
      </c>
      <c r="F553" s="151" t="s">
        <v>103</v>
      </c>
      <c r="G553" s="152">
        <v>0</v>
      </c>
      <c r="H553" s="152"/>
      <c r="I553" s="153">
        <v>50</v>
      </c>
      <c r="J553" s="145" t="s">
        <v>1242</v>
      </c>
      <c r="K553" s="153">
        <v>-7.3743321433421913</v>
      </c>
      <c r="L553" s="153" t="s">
        <v>86</v>
      </c>
      <c r="M553" s="153"/>
      <c r="N553" s="2" t="s">
        <v>57</v>
      </c>
      <c r="O553" s="2"/>
      <c r="P553" s="10"/>
    </row>
    <row r="554" spans="1:16" ht="16.5" customHeight="1" x14ac:dyDescent="0.25">
      <c r="A554" s="2" t="s">
        <v>1247</v>
      </c>
      <c r="B554" s="8" t="s">
        <v>1248</v>
      </c>
      <c r="C554" s="8" t="s">
        <v>718</v>
      </c>
      <c r="D554" s="8" t="s">
        <v>278</v>
      </c>
      <c r="E554" s="150" t="s">
        <v>102</v>
      </c>
      <c r="F554" s="151" t="s">
        <v>103</v>
      </c>
      <c r="G554" s="152">
        <v>0</v>
      </c>
      <c r="H554" s="152"/>
      <c r="I554" s="153">
        <v>45.16</v>
      </c>
      <c r="J554" s="145" t="s">
        <v>1246</v>
      </c>
      <c r="K554" s="153">
        <v>-16.995000000000001</v>
      </c>
      <c r="L554" s="153" t="s">
        <v>86</v>
      </c>
      <c r="M554" s="153"/>
      <c r="N554" s="2" t="s">
        <v>57</v>
      </c>
      <c r="O554" s="2"/>
      <c r="P554" s="10"/>
    </row>
    <row r="555" spans="1:16" ht="16.5" customHeight="1" x14ac:dyDescent="0.25">
      <c r="A555" s="2" t="s">
        <v>1250</v>
      </c>
      <c r="B555" s="8" t="s">
        <v>1251</v>
      </c>
      <c r="C555" s="8" t="s">
        <v>1252</v>
      </c>
      <c r="D555" s="8" t="s">
        <v>278</v>
      </c>
      <c r="E555" s="150" t="s">
        <v>563</v>
      </c>
      <c r="F555" s="151" t="s">
        <v>103</v>
      </c>
      <c r="G555" s="152">
        <v>0</v>
      </c>
      <c r="H555" s="152"/>
      <c r="I555" s="153">
        <v>15.27</v>
      </c>
      <c r="J555" s="145" t="s">
        <v>1249</v>
      </c>
      <c r="K555" s="153">
        <v>-3.155749961411404</v>
      </c>
      <c r="L555" s="153" t="s">
        <v>86</v>
      </c>
      <c r="M555" s="153"/>
      <c r="N555" s="2" t="s">
        <v>57</v>
      </c>
      <c r="O555" s="2" t="s">
        <v>496</v>
      </c>
      <c r="P555" s="2" t="s">
        <v>51</v>
      </c>
    </row>
    <row r="556" spans="1:16" ht="16.5" customHeight="1" x14ac:dyDescent="0.25">
      <c r="A556" s="2" t="s">
        <v>1254</v>
      </c>
      <c r="B556" s="8" t="s">
        <v>1255</v>
      </c>
      <c r="C556" s="8" t="s">
        <v>1256</v>
      </c>
      <c r="D556" s="8" t="s">
        <v>278</v>
      </c>
      <c r="E556" s="150" t="s">
        <v>563</v>
      </c>
      <c r="F556" s="151" t="s">
        <v>103</v>
      </c>
      <c r="G556" s="152">
        <v>0</v>
      </c>
      <c r="H556" s="152"/>
      <c r="I556" s="153">
        <v>5.62</v>
      </c>
      <c r="J556" s="145" t="s">
        <v>1253</v>
      </c>
      <c r="K556" s="153">
        <v>-1.161448250368833</v>
      </c>
      <c r="L556" s="153" t="s">
        <v>86</v>
      </c>
      <c r="M556" s="153"/>
      <c r="N556" s="2" t="s">
        <v>57</v>
      </c>
      <c r="O556" s="2" t="s">
        <v>499</v>
      </c>
      <c r="P556" s="10"/>
    </row>
    <row r="557" spans="1:16" ht="16.5" customHeight="1" x14ac:dyDescent="0.25">
      <c r="A557" s="2" t="s">
        <v>1258</v>
      </c>
      <c r="B557" s="8" t="s">
        <v>1259</v>
      </c>
      <c r="C557" s="8" t="s">
        <v>1260</v>
      </c>
      <c r="D557" s="8" t="s">
        <v>278</v>
      </c>
      <c r="E557" s="150" t="s">
        <v>563</v>
      </c>
      <c r="F557" s="151" t="s">
        <v>103</v>
      </c>
      <c r="G557" s="152">
        <v>0</v>
      </c>
      <c r="H557" s="152"/>
      <c r="I557" s="153">
        <v>6.3</v>
      </c>
      <c r="J557" s="145" t="s">
        <v>1257</v>
      </c>
      <c r="K557" s="153">
        <v>-1.256414835164835</v>
      </c>
      <c r="L557" s="153" t="s">
        <v>86</v>
      </c>
      <c r="M557" s="153"/>
      <c r="N557" s="2" t="s">
        <v>57</v>
      </c>
      <c r="O557" s="2" t="s">
        <v>503</v>
      </c>
      <c r="P557" s="10"/>
    </row>
    <row r="558" spans="1:16" ht="16.5" customHeight="1" x14ac:dyDescent="0.25">
      <c r="A558" s="2" t="s">
        <v>1262</v>
      </c>
      <c r="B558" s="8" t="s">
        <v>1263</v>
      </c>
      <c r="C558" s="8" t="s">
        <v>1264</v>
      </c>
      <c r="D558" s="8" t="s">
        <v>278</v>
      </c>
      <c r="E558" s="150" t="s">
        <v>563</v>
      </c>
      <c r="F558" s="151" t="s">
        <v>103</v>
      </c>
      <c r="G558" s="152">
        <v>0</v>
      </c>
      <c r="H558" s="152"/>
      <c r="I558" s="153">
        <v>3.54</v>
      </c>
      <c r="J558" s="145" t="s">
        <v>1261</v>
      </c>
      <c r="K558" s="153">
        <v>-1.977853211009174</v>
      </c>
      <c r="L558" s="153" t="s">
        <v>86</v>
      </c>
      <c r="M558" s="153"/>
      <c r="N558" s="2" t="s">
        <v>57</v>
      </c>
      <c r="O558" s="2" t="s">
        <v>507</v>
      </c>
      <c r="P558" s="10"/>
    </row>
    <row r="559" spans="1:16" ht="16.5" customHeight="1" x14ac:dyDescent="0.25">
      <c r="A559" s="2" t="s">
        <v>1266</v>
      </c>
      <c r="B559" s="8" t="s">
        <v>1267</v>
      </c>
      <c r="C559" s="8" t="s">
        <v>714</v>
      </c>
      <c r="D559" s="8" t="s">
        <v>278</v>
      </c>
      <c r="E559" s="150" t="s">
        <v>102</v>
      </c>
      <c r="F559" s="151" t="s">
        <v>103</v>
      </c>
      <c r="G559" s="152">
        <v>0</v>
      </c>
      <c r="H559" s="152"/>
      <c r="I559" s="153">
        <v>55.84</v>
      </c>
      <c r="J559" s="145" t="s">
        <v>1265</v>
      </c>
      <c r="K559" s="153">
        <v>-9.8925000000000001</v>
      </c>
      <c r="L559" s="153" t="s">
        <v>86</v>
      </c>
      <c r="M559" s="153"/>
      <c r="N559" s="2" t="s">
        <v>57</v>
      </c>
      <c r="O559" s="2"/>
      <c r="P559" s="10"/>
    </row>
    <row r="560" spans="1:16" ht="16.5" customHeight="1" x14ac:dyDescent="0.25">
      <c r="A560" s="2" t="s">
        <v>1269</v>
      </c>
      <c r="B560" s="8" t="s">
        <v>1270</v>
      </c>
      <c r="C560" s="8" t="s">
        <v>102</v>
      </c>
      <c r="D560" s="8" t="s">
        <v>278</v>
      </c>
      <c r="E560" s="150" t="s">
        <v>13772</v>
      </c>
      <c r="F560" s="151" t="s">
        <v>103</v>
      </c>
      <c r="G560" s="152">
        <v>0</v>
      </c>
      <c r="H560" s="152"/>
      <c r="I560" s="153">
        <v>10.99</v>
      </c>
      <c r="J560" s="145" t="s">
        <v>1268</v>
      </c>
      <c r="K560" s="153">
        <v>-1.5162500000000001</v>
      </c>
      <c r="L560" s="153" t="s">
        <v>86</v>
      </c>
      <c r="M560" s="153"/>
      <c r="N560" s="2" t="s">
        <v>57</v>
      </c>
      <c r="O560" s="2"/>
      <c r="P560" s="10"/>
    </row>
    <row r="561" spans="1:16" ht="16.5" customHeight="1" x14ac:dyDescent="0.25">
      <c r="A561" s="2" t="s">
        <v>1272</v>
      </c>
      <c r="B561" s="8" t="s">
        <v>1273</v>
      </c>
      <c r="C561" s="8" t="s">
        <v>102</v>
      </c>
      <c r="D561" s="8" t="s">
        <v>278</v>
      </c>
      <c r="E561" s="150" t="s">
        <v>13772</v>
      </c>
      <c r="F561" s="151" t="s">
        <v>103</v>
      </c>
      <c r="G561" s="152">
        <v>0</v>
      </c>
      <c r="H561" s="152"/>
      <c r="I561" s="153">
        <v>16.329999999999998</v>
      </c>
      <c r="J561" s="145" t="s">
        <v>1271</v>
      </c>
      <c r="K561" s="153">
        <v>-2.1669999999999998</v>
      </c>
      <c r="L561" s="153" t="s">
        <v>86</v>
      </c>
      <c r="M561" s="153"/>
      <c r="N561" s="2" t="s">
        <v>57</v>
      </c>
      <c r="O561" s="2"/>
      <c r="P561" s="10"/>
    </row>
    <row r="562" spans="1:16" ht="16.5" customHeight="1" x14ac:dyDescent="0.25">
      <c r="A562" s="2" t="s">
        <v>1275</v>
      </c>
      <c r="B562" s="8" t="s">
        <v>1276</v>
      </c>
      <c r="C562" s="8" t="s">
        <v>101</v>
      </c>
      <c r="D562" s="8" t="s">
        <v>278</v>
      </c>
      <c r="E562" s="150" t="s">
        <v>13772</v>
      </c>
      <c r="F562" s="151" t="s">
        <v>103</v>
      </c>
      <c r="G562" s="152">
        <v>0</v>
      </c>
      <c r="H562" s="152"/>
      <c r="I562" s="153">
        <v>11.1</v>
      </c>
      <c r="J562" s="145" t="s">
        <v>1274</v>
      </c>
      <c r="K562" s="153">
        <v>-2.1143333333333332</v>
      </c>
      <c r="L562" s="153" t="s">
        <v>86</v>
      </c>
      <c r="M562" s="153"/>
      <c r="N562" s="2" t="s">
        <v>57</v>
      </c>
      <c r="O562" s="2"/>
      <c r="P562" s="10"/>
    </row>
    <row r="563" spans="1:16" ht="16.5" customHeight="1" x14ac:dyDescent="0.25">
      <c r="A563" s="2" t="s">
        <v>1278</v>
      </c>
      <c r="B563" s="8" t="s">
        <v>1279</v>
      </c>
      <c r="C563" s="8" t="s">
        <v>101</v>
      </c>
      <c r="D563" s="8" t="s">
        <v>278</v>
      </c>
      <c r="E563" s="150" t="s">
        <v>13772</v>
      </c>
      <c r="F563" s="151" t="s">
        <v>103</v>
      </c>
      <c r="G563" s="152">
        <v>0</v>
      </c>
      <c r="H563" s="152"/>
      <c r="I563" s="153">
        <v>18.63</v>
      </c>
      <c r="J563" s="145" t="s">
        <v>1277</v>
      </c>
      <c r="K563" s="153">
        <v>-2.2496666666666671</v>
      </c>
      <c r="L563" s="153" t="s">
        <v>86</v>
      </c>
      <c r="M563" s="153"/>
      <c r="N563" s="2" t="s">
        <v>57</v>
      </c>
      <c r="O563" s="2"/>
      <c r="P563" s="10"/>
    </row>
    <row r="564" spans="1:16" ht="16.5" customHeight="1" x14ac:dyDescent="0.25">
      <c r="A564" s="2" t="s">
        <v>1281</v>
      </c>
      <c r="B564" s="8" t="s">
        <v>1282</v>
      </c>
      <c r="C564" s="8" t="s">
        <v>101</v>
      </c>
      <c r="D564" s="8" t="s">
        <v>278</v>
      </c>
      <c r="E564" s="150" t="s">
        <v>13772</v>
      </c>
      <c r="F564" s="151" t="s">
        <v>103</v>
      </c>
      <c r="G564" s="152">
        <v>0</v>
      </c>
      <c r="H564" s="152"/>
      <c r="I564" s="153">
        <v>25.71</v>
      </c>
      <c r="J564" s="145" t="s">
        <v>1280</v>
      </c>
      <c r="K564" s="153">
        <v>-2.7925</v>
      </c>
      <c r="L564" s="153" t="s">
        <v>86</v>
      </c>
      <c r="M564" s="153"/>
      <c r="N564" s="2" t="s">
        <v>57</v>
      </c>
      <c r="O564" s="2"/>
      <c r="P564" s="10"/>
    </row>
    <row r="565" spans="1:16" ht="16.5" customHeight="1" x14ac:dyDescent="0.25">
      <c r="A565" s="2" t="s">
        <v>1284</v>
      </c>
      <c r="B565" s="8" t="s">
        <v>1285</v>
      </c>
      <c r="C565" s="8" t="s">
        <v>1286</v>
      </c>
      <c r="D565" s="8" t="s">
        <v>278</v>
      </c>
      <c r="E565" s="150" t="s">
        <v>511</v>
      </c>
      <c r="F565" s="151" t="s">
        <v>103</v>
      </c>
      <c r="G565" s="152">
        <v>0</v>
      </c>
      <c r="H565" s="152"/>
      <c r="I565" s="153">
        <v>129.96</v>
      </c>
      <c r="J565" s="145" t="s">
        <v>1283</v>
      </c>
      <c r="K565" s="153" t="s">
        <v>86</v>
      </c>
      <c r="L565" s="153" t="s">
        <v>86</v>
      </c>
      <c r="M565" s="153"/>
      <c r="N565" s="2" t="s">
        <v>359</v>
      </c>
      <c r="O565" s="2"/>
      <c r="P565" s="2"/>
    </row>
    <row r="566" spans="1:16" ht="16.5" customHeight="1" x14ac:dyDescent="0.25">
      <c r="A566" s="8" t="s">
        <v>1288</v>
      </c>
      <c r="B566" s="8" t="s">
        <v>1289</v>
      </c>
      <c r="C566" s="8" t="s">
        <v>778</v>
      </c>
      <c r="D566" s="8" t="s">
        <v>1290</v>
      </c>
      <c r="E566" s="150" t="s">
        <v>13772</v>
      </c>
      <c r="F566" s="151" t="s">
        <v>103</v>
      </c>
      <c r="G566" s="152">
        <v>0</v>
      </c>
      <c r="H566" s="152"/>
      <c r="I566" s="153">
        <v>94.05</v>
      </c>
      <c r="J566" s="145" t="s">
        <v>1287</v>
      </c>
      <c r="K566" s="153" t="s">
        <v>86</v>
      </c>
      <c r="L566" s="153" t="s">
        <v>86</v>
      </c>
      <c r="M566" s="153"/>
      <c r="N566" s="2" t="s">
        <v>57</v>
      </c>
      <c r="O566" s="2"/>
      <c r="P566" s="2"/>
    </row>
    <row r="567" spans="1:16" ht="16.5" customHeight="1" x14ac:dyDescent="0.25">
      <c r="A567" s="8" t="s">
        <v>1292</v>
      </c>
      <c r="B567" s="8" t="s">
        <v>1293</v>
      </c>
      <c r="C567" s="8" t="s">
        <v>778</v>
      </c>
      <c r="D567" s="8" t="s">
        <v>1290</v>
      </c>
      <c r="E567" s="150" t="s">
        <v>13772</v>
      </c>
      <c r="F567" s="151" t="s">
        <v>103</v>
      </c>
      <c r="G567" s="152">
        <v>0</v>
      </c>
      <c r="H567" s="152"/>
      <c r="I567" s="153">
        <v>93.77</v>
      </c>
      <c r="J567" s="145" t="s">
        <v>1291</v>
      </c>
      <c r="K567" s="153" t="s">
        <v>86</v>
      </c>
      <c r="L567" s="153" t="s">
        <v>86</v>
      </c>
      <c r="M567" s="153"/>
      <c r="N567" s="2" t="s">
        <v>57</v>
      </c>
      <c r="O567" s="2"/>
      <c r="P567" s="2"/>
    </row>
    <row r="568" spans="1:16" ht="16.5" customHeight="1" x14ac:dyDescent="0.25">
      <c r="A568" s="8" t="s">
        <v>1295</v>
      </c>
      <c r="B568" s="8" t="s">
        <v>1296</v>
      </c>
      <c r="C568" s="8" t="s">
        <v>778</v>
      </c>
      <c r="D568" s="8" t="s">
        <v>1290</v>
      </c>
      <c r="E568" s="150" t="s">
        <v>13772</v>
      </c>
      <c r="F568" s="151" t="s">
        <v>103</v>
      </c>
      <c r="G568" s="152">
        <v>0</v>
      </c>
      <c r="H568" s="152"/>
      <c r="I568" s="153">
        <v>117.68</v>
      </c>
      <c r="J568" s="145" t="s">
        <v>1294</v>
      </c>
      <c r="K568" s="153" t="s">
        <v>86</v>
      </c>
      <c r="L568" s="153" t="s">
        <v>86</v>
      </c>
      <c r="M568" s="153"/>
      <c r="N568" s="2" t="s">
        <v>57</v>
      </c>
      <c r="O568" s="2"/>
      <c r="P568" s="2"/>
    </row>
    <row r="569" spans="1:16" ht="16.5" customHeight="1" x14ac:dyDescent="0.25">
      <c r="A569" s="8" t="s">
        <v>1298</v>
      </c>
      <c r="B569" s="8" t="s">
        <v>1299</v>
      </c>
      <c r="C569" s="8" t="s">
        <v>778</v>
      </c>
      <c r="D569" s="8" t="s">
        <v>1290</v>
      </c>
      <c r="E569" s="150" t="s">
        <v>13772</v>
      </c>
      <c r="F569" s="151" t="s">
        <v>103</v>
      </c>
      <c r="G569" s="152">
        <v>0</v>
      </c>
      <c r="H569" s="152"/>
      <c r="I569" s="153">
        <v>124.84</v>
      </c>
      <c r="J569" s="145" t="s">
        <v>1297</v>
      </c>
      <c r="K569" s="153" t="s">
        <v>86</v>
      </c>
      <c r="L569" s="153" t="s">
        <v>86</v>
      </c>
      <c r="M569" s="153"/>
      <c r="N569" s="2" t="s">
        <v>57</v>
      </c>
      <c r="O569" s="2"/>
      <c r="P569" s="2"/>
    </row>
    <row r="570" spans="1:16" ht="16.5" customHeight="1" x14ac:dyDescent="0.25">
      <c r="A570" s="8" t="s">
        <v>1301</v>
      </c>
      <c r="B570" s="8" t="s">
        <v>1302</v>
      </c>
      <c r="C570" s="8" t="s">
        <v>778</v>
      </c>
      <c r="D570" s="8" t="s">
        <v>1290</v>
      </c>
      <c r="E570" s="150" t="s">
        <v>13772</v>
      </c>
      <c r="F570" s="151" t="s">
        <v>103</v>
      </c>
      <c r="G570" s="152">
        <v>0</v>
      </c>
      <c r="H570" s="152"/>
      <c r="I570" s="153">
        <v>140.69999999999999</v>
      </c>
      <c r="J570" s="145" t="s">
        <v>1300</v>
      </c>
      <c r="K570" s="153" t="s">
        <v>86</v>
      </c>
      <c r="L570" s="153" t="s">
        <v>86</v>
      </c>
      <c r="M570" s="153"/>
      <c r="N570" s="2" t="s">
        <v>57</v>
      </c>
      <c r="O570" s="2"/>
      <c r="P570" s="2"/>
    </row>
    <row r="571" spans="1:16" ht="16.5" customHeight="1" x14ac:dyDescent="0.25">
      <c r="A571" s="8" t="s">
        <v>1304</v>
      </c>
      <c r="B571" s="8" t="s">
        <v>1305</v>
      </c>
      <c r="C571" s="8" t="s">
        <v>778</v>
      </c>
      <c r="D571" s="8" t="s">
        <v>1290</v>
      </c>
      <c r="E571" s="150" t="s">
        <v>13772</v>
      </c>
      <c r="F571" s="151" t="s">
        <v>103</v>
      </c>
      <c r="G571" s="152">
        <v>0</v>
      </c>
      <c r="H571" s="152"/>
      <c r="I571" s="153">
        <v>211.21</v>
      </c>
      <c r="J571" s="145" t="s">
        <v>1303</v>
      </c>
      <c r="K571" s="153" t="s">
        <v>86</v>
      </c>
      <c r="L571" s="153" t="s">
        <v>86</v>
      </c>
      <c r="M571" s="153"/>
      <c r="N571" s="2" t="s">
        <v>57</v>
      </c>
      <c r="O571" s="2"/>
      <c r="P571" s="2"/>
    </row>
    <row r="572" spans="1:16" ht="16.5" customHeight="1" x14ac:dyDescent="0.25">
      <c r="A572" s="8" t="s">
        <v>1307</v>
      </c>
      <c r="B572" s="8" t="s">
        <v>1308</v>
      </c>
      <c r="C572" s="8" t="s">
        <v>778</v>
      </c>
      <c r="D572" s="8" t="s">
        <v>1290</v>
      </c>
      <c r="E572" s="150" t="s">
        <v>13772</v>
      </c>
      <c r="F572" s="151" t="s">
        <v>103</v>
      </c>
      <c r="G572" s="152">
        <v>0</v>
      </c>
      <c r="H572" s="152"/>
      <c r="I572" s="153">
        <v>87.61</v>
      </c>
      <c r="J572" s="145" t="s">
        <v>1306</v>
      </c>
      <c r="K572" s="153" t="s">
        <v>86</v>
      </c>
      <c r="L572" s="153" t="s">
        <v>86</v>
      </c>
      <c r="M572" s="153"/>
      <c r="N572" s="2" t="s">
        <v>57</v>
      </c>
      <c r="O572" s="2"/>
      <c r="P572" s="2"/>
    </row>
    <row r="573" spans="1:16" ht="16.5" customHeight="1" x14ac:dyDescent="0.25">
      <c r="A573" s="8" t="s">
        <v>1310</v>
      </c>
      <c r="B573" s="8" t="s">
        <v>1311</v>
      </c>
      <c r="C573" s="8" t="s">
        <v>1312</v>
      </c>
      <c r="D573" s="8" t="s">
        <v>278</v>
      </c>
      <c r="E573" s="150" t="s">
        <v>102</v>
      </c>
      <c r="F573" s="151" t="s">
        <v>103</v>
      </c>
      <c r="G573" s="152">
        <v>0</v>
      </c>
      <c r="H573" s="152"/>
      <c r="I573" s="153">
        <v>56.22</v>
      </c>
      <c r="J573" s="145" t="s">
        <v>1309</v>
      </c>
      <c r="K573" s="153">
        <v>-10.305</v>
      </c>
      <c r="L573" s="153" t="s">
        <v>86</v>
      </c>
      <c r="M573" s="153"/>
      <c r="N573" s="2" t="s">
        <v>359</v>
      </c>
      <c r="O573" s="2"/>
      <c r="P573" s="10"/>
    </row>
    <row r="574" spans="1:16" ht="16.5" customHeight="1" x14ac:dyDescent="0.25">
      <c r="A574" s="8" t="s">
        <v>1314</v>
      </c>
      <c r="B574" s="8" t="s">
        <v>1315</v>
      </c>
      <c r="C574" s="8" t="s">
        <v>1316</v>
      </c>
      <c r="D574" s="8" t="s">
        <v>278</v>
      </c>
      <c r="E574" s="150" t="s">
        <v>511</v>
      </c>
      <c r="F574" s="151" t="s">
        <v>103</v>
      </c>
      <c r="G574" s="152">
        <v>0</v>
      </c>
      <c r="H574" s="152"/>
      <c r="I574" s="153">
        <v>56.23</v>
      </c>
      <c r="J574" s="145" t="s">
        <v>1313</v>
      </c>
      <c r="K574" s="153">
        <v>-12.379</v>
      </c>
      <c r="L574" s="153">
        <v>-11.67947501087643</v>
      </c>
      <c r="M574" s="153"/>
      <c r="N574" s="2" t="s">
        <v>57</v>
      </c>
      <c r="O574" s="2" t="s">
        <v>617</v>
      </c>
      <c r="P574" s="10"/>
    </row>
    <row r="575" spans="1:16" ht="16.5" customHeight="1" x14ac:dyDescent="0.25">
      <c r="A575" s="8" t="s">
        <v>1318</v>
      </c>
      <c r="B575" s="8" t="s">
        <v>1319</v>
      </c>
      <c r="C575" s="8" t="s">
        <v>778</v>
      </c>
      <c r="D575" s="8" t="s">
        <v>1290</v>
      </c>
      <c r="E575" s="150" t="s">
        <v>13772</v>
      </c>
      <c r="F575" s="151" t="s">
        <v>103</v>
      </c>
      <c r="G575" s="152">
        <v>0</v>
      </c>
      <c r="H575" s="152"/>
      <c r="I575" s="153">
        <v>364.98</v>
      </c>
      <c r="J575" s="145" t="s">
        <v>1317</v>
      </c>
      <c r="K575" s="153" t="s">
        <v>86</v>
      </c>
      <c r="L575" s="153" t="s">
        <v>86</v>
      </c>
      <c r="M575" s="153"/>
      <c r="N575" s="2" t="s">
        <v>57</v>
      </c>
      <c r="O575" s="2"/>
      <c r="P575" s="2"/>
    </row>
    <row r="576" spans="1:16" ht="16.5" customHeight="1" x14ac:dyDescent="0.25">
      <c r="A576" s="146" t="s">
        <v>1218</v>
      </c>
      <c r="B576" s="146" t="s">
        <v>1321</v>
      </c>
      <c r="C576" s="8" t="s">
        <v>1322</v>
      </c>
      <c r="D576" s="8" t="s">
        <v>278</v>
      </c>
      <c r="E576" s="150" t="s">
        <v>511</v>
      </c>
      <c r="F576" s="151" t="s">
        <v>103</v>
      </c>
      <c r="G576" s="152">
        <v>0</v>
      </c>
      <c r="H576" s="152"/>
      <c r="I576" s="153">
        <v>43.89</v>
      </c>
      <c r="J576" s="145" t="s">
        <v>1320</v>
      </c>
      <c r="K576" s="153">
        <v>-11.53746428571429</v>
      </c>
      <c r="L576" s="153" t="s">
        <v>86</v>
      </c>
      <c r="M576" s="153"/>
      <c r="N576" s="2" t="s">
        <v>359</v>
      </c>
      <c r="O576" s="2"/>
      <c r="P576" s="2" t="s">
        <v>51</v>
      </c>
    </row>
    <row r="577" spans="1:16" ht="16.5" customHeight="1" x14ac:dyDescent="0.25">
      <c r="A577" s="146" t="s">
        <v>1324</v>
      </c>
      <c r="B577" s="146" t="s">
        <v>1325</v>
      </c>
      <c r="C577" s="8" t="s">
        <v>101</v>
      </c>
      <c r="D577" s="8" t="s">
        <v>278</v>
      </c>
      <c r="E577" s="150" t="s">
        <v>13772</v>
      </c>
      <c r="F577" s="151" t="s">
        <v>103</v>
      </c>
      <c r="G577" s="152">
        <v>0</v>
      </c>
      <c r="H577" s="152"/>
      <c r="I577" s="153">
        <v>24.25</v>
      </c>
      <c r="J577" s="145" t="s">
        <v>1323</v>
      </c>
      <c r="K577" s="153">
        <v>-4.9826666666666659</v>
      </c>
      <c r="L577" s="153" t="s">
        <v>86</v>
      </c>
      <c r="M577" s="153"/>
      <c r="N577" s="2" t="s">
        <v>57</v>
      </c>
      <c r="O577" s="2"/>
      <c r="P577" s="2"/>
    </row>
    <row r="578" spans="1:16" ht="16.5" customHeight="1" x14ac:dyDescent="0.25">
      <c r="A578" s="146" t="s">
        <v>1327</v>
      </c>
      <c r="B578" s="146" t="s">
        <v>1328</v>
      </c>
      <c r="C578" s="8" t="s">
        <v>101</v>
      </c>
      <c r="D578" s="8" t="s">
        <v>278</v>
      </c>
      <c r="E578" s="150" t="s">
        <v>13772</v>
      </c>
      <c r="F578" s="151" t="s">
        <v>103</v>
      </c>
      <c r="G578" s="152">
        <v>0</v>
      </c>
      <c r="H578" s="152"/>
      <c r="I578" s="153">
        <v>27.94</v>
      </c>
      <c r="J578" s="145" t="s">
        <v>1326</v>
      </c>
      <c r="K578" s="153">
        <v>-6.924666666666667</v>
      </c>
      <c r="L578" s="153" t="s">
        <v>86</v>
      </c>
      <c r="M578" s="153"/>
      <c r="N578" s="2" t="s">
        <v>57</v>
      </c>
      <c r="O578" s="2"/>
      <c r="P578" s="10"/>
    </row>
    <row r="579" spans="1:16" ht="16.5" customHeight="1" x14ac:dyDescent="0.25">
      <c r="A579" s="146" t="s">
        <v>1330</v>
      </c>
      <c r="B579" s="146" t="s">
        <v>1331</v>
      </c>
      <c r="C579" s="8" t="s">
        <v>101</v>
      </c>
      <c r="D579" s="8" t="s">
        <v>278</v>
      </c>
      <c r="E579" s="150" t="s">
        <v>13772</v>
      </c>
      <c r="F579" s="151" t="s">
        <v>103</v>
      </c>
      <c r="G579" s="152">
        <v>0</v>
      </c>
      <c r="H579" s="152"/>
      <c r="I579" s="153">
        <v>31.69</v>
      </c>
      <c r="J579" s="145" t="s">
        <v>1329</v>
      </c>
      <c r="K579" s="153">
        <v>-11.026</v>
      </c>
      <c r="L579" s="153" t="s">
        <v>86</v>
      </c>
      <c r="M579" s="153"/>
      <c r="N579" s="2" t="s">
        <v>57</v>
      </c>
      <c r="O579" s="2"/>
      <c r="P579" s="2"/>
    </row>
    <row r="580" spans="1:16" ht="16.5" customHeight="1" x14ac:dyDescent="0.25">
      <c r="A580" s="146" t="s">
        <v>1333</v>
      </c>
      <c r="B580" s="146" t="s">
        <v>1334</v>
      </c>
      <c r="C580" s="8" t="s">
        <v>714</v>
      </c>
      <c r="D580" s="8" t="s">
        <v>1335</v>
      </c>
      <c r="E580" s="150" t="s">
        <v>563</v>
      </c>
      <c r="F580" s="151" t="s">
        <v>103</v>
      </c>
      <c r="G580" s="152">
        <v>0</v>
      </c>
      <c r="H580" s="152"/>
      <c r="I580" s="153">
        <v>15.61</v>
      </c>
      <c r="J580" s="145" t="s">
        <v>1332</v>
      </c>
      <c r="K580" s="153">
        <v>-10.69916666666666</v>
      </c>
      <c r="L580" s="153" t="s">
        <v>86</v>
      </c>
      <c r="M580" s="153"/>
      <c r="N580" s="2" t="s">
        <v>57</v>
      </c>
      <c r="O580" s="2"/>
      <c r="P580" s="10"/>
    </row>
    <row r="581" spans="1:16" ht="16.5" customHeight="1" x14ac:dyDescent="0.25">
      <c r="A581" s="146" t="s">
        <v>1337</v>
      </c>
      <c r="B581" s="146" t="s">
        <v>1338</v>
      </c>
      <c r="C581" s="8" t="s">
        <v>101</v>
      </c>
      <c r="D581" s="8" t="s">
        <v>278</v>
      </c>
      <c r="E581" s="150" t="s">
        <v>13772</v>
      </c>
      <c r="F581" s="151" t="s">
        <v>103</v>
      </c>
      <c r="G581" s="152">
        <v>0</v>
      </c>
      <c r="H581" s="152"/>
      <c r="I581" s="153">
        <v>15.4</v>
      </c>
      <c r="J581" s="145" t="s">
        <v>1336</v>
      </c>
      <c r="K581" s="153">
        <v>-7.2566666666666668</v>
      </c>
      <c r="L581" s="153" t="s">
        <v>86</v>
      </c>
      <c r="M581" s="153"/>
      <c r="N581" s="2" t="s">
        <v>57</v>
      </c>
      <c r="O581" s="2"/>
      <c r="P581" s="10"/>
    </row>
    <row r="582" spans="1:16" ht="16.5" customHeight="1" x14ac:dyDescent="0.25">
      <c r="A582" s="146" t="s">
        <v>1340</v>
      </c>
      <c r="B582" s="146" t="s">
        <v>1341</v>
      </c>
      <c r="C582" s="8" t="s">
        <v>1342</v>
      </c>
      <c r="D582" s="8" t="s">
        <v>278</v>
      </c>
      <c r="E582" s="150" t="s">
        <v>563</v>
      </c>
      <c r="F582" s="151" t="s">
        <v>103</v>
      </c>
      <c r="G582" s="152">
        <v>0</v>
      </c>
      <c r="H582" s="152"/>
      <c r="I582" s="153">
        <v>19.16</v>
      </c>
      <c r="J582" s="145" t="s">
        <v>1339</v>
      </c>
      <c r="K582" s="153">
        <v>-4.6459374999999996</v>
      </c>
      <c r="L582" s="153" t="s">
        <v>86</v>
      </c>
      <c r="M582" s="153"/>
      <c r="N582" s="2" t="s">
        <v>479</v>
      </c>
      <c r="O582" s="2"/>
      <c r="P582" s="10"/>
    </row>
    <row r="583" spans="1:16" ht="16.5" customHeight="1" x14ac:dyDescent="0.25">
      <c r="A583" s="146" t="s">
        <v>1344</v>
      </c>
      <c r="B583" s="146" t="s">
        <v>1345</v>
      </c>
      <c r="C583" s="8" t="s">
        <v>1346</v>
      </c>
      <c r="D583" s="8" t="s">
        <v>278</v>
      </c>
      <c r="E583" s="150" t="s">
        <v>563</v>
      </c>
      <c r="F583" s="151" t="s">
        <v>103</v>
      </c>
      <c r="G583" s="152">
        <v>0</v>
      </c>
      <c r="H583" s="152"/>
      <c r="I583" s="153">
        <v>54.42</v>
      </c>
      <c r="J583" s="145" t="s">
        <v>1343</v>
      </c>
      <c r="K583" s="153">
        <v>-16.683777777777781</v>
      </c>
      <c r="L583" s="153" t="s">
        <v>86</v>
      </c>
      <c r="M583" s="153"/>
      <c r="N583" s="2" t="s">
        <v>479</v>
      </c>
      <c r="O583" s="2"/>
      <c r="P583" s="10"/>
    </row>
    <row r="584" spans="1:16" ht="16.5" customHeight="1" x14ac:dyDescent="0.25">
      <c r="A584" s="146" t="s">
        <v>1348</v>
      </c>
      <c r="B584" s="146" t="s">
        <v>1349</v>
      </c>
      <c r="C584" s="8" t="s">
        <v>1350</v>
      </c>
      <c r="D584" s="8" t="s">
        <v>278</v>
      </c>
      <c r="E584" s="150" t="s">
        <v>563</v>
      </c>
      <c r="F584" s="151" t="s">
        <v>103</v>
      </c>
      <c r="G584" s="152">
        <v>0</v>
      </c>
      <c r="H584" s="152"/>
      <c r="I584" s="153">
        <v>63.53</v>
      </c>
      <c r="J584" s="145" t="s">
        <v>1347</v>
      </c>
      <c r="K584" s="153">
        <v>-18.23395</v>
      </c>
      <c r="L584" s="153" t="s">
        <v>86</v>
      </c>
      <c r="M584" s="153"/>
      <c r="N584" s="2" t="s">
        <v>479</v>
      </c>
      <c r="O584" s="2"/>
      <c r="P584" s="10"/>
    </row>
    <row r="585" spans="1:16" ht="16.5" customHeight="1" x14ac:dyDescent="0.25">
      <c r="A585" s="146" t="s">
        <v>1352</v>
      </c>
      <c r="B585" s="146" t="s">
        <v>1353</v>
      </c>
      <c r="C585" s="8" t="s">
        <v>1354</v>
      </c>
      <c r="D585" s="8" t="s">
        <v>278</v>
      </c>
      <c r="E585" s="150" t="s">
        <v>563</v>
      </c>
      <c r="F585" s="151" t="s">
        <v>103</v>
      </c>
      <c r="G585" s="152">
        <v>0</v>
      </c>
      <c r="H585" s="152"/>
      <c r="I585" s="153">
        <v>67.75</v>
      </c>
      <c r="J585" s="145" t="s">
        <v>1351</v>
      </c>
      <c r="K585" s="153">
        <v>-30.099583333333339</v>
      </c>
      <c r="L585" s="153" t="s">
        <v>86</v>
      </c>
      <c r="M585" s="153"/>
      <c r="N585" s="2" t="s">
        <v>479</v>
      </c>
      <c r="O585" s="2"/>
      <c r="P585" s="10"/>
    </row>
    <row r="586" spans="1:16" ht="16.5" customHeight="1" x14ac:dyDescent="0.25">
      <c r="A586" s="146" t="s">
        <v>1356</v>
      </c>
      <c r="B586" s="146" t="s">
        <v>1357</v>
      </c>
      <c r="C586" s="8" t="s">
        <v>101</v>
      </c>
      <c r="D586" s="8" t="s">
        <v>278</v>
      </c>
      <c r="E586" s="150" t="s">
        <v>102</v>
      </c>
      <c r="F586" s="151" t="s">
        <v>103</v>
      </c>
      <c r="G586" s="152">
        <v>0</v>
      </c>
      <c r="H586" s="152"/>
      <c r="I586" s="153">
        <v>8.2100000000000009</v>
      </c>
      <c r="J586" s="145" t="s">
        <v>1355</v>
      </c>
      <c r="K586" s="153">
        <v>-1.016</v>
      </c>
      <c r="L586" s="153" t="s">
        <v>86</v>
      </c>
      <c r="M586" s="153"/>
      <c r="N586" s="2" t="s">
        <v>57</v>
      </c>
      <c r="O586" s="2"/>
      <c r="P586" s="10"/>
    </row>
    <row r="587" spans="1:16" ht="16.5" customHeight="1" x14ac:dyDescent="0.25">
      <c r="A587" s="146" t="s">
        <v>1359</v>
      </c>
      <c r="B587" s="146" t="s">
        <v>1360</v>
      </c>
      <c r="C587" s="8" t="s">
        <v>1361</v>
      </c>
      <c r="D587" s="8" t="s">
        <v>278</v>
      </c>
      <c r="E587" s="150" t="s">
        <v>13772</v>
      </c>
      <c r="F587" s="151" t="s">
        <v>103</v>
      </c>
      <c r="G587" s="152">
        <v>0</v>
      </c>
      <c r="H587" s="152"/>
      <c r="I587" s="153">
        <v>17.510000000000002</v>
      </c>
      <c r="J587" s="145" t="s">
        <v>1358</v>
      </c>
      <c r="K587" s="153">
        <v>-5.4138125000000006</v>
      </c>
      <c r="L587" s="153" t="s">
        <v>86</v>
      </c>
      <c r="M587" s="153"/>
      <c r="N587" s="2" t="s">
        <v>57</v>
      </c>
      <c r="O587" s="2" t="s">
        <v>624</v>
      </c>
      <c r="P587" s="10"/>
    </row>
    <row r="588" spans="1:16" ht="16.5" customHeight="1" x14ac:dyDescent="0.25">
      <c r="A588" s="146" t="s">
        <v>1363</v>
      </c>
      <c r="B588" s="146" t="s">
        <v>1364</v>
      </c>
      <c r="C588" s="8" t="s">
        <v>1365</v>
      </c>
      <c r="D588" s="8" t="s">
        <v>278</v>
      </c>
      <c r="E588" s="150" t="s">
        <v>13772</v>
      </c>
      <c r="F588" s="151" t="s">
        <v>103</v>
      </c>
      <c r="G588" s="152">
        <v>0</v>
      </c>
      <c r="H588" s="152"/>
      <c r="I588" s="153">
        <v>25</v>
      </c>
      <c r="J588" s="145" t="s">
        <v>1362</v>
      </c>
      <c r="K588" s="153">
        <v>-10.11003703703704</v>
      </c>
      <c r="L588" s="153">
        <v>-9.17</v>
      </c>
      <c r="M588" s="153"/>
      <c r="N588" s="2" t="s">
        <v>57</v>
      </c>
      <c r="O588" s="2" t="s">
        <v>625</v>
      </c>
      <c r="P588" s="2" t="s">
        <v>51</v>
      </c>
    </row>
    <row r="589" spans="1:16" ht="16.5" customHeight="1" x14ac:dyDescent="0.25">
      <c r="A589" s="146" t="s">
        <v>1367</v>
      </c>
      <c r="B589" s="146" t="s">
        <v>1368</v>
      </c>
      <c r="C589" s="8" t="s">
        <v>1369</v>
      </c>
      <c r="D589" s="8" t="s">
        <v>278</v>
      </c>
      <c r="E589" s="150" t="s">
        <v>511</v>
      </c>
      <c r="F589" s="151" t="s">
        <v>103</v>
      </c>
      <c r="G589" s="152">
        <v>0</v>
      </c>
      <c r="H589" s="152"/>
      <c r="I589" s="153">
        <v>33</v>
      </c>
      <c r="J589" s="145" t="s">
        <v>1366</v>
      </c>
      <c r="K589" s="153">
        <v>-9.6116666666666681</v>
      </c>
      <c r="L589" s="153" t="s">
        <v>86</v>
      </c>
      <c r="M589" s="153"/>
      <c r="N589" s="2" t="s">
        <v>57</v>
      </c>
      <c r="O589" s="2" t="s">
        <v>626</v>
      </c>
      <c r="P589" s="10"/>
    </row>
    <row r="590" spans="1:16" ht="16.5" customHeight="1" x14ac:dyDescent="0.25">
      <c r="A590" s="146" t="s">
        <v>1371</v>
      </c>
      <c r="B590" s="146" t="s">
        <v>1372</v>
      </c>
      <c r="C590" s="8" t="s">
        <v>1373</v>
      </c>
      <c r="D590" s="8" t="s">
        <v>278</v>
      </c>
      <c r="E590" s="150" t="s">
        <v>13772</v>
      </c>
      <c r="F590" s="151" t="s">
        <v>103</v>
      </c>
      <c r="G590" s="152">
        <v>0</v>
      </c>
      <c r="H590" s="152"/>
      <c r="I590" s="153">
        <v>38</v>
      </c>
      <c r="J590" s="145" t="s">
        <v>1370</v>
      </c>
      <c r="K590" s="153">
        <v>-12.66952380952381</v>
      </c>
      <c r="L590" s="153">
        <v>-31.98</v>
      </c>
      <c r="M590" s="153"/>
      <c r="N590" s="2" t="s">
        <v>57</v>
      </c>
      <c r="O590" s="2" t="s">
        <v>627</v>
      </c>
      <c r="P590" s="2" t="s">
        <v>51</v>
      </c>
    </row>
    <row r="591" spans="1:16" ht="16.5" customHeight="1" x14ac:dyDescent="0.25">
      <c r="A591" s="146" t="s">
        <v>1375</v>
      </c>
      <c r="B591" s="146" t="s">
        <v>1376</v>
      </c>
      <c r="C591" s="8" t="s">
        <v>1377</v>
      </c>
      <c r="D591" s="8" t="s">
        <v>278</v>
      </c>
      <c r="E591" s="150" t="s">
        <v>511</v>
      </c>
      <c r="F591" s="151" t="s">
        <v>103</v>
      </c>
      <c r="G591" s="152">
        <v>0</v>
      </c>
      <c r="H591" s="152"/>
      <c r="I591" s="153">
        <v>41.65</v>
      </c>
      <c r="J591" s="145" t="s">
        <v>1374</v>
      </c>
      <c r="K591" s="153">
        <v>-22.092687598116171</v>
      </c>
      <c r="L591" s="153" t="s">
        <v>86</v>
      </c>
      <c r="M591" s="153"/>
      <c r="N591" s="2" t="s">
        <v>479</v>
      </c>
      <c r="O591" s="2" t="s">
        <v>628</v>
      </c>
      <c r="P591" s="10"/>
    </row>
    <row r="592" spans="1:16" ht="16.5" customHeight="1" x14ac:dyDescent="0.25">
      <c r="A592" s="146" t="s">
        <v>1379</v>
      </c>
      <c r="B592" s="146" t="s">
        <v>1380</v>
      </c>
      <c r="C592" s="8" t="s">
        <v>1381</v>
      </c>
      <c r="D592" s="8" t="s">
        <v>278</v>
      </c>
      <c r="E592" s="150" t="s">
        <v>511</v>
      </c>
      <c r="F592" s="151" t="s">
        <v>103</v>
      </c>
      <c r="G592" s="152">
        <v>0</v>
      </c>
      <c r="H592" s="152"/>
      <c r="I592" s="153">
        <v>67.650000000000006</v>
      </c>
      <c r="J592" s="145" t="s">
        <v>1378</v>
      </c>
      <c r="K592" s="153">
        <v>-22.667690476190479</v>
      </c>
      <c r="L592" s="153" t="s">
        <v>86</v>
      </c>
      <c r="M592" s="153"/>
      <c r="N592" s="2" t="s">
        <v>479</v>
      </c>
      <c r="O592" s="2" t="s">
        <v>629</v>
      </c>
      <c r="P592" s="10"/>
    </row>
    <row r="593" spans="1:16" ht="16.5" customHeight="1" x14ac:dyDescent="0.25">
      <c r="A593" s="146" t="s">
        <v>935</v>
      </c>
      <c r="B593" s="146" t="s">
        <v>1383</v>
      </c>
      <c r="C593" s="8" t="s">
        <v>1384</v>
      </c>
      <c r="D593" s="8" t="s">
        <v>278</v>
      </c>
      <c r="E593" s="150" t="s">
        <v>511</v>
      </c>
      <c r="F593" s="151" t="s">
        <v>103</v>
      </c>
      <c r="G593" s="152">
        <v>0</v>
      </c>
      <c r="H593" s="152"/>
      <c r="I593" s="153">
        <v>40.090000000000003</v>
      </c>
      <c r="J593" s="145" t="s">
        <v>1382</v>
      </c>
      <c r="K593" s="153">
        <v>-9.1501761904761914</v>
      </c>
      <c r="L593" s="153">
        <v>-9.8667031106634955</v>
      </c>
      <c r="M593" s="153"/>
      <c r="N593" s="2" t="s">
        <v>359</v>
      </c>
      <c r="O593" s="2" t="s">
        <v>630</v>
      </c>
      <c r="P593" s="10" t="s">
        <v>498</v>
      </c>
    </row>
    <row r="594" spans="1:16" ht="16.5" customHeight="1" x14ac:dyDescent="0.25">
      <c r="A594" s="146" t="s">
        <v>1067</v>
      </c>
      <c r="B594" s="146" t="s">
        <v>1386</v>
      </c>
      <c r="C594" s="8" t="s">
        <v>1387</v>
      </c>
      <c r="D594" s="8" t="s">
        <v>278</v>
      </c>
      <c r="E594" s="150" t="s">
        <v>511</v>
      </c>
      <c r="F594" s="151" t="s">
        <v>103</v>
      </c>
      <c r="G594" s="152">
        <v>0</v>
      </c>
      <c r="H594" s="152"/>
      <c r="I594" s="153">
        <v>49.75</v>
      </c>
      <c r="J594" s="145" t="s">
        <v>1385</v>
      </c>
      <c r="K594" s="153">
        <v>-11.48185</v>
      </c>
      <c r="L594" s="153">
        <v>-23.29511195837572</v>
      </c>
      <c r="M594" s="153"/>
      <c r="N594" s="2" t="s">
        <v>359</v>
      </c>
      <c r="O594" s="2" t="s">
        <v>631</v>
      </c>
      <c r="P594" s="10" t="s">
        <v>498</v>
      </c>
    </row>
    <row r="595" spans="1:16" ht="16.5" customHeight="1" x14ac:dyDescent="0.25">
      <c r="A595" s="146" t="s">
        <v>1389</v>
      </c>
      <c r="B595" s="146" t="s">
        <v>1390</v>
      </c>
      <c r="C595" s="8" t="s">
        <v>1391</v>
      </c>
      <c r="D595" s="8" t="s">
        <v>278</v>
      </c>
      <c r="E595" s="150" t="s">
        <v>511</v>
      </c>
      <c r="F595" s="151" t="s">
        <v>103</v>
      </c>
      <c r="G595" s="152">
        <v>0</v>
      </c>
      <c r="H595" s="152"/>
      <c r="I595" s="153">
        <v>63.9</v>
      </c>
      <c r="J595" s="145" t="s">
        <v>1388</v>
      </c>
      <c r="K595" s="153">
        <v>-16.645379344919789</v>
      </c>
      <c r="L595" s="153">
        <v>-61.816049422145433</v>
      </c>
      <c r="M595" s="153"/>
      <c r="N595" s="2" t="s">
        <v>479</v>
      </c>
      <c r="O595" s="2" t="s">
        <v>632</v>
      </c>
      <c r="P595" s="10"/>
    </row>
    <row r="596" spans="1:16" ht="16.5" customHeight="1" x14ac:dyDescent="0.25">
      <c r="A596" s="146" t="s">
        <v>1393</v>
      </c>
      <c r="B596" s="146" t="s">
        <v>1394</v>
      </c>
      <c r="C596" s="8" t="s">
        <v>1395</v>
      </c>
      <c r="D596" s="8" t="s">
        <v>278</v>
      </c>
      <c r="E596" s="150" t="s">
        <v>511</v>
      </c>
      <c r="F596" s="151" t="s">
        <v>103</v>
      </c>
      <c r="G596" s="152">
        <v>0</v>
      </c>
      <c r="H596" s="152"/>
      <c r="I596" s="153">
        <v>55.5</v>
      </c>
      <c r="J596" s="145" t="s">
        <v>1392</v>
      </c>
      <c r="K596" s="153">
        <v>-12.13121542809043</v>
      </c>
      <c r="L596" s="153" t="s">
        <v>86</v>
      </c>
      <c r="M596" s="153"/>
      <c r="N596" s="2" t="s">
        <v>479</v>
      </c>
      <c r="O596" s="2" t="s">
        <v>633</v>
      </c>
      <c r="P596" s="10"/>
    </row>
    <row r="597" spans="1:16" ht="16.5" customHeight="1" x14ac:dyDescent="0.25">
      <c r="A597" s="146" t="s">
        <v>1397</v>
      </c>
      <c r="B597" s="146" t="s">
        <v>1398</v>
      </c>
      <c r="C597" s="8" t="s">
        <v>1399</v>
      </c>
      <c r="D597" s="8" t="s">
        <v>278</v>
      </c>
      <c r="E597" s="150" t="s">
        <v>511</v>
      </c>
      <c r="F597" s="151" t="s">
        <v>103</v>
      </c>
      <c r="G597" s="152">
        <v>0</v>
      </c>
      <c r="H597" s="152"/>
      <c r="I597" s="153">
        <v>61.14</v>
      </c>
      <c r="J597" s="145" t="s">
        <v>1396</v>
      </c>
      <c r="K597" s="153">
        <v>-12.23</v>
      </c>
      <c r="L597" s="153">
        <v>-34.748182059432743</v>
      </c>
      <c r="M597" s="153"/>
      <c r="N597" s="2" t="s">
        <v>359</v>
      </c>
      <c r="O597" s="2" t="s">
        <v>634</v>
      </c>
      <c r="P597" s="10"/>
    </row>
    <row r="598" spans="1:16" ht="16.5" customHeight="1" x14ac:dyDescent="0.25">
      <c r="A598" s="2" t="s">
        <v>1401</v>
      </c>
      <c r="B598" s="8" t="s">
        <v>1402</v>
      </c>
      <c r="C598" s="8" t="s">
        <v>1403</v>
      </c>
      <c r="D598" s="8" t="s">
        <v>82</v>
      </c>
      <c r="E598" s="150" t="s">
        <v>563</v>
      </c>
      <c r="F598" s="151" t="s">
        <v>103</v>
      </c>
      <c r="G598" s="152">
        <v>0</v>
      </c>
      <c r="H598" s="152"/>
      <c r="I598" s="153">
        <v>13.09</v>
      </c>
      <c r="J598" s="145" t="s">
        <v>1400</v>
      </c>
      <c r="K598" s="153" t="s">
        <v>86</v>
      </c>
      <c r="L598" s="153" t="s">
        <v>86</v>
      </c>
      <c r="M598" s="153"/>
      <c r="N598" s="2" t="s">
        <v>479</v>
      </c>
      <c r="O598" s="2"/>
      <c r="P598" s="10"/>
    </row>
    <row r="599" spans="1:16" ht="16.5" customHeight="1" x14ac:dyDescent="0.25">
      <c r="A599" s="2" t="s">
        <v>1405</v>
      </c>
      <c r="B599" s="8" t="s">
        <v>1406</v>
      </c>
      <c r="C599" s="8" t="s">
        <v>1403</v>
      </c>
      <c r="D599" s="8" t="s">
        <v>232</v>
      </c>
      <c r="E599" s="150" t="s">
        <v>563</v>
      </c>
      <c r="F599" s="151" t="s">
        <v>103</v>
      </c>
      <c r="G599" s="152">
        <v>0</v>
      </c>
      <c r="H599" s="152"/>
      <c r="I599" s="153">
        <v>7.11</v>
      </c>
      <c r="J599" s="145" t="s">
        <v>1404</v>
      </c>
      <c r="K599" s="153" t="s">
        <v>86</v>
      </c>
      <c r="L599" s="153" t="s">
        <v>86</v>
      </c>
      <c r="M599" s="153"/>
      <c r="N599" s="2" t="s">
        <v>479</v>
      </c>
      <c r="O599" s="2"/>
      <c r="P599" s="10"/>
    </row>
    <row r="600" spans="1:16" ht="16.5" customHeight="1" x14ac:dyDescent="0.25">
      <c r="A600" s="2" t="s">
        <v>1408</v>
      </c>
      <c r="B600" s="8" t="s">
        <v>1409</v>
      </c>
      <c r="C600" s="8" t="s">
        <v>1403</v>
      </c>
      <c r="D600" s="8" t="s">
        <v>232</v>
      </c>
      <c r="E600" s="150" t="s">
        <v>563</v>
      </c>
      <c r="F600" s="151" t="s">
        <v>103</v>
      </c>
      <c r="G600" s="152">
        <v>0</v>
      </c>
      <c r="H600" s="152"/>
      <c r="I600" s="153">
        <v>7.4</v>
      </c>
      <c r="J600" s="145" t="s">
        <v>1407</v>
      </c>
      <c r="K600" s="153" t="s">
        <v>86</v>
      </c>
      <c r="L600" s="153" t="s">
        <v>86</v>
      </c>
      <c r="M600" s="153"/>
      <c r="N600" s="2" t="s">
        <v>479</v>
      </c>
      <c r="O600" s="2"/>
      <c r="P600" s="2"/>
    </row>
    <row r="601" spans="1:16" ht="16.5" customHeight="1" x14ac:dyDescent="0.25">
      <c r="A601" s="2" t="s">
        <v>1411</v>
      </c>
      <c r="B601" s="8" t="s">
        <v>1412</v>
      </c>
      <c r="C601" s="8" t="s">
        <v>1403</v>
      </c>
      <c r="D601" s="8" t="s">
        <v>232</v>
      </c>
      <c r="E601" s="150" t="s">
        <v>563</v>
      </c>
      <c r="F601" s="151" t="s">
        <v>103</v>
      </c>
      <c r="G601" s="152">
        <v>0</v>
      </c>
      <c r="H601" s="152"/>
      <c r="I601" s="153">
        <v>6.52</v>
      </c>
      <c r="J601" s="145" t="s">
        <v>1410</v>
      </c>
      <c r="K601" s="153" t="s">
        <v>86</v>
      </c>
      <c r="L601" s="153" t="s">
        <v>86</v>
      </c>
      <c r="M601" s="153"/>
      <c r="N601" s="2" t="s">
        <v>479</v>
      </c>
      <c r="O601" s="2"/>
      <c r="P601" s="10"/>
    </row>
    <row r="602" spans="1:16" ht="16.5" customHeight="1" x14ac:dyDescent="0.25">
      <c r="A602" s="2" t="s">
        <v>1414</v>
      </c>
      <c r="B602" s="8" t="s">
        <v>1415</v>
      </c>
      <c r="C602" s="8" t="s">
        <v>1403</v>
      </c>
      <c r="D602" s="8" t="s">
        <v>232</v>
      </c>
      <c r="E602" s="150" t="s">
        <v>563</v>
      </c>
      <c r="F602" s="151" t="s">
        <v>103</v>
      </c>
      <c r="G602" s="152">
        <v>0</v>
      </c>
      <c r="H602" s="152"/>
      <c r="I602" s="153">
        <v>8.3699999999999992</v>
      </c>
      <c r="J602" s="145" t="s">
        <v>1413</v>
      </c>
      <c r="K602" s="153" t="s">
        <v>86</v>
      </c>
      <c r="L602" s="153" t="s">
        <v>86</v>
      </c>
      <c r="M602" s="153"/>
      <c r="N602" s="2" t="s">
        <v>479</v>
      </c>
      <c r="O602" s="2"/>
      <c r="P602" s="10"/>
    </row>
    <row r="603" spans="1:16" ht="16.5" customHeight="1" x14ac:dyDescent="0.25">
      <c r="A603" s="2" t="s">
        <v>1417</v>
      </c>
      <c r="B603" s="8" t="s">
        <v>1418</v>
      </c>
      <c r="C603" s="8" t="s">
        <v>1419</v>
      </c>
      <c r="D603" s="8" t="s">
        <v>278</v>
      </c>
      <c r="E603" s="150" t="s">
        <v>102</v>
      </c>
      <c r="F603" s="151" t="s">
        <v>103</v>
      </c>
      <c r="G603" s="152">
        <v>0</v>
      </c>
      <c r="H603" s="152"/>
      <c r="I603" s="153">
        <v>24.41</v>
      </c>
      <c r="J603" s="145" t="s">
        <v>1416</v>
      </c>
      <c r="K603" s="153">
        <v>-8.9043333333333337</v>
      </c>
      <c r="L603" s="153" t="s">
        <v>86</v>
      </c>
      <c r="M603" s="153"/>
      <c r="N603" s="2" t="s">
        <v>479</v>
      </c>
      <c r="O603" s="2" t="s">
        <v>635</v>
      </c>
      <c r="P603" s="10"/>
    </row>
    <row r="604" spans="1:16" ht="16.5" customHeight="1" x14ac:dyDescent="0.25">
      <c r="A604" s="2" t="s">
        <v>1421</v>
      </c>
      <c r="B604" s="8" t="s">
        <v>1422</v>
      </c>
      <c r="C604" s="8" t="s">
        <v>1423</v>
      </c>
      <c r="D604" s="8" t="s">
        <v>278</v>
      </c>
      <c r="E604" s="150" t="s">
        <v>563</v>
      </c>
      <c r="F604" s="151" t="s">
        <v>103</v>
      </c>
      <c r="G604" s="152">
        <v>0</v>
      </c>
      <c r="H604" s="152"/>
      <c r="I604" s="153">
        <v>1.74</v>
      </c>
      <c r="J604" s="145" t="s">
        <v>1420</v>
      </c>
      <c r="K604" s="153">
        <v>-0.76736471687452945</v>
      </c>
      <c r="L604" s="153" t="s">
        <v>86</v>
      </c>
      <c r="M604" s="153"/>
      <c r="N604" s="2" t="s">
        <v>359</v>
      </c>
      <c r="O604" s="2"/>
      <c r="P604" s="2"/>
    </row>
    <row r="605" spans="1:16" ht="16.5" customHeight="1" x14ac:dyDescent="0.25">
      <c r="A605" s="2" t="s">
        <v>1425</v>
      </c>
      <c r="B605" s="8" t="s">
        <v>1426</v>
      </c>
      <c r="C605" s="8" t="s">
        <v>1427</v>
      </c>
      <c r="D605" s="8" t="s">
        <v>120</v>
      </c>
      <c r="E605" s="150" t="s">
        <v>13772</v>
      </c>
      <c r="F605" s="151" t="s">
        <v>103</v>
      </c>
      <c r="G605" s="152">
        <v>0</v>
      </c>
      <c r="H605" s="152"/>
      <c r="I605" s="153">
        <v>53.5</v>
      </c>
      <c r="J605" s="145" t="s">
        <v>1424</v>
      </c>
      <c r="K605" s="153">
        <v>-12.859500000000001</v>
      </c>
      <c r="L605" s="153" t="s">
        <v>86</v>
      </c>
      <c r="M605" s="153"/>
      <c r="N605" s="2" t="s">
        <v>479</v>
      </c>
      <c r="O605" s="2"/>
      <c r="P605" s="2"/>
    </row>
    <row r="606" spans="1:16" ht="16.5" customHeight="1" x14ac:dyDescent="0.25">
      <c r="A606" s="2" t="s">
        <v>1429</v>
      </c>
      <c r="B606" s="8" t="s">
        <v>1430</v>
      </c>
      <c r="C606" s="8" t="s">
        <v>1431</v>
      </c>
      <c r="D606" s="8" t="s">
        <v>278</v>
      </c>
      <c r="E606" s="150" t="s">
        <v>511</v>
      </c>
      <c r="F606" s="151" t="s">
        <v>103</v>
      </c>
      <c r="G606" s="152">
        <v>0</v>
      </c>
      <c r="H606" s="152"/>
      <c r="I606" s="153">
        <v>90.13</v>
      </c>
      <c r="J606" s="145" t="s">
        <v>1428</v>
      </c>
      <c r="K606" s="153">
        <v>-17.678000000000001</v>
      </c>
      <c r="L606" s="153" t="s">
        <v>86</v>
      </c>
      <c r="M606" s="153"/>
      <c r="N606" s="2" t="s">
        <v>479</v>
      </c>
      <c r="O606" s="2"/>
      <c r="P606" s="2"/>
    </row>
    <row r="607" spans="1:16" ht="16.5" customHeight="1" x14ac:dyDescent="0.25">
      <c r="A607" s="2" t="s">
        <v>1433</v>
      </c>
      <c r="B607" s="8" t="s">
        <v>1434</v>
      </c>
      <c r="C607" s="8" t="s">
        <v>1435</v>
      </c>
      <c r="D607" s="8" t="s">
        <v>278</v>
      </c>
      <c r="E607" s="150" t="s">
        <v>563</v>
      </c>
      <c r="F607" s="151" t="s">
        <v>103</v>
      </c>
      <c r="G607" s="152">
        <v>0</v>
      </c>
      <c r="H607" s="152"/>
      <c r="I607" s="153">
        <v>120.52</v>
      </c>
      <c r="J607" s="145" t="s">
        <v>1432</v>
      </c>
      <c r="K607" s="153" t="s">
        <v>86</v>
      </c>
      <c r="L607" s="153" t="s">
        <v>86</v>
      </c>
      <c r="M607" s="153"/>
      <c r="N607" s="2" t="s">
        <v>479</v>
      </c>
      <c r="O607" s="2"/>
      <c r="P607" s="2"/>
    </row>
    <row r="608" spans="1:16" ht="16.5" customHeight="1" x14ac:dyDescent="0.25">
      <c r="A608" s="2" t="s">
        <v>1437</v>
      </c>
      <c r="B608" s="8" t="s">
        <v>1438</v>
      </c>
      <c r="C608" s="8" t="s">
        <v>1439</v>
      </c>
      <c r="D608" s="8" t="s">
        <v>278</v>
      </c>
      <c r="E608" s="150" t="s">
        <v>563</v>
      </c>
      <c r="F608" s="151" t="s">
        <v>103</v>
      </c>
      <c r="G608" s="152">
        <v>0</v>
      </c>
      <c r="H608" s="152"/>
      <c r="I608" s="153">
        <v>70.63</v>
      </c>
      <c r="J608" s="145" t="s">
        <v>1436</v>
      </c>
      <c r="K608" s="153" t="s">
        <v>86</v>
      </c>
      <c r="L608" s="153" t="s">
        <v>86</v>
      </c>
      <c r="M608" s="153"/>
      <c r="N608" s="2" t="s">
        <v>479</v>
      </c>
      <c r="O608" s="2"/>
      <c r="P608" s="2"/>
    </row>
    <row r="609" spans="1:16" ht="16.5" customHeight="1" x14ac:dyDescent="0.25">
      <c r="A609" s="2" t="s">
        <v>1441</v>
      </c>
      <c r="B609" s="8" t="s">
        <v>1442</v>
      </c>
      <c r="C609" s="8" t="s">
        <v>1443</v>
      </c>
      <c r="D609" s="8" t="s">
        <v>278</v>
      </c>
      <c r="E609" s="150" t="s">
        <v>563</v>
      </c>
      <c r="F609" s="151" t="s">
        <v>103</v>
      </c>
      <c r="G609" s="152">
        <v>0</v>
      </c>
      <c r="H609" s="152"/>
      <c r="I609" s="153">
        <v>150.52000000000001</v>
      </c>
      <c r="J609" s="145" t="s">
        <v>1440</v>
      </c>
      <c r="K609" s="153" t="s">
        <v>86</v>
      </c>
      <c r="L609" s="153" t="s">
        <v>86</v>
      </c>
      <c r="M609" s="153"/>
      <c r="N609" s="2" t="s">
        <v>479</v>
      </c>
      <c r="O609" s="2"/>
      <c r="P609" s="2"/>
    </row>
    <row r="610" spans="1:16" ht="16.5" customHeight="1" x14ac:dyDescent="0.25">
      <c r="A610" s="2" t="s">
        <v>1445</v>
      </c>
      <c r="B610" s="8" t="s">
        <v>1446</v>
      </c>
      <c r="C610" s="8" t="s">
        <v>1447</v>
      </c>
      <c r="D610" s="8" t="s">
        <v>278</v>
      </c>
      <c r="E610" s="150" t="s">
        <v>102</v>
      </c>
      <c r="F610" s="151" t="s">
        <v>103</v>
      </c>
      <c r="G610" s="152">
        <v>0</v>
      </c>
      <c r="H610" s="152"/>
      <c r="I610" s="153">
        <v>68.349999999999994</v>
      </c>
      <c r="J610" s="145" t="s">
        <v>1444</v>
      </c>
      <c r="K610" s="153">
        <v>-10.342499999999999</v>
      </c>
      <c r="L610" s="153">
        <v>-35.193420913953858</v>
      </c>
      <c r="M610" s="153"/>
      <c r="N610" s="2" t="s">
        <v>359</v>
      </c>
      <c r="O610" s="2" t="s">
        <v>640</v>
      </c>
      <c r="P610" s="10" t="s">
        <v>498</v>
      </c>
    </row>
    <row r="611" spans="1:16" ht="16.5" customHeight="1" x14ac:dyDescent="0.25">
      <c r="A611" s="2" t="s">
        <v>1449</v>
      </c>
      <c r="B611" s="8" t="s">
        <v>1450</v>
      </c>
      <c r="C611" s="8" t="s">
        <v>1451</v>
      </c>
      <c r="D611" s="8" t="s">
        <v>278</v>
      </c>
      <c r="E611" s="150" t="s">
        <v>511</v>
      </c>
      <c r="F611" s="151" t="s">
        <v>103</v>
      </c>
      <c r="G611" s="152">
        <v>0</v>
      </c>
      <c r="H611" s="152"/>
      <c r="I611" s="153">
        <v>61</v>
      </c>
      <c r="J611" s="145" t="s">
        <v>1448</v>
      </c>
      <c r="K611" s="153">
        <v>-21.885697813979391</v>
      </c>
      <c r="L611" s="153">
        <v>-20.391367283749862</v>
      </c>
      <c r="M611" s="153"/>
      <c r="N611" s="2" t="s">
        <v>359</v>
      </c>
      <c r="O611" s="2" t="s">
        <v>641</v>
      </c>
      <c r="P611" s="10" t="s">
        <v>498</v>
      </c>
    </row>
    <row r="612" spans="1:16" ht="16.5" customHeight="1" x14ac:dyDescent="0.25">
      <c r="A612" s="2" t="s">
        <v>1457</v>
      </c>
      <c r="B612" s="8" t="s">
        <v>1458</v>
      </c>
      <c r="C612" s="8" t="s">
        <v>1459</v>
      </c>
      <c r="D612" s="8" t="s">
        <v>278</v>
      </c>
      <c r="E612" s="150" t="s">
        <v>511</v>
      </c>
      <c r="F612" s="151" t="s">
        <v>103</v>
      </c>
      <c r="G612" s="152">
        <v>0</v>
      </c>
      <c r="H612" s="152"/>
      <c r="I612" s="153">
        <v>42</v>
      </c>
      <c r="J612" s="145" t="s">
        <v>1452</v>
      </c>
      <c r="K612" s="153">
        <v>-12.44807371794872</v>
      </c>
      <c r="L612" s="153">
        <v>-9.7604810530777613</v>
      </c>
      <c r="M612" s="153"/>
      <c r="N612" s="2" t="s">
        <v>359</v>
      </c>
      <c r="O612" s="2" t="s">
        <v>643</v>
      </c>
      <c r="P612" s="10" t="s">
        <v>498</v>
      </c>
    </row>
    <row r="613" spans="1:16" ht="16.5" customHeight="1" x14ac:dyDescent="0.25">
      <c r="A613" s="2" t="s">
        <v>1461</v>
      </c>
      <c r="B613" s="8" t="s">
        <v>1462</v>
      </c>
      <c r="C613" s="8" t="s">
        <v>1463</v>
      </c>
      <c r="D613" s="8" t="s">
        <v>278</v>
      </c>
      <c r="E613" s="150" t="s">
        <v>511</v>
      </c>
      <c r="F613" s="151" t="s">
        <v>103</v>
      </c>
      <c r="G613" s="152">
        <v>0</v>
      </c>
      <c r="H613" s="152"/>
      <c r="I613" s="153">
        <v>77</v>
      </c>
      <c r="J613" s="145" t="s">
        <v>1456</v>
      </c>
      <c r="K613" s="153">
        <v>-10.198636363636361</v>
      </c>
      <c r="L613" s="153">
        <v>-28.183464665263259</v>
      </c>
      <c r="M613" s="153"/>
      <c r="N613" s="2" t="s">
        <v>479</v>
      </c>
      <c r="O613" s="2" t="s">
        <v>644</v>
      </c>
      <c r="P613" s="2"/>
    </row>
    <row r="614" spans="1:16" ht="16.5" customHeight="1" x14ac:dyDescent="0.25">
      <c r="A614" s="2" t="s">
        <v>1465</v>
      </c>
      <c r="B614" s="8" t="s">
        <v>1466</v>
      </c>
      <c r="C614" s="8" t="s">
        <v>749</v>
      </c>
      <c r="D614" s="8" t="s">
        <v>1467</v>
      </c>
      <c r="E614" s="150" t="s">
        <v>563</v>
      </c>
      <c r="F614" s="151" t="s">
        <v>103</v>
      </c>
      <c r="G614" s="152">
        <v>0</v>
      </c>
      <c r="H614" s="152"/>
      <c r="I614" s="153">
        <v>17.38</v>
      </c>
      <c r="J614" s="145" t="s">
        <v>1460</v>
      </c>
      <c r="K614" s="153">
        <v>-2.1669999999999998</v>
      </c>
      <c r="L614" s="153" t="s">
        <v>86</v>
      </c>
      <c r="M614" s="153"/>
      <c r="N614" s="2" t="s">
        <v>479</v>
      </c>
      <c r="O614" s="2"/>
      <c r="P614" s="2"/>
    </row>
    <row r="615" spans="1:16" ht="16.5" customHeight="1" x14ac:dyDescent="0.25">
      <c r="A615" s="2" t="s">
        <v>1469</v>
      </c>
      <c r="B615" s="8" t="s">
        <v>1470</v>
      </c>
      <c r="C615" s="8" t="s">
        <v>749</v>
      </c>
      <c r="D615" s="8" t="s">
        <v>1467</v>
      </c>
      <c r="E615" s="150" t="s">
        <v>563</v>
      </c>
      <c r="F615" s="151" t="s">
        <v>103</v>
      </c>
      <c r="G615" s="152">
        <v>0</v>
      </c>
      <c r="H615" s="152"/>
      <c r="I615" s="153">
        <v>34.22</v>
      </c>
      <c r="J615" s="145" t="s">
        <v>1464</v>
      </c>
      <c r="K615" s="153">
        <v>-5.93</v>
      </c>
      <c r="L615" s="153" t="s">
        <v>86</v>
      </c>
      <c r="M615" s="153"/>
      <c r="N615" s="2" t="s">
        <v>479</v>
      </c>
      <c r="O615" s="2"/>
      <c r="P615" s="2"/>
    </row>
    <row r="616" spans="1:16" ht="16.5" customHeight="1" x14ac:dyDescent="0.25">
      <c r="A616" s="2" t="s">
        <v>1472</v>
      </c>
      <c r="B616" s="8" t="s">
        <v>1473</v>
      </c>
      <c r="C616" s="8" t="s">
        <v>1474</v>
      </c>
      <c r="D616" s="8" t="s">
        <v>278</v>
      </c>
      <c r="E616" s="150" t="s">
        <v>511</v>
      </c>
      <c r="F616" s="151" t="s">
        <v>103</v>
      </c>
      <c r="G616" s="152">
        <v>0</v>
      </c>
      <c r="H616" s="152"/>
      <c r="I616" s="153">
        <v>28.5</v>
      </c>
      <c r="J616" s="145" t="s">
        <v>1468</v>
      </c>
      <c r="K616" s="153">
        <v>-9.3084242424242412</v>
      </c>
      <c r="L616" s="153" t="s">
        <v>86</v>
      </c>
      <c r="M616" s="153"/>
      <c r="N616" s="2" t="s">
        <v>359</v>
      </c>
      <c r="O616" s="2" t="s">
        <v>645</v>
      </c>
      <c r="P616" s="10" t="s">
        <v>498</v>
      </c>
    </row>
    <row r="617" spans="1:16" ht="16.5" customHeight="1" x14ac:dyDescent="0.25">
      <c r="A617" s="2" t="s">
        <v>1476</v>
      </c>
      <c r="B617" s="8" t="s">
        <v>1477</v>
      </c>
      <c r="C617" s="8" t="s">
        <v>1478</v>
      </c>
      <c r="D617" s="8" t="s">
        <v>278</v>
      </c>
      <c r="E617" s="150" t="s">
        <v>511</v>
      </c>
      <c r="F617" s="151" t="s">
        <v>103</v>
      </c>
      <c r="G617" s="152">
        <v>0</v>
      </c>
      <c r="H617" s="152"/>
      <c r="I617" s="153">
        <v>21.81</v>
      </c>
      <c r="J617" s="145" t="s">
        <v>1471</v>
      </c>
      <c r="K617" s="153">
        <v>-7.7510000000000003</v>
      </c>
      <c r="L617" s="153">
        <v>-13.31</v>
      </c>
      <c r="M617" s="153"/>
      <c r="N617" s="2" t="s">
        <v>479</v>
      </c>
      <c r="O617" s="2" t="s">
        <v>646</v>
      </c>
      <c r="P617" s="2"/>
    </row>
    <row r="618" spans="1:16" ht="16.5" customHeight="1" x14ac:dyDescent="0.25">
      <c r="A618" s="2" t="s">
        <v>1480</v>
      </c>
      <c r="B618" s="8" t="s">
        <v>1481</v>
      </c>
      <c r="C618" s="8" t="s">
        <v>1482</v>
      </c>
      <c r="D618" s="8" t="s">
        <v>278</v>
      </c>
      <c r="E618" s="150" t="s">
        <v>102</v>
      </c>
      <c r="F618" s="151" t="s">
        <v>103</v>
      </c>
      <c r="G618" s="152">
        <v>0</v>
      </c>
      <c r="H618" s="152"/>
      <c r="I618" s="153">
        <v>31.42</v>
      </c>
      <c r="J618" s="145" t="s">
        <v>1475</v>
      </c>
      <c r="K618" s="153">
        <v>-11.19285714285714</v>
      </c>
      <c r="L618" s="153" t="s">
        <v>86</v>
      </c>
      <c r="M618" s="153"/>
      <c r="N618" s="2" t="s">
        <v>479</v>
      </c>
      <c r="O618" s="2" t="s">
        <v>647</v>
      </c>
      <c r="P618" s="2"/>
    </row>
    <row r="619" spans="1:16" ht="16.5" customHeight="1" x14ac:dyDescent="0.25">
      <c r="A619" s="2" t="s">
        <v>1484</v>
      </c>
      <c r="B619" s="8" t="s">
        <v>1485</v>
      </c>
      <c r="C619" s="8" t="s">
        <v>1486</v>
      </c>
      <c r="D619" s="8" t="s">
        <v>278</v>
      </c>
      <c r="E619" s="150" t="s">
        <v>102</v>
      </c>
      <c r="F619" s="151" t="s">
        <v>103</v>
      </c>
      <c r="G619" s="152">
        <v>0</v>
      </c>
      <c r="H619" s="152"/>
      <c r="I619" s="153">
        <v>34.43</v>
      </c>
      <c r="J619" s="145" t="s">
        <v>1479</v>
      </c>
      <c r="K619" s="153">
        <v>-21.344733333333341</v>
      </c>
      <c r="L619" s="153" t="s">
        <v>86</v>
      </c>
      <c r="M619" s="153"/>
      <c r="N619" s="2" t="s">
        <v>479</v>
      </c>
      <c r="O619" s="2" t="s">
        <v>648</v>
      </c>
      <c r="P619" s="2"/>
    </row>
    <row r="620" spans="1:16" ht="16.5" customHeight="1" x14ac:dyDescent="0.25">
      <c r="A620" s="2" t="s">
        <v>1488</v>
      </c>
      <c r="B620" s="8" t="s">
        <v>1489</v>
      </c>
      <c r="C620" s="8" t="s">
        <v>1490</v>
      </c>
      <c r="D620" s="8" t="s">
        <v>278</v>
      </c>
      <c r="E620" s="150" t="s">
        <v>102</v>
      </c>
      <c r="F620" s="151" t="s">
        <v>103</v>
      </c>
      <c r="G620" s="152">
        <v>0</v>
      </c>
      <c r="H620" s="152"/>
      <c r="I620" s="153">
        <v>42.99</v>
      </c>
      <c r="J620" s="145" t="s">
        <v>1483</v>
      </c>
      <c r="K620" s="153">
        <v>-23.207999999999998</v>
      </c>
      <c r="L620" s="153" t="s">
        <v>86</v>
      </c>
      <c r="M620" s="153"/>
      <c r="N620" s="2" t="s">
        <v>479</v>
      </c>
      <c r="O620" s="2" t="s">
        <v>649</v>
      </c>
      <c r="P620" s="2"/>
    </row>
    <row r="621" spans="1:16" ht="16.5" customHeight="1" x14ac:dyDescent="0.25">
      <c r="A621" s="2" t="s">
        <v>1492</v>
      </c>
      <c r="B621" s="8" t="s">
        <v>1492</v>
      </c>
      <c r="C621" s="8" t="s">
        <v>714</v>
      </c>
      <c r="D621" s="8" t="s">
        <v>1493</v>
      </c>
      <c r="E621" s="150" t="s">
        <v>139</v>
      </c>
      <c r="F621" s="151" t="s">
        <v>103</v>
      </c>
      <c r="G621" s="152">
        <v>0</v>
      </c>
      <c r="H621" s="152"/>
      <c r="I621" s="153">
        <v>14.13</v>
      </c>
      <c r="J621" s="145" t="s">
        <v>1487</v>
      </c>
      <c r="K621" s="153">
        <v>-2.78</v>
      </c>
      <c r="L621" s="153" t="s">
        <v>86</v>
      </c>
      <c r="M621" s="153"/>
      <c r="N621" s="2" t="s">
        <v>479</v>
      </c>
      <c r="O621" s="2"/>
      <c r="P621" s="10"/>
    </row>
    <row r="622" spans="1:16" ht="16.5" customHeight="1" x14ac:dyDescent="0.25">
      <c r="A622" s="2" t="s">
        <v>1494</v>
      </c>
      <c r="B622" s="8" t="s">
        <v>1495</v>
      </c>
      <c r="C622" s="8" t="s">
        <v>1403</v>
      </c>
      <c r="D622" s="8" t="s">
        <v>82</v>
      </c>
      <c r="E622" s="150" t="s">
        <v>563</v>
      </c>
      <c r="F622" s="151" t="s">
        <v>103</v>
      </c>
      <c r="G622" s="152">
        <v>0</v>
      </c>
      <c r="H622" s="152"/>
      <c r="I622" s="153">
        <v>11.04</v>
      </c>
      <c r="J622" s="145" t="s">
        <v>1491</v>
      </c>
      <c r="K622" s="153" t="s">
        <v>86</v>
      </c>
      <c r="L622" s="153" t="s">
        <v>86</v>
      </c>
      <c r="M622" s="153"/>
      <c r="N622" s="2" t="s">
        <v>479</v>
      </c>
      <c r="O622" s="2"/>
      <c r="P622" s="2"/>
    </row>
    <row r="623" spans="1:16" ht="16.5" customHeight="1" x14ac:dyDescent="0.25">
      <c r="A623" s="2"/>
      <c r="B623" s="8"/>
      <c r="C623" s="8"/>
      <c r="D623" s="8"/>
      <c r="E623" s="152"/>
      <c r="F623" s="152"/>
      <c r="G623" s="152"/>
      <c r="H623" s="152"/>
      <c r="I623" s="153"/>
      <c r="J623" s="145"/>
      <c r="K623" s="153"/>
      <c r="L623" s="153"/>
      <c r="M623" s="153"/>
      <c r="N623" s="2"/>
      <c r="O623" s="2"/>
      <c r="P623" s="2"/>
    </row>
    <row r="624" spans="1:16" ht="16.5" customHeight="1" x14ac:dyDescent="0.25">
      <c r="A624" s="2" t="s">
        <v>1496</v>
      </c>
      <c r="B624" s="8" t="s">
        <v>1497</v>
      </c>
      <c r="C624" s="8" t="s">
        <v>86</v>
      </c>
      <c r="D624" s="8" t="s">
        <v>54</v>
      </c>
      <c r="E624" s="152" t="s">
        <v>102</v>
      </c>
      <c r="F624" s="152" t="s">
        <v>103</v>
      </c>
      <c r="G624" s="152">
        <v>7</v>
      </c>
      <c r="H624" s="152">
        <v>156</v>
      </c>
      <c r="I624" s="153">
        <v>33.912999999999997</v>
      </c>
      <c r="J624" s="145"/>
      <c r="K624" s="153">
        <v>-9.8726190476190467</v>
      </c>
      <c r="L624" s="153">
        <v>-6.63</v>
      </c>
      <c r="M624" s="153"/>
      <c r="N624" s="2" t="s">
        <v>57</v>
      </c>
      <c r="O624" s="2"/>
      <c r="P624" s="10"/>
    </row>
    <row r="625" spans="1:16" ht="16.5" customHeight="1" x14ac:dyDescent="0.25">
      <c r="A625" s="2" t="s">
        <v>1498</v>
      </c>
      <c r="B625" s="8" t="s">
        <v>1499</v>
      </c>
      <c r="C625" s="8" t="s">
        <v>1500</v>
      </c>
      <c r="D625" s="8" t="s">
        <v>1501</v>
      </c>
      <c r="E625" s="152" t="s">
        <v>102</v>
      </c>
      <c r="F625" s="152" t="s">
        <v>103</v>
      </c>
      <c r="G625" s="152">
        <v>1</v>
      </c>
      <c r="H625" s="152">
        <v>986</v>
      </c>
      <c r="I625" s="153">
        <v>4.9060000000000006</v>
      </c>
      <c r="J625" s="145"/>
      <c r="K625" s="153" t="s">
        <v>86</v>
      </c>
      <c r="L625" s="153" t="s">
        <v>86</v>
      </c>
      <c r="M625" s="153"/>
      <c r="N625" s="2" t="s">
        <v>57</v>
      </c>
      <c r="O625" s="2"/>
      <c r="P625" s="10"/>
    </row>
    <row r="626" spans="1:16" ht="16.5" customHeight="1" x14ac:dyDescent="0.25">
      <c r="A626" s="2" t="s">
        <v>1502</v>
      </c>
      <c r="B626" s="8" t="s">
        <v>1503</v>
      </c>
      <c r="C626" s="8" t="s">
        <v>714</v>
      </c>
      <c r="D626" s="8" t="s">
        <v>1493</v>
      </c>
      <c r="E626" s="152" t="s">
        <v>102</v>
      </c>
      <c r="F626" s="152" t="s">
        <v>103</v>
      </c>
      <c r="G626" s="152">
        <v>1</v>
      </c>
      <c r="H626" s="152">
        <v>410</v>
      </c>
      <c r="I626" s="153">
        <v>34.924999999999997</v>
      </c>
      <c r="J626" s="145"/>
      <c r="K626" s="153" t="s">
        <v>86</v>
      </c>
      <c r="L626" s="153" t="s">
        <v>86</v>
      </c>
      <c r="M626" s="153"/>
      <c r="N626" s="2" t="s">
        <v>57</v>
      </c>
      <c r="O626" s="2"/>
      <c r="P626" s="10"/>
    </row>
    <row r="627" spans="1:16" ht="16.5" customHeight="1" x14ac:dyDescent="0.25">
      <c r="A627" s="2" t="s">
        <v>1504</v>
      </c>
      <c r="B627" s="8" t="s">
        <v>1505</v>
      </c>
      <c r="C627" s="8">
        <v>45599</v>
      </c>
      <c r="D627" s="8" t="s">
        <v>110</v>
      </c>
      <c r="E627" s="152" t="s">
        <v>102</v>
      </c>
      <c r="F627" s="152" t="s">
        <v>103</v>
      </c>
      <c r="G627" s="152">
        <v>1</v>
      </c>
      <c r="H627" s="152">
        <v>792</v>
      </c>
      <c r="I627" s="153">
        <v>3.96</v>
      </c>
      <c r="J627" s="145"/>
      <c r="K627" s="153" t="s">
        <v>86</v>
      </c>
      <c r="L627" s="153" t="s">
        <v>86</v>
      </c>
      <c r="M627" s="153"/>
      <c r="N627" s="2" t="s">
        <v>57</v>
      </c>
      <c r="O627" s="2"/>
      <c r="P627" s="10"/>
    </row>
    <row r="628" spans="1:16" ht="16.5" customHeight="1" x14ac:dyDescent="0.25">
      <c r="A628" s="2" t="s">
        <v>1506</v>
      </c>
      <c r="B628" s="8" t="s">
        <v>1507</v>
      </c>
      <c r="C628" s="8" t="s">
        <v>714</v>
      </c>
      <c r="D628" s="8" t="s">
        <v>110</v>
      </c>
      <c r="E628" s="152" t="s">
        <v>102</v>
      </c>
      <c r="F628" s="152" t="s">
        <v>103</v>
      </c>
      <c r="G628" s="152">
        <v>4</v>
      </c>
      <c r="H628" s="152">
        <v>222</v>
      </c>
      <c r="I628" s="153">
        <v>53.35</v>
      </c>
      <c r="J628" s="145"/>
      <c r="K628" s="153">
        <v>-11.91191666666667</v>
      </c>
      <c r="L628" s="153" t="s">
        <v>86</v>
      </c>
      <c r="M628" s="153"/>
      <c r="N628" s="2" t="s">
        <v>57</v>
      </c>
      <c r="O628" s="2"/>
      <c r="P628" s="10"/>
    </row>
    <row r="629" spans="1:16" ht="16.5" customHeight="1" x14ac:dyDescent="0.25">
      <c r="A629" s="2" t="s">
        <v>1508</v>
      </c>
      <c r="B629" s="8" t="s">
        <v>1509</v>
      </c>
      <c r="C629" s="8" t="s">
        <v>1510</v>
      </c>
      <c r="D629" s="8" t="s">
        <v>120</v>
      </c>
      <c r="E629" s="152" t="s">
        <v>102</v>
      </c>
      <c r="F629" s="152" t="s">
        <v>103</v>
      </c>
      <c r="G629" s="152">
        <v>5</v>
      </c>
      <c r="H629" s="152">
        <v>173</v>
      </c>
      <c r="I629" s="153">
        <v>52.8</v>
      </c>
      <c r="J629" s="145"/>
      <c r="K629" s="153">
        <v>-11.719702020202019</v>
      </c>
      <c r="L629" s="153">
        <v>-3.8763851990177902</v>
      </c>
      <c r="M629" s="153"/>
      <c r="N629" s="2" t="s">
        <v>57</v>
      </c>
      <c r="O629" s="2" t="s">
        <v>550</v>
      </c>
      <c r="P629" s="2" t="s">
        <v>51</v>
      </c>
    </row>
    <row r="630" spans="1:16" ht="16.5" customHeight="1" x14ac:dyDescent="0.25">
      <c r="A630" s="2" t="s">
        <v>1511</v>
      </c>
      <c r="B630" s="8" t="s">
        <v>1512</v>
      </c>
      <c r="C630" s="8" t="s">
        <v>714</v>
      </c>
      <c r="D630" s="8" t="s">
        <v>1513</v>
      </c>
      <c r="E630" s="152" t="s">
        <v>102</v>
      </c>
      <c r="F630" s="152" t="s">
        <v>103</v>
      </c>
      <c r="G630" s="152">
        <v>0</v>
      </c>
      <c r="H630" s="152">
        <v>956</v>
      </c>
      <c r="I630" s="153">
        <v>3.9049999999999998</v>
      </c>
      <c r="J630" s="145"/>
      <c r="K630" s="153" t="s">
        <v>86</v>
      </c>
      <c r="L630" s="153" t="s">
        <v>86</v>
      </c>
      <c r="M630" s="153"/>
      <c r="N630" s="2" t="s">
        <v>57</v>
      </c>
      <c r="O630" s="2"/>
      <c r="P630" s="10"/>
    </row>
    <row r="631" spans="1:16" ht="16.5" customHeight="1" x14ac:dyDescent="0.25">
      <c r="A631" s="2" t="s">
        <v>1514</v>
      </c>
      <c r="B631" s="8" t="s">
        <v>1515</v>
      </c>
      <c r="C631" s="8" t="s">
        <v>718</v>
      </c>
      <c r="D631" s="8" t="s">
        <v>132</v>
      </c>
      <c r="E631" s="152" t="s">
        <v>102</v>
      </c>
      <c r="F631" s="152" t="s">
        <v>103</v>
      </c>
      <c r="G631" s="152">
        <v>8</v>
      </c>
      <c r="H631" s="152">
        <v>143</v>
      </c>
      <c r="I631" s="153">
        <v>27.61</v>
      </c>
      <c r="J631" s="145"/>
      <c r="K631" s="153">
        <v>-10.802777777777781</v>
      </c>
      <c r="L631" s="153">
        <v>-19.629469567550021</v>
      </c>
      <c r="M631" s="153"/>
      <c r="N631" s="2" t="s">
        <v>57</v>
      </c>
      <c r="O631" s="2"/>
      <c r="P631" s="10"/>
    </row>
    <row r="632" spans="1:16" ht="16.5" customHeight="1" x14ac:dyDescent="0.25">
      <c r="A632" s="2" t="s">
        <v>1516</v>
      </c>
      <c r="B632" s="8" t="s">
        <v>1517</v>
      </c>
      <c r="C632" s="8" t="s">
        <v>718</v>
      </c>
      <c r="D632" s="8" t="s">
        <v>132</v>
      </c>
      <c r="E632" s="152" t="s">
        <v>102</v>
      </c>
      <c r="F632" s="152" t="s">
        <v>103</v>
      </c>
      <c r="G632" s="152">
        <v>1</v>
      </c>
      <c r="H632" s="152">
        <v>874</v>
      </c>
      <c r="I632" s="153">
        <v>12.166</v>
      </c>
      <c r="J632" s="145"/>
      <c r="K632" s="153" t="s">
        <v>86</v>
      </c>
      <c r="L632" s="153" t="s">
        <v>86</v>
      </c>
      <c r="M632" s="153"/>
      <c r="N632" s="2" t="s">
        <v>57</v>
      </c>
      <c r="O632" s="2"/>
      <c r="P632" s="2"/>
    </row>
    <row r="633" spans="1:16" ht="16.5" customHeight="1" x14ac:dyDescent="0.25">
      <c r="A633" s="2" t="s">
        <v>1518</v>
      </c>
      <c r="B633" s="8" t="s">
        <v>1519</v>
      </c>
      <c r="C633" s="8">
        <v>45296</v>
      </c>
      <c r="D633" s="8" t="s">
        <v>1520</v>
      </c>
      <c r="E633" s="152" t="s">
        <v>102</v>
      </c>
      <c r="F633" s="152" t="s">
        <v>103</v>
      </c>
      <c r="G633" s="152">
        <v>0</v>
      </c>
      <c r="H633" s="152">
        <v>1071</v>
      </c>
      <c r="I633" s="153">
        <v>1.6060000000000001</v>
      </c>
      <c r="J633" s="145"/>
      <c r="K633" s="153" t="s">
        <v>86</v>
      </c>
      <c r="L633" s="153" t="s">
        <v>86</v>
      </c>
      <c r="M633" s="153"/>
      <c r="N633" s="2" t="s">
        <v>57</v>
      </c>
      <c r="O633" s="2"/>
      <c r="P633" s="2"/>
    </row>
    <row r="634" spans="1:16" ht="16.5" customHeight="1" x14ac:dyDescent="0.25">
      <c r="A634" s="2" t="s">
        <v>1521</v>
      </c>
      <c r="B634" s="8" t="s">
        <v>1522</v>
      </c>
      <c r="C634" s="8">
        <v>45296</v>
      </c>
      <c r="D634" s="8" t="s">
        <v>1520</v>
      </c>
      <c r="E634" s="152" t="s">
        <v>102</v>
      </c>
      <c r="F634" s="152" t="s">
        <v>103</v>
      </c>
      <c r="G634" s="152">
        <v>0</v>
      </c>
      <c r="H634" s="152"/>
      <c r="I634" s="153">
        <v>2.3319999999999999</v>
      </c>
      <c r="J634" s="145"/>
      <c r="K634" s="153" t="s">
        <v>86</v>
      </c>
      <c r="L634" s="153" t="s">
        <v>86</v>
      </c>
      <c r="M634" s="153"/>
      <c r="N634" s="2" t="s">
        <v>57</v>
      </c>
      <c r="O634" s="2"/>
      <c r="P634" s="2"/>
    </row>
    <row r="635" spans="1:16" ht="16.5" customHeight="1" x14ac:dyDescent="0.25">
      <c r="A635" s="2" t="s">
        <v>1523</v>
      </c>
      <c r="B635" s="8" t="s">
        <v>1524</v>
      </c>
      <c r="C635" s="8">
        <v>45296</v>
      </c>
      <c r="D635" s="8" t="s">
        <v>1520</v>
      </c>
      <c r="E635" s="152" t="s">
        <v>102</v>
      </c>
      <c r="F635" s="152" t="s">
        <v>103</v>
      </c>
      <c r="G635" s="152">
        <v>0</v>
      </c>
      <c r="H635" s="152"/>
      <c r="I635" s="153">
        <v>2.9039999999999999</v>
      </c>
      <c r="J635" s="145"/>
      <c r="K635" s="153" t="s">
        <v>86</v>
      </c>
      <c r="L635" s="153" t="s">
        <v>86</v>
      </c>
      <c r="M635" s="153"/>
      <c r="N635" s="2" t="s">
        <v>57</v>
      </c>
      <c r="O635" s="2"/>
      <c r="P635" s="10"/>
    </row>
    <row r="636" spans="1:16" ht="16.5" customHeight="1" x14ac:dyDescent="0.25">
      <c r="A636" s="2" t="s">
        <v>1525</v>
      </c>
      <c r="B636" s="8" t="s">
        <v>1526</v>
      </c>
      <c r="C636" s="8">
        <v>45296</v>
      </c>
      <c r="D636" s="8" t="s">
        <v>1520</v>
      </c>
      <c r="E636" s="152" t="s">
        <v>102</v>
      </c>
      <c r="F636" s="152" t="s">
        <v>103</v>
      </c>
      <c r="G636" s="152">
        <v>0</v>
      </c>
      <c r="H636" s="152"/>
      <c r="I636" s="153">
        <v>3.894000000000001</v>
      </c>
      <c r="J636" s="145"/>
      <c r="K636" s="153" t="s">
        <v>86</v>
      </c>
      <c r="L636" s="153" t="s">
        <v>86</v>
      </c>
      <c r="M636" s="153"/>
      <c r="N636" s="2" t="s">
        <v>57</v>
      </c>
      <c r="O636" s="2"/>
      <c r="P636" s="10"/>
    </row>
    <row r="637" spans="1:16" ht="16.5" customHeight="1" x14ac:dyDescent="0.25">
      <c r="A637" s="2" t="s">
        <v>1527</v>
      </c>
      <c r="B637" s="8" t="s">
        <v>1528</v>
      </c>
      <c r="C637" s="8">
        <v>45296</v>
      </c>
      <c r="D637" s="8" t="s">
        <v>1520</v>
      </c>
      <c r="E637" s="152" t="s">
        <v>102</v>
      </c>
      <c r="F637" s="152" t="s">
        <v>103</v>
      </c>
      <c r="G637" s="152">
        <v>0</v>
      </c>
      <c r="H637" s="152"/>
      <c r="I637" s="153">
        <v>1.859</v>
      </c>
      <c r="J637" s="145"/>
      <c r="K637" s="153" t="s">
        <v>86</v>
      </c>
      <c r="L637" s="153" t="s">
        <v>86</v>
      </c>
      <c r="M637" s="153"/>
      <c r="N637" s="2" t="s">
        <v>57</v>
      </c>
      <c r="O637" s="2"/>
      <c r="P637" s="2"/>
    </row>
    <row r="638" spans="1:16" ht="16.5" customHeight="1" x14ac:dyDescent="0.25">
      <c r="A638" s="2" t="s">
        <v>1529</v>
      </c>
      <c r="B638" s="8" t="s">
        <v>1530</v>
      </c>
      <c r="C638" s="8">
        <v>45296</v>
      </c>
      <c r="D638" s="8" t="s">
        <v>1520</v>
      </c>
      <c r="E638" s="152" t="s">
        <v>102</v>
      </c>
      <c r="F638" s="152" t="s">
        <v>103</v>
      </c>
      <c r="G638" s="152">
        <v>0</v>
      </c>
      <c r="H638" s="152"/>
      <c r="I638" s="153">
        <v>2.717000000000001</v>
      </c>
      <c r="J638" s="145"/>
      <c r="K638" s="153" t="s">
        <v>86</v>
      </c>
      <c r="L638" s="153" t="s">
        <v>86</v>
      </c>
      <c r="M638" s="153"/>
      <c r="N638" s="2" t="s">
        <v>57</v>
      </c>
      <c r="O638" s="2"/>
      <c r="P638" s="2"/>
    </row>
    <row r="639" spans="1:16" ht="16.5" customHeight="1" x14ac:dyDescent="0.25">
      <c r="A639" s="2" t="s">
        <v>1531</v>
      </c>
      <c r="B639" s="8" t="s">
        <v>1532</v>
      </c>
      <c r="C639" s="8">
        <v>45296</v>
      </c>
      <c r="D639" s="8" t="s">
        <v>1520</v>
      </c>
      <c r="E639" s="152" t="s">
        <v>102</v>
      </c>
      <c r="F639" s="152" t="s">
        <v>103</v>
      </c>
      <c r="G639" s="152">
        <v>0</v>
      </c>
      <c r="H639" s="152"/>
      <c r="I639" s="153">
        <v>3.4870000000000001</v>
      </c>
      <c r="J639" s="145"/>
      <c r="K639" s="153" t="s">
        <v>86</v>
      </c>
      <c r="L639" s="153" t="s">
        <v>86</v>
      </c>
      <c r="M639" s="153"/>
      <c r="N639" s="2" t="s">
        <v>57</v>
      </c>
      <c r="O639" s="2"/>
      <c r="P639" s="2"/>
    </row>
    <row r="640" spans="1:16" ht="16.5" customHeight="1" x14ac:dyDescent="0.25">
      <c r="A640" s="2" t="s">
        <v>1533</v>
      </c>
      <c r="B640" s="8" t="s">
        <v>1534</v>
      </c>
      <c r="C640" s="8">
        <v>45296</v>
      </c>
      <c r="D640" s="8" t="s">
        <v>1520</v>
      </c>
      <c r="E640" s="152" t="s">
        <v>102</v>
      </c>
      <c r="F640" s="152" t="s">
        <v>103</v>
      </c>
      <c r="G640" s="152">
        <v>0</v>
      </c>
      <c r="H640" s="152"/>
      <c r="I640" s="153">
        <v>2.0459999999999998</v>
      </c>
      <c r="J640" s="145"/>
      <c r="K640" s="153" t="s">
        <v>86</v>
      </c>
      <c r="L640" s="153" t="s">
        <v>86</v>
      </c>
      <c r="M640" s="153"/>
      <c r="N640" s="2" t="s">
        <v>57</v>
      </c>
      <c r="O640" s="2"/>
      <c r="P640" s="10"/>
    </row>
    <row r="641" spans="1:16" ht="16.5" customHeight="1" x14ac:dyDescent="0.25">
      <c r="A641" s="2" t="s">
        <v>1535</v>
      </c>
      <c r="B641" s="8" t="s">
        <v>1536</v>
      </c>
      <c r="C641" s="8">
        <v>45296</v>
      </c>
      <c r="D641" s="8" t="s">
        <v>1520</v>
      </c>
      <c r="E641" s="152" t="s">
        <v>102</v>
      </c>
      <c r="F641" s="152" t="s">
        <v>103</v>
      </c>
      <c r="G641" s="152">
        <v>0</v>
      </c>
      <c r="H641" s="152">
        <v>1019</v>
      </c>
      <c r="I641" s="153">
        <v>3.9489999999999998</v>
      </c>
      <c r="J641" s="145"/>
      <c r="K641" s="153" t="s">
        <v>86</v>
      </c>
      <c r="L641" s="153" t="s">
        <v>86</v>
      </c>
      <c r="M641" s="153"/>
      <c r="N641" s="2" t="s">
        <v>57</v>
      </c>
      <c r="O641" s="2"/>
      <c r="P641" s="2"/>
    </row>
    <row r="642" spans="1:16" ht="16.5" customHeight="1" x14ac:dyDescent="0.25">
      <c r="A642" s="2" t="s">
        <v>1537</v>
      </c>
      <c r="B642" s="8" t="s">
        <v>1538</v>
      </c>
      <c r="C642" s="8">
        <v>45296</v>
      </c>
      <c r="D642" s="8" t="s">
        <v>1520</v>
      </c>
      <c r="E642" s="152" t="s">
        <v>102</v>
      </c>
      <c r="F642" s="152" t="s">
        <v>103</v>
      </c>
      <c r="G642" s="152">
        <v>0</v>
      </c>
      <c r="H642" s="152">
        <v>1052</v>
      </c>
      <c r="I642" s="153">
        <v>2.222</v>
      </c>
      <c r="J642" s="145"/>
      <c r="K642" s="153" t="s">
        <v>86</v>
      </c>
      <c r="L642" s="153" t="s">
        <v>86</v>
      </c>
      <c r="M642" s="153"/>
      <c r="N642" s="2" t="s">
        <v>57</v>
      </c>
      <c r="O642" s="2"/>
      <c r="P642" s="2"/>
    </row>
    <row r="643" spans="1:16" ht="16.5" customHeight="1" x14ac:dyDescent="0.25">
      <c r="A643" s="2" t="s">
        <v>1539</v>
      </c>
      <c r="B643" s="8" t="s">
        <v>1540</v>
      </c>
      <c r="C643" s="8">
        <v>45296</v>
      </c>
      <c r="D643" s="8" t="s">
        <v>1520</v>
      </c>
      <c r="E643" s="152" t="s">
        <v>102</v>
      </c>
      <c r="F643" s="152" t="s">
        <v>103</v>
      </c>
      <c r="G643" s="152">
        <v>0</v>
      </c>
      <c r="H643" s="152"/>
      <c r="I643" s="153">
        <v>5.8849999999999998</v>
      </c>
      <c r="J643" s="145"/>
      <c r="K643" s="153" t="s">
        <v>86</v>
      </c>
      <c r="L643" s="153" t="s">
        <v>86</v>
      </c>
      <c r="M643" s="153"/>
      <c r="N643" s="2" t="s">
        <v>57</v>
      </c>
      <c r="O643" s="2"/>
      <c r="P643" s="2"/>
    </row>
    <row r="644" spans="1:16" ht="16.5" customHeight="1" x14ac:dyDescent="0.25">
      <c r="A644" s="2" t="s">
        <v>1541</v>
      </c>
      <c r="B644" s="8" t="s">
        <v>1542</v>
      </c>
      <c r="C644" s="8">
        <v>45296</v>
      </c>
      <c r="D644" s="8" t="s">
        <v>1520</v>
      </c>
      <c r="E644" s="152" t="s">
        <v>102</v>
      </c>
      <c r="F644" s="152" t="s">
        <v>103</v>
      </c>
      <c r="G644" s="152">
        <v>0</v>
      </c>
      <c r="H644" s="152"/>
      <c r="I644" s="153">
        <v>2.398000000000001</v>
      </c>
      <c r="J644" s="145"/>
      <c r="K644" s="153" t="s">
        <v>86</v>
      </c>
      <c r="L644" s="153" t="s">
        <v>86</v>
      </c>
      <c r="M644" s="153"/>
      <c r="N644" s="2" t="s">
        <v>57</v>
      </c>
      <c r="O644" s="2"/>
      <c r="P644" s="10"/>
    </row>
    <row r="645" spans="1:16" ht="16.5" customHeight="1" x14ac:dyDescent="0.25">
      <c r="A645" s="2" t="s">
        <v>1543</v>
      </c>
      <c r="B645" s="8" t="s">
        <v>1544</v>
      </c>
      <c r="C645" s="8">
        <v>45296</v>
      </c>
      <c r="D645" s="8" t="s">
        <v>1520</v>
      </c>
      <c r="E645" s="152" t="s">
        <v>102</v>
      </c>
      <c r="F645" s="152" t="s">
        <v>103</v>
      </c>
      <c r="G645" s="152">
        <v>0</v>
      </c>
      <c r="H645" s="152"/>
      <c r="I645" s="153">
        <v>3.773000000000001</v>
      </c>
      <c r="J645" s="145"/>
      <c r="K645" s="153" t="s">
        <v>86</v>
      </c>
      <c r="L645" s="153" t="s">
        <v>86</v>
      </c>
      <c r="M645" s="153"/>
      <c r="N645" s="2" t="s">
        <v>57</v>
      </c>
      <c r="O645" s="2"/>
      <c r="P645" s="2"/>
    </row>
    <row r="646" spans="1:16" ht="16.5" customHeight="1" x14ac:dyDescent="0.25">
      <c r="A646" s="2" t="s">
        <v>1545</v>
      </c>
      <c r="B646" s="8" t="s">
        <v>1546</v>
      </c>
      <c r="C646" s="8">
        <v>45296</v>
      </c>
      <c r="D646" s="8" t="s">
        <v>1520</v>
      </c>
      <c r="E646" s="152" t="s">
        <v>102</v>
      </c>
      <c r="F646" s="152" t="s">
        <v>103</v>
      </c>
      <c r="G646" s="152">
        <v>0</v>
      </c>
      <c r="H646" s="152"/>
      <c r="I646" s="153">
        <v>6.8090000000000011</v>
      </c>
      <c r="J646" s="145"/>
      <c r="K646" s="153" t="s">
        <v>86</v>
      </c>
      <c r="L646" s="153" t="s">
        <v>86</v>
      </c>
      <c r="M646" s="153"/>
      <c r="N646" s="2" t="s">
        <v>57</v>
      </c>
      <c r="O646" s="2"/>
      <c r="P646" s="2"/>
    </row>
    <row r="647" spans="1:16" ht="16.5" customHeight="1" x14ac:dyDescent="0.25">
      <c r="A647" s="2" t="s">
        <v>1547</v>
      </c>
      <c r="B647" s="8" t="s">
        <v>1548</v>
      </c>
      <c r="C647" s="8">
        <v>45296</v>
      </c>
      <c r="D647" s="8" t="s">
        <v>1520</v>
      </c>
      <c r="E647" s="152" t="s">
        <v>102</v>
      </c>
      <c r="F647" s="152" t="s">
        <v>103</v>
      </c>
      <c r="G647" s="152">
        <v>0</v>
      </c>
      <c r="H647" s="152"/>
      <c r="I647" s="153">
        <v>3.4430000000000001</v>
      </c>
      <c r="J647" s="145"/>
      <c r="K647" s="153" t="s">
        <v>86</v>
      </c>
      <c r="L647" s="153" t="s">
        <v>86</v>
      </c>
      <c r="M647" s="153"/>
      <c r="N647" s="2" t="s">
        <v>57</v>
      </c>
      <c r="O647" s="2"/>
      <c r="P647" s="10"/>
    </row>
    <row r="648" spans="1:16" ht="16.5" customHeight="1" x14ac:dyDescent="0.25">
      <c r="A648" s="2" t="s">
        <v>1549</v>
      </c>
      <c r="B648" s="8" t="s">
        <v>1550</v>
      </c>
      <c r="C648" s="8">
        <v>45296</v>
      </c>
      <c r="D648" s="8" t="s">
        <v>1520</v>
      </c>
      <c r="E648" s="152" t="s">
        <v>102</v>
      </c>
      <c r="F648" s="152" t="s">
        <v>103</v>
      </c>
      <c r="G648" s="152">
        <v>0</v>
      </c>
      <c r="H648" s="152"/>
      <c r="I648" s="153">
        <v>7.051000000000001</v>
      </c>
      <c r="J648" s="145"/>
      <c r="K648" s="153" t="s">
        <v>86</v>
      </c>
      <c r="L648" s="153" t="s">
        <v>86</v>
      </c>
      <c r="M648" s="153"/>
      <c r="N648" s="2" t="s">
        <v>57</v>
      </c>
      <c r="O648" s="2"/>
      <c r="P648" s="2"/>
    </row>
    <row r="649" spans="1:16" ht="16.5" customHeight="1" x14ac:dyDescent="0.25">
      <c r="A649" s="2" t="s">
        <v>1551</v>
      </c>
      <c r="B649" s="8" t="s">
        <v>1552</v>
      </c>
      <c r="C649" s="8">
        <v>45296</v>
      </c>
      <c r="D649" s="8" t="s">
        <v>1520</v>
      </c>
      <c r="E649" s="152" t="s">
        <v>102</v>
      </c>
      <c r="F649" s="152" t="s">
        <v>103</v>
      </c>
      <c r="G649" s="152">
        <v>0</v>
      </c>
      <c r="H649" s="152"/>
      <c r="I649" s="153">
        <v>8.3710000000000004</v>
      </c>
      <c r="J649" s="145"/>
      <c r="K649" s="153" t="s">
        <v>86</v>
      </c>
      <c r="L649" s="153" t="s">
        <v>86</v>
      </c>
      <c r="M649" s="153"/>
      <c r="N649" s="2" t="s">
        <v>57</v>
      </c>
      <c r="O649" s="2"/>
      <c r="P649" s="2"/>
    </row>
    <row r="650" spans="1:16" ht="16.5" customHeight="1" x14ac:dyDescent="0.25">
      <c r="A650" s="2" t="s">
        <v>1553</v>
      </c>
      <c r="B650" s="8" t="s">
        <v>1554</v>
      </c>
      <c r="C650" s="8">
        <v>45296</v>
      </c>
      <c r="D650" s="8" t="s">
        <v>1520</v>
      </c>
      <c r="E650" s="152" t="s">
        <v>102</v>
      </c>
      <c r="F650" s="152" t="s">
        <v>103</v>
      </c>
      <c r="G650" s="152">
        <v>0</v>
      </c>
      <c r="H650" s="152"/>
      <c r="I650" s="153">
        <v>5.3789999999999996</v>
      </c>
      <c r="J650" s="145"/>
      <c r="K650" s="153" t="s">
        <v>86</v>
      </c>
      <c r="L650" s="153" t="s">
        <v>86</v>
      </c>
      <c r="M650" s="153"/>
      <c r="N650" s="2" t="s">
        <v>57</v>
      </c>
      <c r="O650" s="2"/>
      <c r="P650" s="2"/>
    </row>
    <row r="651" spans="1:16" ht="16.5" customHeight="1" x14ac:dyDescent="0.25">
      <c r="A651" s="2" t="s">
        <v>1555</v>
      </c>
      <c r="B651" s="8" t="s">
        <v>1556</v>
      </c>
      <c r="C651" s="8">
        <v>45296</v>
      </c>
      <c r="D651" s="8" t="s">
        <v>1520</v>
      </c>
      <c r="E651" s="152" t="s">
        <v>102</v>
      </c>
      <c r="F651" s="152" t="s">
        <v>103</v>
      </c>
      <c r="G651" s="152">
        <v>0</v>
      </c>
      <c r="H651" s="152"/>
      <c r="I651" s="153">
        <v>5.7310000000000008</v>
      </c>
      <c r="J651" s="145"/>
      <c r="K651" s="153" t="s">
        <v>86</v>
      </c>
      <c r="L651" s="153" t="s">
        <v>86</v>
      </c>
      <c r="M651" s="153"/>
      <c r="N651" s="2" t="s">
        <v>57</v>
      </c>
      <c r="O651" s="2"/>
      <c r="P651" s="2"/>
    </row>
    <row r="652" spans="1:16" ht="16.5" customHeight="1" x14ac:dyDescent="0.25">
      <c r="A652" s="2" t="s">
        <v>1557</v>
      </c>
      <c r="B652" s="8" t="s">
        <v>1558</v>
      </c>
      <c r="C652" s="8">
        <v>45296</v>
      </c>
      <c r="D652" s="8" t="s">
        <v>1520</v>
      </c>
      <c r="E652" s="152" t="s">
        <v>102</v>
      </c>
      <c r="F652" s="152" t="s">
        <v>103</v>
      </c>
      <c r="G652" s="152">
        <v>0</v>
      </c>
      <c r="H652" s="152"/>
      <c r="I652" s="153">
        <v>7.3150000000000013</v>
      </c>
      <c r="J652" s="145"/>
      <c r="K652" s="153" t="s">
        <v>86</v>
      </c>
      <c r="L652" s="153" t="s">
        <v>86</v>
      </c>
      <c r="M652" s="153"/>
      <c r="N652" s="2" t="s">
        <v>57</v>
      </c>
      <c r="O652" s="2"/>
      <c r="P652" s="2"/>
    </row>
    <row r="653" spans="1:16" ht="16.5" customHeight="1" x14ac:dyDescent="0.25">
      <c r="A653" s="2" t="s">
        <v>1559</v>
      </c>
      <c r="B653" s="8" t="s">
        <v>1560</v>
      </c>
      <c r="C653" s="8">
        <v>45296</v>
      </c>
      <c r="D653" s="8" t="s">
        <v>1520</v>
      </c>
      <c r="E653" s="152" t="s">
        <v>102</v>
      </c>
      <c r="F653" s="152" t="s">
        <v>103</v>
      </c>
      <c r="G653" s="152">
        <v>0</v>
      </c>
      <c r="H653" s="152"/>
      <c r="I653" s="153">
        <v>8.9870000000000001</v>
      </c>
      <c r="J653" s="145"/>
      <c r="K653" s="153" t="s">
        <v>86</v>
      </c>
      <c r="L653" s="153" t="s">
        <v>86</v>
      </c>
      <c r="M653" s="153"/>
      <c r="N653" s="2" t="s">
        <v>57</v>
      </c>
      <c r="O653" s="2"/>
      <c r="P653" s="10"/>
    </row>
    <row r="654" spans="1:16" ht="16.5" customHeight="1" x14ac:dyDescent="0.25">
      <c r="A654" s="2" t="s">
        <v>1561</v>
      </c>
      <c r="B654" s="8" t="s">
        <v>1562</v>
      </c>
      <c r="C654" s="8">
        <v>45296</v>
      </c>
      <c r="D654" s="8" t="s">
        <v>1520</v>
      </c>
      <c r="E654" s="152" t="s">
        <v>102</v>
      </c>
      <c r="F654" s="152" t="s">
        <v>103</v>
      </c>
      <c r="G654" s="152">
        <v>0</v>
      </c>
      <c r="H654" s="152"/>
      <c r="I654" s="153">
        <v>4.9390000000000009</v>
      </c>
      <c r="J654" s="145"/>
      <c r="K654" s="153" t="s">
        <v>86</v>
      </c>
      <c r="L654" s="153" t="s">
        <v>86</v>
      </c>
      <c r="M654" s="153"/>
      <c r="N654" s="2" t="s">
        <v>57</v>
      </c>
      <c r="O654" s="2"/>
      <c r="P654" s="2"/>
    </row>
    <row r="655" spans="1:16" ht="16.5" customHeight="1" x14ac:dyDescent="0.25">
      <c r="A655" s="2" t="s">
        <v>1563</v>
      </c>
      <c r="B655" s="8" t="s">
        <v>1564</v>
      </c>
      <c r="C655" s="8">
        <v>45296</v>
      </c>
      <c r="D655" s="8" t="s">
        <v>1520</v>
      </c>
      <c r="E655" s="152" t="s">
        <v>102</v>
      </c>
      <c r="F655" s="152" t="s">
        <v>103</v>
      </c>
      <c r="G655" s="152">
        <v>0</v>
      </c>
      <c r="H655" s="152">
        <v>1024</v>
      </c>
      <c r="I655" s="153">
        <v>6.5230000000000006</v>
      </c>
      <c r="J655" s="145"/>
      <c r="K655" s="153" t="s">
        <v>86</v>
      </c>
      <c r="L655" s="153" t="s">
        <v>86</v>
      </c>
      <c r="M655" s="153"/>
      <c r="N655" s="2" t="s">
        <v>57</v>
      </c>
      <c r="O655" s="2"/>
      <c r="P655" s="10"/>
    </row>
    <row r="656" spans="1:16" ht="16.5" customHeight="1" x14ac:dyDescent="0.25">
      <c r="A656" s="2" t="s">
        <v>1565</v>
      </c>
      <c r="B656" s="8" t="s">
        <v>1566</v>
      </c>
      <c r="C656" s="8">
        <v>45296</v>
      </c>
      <c r="D656" s="8" t="s">
        <v>1520</v>
      </c>
      <c r="E656" s="152" t="s">
        <v>102</v>
      </c>
      <c r="F656" s="152" t="s">
        <v>103</v>
      </c>
      <c r="G656" s="152">
        <v>0</v>
      </c>
      <c r="H656" s="152"/>
      <c r="I656" s="153">
        <v>8.1070000000000011</v>
      </c>
      <c r="J656" s="145"/>
      <c r="K656" s="153" t="s">
        <v>86</v>
      </c>
      <c r="L656" s="153" t="s">
        <v>86</v>
      </c>
      <c r="M656" s="153"/>
      <c r="N656" s="2" t="s">
        <v>57</v>
      </c>
      <c r="O656" s="2"/>
      <c r="P656" s="10"/>
    </row>
    <row r="657" spans="1:16" ht="16.5" customHeight="1" x14ac:dyDescent="0.25">
      <c r="A657" s="2" t="s">
        <v>1567</v>
      </c>
      <c r="B657" s="8" t="s">
        <v>1568</v>
      </c>
      <c r="C657" s="8">
        <v>45296</v>
      </c>
      <c r="D657" s="8" t="s">
        <v>1520</v>
      </c>
      <c r="E657" s="152" t="s">
        <v>102</v>
      </c>
      <c r="F657" s="152" t="s">
        <v>103</v>
      </c>
      <c r="G657" s="152">
        <v>0</v>
      </c>
      <c r="H657" s="152">
        <v>973</v>
      </c>
      <c r="I657" s="153">
        <v>11.198</v>
      </c>
      <c r="J657" s="145"/>
      <c r="K657" s="153" t="s">
        <v>86</v>
      </c>
      <c r="L657" s="153" t="s">
        <v>86</v>
      </c>
      <c r="M657" s="153"/>
      <c r="N657" s="2" t="s">
        <v>57</v>
      </c>
      <c r="O657" s="2"/>
      <c r="P657" s="10"/>
    </row>
    <row r="658" spans="1:16" ht="16.5" customHeight="1" x14ac:dyDescent="0.25">
      <c r="A658" s="2" t="s">
        <v>1569</v>
      </c>
      <c r="B658" s="8" t="s">
        <v>1570</v>
      </c>
      <c r="C658" s="8" t="s">
        <v>714</v>
      </c>
      <c r="D658" s="8" t="s">
        <v>148</v>
      </c>
      <c r="E658" s="152" t="s">
        <v>102</v>
      </c>
      <c r="F658" s="152" t="s">
        <v>103</v>
      </c>
      <c r="G658" s="152">
        <v>4</v>
      </c>
      <c r="H658" s="152">
        <v>59</v>
      </c>
      <c r="I658" s="153">
        <v>92.213000000000008</v>
      </c>
      <c r="J658" s="145"/>
      <c r="K658" s="153">
        <v>-18.07083333333334</v>
      </c>
      <c r="L658" s="153">
        <v>-41.337004616753028</v>
      </c>
      <c r="M658" s="153"/>
      <c r="N658" s="2" t="s">
        <v>57</v>
      </c>
      <c r="O658" s="2"/>
      <c r="P658" s="10"/>
    </row>
    <row r="659" spans="1:16" ht="16.5" customHeight="1" x14ac:dyDescent="0.25">
      <c r="A659" s="2" t="s">
        <v>1571</v>
      </c>
      <c r="B659" s="8" t="s">
        <v>1572</v>
      </c>
      <c r="C659" s="8" t="s">
        <v>102</v>
      </c>
      <c r="D659" s="8" t="s">
        <v>148</v>
      </c>
      <c r="E659" s="152" t="s">
        <v>102</v>
      </c>
      <c r="F659" s="152" t="s">
        <v>103</v>
      </c>
      <c r="G659" s="152">
        <v>27</v>
      </c>
      <c r="H659" s="152">
        <v>105</v>
      </c>
      <c r="I659" s="153">
        <v>11.308</v>
      </c>
      <c r="J659" s="145"/>
      <c r="K659" s="153">
        <v>-1.246875</v>
      </c>
      <c r="L659" s="153" t="s">
        <v>86</v>
      </c>
      <c r="M659" s="153"/>
      <c r="N659" s="2" t="s">
        <v>57</v>
      </c>
      <c r="O659" s="2"/>
      <c r="P659" s="10"/>
    </row>
    <row r="660" spans="1:16" ht="16.5" customHeight="1" x14ac:dyDescent="0.25">
      <c r="A660" s="2" t="s">
        <v>1573</v>
      </c>
      <c r="B660" s="8" t="s">
        <v>1574</v>
      </c>
      <c r="C660" s="8" t="s">
        <v>714</v>
      </c>
      <c r="D660" s="8" t="s">
        <v>148</v>
      </c>
      <c r="E660" s="152" t="s">
        <v>102</v>
      </c>
      <c r="F660" s="152" t="s">
        <v>103</v>
      </c>
      <c r="G660" s="152">
        <v>4</v>
      </c>
      <c r="H660" s="152">
        <v>446</v>
      </c>
      <c r="I660" s="153">
        <v>5.346000000000001</v>
      </c>
      <c r="J660" s="145"/>
      <c r="K660" s="153" t="s">
        <v>86</v>
      </c>
      <c r="L660" s="153" t="s">
        <v>86</v>
      </c>
      <c r="M660" s="153"/>
      <c r="N660" s="2" t="s">
        <v>57</v>
      </c>
      <c r="O660" s="2"/>
      <c r="P660" s="2"/>
    </row>
    <row r="661" spans="1:16" ht="16.5" customHeight="1" x14ac:dyDescent="0.25">
      <c r="A661" s="2" t="s">
        <v>1575</v>
      </c>
      <c r="B661" s="8" t="s">
        <v>1576</v>
      </c>
      <c r="C661" s="8" t="s">
        <v>714</v>
      </c>
      <c r="D661" s="8" t="s">
        <v>148</v>
      </c>
      <c r="E661" s="152" t="s">
        <v>102</v>
      </c>
      <c r="F661" s="152" t="s">
        <v>103</v>
      </c>
      <c r="G661" s="152">
        <v>1</v>
      </c>
      <c r="H661" s="152">
        <v>1066</v>
      </c>
      <c r="I661" s="153">
        <v>0.96800000000000008</v>
      </c>
      <c r="J661" s="145"/>
      <c r="K661" s="153" t="s">
        <v>86</v>
      </c>
      <c r="L661" s="153" t="s">
        <v>86</v>
      </c>
      <c r="M661" s="153"/>
      <c r="N661" s="2" t="s">
        <v>57</v>
      </c>
      <c r="O661" s="2"/>
      <c r="P661" s="10"/>
    </row>
    <row r="662" spans="1:16" ht="16.5" customHeight="1" x14ac:dyDescent="0.25">
      <c r="A662" s="2" t="s">
        <v>1577</v>
      </c>
      <c r="B662" s="8" t="s">
        <v>1578</v>
      </c>
      <c r="C662" s="8" t="s">
        <v>718</v>
      </c>
      <c r="D662" s="8" t="s">
        <v>148</v>
      </c>
      <c r="E662" s="152" t="s">
        <v>102</v>
      </c>
      <c r="F662" s="152" t="s">
        <v>103</v>
      </c>
      <c r="G662" s="152">
        <v>0</v>
      </c>
      <c r="H662" s="152">
        <v>960</v>
      </c>
      <c r="I662" s="153">
        <v>0.95700000000000007</v>
      </c>
      <c r="J662" s="145"/>
      <c r="K662" s="153" t="s">
        <v>86</v>
      </c>
      <c r="L662" s="153" t="s">
        <v>86</v>
      </c>
      <c r="M662" s="153"/>
      <c r="N662" s="2" t="s">
        <v>57</v>
      </c>
      <c r="O662" s="2"/>
      <c r="P662" s="10"/>
    </row>
    <row r="663" spans="1:16" ht="16.5" customHeight="1" x14ac:dyDescent="0.25">
      <c r="A663" s="2" t="s">
        <v>1579</v>
      </c>
      <c r="B663" s="8" t="s">
        <v>1580</v>
      </c>
      <c r="C663" s="8" t="s">
        <v>714</v>
      </c>
      <c r="D663" s="8" t="s">
        <v>148</v>
      </c>
      <c r="E663" s="152" t="s">
        <v>102</v>
      </c>
      <c r="F663" s="152" t="s">
        <v>103</v>
      </c>
      <c r="G663" s="152">
        <v>38</v>
      </c>
      <c r="H663" s="152">
        <v>58</v>
      </c>
      <c r="I663" s="153">
        <v>13.343</v>
      </c>
      <c r="J663" s="145"/>
      <c r="K663" s="153">
        <v>-1.9496457209076219</v>
      </c>
      <c r="L663" s="153" t="s">
        <v>86</v>
      </c>
      <c r="M663" s="153"/>
      <c r="N663" s="2" t="s">
        <v>57</v>
      </c>
      <c r="O663" s="2"/>
      <c r="P663" s="10"/>
    </row>
    <row r="664" spans="1:16" ht="16.5" customHeight="1" x14ac:dyDescent="0.25">
      <c r="A664" s="2" t="s">
        <v>1581</v>
      </c>
      <c r="B664" s="8" t="s">
        <v>1582</v>
      </c>
      <c r="C664" s="8">
        <v>45599</v>
      </c>
      <c r="D664" s="8" t="s">
        <v>148</v>
      </c>
      <c r="E664" s="152" t="s">
        <v>102</v>
      </c>
      <c r="F664" s="152" t="s">
        <v>103</v>
      </c>
      <c r="G664" s="152">
        <v>0</v>
      </c>
      <c r="H664" s="152">
        <v>1039</v>
      </c>
      <c r="I664" s="153">
        <v>3.036</v>
      </c>
      <c r="J664" s="145"/>
      <c r="K664" s="153" t="s">
        <v>86</v>
      </c>
      <c r="L664" s="153" t="s">
        <v>86</v>
      </c>
      <c r="M664" s="153"/>
      <c r="N664" s="2" t="s">
        <v>57</v>
      </c>
      <c r="O664" s="2"/>
      <c r="P664" s="10"/>
    </row>
    <row r="665" spans="1:16" ht="16.5" customHeight="1" x14ac:dyDescent="0.25">
      <c r="A665" s="2" t="s">
        <v>1583</v>
      </c>
      <c r="B665" s="8" t="s">
        <v>1584</v>
      </c>
      <c r="C665" s="8" t="s">
        <v>1500</v>
      </c>
      <c r="D665" s="8" t="s">
        <v>148</v>
      </c>
      <c r="E665" s="152" t="s">
        <v>102</v>
      </c>
      <c r="F665" s="152" t="s">
        <v>103</v>
      </c>
      <c r="G665" s="152">
        <v>1</v>
      </c>
      <c r="H665" s="152">
        <v>835</v>
      </c>
      <c r="I665" s="153">
        <v>3.5859999999999999</v>
      </c>
      <c r="J665" s="145"/>
      <c r="K665" s="153" t="s">
        <v>86</v>
      </c>
      <c r="L665" s="153" t="s">
        <v>86</v>
      </c>
      <c r="M665" s="153"/>
      <c r="N665" s="2" t="s">
        <v>57</v>
      </c>
      <c r="O665" s="2"/>
      <c r="P665" s="10"/>
    </row>
    <row r="666" spans="1:16" ht="16.5" customHeight="1" x14ac:dyDescent="0.25">
      <c r="A666" s="2" t="s">
        <v>1585</v>
      </c>
      <c r="B666" s="8" t="s">
        <v>1586</v>
      </c>
      <c r="C666" s="8" t="s">
        <v>714</v>
      </c>
      <c r="D666" s="8" t="s">
        <v>148</v>
      </c>
      <c r="E666" s="152" t="s">
        <v>102</v>
      </c>
      <c r="F666" s="152" t="s">
        <v>103</v>
      </c>
      <c r="G666" s="152">
        <v>1</v>
      </c>
      <c r="H666" s="152">
        <v>694</v>
      </c>
      <c r="I666" s="153">
        <v>2.838000000000001</v>
      </c>
      <c r="J666" s="145"/>
      <c r="K666" s="153" t="s">
        <v>86</v>
      </c>
      <c r="L666" s="153" t="s">
        <v>86</v>
      </c>
      <c r="M666" s="153"/>
      <c r="N666" s="2" t="s">
        <v>57</v>
      </c>
      <c r="O666" s="2"/>
      <c r="P666" s="10"/>
    </row>
    <row r="667" spans="1:16" ht="16.5" customHeight="1" x14ac:dyDescent="0.25">
      <c r="A667" s="2" t="s">
        <v>1587</v>
      </c>
      <c r="B667" s="8" t="s">
        <v>1588</v>
      </c>
      <c r="C667" s="8" t="s">
        <v>714</v>
      </c>
      <c r="D667" s="8" t="s">
        <v>148</v>
      </c>
      <c r="E667" s="152" t="s">
        <v>102</v>
      </c>
      <c r="F667" s="152" t="s">
        <v>103</v>
      </c>
      <c r="G667" s="152">
        <v>2</v>
      </c>
      <c r="H667" s="152">
        <v>611</v>
      </c>
      <c r="I667" s="153">
        <v>3.3</v>
      </c>
      <c r="J667" s="145"/>
      <c r="K667" s="153" t="s">
        <v>86</v>
      </c>
      <c r="L667" s="153" t="s">
        <v>86</v>
      </c>
      <c r="M667" s="153"/>
      <c r="N667" s="2" t="s">
        <v>57</v>
      </c>
      <c r="O667" s="2"/>
      <c r="P667" s="10"/>
    </row>
    <row r="668" spans="1:16" ht="16.5" customHeight="1" x14ac:dyDescent="0.25">
      <c r="A668" s="2" t="s">
        <v>1589</v>
      </c>
      <c r="B668" s="8" t="s">
        <v>1590</v>
      </c>
      <c r="C668" s="8" t="s">
        <v>823</v>
      </c>
      <c r="D668" s="8" t="s">
        <v>148</v>
      </c>
      <c r="E668" s="152" t="s">
        <v>102</v>
      </c>
      <c r="F668" s="152" t="s">
        <v>103</v>
      </c>
      <c r="G668" s="152">
        <v>1</v>
      </c>
      <c r="H668" s="152">
        <v>671</v>
      </c>
      <c r="I668" s="153">
        <v>5.4890000000000008</v>
      </c>
      <c r="J668" s="145"/>
      <c r="K668" s="153" t="s">
        <v>86</v>
      </c>
      <c r="L668" s="153" t="s">
        <v>86</v>
      </c>
      <c r="M668" s="153"/>
      <c r="N668" s="2" t="s">
        <v>57</v>
      </c>
      <c r="O668" s="2"/>
      <c r="P668" s="10"/>
    </row>
    <row r="669" spans="1:16" ht="16.5" customHeight="1" x14ac:dyDescent="0.25">
      <c r="A669" s="2" t="s">
        <v>1591</v>
      </c>
      <c r="B669" s="8" t="s">
        <v>1592</v>
      </c>
      <c r="C669" s="8">
        <v>45599</v>
      </c>
      <c r="D669" s="8" t="s">
        <v>1593</v>
      </c>
      <c r="E669" s="152" t="s">
        <v>102</v>
      </c>
      <c r="F669" s="152" t="s">
        <v>103</v>
      </c>
      <c r="G669" s="152">
        <v>0</v>
      </c>
      <c r="H669" s="152">
        <v>1118</v>
      </c>
      <c r="I669" s="153">
        <v>9.9000000000000005E-2</v>
      </c>
      <c r="J669" s="145"/>
      <c r="K669" s="153" t="s">
        <v>86</v>
      </c>
      <c r="L669" s="153" t="s">
        <v>86</v>
      </c>
      <c r="M669" s="153"/>
      <c r="N669" s="2" t="s">
        <v>57</v>
      </c>
      <c r="O669" s="2"/>
      <c r="P669" s="10"/>
    </row>
    <row r="670" spans="1:16" ht="16.5" customHeight="1" x14ac:dyDescent="0.25">
      <c r="A670" s="2" t="s">
        <v>1594</v>
      </c>
      <c r="B670" s="8" t="s">
        <v>1595</v>
      </c>
      <c r="C670" s="8">
        <v>45599</v>
      </c>
      <c r="D670" s="8" t="s">
        <v>1593</v>
      </c>
      <c r="E670" s="152" t="s">
        <v>102</v>
      </c>
      <c r="F670" s="152" t="s">
        <v>103</v>
      </c>
      <c r="G670" s="152">
        <v>0</v>
      </c>
      <c r="H670" s="152">
        <v>1104</v>
      </c>
      <c r="I670" s="153">
        <v>9.9000000000000005E-2</v>
      </c>
      <c r="J670" s="145"/>
      <c r="K670" s="153" t="s">
        <v>86</v>
      </c>
      <c r="L670" s="153" t="s">
        <v>86</v>
      </c>
      <c r="M670" s="153"/>
      <c r="N670" s="2" t="s">
        <v>57</v>
      </c>
      <c r="O670" s="2"/>
      <c r="P670" s="10"/>
    </row>
    <row r="671" spans="1:16" ht="16.5" customHeight="1" x14ac:dyDescent="0.25">
      <c r="A671" s="2" t="s">
        <v>1596</v>
      </c>
      <c r="B671" s="8" t="s">
        <v>1597</v>
      </c>
      <c r="C671" s="8">
        <v>45599</v>
      </c>
      <c r="D671" s="8" t="s">
        <v>1593</v>
      </c>
      <c r="E671" s="152" t="s">
        <v>102</v>
      </c>
      <c r="F671" s="152" t="s">
        <v>103</v>
      </c>
      <c r="G671" s="152">
        <v>0</v>
      </c>
      <c r="H671" s="152">
        <v>1119</v>
      </c>
      <c r="I671" s="153">
        <v>0.13200000000000001</v>
      </c>
      <c r="J671" s="145"/>
      <c r="K671" s="153" t="s">
        <v>86</v>
      </c>
      <c r="L671" s="153" t="s">
        <v>86</v>
      </c>
      <c r="M671" s="153"/>
      <c r="N671" s="2" t="s">
        <v>57</v>
      </c>
      <c r="O671" s="2"/>
      <c r="P671" s="2"/>
    </row>
    <row r="672" spans="1:16" ht="16.5" customHeight="1" x14ac:dyDescent="0.25">
      <c r="A672" s="2" t="s">
        <v>1598</v>
      </c>
      <c r="B672" s="8" t="s">
        <v>1599</v>
      </c>
      <c r="C672" s="8">
        <v>45599</v>
      </c>
      <c r="D672" s="8" t="s">
        <v>1593</v>
      </c>
      <c r="E672" s="152" t="s">
        <v>102</v>
      </c>
      <c r="F672" s="152" t="s">
        <v>103</v>
      </c>
      <c r="G672" s="152">
        <v>0</v>
      </c>
      <c r="H672" s="152">
        <v>1094</v>
      </c>
      <c r="I672" s="153">
        <v>9.9000000000000005E-2</v>
      </c>
      <c r="J672" s="145"/>
      <c r="K672" s="153" t="s">
        <v>86</v>
      </c>
      <c r="L672" s="153" t="s">
        <v>86</v>
      </c>
      <c r="M672" s="153"/>
      <c r="N672" s="2" t="s">
        <v>57</v>
      </c>
      <c r="O672" s="2"/>
      <c r="P672" s="10"/>
    </row>
    <row r="673" spans="1:16" ht="16.5" customHeight="1" x14ac:dyDescent="0.25">
      <c r="A673" s="2" t="s">
        <v>1600</v>
      </c>
      <c r="B673" s="8" t="s">
        <v>1601</v>
      </c>
      <c r="C673" s="8">
        <v>45599</v>
      </c>
      <c r="D673" s="8" t="s">
        <v>1593</v>
      </c>
      <c r="E673" s="152" t="s">
        <v>102</v>
      </c>
      <c r="F673" s="152" t="s">
        <v>103</v>
      </c>
      <c r="G673" s="152">
        <v>0</v>
      </c>
      <c r="H673" s="152">
        <v>1117</v>
      </c>
      <c r="I673" s="153">
        <v>4.3999999999999997E-2</v>
      </c>
      <c r="J673" s="145"/>
      <c r="K673" s="153" t="s">
        <v>86</v>
      </c>
      <c r="L673" s="153" t="s">
        <v>86</v>
      </c>
      <c r="M673" s="153"/>
      <c r="N673" s="2" t="s">
        <v>57</v>
      </c>
      <c r="O673" s="2"/>
      <c r="P673" s="10"/>
    </row>
    <row r="674" spans="1:16" ht="16.5" customHeight="1" x14ac:dyDescent="0.25">
      <c r="A674" s="2" t="s">
        <v>1602</v>
      </c>
      <c r="B674" s="8" t="s">
        <v>1603</v>
      </c>
      <c r="C674" s="8">
        <v>45599</v>
      </c>
      <c r="D674" s="8" t="s">
        <v>1593</v>
      </c>
      <c r="E674" s="152" t="s">
        <v>102</v>
      </c>
      <c r="F674" s="152" t="s">
        <v>103</v>
      </c>
      <c r="G674" s="152">
        <v>0</v>
      </c>
      <c r="H674" s="152"/>
      <c r="I674" s="153">
        <v>4.3999999999999997E-2</v>
      </c>
      <c r="J674" s="145"/>
      <c r="K674" s="153" t="s">
        <v>86</v>
      </c>
      <c r="L674" s="153" t="s">
        <v>86</v>
      </c>
      <c r="M674" s="153"/>
      <c r="N674" s="2" t="s">
        <v>57</v>
      </c>
      <c r="O674" s="2"/>
      <c r="P674" s="2"/>
    </row>
    <row r="675" spans="1:16" ht="16.5" customHeight="1" x14ac:dyDescent="0.25">
      <c r="A675" s="2" t="s">
        <v>1604</v>
      </c>
      <c r="B675" s="8" t="s">
        <v>1605</v>
      </c>
      <c r="C675" s="8">
        <v>45599</v>
      </c>
      <c r="D675" s="8" t="s">
        <v>1593</v>
      </c>
      <c r="E675" s="152" t="s">
        <v>102</v>
      </c>
      <c r="F675" s="152" t="s">
        <v>103</v>
      </c>
      <c r="G675" s="152">
        <v>0</v>
      </c>
      <c r="H675" s="152">
        <v>1101</v>
      </c>
      <c r="I675" s="153">
        <v>3.3000000000000002E-2</v>
      </c>
      <c r="J675" s="145"/>
      <c r="K675" s="153" t="s">
        <v>86</v>
      </c>
      <c r="L675" s="153" t="s">
        <v>86</v>
      </c>
      <c r="M675" s="153"/>
      <c r="N675" s="2" t="s">
        <v>57</v>
      </c>
      <c r="O675" s="2"/>
      <c r="P675" s="2"/>
    </row>
    <row r="676" spans="1:16" ht="16.5" customHeight="1" x14ac:dyDescent="0.25">
      <c r="A676" s="2" t="s">
        <v>1606</v>
      </c>
      <c r="B676" s="8" t="s">
        <v>1607</v>
      </c>
      <c r="C676" s="8" t="s">
        <v>714</v>
      </c>
      <c r="D676" s="8" t="s">
        <v>163</v>
      </c>
      <c r="E676" s="152" t="s">
        <v>102</v>
      </c>
      <c r="F676" s="152" t="s">
        <v>103</v>
      </c>
      <c r="G676" s="152">
        <v>17</v>
      </c>
      <c r="H676" s="152">
        <v>11</v>
      </c>
      <c r="I676" s="153">
        <v>69.300000000000011</v>
      </c>
      <c r="J676" s="145"/>
      <c r="K676" s="153">
        <v>-11.80479166666667</v>
      </c>
      <c r="L676" s="153">
        <v>-44.07871634499994</v>
      </c>
      <c r="M676" s="153">
        <v>-6.3336666666666668</v>
      </c>
      <c r="N676" s="2" t="s">
        <v>57</v>
      </c>
      <c r="O676" s="2"/>
      <c r="P676" s="10"/>
    </row>
    <row r="677" spans="1:16" ht="16.5" customHeight="1" x14ac:dyDescent="0.25">
      <c r="A677" s="2" t="s">
        <v>1608</v>
      </c>
      <c r="B677" s="8" t="s">
        <v>1609</v>
      </c>
      <c r="C677" s="8">
        <v>45635</v>
      </c>
      <c r="D677" s="8" t="s">
        <v>163</v>
      </c>
      <c r="E677" s="152" t="s">
        <v>102</v>
      </c>
      <c r="F677" s="152" t="s">
        <v>103</v>
      </c>
      <c r="G677" s="152">
        <v>0</v>
      </c>
      <c r="H677" s="152">
        <v>253</v>
      </c>
      <c r="I677" s="153">
        <v>103.4</v>
      </c>
      <c r="J677" s="145"/>
      <c r="K677" s="153" t="s">
        <v>86</v>
      </c>
      <c r="L677" s="153">
        <v>-29.830580926677911</v>
      </c>
      <c r="M677" s="153"/>
      <c r="N677" s="2" t="s">
        <v>57</v>
      </c>
      <c r="O677" s="2"/>
      <c r="P677" s="10"/>
    </row>
    <row r="678" spans="1:16" ht="16.5" customHeight="1" x14ac:dyDescent="0.25">
      <c r="A678" s="2" t="s">
        <v>1610</v>
      </c>
      <c r="B678" s="8" t="s">
        <v>1611</v>
      </c>
      <c r="C678" s="8" t="s">
        <v>1125</v>
      </c>
      <c r="D678" s="8" t="s">
        <v>163</v>
      </c>
      <c r="E678" s="152" t="s">
        <v>102</v>
      </c>
      <c r="F678" s="152" t="s">
        <v>103</v>
      </c>
      <c r="G678" s="152">
        <v>13</v>
      </c>
      <c r="H678" s="152">
        <v>36</v>
      </c>
      <c r="I678" s="153">
        <v>169.4</v>
      </c>
      <c r="J678" s="145"/>
      <c r="K678" s="153">
        <v>-12.81305357142857</v>
      </c>
      <c r="L678" s="153" t="s">
        <v>86</v>
      </c>
      <c r="M678" s="153"/>
      <c r="N678" s="2" t="s">
        <v>57</v>
      </c>
      <c r="O678" s="2"/>
      <c r="P678" s="2"/>
    </row>
    <row r="679" spans="1:16" ht="16.5" customHeight="1" x14ac:dyDescent="0.25">
      <c r="A679" s="2" t="s">
        <v>1612</v>
      </c>
      <c r="B679" s="8" t="s">
        <v>1613</v>
      </c>
      <c r="C679" s="8" t="s">
        <v>749</v>
      </c>
      <c r="D679" s="8" t="s">
        <v>163</v>
      </c>
      <c r="E679" s="152" t="s">
        <v>102</v>
      </c>
      <c r="F679" s="152" t="s">
        <v>103</v>
      </c>
      <c r="G679" s="152">
        <v>4</v>
      </c>
      <c r="H679" s="152">
        <v>47</v>
      </c>
      <c r="I679" s="153">
        <v>284.89999999999998</v>
      </c>
      <c r="J679" s="145"/>
      <c r="K679" s="153" t="s">
        <v>86</v>
      </c>
      <c r="L679" s="153" t="s">
        <v>86</v>
      </c>
      <c r="M679" s="153"/>
      <c r="N679" s="2" t="s">
        <v>57</v>
      </c>
      <c r="O679" s="2"/>
      <c r="P679" s="10"/>
    </row>
    <row r="680" spans="1:16" ht="16.5" customHeight="1" x14ac:dyDescent="0.25">
      <c r="A680" s="2" t="s">
        <v>1614</v>
      </c>
      <c r="B680" s="8" t="s">
        <v>1615</v>
      </c>
      <c r="C680" s="8" t="s">
        <v>749</v>
      </c>
      <c r="D680" s="8" t="s">
        <v>163</v>
      </c>
      <c r="E680" s="152" t="s">
        <v>102</v>
      </c>
      <c r="F680" s="152" t="s">
        <v>103</v>
      </c>
      <c r="G680" s="152">
        <v>2</v>
      </c>
      <c r="H680" s="152">
        <v>449</v>
      </c>
      <c r="I680" s="153">
        <v>20.933</v>
      </c>
      <c r="J680" s="145"/>
      <c r="K680" s="153" t="s">
        <v>86</v>
      </c>
      <c r="L680" s="153" t="s">
        <v>86</v>
      </c>
      <c r="M680" s="153"/>
      <c r="N680" s="2" t="s">
        <v>57</v>
      </c>
      <c r="O680" s="2"/>
      <c r="P680" s="10"/>
    </row>
    <row r="681" spans="1:16" ht="16.5" customHeight="1" x14ac:dyDescent="0.25">
      <c r="A681" s="2" t="s">
        <v>1616</v>
      </c>
      <c r="B681" s="8" t="s">
        <v>1617</v>
      </c>
      <c r="C681" s="8" t="s">
        <v>753</v>
      </c>
      <c r="D681" s="8" t="s">
        <v>163</v>
      </c>
      <c r="E681" s="152" t="s">
        <v>102</v>
      </c>
      <c r="F681" s="152" t="s">
        <v>103</v>
      </c>
      <c r="G681" s="152">
        <v>0</v>
      </c>
      <c r="H681" s="152">
        <v>833</v>
      </c>
      <c r="I681" s="153">
        <v>25.542000000000002</v>
      </c>
      <c r="J681" s="145"/>
      <c r="K681" s="153" t="s">
        <v>86</v>
      </c>
      <c r="L681" s="153" t="s">
        <v>86</v>
      </c>
      <c r="M681" s="153"/>
      <c r="N681" s="2" t="s">
        <v>57</v>
      </c>
      <c r="O681" s="2"/>
      <c r="P681" s="2"/>
    </row>
    <row r="682" spans="1:16" ht="16.5" customHeight="1" x14ac:dyDescent="0.25">
      <c r="A682" s="2" t="s">
        <v>1618</v>
      </c>
      <c r="B682" s="8" t="s">
        <v>1619</v>
      </c>
      <c r="C682" s="8" t="s">
        <v>718</v>
      </c>
      <c r="D682" s="8" t="s">
        <v>441</v>
      </c>
      <c r="E682" s="152" t="s">
        <v>102</v>
      </c>
      <c r="F682" s="152" t="s">
        <v>103</v>
      </c>
      <c r="G682" s="152">
        <v>0</v>
      </c>
      <c r="H682" s="152"/>
      <c r="I682" s="153">
        <v>14.256</v>
      </c>
      <c r="J682" s="145"/>
      <c r="K682" s="153" t="s">
        <v>86</v>
      </c>
      <c r="L682" s="153" t="s">
        <v>86</v>
      </c>
      <c r="M682" s="153"/>
      <c r="N682" s="2" t="s">
        <v>57</v>
      </c>
      <c r="O682" s="2"/>
      <c r="P682" s="2"/>
    </row>
    <row r="683" spans="1:16" ht="16.5" customHeight="1" x14ac:dyDescent="0.25">
      <c r="A683" s="2" t="s">
        <v>1620</v>
      </c>
      <c r="B683" s="8" t="s">
        <v>1620</v>
      </c>
      <c r="C683" s="8">
        <v>45296</v>
      </c>
      <c r="D683" s="8" t="s">
        <v>441</v>
      </c>
      <c r="E683" s="152" t="s">
        <v>102</v>
      </c>
      <c r="F683" s="152" t="s">
        <v>103</v>
      </c>
      <c r="G683" s="152">
        <v>0</v>
      </c>
      <c r="H683" s="152"/>
      <c r="I683" s="153">
        <v>31.152000000000001</v>
      </c>
      <c r="J683" s="145"/>
      <c r="K683" s="153" t="s">
        <v>86</v>
      </c>
      <c r="L683" s="153" t="s">
        <v>86</v>
      </c>
      <c r="M683" s="153"/>
      <c r="N683" s="2" t="s">
        <v>57</v>
      </c>
      <c r="O683" s="2"/>
      <c r="P683" s="2"/>
    </row>
    <row r="684" spans="1:16" ht="16.5" customHeight="1" x14ac:dyDescent="0.25">
      <c r="A684" s="2" t="s">
        <v>1621</v>
      </c>
      <c r="B684" s="8" t="s">
        <v>1621</v>
      </c>
      <c r="C684" s="8">
        <v>45296</v>
      </c>
      <c r="D684" s="8" t="s">
        <v>441</v>
      </c>
      <c r="E684" s="152" t="s">
        <v>102</v>
      </c>
      <c r="F684" s="152" t="s">
        <v>103</v>
      </c>
      <c r="G684" s="152">
        <v>0</v>
      </c>
      <c r="H684" s="152"/>
      <c r="I684" s="153">
        <v>47.025000000000013</v>
      </c>
      <c r="J684" s="145"/>
      <c r="K684" s="153" t="s">
        <v>86</v>
      </c>
      <c r="L684" s="153" t="s">
        <v>86</v>
      </c>
      <c r="M684" s="153"/>
      <c r="N684" s="2" t="s">
        <v>57</v>
      </c>
      <c r="O684" s="2"/>
      <c r="P684" s="2"/>
    </row>
    <row r="685" spans="1:16" ht="16.5" customHeight="1" x14ac:dyDescent="0.25">
      <c r="A685" s="2" t="s">
        <v>1622</v>
      </c>
      <c r="B685" s="8" t="s">
        <v>1623</v>
      </c>
      <c r="C685" s="8" t="s">
        <v>714</v>
      </c>
      <c r="D685" s="8" t="s">
        <v>1624</v>
      </c>
      <c r="E685" s="152" t="s">
        <v>102</v>
      </c>
      <c r="F685" s="152" t="s">
        <v>103</v>
      </c>
      <c r="G685" s="152">
        <v>1</v>
      </c>
      <c r="H685" s="152">
        <v>721</v>
      </c>
      <c r="I685" s="153">
        <v>12.859</v>
      </c>
      <c r="J685" s="145"/>
      <c r="K685" s="153" t="s">
        <v>86</v>
      </c>
      <c r="L685" s="153" t="s">
        <v>86</v>
      </c>
      <c r="M685" s="153"/>
      <c r="N685" s="2" t="s">
        <v>57</v>
      </c>
      <c r="O685" s="2"/>
      <c r="P685" s="10"/>
    </row>
    <row r="686" spans="1:16" ht="16.5" customHeight="1" x14ac:dyDescent="0.25">
      <c r="A686" s="2" t="s">
        <v>1625</v>
      </c>
      <c r="B686" s="8" t="s">
        <v>1626</v>
      </c>
      <c r="C686" s="8" t="s">
        <v>718</v>
      </c>
      <c r="D686" s="8" t="s">
        <v>1624</v>
      </c>
      <c r="E686" s="152" t="s">
        <v>102</v>
      </c>
      <c r="F686" s="152" t="s">
        <v>103</v>
      </c>
      <c r="G686" s="152">
        <v>1</v>
      </c>
      <c r="H686" s="152">
        <v>645</v>
      </c>
      <c r="I686" s="153">
        <v>25.222999999999999</v>
      </c>
      <c r="J686" s="145"/>
      <c r="K686" s="153" t="s">
        <v>86</v>
      </c>
      <c r="L686" s="153" t="s">
        <v>86</v>
      </c>
      <c r="M686" s="153"/>
      <c r="N686" s="2" t="s">
        <v>57</v>
      </c>
      <c r="O686" s="2"/>
      <c r="P686" s="10"/>
    </row>
    <row r="687" spans="1:16" ht="16.5" customHeight="1" x14ac:dyDescent="0.25">
      <c r="A687" s="2" t="s">
        <v>1627</v>
      </c>
      <c r="B687" s="8" t="s">
        <v>1628</v>
      </c>
      <c r="C687" s="8" t="s">
        <v>718</v>
      </c>
      <c r="D687" s="8" t="s">
        <v>1624</v>
      </c>
      <c r="E687" s="152" t="s">
        <v>102</v>
      </c>
      <c r="F687" s="152" t="s">
        <v>103</v>
      </c>
      <c r="G687" s="152">
        <v>0</v>
      </c>
      <c r="H687" s="152">
        <v>1000</v>
      </c>
      <c r="I687" s="153">
        <v>24.343</v>
      </c>
      <c r="J687" s="145"/>
      <c r="K687" s="153" t="s">
        <v>86</v>
      </c>
      <c r="L687" s="153" t="s">
        <v>86</v>
      </c>
      <c r="M687" s="153"/>
      <c r="N687" s="2" t="s">
        <v>57</v>
      </c>
      <c r="O687" s="2"/>
      <c r="P687" s="2"/>
    </row>
    <row r="688" spans="1:16" ht="16.5" customHeight="1" x14ac:dyDescent="0.25">
      <c r="A688" s="2" t="s">
        <v>1629</v>
      </c>
      <c r="B688" s="8" t="s">
        <v>1630</v>
      </c>
      <c r="C688" s="8" t="s">
        <v>718</v>
      </c>
      <c r="D688" s="8" t="s">
        <v>1624</v>
      </c>
      <c r="E688" s="152" t="s">
        <v>102</v>
      </c>
      <c r="F688" s="152" t="s">
        <v>103</v>
      </c>
      <c r="G688" s="152">
        <v>0</v>
      </c>
      <c r="H688" s="152">
        <v>775</v>
      </c>
      <c r="I688" s="153">
        <v>40.865000000000002</v>
      </c>
      <c r="J688" s="145"/>
      <c r="K688" s="153" t="s">
        <v>86</v>
      </c>
      <c r="L688" s="153" t="s">
        <v>86</v>
      </c>
      <c r="M688" s="153"/>
      <c r="N688" s="2" t="s">
        <v>57</v>
      </c>
      <c r="O688" s="2"/>
      <c r="P688" s="2"/>
    </row>
    <row r="689" spans="1:16" ht="16.5" customHeight="1" x14ac:dyDescent="0.25">
      <c r="A689" s="2" t="s">
        <v>1631</v>
      </c>
      <c r="B689" s="8" t="s">
        <v>1632</v>
      </c>
      <c r="C689" s="8" t="s">
        <v>718</v>
      </c>
      <c r="D689" s="8" t="s">
        <v>1624</v>
      </c>
      <c r="E689" s="152" t="s">
        <v>102</v>
      </c>
      <c r="F689" s="152" t="s">
        <v>103</v>
      </c>
      <c r="G689" s="152">
        <v>0</v>
      </c>
      <c r="H689" s="152">
        <v>644</v>
      </c>
      <c r="I689" s="153">
        <v>48.345000000000013</v>
      </c>
      <c r="J689" s="145"/>
      <c r="K689" s="153" t="s">
        <v>86</v>
      </c>
      <c r="L689" s="153" t="s">
        <v>86</v>
      </c>
      <c r="M689" s="153"/>
      <c r="N689" s="2" t="s">
        <v>57</v>
      </c>
      <c r="O689" s="2"/>
      <c r="P689" s="10"/>
    </row>
    <row r="690" spans="1:16" ht="16.5" customHeight="1" x14ac:dyDescent="0.25">
      <c r="A690" s="2" t="s">
        <v>1633</v>
      </c>
      <c r="B690" s="8" t="s">
        <v>1634</v>
      </c>
      <c r="C690" s="8">
        <v>45599</v>
      </c>
      <c r="D690" s="8" t="s">
        <v>1635</v>
      </c>
      <c r="E690" s="152" t="s">
        <v>102</v>
      </c>
      <c r="F690" s="152" t="s">
        <v>103</v>
      </c>
      <c r="G690" s="152">
        <v>0</v>
      </c>
      <c r="H690" s="152"/>
      <c r="I690" s="153">
        <v>2.398000000000001</v>
      </c>
      <c r="J690" s="145"/>
      <c r="K690" s="153" t="s">
        <v>86</v>
      </c>
      <c r="L690" s="153" t="s">
        <v>86</v>
      </c>
      <c r="M690" s="153"/>
      <c r="N690" s="2" t="s">
        <v>57</v>
      </c>
      <c r="O690" s="2"/>
      <c r="P690" s="10"/>
    </row>
    <row r="691" spans="1:16" ht="16.5" customHeight="1" x14ac:dyDescent="0.25">
      <c r="A691" s="2" t="s">
        <v>1636</v>
      </c>
      <c r="B691" s="8" t="s">
        <v>1637</v>
      </c>
      <c r="C691" s="8" t="s">
        <v>1638</v>
      </c>
      <c r="D691" s="8" t="s">
        <v>1638</v>
      </c>
      <c r="E691" s="152" t="s">
        <v>102</v>
      </c>
      <c r="F691" s="152" t="s">
        <v>103</v>
      </c>
      <c r="G691" s="152">
        <v>1</v>
      </c>
      <c r="H691" s="152">
        <v>959</v>
      </c>
      <c r="I691" s="153">
        <v>0.50600000000000012</v>
      </c>
      <c r="J691" s="145"/>
      <c r="K691" s="153" t="s">
        <v>86</v>
      </c>
      <c r="L691" s="153" t="s">
        <v>86</v>
      </c>
      <c r="M691" s="153"/>
      <c r="N691" s="2" t="s">
        <v>57</v>
      </c>
      <c r="O691" s="2"/>
      <c r="P691" s="10"/>
    </row>
    <row r="692" spans="1:16" ht="16.5" customHeight="1" x14ac:dyDescent="0.25">
      <c r="A692" s="2" t="s">
        <v>1639</v>
      </c>
      <c r="B692" s="8" t="s">
        <v>1640</v>
      </c>
      <c r="C692" s="8">
        <v>45599</v>
      </c>
      <c r="D692" s="8" t="s">
        <v>950</v>
      </c>
      <c r="E692" s="152" t="s">
        <v>102</v>
      </c>
      <c r="F692" s="152" t="s">
        <v>103</v>
      </c>
      <c r="G692" s="152">
        <v>1</v>
      </c>
      <c r="H692" s="152">
        <v>871</v>
      </c>
      <c r="I692" s="153">
        <v>0.40699999999999997</v>
      </c>
      <c r="J692" s="145"/>
      <c r="K692" s="153" t="s">
        <v>86</v>
      </c>
      <c r="L692" s="153" t="s">
        <v>86</v>
      </c>
      <c r="M692" s="153"/>
      <c r="N692" s="2" t="s">
        <v>57</v>
      </c>
      <c r="O692" s="2"/>
      <c r="P692" s="10"/>
    </row>
    <row r="693" spans="1:16" ht="16.5" customHeight="1" x14ac:dyDescent="0.25">
      <c r="A693" s="2" t="s">
        <v>1641</v>
      </c>
      <c r="B693" s="8" t="s">
        <v>1642</v>
      </c>
      <c r="C693" s="8">
        <v>45599</v>
      </c>
      <c r="D693" s="8" t="s">
        <v>950</v>
      </c>
      <c r="E693" s="152" t="s">
        <v>102</v>
      </c>
      <c r="F693" s="152" t="s">
        <v>103</v>
      </c>
      <c r="G693" s="152">
        <v>0</v>
      </c>
      <c r="H693" s="152">
        <v>1090</v>
      </c>
      <c r="I693" s="153">
        <v>0.40699999999999997</v>
      </c>
      <c r="J693" s="145"/>
      <c r="K693" s="153" t="s">
        <v>86</v>
      </c>
      <c r="L693" s="153" t="s">
        <v>86</v>
      </c>
      <c r="M693" s="153"/>
      <c r="N693" s="2" t="s">
        <v>57</v>
      </c>
      <c r="O693" s="2"/>
      <c r="P693" s="10"/>
    </row>
    <row r="694" spans="1:16" ht="16.5" customHeight="1" x14ac:dyDescent="0.25">
      <c r="A694" s="2" t="s">
        <v>1643</v>
      </c>
      <c r="B694" s="8" t="s">
        <v>1644</v>
      </c>
      <c r="C694" s="8" t="s">
        <v>782</v>
      </c>
      <c r="D694" s="8" t="s">
        <v>783</v>
      </c>
      <c r="E694" s="152" t="s">
        <v>102</v>
      </c>
      <c r="F694" s="152" t="s">
        <v>103</v>
      </c>
      <c r="G694" s="152">
        <v>2</v>
      </c>
      <c r="H694" s="152">
        <v>318</v>
      </c>
      <c r="I694" s="153">
        <v>9.5040000000000013</v>
      </c>
      <c r="J694" s="145"/>
      <c r="K694" s="153">
        <v>-0.46644458297941982</v>
      </c>
      <c r="L694" s="153">
        <v>-6.6107472196775996</v>
      </c>
      <c r="M694" s="153"/>
      <c r="N694" s="2" t="s">
        <v>57</v>
      </c>
      <c r="O694" s="2"/>
      <c r="P694" s="10"/>
    </row>
    <row r="695" spans="1:16" ht="16.5" customHeight="1" x14ac:dyDescent="0.25">
      <c r="A695" s="2" t="s">
        <v>1645</v>
      </c>
      <c r="B695" s="8" t="s">
        <v>1646</v>
      </c>
      <c r="C695" s="8" t="s">
        <v>86</v>
      </c>
      <c r="D695" s="8" t="s">
        <v>54</v>
      </c>
      <c r="E695" s="152" t="s">
        <v>102</v>
      </c>
      <c r="F695" s="152" t="s">
        <v>103</v>
      </c>
      <c r="G695" s="152">
        <v>30</v>
      </c>
      <c r="H695" s="152">
        <v>62</v>
      </c>
      <c r="I695" s="153">
        <v>24.661999999999999</v>
      </c>
      <c r="J695" s="145"/>
      <c r="K695" s="153">
        <v>-11.808888888888889</v>
      </c>
      <c r="L695" s="153">
        <v>-11.19988248321428</v>
      </c>
      <c r="M695" s="153"/>
      <c r="N695" s="2" t="s">
        <v>57</v>
      </c>
      <c r="O695" s="2"/>
      <c r="P695" s="10"/>
    </row>
    <row r="696" spans="1:16" ht="16.5" customHeight="1" x14ac:dyDescent="0.25">
      <c r="A696" s="2" t="s">
        <v>1647</v>
      </c>
      <c r="B696" s="8" t="s">
        <v>1648</v>
      </c>
      <c r="C696" s="8" t="s">
        <v>718</v>
      </c>
      <c r="D696" s="8" t="s">
        <v>175</v>
      </c>
      <c r="E696" s="152" t="s">
        <v>102</v>
      </c>
      <c r="F696" s="152" t="s">
        <v>103</v>
      </c>
      <c r="G696" s="152">
        <v>5</v>
      </c>
      <c r="H696" s="152">
        <v>203</v>
      </c>
      <c r="I696" s="153">
        <v>5.1479999999999997</v>
      </c>
      <c r="J696" s="145"/>
      <c r="K696" s="153">
        <v>-1.06</v>
      </c>
      <c r="L696" s="153" t="s">
        <v>86</v>
      </c>
      <c r="M696" s="153"/>
      <c r="N696" s="2" t="s">
        <v>57</v>
      </c>
      <c r="O696" s="2"/>
      <c r="P696" s="10"/>
    </row>
    <row r="697" spans="1:16" ht="16.5" customHeight="1" x14ac:dyDescent="0.25">
      <c r="A697" s="2" t="s">
        <v>1649</v>
      </c>
      <c r="B697" s="8" t="s">
        <v>1650</v>
      </c>
      <c r="C697" s="8">
        <v>45296</v>
      </c>
      <c r="D697" s="8" t="s">
        <v>1493</v>
      </c>
      <c r="E697" s="152" t="s">
        <v>102</v>
      </c>
      <c r="F697" s="152" t="s">
        <v>103</v>
      </c>
      <c r="G697" s="152">
        <v>0</v>
      </c>
      <c r="H697" s="152">
        <v>918</v>
      </c>
      <c r="I697" s="153">
        <v>40.677999999999997</v>
      </c>
      <c r="J697" s="145"/>
      <c r="K697" s="153" t="s">
        <v>86</v>
      </c>
      <c r="L697" s="153" t="s">
        <v>86</v>
      </c>
      <c r="M697" s="153"/>
      <c r="N697" s="2" t="s">
        <v>57</v>
      </c>
      <c r="O697" s="2"/>
      <c r="P697" s="2"/>
    </row>
    <row r="698" spans="1:16" ht="16.5" customHeight="1" x14ac:dyDescent="0.25">
      <c r="A698" s="2" t="s">
        <v>1651</v>
      </c>
      <c r="B698" s="8" t="s">
        <v>1652</v>
      </c>
      <c r="C698" s="8">
        <v>45635</v>
      </c>
      <c r="D698" s="8" t="s">
        <v>163</v>
      </c>
      <c r="E698" s="152" t="s">
        <v>102</v>
      </c>
      <c r="F698" s="152" t="s">
        <v>103</v>
      </c>
      <c r="G698" s="152">
        <v>2</v>
      </c>
      <c r="H698" s="152">
        <v>70</v>
      </c>
      <c r="I698" s="153">
        <v>90.2</v>
      </c>
      <c r="J698" s="145"/>
      <c r="K698" s="153">
        <v>-12.25520833333333</v>
      </c>
      <c r="L698" s="153">
        <v>-31.091272623774401</v>
      </c>
      <c r="M698" s="153"/>
      <c r="N698" s="2" t="s">
        <v>57</v>
      </c>
      <c r="O698" s="2"/>
      <c r="P698" s="10"/>
    </row>
    <row r="699" spans="1:16" ht="16.5" customHeight="1" x14ac:dyDescent="0.25">
      <c r="A699" s="2" t="s">
        <v>1653</v>
      </c>
      <c r="B699" s="8" t="s">
        <v>1654</v>
      </c>
      <c r="C699" s="8" t="s">
        <v>102</v>
      </c>
      <c r="D699" s="8" t="s">
        <v>163</v>
      </c>
      <c r="E699" s="152" t="s">
        <v>102</v>
      </c>
      <c r="F699" s="152" t="s">
        <v>103</v>
      </c>
      <c r="G699" s="152">
        <v>57</v>
      </c>
      <c r="H699" s="152">
        <v>7</v>
      </c>
      <c r="I699" s="153">
        <v>95.7</v>
      </c>
      <c r="J699" s="145"/>
      <c r="K699" s="153">
        <v>-6.1628125000000002</v>
      </c>
      <c r="L699" s="153" t="s">
        <v>86</v>
      </c>
      <c r="M699" s="153"/>
      <c r="N699" s="2" t="s">
        <v>57</v>
      </c>
      <c r="O699" s="2"/>
      <c r="P699" s="2" t="s">
        <v>51</v>
      </c>
    </row>
    <row r="700" spans="1:16" ht="16.5" customHeight="1" x14ac:dyDescent="0.25">
      <c r="A700" s="2" t="s">
        <v>1655</v>
      </c>
      <c r="B700" s="8" t="s">
        <v>1656</v>
      </c>
      <c r="C700" s="8" t="s">
        <v>102</v>
      </c>
      <c r="D700" s="8" t="s">
        <v>163</v>
      </c>
      <c r="E700" s="152" t="s">
        <v>102</v>
      </c>
      <c r="F700" s="152" t="s">
        <v>103</v>
      </c>
      <c r="G700" s="152">
        <v>20</v>
      </c>
      <c r="H700" s="152">
        <v>31</v>
      </c>
      <c r="I700" s="153">
        <v>118.8</v>
      </c>
      <c r="J700" s="145"/>
      <c r="K700" s="153">
        <v>-4.6633333333333331</v>
      </c>
      <c r="L700" s="153">
        <v>-55.7462847138884</v>
      </c>
      <c r="M700" s="153"/>
      <c r="N700" s="2" t="s">
        <v>57</v>
      </c>
      <c r="O700" s="2"/>
      <c r="P700" s="2" t="s">
        <v>51</v>
      </c>
    </row>
    <row r="701" spans="1:16" ht="16.5" customHeight="1" x14ac:dyDescent="0.25">
      <c r="A701" s="2" t="s">
        <v>1657</v>
      </c>
      <c r="B701" s="8" t="s">
        <v>1658</v>
      </c>
      <c r="C701" s="8" t="s">
        <v>102</v>
      </c>
      <c r="D701" s="8" t="s">
        <v>163</v>
      </c>
      <c r="E701" s="152" t="s">
        <v>102</v>
      </c>
      <c r="F701" s="152" t="s">
        <v>103</v>
      </c>
      <c r="G701" s="152">
        <v>15</v>
      </c>
      <c r="H701" s="152">
        <v>16</v>
      </c>
      <c r="I701" s="153">
        <v>124.3</v>
      </c>
      <c r="J701" s="145"/>
      <c r="K701" s="153">
        <v>-12.821249999999999</v>
      </c>
      <c r="L701" s="153">
        <v>-45.307257198407903</v>
      </c>
      <c r="M701" s="153">
        <v>-16.059999999999999</v>
      </c>
      <c r="N701" s="2" t="s">
        <v>57</v>
      </c>
      <c r="O701" s="2"/>
      <c r="P701" s="2" t="s">
        <v>51</v>
      </c>
    </row>
    <row r="702" spans="1:16" ht="16.5" customHeight="1" x14ac:dyDescent="0.25">
      <c r="A702" s="2" t="s">
        <v>1659</v>
      </c>
      <c r="B702" s="8" t="s">
        <v>1660</v>
      </c>
      <c r="C702" s="8" t="s">
        <v>102</v>
      </c>
      <c r="D702" s="8" t="s">
        <v>148</v>
      </c>
      <c r="E702" s="152" t="s">
        <v>102</v>
      </c>
      <c r="F702" s="152" t="s">
        <v>103</v>
      </c>
      <c r="G702" s="152">
        <v>1</v>
      </c>
      <c r="H702" s="152">
        <v>512</v>
      </c>
      <c r="I702" s="153">
        <v>19.096</v>
      </c>
      <c r="J702" s="145"/>
      <c r="K702" s="153" t="s">
        <v>86</v>
      </c>
      <c r="L702" s="153" t="s">
        <v>86</v>
      </c>
      <c r="M702" s="153"/>
      <c r="N702" s="2" t="s">
        <v>57</v>
      </c>
      <c r="O702" s="2"/>
      <c r="P702" s="10"/>
    </row>
    <row r="703" spans="1:16" ht="16.5" customHeight="1" x14ac:dyDescent="0.25">
      <c r="A703" s="2" t="s">
        <v>1661</v>
      </c>
      <c r="B703" s="8" t="s">
        <v>1662</v>
      </c>
      <c r="C703" s="8" t="s">
        <v>102</v>
      </c>
      <c r="D703" s="8" t="s">
        <v>148</v>
      </c>
      <c r="E703" s="152" t="s">
        <v>102</v>
      </c>
      <c r="F703" s="152" t="s">
        <v>103</v>
      </c>
      <c r="G703" s="152">
        <v>1</v>
      </c>
      <c r="H703" s="152">
        <v>638</v>
      </c>
      <c r="I703" s="153">
        <v>24.959</v>
      </c>
      <c r="J703" s="145"/>
      <c r="K703" s="153" t="s">
        <v>86</v>
      </c>
      <c r="L703" s="153" t="s">
        <v>86</v>
      </c>
      <c r="M703" s="153"/>
      <c r="N703" s="2" t="s">
        <v>57</v>
      </c>
      <c r="O703" s="2"/>
      <c r="P703" s="10"/>
    </row>
    <row r="704" spans="1:16" ht="16.5" customHeight="1" x14ac:dyDescent="0.25">
      <c r="A704" s="2" t="s">
        <v>1663</v>
      </c>
      <c r="B704" s="8" t="s">
        <v>1664</v>
      </c>
      <c r="C704" s="8" t="s">
        <v>102</v>
      </c>
      <c r="D704" s="8" t="s">
        <v>148</v>
      </c>
      <c r="E704" s="152" t="s">
        <v>102</v>
      </c>
      <c r="F704" s="152" t="s">
        <v>103</v>
      </c>
      <c r="G704" s="152">
        <v>1</v>
      </c>
      <c r="H704" s="152">
        <v>720</v>
      </c>
      <c r="I704" s="153">
        <v>24.992000000000001</v>
      </c>
      <c r="J704" s="145"/>
      <c r="K704" s="153" t="s">
        <v>86</v>
      </c>
      <c r="L704" s="153" t="s">
        <v>86</v>
      </c>
      <c r="M704" s="153"/>
      <c r="N704" s="2" t="s">
        <v>57</v>
      </c>
      <c r="O704" s="2"/>
      <c r="P704" s="10"/>
    </row>
    <row r="705" spans="1:16" ht="16.5" customHeight="1" x14ac:dyDescent="0.25">
      <c r="A705" s="2" t="s">
        <v>1665</v>
      </c>
      <c r="B705" s="8" t="s">
        <v>1666</v>
      </c>
      <c r="C705" s="8" t="s">
        <v>714</v>
      </c>
      <c r="D705" s="8" t="s">
        <v>278</v>
      </c>
      <c r="E705" s="152" t="s">
        <v>102</v>
      </c>
      <c r="F705" s="152" t="s">
        <v>103</v>
      </c>
      <c r="G705" s="152">
        <v>9</v>
      </c>
      <c r="H705" s="152">
        <v>96</v>
      </c>
      <c r="I705" s="153">
        <v>24.210999999999999</v>
      </c>
      <c r="J705" s="145"/>
      <c r="K705" s="153">
        <v>-7.9149999999999991</v>
      </c>
      <c r="L705" s="153" t="s">
        <v>86</v>
      </c>
      <c r="M705" s="153"/>
      <c r="N705" s="2" t="s">
        <v>57</v>
      </c>
      <c r="O705" s="2"/>
      <c r="P705" s="10"/>
    </row>
    <row r="706" spans="1:16" ht="16.5" customHeight="1" x14ac:dyDescent="0.25">
      <c r="A706" s="2" t="s">
        <v>1667</v>
      </c>
      <c r="B706" s="8" t="s">
        <v>1668</v>
      </c>
      <c r="C706" s="8" t="s">
        <v>714</v>
      </c>
      <c r="D706" s="8" t="s">
        <v>278</v>
      </c>
      <c r="E706" s="152" t="s">
        <v>102</v>
      </c>
      <c r="F706" s="152" t="s">
        <v>103</v>
      </c>
      <c r="G706" s="152">
        <v>5</v>
      </c>
      <c r="H706" s="152">
        <v>81</v>
      </c>
      <c r="I706" s="153">
        <v>108.251</v>
      </c>
      <c r="J706" s="145"/>
      <c r="K706" s="153" t="s">
        <v>86</v>
      </c>
      <c r="L706" s="153">
        <v>-26.050549095837528</v>
      </c>
      <c r="M706" s="153"/>
      <c r="N706" s="2" t="s">
        <v>57</v>
      </c>
      <c r="O706" s="2"/>
      <c r="P706" s="2" t="s">
        <v>51</v>
      </c>
    </row>
    <row r="707" spans="1:16" ht="16.5" customHeight="1" x14ac:dyDescent="0.25">
      <c r="A707" s="2" t="s">
        <v>1669</v>
      </c>
      <c r="B707" s="8" t="s">
        <v>1670</v>
      </c>
      <c r="C707" s="8" t="s">
        <v>718</v>
      </c>
      <c r="D707" s="8" t="s">
        <v>278</v>
      </c>
      <c r="E707" s="152" t="s">
        <v>102</v>
      </c>
      <c r="F707" s="152" t="s">
        <v>103</v>
      </c>
      <c r="G707" s="152">
        <v>3</v>
      </c>
      <c r="H707" s="152">
        <v>627</v>
      </c>
      <c r="I707" s="153">
        <v>8.0960000000000019</v>
      </c>
      <c r="J707" s="145"/>
      <c r="K707" s="153" t="s">
        <v>86</v>
      </c>
      <c r="L707" s="153" t="s">
        <v>86</v>
      </c>
      <c r="M707" s="153"/>
      <c r="N707" s="2" t="s">
        <v>57</v>
      </c>
      <c r="O707" s="2"/>
      <c r="P707" s="10"/>
    </row>
    <row r="708" spans="1:16" ht="16.5" customHeight="1" x14ac:dyDescent="0.25">
      <c r="A708" s="2" t="s">
        <v>1671</v>
      </c>
      <c r="B708" s="8" t="s">
        <v>1672</v>
      </c>
      <c r="C708" s="8">
        <v>45484</v>
      </c>
      <c r="D708" s="8" t="s">
        <v>1673</v>
      </c>
      <c r="E708" s="152" t="s">
        <v>102</v>
      </c>
      <c r="F708" s="152" t="s">
        <v>103</v>
      </c>
      <c r="G708" s="152">
        <v>3</v>
      </c>
      <c r="H708" s="152"/>
      <c r="I708" s="153">
        <v>7.2160000000000002</v>
      </c>
      <c r="J708" s="145"/>
      <c r="K708" s="153" t="s">
        <v>86</v>
      </c>
      <c r="L708" s="153" t="s">
        <v>86</v>
      </c>
      <c r="M708" s="153"/>
      <c r="N708" s="2" t="s">
        <v>57</v>
      </c>
      <c r="O708" s="2"/>
      <c r="P708" s="2"/>
    </row>
    <row r="709" spans="1:16" ht="16.5" customHeight="1" x14ac:dyDescent="0.25">
      <c r="A709" s="2" t="s">
        <v>1674</v>
      </c>
      <c r="B709" s="8" t="s">
        <v>1675</v>
      </c>
      <c r="C709" s="8" t="s">
        <v>714</v>
      </c>
      <c r="D709" s="8" t="s">
        <v>278</v>
      </c>
      <c r="E709" s="152" t="s">
        <v>102</v>
      </c>
      <c r="F709" s="152" t="s">
        <v>103</v>
      </c>
      <c r="G709" s="152">
        <v>2</v>
      </c>
      <c r="H709" s="152">
        <v>355</v>
      </c>
      <c r="I709" s="153">
        <v>16.027000000000001</v>
      </c>
      <c r="J709" s="145"/>
      <c r="K709" s="153" t="s">
        <v>86</v>
      </c>
      <c r="L709" s="153" t="s">
        <v>86</v>
      </c>
      <c r="M709" s="153"/>
      <c r="N709" s="2" t="s">
        <v>57</v>
      </c>
      <c r="O709" s="2"/>
      <c r="P709" s="10"/>
    </row>
    <row r="710" spans="1:16" ht="16.5" customHeight="1" x14ac:dyDescent="0.25">
      <c r="A710" s="2" t="s">
        <v>1676</v>
      </c>
      <c r="B710" s="8" t="s">
        <v>1677</v>
      </c>
      <c r="C710" s="8" t="s">
        <v>102</v>
      </c>
      <c r="D710" s="8" t="s">
        <v>163</v>
      </c>
      <c r="E710" s="152" t="s">
        <v>102</v>
      </c>
      <c r="F710" s="152" t="s">
        <v>103</v>
      </c>
      <c r="G710" s="152">
        <v>99</v>
      </c>
      <c r="H710" s="152">
        <v>4</v>
      </c>
      <c r="I710" s="153">
        <v>106.7</v>
      </c>
      <c r="J710" s="145"/>
      <c r="K710" s="153">
        <v>-7.4041666666666659</v>
      </c>
      <c r="L710" s="153">
        <v>-20.54</v>
      </c>
      <c r="M710" s="153">
        <v>-7.7450000000000001</v>
      </c>
      <c r="N710" s="2" t="s">
        <v>57</v>
      </c>
      <c r="O710" s="2"/>
      <c r="P710" s="2" t="s">
        <v>51</v>
      </c>
    </row>
    <row r="711" spans="1:16" ht="16.5" customHeight="1" x14ac:dyDescent="0.25">
      <c r="A711" s="2" t="s">
        <v>1678</v>
      </c>
      <c r="B711" s="8" t="s">
        <v>1679</v>
      </c>
      <c r="C711" s="8">
        <v>44374</v>
      </c>
      <c r="D711" s="8" t="s">
        <v>1513</v>
      </c>
      <c r="E711" s="152" t="s">
        <v>102</v>
      </c>
      <c r="F711" s="152" t="s">
        <v>103</v>
      </c>
      <c r="G711" s="152">
        <v>0</v>
      </c>
      <c r="H711" s="152">
        <v>1054</v>
      </c>
      <c r="I711" s="153">
        <v>9.713000000000001</v>
      </c>
      <c r="J711" s="145"/>
      <c r="K711" s="153" t="s">
        <v>86</v>
      </c>
      <c r="L711" s="153" t="s">
        <v>86</v>
      </c>
      <c r="M711" s="153"/>
      <c r="N711" s="2" t="s">
        <v>57</v>
      </c>
      <c r="O711" s="2"/>
      <c r="P711" s="10"/>
    </row>
    <row r="712" spans="1:16" ht="16.5" customHeight="1" x14ac:dyDescent="0.25">
      <c r="A712" s="2" t="s">
        <v>1680</v>
      </c>
      <c r="B712" s="8" t="s">
        <v>1681</v>
      </c>
      <c r="C712" s="8">
        <v>44374</v>
      </c>
      <c r="D712" s="8" t="s">
        <v>1513</v>
      </c>
      <c r="E712" s="152" t="s">
        <v>102</v>
      </c>
      <c r="F712" s="152" t="s">
        <v>103</v>
      </c>
      <c r="G712" s="152">
        <v>0</v>
      </c>
      <c r="H712" s="152">
        <v>776</v>
      </c>
      <c r="I712" s="153">
        <v>14.795</v>
      </c>
      <c r="J712" s="145"/>
      <c r="K712" s="153" t="s">
        <v>86</v>
      </c>
      <c r="L712" s="153" t="s">
        <v>86</v>
      </c>
      <c r="M712" s="153"/>
      <c r="N712" s="2" t="s">
        <v>57</v>
      </c>
      <c r="O712" s="2"/>
      <c r="P712" s="2"/>
    </row>
    <row r="713" spans="1:16" ht="16.5" customHeight="1" x14ac:dyDescent="0.25">
      <c r="A713" s="2" t="s">
        <v>1682</v>
      </c>
      <c r="B713" s="8" t="s">
        <v>1683</v>
      </c>
      <c r="C713" s="8" t="s">
        <v>718</v>
      </c>
      <c r="D713" s="8" t="s">
        <v>278</v>
      </c>
      <c r="E713" s="152" t="s">
        <v>102</v>
      </c>
      <c r="F713" s="152" t="s">
        <v>103</v>
      </c>
      <c r="G713" s="152">
        <v>1</v>
      </c>
      <c r="H713" s="152">
        <v>492</v>
      </c>
      <c r="I713" s="153">
        <v>23.143999999999998</v>
      </c>
      <c r="J713" s="145"/>
      <c r="K713" s="153" t="s">
        <v>86</v>
      </c>
      <c r="L713" s="153" t="s">
        <v>86</v>
      </c>
      <c r="M713" s="153"/>
      <c r="N713" s="2" t="s">
        <v>57</v>
      </c>
      <c r="O713" s="2"/>
      <c r="P713" s="10"/>
    </row>
    <row r="714" spans="1:16" ht="16.5" customHeight="1" x14ac:dyDescent="0.25">
      <c r="A714" s="2" t="s">
        <v>1684</v>
      </c>
      <c r="B714" s="8" t="s">
        <v>1685</v>
      </c>
      <c r="C714" s="8" t="s">
        <v>1686</v>
      </c>
      <c r="D714" s="8" t="s">
        <v>278</v>
      </c>
      <c r="E714" s="152" t="s">
        <v>102</v>
      </c>
      <c r="F714" s="152" t="s">
        <v>103</v>
      </c>
      <c r="G714" s="152">
        <v>0</v>
      </c>
      <c r="H714" s="152"/>
      <c r="I714" s="153">
        <v>44.121000000000002</v>
      </c>
      <c r="J714" s="145"/>
      <c r="K714" s="153" t="s">
        <v>86</v>
      </c>
      <c r="L714" s="153" t="s">
        <v>86</v>
      </c>
      <c r="M714" s="153"/>
      <c r="N714" s="2" t="s">
        <v>57</v>
      </c>
      <c r="O714" s="2"/>
      <c r="P714" s="2"/>
    </row>
    <row r="715" spans="1:16" ht="16.5" customHeight="1" x14ac:dyDescent="0.25">
      <c r="A715" s="2" t="s">
        <v>1687</v>
      </c>
      <c r="B715" s="8" t="s">
        <v>1688</v>
      </c>
      <c r="C715" s="8" t="s">
        <v>1689</v>
      </c>
      <c r="D715" s="8" t="s">
        <v>278</v>
      </c>
      <c r="E715" s="152" t="s">
        <v>102</v>
      </c>
      <c r="F715" s="152" t="s">
        <v>103</v>
      </c>
      <c r="G715" s="152">
        <v>5</v>
      </c>
      <c r="H715" s="152">
        <v>80</v>
      </c>
      <c r="I715" s="153">
        <v>127.842</v>
      </c>
      <c r="J715" s="145"/>
      <c r="K715" s="153">
        <v>-11.631666666666669</v>
      </c>
      <c r="L715" s="153" t="s">
        <v>86</v>
      </c>
      <c r="M715" s="153"/>
      <c r="N715" s="2" t="s">
        <v>57</v>
      </c>
      <c r="O715" s="2" t="s">
        <v>600</v>
      </c>
      <c r="P715" s="10"/>
    </row>
    <row r="716" spans="1:16" ht="16.5" customHeight="1" x14ac:dyDescent="0.25">
      <c r="A716" s="2" t="s">
        <v>1690</v>
      </c>
      <c r="B716" s="8" t="s">
        <v>1691</v>
      </c>
      <c r="C716" s="8" t="s">
        <v>718</v>
      </c>
      <c r="D716" s="8" t="s">
        <v>278</v>
      </c>
      <c r="E716" s="152" t="s">
        <v>102</v>
      </c>
      <c r="F716" s="152" t="s">
        <v>103</v>
      </c>
      <c r="G716" s="152">
        <v>0</v>
      </c>
      <c r="H716" s="152"/>
      <c r="I716" s="153">
        <v>10.186</v>
      </c>
      <c r="J716" s="145"/>
      <c r="K716" s="153" t="s">
        <v>86</v>
      </c>
      <c r="L716" s="153" t="s">
        <v>86</v>
      </c>
      <c r="M716" s="153"/>
      <c r="N716" s="2" t="s">
        <v>57</v>
      </c>
      <c r="O716" s="2"/>
      <c r="P716" s="10"/>
    </row>
    <row r="717" spans="1:16" ht="16.5" customHeight="1" x14ac:dyDescent="0.25">
      <c r="A717" s="2" t="s">
        <v>1692</v>
      </c>
      <c r="B717" s="8" t="s">
        <v>1693</v>
      </c>
      <c r="C717" s="8" t="s">
        <v>718</v>
      </c>
      <c r="D717" s="8" t="s">
        <v>278</v>
      </c>
      <c r="E717" s="152" t="s">
        <v>102</v>
      </c>
      <c r="F717" s="152" t="s">
        <v>103</v>
      </c>
      <c r="G717" s="152">
        <v>0</v>
      </c>
      <c r="H717" s="152">
        <v>1003</v>
      </c>
      <c r="I717" s="153">
        <v>10.098000000000001</v>
      </c>
      <c r="J717" s="145"/>
      <c r="K717" s="153" t="s">
        <v>86</v>
      </c>
      <c r="L717" s="153" t="s">
        <v>86</v>
      </c>
      <c r="M717" s="153"/>
      <c r="N717" s="2" t="s">
        <v>57</v>
      </c>
      <c r="O717" s="2"/>
      <c r="P717" s="10"/>
    </row>
    <row r="718" spans="1:16" ht="16.5" customHeight="1" x14ac:dyDescent="0.25">
      <c r="A718" s="2" t="s">
        <v>1694</v>
      </c>
      <c r="B718" s="8" t="s">
        <v>1695</v>
      </c>
      <c r="C718" s="8" t="s">
        <v>718</v>
      </c>
      <c r="D718" s="8" t="s">
        <v>278</v>
      </c>
      <c r="E718" s="152" t="s">
        <v>102</v>
      </c>
      <c r="F718" s="152" t="s">
        <v>103</v>
      </c>
      <c r="G718" s="152">
        <v>0</v>
      </c>
      <c r="H718" s="152"/>
      <c r="I718" s="153">
        <v>5.8520000000000012</v>
      </c>
      <c r="J718" s="145"/>
      <c r="K718" s="153" t="s">
        <v>86</v>
      </c>
      <c r="L718" s="153" t="s">
        <v>86</v>
      </c>
      <c r="M718" s="153"/>
      <c r="N718" s="2" t="s">
        <v>57</v>
      </c>
      <c r="O718" s="2"/>
      <c r="P718" s="10"/>
    </row>
    <row r="719" spans="1:16" ht="16.5" customHeight="1" x14ac:dyDescent="0.25">
      <c r="A719" s="2" t="s">
        <v>1696</v>
      </c>
      <c r="B719" s="8" t="s">
        <v>1697</v>
      </c>
      <c r="C719" s="8" t="s">
        <v>714</v>
      </c>
      <c r="D719" s="8" t="s">
        <v>278</v>
      </c>
      <c r="E719" s="152" t="s">
        <v>102</v>
      </c>
      <c r="F719" s="152" t="s">
        <v>103</v>
      </c>
      <c r="G719" s="152">
        <v>4</v>
      </c>
      <c r="H719" s="152">
        <v>315</v>
      </c>
      <c r="I719" s="153">
        <v>16.774999999999999</v>
      </c>
      <c r="J719" s="145"/>
      <c r="K719" s="153" t="s">
        <v>86</v>
      </c>
      <c r="L719" s="153" t="s">
        <v>86</v>
      </c>
      <c r="M719" s="153"/>
      <c r="N719" s="2" t="s">
        <v>57</v>
      </c>
      <c r="O719" s="2"/>
      <c r="P719" s="10"/>
    </row>
    <row r="720" spans="1:16" ht="16.5" customHeight="1" x14ac:dyDescent="0.25">
      <c r="A720" s="2" t="s">
        <v>1698</v>
      </c>
      <c r="B720" s="8" t="s">
        <v>1699</v>
      </c>
      <c r="C720" s="8" t="s">
        <v>714</v>
      </c>
      <c r="D720" s="8" t="s">
        <v>278</v>
      </c>
      <c r="E720" s="152" t="s">
        <v>102</v>
      </c>
      <c r="F720" s="152" t="s">
        <v>103</v>
      </c>
      <c r="G720" s="152">
        <v>4</v>
      </c>
      <c r="H720" s="152">
        <v>281</v>
      </c>
      <c r="I720" s="153">
        <v>24.035</v>
      </c>
      <c r="J720" s="145"/>
      <c r="K720" s="153" t="s">
        <v>86</v>
      </c>
      <c r="L720" s="153" t="s">
        <v>86</v>
      </c>
      <c r="M720" s="153"/>
      <c r="N720" s="2" t="s">
        <v>57</v>
      </c>
      <c r="O720" s="2"/>
      <c r="P720" s="10"/>
    </row>
    <row r="721" spans="1:16" ht="16.5" customHeight="1" x14ac:dyDescent="0.25">
      <c r="A721" s="2" t="s">
        <v>1700</v>
      </c>
      <c r="B721" s="8" t="s">
        <v>1701</v>
      </c>
      <c r="C721" s="8" t="s">
        <v>865</v>
      </c>
      <c r="D721" s="8" t="s">
        <v>278</v>
      </c>
      <c r="E721" s="152" t="s">
        <v>102</v>
      </c>
      <c r="F721" s="152" t="s">
        <v>103</v>
      </c>
      <c r="G721" s="152">
        <v>0</v>
      </c>
      <c r="H721" s="152">
        <v>536</v>
      </c>
      <c r="I721" s="153">
        <v>88.946000000000012</v>
      </c>
      <c r="J721" s="145"/>
      <c r="K721" s="153" t="s">
        <v>86</v>
      </c>
      <c r="L721" s="153">
        <v>-22.168354242542009</v>
      </c>
      <c r="M721" s="153"/>
      <c r="N721" s="2" t="s">
        <v>57</v>
      </c>
      <c r="O721" s="2"/>
      <c r="P721" s="10"/>
    </row>
    <row r="722" spans="1:16" ht="16.5" customHeight="1" x14ac:dyDescent="0.25">
      <c r="A722" s="2" t="s">
        <v>1702</v>
      </c>
      <c r="B722" s="8" t="s">
        <v>1703</v>
      </c>
      <c r="C722" s="8" t="s">
        <v>714</v>
      </c>
      <c r="D722" s="8" t="s">
        <v>278</v>
      </c>
      <c r="E722" s="152" t="s">
        <v>102</v>
      </c>
      <c r="F722" s="152" t="s">
        <v>103</v>
      </c>
      <c r="G722" s="152">
        <v>2</v>
      </c>
      <c r="H722" s="152">
        <v>221</v>
      </c>
      <c r="I722" s="153">
        <v>79.937000000000012</v>
      </c>
      <c r="J722" s="145"/>
      <c r="K722" s="153" t="s">
        <v>86</v>
      </c>
      <c r="L722" s="153" t="s">
        <v>86</v>
      </c>
      <c r="M722" s="153"/>
      <c r="N722" s="2" t="s">
        <v>57</v>
      </c>
      <c r="O722" s="2"/>
      <c r="P722" s="10"/>
    </row>
    <row r="723" spans="1:16" ht="16.5" customHeight="1" x14ac:dyDescent="0.25">
      <c r="A723" s="2" t="s">
        <v>1704</v>
      </c>
      <c r="B723" s="8" t="s">
        <v>1705</v>
      </c>
      <c r="C723" s="8" t="s">
        <v>714</v>
      </c>
      <c r="D723" s="8" t="s">
        <v>278</v>
      </c>
      <c r="E723" s="152" t="s">
        <v>102</v>
      </c>
      <c r="F723" s="152" t="s">
        <v>103</v>
      </c>
      <c r="G723" s="152">
        <v>1</v>
      </c>
      <c r="H723" s="152">
        <v>499</v>
      </c>
      <c r="I723" s="153">
        <v>97.845000000000013</v>
      </c>
      <c r="J723" s="145"/>
      <c r="K723" s="153" t="s">
        <v>86</v>
      </c>
      <c r="L723" s="153">
        <v>-27.582994432664719</v>
      </c>
      <c r="M723" s="153"/>
      <c r="N723" s="2" t="s">
        <v>57</v>
      </c>
      <c r="O723" s="2"/>
      <c r="P723" s="10"/>
    </row>
    <row r="724" spans="1:16" ht="16.5" customHeight="1" x14ac:dyDescent="0.25">
      <c r="A724" s="2" t="s">
        <v>1706</v>
      </c>
      <c r="B724" s="8" t="s">
        <v>1707</v>
      </c>
      <c r="C724" s="8" t="s">
        <v>714</v>
      </c>
      <c r="D724" s="8" t="s">
        <v>278</v>
      </c>
      <c r="E724" s="152" t="s">
        <v>102</v>
      </c>
      <c r="F724" s="152" t="s">
        <v>103</v>
      </c>
      <c r="G724" s="152">
        <v>1</v>
      </c>
      <c r="H724" s="152">
        <v>349</v>
      </c>
      <c r="I724" s="153">
        <v>28.126999999999999</v>
      </c>
      <c r="J724" s="145"/>
      <c r="K724" s="153" t="s">
        <v>86</v>
      </c>
      <c r="L724" s="153" t="s">
        <v>86</v>
      </c>
      <c r="M724" s="153"/>
      <c r="N724" s="2" t="s">
        <v>57</v>
      </c>
      <c r="O724" s="2"/>
      <c r="P724" s="10"/>
    </row>
    <row r="725" spans="1:16" ht="16.5" customHeight="1" x14ac:dyDescent="0.25">
      <c r="A725" s="2" t="s">
        <v>1708</v>
      </c>
      <c r="B725" s="8" t="s">
        <v>1709</v>
      </c>
      <c r="C725" s="8" t="s">
        <v>865</v>
      </c>
      <c r="D725" s="8" t="s">
        <v>278</v>
      </c>
      <c r="E725" s="152" t="s">
        <v>102</v>
      </c>
      <c r="F725" s="152" t="s">
        <v>103</v>
      </c>
      <c r="G725" s="152">
        <v>1</v>
      </c>
      <c r="H725" s="152">
        <v>590</v>
      </c>
      <c r="I725" s="153">
        <v>16.555</v>
      </c>
      <c r="J725" s="145"/>
      <c r="K725" s="153" t="s">
        <v>86</v>
      </c>
      <c r="L725" s="153">
        <v>-7.865531098821644</v>
      </c>
      <c r="M725" s="153"/>
      <c r="N725" s="2" t="s">
        <v>57</v>
      </c>
      <c r="O725" s="2"/>
      <c r="P725" s="10"/>
    </row>
    <row r="726" spans="1:16" ht="16.5" customHeight="1" x14ac:dyDescent="0.25">
      <c r="A726" s="2" t="s">
        <v>1710</v>
      </c>
      <c r="B726" s="8" t="s">
        <v>1711</v>
      </c>
      <c r="C726" s="8" t="s">
        <v>823</v>
      </c>
      <c r="D726" s="8" t="s">
        <v>296</v>
      </c>
      <c r="E726" s="152" t="s">
        <v>102</v>
      </c>
      <c r="F726" s="152" t="s">
        <v>103</v>
      </c>
      <c r="G726" s="152">
        <v>3</v>
      </c>
      <c r="H726" s="152">
        <v>606</v>
      </c>
      <c r="I726" s="153">
        <v>11.297000000000001</v>
      </c>
      <c r="J726" s="145"/>
      <c r="K726" s="153" t="s">
        <v>86</v>
      </c>
      <c r="L726" s="153" t="s">
        <v>86</v>
      </c>
      <c r="M726" s="153"/>
      <c r="N726" s="2" t="s">
        <v>57</v>
      </c>
      <c r="O726" s="2"/>
      <c r="P726" s="10"/>
    </row>
    <row r="727" spans="1:16" ht="16.5" customHeight="1" x14ac:dyDescent="0.25">
      <c r="A727" s="2" t="s">
        <v>1712</v>
      </c>
      <c r="B727" s="8" t="s">
        <v>1713</v>
      </c>
      <c r="C727" s="8" t="s">
        <v>823</v>
      </c>
      <c r="D727" s="8" t="s">
        <v>296</v>
      </c>
      <c r="E727" s="152" t="s">
        <v>102</v>
      </c>
      <c r="F727" s="152" t="s">
        <v>103</v>
      </c>
      <c r="G727" s="152">
        <v>1</v>
      </c>
      <c r="H727" s="152">
        <v>691</v>
      </c>
      <c r="I727" s="153">
        <v>5.1920000000000002</v>
      </c>
      <c r="J727" s="145"/>
      <c r="K727" s="153" t="s">
        <v>86</v>
      </c>
      <c r="L727" s="153" t="s">
        <v>86</v>
      </c>
      <c r="M727" s="153"/>
      <c r="N727" s="2" t="s">
        <v>57</v>
      </c>
      <c r="O727" s="2"/>
      <c r="P727" s="10"/>
    </row>
    <row r="728" spans="1:16" ht="16.5" customHeight="1" x14ac:dyDescent="0.25">
      <c r="A728" s="2" t="s">
        <v>1714</v>
      </c>
      <c r="B728" s="8" t="s">
        <v>1715</v>
      </c>
      <c r="C728" s="8" t="s">
        <v>823</v>
      </c>
      <c r="D728" s="8" t="s">
        <v>296</v>
      </c>
      <c r="E728" s="152" t="s">
        <v>102</v>
      </c>
      <c r="F728" s="152" t="s">
        <v>103</v>
      </c>
      <c r="G728" s="152">
        <v>0</v>
      </c>
      <c r="H728" s="152">
        <v>1029</v>
      </c>
      <c r="I728" s="153">
        <v>12.826000000000001</v>
      </c>
      <c r="J728" s="145"/>
      <c r="K728" s="153" t="s">
        <v>86</v>
      </c>
      <c r="L728" s="153" t="s">
        <v>86</v>
      </c>
      <c r="M728" s="153"/>
      <c r="N728" s="2" t="s">
        <v>57</v>
      </c>
      <c r="O728" s="2"/>
      <c r="P728" s="10"/>
    </row>
    <row r="729" spans="1:16" ht="16.5" customHeight="1" x14ac:dyDescent="0.25">
      <c r="A729" s="2" t="s">
        <v>1716</v>
      </c>
      <c r="B729" s="8" t="s">
        <v>1717</v>
      </c>
      <c r="C729" s="8" t="s">
        <v>823</v>
      </c>
      <c r="D729" s="8" t="s">
        <v>296</v>
      </c>
      <c r="E729" s="152" t="s">
        <v>102</v>
      </c>
      <c r="F729" s="152" t="s">
        <v>103</v>
      </c>
      <c r="G729" s="152">
        <v>1</v>
      </c>
      <c r="H729" s="152">
        <v>733</v>
      </c>
      <c r="I729" s="153">
        <v>9.1740000000000013</v>
      </c>
      <c r="J729" s="145"/>
      <c r="K729" s="153" t="s">
        <v>86</v>
      </c>
      <c r="L729" s="153" t="s">
        <v>86</v>
      </c>
      <c r="M729" s="153"/>
      <c r="N729" s="2" t="s">
        <v>57</v>
      </c>
      <c r="O729" s="2"/>
      <c r="P729" s="10"/>
    </row>
    <row r="730" spans="1:16" ht="16.5" customHeight="1" x14ac:dyDescent="0.25">
      <c r="A730" s="2" t="s">
        <v>1718</v>
      </c>
      <c r="B730" s="8" t="s">
        <v>1719</v>
      </c>
      <c r="C730" s="8" t="s">
        <v>823</v>
      </c>
      <c r="D730" s="8" t="s">
        <v>296</v>
      </c>
      <c r="E730" s="152" t="s">
        <v>102</v>
      </c>
      <c r="F730" s="152" t="s">
        <v>103</v>
      </c>
      <c r="G730" s="152">
        <v>1</v>
      </c>
      <c r="H730" s="152">
        <v>652</v>
      </c>
      <c r="I730" s="153">
        <v>17.952000000000002</v>
      </c>
      <c r="J730" s="145"/>
      <c r="K730" s="153" t="s">
        <v>86</v>
      </c>
      <c r="L730" s="153" t="s">
        <v>86</v>
      </c>
      <c r="M730" s="153"/>
      <c r="N730" s="2" t="s">
        <v>57</v>
      </c>
      <c r="O730" s="2"/>
      <c r="P730" s="10"/>
    </row>
    <row r="731" spans="1:16" ht="16.5" customHeight="1" x14ac:dyDescent="0.25">
      <c r="A731" s="2" t="s">
        <v>1720</v>
      </c>
      <c r="B731" s="8" t="s">
        <v>1721</v>
      </c>
      <c r="C731" s="8"/>
      <c r="D731" s="8" t="s">
        <v>296</v>
      </c>
      <c r="E731" s="152" t="s">
        <v>102</v>
      </c>
      <c r="F731" s="152" t="s">
        <v>103</v>
      </c>
      <c r="G731" s="152">
        <v>1</v>
      </c>
      <c r="H731" s="152">
        <v>939</v>
      </c>
      <c r="I731" s="153">
        <v>29.92</v>
      </c>
      <c r="J731" s="145"/>
      <c r="K731" s="153" t="s">
        <v>86</v>
      </c>
      <c r="L731" s="153" t="s">
        <v>86</v>
      </c>
      <c r="M731" s="153"/>
      <c r="N731" s="2" t="s">
        <v>57</v>
      </c>
      <c r="O731" s="2"/>
      <c r="P731" s="2"/>
    </row>
    <row r="732" spans="1:16" ht="16.5" customHeight="1" x14ac:dyDescent="0.25">
      <c r="A732" s="2" t="s">
        <v>1722</v>
      </c>
      <c r="B732" s="8" t="s">
        <v>1723</v>
      </c>
      <c r="C732" s="8" t="s">
        <v>1724</v>
      </c>
      <c r="D732" s="8" t="s">
        <v>950</v>
      </c>
      <c r="E732" s="152" t="s">
        <v>102</v>
      </c>
      <c r="F732" s="152" t="s">
        <v>103</v>
      </c>
      <c r="G732" s="152">
        <v>0</v>
      </c>
      <c r="H732" s="152">
        <v>1022</v>
      </c>
      <c r="I732" s="153">
        <v>2.398000000000001</v>
      </c>
      <c r="J732" s="145"/>
      <c r="K732" s="153" t="s">
        <v>86</v>
      </c>
      <c r="L732" s="153" t="s">
        <v>86</v>
      </c>
      <c r="M732" s="153"/>
      <c r="N732" s="2" t="s">
        <v>57</v>
      </c>
      <c r="O732" s="2"/>
      <c r="P732" s="2"/>
    </row>
    <row r="733" spans="1:16" ht="16.5" customHeight="1" x14ac:dyDescent="0.25">
      <c r="A733" s="2" t="s">
        <v>1725</v>
      </c>
      <c r="B733" s="8" t="s">
        <v>1726</v>
      </c>
      <c r="C733" s="8" t="s">
        <v>1724</v>
      </c>
      <c r="D733" s="8" t="s">
        <v>950</v>
      </c>
      <c r="E733" s="152" t="s">
        <v>102</v>
      </c>
      <c r="F733" s="152" t="s">
        <v>103</v>
      </c>
      <c r="G733" s="152">
        <v>1</v>
      </c>
      <c r="H733" s="152">
        <v>904</v>
      </c>
      <c r="I733" s="153">
        <v>5.1920000000000002</v>
      </c>
      <c r="J733" s="145"/>
      <c r="K733" s="153" t="s">
        <v>86</v>
      </c>
      <c r="L733" s="153" t="s">
        <v>86</v>
      </c>
      <c r="M733" s="153"/>
      <c r="N733" s="2" t="s">
        <v>57</v>
      </c>
      <c r="O733" s="2"/>
      <c r="P733" s="10"/>
    </row>
    <row r="734" spans="1:16" ht="16.5" customHeight="1" x14ac:dyDescent="0.25">
      <c r="A734" s="2" t="s">
        <v>1727</v>
      </c>
      <c r="B734" s="8" t="s">
        <v>1728</v>
      </c>
      <c r="C734" s="8" t="s">
        <v>1724</v>
      </c>
      <c r="D734" s="8" t="s">
        <v>950</v>
      </c>
      <c r="E734" s="152" t="s">
        <v>102</v>
      </c>
      <c r="F734" s="152" t="s">
        <v>103</v>
      </c>
      <c r="G734" s="152">
        <v>0</v>
      </c>
      <c r="H734" s="152"/>
      <c r="I734" s="153">
        <v>3.839</v>
      </c>
      <c r="J734" s="145"/>
      <c r="K734" s="153" t="s">
        <v>86</v>
      </c>
      <c r="L734" s="153" t="s">
        <v>86</v>
      </c>
      <c r="M734" s="153"/>
      <c r="N734" s="2" t="s">
        <v>57</v>
      </c>
      <c r="O734" s="2"/>
      <c r="P734" s="2"/>
    </row>
    <row r="735" spans="1:16" ht="16.5" customHeight="1" x14ac:dyDescent="0.25">
      <c r="A735" s="2" t="s">
        <v>1729</v>
      </c>
      <c r="B735" s="8" t="s">
        <v>1730</v>
      </c>
      <c r="C735" s="8" t="s">
        <v>1724</v>
      </c>
      <c r="D735" s="8" t="s">
        <v>950</v>
      </c>
      <c r="E735" s="152" t="s">
        <v>102</v>
      </c>
      <c r="F735" s="152" t="s">
        <v>103</v>
      </c>
      <c r="G735" s="152">
        <v>1</v>
      </c>
      <c r="H735" s="152">
        <v>674</v>
      </c>
      <c r="I735" s="153">
        <v>6.9409999999999998</v>
      </c>
      <c r="J735" s="145"/>
      <c r="K735" s="153" t="s">
        <v>86</v>
      </c>
      <c r="L735" s="153" t="s">
        <v>86</v>
      </c>
      <c r="M735" s="153"/>
      <c r="N735" s="2" t="s">
        <v>57</v>
      </c>
      <c r="O735" s="2"/>
      <c r="P735" s="2"/>
    </row>
    <row r="736" spans="1:16" ht="16.5" customHeight="1" x14ac:dyDescent="0.25">
      <c r="A736" s="2" t="s">
        <v>1731</v>
      </c>
      <c r="B736" s="8" t="s">
        <v>1732</v>
      </c>
      <c r="C736" s="8" t="s">
        <v>1724</v>
      </c>
      <c r="D736" s="8" t="s">
        <v>950</v>
      </c>
      <c r="E736" s="152" t="s">
        <v>102</v>
      </c>
      <c r="F736" s="152" t="s">
        <v>103</v>
      </c>
      <c r="G736" s="152">
        <v>0</v>
      </c>
      <c r="H736" s="152"/>
      <c r="I736" s="153">
        <v>7.3479999999999999</v>
      </c>
      <c r="J736" s="145"/>
      <c r="K736" s="153" t="s">
        <v>86</v>
      </c>
      <c r="L736" s="153" t="s">
        <v>86</v>
      </c>
      <c r="M736" s="153"/>
      <c r="N736" s="2" t="s">
        <v>57</v>
      </c>
      <c r="O736" s="2"/>
      <c r="P736" s="2"/>
    </row>
    <row r="737" spans="1:16" ht="16.5" customHeight="1" x14ac:dyDescent="0.25">
      <c r="A737" s="2" t="s">
        <v>1733</v>
      </c>
      <c r="B737" s="8" t="s">
        <v>1734</v>
      </c>
      <c r="C737" s="8" t="s">
        <v>1724</v>
      </c>
      <c r="D737" s="8" t="s">
        <v>950</v>
      </c>
      <c r="E737" s="152" t="s">
        <v>102</v>
      </c>
      <c r="F737" s="152" t="s">
        <v>103</v>
      </c>
      <c r="G737" s="152">
        <v>0</v>
      </c>
      <c r="H737" s="152"/>
      <c r="I737" s="153">
        <v>13.42</v>
      </c>
      <c r="J737" s="145"/>
      <c r="K737" s="153" t="s">
        <v>86</v>
      </c>
      <c r="L737" s="153" t="s">
        <v>86</v>
      </c>
      <c r="M737" s="153"/>
      <c r="N737" s="2" t="s">
        <v>57</v>
      </c>
      <c r="O737" s="2"/>
      <c r="P737" s="2"/>
    </row>
    <row r="738" spans="1:16" ht="16.5" customHeight="1" x14ac:dyDescent="0.25">
      <c r="A738" s="2" t="s">
        <v>1735</v>
      </c>
      <c r="B738" s="8" t="s">
        <v>1736</v>
      </c>
      <c r="C738" s="8" t="s">
        <v>865</v>
      </c>
      <c r="D738" s="8" t="s">
        <v>278</v>
      </c>
      <c r="E738" s="152" t="s">
        <v>102</v>
      </c>
      <c r="F738" s="152" t="s">
        <v>103</v>
      </c>
      <c r="G738" s="152">
        <v>1</v>
      </c>
      <c r="H738" s="152">
        <v>804</v>
      </c>
      <c r="I738" s="153">
        <v>7.5900000000000007</v>
      </c>
      <c r="J738" s="145"/>
      <c r="K738" s="153" t="s">
        <v>86</v>
      </c>
      <c r="L738" s="153" t="s">
        <v>86</v>
      </c>
      <c r="M738" s="153"/>
      <c r="N738" s="2" t="s">
        <v>57</v>
      </c>
      <c r="O738" s="2"/>
      <c r="P738" s="2"/>
    </row>
    <row r="739" spans="1:16" ht="16.5" customHeight="1" x14ac:dyDescent="0.25">
      <c r="A739" s="2" t="s">
        <v>1737</v>
      </c>
      <c r="B739" s="8" t="s">
        <v>1738</v>
      </c>
      <c r="C739" s="8" t="s">
        <v>718</v>
      </c>
      <c r="D739" s="8" t="s">
        <v>278</v>
      </c>
      <c r="E739" s="152" t="s">
        <v>102</v>
      </c>
      <c r="F739" s="152" t="s">
        <v>103</v>
      </c>
      <c r="G739" s="152">
        <v>0</v>
      </c>
      <c r="H739" s="152">
        <v>888</v>
      </c>
      <c r="I739" s="153">
        <v>19.986999999999998</v>
      </c>
      <c r="J739" s="145"/>
      <c r="K739" s="153" t="s">
        <v>86</v>
      </c>
      <c r="L739" s="153" t="s">
        <v>86</v>
      </c>
      <c r="M739" s="153"/>
      <c r="N739" s="2" t="s">
        <v>57</v>
      </c>
      <c r="O739" s="2"/>
      <c r="P739" s="10"/>
    </row>
    <row r="740" spans="1:16" ht="16.5" customHeight="1" x14ac:dyDescent="0.25">
      <c r="A740" s="2" t="s">
        <v>1739</v>
      </c>
      <c r="B740" s="8" t="s">
        <v>1740</v>
      </c>
      <c r="C740" s="8" t="s">
        <v>718</v>
      </c>
      <c r="D740" s="8" t="s">
        <v>1741</v>
      </c>
      <c r="E740" s="152" t="s">
        <v>102</v>
      </c>
      <c r="F740" s="152" t="s">
        <v>103</v>
      </c>
      <c r="G740" s="152">
        <v>24</v>
      </c>
      <c r="H740" s="152">
        <v>10</v>
      </c>
      <c r="I740" s="153">
        <v>113.3</v>
      </c>
      <c r="J740" s="145"/>
      <c r="K740" s="153">
        <v>-21.03831666666667</v>
      </c>
      <c r="L740" s="153">
        <v>-61.377500630602263</v>
      </c>
      <c r="M740" s="153"/>
      <c r="N740" s="2" t="s">
        <v>57</v>
      </c>
      <c r="O740" s="2"/>
      <c r="P740" s="2" t="s">
        <v>51</v>
      </c>
    </row>
    <row r="741" spans="1:16" ht="16.5" customHeight="1" x14ac:dyDescent="0.25">
      <c r="A741" s="2" t="s">
        <v>1742</v>
      </c>
      <c r="B741" s="8" t="s">
        <v>1743</v>
      </c>
      <c r="C741" s="8" t="s">
        <v>714</v>
      </c>
      <c r="D741" s="8" t="s">
        <v>908</v>
      </c>
      <c r="E741" s="152" t="s">
        <v>102</v>
      </c>
      <c r="F741" s="152" t="s">
        <v>103</v>
      </c>
      <c r="G741" s="152">
        <v>3</v>
      </c>
      <c r="H741" s="152">
        <v>537</v>
      </c>
      <c r="I741" s="153">
        <v>13.101000000000001</v>
      </c>
      <c r="J741" s="145"/>
      <c r="K741" s="153" t="s">
        <v>86</v>
      </c>
      <c r="L741" s="153" t="s">
        <v>86</v>
      </c>
      <c r="M741" s="153"/>
      <c r="N741" s="2" t="s">
        <v>57</v>
      </c>
      <c r="O741" s="2"/>
      <c r="P741" s="2"/>
    </row>
    <row r="742" spans="1:16" ht="16.5" customHeight="1" x14ac:dyDescent="0.25">
      <c r="A742" s="2" t="s">
        <v>1744</v>
      </c>
      <c r="B742" s="8" t="s">
        <v>1745</v>
      </c>
      <c r="C742" s="8" t="s">
        <v>718</v>
      </c>
      <c r="D742" s="8" t="s">
        <v>908</v>
      </c>
      <c r="E742" s="152" t="s">
        <v>102</v>
      </c>
      <c r="F742" s="152" t="s">
        <v>103</v>
      </c>
      <c r="G742" s="152">
        <v>0</v>
      </c>
      <c r="H742" s="152">
        <v>1106</v>
      </c>
      <c r="I742" s="153">
        <v>3.9710000000000001</v>
      </c>
      <c r="J742" s="145"/>
      <c r="K742" s="153" t="s">
        <v>86</v>
      </c>
      <c r="L742" s="153" t="s">
        <v>86</v>
      </c>
      <c r="M742" s="153"/>
      <c r="N742" s="2" t="s">
        <v>57</v>
      </c>
      <c r="O742" s="2"/>
      <c r="P742" s="10"/>
    </row>
    <row r="743" spans="1:16" ht="16.5" customHeight="1" x14ac:dyDescent="0.25">
      <c r="A743" s="2" t="s">
        <v>1746</v>
      </c>
      <c r="B743" s="8" t="s">
        <v>1747</v>
      </c>
      <c r="C743" s="8" t="s">
        <v>718</v>
      </c>
      <c r="D743" s="8" t="s">
        <v>908</v>
      </c>
      <c r="E743" s="152" t="s">
        <v>102</v>
      </c>
      <c r="F743" s="152" t="s">
        <v>103</v>
      </c>
      <c r="G743" s="152">
        <v>0</v>
      </c>
      <c r="H743" s="152"/>
      <c r="I743" s="153">
        <v>2.09</v>
      </c>
      <c r="J743" s="145"/>
      <c r="K743" s="153" t="s">
        <v>86</v>
      </c>
      <c r="L743" s="153" t="s">
        <v>86</v>
      </c>
      <c r="M743" s="153"/>
      <c r="N743" s="2" t="s">
        <v>57</v>
      </c>
      <c r="O743" s="2"/>
      <c r="P743" s="10"/>
    </row>
    <row r="744" spans="1:16" ht="16.5" customHeight="1" x14ac:dyDescent="0.25">
      <c r="A744" s="2" t="s">
        <v>1748</v>
      </c>
      <c r="B744" s="8" t="s">
        <v>1749</v>
      </c>
      <c r="C744" s="8" t="s">
        <v>718</v>
      </c>
      <c r="D744" s="8" t="s">
        <v>908</v>
      </c>
      <c r="E744" s="152" t="s">
        <v>102</v>
      </c>
      <c r="F744" s="152" t="s">
        <v>103</v>
      </c>
      <c r="G744" s="152">
        <v>0</v>
      </c>
      <c r="H744" s="152"/>
      <c r="I744" s="153">
        <v>5.1040000000000001</v>
      </c>
      <c r="J744" s="145"/>
      <c r="K744" s="153" t="s">
        <v>86</v>
      </c>
      <c r="L744" s="153" t="s">
        <v>86</v>
      </c>
      <c r="M744" s="153"/>
      <c r="N744" s="2" t="s">
        <v>57</v>
      </c>
      <c r="O744" s="2"/>
      <c r="P744" s="10"/>
    </row>
    <row r="745" spans="1:16" ht="16.5" customHeight="1" x14ac:dyDescent="0.25">
      <c r="A745" s="2" t="s">
        <v>1750</v>
      </c>
      <c r="B745" s="8" t="s">
        <v>1751</v>
      </c>
      <c r="C745" s="8" t="s">
        <v>718</v>
      </c>
      <c r="D745" s="8" t="s">
        <v>908</v>
      </c>
      <c r="E745" s="152" t="s">
        <v>102</v>
      </c>
      <c r="F745" s="152" t="s">
        <v>103</v>
      </c>
      <c r="G745" s="152">
        <v>0</v>
      </c>
      <c r="H745" s="152">
        <v>861</v>
      </c>
      <c r="I745" s="153">
        <v>15.135999999999999</v>
      </c>
      <c r="J745" s="145"/>
      <c r="K745" s="153" t="s">
        <v>86</v>
      </c>
      <c r="L745" s="153" t="s">
        <v>86</v>
      </c>
      <c r="M745" s="153"/>
      <c r="N745" s="2" t="s">
        <v>57</v>
      </c>
      <c r="O745" s="2"/>
      <c r="P745" s="10"/>
    </row>
    <row r="746" spans="1:16" ht="16.5" customHeight="1" x14ac:dyDescent="0.25">
      <c r="A746" s="2" t="s">
        <v>1752</v>
      </c>
      <c r="B746" s="8" t="s">
        <v>1753</v>
      </c>
      <c r="C746" s="8">
        <v>45465</v>
      </c>
      <c r="D746" s="8" t="s">
        <v>166</v>
      </c>
      <c r="E746" s="152" t="s">
        <v>102</v>
      </c>
      <c r="F746" s="152" t="s">
        <v>103</v>
      </c>
      <c r="G746" s="152">
        <v>1</v>
      </c>
      <c r="H746" s="152">
        <v>388</v>
      </c>
      <c r="I746" s="153">
        <v>47.3</v>
      </c>
      <c r="J746" s="145"/>
      <c r="K746" s="153" t="s">
        <v>86</v>
      </c>
      <c r="L746" s="153" t="s">
        <v>86</v>
      </c>
      <c r="M746" s="153"/>
      <c r="N746" s="2" t="s">
        <v>57</v>
      </c>
      <c r="O746" s="2"/>
      <c r="P746" s="2"/>
    </row>
    <row r="747" spans="1:16" ht="16.5" customHeight="1" x14ac:dyDescent="0.25">
      <c r="A747" s="2" t="s">
        <v>1754</v>
      </c>
      <c r="B747" s="8" t="s">
        <v>1755</v>
      </c>
      <c r="C747" s="8" t="s">
        <v>102</v>
      </c>
      <c r="D747" s="8" t="s">
        <v>278</v>
      </c>
      <c r="E747" s="152" t="s">
        <v>102</v>
      </c>
      <c r="F747" s="152" t="s">
        <v>103</v>
      </c>
      <c r="G747" s="152">
        <v>14</v>
      </c>
      <c r="H747" s="152">
        <v>94</v>
      </c>
      <c r="I747" s="153">
        <v>76.747</v>
      </c>
      <c r="J747" s="145"/>
      <c r="K747" s="153">
        <v>-19.323333333333331</v>
      </c>
      <c r="L747" s="153">
        <v>-13.45</v>
      </c>
      <c r="M747" s="153"/>
      <c r="N747" s="2" t="s">
        <v>57</v>
      </c>
      <c r="O747" s="2"/>
      <c r="P747" s="2" t="s">
        <v>51</v>
      </c>
    </row>
    <row r="748" spans="1:16" ht="16.5" customHeight="1" x14ac:dyDescent="0.25">
      <c r="A748" s="2" t="s">
        <v>1756</v>
      </c>
      <c r="B748" s="8" t="s">
        <v>1757</v>
      </c>
      <c r="C748" s="8" t="s">
        <v>823</v>
      </c>
      <c r="D748" s="8" t="s">
        <v>278</v>
      </c>
      <c r="E748" s="152" t="s">
        <v>102</v>
      </c>
      <c r="F748" s="152" t="s">
        <v>103</v>
      </c>
      <c r="G748" s="152">
        <v>0</v>
      </c>
      <c r="H748" s="152">
        <v>822</v>
      </c>
      <c r="I748" s="153">
        <v>14.707000000000001</v>
      </c>
      <c r="J748" s="145"/>
      <c r="K748" s="153" t="s">
        <v>86</v>
      </c>
      <c r="L748" s="153" t="s">
        <v>86</v>
      </c>
      <c r="M748" s="153"/>
      <c r="N748" s="2" t="s">
        <v>57</v>
      </c>
      <c r="O748" s="2"/>
      <c r="P748" s="10"/>
    </row>
    <row r="749" spans="1:16" ht="16.5" customHeight="1" x14ac:dyDescent="0.25">
      <c r="A749" s="2" t="s">
        <v>1758</v>
      </c>
      <c r="B749" s="8" t="s">
        <v>1759</v>
      </c>
      <c r="C749" s="8" t="s">
        <v>1047</v>
      </c>
      <c r="D749" s="8" t="s">
        <v>278</v>
      </c>
      <c r="E749" s="152" t="s">
        <v>102</v>
      </c>
      <c r="F749" s="152" t="s">
        <v>103</v>
      </c>
      <c r="G749" s="152">
        <v>3</v>
      </c>
      <c r="H749" s="152">
        <v>165</v>
      </c>
      <c r="I749" s="153">
        <v>79.882000000000005</v>
      </c>
      <c r="J749" s="145"/>
      <c r="K749" s="153">
        <v>-7.2359999999999998</v>
      </c>
      <c r="L749" s="153">
        <v>-46.156781826652939</v>
      </c>
      <c r="M749" s="153"/>
      <c r="N749" s="2" t="s">
        <v>57</v>
      </c>
      <c r="O749" s="2"/>
      <c r="P749" s="10"/>
    </row>
    <row r="750" spans="1:16" ht="16.5" customHeight="1" x14ac:dyDescent="0.25">
      <c r="A750" s="2" t="s">
        <v>1760</v>
      </c>
      <c r="B750" s="8" t="s">
        <v>1761</v>
      </c>
      <c r="C750" s="8" t="s">
        <v>714</v>
      </c>
      <c r="D750" s="8" t="s">
        <v>278</v>
      </c>
      <c r="E750" s="152" t="s">
        <v>102</v>
      </c>
      <c r="F750" s="152" t="s">
        <v>103</v>
      </c>
      <c r="G750" s="152">
        <v>2</v>
      </c>
      <c r="H750" s="152">
        <v>364</v>
      </c>
      <c r="I750" s="153">
        <v>30.975999999999999</v>
      </c>
      <c r="J750" s="145"/>
      <c r="K750" s="153" t="s">
        <v>86</v>
      </c>
      <c r="L750" s="153">
        <v>-25.023912521707221</v>
      </c>
      <c r="M750" s="153"/>
      <c r="N750" s="2" t="s">
        <v>57</v>
      </c>
      <c r="O750" s="2"/>
      <c r="P750" s="10"/>
    </row>
    <row r="751" spans="1:16" ht="16.5" customHeight="1" x14ac:dyDescent="0.25">
      <c r="A751" s="2" t="s">
        <v>1762</v>
      </c>
      <c r="B751" s="8" t="s">
        <v>1763</v>
      </c>
      <c r="C751" s="8" t="s">
        <v>714</v>
      </c>
      <c r="D751" s="8" t="s">
        <v>278</v>
      </c>
      <c r="E751" s="152" t="s">
        <v>102</v>
      </c>
      <c r="F751" s="152" t="s">
        <v>103</v>
      </c>
      <c r="G751" s="152">
        <v>4</v>
      </c>
      <c r="H751" s="152">
        <v>235</v>
      </c>
      <c r="I751" s="153">
        <v>36.949000000000012</v>
      </c>
      <c r="J751" s="145"/>
      <c r="K751" s="153" t="s">
        <v>86</v>
      </c>
      <c r="L751" s="153">
        <v>-28.54605740586484</v>
      </c>
      <c r="M751" s="153"/>
      <c r="N751" s="2" t="s">
        <v>57</v>
      </c>
      <c r="O751" s="2"/>
      <c r="P751" s="10"/>
    </row>
    <row r="752" spans="1:16" ht="16.5" customHeight="1" x14ac:dyDescent="0.25">
      <c r="A752" s="2" t="s">
        <v>1764</v>
      </c>
      <c r="B752" s="8" t="s">
        <v>1765</v>
      </c>
      <c r="C752" s="8" t="s">
        <v>823</v>
      </c>
      <c r="D752" s="8" t="s">
        <v>148</v>
      </c>
      <c r="E752" s="152" t="s">
        <v>102</v>
      </c>
      <c r="F752" s="152" t="s">
        <v>103</v>
      </c>
      <c r="G752" s="152">
        <v>1</v>
      </c>
      <c r="H752" s="152">
        <v>767</v>
      </c>
      <c r="I752" s="153">
        <v>2.6179999999999999</v>
      </c>
      <c r="J752" s="145"/>
      <c r="K752" s="153" t="s">
        <v>86</v>
      </c>
      <c r="L752" s="153" t="s">
        <v>86</v>
      </c>
      <c r="M752" s="153"/>
      <c r="N752" s="2" t="s">
        <v>57</v>
      </c>
      <c r="O752" s="2"/>
      <c r="P752" s="10"/>
    </row>
    <row r="753" spans="1:16" ht="16.5" customHeight="1" x14ac:dyDescent="0.25">
      <c r="A753" s="2" t="s">
        <v>1766</v>
      </c>
      <c r="B753" s="8" t="s">
        <v>1767</v>
      </c>
      <c r="C753" s="8" t="s">
        <v>823</v>
      </c>
      <c r="D753" s="8" t="s">
        <v>278</v>
      </c>
      <c r="E753" s="152" t="s">
        <v>102</v>
      </c>
      <c r="F753" s="152" t="s">
        <v>103</v>
      </c>
      <c r="G753" s="152">
        <v>1</v>
      </c>
      <c r="H753" s="152">
        <v>352</v>
      </c>
      <c r="I753" s="153">
        <v>128.05099999999999</v>
      </c>
      <c r="J753" s="145"/>
      <c r="K753" s="153" t="s">
        <v>86</v>
      </c>
      <c r="L753" s="153">
        <v>-58.94772903754113</v>
      </c>
      <c r="M753" s="153"/>
      <c r="N753" s="2" t="s">
        <v>57</v>
      </c>
      <c r="O753" s="2"/>
      <c r="P753" s="10"/>
    </row>
    <row r="754" spans="1:16" ht="16.5" customHeight="1" x14ac:dyDescent="0.25">
      <c r="A754" s="2" t="s">
        <v>1768</v>
      </c>
      <c r="B754" s="8" t="s">
        <v>1769</v>
      </c>
      <c r="C754" s="8" t="s">
        <v>714</v>
      </c>
      <c r="D754" s="8" t="s">
        <v>278</v>
      </c>
      <c r="E754" s="152" t="s">
        <v>102</v>
      </c>
      <c r="F754" s="152" t="s">
        <v>103</v>
      </c>
      <c r="G754" s="152">
        <v>0</v>
      </c>
      <c r="H754" s="152"/>
      <c r="I754" s="153">
        <v>10.846</v>
      </c>
      <c r="J754" s="145"/>
      <c r="K754" s="153" t="s">
        <v>86</v>
      </c>
      <c r="L754" s="153" t="s">
        <v>86</v>
      </c>
      <c r="M754" s="153"/>
      <c r="N754" s="2" t="s">
        <v>57</v>
      </c>
      <c r="O754" s="2"/>
      <c r="P754" s="2"/>
    </row>
    <row r="755" spans="1:16" ht="16.5" customHeight="1" x14ac:dyDescent="0.25">
      <c r="A755" s="2" t="s">
        <v>1770</v>
      </c>
      <c r="B755" s="8" t="s">
        <v>1771</v>
      </c>
      <c r="C755" s="8" t="s">
        <v>714</v>
      </c>
      <c r="D755" s="8" t="s">
        <v>278</v>
      </c>
      <c r="E755" s="152" t="s">
        <v>102</v>
      </c>
      <c r="F755" s="152" t="s">
        <v>103</v>
      </c>
      <c r="G755" s="152">
        <v>0</v>
      </c>
      <c r="H755" s="152"/>
      <c r="I755" s="153">
        <v>13.035</v>
      </c>
      <c r="J755" s="145"/>
      <c r="K755" s="153" t="s">
        <v>86</v>
      </c>
      <c r="L755" s="153" t="s">
        <v>86</v>
      </c>
      <c r="M755" s="153"/>
      <c r="N755" s="2" t="s">
        <v>57</v>
      </c>
      <c r="O755" s="2"/>
      <c r="P755" s="10"/>
    </row>
    <row r="756" spans="1:16" ht="16.5" customHeight="1" x14ac:dyDescent="0.25">
      <c r="A756" s="2" t="s">
        <v>1772</v>
      </c>
      <c r="B756" s="8" t="s">
        <v>1773</v>
      </c>
      <c r="C756" s="8" t="s">
        <v>714</v>
      </c>
      <c r="D756" s="8" t="s">
        <v>278</v>
      </c>
      <c r="E756" s="152" t="s">
        <v>102</v>
      </c>
      <c r="F756" s="152" t="s">
        <v>103</v>
      </c>
      <c r="G756" s="152">
        <v>0</v>
      </c>
      <c r="H756" s="152"/>
      <c r="I756" s="153">
        <v>18.37</v>
      </c>
      <c r="J756" s="145"/>
      <c r="K756" s="153" t="s">
        <v>86</v>
      </c>
      <c r="L756" s="153" t="s">
        <v>86</v>
      </c>
      <c r="M756" s="153"/>
      <c r="N756" s="2" t="s">
        <v>57</v>
      </c>
      <c r="O756" s="2"/>
      <c r="P756" s="2"/>
    </row>
    <row r="757" spans="1:16" ht="16.5" customHeight="1" x14ac:dyDescent="0.25">
      <c r="A757" s="2" t="s">
        <v>1774</v>
      </c>
      <c r="B757" s="8" t="s">
        <v>1775</v>
      </c>
      <c r="C757" s="8" t="s">
        <v>833</v>
      </c>
      <c r="D757" s="8" t="s">
        <v>278</v>
      </c>
      <c r="E757" s="152" t="s">
        <v>102</v>
      </c>
      <c r="F757" s="152" t="s">
        <v>103</v>
      </c>
      <c r="G757" s="152">
        <v>0</v>
      </c>
      <c r="H757" s="152"/>
      <c r="I757" s="153">
        <v>35.002000000000002</v>
      </c>
      <c r="J757" s="145"/>
      <c r="K757" s="153" t="s">
        <v>86</v>
      </c>
      <c r="L757" s="153" t="s">
        <v>86</v>
      </c>
      <c r="M757" s="153"/>
      <c r="N757" s="2" t="s">
        <v>57</v>
      </c>
      <c r="O757" s="2"/>
      <c r="P757" s="2"/>
    </row>
    <row r="758" spans="1:16" ht="16.5" customHeight="1" x14ac:dyDescent="0.25">
      <c r="A758" s="2" t="s">
        <v>1776</v>
      </c>
      <c r="B758" s="8" t="s">
        <v>1777</v>
      </c>
      <c r="C758" s="8" t="s">
        <v>714</v>
      </c>
      <c r="D758" s="8" t="s">
        <v>278</v>
      </c>
      <c r="E758" s="152" t="s">
        <v>102</v>
      </c>
      <c r="F758" s="152" t="s">
        <v>103</v>
      </c>
      <c r="G758" s="152">
        <v>0</v>
      </c>
      <c r="H758" s="152"/>
      <c r="I758" s="153">
        <v>23.594999999999999</v>
      </c>
      <c r="J758" s="145"/>
      <c r="K758" s="153" t="s">
        <v>86</v>
      </c>
      <c r="L758" s="153" t="s">
        <v>86</v>
      </c>
      <c r="M758" s="153"/>
      <c r="N758" s="2" t="s">
        <v>57</v>
      </c>
      <c r="O758" s="2"/>
      <c r="P758" s="10"/>
    </row>
    <row r="759" spans="1:16" ht="16.5" customHeight="1" x14ac:dyDescent="0.25">
      <c r="A759" s="2" t="s">
        <v>1778</v>
      </c>
      <c r="B759" s="8" t="s">
        <v>1779</v>
      </c>
      <c r="C759" s="8" t="s">
        <v>823</v>
      </c>
      <c r="D759" s="8" t="s">
        <v>296</v>
      </c>
      <c r="E759" s="152" t="s">
        <v>102</v>
      </c>
      <c r="F759" s="152" t="s">
        <v>103</v>
      </c>
      <c r="G759" s="152">
        <v>0</v>
      </c>
      <c r="H759" s="152"/>
      <c r="I759" s="153">
        <v>8.7119999999999997</v>
      </c>
      <c r="J759" s="145"/>
      <c r="K759" s="153" t="s">
        <v>86</v>
      </c>
      <c r="L759" s="153" t="s">
        <v>86</v>
      </c>
      <c r="M759" s="153"/>
      <c r="N759" s="2" t="s">
        <v>57</v>
      </c>
      <c r="O759" s="2"/>
      <c r="P759" s="10"/>
    </row>
    <row r="760" spans="1:16" ht="16.5" customHeight="1" x14ac:dyDescent="0.25">
      <c r="A760" s="2" t="s">
        <v>1780</v>
      </c>
      <c r="B760" s="8" t="s">
        <v>1781</v>
      </c>
      <c r="C760" s="8" t="s">
        <v>823</v>
      </c>
      <c r="D760" s="8" t="s">
        <v>296</v>
      </c>
      <c r="E760" s="152" t="s">
        <v>102</v>
      </c>
      <c r="F760" s="152" t="s">
        <v>103</v>
      </c>
      <c r="G760" s="152">
        <v>0</v>
      </c>
      <c r="H760" s="152">
        <v>1086</v>
      </c>
      <c r="I760" s="153">
        <v>12.055999999999999</v>
      </c>
      <c r="J760" s="145"/>
      <c r="K760" s="153" t="s">
        <v>86</v>
      </c>
      <c r="L760" s="153" t="s">
        <v>86</v>
      </c>
      <c r="M760" s="153"/>
      <c r="N760" s="2" t="s">
        <v>57</v>
      </c>
      <c r="O760" s="2"/>
      <c r="P760" s="10"/>
    </row>
    <row r="761" spans="1:16" ht="16.5" customHeight="1" x14ac:dyDescent="0.25">
      <c r="A761" s="2" t="s">
        <v>1782</v>
      </c>
      <c r="B761" s="8" t="s">
        <v>1783</v>
      </c>
      <c r="C761" s="8" t="s">
        <v>823</v>
      </c>
      <c r="D761" s="8" t="s">
        <v>296</v>
      </c>
      <c r="E761" s="152" t="s">
        <v>102</v>
      </c>
      <c r="F761" s="152" t="s">
        <v>103</v>
      </c>
      <c r="G761" s="152">
        <v>0</v>
      </c>
      <c r="H761" s="152">
        <v>1014</v>
      </c>
      <c r="I761" s="153">
        <v>8.7010000000000005</v>
      </c>
      <c r="J761" s="145"/>
      <c r="K761" s="153" t="s">
        <v>86</v>
      </c>
      <c r="L761" s="153" t="s">
        <v>86</v>
      </c>
      <c r="M761" s="153"/>
      <c r="N761" s="2" t="s">
        <v>57</v>
      </c>
      <c r="O761" s="2"/>
      <c r="P761" s="10"/>
    </row>
    <row r="762" spans="1:16" ht="16.5" customHeight="1" x14ac:dyDescent="0.25">
      <c r="A762" s="2" t="s">
        <v>1784</v>
      </c>
      <c r="B762" s="8" t="s">
        <v>1785</v>
      </c>
      <c r="C762" s="8" t="s">
        <v>823</v>
      </c>
      <c r="D762" s="8" t="s">
        <v>296</v>
      </c>
      <c r="E762" s="152" t="s">
        <v>102</v>
      </c>
      <c r="F762" s="152" t="s">
        <v>103</v>
      </c>
      <c r="G762" s="152">
        <v>1</v>
      </c>
      <c r="H762" s="152">
        <v>696</v>
      </c>
      <c r="I762" s="153">
        <v>8.745000000000001</v>
      </c>
      <c r="J762" s="145"/>
      <c r="K762" s="153" t="s">
        <v>86</v>
      </c>
      <c r="L762" s="153" t="s">
        <v>86</v>
      </c>
      <c r="M762" s="153"/>
      <c r="N762" s="2" t="s">
        <v>57</v>
      </c>
      <c r="O762" s="2"/>
      <c r="P762" s="10"/>
    </row>
    <row r="763" spans="1:16" ht="16.5" customHeight="1" x14ac:dyDescent="0.25">
      <c r="A763" s="2" t="s">
        <v>1786</v>
      </c>
      <c r="B763" s="8" t="s">
        <v>1787</v>
      </c>
      <c r="C763" s="8" t="s">
        <v>823</v>
      </c>
      <c r="D763" s="8" t="s">
        <v>296</v>
      </c>
      <c r="E763" s="152" t="s">
        <v>102</v>
      </c>
      <c r="F763" s="152" t="s">
        <v>103</v>
      </c>
      <c r="G763" s="152">
        <v>3</v>
      </c>
      <c r="H763" s="152">
        <v>679</v>
      </c>
      <c r="I763" s="153">
        <v>11.473000000000001</v>
      </c>
      <c r="J763" s="145"/>
      <c r="K763" s="153" t="s">
        <v>86</v>
      </c>
      <c r="L763" s="153" t="s">
        <v>86</v>
      </c>
      <c r="M763" s="153"/>
      <c r="N763" s="2" t="s">
        <v>57</v>
      </c>
      <c r="O763" s="2"/>
      <c r="P763" s="10"/>
    </row>
    <row r="764" spans="1:16" ht="16.5" customHeight="1" x14ac:dyDescent="0.25">
      <c r="A764" s="2" t="s">
        <v>1788</v>
      </c>
      <c r="B764" s="8" t="s">
        <v>1789</v>
      </c>
      <c r="C764" s="8" t="s">
        <v>1790</v>
      </c>
      <c r="D764" s="8" t="s">
        <v>163</v>
      </c>
      <c r="E764" s="152" t="s">
        <v>102</v>
      </c>
      <c r="F764" s="152" t="s">
        <v>103</v>
      </c>
      <c r="G764" s="152">
        <v>1</v>
      </c>
      <c r="H764" s="152">
        <v>206</v>
      </c>
      <c r="I764" s="153">
        <v>116.56699999999999</v>
      </c>
      <c r="J764" s="145"/>
      <c r="K764" s="153" t="s">
        <v>86</v>
      </c>
      <c r="L764" s="153" t="s">
        <v>86</v>
      </c>
      <c r="M764" s="153"/>
      <c r="N764" s="2" t="s">
        <v>57</v>
      </c>
      <c r="O764" s="2"/>
      <c r="P764" s="2"/>
    </row>
    <row r="765" spans="1:16" ht="16.5" customHeight="1" x14ac:dyDescent="0.25">
      <c r="A765" s="2" t="s">
        <v>1791</v>
      </c>
      <c r="B765" s="8" t="s">
        <v>1792</v>
      </c>
      <c r="C765" s="8" t="s">
        <v>1790</v>
      </c>
      <c r="D765" s="8" t="s">
        <v>163</v>
      </c>
      <c r="E765" s="152" t="s">
        <v>102</v>
      </c>
      <c r="F765" s="152" t="s">
        <v>103</v>
      </c>
      <c r="G765" s="152">
        <v>1</v>
      </c>
      <c r="H765" s="152">
        <v>207</v>
      </c>
      <c r="I765" s="153">
        <v>85.679000000000002</v>
      </c>
      <c r="J765" s="145"/>
      <c r="K765" s="153" t="s">
        <v>86</v>
      </c>
      <c r="L765" s="153" t="s">
        <v>86</v>
      </c>
      <c r="M765" s="153"/>
      <c r="N765" s="2" t="s">
        <v>57</v>
      </c>
      <c r="O765" s="2"/>
      <c r="P765" s="2"/>
    </row>
    <row r="766" spans="1:16" ht="16.5" customHeight="1" x14ac:dyDescent="0.25">
      <c r="A766" s="2" t="s">
        <v>1793</v>
      </c>
      <c r="B766" s="8" t="s">
        <v>1794</v>
      </c>
      <c r="C766" s="8" t="s">
        <v>865</v>
      </c>
      <c r="D766" s="8" t="s">
        <v>91</v>
      </c>
      <c r="E766" s="152" t="s">
        <v>102</v>
      </c>
      <c r="F766" s="152" t="s">
        <v>103</v>
      </c>
      <c r="G766" s="152">
        <v>6</v>
      </c>
      <c r="H766" s="152">
        <v>229</v>
      </c>
      <c r="I766" s="153">
        <v>48.003999999999998</v>
      </c>
      <c r="J766" s="145"/>
      <c r="K766" s="153" t="s">
        <v>86</v>
      </c>
      <c r="L766" s="153" t="s">
        <v>86</v>
      </c>
      <c r="M766" s="153"/>
      <c r="N766" s="2" t="s">
        <v>57</v>
      </c>
      <c r="O766" s="2"/>
      <c r="P766" s="10"/>
    </row>
    <row r="767" spans="1:16" ht="16.5" customHeight="1" x14ac:dyDescent="0.25">
      <c r="A767" s="2" t="s">
        <v>1795</v>
      </c>
      <c r="B767" s="8" t="s">
        <v>1796</v>
      </c>
      <c r="C767" s="8">
        <v>44343</v>
      </c>
      <c r="D767" s="8" t="s">
        <v>1797</v>
      </c>
      <c r="E767" s="152" t="s">
        <v>102</v>
      </c>
      <c r="F767" s="152" t="s">
        <v>103</v>
      </c>
      <c r="G767" s="152">
        <v>0</v>
      </c>
      <c r="H767" s="152"/>
      <c r="I767" s="153">
        <v>45.199000000000012</v>
      </c>
      <c r="J767" s="145"/>
      <c r="K767" s="153" t="s">
        <v>86</v>
      </c>
      <c r="L767" s="153" t="s">
        <v>86</v>
      </c>
      <c r="M767" s="153"/>
      <c r="N767" s="2" t="s">
        <v>57</v>
      </c>
      <c r="O767" s="2"/>
      <c r="P767" s="10"/>
    </row>
    <row r="768" spans="1:16" ht="16.5" customHeight="1" x14ac:dyDescent="0.25">
      <c r="A768" s="2" t="s">
        <v>1798</v>
      </c>
      <c r="B768" s="8" t="s">
        <v>1799</v>
      </c>
      <c r="C768" s="8">
        <v>44343</v>
      </c>
      <c r="D768" s="8" t="s">
        <v>1797</v>
      </c>
      <c r="E768" s="152" t="s">
        <v>102</v>
      </c>
      <c r="F768" s="152" t="s">
        <v>103</v>
      </c>
      <c r="G768" s="152">
        <v>0</v>
      </c>
      <c r="H768" s="152"/>
      <c r="I768" s="153">
        <v>37.609000000000002</v>
      </c>
      <c r="J768" s="145"/>
      <c r="K768" s="153" t="s">
        <v>86</v>
      </c>
      <c r="L768" s="153" t="s">
        <v>86</v>
      </c>
      <c r="M768" s="153"/>
      <c r="N768" s="2" t="s">
        <v>57</v>
      </c>
      <c r="O768" s="2"/>
      <c r="P768" s="10"/>
    </row>
    <row r="769" spans="1:16" ht="16.5" customHeight="1" x14ac:dyDescent="0.25">
      <c r="A769" s="2" t="s">
        <v>1800</v>
      </c>
      <c r="B769" s="8" t="s">
        <v>1801</v>
      </c>
      <c r="C769" s="8">
        <v>44343</v>
      </c>
      <c r="D769" s="8" t="s">
        <v>1797</v>
      </c>
      <c r="E769" s="152" t="s">
        <v>102</v>
      </c>
      <c r="F769" s="152" t="s">
        <v>103</v>
      </c>
      <c r="G769" s="152">
        <v>0</v>
      </c>
      <c r="H769" s="152"/>
      <c r="I769" s="153">
        <v>36.156999999999996</v>
      </c>
      <c r="J769" s="145"/>
      <c r="K769" s="153" t="s">
        <v>86</v>
      </c>
      <c r="L769" s="153" t="s">
        <v>86</v>
      </c>
      <c r="M769" s="153"/>
      <c r="N769" s="2" t="s">
        <v>57</v>
      </c>
      <c r="O769" s="2"/>
      <c r="P769" s="10"/>
    </row>
    <row r="770" spans="1:16" ht="16.5" customHeight="1" x14ac:dyDescent="0.25">
      <c r="A770" s="2" t="s">
        <v>1802</v>
      </c>
      <c r="B770" s="8" t="s">
        <v>1803</v>
      </c>
      <c r="C770" s="8">
        <v>44343</v>
      </c>
      <c r="D770" s="8" t="s">
        <v>1797</v>
      </c>
      <c r="E770" s="152" t="s">
        <v>102</v>
      </c>
      <c r="F770" s="152" t="s">
        <v>103</v>
      </c>
      <c r="G770" s="152">
        <v>1</v>
      </c>
      <c r="H770" s="152">
        <v>771</v>
      </c>
      <c r="I770" s="153">
        <v>29.106000000000002</v>
      </c>
      <c r="J770" s="145"/>
      <c r="K770" s="153" t="s">
        <v>86</v>
      </c>
      <c r="L770" s="153" t="s">
        <v>86</v>
      </c>
      <c r="M770" s="153"/>
      <c r="N770" s="2" t="s">
        <v>57</v>
      </c>
      <c r="O770" s="2"/>
      <c r="P770" s="2"/>
    </row>
    <row r="771" spans="1:16" ht="16.5" customHeight="1" x14ac:dyDescent="0.25">
      <c r="A771" s="2" t="s">
        <v>1804</v>
      </c>
      <c r="B771" s="8" t="s">
        <v>1805</v>
      </c>
      <c r="C771" s="8">
        <v>44343</v>
      </c>
      <c r="D771" s="8" t="s">
        <v>1797</v>
      </c>
      <c r="E771" s="152" t="s">
        <v>102</v>
      </c>
      <c r="F771" s="152" t="s">
        <v>103</v>
      </c>
      <c r="G771" s="152">
        <v>0</v>
      </c>
      <c r="H771" s="152"/>
      <c r="I771" s="153">
        <v>25.355</v>
      </c>
      <c r="J771" s="145"/>
      <c r="K771" s="153" t="s">
        <v>86</v>
      </c>
      <c r="L771" s="153" t="s">
        <v>86</v>
      </c>
      <c r="M771" s="153"/>
      <c r="N771" s="2" t="s">
        <v>57</v>
      </c>
      <c r="O771" s="2"/>
      <c r="P771" s="10"/>
    </row>
    <row r="772" spans="1:16" ht="16.5" customHeight="1" x14ac:dyDescent="0.25">
      <c r="A772" s="2" t="s">
        <v>1806</v>
      </c>
      <c r="B772" s="8" t="s">
        <v>1807</v>
      </c>
      <c r="C772" s="8">
        <v>44343</v>
      </c>
      <c r="D772" s="8" t="s">
        <v>1797</v>
      </c>
      <c r="E772" s="152" t="s">
        <v>102</v>
      </c>
      <c r="F772" s="152" t="s">
        <v>103</v>
      </c>
      <c r="G772" s="152">
        <v>0</v>
      </c>
      <c r="H772" s="152">
        <v>933</v>
      </c>
      <c r="I772" s="153">
        <v>25.574999999999999</v>
      </c>
      <c r="J772" s="145"/>
      <c r="K772" s="153" t="s">
        <v>86</v>
      </c>
      <c r="L772" s="153" t="s">
        <v>86</v>
      </c>
      <c r="M772" s="153"/>
      <c r="N772" s="2" t="s">
        <v>57</v>
      </c>
      <c r="O772" s="2"/>
      <c r="P772" s="10"/>
    </row>
    <row r="773" spans="1:16" ht="16.5" customHeight="1" x14ac:dyDescent="0.25">
      <c r="A773" s="2" t="s">
        <v>1808</v>
      </c>
      <c r="B773" s="8" t="s">
        <v>1809</v>
      </c>
      <c r="C773" s="8">
        <v>44343</v>
      </c>
      <c r="D773" s="8" t="s">
        <v>1797</v>
      </c>
      <c r="E773" s="152" t="s">
        <v>102</v>
      </c>
      <c r="F773" s="152" t="s">
        <v>103</v>
      </c>
      <c r="G773" s="152">
        <v>0</v>
      </c>
      <c r="H773" s="152"/>
      <c r="I773" s="153">
        <v>18.821000000000002</v>
      </c>
      <c r="J773" s="145"/>
      <c r="K773" s="153" t="s">
        <v>86</v>
      </c>
      <c r="L773" s="153" t="s">
        <v>86</v>
      </c>
      <c r="M773" s="153"/>
      <c r="N773" s="2" t="s">
        <v>57</v>
      </c>
      <c r="O773" s="2"/>
      <c r="P773" s="2"/>
    </row>
    <row r="774" spans="1:16" ht="16.5" customHeight="1" x14ac:dyDescent="0.25">
      <c r="A774" s="2" t="s">
        <v>1810</v>
      </c>
      <c r="B774" s="8" t="s">
        <v>1811</v>
      </c>
      <c r="C774" s="8">
        <v>44343</v>
      </c>
      <c r="D774" s="8" t="s">
        <v>1797</v>
      </c>
      <c r="E774" s="152" t="s">
        <v>102</v>
      </c>
      <c r="F774" s="152" t="s">
        <v>103</v>
      </c>
      <c r="G774" s="152">
        <v>0</v>
      </c>
      <c r="H774" s="152"/>
      <c r="I774" s="153">
        <v>19.327000000000002</v>
      </c>
      <c r="J774" s="145"/>
      <c r="K774" s="153" t="s">
        <v>86</v>
      </c>
      <c r="L774" s="153" t="s">
        <v>86</v>
      </c>
      <c r="M774" s="153"/>
      <c r="N774" s="2" t="s">
        <v>57</v>
      </c>
      <c r="O774" s="2"/>
      <c r="P774" s="10"/>
    </row>
    <row r="775" spans="1:16" ht="16.5" customHeight="1" x14ac:dyDescent="0.25">
      <c r="A775" s="2" t="s">
        <v>1812</v>
      </c>
      <c r="B775" s="8" t="s">
        <v>1813</v>
      </c>
      <c r="C775" s="8">
        <v>44343</v>
      </c>
      <c r="D775" s="8" t="s">
        <v>1797</v>
      </c>
      <c r="E775" s="152" t="s">
        <v>102</v>
      </c>
      <c r="F775" s="152" t="s">
        <v>103</v>
      </c>
      <c r="G775" s="152">
        <v>0</v>
      </c>
      <c r="H775" s="152">
        <v>990</v>
      </c>
      <c r="I775" s="153">
        <v>3.3109999999999999</v>
      </c>
      <c r="J775" s="145"/>
      <c r="K775" s="153" t="s">
        <v>86</v>
      </c>
      <c r="L775" s="153" t="s">
        <v>86</v>
      </c>
      <c r="M775" s="153"/>
      <c r="N775" s="2" t="s">
        <v>57</v>
      </c>
      <c r="O775" s="2"/>
      <c r="P775" s="10"/>
    </row>
    <row r="776" spans="1:16" ht="16.5" customHeight="1" x14ac:dyDescent="0.25">
      <c r="A776" s="2" t="s">
        <v>1814</v>
      </c>
      <c r="B776" s="8" t="s">
        <v>1815</v>
      </c>
      <c r="C776" s="8" t="s">
        <v>823</v>
      </c>
      <c r="D776" s="8" t="s">
        <v>278</v>
      </c>
      <c r="E776" s="152" t="s">
        <v>102</v>
      </c>
      <c r="F776" s="152" t="s">
        <v>103</v>
      </c>
      <c r="G776" s="152">
        <v>0</v>
      </c>
      <c r="H776" s="152">
        <v>732</v>
      </c>
      <c r="I776" s="153">
        <v>21.791</v>
      </c>
      <c r="J776" s="145"/>
      <c r="K776" s="153" t="s">
        <v>86</v>
      </c>
      <c r="L776" s="153" t="s">
        <v>86</v>
      </c>
      <c r="M776" s="153"/>
      <c r="N776" s="2" t="s">
        <v>57</v>
      </c>
      <c r="O776" s="2"/>
      <c r="P776" s="10"/>
    </row>
    <row r="777" spans="1:16" ht="16.5" customHeight="1" x14ac:dyDescent="0.25">
      <c r="A777" s="2" t="s">
        <v>1816</v>
      </c>
      <c r="B777" s="8" t="s">
        <v>1817</v>
      </c>
      <c r="C777" s="8" t="s">
        <v>823</v>
      </c>
      <c r="D777" s="8" t="s">
        <v>278</v>
      </c>
      <c r="E777" s="152" t="s">
        <v>102</v>
      </c>
      <c r="F777" s="152" t="s">
        <v>103</v>
      </c>
      <c r="G777" s="152">
        <v>1</v>
      </c>
      <c r="H777" s="152">
        <v>385</v>
      </c>
      <c r="I777" s="153">
        <v>27.379000000000001</v>
      </c>
      <c r="J777" s="145"/>
      <c r="K777" s="153" t="s">
        <v>86</v>
      </c>
      <c r="L777" s="153" t="s">
        <v>86</v>
      </c>
      <c r="M777" s="153"/>
      <c r="N777" s="2" t="s">
        <v>57</v>
      </c>
      <c r="O777" s="2"/>
      <c r="P777" s="10"/>
    </row>
    <row r="778" spans="1:16" ht="16.5" customHeight="1" x14ac:dyDescent="0.25">
      <c r="A778" s="2" t="s">
        <v>1818</v>
      </c>
      <c r="B778" s="8" t="s">
        <v>1819</v>
      </c>
      <c r="C778" s="8" t="s">
        <v>823</v>
      </c>
      <c r="D778" s="8" t="s">
        <v>278</v>
      </c>
      <c r="E778" s="152" t="s">
        <v>102</v>
      </c>
      <c r="F778" s="152" t="s">
        <v>103</v>
      </c>
      <c r="G778" s="152">
        <v>0</v>
      </c>
      <c r="H778" s="152"/>
      <c r="I778" s="153">
        <v>51.579000000000008</v>
      </c>
      <c r="J778" s="145"/>
      <c r="K778" s="153" t="s">
        <v>86</v>
      </c>
      <c r="L778" s="153" t="s">
        <v>86</v>
      </c>
      <c r="M778" s="153"/>
      <c r="N778" s="2" t="s">
        <v>57</v>
      </c>
      <c r="O778" s="2"/>
      <c r="P778" s="10"/>
    </row>
    <row r="779" spans="1:16" ht="16.5" customHeight="1" x14ac:dyDescent="0.25">
      <c r="A779" s="2" t="s">
        <v>1820</v>
      </c>
      <c r="B779" s="8" t="s">
        <v>1821</v>
      </c>
      <c r="C779" s="8" t="s">
        <v>823</v>
      </c>
      <c r="D779" s="8" t="s">
        <v>278</v>
      </c>
      <c r="E779" s="152" t="s">
        <v>102</v>
      </c>
      <c r="F779" s="152" t="s">
        <v>103</v>
      </c>
      <c r="G779" s="152">
        <v>1</v>
      </c>
      <c r="H779" s="152">
        <v>517</v>
      </c>
      <c r="I779" s="153">
        <v>31.614000000000001</v>
      </c>
      <c r="J779" s="145"/>
      <c r="K779" s="153" t="s">
        <v>86</v>
      </c>
      <c r="L779" s="153" t="s">
        <v>86</v>
      </c>
      <c r="M779" s="153"/>
      <c r="N779" s="2" t="s">
        <v>57</v>
      </c>
      <c r="O779" s="2"/>
      <c r="P779" s="2"/>
    </row>
    <row r="780" spans="1:16" ht="16.5" customHeight="1" x14ac:dyDescent="0.25">
      <c r="A780" s="2" t="s">
        <v>1822</v>
      </c>
      <c r="B780" s="8" t="s">
        <v>1823</v>
      </c>
      <c r="C780" s="8">
        <v>44374</v>
      </c>
      <c r="D780" s="8" t="s">
        <v>950</v>
      </c>
      <c r="E780" s="152" t="s">
        <v>102</v>
      </c>
      <c r="F780" s="152" t="s">
        <v>103</v>
      </c>
      <c r="G780" s="152">
        <v>0</v>
      </c>
      <c r="H780" s="152"/>
      <c r="I780" s="153">
        <v>32.372999999999998</v>
      </c>
      <c r="J780" s="145"/>
      <c r="K780" s="153" t="s">
        <v>86</v>
      </c>
      <c r="L780" s="153" t="s">
        <v>86</v>
      </c>
      <c r="M780" s="153"/>
      <c r="N780" s="2" t="s">
        <v>57</v>
      </c>
      <c r="O780" s="2"/>
      <c r="P780" s="10"/>
    </row>
    <row r="781" spans="1:16" ht="16.5" customHeight="1" x14ac:dyDescent="0.25">
      <c r="A781" s="2" t="s">
        <v>1824</v>
      </c>
      <c r="B781" s="8" t="s">
        <v>1825</v>
      </c>
      <c r="C781" s="8" t="s">
        <v>1500</v>
      </c>
      <c r="D781" s="8" t="s">
        <v>1797</v>
      </c>
      <c r="E781" s="152" t="s">
        <v>102</v>
      </c>
      <c r="F781" s="152" t="s">
        <v>103</v>
      </c>
      <c r="G781" s="152">
        <v>0</v>
      </c>
      <c r="H781" s="152"/>
      <c r="I781" s="153">
        <v>27.202999999999999</v>
      </c>
      <c r="J781" s="145"/>
      <c r="K781" s="153" t="s">
        <v>86</v>
      </c>
      <c r="L781" s="153" t="s">
        <v>86</v>
      </c>
      <c r="M781" s="153"/>
      <c r="N781" s="2" t="s">
        <v>57</v>
      </c>
      <c r="O781" s="2"/>
      <c r="P781" s="2"/>
    </row>
    <row r="782" spans="1:16" ht="16.5" customHeight="1" x14ac:dyDescent="0.25">
      <c r="A782" s="2" t="s">
        <v>1826</v>
      </c>
      <c r="B782" s="8" t="s">
        <v>1827</v>
      </c>
      <c r="C782" s="8" t="s">
        <v>823</v>
      </c>
      <c r="D782" s="8" t="s">
        <v>908</v>
      </c>
      <c r="E782" s="152" t="s">
        <v>102</v>
      </c>
      <c r="F782" s="152" t="s">
        <v>103</v>
      </c>
      <c r="G782" s="152">
        <v>2</v>
      </c>
      <c r="H782" s="152">
        <v>877</v>
      </c>
      <c r="I782" s="153">
        <v>6.9520000000000008</v>
      </c>
      <c r="J782" s="145"/>
      <c r="K782" s="153" t="s">
        <v>86</v>
      </c>
      <c r="L782" s="153" t="s">
        <v>86</v>
      </c>
      <c r="M782" s="153"/>
      <c r="N782" s="2" t="s">
        <v>57</v>
      </c>
      <c r="O782" s="2"/>
      <c r="P782" s="2"/>
    </row>
    <row r="783" spans="1:16" ht="16.5" customHeight="1" x14ac:dyDescent="0.25">
      <c r="A783" s="2" t="s">
        <v>1828</v>
      </c>
      <c r="B783" s="8" t="s">
        <v>1829</v>
      </c>
      <c r="C783" s="8" t="s">
        <v>714</v>
      </c>
      <c r="D783" s="8" t="s">
        <v>296</v>
      </c>
      <c r="E783" s="152" t="s">
        <v>102</v>
      </c>
      <c r="F783" s="152" t="s">
        <v>103</v>
      </c>
      <c r="G783" s="152">
        <v>2</v>
      </c>
      <c r="H783" s="152">
        <v>944</v>
      </c>
      <c r="I783" s="153">
        <v>35.838000000000001</v>
      </c>
      <c r="J783" s="145"/>
      <c r="K783" s="153" t="s">
        <v>86</v>
      </c>
      <c r="L783" s="153" t="s">
        <v>86</v>
      </c>
      <c r="M783" s="153"/>
      <c r="N783" s="2" t="s">
        <v>57</v>
      </c>
      <c r="O783" s="2"/>
      <c r="P783" s="2"/>
    </row>
    <row r="784" spans="1:16" ht="16.5" customHeight="1" x14ac:dyDescent="0.25">
      <c r="A784" s="2" t="s">
        <v>1830</v>
      </c>
      <c r="B784" s="8" t="s">
        <v>1831</v>
      </c>
      <c r="C784" s="8" t="s">
        <v>1832</v>
      </c>
      <c r="D784" s="8" t="s">
        <v>278</v>
      </c>
      <c r="E784" s="152" t="s">
        <v>102</v>
      </c>
      <c r="F784" s="152" t="s">
        <v>103</v>
      </c>
      <c r="G784" s="152">
        <v>2</v>
      </c>
      <c r="H784" s="152">
        <v>174</v>
      </c>
      <c r="I784" s="153">
        <v>79.904000000000011</v>
      </c>
      <c r="J784" s="145"/>
      <c r="K784" s="153">
        <v>-93.68</v>
      </c>
      <c r="L784" s="153">
        <v>-44.303021361306833</v>
      </c>
      <c r="M784" s="153"/>
      <c r="N784" s="2" t="s">
        <v>57</v>
      </c>
      <c r="O784" s="2" t="s">
        <v>1397</v>
      </c>
      <c r="P784" s="10"/>
    </row>
    <row r="785" spans="1:16" ht="16.5" customHeight="1" x14ac:dyDescent="0.25">
      <c r="A785" s="2" t="s">
        <v>1833</v>
      </c>
      <c r="B785" s="8" t="s">
        <v>1834</v>
      </c>
      <c r="C785" s="8" t="s">
        <v>1835</v>
      </c>
      <c r="D785" s="8" t="s">
        <v>278</v>
      </c>
      <c r="E785" s="152" t="s">
        <v>102</v>
      </c>
      <c r="F785" s="152" t="s">
        <v>103</v>
      </c>
      <c r="G785" s="152">
        <v>13</v>
      </c>
      <c r="H785" s="152">
        <v>151</v>
      </c>
      <c r="I785" s="153">
        <v>72.182000000000016</v>
      </c>
      <c r="J785" s="145"/>
      <c r="K785" s="153">
        <v>-19.658506659239379</v>
      </c>
      <c r="L785" s="153">
        <v>-15.99</v>
      </c>
      <c r="M785" s="153"/>
      <c r="N785" s="2" t="s">
        <v>57</v>
      </c>
      <c r="O785" s="2" t="s">
        <v>1445</v>
      </c>
      <c r="P785" s="2" t="s">
        <v>51</v>
      </c>
    </row>
    <row r="786" spans="1:16" ht="16.5" customHeight="1" x14ac:dyDescent="0.25">
      <c r="A786" s="2" t="s">
        <v>1836</v>
      </c>
      <c r="B786" s="8" t="s">
        <v>1837</v>
      </c>
      <c r="C786" s="8" t="s">
        <v>865</v>
      </c>
      <c r="D786" s="8" t="s">
        <v>278</v>
      </c>
      <c r="E786" s="152" t="s">
        <v>102</v>
      </c>
      <c r="F786" s="152" t="s">
        <v>103</v>
      </c>
      <c r="G786" s="152">
        <v>1</v>
      </c>
      <c r="H786" s="152">
        <v>487</v>
      </c>
      <c r="I786" s="153">
        <v>47.707000000000001</v>
      </c>
      <c r="J786" s="145"/>
      <c r="K786" s="153" t="s">
        <v>86</v>
      </c>
      <c r="L786" s="153" t="s">
        <v>86</v>
      </c>
      <c r="M786" s="153"/>
      <c r="N786" s="2" t="s">
        <v>57</v>
      </c>
      <c r="O786" s="2"/>
      <c r="P786" s="10"/>
    </row>
    <row r="787" spans="1:16" ht="16.5" customHeight="1" x14ac:dyDescent="0.25">
      <c r="A787" s="2" t="s">
        <v>1838</v>
      </c>
      <c r="B787" s="8" t="s">
        <v>1839</v>
      </c>
      <c r="C787" s="8" t="s">
        <v>865</v>
      </c>
      <c r="D787" s="8" t="s">
        <v>278</v>
      </c>
      <c r="E787" s="152" t="s">
        <v>102</v>
      </c>
      <c r="F787" s="152" t="s">
        <v>103</v>
      </c>
      <c r="G787" s="152">
        <v>1</v>
      </c>
      <c r="H787" s="152">
        <v>358</v>
      </c>
      <c r="I787" s="153">
        <v>69.498000000000005</v>
      </c>
      <c r="J787" s="145"/>
      <c r="K787" s="153" t="s">
        <v>86</v>
      </c>
      <c r="L787" s="153" t="s">
        <v>86</v>
      </c>
      <c r="M787" s="153"/>
      <c r="N787" s="2" t="s">
        <v>57</v>
      </c>
      <c r="O787" s="2"/>
      <c r="P787" s="10"/>
    </row>
    <row r="788" spans="1:16" ht="16.5" customHeight="1" x14ac:dyDescent="0.25">
      <c r="A788" s="2" t="s">
        <v>1840</v>
      </c>
      <c r="B788" s="8" t="s">
        <v>1841</v>
      </c>
      <c r="C788" s="8" t="s">
        <v>778</v>
      </c>
      <c r="D788" s="8" t="s">
        <v>278</v>
      </c>
      <c r="E788" s="152" t="s">
        <v>102</v>
      </c>
      <c r="F788" s="152" t="s">
        <v>103</v>
      </c>
      <c r="G788" s="152">
        <v>0</v>
      </c>
      <c r="H788" s="152">
        <v>727</v>
      </c>
      <c r="I788" s="153">
        <v>43.384</v>
      </c>
      <c r="J788" s="145"/>
      <c r="K788" s="153" t="s">
        <v>86</v>
      </c>
      <c r="L788" s="153" t="s">
        <v>86</v>
      </c>
      <c r="M788" s="153"/>
      <c r="N788" s="2" t="s">
        <v>57</v>
      </c>
      <c r="O788" s="2"/>
      <c r="P788" s="10"/>
    </row>
    <row r="789" spans="1:16" ht="16.5" customHeight="1" x14ac:dyDescent="0.25">
      <c r="A789" s="2" t="s">
        <v>1842</v>
      </c>
      <c r="B789" s="8" t="s">
        <v>1843</v>
      </c>
      <c r="C789" s="8" t="s">
        <v>778</v>
      </c>
      <c r="D789" s="8" t="s">
        <v>278</v>
      </c>
      <c r="E789" s="152" t="s">
        <v>102</v>
      </c>
      <c r="F789" s="152" t="s">
        <v>103</v>
      </c>
      <c r="G789" s="152">
        <v>4</v>
      </c>
      <c r="H789" s="152">
        <v>218</v>
      </c>
      <c r="I789" s="153">
        <v>46.365000000000002</v>
      </c>
      <c r="J789" s="145"/>
      <c r="K789" s="153">
        <v>-7.45</v>
      </c>
      <c r="L789" s="153" t="s">
        <v>86</v>
      </c>
      <c r="M789" s="153"/>
      <c r="N789" s="2" t="s">
        <v>57</v>
      </c>
      <c r="O789" s="2"/>
      <c r="P789" s="2"/>
    </row>
    <row r="790" spans="1:16" ht="16.5" customHeight="1" x14ac:dyDescent="0.25">
      <c r="A790" s="2" t="s">
        <v>1844</v>
      </c>
      <c r="B790" s="8" t="s">
        <v>1845</v>
      </c>
      <c r="C790" s="8" t="s">
        <v>718</v>
      </c>
      <c r="D790" s="8" t="s">
        <v>282</v>
      </c>
      <c r="E790" s="152" t="s">
        <v>102</v>
      </c>
      <c r="F790" s="152" t="s">
        <v>103</v>
      </c>
      <c r="G790" s="152">
        <v>2</v>
      </c>
      <c r="H790" s="152">
        <v>682</v>
      </c>
      <c r="I790" s="153">
        <v>4.7960000000000012</v>
      </c>
      <c r="J790" s="145"/>
      <c r="K790" s="153" t="s">
        <v>86</v>
      </c>
      <c r="L790" s="153" t="s">
        <v>86</v>
      </c>
      <c r="M790" s="153"/>
      <c r="N790" s="2" t="s">
        <v>57</v>
      </c>
      <c r="O790" s="2"/>
      <c r="P790" s="10"/>
    </row>
    <row r="791" spans="1:16" ht="16.5" customHeight="1" x14ac:dyDescent="0.25">
      <c r="A791" s="2" t="s">
        <v>1846</v>
      </c>
      <c r="B791" s="8" t="s">
        <v>1847</v>
      </c>
      <c r="C791" s="8" t="s">
        <v>718</v>
      </c>
      <c r="D791" s="8" t="s">
        <v>282</v>
      </c>
      <c r="E791" s="152" t="s">
        <v>102</v>
      </c>
      <c r="F791" s="152" t="s">
        <v>103</v>
      </c>
      <c r="G791" s="152">
        <v>1</v>
      </c>
      <c r="H791" s="152">
        <v>854</v>
      </c>
      <c r="I791" s="153">
        <v>6.0940000000000003</v>
      </c>
      <c r="J791" s="145"/>
      <c r="K791" s="153" t="s">
        <v>86</v>
      </c>
      <c r="L791" s="153" t="s">
        <v>86</v>
      </c>
      <c r="M791" s="153"/>
      <c r="N791" s="2" t="s">
        <v>57</v>
      </c>
      <c r="O791" s="2"/>
      <c r="P791" s="2"/>
    </row>
    <row r="792" spans="1:16" ht="16.5" customHeight="1" x14ac:dyDescent="0.25">
      <c r="A792" s="2" t="s">
        <v>1848</v>
      </c>
      <c r="B792" s="8" t="s">
        <v>1849</v>
      </c>
      <c r="C792" s="8" t="s">
        <v>718</v>
      </c>
      <c r="D792" s="8" t="s">
        <v>278</v>
      </c>
      <c r="E792" s="152" t="s">
        <v>102</v>
      </c>
      <c r="F792" s="152" t="s">
        <v>103</v>
      </c>
      <c r="G792" s="152">
        <v>13</v>
      </c>
      <c r="H792" s="152">
        <v>477</v>
      </c>
      <c r="I792" s="153">
        <v>3.19</v>
      </c>
      <c r="J792" s="145"/>
      <c r="K792" s="153">
        <v>-4.4773809523809529</v>
      </c>
      <c r="L792" s="153" t="s">
        <v>86</v>
      </c>
      <c r="M792" s="153"/>
      <c r="N792" s="2" t="s">
        <v>57</v>
      </c>
      <c r="O792" s="2"/>
      <c r="P792" s="10"/>
    </row>
    <row r="793" spans="1:16" ht="16.5" customHeight="1" x14ac:dyDescent="0.25">
      <c r="A793" s="2" t="s">
        <v>1850</v>
      </c>
      <c r="B793" s="8" t="s">
        <v>1851</v>
      </c>
      <c r="C793" s="8" t="s">
        <v>714</v>
      </c>
      <c r="D793" s="8" t="s">
        <v>278</v>
      </c>
      <c r="E793" s="152" t="s">
        <v>102</v>
      </c>
      <c r="F793" s="152" t="s">
        <v>103</v>
      </c>
      <c r="G793" s="152">
        <v>2</v>
      </c>
      <c r="H793" s="152">
        <v>540</v>
      </c>
      <c r="I793" s="153">
        <v>38.192</v>
      </c>
      <c r="J793" s="145"/>
      <c r="K793" s="153" t="s">
        <v>86</v>
      </c>
      <c r="L793" s="153" t="s">
        <v>86</v>
      </c>
      <c r="M793" s="153"/>
      <c r="N793" s="2" t="s">
        <v>57</v>
      </c>
      <c r="O793" s="2"/>
      <c r="P793" s="2"/>
    </row>
    <row r="794" spans="1:16" ht="16.5" customHeight="1" x14ac:dyDescent="0.25">
      <c r="A794" s="2" t="s">
        <v>1852</v>
      </c>
      <c r="B794" s="8" t="s">
        <v>1853</v>
      </c>
      <c r="C794" s="8" t="s">
        <v>865</v>
      </c>
      <c r="D794" s="8" t="s">
        <v>278</v>
      </c>
      <c r="E794" s="152" t="s">
        <v>102</v>
      </c>
      <c r="F794" s="152" t="s">
        <v>103</v>
      </c>
      <c r="G794" s="152">
        <v>0</v>
      </c>
      <c r="H794" s="152">
        <v>1077</v>
      </c>
      <c r="I794" s="153">
        <v>15.367000000000001</v>
      </c>
      <c r="J794" s="145"/>
      <c r="K794" s="153" t="s">
        <v>86</v>
      </c>
      <c r="L794" s="153" t="s">
        <v>86</v>
      </c>
      <c r="M794" s="153"/>
      <c r="N794" s="2" t="s">
        <v>57</v>
      </c>
      <c r="O794" s="2"/>
      <c r="P794" s="2"/>
    </row>
    <row r="795" spans="1:16" ht="16.5" customHeight="1" x14ac:dyDescent="0.25">
      <c r="A795" s="2" t="s">
        <v>1854</v>
      </c>
      <c r="B795" s="8" t="s">
        <v>1855</v>
      </c>
      <c r="C795" s="8" t="s">
        <v>865</v>
      </c>
      <c r="D795" s="8" t="s">
        <v>278</v>
      </c>
      <c r="E795" s="152" t="s">
        <v>102</v>
      </c>
      <c r="F795" s="152" t="s">
        <v>103</v>
      </c>
      <c r="G795" s="152">
        <v>0</v>
      </c>
      <c r="H795" s="152"/>
      <c r="I795" s="153">
        <v>38.543999999999997</v>
      </c>
      <c r="J795" s="145"/>
      <c r="K795" s="153" t="s">
        <v>86</v>
      </c>
      <c r="L795" s="153" t="s">
        <v>86</v>
      </c>
      <c r="M795" s="153"/>
      <c r="N795" s="2" t="s">
        <v>57</v>
      </c>
      <c r="O795" s="2"/>
      <c r="P795" s="10"/>
    </row>
    <row r="796" spans="1:16" ht="16.5" customHeight="1" x14ac:dyDescent="0.25">
      <c r="A796" s="2" t="s">
        <v>1856</v>
      </c>
      <c r="B796" s="8" t="s">
        <v>1857</v>
      </c>
      <c r="C796" s="8" t="s">
        <v>865</v>
      </c>
      <c r="D796" s="8" t="s">
        <v>278</v>
      </c>
      <c r="E796" s="152" t="s">
        <v>102</v>
      </c>
      <c r="F796" s="152" t="s">
        <v>103</v>
      </c>
      <c r="G796" s="152">
        <v>0</v>
      </c>
      <c r="H796" s="152">
        <v>1055</v>
      </c>
      <c r="I796" s="153">
        <v>12.122</v>
      </c>
      <c r="J796" s="145"/>
      <c r="K796" s="153" t="s">
        <v>86</v>
      </c>
      <c r="L796" s="153" t="s">
        <v>86</v>
      </c>
      <c r="M796" s="153"/>
      <c r="N796" s="2" t="s">
        <v>57</v>
      </c>
      <c r="O796" s="2"/>
      <c r="P796" s="2"/>
    </row>
    <row r="797" spans="1:16" ht="16.5" customHeight="1" x14ac:dyDescent="0.25">
      <c r="A797" s="2" t="s">
        <v>1858</v>
      </c>
      <c r="B797" s="8" t="s">
        <v>1859</v>
      </c>
      <c r="C797" s="8" t="s">
        <v>865</v>
      </c>
      <c r="D797" s="8" t="s">
        <v>278</v>
      </c>
      <c r="E797" s="152" t="s">
        <v>102</v>
      </c>
      <c r="F797" s="152" t="s">
        <v>103</v>
      </c>
      <c r="G797" s="152">
        <v>0</v>
      </c>
      <c r="H797" s="152">
        <v>1099</v>
      </c>
      <c r="I797" s="153">
        <v>5.8740000000000014</v>
      </c>
      <c r="J797" s="145"/>
      <c r="K797" s="153" t="s">
        <v>86</v>
      </c>
      <c r="L797" s="153" t="s">
        <v>86</v>
      </c>
      <c r="M797" s="153"/>
      <c r="N797" s="2" t="s">
        <v>57</v>
      </c>
      <c r="O797" s="2"/>
      <c r="P797" s="10"/>
    </row>
    <row r="798" spans="1:16" ht="16.5" customHeight="1" x14ac:dyDescent="0.25">
      <c r="A798" s="2" t="s">
        <v>1860</v>
      </c>
      <c r="B798" s="8" t="s">
        <v>1861</v>
      </c>
      <c r="C798" s="8" t="s">
        <v>1862</v>
      </c>
      <c r="D798" s="8" t="s">
        <v>278</v>
      </c>
      <c r="E798" s="152" t="s">
        <v>102</v>
      </c>
      <c r="F798" s="152" t="s">
        <v>103</v>
      </c>
      <c r="G798" s="152">
        <v>3</v>
      </c>
      <c r="H798" s="152">
        <v>204</v>
      </c>
      <c r="I798" s="153">
        <v>74.657000000000011</v>
      </c>
      <c r="J798" s="145"/>
      <c r="K798" s="153">
        <v>-11.717499999999999</v>
      </c>
      <c r="L798" s="153">
        <v>-34.836569026980037</v>
      </c>
      <c r="M798" s="153"/>
      <c r="N798" s="2" t="s">
        <v>57</v>
      </c>
      <c r="O798" s="2"/>
      <c r="P798" s="2"/>
    </row>
    <row r="799" spans="1:16" ht="16.5" customHeight="1" x14ac:dyDescent="0.25">
      <c r="A799" s="2" t="s">
        <v>1863</v>
      </c>
      <c r="B799" s="8" t="s">
        <v>1864</v>
      </c>
      <c r="C799" s="8" t="s">
        <v>1865</v>
      </c>
      <c r="D799" s="8" t="s">
        <v>278</v>
      </c>
      <c r="E799" s="152" t="s">
        <v>102</v>
      </c>
      <c r="F799" s="152" t="s">
        <v>103</v>
      </c>
      <c r="G799" s="152">
        <v>6</v>
      </c>
      <c r="H799" s="152">
        <v>241</v>
      </c>
      <c r="I799" s="153">
        <v>66</v>
      </c>
      <c r="J799" s="145"/>
      <c r="K799" s="153">
        <v>-21.44220833333333</v>
      </c>
      <c r="L799" s="153">
        <v>-9.98</v>
      </c>
      <c r="M799" s="153"/>
      <c r="N799" s="2" t="s">
        <v>57</v>
      </c>
      <c r="O799" s="2" t="s">
        <v>1449</v>
      </c>
      <c r="P799" s="2" t="s">
        <v>51</v>
      </c>
    </row>
    <row r="800" spans="1:16" ht="16.5" customHeight="1" x14ac:dyDescent="0.25">
      <c r="A800" s="2" t="s">
        <v>1866</v>
      </c>
      <c r="B800" s="8" t="s">
        <v>1867</v>
      </c>
      <c r="C800" s="8" t="s">
        <v>1868</v>
      </c>
      <c r="D800" s="8" t="s">
        <v>278</v>
      </c>
      <c r="E800" s="152" t="s">
        <v>102</v>
      </c>
      <c r="F800" s="152" t="s">
        <v>103</v>
      </c>
      <c r="G800" s="152">
        <v>6</v>
      </c>
      <c r="H800" s="152">
        <v>234</v>
      </c>
      <c r="I800" s="153">
        <v>82.5</v>
      </c>
      <c r="J800" s="145"/>
      <c r="K800" s="153">
        <v>-21.376333333333331</v>
      </c>
      <c r="L800" s="153">
        <v>-15.46</v>
      </c>
      <c r="M800" s="153"/>
      <c r="N800" s="2" t="s">
        <v>57</v>
      </c>
      <c r="O800" s="2"/>
      <c r="P800" s="2" t="s">
        <v>51</v>
      </c>
    </row>
    <row r="801" spans="1:16" ht="16.5" customHeight="1" x14ac:dyDescent="0.25">
      <c r="A801" s="2" t="s">
        <v>1869</v>
      </c>
      <c r="B801" s="8" t="s">
        <v>1870</v>
      </c>
      <c r="C801" s="8" t="s">
        <v>1871</v>
      </c>
      <c r="D801" s="8" t="s">
        <v>278</v>
      </c>
      <c r="E801" s="152" t="s">
        <v>102</v>
      </c>
      <c r="F801" s="152" t="s">
        <v>103</v>
      </c>
      <c r="G801" s="152">
        <v>2</v>
      </c>
      <c r="H801" s="152">
        <v>199</v>
      </c>
      <c r="I801" s="153">
        <v>99.000000000000014</v>
      </c>
      <c r="J801" s="145"/>
      <c r="K801" s="153">
        <v>-16.54400595238095</v>
      </c>
      <c r="L801" s="153">
        <v>-39.39</v>
      </c>
      <c r="M801" s="153"/>
      <c r="N801" s="2" t="s">
        <v>57</v>
      </c>
      <c r="O801" s="2" t="s">
        <v>1453</v>
      </c>
      <c r="P801" s="2" t="s">
        <v>51</v>
      </c>
    </row>
    <row r="802" spans="1:16" ht="16.5" customHeight="1" x14ac:dyDescent="0.25">
      <c r="A802" s="2" t="s">
        <v>1872</v>
      </c>
      <c r="B802" s="8" t="s">
        <v>1873</v>
      </c>
      <c r="C802" s="8" t="s">
        <v>102</v>
      </c>
      <c r="D802" s="8" t="s">
        <v>1874</v>
      </c>
      <c r="E802" s="152" t="s">
        <v>102</v>
      </c>
      <c r="F802" s="152" t="s">
        <v>103</v>
      </c>
      <c r="G802" s="152">
        <v>1</v>
      </c>
      <c r="H802" s="152"/>
      <c r="I802" s="153">
        <v>2.6509999999999998</v>
      </c>
      <c r="J802" s="145"/>
      <c r="K802" s="153" t="s">
        <v>86</v>
      </c>
      <c r="L802" s="153" t="s">
        <v>86</v>
      </c>
      <c r="M802" s="153"/>
      <c r="N802" s="2" t="s">
        <v>57</v>
      </c>
      <c r="O802" s="2"/>
      <c r="P802" s="10"/>
    </row>
    <row r="803" spans="1:16" ht="16.5" customHeight="1" x14ac:dyDescent="0.25">
      <c r="A803" s="2" t="s">
        <v>1875</v>
      </c>
      <c r="B803" s="8" t="s">
        <v>1876</v>
      </c>
      <c r="C803" s="8" t="s">
        <v>102</v>
      </c>
      <c r="D803" s="8" t="s">
        <v>1874</v>
      </c>
      <c r="E803" s="152" t="s">
        <v>102</v>
      </c>
      <c r="F803" s="152" t="s">
        <v>103</v>
      </c>
      <c r="G803" s="152">
        <v>0</v>
      </c>
      <c r="H803" s="152"/>
      <c r="I803" s="153">
        <v>2.0129999999999999</v>
      </c>
      <c r="J803" s="145"/>
      <c r="K803" s="153" t="s">
        <v>86</v>
      </c>
      <c r="L803" s="153" t="s">
        <v>86</v>
      </c>
      <c r="M803" s="153"/>
      <c r="N803" s="2" t="s">
        <v>57</v>
      </c>
      <c r="O803" s="2"/>
      <c r="P803" s="2"/>
    </row>
    <row r="804" spans="1:16" ht="16.5" customHeight="1" x14ac:dyDescent="0.25">
      <c r="A804" s="2" t="s">
        <v>1877</v>
      </c>
      <c r="B804" s="8" t="s">
        <v>1878</v>
      </c>
      <c r="C804" s="8" t="s">
        <v>102</v>
      </c>
      <c r="D804" s="8" t="s">
        <v>1874</v>
      </c>
      <c r="E804" s="152" t="s">
        <v>102</v>
      </c>
      <c r="F804" s="152" t="s">
        <v>103</v>
      </c>
      <c r="G804" s="152">
        <v>0</v>
      </c>
      <c r="H804" s="152"/>
      <c r="I804" s="153">
        <v>2.1669999999999998</v>
      </c>
      <c r="J804" s="145"/>
      <c r="K804" s="153" t="s">
        <v>86</v>
      </c>
      <c r="L804" s="153" t="s">
        <v>86</v>
      </c>
      <c r="M804" s="153"/>
      <c r="N804" s="2" t="s">
        <v>57</v>
      </c>
      <c r="O804" s="2"/>
      <c r="P804" s="10"/>
    </row>
    <row r="805" spans="1:16" ht="16.5" customHeight="1" x14ac:dyDescent="0.25">
      <c r="A805" s="2" t="s">
        <v>1879</v>
      </c>
      <c r="B805" s="8" t="s">
        <v>1880</v>
      </c>
      <c r="C805" s="8" t="s">
        <v>102</v>
      </c>
      <c r="D805" s="8" t="s">
        <v>1874</v>
      </c>
      <c r="E805" s="152" t="s">
        <v>102</v>
      </c>
      <c r="F805" s="152" t="s">
        <v>103</v>
      </c>
      <c r="G805" s="152">
        <v>0</v>
      </c>
      <c r="H805" s="152"/>
      <c r="I805" s="153">
        <v>2.398000000000001</v>
      </c>
      <c r="J805" s="145"/>
      <c r="K805" s="153" t="s">
        <v>86</v>
      </c>
      <c r="L805" s="153" t="s">
        <v>86</v>
      </c>
      <c r="M805" s="153"/>
      <c r="N805" s="2" t="s">
        <v>57</v>
      </c>
      <c r="O805" s="2"/>
      <c r="P805" s="2"/>
    </row>
    <row r="806" spans="1:16" ht="16.5" customHeight="1" x14ac:dyDescent="0.25">
      <c r="A806" s="2" t="s">
        <v>1881</v>
      </c>
      <c r="B806" s="8" t="s">
        <v>1882</v>
      </c>
      <c r="C806" s="8" t="s">
        <v>102</v>
      </c>
      <c r="D806" s="8" t="s">
        <v>1874</v>
      </c>
      <c r="E806" s="152" t="s">
        <v>102</v>
      </c>
      <c r="F806" s="152" t="s">
        <v>103</v>
      </c>
      <c r="G806" s="152">
        <v>0</v>
      </c>
      <c r="H806" s="152"/>
      <c r="I806" s="153">
        <v>1.2649999999999999</v>
      </c>
      <c r="J806" s="145"/>
      <c r="K806" s="153" t="s">
        <v>86</v>
      </c>
      <c r="L806" s="153" t="s">
        <v>86</v>
      </c>
      <c r="M806" s="153"/>
      <c r="N806" s="2" t="s">
        <v>57</v>
      </c>
      <c r="O806" s="2"/>
      <c r="P806" s="2"/>
    </row>
    <row r="807" spans="1:16" ht="16.5" customHeight="1" x14ac:dyDescent="0.25">
      <c r="A807" s="2" t="s">
        <v>1883</v>
      </c>
      <c r="B807" s="8" t="s">
        <v>1884</v>
      </c>
      <c r="C807" s="8" t="s">
        <v>102</v>
      </c>
      <c r="D807" s="8" t="s">
        <v>1874</v>
      </c>
      <c r="E807" s="152" t="s">
        <v>102</v>
      </c>
      <c r="F807" s="152" t="s">
        <v>103</v>
      </c>
      <c r="G807" s="152">
        <v>0</v>
      </c>
      <c r="H807" s="152"/>
      <c r="I807" s="153">
        <v>3.597</v>
      </c>
      <c r="J807" s="145"/>
      <c r="K807" s="153" t="s">
        <v>86</v>
      </c>
      <c r="L807" s="153" t="s">
        <v>86</v>
      </c>
      <c r="M807" s="153"/>
      <c r="N807" s="2" t="s">
        <v>57</v>
      </c>
      <c r="O807" s="2"/>
      <c r="P807" s="2"/>
    </row>
    <row r="808" spans="1:16" ht="16.5" customHeight="1" x14ac:dyDescent="0.25">
      <c r="A808" s="2" t="s">
        <v>1885</v>
      </c>
      <c r="B808" s="8" t="s">
        <v>1886</v>
      </c>
      <c r="C808" s="8" t="s">
        <v>102</v>
      </c>
      <c r="D808" s="8" t="s">
        <v>1874</v>
      </c>
      <c r="E808" s="152" t="s">
        <v>102</v>
      </c>
      <c r="F808" s="152" t="s">
        <v>103</v>
      </c>
      <c r="G808" s="152">
        <v>0</v>
      </c>
      <c r="H808" s="152"/>
      <c r="I808" s="153">
        <v>1.3859999999999999</v>
      </c>
      <c r="J808" s="145"/>
      <c r="K808" s="153" t="s">
        <v>86</v>
      </c>
      <c r="L808" s="153" t="s">
        <v>86</v>
      </c>
      <c r="M808" s="153"/>
      <c r="N808" s="2" t="s">
        <v>57</v>
      </c>
      <c r="O808" s="2"/>
      <c r="P808" s="2"/>
    </row>
    <row r="809" spans="1:16" ht="16.5" customHeight="1" x14ac:dyDescent="0.25">
      <c r="A809" s="2" t="s">
        <v>1887</v>
      </c>
      <c r="B809" s="8" t="s">
        <v>1888</v>
      </c>
      <c r="C809" s="8" t="s">
        <v>102</v>
      </c>
      <c r="D809" s="8" t="s">
        <v>1874</v>
      </c>
      <c r="E809" s="152" t="s">
        <v>102</v>
      </c>
      <c r="F809" s="152" t="s">
        <v>103</v>
      </c>
      <c r="G809" s="152">
        <v>0</v>
      </c>
      <c r="H809" s="152"/>
      <c r="I809" s="153">
        <v>2.2770000000000001</v>
      </c>
      <c r="J809" s="145"/>
      <c r="K809" s="153" t="s">
        <v>86</v>
      </c>
      <c r="L809" s="153" t="s">
        <v>86</v>
      </c>
      <c r="M809" s="153"/>
      <c r="N809" s="2" t="s">
        <v>57</v>
      </c>
      <c r="O809" s="2"/>
      <c r="P809" s="10"/>
    </row>
    <row r="810" spans="1:16" ht="16.5" customHeight="1" x14ac:dyDescent="0.25">
      <c r="A810" s="2" t="s">
        <v>1889</v>
      </c>
      <c r="B810" s="8" t="s">
        <v>1890</v>
      </c>
      <c r="C810" s="8" t="s">
        <v>102</v>
      </c>
      <c r="D810" s="8" t="s">
        <v>1874</v>
      </c>
      <c r="E810" s="152" t="s">
        <v>102</v>
      </c>
      <c r="F810" s="152" t="s">
        <v>103</v>
      </c>
      <c r="G810" s="152">
        <v>0</v>
      </c>
      <c r="H810" s="152"/>
      <c r="I810" s="153">
        <v>0.29699999999999999</v>
      </c>
      <c r="J810" s="145"/>
      <c r="K810" s="153" t="s">
        <v>86</v>
      </c>
      <c r="L810" s="153" t="s">
        <v>86</v>
      </c>
      <c r="M810" s="153"/>
      <c r="N810" s="2" t="s">
        <v>57</v>
      </c>
      <c r="O810" s="2"/>
      <c r="P810" s="10"/>
    </row>
    <row r="811" spans="1:16" ht="16.5" customHeight="1" x14ac:dyDescent="0.25">
      <c r="A811" s="2" t="s">
        <v>1891</v>
      </c>
      <c r="B811" s="8" t="s">
        <v>1892</v>
      </c>
      <c r="C811" s="8" t="s">
        <v>102</v>
      </c>
      <c r="D811" s="8" t="s">
        <v>1874</v>
      </c>
      <c r="E811" s="152" t="s">
        <v>102</v>
      </c>
      <c r="F811" s="152" t="s">
        <v>103</v>
      </c>
      <c r="G811" s="152">
        <v>0</v>
      </c>
      <c r="H811" s="152"/>
      <c r="I811" s="153">
        <v>0.6160000000000001</v>
      </c>
      <c r="J811" s="145"/>
      <c r="K811" s="153" t="s">
        <v>86</v>
      </c>
      <c r="L811" s="153" t="s">
        <v>86</v>
      </c>
      <c r="M811" s="153"/>
      <c r="N811" s="2" t="s">
        <v>57</v>
      </c>
      <c r="O811" s="2"/>
      <c r="P811" s="10"/>
    </row>
    <row r="812" spans="1:16" ht="16.5" customHeight="1" x14ac:dyDescent="0.25">
      <c r="A812" s="2" t="s">
        <v>1893</v>
      </c>
      <c r="B812" s="8" t="s">
        <v>1894</v>
      </c>
      <c r="C812" s="8" t="s">
        <v>102</v>
      </c>
      <c r="D812" s="8" t="s">
        <v>1874</v>
      </c>
      <c r="E812" s="152" t="s">
        <v>102</v>
      </c>
      <c r="F812" s="152" t="s">
        <v>103</v>
      </c>
      <c r="G812" s="152">
        <v>0</v>
      </c>
      <c r="H812" s="152"/>
      <c r="I812" s="153">
        <v>1.8919999999999999</v>
      </c>
      <c r="J812" s="145"/>
      <c r="K812" s="153" t="s">
        <v>86</v>
      </c>
      <c r="L812" s="153" t="s">
        <v>86</v>
      </c>
      <c r="M812" s="153"/>
      <c r="N812" s="2" t="s">
        <v>57</v>
      </c>
      <c r="O812" s="2"/>
      <c r="P812" s="10"/>
    </row>
    <row r="813" spans="1:16" ht="16.5" customHeight="1" x14ac:dyDescent="0.25">
      <c r="A813" s="2" t="s">
        <v>1895</v>
      </c>
      <c r="B813" s="8" t="s">
        <v>1896</v>
      </c>
      <c r="C813" s="8" t="s">
        <v>102</v>
      </c>
      <c r="D813" s="8" t="s">
        <v>1874</v>
      </c>
      <c r="E813" s="152" t="s">
        <v>102</v>
      </c>
      <c r="F813" s="152" t="s">
        <v>103</v>
      </c>
      <c r="G813" s="152">
        <v>0</v>
      </c>
      <c r="H813" s="152"/>
      <c r="I813" s="153">
        <v>0.6160000000000001</v>
      </c>
      <c r="J813" s="145"/>
      <c r="K813" s="153" t="s">
        <v>86</v>
      </c>
      <c r="L813" s="153" t="s">
        <v>86</v>
      </c>
      <c r="M813" s="153"/>
      <c r="N813" s="2" t="s">
        <v>57</v>
      </c>
      <c r="O813" s="2"/>
      <c r="P813" s="2"/>
    </row>
    <row r="814" spans="1:16" ht="16.5" customHeight="1" x14ac:dyDescent="0.25">
      <c r="A814" s="2" t="s">
        <v>1897</v>
      </c>
      <c r="B814" s="8" t="s">
        <v>1898</v>
      </c>
      <c r="C814" s="8" t="s">
        <v>102</v>
      </c>
      <c r="D814" s="8" t="s">
        <v>1874</v>
      </c>
      <c r="E814" s="152" t="s">
        <v>102</v>
      </c>
      <c r="F814" s="152" t="s">
        <v>103</v>
      </c>
      <c r="G814" s="152">
        <v>0</v>
      </c>
      <c r="H814" s="152"/>
      <c r="I814" s="153">
        <v>1.1220000000000001</v>
      </c>
      <c r="J814" s="145"/>
      <c r="K814" s="153" t="s">
        <v>86</v>
      </c>
      <c r="L814" s="153" t="s">
        <v>86</v>
      </c>
      <c r="M814" s="153"/>
      <c r="N814" s="2" t="s">
        <v>57</v>
      </c>
      <c r="O814" s="2"/>
      <c r="P814" s="2"/>
    </row>
    <row r="815" spans="1:16" ht="16.5" customHeight="1" x14ac:dyDescent="0.25">
      <c r="A815" s="2" t="s">
        <v>1899</v>
      </c>
      <c r="B815" s="8" t="s">
        <v>1900</v>
      </c>
      <c r="C815" s="8" t="s">
        <v>102</v>
      </c>
      <c r="D815" s="8" t="s">
        <v>1874</v>
      </c>
      <c r="E815" s="152" t="s">
        <v>102</v>
      </c>
      <c r="F815" s="152" t="s">
        <v>103</v>
      </c>
      <c r="G815" s="152">
        <v>2</v>
      </c>
      <c r="H815" s="152"/>
      <c r="I815" s="153">
        <v>3.8719999999999999</v>
      </c>
      <c r="J815" s="145"/>
      <c r="K815" s="153">
        <v>-0.90281467373302438</v>
      </c>
      <c r="L815" s="153" t="s">
        <v>86</v>
      </c>
      <c r="M815" s="153"/>
      <c r="N815" s="2" t="s">
        <v>57</v>
      </c>
      <c r="O815" s="2"/>
      <c r="P815" s="10"/>
    </row>
    <row r="816" spans="1:16" ht="16.5" customHeight="1" x14ac:dyDescent="0.25">
      <c r="A816" s="2" t="s">
        <v>1901</v>
      </c>
      <c r="B816" s="8" t="s">
        <v>1901</v>
      </c>
      <c r="C816" s="8" t="s">
        <v>102</v>
      </c>
      <c r="D816" s="8" t="s">
        <v>1874</v>
      </c>
      <c r="E816" s="152" t="s">
        <v>102</v>
      </c>
      <c r="F816" s="152" t="s">
        <v>103</v>
      </c>
      <c r="G816" s="152">
        <v>0</v>
      </c>
      <c r="H816" s="152"/>
      <c r="I816" s="153">
        <v>5.4340000000000011</v>
      </c>
      <c r="J816" s="145"/>
      <c r="K816" s="153" t="s">
        <v>86</v>
      </c>
      <c r="L816" s="153" t="s">
        <v>86</v>
      </c>
      <c r="M816" s="153"/>
      <c r="N816" s="2" t="s">
        <v>57</v>
      </c>
      <c r="O816" s="2"/>
      <c r="P816" s="10"/>
    </row>
    <row r="817" spans="1:16" ht="16.5" customHeight="1" x14ac:dyDescent="0.25">
      <c r="A817" s="2" t="s">
        <v>1902</v>
      </c>
      <c r="B817" s="8" t="s">
        <v>1903</v>
      </c>
      <c r="C817" s="8" t="s">
        <v>102</v>
      </c>
      <c r="D817" s="8" t="s">
        <v>1874</v>
      </c>
      <c r="E817" s="152" t="s">
        <v>102</v>
      </c>
      <c r="F817" s="152" t="s">
        <v>103</v>
      </c>
      <c r="G817" s="152">
        <v>0</v>
      </c>
      <c r="H817" s="152"/>
      <c r="I817" s="153">
        <v>1.034</v>
      </c>
      <c r="J817" s="145"/>
      <c r="K817" s="153" t="s">
        <v>86</v>
      </c>
      <c r="L817" s="153" t="s">
        <v>86</v>
      </c>
      <c r="M817" s="153"/>
      <c r="N817" s="2" t="s">
        <v>57</v>
      </c>
      <c r="O817" s="2"/>
      <c r="P817" s="2"/>
    </row>
    <row r="818" spans="1:16" ht="16.5" customHeight="1" x14ac:dyDescent="0.25">
      <c r="A818" s="2" t="s">
        <v>1904</v>
      </c>
      <c r="B818" s="8" t="s">
        <v>1905</v>
      </c>
      <c r="C818" s="8" t="s">
        <v>753</v>
      </c>
      <c r="D818" s="8" t="s">
        <v>1906</v>
      </c>
      <c r="E818" s="152" t="s">
        <v>102</v>
      </c>
      <c r="F818" s="152" t="s">
        <v>103</v>
      </c>
      <c r="G818" s="152">
        <v>2</v>
      </c>
      <c r="H818" s="152">
        <v>666</v>
      </c>
      <c r="I818" s="153">
        <v>11.319000000000001</v>
      </c>
      <c r="J818" s="145"/>
      <c r="K818" s="153">
        <v>-0.5431383458646617</v>
      </c>
      <c r="L818" s="153" t="s">
        <v>86</v>
      </c>
      <c r="M818" s="153"/>
      <c r="N818" s="2" t="s">
        <v>57</v>
      </c>
      <c r="O818" s="2"/>
      <c r="P818" s="10"/>
    </row>
    <row r="819" spans="1:16" ht="16.5" customHeight="1" x14ac:dyDescent="0.25">
      <c r="A819" s="2" t="s">
        <v>1907</v>
      </c>
      <c r="B819" s="8" t="s">
        <v>1908</v>
      </c>
      <c r="C819" s="8" t="s">
        <v>718</v>
      </c>
      <c r="D819" s="8" t="s">
        <v>278</v>
      </c>
      <c r="E819" s="152" t="s">
        <v>102</v>
      </c>
      <c r="F819" s="152" t="s">
        <v>103</v>
      </c>
      <c r="G819" s="152">
        <v>2</v>
      </c>
      <c r="H819" s="152"/>
      <c r="I819" s="153">
        <v>15.169</v>
      </c>
      <c r="J819" s="145"/>
      <c r="K819" s="153">
        <v>-1.7283333333333331</v>
      </c>
      <c r="L819" s="153" t="s">
        <v>86</v>
      </c>
      <c r="M819" s="153"/>
      <c r="N819" s="2" t="s">
        <v>57</v>
      </c>
      <c r="O819" s="2"/>
      <c r="P819" s="10"/>
    </row>
    <row r="820" spans="1:16" ht="16.5" customHeight="1" x14ac:dyDescent="0.25">
      <c r="A820" s="2" t="s">
        <v>1909</v>
      </c>
      <c r="B820" s="8" t="s">
        <v>1910</v>
      </c>
      <c r="C820" s="8" t="s">
        <v>753</v>
      </c>
      <c r="D820" s="8" t="s">
        <v>1906</v>
      </c>
      <c r="E820" s="152" t="s">
        <v>102</v>
      </c>
      <c r="F820" s="152" t="s">
        <v>103</v>
      </c>
      <c r="G820" s="152">
        <v>0</v>
      </c>
      <c r="H820" s="152"/>
      <c r="I820" s="153">
        <v>24.364999999999998</v>
      </c>
      <c r="J820" s="145"/>
      <c r="K820" s="153" t="s">
        <v>86</v>
      </c>
      <c r="L820" s="153" t="s">
        <v>86</v>
      </c>
      <c r="M820" s="153"/>
      <c r="N820" s="2" t="s">
        <v>57</v>
      </c>
      <c r="O820" s="2"/>
      <c r="P820" s="2"/>
    </row>
    <row r="821" spans="1:16" ht="16.5" customHeight="1" x14ac:dyDescent="0.25">
      <c r="A821" s="2" t="s">
        <v>1911</v>
      </c>
      <c r="B821" s="8" t="s">
        <v>1912</v>
      </c>
      <c r="C821" s="8" t="s">
        <v>753</v>
      </c>
      <c r="D821" s="8" t="s">
        <v>1906</v>
      </c>
      <c r="E821" s="152" t="s">
        <v>102</v>
      </c>
      <c r="F821" s="152" t="s">
        <v>103</v>
      </c>
      <c r="G821" s="152">
        <v>0</v>
      </c>
      <c r="H821" s="152"/>
      <c r="I821" s="153">
        <v>26.553999999999998</v>
      </c>
      <c r="J821" s="145"/>
      <c r="K821" s="153" t="s">
        <v>86</v>
      </c>
      <c r="L821" s="153" t="s">
        <v>86</v>
      </c>
      <c r="M821" s="153"/>
      <c r="N821" s="2" t="s">
        <v>57</v>
      </c>
      <c r="O821" s="2"/>
      <c r="P821" s="10"/>
    </row>
    <row r="822" spans="1:16" ht="16.5" customHeight="1" x14ac:dyDescent="0.25">
      <c r="A822" s="2" t="s">
        <v>1913</v>
      </c>
      <c r="B822" s="8" t="s">
        <v>1914</v>
      </c>
      <c r="C822" s="8" t="s">
        <v>753</v>
      </c>
      <c r="D822" s="8" t="s">
        <v>1906</v>
      </c>
      <c r="E822" s="152" t="s">
        <v>102</v>
      </c>
      <c r="F822" s="152" t="s">
        <v>103</v>
      </c>
      <c r="G822" s="152">
        <v>0</v>
      </c>
      <c r="H822" s="152"/>
      <c r="I822" s="153">
        <v>28.908000000000001</v>
      </c>
      <c r="J822" s="145"/>
      <c r="K822" s="153" t="s">
        <v>86</v>
      </c>
      <c r="L822" s="153" t="s">
        <v>86</v>
      </c>
      <c r="M822" s="153"/>
      <c r="N822" s="2" t="s">
        <v>57</v>
      </c>
      <c r="O822" s="2"/>
      <c r="P822" s="10"/>
    </row>
    <row r="823" spans="1:16" ht="16.5" customHeight="1" x14ac:dyDescent="0.25">
      <c r="A823" s="2" t="s">
        <v>1915</v>
      </c>
      <c r="B823" s="8" t="s">
        <v>1916</v>
      </c>
      <c r="C823" s="8" t="s">
        <v>714</v>
      </c>
      <c r="D823" s="8" t="s">
        <v>278</v>
      </c>
      <c r="E823" s="152" t="s">
        <v>102</v>
      </c>
      <c r="F823" s="152" t="s">
        <v>103</v>
      </c>
      <c r="G823" s="152">
        <v>0</v>
      </c>
      <c r="H823" s="152"/>
      <c r="I823" s="153">
        <v>66.858000000000004</v>
      </c>
      <c r="J823" s="145"/>
      <c r="K823" s="153" t="s">
        <v>86</v>
      </c>
      <c r="L823" s="153" t="s">
        <v>86</v>
      </c>
      <c r="M823" s="153"/>
      <c r="N823" s="2" t="s">
        <v>57</v>
      </c>
      <c r="O823" s="2"/>
      <c r="P823" s="10"/>
    </row>
    <row r="824" spans="1:16" ht="16.5" customHeight="1" x14ac:dyDescent="0.25">
      <c r="A824" s="2" t="s">
        <v>1917</v>
      </c>
      <c r="B824" s="8" t="s">
        <v>1918</v>
      </c>
      <c r="C824" s="8" t="s">
        <v>1919</v>
      </c>
      <c r="D824" s="8" t="s">
        <v>278</v>
      </c>
      <c r="E824" s="152" t="s">
        <v>102</v>
      </c>
      <c r="F824" s="152" t="s">
        <v>103</v>
      </c>
      <c r="G824" s="152">
        <v>0</v>
      </c>
      <c r="H824" s="152"/>
      <c r="I824" s="153">
        <v>57.915000000000013</v>
      </c>
      <c r="J824" s="145"/>
      <c r="K824" s="153" t="s">
        <v>86</v>
      </c>
      <c r="L824" s="153" t="s">
        <v>86</v>
      </c>
      <c r="M824" s="153"/>
      <c r="N824" s="2" t="s">
        <v>57</v>
      </c>
      <c r="O824" s="2"/>
      <c r="P824" s="2"/>
    </row>
    <row r="825" spans="1:16" ht="16.5" customHeight="1" x14ac:dyDescent="0.25">
      <c r="A825" s="2" t="s">
        <v>1920</v>
      </c>
      <c r="B825" s="8" t="s">
        <v>1921</v>
      </c>
      <c r="C825" s="8" t="s">
        <v>714</v>
      </c>
      <c r="D825" s="8" t="s">
        <v>278</v>
      </c>
      <c r="E825" s="152" t="s">
        <v>102</v>
      </c>
      <c r="F825" s="152" t="s">
        <v>103</v>
      </c>
      <c r="G825" s="152">
        <v>2</v>
      </c>
      <c r="H825" s="152">
        <v>836</v>
      </c>
      <c r="I825" s="153">
        <v>50.215000000000003</v>
      </c>
      <c r="J825" s="145"/>
      <c r="K825" s="153" t="s">
        <v>86</v>
      </c>
      <c r="L825" s="153" t="s">
        <v>86</v>
      </c>
      <c r="M825" s="153"/>
      <c r="N825" s="2" t="s">
        <v>57</v>
      </c>
      <c r="O825" s="2"/>
      <c r="P825" s="10"/>
    </row>
    <row r="826" spans="1:16" ht="16.5" customHeight="1" x14ac:dyDescent="0.25">
      <c r="A826" s="2" t="s">
        <v>1922</v>
      </c>
      <c r="B826" s="8" t="s">
        <v>1923</v>
      </c>
      <c r="C826" s="8" t="s">
        <v>714</v>
      </c>
      <c r="D826" s="8" t="s">
        <v>278</v>
      </c>
      <c r="E826" s="152" t="s">
        <v>102</v>
      </c>
      <c r="F826" s="152" t="s">
        <v>103</v>
      </c>
      <c r="G826" s="152">
        <v>0</v>
      </c>
      <c r="H826" s="152"/>
      <c r="I826" s="153">
        <v>73.788000000000011</v>
      </c>
      <c r="J826" s="145"/>
      <c r="K826" s="153" t="s">
        <v>86</v>
      </c>
      <c r="L826" s="153" t="s">
        <v>86</v>
      </c>
      <c r="M826" s="153"/>
      <c r="N826" s="2" t="s">
        <v>57</v>
      </c>
      <c r="O826" s="2"/>
      <c r="P826" s="2"/>
    </row>
    <row r="827" spans="1:16" ht="16.5" customHeight="1" x14ac:dyDescent="0.25">
      <c r="A827" s="2" t="s">
        <v>1924</v>
      </c>
      <c r="B827" s="8" t="s">
        <v>1925</v>
      </c>
      <c r="C827" s="8" t="s">
        <v>865</v>
      </c>
      <c r="D827" s="8" t="s">
        <v>278</v>
      </c>
      <c r="E827" s="152" t="s">
        <v>102</v>
      </c>
      <c r="F827" s="152" t="s">
        <v>103</v>
      </c>
      <c r="G827" s="152">
        <v>0</v>
      </c>
      <c r="H827" s="152"/>
      <c r="I827" s="153">
        <v>62.524000000000008</v>
      </c>
      <c r="J827" s="145"/>
      <c r="K827" s="153" t="s">
        <v>86</v>
      </c>
      <c r="L827" s="153" t="s">
        <v>86</v>
      </c>
      <c r="M827" s="153"/>
      <c r="N827" s="2" t="s">
        <v>57</v>
      </c>
      <c r="O827" s="2"/>
      <c r="P827" s="10"/>
    </row>
    <row r="828" spans="1:16" ht="16.5" customHeight="1" x14ac:dyDescent="0.25">
      <c r="A828" s="2" t="s">
        <v>1926</v>
      </c>
      <c r="B828" s="8" t="s">
        <v>1927</v>
      </c>
      <c r="C828" s="8" t="s">
        <v>1047</v>
      </c>
      <c r="D828" s="8" t="s">
        <v>278</v>
      </c>
      <c r="E828" s="152" t="s">
        <v>102</v>
      </c>
      <c r="F828" s="152" t="s">
        <v>103</v>
      </c>
      <c r="G828" s="152">
        <v>1</v>
      </c>
      <c r="H828" s="152"/>
      <c r="I828" s="153">
        <v>35.067999999999998</v>
      </c>
      <c r="J828" s="145"/>
      <c r="K828" s="153" t="s">
        <v>86</v>
      </c>
      <c r="L828" s="153" t="s">
        <v>86</v>
      </c>
      <c r="M828" s="153"/>
      <c r="N828" s="2" t="s">
        <v>57</v>
      </c>
      <c r="O828" s="2"/>
      <c r="P828" s="10"/>
    </row>
    <row r="829" spans="1:16" ht="16.5" customHeight="1" x14ac:dyDescent="0.25">
      <c r="A829" s="2" t="s">
        <v>1928</v>
      </c>
      <c r="B829" s="8" t="s">
        <v>1929</v>
      </c>
      <c r="C829" s="8" t="s">
        <v>718</v>
      </c>
      <c r="D829" s="8" t="s">
        <v>278</v>
      </c>
      <c r="E829" s="152" t="s">
        <v>102</v>
      </c>
      <c r="F829" s="152" t="s">
        <v>103</v>
      </c>
      <c r="G829" s="152">
        <v>1</v>
      </c>
      <c r="H829" s="152"/>
      <c r="I829" s="153">
        <v>51.183000000000007</v>
      </c>
      <c r="J829" s="145"/>
      <c r="K829" s="153" t="s">
        <v>86</v>
      </c>
      <c r="L829" s="153" t="s">
        <v>86</v>
      </c>
      <c r="M829" s="153"/>
      <c r="N829" s="2" t="s">
        <v>57</v>
      </c>
      <c r="O829" s="2"/>
      <c r="P829" s="10"/>
    </row>
    <row r="830" spans="1:16" ht="16.5" customHeight="1" x14ac:dyDescent="0.25">
      <c r="A830" s="2" t="s">
        <v>1930</v>
      </c>
      <c r="B830" s="8" t="s">
        <v>1931</v>
      </c>
      <c r="C830" s="8" t="s">
        <v>714</v>
      </c>
      <c r="D830" s="8" t="s">
        <v>278</v>
      </c>
      <c r="E830" s="152" t="s">
        <v>102</v>
      </c>
      <c r="F830" s="152" t="s">
        <v>103</v>
      </c>
      <c r="G830" s="152">
        <v>0</v>
      </c>
      <c r="H830" s="152"/>
      <c r="I830" s="153">
        <v>91.663000000000011</v>
      </c>
      <c r="J830" s="145"/>
      <c r="K830" s="153" t="s">
        <v>86</v>
      </c>
      <c r="L830" s="153" t="s">
        <v>86</v>
      </c>
      <c r="M830" s="153"/>
      <c r="N830" s="2" t="s">
        <v>57</v>
      </c>
      <c r="O830" s="2"/>
      <c r="P830" s="10"/>
    </row>
    <row r="831" spans="1:16" ht="16.5" customHeight="1" x14ac:dyDescent="0.25">
      <c r="A831" s="2" t="s">
        <v>1932</v>
      </c>
      <c r="B831" s="8" t="s">
        <v>1933</v>
      </c>
      <c r="C831" s="8" t="s">
        <v>714</v>
      </c>
      <c r="D831" s="8" t="s">
        <v>278</v>
      </c>
      <c r="E831" s="152" t="s">
        <v>102</v>
      </c>
      <c r="F831" s="152" t="s">
        <v>103</v>
      </c>
      <c r="G831" s="152">
        <v>0</v>
      </c>
      <c r="H831" s="152"/>
      <c r="I831" s="153">
        <v>15.367000000000001</v>
      </c>
      <c r="J831" s="145"/>
      <c r="K831" s="153" t="s">
        <v>86</v>
      </c>
      <c r="L831" s="153" t="s">
        <v>86</v>
      </c>
      <c r="M831" s="153"/>
      <c r="N831" s="2" t="s">
        <v>57</v>
      </c>
      <c r="O831" s="2"/>
      <c r="P831" s="10"/>
    </row>
    <row r="832" spans="1:16" ht="16.5" customHeight="1" x14ac:dyDescent="0.25">
      <c r="A832" s="2" t="s">
        <v>1934</v>
      </c>
      <c r="B832" s="8" t="s">
        <v>1935</v>
      </c>
      <c r="C832" s="8" t="s">
        <v>714</v>
      </c>
      <c r="D832" s="8" t="s">
        <v>148</v>
      </c>
      <c r="E832" s="152" t="s">
        <v>102</v>
      </c>
      <c r="F832" s="152" t="s">
        <v>103</v>
      </c>
      <c r="G832" s="152">
        <v>0</v>
      </c>
      <c r="H832" s="152"/>
      <c r="I832" s="153">
        <v>35.75</v>
      </c>
      <c r="J832" s="145"/>
      <c r="K832" s="153">
        <v>-6.3375000000000004</v>
      </c>
      <c r="L832" s="153" t="s">
        <v>86</v>
      </c>
      <c r="M832" s="153"/>
      <c r="N832" s="2" t="s">
        <v>57</v>
      </c>
      <c r="O832" s="2"/>
      <c r="P832" s="10"/>
    </row>
    <row r="833" spans="1:16" ht="16.5" customHeight="1" x14ac:dyDescent="0.25">
      <c r="A833" s="2" t="s">
        <v>1936</v>
      </c>
      <c r="B833" s="8" t="s">
        <v>1937</v>
      </c>
      <c r="C833" s="8" t="s">
        <v>714</v>
      </c>
      <c r="D833" s="8" t="s">
        <v>278</v>
      </c>
      <c r="E833" s="152" t="s">
        <v>102</v>
      </c>
      <c r="F833" s="152" t="s">
        <v>103</v>
      </c>
      <c r="G833" s="152">
        <v>3</v>
      </c>
      <c r="H833" s="152"/>
      <c r="I833" s="153">
        <v>7.9090000000000007</v>
      </c>
      <c r="J833" s="145"/>
      <c r="K833" s="153">
        <v>-1.2492307692307689</v>
      </c>
      <c r="L833" s="153">
        <v>-7.0544361266735649</v>
      </c>
      <c r="M833" s="153"/>
      <c r="N833" s="2" t="s">
        <v>57</v>
      </c>
      <c r="O833" s="2"/>
      <c r="P833" s="10"/>
    </row>
    <row r="834" spans="1:16" ht="16.5" customHeight="1" x14ac:dyDescent="0.25">
      <c r="A834" s="2" t="s">
        <v>1938</v>
      </c>
      <c r="B834" s="8" t="s">
        <v>1939</v>
      </c>
      <c r="C834" s="8" t="s">
        <v>1940</v>
      </c>
      <c r="D834" s="8" t="s">
        <v>278</v>
      </c>
      <c r="E834" s="152" t="s">
        <v>102</v>
      </c>
      <c r="F834" s="152" t="s">
        <v>103</v>
      </c>
      <c r="G834" s="152">
        <v>0</v>
      </c>
      <c r="H834" s="152"/>
      <c r="I834" s="153">
        <v>102.179</v>
      </c>
      <c r="J834" s="145"/>
      <c r="K834" s="153">
        <v>-13.792</v>
      </c>
      <c r="L834" s="153" t="s">
        <v>86</v>
      </c>
      <c r="M834" s="153"/>
      <c r="N834" s="2" t="s">
        <v>57</v>
      </c>
      <c r="O834" s="2" t="s">
        <v>431</v>
      </c>
      <c r="P834" s="10"/>
    </row>
    <row r="835" spans="1:16" ht="16.5" customHeight="1" x14ac:dyDescent="0.25">
      <c r="A835" s="2" t="s">
        <v>1941</v>
      </c>
      <c r="B835" s="8" t="s">
        <v>1942</v>
      </c>
      <c r="C835" s="8" t="s">
        <v>714</v>
      </c>
      <c r="D835" s="8" t="s">
        <v>296</v>
      </c>
      <c r="E835" s="152" t="s">
        <v>102</v>
      </c>
      <c r="F835" s="152" t="s">
        <v>103</v>
      </c>
      <c r="G835" s="152">
        <v>0</v>
      </c>
      <c r="H835" s="152"/>
      <c r="I835" s="153">
        <v>42.141000000000012</v>
      </c>
      <c r="J835" s="145"/>
      <c r="K835" s="153" t="s">
        <v>86</v>
      </c>
      <c r="L835" s="153" t="s">
        <v>86</v>
      </c>
      <c r="M835" s="153"/>
      <c r="N835" s="2" t="s">
        <v>57</v>
      </c>
      <c r="O835" s="2"/>
      <c r="P835" s="10"/>
    </row>
    <row r="836" spans="1:16" ht="16.5" customHeight="1" x14ac:dyDescent="0.25">
      <c r="A836" s="2" t="s">
        <v>1943</v>
      </c>
      <c r="B836" s="8" t="s">
        <v>1944</v>
      </c>
      <c r="C836" s="8" t="s">
        <v>714</v>
      </c>
      <c r="D836" s="8" t="s">
        <v>296</v>
      </c>
      <c r="E836" s="152" t="s">
        <v>102</v>
      </c>
      <c r="F836" s="152" t="s">
        <v>103</v>
      </c>
      <c r="G836" s="152">
        <v>0</v>
      </c>
      <c r="H836" s="152"/>
      <c r="I836" s="153">
        <v>77.781000000000006</v>
      </c>
      <c r="J836" s="145"/>
      <c r="K836" s="153" t="s">
        <v>86</v>
      </c>
      <c r="L836" s="153" t="s">
        <v>86</v>
      </c>
      <c r="M836" s="153"/>
      <c r="N836" s="2" t="s">
        <v>57</v>
      </c>
      <c r="O836" s="2"/>
      <c r="P836" s="10"/>
    </row>
    <row r="837" spans="1:16" ht="16.5" customHeight="1" x14ac:dyDescent="0.25">
      <c r="A837" s="2" t="s">
        <v>1945</v>
      </c>
      <c r="B837" s="8" t="s">
        <v>1945</v>
      </c>
      <c r="C837" s="8" t="s">
        <v>749</v>
      </c>
      <c r="D837" s="8" t="s">
        <v>163</v>
      </c>
      <c r="E837" s="152" t="s">
        <v>102</v>
      </c>
      <c r="F837" s="152" t="s">
        <v>103</v>
      </c>
      <c r="G837" s="152">
        <v>0</v>
      </c>
      <c r="H837" s="152"/>
      <c r="I837" s="153">
        <v>0</v>
      </c>
      <c r="J837" s="145"/>
      <c r="K837" s="153" t="s">
        <v>86</v>
      </c>
      <c r="L837" s="153" t="s">
        <v>86</v>
      </c>
      <c r="M837" s="153"/>
      <c r="N837" s="2" t="s">
        <v>57</v>
      </c>
      <c r="O837" s="2"/>
      <c r="P837" s="2"/>
    </row>
    <row r="838" spans="1:16" ht="16.5" customHeight="1" x14ac:dyDescent="0.25">
      <c r="A838" s="2" t="s">
        <v>1946</v>
      </c>
      <c r="B838" s="8" t="s">
        <v>1947</v>
      </c>
      <c r="C838" s="8" t="s">
        <v>714</v>
      </c>
      <c r="D838" s="8" t="s">
        <v>278</v>
      </c>
      <c r="E838" s="152" t="s">
        <v>102</v>
      </c>
      <c r="F838" s="152" t="s">
        <v>103</v>
      </c>
      <c r="G838" s="152">
        <v>0</v>
      </c>
      <c r="H838" s="152"/>
      <c r="I838" s="153">
        <v>40.524000000000008</v>
      </c>
      <c r="J838" s="145"/>
      <c r="K838" s="153" t="s">
        <v>86</v>
      </c>
      <c r="L838" s="153" t="s">
        <v>86</v>
      </c>
      <c r="M838" s="153"/>
      <c r="N838" s="2" t="s">
        <v>57</v>
      </c>
      <c r="O838" s="2"/>
      <c r="P838" s="10"/>
    </row>
    <row r="839" spans="1:16" ht="16.5" customHeight="1" x14ac:dyDescent="0.25">
      <c r="A839" s="2" t="s">
        <v>1948</v>
      </c>
      <c r="B839" s="8" t="s">
        <v>1949</v>
      </c>
      <c r="C839" s="8" t="s">
        <v>714</v>
      </c>
      <c r="D839" s="8" t="s">
        <v>278</v>
      </c>
      <c r="E839" s="152" t="s">
        <v>102</v>
      </c>
      <c r="F839" s="152" t="s">
        <v>103</v>
      </c>
      <c r="G839" s="152">
        <v>0</v>
      </c>
      <c r="H839" s="152"/>
      <c r="I839" s="153">
        <v>27.544</v>
      </c>
      <c r="J839" s="145"/>
      <c r="K839" s="153" t="s">
        <v>86</v>
      </c>
      <c r="L839" s="153" t="s">
        <v>86</v>
      </c>
      <c r="M839" s="153"/>
      <c r="N839" s="2" t="s">
        <v>57</v>
      </c>
      <c r="O839" s="2"/>
      <c r="P839" s="10"/>
    </row>
    <row r="840" spans="1:16" ht="16.5" customHeight="1" x14ac:dyDescent="0.25">
      <c r="A840" s="2" t="s">
        <v>1950</v>
      </c>
      <c r="B840" s="8" t="s">
        <v>1951</v>
      </c>
      <c r="C840" s="8" t="s">
        <v>714</v>
      </c>
      <c r="D840" s="8" t="s">
        <v>278</v>
      </c>
      <c r="E840" s="152" t="s">
        <v>102</v>
      </c>
      <c r="F840" s="152" t="s">
        <v>103</v>
      </c>
      <c r="G840" s="152">
        <v>0</v>
      </c>
      <c r="H840" s="152"/>
      <c r="I840" s="153">
        <v>60.060000000000009</v>
      </c>
      <c r="J840" s="145"/>
      <c r="K840" s="153" t="s">
        <v>86</v>
      </c>
      <c r="L840" s="153" t="s">
        <v>86</v>
      </c>
      <c r="M840" s="153"/>
      <c r="N840" s="2" t="s">
        <v>57</v>
      </c>
      <c r="O840" s="2"/>
      <c r="P840" s="10"/>
    </row>
    <row r="841" spans="1:16" ht="16.5" customHeight="1" x14ac:dyDescent="0.25">
      <c r="A841" s="2" t="s">
        <v>1952</v>
      </c>
      <c r="B841" s="8" t="s">
        <v>1953</v>
      </c>
      <c r="C841" s="8" t="s">
        <v>1954</v>
      </c>
      <c r="D841" s="8" t="s">
        <v>358</v>
      </c>
      <c r="E841" s="152" t="s">
        <v>102</v>
      </c>
      <c r="F841" s="152" t="s">
        <v>103</v>
      </c>
      <c r="G841" s="152">
        <v>3</v>
      </c>
      <c r="H841" s="152">
        <v>934</v>
      </c>
      <c r="I841" s="153">
        <v>41.019000000000013</v>
      </c>
      <c r="J841" s="145"/>
      <c r="K841" s="153" t="s">
        <v>86</v>
      </c>
      <c r="L841" s="153" t="s">
        <v>86</v>
      </c>
      <c r="M841" s="153"/>
      <c r="N841" s="2" t="s">
        <v>57</v>
      </c>
      <c r="O841" s="2" t="s">
        <v>356</v>
      </c>
      <c r="P841" s="10"/>
    </row>
    <row r="842" spans="1:16" ht="16.5" customHeight="1" x14ac:dyDescent="0.25">
      <c r="A842" s="2" t="s">
        <v>1955</v>
      </c>
      <c r="B842" s="8" t="s">
        <v>1956</v>
      </c>
      <c r="C842" s="8" t="s">
        <v>1957</v>
      </c>
      <c r="D842" s="8" t="s">
        <v>358</v>
      </c>
      <c r="E842" s="152" t="s">
        <v>102</v>
      </c>
      <c r="F842" s="152" t="s">
        <v>103</v>
      </c>
      <c r="G842" s="152">
        <v>0</v>
      </c>
      <c r="H842" s="152"/>
      <c r="I842" s="153">
        <v>31.9</v>
      </c>
      <c r="J842" s="145"/>
      <c r="K842" s="153">
        <v>-8.2983333333333338</v>
      </c>
      <c r="L842" s="153" t="s">
        <v>86</v>
      </c>
      <c r="M842" s="153"/>
      <c r="N842" s="2" t="s">
        <v>57</v>
      </c>
      <c r="O842" s="2" t="s">
        <v>530</v>
      </c>
      <c r="P842" s="10"/>
    </row>
    <row r="843" spans="1:16" ht="16.5" customHeight="1" x14ac:dyDescent="0.25">
      <c r="A843" s="2" t="s">
        <v>1958</v>
      </c>
      <c r="B843" s="8" t="s">
        <v>1958</v>
      </c>
      <c r="C843" s="8" t="s">
        <v>749</v>
      </c>
      <c r="D843" s="8" t="s">
        <v>166</v>
      </c>
      <c r="E843" s="152" t="s">
        <v>102</v>
      </c>
      <c r="F843" s="152" t="s">
        <v>103</v>
      </c>
      <c r="G843" s="152">
        <v>0</v>
      </c>
      <c r="H843" s="152"/>
      <c r="I843" s="153">
        <v>13.2</v>
      </c>
      <c r="J843" s="145"/>
      <c r="K843" s="153" t="s">
        <v>86</v>
      </c>
      <c r="L843" s="153" t="s">
        <v>86</v>
      </c>
      <c r="M843" s="153"/>
      <c r="N843" s="2" t="s">
        <v>57</v>
      </c>
      <c r="O843" s="2"/>
      <c r="P843" s="2"/>
    </row>
    <row r="844" spans="1:16" ht="16.5" customHeight="1" x14ac:dyDescent="0.25">
      <c r="A844" s="2" t="s">
        <v>1959</v>
      </c>
      <c r="B844" s="8" t="s">
        <v>1960</v>
      </c>
      <c r="C844" s="8" t="s">
        <v>714</v>
      </c>
      <c r="D844" s="8" t="s">
        <v>278</v>
      </c>
      <c r="E844" s="152" t="s">
        <v>102</v>
      </c>
      <c r="F844" s="152" t="s">
        <v>103</v>
      </c>
      <c r="G844" s="152">
        <v>0</v>
      </c>
      <c r="H844" s="152"/>
      <c r="I844" s="153">
        <v>8.5690000000000008</v>
      </c>
      <c r="J844" s="145"/>
      <c r="K844" s="153">
        <v>-1.032</v>
      </c>
      <c r="L844" s="153" t="s">
        <v>86</v>
      </c>
      <c r="M844" s="153"/>
      <c r="N844" s="2" t="s">
        <v>57</v>
      </c>
      <c r="O844" s="2"/>
      <c r="P844" s="10"/>
    </row>
    <row r="845" spans="1:16" ht="16.5" customHeight="1" x14ac:dyDescent="0.25">
      <c r="A845" s="2" t="s">
        <v>1961</v>
      </c>
      <c r="B845" s="8" t="s">
        <v>1962</v>
      </c>
      <c r="C845" s="8" t="s">
        <v>1963</v>
      </c>
      <c r="D845" s="8" t="s">
        <v>278</v>
      </c>
      <c r="E845" s="152" t="s">
        <v>102</v>
      </c>
      <c r="F845" s="152" t="s">
        <v>103</v>
      </c>
      <c r="G845" s="152">
        <v>0</v>
      </c>
      <c r="H845" s="152"/>
      <c r="I845" s="153">
        <v>104.214</v>
      </c>
      <c r="J845" s="145"/>
      <c r="K845" s="153">
        <v>-15.22666666666667</v>
      </c>
      <c r="L845" s="153" t="s">
        <v>86</v>
      </c>
      <c r="M845" s="153"/>
      <c r="N845" s="2" t="s">
        <v>57</v>
      </c>
      <c r="O845" s="2" t="s">
        <v>1284</v>
      </c>
      <c r="P845" s="10"/>
    </row>
    <row r="846" spans="1:16" ht="16.5" customHeight="1" x14ac:dyDescent="0.25">
      <c r="A846" s="2" t="s">
        <v>1964</v>
      </c>
      <c r="B846" s="8" t="s">
        <v>1965</v>
      </c>
      <c r="C846" s="8" t="s">
        <v>714</v>
      </c>
      <c r="D846" s="8" t="s">
        <v>278</v>
      </c>
      <c r="E846" s="152" t="s">
        <v>102</v>
      </c>
      <c r="F846" s="152" t="s">
        <v>103</v>
      </c>
      <c r="G846" s="152">
        <v>0</v>
      </c>
      <c r="H846" s="152"/>
      <c r="I846" s="153">
        <v>31.812000000000001</v>
      </c>
      <c r="J846" s="145"/>
      <c r="K846" s="153">
        <v>-6.3987499999999997</v>
      </c>
      <c r="L846" s="153">
        <v>-2.0699999999999998</v>
      </c>
      <c r="M846" s="153"/>
      <c r="N846" s="2" t="s">
        <v>57</v>
      </c>
      <c r="O846" s="2"/>
      <c r="P846" s="10"/>
    </row>
    <row r="847" spans="1:16" ht="16.5" customHeight="1" x14ac:dyDescent="0.25">
      <c r="A847" s="2" t="s">
        <v>1971</v>
      </c>
      <c r="B847" s="8" t="s">
        <v>1972</v>
      </c>
      <c r="C847" s="8" t="s">
        <v>102</v>
      </c>
      <c r="D847" s="8" t="s">
        <v>163</v>
      </c>
      <c r="E847" s="152" t="s">
        <v>102</v>
      </c>
      <c r="F847" s="152" t="s">
        <v>103</v>
      </c>
      <c r="G847" s="152">
        <v>0</v>
      </c>
      <c r="H847" s="152"/>
      <c r="I847" s="153">
        <v>74.800000000000011</v>
      </c>
      <c r="J847" s="145"/>
      <c r="K847" s="153">
        <v>-4.4392499999999986</v>
      </c>
      <c r="L847" s="153" t="s">
        <v>86</v>
      </c>
      <c r="M847" s="153"/>
      <c r="N847" s="2" t="s">
        <v>57</v>
      </c>
      <c r="O847" s="2"/>
      <c r="P847" s="2" t="s">
        <v>51</v>
      </c>
    </row>
    <row r="848" spans="1:16" ht="16.5" customHeight="1" x14ac:dyDescent="0.25">
      <c r="A848" s="2" t="s">
        <v>1973</v>
      </c>
      <c r="B848" s="8" t="s">
        <v>1974</v>
      </c>
      <c r="C848" s="8" t="s">
        <v>102</v>
      </c>
      <c r="D848" s="8" t="s">
        <v>163</v>
      </c>
      <c r="E848" s="152" t="s">
        <v>102</v>
      </c>
      <c r="F848" s="152" t="s">
        <v>103</v>
      </c>
      <c r="G848" s="152">
        <v>0</v>
      </c>
      <c r="H848" s="152"/>
      <c r="I848" s="153">
        <v>100.1</v>
      </c>
      <c r="J848" s="145"/>
      <c r="K848" s="153">
        <v>-15.961983333333331</v>
      </c>
      <c r="L848" s="153" t="s">
        <v>86</v>
      </c>
      <c r="M848" s="153"/>
      <c r="N848" s="2" t="s">
        <v>57</v>
      </c>
      <c r="O848" s="2"/>
      <c r="P848" s="2" t="s">
        <v>51</v>
      </c>
    </row>
    <row r="849" spans="1:16" ht="16.5" customHeight="1" x14ac:dyDescent="0.25">
      <c r="A849" s="2" t="s">
        <v>1975</v>
      </c>
      <c r="B849" s="8" t="s">
        <v>1975</v>
      </c>
      <c r="C849" s="8" t="s">
        <v>749</v>
      </c>
      <c r="D849" s="8" t="s">
        <v>163</v>
      </c>
      <c r="E849" s="152" t="s">
        <v>102</v>
      </c>
      <c r="F849" s="152" t="s">
        <v>103</v>
      </c>
      <c r="G849" s="152">
        <v>0</v>
      </c>
      <c r="H849" s="152"/>
      <c r="I849" s="153">
        <v>5.5</v>
      </c>
      <c r="J849" s="145"/>
      <c r="K849" s="153" t="s">
        <v>86</v>
      </c>
      <c r="L849" s="153" t="s">
        <v>86</v>
      </c>
      <c r="M849" s="153"/>
      <c r="N849" s="2" t="s">
        <v>57</v>
      </c>
      <c r="O849" s="2"/>
      <c r="P849" s="2"/>
    </row>
    <row r="850" spans="1:16" ht="16.5" customHeight="1" x14ac:dyDescent="0.25">
      <c r="A850" s="2" t="s">
        <v>1976</v>
      </c>
      <c r="B850" s="8" t="s">
        <v>1976</v>
      </c>
      <c r="C850" s="8" t="s">
        <v>749</v>
      </c>
      <c r="D850" s="8" t="s">
        <v>163</v>
      </c>
      <c r="E850" s="152" t="s">
        <v>102</v>
      </c>
      <c r="F850" s="152" t="s">
        <v>103</v>
      </c>
      <c r="G850" s="152">
        <v>0</v>
      </c>
      <c r="H850" s="152"/>
      <c r="I850" s="153">
        <v>0</v>
      </c>
      <c r="J850" s="145"/>
      <c r="K850" s="153" t="s">
        <v>86</v>
      </c>
      <c r="L850" s="153" t="s">
        <v>86</v>
      </c>
      <c r="M850" s="153"/>
      <c r="N850" s="2" t="s">
        <v>57</v>
      </c>
      <c r="O850" s="2"/>
      <c r="P850" s="2"/>
    </row>
    <row r="851" spans="1:16" ht="16.5" customHeight="1" x14ac:dyDescent="0.25">
      <c r="A851" s="2" t="s">
        <v>1977</v>
      </c>
      <c r="B851" s="8" t="s">
        <v>1977</v>
      </c>
      <c r="C851" s="8" t="s">
        <v>749</v>
      </c>
      <c r="D851" s="8" t="s">
        <v>163</v>
      </c>
      <c r="E851" s="152" t="s">
        <v>102</v>
      </c>
      <c r="F851" s="152" t="s">
        <v>103</v>
      </c>
      <c r="G851" s="152">
        <v>0</v>
      </c>
      <c r="H851" s="152"/>
      <c r="I851" s="153">
        <v>0</v>
      </c>
      <c r="J851" s="145"/>
      <c r="K851" s="153" t="s">
        <v>86</v>
      </c>
      <c r="L851" s="153" t="s">
        <v>86</v>
      </c>
      <c r="M851" s="153"/>
      <c r="N851" s="2" t="s">
        <v>57</v>
      </c>
      <c r="O851" s="2"/>
      <c r="P851" s="2"/>
    </row>
    <row r="852" spans="1:16" ht="16.5" customHeight="1" x14ac:dyDescent="0.25">
      <c r="A852" s="2" t="s">
        <v>1978</v>
      </c>
      <c r="B852" s="8" t="s">
        <v>1979</v>
      </c>
      <c r="C852" s="8" t="s">
        <v>1980</v>
      </c>
      <c r="D852" s="8" t="s">
        <v>278</v>
      </c>
      <c r="E852" s="152" t="s">
        <v>102</v>
      </c>
      <c r="F852" s="152" t="s">
        <v>103</v>
      </c>
      <c r="G852" s="152">
        <v>0</v>
      </c>
      <c r="H852" s="152"/>
      <c r="I852" s="153">
        <v>35.881999999999998</v>
      </c>
      <c r="J852" s="145"/>
      <c r="K852" s="153">
        <v>-6.8637499999999996</v>
      </c>
      <c r="L852" s="153" t="s">
        <v>86</v>
      </c>
      <c r="M852" s="153"/>
      <c r="N852" s="2" t="s">
        <v>57</v>
      </c>
      <c r="O852" s="2" t="s">
        <v>1310</v>
      </c>
      <c r="P852" s="10"/>
    </row>
    <row r="853" spans="1:16" ht="16.5" customHeight="1" x14ac:dyDescent="0.25">
      <c r="A853" s="2" t="s">
        <v>1981</v>
      </c>
      <c r="B853" s="8" t="s">
        <v>1982</v>
      </c>
      <c r="C853" s="8" t="s">
        <v>714</v>
      </c>
      <c r="D853" s="8" t="s">
        <v>278</v>
      </c>
      <c r="E853" s="152" t="s">
        <v>102</v>
      </c>
      <c r="F853" s="152" t="s">
        <v>103</v>
      </c>
      <c r="G853" s="152">
        <v>0</v>
      </c>
      <c r="H853" s="152"/>
      <c r="I853" s="153">
        <v>45.859000000000002</v>
      </c>
      <c r="J853" s="145"/>
      <c r="K853" s="153" t="s">
        <v>86</v>
      </c>
      <c r="L853" s="153" t="s">
        <v>86</v>
      </c>
      <c r="M853" s="153"/>
      <c r="N853" s="2" t="s">
        <v>57</v>
      </c>
      <c r="O853" s="2"/>
      <c r="P853" s="2"/>
    </row>
    <row r="854" spans="1:16" ht="16.5" customHeight="1" x14ac:dyDescent="0.25">
      <c r="A854" s="2" t="s">
        <v>1983</v>
      </c>
      <c r="B854" s="8" t="s">
        <v>1984</v>
      </c>
      <c r="C854" s="8" t="s">
        <v>753</v>
      </c>
      <c r="D854" s="8" t="s">
        <v>296</v>
      </c>
      <c r="E854" s="152" t="s">
        <v>102</v>
      </c>
      <c r="F854" s="152" t="s">
        <v>103</v>
      </c>
      <c r="G854" s="152">
        <v>0</v>
      </c>
      <c r="H854" s="152"/>
      <c r="I854" s="153">
        <v>11.055</v>
      </c>
      <c r="J854" s="145"/>
      <c r="K854" s="153" t="s">
        <v>86</v>
      </c>
      <c r="L854" s="153" t="s">
        <v>86</v>
      </c>
      <c r="M854" s="153"/>
      <c r="N854" s="2" t="s">
        <v>57</v>
      </c>
      <c r="O854" s="2"/>
      <c r="P854" s="10"/>
    </row>
    <row r="855" spans="1:16" ht="16.5" customHeight="1" x14ac:dyDescent="0.25">
      <c r="A855" s="2" t="s">
        <v>1985</v>
      </c>
      <c r="B855" s="8" t="s">
        <v>1986</v>
      </c>
      <c r="C855" s="8" t="s">
        <v>102</v>
      </c>
      <c r="D855" s="8" t="s">
        <v>278</v>
      </c>
      <c r="E855" s="152" t="s">
        <v>102</v>
      </c>
      <c r="F855" s="152" t="s">
        <v>103</v>
      </c>
      <c r="G855" s="152">
        <v>0</v>
      </c>
      <c r="H855" s="152"/>
      <c r="I855" s="153">
        <v>72.248000000000019</v>
      </c>
      <c r="J855" s="145"/>
      <c r="K855" s="153" t="s">
        <v>86</v>
      </c>
      <c r="L855" s="153" t="s">
        <v>86</v>
      </c>
      <c r="M855" s="153"/>
      <c r="N855" s="2" t="s">
        <v>57</v>
      </c>
      <c r="O855" s="2"/>
      <c r="P855" s="2"/>
    </row>
    <row r="856" spans="1:16" ht="16.5" customHeight="1" x14ac:dyDescent="0.25">
      <c r="A856" s="2" t="s">
        <v>1987</v>
      </c>
      <c r="B856" s="8" t="s">
        <v>1988</v>
      </c>
      <c r="C856" s="8" t="s">
        <v>749</v>
      </c>
      <c r="D856" s="8" t="s">
        <v>163</v>
      </c>
      <c r="E856" s="152" t="s">
        <v>102</v>
      </c>
      <c r="F856" s="152" t="s">
        <v>103</v>
      </c>
      <c r="G856" s="152">
        <v>0</v>
      </c>
      <c r="H856" s="152"/>
      <c r="I856" s="153">
        <v>3.1019999999999999</v>
      </c>
      <c r="J856" s="145"/>
      <c r="K856" s="153" t="s">
        <v>86</v>
      </c>
      <c r="L856" s="153" t="s">
        <v>86</v>
      </c>
      <c r="M856" s="153"/>
      <c r="N856" s="2" t="s">
        <v>57</v>
      </c>
      <c r="O856" s="2"/>
      <c r="P856" s="10"/>
    </row>
    <row r="857" spans="1:16" ht="16.5" customHeight="1" x14ac:dyDescent="0.25">
      <c r="A857" s="2" t="s">
        <v>1989</v>
      </c>
      <c r="B857" s="8" t="s">
        <v>1990</v>
      </c>
      <c r="C857" s="8" t="s">
        <v>102</v>
      </c>
      <c r="D857" s="8" t="s">
        <v>163</v>
      </c>
      <c r="E857" s="152" t="s">
        <v>102</v>
      </c>
      <c r="F857" s="152" t="s">
        <v>103</v>
      </c>
      <c r="G857" s="152">
        <v>0</v>
      </c>
      <c r="H857" s="152"/>
      <c r="I857" s="153">
        <v>184.8</v>
      </c>
      <c r="J857" s="145"/>
      <c r="K857" s="153">
        <v>-14.15041961130742</v>
      </c>
      <c r="L857" s="153" t="s">
        <v>86</v>
      </c>
      <c r="M857" s="153"/>
      <c r="N857" s="2" t="s">
        <v>57</v>
      </c>
      <c r="O857" s="2"/>
      <c r="P857" s="10"/>
    </row>
    <row r="858" spans="1:16" ht="16.5" customHeight="1" x14ac:dyDescent="0.25">
      <c r="A858" s="2" t="s">
        <v>1991</v>
      </c>
      <c r="B858" s="8" t="s">
        <v>1991</v>
      </c>
      <c r="C858" s="8" t="s">
        <v>749</v>
      </c>
      <c r="D858" s="8" t="s">
        <v>166</v>
      </c>
      <c r="E858" s="152" t="s">
        <v>102</v>
      </c>
      <c r="F858" s="152" t="s">
        <v>103</v>
      </c>
      <c r="G858" s="152">
        <v>0</v>
      </c>
      <c r="H858" s="152"/>
      <c r="I858" s="153">
        <v>0</v>
      </c>
      <c r="J858" s="145"/>
      <c r="K858" s="153" t="s">
        <v>86</v>
      </c>
      <c r="L858" s="153" t="s">
        <v>86</v>
      </c>
      <c r="M858" s="153"/>
      <c r="N858" s="2" t="s">
        <v>57</v>
      </c>
      <c r="O858" s="2"/>
      <c r="P858" s="2"/>
    </row>
    <row r="859" spans="1:16" ht="16.5" customHeight="1" x14ac:dyDescent="0.25">
      <c r="A859" s="2" t="s">
        <v>1992</v>
      </c>
      <c r="B859" s="8" t="s">
        <v>1992</v>
      </c>
      <c r="C859" s="8" t="s">
        <v>749</v>
      </c>
      <c r="D859" s="8" t="s">
        <v>166</v>
      </c>
      <c r="E859" s="152" t="s">
        <v>102</v>
      </c>
      <c r="F859" s="152" t="s">
        <v>103</v>
      </c>
      <c r="G859" s="152">
        <v>0</v>
      </c>
      <c r="H859" s="152"/>
      <c r="I859" s="153">
        <v>0</v>
      </c>
      <c r="J859" s="145"/>
      <c r="K859" s="153" t="s">
        <v>86</v>
      </c>
      <c r="L859" s="153" t="s">
        <v>86</v>
      </c>
      <c r="M859" s="153"/>
      <c r="N859" s="2" t="s">
        <v>57</v>
      </c>
      <c r="O859" s="2"/>
      <c r="P859" s="2"/>
    </row>
    <row r="860" spans="1:16" ht="16.5" customHeight="1" x14ac:dyDescent="0.25">
      <c r="A860" s="2" t="s">
        <v>1993</v>
      </c>
      <c r="B860" s="8" t="s">
        <v>1994</v>
      </c>
      <c r="C860" s="8" t="s">
        <v>714</v>
      </c>
      <c r="D860" s="8" t="s">
        <v>278</v>
      </c>
      <c r="E860" s="152" t="s">
        <v>102</v>
      </c>
      <c r="F860" s="152" t="s">
        <v>103</v>
      </c>
      <c r="G860" s="152">
        <v>0</v>
      </c>
      <c r="H860" s="152"/>
      <c r="I860" s="153">
        <v>11.858000000000001</v>
      </c>
      <c r="J860" s="145"/>
      <c r="K860" s="153" t="s">
        <v>86</v>
      </c>
      <c r="L860" s="153" t="s">
        <v>86</v>
      </c>
      <c r="M860" s="153"/>
      <c r="N860" s="2" t="s">
        <v>57</v>
      </c>
      <c r="O860" s="2"/>
      <c r="P860" s="10"/>
    </row>
    <row r="861" spans="1:16" ht="16.5" customHeight="1" x14ac:dyDescent="0.25">
      <c r="A861" s="2" t="s">
        <v>1995</v>
      </c>
      <c r="B861" s="8" t="s">
        <v>1996</v>
      </c>
      <c r="C861" s="8" t="s">
        <v>714</v>
      </c>
      <c r="D861" s="8" t="s">
        <v>278</v>
      </c>
      <c r="E861" s="152" t="s">
        <v>102</v>
      </c>
      <c r="F861" s="152" t="s">
        <v>103</v>
      </c>
      <c r="G861" s="152">
        <v>0</v>
      </c>
      <c r="H861" s="152"/>
      <c r="I861" s="153">
        <v>77.957000000000008</v>
      </c>
      <c r="J861" s="145"/>
      <c r="K861" s="153">
        <v>-12.12125</v>
      </c>
      <c r="L861" s="153" t="s">
        <v>86</v>
      </c>
      <c r="M861" s="153"/>
      <c r="N861" s="2" t="s">
        <v>57</v>
      </c>
      <c r="O861" s="2"/>
      <c r="P861" s="10"/>
    </row>
    <row r="862" spans="1:16" ht="16.5" customHeight="1" x14ac:dyDescent="0.25">
      <c r="A862" s="2" t="s">
        <v>1997</v>
      </c>
      <c r="B862" s="8" t="s">
        <v>1998</v>
      </c>
      <c r="C862" s="8" t="s">
        <v>714</v>
      </c>
      <c r="D862" s="8" t="s">
        <v>278</v>
      </c>
      <c r="E862" s="152" t="s">
        <v>102</v>
      </c>
      <c r="F862" s="152" t="s">
        <v>103</v>
      </c>
      <c r="G862" s="152">
        <v>0</v>
      </c>
      <c r="H862" s="152"/>
      <c r="I862" s="153">
        <v>21.658999999999999</v>
      </c>
      <c r="J862" s="145"/>
      <c r="K862" s="153" t="s">
        <v>86</v>
      </c>
      <c r="L862" s="153" t="s">
        <v>86</v>
      </c>
      <c r="M862" s="153"/>
      <c r="N862" s="2" t="s">
        <v>57</v>
      </c>
      <c r="O862" s="2"/>
      <c r="P862" s="2"/>
    </row>
    <row r="863" spans="1:16" ht="16.5" customHeight="1" x14ac:dyDescent="0.25">
      <c r="A863" s="2" t="s">
        <v>1999</v>
      </c>
      <c r="B863" s="8" t="s">
        <v>2000</v>
      </c>
      <c r="C863" s="8"/>
      <c r="D863" s="8" t="s">
        <v>386</v>
      </c>
      <c r="E863" s="152" t="s">
        <v>102</v>
      </c>
      <c r="F863" s="152" t="s">
        <v>103</v>
      </c>
      <c r="G863" s="152">
        <v>0</v>
      </c>
      <c r="H863" s="152"/>
      <c r="I863" s="153">
        <v>2.1339999999999999</v>
      </c>
      <c r="J863" s="145"/>
      <c r="K863" s="153" t="s">
        <v>86</v>
      </c>
      <c r="L863" s="153" t="s">
        <v>86</v>
      </c>
      <c r="M863" s="153"/>
      <c r="N863" s="2" t="s">
        <v>57</v>
      </c>
      <c r="O863" s="2"/>
      <c r="P863" s="2"/>
    </row>
    <row r="864" spans="1:16" ht="16.5" customHeight="1" x14ac:dyDescent="0.25">
      <c r="A864" s="2" t="s">
        <v>2001</v>
      </c>
      <c r="B864" s="8" t="s">
        <v>2002</v>
      </c>
      <c r="C864" s="8"/>
      <c r="D864" s="8" t="s">
        <v>386</v>
      </c>
      <c r="E864" s="152" t="s">
        <v>102</v>
      </c>
      <c r="F864" s="152" t="s">
        <v>103</v>
      </c>
      <c r="G864" s="152">
        <v>0</v>
      </c>
      <c r="H864" s="152"/>
      <c r="I864" s="153">
        <v>3.366000000000001</v>
      </c>
      <c r="J864" s="145"/>
      <c r="K864" s="153" t="s">
        <v>86</v>
      </c>
      <c r="L864" s="153" t="s">
        <v>86</v>
      </c>
      <c r="M864" s="153"/>
      <c r="N864" s="2" t="s">
        <v>57</v>
      </c>
      <c r="O864" s="2"/>
      <c r="P864" s="2"/>
    </row>
    <row r="865" spans="1:16" ht="16.5" customHeight="1" x14ac:dyDescent="0.25">
      <c r="A865" s="2" t="s">
        <v>2003</v>
      </c>
      <c r="B865" s="8" t="s">
        <v>2004</v>
      </c>
      <c r="C865" s="8"/>
      <c r="D865" s="8" t="s">
        <v>386</v>
      </c>
      <c r="E865" s="152" t="s">
        <v>102</v>
      </c>
      <c r="F865" s="152" t="s">
        <v>103</v>
      </c>
      <c r="G865" s="152">
        <v>0</v>
      </c>
      <c r="H865" s="152"/>
      <c r="I865" s="153">
        <v>4.5430000000000001</v>
      </c>
      <c r="J865" s="145"/>
      <c r="K865" s="153" t="s">
        <v>86</v>
      </c>
      <c r="L865" s="153" t="s">
        <v>86</v>
      </c>
      <c r="M865" s="153"/>
      <c r="N865" s="2" t="s">
        <v>57</v>
      </c>
      <c r="O865" s="2"/>
      <c r="P865" s="2"/>
    </row>
    <row r="866" spans="1:16" ht="16.5" customHeight="1" x14ac:dyDescent="0.25">
      <c r="A866" s="2" t="s">
        <v>2005</v>
      </c>
      <c r="B866" s="8" t="s">
        <v>2006</v>
      </c>
      <c r="C866" s="8"/>
      <c r="D866" s="8" t="s">
        <v>386</v>
      </c>
      <c r="E866" s="152" t="s">
        <v>102</v>
      </c>
      <c r="F866" s="152" t="s">
        <v>103</v>
      </c>
      <c r="G866" s="152">
        <v>0</v>
      </c>
      <c r="H866" s="152"/>
      <c r="I866" s="153">
        <v>3.289000000000001</v>
      </c>
      <c r="J866" s="145"/>
      <c r="K866" s="153" t="s">
        <v>86</v>
      </c>
      <c r="L866" s="153" t="s">
        <v>86</v>
      </c>
      <c r="M866" s="153"/>
      <c r="N866" s="2" t="s">
        <v>57</v>
      </c>
      <c r="O866" s="2"/>
      <c r="P866" s="2"/>
    </row>
    <row r="867" spans="1:16" ht="16.5" customHeight="1" x14ac:dyDescent="0.25">
      <c r="A867" s="2" t="s">
        <v>2007</v>
      </c>
      <c r="B867" s="8" t="s">
        <v>2008</v>
      </c>
      <c r="C867" s="8"/>
      <c r="D867" s="8" t="s">
        <v>386</v>
      </c>
      <c r="E867" s="152" t="s">
        <v>102</v>
      </c>
      <c r="F867" s="152" t="s">
        <v>103</v>
      </c>
      <c r="G867" s="152">
        <v>0</v>
      </c>
      <c r="H867" s="152"/>
      <c r="I867" s="153">
        <v>5.4119999999999999</v>
      </c>
      <c r="J867" s="145"/>
      <c r="K867" s="153" t="s">
        <v>86</v>
      </c>
      <c r="L867" s="153" t="s">
        <v>86</v>
      </c>
      <c r="M867" s="153"/>
      <c r="N867" s="2" t="s">
        <v>57</v>
      </c>
      <c r="O867" s="2"/>
      <c r="P867" s="2"/>
    </row>
    <row r="868" spans="1:16" ht="16.5" customHeight="1" x14ac:dyDescent="0.25">
      <c r="A868" s="2" t="s">
        <v>2009</v>
      </c>
      <c r="B868" s="8" t="s">
        <v>2010</v>
      </c>
      <c r="C868" s="8"/>
      <c r="D868" s="8" t="s">
        <v>386</v>
      </c>
      <c r="E868" s="152" t="s">
        <v>102</v>
      </c>
      <c r="F868" s="152" t="s">
        <v>103</v>
      </c>
      <c r="G868" s="152">
        <v>0</v>
      </c>
      <c r="H868" s="152"/>
      <c r="I868" s="153">
        <v>3.4209999999999998</v>
      </c>
      <c r="J868" s="145"/>
      <c r="K868" s="153" t="s">
        <v>86</v>
      </c>
      <c r="L868" s="153" t="s">
        <v>86</v>
      </c>
      <c r="M868" s="153"/>
      <c r="N868" s="2" t="s">
        <v>57</v>
      </c>
      <c r="O868" s="2"/>
      <c r="P868" s="2"/>
    </row>
    <row r="869" spans="1:16" ht="16.5" customHeight="1" x14ac:dyDescent="0.25">
      <c r="A869" s="2" t="s">
        <v>2011</v>
      </c>
      <c r="B869" s="8" t="s">
        <v>2012</v>
      </c>
      <c r="C869" s="8"/>
      <c r="D869" s="8" t="s">
        <v>386</v>
      </c>
      <c r="E869" s="152" t="s">
        <v>102</v>
      </c>
      <c r="F869" s="152" t="s">
        <v>103</v>
      </c>
      <c r="G869" s="152">
        <v>0</v>
      </c>
      <c r="H869" s="152"/>
      <c r="I869" s="153">
        <v>4.6970000000000001</v>
      </c>
      <c r="J869" s="145"/>
      <c r="K869" s="153" t="s">
        <v>86</v>
      </c>
      <c r="L869" s="153" t="s">
        <v>86</v>
      </c>
      <c r="M869" s="153"/>
      <c r="N869" s="2" t="s">
        <v>57</v>
      </c>
      <c r="O869" s="2"/>
      <c r="P869" s="2"/>
    </row>
    <row r="870" spans="1:16" ht="16.5" customHeight="1" x14ac:dyDescent="0.25">
      <c r="A870" s="2" t="s">
        <v>2013</v>
      </c>
      <c r="B870" s="8" t="s">
        <v>2014</v>
      </c>
      <c r="C870" s="8"/>
      <c r="D870" s="8" t="s">
        <v>386</v>
      </c>
      <c r="E870" s="152" t="s">
        <v>102</v>
      </c>
      <c r="F870" s="152" t="s">
        <v>103</v>
      </c>
      <c r="G870" s="152">
        <v>0</v>
      </c>
      <c r="H870" s="152"/>
      <c r="I870" s="153">
        <v>3.9380000000000011</v>
      </c>
      <c r="J870" s="145"/>
      <c r="K870" s="153" t="s">
        <v>86</v>
      </c>
      <c r="L870" s="153" t="s">
        <v>86</v>
      </c>
      <c r="M870" s="153"/>
      <c r="N870" s="2" t="s">
        <v>57</v>
      </c>
      <c r="O870" s="2"/>
      <c r="P870" s="2"/>
    </row>
    <row r="871" spans="1:16" ht="16.5" customHeight="1" x14ac:dyDescent="0.25">
      <c r="A871" s="2" t="s">
        <v>2015</v>
      </c>
      <c r="B871" s="8" t="s">
        <v>2016</v>
      </c>
      <c r="C871" s="8"/>
      <c r="D871" s="8" t="s">
        <v>386</v>
      </c>
      <c r="E871" s="152" t="s">
        <v>102</v>
      </c>
      <c r="F871" s="152" t="s">
        <v>103</v>
      </c>
      <c r="G871" s="152">
        <v>0</v>
      </c>
      <c r="H871" s="152"/>
      <c r="I871" s="153">
        <v>5.742</v>
      </c>
      <c r="J871" s="145"/>
      <c r="K871" s="153" t="s">
        <v>86</v>
      </c>
      <c r="L871" s="153" t="s">
        <v>86</v>
      </c>
      <c r="M871" s="153"/>
      <c r="N871" s="2" t="s">
        <v>57</v>
      </c>
      <c r="O871" s="2"/>
      <c r="P871" s="2"/>
    </row>
    <row r="872" spans="1:16" ht="16.5" customHeight="1" x14ac:dyDescent="0.25">
      <c r="A872" s="2" t="s">
        <v>2017</v>
      </c>
      <c r="B872" s="8" t="s">
        <v>2018</v>
      </c>
      <c r="C872" s="8"/>
      <c r="D872" s="8" t="s">
        <v>386</v>
      </c>
      <c r="E872" s="152" t="s">
        <v>102</v>
      </c>
      <c r="F872" s="152" t="s">
        <v>103</v>
      </c>
      <c r="G872" s="152">
        <v>0</v>
      </c>
      <c r="H872" s="152"/>
      <c r="I872" s="153">
        <v>3.894000000000001</v>
      </c>
      <c r="J872" s="145"/>
      <c r="K872" s="153" t="s">
        <v>86</v>
      </c>
      <c r="L872" s="153" t="s">
        <v>86</v>
      </c>
      <c r="M872" s="153"/>
      <c r="N872" s="2" t="s">
        <v>57</v>
      </c>
      <c r="O872" s="2"/>
      <c r="P872" s="2"/>
    </row>
    <row r="873" spans="1:16" ht="16.5" customHeight="1" x14ac:dyDescent="0.25">
      <c r="A873" s="2" t="s">
        <v>2019</v>
      </c>
      <c r="B873" s="8" t="s">
        <v>2020</v>
      </c>
      <c r="C873" s="8"/>
      <c r="D873" s="8" t="s">
        <v>386</v>
      </c>
      <c r="E873" s="152" t="s">
        <v>102</v>
      </c>
      <c r="F873" s="152" t="s">
        <v>103</v>
      </c>
      <c r="G873" s="152">
        <v>0</v>
      </c>
      <c r="H873" s="152"/>
      <c r="I873" s="153">
        <v>3.2559999999999998</v>
      </c>
      <c r="J873" s="145"/>
      <c r="K873" s="153" t="s">
        <v>86</v>
      </c>
      <c r="L873" s="153" t="s">
        <v>86</v>
      </c>
      <c r="M873" s="153"/>
      <c r="N873" s="2" t="s">
        <v>57</v>
      </c>
      <c r="O873" s="2"/>
      <c r="P873" s="2"/>
    </row>
    <row r="874" spans="1:16" ht="16.5" customHeight="1" x14ac:dyDescent="0.25">
      <c r="A874" s="2" t="s">
        <v>2021</v>
      </c>
      <c r="B874" s="8" t="s">
        <v>2022</v>
      </c>
      <c r="C874" s="8"/>
      <c r="D874" s="8" t="s">
        <v>386</v>
      </c>
      <c r="E874" s="152" t="s">
        <v>102</v>
      </c>
      <c r="F874" s="152" t="s">
        <v>103</v>
      </c>
      <c r="G874" s="152">
        <v>0</v>
      </c>
      <c r="H874" s="152"/>
      <c r="I874" s="153">
        <v>4.3559999999999999</v>
      </c>
      <c r="J874" s="145"/>
      <c r="K874" s="153" t="s">
        <v>86</v>
      </c>
      <c r="L874" s="153" t="s">
        <v>86</v>
      </c>
      <c r="M874" s="153"/>
      <c r="N874" s="2" t="s">
        <v>57</v>
      </c>
      <c r="O874" s="2"/>
      <c r="P874" s="10"/>
    </row>
    <row r="875" spans="1:16" ht="16.5" customHeight="1" x14ac:dyDescent="0.25">
      <c r="A875" s="2" t="s">
        <v>2023</v>
      </c>
      <c r="B875" s="8" t="s">
        <v>2024</v>
      </c>
      <c r="C875" s="8"/>
      <c r="D875" s="8" t="s">
        <v>386</v>
      </c>
      <c r="E875" s="152" t="s">
        <v>102</v>
      </c>
      <c r="F875" s="152" t="s">
        <v>103</v>
      </c>
      <c r="G875" s="152">
        <v>0</v>
      </c>
      <c r="H875" s="152"/>
      <c r="I875" s="153">
        <v>4.4990000000000014</v>
      </c>
      <c r="J875" s="145"/>
      <c r="K875" s="153" t="s">
        <v>86</v>
      </c>
      <c r="L875" s="153" t="s">
        <v>86</v>
      </c>
      <c r="M875" s="153"/>
      <c r="N875" s="2" t="s">
        <v>57</v>
      </c>
      <c r="O875" s="2"/>
      <c r="P875" s="2"/>
    </row>
    <row r="876" spans="1:16" ht="16.5" customHeight="1" x14ac:dyDescent="0.25">
      <c r="A876" s="2" t="s">
        <v>2025</v>
      </c>
      <c r="B876" s="8" t="s">
        <v>2026</v>
      </c>
      <c r="C876" s="8"/>
      <c r="D876" s="8" t="s">
        <v>386</v>
      </c>
      <c r="E876" s="152" t="s">
        <v>102</v>
      </c>
      <c r="F876" s="152" t="s">
        <v>103</v>
      </c>
      <c r="G876" s="152">
        <v>0</v>
      </c>
      <c r="H876" s="152"/>
      <c r="I876" s="153">
        <v>8.1510000000000016</v>
      </c>
      <c r="J876" s="145"/>
      <c r="K876" s="153" t="s">
        <v>86</v>
      </c>
      <c r="L876" s="153" t="s">
        <v>86</v>
      </c>
      <c r="M876" s="153"/>
      <c r="N876" s="2" t="s">
        <v>57</v>
      </c>
      <c r="O876" s="2"/>
      <c r="P876" s="2"/>
    </row>
    <row r="877" spans="1:16" ht="16.5" customHeight="1" x14ac:dyDescent="0.25">
      <c r="A877" s="2" t="s">
        <v>2027</v>
      </c>
      <c r="B877" s="8" t="s">
        <v>2028</v>
      </c>
      <c r="C877" s="8"/>
      <c r="D877" s="8" t="s">
        <v>386</v>
      </c>
      <c r="E877" s="152" t="s">
        <v>102</v>
      </c>
      <c r="F877" s="152" t="s">
        <v>103</v>
      </c>
      <c r="G877" s="152">
        <v>0</v>
      </c>
      <c r="H877" s="152"/>
      <c r="I877" s="153">
        <v>6.468</v>
      </c>
      <c r="J877" s="145"/>
      <c r="K877" s="153" t="s">
        <v>86</v>
      </c>
      <c r="L877" s="153" t="s">
        <v>86</v>
      </c>
      <c r="M877" s="153"/>
      <c r="N877" s="2" t="s">
        <v>57</v>
      </c>
      <c r="O877" s="2"/>
      <c r="P877" s="2"/>
    </row>
    <row r="878" spans="1:16" ht="16.5" customHeight="1" x14ac:dyDescent="0.25">
      <c r="A878" s="2" t="s">
        <v>2029</v>
      </c>
      <c r="B878" s="8" t="s">
        <v>2030</v>
      </c>
      <c r="C878" s="8"/>
      <c r="D878" s="8" t="s">
        <v>386</v>
      </c>
      <c r="E878" s="152" t="s">
        <v>102</v>
      </c>
      <c r="F878" s="152" t="s">
        <v>103</v>
      </c>
      <c r="G878" s="152">
        <v>0</v>
      </c>
      <c r="H878" s="152"/>
      <c r="I878" s="153">
        <v>4.8289999999999997</v>
      </c>
      <c r="J878" s="145"/>
      <c r="K878" s="153" t="s">
        <v>86</v>
      </c>
      <c r="L878" s="153" t="s">
        <v>86</v>
      </c>
      <c r="M878" s="153"/>
      <c r="N878" s="2" t="s">
        <v>57</v>
      </c>
      <c r="O878" s="2"/>
      <c r="P878" s="2"/>
    </row>
    <row r="879" spans="1:16" ht="16.5" customHeight="1" x14ac:dyDescent="0.25">
      <c r="A879" s="2" t="s">
        <v>2031</v>
      </c>
      <c r="B879" s="8" t="s">
        <v>2032</v>
      </c>
      <c r="C879" s="8" t="s">
        <v>2033</v>
      </c>
      <c r="D879" s="8" t="s">
        <v>278</v>
      </c>
      <c r="E879" s="152" t="s">
        <v>102</v>
      </c>
      <c r="F879" s="152" t="s">
        <v>103</v>
      </c>
      <c r="G879" s="152">
        <v>0</v>
      </c>
      <c r="H879" s="152"/>
      <c r="I879" s="153">
        <v>30.8</v>
      </c>
      <c r="J879" s="145"/>
      <c r="K879" s="153">
        <v>-7.6938333333333349</v>
      </c>
      <c r="L879" s="153">
        <v>-11.58</v>
      </c>
      <c r="M879" s="153"/>
      <c r="N879" s="2" t="s">
        <v>57</v>
      </c>
      <c r="O879" s="2" t="s">
        <v>1472</v>
      </c>
      <c r="P879" s="2" t="s">
        <v>51</v>
      </c>
    </row>
    <row r="880" spans="1:16" ht="16.5" customHeight="1" x14ac:dyDescent="0.25">
      <c r="A880" s="2" t="s">
        <v>2034</v>
      </c>
      <c r="B880" s="8" t="s">
        <v>2035</v>
      </c>
      <c r="C880" s="8" t="s">
        <v>2036</v>
      </c>
      <c r="D880" s="8" t="s">
        <v>278</v>
      </c>
      <c r="E880" s="152" t="s">
        <v>102</v>
      </c>
      <c r="F880" s="152" t="s">
        <v>103</v>
      </c>
      <c r="G880" s="152">
        <v>0</v>
      </c>
      <c r="H880" s="152"/>
      <c r="I880" s="153">
        <v>42.305999999999997</v>
      </c>
      <c r="J880" s="145"/>
      <c r="K880" s="153">
        <v>-8.9214047619047623</v>
      </c>
      <c r="L880" s="153" t="s">
        <v>86</v>
      </c>
      <c r="M880" s="153"/>
      <c r="N880" s="2" t="s">
        <v>57</v>
      </c>
      <c r="O880" s="2" t="s">
        <v>1457</v>
      </c>
      <c r="P880" s="2" t="s">
        <v>51</v>
      </c>
    </row>
    <row r="881" spans="1:16" ht="16.5" customHeight="1" x14ac:dyDescent="0.25">
      <c r="A881" s="2" t="s">
        <v>2037</v>
      </c>
      <c r="B881" s="8" t="s">
        <v>2038</v>
      </c>
      <c r="C881" s="8" t="s">
        <v>2039</v>
      </c>
      <c r="D881" s="8" t="s">
        <v>278</v>
      </c>
      <c r="E881" s="152" t="s">
        <v>102</v>
      </c>
      <c r="F881" s="152" t="s">
        <v>103</v>
      </c>
      <c r="G881" s="152">
        <v>0</v>
      </c>
      <c r="H881" s="152"/>
      <c r="I881" s="153">
        <v>82.951000000000008</v>
      </c>
      <c r="J881" s="145"/>
      <c r="K881" s="153">
        <v>-13.863958333333329</v>
      </c>
      <c r="L881" s="153" t="s">
        <v>86</v>
      </c>
      <c r="M881" s="153"/>
      <c r="N881" s="2" t="s">
        <v>57</v>
      </c>
      <c r="O881" s="2" t="s">
        <v>656</v>
      </c>
      <c r="P881" s="10"/>
    </row>
    <row r="882" spans="1:16" ht="16.5" customHeight="1" x14ac:dyDescent="0.25">
      <c r="A882" s="2" t="s">
        <v>2040</v>
      </c>
      <c r="B882" s="8" t="s">
        <v>2040</v>
      </c>
      <c r="C882" s="8" t="s">
        <v>1874</v>
      </c>
      <c r="D882" s="8" t="s">
        <v>278</v>
      </c>
      <c r="E882" s="152" t="s">
        <v>102</v>
      </c>
      <c r="F882" s="152" t="s">
        <v>103</v>
      </c>
      <c r="G882" s="152">
        <v>0</v>
      </c>
      <c r="H882" s="152"/>
      <c r="I882" s="153">
        <v>4.07</v>
      </c>
      <c r="J882" s="145"/>
      <c r="K882" s="153" t="s">
        <v>86</v>
      </c>
      <c r="L882" s="153" t="s">
        <v>86</v>
      </c>
      <c r="M882" s="153"/>
      <c r="N882" s="2" t="s">
        <v>57</v>
      </c>
      <c r="O882" s="2"/>
      <c r="P882" s="10"/>
    </row>
    <row r="883" spans="1:16" ht="16.5" customHeight="1" x14ac:dyDescent="0.25">
      <c r="A883" s="2" t="s">
        <v>2041</v>
      </c>
      <c r="B883" s="8" t="s">
        <v>2041</v>
      </c>
      <c r="C883" s="8" t="s">
        <v>1874</v>
      </c>
      <c r="D883" s="8" t="s">
        <v>278</v>
      </c>
      <c r="E883" s="152" t="s">
        <v>102</v>
      </c>
      <c r="F883" s="152" t="s">
        <v>103</v>
      </c>
      <c r="G883" s="152">
        <v>0</v>
      </c>
      <c r="H883" s="152"/>
      <c r="I883" s="153">
        <v>0.81400000000000006</v>
      </c>
      <c r="J883" s="145"/>
      <c r="K883" s="153" t="s">
        <v>86</v>
      </c>
      <c r="L883" s="153" t="s">
        <v>86</v>
      </c>
      <c r="M883" s="153"/>
      <c r="N883" s="2" t="s">
        <v>57</v>
      </c>
      <c r="O883" s="2"/>
      <c r="P883" s="2"/>
    </row>
    <row r="884" spans="1:16" ht="16.5" customHeight="1" x14ac:dyDescent="0.25">
      <c r="A884" s="2" t="s">
        <v>2044</v>
      </c>
      <c r="B884" s="8" t="s">
        <v>2045</v>
      </c>
      <c r="C884" s="8" t="s">
        <v>2046</v>
      </c>
      <c r="D884" s="8" t="s">
        <v>278</v>
      </c>
      <c r="E884" s="152" t="s">
        <v>102</v>
      </c>
      <c r="F884" s="152" t="s">
        <v>103</v>
      </c>
      <c r="G884" s="152">
        <v>0</v>
      </c>
      <c r="H884" s="152"/>
      <c r="I884" s="153">
        <v>5.1260000000000003</v>
      </c>
      <c r="J884" s="145"/>
      <c r="K884" s="153">
        <v>-0.96305139621330327</v>
      </c>
      <c r="L884" s="153" t="s">
        <v>86</v>
      </c>
      <c r="M884" s="153"/>
      <c r="N884" s="2" t="s">
        <v>57</v>
      </c>
      <c r="O884" s="2" t="s">
        <v>2047</v>
      </c>
      <c r="P884" s="10"/>
    </row>
    <row r="885" spans="1:16" ht="16.5" customHeight="1" x14ac:dyDescent="0.25">
      <c r="A885" s="2" t="s">
        <v>2048</v>
      </c>
      <c r="B885" s="8" t="s">
        <v>2049</v>
      </c>
      <c r="C885" s="8" t="s">
        <v>2050</v>
      </c>
      <c r="D885" s="8" t="s">
        <v>278</v>
      </c>
      <c r="E885" s="152" t="s">
        <v>102</v>
      </c>
      <c r="F885" s="152" t="s">
        <v>103</v>
      </c>
      <c r="G885" s="152">
        <v>0</v>
      </c>
      <c r="H885" s="152"/>
      <c r="I885" s="153">
        <v>2.2879999999999998</v>
      </c>
      <c r="J885" s="145"/>
      <c r="K885" s="153">
        <v>-0.67823048123482732</v>
      </c>
      <c r="L885" s="153" t="s">
        <v>86</v>
      </c>
      <c r="M885" s="153"/>
      <c r="N885" s="2" t="s">
        <v>57</v>
      </c>
      <c r="O885" s="2" t="s">
        <v>1421</v>
      </c>
      <c r="P885" s="10"/>
    </row>
    <row r="886" spans="1:16" ht="16.5" customHeight="1" x14ac:dyDescent="0.25">
      <c r="A886" s="2" t="s">
        <v>2051</v>
      </c>
      <c r="B886" s="8" t="s">
        <v>2052</v>
      </c>
      <c r="C886" s="8" t="s">
        <v>2053</v>
      </c>
      <c r="D886" s="8" t="s">
        <v>278</v>
      </c>
      <c r="E886" s="152" t="s">
        <v>102</v>
      </c>
      <c r="F886" s="152" t="s">
        <v>103</v>
      </c>
      <c r="G886" s="152">
        <v>0</v>
      </c>
      <c r="H886" s="152"/>
      <c r="I886" s="153">
        <v>3.3</v>
      </c>
      <c r="J886" s="145"/>
      <c r="K886" s="153">
        <v>-0.64892002335084653</v>
      </c>
      <c r="L886" s="153" t="s">
        <v>86</v>
      </c>
      <c r="M886" s="153"/>
      <c r="N886" s="2" t="s">
        <v>57</v>
      </c>
      <c r="O886" s="2" t="s">
        <v>501</v>
      </c>
      <c r="P886" s="10"/>
    </row>
    <row r="887" spans="1:16" ht="16.5" customHeight="1" x14ac:dyDescent="0.25">
      <c r="A887" s="2" t="s">
        <v>2054</v>
      </c>
      <c r="B887" s="8" t="s">
        <v>2055</v>
      </c>
      <c r="C887" s="8" t="s">
        <v>1125</v>
      </c>
      <c r="D887" s="8" t="s">
        <v>278</v>
      </c>
      <c r="E887" s="152" t="s">
        <v>102</v>
      </c>
      <c r="F887" s="152" t="s">
        <v>103</v>
      </c>
      <c r="G887" s="152">
        <v>0</v>
      </c>
      <c r="H887" s="152"/>
      <c r="I887" s="153">
        <v>14.113</v>
      </c>
      <c r="J887" s="145"/>
      <c r="K887" s="153">
        <v>-1.6409445836965999</v>
      </c>
      <c r="L887" s="153" t="s">
        <v>86</v>
      </c>
      <c r="M887" s="153"/>
      <c r="N887" s="2" t="s">
        <v>57</v>
      </c>
      <c r="O887" s="2" t="s">
        <v>2056</v>
      </c>
      <c r="P887" s="10"/>
    </row>
    <row r="888" spans="1:16" ht="16.5" customHeight="1" x14ac:dyDescent="0.25">
      <c r="A888" s="2" t="s">
        <v>2057</v>
      </c>
      <c r="B888" s="8" t="s">
        <v>2058</v>
      </c>
      <c r="C888" s="8" t="s">
        <v>2059</v>
      </c>
      <c r="D888" s="8" t="s">
        <v>278</v>
      </c>
      <c r="E888" s="152" t="s">
        <v>102</v>
      </c>
      <c r="F888" s="152" t="s">
        <v>103</v>
      </c>
      <c r="G888" s="152">
        <v>0</v>
      </c>
      <c r="H888" s="152"/>
      <c r="I888" s="153">
        <v>6.5230000000000006</v>
      </c>
      <c r="J888" s="145"/>
      <c r="K888" s="153">
        <v>-0.76655541630340018</v>
      </c>
      <c r="L888" s="153" t="s">
        <v>86</v>
      </c>
      <c r="M888" s="153"/>
      <c r="N888" s="2" t="s">
        <v>57</v>
      </c>
      <c r="O888" s="2"/>
      <c r="P888" s="10"/>
    </row>
    <row r="889" spans="1:16" ht="16.5" customHeight="1" x14ac:dyDescent="0.25">
      <c r="A889" s="2" t="s">
        <v>2060</v>
      </c>
      <c r="B889" s="8" t="s">
        <v>2061</v>
      </c>
      <c r="C889" s="8" t="s">
        <v>749</v>
      </c>
      <c r="D889" s="8" t="s">
        <v>163</v>
      </c>
      <c r="E889" s="152" t="s">
        <v>102</v>
      </c>
      <c r="F889" s="152" t="s">
        <v>103</v>
      </c>
      <c r="G889" s="152">
        <v>0</v>
      </c>
      <c r="H889" s="152"/>
      <c r="I889" s="153">
        <v>64.548000000000002</v>
      </c>
      <c r="J889" s="145"/>
      <c r="K889" s="153">
        <v>-9.2100000000000009</v>
      </c>
      <c r="L889" s="153" t="s">
        <v>86</v>
      </c>
      <c r="M889" s="153"/>
      <c r="N889" s="2" t="s">
        <v>57</v>
      </c>
      <c r="O889" s="2"/>
      <c r="P889" s="10"/>
    </row>
    <row r="890" spans="1:16" ht="16.5" customHeight="1" x14ac:dyDescent="0.25">
      <c r="A890" s="2" t="s">
        <v>2062</v>
      </c>
      <c r="B890" s="8" t="s">
        <v>2063</v>
      </c>
      <c r="C890" s="8" t="s">
        <v>2064</v>
      </c>
      <c r="D890" s="8" t="s">
        <v>278</v>
      </c>
      <c r="E890" s="152" t="s">
        <v>102</v>
      </c>
      <c r="F890" s="152" t="s">
        <v>103</v>
      </c>
      <c r="G890" s="152">
        <v>0</v>
      </c>
      <c r="H890" s="152"/>
      <c r="I890" s="153">
        <v>8.0960000000000019</v>
      </c>
      <c r="J890" s="145"/>
      <c r="K890" s="153">
        <v>-4.1121467889908248</v>
      </c>
      <c r="L890" s="153" t="s">
        <v>86</v>
      </c>
      <c r="M890" s="153"/>
      <c r="N890" s="2" t="s">
        <v>57</v>
      </c>
      <c r="O890" s="2" t="s">
        <v>505</v>
      </c>
      <c r="P890" s="10"/>
    </row>
    <row r="891" spans="1:16" ht="16.5" customHeight="1" x14ac:dyDescent="0.25">
      <c r="A891" s="2" t="s">
        <v>2065</v>
      </c>
      <c r="B891" s="8" t="s">
        <v>2066</v>
      </c>
      <c r="C891" s="8" t="s">
        <v>2067</v>
      </c>
      <c r="D891" s="8" t="s">
        <v>869</v>
      </c>
      <c r="E891" s="152" t="s">
        <v>102</v>
      </c>
      <c r="F891" s="152" t="s">
        <v>103</v>
      </c>
      <c r="G891" s="152">
        <v>0</v>
      </c>
      <c r="H891" s="152"/>
      <c r="I891" s="153">
        <v>1.9690000000000001</v>
      </c>
      <c r="J891" s="145"/>
      <c r="K891" s="153" t="s">
        <v>86</v>
      </c>
      <c r="L891" s="153" t="s">
        <v>86</v>
      </c>
      <c r="M891" s="153"/>
      <c r="N891" s="2" t="s">
        <v>57</v>
      </c>
      <c r="O891" s="2"/>
      <c r="P891" s="2"/>
    </row>
    <row r="892" spans="1:16" ht="16.5" customHeight="1" x14ac:dyDescent="0.25">
      <c r="A892" s="2" t="s">
        <v>2068</v>
      </c>
      <c r="B892" s="8" t="s">
        <v>2068</v>
      </c>
      <c r="C892" s="8" t="s">
        <v>2067</v>
      </c>
      <c r="D892" s="8" t="s">
        <v>869</v>
      </c>
      <c r="E892" s="152" t="s">
        <v>102</v>
      </c>
      <c r="F892" s="152" t="s">
        <v>103</v>
      </c>
      <c r="G892" s="152">
        <v>0</v>
      </c>
      <c r="H892" s="152"/>
      <c r="I892" s="153">
        <v>4.2350000000000003</v>
      </c>
      <c r="J892" s="145"/>
      <c r="K892" s="153">
        <v>-0.76907340553549941</v>
      </c>
      <c r="L892" s="153" t="s">
        <v>86</v>
      </c>
      <c r="M892" s="153"/>
      <c r="N892" s="2" t="s">
        <v>57</v>
      </c>
      <c r="O892" s="2"/>
      <c r="P892" s="10"/>
    </row>
    <row r="893" spans="1:16" ht="16.5" customHeight="1" x14ac:dyDescent="0.25">
      <c r="A893" s="2" t="s">
        <v>2069</v>
      </c>
      <c r="B893" s="8" t="s">
        <v>2070</v>
      </c>
      <c r="C893" s="8" t="s">
        <v>749</v>
      </c>
      <c r="D893" s="8" t="s">
        <v>278</v>
      </c>
      <c r="E893" s="152" t="s">
        <v>102</v>
      </c>
      <c r="F893" s="152" t="s">
        <v>103</v>
      </c>
      <c r="G893" s="152">
        <v>0</v>
      </c>
      <c r="H893" s="152"/>
      <c r="I893" s="153">
        <v>33.319000000000003</v>
      </c>
      <c r="J893" s="145"/>
      <c r="K893" s="153" t="s">
        <v>86</v>
      </c>
      <c r="L893" s="153" t="s">
        <v>86</v>
      </c>
      <c r="M893" s="153"/>
      <c r="N893" s="2" t="s">
        <v>57</v>
      </c>
      <c r="O893" s="2"/>
      <c r="P893" s="10"/>
    </row>
    <row r="894" spans="1:16" ht="16.5" customHeight="1" x14ac:dyDescent="0.25">
      <c r="A894" s="2" t="s">
        <v>2071</v>
      </c>
      <c r="B894" s="8" t="s">
        <v>2072</v>
      </c>
      <c r="C894" s="8" t="s">
        <v>714</v>
      </c>
      <c r="D894" s="8" t="s">
        <v>278</v>
      </c>
      <c r="E894" s="152" t="s">
        <v>102</v>
      </c>
      <c r="F894" s="152" t="s">
        <v>103</v>
      </c>
      <c r="G894" s="152">
        <v>0</v>
      </c>
      <c r="H894" s="152"/>
      <c r="I894" s="153">
        <v>47.817</v>
      </c>
      <c r="J894" s="145"/>
      <c r="K894" s="153">
        <v>-6.7462499999999999</v>
      </c>
      <c r="L894" s="153" t="s">
        <v>86</v>
      </c>
      <c r="M894" s="153"/>
      <c r="N894" s="2" t="s">
        <v>57</v>
      </c>
      <c r="O894" s="2"/>
      <c r="P894" s="10"/>
    </row>
    <row r="895" spans="1:16" ht="16.5" customHeight="1" x14ac:dyDescent="0.25">
      <c r="A895" s="2" t="s">
        <v>2073</v>
      </c>
      <c r="B895" s="8" t="s">
        <v>2074</v>
      </c>
      <c r="C895" s="8" t="s">
        <v>102</v>
      </c>
      <c r="D895" s="8" t="s">
        <v>278</v>
      </c>
      <c r="E895" s="152" t="s">
        <v>102</v>
      </c>
      <c r="F895" s="152" t="s">
        <v>103</v>
      </c>
      <c r="G895" s="152">
        <v>0</v>
      </c>
      <c r="H895" s="152"/>
      <c r="I895" s="153">
        <v>25.178999999999998</v>
      </c>
      <c r="J895" s="145"/>
      <c r="K895" s="153">
        <v>-3.4337499999999999</v>
      </c>
      <c r="L895" s="153" t="s">
        <v>86</v>
      </c>
      <c r="M895" s="153"/>
      <c r="N895" s="2" t="s">
        <v>57</v>
      </c>
      <c r="O895" s="2"/>
      <c r="P895" s="10"/>
    </row>
    <row r="896" spans="1:16" ht="16.5" customHeight="1" x14ac:dyDescent="0.25">
      <c r="A896" s="2" t="s">
        <v>2075</v>
      </c>
      <c r="B896" s="8" t="s">
        <v>2076</v>
      </c>
      <c r="C896" s="8" t="s">
        <v>714</v>
      </c>
      <c r="D896" s="8" t="s">
        <v>2077</v>
      </c>
      <c r="E896" s="152" t="s">
        <v>102</v>
      </c>
      <c r="F896" s="152" t="s">
        <v>103</v>
      </c>
      <c r="G896" s="152">
        <v>0</v>
      </c>
      <c r="H896" s="152"/>
      <c r="I896" s="153">
        <v>6.9409999999999998</v>
      </c>
      <c r="J896" s="145"/>
      <c r="K896" s="153">
        <v>-1.33</v>
      </c>
      <c r="L896" s="153" t="s">
        <v>86</v>
      </c>
      <c r="M896" s="153"/>
      <c r="N896" s="2" t="s">
        <v>57</v>
      </c>
      <c r="O896" s="2"/>
      <c r="P896" s="10"/>
    </row>
    <row r="897" spans="1:16" ht="16.5" customHeight="1" x14ac:dyDescent="0.25">
      <c r="A897" s="2" t="s">
        <v>2078</v>
      </c>
      <c r="B897" s="8" t="s">
        <v>2079</v>
      </c>
      <c r="C897" s="8" t="s">
        <v>714</v>
      </c>
      <c r="D897" s="8" t="s">
        <v>2077</v>
      </c>
      <c r="E897" s="152" t="s">
        <v>102</v>
      </c>
      <c r="F897" s="152" t="s">
        <v>103</v>
      </c>
      <c r="G897" s="152">
        <v>0</v>
      </c>
      <c r="H897" s="152"/>
      <c r="I897" s="153">
        <v>10.428000000000001</v>
      </c>
      <c r="J897" s="145"/>
      <c r="K897" s="153">
        <v>-1.802</v>
      </c>
      <c r="L897" s="153" t="s">
        <v>86</v>
      </c>
      <c r="M897" s="153"/>
      <c r="N897" s="2" t="s">
        <v>57</v>
      </c>
      <c r="O897" s="2"/>
      <c r="P897" s="10"/>
    </row>
    <row r="898" spans="1:16" ht="16.5" customHeight="1" x14ac:dyDescent="0.25">
      <c r="A898" s="2" t="s">
        <v>2080</v>
      </c>
      <c r="B898" s="8" t="s">
        <v>2081</v>
      </c>
      <c r="C898" s="8" t="s">
        <v>714</v>
      </c>
      <c r="D898" s="8" t="s">
        <v>2077</v>
      </c>
      <c r="E898" s="152" t="s">
        <v>102</v>
      </c>
      <c r="F898" s="152" t="s">
        <v>103</v>
      </c>
      <c r="G898" s="152">
        <v>0</v>
      </c>
      <c r="H898" s="152"/>
      <c r="I898" s="153">
        <v>13.365</v>
      </c>
      <c r="J898" s="145"/>
      <c r="K898" s="153">
        <v>-2.67</v>
      </c>
      <c r="L898" s="153" t="s">
        <v>86</v>
      </c>
      <c r="M898" s="153"/>
      <c r="N898" s="2" t="s">
        <v>57</v>
      </c>
      <c r="O898" s="2"/>
      <c r="P898" s="10"/>
    </row>
    <row r="899" spans="1:16" ht="16.5" customHeight="1" x14ac:dyDescent="0.25">
      <c r="A899" s="2" t="s">
        <v>2082</v>
      </c>
      <c r="B899" s="8" t="s">
        <v>2083</v>
      </c>
      <c r="C899" s="8" t="s">
        <v>714</v>
      </c>
      <c r="D899" s="8" t="s">
        <v>2077</v>
      </c>
      <c r="E899" s="152" t="s">
        <v>102</v>
      </c>
      <c r="F899" s="152" t="s">
        <v>103</v>
      </c>
      <c r="G899" s="152">
        <v>0</v>
      </c>
      <c r="H899" s="152"/>
      <c r="I899" s="153">
        <v>32.307000000000002</v>
      </c>
      <c r="J899" s="145"/>
      <c r="K899" s="153">
        <v>-9.4016666666666655</v>
      </c>
      <c r="L899" s="153" t="s">
        <v>86</v>
      </c>
      <c r="M899" s="153"/>
      <c r="N899" s="2" t="s">
        <v>57</v>
      </c>
      <c r="O899" s="2"/>
      <c r="P899" s="10"/>
    </row>
    <row r="900" spans="1:16" ht="16.5" customHeight="1" x14ac:dyDescent="0.25">
      <c r="A900" s="2" t="s">
        <v>2084</v>
      </c>
      <c r="B900" s="8" t="s">
        <v>2085</v>
      </c>
      <c r="C900" s="8" t="s">
        <v>2086</v>
      </c>
      <c r="D900" s="8" t="s">
        <v>278</v>
      </c>
      <c r="E900" s="152" t="s">
        <v>102</v>
      </c>
      <c r="F900" s="152" t="s">
        <v>103</v>
      </c>
      <c r="G900" s="152">
        <v>0</v>
      </c>
      <c r="H900" s="152"/>
      <c r="I900" s="153">
        <v>17.38</v>
      </c>
      <c r="J900" s="145"/>
      <c r="K900" s="153">
        <v>-8.3159999999999989</v>
      </c>
      <c r="L900" s="153" t="s">
        <v>86</v>
      </c>
      <c r="M900" s="153"/>
      <c r="N900" s="2" t="s">
        <v>57</v>
      </c>
      <c r="O900" s="2"/>
      <c r="P900" s="10"/>
    </row>
    <row r="901" spans="1:16" ht="16.5" customHeight="1" x14ac:dyDescent="0.25">
      <c r="A901" s="8" t="s">
        <v>2087</v>
      </c>
      <c r="B901" s="8" t="s">
        <v>2088</v>
      </c>
      <c r="C901" s="8" t="s">
        <v>778</v>
      </c>
      <c r="D901" s="8" t="s">
        <v>1290</v>
      </c>
      <c r="E901" s="152" t="s">
        <v>102</v>
      </c>
      <c r="F901" s="152" t="s">
        <v>103</v>
      </c>
      <c r="G901" s="152">
        <v>0</v>
      </c>
      <c r="H901" s="152"/>
      <c r="I901" s="153">
        <v>5.5</v>
      </c>
      <c r="J901" s="145"/>
      <c r="K901" s="153" t="s">
        <v>86</v>
      </c>
      <c r="L901" s="153" t="s">
        <v>86</v>
      </c>
      <c r="M901" s="153"/>
      <c r="N901" s="2" t="s">
        <v>57</v>
      </c>
      <c r="O901" s="2"/>
      <c r="P901" s="10"/>
    </row>
    <row r="902" spans="1:16" ht="16.5" customHeight="1" x14ac:dyDescent="0.25">
      <c r="A902" s="8" t="s">
        <v>2089</v>
      </c>
      <c r="B902" s="8" t="s">
        <v>2090</v>
      </c>
      <c r="C902" s="8" t="s">
        <v>778</v>
      </c>
      <c r="D902" s="8" t="s">
        <v>1290</v>
      </c>
      <c r="E902" s="152" t="s">
        <v>102</v>
      </c>
      <c r="F902" s="152" t="s">
        <v>103</v>
      </c>
      <c r="G902" s="152">
        <v>0</v>
      </c>
      <c r="H902" s="152"/>
      <c r="I902" s="153">
        <v>4.8620000000000001</v>
      </c>
      <c r="J902" s="145"/>
      <c r="K902" s="153" t="s">
        <v>86</v>
      </c>
      <c r="L902" s="153" t="s">
        <v>86</v>
      </c>
      <c r="M902" s="153"/>
      <c r="N902" s="2" t="s">
        <v>57</v>
      </c>
      <c r="O902" s="2"/>
      <c r="P902" s="2"/>
    </row>
    <row r="903" spans="1:16" ht="16.5" customHeight="1" x14ac:dyDescent="0.25">
      <c r="A903" s="8" t="s">
        <v>2091</v>
      </c>
      <c r="B903" s="8" t="s">
        <v>2092</v>
      </c>
      <c r="C903" s="8" t="s">
        <v>778</v>
      </c>
      <c r="D903" s="8" t="s">
        <v>1290</v>
      </c>
      <c r="E903" s="152" t="s">
        <v>102</v>
      </c>
      <c r="F903" s="152" t="s">
        <v>103</v>
      </c>
      <c r="G903" s="152">
        <v>0</v>
      </c>
      <c r="H903" s="152"/>
      <c r="I903" s="153">
        <v>4.3120000000000003</v>
      </c>
      <c r="J903" s="145"/>
      <c r="K903" s="153" t="s">
        <v>86</v>
      </c>
      <c r="L903" s="153" t="s">
        <v>86</v>
      </c>
      <c r="M903" s="153"/>
      <c r="N903" s="2" t="s">
        <v>57</v>
      </c>
      <c r="O903" s="2"/>
      <c r="P903" s="2"/>
    </row>
    <row r="904" spans="1:16" ht="16.5" customHeight="1" x14ac:dyDescent="0.25">
      <c r="A904" s="8" t="s">
        <v>2093</v>
      </c>
      <c r="B904" s="8" t="s">
        <v>2094</v>
      </c>
      <c r="C904" s="8" t="s">
        <v>778</v>
      </c>
      <c r="D904" s="8" t="s">
        <v>1290</v>
      </c>
      <c r="E904" s="152" t="s">
        <v>102</v>
      </c>
      <c r="F904" s="152" t="s">
        <v>103</v>
      </c>
      <c r="G904" s="152">
        <v>0</v>
      </c>
      <c r="H904" s="152"/>
      <c r="I904" s="153">
        <v>12.265000000000001</v>
      </c>
      <c r="J904" s="145"/>
      <c r="K904" s="153" t="s">
        <v>86</v>
      </c>
      <c r="L904" s="153" t="s">
        <v>86</v>
      </c>
      <c r="M904" s="153"/>
      <c r="N904" s="2" t="s">
        <v>57</v>
      </c>
      <c r="O904" s="2"/>
      <c r="P904" s="2"/>
    </row>
    <row r="905" spans="1:16" ht="16.5" customHeight="1" x14ac:dyDescent="0.25">
      <c r="A905" s="8" t="s">
        <v>2095</v>
      </c>
      <c r="B905" s="8" t="s">
        <v>2096</v>
      </c>
      <c r="C905" s="8" t="s">
        <v>778</v>
      </c>
      <c r="D905" s="8" t="s">
        <v>1290</v>
      </c>
      <c r="E905" s="152" t="s">
        <v>102</v>
      </c>
      <c r="F905" s="152" t="s">
        <v>103</v>
      </c>
      <c r="G905" s="152">
        <v>0</v>
      </c>
      <c r="H905" s="152"/>
      <c r="I905" s="153">
        <v>3.2229999999999999</v>
      </c>
      <c r="J905" s="145"/>
      <c r="K905" s="153" t="s">
        <v>86</v>
      </c>
      <c r="L905" s="153" t="s">
        <v>86</v>
      </c>
      <c r="M905" s="153"/>
      <c r="N905" s="2" t="s">
        <v>57</v>
      </c>
      <c r="O905" s="2"/>
      <c r="P905" s="2"/>
    </row>
    <row r="906" spans="1:16" ht="16.5" customHeight="1" x14ac:dyDescent="0.25">
      <c r="A906" s="8" t="s">
        <v>2097</v>
      </c>
      <c r="B906" s="8" t="s">
        <v>2098</v>
      </c>
      <c r="C906" s="8" t="s">
        <v>778</v>
      </c>
      <c r="D906" s="8" t="s">
        <v>1290</v>
      </c>
      <c r="E906" s="152" t="s">
        <v>102</v>
      </c>
      <c r="F906" s="152" t="s">
        <v>103</v>
      </c>
      <c r="G906" s="152">
        <v>0</v>
      </c>
      <c r="H906" s="152"/>
      <c r="I906" s="153">
        <v>3.7949999999999999</v>
      </c>
      <c r="J906" s="145"/>
      <c r="K906" s="153" t="s">
        <v>86</v>
      </c>
      <c r="L906" s="153" t="s">
        <v>86</v>
      </c>
      <c r="M906" s="153"/>
      <c r="N906" s="2" t="s">
        <v>57</v>
      </c>
      <c r="O906" s="2"/>
      <c r="P906" s="2"/>
    </row>
    <row r="907" spans="1:16" ht="16.5" customHeight="1" x14ac:dyDescent="0.25">
      <c r="A907" s="8" t="s">
        <v>2099</v>
      </c>
      <c r="B907" s="8" t="s">
        <v>2100</v>
      </c>
      <c r="C907" s="8" t="s">
        <v>778</v>
      </c>
      <c r="D907" s="8" t="s">
        <v>1290</v>
      </c>
      <c r="E907" s="152" t="s">
        <v>102</v>
      </c>
      <c r="F907" s="152" t="s">
        <v>103</v>
      </c>
      <c r="G907" s="152">
        <v>0</v>
      </c>
      <c r="H907" s="152"/>
      <c r="I907" s="153">
        <v>3.762</v>
      </c>
      <c r="J907" s="145"/>
      <c r="K907" s="153" t="s">
        <v>86</v>
      </c>
      <c r="L907" s="153" t="s">
        <v>86</v>
      </c>
      <c r="M907" s="153"/>
      <c r="N907" s="2" t="s">
        <v>57</v>
      </c>
      <c r="O907" s="2"/>
      <c r="P907" s="2"/>
    </row>
    <row r="908" spans="1:16" ht="16.5" customHeight="1" x14ac:dyDescent="0.25">
      <c r="A908" s="8" t="s">
        <v>2101</v>
      </c>
      <c r="B908" s="8" t="s">
        <v>2102</v>
      </c>
      <c r="C908" s="8" t="s">
        <v>778</v>
      </c>
      <c r="D908" s="8" t="s">
        <v>1290</v>
      </c>
      <c r="E908" s="152" t="s">
        <v>102</v>
      </c>
      <c r="F908" s="152" t="s">
        <v>103</v>
      </c>
      <c r="G908" s="152">
        <v>0</v>
      </c>
      <c r="H908" s="152"/>
      <c r="I908" s="153">
        <v>6.4130000000000003</v>
      </c>
      <c r="J908" s="145"/>
      <c r="K908" s="153" t="s">
        <v>86</v>
      </c>
      <c r="L908" s="153" t="s">
        <v>86</v>
      </c>
      <c r="M908" s="153"/>
      <c r="N908" s="2" t="s">
        <v>57</v>
      </c>
      <c r="O908" s="2"/>
      <c r="P908" s="10"/>
    </row>
    <row r="909" spans="1:16" ht="16.5" customHeight="1" x14ac:dyDescent="0.25">
      <c r="A909" s="8" t="s">
        <v>2103</v>
      </c>
      <c r="B909" s="8" t="s">
        <v>2104</v>
      </c>
      <c r="C909" s="8" t="s">
        <v>778</v>
      </c>
      <c r="D909" s="8" t="s">
        <v>1290</v>
      </c>
      <c r="E909" s="152" t="s">
        <v>102</v>
      </c>
      <c r="F909" s="152" t="s">
        <v>103</v>
      </c>
      <c r="G909" s="152">
        <v>0</v>
      </c>
      <c r="H909" s="152"/>
      <c r="I909" s="153">
        <v>6.8310000000000004</v>
      </c>
      <c r="J909" s="145"/>
      <c r="K909" s="153" t="s">
        <v>86</v>
      </c>
      <c r="L909" s="153" t="s">
        <v>86</v>
      </c>
      <c r="M909" s="153"/>
      <c r="N909" s="2" t="s">
        <v>57</v>
      </c>
      <c r="O909" s="2"/>
      <c r="P909" s="2"/>
    </row>
    <row r="910" spans="1:16" ht="16.5" customHeight="1" x14ac:dyDescent="0.25">
      <c r="A910" s="8" t="s">
        <v>2105</v>
      </c>
      <c r="B910" s="8" t="s">
        <v>2106</v>
      </c>
      <c r="C910" s="8" t="s">
        <v>778</v>
      </c>
      <c r="D910" s="8" t="s">
        <v>1290</v>
      </c>
      <c r="E910" s="152" t="s">
        <v>102</v>
      </c>
      <c r="F910" s="152" t="s">
        <v>103</v>
      </c>
      <c r="G910" s="152">
        <v>0</v>
      </c>
      <c r="H910" s="152"/>
      <c r="I910" s="153">
        <v>6.8530000000000006</v>
      </c>
      <c r="J910" s="145"/>
      <c r="K910" s="153" t="s">
        <v>86</v>
      </c>
      <c r="L910" s="153" t="s">
        <v>86</v>
      </c>
      <c r="M910" s="153"/>
      <c r="N910" s="2" t="s">
        <v>57</v>
      </c>
      <c r="O910" s="2"/>
      <c r="P910" s="2"/>
    </row>
    <row r="911" spans="1:16" ht="16.5" customHeight="1" x14ac:dyDescent="0.25">
      <c r="A911" s="8" t="s">
        <v>2107</v>
      </c>
      <c r="B911" s="8" t="s">
        <v>2108</v>
      </c>
      <c r="C911" s="8" t="s">
        <v>778</v>
      </c>
      <c r="D911" s="8" t="s">
        <v>1290</v>
      </c>
      <c r="E911" s="152" t="s">
        <v>102</v>
      </c>
      <c r="F911" s="152" t="s">
        <v>103</v>
      </c>
      <c r="G911" s="152">
        <v>0</v>
      </c>
      <c r="H911" s="152"/>
      <c r="I911" s="153">
        <v>6.8640000000000008</v>
      </c>
      <c r="J911" s="145"/>
      <c r="K911" s="153" t="s">
        <v>86</v>
      </c>
      <c r="L911" s="153" t="s">
        <v>86</v>
      </c>
      <c r="M911" s="153"/>
      <c r="N911" s="2" t="s">
        <v>57</v>
      </c>
      <c r="O911" s="2"/>
      <c r="P911" s="2"/>
    </row>
    <row r="912" spans="1:16" ht="16.5" customHeight="1" x14ac:dyDescent="0.25">
      <c r="A912" s="8" t="s">
        <v>2109</v>
      </c>
      <c r="B912" s="8" t="s">
        <v>2110</v>
      </c>
      <c r="C912" s="8" t="s">
        <v>778</v>
      </c>
      <c r="D912" s="8" t="s">
        <v>1290</v>
      </c>
      <c r="E912" s="152" t="s">
        <v>102</v>
      </c>
      <c r="F912" s="152" t="s">
        <v>103</v>
      </c>
      <c r="G912" s="152">
        <v>0</v>
      </c>
      <c r="H912" s="152"/>
      <c r="I912" s="153">
        <v>6.8530000000000006</v>
      </c>
      <c r="J912" s="145"/>
      <c r="K912" s="153" t="s">
        <v>86</v>
      </c>
      <c r="L912" s="153" t="s">
        <v>86</v>
      </c>
      <c r="M912" s="153"/>
      <c r="N912" s="2" t="s">
        <v>57</v>
      </c>
      <c r="O912" s="2"/>
      <c r="P912" s="10"/>
    </row>
    <row r="913" spans="1:16" ht="16.5" customHeight="1" x14ac:dyDescent="0.25">
      <c r="A913" s="8" t="s">
        <v>2111</v>
      </c>
      <c r="B913" s="8" t="s">
        <v>2112</v>
      </c>
      <c r="C913" s="8" t="s">
        <v>778</v>
      </c>
      <c r="D913" s="8" t="s">
        <v>1290</v>
      </c>
      <c r="E913" s="152" t="s">
        <v>102</v>
      </c>
      <c r="F913" s="152" t="s">
        <v>103</v>
      </c>
      <c r="G913" s="152">
        <v>0</v>
      </c>
      <c r="H913" s="152"/>
      <c r="I913" s="153">
        <v>6.8310000000000004</v>
      </c>
      <c r="J913" s="145"/>
      <c r="K913" s="153" t="s">
        <v>86</v>
      </c>
      <c r="L913" s="153" t="s">
        <v>86</v>
      </c>
      <c r="M913" s="153"/>
      <c r="N913" s="2" t="s">
        <v>57</v>
      </c>
      <c r="O913" s="2"/>
      <c r="P913" s="2"/>
    </row>
    <row r="914" spans="1:16" ht="16.5" customHeight="1" x14ac:dyDescent="0.25">
      <c r="A914" s="8" t="s">
        <v>2113</v>
      </c>
      <c r="B914" s="8" t="s">
        <v>2114</v>
      </c>
      <c r="C914" s="8" t="s">
        <v>778</v>
      </c>
      <c r="D914" s="8" t="s">
        <v>1290</v>
      </c>
      <c r="E914" s="152" t="s">
        <v>102</v>
      </c>
      <c r="F914" s="152" t="s">
        <v>103</v>
      </c>
      <c r="G914" s="152">
        <v>0</v>
      </c>
      <c r="H914" s="152"/>
      <c r="I914" s="153">
        <v>6.8310000000000004</v>
      </c>
      <c r="J914" s="145"/>
      <c r="K914" s="153" t="s">
        <v>86</v>
      </c>
      <c r="L914" s="153" t="s">
        <v>86</v>
      </c>
      <c r="M914" s="153"/>
      <c r="N914" s="2" t="s">
        <v>57</v>
      </c>
      <c r="O914" s="2"/>
      <c r="P914" s="2"/>
    </row>
    <row r="915" spans="1:16" ht="16.5" customHeight="1" x14ac:dyDescent="0.25">
      <c r="A915" s="8" t="s">
        <v>2115</v>
      </c>
      <c r="B915" s="8" t="s">
        <v>2116</v>
      </c>
      <c r="C915" s="8" t="s">
        <v>778</v>
      </c>
      <c r="D915" s="8" t="s">
        <v>1290</v>
      </c>
      <c r="E915" s="152" t="s">
        <v>102</v>
      </c>
      <c r="F915" s="152" t="s">
        <v>103</v>
      </c>
      <c r="G915" s="152">
        <v>0</v>
      </c>
      <c r="H915" s="152"/>
      <c r="I915" s="153">
        <v>3.773000000000001</v>
      </c>
      <c r="J915" s="145"/>
      <c r="K915" s="153" t="s">
        <v>86</v>
      </c>
      <c r="L915" s="153" t="s">
        <v>86</v>
      </c>
      <c r="M915" s="153"/>
      <c r="N915" s="2" t="s">
        <v>57</v>
      </c>
      <c r="O915" s="2"/>
      <c r="P915" s="2"/>
    </row>
    <row r="916" spans="1:16" ht="16.5" customHeight="1" x14ac:dyDescent="0.25">
      <c r="A916" s="8" t="s">
        <v>2117</v>
      </c>
      <c r="B916" s="8" t="s">
        <v>2118</v>
      </c>
      <c r="C916" s="8" t="s">
        <v>778</v>
      </c>
      <c r="D916" s="8" t="s">
        <v>1290</v>
      </c>
      <c r="E916" s="152" t="s">
        <v>102</v>
      </c>
      <c r="F916" s="152" t="s">
        <v>103</v>
      </c>
      <c r="G916" s="152">
        <v>0</v>
      </c>
      <c r="H916" s="152"/>
      <c r="I916" s="153">
        <v>3.7839999999999998</v>
      </c>
      <c r="J916" s="145"/>
      <c r="K916" s="153" t="s">
        <v>86</v>
      </c>
      <c r="L916" s="153" t="s">
        <v>86</v>
      </c>
      <c r="M916" s="153"/>
      <c r="N916" s="2" t="s">
        <v>57</v>
      </c>
      <c r="O916" s="2"/>
      <c r="P916" s="2"/>
    </row>
    <row r="917" spans="1:16" ht="16.5" customHeight="1" x14ac:dyDescent="0.25">
      <c r="A917" s="8" t="s">
        <v>2119</v>
      </c>
      <c r="B917" s="8" t="s">
        <v>2120</v>
      </c>
      <c r="C917" s="8" t="s">
        <v>778</v>
      </c>
      <c r="D917" s="8" t="s">
        <v>1290</v>
      </c>
      <c r="E917" s="152" t="s">
        <v>102</v>
      </c>
      <c r="F917" s="152" t="s">
        <v>103</v>
      </c>
      <c r="G917" s="152">
        <v>0</v>
      </c>
      <c r="H917" s="152"/>
      <c r="I917" s="153">
        <v>6.4570000000000007</v>
      </c>
      <c r="J917" s="145"/>
      <c r="K917" s="153" t="s">
        <v>86</v>
      </c>
      <c r="L917" s="153" t="s">
        <v>86</v>
      </c>
      <c r="M917" s="153"/>
      <c r="N917" s="2" t="s">
        <v>57</v>
      </c>
      <c r="O917" s="2"/>
      <c r="P917" s="2"/>
    </row>
    <row r="918" spans="1:16" ht="16.5" customHeight="1" x14ac:dyDescent="0.25">
      <c r="A918" s="8" t="s">
        <v>2121</v>
      </c>
      <c r="B918" s="8" t="s">
        <v>2122</v>
      </c>
      <c r="C918" s="8" t="s">
        <v>778</v>
      </c>
      <c r="D918" s="8" t="s">
        <v>1290</v>
      </c>
      <c r="E918" s="152" t="s">
        <v>102</v>
      </c>
      <c r="F918" s="152" t="s">
        <v>103</v>
      </c>
      <c r="G918" s="152">
        <v>0</v>
      </c>
      <c r="H918" s="152"/>
      <c r="I918" s="153">
        <v>3.8279999999999998</v>
      </c>
      <c r="J918" s="145"/>
      <c r="K918" s="153" t="s">
        <v>86</v>
      </c>
      <c r="L918" s="153" t="s">
        <v>86</v>
      </c>
      <c r="M918" s="153"/>
      <c r="N918" s="2" t="s">
        <v>57</v>
      </c>
      <c r="O918" s="2"/>
      <c r="P918" s="2"/>
    </row>
    <row r="919" spans="1:16" ht="16.5" customHeight="1" x14ac:dyDescent="0.25">
      <c r="A919" s="8" t="s">
        <v>2123</v>
      </c>
      <c r="B919" s="8" t="s">
        <v>2124</v>
      </c>
      <c r="C919" s="8" t="s">
        <v>778</v>
      </c>
      <c r="D919" s="8" t="s">
        <v>1290</v>
      </c>
      <c r="E919" s="152" t="s">
        <v>102</v>
      </c>
      <c r="F919" s="152" t="s">
        <v>103</v>
      </c>
      <c r="G919" s="152">
        <v>0</v>
      </c>
      <c r="H919" s="152"/>
      <c r="I919" s="153">
        <v>6.4460000000000006</v>
      </c>
      <c r="J919" s="145"/>
      <c r="K919" s="153" t="s">
        <v>86</v>
      </c>
      <c r="L919" s="153" t="s">
        <v>86</v>
      </c>
      <c r="M919" s="153"/>
      <c r="N919" s="2" t="s">
        <v>57</v>
      </c>
      <c r="O919" s="2"/>
      <c r="P919" s="2"/>
    </row>
    <row r="920" spans="1:16" ht="16.5" customHeight="1" x14ac:dyDescent="0.25">
      <c r="A920" s="8" t="s">
        <v>2125</v>
      </c>
      <c r="B920" s="8" t="s">
        <v>2126</v>
      </c>
      <c r="C920" s="8" t="s">
        <v>778</v>
      </c>
      <c r="D920" s="8" t="s">
        <v>1290</v>
      </c>
      <c r="E920" s="152" t="s">
        <v>102</v>
      </c>
      <c r="F920" s="152" t="s">
        <v>103</v>
      </c>
      <c r="G920" s="152">
        <v>0</v>
      </c>
      <c r="H920" s="152"/>
      <c r="I920" s="153">
        <v>3.773000000000001</v>
      </c>
      <c r="J920" s="145"/>
      <c r="K920" s="153" t="s">
        <v>86</v>
      </c>
      <c r="L920" s="153" t="s">
        <v>86</v>
      </c>
      <c r="M920" s="153"/>
      <c r="N920" s="2" t="s">
        <v>57</v>
      </c>
      <c r="O920" s="2"/>
      <c r="P920" s="2"/>
    </row>
    <row r="921" spans="1:16" ht="16.5" customHeight="1" x14ac:dyDescent="0.25">
      <c r="A921" s="8" t="s">
        <v>2127</v>
      </c>
      <c r="B921" s="8" t="s">
        <v>2128</v>
      </c>
      <c r="C921" s="8" t="s">
        <v>778</v>
      </c>
      <c r="D921" s="8" t="s">
        <v>1290</v>
      </c>
      <c r="E921" s="152" t="s">
        <v>102</v>
      </c>
      <c r="F921" s="152" t="s">
        <v>103</v>
      </c>
      <c r="G921" s="152">
        <v>0</v>
      </c>
      <c r="H921" s="152"/>
      <c r="I921" s="153">
        <v>25.355</v>
      </c>
      <c r="J921" s="145"/>
      <c r="K921" s="153" t="s">
        <v>86</v>
      </c>
      <c r="L921" s="153" t="s">
        <v>86</v>
      </c>
      <c r="M921" s="153"/>
      <c r="N921" s="2" t="s">
        <v>57</v>
      </c>
      <c r="O921" s="2"/>
      <c r="P921" s="2"/>
    </row>
    <row r="922" spans="1:16" ht="16.5" customHeight="1" x14ac:dyDescent="0.25">
      <c r="A922" s="8" t="s">
        <v>2129</v>
      </c>
      <c r="B922" s="8" t="s">
        <v>2130</v>
      </c>
      <c r="C922" s="8" t="s">
        <v>778</v>
      </c>
      <c r="D922" s="8" t="s">
        <v>1290</v>
      </c>
      <c r="E922" s="152" t="s">
        <v>102</v>
      </c>
      <c r="F922" s="152" t="s">
        <v>103</v>
      </c>
      <c r="G922" s="152">
        <v>0</v>
      </c>
      <c r="H922" s="152"/>
      <c r="I922" s="153">
        <v>15.026</v>
      </c>
      <c r="J922" s="145"/>
      <c r="K922" s="153" t="s">
        <v>86</v>
      </c>
      <c r="L922" s="153" t="s">
        <v>86</v>
      </c>
      <c r="M922" s="153"/>
      <c r="N922" s="2" t="s">
        <v>57</v>
      </c>
      <c r="O922" s="2"/>
      <c r="P922" s="2"/>
    </row>
    <row r="923" spans="1:16" ht="16.5" customHeight="1" x14ac:dyDescent="0.25">
      <c r="A923" s="8" t="s">
        <v>2131</v>
      </c>
      <c r="B923" s="8" t="s">
        <v>2132</v>
      </c>
      <c r="C923" s="8" t="s">
        <v>778</v>
      </c>
      <c r="D923" s="8" t="s">
        <v>1290</v>
      </c>
      <c r="E923" s="152" t="s">
        <v>102</v>
      </c>
      <c r="F923" s="152" t="s">
        <v>103</v>
      </c>
      <c r="G923" s="152">
        <v>0</v>
      </c>
      <c r="H923" s="152"/>
      <c r="I923" s="153">
        <v>8.6460000000000008</v>
      </c>
      <c r="J923" s="145"/>
      <c r="K923" s="153" t="s">
        <v>86</v>
      </c>
      <c r="L923" s="153" t="s">
        <v>86</v>
      </c>
      <c r="M923" s="153"/>
      <c r="N923" s="2" t="s">
        <v>57</v>
      </c>
      <c r="O923" s="2"/>
      <c r="P923" s="2"/>
    </row>
    <row r="924" spans="1:16" ht="16.5" customHeight="1" x14ac:dyDescent="0.25">
      <c r="A924" s="8" t="s">
        <v>2133</v>
      </c>
      <c r="B924" s="8" t="s">
        <v>2134</v>
      </c>
      <c r="C924" s="8" t="s">
        <v>778</v>
      </c>
      <c r="D924" s="8" t="s">
        <v>1290</v>
      </c>
      <c r="E924" s="152" t="s">
        <v>102</v>
      </c>
      <c r="F924" s="152" t="s">
        <v>103</v>
      </c>
      <c r="G924" s="152">
        <v>0</v>
      </c>
      <c r="H924" s="152"/>
      <c r="I924" s="153">
        <v>4.2240000000000002</v>
      </c>
      <c r="J924" s="145"/>
      <c r="K924" s="153" t="s">
        <v>86</v>
      </c>
      <c r="L924" s="153" t="s">
        <v>86</v>
      </c>
      <c r="M924" s="153"/>
      <c r="N924" s="2" t="s">
        <v>57</v>
      </c>
      <c r="O924" s="2"/>
      <c r="P924" s="2"/>
    </row>
    <row r="925" spans="1:16" ht="16.5" customHeight="1" x14ac:dyDescent="0.25">
      <c r="A925" s="8" t="s">
        <v>2135</v>
      </c>
      <c r="B925" s="8" t="s">
        <v>2136</v>
      </c>
      <c r="C925" s="8" t="s">
        <v>778</v>
      </c>
      <c r="D925" s="8" t="s">
        <v>1290</v>
      </c>
      <c r="E925" s="152" t="s">
        <v>102</v>
      </c>
      <c r="F925" s="152" t="s">
        <v>103</v>
      </c>
      <c r="G925" s="152">
        <v>0</v>
      </c>
      <c r="H925" s="152"/>
      <c r="I925" s="153">
        <v>3.2229999999999999</v>
      </c>
      <c r="J925" s="145"/>
      <c r="K925" s="153" t="s">
        <v>86</v>
      </c>
      <c r="L925" s="153" t="s">
        <v>86</v>
      </c>
      <c r="M925" s="153"/>
      <c r="N925" s="2" t="s">
        <v>57</v>
      </c>
      <c r="O925" s="2"/>
      <c r="P925" s="2"/>
    </row>
    <row r="926" spans="1:16" ht="16.5" customHeight="1" x14ac:dyDescent="0.25">
      <c r="A926" s="8" t="s">
        <v>2137</v>
      </c>
      <c r="B926" s="8" t="s">
        <v>2138</v>
      </c>
      <c r="C926" s="8" t="s">
        <v>778</v>
      </c>
      <c r="D926" s="8" t="s">
        <v>1290</v>
      </c>
      <c r="E926" s="152" t="s">
        <v>102</v>
      </c>
      <c r="F926" s="152" t="s">
        <v>103</v>
      </c>
      <c r="G926" s="152">
        <v>0</v>
      </c>
      <c r="H926" s="152"/>
      <c r="I926" s="153">
        <v>4.29</v>
      </c>
      <c r="J926" s="145"/>
      <c r="K926" s="153" t="s">
        <v>86</v>
      </c>
      <c r="L926" s="153" t="s">
        <v>86</v>
      </c>
      <c r="M926" s="153"/>
      <c r="N926" s="2" t="s">
        <v>57</v>
      </c>
      <c r="O926" s="2"/>
      <c r="P926" s="2"/>
    </row>
    <row r="927" spans="1:16" ht="16.5" customHeight="1" x14ac:dyDescent="0.25">
      <c r="A927" s="8" t="s">
        <v>2139</v>
      </c>
      <c r="B927" s="8" t="s">
        <v>2140</v>
      </c>
      <c r="C927" s="8" t="s">
        <v>778</v>
      </c>
      <c r="D927" s="8" t="s">
        <v>1290</v>
      </c>
      <c r="E927" s="152" t="s">
        <v>102</v>
      </c>
      <c r="F927" s="152" t="s">
        <v>103</v>
      </c>
      <c r="G927" s="152">
        <v>0</v>
      </c>
      <c r="H927" s="152"/>
      <c r="I927" s="153">
        <v>4.2679999999999998</v>
      </c>
      <c r="J927" s="145"/>
      <c r="K927" s="153" t="s">
        <v>86</v>
      </c>
      <c r="L927" s="153" t="s">
        <v>86</v>
      </c>
      <c r="M927" s="153"/>
      <c r="N927" s="2" t="s">
        <v>57</v>
      </c>
      <c r="O927" s="2"/>
      <c r="P927" s="2"/>
    </row>
    <row r="928" spans="1:16" ht="16.5" customHeight="1" x14ac:dyDescent="0.25">
      <c r="A928" s="8" t="s">
        <v>2141</v>
      </c>
      <c r="B928" s="8" t="s">
        <v>2142</v>
      </c>
      <c r="C928" s="8" t="s">
        <v>778</v>
      </c>
      <c r="D928" s="8" t="s">
        <v>1290</v>
      </c>
      <c r="E928" s="152" t="s">
        <v>102</v>
      </c>
      <c r="F928" s="152" t="s">
        <v>103</v>
      </c>
      <c r="G928" s="152">
        <v>0</v>
      </c>
      <c r="H928" s="152"/>
      <c r="I928" s="153">
        <v>1.98</v>
      </c>
      <c r="J928" s="145"/>
      <c r="K928" s="153" t="s">
        <v>86</v>
      </c>
      <c r="L928" s="153" t="s">
        <v>86</v>
      </c>
      <c r="M928" s="153"/>
      <c r="N928" s="2" t="s">
        <v>57</v>
      </c>
      <c r="O928" s="2"/>
      <c r="P928" s="10"/>
    </row>
    <row r="929" spans="1:16" ht="16.5" customHeight="1" x14ac:dyDescent="0.25">
      <c r="A929" s="8" t="s">
        <v>2143</v>
      </c>
      <c r="B929" s="8" t="s">
        <v>2144</v>
      </c>
      <c r="C929" s="8" t="s">
        <v>778</v>
      </c>
      <c r="D929" s="8" t="s">
        <v>1290</v>
      </c>
      <c r="E929" s="152" t="s">
        <v>102</v>
      </c>
      <c r="F929" s="152" t="s">
        <v>103</v>
      </c>
      <c r="G929" s="152">
        <v>0</v>
      </c>
      <c r="H929" s="152"/>
      <c r="I929" s="153">
        <v>9.57</v>
      </c>
      <c r="J929" s="145"/>
      <c r="K929" s="153" t="s">
        <v>86</v>
      </c>
      <c r="L929" s="153" t="s">
        <v>86</v>
      </c>
      <c r="M929" s="153"/>
      <c r="N929" s="2" t="s">
        <v>57</v>
      </c>
      <c r="O929" s="2"/>
      <c r="P929" s="2"/>
    </row>
    <row r="930" spans="1:16" ht="16.5" customHeight="1" x14ac:dyDescent="0.25">
      <c r="A930" s="8" t="s">
        <v>2145</v>
      </c>
      <c r="B930" s="8" t="s">
        <v>2146</v>
      </c>
      <c r="C930" s="8" t="s">
        <v>778</v>
      </c>
      <c r="D930" s="8" t="s">
        <v>1290</v>
      </c>
      <c r="E930" s="152" t="s">
        <v>102</v>
      </c>
      <c r="F930" s="152" t="s">
        <v>103</v>
      </c>
      <c r="G930" s="152">
        <v>0</v>
      </c>
      <c r="H930" s="152"/>
      <c r="I930" s="153">
        <v>6.5780000000000012</v>
      </c>
      <c r="J930" s="145"/>
      <c r="K930" s="153" t="s">
        <v>86</v>
      </c>
      <c r="L930" s="153" t="s">
        <v>86</v>
      </c>
      <c r="M930" s="153"/>
      <c r="N930" s="2" t="s">
        <v>57</v>
      </c>
      <c r="O930" s="2"/>
      <c r="P930" s="2"/>
    </row>
    <row r="931" spans="1:16" ht="16.5" customHeight="1" x14ac:dyDescent="0.25">
      <c r="A931" s="8" t="s">
        <v>2147</v>
      </c>
      <c r="B931" s="8" t="s">
        <v>2148</v>
      </c>
      <c r="C931" s="8" t="s">
        <v>778</v>
      </c>
      <c r="D931" s="8" t="s">
        <v>1290</v>
      </c>
      <c r="E931" s="152" t="s">
        <v>102</v>
      </c>
      <c r="F931" s="152" t="s">
        <v>103</v>
      </c>
      <c r="G931" s="152">
        <v>0</v>
      </c>
      <c r="H931" s="152"/>
      <c r="I931" s="153">
        <v>12.407999999999999</v>
      </c>
      <c r="J931" s="145"/>
      <c r="K931" s="153" t="s">
        <v>86</v>
      </c>
      <c r="L931" s="153" t="s">
        <v>86</v>
      </c>
      <c r="M931" s="153"/>
      <c r="N931" s="2" t="s">
        <v>57</v>
      </c>
      <c r="O931" s="2"/>
      <c r="P931" s="2"/>
    </row>
    <row r="932" spans="1:16" ht="16.5" customHeight="1" x14ac:dyDescent="0.25">
      <c r="A932" s="8" t="s">
        <v>2149</v>
      </c>
      <c r="B932" s="8" t="s">
        <v>2150</v>
      </c>
      <c r="C932" s="8" t="s">
        <v>778</v>
      </c>
      <c r="D932" s="8" t="s">
        <v>1290</v>
      </c>
      <c r="E932" s="152" t="s">
        <v>102</v>
      </c>
      <c r="F932" s="152" t="s">
        <v>103</v>
      </c>
      <c r="G932" s="152">
        <v>0</v>
      </c>
      <c r="H932" s="152"/>
      <c r="I932" s="153">
        <v>12.606</v>
      </c>
      <c r="J932" s="145"/>
      <c r="K932" s="153" t="s">
        <v>86</v>
      </c>
      <c r="L932" s="153" t="s">
        <v>86</v>
      </c>
      <c r="M932" s="153"/>
      <c r="N932" s="2" t="s">
        <v>57</v>
      </c>
      <c r="O932" s="2"/>
      <c r="P932" s="2"/>
    </row>
    <row r="933" spans="1:16" ht="16.5" customHeight="1" x14ac:dyDescent="0.25">
      <c r="A933" s="8" t="s">
        <v>2151</v>
      </c>
      <c r="B933" s="8" t="s">
        <v>2152</v>
      </c>
      <c r="C933" s="8" t="s">
        <v>778</v>
      </c>
      <c r="D933" s="8" t="s">
        <v>1290</v>
      </c>
      <c r="E933" s="152" t="s">
        <v>102</v>
      </c>
      <c r="F933" s="152" t="s">
        <v>103</v>
      </c>
      <c r="G933" s="152">
        <v>0</v>
      </c>
      <c r="H933" s="152"/>
      <c r="I933" s="153">
        <v>11.946</v>
      </c>
      <c r="J933" s="145"/>
      <c r="K933" s="153" t="s">
        <v>86</v>
      </c>
      <c r="L933" s="153" t="s">
        <v>86</v>
      </c>
      <c r="M933" s="153"/>
      <c r="N933" s="2" t="s">
        <v>57</v>
      </c>
      <c r="O933" s="2"/>
      <c r="P933" s="2"/>
    </row>
    <row r="934" spans="1:16" ht="16.5" customHeight="1" x14ac:dyDescent="0.25">
      <c r="A934" s="8" t="s">
        <v>2153</v>
      </c>
      <c r="B934" s="8" t="s">
        <v>2154</v>
      </c>
      <c r="C934" s="8" t="s">
        <v>778</v>
      </c>
      <c r="D934" s="8" t="s">
        <v>1290</v>
      </c>
      <c r="E934" s="152" t="s">
        <v>102</v>
      </c>
      <c r="F934" s="152" t="s">
        <v>103</v>
      </c>
      <c r="G934" s="152">
        <v>0</v>
      </c>
      <c r="H934" s="152"/>
      <c r="I934" s="153">
        <v>27.885000000000009</v>
      </c>
      <c r="J934" s="145"/>
      <c r="K934" s="153" t="s">
        <v>86</v>
      </c>
      <c r="L934" s="153" t="s">
        <v>86</v>
      </c>
      <c r="M934" s="153"/>
      <c r="N934" s="2" t="s">
        <v>57</v>
      </c>
      <c r="O934" s="2"/>
      <c r="P934" s="10"/>
    </row>
    <row r="935" spans="1:16" ht="16.5" customHeight="1" x14ac:dyDescent="0.25">
      <c r="A935" s="8" t="s">
        <v>2155</v>
      </c>
      <c r="B935" s="8" t="s">
        <v>2156</v>
      </c>
      <c r="C935" s="8" t="s">
        <v>778</v>
      </c>
      <c r="D935" s="8" t="s">
        <v>1290</v>
      </c>
      <c r="E935" s="152" t="s">
        <v>102</v>
      </c>
      <c r="F935" s="152" t="s">
        <v>103</v>
      </c>
      <c r="G935" s="152">
        <v>0</v>
      </c>
      <c r="H935" s="152"/>
      <c r="I935" s="153">
        <v>34.804000000000002</v>
      </c>
      <c r="J935" s="145"/>
      <c r="K935" s="153" t="s">
        <v>86</v>
      </c>
      <c r="L935" s="153" t="s">
        <v>86</v>
      </c>
      <c r="M935" s="153"/>
      <c r="N935" s="2" t="s">
        <v>57</v>
      </c>
      <c r="O935" s="2"/>
      <c r="P935" s="10"/>
    </row>
    <row r="936" spans="1:16" ht="16.5" customHeight="1" x14ac:dyDescent="0.25">
      <c r="A936" s="8" t="s">
        <v>2157</v>
      </c>
      <c r="B936" s="8" t="s">
        <v>2158</v>
      </c>
      <c r="C936" s="8" t="s">
        <v>778</v>
      </c>
      <c r="D936" s="8" t="s">
        <v>1290</v>
      </c>
      <c r="E936" s="152" t="s">
        <v>102</v>
      </c>
      <c r="F936" s="152" t="s">
        <v>103</v>
      </c>
      <c r="G936" s="152">
        <v>0</v>
      </c>
      <c r="H936" s="152"/>
      <c r="I936" s="153">
        <v>30.085000000000001</v>
      </c>
      <c r="J936" s="145"/>
      <c r="K936" s="153" t="s">
        <v>86</v>
      </c>
      <c r="L936" s="153" t="s">
        <v>86</v>
      </c>
      <c r="M936" s="153"/>
      <c r="N936" s="2" t="s">
        <v>57</v>
      </c>
      <c r="O936" s="2"/>
      <c r="P936" s="10"/>
    </row>
    <row r="937" spans="1:16" ht="16.5" customHeight="1" x14ac:dyDescent="0.25">
      <c r="A937" s="8" t="s">
        <v>2159</v>
      </c>
      <c r="B937" s="8" t="s">
        <v>2160</v>
      </c>
      <c r="C937" s="8" t="s">
        <v>778</v>
      </c>
      <c r="D937" s="8" t="s">
        <v>1290</v>
      </c>
      <c r="E937" s="152" t="s">
        <v>102</v>
      </c>
      <c r="F937" s="152" t="s">
        <v>103</v>
      </c>
      <c r="G937" s="152">
        <v>0</v>
      </c>
      <c r="H937" s="152"/>
      <c r="I937" s="153">
        <v>41.833000000000013</v>
      </c>
      <c r="J937" s="145"/>
      <c r="K937" s="153" t="s">
        <v>86</v>
      </c>
      <c r="L937" s="153" t="s">
        <v>86</v>
      </c>
      <c r="M937" s="153"/>
      <c r="N937" s="2" t="s">
        <v>57</v>
      </c>
      <c r="O937" s="2"/>
      <c r="P937" s="10"/>
    </row>
    <row r="938" spans="1:16" ht="16.5" customHeight="1" x14ac:dyDescent="0.25">
      <c r="A938" s="8" t="s">
        <v>2161</v>
      </c>
      <c r="B938" s="8" t="s">
        <v>2162</v>
      </c>
      <c r="C938" s="8" t="s">
        <v>778</v>
      </c>
      <c r="D938" s="8" t="s">
        <v>1290</v>
      </c>
      <c r="E938" s="152" t="s">
        <v>102</v>
      </c>
      <c r="F938" s="152" t="s">
        <v>103</v>
      </c>
      <c r="G938" s="152">
        <v>0</v>
      </c>
      <c r="H938" s="152"/>
      <c r="I938" s="153">
        <v>51.128</v>
      </c>
      <c r="J938" s="145"/>
      <c r="K938" s="153" t="s">
        <v>86</v>
      </c>
      <c r="L938" s="153" t="s">
        <v>86</v>
      </c>
      <c r="M938" s="153"/>
      <c r="N938" s="2" t="s">
        <v>57</v>
      </c>
      <c r="O938" s="2"/>
      <c r="P938" s="2"/>
    </row>
    <row r="939" spans="1:16" ht="16.5" customHeight="1" x14ac:dyDescent="0.25">
      <c r="A939" s="8" t="s">
        <v>2163</v>
      </c>
      <c r="B939" s="8" t="s">
        <v>2164</v>
      </c>
      <c r="C939" s="8" t="s">
        <v>778</v>
      </c>
      <c r="D939" s="8" t="s">
        <v>1290</v>
      </c>
      <c r="E939" s="152" t="s">
        <v>102</v>
      </c>
      <c r="F939" s="152" t="s">
        <v>103</v>
      </c>
      <c r="G939" s="152">
        <v>0</v>
      </c>
      <c r="H939" s="152"/>
      <c r="I939" s="153">
        <v>52.723000000000013</v>
      </c>
      <c r="J939" s="145"/>
      <c r="K939" s="153" t="s">
        <v>86</v>
      </c>
      <c r="L939" s="153" t="s">
        <v>86</v>
      </c>
      <c r="M939" s="153"/>
      <c r="N939" s="2" t="s">
        <v>57</v>
      </c>
      <c r="O939" s="2"/>
      <c r="P939" s="2"/>
    </row>
    <row r="940" spans="1:16" ht="16.5" customHeight="1" x14ac:dyDescent="0.25">
      <c r="A940" s="8" t="s">
        <v>2165</v>
      </c>
      <c r="B940" s="8" t="s">
        <v>2166</v>
      </c>
      <c r="C940" s="8" t="s">
        <v>778</v>
      </c>
      <c r="D940" s="8" t="s">
        <v>1290</v>
      </c>
      <c r="E940" s="152" t="s">
        <v>102</v>
      </c>
      <c r="F940" s="152" t="s">
        <v>103</v>
      </c>
      <c r="G940" s="152">
        <v>0</v>
      </c>
      <c r="H940" s="152"/>
      <c r="I940" s="153">
        <v>14.904999999999999</v>
      </c>
      <c r="J940" s="145"/>
      <c r="K940" s="153" t="s">
        <v>86</v>
      </c>
      <c r="L940" s="153" t="s">
        <v>86</v>
      </c>
      <c r="M940" s="153"/>
      <c r="N940" s="2" t="s">
        <v>57</v>
      </c>
      <c r="O940" s="2"/>
      <c r="P940" s="10"/>
    </row>
    <row r="941" spans="1:16" ht="16.5" customHeight="1" x14ac:dyDescent="0.25">
      <c r="A941" s="8" t="s">
        <v>2056</v>
      </c>
      <c r="B941" s="8" t="s">
        <v>2167</v>
      </c>
      <c r="C941" s="8" t="s">
        <v>2168</v>
      </c>
      <c r="D941" s="8" t="s">
        <v>278</v>
      </c>
      <c r="E941" s="152" t="s">
        <v>102</v>
      </c>
      <c r="F941" s="152" t="s">
        <v>103</v>
      </c>
      <c r="G941" s="152">
        <v>0</v>
      </c>
      <c r="H941" s="152"/>
      <c r="I941" s="153">
        <v>15.862</v>
      </c>
      <c r="J941" s="145"/>
      <c r="K941" s="153">
        <v>-6.6277777777777773</v>
      </c>
      <c r="L941" s="153" t="s">
        <v>86</v>
      </c>
      <c r="M941" s="153"/>
      <c r="N941" s="2" t="s">
        <v>359</v>
      </c>
      <c r="O941" s="2"/>
      <c r="P941" s="10"/>
    </row>
    <row r="942" spans="1:16" ht="16.5" customHeight="1" x14ac:dyDescent="0.25">
      <c r="A942" s="146" t="s">
        <v>2169</v>
      </c>
      <c r="B942" s="146" t="s">
        <v>2170</v>
      </c>
      <c r="C942" s="8" t="s">
        <v>718</v>
      </c>
      <c r="D942" s="8" t="s">
        <v>296</v>
      </c>
      <c r="E942" s="152" t="s">
        <v>102</v>
      </c>
      <c r="F942" s="152" t="s">
        <v>103</v>
      </c>
      <c r="G942" s="152">
        <v>0</v>
      </c>
      <c r="H942" s="152"/>
      <c r="I942" s="153">
        <v>25.696000000000002</v>
      </c>
      <c r="J942" s="145"/>
      <c r="K942" s="153" t="s">
        <v>86</v>
      </c>
      <c r="L942" s="153" t="s">
        <v>86</v>
      </c>
      <c r="M942" s="153"/>
      <c r="N942" s="2" t="s">
        <v>57</v>
      </c>
      <c r="O942" s="2"/>
      <c r="P942" s="10"/>
    </row>
    <row r="943" spans="1:16" ht="16.5" customHeight="1" x14ac:dyDescent="0.25">
      <c r="A943" s="146" t="s">
        <v>2171</v>
      </c>
      <c r="B943" s="146" t="s">
        <v>2172</v>
      </c>
      <c r="C943" s="8" t="s">
        <v>714</v>
      </c>
      <c r="D943" s="8" t="s">
        <v>1335</v>
      </c>
      <c r="E943" s="152" t="s">
        <v>102</v>
      </c>
      <c r="F943" s="152" t="s">
        <v>103</v>
      </c>
      <c r="G943" s="152">
        <v>0</v>
      </c>
      <c r="H943" s="152"/>
      <c r="I943" s="153">
        <v>7.0950000000000006</v>
      </c>
      <c r="J943" s="145"/>
      <c r="K943" s="153">
        <v>-5.5332222222222223</v>
      </c>
      <c r="L943" s="153" t="s">
        <v>86</v>
      </c>
      <c r="M943" s="153"/>
      <c r="N943" s="2" t="s">
        <v>57</v>
      </c>
      <c r="O943" s="2"/>
      <c r="P943" s="10"/>
    </row>
    <row r="944" spans="1:16" ht="16.5" customHeight="1" x14ac:dyDescent="0.25">
      <c r="A944" s="146" t="s">
        <v>2173</v>
      </c>
      <c r="B944" s="146" t="s">
        <v>2174</v>
      </c>
      <c r="C944" s="8" t="s">
        <v>714</v>
      </c>
      <c r="D944" s="8" t="s">
        <v>1335</v>
      </c>
      <c r="E944" s="152" t="s">
        <v>102</v>
      </c>
      <c r="F944" s="152" t="s">
        <v>103</v>
      </c>
      <c r="G944" s="152">
        <v>0</v>
      </c>
      <c r="H944" s="152"/>
      <c r="I944" s="153">
        <v>14.377000000000001</v>
      </c>
      <c r="J944" s="145"/>
      <c r="K944" s="153">
        <v>-10.69811111111111</v>
      </c>
      <c r="L944" s="153" t="s">
        <v>86</v>
      </c>
      <c r="M944" s="153"/>
      <c r="N944" s="2" t="s">
        <v>57</v>
      </c>
      <c r="O944" s="2"/>
      <c r="P944" s="10"/>
    </row>
    <row r="945" spans="1:16" ht="16.5" customHeight="1" x14ac:dyDescent="0.25">
      <c r="A945" s="146" t="s">
        <v>2175</v>
      </c>
      <c r="B945" s="146" t="s">
        <v>2175</v>
      </c>
      <c r="C945" s="8"/>
      <c r="D945" s="8" t="s">
        <v>386</v>
      </c>
      <c r="E945" s="152" t="s">
        <v>102</v>
      </c>
      <c r="F945" s="152" t="s">
        <v>103</v>
      </c>
      <c r="G945" s="152">
        <v>0</v>
      </c>
      <c r="H945" s="152"/>
      <c r="I945" s="153">
        <v>1.837</v>
      </c>
      <c r="J945" s="145"/>
      <c r="K945" s="153" t="s">
        <v>86</v>
      </c>
      <c r="L945" s="153" t="s">
        <v>86</v>
      </c>
      <c r="M945" s="153"/>
      <c r="N945" s="2" t="s">
        <v>57</v>
      </c>
      <c r="O945" s="2"/>
      <c r="P945" s="2"/>
    </row>
    <row r="946" spans="1:16" ht="16.5" customHeight="1" x14ac:dyDescent="0.25">
      <c r="A946" s="146" t="s">
        <v>2176</v>
      </c>
      <c r="B946" s="146" t="s">
        <v>2176</v>
      </c>
      <c r="C946" s="8"/>
      <c r="D946" s="8" t="s">
        <v>386</v>
      </c>
      <c r="E946" s="152" t="s">
        <v>102</v>
      </c>
      <c r="F946" s="152" t="s">
        <v>103</v>
      </c>
      <c r="G946" s="152">
        <v>0</v>
      </c>
      <c r="H946" s="152"/>
      <c r="I946" s="153">
        <v>3.0470000000000002</v>
      </c>
      <c r="J946" s="145"/>
      <c r="K946" s="153" t="s">
        <v>86</v>
      </c>
      <c r="L946" s="153" t="s">
        <v>86</v>
      </c>
      <c r="M946" s="153"/>
      <c r="N946" s="2" t="s">
        <v>57</v>
      </c>
      <c r="O946" s="2"/>
      <c r="P946" s="2"/>
    </row>
    <row r="947" spans="1:16" ht="16.5" customHeight="1" x14ac:dyDescent="0.25">
      <c r="A947" s="146" t="s">
        <v>2177</v>
      </c>
      <c r="B947" s="146" t="s">
        <v>2178</v>
      </c>
      <c r="C947" s="8"/>
      <c r="D947" s="8" t="s">
        <v>278</v>
      </c>
      <c r="E947" s="152" t="s">
        <v>102</v>
      </c>
      <c r="F947" s="152" t="s">
        <v>103</v>
      </c>
      <c r="G947" s="152">
        <v>0</v>
      </c>
      <c r="H947" s="152"/>
      <c r="I947" s="153">
        <v>7.7550000000000008</v>
      </c>
      <c r="J947" s="145"/>
      <c r="K947" s="153">
        <v>-0.98499999999999999</v>
      </c>
      <c r="L947" s="153" t="s">
        <v>86</v>
      </c>
      <c r="M947" s="153"/>
      <c r="N947" s="2" t="s">
        <v>57</v>
      </c>
      <c r="O947" s="2"/>
      <c r="P947" s="10"/>
    </row>
    <row r="948" spans="1:16" ht="16.5" customHeight="1" x14ac:dyDescent="0.25">
      <c r="A948" s="146" t="s">
        <v>2179</v>
      </c>
      <c r="B948" s="8" t="s">
        <v>2180</v>
      </c>
      <c r="C948" s="8" t="s">
        <v>1403</v>
      </c>
      <c r="D948" s="8" t="s">
        <v>201</v>
      </c>
      <c r="E948" s="152" t="s">
        <v>102</v>
      </c>
      <c r="F948" s="152" t="s">
        <v>103</v>
      </c>
      <c r="G948" s="152">
        <v>0</v>
      </c>
      <c r="H948" s="152"/>
      <c r="I948" s="153">
        <v>10.868</v>
      </c>
      <c r="J948" s="145"/>
      <c r="K948" s="153">
        <v>-7.9375</v>
      </c>
      <c r="L948" s="153">
        <v>-2.1869128110839609</v>
      </c>
      <c r="M948" s="153"/>
      <c r="N948" s="2" t="s">
        <v>57</v>
      </c>
      <c r="O948" s="2"/>
      <c r="P948" s="10"/>
    </row>
    <row r="949" spans="1:16" ht="16.5" customHeight="1" x14ac:dyDescent="0.25">
      <c r="A949" s="146" t="s">
        <v>2181</v>
      </c>
      <c r="B949" s="146" t="s">
        <v>2182</v>
      </c>
      <c r="C949" s="8" t="s">
        <v>1403</v>
      </c>
      <c r="D949" s="8" t="s">
        <v>201</v>
      </c>
      <c r="E949" s="152" t="s">
        <v>102</v>
      </c>
      <c r="F949" s="152" t="s">
        <v>103</v>
      </c>
      <c r="G949" s="152">
        <v>0</v>
      </c>
      <c r="H949" s="152"/>
      <c r="I949" s="153">
        <v>48.103000000000002</v>
      </c>
      <c r="J949" s="145"/>
      <c r="K949" s="153">
        <v>-15.24711111111111</v>
      </c>
      <c r="L949" s="153" t="s">
        <v>86</v>
      </c>
      <c r="M949" s="153"/>
      <c r="N949" s="2" t="s">
        <v>57</v>
      </c>
      <c r="O949" s="2"/>
      <c r="P949" s="10"/>
    </row>
    <row r="950" spans="1:16" ht="16.5" customHeight="1" x14ac:dyDescent="0.25">
      <c r="A950" s="146" t="s">
        <v>2183</v>
      </c>
      <c r="B950" s="146" t="s">
        <v>2184</v>
      </c>
      <c r="C950" s="8" t="s">
        <v>1403</v>
      </c>
      <c r="D950" s="8" t="s">
        <v>201</v>
      </c>
      <c r="E950" s="152" t="s">
        <v>102</v>
      </c>
      <c r="F950" s="152" t="s">
        <v>103</v>
      </c>
      <c r="G950" s="152">
        <v>0</v>
      </c>
      <c r="H950" s="152"/>
      <c r="I950" s="153">
        <v>17.765000000000001</v>
      </c>
      <c r="J950" s="145"/>
      <c r="K950" s="153">
        <v>-8.2449999999999992</v>
      </c>
      <c r="L950" s="153" t="s">
        <v>86</v>
      </c>
      <c r="M950" s="153"/>
      <c r="N950" s="2" t="s">
        <v>57</v>
      </c>
      <c r="O950" s="2"/>
      <c r="P950" s="10"/>
    </row>
    <row r="951" spans="1:16" ht="16.5" customHeight="1" x14ac:dyDescent="0.25">
      <c r="A951" s="146" t="s">
        <v>2185</v>
      </c>
      <c r="B951" s="146" t="s">
        <v>2186</v>
      </c>
      <c r="C951" s="8" t="s">
        <v>1403</v>
      </c>
      <c r="D951" s="8" t="s">
        <v>201</v>
      </c>
      <c r="E951" s="152" t="s">
        <v>102</v>
      </c>
      <c r="F951" s="152" t="s">
        <v>103</v>
      </c>
      <c r="G951" s="152">
        <v>0</v>
      </c>
      <c r="H951" s="152"/>
      <c r="I951" s="153">
        <v>9.0750000000000011</v>
      </c>
      <c r="J951" s="145"/>
      <c r="K951" s="153" t="s">
        <v>86</v>
      </c>
      <c r="L951" s="153" t="s">
        <v>86</v>
      </c>
      <c r="M951" s="153"/>
      <c r="N951" s="2" t="s">
        <v>57</v>
      </c>
      <c r="O951" s="2"/>
      <c r="P951" s="10"/>
    </row>
    <row r="952" spans="1:16" ht="16.5" customHeight="1" x14ac:dyDescent="0.25">
      <c r="A952" s="146" t="s">
        <v>2187</v>
      </c>
      <c r="B952" s="146" t="s">
        <v>2188</v>
      </c>
      <c r="C952" s="8" t="s">
        <v>2189</v>
      </c>
      <c r="D952" s="8" t="s">
        <v>358</v>
      </c>
      <c r="E952" s="152" t="s">
        <v>102</v>
      </c>
      <c r="F952" s="152" t="s">
        <v>103</v>
      </c>
      <c r="G952" s="152">
        <v>0</v>
      </c>
      <c r="H952" s="152"/>
      <c r="I952" s="153">
        <v>31.603000000000002</v>
      </c>
      <c r="J952" s="145"/>
      <c r="K952" s="153">
        <v>-6.2779999999999996</v>
      </c>
      <c r="L952" s="153" t="s">
        <v>86</v>
      </c>
      <c r="M952" s="153"/>
      <c r="N952" s="2" t="s">
        <v>479</v>
      </c>
      <c r="O952" s="2"/>
      <c r="P952" s="10"/>
    </row>
    <row r="953" spans="1:16" ht="16.5" customHeight="1" x14ac:dyDescent="0.25">
      <c r="A953" s="2" t="s">
        <v>2190</v>
      </c>
      <c r="B953" s="8" t="s">
        <v>2190</v>
      </c>
      <c r="C953" s="8" t="s">
        <v>102</v>
      </c>
      <c r="D953" s="8" t="s">
        <v>148</v>
      </c>
      <c r="E953" s="152" t="s">
        <v>102</v>
      </c>
      <c r="F953" s="152" t="s">
        <v>103</v>
      </c>
      <c r="G953" s="152">
        <v>0</v>
      </c>
      <c r="H953" s="152"/>
      <c r="I953" s="153">
        <v>1.111</v>
      </c>
      <c r="J953" s="145"/>
      <c r="K953" s="153">
        <v>-4.0072000000000001</v>
      </c>
      <c r="L953" s="153" t="s">
        <v>86</v>
      </c>
      <c r="M953" s="153"/>
      <c r="N953" s="2" t="s">
        <v>57</v>
      </c>
      <c r="O953" s="2"/>
      <c r="P953" s="2"/>
    </row>
    <row r="954" spans="1:16" ht="16.5" customHeight="1" x14ac:dyDescent="0.25">
      <c r="A954" s="146" t="s">
        <v>2191</v>
      </c>
      <c r="B954" s="146" t="s">
        <v>2192</v>
      </c>
      <c r="C954" s="8" t="s">
        <v>1403</v>
      </c>
      <c r="D954" s="8" t="s">
        <v>201</v>
      </c>
      <c r="E954" s="152" t="s">
        <v>102</v>
      </c>
      <c r="F954" s="152" t="s">
        <v>103</v>
      </c>
      <c r="G954" s="152">
        <v>0</v>
      </c>
      <c r="H954" s="152"/>
      <c r="I954" s="153">
        <v>10.472</v>
      </c>
      <c r="J954" s="145"/>
      <c r="K954" s="153">
        <v>-5.2125000000000004</v>
      </c>
      <c r="L954" s="153">
        <v>-2.3920214039794359</v>
      </c>
      <c r="M954" s="153"/>
      <c r="N954" s="2" t="s">
        <v>57</v>
      </c>
      <c r="O954" s="2"/>
      <c r="P954" s="10"/>
    </row>
    <row r="955" spans="1:16" ht="16.5" customHeight="1" x14ac:dyDescent="0.25">
      <c r="A955" s="2" t="s">
        <v>2193</v>
      </c>
      <c r="B955" s="8" t="s">
        <v>2194</v>
      </c>
      <c r="C955" s="8" t="s">
        <v>1403</v>
      </c>
      <c r="D955" s="8" t="s">
        <v>232</v>
      </c>
      <c r="E955" s="152" t="s">
        <v>102</v>
      </c>
      <c r="F955" s="152" t="s">
        <v>103</v>
      </c>
      <c r="G955" s="152">
        <v>0</v>
      </c>
      <c r="H955" s="152"/>
      <c r="I955" s="153">
        <v>9.4270000000000014</v>
      </c>
      <c r="J955" s="145"/>
      <c r="K955" s="153" t="s">
        <v>86</v>
      </c>
      <c r="L955" s="153" t="s">
        <v>86</v>
      </c>
      <c r="M955" s="153"/>
      <c r="N955" s="2" t="s">
        <v>479</v>
      </c>
      <c r="O955" s="2"/>
      <c r="P955" s="10"/>
    </row>
    <row r="956" spans="1:16" ht="16.5" customHeight="1" x14ac:dyDescent="0.25">
      <c r="A956" s="2" t="s">
        <v>2195</v>
      </c>
      <c r="B956" s="8" t="s">
        <v>2196</v>
      </c>
      <c r="C956" s="8" t="s">
        <v>1403</v>
      </c>
      <c r="D956" s="8" t="s">
        <v>232</v>
      </c>
      <c r="E956" s="152" t="s">
        <v>102</v>
      </c>
      <c r="F956" s="152" t="s">
        <v>103</v>
      </c>
      <c r="G956" s="152">
        <v>0</v>
      </c>
      <c r="H956" s="152"/>
      <c r="I956" s="153">
        <v>8.3490000000000002</v>
      </c>
      <c r="J956" s="145"/>
      <c r="K956" s="153" t="s">
        <v>86</v>
      </c>
      <c r="L956" s="153" t="s">
        <v>86</v>
      </c>
      <c r="M956" s="153"/>
      <c r="N956" s="2" t="s">
        <v>479</v>
      </c>
      <c r="O956" s="2"/>
      <c r="P956" s="10"/>
    </row>
    <row r="957" spans="1:16" ht="16.5" customHeight="1" x14ac:dyDescent="0.25">
      <c r="A957" s="2" t="s">
        <v>2197</v>
      </c>
      <c r="B957" s="8" t="s">
        <v>2198</v>
      </c>
      <c r="C957" s="8" t="s">
        <v>1403</v>
      </c>
      <c r="D957" s="8" t="s">
        <v>232</v>
      </c>
      <c r="E957" s="152" t="s">
        <v>102</v>
      </c>
      <c r="F957" s="152" t="s">
        <v>103</v>
      </c>
      <c r="G957" s="152">
        <v>0</v>
      </c>
      <c r="H957" s="152"/>
      <c r="I957" s="153">
        <v>15.675000000000001</v>
      </c>
      <c r="J957" s="145"/>
      <c r="K957" s="153" t="s">
        <v>86</v>
      </c>
      <c r="L957" s="153" t="s">
        <v>86</v>
      </c>
      <c r="M957" s="153"/>
      <c r="N957" s="2" t="s">
        <v>479</v>
      </c>
      <c r="O957" s="2"/>
      <c r="P957" s="10"/>
    </row>
    <row r="958" spans="1:16" ht="16.5" customHeight="1" x14ac:dyDescent="0.25">
      <c r="A958" s="2" t="s">
        <v>2199</v>
      </c>
      <c r="B958" s="8" t="s">
        <v>2200</v>
      </c>
      <c r="C958" s="8" t="s">
        <v>1403</v>
      </c>
      <c r="D958" s="8" t="s">
        <v>232</v>
      </c>
      <c r="E958" s="152" t="s">
        <v>102</v>
      </c>
      <c r="F958" s="152" t="s">
        <v>103</v>
      </c>
      <c r="G958" s="152">
        <v>0</v>
      </c>
      <c r="H958" s="152"/>
      <c r="I958" s="153">
        <v>4.4330000000000007</v>
      </c>
      <c r="J958" s="145"/>
      <c r="K958" s="153" t="s">
        <v>86</v>
      </c>
      <c r="L958" s="153" t="s">
        <v>86</v>
      </c>
      <c r="M958" s="153"/>
      <c r="N958" s="2" t="s">
        <v>479</v>
      </c>
      <c r="O958" s="2"/>
      <c r="P958" s="10"/>
    </row>
    <row r="959" spans="1:16" ht="16.5" customHeight="1" x14ac:dyDescent="0.25">
      <c r="A959" s="2" t="s">
        <v>2201</v>
      </c>
      <c r="B959" s="8" t="s">
        <v>2202</v>
      </c>
      <c r="C959" s="8" t="s">
        <v>1403</v>
      </c>
      <c r="D959" s="8" t="s">
        <v>232</v>
      </c>
      <c r="E959" s="152" t="s">
        <v>102</v>
      </c>
      <c r="F959" s="152" t="s">
        <v>103</v>
      </c>
      <c r="G959" s="152">
        <v>0</v>
      </c>
      <c r="H959" s="152"/>
      <c r="I959" s="153">
        <v>5.5330000000000004</v>
      </c>
      <c r="J959" s="145"/>
      <c r="K959" s="153" t="s">
        <v>86</v>
      </c>
      <c r="L959" s="153" t="s">
        <v>86</v>
      </c>
      <c r="M959" s="153"/>
      <c r="N959" s="2" t="s">
        <v>479</v>
      </c>
      <c r="O959" s="2"/>
      <c r="P959" s="10"/>
    </row>
    <row r="960" spans="1:16" ht="16.5" customHeight="1" x14ac:dyDescent="0.25">
      <c r="A960" s="2" t="s">
        <v>2203</v>
      </c>
      <c r="B960" s="8" t="s">
        <v>2204</v>
      </c>
      <c r="C960" s="8" t="s">
        <v>1403</v>
      </c>
      <c r="D960" s="8" t="s">
        <v>232</v>
      </c>
      <c r="E960" s="152" t="s">
        <v>102</v>
      </c>
      <c r="F960" s="152" t="s">
        <v>103</v>
      </c>
      <c r="G960" s="152">
        <v>0</v>
      </c>
      <c r="H960" s="152"/>
      <c r="I960" s="153">
        <v>6.2919999999999998</v>
      </c>
      <c r="J960" s="145"/>
      <c r="K960" s="153" t="s">
        <v>86</v>
      </c>
      <c r="L960" s="153" t="s">
        <v>86</v>
      </c>
      <c r="M960" s="153"/>
      <c r="N960" s="2" t="s">
        <v>479</v>
      </c>
      <c r="O960" s="2"/>
      <c r="P960" s="2"/>
    </row>
    <row r="961" spans="1:16" ht="16.5" customHeight="1" x14ac:dyDescent="0.25">
      <c r="A961" s="2" t="s">
        <v>2047</v>
      </c>
      <c r="B961" s="8" t="s">
        <v>2205</v>
      </c>
      <c r="C961" s="8" t="s">
        <v>2206</v>
      </c>
      <c r="D961" s="8" t="s">
        <v>278</v>
      </c>
      <c r="E961" s="152" t="s">
        <v>102</v>
      </c>
      <c r="F961" s="152" t="s">
        <v>103</v>
      </c>
      <c r="G961" s="152">
        <v>0</v>
      </c>
      <c r="H961" s="152"/>
      <c r="I961" s="153">
        <v>22.77</v>
      </c>
      <c r="J961" s="145"/>
      <c r="K961" s="153" t="s">
        <v>86</v>
      </c>
      <c r="L961" s="153" t="s">
        <v>86</v>
      </c>
      <c r="M961" s="153"/>
      <c r="N961" s="2" t="s">
        <v>359</v>
      </c>
      <c r="O961" s="2"/>
      <c r="P961" s="2"/>
    </row>
    <row r="962" spans="1:16" ht="16.5" customHeight="1" x14ac:dyDescent="0.25">
      <c r="A962" s="2" t="s">
        <v>2207</v>
      </c>
      <c r="B962" s="8" t="s">
        <v>2207</v>
      </c>
      <c r="C962" s="8" t="s">
        <v>102</v>
      </c>
      <c r="D962" s="8" t="s">
        <v>296</v>
      </c>
      <c r="E962" s="152" t="s">
        <v>102</v>
      </c>
      <c r="F962" s="152" t="s">
        <v>103</v>
      </c>
      <c r="G962" s="152">
        <v>0</v>
      </c>
      <c r="H962" s="152"/>
      <c r="I962" s="153">
        <v>0</v>
      </c>
      <c r="J962" s="145"/>
      <c r="K962" s="153" t="s">
        <v>86</v>
      </c>
      <c r="L962" s="153" t="s">
        <v>86</v>
      </c>
      <c r="M962" s="153"/>
      <c r="N962" s="2" t="s">
        <v>517</v>
      </c>
      <c r="O962" s="2"/>
      <c r="P962" s="2"/>
    </row>
    <row r="963" spans="1:16" ht="16.5" customHeight="1" x14ac:dyDescent="0.25">
      <c r="A963" s="2" t="s">
        <v>2208</v>
      </c>
      <c r="B963" s="8" t="s">
        <v>2208</v>
      </c>
      <c r="C963" s="8" t="s">
        <v>2209</v>
      </c>
      <c r="D963" s="8" t="s">
        <v>120</v>
      </c>
      <c r="E963" s="152" t="s">
        <v>102</v>
      </c>
      <c r="F963" s="152" t="s">
        <v>103</v>
      </c>
      <c r="G963" s="152">
        <v>0</v>
      </c>
      <c r="H963" s="152"/>
      <c r="I963" s="153">
        <v>17.908000000000001</v>
      </c>
      <c r="J963" s="145"/>
      <c r="K963" s="153" t="s">
        <v>86</v>
      </c>
      <c r="L963" s="153" t="s">
        <v>86</v>
      </c>
      <c r="M963" s="153"/>
      <c r="N963" s="2" t="s">
        <v>517</v>
      </c>
      <c r="O963" s="2"/>
      <c r="P963" s="2"/>
    </row>
    <row r="964" spans="1:16" ht="16.5" customHeight="1" x14ac:dyDescent="0.25">
      <c r="A964" s="2" t="s">
        <v>2210</v>
      </c>
      <c r="B964" s="8" t="s">
        <v>2210</v>
      </c>
      <c r="C964" s="8" t="s">
        <v>2211</v>
      </c>
      <c r="D964" s="8" t="s">
        <v>120</v>
      </c>
      <c r="E964" s="152" t="s">
        <v>102</v>
      </c>
      <c r="F964" s="152" t="s">
        <v>103</v>
      </c>
      <c r="G964" s="152">
        <v>0</v>
      </c>
      <c r="H964" s="152"/>
      <c r="I964" s="153">
        <v>0</v>
      </c>
      <c r="J964" s="145"/>
      <c r="K964" s="153" t="s">
        <v>86</v>
      </c>
      <c r="L964" s="153" t="s">
        <v>86</v>
      </c>
      <c r="M964" s="153"/>
      <c r="N964" s="2" t="s">
        <v>517</v>
      </c>
      <c r="O964" s="2"/>
      <c r="P964" s="2"/>
    </row>
    <row r="965" spans="1:16" ht="16.5" customHeight="1" x14ac:dyDescent="0.25">
      <c r="A965" s="2" t="s">
        <v>2212</v>
      </c>
      <c r="B965" s="8" t="s">
        <v>2212</v>
      </c>
      <c r="C965" s="8"/>
      <c r="D965" s="8" t="s">
        <v>278</v>
      </c>
      <c r="E965" s="152" t="s">
        <v>102</v>
      </c>
      <c r="F965" s="152" t="s">
        <v>103</v>
      </c>
      <c r="G965" s="152">
        <v>0</v>
      </c>
      <c r="H965" s="152"/>
      <c r="I965" s="153">
        <v>0</v>
      </c>
      <c r="J965" s="145"/>
      <c r="K965" s="153" t="s">
        <v>86</v>
      </c>
      <c r="L965" s="153" t="s">
        <v>86</v>
      </c>
      <c r="M965" s="153"/>
      <c r="N965" s="2" t="s">
        <v>517</v>
      </c>
      <c r="O965" s="2"/>
      <c r="P965" s="2"/>
    </row>
    <row r="966" spans="1:16" ht="16.5" customHeight="1" x14ac:dyDescent="0.25">
      <c r="A966" s="2" t="s">
        <v>2213</v>
      </c>
      <c r="B966" s="8" t="s">
        <v>2213</v>
      </c>
      <c r="C966" s="8"/>
      <c r="D966" s="8" t="s">
        <v>278</v>
      </c>
      <c r="E966" s="152" t="s">
        <v>102</v>
      </c>
      <c r="F966" s="152" t="s">
        <v>103</v>
      </c>
      <c r="G966" s="152">
        <v>0</v>
      </c>
      <c r="H966" s="152"/>
      <c r="I966" s="153">
        <v>0</v>
      </c>
      <c r="J966" s="145"/>
      <c r="K966" s="153" t="s">
        <v>86</v>
      </c>
      <c r="L966" s="153" t="s">
        <v>86</v>
      </c>
      <c r="M966" s="153"/>
      <c r="N966" s="2" t="s">
        <v>517</v>
      </c>
      <c r="O966" s="2"/>
      <c r="P966" s="2"/>
    </row>
    <row r="967" spans="1:16" ht="16.5" customHeight="1" x14ac:dyDescent="0.25">
      <c r="A967" s="2" t="s">
        <v>2214</v>
      </c>
      <c r="B967" s="8" t="s">
        <v>2214</v>
      </c>
      <c r="C967" s="8"/>
      <c r="D967" s="8" t="s">
        <v>278</v>
      </c>
      <c r="E967" s="152" t="s">
        <v>102</v>
      </c>
      <c r="F967" s="152" t="s">
        <v>103</v>
      </c>
      <c r="G967" s="152">
        <v>0</v>
      </c>
      <c r="H967" s="152"/>
      <c r="I967" s="153">
        <v>0</v>
      </c>
      <c r="J967" s="145"/>
      <c r="K967" s="153" t="s">
        <v>86</v>
      </c>
      <c r="L967" s="153" t="s">
        <v>86</v>
      </c>
      <c r="M967" s="153"/>
      <c r="N967" s="2" t="s">
        <v>517</v>
      </c>
      <c r="O967" s="2"/>
      <c r="P967" s="2"/>
    </row>
    <row r="968" spans="1:16" ht="16.5" customHeight="1" x14ac:dyDescent="0.25">
      <c r="A968" s="2" t="s">
        <v>2215</v>
      </c>
      <c r="B968" s="8" t="s">
        <v>2215</v>
      </c>
      <c r="C968" s="8"/>
      <c r="D968" s="8" t="s">
        <v>278</v>
      </c>
      <c r="E968" s="152" t="s">
        <v>102</v>
      </c>
      <c r="F968" s="152" t="s">
        <v>103</v>
      </c>
      <c r="G968" s="152">
        <v>0</v>
      </c>
      <c r="H968" s="152"/>
      <c r="I968" s="153">
        <v>0</v>
      </c>
      <c r="J968" s="145"/>
      <c r="K968" s="153" t="s">
        <v>86</v>
      </c>
      <c r="L968" s="153" t="s">
        <v>86</v>
      </c>
      <c r="M968" s="153"/>
      <c r="N968" s="2" t="s">
        <v>517</v>
      </c>
      <c r="O968" s="2"/>
      <c r="P968" s="2"/>
    </row>
    <row r="969" spans="1:16" ht="16.5" customHeight="1" x14ac:dyDescent="0.25">
      <c r="A969" s="2" t="s">
        <v>2216</v>
      </c>
      <c r="B969" s="8" t="s">
        <v>2216</v>
      </c>
      <c r="C969" s="8"/>
      <c r="D969" s="8" t="s">
        <v>278</v>
      </c>
      <c r="E969" s="152" t="s">
        <v>102</v>
      </c>
      <c r="F969" s="152" t="s">
        <v>103</v>
      </c>
      <c r="G969" s="152">
        <v>0</v>
      </c>
      <c r="H969" s="152"/>
      <c r="I969" s="153">
        <v>0</v>
      </c>
      <c r="J969" s="145"/>
      <c r="K969" s="153" t="s">
        <v>86</v>
      </c>
      <c r="L969" s="153" t="s">
        <v>86</v>
      </c>
      <c r="M969" s="153"/>
      <c r="N969" s="2" t="s">
        <v>517</v>
      </c>
      <c r="O969" s="2"/>
      <c r="P969" s="2"/>
    </row>
    <row r="970" spans="1:16" ht="16.5" customHeight="1" x14ac:dyDescent="0.25">
      <c r="A970" s="2" t="s">
        <v>2217</v>
      </c>
      <c r="B970" s="8" t="s">
        <v>2217</v>
      </c>
      <c r="C970" s="8"/>
      <c r="D970" s="8" t="s">
        <v>278</v>
      </c>
      <c r="E970" s="152" t="s">
        <v>102</v>
      </c>
      <c r="F970" s="152" t="s">
        <v>103</v>
      </c>
      <c r="G970" s="152">
        <v>0</v>
      </c>
      <c r="H970" s="152"/>
      <c r="I970" s="153">
        <v>0</v>
      </c>
      <c r="J970" s="145"/>
      <c r="K970" s="153" t="s">
        <v>86</v>
      </c>
      <c r="L970" s="153" t="s">
        <v>86</v>
      </c>
      <c r="M970" s="153"/>
      <c r="N970" s="2" t="s">
        <v>517</v>
      </c>
      <c r="O970" s="2"/>
      <c r="P970" s="2"/>
    </row>
    <row r="971" spans="1:16" ht="16.5" customHeight="1" x14ac:dyDescent="0.25">
      <c r="A971" s="2" t="s">
        <v>2218</v>
      </c>
      <c r="B971" s="8" t="s">
        <v>2218</v>
      </c>
      <c r="C971" s="8"/>
      <c r="D971" s="8" t="s">
        <v>278</v>
      </c>
      <c r="E971" s="152" t="s">
        <v>102</v>
      </c>
      <c r="F971" s="152" t="s">
        <v>103</v>
      </c>
      <c r="G971" s="152">
        <v>0</v>
      </c>
      <c r="H971" s="152"/>
      <c r="I971" s="153">
        <v>0</v>
      </c>
      <c r="J971" s="145"/>
      <c r="K971" s="153" t="s">
        <v>86</v>
      </c>
      <c r="L971" s="153" t="s">
        <v>86</v>
      </c>
      <c r="M971" s="153"/>
      <c r="N971" s="2" t="s">
        <v>517</v>
      </c>
      <c r="O971" s="2"/>
      <c r="P971" s="2"/>
    </row>
    <row r="972" spans="1:16" ht="16.5" customHeight="1" x14ac:dyDescent="0.25">
      <c r="A972" s="2" t="s">
        <v>2219</v>
      </c>
      <c r="B972" s="8" t="s">
        <v>2219</v>
      </c>
      <c r="C972" s="8"/>
      <c r="D972" s="8" t="s">
        <v>278</v>
      </c>
      <c r="E972" s="152" t="s">
        <v>102</v>
      </c>
      <c r="F972" s="152" t="s">
        <v>103</v>
      </c>
      <c r="G972" s="152">
        <v>0</v>
      </c>
      <c r="H972" s="152"/>
      <c r="I972" s="153">
        <v>0</v>
      </c>
      <c r="J972" s="145"/>
      <c r="K972" s="153" t="s">
        <v>86</v>
      </c>
      <c r="L972" s="153" t="s">
        <v>86</v>
      </c>
      <c r="M972" s="153"/>
      <c r="N972" s="2" t="s">
        <v>517</v>
      </c>
      <c r="O972" s="2"/>
      <c r="P972" s="2"/>
    </row>
    <row r="973" spans="1:16" ht="16.5" customHeight="1" x14ac:dyDescent="0.25">
      <c r="A973" s="2" t="s">
        <v>2220</v>
      </c>
      <c r="B973" s="8" t="s">
        <v>2220</v>
      </c>
      <c r="C973" s="8"/>
      <c r="D973" s="8" t="s">
        <v>278</v>
      </c>
      <c r="E973" s="152" t="s">
        <v>102</v>
      </c>
      <c r="F973" s="152" t="s">
        <v>103</v>
      </c>
      <c r="G973" s="152">
        <v>0</v>
      </c>
      <c r="H973" s="152"/>
      <c r="I973" s="153">
        <v>0</v>
      </c>
      <c r="J973" s="145"/>
      <c r="K973" s="153" t="s">
        <v>86</v>
      </c>
      <c r="L973" s="153" t="s">
        <v>86</v>
      </c>
      <c r="M973" s="153"/>
      <c r="N973" s="2" t="s">
        <v>517</v>
      </c>
      <c r="O973" s="2"/>
      <c r="P973" s="2"/>
    </row>
    <row r="974" spans="1:16" ht="16.5" customHeight="1" x14ac:dyDescent="0.25">
      <c r="A974" s="2" t="s">
        <v>2221</v>
      </c>
      <c r="B974" s="8" t="s">
        <v>2221</v>
      </c>
      <c r="C974" s="8"/>
      <c r="D974" s="8" t="s">
        <v>278</v>
      </c>
      <c r="E974" s="152" t="s">
        <v>102</v>
      </c>
      <c r="F974" s="152" t="s">
        <v>103</v>
      </c>
      <c r="G974" s="152">
        <v>0</v>
      </c>
      <c r="H974" s="152"/>
      <c r="I974" s="153">
        <v>0</v>
      </c>
      <c r="J974" s="145"/>
      <c r="K974" s="153" t="s">
        <v>86</v>
      </c>
      <c r="L974" s="153" t="s">
        <v>86</v>
      </c>
      <c r="M974" s="153"/>
      <c r="N974" s="2" t="s">
        <v>517</v>
      </c>
      <c r="O974" s="2"/>
      <c r="P974" s="2"/>
    </row>
    <row r="975" spans="1:16" ht="16.5" customHeight="1" x14ac:dyDescent="0.25">
      <c r="A975" s="2" t="s">
        <v>2222</v>
      </c>
      <c r="B975" s="8" t="s">
        <v>2222</v>
      </c>
      <c r="C975" s="8"/>
      <c r="D975" s="8" t="s">
        <v>278</v>
      </c>
      <c r="E975" s="152" t="s">
        <v>102</v>
      </c>
      <c r="F975" s="152" t="s">
        <v>103</v>
      </c>
      <c r="G975" s="152">
        <v>0</v>
      </c>
      <c r="H975" s="152"/>
      <c r="I975" s="153">
        <v>0</v>
      </c>
      <c r="J975" s="145"/>
      <c r="K975" s="153" t="s">
        <v>86</v>
      </c>
      <c r="L975" s="153" t="s">
        <v>86</v>
      </c>
      <c r="M975" s="153"/>
      <c r="N975" s="2" t="s">
        <v>517</v>
      </c>
      <c r="O975" s="2"/>
      <c r="P975" s="2"/>
    </row>
    <row r="976" spans="1:16" ht="16.5" customHeight="1" x14ac:dyDescent="0.25">
      <c r="A976" s="2" t="s">
        <v>2223</v>
      </c>
      <c r="B976" s="8" t="s">
        <v>2223</v>
      </c>
      <c r="C976" s="8"/>
      <c r="D976" s="8" t="s">
        <v>278</v>
      </c>
      <c r="E976" s="152" t="s">
        <v>102</v>
      </c>
      <c r="F976" s="152" t="s">
        <v>103</v>
      </c>
      <c r="G976" s="152">
        <v>0</v>
      </c>
      <c r="H976" s="152"/>
      <c r="I976" s="153">
        <v>0</v>
      </c>
      <c r="J976" s="145"/>
      <c r="K976" s="153" t="s">
        <v>86</v>
      </c>
      <c r="L976" s="153" t="s">
        <v>86</v>
      </c>
      <c r="M976" s="153"/>
      <c r="N976" s="2" t="s">
        <v>517</v>
      </c>
      <c r="O976" s="2"/>
      <c r="P976" s="2"/>
    </row>
    <row r="977" spans="1:16" ht="16.5" customHeight="1" x14ac:dyDescent="0.25">
      <c r="A977" s="2" t="s">
        <v>2224</v>
      </c>
      <c r="B977" s="8" t="s">
        <v>2224</v>
      </c>
      <c r="C977" s="8"/>
      <c r="D977" s="8" t="s">
        <v>278</v>
      </c>
      <c r="E977" s="152" t="s">
        <v>102</v>
      </c>
      <c r="F977" s="152" t="s">
        <v>103</v>
      </c>
      <c r="G977" s="152">
        <v>0</v>
      </c>
      <c r="H977" s="152"/>
      <c r="I977" s="153">
        <v>0</v>
      </c>
      <c r="J977" s="145"/>
      <c r="K977" s="153" t="s">
        <v>86</v>
      </c>
      <c r="L977" s="153" t="s">
        <v>86</v>
      </c>
      <c r="M977" s="153"/>
      <c r="N977" s="2" t="s">
        <v>517</v>
      </c>
      <c r="O977" s="2"/>
      <c r="P977" s="2"/>
    </row>
    <row r="978" spans="1:16" ht="16.5" customHeight="1" x14ac:dyDescent="0.25">
      <c r="A978" s="2" t="s">
        <v>2225</v>
      </c>
      <c r="B978" s="8" t="s">
        <v>2225</v>
      </c>
      <c r="C978" s="8"/>
      <c r="D978" s="8" t="s">
        <v>278</v>
      </c>
      <c r="E978" s="152" t="s">
        <v>102</v>
      </c>
      <c r="F978" s="152" t="s">
        <v>103</v>
      </c>
      <c r="G978" s="152">
        <v>0</v>
      </c>
      <c r="H978" s="152"/>
      <c r="I978" s="153">
        <v>0</v>
      </c>
      <c r="J978" s="145"/>
      <c r="K978" s="153" t="s">
        <v>86</v>
      </c>
      <c r="L978" s="153" t="s">
        <v>86</v>
      </c>
      <c r="M978" s="153"/>
      <c r="N978" s="2" t="s">
        <v>517</v>
      </c>
      <c r="O978" s="2"/>
      <c r="P978" s="2"/>
    </row>
    <row r="979" spans="1:16" ht="16.5" customHeight="1" x14ac:dyDescent="0.25">
      <c r="A979" s="2" t="s">
        <v>2227</v>
      </c>
      <c r="B979" s="8" t="s">
        <v>2227</v>
      </c>
      <c r="C979" s="8" t="s">
        <v>2228</v>
      </c>
      <c r="D979" s="8" t="s">
        <v>278</v>
      </c>
      <c r="E979" s="152" t="s">
        <v>102</v>
      </c>
      <c r="F979" s="152" t="s">
        <v>103</v>
      </c>
      <c r="G979" s="152">
        <v>0</v>
      </c>
      <c r="H979" s="152"/>
      <c r="I979" s="153">
        <v>0</v>
      </c>
      <c r="J979" s="145"/>
      <c r="K979" s="153" t="s">
        <v>86</v>
      </c>
      <c r="L979" s="153" t="s">
        <v>86</v>
      </c>
      <c r="M979" s="153"/>
      <c r="N979" s="2" t="s">
        <v>517</v>
      </c>
      <c r="O979" s="2" t="s">
        <v>651</v>
      </c>
      <c r="P979" s="2"/>
    </row>
    <row r="980" spans="1:16" ht="16.5" customHeight="1" x14ac:dyDescent="0.25">
      <c r="A980" s="2" t="s">
        <v>2230</v>
      </c>
      <c r="B980" s="8" t="s">
        <v>2230</v>
      </c>
      <c r="C980" s="8" t="s">
        <v>2231</v>
      </c>
      <c r="D980" s="8" t="s">
        <v>278</v>
      </c>
      <c r="E980" s="152" t="s">
        <v>102</v>
      </c>
      <c r="F980" s="152" t="s">
        <v>103</v>
      </c>
      <c r="G980" s="152">
        <v>0</v>
      </c>
      <c r="H980" s="152"/>
      <c r="I980" s="153">
        <v>0</v>
      </c>
      <c r="J980" s="145"/>
      <c r="K980" s="153" t="s">
        <v>86</v>
      </c>
      <c r="L980" s="153" t="s">
        <v>86</v>
      </c>
      <c r="M980" s="153"/>
      <c r="N980" s="2" t="s">
        <v>517</v>
      </c>
      <c r="O980" s="2" t="s">
        <v>653</v>
      </c>
      <c r="P980" s="2"/>
    </row>
    <row r="981" spans="1:16" ht="16.5" customHeight="1" x14ac:dyDescent="0.25">
      <c r="A981" s="2" t="s">
        <v>2232</v>
      </c>
      <c r="B981" s="8" t="s">
        <v>2232</v>
      </c>
      <c r="C981" s="8" t="s">
        <v>2233</v>
      </c>
      <c r="D981" s="8" t="s">
        <v>278</v>
      </c>
      <c r="E981" s="152" t="s">
        <v>102</v>
      </c>
      <c r="F981" s="152" t="s">
        <v>103</v>
      </c>
      <c r="G981" s="152">
        <v>0</v>
      </c>
      <c r="H981" s="152"/>
      <c r="I981" s="153">
        <v>0</v>
      </c>
      <c r="J981" s="145"/>
      <c r="K981" s="153" t="s">
        <v>86</v>
      </c>
      <c r="L981" s="153" t="s">
        <v>86</v>
      </c>
      <c r="M981" s="153"/>
      <c r="N981" s="2" t="s">
        <v>517</v>
      </c>
      <c r="O981" s="2" t="s">
        <v>654</v>
      </c>
      <c r="P981" s="2"/>
    </row>
    <row r="982" spans="1:16" ht="16.5" customHeight="1" x14ac:dyDescent="0.25">
      <c r="A982" s="2" t="s">
        <v>2234</v>
      </c>
      <c r="B982" s="8" t="s">
        <v>2234</v>
      </c>
      <c r="C982" s="8" t="s">
        <v>2235</v>
      </c>
      <c r="D982" s="8" t="s">
        <v>278</v>
      </c>
      <c r="E982" s="152" t="s">
        <v>102</v>
      </c>
      <c r="F982" s="152" t="s">
        <v>103</v>
      </c>
      <c r="G982" s="152">
        <v>0</v>
      </c>
      <c r="H982" s="152"/>
      <c r="I982" s="153">
        <v>0</v>
      </c>
      <c r="J982" s="145"/>
      <c r="K982" s="153" t="s">
        <v>86</v>
      </c>
      <c r="L982" s="153" t="s">
        <v>86</v>
      </c>
      <c r="M982" s="153"/>
      <c r="N982" s="2" t="s">
        <v>517</v>
      </c>
      <c r="O982" s="2" t="s">
        <v>655</v>
      </c>
      <c r="P982" s="2"/>
    </row>
    <row r="983" spans="1:16" ht="16.5" customHeight="1" x14ac:dyDescent="0.25">
      <c r="A983" s="2" t="s">
        <v>2236</v>
      </c>
      <c r="B983" s="8" t="s">
        <v>2236</v>
      </c>
      <c r="C983" s="8" t="s">
        <v>2237</v>
      </c>
      <c r="D983" s="8" t="s">
        <v>278</v>
      </c>
      <c r="E983" s="152" t="s">
        <v>102</v>
      </c>
      <c r="F983" s="152" t="s">
        <v>103</v>
      </c>
      <c r="G983" s="152">
        <v>0</v>
      </c>
      <c r="H983" s="152"/>
      <c r="I983" s="153">
        <v>0</v>
      </c>
      <c r="J983" s="145"/>
      <c r="K983" s="153" t="s">
        <v>86</v>
      </c>
      <c r="L983" s="153" t="s">
        <v>86</v>
      </c>
      <c r="M983" s="153"/>
      <c r="N983" s="2" t="s">
        <v>517</v>
      </c>
      <c r="O983" s="2" t="s">
        <v>656</v>
      </c>
      <c r="P983" s="2"/>
    </row>
    <row r="984" spans="1:16" ht="16.5" customHeight="1" x14ac:dyDescent="0.25">
      <c r="A984" s="2" t="s">
        <v>2238</v>
      </c>
      <c r="B984" s="8" t="s">
        <v>2238</v>
      </c>
      <c r="C984" s="8" t="s">
        <v>2239</v>
      </c>
      <c r="D984" s="8" t="s">
        <v>278</v>
      </c>
      <c r="E984" s="152" t="s">
        <v>102</v>
      </c>
      <c r="F984" s="152" t="s">
        <v>103</v>
      </c>
      <c r="G984" s="152">
        <v>0</v>
      </c>
      <c r="H984" s="152"/>
      <c r="I984" s="153">
        <v>0</v>
      </c>
      <c r="J984" s="145"/>
      <c r="K984" s="153" t="s">
        <v>86</v>
      </c>
      <c r="L984" s="153" t="s">
        <v>86</v>
      </c>
      <c r="M984" s="153"/>
      <c r="N984" s="2" t="s">
        <v>517</v>
      </c>
      <c r="O984" s="2"/>
      <c r="P984" s="2"/>
    </row>
    <row r="985" spans="1:16" ht="16.5" customHeight="1" x14ac:dyDescent="0.25">
      <c r="A985" s="2" t="s">
        <v>2240</v>
      </c>
      <c r="B985" s="8" t="s">
        <v>2240</v>
      </c>
      <c r="C985" s="8"/>
      <c r="D985" s="8" t="s">
        <v>278</v>
      </c>
      <c r="E985" s="152" t="s">
        <v>102</v>
      </c>
      <c r="F985" s="152" t="s">
        <v>103</v>
      </c>
      <c r="G985" s="152">
        <v>0</v>
      </c>
      <c r="H985" s="152"/>
      <c r="I985" s="153">
        <v>0</v>
      </c>
      <c r="J985" s="145"/>
      <c r="K985" s="153" t="s">
        <v>86</v>
      </c>
      <c r="L985" s="153" t="s">
        <v>86</v>
      </c>
      <c r="M985" s="153"/>
      <c r="N985" s="2" t="s">
        <v>599</v>
      </c>
      <c r="O985" s="2"/>
      <c r="P985" s="2"/>
    </row>
    <row r="986" spans="1:16" ht="16.5" customHeight="1" x14ac:dyDescent="0.25">
      <c r="A986" s="2" t="s">
        <v>2241</v>
      </c>
      <c r="B986" s="8" t="s">
        <v>2241</v>
      </c>
      <c r="C986" s="8"/>
      <c r="D986" s="8" t="s">
        <v>278</v>
      </c>
      <c r="E986" s="152" t="s">
        <v>102</v>
      </c>
      <c r="F986" s="152" t="s">
        <v>103</v>
      </c>
      <c r="G986" s="152">
        <v>0</v>
      </c>
      <c r="H986" s="152"/>
      <c r="I986" s="153">
        <v>0</v>
      </c>
      <c r="J986" s="145"/>
      <c r="K986" s="153" t="s">
        <v>86</v>
      </c>
      <c r="L986" s="153" t="s">
        <v>86</v>
      </c>
      <c r="M986" s="153"/>
      <c r="N986" s="2" t="s">
        <v>599</v>
      </c>
      <c r="O986" s="2"/>
      <c r="P986" s="2"/>
    </row>
    <row r="987" spans="1:16" ht="16.5" customHeight="1" x14ac:dyDescent="0.25">
      <c r="A987" s="2" t="s">
        <v>2242</v>
      </c>
      <c r="B987" s="8" t="s">
        <v>2242</v>
      </c>
      <c r="C987" s="8"/>
      <c r="D987" s="8" t="s">
        <v>278</v>
      </c>
      <c r="E987" s="152" t="s">
        <v>102</v>
      </c>
      <c r="F987" s="152" t="s">
        <v>103</v>
      </c>
      <c r="G987" s="152">
        <v>0</v>
      </c>
      <c r="H987" s="152"/>
      <c r="I987" s="153">
        <v>0</v>
      </c>
      <c r="J987" s="145"/>
      <c r="K987" s="153" t="s">
        <v>86</v>
      </c>
      <c r="L987" s="153" t="s">
        <v>86</v>
      </c>
      <c r="M987" s="153"/>
      <c r="N987" s="2" t="s">
        <v>599</v>
      </c>
      <c r="O987" s="2"/>
      <c r="P987" s="2"/>
    </row>
    <row r="988" spans="1:16" ht="16.5" customHeight="1" x14ac:dyDescent="0.25">
      <c r="A988" s="2" t="s">
        <v>2243</v>
      </c>
      <c r="B988" s="8" t="s">
        <v>2243</v>
      </c>
      <c r="C988" s="8"/>
      <c r="D988" s="8" t="s">
        <v>278</v>
      </c>
      <c r="E988" s="152" t="s">
        <v>102</v>
      </c>
      <c r="F988" s="152" t="s">
        <v>103</v>
      </c>
      <c r="G988" s="152">
        <v>0</v>
      </c>
      <c r="H988" s="152"/>
      <c r="I988" s="153">
        <v>0</v>
      </c>
      <c r="J988" s="145"/>
      <c r="K988" s="153" t="s">
        <v>86</v>
      </c>
      <c r="L988" s="153" t="s">
        <v>86</v>
      </c>
      <c r="M988" s="153"/>
      <c r="N988" s="2" t="s">
        <v>599</v>
      </c>
      <c r="O988" s="2"/>
      <c r="P988" s="2"/>
    </row>
    <row r="989" spans="1:16" ht="16.5" customHeight="1" x14ac:dyDescent="0.25">
      <c r="A989" s="2" t="s">
        <v>2244</v>
      </c>
      <c r="B989" s="8" t="s">
        <v>2244</v>
      </c>
      <c r="C989" s="8"/>
      <c r="D989" s="8" t="s">
        <v>278</v>
      </c>
      <c r="E989" s="152" t="s">
        <v>102</v>
      </c>
      <c r="F989" s="152" t="s">
        <v>103</v>
      </c>
      <c r="G989" s="152">
        <v>0</v>
      </c>
      <c r="H989" s="152"/>
      <c r="I989" s="153">
        <v>0</v>
      </c>
      <c r="J989" s="145"/>
      <c r="K989" s="153" t="s">
        <v>86</v>
      </c>
      <c r="L989" s="153" t="s">
        <v>86</v>
      </c>
      <c r="M989" s="153"/>
      <c r="N989" s="2" t="s">
        <v>599</v>
      </c>
      <c r="O989" s="2"/>
      <c r="P989" s="2"/>
    </row>
    <row r="990" spans="1:16" ht="16.5" customHeight="1" x14ac:dyDescent="0.25">
      <c r="A990" s="2" t="s">
        <v>2245</v>
      </c>
      <c r="B990" s="8" t="s">
        <v>2245</v>
      </c>
      <c r="C990" s="8"/>
      <c r="D990" s="8" t="s">
        <v>278</v>
      </c>
      <c r="E990" s="152" t="s">
        <v>102</v>
      </c>
      <c r="F990" s="152" t="s">
        <v>103</v>
      </c>
      <c r="G990" s="152">
        <v>0</v>
      </c>
      <c r="H990" s="152"/>
      <c r="I990" s="153">
        <v>0</v>
      </c>
      <c r="J990" s="145"/>
      <c r="K990" s="153" t="s">
        <v>86</v>
      </c>
      <c r="L990" s="153" t="s">
        <v>86</v>
      </c>
      <c r="M990" s="153"/>
      <c r="N990" s="2" t="s">
        <v>599</v>
      </c>
      <c r="O990" s="2"/>
      <c r="P990" s="2"/>
    </row>
    <row r="991" spans="1:16" ht="16.5" customHeight="1" x14ac:dyDescent="0.25">
      <c r="A991" s="2" t="s">
        <v>2246</v>
      </c>
      <c r="B991" s="8" t="s">
        <v>2246</v>
      </c>
      <c r="C991" s="8"/>
      <c r="D991" s="8" t="s">
        <v>278</v>
      </c>
      <c r="E991" s="152" t="s">
        <v>102</v>
      </c>
      <c r="F991" s="152" t="s">
        <v>103</v>
      </c>
      <c r="G991" s="152">
        <v>0</v>
      </c>
      <c r="H991" s="152"/>
      <c r="I991" s="153">
        <v>0</v>
      </c>
      <c r="J991" s="145"/>
      <c r="K991" s="153" t="s">
        <v>86</v>
      </c>
      <c r="L991" s="153" t="s">
        <v>86</v>
      </c>
      <c r="M991" s="153"/>
      <c r="N991" s="2" t="s">
        <v>599</v>
      </c>
      <c r="O991" s="2"/>
      <c r="P991" s="2"/>
    </row>
    <row r="992" spans="1:16" ht="16.5" customHeight="1" x14ac:dyDescent="0.25">
      <c r="A992" s="2" t="s">
        <v>2247</v>
      </c>
      <c r="B992" s="8" t="s">
        <v>2247</v>
      </c>
      <c r="C992" s="8"/>
      <c r="D992" s="8" t="s">
        <v>278</v>
      </c>
      <c r="E992" s="152" t="s">
        <v>102</v>
      </c>
      <c r="F992" s="152" t="s">
        <v>103</v>
      </c>
      <c r="G992" s="152">
        <v>0</v>
      </c>
      <c r="H992" s="152"/>
      <c r="I992" s="153">
        <v>0</v>
      </c>
      <c r="J992" s="145"/>
      <c r="K992" s="153" t="s">
        <v>86</v>
      </c>
      <c r="L992" s="153" t="s">
        <v>86</v>
      </c>
      <c r="M992" s="153"/>
      <c r="N992" s="2" t="s">
        <v>599</v>
      </c>
      <c r="O992" s="2"/>
      <c r="P992" s="2"/>
    </row>
    <row r="993" spans="1:16" ht="16.5" customHeight="1" x14ac:dyDescent="0.25">
      <c r="A993" s="2" t="s">
        <v>2248</v>
      </c>
      <c r="B993" s="8" t="s">
        <v>2248</v>
      </c>
      <c r="C993" s="8"/>
      <c r="D993" s="8" t="s">
        <v>278</v>
      </c>
      <c r="E993" s="152" t="s">
        <v>102</v>
      </c>
      <c r="F993" s="152" t="s">
        <v>103</v>
      </c>
      <c r="G993" s="152">
        <v>0</v>
      </c>
      <c r="H993" s="152"/>
      <c r="I993" s="153">
        <v>0</v>
      </c>
      <c r="J993" s="145"/>
      <c r="K993" s="153" t="s">
        <v>86</v>
      </c>
      <c r="L993" s="153" t="s">
        <v>86</v>
      </c>
      <c r="M993" s="153"/>
      <c r="N993" s="2" t="s">
        <v>599</v>
      </c>
      <c r="O993" s="2"/>
      <c r="P993" s="2"/>
    </row>
    <row r="994" spans="1:16" ht="16.5" customHeight="1" x14ac:dyDescent="0.25">
      <c r="A994" s="2" t="s">
        <v>2249</v>
      </c>
      <c r="B994" s="8" t="s">
        <v>2249</v>
      </c>
      <c r="C994" s="152" t="s">
        <v>102</v>
      </c>
      <c r="D994" s="2" t="s">
        <v>82</v>
      </c>
      <c r="E994" s="152" t="s">
        <v>102</v>
      </c>
      <c r="F994" s="152" t="s">
        <v>103</v>
      </c>
      <c r="G994" s="152">
        <v>0</v>
      </c>
      <c r="H994" s="152"/>
      <c r="I994" s="153">
        <v>31.986730769230771</v>
      </c>
      <c r="J994" s="145"/>
      <c r="K994" s="153" t="s">
        <v>86</v>
      </c>
      <c r="L994" s="153" t="s">
        <v>86</v>
      </c>
      <c r="M994" s="153"/>
      <c r="N994" s="2" t="s">
        <v>57</v>
      </c>
      <c r="O994" s="2"/>
      <c r="P994" s="2"/>
    </row>
    <row r="995" spans="1:16" ht="16.5" customHeight="1" x14ac:dyDescent="0.25">
      <c r="A995" s="2" t="s">
        <v>2250</v>
      </c>
      <c r="B995" s="8" t="s">
        <v>2250</v>
      </c>
      <c r="C995" s="152" t="s">
        <v>102</v>
      </c>
      <c r="D995" s="2" t="s">
        <v>2251</v>
      </c>
      <c r="E995" s="152" t="s">
        <v>102</v>
      </c>
      <c r="F995" s="152" t="s">
        <v>103</v>
      </c>
      <c r="G995" s="152">
        <v>0</v>
      </c>
      <c r="H995" s="152"/>
      <c r="I995" s="153">
        <v>6.0288461538461542</v>
      </c>
      <c r="J995" s="145"/>
      <c r="K995" s="153" t="s">
        <v>86</v>
      </c>
      <c r="L995" s="153" t="s">
        <v>86</v>
      </c>
      <c r="M995" s="153"/>
      <c r="N995" s="2" t="s">
        <v>57</v>
      </c>
      <c r="O995" s="2"/>
      <c r="P995" s="2"/>
    </row>
    <row r="996" spans="1:16" ht="16.5" customHeight="1" x14ac:dyDescent="0.25">
      <c r="A996" s="2" t="s">
        <v>2252</v>
      </c>
      <c r="B996" s="8" t="s">
        <v>2252</v>
      </c>
      <c r="C996" s="152" t="s">
        <v>102</v>
      </c>
      <c r="D996" s="2" t="s">
        <v>2251</v>
      </c>
      <c r="E996" s="152" t="s">
        <v>102</v>
      </c>
      <c r="F996" s="152" t="s">
        <v>103</v>
      </c>
      <c r="G996" s="152">
        <v>0</v>
      </c>
      <c r="H996" s="152"/>
      <c r="I996" s="153">
        <v>3.9963141025641029</v>
      </c>
      <c r="J996" s="145"/>
      <c r="K996" s="153" t="s">
        <v>86</v>
      </c>
      <c r="L996" s="153" t="s">
        <v>86</v>
      </c>
      <c r="M996" s="153"/>
      <c r="N996" s="2" t="s">
        <v>57</v>
      </c>
      <c r="O996" s="2"/>
      <c r="P996" s="2"/>
    </row>
    <row r="997" spans="1:16" ht="16.5" customHeight="1" x14ac:dyDescent="0.25">
      <c r="A997" s="2" t="s">
        <v>2253</v>
      </c>
      <c r="B997" s="8" t="s">
        <v>2253</v>
      </c>
      <c r="C997" s="152" t="s">
        <v>102</v>
      </c>
      <c r="D997" s="2" t="s">
        <v>1493</v>
      </c>
      <c r="E997" s="152" t="s">
        <v>102</v>
      </c>
      <c r="F997" s="152" t="s">
        <v>103</v>
      </c>
      <c r="G997" s="152">
        <v>0</v>
      </c>
      <c r="H997" s="152"/>
      <c r="I997" s="153">
        <v>103.8474038461539</v>
      </c>
      <c r="J997" s="145"/>
      <c r="K997" s="153" t="s">
        <v>86</v>
      </c>
      <c r="L997" s="153" t="s">
        <v>86</v>
      </c>
      <c r="M997" s="153"/>
      <c r="N997" s="2" t="s">
        <v>57</v>
      </c>
      <c r="O997" s="2"/>
      <c r="P997" s="2"/>
    </row>
    <row r="998" spans="1:16" ht="16.5" customHeight="1" x14ac:dyDescent="0.25">
      <c r="A998" s="2" t="s">
        <v>2254</v>
      </c>
      <c r="B998" s="8" t="s">
        <v>2254</v>
      </c>
      <c r="C998" s="152" t="s">
        <v>102</v>
      </c>
      <c r="D998" s="2" t="s">
        <v>472</v>
      </c>
      <c r="E998" s="152" t="s">
        <v>102</v>
      </c>
      <c r="F998" s="152" t="s">
        <v>103</v>
      </c>
      <c r="G998" s="152">
        <v>0</v>
      </c>
      <c r="H998" s="152"/>
      <c r="I998" s="153">
        <v>0.32612179487179488</v>
      </c>
      <c r="J998" s="145"/>
      <c r="K998" s="153" t="s">
        <v>86</v>
      </c>
      <c r="L998" s="153" t="s">
        <v>86</v>
      </c>
      <c r="M998" s="153"/>
      <c r="N998" s="2" t="s">
        <v>57</v>
      </c>
      <c r="O998" s="2"/>
      <c r="P998" s="2"/>
    </row>
    <row r="999" spans="1:16" ht="16.5" customHeight="1" x14ac:dyDescent="0.25">
      <c r="A999" s="2" t="s">
        <v>2255</v>
      </c>
      <c r="B999" s="8" t="s">
        <v>2255</v>
      </c>
      <c r="C999" s="152" t="s">
        <v>102</v>
      </c>
      <c r="D999" s="2" t="s">
        <v>472</v>
      </c>
      <c r="E999" s="152" t="s">
        <v>102</v>
      </c>
      <c r="F999" s="152" t="s">
        <v>103</v>
      </c>
      <c r="G999" s="152">
        <v>0</v>
      </c>
      <c r="H999" s="152"/>
      <c r="I999" s="153">
        <v>1.382932692307693</v>
      </c>
      <c r="J999" s="145"/>
      <c r="K999" s="153" t="s">
        <v>86</v>
      </c>
      <c r="L999" s="153" t="s">
        <v>86</v>
      </c>
      <c r="M999" s="153"/>
      <c r="N999" s="2" t="s">
        <v>57</v>
      </c>
      <c r="O999" s="2"/>
      <c r="P999" s="2"/>
    </row>
    <row r="1000" spans="1:16" ht="16.5" customHeight="1" x14ac:dyDescent="0.25">
      <c r="A1000" s="2" t="s">
        <v>2256</v>
      </c>
      <c r="B1000" s="8" t="s">
        <v>2256</v>
      </c>
      <c r="C1000" s="152" t="s">
        <v>102</v>
      </c>
      <c r="D1000" s="2" t="s">
        <v>472</v>
      </c>
      <c r="E1000" s="152" t="s">
        <v>102</v>
      </c>
      <c r="F1000" s="152" t="s">
        <v>103</v>
      </c>
      <c r="G1000" s="152">
        <v>0</v>
      </c>
      <c r="H1000" s="152"/>
      <c r="I1000" s="153">
        <v>0.9078525641025641</v>
      </c>
      <c r="J1000" s="145"/>
      <c r="K1000" s="153" t="s">
        <v>86</v>
      </c>
      <c r="L1000" s="153" t="s">
        <v>86</v>
      </c>
      <c r="M1000" s="153"/>
      <c r="N1000" s="2" t="s">
        <v>57</v>
      </c>
      <c r="O1000" s="2"/>
      <c r="P1000" s="2"/>
    </row>
    <row r="1001" spans="1:16" ht="16.5" customHeight="1" x14ac:dyDescent="0.25">
      <c r="A1001" s="2" t="s">
        <v>2257</v>
      </c>
      <c r="B1001" s="8" t="s">
        <v>2257</v>
      </c>
      <c r="C1001" s="152" t="s">
        <v>102</v>
      </c>
      <c r="D1001" s="2" t="s">
        <v>472</v>
      </c>
      <c r="E1001" s="152" t="s">
        <v>102</v>
      </c>
      <c r="F1001" s="152" t="s">
        <v>103</v>
      </c>
      <c r="G1001" s="152">
        <v>0</v>
      </c>
      <c r="H1001" s="152"/>
      <c r="I1001" s="153">
        <v>2.6239583333333329</v>
      </c>
      <c r="J1001" s="145"/>
      <c r="K1001" s="153" t="s">
        <v>86</v>
      </c>
      <c r="L1001" s="153" t="s">
        <v>86</v>
      </c>
      <c r="M1001" s="153"/>
      <c r="N1001" s="2" t="s">
        <v>57</v>
      </c>
      <c r="O1001" s="2"/>
      <c r="P1001" s="2"/>
    </row>
    <row r="1002" spans="1:16" ht="16.5" customHeight="1" x14ac:dyDescent="0.25">
      <c r="A1002" s="2" t="s">
        <v>2258</v>
      </c>
      <c r="B1002" s="8" t="s">
        <v>2258</v>
      </c>
      <c r="C1002" s="152" t="s">
        <v>102</v>
      </c>
      <c r="D1002" s="2" t="s">
        <v>132</v>
      </c>
      <c r="E1002" s="152" t="s">
        <v>102</v>
      </c>
      <c r="F1002" s="152" t="s">
        <v>103</v>
      </c>
      <c r="G1002" s="152">
        <v>0</v>
      </c>
      <c r="H1002" s="152"/>
      <c r="I1002" s="153">
        <v>6.3814102564102564</v>
      </c>
      <c r="J1002" s="145"/>
      <c r="K1002" s="153" t="s">
        <v>86</v>
      </c>
      <c r="L1002" s="153" t="s">
        <v>86</v>
      </c>
      <c r="M1002" s="153"/>
      <c r="N1002" s="2" t="s">
        <v>57</v>
      </c>
      <c r="O1002" s="2"/>
      <c r="P1002" s="2"/>
    </row>
    <row r="1003" spans="1:16" ht="16.5" customHeight="1" x14ac:dyDescent="0.25">
      <c r="A1003" s="2" t="s">
        <v>2259</v>
      </c>
      <c r="B1003" s="8" t="s">
        <v>2259</v>
      </c>
      <c r="C1003" s="152" t="s">
        <v>102</v>
      </c>
      <c r="D1003" s="2" t="s">
        <v>132</v>
      </c>
      <c r="E1003" s="152" t="s">
        <v>102</v>
      </c>
      <c r="F1003" s="152" t="s">
        <v>103</v>
      </c>
      <c r="G1003" s="152">
        <v>0</v>
      </c>
      <c r="H1003" s="152"/>
      <c r="I1003" s="153">
        <v>11.193910256410261</v>
      </c>
      <c r="J1003" s="145"/>
      <c r="K1003" s="153" t="s">
        <v>86</v>
      </c>
      <c r="L1003" s="153" t="s">
        <v>86</v>
      </c>
      <c r="M1003" s="153"/>
      <c r="N1003" s="2" t="s">
        <v>57</v>
      </c>
      <c r="O1003" s="2"/>
      <c r="P1003" s="2"/>
    </row>
    <row r="1004" spans="1:16" ht="16.5" customHeight="1" x14ac:dyDescent="0.25">
      <c r="A1004" s="2" t="s">
        <v>2260</v>
      </c>
      <c r="B1004" s="8" t="s">
        <v>2260</v>
      </c>
      <c r="C1004" s="152" t="s">
        <v>102</v>
      </c>
      <c r="D1004" s="2" t="s">
        <v>132</v>
      </c>
      <c r="E1004" s="152" t="s">
        <v>102</v>
      </c>
      <c r="F1004" s="152" t="s">
        <v>103</v>
      </c>
      <c r="G1004" s="152">
        <v>0</v>
      </c>
      <c r="H1004" s="152"/>
      <c r="I1004" s="153">
        <v>26.488</v>
      </c>
      <c r="J1004" s="145"/>
      <c r="K1004" s="153" t="s">
        <v>86</v>
      </c>
      <c r="L1004" s="153" t="s">
        <v>86</v>
      </c>
      <c r="M1004" s="153"/>
      <c r="N1004" s="2" t="s">
        <v>57</v>
      </c>
      <c r="O1004" s="2"/>
      <c r="P1004" s="2"/>
    </row>
    <row r="1005" spans="1:16" ht="16.5" customHeight="1" x14ac:dyDescent="0.25">
      <c r="A1005" s="2" t="s">
        <v>2261</v>
      </c>
      <c r="B1005" s="8" t="s">
        <v>2261</v>
      </c>
      <c r="C1005" s="152" t="s">
        <v>102</v>
      </c>
      <c r="D1005" s="2" t="s">
        <v>132</v>
      </c>
      <c r="E1005" s="152" t="s">
        <v>102</v>
      </c>
      <c r="F1005" s="152" t="s">
        <v>103</v>
      </c>
      <c r="G1005" s="152">
        <v>0</v>
      </c>
      <c r="H1005" s="152"/>
      <c r="I1005" s="153">
        <v>12.265000000000001</v>
      </c>
      <c r="J1005" s="145"/>
      <c r="K1005" s="153" t="s">
        <v>86</v>
      </c>
      <c r="L1005" s="153" t="s">
        <v>86</v>
      </c>
      <c r="M1005" s="153"/>
      <c r="N1005" s="2" t="s">
        <v>57</v>
      </c>
      <c r="O1005" s="2"/>
      <c r="P1005" s="2"/>
    </row>
    <row r="1006" spans="1:16" ht="16.5" customHeight="1" x14ac:dyDescent="0.25">
      <c r="A1006" s="2" t="s">
        <v>2262</v>
      </c>
      <c r="B1006" s="8" t="s">
        <v>2262</v>
      </c>
      <c r="C1006" s="152" t="s">
        <v>102</v>
      </c>
      <c r="D1006" s="2" t="s">
        <v>132</v>
      </c>
      <c r="E1006" s="152" t="s">
        <v>102</v>
      </c>
      <c r="F1006" s="152" t="s">
        <v>103</v>
      </c>
      <c r="G1006" s="152">
        <v>0</v>
      </c>
      <c r="H1006" s="152"/>
      <c r="I1006" s="153">
        <v>13.837999999999999</v>
      </c>
      <c r="J1006" s="145"/>
      <c r="K1006" s="153" t="s">
        <v>86</v>
      </c>
      <c r="L1006" s="153" t="s">
        <v>86</v>
      </c>
      <c r="M1006" s="153"/>
      <c r="N1006" s="2" t="s">
        <v>57</v>
      </c>
      <c r="O1006" s="2"/>
      <c r="P1006" s="2"/>
    </row>
    <row r="1007" spans="1:16" ht="16.5" customHeight="1" x14ac:dyDescent="0.25">
      <c r="A1007" s="2" t="s">
        <v>2263</v>
      </c>
      <c r="B1007" s="8" t="s">
        <v>2263</v>
      </c>
      <c r="C1007" s="152" t="s">
        <v>102</v>
      </c>
      <c r="D1007" s="2" t="s">
        <v>132</v>
      </c>
      <c r="E1007" s="152" t="s">
        <v>102</v>
      </c>
      <c r="F1007" s="152" t="s">
        <v>103</v>
      </c>
      <c r="G1007" s="152">
        <v>0</v>
      </c>
      <c r="H1007" s="152"/>
      <c r="I1007" s="153">
        <v>28.181999999999999</v>
      </c>
      <c r="J1007" s="145"/>
      <c r="K1007" s="153" t="s">
        <v>86</v>
      </c>
      <c r="L1007" s="153" t="s">
        <v>86</v>
      </c>
      <c r="M1007" s="153"/>
      <c r="N1007" s="2" t="s">
        <v>57</v>
      </c>
      <c r="O1007" s="2"/>
      <c r="P1007" s="2"/>
    </row>
    <row r="1008" spans="1:16" ht="16.5" customHeight="1" x14ac:dyDescent="0.25">
      <c r="A1008" s="2" t="s">
        <v>2264</v>
      </c>
      <c r="B1008" s="8" t="s">
        <v>2264</v>
      </c>
      <c r="C1008" s="152" t="s">
        <v>102</v>
      </c>
      <c r="D1008" s="2" t="s">
        <v>132</v>
      </c>
      <c r="E1008" s="152" t="s">
        <v>102</v>
      </c>
      <c r="F1008" s="152" t="s">
        <v>103</v>
      </c>
      <c r="G1008" s="152">
        <v>0</v>
      </c>
      <c r="H1008" s="152"/>
      <c r="I1008" s="153">
        <v>30.833000000000009</v>
      </c>
      <c r="J1008" s="145"/>
      <c r="K1008" s="153" t="s">
        <v>86</v>
      </c>
      <c r="L1008" s="153" t="s">
        <v>86</v>
      </c>
      <c r="M1008" s="153"/>
      <c r="N1008" s="2" t="s">
        <v>57</v>
      </c>
      <c r="O1008" s="2"/>
      <c r="P1008" s="2"/>
    </row>
    <row r="1009" spans="1:16" ht="16.5" customHeight="1" x14ac:dyDescent="0.25">
      <c r="A1009" s="2" t="s">
        <v>2265</v>
      </c>
      <c r="B1009" s="8" t="s">
        <v>2265</v>
      </c>
      <c r="C1009" s="152" t="s">
        <v>102</v>
      </c>
      <c r="D1009" s="2" t="s">
        <v>148</v>
      </c>
      <c r="E1009" s="152" t="s">
        <v>102</v>
      </c>
      <c r="F1009" s="152" t="s">
        <v>103</v>
      </c>
      <c r="G1009" s="152">
        <v>0</v>
      </c>
      <c r="H1009" s="152"/>
      <c r="I1009" s="153">
        <v>12.715999999999999</v>
      </c>
      <c r="J1009" s="145"/>
      <c r="K1009" s="153" t="s">
        <v>86</v>
      </c>
      <c r="L1009" s="153" t="s">
        <v>86</v>
      </c>
      <c r="M1009" s="153"/>
      <c r="N1009" s="2" t="s">
        <v>57</v>
      </c>
      <c r="O1009" s="2"/>
      <c r="P1009" s="2"/>
    </row>
    <row r="1010" spans="1:16" ht="16.5" customHeight="1" x14ac:dyDescent="0.25">
      <c r="A1010" s="2" t="s">
        <v>2266</v>
      </c>
      <c r="B1010" s="8" t="s">
        <v>2266</v>
      </c>
      <c r="C1010" s="152" t="s">
        <v>102</v>
      </c>
      <c r="D1010" s="2" t="s">
        <v>148</v>
      </c>
      <c r="E1010" s="152" t="s">
        <v>102</v>
      </c>
      <c r="F1010" s="152" t="s">
        <v>103</v>
      </c>
      <c r="G1010" s="152">
        <v>0</v>
      </c>
      <c r="H1010" s="152"/>
      <c r="I1010" s="153">
        <v>10.417</v>
      </c>
      <c r="J1010" s="145"/>
      <c r="K1010" s="153" t="s">
        <v>86</v>
      </c>
      <c r="L1010" s="153" t="s">
        <v>86</v>
      </c>
      <c r="M1010" s="153"/>
      <c r="N1010" s="2" t="s">
        <v>57</v>
      </c>
      <c r="O1010" s="2"/>
      <c r="P1010" s="2"/>
    </row>
    <row r="1011" spans="1:16" ht="16.5" customHeight="1" x14ac:dyDescent="0.25">
      <c r="A1011" s="2" t="s">
        <v>2267</v>
      </c>
      <c r="B1011" s="8" t="s">
        <v>2267</v>
      </c>
      <c r="C1011" s="152" t="s">
        <v>102</v>
      </c>
      <c r="D1011" s="2" t="s">
        <v>148</v>
      </c>
      <c r="E1011" s="152" t="s">
        <v>102</v>
      </c>
      <c r="F1011" s="152" t="s">
        <v>103</v>
      </c>
      <c r="G1011" s="152">
        <v>0</v>
      </c>
      <c r="H1011" s="152"/>
      <c r="I1011" s="153">
        <v>22.385000000000009</v>
      </c>
      <c r="J1011" s="145"/>
      <c r="K1011" s="153" t="s">
        <v>86</v>
      </c>
      <c r="L1011" s="153" t="s">
        <v>86</v>
      </c>
      <c r="M1011" s="153"/>
      <c r="N1011" s="2" t="s">
        <v>57</v>
      </c>
      <c r="O1011" s="2"/>
      <c r="P1011" s="2"/>
    </row>
    <row r="1012" spans="1:16" ht="16.5" customHeight="1" x14ac:dyDescent="0.25">
      <c r="A1012" s="2" t="s">
        <v>2268</v>
      </c>
      <c r="B1012" s="8" t="s">
        <v>2268</v>
      </c>
      <c r="C1012" s="152" t="s">
        <v>102</v>
      </c>
      <c r="D1012" s="2" t="s">
        <v>148</v>
      </c>
      <c r="E1012" s="152" t="s">
        <v>102</v>
      </c>
      <c r="F1012" s="152" t="s">
        <v>103</v>
      </c>
      <c r="G1012" s="152">
        <v>0</v>
      </c>
      <c r="H1012" s="152"/>
      <c r="I1012" s="153">
        <v>0.79150641025641033</v>
      </c>
      <c r="J1012" s="145"/>
      <c r="K1012" s="153" t="s">
        <v>86</v>
      </c>
      <c r="L1012" s="153" t="s">
        <v>86</v>
      </c>
      <c r="M1012" s="153"/>
      <c r="N1012" s="2" t="s">
        <v>57</v>
      </c>
      <c r="O1012" s="2"/>
      <c r="P1012" s="2"/>
    </row>
    <row r="1013" spans="1:16" ht="16.5" customHeight="1" x14ac:dyDescent="0.25">
      <c r="A1013" s="2" t="s">
        <v>2269</v>
      </c>
      <c r="B1013" s="8" t="s">
        <v>2269</v>
      </c>
      <c r="C1013" s="152" t="s">
        <v>102</v>
      </c>
      <c r="D1013" s="2" t="s">
        <v>148</v>
      </c>
      <c r="E1013" s="152" t="s">
        <v>102</v>
      </c>
      <c r="F1013" s="152" t="s">
        <v>103</v>
      </c>
      <c r="G1013" s="152">
        <v>0</v>
      </c>
      <c r="H1013" s="152"/>
      <c r="I1013" s="153">
        <v>6.1820000000000004</v>
      </c>
      <c r="J1013" s="145"/>
      <c r="K1013" s="153" t="s">
        <v>86</v>
      </c>
      <c r="L1013" s="153" t="s">
        <v>86</v>
      </c>
      <c r="M1013" s="153"/>
      <c r="N1013" s="2" t="s">
        <v>57</v>
      </c>
      <c r="O1013" s="2"/>
      <c r="P1013" s="2"/>
    </row>
    <row r="1014" spans="1:16" ht="16.5" customHeight="1" x14ac:dyDescent="0.25">
      <c r="A1014" s="2" t="s">
        <v>2270</v>
      </c>
      <c r="B1014" s="8" t="s">
        <v>2270</v>
      </c>
      <c r="C1014" s="152" t="s">
        <v>102</v>
      </c>
      <c r="D1014" s="2" t="s">
        <v>148</v>
      </c>
      <c r="E1014" s="152" t="s">
        <v>102</v>
      </c>
      <c r="F1014" s="152" t="s">
        <v>103</v>
      </c>
      <c r="G1014" s="152">
        <v>0</v>
      </c>
      <c r="H1014" s="152"/>
      <c r="I1014" s="153">
        <v>8.935737179487182</v>
      </c>
      <c r="J1014" s="145"/>
      <c r="K1014" s="153" t="s">
        <v>86</v>
      </c>
      <c r="L1014" s="153" t="s">
        <v>86</v>
      </c>
      <c r="M1014" s="153"/>
      <c r="N1014" s="2" t="s">
        <v>57</v>
      </c>
      <c r="O1014" s="2"/>
      <c r="P1014" s="2"/>
    </row>
    <row r="1015" spans="1:16" ht="16.5" customHeight="1" x14ac:dyDescent="0.25">
      <c r="A1015" s="2" t="s">
        <v>2271</v>
      </c>
      <c r="B1015" s="8" t="s">
        <v>2271</v>
      </c>
      <c r="C1015" s="152" t="s">
        <v>102</v>
      </c>
      <c r="D1015" s="2" t="s">
        <v>148</v>
      </c>
      <c r="E1015" s="152" t="s">
        <v>102</v>
      </c>
      <c r="F1015" s="152" t="s">
        <v>103</v>
      </c>
      <c r="G1015" s="152">
        <v>0</v>
      </c>
      <c r="H1015" s="152"/>
      <c r="I1015" s="153">
        <v>11.11934294871795</v>
      </c>
      <c r="J1015" s="145"/>
      <c r="K1015" s="153" t="s">
        <v>86</v>
      </c>
      <c r="L1015" s="153" t="s">
        <v>86</v>
      </c>
      <c r="M1015" s="153"/>
      <c r="N1015" s="2" t="s">
        <v>57</v>
      </c>
      <c r="O1015" s="2"/>
      <c r="P1015" s="2"/>
    </row>
    <row r="1016" spans="1:16" ht="16.5" customHeight="1" x14ac:dyDescent="0.25">
      <c r="A1016" s="2" t="s">
        <v>2272</v>
      </c>
      <c r="B1016" s="8" t="s">
        <v>2272</v>
      </c>
      <c r="C1016" s="152" t="s">
        <v>102</v>
      </c>
      <c r="D1016" s="2" t="s">
        <v>148</v>
      </c>
      <c r="E1016" s="152" t="s">
        <v>102</v>
      </c>
      <c r="F1016" s="152" t="s">
        <v>103</v>
      </c>
      <c r="G1016" s="152">
        <v>0</v>
      </c>
      <c r="H1016" s="152"/>
      <c r="I1016" s="153">
        <v>20.824198717948718</v>
      </c>
      <c r="J1016" s="145"/>
      <c r="K1016" s="153" t="s">
        <v>86</v>
      </c>
      <c r="L1016" s="153" t="s">
        <v>86</v>
      </c>
      <c r="M1016" s="153"/>
      <c r="N1016" s="2" t="s">
        <v>57</v>
      </c>
      <c r="O1016" s="2"/>
      <c r="P1016" s="2"/>
    </row>
    <row r="1017" spans="1:16" ht="16.5" customHeight="1" x14ac:dyDescent="0.25">
      <c r="A1017" s="2" t="s">
        <v>2273</v>
      </c>
      <c r="B1017" s="8" t="s">
        <v>2273</v>
      </c>
      <c r="C1017" s="152" t="s">
        <v>102</v>
      </c>
      <c r="D1017" s="2" t="s">
        <v>148</v>
      </c>
      <c r="E1017" s="152" t="s">
        <v>102</v>
      </c>
      <c r="F1017" s="152" t="s">
        <v>103</v>
      </c>
      <c r="G1017" s="152">
        <v>0</v>
      </c>
      <c r="H1017" s="152"/>
      <c r="I1017" s="153">
        <v>3.8499118589743588</v>
      </c>
      <c r="J1017" s="145"/>
      <c r="K1017" s="153" t="s">
        <v>86</v>
      </c>
      <c r="L1017" s="153" t="s">
        <v>86</v>
      </c>
      <c r="M1017" s="153"/>
      <c r="N1017" s="2" t="s">
        <v>57</v>
      </c>
      <c r="O1017" s="2"/>
      <c r="P1017" s="2"/>
    </row>
    <row r="1018" spans="1:16" ht="16.5" customHeight="1" x14ac:dyDescent="0.25">
      <c r="A1018" s="2" t="s">
        <v>2274</v>
      </c>
      <c r="B1018" s="8" t="s">
        <v>2274</v>
      </c>
      <c r="C1018" s="152" t="s">
        <v>102</v>
      </c>
      <c r="D1018" s="2" t="s">
        <v>148</v>
      </c>
      <c r="E1018" s="152" t="s">
        <v>102</v>
      </c>
      <c r="F1018" s="152" t="s">
        <v>103</v>
      </c>
      <c r="G1018" s="152">
        <v>0</v>
      </c>
      <c r="H1018" s="152"/>
      <c r="I1018" s="153">
        <v>6.1529487179487186</v>
      </c>
      <c r="J1018" s="145"/>
      <c r="K1018" s="153" t="s">
        <v>86</v>
      </c>
      <c r="L1018" s="153" t="s">
        <v>86</v>
      </c>
      <c r="M1018" s="153"/>
      <c r="N1018" s="2" t="s">
        <v>57</v>
      </c>
      <c r="O1018" s="2"/>
      <c r="P1018" s="2"/>
    </row>
    <row r="1019" spans="1:16" ht="16.5" customHeight="1" x14ac:dyDescent="0.25">
      <c r="A1019" s="2" t="s">
        <v>2275</v>
      </c>
      <c r="B1019" s="8" t="s">
        <v>2275</v>
      </c>
      <c r="C1019" s="152" t="s">
        <v>102</v>
      </c>
      <c r="D1019" s="2" t="s">
        <v>148</v>
      </c>
      <c r="E1019" s="152" t="s">
        <v>102</v>
      </c>
      <c r="F1019" s="152" t="s">
        <v>103</v>
      </c>
      <c r="G1019" s="152">
        <v>0</v>
      </c>
      <c r="H1019" s="152"/>
      <c r="I1019" s="153">
        <v>13.99291666666667</v>
      </c>
      <c r="J1019" s="145"/>
      <c r="K1019" s="153" t="s">
        <v>86</v>
      </c>
      <c r="L1019" s="153" t="s">
        <v>86</v>
      </c>
      <c r="M1019" s="153"/>
      <c r="N1019" s="2" t="s">
        <v>57</v>
      </c>
      <c r="O1019" s="2"/>
      <c r="P1019" s="2"/>
    </row>
    <row r="1020" spans="1:16" ht="16.5" customHeight="1" x14ac:dyDescent="0.25">
      <c r="A1020" s="2" t="s">
        <v>2276</v>
      </c>
      <c r="B1020" s="8" t="s">
        <v>2276</v>
      </c>
      <c r="C1020" s="152" t="s">
        <v>102</v>
      </c>
      <c r="D1020" s="2" t="s">
        <v>148</v>
      </c>
      <c r="E1020" s="152" t="s">
        <v>102</v>
      </c>
      <c r="F1020" s="152" t="s">
        <v>103</v>
      </c>
      <c r="G1020" s="152">
        <v>0</v>
      </c>
      <c r="H1020" s="152"/>
      <c r="I1020" s="153">
        <v>8.7608653846153857</v>
      </c>
      <c r="J1020" s="145"/>
      <c r="K1020" s="153" t="s">
        <v>86</v>
      </c>
      <c r="L1020" s="153" t="s">
        <v>86</v>
      </c>
      <c r="M1020" s="153"/>
      <c r="N1020" s="2" t="s">
        <v>57</v>
      </c>
      <c r="O1020" s="2"/>
      <c r="P1020" s="2"/>
    </row>
    <row r="1021" spans="1:16" ht="16.5" customHeight="1" x14ac:dyDescent="0.25">
      <c r="A1021" s="2" t="s">
        <v>2277</v>
      </c>
      <c r="B1021" s="8" t="s">
        <v>2277</v>
      </c>
      <c r="C1021" s="152" t="s">
        <v>102</v>
      </c>
      <c r="D1021" s="2" t="s">
        <v>148</v>
      </c>
      <c r="E1021" s="152" t="s">
        <v>102</v>
      </c>
      <c r="F1021" s="152" t="s">
        <v>103</v>
      </c>
      <c r="G1021" s="152">
        <v>0</v>
      </c>
      <c r="H1021" s="152"/>
      <c r="I1021" s="153">
        <v>7.8586538461538469</v>
      </c>
      <c r="J1021" s="145"/>
      <c r="K1021" s="153" t="s">
        <v>86</v>
      </c>
      <c r="L1021" s="153" t="s">
        <v>86</v>
      </c>
      <c r="M1021" s="153"/>
      <c r="N1021" s="2" t="s">
        <v>57</v>
      </c>
      <c r="O1021" s="2"/>
      <c r="P1021" s="2"/>
    </row>
    <row r="1022" spans="1:16" ht="16.5" customHeight="1" x14ac:dyDescent="0.25">
      <c r="A1022" s="2" t="s">
        <v>2278</v>
      </c>
      <c r="B1022" s="8" t="s">
        <v>2278</v>
      </c>
      <c r="C1022" s="152" t="s">
        <v>102</v>
      </c>
      <c r="D1022" s="2" t="s">
        <v>148</v>
      </c>
      <c r="E1022" s="152" t="s">
        <v>102</v>
      </c>
      <c r="F1022" s="152" t="s">
        <v>103</v>
      </c>
      <c r="G1022" s="152">
        <v>0</v>
      </c>
      <c r="H1022" s="152"/>
      <c r="I1022" s="153">
        <v>12.93434294871795</v>
      </c>
      <c r="J1022" s="145"/>
      <c r="K1022" s="153" t="s">
        <v>86</v>
      </c>
      <c r="L1022" s="153" t="s">
        <v>86</v>
      </c>
      <c r="M1022" s="153"/>
      <c r="N1022" s="2" t="s">
        <v>57</v>
      </c>
      <c r="O1022" s="2"/>
      <c r="P1022" s="2"/>
    </row>
    <row r="1023" spans="1:16" ht="16.5" customHeight="1" x14ac:dyDescent="0.25">
      <c r="A1023" s="2" t="s">
        <v>2279</v>
      </c>
      <c r="B1023" s="8" t="s">
        <v>2279</v>
      </c>
      <c r="C1023" s="152" t="s">
        <v>102</v>
      </c>
      <c r="D1023" s="2" t="s">
        <v>148</v>
      </c>
      <c r="E1023" s="152" t="s">
        <v>102</v>
      </c>
      <c r="F1023" s="152" t="s">
        <v>103</v>
      </c>
      <c r="G1023" s="152">
        <v>0</v>
      </c>
      <c r="H1023" s="152"/>
      <c r="I1023" s="153">
        <v>7.9392500000000021</v>
      </c>
      <c r="J1023" s="145"/>
      <c r="K1023" s="153">
        <v>-0.502</v>
      </c>
      <c r="L1023" s="153" t="s">
        <v>86</v>
      </c>
      <c r="M1023" s="153"/>
      <c r="N1023" s="2" t="s">
        <v>57</v>
      </c>
      <c r="O1023" s="2"/>
      <c r="P1023" s="2"/>
    </row>
    <row r="1024" spans="1:16" ht="16.5" customHeight="1" x14ac:dyDescent="0.25">
      <c r="A1024" s="2" t="s">
        <v>2280</v>
      </c>
      <c r="B1024" s="8" t="s">
        <v>2280</v>
      </c>
      <c r="C1024" s="152" t="s">
        <v>102</v>
      </c>
      <c r="D1024" s="2" t="s">
        <v>148</v>
      </c>
      <c r="E1024" s="152" t="s">
        <v>102</v>
      </c>
      <c r="F1024" s="152" t="s">
        <v>103</v>
      </c>
      <c r="G1024" s="152">
        <v>0</v>
      </c>
      <c r="H1024" s="152"/>
      <c r="I1024" s="153">
        <v>13.59293269230769</v>
      </c>
      <c r="J1024" s="145"/>
      <c r="K1024" s="153" t="s">
        <v>86</v>
      </c>
      <c r="L1024" s="153" t="s">
        <v>86</v>
      </c>
      <c r="M1024" s="153"/>
      <c r="N1024" s="2" t="s">
        <v>57</v>
      </c>
      <c r="O1024" s="2"/>
      <c r="P1024" s="2"/>
    </row>
    <row r="1025" spans="1:16" ht="16.5" customHeight="1" x14ac:dyDescent="0.25">
      <c r="A1025" s="2" t="s">
        <v>2281</v>
      </c>
      <c r="B1025" s="8" t="s">
        <v>2281</v>
      </c>
      <c r="C1025" s="152" t="s">
        <v>102</v>
      </c>
      <c r="D1025" s="2" t="s">
        <v>148</v>
      </c>
      <c r="E1025" s="152" t="s">
        <v>102</v>
      </c>
      <c r="F1025" s="152" t="s">
        <v>103</v>
      </c>
      <c r="G1025" s="152">
        <v>0</v>
      </c>
      <c r="H1025" s="152"/>
      <c r="I1025" s="153">
        <v>0.74038461538461553</v>
      </c>
      <c r="J1025" s="145"/>
      <c r="K1025" s="153" t="s">
        <v>86</v>
      </c>
      <c r="L1025" s="153" t="s">
        <v>86</v>
      </c>
      <c r="M1025" s="153"/>
      <c r="N1025" s="2" t="s">
        <v>57</v>
      </c>
      <c r="O1025" s="2"/>
      <c r="P1025" s="2"/>
    </row>
    <row r="1026" spans="1:16" ht="16.5" customHeight="1" x14ac:dyDescent="0.25">
      <c r="A1026" s="2" t="s">
        <v>2282</v>
      </c>
      <c r="B1026" s="8" t="s">
        <v>2282</v>
      </c>
      <c r="C1026" s="152" t="s">
        <v>102</v>
      </c>
      <c r="D1026" s="2" t="s">
        <v>148</v>
      </c>
      <c r="E1026" s="152" t="s">
        <v>102</v>
      </c>
      <c r="F1026" s="152" t="s">
        <v>103</v>
      </c>
      <c r="G1026" s="152">
        <v>0</v>
      </c>
      <c r="H1026" s="152"/>
      <c r="I1026" s="153">
        <v>9.2152500000000028</v>
      </c>
      <c r="J1026" s="145"/>
      <c r="K1026" s="153" t="s">
        <v>86</v>
      </c>
      <c r="L1026" s="153" t="s">
        <v>86</v>
      </c>
      <c r="M1026" s="153"/>
      <c r="N1026" s="2" t="s">
        <v>57</v>
      </c>
      <c r="O1026" s="2"/>
      <c r="P1026" s="2"/>
    </row>
    <row r="1027" spans="1:16" ht="16.5" customHeight="1" x14ac:dyDescent="0.25">
      <c r="A1027" s="2" t="s">
        <v>2283</v>
      </c>
      <c r="B1027" s="8" t="s">
        <v>2283</v>
      </c>
      <c r="C1027" s="152" t="s">
        <v>102</v>
      </c>
      <c r="D1027" s="2" t="s">
        <v>148</v>
      </c>
      <c r="E1027" s="152" t="s">
        <v>102</v>
      </c>
      <c r="F1027" s="152" t="s">
        <v>103</v>
      </c>
      <c r="G1027" s="152">
        <v>0</v>
      </c>
      <c r="H1027" s="152"/>
      <c r="I1027" s="153">
        <v>9.7575641025641051</v>
      </c>
      <c r="J1027" s="145"/>
      <c r="K1027" s="153" t="s">
        <v>86</v>
      </c>
      <c r="L1027" s="153" t="s">
        <v>86</v>
      </c>
      <c r="M1027" s="153"/>
      <c r="N1027" s="2" t="s">
        <v>57</v>
      </c>
      <c r="O1027" s="2"/>
      <c r="P1027" s="2"/>
    </row>
    <row r="1028" spans="1:16" ht="16.5" customHeight="1" x14ac:dyDescent="0.25">
      <c r="A1028" s="2" t="s">
        <v>2284</v>
      </c>
      <c r="B1028" s="8" t="s">
        <v>2285</v>
      </c>
      <c r="C1028" s="152" t="s">
        <v>102</v>
      </c>
      <c r="D1028" s="2" t="s">
        <v>148</v>
      </c>
      <c r="E1028" s="152" t="s">
        <v>102</v>
      </c>
      <c r="F1028" s="152" t="s">
        <v>103</v>
      </c>
      <c r="G1028" s="152">
        <v>0</v>
      </c>
      <c r="H1028" s="152"/>
      <c r="I1028" s="153">
        <v>48.913333333333341</v>
      </c>
      <c r="J1028" s="145"/>
      <c r="K1028" s="153" t="s">
        <v>86</v>
      </c>
      <c r="L1028" s="153" t="s">
        <v>86</v>
      </c>
      <c r="M1028" s="153"/>
      <c r="N1028" s="2" t="s">
        <v>57</v>
      </c>
      <c r="O1028" s="2"/>
      <c r="P1028" s="2"/>
    </row>
    <row r="1029" spans="1:16" ht="16.5" customHeight="1" x14ac:dyDescent="0.25">
      <c r="A1029" s="2" t="s">
        <v>2286</v>
      </c>
      <c r="B1029" s="8" t="s">
        <v>2286</v>
      </c>
      <c r="C1029" s="152" t="s">
        <v>102</v>
      </c>
      <c r="D1029" s="2" t="s">
        <v>148</v>
      </c>
      <c r="E1029" s="152" t="s">
        <v>102</v>
      </c>
      <c r="F1029" s="152" t="s">
        <v>103</v>
      </c>
      <c r="G1029" s="152">
        <v>0</v>
      </c>
      <c r="H1029" s="152"/>
      <c r="I1029" s="153">
        <v>3.1688461538461552</v>
      </c>
      <c r="J1029" s="145"/>
      <c r="K1029" s="153" t="s">
        <v>86</v>
      </c>
      <c r="L1029" s="153" t="s">
        <v>86</v>
      </c>
      <c r="M1029" s="153"/>
      <c r="N1029" s="2" t="s">
        <v>57</v>
      </c>
      <c r="O1029" s="2"/>
      <c r="P1029" s="2"/>
    </row>
    <row r="1030" spans="1:16" ht="16.5" customHeight="1" x14ac:dyDescent="0.25">
      <c r="A1030" s="2" t="s">
        <v>2287</v>
      </c>
      <c r="B1030" s="8" t="s">
        <v>2287</v>
      </c>
      <c r="C1030" s="152" t="s">
        <v>102</v>
      </c>
      <c r="D1030" s="2" t="s">
        <v>148</v>
      </c>
      <c r="E1030" s="152" t="s">
        <v>102</v>
      </c>
      <c r="F1030" s="152" t="s">
        <v>103</v>
      </c>
      <c r="G1030" s="152">
        <v>0</v>
      </c>
      <c r="H1030" s="152"/>
      <c r="I1030" s="153">
        <v>3.1281250000000012</v>
      </c>
      <c r="J1030" s="145"/>
      <c r="K1030" s="153" t="s">
        <v>86</v>
      </c>
      <c r="L1030" s="153" t="s">
        <v>86</v>
      </c>
      <c r="M1030" s="153"/>
      <c r="N1030" s="2" t="s">
        <v>57</v>
      </c>
      <c r="O1030" s="2"/>
      <c r="P1030" s="2"/>
    </row>
    <row r="1031" spans="1:16" ht="16.5" customHeight="1" x14ac:dyDescent="0.25">
      <c r="A1031" s="2" t="s">
        <v>2288</v>
      </c>
      <c r="B1031" s="8" t="s">
        <v>2288</v>
      </c>
      <c r="C1031" s="152" t="s">
        <v>102</v>
      </c>
      <c r="D1031" s="2" t="s">
        <v>148</v>
      </c>
      <c r="E1031" s="152" t="s">
        <v>102</v>
      </c>
      <c r="F1031" s="152" t="s">
        <v>103</v>
      </c>
      <c r="G1031" s="152">
        <v>0</v>
      </c>
      <c r="H1031" s="152"/>
      <c r="I1031" s="153">
        <v>5.1869230769230779</v>
      </c>
      <c r="J1031" s="145"/>
      <c r="K1031" s="153" t="s">
        <v>86</v>
      </c>
      <c r="L1031" s="153" t="s">
        <v>86</v>
      </c>
      <c r="M1031" s="153"/>
      <c r="N1031" s="2" t="s">
        <v>57</v>
      </c>
      <c r="O1031" s="2"/>
      <c r="P1031" s="2"/>
    </row>
    <row r="1032" spans="1:16" ht="16.5" customHeight="1" x14ac:dyDescent="0.25">
      <c r="A1032" s="2" t="s">
        <v>2289</v>
      </c>
      <c r="B1032" s="8" t="s">
        <v>2289</v>
      </c>
      <c r="C1032" s="152" t="s">
        <v>102</v>
      </c>
      <c r="D1032" s="2" t="s">
        <v>148</v>
      </c>
      <c r="E1032" s="152" t="s">
        <v>102</v>
      </c>
      <c r="F1032" s="152" t="s">
        <v>103</v>
      </c>
      <c r="G1032" s="152">
        <v>0</v>
      </c>
      <c r="H1032" s="152"/>
      <c r="I1032" s="153">
        <v>4.7365224358974372</v>
      </c>
      <c r="J1032" s="145"/>
      <c r="K1032" s="153" t="s">
        <v>86</v>
      </c>
      <c r="L1032" s="153" t="s">
        <v>86</v>
      </c>
      <c r="M1032" s="153"/>
      <c r="N1032" s="2" t="s">
        <v>57</v>
      </c>
      <c r="O1032" s="2"/>
      <c r="P1032" s="2"/>
    </row>
    <row r="1033" spans="1:16" ht="16.5" customHeight="1" x14ac:dyDescent="0.25">
      <c r="A1033" s="2" t="s">
        <v>2290</v>
      </c>
      <c r="B1033" s="8" t="s">
        <v>2290</v>
      </c>
      <c r="C1033" s="152" t="s">
        <v>102</v>
      </c>
      <c r="D1033" s="2" t="s">
        <v>148</v>
      </c>
      <c r="E1033" s="152" t="s">
        <v>102</v>
      </c>
      <c r="F1033" s="152" t="s">
        <v>103</v>
      </c>
      <c r="G1033" s="152">
        <v>0</v>
      </c>
      <c r="H1033" s="152"/>
      <c r="I1033" s="153">
        <v>3.3980128205128208</v>
      </c>
      <c r="J1033" s="145"/>
      <c r="K1033" s="153">
        <v>-1.1339999999999999</v>
      </c>
      <c r="L1033" s="153" t="s">
        <v>86</v>
      </c>
      <c r="M1033" s="153"/>
      <c r="N1033" s="2" t="s">
        <v>57</v>
      </c>
      <c r="O1033" s="2"/>
      <c r="P1033" s="2"/>
    </row>
    <row r="1034" spans="1:16" ht="16.5" customHeight="1" x14ac:dyDescent="0.25">
      <c r="A1034" s="2" t="s">
        <v>2291</v>
      </c>
      <c r="B1034" s="8" t="s">
        <v>2291</v>
      </c>
      <c r="C1034" s="152" t="s">
        <v>102</v>
      </c>
      <c r="D1034" s="2" t="s">
        <v>148</v>
      </c>
      <c r="E1034" s="152" t="s">
        <v>102</v>
      </c>
      <c r="F1034" s="152" t="s">
        <v>103</v>
      </c>
      <c r="G1034" s="152">
        <v>0</v>
      </c>
      <c r="H1034" s="152"/>
      <c r="I1034" s="153">
        <v>3.919807692307693</v>
      </c>
      <c r="J1034" s="145"/>
      <c r="K1034" s="153">
        <v>-2.4103216783216781</v>
      </c>
      <c r="L1034" s="153">
        <v>-5.1326702481465061</v>
      </c>
      <c r="M1034" s="153"/>
      <c r="N1034" s="2" t="s">
        <v>57</v>
      </c>
      <c r="O1034" s="2"/>
      <c r="P1034" s="2"/>
    </row>
    <row r="1035" spans="1:16" ht="16.5" customHeight="1" x14ac:dyDescent="0.25">
      <c r="A1035" s="2" t="s">
        <v>2292</v>
      </c>
      <c r="B1035" s="8" t="s">
        <v>2292</v>
      </c>
      <c r="C1035" s="152" t="s">
        <v>102</v>
      </c>
      <c r="D1035" s="2" t="s">
        <v>148</v>
      </c>
      <c r="E1035" s="152" t="s">
        <v>102</v>
      </c>
      <c r="F1035" s="152" t="s">
        <v>103</v>
      </c>
      <c r="G1035" s="152">
        <v>0</v>
      </c>
      <c r="H1035" s="152"/>
      <c r="I1035" s="153">
        <v>7.8681730769230764</v>
      </c>
      <c r="J1035" s="145"/>
      <c r="K1035" s="153" t="s">
        <v>86</v>
      </c>
      <c r="L1035" s="153" t="s">
        <v>86</v>
      </c>
      <c r="M1035" s="153"/>
      <c r="N1035" s="2" t="s">
        <v>57</v>
      </c>
      <c r="O1035" s="2"/>
      <c r="P1035" s="2"/>
    </row>
    <row r="1036" spans="1:16" ht="16.5" customHeight="1" x14ac:dyDescent="0.25">
      <c r="A1036" s="2" t="s">
        <v>2293</v>
      </c>
      <c r="B1036" s="8" t="s">
        <v>2293</v>
      </c>
      <c r="C1036" s="152" t="s">
        <v>102</v>
      </c>
      <c r="D1036" s="2" t="s">
        <v>148</v>
      </c>
      <c r="E1036" s="152" t="s">
        <v>102</v>
      </c>
      <c r="F1036" s="152" t="s">
        <v>103</v>
      </c>
      <c r="G1036" s="152">
        <v>0</v>
      </c>
      <c r="H1036" s="152"/>
      <c r="I1036" s="153">
        <v>8.6632051282051279</v>
      </c>
      <c r="J1036" s="145"/>
      <c r="K1036" s="153" t="s">
        <v>86</v>
      </c>
      <c r="L1036" s="153" t="s">
        <v>86</v>
      </c>
      <c r="M1036" s="153"/>
      <c r="N1036" s="2" t="s">
        <v>57</v>
      </c>
      <c r="O1036" s="2"/>
      <c r="P1036" s="2"/>
    </row>
    <row r="1037" spans="1:16" ht="16.5" customHeight="1" x14ac:dyDescent="0.25">
      <c r="A1037" s="2" t="s">
        <v>2294</v>
      </c>
      <c r="B1037" s="8" t="s">
        <v>2294</v>
      </c>
      <c r="C1037" s="152" t="s">
        <v>102</v>
      </c>
      <c r="D1037" s="2" t="s">
        <v>148</v>
      </c>
      <c r="E1037" s="152" t="s">
        <v>102</v>
      </c>
      <c r="F1037" s="152" t="s">
        <v>103</v>
      </c>
      <c r="G1037" s="152">
        <v>0</v>
      </c>
      <c r="H1037" s="152"/>
      <c r="I1037" s="153">
        <v>8.4107692307692332</v>
      </c>
      <c r="J1037" s="145"/>
      <c r="K1037" s="153">
        <v>-6.5623333333333322</v>
      </c>
      <c r="L1037" s="153" t="s">
        <v>86</v>
      </c>
      <c r="M1037" s="153"/>
      <c r="N1037" s="2" t="s">
        <v>57</v>
      </c>
      <c r="O1037" s="2"/>
      <c r="P1037" s="2"/>
    </row>
    <row r="1038" spans="1:16" ht="16.5" customHeight="1" x14ac:dyDescent="0.25">
      <c r="A1038" s="2" t="s">
        <v>2295</v>
      </c>
      <c r="B1038" s="8" t="s">
        <v>2295</v>
      </c>
      <c r="C1038" s="152" t="s">
        <v>102</v>
      </c>
      <c r="D1038" s="2" t="s">
        <v>148</v>
      </c>
      <c r="E1038" s="152" t="s">
        <v>102</v>
      </c>
      <c r="F1038" s="152" t="s">
        <v>103</v>
      </c>
      <c r="G1038" s="152">
        <v>0</v>
      </c>
      <c r="H1038" s="152"/>
      <c r="I1038" s="153">
        <v>10.94923076923077</v>
      </c>
      <c r="J1038" s="145"/>
      <c r="K1038" s="153" t="s">
        <v>86</v>
      </c>
      <c r="L1038" s="153" t="s">
        <v>86</v>
      </c>
      <c r="M1038" s="153"/>
      <c r="N1038" s="2" t="s">
        <v>57</v>
      </c>
      <c r="O1038" s="2"/>
      <c r="P1038" s="2"/>
    </row>
    <row r="1039" spans="1:16" ht="16.5" customHeight="1" x14ac:dyDescent="0.25">
      <c r="A1039" s="2" t="s">
        <v>2296</v>
      </c>
      <c r="B1039" s="8" t="s">
        <v>2296</v>
      </c>
      <c r="C1039" s="152" t="s">
        <v>102</v>
      </c>
      <c r="D1039" s="2" t="s">
        <v>1593</v>
      </c>
      <c r="E1039" s="152" t="s">
        <v>102</v>
      </c>
      <c r="F1039" s="152" t="s">
        <v>103</v>
      </c>
      <c r="G1039" s="152">
        <v>0</v>
      </c>
      <c r="H1039" s="152"/>
      <c r="I1039" s="153">
        <v>9.8717948717948728E-2</v>
      </c>
      <c r="J1039" s="145"/>
      <c r="K1039" s="153" t="s">
        <v>86</v>
      </c>
      <c r="L1039" s="153" t="s">
        <v>86</v>
      </c>
      <c r="M1039" s="153"/>
      <c r="N1039" s="2" t="s">
        <v>57</v>
      </c>
      <c r="O1039" s="2"/>
      <c r="P1039" s="2"/>
    </row>
    <row r="1040" spans="1:16" ht="16.5" customHeight="1" x14ac:dyDescent="0.25">
      <c r="A1040" s="2" t="s">
        <v>2297</v>
      </c>
      <c r="B1040" s="8" t="s">
        <v>2297</v>
      </c>
      <c r="C1040" s="152" t="s">
        <v>102</v>
      </c>
      <c r="D1040" s="2" t="s">
        <v>1593</v>
      </c>
      <c r="E1040" s="152" t="s">
        <v>102</v>
      </c>
      <c r="F1040" s="152" t="s">
        <v>103</v>
      </c>
      <c r="G1040" s="152">
        <v>0</v>
      </c>
      <c r="H1040" s="152"/>
      <c r="I1040" s="153">
        <v>0.1022435897435898</v>
      </c>
      <c r="J1040" s="145"/>
      <c r="K1040" s="153" t="s">
        <v>86</v>
      </c>
      <c r="L1040" s="153" t="s">
        <v>86</v>
      </c>
      <c r="M1040" s="153"/>
      <c r="N1040" s="2" t="s">
        <v>57</v>
      </c>
      <c r="O1040" s="2"/>
      <c r="P1040" s="2"/>
    </row>
    <row r="1041" spans="1:16" ht="16.5" customHeight="1" x14ac:dyDescent="0.25">
      <c r="A1041" s="2" t="s">
        <v>2298</v>
      </c>
      <c r="B1041" s="8" t="s">
        <v>2298</v>
      </c>
      <c r="C1041" s="152" t="s">
        <v>102</v>
      </c>
      <c r="D1041" s="2" t="s">
        <v>1593</v>
      </c>
      <c r="E1041" s="152" t="s">
        <v>102</v>
      </c>
      <c r="F1041" s="152" t="s">
        <v>103</v>
      </c>
      <c r="G1041" s="152">
        <v>0</v>
      </c>
      <c r="H1041" s="152"/>
      <c r="I1041" s="153">
        <v>5.4647435897435898E-2</v>
      </c>
      <c r="J1041" s="145"/>
      <c r="K1041" s="153" t="s">
        <v>86</v>
      </c>
      <c r="L1041" s="153" t="s">
        <v>86</v>
      </c>
      <c r="M1041" s="153"/>
      <c r="N1041" s="2" t="s">
        <v>57</v>
      </c>
      <c r="O1041" s="2"/>
      <c r="P1041" s="2"/>
    </row>
    <row r="1042" spans="1:16" ht="16.5" customHeight="1" x14ac:dyDescent="0.25">
      <c r="A1042" s="2" t="s">
        <v>2299</v>
      </c>
      <c r="B1042" s="8" t="s">
        <v>2299</v>
      </c>
      <c r="C1042" s="152" t="s">
        <v>102</v>
      </c>
      <c r="D1042" s="2" t="s">
        <v>2300</v>
      </c>
      <c r="E1042" s="152" t="s">
        <v>102</v>
      </c>
      <c r="F1042" s="152" t="s">
        <v>103</v>
      </c>
      <c r="G1042" s="152">
        <v>0</v>
      </c>
      <c r="H1042" s="152"/>
      <c r="I1042" s="153">
        <v>76.849807692307706</v>
      </c>
      <c r="J1042" s="145"/>
      <c r="K1042" s="153" t="s">
        <v>86</v>
      </c>
      <c r="L1042" s="153" t="s">
        <v>86</v>
      </c>
      <c r="M1042" s="153"/>
      <c r="N1042" s="2" t="s">
        <v>57</v>
      </c>
      <c r="O1042" s="2"/>
      <c r="P1042" s="2"/>
    </row>
    <row r="1043" spans="1:16" ht="16.5" customHeight="1" x14ac:dyDescent="0.25">
      <c r="A1043" s="2" t="s">
        <v>2301</v>
      </c>
      <c r="B1043" s="8" t="s">
        <v>2301</v>
      </c>
      <c r="C1043" s="152" t="s">
        <v>102</v>
      </c>
      <c r="D1043" s="2" t="s">
        <v>163</v>
      </c>
      <c r="E1043" s="152" t="s">
        <v>102</v>
      </c>
      <c r="F1043" s="152" t="s">
        <v>103</v>
      </c>
      <c r="G1043" s="152">
        <v>0</v>
      </c>
      <c r="H1043" s="152"/>
      <c r="I1043" s="153">
        <v>89.76</v>
      </c>
      <c r="J1043" s="145"/>
      <c r="K1043" s="153" t="s">
        <v>86</v>
      </c>
      <c r="L1043" s="153" t="s">
        <v>86</v>
      </c>
      <c r="M1043" s="153"/>
      <c r="N1043" s="2" t="s">
        <v>57</v>
      </c>
      <c r="O1043" s="2"/>
      <c r="P1043" s="2"/>
    </row>
    <row r="1044" spans="1:16" ht="16.5" customHeight="1" x14ac:dyDescent="0.25">
      <c r="A1044" s="2" t="s">
        <v>2302</v>
      </c>
      <c r="B1044" s="8" t="s">
        <v>2302</v>
      </c>
      <c r="C1044" s="152" t="s">
        <v>102</v>
      </c>
      <c r="D1044" s="2" t="s">
        <v>163</v>
      </c>
      <c r="E1044" s="152" t="s">
        <v>102</v>
      </c>
      <c r="F1044" s="152" t="s">
        <v>103</v>
      </c>
      <c r="G1044" s="152">
        <v>0</v>
      </c>
      <c r="H1044" s="152"/>
      <c r="I1044" s="153">
        <v>119.295</v>
      </c>
      <c r="J1044" s="145"/>
      <c r="K1044" s="153" t="s">
        <v>86</v>
      </c>
      <c r="L1044" s="153" t="s">
        <v>86</v>
      </c>
      <c r="M1044" s="153"/>
      <c r="N1044" s="2" t="s">
        <v>57</v>
      </c>
      <c r="O1044" s="2"/>
      <c r="P1044" s="2"/>
    </row>
    <row r="1045" spans="1:16" ht="16.5" customHeight="1" x14ac:dyDescent="0.25">
      <c r="A1045" s="2" t="s">
        <v>2303</v>
      </c>
      <c r="B1045" s="8" t="s">
        <v>2303</v>
      </c>
      <c r="C1045" s="152" t="s">
        <v>102</v>
      </c>
      <c r="D1045" s="2" t="s">
        <v>2303</v>
      </c>
      <c r="E1045" s="152" t="s">
        <v>102</v>
      </c>
      <c r="F1045" s="152" t="s">
        <v>103</v>
      </c>
      <c r="G1045" s="152">
        <v>0</v>
      </c>
      <c r="H1045" s="152"/>
      <c r="I1045" s="153">
        <v>249.50961538461539</v>
      </c>
      <c r="J1045" s="145"/>
      <c r="K1045" s="153" t="s">
        <v>86</v>
      </c>
      <c r="L1045" s="153" t="s">
        <v>86</v>
      </c>
      <c r="M1045" s="153"/>
      <c r="N1045" s="2" t="s">
        <v>57</v>
      </c>
      <c r="O1045" s="2"/>
      <c r="P1045" s="2"/>
    </row>
    <row r="1046" spans="1:16" ht="16.5" customHeight="1" x14ac:dyDescent="0.25">
      <c r="A1046" s="2" t="s">
        <v>2304</v>
      </c>
      <c r="B1046" s="8" t="s">
        <v>2304</v>
      </c>
      <c r="C1046" s="152" t="s">
        <v>102</v>
      </c>
      <c r="D1046" s="2" t="s">
        <v>2305</v>
      </c>
      <c r="E1046" s="152" t="s">
        <v>102</v>
      </c>
      <c r="F1046" s="152" t="s">
        <v>103</v>
      </c>
      <c r="G1046" s="152">
        <v>0</v>
      </c>
      <c r="H1046" s="152"/>
      <c r="I1046" s="153">
        <v>0.74919871794871806</v>
      </c>
      <c r="J1046" s="145"/>
      <c r="K1046" s="153" t="s">
        <v>86</v>
      </c>
      <c r="L1046" s="153" t="s">
        <v>86</v>
      </c>
      <c r="M1046" s="153"/>
      <c r="N1046" s="2" t="s">
        <v>57</v>
      </c>
      <c r="O1046" s="2"/>
      <c r="P1046" s="2"/>
    </row>
    <row r="1047" spans="1:16" ht="16.5" customHeight="1" x14ac:dyDescent="0.25">
      <c r="A1047" s="2" t="s">
        <v>2306</v>
      </c>
      <c r="B1047" s="8" t="s">
        <v>2306</v>
      </c>
      <c r="C1047" s="152" t="s">
        <v>102</v>
      </c>
      <c r="D1047" s="2" t="s">
        <v>2305</v>
      </c>
      <c r="E1047" s="152" t="s">
        <v>102</v>
      </c>
      <c r="F1047" s="152" t="s">
        <v>103</v>
      </c>
      <c r="G1047" s="152">
        <v>0</v>
      </c>
      <c r="H1047" s="152"/>
      <c r="I1047" s="153">
        <v>4.1778846153846159</v>
      </c>
      <c r="J1047" s="145"/>
      <c r="K1047" s="153" t="s">
        <v>86</v>
      </c>
      <c r="L1047" s="153" t="s">
        <v>86</v>
      </c>
      <c r="M1047" s="153"/>
      <c r="N1047" s="2" t="s">
        <v>57</v>
      </c>
      <c r="O1047" s="2"/>
      <c r="P1047" s="2"/>
    </row>
    <row r="1048" spans="1:16" ht="16.5" customHeight="1" x14ac:dyDescent="0.25">
      <c r="A1048" s="2" t="s">
        <v>2307</v>
      </c>
      <c r="B1048" s="8" t="s">
        <v>2307</v>
      </c>
      <c r="C1048" s="152" t="s">
        <v>102</v>
      </c>
      <c r="D1048" s="2" t="s">
        <v>1624</v>
      </c>
      <c r="E1048" s="152" t="s">
        <v>102</v>
      </c>
      <c r="F1048" s="152" t="s">
        <v>103</v>
      </c>
      <c r="G1048" s="152">
        <v>0</v>
      </c>
      <c r="H1048" s="152"/>
      <c r="I1048" s="153">
        <v>36.145576923076931</v>
      </c>
      <c r="J1048" s="145"/>
      <c r="K1048" s="153" t="s">
        <v>86</v>
      </c>
      <c r="L1048" s="153" t="s">
        <v>86</v>
      </c>
      <c r="M1048" s="153"/>
      <c r="N1048" s="2" t="s">
        <v>57</v>
      </c>
      <c r="O1048" s="2"/>
      <c r="P1048" s="2"/>
    </row>
    <row r="1049" spans="1:16" ht="16.5" customHeight="1" x14ac:dyDescent="0.25">
      <c r="A1049" s="2" t="s">
        <v>2308</v>
      </c>
      <c r="B1049" s="8" t="s">
        <v>2308</v>
      </c>
      <c r="C1049" s="152" t="s">
        <v>102</v>
      </c>
      <c r="D1049" s="2" t="s">
        <v>186</v>
      </c>
      <c r="E1049" s="152" t="s">
        <v>102</v>
      </c>
      <c r="F1049" s="152" t="s">
        <v>103</v>
      </c>
      <c r="G1049" s="152">
        <v>0</v>
      </c>
      <c r="H1049" s="152"/>
      <c r="I1049" s="153">
        <v>15.609</v>
      </c>
      <c r="J1049" s="145"/>
      <c r="K1049" s="153" t="s">
        <v>86</v>
      </c>
      <c r="L1049" s="153" t="s">
        <v>86</v>
      </c>
      <c r="M1049" s="153"/>
      <c r="N1049" s="2" t="s">
        <v>57</v>
      </c>
      <c r="O1049" s="2"/>
      <c r="P1049" s="2"/>
    </row>
    <row r="1050" spans="1:16" ht="16.5" customHeight="1" x14ac:dyDescent="0.25">
      <c r="A1050" s="2" t="s">
        <v>2309</v>
      </c>
      <c r="B1050" s="8" t="s">
        <v>2309</v>
      </c>
      <c r="C1050" s="152" t="s">
        <v>102</v>
      </c>
      <c r="D1050" s="2" t="s">
        <v>1638</v>
      </c>
      <c r="E1050" s="152" t="s">
        <v>102</v>
      </c>
      <c r="F1050" s="152" t="s">
        <v>103</v>
      </c>
      <c r="G1050" s="152">
        <v>0</v>
      </c>
      <c r="H1050" s="152"/>
      <c r="I1050" s="153">
        <v>0.15865384615384609</v>
      </c>
      <c r="J1050" s="145"/>
      <c r="K1050" s="153" t="s">
        <v>86</v>
      </c>
      <c r="L1050" s="153" t="s">
        <v>86</v>
      </c>
      <c r="M1050" s="153"/>
      <c r="N1050" s="2" t="s">
        <v>57</v>
      </c>
      <c r="O1050" s="2"/>
      <c r="P1050" s="2"/>
    </row>
    <row r="1051" spans="1:16" ht="16.5" customHeight="1" x14ac:dyDescent="0.25">
      <c r="A1051" s="2" t="s">
        <v>2310</v>
      </c>
      <c r="B1051" s="8" t="s">
        <v>2310</v>
      </c>
      <c r="C1051" s="152" t="s">
        <v>102</v>
      </c>
      <c r="D1051" s="2" t="s">
        <v>201</v>
      </c>
      <c r="E1051" s="152" t="s">
        <v>102</v>
      </c>
      <c r="F1051" s="152" t="s">
        <v>103</v>
      </c>
      <c r="G1051" s="152">
        <v>0</v>
      </c>
      <c r="H1051" s="152"/>
      <c r="I1051" s="153">
        <v>19.156923076923078</v>
      </c>
      <c r="J1051" s="145"/>
      <c r="K1051" s="153" t="s">
        <v>86</v>
      </c>
      <c r="L1051" s="153" t="s">
        <v>86</v>
      </c>
      <c r="M1051" s="153"/>
      <c r="N1051" s="2" t="s">
        <v>57</v>
      </c>
      <c r="O1051" s="2"/>
      <c r="P1051" s="2"/>
    </row>
    <row r="1052" spans="1:16" ht="16.5" customHeight="1" x14ac:dyDescent="0.25">
      <c r="A1052" s="2" t="s">
        <v>2311</v>
      </c>
      <c r="B1052" s="8" t="s">
        <v>2311</v>
      </c>
      <c r="C1052" s="152" t="s">
        <v>102</v>
      </c>
      <c r="D1052" s="2" t="s">
        <v>201</v>
      </c>
      <c r="E1052" s="152" t="s">
        <v>102</v>
      </c>
      <c r="F1052" s="152" t="s">
        <v>103</v>
      </c>
      <c r="G1052" s="152">
        <v>0</v>
      </c>
      <c r="H1052" s="152"/>
      <c r="I1052" s="153">
        <v>16.76160256410256</v>
      </c>
      <c r="J1052" s="145"/>
      <c r="K1052" s="153" t="s">
        <v>86</v>
      </c>
      <c r="L1052" s="153">
        <v>-22.98477600982649</v>
      </c>
      <c r="M1052" s="153"/>
      <c r="N1052" s="2" t="s">
        <v>57</v>
      </c>
      <c r="O1052" s="2"/>
      <c r="P1052" s="2"/>
    </row>
    <row r="1053" spans="1:16" ht="16.5" customHeight="1" x14ac:dyDescent="0.25">
      <c r="A1053" s="2" t="s">
        <v>2312</v>
      </c>
      <c r="B1053" s="8" t="s">
        <v>2312</v>
      </c>
      <c r="C1053" s="152" t="s">
        <v>102</v>
      </c>
      <c r="D1053" s="2" t="s">
        <v>201</v>
      </c>
      <c r="E1053" s="152" t="s">
        <v>102</v>
      </c>
      <c r="F1053" s="152" t="s">
        <v>103</v>
      </c>
      <c r="G1053" s="152">
        <v>0</v>
      </c>
      <c r="H1053" s="152"/>
      <c r="I1053" s="153">
        <v>46.812756410256412</v>
      </c>
      <c r="J1053" s="145"/>
      <c r="K1053" s="153">
        <v>-9.4224999999999994</v>
      </c>
      <c r="L1053" s="153">
        <v>-17.03874888506915</v>
      </c>
      <c r="M1053" s="153"/>
      <c r="N1053" s="2" t="s">
        <v>57</v>
      </c>
      <c r="O1053" s="2"/>
      <c r="P1053" s="2"/>
    </row>
    <row r="1054" spans="1:16" ht="16.5" customHeight="1" x14ac:dyDescent="0.25">
      <c r="A1054" s="2" t="s">
        <v>2313</v>
      </c>
      <c r="B1054" s="8" t="s">
        <v>2313</v>
      </c>
      <c r="C1054" s="152" t="s">
        <v>102</v>
      </c>
      <c r="D1054" s="2" t="s">
        <v>232</v>
      </c>
      <c r="E1054" s="152" t="s">
        <v>102</v>
      </c>
      <c r="F1054" s="152" t="s">
        <v>103</v>
      </c>
      <c r="G1054" s="152">
        <v>0</v>
      </c>
      <c r="H1054" s="152"/>
      <c r="I1054" s="153">
        <v>17.700833333333339</v>
      </c>
      <c r="J1054" s="145"/>
      <c r="K1054" s="153" t="s">
        <v>86</v>
      </c>
      <c r="L1054" s="153" t="s">
        <v>86</v>
      </c>
      <c r="M1054" s="153"/>
      <c r="N1054" s="2" t="s">
        <v>57</v>
      </c>
      <c r="O1054" s="2"/>
      <c r="P1054" s="2"/>
    </row>
    <row r="1055" spans="1:16" ht="16.5" customHeight="1" x14ac:dyDescent="0.25">
      <c r="A1055" s="2" t="s">
        <v>2314</v>
      </c>
      <c r="B1055" s="8" t="s">
        <v>2314</v>
      </c>
      <c r="C1055" s="152" t="s">
        <v>102</v>
      </c>
      <c r="D1055" s="2" t="s">
        <v>54</v>
      </c>
      <c r="E1055" s="152" t="s">
        <v>102</v>
      </c>
      <c r="F1055" s="152" t="s">
        <v>103</v>
      </c>
      <c r="G1055" s="152">
        <v>0</v>
      </c>
      <c r="H1055" s="152"/>
      <c r="I1055" s="153">
        <v>8.0314102564102576</v>
      </c>
      <c r="J1055" s="145"/>
      <c r="K1055" s="153">
        <v>-2.8688888888888888</v>
      </c>
      <c r="L1055" s="153" t="s">
        <v>86</v>
      </c>
      <c r="M1055" s="153"/>
      <c r="N1055" s="2" t="s">
        <v>57</v>
      </c>
      <c r="O1055" s="2"/>
      <c r="P1055" s="2"/>
    </row>
    <row r="1056" spans="1:16" ht="16.5" customHeight="1" x14ac:dyDescent="0.25">
      <c r="A1056" s="2" t="s">
        <v>2315</v>
      </c>
      <c r="B1056" s="8" t="s">
        <v>2315</v>
      </c>
      <c r="C1056" s="152" t="s">
        <v>102</v>
      </c>
      <c r="D1056" s="2" t="s">
        <v>54</v>
      </c>
      <c r="E1056" s="152" t="s">
        <v>102</v>
      </c>
      <c r="F1056" s="152" t="s">
        <v>103</v>
      </c>
      <c r="G1056" s="152">
        <v>0</v>
      </c>
      <c r="H1056" s="152"/>
      <c r="I1056" s="153">
        <v>16.79121794871795</v>
      </c>
      <c r="J1056" s="145"/>
      <c r="K1056" s="153" t="s">
        <v>86</v>
      </c>
      <c r="L1056" s="153" t="s">
        <v>86</v>
      </c>
      <c r="M1056" s="153"/>
      <c r="N1056" s="2" t="s">
        <v>57</v>
      </c>
      <c r="O1056" s="2"/>
      <c r="P1056" s="2"/>
    </row>
    <row r="1057" spans="1:16" ht="16.5" customHeight="1" x14ac:dyDescent="0.25">
      <c r="A1057" s="2" t="s">
        <v>2316</v>
      </c>
      <c r="B1057" s="8" t="s">
        <v>2316</v>
      </c>
      <c r="C1057" s="152" t="s">
        <v>102</v>
      </c>
      <c r="D1057" s="2" t="s">
        <v>54</v>
      </c>
      <c r="E1057" s="152" t="s">
        <v>102</v>
      </c>
      <c r="F1057" s="152" t="s">
        <v>103</v>
      </c>
      <c r="G1057" s="152">
        <v>0</v>
      </c>
      <c r="H1057" s="152"/>
      <c r="I1057" s="153">
        <v>31.33519230769231</v>
      </c>
      <c r="J1057" s="145"/>
      <c r="K1057" s="153" t="s">
        <v>86</v>
      </c>
      <c r="L1057" s="153">
        <v>-13.17800826648921</v>
      </c>
      <c r="M1057" s="153"/>
      <c r="N1057" s="2" t="s">
        <v>57</v>
      </c>
      <c r="O1057" s="2"/>
      <c r="P1057" s="10"/>
    </row>
    <row r="1058" spans="1:16" ht="16.5" customHeight="1" x14ac:dyDescent="0.25">
      <c r="A1058" s="2" t="s">
        <v>2317</v>
      </c>
      <c r="B1058" s="8" t="s">
        <v>2317</v>
      </c>
      <c r="C1058" s="152" t="s">
        <v>102</v>
      </c>
      <c r="D1058" s="2" t="s">
        <v>148</v>
      </c>
      <c r="E1058" s="152" t="s">
        <v>102</v>
      </c>
      <c r="F1058" s="152" t="s">
        <v>103</v>
      </c>
      <c r="G1058" s="152">
        <v>0</v>
      </c>
      <c r="H1058" s="152"/>
      <c r="I1058" s="153">
        <v>3.557724358974359</v>
      </c>
      <c r="J1058" s="145"/>
      <c r="K1058" s="153" t="s">
        <v>86</v>
      </c>
      <c r="L1058" s="153" t="s">
        <v>86</v>
      </c>
      <c r="M1058" s="153"/>
      <c r="N1058" s="2" t="s">
        <v>57</v>
      </c>
      <c r="O1058" s="2"/>
      <c r="P1058" s="2"/>
    </row>
    <row r="1059" spans="1:16" ht="16.5" customHeight="1" x14ac:dyDescent="0.25">
      <c r="A1059" s="2" t="s">
        <v>2318</v>
      </c>
      <c r="B1059" s="8" t="s">
        <v>2318</v>
      </c>
      <c r="C1059" s="152" t="s">
        <v>102</v>
      </c>
      <c r="D1059" s="2" t="s">
        <v>148</v>
      </c>
      <c r="E1059" s="152" t="s">
        <v>102</v>
      </c>
      <c r="F1059" s="152" t="s">
        <v>103</v>
      </c>
      <c r="G1059" s="152">
        <v>0</v>
      </c>
      <c r="H1059" s="152"/>
      <c r="I1059" s="153">
        <v>2.9280448717948722</v>
      </c>
      <c r="J1059" s="145"/>
      <c r="K1059" s="153" t="s">
        <v>86</v>
      </c>
      <c r="L1059" s="153" t="s">
        <v>86</v>
      </c>
      <c r="M1059" s="153"/>
      <c r="N1059" s="2" t="s">
        <v>57</v>
      </c>
      <c r="O1059" s="2"/>
      <c r="P1059" s="2"/>
    </row>
    <row r="1060" spans="1:16" ht="16.5" customHeight="1" x14ac:dyDescent="0.25">
      <c r="A1060" s="2" t="s">
        <v>2319</v>
      </c>
      <c r="B1060" s="8" t="s">
        <v>2319</v>
      </c>
      <c r="C1060" s="152" t="s">
        <v>102</v>
      </c>
      <c r="D1060" s="2" t="s">
        <v>148</v>
      </c>
      <c r="E1060" s="152" t="s">
        <v>102</v>
      </c>
      <c r="F1060" s="152" t="s">
        <v>103</v>
      </c>
      <c r="G1060" s="152">
        <v>0</v>
      </c>
      <c r="H1060" s="152"/>
      <c r="I1060" s="153">
        <v>5.5990705128205134</v>
      </c>
      <c r="J1060" s="145"/>
      <c r="K1060" s="153" t="s">
        <v>86</v>
      </c>
      <c r="L1060" s="153" t="s">
        <v>86</v>
      </c>
      <c r="M1060" s="153"/>
      <c r="N1060" s="2" t="s">
        <v>57</v>
      </c>
      <c r="O1060" s="2"/>
      <c r="P1060" s="2"/>
    </row>
    <row r="1061" spans="1:16" ht="16.5" customHeight="1" x14ac:dyDescent="0.25">
      <c r="A1061" s="2" t="s">
        <v>2320</v>
      </c>
      <c r="B1061" s="8" t="s">
        <v>2320</v>
      </c>
      <c r="C1061" s="152" t="s">
        <v>102</v>
      </c>
      <c r="D1061" s="2" t="s">
        <v>148</v>
      </c>
      <c r="E1061" s="152" t="s">
        <v>102</v>
      </c>
      <c r="F1061" s="152" t="s">
        <v>103</v>
      </c>
      <c r="G1061" s="152">
        <v>0</v>
      </c>
      <c r="H1061" s="152"/>
      <c r="I1061" s="153">
        <v>13.61955128205128</v>
      </c>
      <c r="J1061" s="145"/>
      <c r="K1061" s="153" t="s">
        <v>86</v>
      </c>
      <c r="L1061" s="153" t="s">
        <v>86</v>
      </c>
      <c r="M1061" s="153"/>
      <c r="N1061" s="2" t="s">
        <v>57</v>
      </c>
      <c r="O1061" s="2"/>
      <c r="P1061" s="2"/>
    </row>
    <row r="1062" spans="1:16" ht="16.5" customHeight="1" x14ac:dyDescent="0.25">
      <c r="A1062" s="2" t="s">
        <v>2321</v>
      </c>
      <c r="B1062" s="8" t="s">
        <v>2321</v>
      </c>
      <c r="C1062" s="152" t="s">
        <v>102</v>
      </c>
      <c r="D1062" s="2" t="s">
        <v>148</v>
      </c>
      <c r="E1062" s="152" t="s">
        <v>102</v>
      </c>
      <c r="F1062" s="152" t="s">
        <v>103</v>
      </c>
      <c r="G1062" s="152">
        <v>0</v>
      </c>
      <c r="H1062" s="152"/>
      <c r="I1062" s="153">
        <v>13.600512820512821</v>
      </c>
      <c r="J1062" s="145"/>
      <c r="K1062" s="153" t="s">
        <v>86</v>
      </c>
      <c r="L1062" s="153" t="s">
        <v>86</v>
      </c>
      <c r="M1062" s="153"/>
      <c r="N1062" s="2" t="s">
        <v>57</v>
      </c>
      <c r="O1062" s="2"/>
      <c r="P1062" s="2"/>
    </row>
    <row r="1063" spans="1:16" ht="16.5" customHeight="1" x14ac:dyDescent="0.25">
      <c r="A1063" s="2" t="s">
        <v>2322</v>
      </c>
      <c r="B1063" s="8" t="s">
        <v>2322</v>
      </c>
      <c r="C1063" s="152" t="s">
        <v>102</v>
      </c>
      <c r="D1063" s="2" t="s">
        <v>148</v>
      </c>
      <c r="E1063" s="152" t="s">
        <v>102</v>
      </c>
      <c r="F1063" s="152" t="s">
        <v>103</v>
      </c>
      <c r="G1063" s="152">
        <v>0</v>
      </c>
      <c r="H1063" s="152"/>
      <c r="I1063" s="153">
        <v>5.5796794871794866</v>
      </c>
      <c r="J1063" s="145"/>
      <c r="K1063" s="153" t="s">
        <v>86</v>
      </c>
      <c r="L1063" s="153" t="s">
        <v>86</v>
      </c>
      <c r="M1063" s="153"/>
      <c r="N1063" s="2" t="s">
        <v>57</v>
      </c>
      <c r="O1063" s="2"/>
      <c r="P1063" s="2"/>
    </row>
    <row r="1064" spans="1:16" ht="16.5" customHeight="1" x14ac:dyDescent="0.25">
      <c r="A1064" s="2" t="s">
        <v>2323</v>
      </c>
      <c r="B1064" s="8" t="s">
        <v>2323</v>
      </c>
      <c r="C1064" s="152" t="s">
        <v>102</v>
      </c>
      <c r="D1064" s="2" t="s">
        <v>148</v>
      </c>
      <c r="E1064" s="152" t="s">
        <v>102</v>
      </c>
      <c r="F1064" s="152" t="s">
        <v>103</v>
      </c>
      <c r="G1064" s="152">
        <v>0</v>
      </c>
      <c r="H1064" s="152"/>
      <c r="I1064" s="153">
        <v>12.12714743589744</v>
      </c>
      <c r="J1064" s="145"/>
      <c r="K1064" s="153" t="s">
        <v>86</v>
      </c>
      <c r="L1064" s="153" t="s">
        <v>86</v>
      </c>
      <c r="M1064" s="153"/>
      <c r="N1064" s="2" t="s">
        <v>57</v>
      </c>
      <c r="O1064" s="2"/>
      <c r="P1064" s="2"/>
    </row>
    <row r="1065" spans="1:16" ht="16.5" customHeight="1" x14ac:dyDescent="0.25">
      <c r="A1065" s="2" t="s">
        <v>2324</v>
      </c>
      <c r="B1065" s="8" t="s">
        <v>2324</v>
      </c>
      <c r="C1065" s="152" t="s">
        <v>102</v>
      </c>
      <c r="D1065" s="2" t="s">
        <v>278</v>
      </c>
      <c r="E1065" s="152" t="s">
        <v>102</v>
      </c>
      <c r="F1065" s="152" t="s">
        <v>103</v>
      </c>
      <c r="G1065" s="152">
        <v>0</v>
      </c>
      <c r="H1065" s="152"/>
      <c r="I1065" s="153">
        <v>80.333000000000013</v>
      </c>
      <c r="J1065" s="145"/>
      <c r="K1065" s="153" t="s">
        <v>86</v>
      </c>
      <c r="L1065" s="153">
        <v>-32.995082522695512</v>
      </c>
      <c r="M1065" s="153"/>
      <c r="N1065" s="2" t="s">
        <v>57</v>
      </c>
      <c r="O1065" s="2"/>
      <c r="P1065" s="2"/>
    </row>
    <row r="1066" spans="1:16" ht="16.5" customHeight="1" x14ac:dyDescent="0.25">
      <c r="A1066" s="2" t="s">
        <v>2325</v>
      </c>
      <c r="B1066" s="8" t="s">
        <v>2325</v>
      </c>
      <c r="C1066" s="152" t="s">
        <v>102</v>
      </c>
      <c r="D1066" s="2" t="s">
        <v>148</v>
      </c>
      <c r="E1066" s="152" t="s">
        <v>102</v>
      </c>
      <c r="F1066" s="152" t="s">
        <v>103</v>
      </c>
      <c r="G1066" s="152">
        <v>0</v>
      </c>
      <c r="H1066" s="152"/>
      <c r="I1066" s="153">
        <v>20.797051282051289</v>
      </c>
      <c r="J1066" s="145"/>
      <c r="K1066" s="153" t="s">
        <v>86</v>
      </c>
      <c r="L1066" s="153" t="s">
        <v>86</v>
      </c>
      <c r="M1066" s="153"/>
      <c r="N1066" s="2" t="s">
        <v>57</v>
      </c>
      <c r="O1066" s="2"/>
      <c r="P1066" s="2"/>
    </row>
    <row r="1067" spans="1:16" ht="16.5" customHeight="1" x14ac:dyDescent="0.25">
      <c r="A1067" s="2" t="s">
        <v>2326</v>
      </c>
      <c r="B1067" s="8" t="s">
        <v>2326</v>
      </c>
      <c r="C1067" s="152" t="s">
        <v>102</v>
      </c>
      <c r="D1067" s="2" t="s">
        <v>148</v>
      </c>
      <c r="E1067" s="152" t="s">
        <v>102</v>
      </c>
      <c r="F1067" s="152" t="s">
        <v>103</v>
      </c>
      <c r="G1067" s="152">
        <v>0</v>
      </c>
      <c r="H1067" s="152"/>
      <c r="I1067" s="153">
        <v>14.628625</v>
      </c>
      <c r="J1067" s="145"/>
      <c r="K1067" s="153" t="s">
        <v>86</v>
      </c>
      <c r="L1067" s="153" t="s">
        <v>86</v>
      </c>
      <c r="M1067" s="153"/>
      <c r="N1067" s="2" t="s">
        <v>57</v>
      </c>
      <c r="O1067" s="2"/>
      <c r="P1067" s="2"/>
    </row>
    <row r="1068" spans="1:16" ht="16.5" customHeight="1" x14ac:dyDescent="0.25">
      <c r="A1068" s="2" t="s">
        <v>2327</v>
      </c>
      <c r="B1068" s="8" t="s">
        <v>2327</v>
      </c>
      <c r="C1068" s="152" t="s">
        <v>102</v>
      </c>
      <c r="D1068" s="2" t="s">
        <v>148</v>
      </c>
      <c r="E1068" s="152" t="s">
        <v>102</v>
      </c>
      <c r="F1068" s="152" t="s">
        <v>103</v>
      </c>
      <c r="G1068" s="152">
        <v>0</v>
      </c>
      <c r="H1068" s="152"/>
      <c r="I1068" s="153">
        <v>14.614875</v>
      </c>
      <c r="J1068" s="145"/>
      <c r="K1068" s="153" t="s">
        <v>86</v>
      </c>
      <c r="L1068" s="153" t="s">
        <v>86</v>
      </c>
      <c r="M1068" s="153">
        <v>-0.92249999999999999</v>
      </c>
      <c r="N1068" s="2" t="s">
        <v>57</v>
      </c>
      <c r="O1068" s="2"/>
      <c r="P1068" s="2"/>
    </row>
    <row r="1069" spans="1:16" ht="16.5" customHeight="1" x14ac:dyDescent="0.25">
      <c r="A1069" s="2" t="s">
        <v>2328</v>
      </c>
      <c r="B1069" s="8" t="s">
        <v>2328</v>
      </c>
      <c r="C1069" s="152" t="s">
        <v>102</v>
      </c>
      <c r="D1069" s="2" t="s">
        <v>278</v>
      </c>
      <c r="E1069" s="152" t="s">
        <v>102</v>
      </c>
      <c r="F1069" s="152" t="s">
        <v>103</v>
      </c>
      <c r="G1069" s="152">
        <v>0</v>
      </c>
      <c r="H1069" s="152"/>
      <c r="I1069" s="153">
        <v>3.8380128205128199</v>
      </c>
      <c r="J1069" s="145"/>
      <c r="K1069" s="153" t="s">
        <v>86</v>
      </c>
      <c r="L1069" s="153" t="s">
        <v>86</v>
      </c>
      <c r="M1069" s="153"/>
      <c r="N1069" s="2" t="s">
        <v>57</v>
      </c>
      <c r="O1069" s="2"/>
      <c r="P1069" s="2"/>
    </row>
    <row r="1070" spans="1:16" ht="16.5" customHeight="1" x14ac:dyDescent="0.25">
      <c r="A1070" s="2" t="s">
        <v>2329</v>
      </c>
      <c r="B1070" s="8" t="s">
        <v>2329</v>
      </c>
      <c r="C1070" s="152" t="s">
        <v>102</v>
      </c>
      <c r="D1070" s="2" t="s">
        <v>278</v>
      </c>
      <c r="E1070" s="152" t="s">
        <v>102</v>
      </c>
      <c r="F1070" s="152" t="s">
        <v>103</v>
      </c>
      <c r="G1070" s="152">
        <v>0</v>
      </c>
      <c r="H1070" s="152"/>
      <c r="I1070" s="153">
        <v>14.59333333333333</v>
      </c>
      <c r="J1070" s="145"/>
      <c r="K1070" s="153" t="s">
        <v>86</v>
      </c>
      <c r="L1070" s="153" t="s">
        <v>86</v>
      </c>
      <c r="M1070" s="153"/>
      <c r="N1070" s="2" t="s">
        <v>57</v>
      </c>
      <c r="O1070" s="2"/>
      <c r="P1070" s="2"/>
    </row>
    <row r="1071" spans="1:16" ht="16.5" customHeight="1" x14ac:dyDescent="0.25">
      <c r="A1071" s="2" t="s">
        <v>2330</v>
      </c>
      <c r="B1071" s="8" t="s">
        <v>2330</v>
      </c>
      <c r="C1071" s="152" t="s">
        <v>102</v>
      </c>
      <c r="D1071" s="2" t="s">
        <v>163</v>
      </c>
      <c r="E1071" s="152" t="s">
        <v>102</v>
      </c>
      <c r="F1071" s="152" t="s">
        <v>103</v>
      </c>
      <c r="G1071" s="152">
        <v>0</v>
      </c>
      <c r="H1071" s="152"/>
      <c r="I1071" s="153">
        <v>175.505</v>
      </c>
      <c r="J1071" s="145"/>
      <c r="K1071" s="153" t="s">
        <v>86</v>
      </c>
      <c r="L1071" s="153" t="s">
        <v>86</v>
      </c>
      <c r="M1071" s="153"/>
      <c r="N1071" s="2" t="s">
        <v>57</v>
      </c>
      <c r="O1071" s="2"/>
      <c r="P1071" s="2"/>
    </row>
    <row r="1072" spans="1:16" ht="16.5" customHeight="1" x14ac:dyDescent="0.25">
      <c r="A1072" s="2" t="s">
        <v>2331</v>
      </c>
      <c r="B1072" s="8" t="s">
        <v>2331</v>
      </c>
      <c r="C1072" s="152" t="s">
        <v>102</v>
      </c>
      <c r="D1072" s="2" t="s">
        <v>1673</v>
      </c>
      <c r="E1072" s="152" t="s">
        <v>102</v>
      </c>
      <c r="F1072" s="152" t="s">
        <v>103</v>
      </c>
      <c r="G1072" s="152">
        <v>0</v>
      </c>
      <c r="H1072" s="152"/>
      <c r="I1072" s="153">
        <v>7.0837179487179496</v>
      </c>
      <c r="J1072" s="145"/>
      <c r="K1072" s="153" t="s">
        <v>86</v>
      </c>
      <c r="L1072" s="153" t="s">
        <v>86</v>
      </c>
      <c r="M1072" s="153"/>
      <c r="N1072" s="2" t="s">
        <v>57</v>
      </c>
      <c r="O1072" s="2"/>
      <c r="P1072" s="10"/>
    </row>
    <row r="1073" spans="1:16" ht="16.5" customHeight="1" x14ac:dyDescent="0.25">
      <c r="A1073" s="2" t="s">
        <v>2332</v>
      </c>
      <c r="B1073" s="8" t="s">
        <v>2332</v>
      </c>
      <c r="C1073" s="152" t="s">
        <v>102</v>
      </c>
      <c r="D1073" s="2" t="s">
        <v>282</v>
      </c>
      <c r="E1073" s="152" t="s">
        <v>102</v>
      </c>
      <c r="F1073" s="152" t="s">
        <v>103</v>
      </c>
      <c r="G1073" s="152">
        <v>0</v>
      </c>
      <c r="H1073" s="152"/>
      <c r="I1073" s="153">
        <v>46.103505292307702</v>
      </c>
      <c r="J1073" s="145"/>
      <c r="K1073" s="153" t="s">
        <v>86</v>
      </c>
      <c r="L1073" s="153" t="s">
        <v>86</v>
      </c>
      <c r="M1073" s="153"/>
      <c r="N1073" s="2" t="s">
        <v>57</v>
      </c>
      <c r="O1073" s="2"/>
      <c r="P1073" s="2"/>
    </row>
    <row r="1074" spans="1:16" ht="16.5" customHeight="1" x14ac:dyDescent="0.25">
      <c r="A1074" s="2" t="s">
        <v>2333</v>
      </c>
      <c r="B1074" s="8" t="s">
        <v>2333</v>
      </c>
      <c r="C1074" s="152" t="s">
        <v>102</v>
      </c>
      <c r="D1074" s="2" t="s">
        <v>148</v>
      </c>
      <c r="E1074" s="152" t="s">
        <v>102</v>
      </c>
      <c r="F1074" s="152" t="s">
        <v>103</v>
      </c>
      <c r="G1074" s="152">
        <v>0</v>
      </c>
      <c r="H1074" s="152"/>
      <c r="I1074" s="153">
        <v>9.1885256410256417</v>
      </c>
      <c r="J1074" s="145"/>
      <c r="K1074" s="153" t="s">
        <v>86</v>
      </c>
      <c r="L1074" s="153" t="s">
        <v>86</v>
      </c>
      <c r="M1074" s="153"/>
      <c r="N1074" s="2" t="s">
        <v>57</v>
      </c>
      <c r="O1074" s="2"/>
      <c r="P1074" s="2"/>
    </row>
    <row r="1075" spans="1:16" ht="16.5" customHeight="1" x14ac:dyDescent="0.25">
      <c r="A1075" s="2" t="s">
        <v>2334</v>
      </c>
      <c r="B1075" s="8" t="s">
        <v>2334</v>
      </c>
      <c r="C1075" s="152" t="s">
        <v>102</v>
      </c>
      <c r="D1075" s="2" t="s">
        <v>148</v>
      </c>
      <c r="E1075" s="152" t="s">
        <v>102</v>
      </c>
      <c r="F1075" s="152" t="s">
        <v>103</v>
      </c>
      <c r="G1075" s="152">
        <v>0</v>
      </c>
      <c r="H1075" s="152"/>
      <c r="I1075" s="153">
        <v>10.5786858974359</v>
      </c>
      <c r="J1075" s="145"/>
      <c r="K1075" s="153" t="s">
        <v>86</v>
      </c>
      <c r="L1075" s="153" t="s">
        <v>86</v>
      </c>
      <c r="M1075" s="153">
        <v>-0.89687500000000009</v>
      </c>
      <c r="N1075" s="2" t="s">
        <v>57</v>
      </c>
      <c r="O1075" s="2"/>
      <c r="P1075" s="2"/>
    </row>
    <row r="1076" spans="1:16" ht="16.5" customHeight="1" x14ac:dyDescent="0.25">
      <c r="A1076" s="2" t="s">
        <v>2335</v>
      </c>
      <c r="B1076" s="8" t="s">
        <v>2335</v>
      </c>
      <c r="C1076" s="152" t="s">
        <v>102</v>
      </c>
      <c r="D1076" s="2" t="s">
        <v>148</v>
      </c>
      <c r="E1076" s="152" t="s">
        <v>102</v>
      </c>
      <c r="F1076" s="152" t="s">
        <v>103</v>
      </c>
      <c r="G1076" s="152">
        <v>0</v>
      </c>
      <c r="H1076" s="152"/>
      <c r="I1076" s="153">
        <v>18.162692307692311</v>
      </c>
      <c r="J1076" s="145"/>
      <c r="K1076" s="153" t="s">
        <v>86</v>
      </c>
      <c r="L1076" s="153" t="s">
        <v>86</v>
      </c>
      <c r="M1076" s="153"/>
      <c r="N1076" s="2" t="s">
        <v>57</v>
      </c>
      <c r="O1076" s="2"/>
      <c r="P1076" s="2"/>
    </row>
    <row r="1077" spans="1:16" ht="16.5" customHeight="1" x14ac:dyDescent="0.25">
      <c r="A1077" s="2" t="s">
        <v>2336</v>
      </c>
      <c r="B1077" s="8" t="s">
        <v>2336</v>
      </c>
      <c r="C1077" s="152" t="s">
        <v>102</v>
      </c>
      <c r="D1077" s="2" t="s">
        <v>132</v>
      </c>
      <c r="E1077" s="152" t="s">
        <v>102</v>
      </c>
      <c r="F1077" s="152" t="s">
        <v>103</v>
      </c>
      <c r="G1077" s="152">
        <v>0</v>
      </c>
      <c r="H1077" s="152"/>
      <c r="I1077" s="153">
        <v>13.361474358974361</v>
      </c>
      <c r="J1077" s="145"/>
      <c r="K1077" s="153" t="s">
        <v>86</v>
      </c>
      <c r="L1077" s="153" t="s">
        <v>86</v>
      </c>
      <c r="M1077" s="153"/>
      <c r="N1077" s="2" t="s">
        <v>57</v>
      </c>
      <c r="O1077" s="2"/>
      <c r="P1077" s="2"/>
    </row>
    <row r="1078" spans="1:16" ht="16.5" customHeight="1" x14ac:dyDescent="0.25">
      <c r="A1078" s="2" t="s">
        <v>2337</v>
      </c>
      <c r="B1078" s="8" t="s">
        <v>2337</v>
      </c>
      <c r="C1078" s="152" t="s">
        <v>102</v>
      </c>
      <c r="D1078" s="2" t="s">
        <v>148</v>
      </c>
      <c r="E1078" s="152" t="s">
        <v>102</v>
      </c>
      <c r="F1078" s="152" t="s">
        <v>103</v>
      </c>
      <c r="G1078" s="152">
        <v>0</v>
      </c>
      <c r="H1078" s="152"/>
      <c r="I1078" s="153">
        <v>51.340737179487178</v>
      </c>
      <c r="J1078" s="145"/>
      <c r="K1078" s="153" t="s">
        <v>86</v>
      </c>
      <c r="L1078" s="153" t="s">
        <v>86</v>
      </c>
      <c r="M1078" s="153"/>
      <c r="N1078" s="2" t="s">
        <v>57</v>
      </c>
      <c r="O1078" s="2"/>
      <c r="P1078" s="2"/>
    </row>
    <row r="1079" spans="1:16" ht="16.5" customHeight="1" x14ac:dyDescent="0.25">
      <c r="A1079" s="2" t="s">
        <v>2338</v>
      </c>
      <c r="B1079" s="8" t="s">
        <v>2338</v>
      </c>
      <c r="C1079" s="152" t="s">
        <v>102</v>
      </c>
      <c r="D1079" s="2" t="s">
        <v>148</v>
      </c>
      <c r="E1079" s="152" t="s">
        <v>102</v>
      </c>
      <c r="F1079" s="152" t="s">
        <v>103</v>
      </c>
      <c r="G1079" s="152">
        <v>0</v>
      </c>
      <c r="H1079" s="152"/>
      <c r="I1079" s="153">
        <v>30.254583333333329</v>
      </c>
      <c r="J1079" s="145"/>
      <c r="K1079" s="153" t="s">
        <v>86</v>
      </c>
      <c r="L1079" s="153" t="s">
        <v>86</v>
      </c>
      <c r="M1079" s="153"/>
      <c r="N1079" s="2" t="s">
        <v>57</v>
      </c>
      <c r="O1079" s="2"/>
      <c r="P1079" s="2"/>
    </row>
    <row r="1080" spans="1:16" ht="16.5" customHeight="1" x14ac:dyDescent="0.25">
      <c r="A1080" s="2" t="s">
        <v>2339</v>
      </c>
      <c r="B1080" s="8" t="s">
        <v>2339</v>
      </c>
      <c r="C1080" s="152" t="s">
        <v>102</v>
      </c>
      <c r="D1080" s="2" t="s">
        <v>2340</v>
      </c>
      <c r="E1080" s="152" t="s">
        <v>102</v>
      </c>
      <c r="F1080" s="152" t="s">
        <v>103</v>
      </c>
      <c r="G1080" s="152">
        <v>0</v>
      </c>
      <c r="H1080" s="152"/>
      <c r="I1080" s="153">
        <v>4.9255990384615389</v>
      </c>
      <c r="J1080" s="145"/>
      <c r="K1080" s="153" t="s">
        <v>86</v>
      </c>
      <c r="L1080" s="153" t="s">
        <v>86</v>
      </c>
      <c r="M1080" s="153"/>
      <c r="N1080" s="2" t="s">
        <v>57</v>
      </c>
      <c r="O1080" s="2"/>
      <c r="P1080" s="2"/>
    </row>
    <row r="1081" spans="1:16" ht="16.5" customHeight="1" x14ac:dyDescent="0.25">
      <c r="A1081" s="2" t="s">
        <v>2341</v>
      </c>
      <c r="B1081" s="8" t="s">
        <v>2341</v>
      </c>
      <c r="C1081" s="152" t="s">
        <v>102</v>
      </c>
      <c r="D1081" s="2" t="s">
        <v>2340</v>
      </c>
      <c r="E1081" s="152" t="s">
        <v>102</v>
      </c>
      <c r="F1081" s="152" t="s">
        <v>103</v>
      </c>
      <c r="G1081" s="152">
        <v>0</v>
      </c>
      <c r="H1081" s="152"/>
      <c r="I1081" s="153">
        <v>61.227304487179502</v>
      </c>
      <c r="J1081" s="145"/>
      <c r="K1081" s="153" t="s">
        <v>86</v>
      </c>
      <c r="L1081" s="153" t="s">
        <v>86</v>
      </c>
      <c r="M1081" s="153"/>
      <c r="N1081" s="2" t="s">
        <v>57</v>
      </c>
      <c r="O1081" s="2"/>
      <c r="P1081" s="2"/>
    </row>
    <row r="1082" spans="1:16" ht="16.5" customHeight="1" x14ac:dyDescent="0.25">
      <c r="A1082" s="2" t="s">
        <v>2342</v>
      </c>
      <c r="B1082" s="8" t="s">
        <v>2342</v>
      </c>
      <c r="C1082" s="152" t="s">
        <v>102</v>
      </c>
      <c r="D1082" s="2" t="s">
        <v>278</v>
      </c>
      <c r="E1082" s="152" t="s">
        <v>102</v>
      </c>
      <c r="F1082" s="152" t="s">
        <v>103</v>
      </c>
      <c r="G1082" s="152">
        <v>0</v>
      </c>
      <c r="H1082" s="152"/>
      <c r="I1082" s="153">
        <v>42.113076923076918</v>
      </c>
      <c r="J1082" s="145"/>
      <c r="K1082" s="153" t="s">
        <v>86</v>
      </c>
      <c r="L1082" s="153" t="s">
        <v>86</v>
      </c>
      <c r="M1082" s="153"/>
      <c r="N1082" s="2" t="s">
        <v>57</v>
      </c>
      <c r="O1082" s="2"/>
      <c r="P1082" s="2"/>
    </row>
    <row r="1083" spans="1:16" ht="16.5" customHeight="1" x14ac:dyDescent="0.25">
      <c r="A1083" s="2" t="s">
        <v>2343</v>
      </c>
      <c r="B1083" s="8" t="s">
        <v>2343</v>
      </c>
      <c r="C1083" s="152" t="s">
        <v>102</v>
      </c>
      <c r="D1083" s="2" t="s">
        <v>278</v>
      </c>
      <c r="E1083" s="152" t="s">
        <v>102</v>
      </c>
      <c r="F1083" s="152" t="s">
        <v>103</v>
      </c>
      <c r="G1083" s="152">
        <v>0</v>
      </c>
      <c r="H1083" s="152"/>
      <c r="I1083" s="153">
        <v>14.41387820512821</v>
      </c>
      <c r="J1083" s="145"/>
      <c r="K1083" s="153" t="s">
        <v>86</v>
      </c>
      <c r="L1083" s="153" t="s">
        <v>86</v>
      </c>
      <c r="M1083" s="153"/>
      <c r="N1083" s="2" t="s">
        <v>57</v>
      </c>
      <c r="O1083" s="2"/>
      <c r="P1083" s="2"/>
    </row>
    <row r="1084" spans="1:16" ht="16.5" customHeight="1" x14ac:dyDescent="0.25">
      <c r="A1084" s="2" t="s">
        <v>2344</v>
      </c>
      <c r="B1084" s="8" t="s">
        <v>2344</v>
      </c>
      <c r="C1084" s="152" t="s">
        <v>102</v>
      </c>
      <c r="D1084" s="2" t="s">
        <v>278</v>
      </c>
      <c r="E1084" s="152" t="s">
        <v>102</v>
      </c>
      <c r="F1084" s="152" t="s">
        <v>103</v>
      </c>
      <c r="G1084" s="152">
        <v>0</v>
      </c>
      <c r="H1084" s="152"/>
      <c r="I1084" s="153">
        <v>48.639038461538462</v>
      </c>
      <c r="J1084" s="145"/>
      <c r="K1084" s="153" t="s">
        <v>86</v>
      </c>
      <c r="L1084" s="153" t="s">
        <v>86</v>
      </c>
      <c r="M1084" s="153"/>
      <c r="N1084" s="2" t="s">
        <v>57</v>
      </c>
      <c r="O1084" s="2"/>
      <c r="P1084" s="2"/>
    </row>
    <row r="1085" spans="1:16" ht="16.5" customHeight="1" x14ac:dyDescent="0.25">
      <c r="A1085" s="2" t="s">
        <v>2345</v>
      </c>
      <c r="B1085" s="8" t="s">
        <v>2345</v>
      </c>
      <c r="C1085" s="152" t="s">
        <v>102</v>
      </c>
      <c r="D1085" s="2" t="s">
        <v>278</v>
      </c>
      <c r="E1085" s="152" t="s">
        <v>102</v>
      </c>
      <c r="F1085" s="152" t="s">
        <v>103</v>
      </c>
      <c r="G1085" s="152">
        <v>0</v>
      </c>
      <c r="H1085" s="152"/>
      <c r="I1085" s="153">
        <v>59.112307692307702</v>
      </c>
      <c r="J1085" s="145"/>
      <c r="K1085" s="153" t="s">
        <v>86</v>
      </c>
      <c r="L1085" s="153" t="s">
        <v>86</v>
      </c>
      <c r="M1085" s="153"/>
      <c r="N1085" s="2" t="s">
        <v>57</v>
      </c>
      <c r="O1085" s="2"/>
      <c r="P1085" s="2"/>
    </row>
    <row r="1086" spans="1:16" ht="16.5" customHeight="1" x14ac:dyDescent="0.25">
      <c r="A1086" s="2" t="s">
        <v>2346</v>
      </c>
      <c r="B1086" s="8" t="s">
        <v>2346</v>
      </c>
      <c r="C1086" s="152" t="s">
        <v>102</v>
      </c>
      <c r="D1086" s="2" t="s">
        <v>278</v>
      </c>
      <c r="E1086" s="152" t="s">
        <v>102</v>
      </c>
      <c r="F1086" s="152" t="s">
        <v>103</v>
      </c>
      <c r="G1086" s="152">
        <v>0</v>
      </c>
      <c r="H1086" s="152"/>
      <c r="I1086" s="153">
        <v>17.39833333333333</v>
      </c>
      <c r="J1086" s="145"/>
      <c r="K1086" s="153" t="s">
        <v>86</v>
      </c>
      <c r="L1086" s="153">
        <v>-8.3763462110973723</v>
      </c>
      <c r="M1086" s="153"/>
      <c r="N1086" s="2" t="s">
        <v>57</v>
      </c>
      <c r="O1086" s="2"/>
      <c r="P1086" s="10"/>
    </row>
    <row r="1087" spans="1:16" ht="16.5" customHeight="1" x14ac:dyDescent="0.25">
      <c r="A1087" s="2" t="s">
        <v>2347</v>
      </c>
      <c r="B1087" s="8" t="s">
        <v>2347</v>
      </c>
      <c r="C1087" s="152" t="s">
        <v>102</v>
      </c>
      <c r="D1087" s="2" t="s">
        <v>278</v>
      </c>
      <c r="E1087" s="152" t="s">
        <v>102</v>
      </c>
      <c r="F1087" s="152" t="s">
        <v>103</v>
      </c>
      <c r="G1087" s="152">
        <v>0</v>
      </c>
      <c r="H1087" s="152"/>
      <c r="I1087" s="153">
        <v>34.178974358974372</v>
      </c>
      <c r="J1087" s="145"/>
      <c r="K1087" s="153" t="s">
        <v>86</v>
      </c>
      <c r="L1087" s="153">
        <v>-12.871519199123769</v>
      </c>
      <c r="M1087" s="153"/>
      <c r="N1087" s="2" t="s">
        <v>57</v>
      </c>
      <c r="O1087" s="2"/>
      <c r="P1087" s="2"/>
    </row>
    <row r="1088" spans="1:16" ht="16.5" customHeight="1" x14ac:dyDescent="0.25">
      <c r="A1088" s="2" t="s">
        <v>2348</v>
      </c>
      <c r="B1088" s="8" t="s">
        <v>2348</v>
      </c>
      <c r="C1088" s="152" t="s">
        <v>102</v>
      </c>
      <c r="D1088" s="2" t="s">
        <v>278</v>
      </c>
      <c r="E1088" s="152" t="s">
        <v>102</v>
      </c>
      <c r="F1088" s="152" t="s">
        <v>103</v>
      </c>
      <c r="G1088" s="152">
        <v>0</v>
      </c>
      <c r="H1088" s="152"/>
      <c r="I1088" s="153">
        <v>111.6619871794872</v>
      </c>
      <c r="J1088" s="145"/>
      <c r="K1088" s="153" t="s">
        <v>86</v>
      </c>
      <c r="L1088" s="153">
        <v>-23.598636556914041</v>
      </c>
      <c r="M1088" s="153"/>
      <c r="N1088" s="2" t="s">
        <v>57</v>
      </c>
      <c r="O1088" s="2"/>
      <c r="P1088" s="2"/>
    </row>
    <row r="1089" spans="1:16" ht="16.5" customHeight="1" x14ac:dyDescent="0.25">
      <c r="A1089" s="2" t="s">
        <v>2349</v>
      </c>
      <c r="B1089" s="8" t="s">
        <v>2349</v>
      </c>
      <c r="C1089" s="152" t="s">
        <v>102</v>
      </c>
      <c r="D1089" s="2" t="s">
        <v>278</v>
      </c>
      <c r="E1089" s="152" t="s">
        <v>102</v>
      </c>
      <c r="F1089" s="152" t="s">
        <v>103</v>
      </c>
      <c r="G1089" s="152">
        <v>0</v>
      </c>
      <c r="H1089" s="152"/>
      <c r="I1089" s="153">
        <v>118.9438461538462</v>
      </c>
      <c r="J1089" s="145"/>
      <c r="K1089" s="153" t="s">
        <v>86</v>
      </c>
      <c r="L1089" s="153">
        <v>-28.911113724581611</v>
      </c>
      <c r="M1089" s="153"/>
      <c r="N1089" s="2" t="s">
        <v>57</v>
      </c>
      <c r="O1089" s="2"/>
      <c r="P1089" s="2"/>
    </row>
    <row r="1090" spans="1:16" ht="16.5" customHeight="1" x14ac:dyDescent="0.25">
      <c r="A1090" s="2" t="s">
        <v>2350</v>
      </c>
      <c r="B1090" s="8" t="s">
        <v>2350</v>
      </c>
      <c r="C1090" s="152" t="s">
        <v>102</v>
      </c>
      <c r="D1090" s="2" t="s">
        <v>278</v>
      </c>
      <c r="E1090" s="152" t="s">
        <v>102</v>
      </c>
      <c r="F1090" s="152" t="s">
        <v>103</v>
      </c>
      <c r="G1090" s="152">
        <v>0</v>
      </c>
      <c r="H1090" s="152"/>
      <c r="I1090" s="153">
        <v>41.617724358974357</v>
      </c>
      <c r="J1090" s="145"/>
      <c r="K1090" s="153" t="s">
        <v>86</v>
      </c>
      <c r="L1090" s="153" t="s">
        <v>86</v>
      </c>
      <c r="M1090" s="153"/>
      <c r="N1090" s="2" t="s">
        <v>57</v>
      </c>
      <c r="O1090" s="2"/>
      <c r="P1090" s="2"/>
    </row>
    <row r="1091" spans="1:16" ht="16.5" customHeight="1" x14ac:dyDescent="0.25">
      <c r="A1091" s="2" t="s">
        <v>2351</v>
      </c>
      <c r="B1091" s="8" t="s">
        <v>2351</v>
      </c>
      <c r="C1091" s="152" t="s">
        <v>102</v>
      </c>
      <c r="D1091" s="2" t="s">
        <v>278</v>
      </c>
      <c r="E1091" s="152" t="s">
        <v>102</v>
      </c>
      <c r="F1091" s="152" t="s">
        <v>103</v>
      </c>
      <c r="G1091" s="152">
        <v>0</v>
      </c>
      <c r="H1091" s="152"/>
      <c r="I1091" s="153">
        <v>69.175192307692313</v>
      </c>
      <c r="J1091" s="145"/>
      <c r="K1091" s="153" t="s">
        <v>86</v>
      </c>
      <c r="L1091" s="153" t="s">
        <v>86</v>
      </c>
      <c r="M1091" s="153"/>
      <c r="N1091" s="2" t="s">
        <v>57</v>
      </c>
      <c r="O1091" s="2"/>
      <c r="P1091" s="2"/>
    </row>
    <row r="1092" spans="1:16" ht="16.5" customHeight="1" x14ac:dyDescent="0.25">
      <c r="A1092" s="2" t="s">
        <v>2352</v>
      </c>
      <c r="B1092" s="8" t="s">
        <v>2352</v>
      </c>
      <c r="C1092" s="152" t="s">
        <v>102</v>
      </c>
      <c r="D1092" s="2" t="s">
        <v>278</v>
      </c>
      <c r="E1092" s="152" t="s">
        <v>102</v>
      </c>
      <c r="F1092" s="152" t="s">
        <v>103</v>
      </c>
      <c r="G1092" s="152">
        <v>0</v>
      </c>
      <c r="H1092" s="152"/>
      <c r="I1092" s="153">
        <v>86.714551282051303</v>
      </c>
      <c r="J1092" s="145"/>
      <c r="K1092" s="153" t="s">
        <v>86</v>
      </c>
      <c r="L1092" s="153" t="s">
        <v>86</v>
      </c>
      <c r="M1092" s="153"/>
      <c r="N1092" s="2" t="s">
        <v>57</v>
      </c>
      <c r="O1092" s="2"/>
      <c r="P1092" s="2"/>
    </row>
    <row r="1093" spans="1:16" ht="16.5" customHeight="1" x14ac:dyDescent="0.25">
      <c r="A1093" s="2" t="s">
        <v>2353</v>
      </c>
      <c r="B1093" s="8" t="s">
        <v>2353</v>
      </c>
      <c r="C1093" s="152" t="s">
        <v>102</v>
      </c>
      <c r="D1093" s="2" t="s">
        <v>296</v>
      </c>
      <c r="E1093" s="152" t="s">
        <v>102</v>
      </c>
      <c r="F1093" s="152" t="s">
        <v>103</v>
      </c>
      <c r="G1093" s="152">
        <v>0</v>
      </c>
      <c r="H1093" s="152"/>
      <c r="I1093" s="153">
        <v>5.3917628205128221</v>
      </c>
      <c r="J1093" s="145"/>
      <c r="K1093" s="153" t="s">
        <v>86</v>
      </c>
      <c r="L1093" s="153" t="s">
        <v>86</v>
      </c>
      <c r="M1093" s="153"/>
      <c r="N1093" s="2" t="s">
        <v>57</v>
      </c>
      <c r="O1093" s="2"/>
      <c r="P1093" s="2"/>
    </row>
    <row r="1094" spans="1:16" ht="16.5" customHeight="1" x14ac:dyDescent="0.25">
      <c r="A1094" s="2" t="s">
        <v>2354</v>
      </c>
      <c r="B1094" s="8" t="s">
        <v>2354</v>
      </c>
      <c r="C1094" s="152" t="s">
        <v>102</v>
      </c>
      <c r="D1094" s="2" t="s">
        <v>296</v>
      </c>
      <c r="E1094" s="152" t="s">
        <v>102</v>
      </c>
      <c r="F1094" s="152" t="s">
        <v>103</v>
      </c>
      <c r="G1094" s="152">
        <v>0</v>
      </c>
      <c r="H1094" s="152"/>
      <c r="I1094" s="153">
        <v>13.839198717948721</v>
      </c>
      <c r="J1094" s="145"/>
      <c r="K1094" s="153" t="s">
        <v>86</v>
      </c>
      <c r="L1094" s="153" t="s">
        <v>86</v>
      </c>
      <c r="M1094" s="153"/>
      <c r="N1094" s="2" t="s">
        <v>57</v>
      </c>
      <c r="O1094" s="2"/>
      <c r="P1094" s="2"/>
    </row>
    <row r="1095" spans="1:16" ht="16.5" customHeight="1" x14ac:dyDescent="0.25">
      <c r="A1095" s="2" t="s">
        <v>2355</v>
      </c>
      <c r="B1095" s="8" t="s">
        <v>2355</v>
      </c>
      <c r="C1095" s="152" t="s">
        <v>102</v>
      </c>
      <c r="D1095" s="2" t="s">
        <v>296</v>
      </c>
      <c r="E1095" s="152" t="s">
        <v>102</v>
      </c>
      <c r="F1095" s="152" t="s">
        <v>103</v>
      </c>
      <c r="G1095" s="152">
        <v>0</v>
      </c>
      <c r="H1095" s="152"/>
      <c r="I1095" s="153">
        <v>5.4580448717948729</v>
      </c>
      <c r="J1095" s="145"/>
      <c r="K1095" s="153" t="s">
        <v>86</v>
      </c>
      <c r="L1095" s="153" t="s">
        <v>86</v>
      </c>
      <c r="M1095" s="153"/>
      <c r="N1095" s="2" t="s">
        <v>57</v>
      </c>
      <c r="O1095" s="2"/>
      <c r="P1095" s="2"/>
    </row>
    <row r="1096" spans="1:16" ht="16.5" customHeight="1" x14ac:dyDescent="0.25">
      <c r="A1096" s="2" t="s">
        <v>2356</v>
      </c>
      <c r="B1096" s="8" t="s">
        <v>2356</v>
      </c>
      <c r="C1096" s="152" t="s">
        <v>102</v>
      </c>
      <c r="D1096" s="2" t="s">
        <v>296</v>
      </c>
      <c r="E1096" s="152" t="s">
        <v>102</v>
      </c>
      <c r="F1096" s="152" t="s">
        <v>103</v>
      </c>
      <c r="G1096" s="152">
        <v>0</v>
      </c>
      <c r="H1096" s="152"/>
      <c r="I1096" s="153">
        <v>26.401057692307699</v>
      </c>
      <c r="J1096" s="145"/>
      <c r="K1096" s="153" t="s">
        <v>86</v>
      </c>
      <c r="L1096" s="153" t="s">
        <v>86</v>
      </c>
      <c r="M1096" s="153"/>
      <c r="N1096" s="2" t="s">
        <v>57</v>
      </c>
      <c r="O1096" s="2"/>
      <c r="P1096" s="2"/>
    </row>
    <row r="1097" spans="1:16" ht="16.5" customHeight="1" x14ac:dyDescent="0.25">
      <c r="A1097" s="2" t="s">
        <v>2357</v>
      </c>
      <c r="B1097" s="8" t="s">
        <v>2357</v>
      </c>
      <c r="C1097" s="152" t="s">
        <v>102</v>
      </c>
      <c r="D1097" s="2" t="s">
        <v>148</v>
      </c>
      <c r="E1097" s="152" t="s">
        <v>102</v>
      </c>
      <c r="F1097" s="152" t="s">
        <v>103</v>
      </c>
      <c r="G1097" s="152">
        <v>0</v>
      </c>
      <c r="H1097" s="152"/>
      <c r="I1097" s="153">
        <v>15.98596153846154</v>
      </c>
      <c r="J1097" s="145"/>
      <c r="K1097" s="153" t="s">
        <v>86</v>
      </c>
      <c r="L1097" s="153" t="s">
        <v>86</v>
      </c>
      <c r="M1097" s="153"/>
      <c r="N1097" s="2" t="s">
        <v>57</v>
      </c>
      <c r="O1097" s="2"/>
      <c r="P1097" s="2"/>
    </row>
    <row r="1098" spans="1:16" ht="16.5" customHeight="1" x14ac:dyDescent="0.25">
      <c r="A1098" s="2" t="s">
        <v>2358</v>
      </c>
      <c r="B1098" s="8" t="s">
        <v>2358</v>
      </c>
      <c r="C1098" s="152" t="s">
        <v>102</v>
      </c>
      <c r="D1098" s="2" t="s">
        <v>950</v>
      </c>
      <c r="E1098" s="152" t="s">
        <v>102</v>
      </c>
      <c r="F1098" s="152" t="s">
        <v>103</v>
      </c>
      <c r="G1098" s="152">
        <v>0</v>
      </c>
      <c r="H1098" s="152"/>
      <c r="I1098" s="153">
        <v>14.930032051282049</v>
      </c>
      <c r="J1098" s="145"/>
      <c r="K1098" s="153" t="s">
        <v>86</v>
      </c>
      <c r="L1098" s="153" t="s">
        <v>86</v>
      </c>
      <c r="M1098" s="153"/>
      <c r="N1098" s="2" t="s">
        <v>57</v>
      </c>
      <c r="O1098" s="2"/>
      <c r="P1098" s="2"/>
    </row>
    <row r="1099" spans="1:16" ht="16.5" customHeight="1" x14ac:dyDescent="0.25">
      <c r="A1099" s="2" t="s">
        <v>2359</v>
      </c>
      <c r="B1099" s="8" t="s">
        <v>2359</v>
      </c>
      <c r="C1099" s="152" t="s">
        <v>102</v>
      </c>
      <c r="D1099" s="2" t="s">
        <v>950</v>
      </c>
      <c r="E1099" s="152" t="s">
        <v>102</v>
      </c>
      <c r="F1099" s="152" t="s">
        <v>103</v>
      </c>
      <c r="G1099" s="152">
        <v>0</v>
      </c>
      <c r="H1099" s="152"/>
      <c r="I1099" s="153">
        <v>4.1895192307692319</v>
      </c>
      <c r="J1099" s="145"/>
      <c r="K1099" s="153" t="s">
        <v>86</v>
      </c>
      <c r="L1099" s="153" t="s">
        <v>86</v>
      </c>
      <c r="M1099" s="153"/>
      <c r="N1099" s="2" t="s">
        <v>57</v>
      </c>
      <c r="O1099" s="2"/>
      <c r="P1099" s="2"/>
    </row>
    <row r="1100" spans="1:16" ht="16.5" customHeight="1" x14ac:dyDescent="0.25">
      <c r="A1100" s="2" t="s">
        <v>2360</v>
      </c>
      <c r="B1100" s="8" t="s">
        <v>2360</v>
      </c>
      <c r="C1100" s="152" t="s">
        <v>102</v>
      </c>
      <c r="D1100" s="2" t="s">
        <v>278</v>
      </c>
      <c r="E1100" s="152" t="s">
        <v>102</v>
      </c>
      <c r="F1100" s="152" t="s">
        <v>103</v>
      </c>
      <c r="G1100" s="152">
        <v>0</v>
      </c>
      <c r="H1100" s="152"/>
      <c r="I1100" s="153">
        <v>17.523</v>
      </c>
      <c r="J1100" s="145"/>
      <c r="K1100" s="153" t="s">
        <v>86</v>
      </c>
      <c r="L1100" s="153" t="s">
        <v>86</v>
      </c>
      <c r="M1100" s="153"/>
      <c r="N1100" s="2" t="s">
        <v>57</v>
      </c>
      <c r="O1100" s="2"/>
      <c r="P1100" s="2"/>
    </row>
    <row r="1101" spans="1:16" ht="16.5" customHeight="1" x14ac:dyDescent="0.25">
      <c r="A1101" s="2" t="s">
        <v>2361</v>
      </c>
      <c r="B1101" s="8" t="s">
        <v>2361</v>
      </c>
      <c r="C1101" s="152" t="s">
        <v>102</v>
      </c>
      <c r="D1101" s="2" t="s">
        <v>278</v>
      </c>
      <c r="E1101" s="152" t="s">
        <v>102</v>
      </c>
      <c r="F1101" s="152" t="s">
        <v>103</v>
      </c>
      <c r="G1101" s="152">
        <v>0</v>
      </c>
      <c r="H1101" s="152"/>
      <c r="I1101" s="153">
        <v>52.223910256410257</v>
      </c>
      <c r="J1101" s="145"/>
      <c r="K1101" s="153" t="s">
        <v>86</v>
      </c>
      <c r="L1101" s="153" t="s">
        <v>86</v>
      </c>
      <c r="M1101" s="153"/>
      <c r="N1101" s="2" t="s">
        <v>57</v>
      </c>
      <c r="O1101" s="2"/>
      <c r="P1101" s="2"/>
    </row>
    <row r="1102" spans="1:16" ht="16.5" customHeight="1" x14ac:dyDescent="0.25">
      <c r="A1102" s="2" t="s">
        <v>2362</v>
      </c>
      <c r="B1102" s="8" t="s">
        <v>2362</v>
      </c>
      <c r="C1102" s="152" t="s">
        <v>102</v>
      </c>
      <c r="D1102" s="2" t="s">
        <v>908</v>
      </c>
      <c r="E1102" s="152" t="s">
        <v>102</v>
      </c>
      <c r="F1102" s="152" t="s">
        <v>103</v>
      </c>
      <c r="G1102" s="152">
        <v>0</v>
      </c>
      <c r="H1102" s="152"/>
      <c r="I1102" s="153">
        <v>6.2031644230769238</v>
      </c>
      <c r="J1102" s="145"/>
      <c r="K1102" s="153" t="s">
        <v>86</v>
      </c>
      <c r="L1102" s="153" t="s">
        <v>86</v>
      </c>
      <c r="M1102" s="153"/>
      <c r="N1102" s="2" t="s">
        <v>57</v>
      </c>
      <c r="O1102" s="2"/>
      <c r="P1102" s="2"/>
    </row>
    <row r="1103" spans="1:16" ht="16.5" customHeight="1" x14ac:dyDescent="0.25">
      <c r="A1103" s="2" t="s">
        <v>2363</v>
      </c>
      <c r="B1103" s="8" t="s">
        <v>2363</v>
      </c>
      <c r="C1103" s="152" t="s">
        <v>102</v>
      </c>
      <c r="D1103" s="2" t="s">
        <v>908</v>
      </c>
      <c r="E1103" s="152" t="s">
        <v>102</v>
      </c>
      <c r="F1103" s="152" t="s">
        <v>103</v>
      </c>
      <c r="G1103" s="152">
        <v>0</v>
      </c>
      <c r="H1103" s="152"/>
      <c r="I1103" s="153">
        <v>20.740288461538469</v>
      </c>
      <c r="J1103" s="145"/>
      <c r="K1103" s="153" t="s">
        <v>86</v>
      </c>
      <c r="L1103" s="153" t="s">
        <v>86</v>
      </c>
      <c r="M1103" s="153"/>
      <c r="N1103" s="2" t="s">
        <v>57</v>
      </c>
      <c r="O1103" s="2"/>
      <c r="P1103" s="2"/>
    </row>
    <row r="1104" spans="1:16" ht="16.5" customHeight="1" x14ac:dyDescent="0.25">
      <c r="A1104" s="2" t="s">
        <v>2364</v>
      </c>
      <c r="B1104" s="8" t="s">
        <v>2364</v>
      </c>
      <c r="C1104" s="152" t="s">
        <v>102</v>
      </c>
      <c r="D1104" s="2" t="s">
        <v>908</v>
      </c>
      <c r="E1104" s="152" t="s">
        <v>102</v>
      </c>
      <c r="F1104" s="152" t="s">
        <v>103</v>
      </c>
      <c r="G1104" s="152">
        <v>0</v>
      </c>
      <c r="H1104" s="152"/>
      <c r="I1104" s="153">
        <v>3.8440064102564109</v>
      </c>
      <c r="J1104" s="145"/>
      <c r="K1104" s="153" t="s">
        <v>86</v>
      </c>
      <c r="L1104" s="153" t="s">
        <v>86</v>
      </c>
      <c r="M1104" s="153"/>
      <c r="N1104" s="2" t="s">
        <v>57</v>
      </c>
      <c r="O1104" s="2"/>
      <c r="P1104" s="2"/>
    </row>
    <row r="1105" spans="1:16" ht="16.5" customHeight="1" x14ac:dyDescent="0.25">
      <c r="A1105" s="2" t="s">
        <v>2365</v>
      </c>
      <c r="B1105" s="8" t="s">
        <v>2365</v>
      </c>
      <c r="C1105" s="152" t="s">
        <v>102</v>
      </c>
      <c r="D1105" s="2" t="s">
        <v>296</v>
      </c>
      <c r="E1105" s="152" t="s">
        <v>102</v>
      </c>
      <c r="F1105" s="152" t="s">
        <v>103</v>
      </c>
      <c r="G1105" s="152">
        <v>0</v>
      </c>
      <c r="H1105" s="152"/>
      <c r="I1105" s="153">
        <v>10.44717948717949</v>
      </c>
      <c r="J1105" s="145"/>
      <c r="K1105" s="153" t="s">
        <v>86</v>
      </c>
      <c r="L1105" s="153" t="s">
        <v>86</v>
      </c>
      <c r="M1105" s="153"/>
      <c r="N1105" s="2" t="s">
        <v>57</v>
      </c>
      <c r="O1105" s="2"/>
      <c r="P1105" s="2"/>
    </row>
    <row r="1106" spans="1:16" ht="16.5" customHeight="1" x14ac:dyDescent="0.25">
      <c r="A1106" s="2" t="s">
        <v>2366</v>
      </c>
      <c r="B1106" s="8" t="s">
        <v>2366</v>
      </c>
      <c r="C1106" s="152" t="s">
        <v>102</v>
      </c>
      <c r="D1106" s="2" t="s">
        <v>278</v>
      </c>
      <c r="E1106" s="152" t="s">
        <v>102</v>
      </c>
      <c r="F1106" s="152" t="s">
        <v>103</v>
      </c>
      <c r="G1106" s="152">
        <v>0</v>
      </c>
      <c r="H1106" s="152"/>
      <c r="I1106" s="153">
        <v>72.502692307692328</v>
      </c>
      <c r="J1106" s="145"/>
      <c r="K1106" s="153" t="s">
        <v>86</v>
      </c>
      <c r="L1106" s="153" t="s">
        <v>86</v>
      </c>
      <c r="M1106" s="153"/>
      <c r="N1106" s="2" t="s">
        <v>57</v>
      </c>
      <c r="O1106" s="2"/>
      <c r="P1106" s="2"/>
    </row>
    <row r="1107" spans="1:16" ht="16.5" customHeight="1" x14ac:dyDescent="0.25">
      <c r="A1107" s="2" t="s">
        <v>2367</v>
      </c>
      <c r="B1107" s="8" t="s">
        <v>2367</v>
      </c>
      <c r="C1107" s="152" t="s">
        <v>102</v>
      </c>
      <c r="D1107" s="2" t="s">
        <v>278</v>
      </c>
      <c r="E1107" s="152" t="s">
        <v>102</v>
      </c>
      <c r="F1107" s="152" t="s">
        <v>103</v>
      </c>
      <c r="G1107" s="152">
        <v>0</v>
      </c>
      <c r="H1107" s="152"/>
      <c r="I1107" s="153">
        <v>24.98551282051282</v>
      </c>
      <c r="J1107" s="145"/>
      <c r="K1107" s="153" t="s">
        <v>86</v>
      </c>
      <c r="L1107" s="153">
        <v>-18.3503748464612</v>
      </c>
      <c r="M1107" s="153"/>
      <c r="N1107" s="2" t="s">
        <v>57</v>
      </c>
      <c r="O1107" s="2"/>
      <c r="P1107" s="2"/>
    </row>
    <row r="1108" spans="1:16" ht="16.5" customHeight="1" x14ac:dyDescent="0.25">
      <c r="A1108" s="2" t="s">
        <v>2368</v>
      </c>
      <c r="B1108" s="8" t="s">
        <v>2368</v>
      </c>
      <c r="C1108" s="152" t="s">
        <v>102</v>
      </c>
      <c r="D1108" s="2" t="s">
        <v>148</v>
      </c>
      <c r="E1108" s="152" t="s">
        <v>102</v>
      </c>
      <c r="F1108" s="152" t="s">
        <v>103</v>
      </c>
      <c r="G1108" s="152">
        <v>0</v>
      </c>
      <c r="H1108" s="152"/>
      <c r="I1108" s="153">
        <v>5.0786858974358982</v>
      </c>
      <c r="J1108" s="145"/>
      <c r="K1108" s="153" t="s">
        <v>86</v>
      </c>
      <c r="L1108" s="153" t="s">
        <v>86</v>
      </c>
      <c r="M1108" s="153"/>
      <c r="N1108" s="2" t="s">
        <v>57</v>
      </c>
      <c r="O1108" s="2"/>
      <c r="P1108" s="2"/>
    </row>
    <row r="1109" spans="1:16" ht="16.5" customHeight="1" x14ac:dyDescent="0.25">
      <c r="A1109" s="2" t="s">
        <v>2369</v>
      </c>
      <c r="B1109" s="8" t="s">
        <v>2369</v>
      </c>
      <c r="C1109" s="152" t="s">
        <v>102</v>
      </c>
      <c r="D1109" s="2" t="s">
        <v>148</v>
      </c>
      <c r="E1109" s="152" t="s">
        <v>102</v>
      </c>
      <c r="F1109" s="152" t="s">
        <v>103</v>
      </c>
      <c r="G1109" s="152">
        <v>0</v>
      </c>
      <c r="H1109" s="152"/>
      <c r="I1109" s="153">
        <v>11.428012820512819</v>
      </c>
      <c r="J1109" s="145"/>
      <c r="K1109" s="153" t="s">
        <v>86</v>
      </c>
      <c r="L1109" s="153" t="s">
        <v>86</v>
      </c>
      <c r="M1109" s="153"/>
      <c r="N1109" s="2" t="s">
        <v>57</v>
      </c>
      <c r="O1109" s="2"/>
      <c r="P1109" s="2"/>
    </row>
    <row r="1110" spans="1:16" ht="16.5" customHeight="1" x14ac:dyDescent="0.25">
      <c r="A1110" s="2" t="s">
        <v>2370</v>
      </c>
      <c r="B1110" s="8" t="s">
        <v>2370</v>
      </c>
      <c r="C1110" s="152" t="s">
        <v>102</v>
      </c>
      <c r="D1110" s="2" t="s">
        <v>278</v>
      </c>
      <c r="E1110" s="152" t="s">
        <v>102</v>
      </c>
      <c r="F1110" s="152" t="s">
        <v>103</v>
      </c>
      <c r="G1110" s="152">
        <v>0</v>
      </c>
      <c r="H1110" s="152"/>
      <c r="I1110" s="153">
        <v>37.591089743589748</v>
      </c>
      <c r="J1110" s="145"/>
      <c r="K1110" s="153">
        <v>-17.86</v>
      </c>
      <c r="L1110" s="153">
        <v>-31.141322057349399</v>
      </c>
      <c r="M1110" s="153"/>
      <c r="N1110" s="2" t="s">
        <v>57</v>
      </c>
      <c r="O1110" s="2"/>
      <c r="P1110" s="2"/>
    </row>
    <row r="1111" spans="1:16" ht="16.5" customHeight="1" x14ac:dyDescent="0.25">
      <c r="A1111" s="2" t="s">
        <v>2371</v>
      </c>
      <c r="B1111" s="8" t="s">
        <v>2371</v>
      </c>
      <c r="C1111" s="152" t="s">
        <v>102</v>
      </c>
      <c r="D1111" s="2" t="s">
        <v>278</v>
      </c>
      <c r="E1111" s="152" t="s">
        <v>102</v>
      </c>
      <c r="F1111" s="152" t="s">
        <v>103</v>
      </c>
      <c r="G1111" s="152">
        <v>0</v>
      </c>
      <c r="H1111" s="152"/>
      <c r="I1111" s="153">
        <v>36.153333333333343</v>
      </c>
      <c r="J1111" s="145"/>
      <c r="K1111" s="153">
        <v>-18.675041666666669</v>
      </c>
      <c r="L1111" s="153">
        <v>-32.809706476160898</v>
      </c>
      <c r="M1111" s="153"/>
      <c r="N1111" s="2" t="s">
        <v>57</v>
      </c>
      <c r="O1111" s="2"/>
      <c r="P1111" s="2"/>
    </row>
    <row r="1112" spans="1:16" ht="16.5" customHeight="1" x14ac:dyDescent="0.25">
      <c r="A1112" s="2" t="s">
        <v>2372</v>
      </c>
      <c r="B1112" s="8" t="s">
        <v>2372</v>
      </c>
      <c r="C1112" s="152" t="s">
        <v>102</v>
      </c>
      <c r="D1112" s="2" t="s">
        <v>54</v>
      </c>
      <c r="E1112" s="152" t="s">
        <v>102</v>
      </c>
      <c r="F1112" s="152" t="s">
        <v>103</v>
      </c>
      <c r="G1112" s="152">
        <v>0</v>
      </c>
      <c r="H1112" s="152"/>
      <c r="I1112" s="153">
        <v>35.522596153846159</v>
      </c>
      <c r="J1112" s="145"/>
      <c r="K1112" s="153" t="s">
        <v>86</v>
      </c>
      <c r="L1112" s="153" t="s">
        <v>86</v>
      </c>
      <c r="M1112" s="153"/>
      <c r="N1112" s="2" t="s">
        <v>57</v>
      </c>
      <c r="O1112" s="2"/>
      <c r="P1112" s="2"/>
    </row>
    <row r="1113" spans="1:16" ht="16.5" customHeight="1" x14ac:dyDescent="0.25">
      <c r="A1113" s="2" t="s">
        <v>2373</v>
      </c>
      <c r="B1113" s="8" t="s">
        <v>2373</v>
      </c>
      <c r="C1113" s="152" t="s">
        <v>102</v>
      </c>
      <c r="D1113" s="2" t="s">
        <v>54</v>
      </c>
      <c r="E1113" s="152" t="s">
        <v>102</v>
      </c>
      <c r="F1113" s="152" t="s">
        <v>103</v>
      </c>
      <c r="G1113" s="152">
        <v>0</v>
      </c>
      <c r="H1113" s="152"/>
      <c r="I1113" s="153">
        <v>18.894615384615388</v>
      </c>
      <c r="J1113" s="145"/>
      <c r="K1113" s="153" t="s">
        <v>86</v>
      </c>
      <c r="L1113" s="153" t="s">
        <v>86</v>
      </c>
      <c r="M1113" s="153"/>
      <c r="N1113" s="2" t="s">
        <v>57</v>
      </c>
      <c r="O1113" s="2"/>
      <c r="P1113" s="2"/>
    </row>
    <row r="1114" spans="1:16" ht="16.5" customHeight="1" x14ac:dyDescent="0.25">
      <c r="A1114" s="2" t="s">
        <v>2374</v>
      </c>
      <c r="B1114" s="8" t="s">
        <v>2374</v>
      </c>
      <c r="C1114" s="152" t="s">
        <v>102</v>
      </c>
      <c r="D1114" s="2" t="s">
        <v>296</v>
      </c>
      <c r="E1114" s="152" t="s">
        <v>102</v>
      </c>
      <c r="F1114" s="152" t="s">
        <v>103</v>
      </c>
      <c r="G1114" s="152">
        <v>0</v>
      </c>
      <c r="H1114" s="152"/>
      <c r="I1114" s="153">
        <v>5.7612500000000013</v>
      </c>
      <c r="J1114" s="145"/>
      <c r="K1114" s="153" t="s">
        <v>86</v>
      </c>
      <c r="L1114" s="153" t="s">
        <v>86</v>
      </c>
      <c r="M1114" s="153"/>
      <c r="N1114" s="2" t="s">
        <v>57</v>
      </c>
      <c r="O1114" s="2"/>
      <c r="P1114" s="2"/>
    </row>
    <row r="1115" spans="1:16" ht="16.5" customHeight="1" x14ac:dyDescent="0.25">
      <c r="A1115" s="2" t="s">
        <v>2375</v>
      </c>
      <c r="B1115" s="8" t="s">
        <v>2375</v>
      </c>
      <c r="C1115" s="152" t="s">
        <v>102</v>
      </c>
      <c r="D1115" s="2" t="s">
        <v>296</v>
      </c>
      <c r="E1115" s="152" t="s">
        <v>102</v>
      </c>
      <c r="F1115" s="152" t="s">
        <v>103</v>
      </c>
      <c r="G1115" s="152">
        <v>0</v>
      </c>
      <c r="H1115" s="152"/>
      <c r="I1115" s="153">
        <v>15.39083333333334</v>
      </c>
      <c r="J1115" s="145"/>
      <c r="K1115" s="153" t="s">
        <v>86</v>
      </c>
      <c r="L1115" s="153" t="s">
        <v>86</v>
      </c>
      <c r="M1115" s="153"/>
      <c r="N1115" s="2" t="s">
        <v>57</v>
      </c>
      <c r="O1115" s="2"/>
      <c r="P1115" s="2"/>
    </row>
    <row r="1116" spans="1:16" ht="16.5" customHeight="1" x14ac:dyDescent="0.25">
      <c r="A1116" s="2" t="s">
        <v>2376</v>
      </c>
      <c r="B1116" s="8" t="s">
        <v>2376</v>
      </c>
      <c r="C1116" s="152" t="s">
        <v>102</v>
      </c>
      <c r="D1116" s="2" t="s">
        <v>296</v>
      </c>
      <c r="E1116" s="152" t="s">
        <v>102</v>
      </c>
      <c r="F1116" s="152" t="s">
        <v>103</v>
      </c>
      <c r="G1116" s="152">
        <v>0</v>
      </c>
      <c r="H1116" s="152"/>
      <c r="I1116" s="153">
        <v>11.156891025641031</v>
      </c>
      <c r="J1116" s="145"/>
      <c r="K1116" s="153" t="s">
        <v>86</v>
      </c>
      <c r="L1116" s="153" t="s">
        <v>86</v>
      </c>
      <c r="M1116" s="153"/>
      <c r="N1116" s="2" t="s">
        <v>57</v>
      </c>
      <c r="O1116" s="2"/>
      <c r="P1116" s="2"/>
    </row>
    <row r="1117" spans="1:16" ht="16.5" customHeight="1" x14ac:dyDescent="0.25">
      <c r="A1117" s="2" t="s">
        <v>2377</v>
      </c>
      <c r="B1117" s="8" t="s">
        <v>2377</v>
      </c>
      <c r="C1117" s="152" t="s">
        <v>102</v>
      </c>
      <c r="D1117" s="2" t="s">
        <v>148</v>
      </c>
      <c r="E1117" s="152" t="s">
        <v>102</v>
      </c>
      <c r="F1117" s="152" t="s">
        <v>103</v>
      </c>
      <c r="G1117" s="152">
        <v>0</v>
      </c>
      <c r="H1117" s="152"/>
      <c r="I1117" s="153">
        <v>14.381089743589749</v>
      </c>
      <c r="J1117" s="145"/>
      <c r="K1117" s="153" t="s">
        <v>86</v>
      </c>
      <c r="L1117" s="153" t="s">
        <v>86</v>
      </c>
      <c r="M1117" s="153"/>
      <c r="N1117" s="2" t="s">
        <v>57</v>
      </c>
      <c r="O1117" s="2"/>
      <c r="P1117" s="10"/>
    </row>
    <row r="1118" spans="1:16" ht="16.5" customHeight="1" x14ac:dyDescent="0.25">
      <c r="A1118" s="2" t="s">
        <v>2378</v>
      </c>
      <c r="B1118" s="8" t="s">
        <v>2378</v>
      </c>
      <c r="C1118" s="152" t="s">
        <v>102</v>
      </c>
      <c r="D1118" s="2" t="s">
        <v>278</v>
      </c>
      <c r="E1118" s="152" t="s">
        <v>102</v>
      </c>
      <c r="F1118" s="152" t="s">
        <v>103</v>
      </c>
      <c r="G1118" s="152">
        <v>0</v>
      </c>
      <c r="H1118" s="152"/>
      <c r="I1118" s="153">
        <v>30.91282051282052</v>
      </c>
      <c r="J1118" s="145"/>
      <c r="K1118" s="153" t="s">
        <v>86</v>
      </c>
      <c r="L1118" s="153">
        <v>-21.13101554448037</v>
      </c>
      <c r="M1118" s="153"/>
      <c r="N1118" s="2" t="s">
        <v>57</v>
      </c>
      <c r="O1118" s="2"/>
      <c r="P1118" s="2"/>
    </row>
    <row r="1119" spans="1:16" ht="16.5" customHeight="1" x14ac:dyDescent="0.25">
      <c r="A1119" s="2" t="s">
        <v>2379</v>
      </c>
      <c r="B1119" s="8" t="s">
        <v>2379</v>
      </c>
      <c r="C1119" s="152" t="s">
        <v>102</v>
      </c>
      <c r="D1119" s="2" t="s">
        <v>278</v>
      </c>
      <c r="E1119" s="152" t="s">
        <v>102</v>
      </c>
      <c r="F1119" s="152" t="s">
        <v>103</v>
      </c>
      <c r="G1119" s="152">
        <v>0</v>
      </c>
      <c r="H1119" s="152"/>
      <c r="I1119" s="153">
        <v>34.349262820512827</v>
      </c>
      <c r="J1119" s="145"/>
      <c r="K1119" s="153" t="s">
        <v>86</v>
      </c>
      <c r="L1119" s="153">
        <v>-25.394664614776438</v>
      </c>
      <c r="M1119" s="153"/>
      <c r="N1119" s="2" t="s">
        <v>57</v>
      </c>
      <c r="O1119" s="2"/>
      <c r="P1119" s="2"/>
    </row>
    <row r="1120" spans="1:16" ht="16.5" customHeight="1" x14ac:dyDescent="0.25">
      <c r="A1120" s="2" t="s">
        <v>2380</v>
      </c>
      <c r="B1120" s="8" t="s">
        <v>2380</v>
      </c>
      <c r="C1120" s="152" t="s">
        <v>102</v>
      </c>
      <c r="D1120" s="2" t="s">
        <v>1797</v>
      </c>
      <c r="E1120" s="152" t="s">
        <v>102</v>
      </c>
      <c r="F1120" s="152" t="s">
        <v>103</v>
      </c>
      <c r="G1120" s="152">
        <v>0</v>
      </c>
      <c r="H1120" s="152"/>
      <c r="I1120" s="153">
        <v>37.092916666666667</v>
      </c>
      <c r="J1120" s="145"/>
      <c r="K1120" s="153" t="s">
        <v>86</v>
      </c>
      <c r="L1120" s="153" t="s">
        <v>86</v>
      </c>
      <c r="M1120" s="153"/>
      <c r="N1120" s="2" t="s">
        <v>57</v>
      </c>
      <c r="O1120" s="2"/>
      <c r="P1120" s="2"/>
    </row>
    <row r="1121" spans="1:16" ht="16.5" customHeight="1" x14ac:dyDescent="0.25">
      <c r="A1121" s="2" t="s">
        <v>2381</v>
      </c>
      <c r="B1121" s="8" t="s">
        <v>2381</v>
      </c>
      <c r="C1121" s="152" t="s">
        <v>102</v>
      </c>
      <c r="D1121" s="2" t="s">
        <v>1797</v>
      </c>
      <c r="E1121" s="152" t="s">
        <v>102</v>
      </c>
      <c r="F1121" s="152" t="s">
        <v>103</v>
      </c>
      <c r="G1121" s="152">
        <v>0</v>
      </c>
      <c r="H1121" s="152"/>
      <c r="I1121" s="153">
        <v>4.4282051282051276</v>
      </c>
      <c r="J1121" s="145"/>
      <c r="K1121" s="153" t="s">
        <v>86</v>
      </c>
      <c r="L1121" s="153" t="s">
        <v>86</v>
      </c>
      <c r="M1121" s="153"/>
      <c r="N1121" s="2" t="s">
        <v>57</v>
      </c>
      <c r="O1121" s="2"/>
      <c r="P1121" s="2"/>
    </row>
    <row r="1122" spans="1:16" ht="16.5" customHeight="1" x14ac:dyDescent="0.25">
      <c r="A1122" s="2" t="s">
        <v>2382</v>
      </c>
      <c r="B1122" s="8" t="s">
        <v>2382</v>
      </c>
      <c r="C1122" s="152" t="s">
        <v>102</v>
      </c>
      <c r="D1122" s="2" t="s">
        <v>908</v>
      </c>
      <c r="E1122" s="152" t="s">
        <v>102</v>
      </c>
      <c r="F1122" s="152" t="s">
        <v>103</v>
      </c>
      <c r="G1122" s="152">
        <v>0</v>
      </c>
      <c r="H1122" s="152"/>
      <c r="I1122" s="153">
        <v>11.27429487179487</v>
      </c>
      <c r="J1122" s="145"/>
      <c r="K1122" s="153" t="s">
        <v>86</v>
      </c>
      <c r="L1122" s="153" t="s">
        <v>86</v>
      </c>
      <c r="M1122" s="153"/>
      <c r="N1122" s="2" t="s">
        <v>57</v>
      </c>
      <c r="O1122" s="2"/>
      <c r="P1122" s="2"/>
    </row>
    <row r="1123" spans="1:16" ht="16.5" customHeight="1" x14ac:dyDescent="0.25">
      <c r="A1123" s="2" t="s">
        <v>2383</v>
      </c>
      <c r="B1123" s="8" t="s">
        <v>2383</v>
      </c>
      <c r="C1123" s="152" t="s">
        <v>102</v>
      </c>
      <c r="D1123" s="2" t="s">
        <v>908</v>
      </c>
      <c r="E1123" s="152" t="s">
        <v>102</v>
      </c>
      <c r="F1123" s="152" t="s">
        <v>103</v>
      </c>
      <c r="G1123" s="152">
        <v>0</v>
      </c>
      <c r="H1123" s="152"/>
      <c r="I1123" s="153">
        <v>18.623493589743589</v>
      </c>
      <c r="J1123" s="145"/>
      <c r="K1123" s="153" t="s">
        <v>86</v>
      </c>
      <c r="L1123" s="153" t="s">
        <v>86</v>
      </c>
      <c r="M1123" s="153"/>
      <c r="N1123" s="2" t="s">
        <v>57</v>
      </c>
      <c r="O1123" s="2"/>
      <c r="P1123" s="2"/>
    </row>
    <row r="1124" spans="1:16" ht="16.5" customHeight="1" x14ac:dyDescent="0.25">
      <c r="A1124" s="2" t="s">
        <v>2384</v>
      </c>
      <c r="B1124" s="8" t="s">
        <v>2384</v>
      </c>
      <c r="C1124" s="152" t="s">
        <v>102</v>
      </c>
      <c r="D1124" s="2" t="s">
        <v>278</v>
      </c>
      <c r="E1124" s="152" t="s">
        <v>102</v>
      </c>
      <c r="F1124" s="152" t="s">
        <v>103</v>
      </c>
      <c r="G1124" s="152">
        <v>0</v>
      </c>
      <c r="H1124" s="152"/>
      <c r="I1124" s="153">
        <v>27.942115384615391</v>
      </c>
      <c r="J1124" s="145"/>
      <c r="K1124" s="153" t="s">
        <v>86</v>
      </c>
      <c r="L1124" s="153" t="s">
        <v>86</v>
      </c>
      <c r="M1124" s="153"/>
      <c r="N1124" s="2" t="s">
        <v>57</v>
      </c>
      <c r="O1124" s="2"/>
      <c r="P1124" s="2"/>
    </row>
    <row r="1125" spans="1:16" ht="16.5" customHeight="1" x14ac:dyDescent="0.25">
      <c r="A1125" s="2" t="s">
        <v>2385</v>
      </c>
      <c r="B1125" s="8" t="s">
        <v>2385</v>
      </c>
      <c r="C1125" s="152" t="s">
        <v>102</v>
      </c>
      <c r="D1125" s="2" t="s">
        <v>950</v>
      </c>
      <c r="E1125" s="152" t="s">
        <v>102</v>
      </c>
      <c r="F1125" s="152" t="s">
        <v>103</v>
      </c>
      <c r="G1125" s="152">
        <v>0</v>
      </c>
      <c r="H1125" s="152"/>
      <c r="I1125" s="153">
        <v>16.411858974358982</v>
      </c>
      <c r="J1125" s="145"/>
      <c r="K1125" s="153" t="s">
        <v>86</v>
      </c>
      <c r="L1125" s="153" t="s">
        <v>86</v>
      </c>
      <c r="M1125" s="153"/>
      <c r="N1125" s="2" t="s">
        <v>57</v>
      </c>
      <c r="O1125" s="2"/>
      <c r="P1125" s="2"/>
    </row>
    <row r="1126" spans="1:16" ht="16.5" customHeight="1" x14ac:dyDescent="0.25">
      <c r="A1126" s="2" t="s">
        <v>2386</v>
      </c>
      <c r="B1126" s="8" t="s">
        <v>2386</v>
      </c>
      <c r="C1126" s="152" t="s">
        <v>102</v>
      </c>
      <c r="D1126" s="2" t="s">
        <v>950</v>
      </c>
      <c r="E1126" s="152" t="s">
        <v>102</v>
      </c>
      <c r="F1126" s="152" t="s">
        <v>103</v>
      </c>
      <c r="G1126" s="152">
        <v>0</v>
      </c>
      <c r="H1126" s="152"/>
      <c r="I1126" s="153">
        <v>21.861794871794871</v>
      </c>
      <c r="J1126" s="145"/>
      <c r="K1126" s="153" t="s">
        <v>86</v>
      </c>
      <c r="L1126" s="153" t="s">
        <v>86</v>
      </c>
      <c r="M1126" s="153"/>
      <c r="N1126" s="2" t="s">
        <v>57</v>
      </c>
      <c r="O1126" s="2"/>
      <c r="P1126" s="2"/>
    </row>
    <row r="1127" spans="1:16" ht="16.5" customHeight="1" x14ac:dyDescent="0.25">
      <c r="A1127" s="2" t="s">
        <v>2387</v>
      </c>
      <c r="B1127" s="8" t="s">
        <v>2387</v>
      </c>
      <c r="C1127" s="152" t="s">
        <v>102</v>
      </c>
      <c r="D1127" s="2" t="s">
        <v>950</v>
      </c>
      <c r="E1127" s="152" t="s">
        <v>102</v>
      </c>
      <c r="F1127" s="152" t="s">
        <v>103</v>
      </c>
      <c r="G1127" s="152">
        <v>0</v>
      </c>
      <c r="H1127" s="152"/>
      <c r="I1127" s="153">
        <v>20.86544871794872</v>
      </c>
      <c r="J1127" s="145"/>
      <c r="K1127" s="153" t="s">
        <v>86</v>
      </c>
      <c r="L1127" s="153" t="s">
        <v>86</v>
      </c>
      <c r="M1127" s="153"/>
      <c r="N1127" s="2" t="s">
        <v>57</v>
      </c>
      <c r="O1127" s="2"/>
      <c r="P1127" s="2"/>
    </row>
    <row r="1128" spans="1:16" ht="16.5" customHeight="1" x14ac:dyDescent="0.25">
      <c r="A1128" s="2" t="s">
        <v>2388</v>
      </c>
      <c r="B1128" s="8" t="s">
        <v>2388</v>
      </c>
      <c r="C1128" s="152" t="s">
        <v>102</v>
      </c>
      <c r="D1128" s="2" t="s">
        <v>950</v>
      </c>
      <c r="E1128" s="152" t="s">
        <v>102</v>
      </c>
      <c r="F1128" s="152" t="s">
        <v>103</v>
      </c>
      <c r="G1128" s="152">
        <v>0</v>
      </c>
      <c r="H1128" s="152"/>
      <c r="I1128" s="153">
        <v>27.720705128205129</v>
      </c>
      <c r="J1128" s="145"/>
      <c r="K1128" s="153" t="s">
        <v>86</v>
      </c>
      <c r="L1128" s="153" t="s">
        <v>86</v>
      </c>
      <c r="M1128" s="153"/>
      <c r="N1128" s="2" t="s">
        <v>57</v>
      </c>
      <c r="O1128" s="2"/>
      <c r="P1128" s="2"/>
    </row>
    <row r="1129" spans="1:16" ht="16.5" customHeight="1" x14ac:dyDescent="0.25">
      <c r="A1129" s="2" t="s">
        <v>2389</v>
      </c>
      <c r="B1129" s="8" t="s">
        <v>2389</v>
      </c>
      <c r="C1129" s="152" t="s">
        <v>102</v>
      </c>
      <c r="D1129" s="2" t="s">
        <v>950</v>
      </c>
      <c r="E1129" s="152" t="s">
        <v>102</v>
      </c>
      <c r="F1129" s="152" t="s">
        <v>103</v>
      </c>
      <c r="G1129" s="152">
        <v>0</v>
      </c>
      <c r="H1129" s="152"/>
      <c r="I1129" s="153">
        <v>17.52948717948718</v>
      </c>
      <c r="J1129" s="145"/>
      <c r="K1129" s="153" t="s">
        <v>86</v>
      </c>
      <c r="L1129" s="153" t="s">
        <v>86</v>
      </c>
      <c r="M1129" s="153"/>
      <c r="N1129" s="2" t="s">
        <v>57</v>
      </c>
      <c r="O1129" s="2"/>
      <c r="P1129" s="2"/>
    </row>
    <row r="1130" spans="1:16" ht="16.5" customHeight="1" x14ac:dyDescent="0.25">
      <c r="A1130" s="2" t="s">
        <v>2390</v>
      </c>
      <c r="B1130" s="8" t="s">
        <v>2390</v>
      </c>
      <c r="C1130" s="152" t="s">
        <v>102</v>
      </c>
      <c r="D1130" s="2" t="s">
        <v>950</v>
      </c>
      <c r="E1130" s="152" t="s">
        <v>102</v>
      </c>
      <c r="F1130" s="152" t="s">
        <v>103</v>
      </c>
      <c r="G1130" s="152">
        <v>0</v>
      </c>
      <c r="H1130" s="152"/>
      <c r="I1130" s="153">
        <v>26.196217948717951</v>
      </c>
      <c r="J1130" s="145"/>
      <c r="K1130" s="153" t="s">
        <v>86</v>
      </c>
      <c r="L1130" s="153" t="s">
        <v>86</v>
      </c>
      <c r="M1130" s="153"/>
      <c r="N1130" s="2" t="s">
        <v>57</v>
      </c>
      <c r="O1130" s="2"/>
      <c r="P1130" s="2"/>
    </row>
    <row r="1131" spans="1:16" ht="16.5" customHeight="1" x14ac:dyDescent="0.25">
      <c r="A1131" s="2" t="s">
        <v>2391</v>
      </c>
      <c r="B1131" s="8" t="s">
        <v>2391</v>
      </c>
      <c r="C1131" s="152" t="s">
        <v>102</v>
      </c>
      <c r="D1131" s="2" t="s">
        <v>278</v>
      </c>
      <c r="E1131" s="152" t="s">
        <v>102</v>
      </c>
      <c r="F1131" s="152" t="s">
        <v>103</v>
      </c>
      <c r="G1131" s="152">
        <v>0</v>
      </c>
      <c r="H1131" s="152"/>
      <c r="I1131" s="153">
        <v>41.135064102564122</v>
      </c>
      <c r="J1131" s="145"/>
      <c r="K1131" s="153" t="s">
        <v>86</v>
      </c>
      <c r="L1131" s="153" t="s">
        <v>86</v>
      </c>
      <c r="M1131" s="153"/>
      <c r="N1131" s="2" t="s">
        <v>57</v>
      </c>
      <c r="O1131" s="2"/>
      <c r="P1131" s="2"/>
    </row>
    <row r="1132" spans="1:16" ht="16.5" customHeight="1" x14ac:dyDescent="0.25">
      <c r="A1132" s="2" t="s">
        <v>2392</v>
      </c>
      <c r="B1132" s="8" t="s">
        <v>2392</v>
      </c>
      <c r="C1132" s="152" t="s">
        <v>102</v>
      </c>
      <c r="D1132" s="2" t="s">
        <v>148</v>
      </c>
      <c r="E1132" s="152" t="s">
        <v>102</v>
      </c>
      <c r="F1132" s="152" t="s">
        <v>103</v>
      </c>
      <c r="G1132" s="152">
        <v>0</v>
      </c>
      <c r="H1132" s="152"/>
      <c r="I1132" s="153">
        <v>1.3545512820512819</v>
      </c>
      <c r="J1132" s="145"/>
      <c r="K1132" s="153" t="s">
        <v>86</v>
      </c>
      <c r="L1132" s="153" t="s">
        <v>86</v>
      </c>
      <c r="M1132" s="153"/>
      <c r="N1132" s="2" t="s">
        <v>57</v>
      </c>
      <c r="O1132" s="2"/>
      <c r="P1132" s="2"/>
    </row>
    <row r="1133" spans="1:16" ht="16.5" customHeight="1" x14ac:dyDescent="0.25">
      <c r="A1133" s="2" t="s">
        <v>2393</v>
      </c>
      <c r="B1133" s="8" t="s">
        <v>2393</v>
      </c>
      <c r="C1133" s="152" t="s">
        <v>102</v>
      </c>
      <c r="D1133" s="2" t="s">
        <v>148</v>
      </c>
      <c r="E1133" s="152" t="s">
        <v>102</v>
      </c>
      <c r="F1133" s="152" t="s">
        <v>103</v>
      </c>
      <c r="G1133" s="152">
        <v>0</v>
      </c>
      <c r="H1133" s="152"/>
      <c r="I1133" s="153">
        <v>1.5625641025641031</v>
      </c>
      <c r="J1133" s="145"/>
      <c r="K1133" s="153" t="s">
        <v>86</v>
      </c>
      <c r="L1133" s="153" t="s">
        <v>86</v>
      </c>
      <c r="M1133" s="153"/>
      <c r="N1133" s="2" t="s">
        <v>57</v>
      </c>
      <c r="O1133" s="2"/>
      <c r="P1133" s="2"/>
    </row>
    <row r="1134" spans="1:16" ht="16.5" customHeight="1" x14ac:dyDescent="0.25">
      <c r="A1134" s="2" t="s">
        <v>2394</v>
      </c>
      <c r="B1134" s="8" t="s">
        <v>2394</v>
      </c>
      <c r="C1134" s="152" t="s">
        <v>102</v>
      </c>
      <c r="D1134" s="2" t="s">
        <v>278</v>
      </c>
      <c r="E1134" s="152" t="s">
        <v>102</v>
      </c>
      <c r="F1134" s="152" t="s">
        <v>103</v>
      </c>
      <c r="G1134" s="152">
        <v>0</v>
      </c>
      <c r="H1134" s="152"/>
      <c r="I1134" s="153">
        <v>5.1717628205128214</v>
      </c>
      <c r="J1134" s="145"/>
      <c r="K1134" s="153" t="s">
        <v>86</v>
      </c>
      <c r="L1134" s="153" t="s">
        <v>86</v>
      </c>
      <c r="M1134" s="153"/>
      <c r="N1134" s="2" t="s">
        <v>57</v>
      </c>
      <c r="O1134" s="2"/>
      <c r="P1134" s="2"/>
    </row>
    <row r="1135" spans="1:16" ht="16.5" customHeight="1" x14ac:dyDescent="0.25">
      <c r="A1135" s="2" t="s">
        <v>2395</v>
      </c>
      <c r="B1135" s="8" t="s">
        <v>2395</v>
      </c>
      <c r="C1135" s="152" t="s">
        <v>102</v>
      </c>
      <c r="D1135" s="2" t="s">
        <v>91</v>
      </c>
      <c r="E1135" s="152" t="s">
        <v>102</v>
      </c>
      <c r="F1135" s="152" t="s">
        <v>103</v>
      </c>
      <c r="G1135" s="152">
        <v>0</v>
      </c>
      <c r="H1135" s="152"/>
      <c r="I1135" s="153">
        <v>53.661666666666683</v>
      </c>
      <c r="J1135" s="145"/>
      <c r="K1135" s="153" t="s">
        <v>86</v>
      </c>
      <c r="L1135" s="153" t="s">
        <v>86</v>
      </c>
      <c r="M1135" s="153"/>
      <c r="N1135" s="2" t="s">
        <v>57</v>
      </c>
      <c r="O1135" s="2"/>
      <c r="P1135" s="2"/>
    </row>
    <row r="1136" spans="1:16" ht="16.5" customHeight="1" x14ac:dyDescent="0.25">
      <c r="A1136" s="2" t="s">
        <v>2396</v>
      </c>
      <c r="B1136" s="8" t="s">
        <v>2396</v>
      </c>
      <c r="C1136" s="152" t="s">
        <v>102</v>
      </c>
      <c r="D1136" s="2" t="s">
        <v>278</v>
      </c>
      <c r="E1136" s="152" t="s">
        <v>102</v>
      </c>
      <c r="F1136" s="152" t="s">
        <v>103</v>
      </c>
      <c r="G1136" s="152">
        <v>0</v>
      </c>
      <c r="H1136" s="152"/>
      <c r="I1136" s="153">
        <v>14.085993589743589</v>
      </c>
      <c r="J1136" s="145"/>
      <c r="K1136" s="153" t="s">
        <v>86</v>
      </c>
      <c r="L1136" s="153">
        <v>-10.851486874574841</v>
      </c>
      <c r="M1136" s="153"/>
      <c r="N1136" s="2" t="s">
        <v>57</v>
      </c>
      <c r="O1136" s="2"/>
      <c r="P1136" s="2"/>
    </row>
    <row r="1137" spans="1:16" ht="16.5" customHeight="1" x14ac:dyDescent="0.25">
      <c r="A1137" s="2" t="s">
        <v>2397</v>
      </c>
      <c r="B1137" s="8" t="s">
        <v>2397</v>
      </c>
      <c r="C1137" s="152" t="s">
        <v>102</v>
      </c>
      <c r="D1137" s="2" t="s">
        <v>278</v>
      </c>
      <c r="E1137" s="152" t="s">
        <v>102</v>
      </c>
      <c r="F1137" s="152" t="s">
        <v>103</v>
      </c>
      <c r="G1137" s="152">
        <v>0</v>
      </c>
      <c r="H1137" s="152"/>
      <c r="I1137" s="153">
        <v>92.726474358974372</v>
      </c>
      <c r="J1137" s="145"/>
      <c r="K1137" s="153" t="s">
        <v>86</v>
      </c>
      <c r="L1137" s="153" t="s">
        <v>86</v>
      </c>
      <c r="M1137" s="153"/>
      <c r="N1137" s="2" t="s">
        <v>57</v>
      </c>
      <c r="O1137" s="2"/>
      <c r="P1137" s="2"/>
    </row>
    <row r="1138" spans="1:16" ht="16.5" customHeight="1" x14ac:dyDescent="0.25">
      <c r="A1138" s="2" t="s">
        <v>2398</v>
      </c>
      <c r="B1138" s="8" t="s">
        <v>2398</v>
      </c>
      <c r="C1138" s="152" t="s">
        <v>102</v>
      </c>
      <c r="D1138" s="2" t="s">
        <v>278</v>
      </c>
      <c r="E1138" s="152" t="s">
        <v>102</v>
      </c>
      <c r="F1138" s="152" t="s">
        <v>103</v>
      </c>
      <c r="G1138" s="152">
        <v>0</v>
      </c>
      <c r="H1138" s="152"/>
      <c r="I1138" s="153">
        <v>55.688910256410267</v>
      </c>
      <c r="J1138" s="145"/>
      <c r="K1138" s="153" t="s">
        <v>86</v>
      </c>
      <c r="L1138" s="153" t="s">
        <v>86</v>
      </c>
      <c r="M1138" s="153"/>
      <c r="N1138" s="2" t="s">
        <v>57</v>
      </c>
      <c r="O1138" s="2"/>
      <c r="P1138" s="2"/>
    </row>
    <row r="1139" spans="1:16" ht="16.5" customHeight="1" x14ac:dyDescent="0.25">
      <c r="A1139" s="2" t="s">
        <v>2399</v>
      </c>
      <c r="B1139" s="8" t="s">
        <v>2399</v>
      </c>
      <c r="C1139" s="152" t="s">
        <v>102</v>
      </c>
      <c r="D1139" s="2" t="s">
        <v>282</v>
      </c>
      <c r="E1139" s="152" t="s">
        <v>102</v>
      </c>
      <c r="F1139" s="152" t="s">
        <v>103</v>
      </c>
      <c r="G1139" s="152">
        <v>0</v>
      </c>
      <c r="H1139" s="152"/>
      <c r="I1139" s="153">
        <v>5.9808974358974369</v>
      </c>
      <c r="J1139" s="145"/>
      <c r="K1139" s="153" t="s">
        <v>86</v>
      </c>
      <c r="L1139" s="153" t="s">
        <v>86</v>
      </c>
      <c r="M1139" s="153"/>
      <c r="N1139" s="2" t="s">
        <v>57</v>
      </c>
      <c r="O1139" s="2"/>
      <c r="P1139" s="2"/>
    </row>
    <row r="1140" spans="1:16" ht="16.5" customHeight="1" x14ac:dyDescent="0.25">
      <c r="A1140" s="2" t="s">
        <v>2400</v>
      </c>
      <c r="B1140" s="8" t="s">
        <v>2400</v>
      </c>
      <c r="C1140" s="152" t="s">
        <v>102</v>
      </c>
      <c r="D1140" s="2" t="s">
        <v>282</v>
      </c>
      <c r="E1140" s="152" t="s">
        <v>102</v>
      </c>
      <c r="F1140" s="152" t="s">
        <v>103</v>
      </c>
      <c r="G1140" s="152">
        <v>0</v>
      </c>
      <c r="H1140" s="152"/>
      <c r="I1140" s="153">
        <v>11.16288461538462</v>
      </c>
      <c r="J1140" s="145"/>
      <c r="K1140" s="153" t="s">
        <v>86</v>
      </c>
      <c r="L1140" s="153" t="s">
        <v>86</v>
      </c>
      <c r="M1140" s="153"/>
      <c r="N1140" s="2" t="s">
        <v>57</v>
      </c>
      <c r="O1140" s="2"/>
      <c r="P1140" s="2"/>
    </row>
    <row r="1141" spans="1:16" ht="16.5" customHeight="1" x14ac:dyDescent="0.25">
      <c r="A1141" s="2" t="s">
        <v>2401</v>
      </c>
      <c r="B1141" s="8" t="s">
        <v>2401</v>
      </c>
      <c r="C1141" s="152" t="s">
        <v>102</v>
      </c>
      <c r="D1141" s="2" t="s">
        <v>282</v>
      </c>
      <c r="E1141" s="152" t="s">
        <v>102</v>
      </c>
      <c r="F1141" s="152" t="s">
        <v>103</v>
      </c>
      <c r="G1141" s="152">
        <v>0</v>
      </c>
      <c r="H1141" s="152"/>
      <c r="I1141" s="153">
        <v>22.217884615384619</v>
      </c>
      <c r="J1141" s="145"/>
      <c r="K1141" s="153" t="s">
        <v>86</v>
      </c>
      <c r="L1141" s="153" t="s">
        <v>86</v>
      </c>
      <c r="M1141" s="153"/>
      <c r="N1141" s="2" t="s">
        <v>57</v>
      </c>
      <c r="O1141" s="2"/>
      <c r="P1141" s="2"/>
    </row>
    <row r="1142" spans="1:16" ht="16.5" customHeight="1" x14ac:dyDescent="0.25">
      <c r="A1142" s="2" t="s">
        <v>2402</v>
      </c>
      <c r="B1142" s="8" t="s">
        <v>2402</v>
      </c>
      <c r="C1142" s="152" t="s">
        <v>102</v>
      </c>
      <c r="D1142" s="2" t="s">
        <v>282</v>
      </c>
      <c r="E1142" s="152" t="s">
        <v>102</v>
      </c>
      <c r="F1142" s="152" t="s">
        <v>103</v>
      </c>
      <c r="G1142" s="152">
        <v>0</v>
      </c>
      <c r="H1142" s="152"/>
      <c r="I1142" s="153">
        <v>33.222115384615392</v>
      </c>
      <c r="J1142" s="145"/>
      <c r="K1142" s="153" t="s">
        <v>86</v>
      </c>
      <c r="L1142" s="153" t="s">
        <v>86</v>
      </c>
      <c r="M1142" s="153"/>
      <c r="N1142" s="2" t="s">
        <v>57</v>
      </c>
      <c r="O1142" s="2"/>
      <c r="P1142" s="2"/>
    </row>
    <row r="1143" spans="1:16" ht="16.5" customHeight="1" x14ac:dyDescent="0.25">
      <c r="A1143" s="2" t="s">
        <v>2403</v>
      </c>
      <c r="B1143" s="8" t="s">
        <v>2403</v>
      </c>
      <c r="C1143" s="152" t="s">
        <v>102</v>
      </c>
      <c r="D1143" s="2" t="s">
        <v>278</v>
      </c>
      <c r="E1143" s="152" t="s">
        <v>102</v>
      </c>
      <c r="F1143" s="152" t="s">
        <v>103</v>
      </c>
      <c r="G1143" s="152">
        <v>0</v>
      </c>
      <c r="H1143" s="152"/>
      <c r="I1143" s="153">
        <v>88.356794871794875</v>
      </c>
      <c r="J1143" s="145"/>
      <c r="K1143" s="153" t="s">
        <v>86</v>
      </c>
      <c r="L1143" s="153">
        <v>-41.681491531474776</v>
      </c>
      <c r="M1143" s="153"/>
      <c r="N1143" s="2" t="s">
        <v>57</v>
      </c>
      <c r="O1143" s="2"/>
      <c r="P1143" s="2"/>
    </row>
    <row r="1144" spans="1:16" ht="16.5" customHeight="1" x14ac:dyDescent="0.25">
      <c r="A1144" s="2" t="s">
        <v>2404</v>
      </c>
      <c r="B1144" s="8" t="s">
        <v>2404</v>
      </c>
      <c r="C1144" s="152" t="s">
        <v>102</v>
      </c>
      <c r="D1144" s="2" t="s">
        <v>278</v>
      </c>
      <c r="E1144" s="152" t="s">
        <v>102</v>
      </c>
      <c r="F1144" s="152" t="s">
        <v>103</v>
      </c>
      <c r="G1144" s="152">
        <v>0</v>
      </c>
      <c r="H1144" s="152"/>
      <c r="I1144" s="153">
        <v>118.7287820512821</v>
      </c>
      <c r="J1144" s="145"/>
      <c r="K1144" s="153" t="s">
        <v>86</v>
      </c>
      <c r="L1144" s="153">
        <v>-48.424251013514372</v>
      </c>
      <c r="M1144" s="153"/>
      <c r="N1144" s="2" t="s">
        <v>57</v>
      </c>
      <c r="O1144" s="2"/>
      <c r="P1144" s="2"/>
    </row>
    <row r="1145" spans="1:16" ht="16.5" customHeight="1" x14ac:dyDescent="0.25">
      <c r="A1145" s="2" t="s">
        <v>2405</v>
      </c>
      <c r="B1145" s="8" t="s">
        <v>2405</v>
      </c>
      <c r="C1145" s="152" t="s">
        <v>102</v>
      </c>
      <c r="D1145" s="2" t="s">
        <v>278</v>
      </c>
      <c r="E1145" s="152" t="s">
        <v>102</v>
      </c>
      <c r="F1145" s="152" t="s">
        <v>103</v>
      </c>
      <c r="G1145" s="152">
        <v>0</v>
      </c>
      <c r="H1145" s="152"/>
      <c r="I1145" s="153">
        <v>23.603461538461541</v>
      </c>
      <c r="J1145" s="145"/>
      <c r="K1145" s="153" t="s">
        <v>86</v>
      </c>
      <c r="L1145" s="153" t="s">
        <v>86</v>
      </c>
      <c r="M1145" s="153"/>
      <c r="N1145" s="2" t="s">
        <v>57</v>
      </c>
      <c r="O1145" s="2"/>
      <c r="P1145" s="2"/>
    </row>
    <row r="1146" spans="1:16" ht="16.5" customHeight="1" x14ac:dyDescent="0.25">
      <c r="A1146" s="2" t="s">
        <v>2406</v>
      </c>
      <c r="B1146" s="8" t="s">
        <v>2406</v>
      </c>
      <c r="C1146" s="152" t="s">
        <v>102</v>
      </c>
      <c r="D1146" s="2" t="s">
        <v>148</v>
      </c>
      <c r="E1146" s="152" t="s">
        <v>102</v>
      </c>
      <c r="F1146" s="152" t="s">
        <v>103</v>
      </c>
      <c r="G1146" s="152">
        <v>0</v>
      </c>
      <c r="H1146" s="152"/>
      <c r="I1146" s="153">
        <v>14.250500000000001</v>
      </c>
      <c r="J1146" s="145"/>
      <c r="K1146" s="153">
        <v>-1.8180000000000001</v>
      </c>
      <c r="L1146" s="153" t="s">
        <v>86</v>
      </c>
      <c r="M1146" s="153"/>
      <c r="N1146" s="2" t="s">
        <v>57</v>
      </c>
      <c r="O1146" s="2"/>
      <c r="P1146" s="2"/>
    </row>
    <row r="1147" spans="1:16" ht="16.5" customHeight="1" x14ac:dyDescent="0.25">
      <c r="A1147" s="2" t="s">
        <v>2407</v>
      </c>
      <c r="B1147" s="8" t="s">
        <v>2407</v>
      </c>
      <c r="C1147" s="152" t="s">
        <v>102</v>
      </c>
      <c r="D1147" s="2" t="s">
        <v>278</v>
      </c>
      <c r="E1147" s="152" t="s">
        <v>102</v>
      </c>
      <c r="F1147" s="152" t="s">
        <v>103</v>
      </c>
      <c r="G1147" s="152">
        <v>0</v>
      </c>
      <c r="H1147" s="152"/>
      <c r="I1147" s="153">
        <v>34.74942307692308</v>
      </c>
      <c r="J1147" s="145"/>
      <c r="K1147" s="153" t="s">
        <v>86</v>
      </c>
      <c r="L1147" s="153" t="s">
        <v>86</v>
      </c>
      <c r="M1147" s="153"/>
      <c r="N1147" s="2" t="s">
        <v>57</v>
      </c>
      <c r="O1147" s="2"/>
      <c r="P1147" s="2"/>
    </row>
    <row r="1148" spans="1:16" ht="16.5" customHeight="1" x14ac:dyDescent="0.25">
      <c r="A1148" s="2" t="s">
        <v>2408</v>
      </c>
      <c r="B1148" s="8" t="s">
        <v>2408</v>
      </c>
      <c r="C1148" s="152" t="s">
        <v>102</v>
      </c>
      <c r="D1148" s="2" t="s">
        <v>282</v>
      </c>
      <c r="E1148" s="152" t="s">
        <v>102</v>
      </c>
      <c r="F1148" s="152" t="s">
        <v>103</v>
      </c>
      <c r="G1148" s="152">
        <v>0</v>
      </c>
      <c r="H1148" s="152"/>
      <c r="I1148" s="153">
        <v>7.0315384615384628</v>
      </c>
      <c r="J1148" s="145"/>
      <c r="K1148" s="153" t="s">
        <v>86</v>
      </c>
      <c r="L1148" s="153" t="s">
        <v>86</v>
      </c>
      <c r="M1148" s="153"/>
      <c r="N1148" s="2" t="s">
        <v>57</v>
      </c>
      <c r="O1148" s="2"/>
      <c r="P1148" s="2"/>
    </row>
    <row r="1149" spans="1:16" ht="16.5" customHeight="1" x14ac:dyDescent="0.25">
      <c r="A1149" s="2" t="s">
        <v>2409</v>
      </c>
      <c r="B1149" s="8" t="s">
        <v>2409</v>
      </c>
      <c r="C1149" s="152" t="s">
        <v>102</v>
      </c>
      <c r="D1149" s="2" t="s">
        <v>1906</v>
      </c>
      <c r="E1149" s="152" t="s">
        <v>102</v>
      </c>
      <c r="F1149" s="152" t="s">
        <v>103</v>
      </c>
      <c r="G1149" s="152">
        <v>0</v>
      </c>
      <c r="H1149" s="152"/>
      <c r="I1149" s="153">
        <v>7.5459294871794889</v>
      </c>
      <c r="J1149" s="145"/>
      <c r="K1149" s="153">
        <v>-0.66315789473684206</v>
      </c>
      <c r="L1149" s="153" t="s">
        <v>86</v>
      </c>
      <c r="M1149" s="153"/>
      <c r="N1149" s="2" t="s">
        <v>57</v>
      </c>
      <c r="O1149" s="2"/>
      <c r="P1149" s="2"/>
    </row>
    <row r="1150" spans="1:16" ht="16.5" customHeight="1" x14ac:dyDescent="0.25">
      <c r="A1150" s="2" t="s">
        <v>2410</v>
      </c>
      <c r="B1150" s="8" t="s">
        <v>2410</v>
      </c>
      <c r="C1150" s="152" t="s">
        <v>102</v>
      </c>
      <c r="D1150" s="2" t="s">
        <v>1906</v>
      </c>
      <c r="E1150" s="152" t="s">
        <v>102</v>
      </c>
      <c r="F1150" s="152" t="s">
        <v>103</v>
      </c>
      <c r="G1150" s="152">
        <v>0</v>
      </c>
      <c r="H1150" s="152"/>
      <c r="I1150" s="153">
        <v>13.079000000000001</v>
      </c>
      <c r="J1150" s="145"/>
      <c r="K1150" s="153">
        <v>-0.53077894736842102</v>
      </c>
      <c r="L1150" s="153" t="s">
        <v>86</v>
      </c>
      <c r="M1150" s="153"/>
      <c r="N1150" s="2" t="s">
        <v>57</v>
      </c>
      <c r="O1150" s="2"/>
      <c r="P1150" s="2"/>
    </row>
    <row r="1151" spans="1:16" ht="16.5" customHeight="1" x14ac:dyDescent="0.25">
      <c r="A1151" s="2" t="s">
        <v>2411</v>
      </c>
      <c r="B1151" s="8" t="s">
        <v>2411</v>
      </c>
      <c r="C1151" s="152" t="s">
        <v>102</v>
      </c>
      <c r="D1151" s="2" t="s">
        <v>1906</v>
      </c>
      <c r="E1151" s="152" t="s">
        <v>102</v>
      </c>
      <c r="F1151" s="152" t="s">
        <v>103</v>
      </c>
      <c r="G1151" s="152">
        <v>0</v>
      </c>
      <c r="H1151" s="152"/>
      <c r="I1151" s="153">
        <v>26.686</v>
      </c>
      <c r="J1151" s="145"/>
      <c r="K1151" s="153" t="s">
        <v>86</v>
      </c>
      <c r="L1151" s="153" t="s">
        <v>86</v>
      </c>
      <c r="M1151" s="153"/>
      <c r="N1151" s="2" t="s">
        <v>57</v>
      </c>
      <c r="O1151" s="2"/>
      <c r="P1151" s="2"/>
    </row>
    <row r="1152" spans="1:16" ht="16.5" customHeight="1" x14ac:dyDescent="0.25">
      <c r="A1152" s="2" t="s">
        <v>2412</v>
      </c>
      <c r="B1152" s="8" t="s">
        <v>2412</v>
      </c>
      <c r="C1152" s="152" t="s">
        <v>102</v>
      </c>
      <c r="D1152" s="2" t="s">
        <v>2413</v>
      </c>
      <c r="E1152" s="152" t="s">
        <v>102</v>
      </c>
      <c r="F1152" s="152" t="s">
        <v>103</v>
      </c>
      <c r="G1152" s="152">
        <v>0</v>
      </c>
      <c r="H1152" s="152"/>
      <c r="I1152" s="153">
        <v>3.4430000000000001</v>
      </c>
      <c r="J1152" s="145"/>
      <c r="K1152" s="153" t="s">
        <v>86</v>
      </c>
      <c r="L1152" s="153" t="s">
        <v>86</v>
      </c>
      <c r="M1152" s="153"/>
      <c r="N1152" s="2" t="s">
        <v>57</v>
      </c>
      <c r="O1152" s="2"/>
      <c r="P1152" s="2"/>
    </row>
    <row r="1153" spans="1:16" ht="16.5" customHeight="1" x14ac:dyDescent="0.25">
      <c r="A1153" s="2" t="s">
        <v>2414</v>
      </c>
      <c r="B1153" s="8" t="s">
        <v>2414</v>
      </c>
      <c r="C1153" s="152" t="s">
        <v>102</v>
      </c>
      <c r="D1153" s="2" t="s">
        <v>278</v>
      </c>
      <c r="E1153" s="152" t="s">
        <v>102</v>
      </c>
      <c r="F1153" s="152" t="s">
        <v>103</v>
      </c>
      <c r="G1153" s="152">
        <v>0</v>
      </c>
      <c r="H1153" s="152"/>
      <c r="I1153" s="153">
        <v>45.175342465753417</v>
      </c>
      <c r="J1153" s="145"/>
      <c r="K1153" s="153" t="s">
        <v>86</v>
      </c>
      <c r="L1153" s="153" t="s">
        <v>86</v>
      </c>
      <c r="M1153" s="153"/>
      <c r="N1153" s="2" t="s">
        <v>57</v>
      </c>
      <c r="O1153" s="2"/>
      <c r="P1153" s="2"/>
    </row>
    <row r="1154" spans="1:16" ht="16.5" customHeight="1" x14ac:dyDescent="0.25">
      <c r="A1154" s="146" t="s">
        <v>2415</v>
      </c>
      <c r="B1154" s="146" t="s">
        <v>2415</v>
      </c>
      <c r="C1154" s="146" t="s">
        <v>102</v>
      </c>
      <c r="D1154" s="2" t="s">
        <v>278</v>
      </c>
      <c r="E1154" s="152" t="s">
        <v>102</v>
      </c>
      <c r="F1154" s="152" t="s">
        <v>103</v>
      </c>
      <c r="G1154" s="152">
        <v>0</v>
      </c>
      <c r="H1154" s="152"/>
      <c r="I1154" s="153" t="s">
        <v>86</v>
      </c>
      <c r="J1154" s="145"/>
      <c r="K1154" s="153" t="s">
        <v>86</v>
      </c>
      <c r="L1154" s="153" t="s">
        <v>86</v>
      </c>
      <c r="M1154" s="153"/>
      <c r="N1154" s="2" t="s">
        <v>57</v>
      </c>
      <c r="O1154" s="2"/>
      <c r="P1154" s="2"/>
    </row>
    <row r="1155" spans="1:16" ht="16.5" customHeight="1" x14ac:dyDescent="0.25">
      <c r="A1155" s="2" t="s">
        <v>2416</v>
      </c>
      <c r="B1155" s="8" t="s">
        <v>2416</v>
      </c>
      <c r="C1155" s="152" t="s">
        <v>102</v>
      </c>
      <c r="D1155" s="2" t="s">
        <v>148</v>
      </c>
      <c r="E1155" s="152" t="s">
        <v>102</v>
      </c>
      <c r="F1155" s="152" t="s">
        <v>103</v>
      </c>
      <c r="G1155" s="152">
        <v>0</v>
      </c>
      <c r="H1155" s="152"/>
      <c r="I1155" s="153">
        <v>12.87775641025641</v>
      </c>
      <c r="J1155" s="145"/>
      <c r="K1155" s="153" t="s">
        <v>86</v>
      </c>
      <c r="L1155" s="153" t="s">
        <v>86</v>
      </c>
      <c r="M1155" s="153"/>
      <c r="N1155" s="2" t="s">
        <v>57</v>
      </c>
      <c r="O1155" s="2"/>
      <c r="P1155" s="2"/>
    </row>
    <row r="1156" spans="1:16" ht="16.5" customHeight="1" x14ac:dyDescent="0.25">
      <c r="A1156" s="2" t="s">
        <v>2417</v>
      </c>
      <c r="B1156" s="8" t="s">
        <v>2417</v>
      </c>
      <c r="C1156" s="152" t="s">
        <v>102</v>
      </c>
      <c r="D1156" s="2" t="s">
        <v>296</v>
      </c>
      <c r="E1156" s="152" t="s">
        <v>102</v>
      </c>
      <c r="F1156" s="152" t="s">
        <v>103</v>
      </c>
      <c r="G1156" s="152">
        <v>0</v>
      </c>
      <c r="H1156" s="152"/>
      <c r="I1156" s="153">
        <v>7.3294551282051286</v>
      </c>
      <c r="J1156" s="145"/>
      <c r="K1156" s="153" t="s">
        <v>86</v>
      </c>
      <c r="L1156" s="153" t="s">
        <v>86</v>
      </c>
      <c r="M1156" s="153"/>
      <c r="N1156" s="2" t="s">
        <v>57</v>
      </c>
      <c r="O1156" s="2"/>
      <c r="P1156" s="2"/>
    </row>
    <row r="1157" spans="1:16" ht="16.5" customHeight="1" x14ac:dyDescent="0.25">
      <c r="A1157" s="2" t="s">
        <v>2418</v>
      </c>
      <c r="B1157" s="8" t="s">
        <v>2418</v>
      </c>
      <c r="C1157" s="152" t="s">
        <v>102</v>
      </c>
      <c r="D1157" s="2" t="s">
        <v>82</v>
      </c>
      <c r="E1157" s="152" t="s">
        <v>102</v>
      </c>
      <c r="F1157" s="152" t="s">
        <v>103</v>
      </c>
      <c r="G1157" s="152">
        <v>0</v>
      </c>
      <c r="H1157" s="152"/>
      <c r="I1157" s="153">
        <v>4.8569230769230778</v>
      </c>
      <c r="J1157" s="145"/>
      <c r="K1157" s="153" t="s">
        <v>86</v>
      </c>
      <c r="L1157" s="153" t="s">
        <v>86</v>
      </c>
      <c r="M1157" s="153"/>
      <c r="N1157" s="2" t="s">
        <v>57</v>
      </c>
      <c r="O1157" s="2"/>
      <c r="P1157" s="2"/>
    </row>
    <row r="1158" spans="1:16" ht="16.5" customHeight="1" x14ac:dyDescent="0.25">
      <c r="A1158" s="2" t="s">
        <v>2419</v>
      </c>
      <c r="B1158" s="8" t="s">
        <v>2419</v>
      </c>
      <c r="C1158" s="152" t="s">
        <v>102</v>
      </c>
      <c r="D1158" s="2" t="s">
        <v>82</v>
      </c>
      <c r="E1158" s="152" t="s">
        <v>102</v>
      </c>
      <c r="F1158" s="152" t="s">
        <v>103</v>
      </c>
      <c r="G1158" s="152">
        <v>0</v>
      </c>
      <c r="H1158" s="152"/>
      <c r="I1158" s="153">
        <v>4.1324038461538466</v>
      </c>
      <c r="J1158" s="145"/>
      <c r="K1158" s="153" t="s">
        <v>86</v>
      </c>
      <c r="L1158" s="153" t="s">
        <v>86</v>
      </c>
      <c r="M1158" s="153"/>
      <c r="N1158" s="2" t="s">
        <v>57</v>
      </c>
      <c r="O1158" s="2"/>
      <c r="P1158" s="2"/>
    </row>
    <row r="1159" spans="1:16" ht="16.5" customHeight="1" x14ac:dyDescent="0.25">
      <c r="A1159" s="2" t="s">
        <v>2420</v>
      </c>
      <c r="B1159" s="8" t="s">
        <v>2420</v>
      </c>
      <c r="C1159" s="152" t="s">
        <v>102</v>
      </c>
      <c r="D1159" s="2" t="s">
        <v>82</v>
      </c>
      <c r="E1159" s="152" t="s">
        <v>102</v>
      </c>
      <c r="F1159" s="152" t="s">
        <v>103</v>
      </c>
      <c r="G1159" s="152">
        <v>0</v>
      </c>
      <c r="H1159" s="152"/>
      <c r="I1159" s="153">
        <v>5.5144551282051291</v>
      </c>
      <c r="J1159" s="145"/>
      <c r="K1159" s="153" t="s">
        <v>86</v>
      </c>
      <c r="L1159" s="153" t="s">
        <v>86</v>
      </c>
      <c r="M1159" s="153"/>
      <c r="N1159" s="2" t="s">
        <v>57</v>
      </c>
      <c r="O1159" s="2"/>
      <c r="P1159" s="2"/>
    </row>
    <row r="1160" spans="1:16" ht="16.5" customHeight="1" x14ac:dyDescent="0.25">
      <c r="A1160" s="2" t="s">
        <v>2421</v>
      </c>
      <c r="B1160" s="8" t="s">
        <v>2421</v>
      </c>
      <c r="C1160" s="152" t="s">
        <v>102</v>
      </c>
      <c r="D1160" s="2" t="s">
        <v>82</v>
      </c>
      <c r="E1160" s="152" t="s">
        <v>102</v>
      </c>
      <c r="F1160" s="152" t="s">
        <v>103</v>
      </c>
      <c r="G1160" s="152">
        <v>0</v>
      </c>
      <c r="H1160" s="152"/>
      <c r="I1160" s="153">
        <v>4.1165384615384628</v>
      </c>
      <c r="J1160" s="145"/>
      <c r="K1160" s="153" t="s">
        <v>86</v>
      </c>
      <c r="L1160" s="153" t="s">
        <v>86</v>
      </c>
      <c r="M1160" s="153"/>
      <c r="N1160" s="2" t="s">
        <v>57</v>
      </c>
      <c r="O1160" s="2"/>
      <c r="P1160" s="2"/>
    </row>
    <row r="1161" spans="1:16" ht="16.5" customHeight="1" x14ac:dyDescent="0.25">
      <c r="A1161" s="2" t="s">
        <v>2422</v>
      </c>
      <c r="B1161" s="8" t="s">
        <v>2422</v>
      </c>
      <c r="C1161" s="152" t="s">
        <v>102</v>
      </c>
      <c r="D1161" s="2" t="s">
        <v>82</v>
      </c>
      <c r="E1161" s="152" t="s">
        <v>102</v>
      </c>
      <c r="F1161" s="152" t="s">
        <v>103</v>
      </c>
      <c r="G1161" s="152">
        <v>0</v>
      </c>
      <c r="H1161" s="152"/>
      <c r="I1161" s="153">
        <v>7.6203205128205136</v>
      </c>
      <c r="J1161" s="145"/>
      <c r="K1161" s="153" t="s">
        <v>86</v>
      </c>
      <c r="L1161" s="153" t="s">
        <v>86</v>
      </c>
      <c r="M1161" s="153"/>
      <c r="N1161" s="2" t="s">
        <v>57</v>
      </c>
      <c r="O1161" s="2"/>
      <c r="P1161" s="2"/>
    </row>
    <row r="1162" spans="1:16" ht="16.5" customHeight="1" x14ac:dyDescent="0.25">
      <c r="A1162" s="2" t="s">
        <v>2423</v>
      </c>
      <c r="B1162" s="8" t="s">
        <v>2423</v>
      </c>
      <c r="C1162" s="152" t="s">
        <v>102</v>
      </c>
      <c r="D1162" s="2" t="s">
        <v>82</v>
      </c>
      <c r="E1162" s="152" t="s">
        <v>102</v>
      </c>
      <c r="F1162" s="152" t="s">
        <v>103</v>
      </c>
      <c r="G1162" s="152">
        <v>0</v>
      </c>
      <c r="H1162" s="152"/>
      <c r="I1162" s="153">
        <v>12.1500641025641</v>
      </c>
      <c r="J1162" s="145"/>
      <c r="K1162" s="153" t="s">
        <v>86</v>
      </c>
      <c r="L1162" s="153" t="s">
        <v>86</v>
      </c>
      <c r="M1162" s="153"/>
      <c r="N1162" s="2" t="s">
        <v>57</v>
      </c>
      <c r="O1162" s="2"/>
      <c r="P1162" s="2"/>
    </row>
    <row r="1163" spans="1:16" ht="16.5" customHeight="1" x14ac:dyDescent="0.25">
      <c r="A1163" s="2" t="s">
        <v>2424</v>
      </c>
      <c r="B1163" s="8" t="s">
        <v>2424</v>
      </c>
      <c r="C1163" s="152" t="s">
        <v>102</v>
      </c>
      <c r="D1163" s="2" t="s">
        <v>82</v>
      </c>
      <c r="E1163" s="152" t="s">
        <v>102</v>
      </c>
      <c r="F1163" s="152" t="s">
        <v>103</v>
      </c>
      <c r="G1163" s="152">
        <v>0</v>
      </c>
      <c r="H1163" s="152"/>
      <c r="I1163" s="153">
        <v>6.3278205128205141</v>
      </c>
      <c r="J1163" s="145"/>
      <c r="K1163" s="153" t="s">
        <v>86</v>
      </c>
      <c r="L1163" s="153" t="s">
        <v>86</v>
      </c>
      <c r="M1163" s="153"/>
      <c r="N1163" s="2" t="s">
        <v>57</v>
      </c>
      <c r="O1163" s="2"/>
      <c r="P1163" s="2"/>
    </row>
    <row r="1164" spans="1:16" ht="16.5" customHeight="1" x14ac:dyDescent="0.25">
      <c r="A1164" s="2" t="s">
        <v>2425</v>
      </c>
      <c r="B1164" s="8" t="s">
        <v>2425</v>
      </c>
      <c r="C1164" s="152" t="s">
        <v>102</v>
      </c>
      <c r="D1164" s="2" t="s">
        <v>82</v>
      </c>
      <c r="E1164" s="152" t="s">
        <v>102</v>
      </c>
      <c r="F1164" s="152" t="s">
        <v>103</v>
      </c>
      <c r="G1164" s="152">
        <v>0</v>
      </c>
      <c r="H1164" s="152"/>
      <c r="I1164" s="153">
        <v>7.2681089743589746</v>
      </c>
      <c r="J1164" s="145"/>
      <c r="K1164" s="153" t="s">
        <v>86</v>
      </c>
      <c r="L1164" s="153" t="s">
        <v>86</v>
      </c>
      <c r="M1164" s="153"/>
      <c r="N1164" s="2" t="s">
        <v>57</v>
      </c>
      <c r="O1164" s="2"/>
      <c r="P1164" s="2"/>
    </row>
    <row r="1165" spans="1:16" ht="16.5" customHeight="1" x14ac:dyDescent="0.25">
      <c r="A1165" s="2" t="s">
        <v>2426</v>
      </c>
      <c r="B1165" s="8" t="s">
        <v>2426</v>
      </c>
      <c r="C1165" s="152" t="s">
        <v>102</v>
      </c>
      <c r="D1165" s="2" t="s">
        <v>82</v>
      </c>
      <c r="E1165" s="152" t="s">
        <v>102</v>
      </c>
      <c r="F1165" s="152" t="s">
        <v>103</v>
      </c>
      <c r="G1165" s="152">
        <v>0</v>
      </c>
      <c r="H1165" s="152"/>
      <c r="I1165" s="153">
        <v>8.25</v>
      </c>
      <c r="J1165" s="145"/>
      <c r="K1165" s="153" t="s">
        <v>86</v>
      </c>
      <c r="L1165" s="153" t="s">
        <v>86</v>
      </c>
      <c r="M1165" s="153"/>
      <c r="N1165" s="2" t="s">
        <v>57</v>
      </c>
      <c r="O1165" s="2"/>
      <c r="P1165" s="2"/>
    </row>
    <row r="1166" spans="1:16" ht="16.5" customHeight="1" x14ac:dyDescent="0.25">
      <c r="A1166" s="2" t="s">
        <v>2427</v>
      </c>
      <c r="B1166" s="8" t="s">
        <v>2427</v>
      </c>
      <c r="C1166" s="152" t="s">
        <v>102</v>
      </c>
      <c r="D1166" s="2" t="s">
        <v>82</v>
      </c>
      <c r="E1166" s="152" t="s">
        <v>102</v>
      </c>
      <c r="F1166" s="152" t="s">
        <v>103</v>
      </c>
      <c r="G1166" s="152">
        <v>0</v>
      </c>
      <c r="H1166" s="152"/>
      <c r="I1166" s="153">
        <v>12.717339743589751</v>
      </c>
      <c r="J1166" s="145"/>
      <c r="K1166" s="153" t="s">
        <v>86</v>
      </c>
      <c r="L1166" s="153" t="s">
        <v>86</v>
      </c>
      <c r="M1166" s="153"/>
      <c r="N1166" s="2" t="s">
        <v>57</v>
      </c>
      <c r="O1166" s="2"/>
      <c r="P1166" s="2"/>
    </row>
    <row r="1167" spans="1:16" ht="16.5" customHeight="1" x14ac:dyDescent="0.25">
      <c r="A1167" s="2" t="s">
        <v>2428</v>
      </c>
      <c r="B1167" s="8" t="s">
        <v>2428</v>
      </c>
      <c r="C1167" s="152" t="s">
        <v>102</v>
      </c>
      <c r="D1167" s="2" t="s">
        <v>82</v>
      </c>
      <c r="E1167" s="152" t="s">
        <v>102</v>
      </c>
      <c r="F1167" s="152" t="s">
        <v>103</v>
      </c>
      <c r="G1167" s="152">
        <v>0</v>
      </c>
      <c r="H1167" s="152"/>
      <c r="I1167" s="153">
        <v>11.056057692307689</v>
      </c>
      <c r="J1167" s="145"/>
      <c r="K1167" s="153" t="s">
        <v>86</v>
      </c>
      <c r="L1167" s="153" t="s">
        <v>86</v>
      </c>
      <c r="M1167" s="153"/>
      <c r="N1167" s="2" t="s">
        <v>57</v>
      </c>
      <c r="O1167" s="2"/>
      <c r="P1167" s="2"/>
    </row>
    <row r="1168" spans="1:16" ht="16.5" customHeight="1" x14ac:dyDescent="0.25">
      <c r="A1168" s="2" t="s">
        <v>2429</v>
      </c>
      <c r="B1168" s="8" t="s">
        <v>2429</v>
      </c>
      <c r="C1168" s="152" t="s">
        <v>102</v>
      </c>
      <c r="D1168" s="2" t="s">
        <v>278</v>
      </c>
      <c r="E1168" s="152" t="s">
        <v>102</v>
      </c>
      <c r="F1168" s="152" t="s">
        <v>103</v>
      </c>
      <c r="G1168" s="152">
        <v>0</v>
      </c>
      <c r="H1168" s="152"/>
      <c r="I1168" s="153">
        <v>24.239554794520551</v>
      </c>
      <c r="J1168" s="145"/>
      <c r="K1168" s="153" t="s">
        <v>86</v>
      </c>
      <c r="L1168" s="153">
        <v>-12.00257655667856</v>
      </c>
      <c r="M1168" s="153"/>
      <c r="N1168" s="2" t="s">
        <v>57</v>
      </c>
      <c r="O1168" s="2"/>
      <c r="P1168" s="2"/>
    </row>
    <row r="1169" spans="1:16" ht="16.5" customHeight="1" x14ac:dyDescent="0.25">
      <c r="A1169" s="2" t="s">
        <v>2430</v>
      </c>
      <c r="B1169" s="8" t="s">
        <v>2430</v>
      </c>
      <c r="C1169" s="152" t="s">
        <v>102</v>
      </c>
      <c r="D1169" s="2" t="s">
        <v>278</v>
      </c>
      <c r="E1169" s="152" t="s">
        <v>102</v>
      </c>
      <c r="F1169" s="152" t="s">
        <v>103</v>
      </c>
      <c r="G1169" s="152">
        <v>0</v>
      </c>
      <c r="H1169" s="152"/>
      <c r="I1169" s="153">
        <v>19.740856164383558</v>
      </c>
      <c r="J1169" s="145"/>
      <c r="K1169" s="153" t="s">
        <v>86</v>
      </c>
      <c r="L1169" s="153">
        <v>-9.8648385756288057</v>
      </c>
      <c r="M1169" s="153"/>
      <c r="N1169" s="2" t="s">
        <v>57</v>
      </c>
      <c r="O1169" s="2"/>
      <c r="P1169" s="2"/>
    </row>
    <row r="1170" spans="1:16" ht="16.5" customHeight="1" x14ac:dyDescent="0.25">
      <c r="A1170" s="2" t="s">
        <v>2431</v>
      </c>
      <c r="B1170" s="8" t="s">
        <v>2431</v>
      </c>
      <c r="C1170" s="152" t="s">
        <v>102</v>
      </c>
      <c r="D1170" s="2" t="s">
        <v>278</v>
      </c>
      <c r="E1170" s="152" t="s">
        <v>102</v>
      </c>
      <c r="F1170" s="152" t="s">
        <v>103</v>
      </c>
      <c r="G1170" s="152">
        <v>0</v>
      </c>
      <c r="H1170" s="152"/>
      <c r="I1170" s="153">
        <v>98.114711538461549</v>
      </c>
      <c r="J1170" s="145"/>
      <c r="K1170" s="153" t="s">
        <v>86</v>
      </c>
      <c r="L1170" s="153">
        <v>-28.706787679671312</v>
      </c>
      <c r="M1170" s="153"/>
      <c r="N1170" s="2" t="s">
        <v>57</v>
      </c>
      <c r="O1170" s="2"/>
      <c r="P1170" s="2"/>
    </row>
    <row r="1171" spans="1:16" ht="16.5" customHeight="1" x14ac:dyDescent="0.25">
      <c r="A1171" s="2" t="s">
        <v>2432</v>
      </c>
      <c r="B1171" s="8" t="s">
        <v>2433</v>
      </c>
      <c r="C1171" s="152" t="s">
        <v>102</v>
      </c>
      <c r="D1171" s="2" t="s">
        <v>2434</v>
      </c>
      <c r="E1171" s="152" t="s">
        <v>102</v>
      </c>
      <c r="F1171" s="152" t="s">
        <v>103</v>
      </c>
      <c r="G1171" s="152">
        <v>0</v>
      </c>
      <c r="H1171" s="152"/>
      <c r="I1171" s="153">
        <v>0</v>
      </c>
      <c r="J1171" s="145"/>
      <c r="K1171" s="153" t="s">
        <v>86</v>
      </c>
      <c r="L1171" s="153" t="s">
        <v>86</v>
      </c>
      <c r="M1171" s="153"/>
      <c r="N1171" s="2" t="s">
        <v>57</v>
      </c>
      <c r="O1171" s="2"/>
      <c r="P1171" s="2"/>
    </row>
    <row r="1172" spans="1:16" ht="16.5" customHeight="1" x14ac:dyDescent="0.25">
      <c r="A1172" s="2" t="s">
        <v>2435</v>
      </c>
      <c r="B1172" s="8" t="s">
        <v>2436</v>
      </c>
      <c r="C1172" s="152" t="s">
        <v>102</v>
      </c>
      <c r="D1172" s="2" t="s">
        <v>54</v>
      </c>
      <c r="E1172" s="152" t="s">
        <v>102</v>
      </c>
      <c r="F1172" s="152" t="s">
        <v>103</v>
      </c>
      <c r="G1172" s="152">
        <v>0</v>
      </c>
      <c r="H1172" s="152"/>
      <c r="I1172" s="153">
        <v>0</v>
      </c>
      <c r="J1172" s="145"/>
      <c r="K1172" s="153" t="s">
        <v>86</v>
      </c>
      <c r="L1172" s="153" t="s">
        <v>86</v>
      </c>
      <c r="M1172" s="153"/>
      <c r="N1172" s="2" t="s">
        <v>57</v>
      </c>
      <c r="O1172" s="2"/>
      <c r="P1172" s="2"/>
    </row>
    <row r="1173" spans="1:16" ht="16.5" customHeight="1" x14ac:dyDescent="0.25">
      <c r="A1173" s="2" t="s">
        <v>2437</v>
      </c>
      <c r="B1173" s="8" t="s">
        <v>2438</v>
      </c>
      <c r="C1173" s="152" t="s">
        <v>102</v>
      </c>
      <c r="D1173" s="2" t="s">
        <v>54</v>
      </c>
      <c r="E1173" s="152" t="s">
        <v>102</v>
      </c>
      <c r="F1173" s="152" t="s">
        <v>103</v>
      </c>
      <c r="G1173" s="152">
        <v>0</v>
      </c>
      <c r="H1173" s="152"/>
      <c r="I1173" s="153">
        <v>0</v>
      </c>
      <c r="J1173" s="145"/>
      <c r="K1173" s="153" t="s">
        <v>86</v>
      </c>
      <c r="L1173" s="153" t="s">
        <v>86</v>
      </c>
      <c r="M1173" s="153"/>
      <c r="N1173" s="2" t="s">
        <v>57</v>
      </c>
      <c r="O1173" s="2"/>
      <c r="P1173" s="2"/>
    </row>
    <row r="1174" spans="1:16" ht="16.5" customHeight="1" x14ac:dyDescent="0.25">
      <c r="A1174" s="2" t="s">
        <v>2439</v>
      </c>
      <c r="B1174" s="8" t="s">
        <v>2440</v>
      </c>
      <c r="C1174" s="152" t="s">
        <v>102</v>
      </c>
      <c r="D1174" s="2" t="s">
        <v>54</v>
      </c>
      <c r="E1174" s="152" t="s">
        <v>102</v>
      </c>
      <c r="F1174" s="152" t="s">
        <v>103</v>
      </c>
      <c r="G1174" s="152">
        <v>0</v>
      </c>
      <c r="H1174" s="152"/>
      <c r="I1174" s="153">
        <v>0</v>
      </c>
      <c r="J1174" s="145"/>
      <c r="K1174" s="153" t="s">
        <v>86</v>
      </c>
      <c r="L1174" s="153" t="s">
        <v>86</v>
      </c>
      <c r="M1174" s="153"/>
      <c r="N1174" s="2" t="s">
        <v>57</v>
      </c>
      <c r="O1174" s="2"/>
      <c r="P1174" s="2"/>
    </row>
    <row r="1175" spans="1:16" ht="16.5" customHeight="1" x14ac:dyDescent="0.25">
      <c r="A1175" s="2" t="s">
        <v>2441</v>
      </c>
      <c r="B1175" s="8" t="s">
        <v>2442</v>
      </c>
      <c r="C1175" s="152" t="s">
        <v>102</v>
      </c>
      <c r="D1175" s="2" t="s">
        <v>54</v>
      </c>
      <c r="E1175" s="152" t="s">
        <v>102</v>
      </c>
      <c r="F1175" s="152" t="s">
        <v>103</v>
      </c>
      <c r="G1175" s="152">
        <v>0</v>
      </c>
      <c r="H1175" s="152"/>
      <c r="I1175" s="153">
        <v>0</v>
      </c>
      <c r="J1175" s="145"/>
      <c r="K1175" s="153" t="s">
        <v>86</v>
      </c>
      <c r="L1175" s="153" t="s">
        <v>86</v>
      </c>
      <c r="M1175" s="153"/>
      <c r="N1175" s="2" t="s">
        <v>57</v>
      </c>
      <c r="O1175" s="2"/>
      <c r="P1175" s="2"/>
    </row>
    <row r="1176" spans="1:16" ht="16.5" customHeight="1" x14ac:dyDescent="0.25">
      <c r="A1176" s="2" t="s">
        <v>2443</v>
      </c>
      <c r="B1176" s="8" t="s">
        <v>2444</v>
      </c>
      <c r="C1176" s="152" t="s">
        <v>102</v>
      </c>
      <c r="D1176" s="2" t="s">
        <v>54</v>
      </c>
      <c r="E1176" s="152" t="s">
        <v>102</v>
      </c>
      <c r="F1176" s="152" t="s">
        <v>103</v>
      </c>
      <c r="G1176" s="152">
        <v>0</v>
      </c>
      <c r="H1176" s="152"/>
      <c r="I1176" s="153">
        <v>0</v>
      </c>
      <c r="J1176" s="145"/>
      <c r="K1176" s="153" t="s">
        <v>86</v>
      </c>
      <c r="L1176" s="153" t="s">
        <v>86</v>
      </c>
      <c r="M1176" s="153"/>
      <c r="N1176" s="2" t="s">
        <v>57</v>
      </c>
      <c r="O1176" s="2"/>
      <c r="P1176" s="2"/>
    </row>
    <row r="1177" spans="1:16" ht="16.5" customHeight="1" x14ac:dyDescent="0.25">
      <c r="A1177" s="2" t="s">
        <v>2445</v>
      </c>
      <c r="B1177" s="8" t="s">
        <v>2446</v>
      </c>
      <c r="C1177" s="152" t="s">
        <v>102</v>
      </c>
      <c r="D1177" s="2" t="s">
        <v>54</v>
      </c>
      <c r="E1177" s="152" t="s">
        <v>102</v>
      </c>
      <c r="F1177" s="152" t="s">
        <v>103</v>
      </c>
      <c r="G1177" s="152">
        <v>0</v>
      </c>
      <c r="H1177" s="152"/>
      <c r="I1177" s="153">
        <v>0</v>
      </c>
      <c r="J1177" s="145"/>
      <c r="K1177" s="153" t="s">
        <v>86</v>
      </c>
      <c r="L1177" s="153" t="s">
        <v>86</v>
      </c>
      <c r="M1177" s="153"/>
      <c r="N1177" s="2" t="s">
        <v>57</v>
      </c>
      <c r="O1177" s="2"/>
      <c r="P1177" s="2"/>
    </row>
    <row r="1178" spans="1:16" ht="16.5" customHeight="1" x14ac:dyDescent="0.25">
      <c r="A1178" s="2" t="s">
        <v>2447</v>
      </c>
      <c r="B1178" s="8" t="s">
        <v>2448</v>
      </c>
      <c r="C1178" s="152" t="s">
        <v>102</v>
      </c>
      <c r="D1178" s="2" t="s">
        <v>54</v>
      </c>
      <c r="E1178" s="152" t="s">
        <v>102</v>
      </c>
      <c r="F1178" s="152" t="s">
        <v>103</v>
      </c>
      <c r="G1178" s="152">
        <v>0</v>
      </c>
      <c r="H1178" s="152"/>
      <c r="I1178" s="153">
        <v>0</v>
      </c>
      <c r="J1178" s="145"/>
      <c r="K1178" s="153" t="s">
        <v>86</v>
      </c>
      <c r="L1178" s="153" t="s">
        <v>86</v>
      </c>
      <c r="M1178" s="153"/>
      <c r="N1178" s="2" t="s">
        <v>57</v>
      </c>
      <c r="O1178" s="2"/>
      <c r="P1178" s="2"/>
    </row>
    <row r="1179" spans="1:16" ht="16.5" customHeight="1" x14ac:dyDescent="0.25">
      <c r="A1179" s="2" t="s">
        <v>2449</v>
      </c>
      <c r="B1179" s="8" t="s">
        <v>2450</v>
      </c>
      <c r="C1179" s="152" t="s">
        <v>102</v>
      </c>
      <c r="D1179" s="2" t="s">
        <v>2451</v>
      </c>
      <c r="E1179" s="152" t="s">
        <v>102</v>
      </c>
      <c r="F1179" s="152" t="s">
        <v>103</v>
      </c>
      <c r="G1179" s="152">
        <v>0</v>
      </c>
      <c r="H1179" s="152"/>
      <c r="I1179" s="153">
        <v>0</v>
      </c>
      <c r="J1179" s="145"/>
      <c r="K1179" s="153" t="s">
        <v>86</v>
      </c>
      <c r="L1179" s="153" t="s">
        <v>86</v>
      </c>
      <c r="M1179" s="153"/>
      <c r="N1179" s="2" t="s">
        <v>57</v>
      </c>
      <c r="O1179" s="2"/>
      <c r="P1179" s="2"/>
    </row>
    <row r="1180" spans="1:16" ht="16.5" customHeight="1" x14ac:dyDescent="0.25">
      <c r="A1180" s="2" t="s">
        <v>2452</v>
      </c>
      <c r="B1180" s="8" t="s">
        <v>2453</v>
      </c>
      <c r="C1180" s="152" t="s">
        <v>102</v>
      </c>
      <c r="D1180" s="2" t="s">
        <v>2454</v>
      </c>
      <c r="E1180" s="152" t="s">
        <v>102</v>
      </c>
      <c r="F1180" s="152" t="s">
        <v>103</v>
      </c>
      <c r="G1180" s="152">
        <v>0</v>
      </c>
      <c r="H1180" s="152"/>
      <c r="I1180" s="153">
        <v>0</v>
      </c>
      <c r="J1180" s="145"/>
      <c r="K1180" s="153" t="s">
        <v>86</v>
      </c>
      <c r="L1180" s="153" t="s">
        <v>86</v>
      </c>
      <c r="M1180" s="153"/>
      <c r="N1180" s="2" t="s">
        <v>57</v>
      </c>
      <c r="O1180" s="2"/>
      <c r="P1180" s="2"/>
    </row>
    <row r="1181" spans="1:16" ht="16.5" customHeight="1" x14ac:dyDescent="0.25">
      <c r="A1181" s="2" t="s">
        <v>2455</v>
      </c>
      <c r="B1181" s="8" t="s">
        <v>2456</v>
      </c>
      <c r="C1181" s="152" t="s">
        <v>102</v>
      </c>
      <c r="D1181" s="2" t="s">
        <v>2454</v>
      </c>
      <c r="E1181" s="152" t="s">
        <v>102</v>
      </c>
      <c r="F1181" s="152" t="s">
        <v>103</v>
      </c>
      <c r="G1181" s="152">
        <v>0</v>
      </c>
      <c r="H1181" s="152"/>
      <c r="I1181" s="153">
        <v>0</v>
      </c>
      <c r="J1181" s="145"/>
      <c r="K1181" s="153" t="s">
        <v>86</v>
      </c>
      <c r="L1181" s="153" t="s">
        <v>86</v>
      </c>
      <c r="M1181" s="153"/>
      <c r="N1181" s="2" t="s">
        <v>57</v>
      </c>
      <c r="O1181" s="2"/>
      <c r="P1181" s="2"/>
    </row>
    <row r="1182" spans="1:16" ht="16.5" customHeight="1" x14ac:dyDescent="0.25">
      <c r="A1182" s="2" t="s">
        <v>2457</v>
      </c>
      <c r="B1182" s="8" t="s">
        <v>2458</v>
      </c>
      <c r="C1182" s="152" t="s">
        <v>102</v>
      </c>
      <c r="D1182" s="2" t="s">
        <v>2454</v>
      </c>
      <c r="E1182" s="152" t="s">
        <v>102</v>
      </c>
      <c r="F1182" s="152" t="s">
        <v>103</v>
      </c>
      <c r="G1182" s="152">
        <v>0</v>
      </c>
      <c r="H1182" s="152"/>
      <c r="I1182" s="153">
        <v>0</v>
      </c>
      <c r="J1182" s="145"/>
      <c r="K1182" s="153" t="s">
        <v>86</v>
      </c>
      <c r="L1182" s="153" t="s">
        <v>86</v>
      </c>
      <c r="M1182" s="153"/>
      <c r="N1182" s="2" t="s">
        <v>57</v>
      </c>
      <c r="O1182" s="2"/>
      <c r="P1182" s="2"/>
    </row>
    <row r="1183" spans="1:16" ht="16.5" customHeight="1" x14ac:dyDescent="0.25">
      <c r="A1183" s="2" t="s">
        <v>2459</v>
      </c>
      <c r="B1183" s="8" t="s">
        <v>2459</v>
      </c>
      <c r="C1183" s="152" t="s">
        <v>102</v>
      </c>
      <c r="D1183" s="2" t="s">
        <v>2454</v>
      </c>
      <c r="E1183" s="152" t="s">
        <v>102</v>
      </c>
      <c r="F1183" s="152" t="s">
        <v>103</v>
      </c>
      <c r="G1183" s="152">
        <v>0</v>
      </c>
      <c r="H1183" s="152"/>
      <c r="I1183" s="153">
        <v>0</v>
      </c>
      <c r="J1183" s="145"/>
      <c r="K1183" s="153" t="s">
        <v>86</v>
      </c>
      <c r="L1183" s="153" t="s">
        <v>86</v>
      </c>
      <c r="M1183" s="153"/>
      <c r="N1183" s="2" t="s">
        <v>57</v>
      </c>
      <c r="O1183" s="2"/>
      <c r="P1183" s="2"/>
    </row>
    <row r="1184" spans="1:16" ht="16.5" customHeight="1" x14ac:dyDescent="0.25">
      <c r="A1184" s="2" t="s">
        <v>2460</v>
      </c>
      <c r="B1184" s="8" t="s">
        <v>2461</v>
      </c>
      <c r="C1184" s="152" t="s">
        <v>102</v>
      </c>
      <c r="D1184" s="2" t="s">
        <v>2454</v>
      </c>
      <c r="E1184" s="152" t="s">
        <v>102</v>
      </c>
      <c r="F1184" s="152" t="s">
        <v>103</v>
      </c>
      <c r="G1184" s="152">
        <v>0</v>
      </c>
      <c r="H1184" s="152"/>
      <c r="I1184" s="153">
        <v>0</v>
      </c>
      <c r="J1184" s="145"/>
      <c r="K1184" s="153" t="s">
        <v>86</v>
      </c>
      <c r="L1184" s="153" t="s">
        <v>86</v>
      </c>
      <c r="M1184" s="153"/>
      <c r="N1184" s="2" t="s">
        <v>57</v>
      </c>
      <c r="O1184" s="2"/>
      <c r="P1184" s="2"/>
    </row>
    <row r="1185" spans="1:16" ht="16.5" customHeight="1" x14ac:dyDescent="0.25">
      <c r="A1185" s="2" t="s">
        <v>2462</v>
      </c>
      <c r="B1185" s="8" t="s">
        <v>2463</v>
      </c>
      <c r="C1185" s="152" t="s">
        <v>102</v>
      </c>
      <c r="D1185" s="2" t="s">
        <v>82</v>
      </c>
      <c r="E1185" s="152" t="s">
        <v>102</v>
      </c>
      <c r="F1185" s="152" t="s">
        <v>103</v>
      </c>
      <c r="G1185" s="152">
        <v>0</v>
      </c>
      <c r="H1185" s="152"/>
      <c r="I1185" s="153">
        <v>0</v>
      </c>
      <c r="J1185" s="145"/>
      <c r="K1185" s="153" t="s">
        <v>86</v>
      </c>
      <c r="L1185" s="153" t="s">
        <v>86</v>
      </c>
      <c r="M1185" s="153"/>
      <c r="N1185" s="2" t="s">
        <v>57</v>
      </c>
      <c r="O1185" s="2"/>
      <c r="P1185" s="2"/>
    </row>
    <row r="1186" spans="1:16" ht="16.5" customHeight="1" x14ac:dyDescent="0.25">
      <c r="A1186" s="2" t="s">
        <v>2464</v>
      </c>
      <c r="B1186" s="8" t="s">
        <v>2465</v>
      </c>
      <c r="C1186" s="152" t="s">
        <v>102</v>
      </c>
      <c r="D1186" s="2" t="s">
        <v>82</v>
      </c>
      <c r="E1186" s="152" t="s">
        <v>102</v>
      </c>
      <c r="F1186" s="152" t="s">
        <v>103</v>
      </c>
      <c r="G1186" s="152">
        <v>0</v>
      </c>
      <c r="H1186" s="152"/>
      <c r="I1186" s="153">
        <v>0</v>
      </c>
      <c r="J1186" s="145"/>
      <c r="K1186" s="153" t="s">
        <v>86</v>
      </c>
      <c r="L1186" s="153" t="s">
        <v>86</v>
      </c>
      <c r="M1186" s="153"/>
      <c r="N1186" s="2" t="s">
        <v>57</v>
      </c>
      <c r="O1186" s="2"/>
      <c r="P1186" s="2"/>
    </row>
    <row r="1187" spans="1:16" ht="16.5" customHeight="1" x14ac:dyDescent="0.25">
      <c r="A1187" s="2" t="s">
        <v>2466</v>
      </c>
      <c r="B1187" s="8" t="s">
        <v>2467</v>
      </c>
      <c r="C1187" s="152" t="s">
        <v>102</v>
      </c>
      <c r="D1187" s="2" t="s">
        <v>82</v>
      </c>
      <c r="E1187" s="152" t="s">
        <v>102</v>
      </c>
      <c r="F1187" s="152" t="s">
        <v>103</v>
      </c>
      <c r="G1187" s="152">
        <v>0</v>
      </c>
      <c r="H1187" s="152"/>
      <c r="I1187" s="153">
        <v>0</v>
      </c>
      <c r="J1187" s="145"/>
      <c r="K1187" s="153" t="s">
        <v>86</v>
      </c>
      <c r="L1187" s="153" t="s">
        <v>86</v>
      </c>
      <c r="M1187" s="153"/>
      <c r="N1187" s="2" t="s">
        <v>57</v>
      </c>
      <c r="O1187" s="2"/>
      <c r="P1187" s="2"/>
    </row>
    <row r="1188" spans="1:16" ht="16.5" customHeight="1" x14ac:dyDescent="0.25">
      <c r="A1188" s="2" t="s">
        <v>2468</v>
      </c>
      <c r="B1188" s="8" t="s">
        <v>2469</v>
      </c>
      <c r="C1188" s="152" t="s">
        <v>102</v>
      </c>
      <c r="D1188" s="2" t="s">
        <v>82</v>
      </c>
      <c r="E1188" s="152" t="s">
        <v>102</v>
      </c>
      <c r="F1188" s="152" t="s">
        <v>103</v>
      </c>
      <c r="G1188" s="152">
        <v>0</v>
      </c>
      <c r="H1188" s="152"/>
      <c r="I1188" s="153">
        <v>0</v>
      </c>
      <c r="J1188" s="145"/>
      <c r="K1188" s="153" t="s">
        <v>86</v>
      </c>
      <c r="L1188" s="153" t="s">
        <v>86</v>
      </c>
      <c r="M1188" s="153"/>
      <c r="N1188" s="2" t="s">
        <v>57</v>
      </c>
      <c r="O1188" s="2"/>
      <c r="P1188" s="2"/>
    </row>
    <row r="1189" spans="1:16" ht="16.5" customHeight="1" x14ac:dyDescent="0.25">
      <c r="A1189" s="2" t="s">
        <v>2470</v>
      </c>
      <c r="B1189" s="8" t="s">
        <v>2471</v>
      </c>
      <c r="C1189" s="152" t="s">
        <v>102</v>
      </c>
      <c r="D1189" s="2" t="s">
        <v>82</v>
      </c>
      <c r="E1189" s="152" t="s">
        <v>102</v>
      </c>
      <c r="F1189" s="152" t="s">
        <v>103</v>
      </c>
      <c r="G1189" s="152">
        <v>0</v>
      </c>
      <c r="H1189" s="152"/>
      <c r="I1189" s="153">
        <v>0</v>
      </c>
      <c r="J1189" s="145"/>
      <c r="K1189" s="153" t="s">
        <v>86</v>
      </c>
      <c r="L1189" s="153" t="s">
        <v>86</v>
      </c>
      <c r="M1189" s="153"/>
      <c r="N1189" s="2" t="s">
        <v>57</v>
      </c>
      <c r="O1189" s="2"/>
      <c r="P1189" s="2"/>
    </row>
    <row r="1190" spans="1:16" ht="16.5" customHeight="1" x14ac:dyDescent="0.25">
      <c r="A1190" s="2" t="s">
        <v>2472</v>
      </c>
      <c r="B1190" s="8" t="s">
        <v>2473</v>
      </c>
      <c r="C1190" s="152" t="s">
        <v>102</v>
      </c>
      <c r="D1190" s="2" t="s">
        <v>82</v>
      </c>
      <c r="E1190" s="152" t="s">
        <v>102</v>
      </c>
      <c r="F1190" s="152" t="s">
        <v>103</v>
      </c>
      <c r="G1190" s="152">
        <v>0</v>
      </c>
      <c r="H1190" s="152"/>
      <c r="I1190" s="153">
        <v>0</v>
      </c>
      <c r="J1190" s="145"/>
      <c r="K1190" s="153" t="s">
        <v>86</v>
      </c>
      <c r="L1190" s="153" t="s">
        <v>86</v>
      </c>
      <c r="M1190" s="153"/>
      <c r="N1190" s="2" t="s">
        <v>57</v>
      </c>
      <c r="O1190" s="2"/>
      <c r="P1190" s="2"/>
    </row>
    <row r="1191" spans="1:16" ht="16.5" customHeight="1" x14ac:dyDescent="0.25">
      <c r="A1191" s="2" t="s">
        <v>2474</v>
      </c>
      <c r="B1191" s="8" t="s">
        <v>2475</v>
      </c>
      <c r="C1191" s="152" t="s">
        <v>102</v>
      </c>
      <c r="D1191" s="2" t="s">
        <v>2476</v>
      </c>
      <c r="E1191" s="152" t="s">
        <v>102</v>
      </c>
      <c r="F1191" s="152" t="s">
        <v>103</v>
      </c>
      <c r="G1191" s="152">
        <v>0</v>
      </c>
      <c r="H1191" s="152"/>
      <c r="I1191" s="153">
        <v>0</v>
      </c>
      <c r="J1191" s="145"/>
      <c r="K1191" s="153" t="s">
        <v>86</v>
      </c>
      <c r="L1191" s="153" t="s">
        <v>86</v>
      </c>
      <c r="M1191" s="153"/>
      <c r="N1191" s="2" t="s">
        <v>57</v>
      </c>
      <c r="O1191" s="2"/>
      <c r="P1191" s="2"/>
    </row>
    <row r="1192" spans="1:16" ht="16.5" customHeight="1" x14ac:dyDescent="0.25">
      <c r="A1192" s="2" t="s">
        <v>2477</v>
      </c>
      <c r="B1192" s="8" t="s">
        <v>2478</v>
      </c>
      <c r="C1192" s="152" t="s">
        <v>102</v>
      </c>
      <c r="D1192" s="2" t="s">
        <v>91</v>
      </c>
      <c r="E1192" s="152" t="s">
        <v>102</v>
      </c>
      <c r="F1192" s="152" t="s">
        <v>103</v>
      </c>
      <c r="G1192" s="152">
        <v>0</v>
      </c>
      <c r="H1192" s="152"/>
      <c r="I1192" s="153">
        <v>0</v>
      </c>
      <c r="J1192" s="145"/>
      <c r="K1192" s="153" t="s">
        <v>86</v>
      </c>
      <c r="L1192" s="153" t="s">
        <v>86</v>
      </c>
      <c r="M1192" s="153"/>
      <c r="N1192" s="2" t="s">
        <v>57</v>
      </c>
      <c r="O1192" s="2"/>
      <c r="P1192" s="2"/>
    </row>
    <row r="1193" spans="1:16" ht="16.5" customHeight="1" x14ac:dyDescent="0.25">
      <c r="A1193" s="2" t="s">
        <v>2479</v>
      </c>
      <c r="B1193" s="8" t="s">
        <v>2479</v>
      </c>
      <c r="C1193" s="152" t="s">
        <v>102</v>
      </c>
      <c r="D1193" s="2" t="s">
        <v>278</v>
      </c>
      <c r="E1193" s="152" t="s">
        <v>102</v>
      </c>
      <c r="F1193" s="152" t="s">
        <v>103</v>
      </c>
      <c r="G1193" s="152">
        <v>0</v>
      </c>
      <c r="H1193" s="152"/>
      <c r="I1193" s="153">
        <v>76.046666666666667</v>
      </c>
      <c r="J1193" s="145"/>
      <c r="K1193" s="153" t="s">
        <v>86</v>
      </c>
      <c r="L1193" s="153">
        <v>-24.4159407365552</v>
      </c>
      <c r="M1193" s="153"/>
      <c r="N1193" s="2" t="s">
        <v>57</v>
      </c>
      <c r="O1193" s="2"/>
      <c r="P1193" s="2"/>
    </row>
    <row r="1194" spans="1:16" ht="16.5" customHeight="1" x14ac:dyDescent="0.25">
      <c r="A1194" s="2" t="s">
        <v>2480</v>
      </c>
      <c r="B1194" s="8" t="s">
        <v>2480</v>
      </c>
      <c r="C1194" s="152" t="s">
        <v>102</v>
      </c>
      <c r="D1194" s="2" t="s">
        <v>278</v>
      </c>
      <c r="E1194" s="152" t="s">
        <v>102</v>
      </c>
      <c r="F1194" s="152" t="s">
        <v>103</v>
      </c>
      <c r="G1194" s="152">
        <v>0</v>
      </c>
      <c r="H1194" s="152"/>
      <c r="I1194" s="153">
        <v>0</v>
      </c>
      <c r="J1194" s="145"/>
      <c r="K1194" s="153" t="s">
        <v>86</v>
      </c>
      <c r="L1194" s="153" t="s">
        <v>86</v>
      </c>
      <c r="M1194" s="153"/>
      <c r="N1194" s="2" t="s">
        <v>57</v>
      </c>
      <c r="O1194" s="2"/>
      <c r="P1194" s="2"/>
    </row>
    <row r="1195" spans="1:16" ht="16.5" customHeight="1" x14ac:dyDescent="0.25">
      <c r="A1195" s="2" t="s">
        <v>2481</v>
      </c>
      <c r="B1195" s="8" t="s">
        <v>2482</v>
      </c>
      <c r="C1195" s="152" t="s">
        <v>102</v>
      </c>
      <c r="D1195" s="2" t="s">
        <v>278</v>
      </c>
      <c r="E1195" s="152" t="s">
        <v>102</v>
      </c>
      <c r="F1195" s="152" t="s">
        <v>103</v>
      </c>
      <c r="G1195" s="152">
        <v>0</v>
      </c>
      <c r="H1195" s="152"/>
      <c r="I1195" s="153">
        <v>0</v>
      </c>
      <c r="J1195" s="145"/>
      <c r="K1195" s="153" t="s">
        <v>86</v>
      </c>
      <c r="L1195" s="153" t="s">
        <v>86</v>
      </c>
      <c r="M1195" s="153"/>
      <c r="N1195" s="2" t="s">
        <v>57</v>
      </c>
      <c r="O1195" s="2"/>
      <c r="P1195" s="2"/>
    </row>
    <row r="1196" spans="1:16" ht="16.5" customHeight="1" x14ac:dyDescent="0.25">
      <c r="A1196" s="2" t="s">
        <v>2483</v>
      </c>
      <c r="B1196" s="8" t="s">
        <v>2483</v>
      </c>
      <c r="C1196" s="152" t="s">
        <v>102</v>
      </c>
      <c r="D1196" s="2" t="s">
        <v>1493</v>
      </c>
      <c r="E1196" s="152" t="s">
        <v>102</v>
      </c>
      <c r="F1196" s="152" t="s">
        <v>103</v>
      </c>
      <c r="G1196" s="152">
        <v>0</v>
      </c>
      <c r="H1196" s="152"/>
      <c r="I1196" s="153">
        <v>58.475999999999999</v>
      </c>
      <c r="J1196" s="145"/>
      <c r="K1196" s="153" t="s">
        <v>86</v>
      </c>
      <c r="L1196" s="153" t="s">
        <v>86</v>
      </c>
      <c r="M1196" s="153"/>
      <c r="N1196" s="2" t="s">
        <v>57</v>
      </c>
      <c r="O1196" s="2"/>
      <c r="P1196" s="10"/>
    </row>
    <row r="1197" spans="1:16" ht="16.5" customHeight="1" x14ac:dyDescent="0.25">
      <c r="A1197" s="2" t="s">
        <v>2484</v>
      </c>
      <c r="B1197" s="8" t="s">
        <v>2485</v>
      </c>
      <c r="C1197" s="152" t="s">
        <v>102</v>
      </c>
      <c r="D1197" s="2" t="s">
        <v>2486</v>
      </c>
      <c r="E1197" s="152" t="s">
        <v>102</v>
      </c>
      <c r="F1197" s="152" t="s">
        <v>103</v>
      </c>
      <c r="G1197" s="152">
        <v>0</v>
      </c>
      <c r="H1197" s="152"/>
      <c r="I1197" s="153">
        <v>0</v>
      </c>
      <c r="J1197" s="145"/>
      <c r="K1197" s="153" t="s">
        <v>86</v>
      </c>
      <c r="L1197" s="153" t="s">
        <v>86</v>
      </c>
      <c r="M1197" s="153"/>
      <c r="N1197" s="2" t="s">
        <v>57</v>
      </c>
      <c r="O1197" s="2"/>
      <c r="P1197" s="2"/>
    </row>
    <row r="1198" spans="1:16" ht="16.5" customHeight="1" x14ac:dyDescent="0.25">
      <c r="A1198" s="2" t="s">
        <v>2487</v>
      </c>
      <c r="B1198" s="8" t="s">
        <v>2488</v>
      </c>
      <c r="C1198" s="152" t="s">
        <v>102</v>
      </c>
      <c r="D1198" s="2" t="s">
        <v>2486</v>
      </c>
      <c r="E1198" s="152" t="s">
        <v>102</v>
      </c>
      <c r="F1198" s="152" t="s">
        <v>103</v>
      </c>
      <c r="G1198" s="152">
        <v>0</v>
      </c>
      <c r="H1198" s="152"/>
      <c r="I1198" s="153">
        <v>0</v>
      </c>
      <c r="J1198" s="145"/>
      <c r="K1198" s="153" t="s">
        <v>86</v>
      </c>
      <c r="L1198" s="153" t="s">
        <v>86</v>
      </c>
      <c r="M1198" s="153"/>
      <c r="N1198" s="2" t="s">
        <v>57</v>
      </c>
      <c r="O1198" s="2"/>
      <c r="P1198" s="2"/>
    </row>
    <row r="1199" spans="1:16" ht="16.5" customHeight="1" x14ac:dyDescent="0.25">
      <c r="A1199" s="2" t="s">
        <v>2489</v>
      </c>
      <c r="B1199" s="8" t="s">
        <v>2490</v>
      </c>
      <c r="C1199" s="152" t="s">
        <v>102</v>
      </c>
      <c r="D1199" s="2" t="s">
        <v>110</v>
      </c>
      <c r="E1199" s="152" t="s">
        <v>102</v>
      </c>
      <c r="F1199" s="152" t="s">
        <v>103</v>
      </c>
      <c r="G1199" s="152">
        <v>0</v>
      </c>
      <c r="H1199" s="152"/>
      <c r="I1199" s="153">
        <v>0</v>
      </c>
      <c r="J1199" s="145"/>
      <c r="K1199" s="153" t="s">
        <v>86</v>
      </c>
      <c r="L1199" s="153" t="s">
        <v>86</v>
      </c>
      <c r="M1199" s="153"/>
      <c r="N1199" s="2" t="s">
        <v>57</v>
      </c>
      <c r="O1199" s="2"/>
      <c r="P1199" s="2"/>
    </row>
    <row r="1200" spans="1:16" ht="16.5" customHeight="1" x14ac:dyDescent="0.25">
      <c r="A1200" s="2" t="s">
        <v>2491</v>
      </c>
      <c r="B1200" s="8" t="s">
        <v>2492</v>
      </c>
      <c r="C1200" s="152" t="s">
        <v>102</v>
      </c>
      <c r="D1200" s="2" t="s">
        <v>110</v>
      </c>
      <c r="E1200" s="152" t="s">
        <v>102</v>
      </c>
      <c r="F1200" s="152" t="s">
        <v>103</v>
      </c>
      <c r="G1200" s="152">
        <v>0</v>
      </c>
      <c r="H1200" s="152"/>
      <c r="I1200" s="153">
        <v>0</v>
      </c>
      <c r="J1200" s="145"/>
      <c r="K1200" s="153" t="s">
        <v>86</v>
      </c>
      <c r="L1200" s="153" t="s">
        <v>86</v>
      </c>
      <c r="M1200" s="153"/>
      <c r="N1200" s="2" t="s">
        <v>57</v>
      </c>
      <c r="O1200" s="2"/>
      <c r="P1200" s="2"/>
    </row>
    <row r="1201" spans="1:16" ht="16.5" customHeight="1" x14ac:dyDescent="0.25">
      <c r="A1201" s="2" t="s">
        <v>2493</v>
      </c>
      <c r="B1201" s="8" t="s">
        <v>2494</v>
      </c>
      <c r="C1201" s="152" t="s">
        <v>102</v>
      </c>
      <c r="D1201" s="2" t="s">
        <v>110</v>
      </c>
      <c r="E1201" s="152" t="s">
        <v>102</v>
      </c>
      <c r="F1201" s="152" t="s">
        <v>103</v>
      </c>
      <c r="G1201" s="152">
        <v>0</v>
      </c>
      <c r="H1201" s="152"/>
      <c r="I1201" s="153">
        <v>0</v>
      </c>
      <c r="J1201" s="145"/>
      <c r="K1201" s="153" t="s">
        <v>86</v>
      </c>
      <c r="L1201" s="153" t="s">
        <v>86</v>
      </c>
      <c r="M1201" s="153"/>
      <c r="N1201" s="2" t="s">
        <v>57</v>
      </c>
      <c r="O1201" s="2"/>
      <c r="P1201" s="2"/>
    </row>
    <row r="1202" spans="1:16" ht="16.5" customHeight="1" x14ac:dyDescent="0.25">
      <c r="A1202" s="2" t="s">
        <v>2495</v>
      </c>
      <c r="B1202" s="8" t="s">
        <v>2496</v>
      </c>
      <c r="C1202" s="152" t="s">
        <v>102</v>
      </c>
      <c r="D1202" s="2" t="s">
        <v>110</v>
      </c>
      <c r="E1202" s="152" t="s">
        <v>102</v>
      </c>
      <c r="F1202" s="152" t="s">
        <v>103</v>
      </c>
      <c r="G1202" s="152">
        <v>0</v>
      </c>
      <c r="H1202" s="152"/>
      <c r="I1202" s="153">
        <v>0</v>
      </c>
      <c r="J1202" s="145"/>
      <c r="K1202" s="153" t="s">
        <v>86</v>
      </c>
      <c r="L1202" s="153" t="s">
        <v>86</v>
      </c>
      <c r="M1202" s="153"/>
      <c r="N1202" s="2" t="s">
        <v>57</v>
      </c>
      <c r="O1202" s="2"/>
      <c r="P1202" s="2"/>
    </row>
    <row r="1203" spans="1:16" ht="16.5" customHeight="1" x14ac:dyDescent="0.25">
      <c r="A1203" s="2" t="s">
        <v>2497</v>
      </c>
      <c r="B1203" s="8" t="s">
        <v>2498</v>
      </c>
      <c r="C1203" s="152" t="s">
        <v>102</v>
      </c>
      <c r="D1203" s="2" t="s">
        <v>110</v>
      </c>
      <c r="E1203" s="152" t="s">
        <v>102</v>
      </c>
      <c r="F1203" s="152" t="s">
        <v>103</v>
      </c>
      <c r="G1203" s="152">
        <v>0</v>
      </c>
      <c r="H1203" s="152"/>
      <c r="I1203" s="153">
        <v>0</v>
      </c>
      <c r="J1203" s="145"/>
      <c r="K1203" s="153" t="s">
        <v>86</v>
      </c>
      <c r="L1203" s="153" t="s">
        <v>86</v>
      </c>
      <c r="M1203" s="153"/>
      <c r="N1203" s="2" t="s">
        <v>57</v>
      </c>
      <c r="O1203" s="2"/>
      <c r="P1203" s="2"/>
    </row>
    <row r="1204" spans="1:16" ht="16.5" customHeight="1" x14ac:dyDescent="0.25">
      <c r="A1204" s="2" t="s">
        <v>2499</v>
      </c>
      <c r="B1204" s="8" t="s">
        <v>2500</v>
      </c>
      <c r="C1204" s="152" t="s">
        <v>102</v>
      </c>
      <c r="D1204" s="2" t="s">
        <v>110</v>
      </c>
      <c r="E1204" s="152" t="s">
        <v>102</v>
      </c>
      <c r="F1204" s="152" t="s">
        <v>103</v>
      </c>
      <c r="G1204" s="152">
        <v>0</v>
      </c>
      <c r="H1204" s="152"/>
      <c r="I1204" s="153">
        <v>0</v>
      </c>
      <c r="J1204" s="145"/>
      <c r="K1204" s="153" t="s">
        <v>86</v>
      </c>
      <c r="L1204" s="153" t="s">
        <v>86</v>
      </c>
      <c r="M1204" s="153"/>
      <c r="N1204" s="2" t="s">
        <v>57</v>
      </c>
      <c r="O1204" s="2"/>
      <c r="P1204" s="2"/>
    </row>
    <row r="1205" spans="1:16" ht="16.5" customHeight="1" x14ac:dyDescent="0.25">
      <c r="A1205" s="2" t="s">
        <v>2501</v>
      </c>
      <c r="B1205" s="8" t="s">
        <v>2502</v>
      </c>
      <c r="C1205" s="152" t="s">
        <v>102</v>
      </c>
      <c r="D1205" s="2" t="s">
        <v>110</v>
      </c>
      <c r="E1205" s="152" t="s">
        <v>102</v>
      </c>
      <c r="F1205" s="152" t="s">
        <v>103</v>
      </c>
      <c r="G1205" s="152">
        <v>0</v>
      </c>
      <c r="H1205" s="152"/>
      <c r="I1205" s="153">
        <v>0</v>
      </c>
      <c r="J1205" s="145"/>
      <c r="K1205" s="153" t="s">
        <v>86</v>
      </c>
      <c r="L1205" s="153" t="s">
        <v>86</v>
      </c>
      <c r="M1205" s="153"/>
      <c r="N1205" s="2" t="s">
        <v>57</v>
      </c>
      <c r="O1205" s="2"/>
      <c r="P1205" s="2"/>
    </row>
    <row r="1206" spans="1:16" ht="16.5" customHeight="1" x14ac:dyDescent="0.25">
      <c r="A1206" s="2" t="s">
        <v>2503</v>
      </c>
      <c r="B1206" s="8" t="s">
        <v>2504</v>
      </c>
      <c r="C1206" s="152" t="s">
        <v>102</v>
      </c>
      <c r="D1206" s="2" t="s">
        <v>110</v>
      </c>
      <c r="E1206" s="152" t="s">
        <v>102</v>
      </c>
      <c r="F1206" s="152" t="s">
        <v>103</v>
      </c>
      <c r="G1206" s="152">
        <v>0</v>
      </c>
      <c r="H1206" s="152"/>
      <c r="I1206" s="153">
        <v>0</v>
      </c>
      <c r="J1206" s="145"/>
      <c r="K1206" s="153" t="s">
        <v>86</v>
      </c>
      <c r="L1206" s="153" t="s">
        <v>86</v>
      </c>
      <c r="M1206" s="153"/>
      <c r="N1206" s="2" t="s">
        <v>57</v>
      </c>
      <c r="O1206" s="2"/>
      <c r="P1206" s="2"/>
    </row>
    <row r="1207" spans="1:16" ht="16.5" customHeight="1" x14ac:dyDescent="0.25">
      <c r="A1207" s="2" t="s">
        <v>2505</v>
      </c>
      <c r="B1207" s="8" t="s">
        <v>2505</v>
      </c>
      <c r="C1207" s="152" t="s">
        <v>102</v>
      </c>
      <c r="D1207" s="2" t="s">
        <v>110</v>
      </c>
      <c r="E1207" s="152" t="s">
        <v>102</v>
      </c>
      <c r="F1207" s="152" t="s">
        <v>103</v>
      </c>
      <c r="G1207" s="152">
        <v>0</v>
      </c>
      <c r="H1207" s="152"/>
      <c r="I1207" s="153">
        <v>0</v>
      </c>
      <c r="J1207" s="145"/>
      <c r="K1207" s="153" t="s">
        <v>86</v>
      </c>
      <c r="L1207" s="153" t="s">
        <v>86</v>
      </c>
      <c r="M1207" s="153"/>
      <c r="N1207" s="2" t="s">
        <v>57</v>
      </c>
      <c r="O1207" s="2"/>
      <c r="P1207" s="2"/>
    </row>
    <row r="1208" spans="1:16" ht="16.5" customHeight="1" x14ac:dyDescent="0.25">
      <c r="A1208" s="2" t="s">
        <v>2506</v>
      </c>
      <c r="B1208" s="8" t="s">
        <v>2507</v>
      </c>
      <c r="C1208" s="152" t="s">
        <v>102</v>
      </c>
      <c r="D1208" s="2" t="s">
        <v>110</v>
      </c>
      <c r="E1208" s="152" t="s">
        <v>102</v>
      </c>
      <c r="F1208" s="152" t="s">
        <v>103</v>
      </c>
      <c r="G1208" s="152">
        <v>0</v>
      </c>
      <c r="H1208" s="152"/>
      <c r="I1208" s="153">
        <v>0</v>
      </c>
      <c r="J1208" s="145"/>
      <c r="K1208" s="153" t="s">
        <v>86</v>
      </c>
      <c r="L1208" s="153" t="s">
        <v>86</v>
      </c>
      <c r="M1208" s="153"/>
      <c r="N1208" s="2" t="s">
        <v>57</v>
      </c>
      <c r="O1208" s="2"/>
      <c r="P1208" s="2"/>
    </row>
    <row r="1209" spans="1:16" ht="16.5" customHeight="1" x14ac:dyDescent="0.25">
      <c r="A1209" s="2" t="s">
        <v>2508</v>
      </c>
      <c r="B1209" s="8" t="s">
        <v>2508</v>
      </c>
      <c r="C1209" s="152" t="s">
        <v>102</v>
      </c>
      <c r="D1209" s="2" t="s">
        <v>296</v>
      </c>
      <c r="E1209" s="152" t="s">
        <v>102</v>
      </c>
      <c r="F1209" s="152" t="s">
        <v>103</v>
      </c>
      <c r="G1209" s="152">
        <v>0</v>
      </c>
      <c r="H1209" s="152"/>
      <c r="I1209" s="153">
        <v>40.353424657534262</v>
      </c>
      <c r="J1209" s="145"/>
      <c r="K1209" s="153" t="s">
        <v>86</v>
      </c>
      <c r="L1209" s="153" t="s">
        <v>86</v>
      </c>
      <c r="M1209" s="153"/>
      <c r="N1209" s="2" t="s">
        <v>57</v>
      </c>
      <c r="O1209" s="2"/>
      <c r="P1209" s="2"/>
    </row>
    <row r="1210" spans="1:16" ht="16.5" customHeight="1" x14ac:dyDescent="0.25">
      <c r="A1210" s="2" t="s">
        <v>2509</v>
      </c>
      <c r="B1210" s="8" t="s">
        <v>2510</v>
      </c>
      <c r="C1210" s="152" t="s">
        <v>102</v>
      </c>
      <c r="D1210" s="2" t="s">
        <v>2511</v>
      </c>
      <c r="E1210" s="152" t="s">
        <v>102</v>
      </c>
      <c r="F1210" s="152" t="s">
        <v>103</v>
      </c>
      <c r="G1210" s="152">
        <v>0</v>
      </c>
      <c r="H1210" s="152"/>
      <c r="I1210" s="153">
        <v>0</v>
      </c>
      <c r="J1210" s="145"/>
      <c r="K1210" s="153" t="s">
        <v>86</v>
      </c>
      <c r="L1210" s="153" t="s">
        <v>86</v>
      </c>
      <c r="M1210" s="153"/>
      <c r="N1210" s="2" t="s">
        <v>57</v>
      </c>
      <c r="O1210" s="2"/>
      <c r="P1210" s="2"/>
    </row>
    <row r="1211" spans="1:16" ht="16.5" customHeight="1" x14ac:dyDescent="0.25">
      <c r="A1211" s="2" t="s">
        <v>2512</v>
      </c>
      <c r="B1211" s="8" t="s">
        <v>2513</v>
      </c>
      <c r="C1211" s="152" t="s">
        <v>102</v>
      </c>
      <c r="D1211" s="2" t="s">
        <v>472</v>
      </c>
      <c r="E1211" s="152" t="s">
        <v>102</v>
      </c>
      <c r="F1211" s="152" t="s">
        <v>103</v>
      </c>
      <c r="G1211" s="152">
        <v>0</v>
      </c>
      <c r="H1211" s="152"/>
      <c r="I1211" s="153">
        <v>0</v>
      </c>
      <c r="J1211" s="145"/>
      <c r="K1211" s="153" t="s">
        <v>86</v>
      </c>
      <c r="L1211" s="153" t="s">
        <v>86</v>
      </c>
      <c r="M1211" s="153"/>
      <c r="N1211" s="2" t="s">
        <v>57</v>
      </c>
      <c r="O1211" s="2"/>
      <c r="P1211" s="2"/>
    </row>
    <row r="1212" spans="1:16" ht="16.5" customHeight="1" x14ac:dyDescent="0.25">
      <c r="A1212" s="2" t="s">
        <v>2514</v>
      </c>
      <c r="B1212" s="8" t="s">
        <v>2515</v>
      </c>
      <c r="C1212" s="152" t="s">
        <v>102</v>
      </c>
      <c r="D1212" s="2" t="s">
        <v>132</v>
      </c>
      <c r="E1212" s="152" t="s">
        <v>102</v>
      </c>
      <c r="F1212" s="152" t="s">
        <v>103</v>
      </c>
      <c r="G1212" s="152">
        <v>0</v>
      </c>
      <c r="H1212" s="152"/>
      <c r="I1212" s="153">
        <v>0</v>
      </c>
      <c r="J1212" s="145"/>
      <c r="K1212" s="153" t="s">
        <v>86</v>
      </c>
      <c r="L1212" s="153" t="s">
        <v>86</v>
      </c>
      <c r="M1212" s="153"/>
      <c r="N1212" s="2" t="s">
        <v>57</v>
      </c>
      <c r="O1212" s="2"/>
      <c r="P1212" s="2"/>
    </row>
    <row r="1213" spans="1:16" ht="16.5" customHeight="1" x14ac:dyDescent="0.25">
      <c r="A1213" s="2" t="s">
        <v>2516</v>
      </c>
      <c r="B1213" s="8" t="s">
        <v>2517</v>
      </c>
      <c r="C1213" s="152" t="s">
        <v>102</v>
      </c>
      <c r="D1213" s="2" t="s">
        <v>132</v>
      </c>
      <c r="E1213" s="152" t="s">
        <v>102</v>
      </c>
      <c r="F1213" s="152" t="s">
        <v>103</v>
      </c>
      <c r="G1213" s="152">
        <v>0</v>
      </c>
      <c r="H1213" s="152"/>
      <c r="I1213" s="153">
        <v>0</v>
      </c>
      <c r="J1213" s="145"/>
      <c r="K1213" s="153" t="s">
        <v>86</v>
      </c>
      <c r="L1213" s="153" t="s">
        <v>86</v>
      </c>
      <c r="M1213" s="153"/>
      <c r="N1213" s="2" t="s">
        <v>57</v>
      </c>
      <c r="O1213" s="2"/>
      <c r="P1213" s="2"/>
    </row>
    <row r="1214" spans="1:16" ht="16.5" customHeight="1" x14ac:dyDescent="0.25">
      <c r="A1214" s="2" t="s">
        <v>2518</v>
      </c>
      <c r="B1214" s="8" t="s">
        <v>2519</v>
      </c>
      <c r="C1214" s="152" t="s">
        <v>102</v>
      </c>
      <c r="D1214" s="2" t="s">
        <v>132</v>
      </c>
      <c r="E1214" s="152" t="s">
        <v>102</v>
      </c>
      <c r="F1214" s="152" t="s">
        <v>103</v>
      </c>
      <c r="G1214" s="152">
        <v>0</v>
      </c>
      <c r="H1214" s="152"/>
      <c r="I1214" s="153">
        <v>0</v>
      </c>
      <c r="J1214" s="145"/>
      <c r="K1214" s="153" t="s">
        <v>86</v>
      </c>
      <c r="L1214" s="153" t="s">
        <v>86</v>
      </c>
      <c r="M1214" s="153"/>
      <c r="N1214" s="2" t="s">
        <v>57</v>
      </c>
      <c r="O1214" s="2"/>
      <c r="P1214" s="2"/>
    </row>
    <row r="1215" spans="1:16" ht="16.5" customHeight="1" x14ac:dyDescent="0.25">
      <c r="A1215" s="2" t="s">
        <v>2520</v>
      </c>
      <c r="B1215" s="8" t="s">
        <v>2521</v>
      </c>
      <c r="C1215" s="152" t="s">
        <v>102</v>
      </c>
      <c r="D1215" s="2" t="s">
        <v>132</v>
      </c>
      <c r="E1215" s="152" t="s">
        <v>102</v>
      </c>
      <c r="F1215" s="152" t="s">
        <v>103</v>
      </c>
      <c r="G1215" s="152">
        <v>0</v>
      </c>
      <c r="H1215" s="152"/>
      <c r="I1215" s="153">
        <v>0</v>
      </c>
      <c r="J1215" s="145"/>
      <c r="K1215" s="153" t="s">
        <v>86</v>
      </c>
      <c r="L1215" s="153" t="s">
        <v>86</v>
      </c>
      <c r="M1215" s="153"/>
      <c r="N1215" s="2" t="s">
        <v>57</v>
      </c>
      <c r="O1215" s="2"/>
      <c r="P1215" s="2"/>
    </row>
    <row r="1216" spans="1:16" ht="16.5" customHeight="1" x14ac:dyDescent="0.25">
      <c r="A1216" s="2" t="s">
        <v>2522</v>
      </c>
      <c r="B1216" s="8" t="s">
        <v>2522</v>
      </c>
      <c r="C1216" s="152" t="s">
        <v>102</v>
      </c>
      <c r="D1216" s="2" t="s">
        <v>132</v>
      </c>
      <c r="E1216" s="152" t="s">
        <v>102</v>
      </c>
      <c r="F1216" s="152" t="s">
        <v>103</v>
      </c>
      <c r="G1216" s="152">
        <v>0</v>
      </c>
      <c r="H1216" s="152"/>
      <c r="I1216" s="153">
        <v>13.73982876712329</v>
      </c>
      <c r="J1216" s="145"/>
      <c r="K1216" s="153" t="s">
        <v>86</v>
      </c>
      <c r="L1216" s="153" t="s">
        <v>86</v>
      </c>
      <c r="M1216" s="153"/>
      <c r="N1216" s="2" t="s">
        <v>57</v>
      </c>
      <c r="O1216" s="2"/>
      <c r="P1216" s="2"/>
    </row>
    <row r="1217" spans="1:16" ht="16.5" customHeight="1" x14ac:dyDescent="0.25">
      <c r="A1217" s="2" t="s">
        <v>2523</v>
      </c>
      <c r="B1217" s="8" t="s">
        <v>2524</v>
      </c>
      <c r="C1217" s="152" t="s">
        <v>102</v>
      </c>
      <c r="D1217" s="2" t="s">
        <v>148</v>
      </c>
      <c r="E1217" s="152" t="s">
        <v>102</v>
      </c>
      <c r="F1217" s="152" t="s">
        <v>103</v>
      </c>
      <c r="G1217" s="152">
        <v>0</v>
      </c>
      <c r="H1217" s="152"/>
      <c r="I1217" s="153">
        <v>0</v>
      </c>
      <c r="J1217" s="145"/>
      <c r="K1217" s="153" t="s">
        <v>86</v>
      </c>
      <c r="L1217" s="153" t="s">
        <v>86</v>
      </c>
      <c r="M1217" s="153"/>
      <c r="N1217" s="2" t="s">
        <v>57</v>
      </c>
      <c r="O1217" s="2"/>
      <c r="P1217" s="2"/>
    </row>
    <row r="1218" spans="1:16" ht="16.5" customHeight="1" x14ac:dyDescent="0.25">
      <c r="A1218" s="2" t="s">
        <v>2525</v>
      </c>
      <c r="B1218" s="8" t="s">
        <v>2526</v>
      </c>
      <c r="C1218" s="152" t="s">
        <v>102</v>
      </c>
      <c r="D1218" s="2" t="s">
        <v>148</v>
      </c>
      <c r="E1218" s="152" t="s">
        <v>102</v>
      </c>
      <c r="F1218" s="152" t="s">
        <v>103</v>
      </c>
      <c r="G1218" s="152">
        <v>0</v>
      </c>
      <c r="H1218" s="152"/>
      <c r="I1218" s="153">
        <v>0</v>
      </c>
      <c r="J1218" s="145"/>
      <c r="K1218" s="153" t="s">
        <v>86</v>
      </c>
      <c r="L1218" s="153" t="s">
        <v>86</v>
      </c>
      <c r="M1218" s="153"/>
      <c r="N1218" s="2" t="s">
        <v>57</v>
      </c>
      <c r="O1218" s="2"/>
      <c r="P1218" s="2"/>
    </row>
    <row r="1219" spans="1:16" ht="16.5" customHeight="1" x14ac:dyDescent="0.25">
      <c r="A1219" s="2" t="s">
        <v>2527</v>
      </c>
      <c r="B1219" s="8" t="s">
        <v>2527</v>
      </c>
      <c r="C1219" s="152" t="s">
        <v>102</v>
      </c>
      <c r="D1219" s="2" t="s">
        <v>148</v>
      </c>
      <c r="E1219" s="152" t="s">
        <v>102</v>
      </c>
      <c r="F1219" s="152" t="s">
        <v>103</v>
      </c>
      <c r="G1219" s="152">
        <v>0</v>
      </c>
      <c r="H1219" s="152"/>
      <c r="I1219" s="153">
        <v>0</v>
      </c>
      <c r="J1219" s="145"/>
      <c r="K1219" s="153" t="s">
        <v>86</v>
      </c>
      <c r="L1219" s="153" t="s">
        <v>86</v>
      </c>
      <c r="M1219" s="153"/>
      <c r="N1219" s="2" t="s">
        <v>57</v>
      </c>
      <c r="O1219" s="2"/>
      <c r="P1219" s="2"/>
    </row>
    <row r="1220" spans="1:16" ht="16.5" customHeight="1" x14ac:dyDescent="0.25">
      <c r="A1220" s="2" t="s">
        <v>2528</v>
      </c>
      <c r="B1220" s="8" t="s">
        <v>2529</v>
      </c>
      <c r="C1220" s="152" t="s">
        <v>102</v>
      </c>
      <c r="D1220" s="2" t="s">
        <v>148</v>
      </c>
      <c r="E1220" s="152" t="s">
        <v>102</v>
      </c>
      <c r="F1220" s="152" t="s">
        <v>103</v>
      </c>
      <c r="G1220" s="152">
        <v>0</v>
      </c>
      <c r="H1220" s="152"/>
      <c r="I1220" s="153">
        <v>0</v>
      </c>
      <c r="J1220" s="145"/>
      <c r="K1220" s="153" t="s">
        <v>86</v>
      </c>
      <c r="L1220" s="153" t="s">
        <v>86</v>
      </c>
      <c r="M1220" s="153"/>
      <c r="N1220" s="2" t="s">
        <v>57</v>
      </c>
      <c r="O1220" s="2"/>
      <c r="P1220" s="2"/>
    </row>
    <row r="1221" spans="1:16" ht="16.5" customHeight="1" x14ac:dyDescent="0.25">
      <c r="A1221" s="2" t="s">
        <v>2530</v>
      </c>
      <c r="B1221" s="8" t="s">
        <v>2531</v>
      </c>
      <c r="C1221" s="152" t="s">
        <v>102</v>
      </c>
      <c r="D1221" s="2" t="s">
        <v>148</v>
      </c>
      <c r="E1221" s="152" t="s">
        <v>102</v>
      </c>
      <c r="F1221" s="152" t="s">
        <v>103</v>
      </c>
      <c r="G1221" s="152">
        <v>0</v>
      </c>
      <c r="H1221" s="152"/>
      <c r="I1221" s="153">
        <v>0</v>
      </c>
      <c r="J1221" s="145"/>
      <c r="K1221" s="153" t="s">
        <v>86</v>
      </c>
      <c r="L1221" s="153" t="s">
        <v>86</v>
      </c>
      <c r="M1221" s="153"/>
      <c r="N1221" s="2" t="s">
        <v>57</v>
      </c>
      <c r="O1221" s="2"/>
      <c r="P1221" s="2"/>
    </row>
    <row r="1222" spans="1:16" ht="16.5" customHeight="1" x14ac:dyDescent="0.25">
      <c r="A1222" s="2" t="s">
        <v>2532</v>
      </c>
      <c r="B1222" s="8" t="s">
        <v>2533</v>
      </c>
      <c r="C1222" s="152" t="s">
        <v>102</v>
      </c>
      <c r="D1222" s="2" t="s">
        <v>2534</v>
      </c>
      <c r="E1222" s="152" t="s">
        <v>102</v>
      </c>
      <c r="F1222" s="152" t="s">
        <v>103</v>
      </c>
      <c r="G1222" s="152">
        <v>0</v>
      </c>
      <c r="H1222" s="152"/>
      <c r="I1222" s="153">
        <v>0</v>
      </c>
      <c r="J1222" s="145"/>
      <c r="K1222" s="153" t="s">
        <v>86</v>
      </c>
      <c r="L1222" s="153" t="s">
        <v>86</v>
      </c>
      <c r="M1222" s="153"/>
      <c r="N1222" s="2" t="s">
        <v>57</v>
      </c>
      <c r="O1222" s="2"/>
      <c r="P1222" s="2"/>
    </row>
    <row r="1223" spans="1:16" ht="16.5" customHeight="1" x14ac:dyDescent="0.25">
      <c r="A1223" s="2" t="s">
        <v>2535</v>
      </c>
      <c r="B1223" s="8" t="s">
        <v>2536</v>
      </c>
      <c r="C1223" s="152" t="s">
        <v>102</v>
      </c>
      <c r="D1223" s="2" t="s">
        <v>2534</v>
      </c>
      <c r="E1223" s="152" t="s">
        <v>102</v>
      </c>
      <c r="F1223" s="152" t="s">
        <v>103</v>
      </c>
      <c r="G1223" s="152">
        <v>0</v>
      </c>
      <c r="H1223" s="152"/>
      <c r="I1223" s="153">
        <v>0</v>
      </c>
      <c r="J1223" s="145"/>
      <c r="K1223" s="153" t="s">
        <v>86</v>
      </c>
      <c r="L1223" s="153" t="s">
        <v>86</v>
      </c>
      <c r="M1223" s="153"/>
      <c r="N1223" s="2" t="s">
        <v>57</v>
      </c>
      <c r="O1223" s="2"/>
      <c r="P1223" s="2"/>
    </row>
    <row r="1224" spans="1:16" ht="16.5" customHeight="1" x14ac:dyDescent="0.25">
      <c r="A1224" s="2" t="s">
        <v>2537</v>
      </c>
      <c r="B1224" s="8" t="s">
        <v>2537</v>
      </c>
      <c r="C1224" s="152" t="s">
        <v>102</v>
      </c>
      <c r="D1224" s="2" t="s">
        <v>163</v>
      </c>
      <c r="E1224" s="152" t="s">
        <v>102</v>
      </c>
      <c r="F1224" s="152" t="s">
        <v>103</v>
      </c>
      <c r="G1224" s="152">
        <v>0</v>
      </c>
      <c r="H1224" s="152"/>
      <c r="I1224" s="153">
        <v>209</v>
      </c>
      <c r="J1224" s="145"/>
      <c r="K1224" s="153">
        <v>-17.50257638888889</v>
      </c>
      <c r="L1224" s="153" t="s">
        <v>86</v>
      </c>
      <c r="M1224" s="153"/>
      <c r="N1224" s="2" t="s">
        <v>57</v>
      </c>
      <c r="O1224" s="2"/>
      <c r="P1224" s="2"/>
    </row>
    <row r="1225" spans="1:16" ht="16.5" customHeight="1" x14ac:dyDescent="0.25">
      <c r="A1225" s="2" t="s">
        <v>2538</v>
      </c>
      <c r="B1225" s="8" t="s">
        <v>2538</v>
      </c>
      <c r="C1225" s="152" t="s">
        <v>102</v>
      </c>
      <c r="D1225" s="2" t="s">
        <v>163</v>
      </c>
      <c r="E1225" s="152" t="s">
        <v>102</v>
      </c>
      <c r="F1225" s="152" t="s">
        <v>103</v>
      </c>
      <c r="G1225" s="152">
        <v>0</v>
      </c>
      <c r="H1225" s="152"/>
      <c r="I1225" s="153">
        <v>127.6</v>
      </c>
      <c r="J1225" s="145"/>
      <c r="K1225" s="153" t="s">
        <v>86</v>
      </c>
      <c r="L1225" s="153" t="s">
        <v>86</v>
      </c>
      <c r="M1225" s="153"/>
      <c r="N1225" s="2" t="s">
        <v>57</v>
      </c>
      <c r="O1225" s="2"/>
      <c r="P1225" s="2"/>
    </row>
    <row r="1226" spans="1:16" ht="16.5" customHeight="1" x14ac:dyDescent="0.25">
      <c r="A1226" s="2" t="s">
        <v>2539</v>
      </c>
      <c r="B1226" s="8" t="s">
        <v>2539</v>
      </c>
      <c r="C1226" s="152" t="s">
        <v>102</v>
      </c>
      <c r="D1226" s="2" t="s">
        <v>163</v>
      </c>
      <c r="E1226" s="152" t="s">
        <v>102</v>
      </c>
      <c r="F1226" s="152" t="s">
        <v>103</v>
      </c>
      <c r="G1226" s="152">
        <v>0</v>
      </c>
      <c r="H1226" s="152"/>
      <c r="I1226" s="153">
        <v>146.30000000000001</v>
      </c>
      <c r="J1226" s="145"/>
      <c r="K1226" s="153">
        <v>-19.38997222222222</v>
      </c>
      <c r="L1226" s="153">
        <v>-55.196637772065962</v>
      </c>
      <c r="M1226" s="153"/>
      <c r="N1226" s="2" t="s">
        <v>57</v>
      </c>
      <c r="O1226" s="2"/>
      <c r="P1226" s="10"/>
    </row>
    <row r="1227" spans="1:16" ht="16.5" customHeight="1" x14ac:dyDescent="0.25">
      <c r="A1227" s="2" t="s">
        <v>2540</v>
      </c>
      <c r="B1227" s="8" t="s">
        <v>2540</v>
      </c>
      <c r="C1227" s="152" t="s">
        <v>102</v>
      </c>
      <c r="D1227" s="2" t="s">
        <v>282</v>
      </c>
      <c r="E1227" s="152" t="s">
        <v>102</v>
      </c>
      <c r="F1227" s="152" t="s">
        <v>103</v>
      </c>
      <c r="G1227" s="152">
        <v>0</v>
      </c>
      <c r="H1227" s="152"/>
      <c r="I1227" s="153">
        <v>0.9072739726027399</v>
      </c>
      <c r="J1227" s="145"/>
      <c r="K1227" s="153" t="s">
        <v>86</v>
      </c>
      <c r="L1227" s="153" t="s">
        <v>86</v>
      </c>
      <c r="M1227" s="153"/>
      <c r="N1227" s="2" t="s">
        <v>57</v>
      </c>
      <c r="O1227" s="2"/>
      <c r="P1227" s="2"/>
    </row>
    <row r="1228" spans="1:16" ht="16.5" customHeight="1" x14ac:dyDescent="0.25">
      <c r="A1228" s="2" t="s">
        <v>2541</v>
      </c>
      <c r="B1228" s="8" t="s">
        <v>2542</v>
      </c>
      <c r="C1228" s="152" t="s">
        <v>102</v>
      </c>
      <c r="D1228" s="2" t="s">
        <v>282</v>
      </c>
      <c r="E1228" s="152" t="s">
        <v>102</v>
      </c>
      <c r="F1228" s="152" t="s">
        <v>103</v>
      </c>
      <c r="G1228" s="152">
        <v>0</v>
      </c>
      <c r="H1228" s="152"/>
      <c r="I1228" s="153">
        <v>0</v>
      </c>
      <c r="J1228" s="145"/>
      <c r="K1228" s="153" t="s">
        <v>86</v>
      </c>
      <c r="L1228" s="153" t="s">
        <v>86</v>
      </c>
      <c r="M1228" s="153"/>
      <c r="N1228" s="2" t="s">
        <v>57</v>
      </c>
      <c r="O1228" s="2"/>
      <c r="P1228" s="2"/>
    </row>
    <row r="1229" spans="1:16" ht="16.5" customHeight="1" x14ac:dyDescent="0.25">
      <c r="A1229" s="2" t="s">
        <v>2543</v>
      </c>
      <c r="B1229" s="8" t="s">
        <v>2543</v>
      </c>
      <c r="C1229" s="152" t="s">
        <v>102</v>
      </c>
      <c r="D1229" s="2" t="s">
        <v>282</v>
      </c>
      <c r="E1229" s="152" t="s">
        <v>102</v>
      </c>
      <c r="F1229" s="152" t="s">
        <v>103</v>
      </c>
      <c r="G1229" s="152">
        <v>0</v>
      </c>
      <c r="H1229" s="152"/>
      <c r="I1229" s="153">
        <v>1.09442381369863</v>
      </c>
      <c r="J1229" s="145"/>
      <c r="K1229" s="153" t="s">
        <v>86</v>
      </c>
      <c r="L1229" s="153" t="s">
        <v>86</v>
      </c>
      <c r="M1229" s="153"/>
      <c r="N1229" s="2" t="s">
        <v>57</v>
      </c>
      <c r="O1229" s="2"/>
      <c r="P1229" s="2"/>
    </row>
    <row r="1230" spans="1:16" ht="16.5" customHeight="1" x14ac:dyDescent="0.25">
      <c r="A1230" s="2" t="s">
        <v>2544</v>
      </c>
      <c r="B1230" s="8" t="s">
        <v>2545</v>
      </c>
      <c r="C1230" s="152" t="s">
        <v>102</v>
      </c>
      <c r="D1230" s="2" t="s">
        <v>2305</v>
      </c>
      <c r="E1230" s="152" t="s">
        <v>102</v>
      </c>
      <c r="F1230" s="152" t="s">
        <v>103</v>
      </c>
      <c r="G1230" s="152">
        <v>0</v>
      </c>
      <c r="H1230" s="152"/>
      <c r="I1230" s="153">
        <v>0</v>
      </c>
      <c r="J1230" s="145"/>
      <c r="K1230" s="153" t="s">
        <v>86</v>
      </c>
      <c r="L1230" s="153" t="s">
        <v>86</v>
      </c>
      <c r="M1230" s="153"/>
      <c r="N1230" s="2" t="s">
        <v>57</v>
      </c>
      <c r="O1230" s="2"/>
      <c r="P1230" s="2"/>
    </row>
    <row r="1231" spans="1:16" ht="16.5" customHeight="1" x14ac:dyDescent="0.25">
      <c r="A1231" s="2" t="s">
        <v>2546</v>
      </c>
      <c r="B1231" s="8" t="s">
        <v>2546</v>
      </c>
      <c r="C1231" s="152" t="s">
        <v>102</v>
      </c>
      <c r="D1231" s="2" t="s">
        <v>1638</v>
      </c>
      <c r="E1231" s="152" t="s">
        <v>102</v>
      </c>
      <c r="F1231" s="152" t="s">
        <v>103</v>
      </c>
      <c r="G1231" s="152">
        <v>0</v>
      </c>
      <c r="H1231" s="152"/>
      <c r="I1231" s="153">
        <v>0.44188356164383558</v>
      </c>
      <c r="J1231" s="145"/>
      <c r="K1231" s="153" t="s">
        <v>86</v>
      </c>
      <c r="L1231" s="153" t="s">
        <v>86</v>
      </c>
      <c r="M1231" s="153"/>
      <c r="N1231" s="2" t="s">
        <v>57</v>
      </c>
      <c r="O1231" s="2"/>
      <c r="P1231" s="2"/>
    </row>
    <row r="1232" spans="1:16" ht="16.5" customHeight="1" x14ac:dyDescent="0.25">
      <c r="A1232" s="2" t="s">
        <v>2547</v>
      </c>
      <c r="B1232" s="8" t="s">
        <v>2547</v>
      </c>
      <c r="C1232" s="152" t="s">
        <v>102</v>
      </c>
      <c r="D1232" s="2" t="s">
        <v>1638</v>
      </c>
      <c r="E1232" s="152" t="s">
        <v>102</v>
      </c>
      <c r="F1232" s="152" t="s">
        <v>103</v>
      </c>
      <c r="G1232" s="152">
        <v>0</v>
      </c>
      <c r="H1232" s="152"/>
      <c r="I1232" s="153">
        <v>0.53892465753424668</v>
      </c>
      <c r="J1232" s="145"/>
      <c r="K1232" s="153" t="s">
        <v>86</v>
      </c>
      <c r="L1232" s="153" t="s">
        <v>86</v>
      </c>
      <c r="M1232" s="153"/>
      <c r="N1232" s="2" t="s">
        <v>57</v>
      </c>
      <c r="O1232" s="2"/>
      <c r="P1232" s="2"/>
    </row>
    <row r="1233" spans="1:16" ht="16.5" customHeight="1" x14ac:dyDescent="0.25">
      <c r="A1233" s="2" t="s">
        <v>2548</v>
      </c>
      <c r="B1233" s="8" t="s">
        <v>2548</v>
      </c>
      <c r="C1233" s="152" t="s">
        <v>102</v>
      </c>
      <c r="D1233" s="2" t="s">
        <v>1638</v>
      </c>
      <c r="E1233" s="152" t="s">
        <v>102</v>
      </c>
      <c r="F1233" s="152" t="s">
        <v>103</v>
      </c>
      <c r="G1233" s="152">
        <v>0</v>
      </c>
      <c r="H1233" s="152"/>
      <c r="I1233" s="153">
        <v>1.767534246575343</v>
      </c>
      <c r="J1233" s="145"/>
      <c r="K1233" s="153" t="s">
        <v>86</v>
      </c>
      <c r="L1233" s="153" t="s">
        <v>86</v>
      </c>
      <c r="M1233" s="153"/>
      <c r="N1233" s="2" t="s">
        <v>57</v>
      </c>
      <c r="O1233" s="2"/>
      <c r="P1233" s="2"/>
    </row>
    <row r="1234" spans="1:16" ht="16.5" customHeight="1" x14ac:dyDescent="0.25">
      <c r="A1234" s="2" t="s">
        <v>2549</v>
      </c>
      <c r="B1234" s="8" t="s">
        <v>2550</v>
      </c>
      <c r="C1234" s="152" t="s">
        <v>102</v>
      </c>
      <c r="D1234" s="2" t="s">
        <v>950</v>
      </c>
      <c r="E1234" s="152" t="s">
        <v>102</v>
      </c>
      <c r="F1234" s="152" t="s">
        <v>103</v>
      </c>
      <c r="G1234" s="152">
        <v>0</v>
      </c>
      <c r="H1234" s="152"/>
      <c r="I1234" s="153">
        <v>0</v>
      </c>
      <c r="J1234" s="145"/>
      <c r="K1234" s="153" t="s">
        <v>86</v>
      </c>
      <c r="L1234" s="153" t="s">
        <v>86</v>
      </c>
      <c r="M1234" s="153"/>
      <c r="N1234" s="2" t="s">
        <v>57</v>
      </c>
      <c r="O1234" s="2"/>
      <c r="P1234" s="2"/>
    </row>
    <row r="1235" spans="1:16" ht="16.5" customHeight="1" x14ac:dyDescent="0.25">
      <c r="A1235" s="2" t="s">
        <v>2551</v>
      </c>
      <c r="B1235" s="8" t="s">
        <v>2552</v>
      </c>
      <c r="C1235" s="152" t="s">
        <v>102</v>
      </c>
      <c r="D1235" s="2" t="s">
        <v>950</v>
      </c>
      <c r="E1235" s="152" t="s">
        <v>102</v>
      </c>
      <c r="F1235" s="152" t="s">
        <v>103</v>
      </c>
      <c r="G1235" s="152">
        <v>0</v>
      </c>
      <c r="H1235" s="152"/>
      <c r="I1235" s="153">
        <v>0</v>
      </c>
      <c r="J1235" s="145"/>
      <c r="K1235" s="153" t="s">
        <v>86</v>
      </c>
      <c r="L1235" s="153" t="s">
        <v>86</v>
      </c>
      <c r="M1235" s="153"/>
      <c r="N1235" s="2" t="s">
        <v>57</v>
      </c>
      <c r="O1235" s="2"/>
      <c r="P1235" s="2"/>
    </row>
    <row r="1236" spans="1:16" ht="16.5" customHeight="1" x14ac:dyDescent="0.25">
      <c r="A1236" s="2" t="s">
        <v>2553</v>
      </c>
      <c r="B1236" s="8" t="s">
        <v>2554</v>
      </c>
      <c r="C1236" s="152" t="s">
        <v>102</v>
      </c>
      <c r="D1236" s="2" t="s">
        <v>950</v>
      </c>
      <c r="E1236" s="152" t="s">
        <v>102</v>
      </c>
      <c r="F1236" s="152" t="s">
        <v>103</v>
      </c>
      <c r="G1236" s="152">
        <v>0</v>
      </c>
      <c r="H1236" s="152"/>
      <c r="I1236" s="153">
        <v>0</v>
      </c>
      <c r="J1236" s="145"/>
      <c r="K1236" s="153" t="s">
        <v>86</v>
      </c>
      <c r="L1236" s="153" t="s">
        <v>86</v>
      </c>
      <c r="M1236" s="153"/>
      <c r="N1236" s="2" t="s">
        <v>57</v>
      </c>
      <c r="O1236" s="2"/>
      <c r="P1236" s="2"/>
    </row>
    <row r="1237" spans="1:16" ht="16.5" customHeight="1" x14ac:dyDescent="0.25">
      <c r="A1237" s="2" t="s">
        <v>2555</v>
      </c>
      <c r="B1237" s="8" t="s">
        <v>2556</v>
      </c>
      <c r="C1237" s="152" t="s">
        <v>102</v>
      </c>
      <c r="D1237" s="2" t="s">
        <v>950</v>
      </c>
      <c r="E1237" s="152" t="s">
        <v>102</v>
      </c>
      <c r="F1237" s="152" t="s">
        <v>103</v>
      </c>
      <c r="G1237" s="152">
        <v>0</v>
      </c>
      <c r="H1237" s="152"/>
      <c r="I1237" s="153">
        <v>0</v>
      </c>
      <c r="J1237" s="145"/>
      <c r="K1237" s="153" t="s">
        <v>86</v>
      </c>
      <c r="L1237" s="153" t="s">
        <v>86</v>
      </c>
      <c r="M1237" s="153"/>
      <c r="N1237" s="2" t="s">
        <v>57</v>
      </c>
      <c r="O1237" s="2"/>
      <c r="P1237" s="2"/>
    </row>
    <row r="1238" spans="1:16" ht="16.5" customHeight="1" x14ac:dyDescent="0.25">
      <c r="A1238" s="2" t="s">
        <v>2557</v>
      </c>
      <c r="B1238" s="8" t="s">
        <v>2558</v>
      </c>
      <c r="C1238" s="152" t="s">
        <v>102</v>
      </c>
      <c r="D1238" s="2" t="s">
        <v>950</v>
      </c>
      <c r="E1238" s="152" t="s">
        <v>102</v>
      </c>
      <c r="F1238" s="152" t="s">
        <v>103</v>
      </c>
      <c r="G1238" s="152">
        <v>0</v>
      </c>
      <c r="H1238" s="152"/>
      <c r="I1238" s="153">
        <v>0</v>
      </c>
      <c r="J1238" s="145"/>
      <c r="K1238" s="153" t="s">
        <v>86</v>
      </c>
      <c r="L1238" s="153" t="s">
        <v>86</v>
      </c>
      <c r="M1238" s="153"/>
      <c r="N1238" s="2" t="s">
        <v>57</v>
      </c>
      <c r="O1238" s="2"/>
      <c r="P1238" s="2"/>
    </row>
    <row r="1239" spans="1:16" ht="16.5" customHeight="1" x14ac:dyDescent="0.25">
      <c r="A1239" s="2" t="s">
        <v>2559</v>
      </c>
      <c r="B1239" s="8" t="s">
        <v>2559</v>
      </c>
      <c r="C1239" s="152" t="s">
        <v>102</v>
      </c>
      <c r="D1239" s="2" t="s">
        <v>950</v>
      </c>
      <c r="E1239" s="152" t="s">
        <v>102</v>
      </c>
      <c r="F1239" s="152" t="s">
        <v>103</v>
      </c>
      <c r="G1239" s="152">
        <v>0</v>
      </c>
      <c r="H1239" s="152"/>
      <c r="I1239" s="153">
        <v>3.8118767123287678</v>
      </c>
      <c r="J1239" s="145"/>
      <c r="K1239" s="153" t="s">
        <v>86</v>
      </c>
      <c r="L1239" s="153" t="s">
        <v>86</v>
      </c>
      <c r="M1239" s="153"/>
      <c r="N1239" s="2" t="s">
        <v>57</v>
      </c>
      <c r="O1239" s="2"/>
      <c r="P1239" s="2"/>
    </row>
    <row r="1240" spans="1:16" ht="16.5" customHeight="1" x14ac:dyDescent="0.25">
      <c r="A1240" s="2" t="s">
        <v>2560</v>
      </c>
      <c r="B1240" s="8" t="s">
        <v>2561</v>
      </c>
      <c r="C1240" s="152" t="s">
        <v>102</v>
      </c>
      <c r="D1240" s="2" t="s">
        <v>201</v>
      </c>
      <c r="E1240" s="152" t="s">
        <v>102</v>
      </c>
      <c r="F1240" s="152" t="s">
        <v>103</v>
      </c>
      <c r="G1240" s="152">
        <v>0</v>
      </c>
      <c r="H1240" s="152"/>
      <c r="I1240" s="153">
        <v>0</v>
      </c>
      <c r="J1240" s="145"/>
      <c r="K1240" s="153" t="s">
        <v>86</v>
      </c>
      <c r="L1240" s="153" t="s">
        <v>86</v>
      </c>
      <c r="M1240" s="153"/>
      <c r="N1240" s="2" t="s">
        <v>57</v>
      </c>
      <c r="O1240" s="2"/>
      <c r="P1240" s="2"/>
    </row>
    <row r="1241" spans="1:16" ht="16.5" customHeight="1" x14ac:dyDescent="0.25">
      <c r="A1241" s="2" t="s">
        <v>2562</v>
      </c>
      <c r="B1241" s="8" t="s">
        <v>2563</v>
      </c>
      <c r="C1241" s="152" t="s">
        <v>102</v>
      </c>
      <c r="D1241" s="2" t="s">
        <v>201</v>
      </c>
      <c r="E1241" s="152" t="s">
        <v>102</v>
      </c>
      <c r="F1241" s="152" t="s">
        <v>103</v>
      </c>
      <c r="G1241" s="152">
        <v>0</v>
      </c>
      <c r="H1241" s="152"/>
      <c r="I1241" s="153">
        <v>0</v>
      </c>
      <c r="J1241" s="145"/>
      <c r="K1241" s="153" t="s">
        <v>86</v>
      </c>
      <c r="L1241" s="153" t="s">
        <v>86</v>
      </c>
      <c r="M1241" s="153"/>
      <c r="N1241" s="2" t="s">
        <v>57</v>
      </c>
      <c r="O1241" s="2"/>
      <c r="P1241" s="2"/>
    </row>
    <row r="1242" spans="1:16" ht="16.5" customHeight="1" x14ac:dyDescent="0.25">
      <c r="A1242" s="2" t="s">
        <v>2564</v>
      </c>
      <c r="B1242" s="8" t="s">
        <v>2565</v>
      </c>
      <c r="C1242" s="152" t="s">
        <v>102</v>
      </c>
      <c r="D1242" s="2" t="s">
        <v>201</v>
      </c>
      <c r="E1242" s="152" t="s">
        <v>102</v>
      </c>
      <c r="F1242" s="152" t="s">
        <v>103</v>
      </c>
      <c r="G1242" s="152">
        <v>0</v>
      </c>
      <c r="H1242" s="152"/>
      <c r="I1242" s="153">
        <v>0</v>
      </c>
      <c r="J1242" s="145"/>
      <c r="K1242" s="153" t="s">
        <v>86</v>
      </c>
      <c r="L1242" s="153" t="s">
        <v>86</v>
      </c>
      <c r="M1242" s="153"/>
      <c r="N1242" s="2" t="s">
        <v>57</v>
      </c>
      <c r="O1242" s="2"/>
      <c r="P1242" s="2"/>
    </row>
    <row r="1243" spans="1:16" ht="16.5" customHeight="1" x14ac:dyDescent="0.25">
      <c r="A1243" s="2" t="s">
        <v>2566</v>
      </c>
      <c r="B1243" s="8" t="s">
        <v>2567</v>
      </c>
      <c r="C1243" s="152" t="s">
        <v>102</v>
      </c>
      <c r="D1243" s="2" t="s">
        <v>232</v>
      </c>
      <c r="E1243" s="152" t="s">
        <v>102</v>
      </c>
      <c r="F1243" s="152" t="s">
        <v>103</v>
      </c>
      <c r="G1243" s="152">
        <v>0</v>
      </c>
      <c r="H1243" s="152"/>
      <c r="I1243" s="153">
        <v>0</v>
      </c>
      <c r="J1243" s="145"/>
      <c r="K1243" s="153" t="s">
        <v>86</v>
      </c>
      <c r="L1243" s="153" t="s">
        <v>86</v>
      </c>
      <c r="M1243" s="153"/>
      <c r="N1243" s="2" t="s">
        <v>57</v>
      </c>
      <c r="O1243" s="2"/>
      <c r="P1243" s="2"/>
    </row>
    <row r="1244" spans="1:16" ht="16.5" customHeight="1" x14ac:dyDescent="0.25">
      <c r="A1244" s="2" t="s">
        <v>2568</v>
      </c>
      <c r="B1244" s="8" t="s">
        <v>2569</v>
      </c>
      <c r="C1244" s="152" t="s">
        <v>102</v>
      </c>
      <c r="D1244" s="2" t="s">
        <v>232</v>
      </c>
      <c r="E1244" s="152" t="s">
        <v>102</v>
      </c>
      <c r="F1244" s="152" t="s">
        <v>103</v>
      </c>
      <c r="G1244" s="152">
        <v>0</v>
      </c>
      <c r="H1244" s="152"/>
      <c r="I1244" s="153">
        <v>0</v>
      </c>
      <c r="J1244" s="145"/>
      <c r="K1244" s="153" t="s">
        <v>86</v>
      </c>
      <c r="L1244" s="153" t="s">
        <v>86</v>
      </c>
      <c r="M1244" s="153"/>
      <c r="N1244" s="2" t="s">
        <v>57</v>
      </c>
      <c r="O1244" s="2"/>
      <c r="P1244" s="2"/>
    </row>
    <row r="1245" spans="1:16" ht="16.5" customHeight="1" x14ac:dyDescent="0.25">
      <c r="A1245" s="2" t="s">
        <v>2570</v>
      </c>
      <c r="B1245" s="8" t="s">
        <v>2571</v>
      </c>
      <c r="C1245" s="152" t="s">
        <v>102</v>
      </c>
      <c r="D1245" s="2" t="s">
        <v>232</v>
      </c>
      <c r="E1245" s="152" t="s">
        <v>102</v>
      </c>
      <c r="F1245" s="152" t="s">
        <v>103</v>
      </c>
      <c r="G1245" s="152">
        <v>0</v>
      </c>
      <c r="H1245" s="152"/>
      <c r="I1245" s="153">
        <v>0</v>
      </c>
      <c r="J1245" s="145"/>
      <c r="K1245" s="153" t="s">
        <v>86</v>
      </c>
      <c r="L1245" s="153" t="s">
        <v>86</v>
      </c>
      <c r="M1245" s="153"/>
      <c r="N1245" s="2" t="s">
        <v>57</v>
      </c>
      <c r="O1245" s="2"/>
      <c r="P1245" s="2"/>
    </row>
    <row r="1246" spans="1:16" ht="16.5" customHeight="1" x14ac:dyDescent="0.25">
      <c r="A1246" s="2" t="s">
        <v>2572</v>
      </c>
      <c r="B1246" s="8" t="s">
        <v>2573</v>
      </c>
      <c r="C1246" s="152" t="s">
        <v>102</v>
      </c>
      <c r="D1246" s="2" t="s">
        <v>232</v>
      </c>
      <c r="E1246" s="152" t="s">
        <v>102</v>
      </c>
      <c r="F1246" s="152" t="s">
        <v>103</v>
      </c>
      <c r="G1246" s="152">
        <v>0</v>
      </c>
      <c r="H1246" s="152"/>
      <c r="I1246" s="153">
        <v>0</v>
      </c>
      <c r="J1246" s="145"/>
      <c r="K1246" s="153" t="s">
        <v>86</v>
      </c>
      <c r="L1246" s="153" t="s">
        <v>86</v>
      </c>
      <c r="M1246" s="153"/>
      <c r="N1246" s="2" t="s">
        <v>57</v>
      </c>
      <c r="O1246" s="2"/>
      <c r="P1246" s="2"/>
    </row>
    <row r="1247" spans="1:16" ht="16.5" customHeight="1" x14ac:dyDescent="0.25">
      <c r="A1247" s="2" t="s">
        <v>2574</v>
      </c>
      <c r="B1247" s="8" t="s">
        <v>2574</v>
      </c>
      <c r="C1247" s="152" t="s">
        <v>102</v>
      </c>
      <c r="D1247" s="2" t="s">
        <v>232</v>
      </c>
      <c r="E1247" s="152" t="s">
        <v>102</v>
      </c>
      <c r="F1247" s="152" t="s">
        <v>103</v>
      </c>
      <c r="G1247" s="152">
        <v>0</v>
      </c>
      <c r="H1247" s="152"/>
      <c r="I1247" s="153">
        <v>22.431538461538459</v>
      </c>
      <c r="J1247" s="145"/>
      <c r="K1247" s="153" t="s">
        <v>86</v>
      </c>
      <c r="L1247" s="153" t="s">
        <v>86</v>
      </c>
      <c r="M1247" s="153"/>
      <c r="N1247" s="2" t="s">
        <v>57</v>
      </c>
      <c r="O1247" s="2"/>
      <c r="P1247" s="2"/>
    </row>
    <row r="1248" spans="1:16" ht="16.5" customHeight="1" x14ac:dyDescent="0.25">
      <c r="A1248" s="2" t="s">
        <v>2575</v>
      </c>
      <c r="B1248" s="8" t="s">
        <v>2575</v>
      </c>
      <c r="C1248" s="152" t="s">
        <v>102</v>
      </c>
      <c r="D1248" s="2" t="s">
        <v>232</v>
      </c>
      <c r="E1248" s="152" t="s">
        <v>102</v>
      </c>
      <c r="F1248" s="152" t="s">
        <v>103</v>
      </c>
      <c r="G1248" s="152">
        <v>0</v>
      </c>
      <c r="H1248" s="152"/>
      <c r="I1248" s="153">
        <v>28.258012820512821</v>
      </c>
      <c r="J1248" s="145"/>
      <c r="K1248" s="153" t="s">
        <v>86</v>
      </c>
      <c r="L1248" s="153" t="s">
        <v>86</v>
      </c>
      <c r="M1248" s="153"/>
      <c r="N1248" s="2" t="s">
        <v>57</v>
      </c>
      <c r="O1248" s="2"/>
      <c r="P1248" s="2"/>
    </row>
    <row r="1249" spans="1:16" ht="16.5" customHeight="1" x14ac:dyDescent="0.25">
      <c r="A1249" s="2" t="s">
        <v>2576</v>
      </c>
      <c r="B1249" s="8" t="s">
        <v>2576</v>
      </c>
      <c r="C1249" s="152" t="s">
        <v>102</v>
      </c>
      <c r="D1249" s="2" t="s">
        <v>278</v>
      </c>
      <c r="E1249" s="152" t="s">
        <v>102</v>
      </c>
      <c r="F1249" s="152" t="s">
        <v>103</v>
      </c>
      <c r="G1249" s="152">
        <v>0</v>
      </c>
      <c r="H1249" s="152"/>
      <c r="I1249" s="153">
        <v>47.304230769230777</v>
      </c>
      <c r="J1249" s="145"/>
      <c r="K1249" s="153" t="s">
        <v>86</v>
      </c>
      <c r="L1249" s="153" t="s">
        <v>86</v>
      </c>
      <c r="M1249" s="153"/>
      <c r="N1249" s="2" t="s">
        <v>57</v>
      </c>
      <c r="O1249" s="2"/>
      <c r="P1249" s="2"/>
    </row>
    <row r="1250" spans="1:16" ht="16.5" customHeight="1" x14ac:dyDescent="0.25">
      <c r="A1250" s="2" t="s">
        <v>2577</v>
      </c>
      <c r="B1250" s="8" t="s">
        <v>2577</v>
      </c>
      <c r="C1250" s="152" t="s">
        <v>102</v>
      </c>
      <c r="D1250" s="2" t="s">
        <v>278</v>
      </c>
      <c r="E1250" s="152" t="s">
        <v>102</v>
      </c>
      <c r="F1250" s="152" t="s">
        <v>103</v>
      </c>
      <c r="G1250" s="152">
        <v>0</v>
      </c>
      <c r="H1250" s="152"/>
      <c r="I1250" s="153">
        <v>36.974807692307699</v>
      </c>
      <c r="J1250" s="145"/>
      <c r="K1250" s="153" t="s">
        <v>86</v>
      </c>
      <c r="L1250" s="153" t="s">
        <v>86</v>
      </c>
      <c r="M1250" s="153"/>
      <c r="N1250" s="2" t="s">
        <v>57</v>
      </c>
      <c r="O1250" s="2"/>
      <c r="P1250" s="2"/>
    </row>
    <row r="1251" spans="1:16" ht="16.5" customHeight="1" x14ac:dyDescent="0.25">
      <c r="A1251" s="2" t="s">
        <v>2578</v>
      </c>
      <c r="B1251" s="8" t="s">
        <v>2578</v>
      </c>
      <c r="C1251" s="152" t="s">
        <v>102</v>
      </c>
      <c r="D1251" s="2" t="s">
        <v>278</v>
      </c>
      <c r="E1251" s="152" t="s">
        <v>102</v>
      </c>
      <c r="F1251" s="152" t="s">
        <v>103</v>
      </c>
      <c r="G1251" s="152">
        <v>0</v>
      </c>
      <c r="H1251" s="152"/>
      <c r="I1251" s="153">
        <v>25.587692307692311</v>
      </c>
      <c r="J1251" s="145"/>
      <c r="K1251" s="153" t="s">
        <v>86</v>
      </c>
      <c r="L1251" s="153" t="s">
        <v>86</v>
      </c>
      <c r="M1251" s="153"/>
      <c r="N1251" s="2" t="s">
        <v>57</v>
      </c>
      <c r="O1251" s="2"/>
      <c r="P1251" s="2"/>
    </row>
    <row r="1252" spans="1:16" ht="16.5" customHeight="1" x14ac:dyDescent="0.25">
      <c r="A1252" s="2" t="s">
        <v>2579</v>
      </c>
      <c r="B1252" s="8" t="s">
        <v>2579</v>
      </c>
      <c r="C1252" s="152" t="s">
        <v>102</v>
      </c>
      <c r="D1252" s="2" t="s">
        <v>278</v>
      </c>
      <c r="E1252" s="152" t="s">
        <v>102</v>
      </c>
      <c r="F1252" s="152" t="s">
        <v>103</v>
      </c>
      <c r="G1252" s="152">
        <v>0</v>
      </c>
      <c r="H1252" s="152"/>
      <c r="I1252" s="153">
        <v>80.333000000000013</v>
      </c>
      <c r="J1252" s="145"/>
      <c r="K1252" s="153" t="s">
        <v>86</v>
      </c>
      <c r="L1252" s="153" t="s">
        <v>86</v>
      </c>
      <c r="M1252" s="153"/>
      <c r="N1252" s="2" t="s">
        <v>57</v>
      </c>
      <c r="O1252" s="2"/>
      <c r="P1252" s="2"/>
    </row>
    <row r="1253" spans="1:16" ht="16.5" customHeight="1" x14ac:dyDescent="0.25">
      <c r="A1253" s="2" t="s">
        <v>2580</v>
      </c>
      <c r="B1253" s="8" t="s">
        <v>2580</v>
      </c>
      <c r="C1253" s="152" t="s">
        <v>102</v>
      </c>
      <c r="D1253" s="2" t="s">
        <v>278</v>
      </c>
      <c r="E1253" s="152" t="s">
        <v>102</v>
      </c>
      <c r="F1253" s="152" t="s">
        <v>103</v>
      </c>
      <c r="G1253" s="152">
        <v>0</v>
      </c>
      <c r="H1253" s="152"/>
      <c r="I1253" s="153">
        <v>48.960999999999999</v>
      </c>
      <c r="J1253" s="145"/>
      <c r="K1253" s="153" t="s">
        <v>86</v>
      </c>
      <c r="L1253" s="153" t="s">
        <v>86</v>
      </c>
      <c r="M1253" s="153"/>
      <c r="N1253" s="2" t="s">
        <v>57</v>
      </c>
      <c r="O1253" s="2"/>
      <c r="P1253" s="10"/>
    </row>
    <row r="1254" spans="1:16" ht="16.5" customHeight="1" x14ac:dyDescent="0.25">
      <c r="A1254" s="2" t="s">
        <v>2581</v>
      </c>
      <c r="B1254" s="8" t="s">
        <v>2581</v>
      </c>
      <c r="C1254" s="152" t="s">
        <v>102</v>
      </c>
      <c r="D1254" s="2" t="s">
        <v>278</v>
      </c>
      <c r="E1254" s="152" t="s">
        <v>102</v>
      </c>
      <c r="F1254" s="152" t="s">
        <v>103</v>
      </c>
      <c r="G1254" s="152">
        <v>0</v>
      </c>
      <c r="H1254" s="152"/>
      <c r="I1254" s="153">
        <v>98.783525641025662</v>
      </c>
      <c r="J1254" s="145"/>
      <c r="K1254" s="153" t="s">
        <v>86</v>
      </c>
      <c r="L1254" s="153" t="s">
        <v>86</v>
      </c>
      <c r="M1254" s="153"/>
      <c r="N1254" s="2" t="s">
        <v>57</v>
      </c>
      <c r="O1254" s="2"/>
      <c r="P1254" s="2"/>
    </row>
    <row r="1255" spans="1:16" ht="16.5" customHeight="1" x14ac:dyDescent="0.25">
      <c r="A1255" s="2" t="s">
        <v>2582</v>
      </c>
      <c r="B1255" s="8" t="s">
        <v>2582</v>
      </c>
      <c r="C1255" s="152" t="s">
        <v>102</v>
      </c>
      <c r="D1255" s="2" t="s">
        <v>278</v>
      </c>
      <c r="E1255" s="152" t="s">
        <v>102</v>
      </c>
      <c r="F1255" s="152" t="s">
        <v>103</v>
      </c>
      <c r="G1255" s="152">
        <v>0</v>
      </c>
      <c r="H1255" s="152"/>
      <c r="I1255" s="153">
        <v>24.211987179487181</v>
      </c>
      <c r="J1255" s="145"/>
      <c r="K1255" s="153" t="s">
        <v>86</v>
      </c>
      <c r="L1255" s="153" t="s">
        <v>86</v>
      </c>
      <c r="M1255" s="153"/>
      <c r="N1255" s="2" t="s">
        <v>57</v>
      </c>
      <c r="O1255" s="2"/>
      <c r="P1255" s="10"/>
    </row>
    <row r="1256" spans="1:16" ht="16.5" customHeight="1" x14ac:dyDescent="0.25">
      <c r="A1256" s="2" t="s">
        <v>2583</v>
      </c>
      <c r="B1256" s="8" t="s">
        <v>2583</v>
      </c>
      <c r="C1256" s="152" t="s">
        <v>102</v>
      </c>
      <c r="D1256" s="2" t="s">
        <v>278</v>
      </c>
      <c r="E1256" s="152" t="s">
        <v>102</v>
      </c>
      <c r="F1256" s="152" t="s">
        <v>103</v>
      </c>
      <c r="G1256" s="152">
        <v>0</v>
      </c>
      <c r="H1256" s="152"/>
      <c r="I1256" s="153">
        <v>79.931923076923084</v>
      </c>
      <c r="J1256" s="145"/>
      <c r="K1256" s="153" t="s">
        <v>86</v>
      </c>
      <c r="L1256" s="153" t="s">
        <v>86</v>
      </c>
      <c r="M1256" s="153"/>
      <c r="N1256" s="2" t="s">
        <v>57</v>
      </c>
      <c r="O1256" s="2"/>
      <c r="P1256" s="10"/>
    </row>
    <row r="1257" spans="1:16" ht="16.5" customHeight="1" x14ac:dyDescent="0.25">
      <c r="A1257" s="2" t="s">
        <v>2584</v>
      </c>
      <c r="B1257" s="8" t="s">
        <v>2584</v>
      </c>
      <c r="C1257" s="152" t="s">
        <v>102</v>
      </c>
      <c r="D1257" s="2" t="s">
        <v>278</v>
      </c>
      <c r="E1257" s="152" t="s">
        <v>102</v>
      </c>
      <c r="F1257" s="152" t="s">
        <v>103</v>
      </c>
      <c r="G1257" s="152">
        <v>0</v>
      </c>
      <c r="H1257" s="152"/>
      <c r="I1257" s="153">
        <v>24.149074074074079</v>
      </c>
      <c r="J1257" s="145"/>
      <c r="K1257" s="153" t="s">
        <v>86</v>
      </c>
      <c r="L1257" s="153" t="s">
        <v>86</v>
      </c>
      <c r="M1257" s="153"/>
      <c r="N1257" s="2" t="s">
        <v>57</v>
      </c>
      <c r="O1257" s="2"/>
      <c r="P1257" s="10"/>
    </row>
    <row r="1258" spans="1:16" ht="16.5" customHeight="1" x14ac:dyDescent="0.25">
      <c r="A1258" s="2" t="s">
        <v>2585</v>
      </c>
      <c r="B1258" s="8" t="s">
        <v>2585</v>
      </c>
      <c r="C1258" s="152" t="s">
        <v>102</v>
      </c>
      <c r="D1258" s="2" t="s">
        <v>278</v>
      </c>
      <c r="E1258" s="152" t="s">
        <v>102</v>
      </c>
      <c r="F1258" s="152" t="s">
        <v>103</v>
      </c>
      <c r="G1258" s="152">
        <v>0</v>
      </c>
      <c r="H1258" s="152"/>
      <c r="I1258" s="153">
        <v>41.617724358974357</v>
      </c>
      <c r="J1258" s="145"/>
      <c r="K1258" s="153" t="s">
        <v>86</v>
      </c>
      <c r="L1258" s="153" t="s">
        <v>86</v>
      </c>
      <c r="M1258" s="153"/>
      <c r="N1258" s="2" t="s">
        <v>57</v>
      </c>
      <c r="O1258" s="2"/>
      <c r="P1258" s="2"/>
    </row>
    <row r="1259" spans="1:16" ht="16.5" customHeight="1" x14ac:dyDescent="0.25">
      <c r="A1259" s="2" t="s">
        <v>2586</v>
      </c>
      <c r="B1259" s="8" t="s">
        <v>2586</v>
      </c>
      <c r="C1259" s="152" t="s">
        <v>102</v>
      </c>
      <c r="D1259" s="2" t="s">
        <v>278</v>
      </c>
      <c r="E1259" s="152" t="s">
        <v>102</v>
      </c>
      <c r="F1259" s="152" t="s">
        <v>103</v>
      </c>
      <c r="G1259" s="152">
        <v>0</v>
      </c>
      <c r="H1259" s="152"/>
      <c r="I1259" s="153">
        <v>69.175192307692313</v>
      </c>
      <c r="J1259" s="145"/>
      <c r="K1259" s="153" t="s">
        <v>86</v>
      </c>
      <c r="L1259" s="153" t="s">
        <v>86</v>
      </c>
      <c r="M1259" s="153"/>
      <c r="N1259" s="2" t="s">
        <v>57</v>
      </c>
      <c r="O1259" s="2"/>
      <c r="P1259" s="2"/>
    </row>
    <row r="1260" spans="1:16" ht="16.5" customHeight="1" x14ac:dyDescent="0.25">
      <c r="A1260" s="2" t="s">
        <v>2587</v>
      </c>
      <c r="B1260" s="8" t="s">
        <v>2587</v>
      </c>
      <c r="C1260" s="152" t="s">
        <v>102</v>
      </c>
      <c r="D1260" s="2" t="s">
        <v>278</v>
      </c>
      <c r="E1260" s="152" t="s">
        <v>102</v>
      </c>
      <c r="F1260" s="152" t="s">
        <v>103</v>
      </c>
      <c r="G1260" s="152">
        <v>0</v>
      </c>
      <c r="H1260" s="152"/>
      <c r="I1260" s="153">
        <v>24.024423076923082</v>
      </c>
      <c r="J1260" s="145"/>
      <c r="K1260" s="153" t="s">
        <v>86</v>
      </c>
      <c r="L1260" s="153" t="s">
        <v>86</v>
      </c>
      <c r="M1260" s="153"/>
      <c r="N1260" s="2" t="s">
        <v>57</v>
      </c>
      <c r="O1260" s="2"/>
      <c r="P1260" s="10"/>
    </row>
    <row r="1261" spans="1:16" ht="16.5" customHeight="1" x14ac:dyDescent="0.25">
      <c r="A1261" s="2" t="s">
        <v>2588</v>
      </c>
      <c r="B1261" s="8" t="s">
        <v>2588</v>
      </c>
      <c r="C1261" s="152" t="s">
        <v>102</v>
      </c>
      <c r="D1261" s="2" t="s">
        <v>278</v>
      </c>
      <c r="E1261" s="152" t="s">
        <v>102</v>
      </c>
      <c r="F1261" s="152" t="s">
        <v>103</v>
      </c>
      <c r="G1261" s="152">
        <v>0</v>
      </c>
      <c r="H1261" s="152"/>
      <c r="I1261" s="153">
        <v>31.12506410256411</v>
      </c>
      <c r="J1261" s="145"/>
      <c r="K1261" s="153" t="s">
        <v>86</v>
      </c>
      <c r="L1261" s="153" t="s">
        <v>86</v>
      </c>
      <c r="M1261" s="153"/>
      <c r="N1261" s="2" t="s">
        <v>57</v>
      </c>
      <c r="O1261" s="2"/>
      <c r="P1261" s="2"/>
    </row>
    <row r="1262" spans="1:16" ht="16.5" customHeight="1" x14ac:dyDescent="0.25">
      <c r="A1262" s="2" t="s">
        <v>2589</v>
      </c>
      <c r="B1262" s="8" t="s">
        <v>2589</v>
      </c>
      <c r="C1262" s="152" t="s">
        <v>102</v>
      </c>
      <c r="D1262" s="2" t="s">
        <v>278</v>
      </c>
      <c r="E1262" s="152" t="s">
        <v>102</v>
      </c>
      <c r="F1262" s="152" t="s">
        <v>103</v>
      </c>
      <c r="G1262" s="152">
        <v>0</v>
      </c>
      <c r="H1262" s="152"/>
      <c r="I1262" s="153">
        <v>108.2512820512821</v>
      </c>
      <c r="J1262" s="145"/>
      <c r="K1262" s="153" t="s">
        <v>86</v>
      </c>
      <c r="L1262" s="153" t="s">
        <v>86</v>
      </c>
      <c r="M1262" s="153"/>
      <c r="N1262" s="2" t="s">
        <v>57</v>
      </c>
      <c r="O1262" s="2"/>
      <c r="P1262" s="2"/>
    </row>
    <row r="1263" spans="1:16" ht="16.5" customHeight="1" x14ac:dyDescent="0.25">
      <c r="A1263" s="2" t="s">
        <v>2590</v>
      </c>
      <c r="B1263" s="8" t="s">
        <v>2590</v>
      </c>
      <c r="C1263" s="152" t="s">
        <v>102</v>
      </c>
      <c r="D1263" s="2" t="s">
        <v>278</v>
      </c>
      <c r="E1263" s="152" t="s">
        <v>102</v>
      </c>
      <c r="F1263" s="152" t="s">
        <v>103</v>
      </c>
      <c r="G1263" s="152">
        <v>0</v>
      </c>
      <c r="H1263" s="152"/>
      <c r="I1263" s="153">
        <v>76.750384615384633</v>
      </c>
      <c r="J1263" s="145"/>
      <c r="K1263" s="153" t="s">
        <v>86</v>
      </c>
      <c r="L1263" s="153" t="s">
        <v>86</v>
      </c>
      <c r="M1263" s="153"/>
      <c r="N1263" s="2" t="s">
        <v>57</v>
      </c>
      <c r="O1263" s="2"/>
      <c r="P1263" s="10"/>
    </row>
    <row r="1264" spans="1:16" ht="16.5" customHeight="1" x14ac:dyDescent="0.25">
      <c r="A1264" s="2" t="s">
        <v>2591</v>
      </c>
      <c r="B1264" s="8" t="s">
        <v>2591</v>
      </c>
      <c r="C1264" s="152" t="s">
        <v>102</v>
      </c>
      <c r="D1264" s="2" t="s">
        <v>278</v>
      </c>
      <c r="E1264" s="152" t="s">
        <v>102</v>
      </c>
      <c r="F1264" s="152" t="s">
        <v>103</v>
      </c>
      <c r="G1264" s="152">
        <v>0</v>
      </c>
      <c r="H1264" s="152"/>
      <c r="I1264" s="153">
        <v>79.884679487179497</v>
      </c>
      <c r="J1264" s="145"/>
      <c r="K1264" s="153" t="s">
        <v>86</v>
      </c>
      <c r="L1264" s="153" t="s">
        <v>86</v>
      </c>
      <c r="M1264" s="153"/>
      <c r="N1264" s="2" t="s">
        <v>57</v>
      </c>
      <c r="O1264" s="2"/>
      <c r="P1264" s="2"/>
    </row>
    <row r="1265" spans="1:16" ht="16.5" customHeight="1" x14ac:dyDescent="0.25">
      <c r="A1265" s="2" t="s">
        <v>2592</v>
      </c>
      <c r="B1265" s="8" t="s">
        <v>2592</v>
      </c>
      <c r="C1265" s="152" t="s">
        <v>102</v>
      </c>
      <c r="D1265" s="2" t="s">
        <v>278</v>
      </c>
      <c r="E1265" s="152" t="s">
        <v>102</v>
      </c>
      <c r="F1265" s="152" t="s">
        <v>103</v>
      </c>
      <c r="G1265" s="152">
        <v>0</v>
      </c>
      <c r="H1265" s="152"/>
      <c r="I1265" s="153">
        <v>23.969070512820519</v>
      </c>
      <c r="J1265" s="145"/>
      <c r="K1265" s="153" t="s">
        <v>86</v>
      </c>
      <c r="L1265" s="153" t="s">
        <v>86</v>
      </c>
      <c r="M1265" s="153"/>
      <c r="N1265" s="2" t="s">
        <v>57</v>
      </c>
      <c r="O1265" s="2"/>
      <c r="P1265" s="2"/>
    </row>
    <row r="1266" spans="1:16" ht="16.5" customHeight="1" x14ac:dyDescent="0.25">
      <c r="A1266" s="2" t="s">
        <v>2593</v>
      </c>
      <c r="B1266" s="8" t="s">
        <v>2593</v>
      </c>
      <c r="C1266" s="152" t="s">
        <v>102</v>
      </c>
      <c r="D1266" s="2" t="s">
        <v>278</v>
      </c>
      <c r="E1266" s="152" t="s">
        <v>102</v>
      </c>
      <c r="F1266" s="152" t="s">
        <v>103</v>
      </c>
      <c r="G1266" s="152">
        <v>0</v>
      </c>
      <c r="H1266" s="152"/>
      <c r="I1266" s="153">
        <v>26.900641025641029</v>
      </c>
      <c r="J1266" s="145"/>
      <c r="K1266" s="153" t="s">
        <v>86</v>
      </c>
      <c r="L1266" s="153" t="s">
        <v>86</v>
      </c>
      <c r="M1266" s="153"/>
      <c r="N1266" s="2" t="s">
        <v>57</v>
      </c>
      <c r="O1266" s="2"/>
      <c r="P1266" s="2"/>
    </row>
    <row r="1267" spans="1:16" ht="16.5" customHeight="1" x14ac:dyDescent="0.25">
      <c r="A1267" s="2" t="s">
        <v>2594</v>
      </c>
      <c r="B1267" s="8" t="s">
        <v>2594</v>
      </c>
      <c r="C1267" s="152" t="s">
        <v>102</v>
      </c>
      <c r="D1267" s="2" t="s">
        <v>278</v>
      </c>
      <c r="E1267" s="152" t="s">
        <v>102</v>
      </c>
      <c r="F1267" s="152" t="s">
        <v>103</v>
      </c>
      <c r="G1267" s="152">
        <v>0</v>
      </c>
      <c r="H1267" s="152"/>
      <c r="I1267" s="153">
        <v>22.15794871794872</v>
      </c>
      <c r="J1267" s="145"/>
      <c r="K1267" s="153" t="s">
        <v>86</v>
      </c>
      <c r="L1267" s="153" t="s">
        <v>86</v>
      </c>
      <c r="M1267" s="153"/>
      <c r="N1267" s="2" t="s">
        <v>57</v>
      </c>
      <c r="O1267" s="2"/>
      <c r="P1267" s="2"/>
    </row>
    <row r="1268" spans="1:16" ht="16.5" customHeight="1" x14ac:dyDescent="0.25">
      <c r="A1268" s="2" t="s">
        <v>2595</v>
      </c>
      <c r="B1268" s="8" t="s">
        <v>2595</v>
      </c>
      <c r="C1268" s="152" t="s">
        <v>102</v>
      </c>
      <c r="D1268" s="2" t="s">
        <v>278</v>
      </c>
      <c r="E1268" s="152" t="s">
        <v>102</v>
      </c>
      <c r="F1268" s="152" t="s">
        <v>103</v>
      </c>
      <c r="G1268" s="152">
        <v>0</v>
      </c>
      <c r="H1268" s="152"/>
      <c r="I1268" s="153">
        <v>32.693974358974373</v>
      </c>
      <c r="J1268" s="145"/>
      <c r="K1268" s="153" t="s">
        <v>86</v>
      </c>
      <c r="L1268" s="153" t="s">
        <v>86</v>
      </c>
      <c r="M1268" s="153"/>
      <c r="N1268" s="2" t="s">
        <v>57</v>
      </c>
      <c r="O1268" s="2"/>
      <c r="P1268" s="2"/>
    </row>
    <row r="1269" spans="1:16" ht="16.5" customHeight="1" x14ac:dyDescent="0.25">
      <c r="A1269" s="2" t="s">
        <v>2596</v>
      </c>
      <c r="B1269" s="8" t="s">
        <v>2596</v>
      </c>
      <c r="C1269" s="152" t="s">
        <v>102</v>
      </c>
      <c r="D1269" s="2" t="s">
        <v>278</v>
      </c>
      <c r="E1269" s="152" t="s">
        <v>102</v>
      </c>
      <c r="F1269" s="152" t="s">
        <v>103</v>
      </c>
      <c r="G1269" s="152">
        <v>0</v>
      </c>
      <c r="H1269" s="152"/>
      <c r="I1269" s="153">
        <v>36.138525641025652</v>
      </c>
      <c r="J1269" s="145"/>
      <c r="K1269" s="153" t="s">
        <v>86</v>
      </c>
      <c r="L1269" s="153" t="s">
        <v>86</v>
      </c>
      <c r="M1269" s="153"/>
      <c r="N1269" s="2" t="s">
        <v>57</v>
      </c>
      <c r="O1269" s="2"/>
      <c r="P1269" s="10"/>
    </row>
    <row r="1270" spans="1:16" ht="16.5" customHeight="1" x14ac:dyDescent="0.25">
      <c r="A1270" s="2" t="s">
        <v>2597</v>
      </c>
      <c r="B1270" s="8" t="s">
        <v>2597</v>
      </c>
      <c r="C1270" s="152" t="s">
        <v>102</v>
      </c>
      <c r="D1270" s="2" t="s">
        <v>278</v>
      </c>
      <c r="E1270" s="152" t="s">
        <v>102</v>
      </c>
      <c r="F1270" s="152" t="s">
        <v>103</v>
      </c>
      <c r="G1270" s="152">
        <v>0</v>
      </c>
      <c r="H1270" s="152"/>
      <c r="I1270" s="153">
        <v>37.591089743589748</v>
      </c>
      <c r="J1270" s="145"/>
      <c r="K1270" s="153" t="s">
        <v>86</v>
      </c>
      <c r="L1270" s="153" t="s">
        <v>86</v>
      </c>
      <c r="M1270" s="153"/>
      <c r="N1270" s="2" t="s">
        <v>57</v>
      </c>
      <c r="O1270" s="2"/>
      <c r="P1270" s="2"/>
    </row>
    <row r="1271" spans="1:16" ht="16.5" customHeight="1" x14ac:dyDescent="0.25">
      <c r="A1271" s="2" t="s">
        <v>2598</v>
      </c>
      <c r="B1271" s="8" t="s">
        <v>2598</v>
      </c>
      <c r="C1271" s="152" t="s">
        <v>102</v>
      </c>
      <c r="D1271" s="2" t="s">
        <v>278</v>
      </c>
      <c r="E1271" s="152" t="s">
        <v>102</v>
      </c>
      <c r="F1271" s="152" t="s">
        <v>103</v>
      </c>
      <c r="G1271" s="152">
        <v>0</v>
      </c>
      <c r="H1271" s="152"/>
      <c r="I1271" s="153">
        <v>36.153333333333343</v>
      </c>
      <c r="J1271" s="145"/>
      <c r="K1271" s="153" t="s">
        <v>86</v>
      </c>
      <c r="L1271" s="153" t="s">
        <v>86</v>
      </c>
      <c r="M1271" s="153"/>
      <c r="N1271" s="2" t="s">
        <v>57</v>
      </c>
      <c r="O1271" s="2"/>
      <c r="P1271" s="10"/>
    </row>
    <row r="1272" spans="1:16" ht="16.5" customHeight="1" x14ac:dyDescent="0.25">
      <c r="A1272" s="2" t="s">
        <v>2599</v>
      </c>
      <c r="B1272" s="8" t="s">
        <v>2599</v>
      </c>
      <c r="C1272" s="152" t="s">
        <v>102</v>
      </c>
      <c r="D1272" s="2" t="s">
        <v>278</v>
      </c>
      <c r="E1272" s="152" t="s">
        <v>102</v>
      </c>
      <c r="F1272" s="152" t="s">
        <v>103</v>
      </c>
      <c r="G1272" s="152">
        <v>0</v>
      </c>
      <c r="H1272" s="152"/>
      <c r="I1272" s="153">
        <v>0</v>
      </c>
      <c r="J1272" s="145"/>
      <c r="K1272" s="153" t="s">
        <v>86</v>
      </c>
      <c r="L1272" s="153" t="s">
        <v>86</v>
      </c>
      <c r="M1272" s="153"/>
      <c r="N1272" s="2" t="s">
        <v>57</v>
      </c>
      <c r="O1272" s="2"/>
      <c r="P1272" s="2"/>
    </row>
    <row r="1273" spans="1:16" ht="16.5" customHeight="1" x14ac:dyDescent="0.25">
      <c r="A1273" s="2" t="s">
        <v>2600</v>
      </c>
      <c r="B1273" s="8" t="s">
        <v>2600</v>
      </c>
      <c r="C1273" s="152" t="s">
        <v>102</v>
      </c>
      <c r="D1273" s="2" t="s">
        <v>278</v>
      </c>
      <c r="E1273" s="152" t="s">
        <v>102</v>
      </c>
      <c r="F1273" s="152" t="s">
        <v>103</v>
      </c>
      <c r="G1273" s="152">
        <v>0</v>
      </c>
      <c r="H1273" s="152"/>
      <c r="I1273" s="153">
        <v>63.705512820512823</v>
      </c>
      <c r="J1273" s="145"/>
      <c r="K1273" s="153" t="s">
        <v>86</v>
      </c>
      <c r="L1273" s="153" t="s">
        <v>86</v>
      </c>
      <c r="M1273" s="153"/>
      <c r="N1273" s="2" t="s">
        <v>57</v>
      </c>
      <c r="O1273" s="2"/>
      <c r="P1273" s="10"/>
    </row>
    <row r="1274" spans="1:16" ht="16.5" customHeight="1" x14ac:dyDescent="0.25">
      <c r="A1274" s="2" t="s">
        <v>2601</v>
      </c>
      <c r="B1274" s="8" t="s">
        <v>2601</v>
      </c>
      <c r="C1274" s="152" t="s">
        <v>102</v>
      </c>
      <c r="D1274" s="2" t="s">
        <v>278</v>
      </c>
      <c r="E1274" s="152" t="s">
        <v>102</v>
      </c>
      <c r="F1274" s="152" t="s">
        <v>103</v>
      </c>
      <c r="G1274" s="152">
        <v>0</v>
      </c>
      <c r="H1274" s="152"/>
      <c r="I1274" s="153">
        <v>30.91282051282052</v>
      </c>
      <c r="J1274" s="145"/>
      <c r="K1274" s="153" t="s">
        <v>86</v>
      </c>
      <c r="L1274" s="153" t="s">
        <v>86</v>
      </c>
      <c r="M1274" s="153"/>
      <c r="N1274" s="2" t="s">
        <v>57</v>
      </c>
      <c r="O1274" s="2"/>
      <c r="P1274" s="2"/>
    </row>
    <row r="1275" spans="1:16" ht="16.5" customHeight="1" x14ac:dyDescent="0.25">
      <c r="A1275" s="2" t="s">
        <v>2602</v>
      </c>
      <c r="B1275" s="8" t="s">
        <v>2602</v>
      </c>
      <c r="C1275" s="152" t="s">
        <v>102</v>
      </c>
      <c r="D1275" s="2" t="s">
        <v>278</v>
      </c>
      <c r="E1275" s="152" t="s">
        <v>102</v>
      </c>
      <c r="F1275" s="152" t="s">
        <v>103</v>
      </c>
      <c r="G1275" s="152">
        <v>0</v>
      </c>
      <c r="H1275" s="152"/>
      <c r="I1275" s="153">
        <v>34.349262820512827</v>
      </c>
      <c r="J1275" s="145"/>
      <c r="K1275" s="153" t="s">
        <v>86</v>
      </c>
      <c r="L1275" s="153" t="s">
        <v>86</v>
      </c>
      <c r="M1275" s="153"/>
      <c r="N1275" s="2" t="s">
        <v>57</v>
      </c>
      <c r="O1275" s="2"/>
      <c r="P1275" s="2"/>
    </row>
    <row r="1276" spans="1:16" ht="16.5" customHeight="1" x14ac:dyDescent="0.25">
      <c r="A1276" s="2" t="s">
        <v>2603</v>
      </c>
      <c r="B1276" s="8" t="s">
        <v>2603</v>
      </c>
      <c r="C1276" s="152" t="s">
        <v>102</v>
      </c>
      <c r="D1276" s="2" t="s">
        <v>278</v>
      </c>
      <c r="E1276" s="152" t="s">
        <v>102</v>
      </c>
      <c r="F1276" s="152" t="s">
        <v>103</v>
      </c>
      <c r="G1276" s="152">
        <v>0</v>
      </c>
      <c r="H1276" s="152"/>
      <c r="I1276" s="153">
        <v>73.337564102564116</v>
      </c>
      <c r="J1276" s="145"/>
      <c r="K1276" s="153" t="s">
        <v>86</v>
      </c>
      <c r="L1276" s="153" t="s">
        <v>86</v>
      </c>
      <c r="M1276" s="153"/>
      <c r="N1276" s="2" t="s">
        <v>57</v>
      </c>
      <c r="O1276" s="2"/>
      <c r="P1276" s="2"/>
    </row>
    <row r="1277" spans="1:16" ht="16.5" customHeight="1" x14ac:dyDescent="0.25">
      <c r="A1277" s="2" t="s">
        <v>2604</v>
      </c>
      <c r="B1277" s="8" t="s">
        <v>2604</v>
      </c>
      <c r="C1277" s="152" t="s">
        <v>102</v>
      </c>
      <c r="D1277" s="2" t="s">
        <v>278</v>
      </c>
      <c r="E1277" s="152" t="s">
        <v>102</v>
      </c>
      <c r="F1277" s="152" t="s">
        <v>103</v>
      </c>
      <c r="G1277" s="152">
        <v>0</v>
      </c>
      <c r="H1277" s="152"/>
      <c r="I1277" s="153">
        <v>41.135064102564122</v>
      </c>
      <c r="J1277" s="145"/>
      <c r="K1277" s="153" t="s">
        <v>86</v>
      </c>
      <c r="L1277" s="153" t="s">
        <v>86</v>
      </c>
      <c r="M1277" s="153"/>
      <c r="N1277" s="2" t="s">
        <v>57</v>
      </c>
      <c r="O1277" s="2"/>
      <c r="P1277" s="2"/>
    </row>
    <row r="1278" spans="1:16" ht="16.5" customHeight="1" x14ac:dyDescent="0.25">
      <c r="A1278" s="2" t="s">
        <v>2605</v>
      </c>
      <c r="B1278" s="8" t="s">
        <v>2605</v>
      </c>
      <c r="C1278" s="152" t="s">
        <v>102</v>
      </c>
      <c r="D1278" s="2" t="s">
        <v>278</v>
      </c>
      <c r="E1278" s="152" t="s">
        <v>102</v>
      </c>
      <c r="F1278" s="152" t="s">
        <v>103</v>
      </c>
      <c r="G1278" s="152">
        <v>0</v>
      </c>
      <c r="H1278" s="152"/>
      <c r="I1278" s="153">
        <v>73.836089743589739</v>
      </c>
      <c r="J1278" s="145"/>
      <c r="K1278" s="153" t="s">
        <v>86</v>
      </c>
      <c r="L1278" s="153" t="s">
        <v>86</v>
      </c>
      <c r="M1278" s="153"/>
      <c r="N1278" s="2" t="s">
        <v>57</v>
      </c>
      <c r="O1278" s="2"/>
      <c r="P1278" s="2"/>
    </row>
    <row r="1279" spans="1:16" ht="16.5" customHeight="1" x14ac:dyDescent="0.25">
      <c r="A1279" s="2" t="s">
        <v>2606</v>
      </c>
      <c r="B1279" s="8" t="s">
        <v>2606</v>
      </c>
      <c r="C1279" s="152" t="s">
        <v>102</v>
      </c>
      <c r="D1279" s="2" t="s">
        <v>278</v>
      </c>
      <c r="E1279" s="152" t="s">
        <v>102</v>
      </c>
      <c r="F1279" s="152" t="s">
        <v>103</v>
      </c>
      <c r="G1279" s="152">
        <v>0</v>
      </c>
      <c r="H1279" s="152"/>
      <c r="I1279" s="153">
        <v>75.762147435897447</v>
      </c>
      <c r="J1279" s="145"/>
      <c r="K1279" s="153" t="s">
        <v>86</v>
      </c>
      <c r="L1279" s="153" t="s">
        <v>86</v>
      </c>
      <c r="M1279" s="153"/>
      <c r="N1279" s="2" t="s">
        <v>57</v>
      </c>
      <c r="O1279" s="2"/>
      <c r="P1279" s="2"/>
    </row>
    <row r="1280" spans="1:16" ht="16.5" customHeight="1" x14ac:dyDescent="0.25">
      <c r="A1280" s="2" t="s">
        <v>2607</v>
      </c>
      <c r="B1280" s="8" t="s">
        <v>2607</v>
      </c>
      <c r="C1280" s="152" t="s">
        <v>102</v>
      </c>
      <c r="D1280" s="2" t="s">
        <v>278</v>
      </c>
      <c r="E1280" s="152" t="s">
        <v>102</v>
      </c>
      <c r="F1280" s="152" t="s">
        <v>103</v>
      </c>
      <c r="G1280" s="152">
        <v>0</v>
      </c>
      <c r="H1280" s="152"/>
      <c r="I1280" s="153">
        <v>23.911249999999999</v>
      </c>
      <c r="J1280" s="145"/>
      <c r="K1280" s="153" t="s">
        <v>86</v>
      </c>
      <c r="L1280" s="153" t="s">
        <v>86</v>
      </c>
      <c r="M1280" s="153"/>
      <c r="N1280" s="2" t="s">
        <v>57</v>
      </c>
      <c r="O1280" s="2"/>
      <c r="P1280" s="2"/>
    </row>
    <row r="1281" spans="1:16" ht="16.5" customHeight="1" x14ac:dyDescent="0.25">
      <c r="A1281" s="2" t="s">
        <v>2608</v>
      </c>
      <c r="B1281" s="8" t="s">
        <v>2608</v>
      </c>
      <c r="C1281" s="152" t="s">
        <v>102</v>
      </c>
      <c r="D1281" s="2" t="s">
        <v>278</v>
      </c>
      <c r="E1281" s="152" t="s">
        <v>102</v>
      </c>
      <c r="F1281" s="152" t="s">
        <v>103</v>
      </c>
      <c r="G1281" s="152">
        <v>0</v>
      </c>
      <c r="H1281" s="152"/>
      <c r="I1281" s="153">
        <v>72.041185897435909</v>
      </c>
      <c r="J1281" s="145"/>
      <c r="K1281" s="153" t="s">
        <v>86</v>
      </c>
      <c r="L1281" s="153" t="s">
        <v>86</v>
      </c>
      <c r="M1281" s="153"/>
      <c r="N1281" s="2" t="s">
        <v>57</v>
      </c>
      <c r="O1281" s="2"/>
      <c r="P1281" s="10"/>
    </row>
    <row r="1282" spans="1:16" ht="16.5" customHeight="1" x14ac:dyDescent="0.25">
      <c r="A1282" s="2" t="s">
        <v>2609</v>
      </c>
      <c r="B1282" s="8" t="s">
        <v>2609</v>
      </c>
      <c r="C1282" s="152" t="s">
        <v>102</v>
      </c>
      <c r="D1282" s="2" t="s">
        <v>278</v>
      </c>
      <c r="E1282" s="152" t="s">
        <v>102</v>
      </c>
      <c r="F1282" s="152" t="s">
        <v>103</v>
      </c>
      <c r="G1282" s="152">
        <v>0</v>
      </c>
      <c r="H1282" s="152"/>
      <c r="I1282" s="153">
        <v>79.902307692307701</v>
      </c>
      <c r="J1282" s="145"/>
      <c r="K1282" s="153" t="s">
        <v>86</v>
      </c>
      <c r="L1282" s="153" t="s">
        <v>86</v>
      </c>
      <c r="M1282" s="153"/>
      <c r="N1282" s="2" t="s">
        <v>57</v>
      </c>
      <c r="O1282" s="2"/>
      <c r="P1282" s="10"/>
    </row>
    <row r="1283" spans="1:16" ht="16.5" customHeight="1" x14ac:dyDescent="0.25">
      <c r="A1283" s="2" t="s">
        <v>2610</v>
      </c>
      <c r="B1283" s="8" t="s">
        <v>2610</v>
      </c>
      <c r="C1283" s="152" t="s">
        <v>102</v>
      </c>
      <c r="D1283" s="2" t="s">
        <v>278</v>
      </c>
      <c r="E1283" s="152" t="s">
        <v>102</v>
      </c>
      <c r="F1283" s="152" t="s">
        <v>103</v>
      </c>
      <c r="G1283" s="152">
        <v>0</v>
      </c>
      <c r="H1283" s="152"/>
      <c r="I1283" s="153">
        <v>63.844000000000001</v>
      </c>
      <c r="J1283" s="145"/>
      <c r="K1283" s="153" t="s">
        <v>86</v>
      </c>
      <c r="L1283" s="153" t="s">
        <v>86</v>
      </c>
      <c r="M1283" s="153"/>
      <c r="N1283" s="2" t="s">
        <v>57</v>
      </c>
      <c r="O1283" s="2"/>
      <c r="P1283" s="10"/>
    </row>
    <row r="1284" spans="1:16" ht="16.5" customHeight="1" x14ac:dyDescent="0.25">
      <c r="A1284" s="2" t="s">
        <v>2611</v>
      </c>
      <c r="B1284" s="8" t="s">
        <v>2611</v>
      </c>
      <c r="C1284" s="152" t="s">
        <v>102</v>
      </c>
      <c r="D1284" s="2" t="s">
        <v>278</v>
      </c>
      <c r="E1284" s="152" t="s">
        <v>102</v>
      </c>
      <c r="F1284" s="152" t="s">
        <v>103</v>
      </c>
      <c r="G1284" s="152">
        <v>0</v>
      </c>
      <c r="H1284" s="152"/>
      <c r="I1284" s="153">
        <v>65.668589743589749</v>
      </c>
      <c r="J1284" s="145"/>
      <c r="K1284" s="153" t="s">
        <v>86</v>
      </c>
      <c r="L1284" s="153" t="s">
        <v>86</v>
      </c>
      <c r="M1284" s="153"/>
      <c r="N1284" s="2" t="s">
        <v>57</v>
      </c>
      <c r="O1284" s="2"/>
      <c r="P1284" s="10"/>
    </row>
    <row r="1285" spans="1:16" ht="16.5" customHeight="1" x14ac:dyDescent="0.25">
      <c r="A1285" s="2" t="s">
        <v>2612</v>
      </c>
      <c r="B1285" s="8" t="s">
        <v>2612</v>
      </c>
      <c r="C1285" s="152" t="s">
        <v>102</v>
      </c>
      <c r="D1285" s="2" t="s">
        <v>278</v>
      </c>
      <c r="E1285" s="152" t="s">
        <v>102</v>
      </c>
      <c r="F1285" s="152" t="s">
        <v>103</v>
      </c>
      <c r="G1285" s="152">
        <v>0</v>
      </c>
      <c r="H1285" s="152"/>
      <c r="I1285" s="153">
        <v>64.605256410256416</v>
      </c>
      <c r="J1285" s="145"/>
      <c r="K1285" s="153" t="s">
        <v>86</v>
      </c>
      <c r="L1285" s="153" t="s">
        <v>86</v>
      </c>
      <c r="M1285" s="153"/>
      <c r="N1285" s="2" t="s">
        <v>57</v>
      </c>
      <c r="O1285" s="2"/>
      <c r="P1285" s="10"/>
    </row>
    <row r="1286" spans="1:16" ht="16.5" customHeight="1" x14ac:dyDescent="0.25">
      <c r="A1286" s="2" t="s">
        <v>2613</v>
      </c>
      <c r="B1286" s="8" t="s">
        <v>2613</v>
      </c>
      <c r="C1286" s="152" t="s">
        <v>102</v>
      </c>
      <c r="D1286" s="2" t="s">
        <v>278</v>
      </c>
      <c r="E1286" s="152" t="s">
        <v>102</v>
      </c>
      <c r="F1286" s="152" t="s">
        <v>103</v>
      </c>
      <c r="G1286" s="152">
        <v>0</v>
      </c>
      <c r="H1286" s="152"/>
      <c r="I1286" s="153">
        <v>74.086057692307691</v>
      </c>
      <c r="J1286" s="145"/>
      <c r="K1286" s="153" t="s">
        <v>86</v>
      </c>
      <c r="L1286" s="153" t="s">
        <v>86</v>
      </c>
      <c r="M1286" s="153"/>
      <c r="N1286" s="2" t="s">
        <v>57</v>
      </c>
      <c r="O1286" s="2"/>
      <c r="P1286" s="2"/>
    </row>
    <row r="1287" spans="1:16" ht="16.5" customHeight="1" x14ac:dyDescent="0.25">
      <c r="A1287" s="2" t="s">
        <v>2614</v>
      </c>
      <c r="B1287" s="8" t="s">
        <v>2614</v>
      </c>
      <c r="C1287" s="152" t="s">
        <v>102</v>
      </c>
      <c r="D1287" s="2" t="s">
        <v>278</v>
      </c>
      <c r="E1287" s="152" t="s">
        <v>102</v>
      </c>
      <c r="F1287" s="152" t="s">
        <v>103</v>
      </c>
      <c r="G1287" s="152">
        <v>0</v>
      </c>
      <c r="H1287" s="152"/>
      <c r="I1287" s="153">
        <v>46.360769230769229</v>
      </c>
      <c r="J1287" s="145"/>
      <c r="K1287" s="153" t="s">
        <v>86</v>
      </c>
      <c r="L1287" s="153" t="s">
        <v>86</v>
      </c>
      <c r="M1287" s="153"/>
      <c r="N1287" s="2" t="s">
        <v>57</v>
      </c>
      <c r="O1287" s="2"/>
      <c r="P1287" s="2"/>
    </row>
    <row r="1288" spans="1:16" ht="16.5" customHeight="1" x14ac:dyDescent="0.25">
      <c r="A1288" s="2" t="s">
        <v>2615</v>
      </c>
      <c r="B1288" s="8" t="s">
        <v>2615</v>
      </c>
      <c r="C1288" s="152" t="s">
        <v>102</v>
      </c>
      <c r="D1288" s="2" t="s">
        <v>278</v>
      </c>
      <c r="E1288" s="152" t="s">
        <v>102</v>
      </c>
      <c r="F1288" s="152" t="s">
        <v>103</v>
      </c>
      <c r="G1288" s="152">
        <v>0</v>
      </c>
      <c r="H1288" s="152"/>
      <c r="I1288" s="153">
        <v>107.69705128205131</v>
      </c>
      <c r="J1288" s="145"/>
      <c r="K1288" s="153" t="s">
        <v>86</v>
      </c>
      <c r="L1288" s="153" t="s">
        <v>86</v>
      </c>
      <c r="M1288" s="153"/>
      <c r="N1288" s="2" t="s">
        <v>57</v>
      </c>
      <c r="O1288" s="2"/>
      <c r="P1288" s="2"/>
    </row>
    <row r="1289" spans="1:16" ht="16.5" customHeight="1" x14ac:dyDescent="0.25">
      <c r="A1289" s="2" t="s">
        <v>2616</v>
      </c>
      <c r="B1289" s="8" t="s">
        <v>2616</v>
      </c>
      <c r="C1289" s="152" t="s">
        <v>102</v>
      </c>
      <c r="D1289" s="2" t="s">
        <v>278</v>
      </c>
      <c r="E1289" s="152" t="s">
        <v>102</v>
      </c>
      <c r="F1289" s="152" t="s">
        <v>103</v>
      </c>
      <c r="G1289" s="152">
        <v>0</v>
      </c>
      <c r="H1289" s="152"/>
      <c r="I1289" s="153">
        <v>49.658653846153847</v>
      </c>
      <c r="J1289" s="145"/>
      <c r="K1289" s="153" t="s">
        <v>86</v>
      </c>
      <c r="L1289" s="153" t="s">
        <v>86</v>
      </c>
      <c r="M1289" s="153"/>
      <c r="N1289" s="2" t="s">
        <v>57</v>
      </c>
      <c r="O1289" s="2"/>
      <c r="P1289" s="10"/>
    </row>
    <row r="1290" spans="1:16" ht="16.5" customHeight="1" x14ac:dyDescent="0.25">
      <c r="A1290" s="2" t="s">
        <v>2617</v>
      </c>
      <c r="B1290" s="8" t="s">
        <v>2617</v>
      </c>
      <c r="C1290" s="152" t="s">
        <v>102</v>
      </c>
      <c r="D1290" s="2" t="s">
        <v>278</v>
      </c>
      <c r="E1290" s="152" t="s">
        <v>102</v>
      </c>
      <c r="F1290" s="152" t="s">
        <v>103</v>
      </c>
      <c r="G1290" s="152">
        <v>0</v>
      </c>
      <c r="H1290" s="152"/>
      <c r="I1290" s="153">
        <v>87.908333333333346</v>
      </c>
      <c r="J1290" s="145"/>
      <c r="K1290" s="153" t="s">
        <v>86</v>
      </c>
      <c r="L1290" s="153" t="s">
        <v>86</v>
      </c>
      <c r="M1290" s="153"/>
      <c r="N1290" s="2" t="s">
        <v>57</v>
      </c>
      <c r="O1290" s="2"/>
      <c r="P1290" s="10"/>
    </row>
    <row r="1291" spans="1:16" ht="16.5" customHeight="1" x14ac:dyDescent="0.25">
      <c r="A1291" s="2" t="s">
        <v>2618</v>
      </c>
      <c r="B1291" s="8" t="s">
        <v>2618</v>
      </c>
      <c r="C1291" s="152" t="s">
        <v>102</v>
      </c>
      <c r="D1291" s="2" t="s">
        <v>278</v>
      </c>
      <c r="E1291" s="152" t="s">
        <v>102</v>
      </c>
      <c r="F1291" s="152" t="s">
        <v>103</v>
      </c>
      <c r="G1291" s="152">
        <v>0</v>
      </c>
      <c r="H1291" s="152"/>
      <c r="I1291" s="153">
        <v>107.8500641025641</v>
      </c>
      <c r="J1291" s="145"/>
      <c r="K1291" s="153" t="s">
        <v>86</v>
      </c>
      <c r="L1291" s="153" t="s">
        <v>86</v>
      </c>
      <c r="M1291" s="153"/>
      <c r="N1291" s="2" t="s">
        <v>57</v>
      </c>
      <c r="O1291" s="2"/>
      <c r="P1291" s="2"/>
    </row>
    <row r="1292" spans="1:16" ht="16.5" customHeight="1" x14ac:dyDescent="0.25">
      <c r="A1292" s="2" t="s">
        <v>2619</v>
      </c>
      <c r="B1292" s="8" t="s">
        <v>2619</v>
      </c>
      <c r="C1292" s="152" t="s">
        <v>102</v>
      </c>
      <c r="D1292" s="2" t="s">
        <v>278</v>
      </c>
      <c r="E1292" s="152" t="s">
        <v>102</v>
      </c>
      <c r="F1292" s="152" t="s">
        <v>103</v>
      </c>
      <c r="G1292" s="152">
        <v>0</v>
      </c>
      <c r="H1292" s="152"/>
      <c r="I1292" s="153">
        <v>37.57628205128205</v>
      </c>
      <c r="J1292" s="145"/>
      <c r="K1292" s="153" t="s">
        <v>86</v>
      </c>
      <c r="L1292" s="153" t="s">
        <v>86</v>
      </c>
      <c r="M1292" s="153"/>
      <c r="N1292" s="2" t="s">
        <v>57</v>
      </c>
      <c r="O1292" s="2"/>
      <c r="P1292" s="2"/>
    </row>
    <row r="1293" spans="1:16" ht="16.5" customHeight="1" x14ac:dyDescent="0.25">
      <c r="A1293" s="2" t="s">
        <v>2620</v>
      </c>
      <c r="B1293" s="8" t="s">
        <v>2620</v>
      </c>
      <c r="C1293" s="152" t="s">
        <v>102</v>
      </c>
      <c r="D1293" s="2" t="s">
        <v>278</v>
      </c>
      <c r="E1293" s="152" t="s">
        <v>102</v>
      </c>
      <c r="F1293" s="152" t="s">
        <v>103</v>
      </c>
      <c r="G1293" s="152">
        <v>0</v>
      </c>
      <c r="H1293" s="152"/>
      <c r="I1293" s="153">
        <v>37.492371794871801</v>
      </c>
      <c r="J1293" s="145"/>
      <c r="K1293" s="153" t="s">
        <v>86</v>
      </c>
      <c r="L1293" s="153" t="s">
        <v>86</v>
      </c>
      <c r="M1293" s="153"/>
      <c r="N1293" s="2" t="s">
        <v>57</v>
      </c>
      <c r="O1293" s="2"/>
      <c r="P1293" s="2"/>
    </row>
    <row r="1294" spans="1:16" ht="16.5" customHeight="1" x14ac:dyDescent="0.25">
      <c r="A1294" s="2" t="s">
        <v>2621</v>
      </c>
      <c r="B1294" s="8" t="s">
        <v>2621</v>
      </c>
      <c r="C1294" s="152" t="s">
        <v>102</v>
      </c>
      <c r="D1294" s="2" t="s">
        <v>278</v>
      </c>
      <c r="E1294" s="152" t="s">
        <v>102</v>
      </c>
      <c r="F1294" s="152" t="s">
        <v>103</v>
      </c>
      <c r="G1294" s="152">
        <v>0</v>
      </c>
      <c r="H1294" s="152"/>
      <c r="I1294" s="153">
        <v>61.119102564102562</v>
      </c>
      <c r="J1294" s="145"/>
      <c r="K1294" s="153" t="s">
        <v>86</v>
      </c>
      <c r="L1294" s="153" t="s">
        <v>86</v>
      </c>
      <c r="M1294" s="153"/>
      <c r="N1294" s="2" t="s">
        <v>57</v>
      </c>
      <c r="O1294" s="2"/>
      <c r="P1294" s="2"/>
    </row>
    <row r="1295" spans="1:16" ht="16.5" customHeight="1" x14ac:dyDescent="0.25">
      <c r="A1295" s="2" t="s">
        <v>2622</v>
      </c>
      <c r="B1295" s="8" t="s">
        <v>2622</v>
      </c>
      <c r="C1295" s="152" t="s">
        <v>102</v>
      </c>
      <c r="D1295" s="2" t="s">
        <v>278</v>
      </c>
      <c r="E1295" s="152" t="s">
        <v>102</v>
      </c>
      <c r="F1295" s="152" t="s">
        <v>103</v>
      </c>
      <c r="G1295" s="152">
        <v>0</v>
      </c>
      <c r="H1295" s="152"/>
      <c r="I1295" s="153">
        <v>95.601987179487196</v>
      </c>
      <c r="J1295" s="145"/>
      <c r="K1295" s="153" t="s">
        <v>86</v>
      </c>
      <c r="L1295" s="153" t="s">
        <v>86</v>
      </c>
      <c r="M1295" s="153"/>
      <c r="N1295" s="2" t="s">
        <v>57</v>
      </c>
      <c r="O1295" s="2"/>
      <c r="P1295" s="10"/>
    </row>
    <row r="1296" spans="1:16" ht="16.5" customHeight="1" x14ac:dyDescent="0.25">
      <c r="A1296" s="2" t="s">
        <v>2623</v>
      </c>
      <c r="B1296" s="8" t="s">
        <v>2623</v>
      </c>
      <c r="C1296" s="152" t="s">
        <v>102</v>
      </c>
      <c r="D1296" s="2" t="s">
        <v>278</v>
      </c>
      <c r="E1296" s="152" t="s">
        <v>102</v>
      </c>
      <c r="F1296" s="152" t="s">
        <v>103</v>
      </c>
      <c r="G1296" s="152">
        <v>0</v>
      </c>
      <c r="H1296" s="152"/>
      <c r="I1296" s="153">
        <v>64.841474358974367</v>
      </c>
      <c r="J1296" s="145"/>
      <c r="K1296" s="153" t="s">
        <v>86</v>
      </c>
      <c r="L1296" s="153" t="s">
        <v>86</v>
      </c>
      <c r="M1296" s="153"/>
      <c r="N1296" s="2" t="s">
        <v>57</v>
      </c>
      <c r="O1296" s="2"/>
      <c r="P1296" s="2"/>
    </row>
    <row r="1297" spans="1:16" ht="16.5" customHeight="1" x14ac:dyDescent="0.25">
      <c r="A1297" s="2" t="s">
        <v>2624</v>
      </c>
      <c r="B1297" s="8" t="s">
        <v>2624</v>
      </c>
      <c r="C1297" s="152" t="s">
        <v>102</v>
      </c>
      <c r="D1297" s="2" t="s">
        <v>278</v>
      </c>
      <c r="E1297" s="152" t="s">
        <v>102</v>
      </c>
      <c r="F1297" s="152" t="s">
        <v>103</v>
      </c>
      <c r="G1297" s="152">
        <v>0</v>
      </c>
      <c r="H1297" s="152"/>
      <c r="I1297" s="153">
        <v>87.525448717948734</v>
      </c>
      <c r="J1297" s="145"/>
      <c r="K1297" s="153" t="s">
        <v>86</v>
      </c>
      <c r="L1297" s="153" t="s">
        <v>86</v>
      </c>
      <c r="M1297" s="153"/>
      <c r="N1297" s="2" t="s">
        <v>57</v>
      </c>
      <c r="O1297" s="2"/>
      <c r="P1297" s="10"/>
    </row>
    <row r="1298" spans="1:16" ht="16.5" customHeight="1" x14ac:dyDescent="0.25">
      <c r="A1298" s="2" t="s">
        <v>2625</v>
      </c>
      <c r="B1298" s="8" t="s">
        <v>2625</v>
      </c>
      <c r="C1298" s="152" t="s">
        <v>102</v>
      </c>
      <c r="D1298" s="2" t="s">
        <v>278</v>
      </c>
      <c r="E1298" s="152" t="s">
        <v>102</v>
      </c>
      <c r="F1298" s="152" t="s">
        <v>103</v>
      </c>
      <c r="G1298" s="152">
        <v>0</v>
      </c>
      <c r="H1298" s="152"/>
      <c r="I1298" s="153">
        <v>51.181025641025649</v>
      </c>
      <c r="J1298" s="145"/>
      <c r="K1298" s="153" t="s">
        <v>86</v>
      </c>
      <c r="L1298" s="153" t="s">
        <v>86</v>
      </c>
      <c r="M1298" s="153"/>
      <c r="N1298" s="2" t="s">
        <v>57</v>
      </c>
      <c r="O1298" s="2"/>
      <c r="P1298" s="2"/>
    </row>
    <row r="1299" spans="1:16" ht="16.5" customHeight="1" x14ac:dyDescent="0.25">
      <c r="A1299" s="2" t="s">
        <v>2626</v>
      </c>
      <c r="B1299" s="8" t="s">
        <v>2626</v>
      </c>
      <c r="C1299" s="152" t="s">
        <v>102</v>
      </c>
      <c r="D1299" s="2" t="s">
        <v>278</v>
      </c>
      <c r="E1299" s="152" t="s">
        <v>102</v>
      </c>
      <c r="F1299" s="152" t="s">
        <v>103</v>
      </c>
      <c r="G1299" s="152">
        <v>0</v>
      </c>
      <c r="H1299" s="152"/>
      <c r="I1299" s="153">
        <v>15.00442307692308</v>
      </c>
      <c r="J1299" s="145"/>
      <c r="K1299" s="153" t="s">
        <v>86</v>
      </c>
      <c r="L1299" s="153" t="s">
        <v>86</v>
      </c>
      <c r="M1299" s="153"/>
      <c r="N1299" s="2" t="s">
        <v>57</v>
      </c>
      <c r="O1299" s="2"/>
      <c r="P1299" s="10"/>
    </row>
    <row r="1300" spans="1:16" ht="16.5" customHeight="1" x14ac:dyDescent="0.25">
      <c r="A1300" s="2" t="s">
        <v>2627</v>
      </c>
      <c r="B1300" s="8" t="s">
        <v>2627</v>
      </c>
      <c r="C1300" s="152" t="s">
        <v>102</v>
      </c>
      <c r="D1300" s="2" t="s">
        <v>278</v>
      </c>
      <c r="E1300" s="152" t="s">
        <v>102</v>
      </c>
      <c r="F1300" s="152" t="s">
        <v>103</v>
      </c>
      <c r="G1300" s="152">
        <v>0</v>
      </c>
      <c r="H1300" s="152"/>
      <c r="I1300" s="153">
        <v>36.85</v>
      </c>
      <c r="J1300" s="145"/>
      <c r="K1300" s="153" t="s">
        <v>86</v>
      </c>
      <c r="L1300" s="153" t="s">
        <v>86</v>
      </c>
      <c r="M1300" s="153"/>
      <c r="N1300" s="2" t="s">
        <v>57</v>
      </c>
      <c r="O1300" s="2"/>
      <c r="P1300" s="2"/>
    </row>
    <row r="1301" spans="1:16" ht="16.5" customHeight="1" x14ac:dyDescent="0.25">
      <c r="A1301" s="2" t="s">
        <v>2628</v>
      </c>
      <c r="B1301" s="8" t="s">
        <v>2628</v>
      </c>
      <c r="C1301" s="152" t="s">
        <v>102</v>
      </c>
      <c r="D1301" s="2" t="s">
        <v>278</v>
      </c>
      <c r="E1301" s="152" t="s">
        <v>102</v>
      </c>
      <c r="F1301" s="152" t="s">
        <v>103</v>
      </c>
      <c r="G1301" s="152">
        <v>0</v>
      </c>
      <c r="H1301" s="152"/>
      <c r="I1301" s="153">
        <v>11.09307692307692</v>
      </c>
      <c r="J1301" s="145"/>
      <c r="K1301" s="153" t="s">
        <v>86</v>
      </c>
      <c r="L1301" s="153" t="s">
        <v>86</v>
      </c>
      <c r="M1301" s="153"/>
      <c r="N1301" s="2" t="s">
        <v>57</v>
      </c>
      <c r="O1301" s="2"/>
      <c r="P1301" s="2"/>
    </row>
    <row r="1302" spans="1:16" ht="16.5" customHeight="1" x14ac:dyDescent="0.25">
      <c r="A1302" s="2" t="s">
        <v>2629</v>
      </c>
      <c r="B1302" s="8" t="s">
        <v>2629</v>
      </c>
      <c r="C1302" s="152" t="s">
        <v>102</v>
      </c>
      <c r="D1302" s="2" t="s">
        <v>278</v>
      </c>
      <c r="E1302" s="152" t="s">
        <v>102</v>
      </c>
      <c r="F1302" s="152" t="s">
        <v>103</v>
      </c>
      <c r="G1302" s="152">
        <v>0</v>
      </c>
      <c r="H1302" s="152"/>
      <c r="I1302" s="153">
        <v>101.0004487179487</v>
      </c>
      <c r="J1302" s="145"/>
      <c r="K1302" s="153" t="s">
        <v>86</v>
      </c>
      <c r="L1302" s="153" t="s">
        <v>86</v>
      </c>
      <c r="M1302" s="153"/>
      <c r="N1302" s="2" t="s">
        <v>57</v>
      </c>
      <c r="O1302" s="2"/>
      <c r="P1302" s="2"/>
    </row>
    <row r="1303" spans="1:16" ht="16.5" customHeight="1" x14ac:dyDescent="0.25">
      <c r="A1303" s="2" t="s">
        <v>2630</v>
      </c>
      <c r="B1303" s="8" t="s">
        <v>2630</v>
      </c>
      <c r="C1303" s="152" t="s">
        <v>102</v>
      </c>
      <c r="D1303" s="2" t="s">
        <v>278</v>
      </c>
      <c r="E1303" s="152" t="s">
        <v>102</v>
      </c>
      <c r="F1303" s="152" t="s">
        <v>103</v>
      </c>
      <c r="G1303" s="152">
        <v>0</v>
      </c>
      <c r="H1303" s="152"/>
      <c r="I1303" s="153">
        <v>30.72807692307693</v>
      </c>
      <c r="J1303" s="145"/>
      <c r="K1303" s="153" t="s">
        <v>86</v>
      </c>
      <c r="L1303" s="153" t="s">
        <v>86</v>
      </c>
      <c r="M1303" s="153"/>
      <c r="N1303" s="2" t="s">
        <v>57</v>
      </c>
      <c r="O1303" s="2"/>
      <c r="P1303" s="2"/>
    </row>
    <row r="1304" spans="1:16" ht="16.5" customHeight="1" x14ac:dyDescent="0.25">
      <c r="A1304" s="2" t="s">
        <v>2631</v>
      </c>
      <c r="B1304" s="8" t="s">
        <v>2631</v>
      </c>
      <c r="C1304" s="152" t="s">
        <v>102</v>
      </c>
      <c r="D1304" s="2" t="s">
        <v>278</v>
      </c>
      <c r="E1304" s="152" t="s">
        <v>102</v>
      </c>
      <c r="F1304" s="152" t="s">
        <v>103</v>
      </c>
      <c r="G1304" s="152">
        <v>0</v>
      </c>
      <c r="H1304" s="152"/>
      <c r="I1304" s="153">
        <v>99.992037037037051</v>
      </c>
      <c r="J1304" s="145"/>
      <c r="K1304" s="153" t="s">
        <v>86</v>
      </c>
      <c r="L1304" s="153" t="s">
        <v>86</v>
      </c>
      <c r="M1304" s="153"/>
      <c r="N1304" s="2" t="s">
        <v>57</v>
      </c>
      <c r="O1304" s="2"/>
      <c r="P1304" s="2"/>
    </row>
    <row r="1305" spans="1:16" ht="16.5" customHeight="1" x14ac:dyDescent="0.25">
      <c r="A1305" s="2" t="s">
        <v>2632</v>
      </c>
      <c r="B1305" s="8" t="s">
        <v>2632</v>
      </c>
      <c r="C1305" s="152" t="s">
        <v>102</v>
      </c>
      <c r="D1305" s="2" t="s">
        <v>278</v>
      </c>
      <c r="E1305" s="152" t="s">
        <v>102</v>
      </c>
      <c r="F1305" s="152" t="s">
        <v>103</v>
      </c>
      <c r="G1305" s="152">
        <v>0</v>
      </c>
      <c r="H1305" s="152"/>
      <c r="I1305" s="153">
        <v>29.630897435897442</v>
      </c>
      <c r="J1305" s="145"/>
      <c r="K1305" s="153" t="s">
        <v>86</v>
      </c>
      <c r="L1305" s="153" t="s">
        <v>86</v>
      </c>
      <c r="M1305" s="153"/>
      <c r="N1305" s="2" t="s">
        <v>57</v>
      </c>
      <c r="O1305" s="2"/>
      <c r="P1305" s="2"/>
    </row>
    <row r="1306" spans="1:16" ht="16.5" customHeight="1" x14ac:dyDescent="0.25">
      <c r="A1306" s="2" t="s">
        <v>2633</v>
      </c>
      <c r="B1306" s="8" t="s">
        <v>2633</v>
      </c>
      <c r="C1306" s="152" t="s">
        <v>102</v>
      </c>
      <c r="D1306" s="2" t="s">
        <v>278</v>
      </c>
      <c r="E1306" s="152" t="s">
        <v>102</v>
      </c>
      <c r="F1306" s="152" t="s">
        <v>103</v>
      </c>
      <c r="G1306" s="152">
        <v>0</v>
      </c>
      <c r="H1306" s="152"/>
      <c r="I1306" s="153">
        <v>32.150320512820507</v>
      </c>
      <c r="J1306" s="145"/>
      <c r="K1306" s="153" t="s">
        <v>86</v>
      </c>
      <c r="L1306" s="153" t="s">
        <v>86</v>
      </c>
      <c r="M1306" s="153"/>
      <c r="N1306" s="2" t="s">
        <v>57</v>
      </c>
      <c r="O1306" s="2"/>
      <c r="P1306" s="10"/>
    </row>
    <row r="1307" spans="1:16" ht="16.5" customHeight="1" x14ac:dyDescent="0.25">
      <c r="A1307" s="2" t="s">
        <v>2634</v>
      </c>
      <c r="B1307" s="8" t="s">
        <v>2634</v>
      </c>
      <c r="C1307" s="152" t="s">
        <v>102</v>
      </c>
      <c r="D1307" s="2" t="s">
        <v>278</v>
      </c>
      <c r="E1307" s="152" t="s">
        <v>102</v>
      </c>
      <c r="F1307" s="152" t="s">
        <v>103</v>
      </c>
      <c r="G1307" s="152">
        <v>0</v>
      </c>
      <c r="H1307" s="152"/>
      <c r="I1307" s="153">
        <v>85.135064102564115</v>
      </c>
      <c r="J1307" s="145"/>
      <c r="K1307" s="153" t="s">
        <v>86</v>
      </c>
      <c r="L1307" s="153" t="s">
        <v>86</v>
      </c>
      <c r="M1307" s="153"/>
      <c r="N1307" s="2" t="s">
        <v>57</v>
      </c>
      <c r="O1307" s="2"/>
      <c r="P1307" s="2"/>
    </row>
    <row r="1308" spans="1:16" ht="16.5" customHeight="1" x14ac:dyDescent="0.25">
      <c r="A1308" s="2" t="s">
        <v>2635</v>
      </c>
      <c r="B1308" s="8" t="s">
        <v>2635</v>
      </c>
      <c r="C1308" s="152" t="s">
        <v>102</v>
      </c>
      <c r="D1308" s="2" t="s">
        <v>278</v>
      </c>
      <c r="E1308" s="152" t="s">
        <v>102</v>
      </c>
      <c r="F1308" s="152" t="s">
        <v>103</v>
      </c>
      <c r="G1308" s="152">
        <v>0</v>
      </c>
      <c r="H1308" s="152"/>
      <c r="I1308" s="153">
        <v>49.55429487179488</v>
      </c>
      <c r="J1308" s="145"/>
      <c r="K1308" s="153" t="s">
        <v>86</v>
      </c>
      <c r="L1308" s="153" t="s">
        <v>86</v>
      </c>
      <c r="M1308" s="153"/>
      <c r="N1308" s="2" t="s">
        <v>57</v>
      </c>
      <c r="O1308" s="2"/>
      <c r="P1308" s="2"/>
    </row>
    <row r="1309" spans="1:16" ht="16.5" customHeight="1" x14ac:dyDescent="0.25">
      <c r="A1309" s="2" t="s">
        <v>2636</v>
      </c>
      <c r="B1309" s="8" t="s">
        <v>2636</v>
      </c>
      <c r="C1309" s="152" t="s">
        <v>102</v>
      </c>
      <c r="D1309" s="2" t="s">
        <v>278</v>
      </c>
      <c r="E1309" s="152" t="s">
        <v>102</v>
      </c>
      <c r="F1309" s="152" t="s">
        <v>103</v>
      </c>
      <c r="G1309" s="152">
        <v>0</v>
      </c>
      <c r="H1309" s="152"/>
      <c r="I1309" s="153">
        <v>16.77006410256411</v>
      </c>
      <c r="J1309" s="145"/>
      <c r="K1309" s="153" t="s">
        <v>86</v>
      </c>
      <c r="L1309" s="153" t="s">
        <v>86</v>
      </c>
      <c r="M1309" s="153"/>
      <c r="N1309" s="2" t="s">
        <v>57</v>
      </c>
      <c r="O1309" s="2"/>
      <c r="P1309" s="2"/>
    </row>
    <row r="1310" spans="1:16" ht="16.5" customHeight="1" x14ac:dyDescent="0.25">
      <c r="A1310" s="2" t="s">
        <v>2637</v>
      </c>
      <c r="B1310" s="8" t="s">
        <v>2637</v>
      </c>
      <c r="C1310" s="152" t="s">
        <v>102</v>
      </c>
      <c r="D1310" s="2" t="s">
        <v>278</v>
      </c>
      <c r="E1310" s="152" t="s">
        <v>102</v>
      </c>
      <c r="F1310" s="152" t="s">
        <v>103</v>
      </c>
      <c r="G1310" s="152">
        <v>0</v>
      </c>
      <c r="H1310" s="152"/>
      <c r="I1310" s="153">
        <v>23.292147435897441</v>
      </c>
      <c r="J1310" s="145"/>
      <c r="K1310" s="153" t="s">
        <v>86</v>
      </c>
      <c r="L1310" s="153" t="s">
        <v>86</v>
      </c>
      <c r="M1310" s="153"/>
      <c r="N1310" s="2" t="s">
        <v>57</v>
      </c>
      <c r="O1310" s="2"/>
      <c r="P1310" s="10"/>
    </row>
    <row r="1311" spans="1:16" ht="16.5" customHeight="1" x14ac:dyDescent="0.25">
      <c r="A1311" s="2" t="s">
        <v>2638</v>
      </c>
      <c r="B1311" s="8" t="s">
        <v>2638</v>
      </c>
      <c r="C1311" s="152" t="s">
        <v>102</v>
      </c>
      <c r="D1311" s="2" t="s">
        <v>278</v>
      </c>
      <c r="E1311" s="152" t="s">
        <v>102</v>
      </c>
      <c r="F1311" s="152" t="s">
        <v>103</v>
      </c>
      <c r="G1311" s="152">
        <v>0</v>
      </c>
      <c r="H1311" s="152"/>
      <c r="I1311" s="153">
        <v>46.081891025641028</v>
      </c>
      <c r="J1311" s="145"/>
      <c r="K1311" s="153" t="s">
        <v>86</v>
      </c>
      <c r="L1311" s="153" t="s">
        <v>86</v>
      </c>
      <c r="M1311" s="153"/>
      <c r="N1311" s="2" t="s">
        <v>57</v>
      </c>
      <c r="O1311" s="2"/>
      <c r="P1311" s="2"/>
    </row>
    <row r="1312" spans="1:16" ht="16.5" customHeight="1" x14ac:dyDescent="0.25">
      <c r="A1312" s="2" t="s">
        <v>2639</v>
      </c>
      <c r="B1312" s="8" t="s">
        <v>2639</v>
      </c>
      <c r="C1312" s="152" t="s">
        <v>102</v>
      </c>
      <c r="D1312" s="2" t="s">
        <v>278</v>
      </c>
      <c r="E1312" s="152" t="s">
        <v>102</v>
      </c>
      <c r="F1312" s="152" t="s">
        <v>103</v>
      </c>
      <c r="G1312" s="152">
        <v>0</v>
      </c>
      <c r="H1312" s="152"/>
      <c r="I1312" s="153">
        <v>34.178974358974372</v>
      </c>
      <c r="J1312" s="145"/>
      <c r="K1312" s="153" t="s">
        <v>86</v>
      </c>
      <c r="L1312" s="153" t="s">
        <v>86</v>
      </c>
      <c r="M1312" s="153"/>
      <c r="N1312" s="2" t="s">
        <v>57</v>
      </c>
      <c r="O1312" s="2"/>
      <c r="P1312" s="2"/>
    </row>
    <row r="1313" spans="1:16" ht="16.5" customHeight="1" x14ac:dyDescent="0.25">
      <c r="A1313" s="2" t="s">
        <v>2640</v>
      </c>
      <c r="B1313" s="8" t="s">
        <v>2640</v>
      </c>
      <c r="C1313" s="152" t="s">
        <v>102</v>
      </c>
      <c r="D1313" s="2" t="s">
        <v>278</v>
      </c>
      <c r="E1313" s="152" t="s">
        <v>102</v>
      </c>
      <c r="F1313" s="152" t="s">
        <v>103</v>
      </c>
      <c r="G1313" s="152">
        <v>0</v>
      </c>
      <c r="H1313" s="152"/>
      <c r="I1313" s="153">
        <v>50.372948717948717</v>
      </c>
      <c r="J1313" s="145"/>
      <c r="K1313" s="153" t="s">
        <v>86</v>
      </c>
      <c r="L1313" s="153" t="s">
        <v>86</v>
      </c>
      <c r="M1313" s="153"/>
      <c r="N1313" s="2" t="s">
        <v>57</v>
      </c>
      <c r="O1313" s="2"/>
      <c r="P1313" s="2"/>
    </row>
    <row r="1314" spans="1:16" ht="16.5" customHeight="1" x14ac:dyDescent="0.25">
      <c r="A1314" s="2" t="s">
        <v>2641</v>
      </c>
      <c r="B1314" s="8" t="s">
        <v>2641</v>
      </c>
      <c r="C1314" s="152" t="s">
        <v>102</v>
      </c>
      <c r="D1314" s="2" t="s">
        <v>278</v>
      </c>
      <c r="E1314" s="152" t="s">
        <v>102</v>
      </c>
      <c r="F1314" s="152" t="s">
        <v>103</v>
      </c>
      <c r="G1314" s="152">
        <v>0</v>
      </c>
      <c r="H1314" s="152"/>
      <c r="I1314" s="153">
        <v>77.834166666666661</v>
      </c>
      <c r="J1314" s="145"/>
      <c r="K1314" s="153" t="s">
        <v>86</v>
      </c>
      <c r="L1314" s="153" t="s">
        <v>86</v>
      </c>
      <c r="M1314" s="153"/>
      <c r="N1314" s="2" t="s">
        <v>57</v>
      </c>
      <c r="O1314" s="2"/>
      <c r="P1314" s="2"/>
    </row>
    <row r="1315" spans="1:16" ht="16.5" customHeight="1" x14ac:dyDescent="0.25">
      <c r="A1315" s="2" t="s">
        <v>2642</v>
      </c>
      <c r="B1315" s="8" t="s">
        <v>2642</v>
      </c>
      <c r="C1315" s="152" t="s">
        <v>102</v>
      </c>
      <c r="D1315" s="2" t="s">
        <v>166</v>
      </c>
      <c r="E1315" s="152" t="s">
        <v>102</v>
      </c>
      <c r="F1315" s="152" t="s">
        <v>103</v>
      </c>
      <c r="G1315" s="152">
        <v>0</v>
      </c>
      <c r="H1315" s="152"/>
      <c r="I1315" s="153">
        <v>28.733974358974361</v>
      </c>
      <c r="J1315" s="145"/>
      <c r="K1315" s="153" t="s">
        <v>86</v>
      </c>
      <c r="L1315" s="153" t="s">
        <v>86</v>
      </c>
      <c r="M1315" s="153"/>
      <c r="N1315" s="2" t="s">
        <v>57</v>
      </c>
      <c r="O1315" s="2"/>
      <c r="P1315" s="10"/>
    </row>
    <row r="1316" spans="1:16" ht="16.5" customHeight="1" x14ac:dyDescent="0.25">
      <c r="A1316" s="2" t="s">
        <v>2643</v>
      </c>
      <c r="B1316" s="8" t="s">
        <v>2643</v>
      </c>
      <c r="C1316" s="152" t="s">
        <v>102</v>
      </c>
      <c r="D1316" s="2" t="s">
        <v>123</v>
      </c>
      <c r="E1316" s="152" t="s">
        <v>102</v>
      </c>
      <c r="F1316" s="152" t="s">
        <v>103</v>
      </c>
      <c r="G1316" s="152">
        <v>0</v>
      </c>
      <c r="H1316" s="152"/>
      <c r="I1316" s="153">
        <v>34.224102564102573</v>
      </c>
      <c r="J1316" s="145"/>
      <c r="K1316" s="153" t="s">
        <v>86</v>
      </c>
      <c r="L1316" s="153" t="s">
        <v>86</v>
      </c>
      <c r="M1316" s="153"/>
      <c r="N1316" s="2" t="s">
        <v>57</v>
      </c>
      <c r="O1316" s="2"/>
      <c r="P1316" s="10"/>
    </row>
    <row r="1317" spans="1:16" ht="16.5" customHeight="1" x14ac:dyDescent="0.25">
      <c r="A1317" s="2" t="s">
        <v>2644</v>
      </c>
      <c r="B1317" s="8" t="s">
        <v>2644</v>
      </c>
      <c r="C1317" s="152" t="s">
        <v>102</v>
      </c>
      <c r="D1317" s="2" t="s">
        <v>123</v>
      </c>
      <c r="E1317" s="152" t="s">
        <v>102</v>
      </c>
      <c r="F1317" s="152" t="s">
        <v>103</v>
      </c>
      <c r="G1317" s="152">
        <v>0</v>
      </c>
      <c r="H1317" s="152"/>
      <c r="I1317" s="153">
        <v>27.223589743589748</v>
      </c>
      <c r="J1317" s="145"/>
      <c r="K1317" s="153" t="s">
        <v>86</v>
      </c>
      <c r="L1317" s="153" t="s">
        <v>86</v>
      </c>
      <c r="M1317" s="153"/>
      <c r="N1317" s="2" t="s">
        <v>57</v>
      </c>
      <c r="O1317" s="2"/>
      <c r="P1317" s="10"/>
    </row>
    <row r="1318" spans="1:16" ht="16.5" customHeight="1" x14ac:dyDescent="0.25">
      <c r="A1318" s="2" t="s">
        <v>2645</v>
      </c>
      <c r="B1318" s="8" t="s">
        <v>2645</v>
      </c>
      <c r="C1318" s="152" t="s">
        <v>102</v>
      </c>
      <c r="D1318" s="2" t="s">
        <v>123</v>
      </c>
      <c r="E1318" s="152" t="s">
        <v>102</v>
      </c>
      <c r="F1318" s="152" t="s">
        <v>103</v>
      </c>
      <c r="G1318" s="152">
        <v>0</v>
      </c>
      <c r="H1318" s="152"/>
      <c r="I1318" s="153">
        <v>86.436025641025651</v>
      </c>
      <c r="J1318" s="145"/>
      <c r="K1318" s="153" t="s">
        <v>86</v>
      </c>
      <c r="L1318" s="153" t="s">
        <v>86</v>
      </c>
      <c r="M1318" s="153"/>
      <c r="N1318" s="2" t="s">
        <v>57</v>
      </c>
      <c r="O1318" s="2"/>
      <c r="P1318" s="10"/>
    </row>
    <row r="1319" spans="1:16" ht="16.5" customHeight="1" x14ac:dyDescent="0.25">
      <c r="A1319" s="2" t="s">
        <v>2646</v>
      </c>
      <c r="B1319" s="8" t="s">
        <v>2646</v>
      </c>
      <c r="C1319" s="152" t="s">
        <v>102</v>
      </c>
      <c r="D1319" s="2" t="s">
        <v>123</v>
      </c>
      <c r="E1319" s="152" t="s">
        <v>102</v>
      </c>
      <c r="F1319" s="152" t="s">
        <v>103</v>
      </c>
      <c r="G1319" s="152">
        <v>0</v>
      </c>
      <c r="H1319" s="152"/>
      <c r="I1319" s="153">
        <v>30.085705128205142</v>
      </c>
      <c r="J1319" s="145"/>
      <c r="K1319" s="153" t="s">
        <v>86</v>
      </c>
      <c r="L1319" s="153" t="s">
        <v>86</v>
      </c>
      <c r="M1319" s="153"/>
      <c r="N1319" s="2" t="s">
        <v>57</v>
      </c>
      <c r="O1319" s="2"/>
      <c r="P1319" s="2"/>
    </row>
    <row r="1320" spans="1:16" ht="16.5" customHeight="1" x14ac:dyDescent="0.25">
      <c r="A1320" s="2" t="s">
        <v>2647</v>
      </c>
      <c r="B1320" s="8" t="s">
        <v>2647</v>
      </c>
      <c r="C1320" s="152" t="s">
        <v>102</v>
      </c>
      <c r="D1320" s="2" t="s">
        <v>123</v>
      </c>
      <c r="E1320" s="152" t="s">
        <v>102</v>
      </c>
      <c r="F1320" s="152" t="s">
        <v>103</v>
      </c>
      <c r="G1320" s="152">
        <v>0</v>
      </c>
      <c r="H1320" s="152"/>
      <c r="I1320" s="153">
        <v>49.394230769230766</v>
      </c>
      <c r="J1320" s="145"/>
      <c r="K1320" s="153" t="s">
        <v>86</v>
      </c>
      <c r="L1320" s="153" t="s">
        <v>86</v>
      </c>
      <c r="M1320" s="153"/>
      <c r="N1320" s="2" t="s">
        <v>57</v>
      </c>
      <c r="O1320" s="2"/>
      <c r="P1320" s="10"/>
    </row>
    <row r="1321" spans="1:16" ht="16.5" customHeight="1" x14ac:dyDescent="0.25">
      <c r="A1321" s="2" t="s">
        <v>2648</v>
      </c>
      <c r="B1321" s="8" t="s">
        <v>2648</v>
      </c>
      <c r="C1321" s="152" t="s">
        <v>102</v>
      </c>
      <c r="D1321" s="2" t="s">
        <v>123</v>
      </c>
      <c r="E1321" s="152" t="s">
        <v>102</v>
      </c>
      <c r="F1321" s="152" t="s">
        <v>103</v>
      </c>
      <c r="G1321" s="152">
        <v>0</v>
      </c>
      <c r="H1321" s="152"/>
      <c r="I1321" s="153">
        <v>41.749230769230778</v>
      </c>
      <c r="J1321" s="145"/>
      <c r="K1321" s="153" t="s">
        <v>86</v>
      </c>
      <c r="L1321" s="153" t="s">
        <v>86</v>
      </c>
      <c r="M1321" s="153"/>
      <c r="N1321" s="2" t="s">
        <v>57</v>
      </c>
      <c r="O1321" s="2"/>
      <c r="P1321" s="2"/>
    </row>
    <row r="1322" spans="1:16" ht="16.5" customHeight="1" x14ac:dyDescent="0.25">
      <c r="A1322" s="2" t="s">
        <v>2649</v>
      </c>
      <c r="B1322" s="8" t="s">
        <v>2649</v>
      </c>
      <c r="C1322" s="152" t="s">
        <v>102</v>
      </c>
      <c r="D1322" s="2" t="s">
        <v>1520</v>
      </c>
      <c r="E1322" s="152" t="s">
        <v>102</v>
      </c>
      <c r="F1322" s="152" t="s">
        <v>103</v>
      </c>
      <c r="G1322" s="152">
        <v>0</v>
      </c>
      <c r="H1322" s="152"/>
      <c r="I1322" s="153">
        <v>1.8597756410256421</v>
      </c>
      <c r="J1322" s="145"/>
      <c r="K1322" s="153" t="s">
        <v>86</v>
      </c>
      <c r="L1322" s="153" t="s">
        <v>86</v>
      </c>
      <c r="M1322" s="153"/>
      <c r="N1322" s="2" t="s">
        <v>57</v>
      </c>
      <c r="O1322" s="2"/>
      <c r="P1322" s="10"/>
    </row>
    <row r="1323" spans="1:16" ht="16.5" customHeight="1" x14ac:dyDescent="0.25">
      <c r="A1323" s="2" t="s">
        <v>2650</v>
      </c>
      <c r="B1323" s="8" t="s">
        <v>2650</v>
      </c>
      <c r="C1323" s="152" t="s">
        <v>102</v>
      </c>
      <c r="D1323" s="2" t="s">
        <v>1520</v>
      </c>
      <c r="E1323" s="152" t="s">
        <v>102</v>
      </c>
      <c r="F1323" s="152" t="s">
        <v>103</v>
      </c>
      <c r="G1323" s="152">
        <v>0</v>
      </c>
      <c r="H1323" s="152"/>
      <c r="I1323" s="153">
        <v>2.0448717948717952</v>
      </c>
      <c r="J1323" s="145"/>
      <c r="K1323" s="153" t="s">
        <v>86</v>
      </c>
      <c r="L1323" s="153" t="s">
        <v>86</v>
      </c>
      <c r="M1323" s="153"/>
      <c r="N1323" s="2" t="s">
        <v>57</v>
      </c>
      <c r="O1323" s="2"/>
      <c r="P1323" s="2"/>
    </row>
    <row r="1324" spans="1:16" ht="16.5" customHeight="1" x14ac:dyDescent="0.25">
      <c r="A1324" s="2" t="s">
        <v>2651</v>
      </c>
      <c r="B1324" s="8" t="s">
        <v>2651</v>
      </c>
      <c r="C1324" s="152" t="s">
        <v>102</v>
      </c>
      <c r="D1324" s="2" t="s">
        <v>148</v>
      </c>
      <c r="E1324" s="152" t="s">
        <v>102</v>
      </c>
      <c r="F1324" s="152" t="s">
        <v>103</v>
      </c>
      <c r="G1324" s="152">
        <v>0</v>
      </c>
      <c r="H1324" s="152"/>
      <c r="I1324" s="153">
        <v>89.728974358974369</v>
      </c>
      <c r="J1324" s="145"/>
      <c r="K1324" s="153" t="s">
        <v>86</v>
      </c>
      <c r="L1324" s="153" t="s">
        <v>86</v>
      </c>
      <c r="M1324" s="153"/>
      <c r="N1324" s="2" t="s">
        <v>57</v>
      </c>
      <c r="O1324" s="2"/>
      <c r="P1324" s="10"/>
    </row>
    <row r="1325" spans="1:16" ht="16.5" customHeight="1" x14ac:dyDescent="0.25">
      <c r="A1325" s="2" t="s">
        <v>2652</v>
      </c>
      <c r="B1325" s="8" t="s">
        <v>2652</v>
      </c>
      <c r="C1325" s="152" t="s">
        <v>102</v>
      </c>
      <c r="D1325" s="2" t="s">
        <v>148</v>
      </c>
      <c r="E1325" s="152" t="s">
        <v>102</v>
      </c>
      <c r="F1325" s="152" t="s">
        <v>103</v>
      </c>
      <c r="G1325" s="152">
        <v>0</v>
      </c>
      <c r="H1325" s="152"/>
      <c r="I1325" s="153">
        <v>122.6760897435898</v>
      </c>
      <c r="J1325" s="145"/>
      <c r="K1325" s="153" t="s">
        <v>86</v>
      </c>
      <c r="L1325" s="153" t="s">
        <v>86</v>
      </c>
      <c r="M1325" s="153"/>
      <c r="N1325" s="2" t="s">
        <v>57</v>
      </c>
      <c r="O1325" s="2"/>
      <c r="P1325" s="2"/>
    </row>
    <row r="1326" spans="1:16" ht="16.5" customHeight="1" x14ac:dyDescent="0.25">
      <c r="A1326" s="2" t="s">
        <v>2653</v>
      </c>
      <c r="B1326" s="8" t="s">
        <v>2653</v>
      </c>
      <c r="C1326" s="152" t="s">
        <v>102</v>
      </c>
      <c r="D1326" s="2" t="s">
        <v>148</v>
      </c>
      <c r="E1326" s="152" t="s">
        <v>102</v>
      </c>
      <c r="F1326" s="152" t="s">
        <v>103</v>
      </c>
      <c r="G1326" s="152">
        <v>0</v>
      </c>
      <c r="H1326" s="152"/>
      <c r="I1326" s="153">
        <v>138.71775641025641</v>
      </c>
      <c r="J1326" s="145"/>
      <c r="K1326" s="153" t="s">
        <v>86</v>
      </c>
      <c r="L1326" s="153" t="s">
        <v>86</v>
      </c>
      <c r="M1326" s="153"/>
      <c r="N1326" s="2" t="s">
        <v>57</v>
      </c>
      <c r="O1326" s="2"/>
      <c r="P1326" s="10"/>
    </row>
    <row r="1327" spans="1:16" ht="16.5" customHeight="1" x14ac:dyDescent="0.25">
      <c r="A1327" s="2" t="s">
        <v>2654</v>
      </c>
      <c r="B1327" s="8" t="s">
        <v>2654</v>
      </c>
      <c r="C1327" s="152" t="s">
        <v>102</v>
      </c>
      <c r="D1327" s="2" t="s">
        <v>148</v>
      </c>
      <c r="E1327" s="152" t="s">
        <v>102</v>
      </c>
      <c r="F1327" s="152" t="s">
        <v>103</v>
      </c>
      <c r="G1327" s="152">
        <v>0</v>
      </c>
      <c r="H1327" s="152"/>
      <c r="I1327" s="153">
        <v>10.463749999999999</v>
      </c>
      <c r="J1327" s="145"/>
      <c r="K1327" s="153" t="s">
        <v>86</v>
      </c>
      <c r="L1327" s="153" t="s">
        <v>86</v>
      </c>
      <c r="M1327" s="153"/>
      <c r="N1327" s="2" t="s">
        <v>57</v>
      </c>
      <c r="O1327" s="2"/>
      <c r="P1327" s="2"/>
    </row>
    <row r="1328" spans="1:16" ht="16.5" customHeight="1" x14ac:dyDescent="0.25">
      <c r="A1328" s="2" t="s">
        <v>2655</v>
      </c>
      <c r="B1328" s="8" t="s">
        <v>2655</v>
      </c>
      <c r="C1328" s="152" t="s">
        <v>102</v>
      </c>
      <c r="D1328" s="2" t="s">
        <v>148</v>
      </c>
      <c r="E1328" s="152" t="s">
        <v>102</v>
      </c>
      <c r="F1328" s="152" t="s">
        <v>103</v>
      </c>
      <c r="G1328" s="152">
        <v>0</v>
      </c>
      <c r="H1328" s="152"/>
      <c r="I1328" s="153">
        <v>12.529070512820519</v>
      </c>
      <c r="J1328" s="145"/>
      <c r="K1328" s="153" t="s">
        <v>86</v>
      </c>
      <c r="L1328" s="153" t="s">
        <v>86</v>
      </c>
      <c r="M1328" s="153"/>
      <c r="N1328" s="2" t="s">
        <v>57</v>
      </c>
      <c r="O1328" s="2"/>
      <c r="P1328" s="10"/>
    </row>
    <row r="1329" spans="1:16" ht="16.5" customHeight="1" x14ac:dyDescent="0.25">
      <c r="A1329" s="2" t="s">
        <v>2656</v>
      </c>
      <c r="B1329" s="8" t="s">
        <v>2656</v>
      </c>
      <c r="C1329" s="152" t="s">
        <v>102</v>
      </c>
      <c r="D1329" s="2" t="s">
        <v>148</v>
      </c>
      <c r="E1329" s="152" t="s">
        <v>102</v>
      </c>
      <c r="F1329" s="152" t="s">
        <v>103</v>
      </c>
      <c r="G1329" s="152">
        <v>0</v>
      </c>
      <c r="H1329" s="152"/>
      <c r="I1329" s="153">
        <v>8.345192307692308</v>
      </c>
      <c r="J1329" s="145"/>
      <c r="K1329" s="153" t="s">
        <v>86</v>
      </c>
      <c r="L1329" s="153" t="s">
        <v>86</v>
      </c>
      <c r="M1329" s="153"/>
      <c r="N1329" s="2" t="s">
        <v>57</v>
      </c>
      <c r="O1329" s="2"/>
      <c r="P1329" s="10"/>
    </row>
    <row r="1330" spans="1:16" ht="16.5" customHeight="1" x14ac:dyDescent="0.25">
      <c r="A1330" s="2" t="s">
        <v>2657</v>
      </c>
      <c r="B1330" s="8" t="s">
        <v>2657</v>
      </c>
      <c r="C1330" s="152" t="s">
        <v>102</v>
      </c>
      <c r="D1330" s="2" t="s">
        <v>148</v>
      </c>
      <c r="E1330" s="152" t="s">
        <v>102</v>
      </c>
      <c r="F1330" s="152" t="s">
        <v>103</v>
      </c>
      <c r="G1330" s="152">
        <v>0</v>
      </c>
      <c r="H1330" s="152"/>
      <c r="I1330" s="153">
        <v>12.935576923076921</v>
      </c>
      <c r="J1330" s="145"/>
      <c r="K1330" s="153" t="s">
        <v>86</v>
      </c>
      <c r="L1330" s="153" t="s">
        <v>86</v>
      </c>
      <c r="M1330" s="153"/>
      <c r="N1330" s="2" t="s">
        <v>57</v>
      </c>
      <c r="O1330" s="2"/>
      <c r="P1330" s="2"/>
    </row>
    <row r="1331" spans="1:16" ht="16.5" customHeight="1" x14ac:dyDescent="0.25">
      <c r="A1331" s="2" t="s">
        <v>2658</v>
      </c>
      <c r="B1331" s="8" t="s">
        <v>2658</v>
      </c>
      <c r="C1331" s="152" t="s">
        <v>102</v>
      </c>
      <c r="D1331" s="2" t="s">
        <v>148</v>
      </c>
      <c r="E1331" s="152" t="s">
        <v>102</v>
      </c>
      <c r="F1331" s="152" t="s">
        <v>103</v>
      </c>
      <c r="G1331" s="152">
        <v>0</v>
      </c>
      <c r="H1331" s="152"/>
      <c r="I1331" s="153">
        <v>51.340737179487178</v>
      </c>
      <c r="J1331" s="145"/>
      <c r="K1331" s="153" t="s">
        <v>86</v>
      </c>
      <c r="L1331" s="153" t="s">
        <v>86</v>
      </c>
      <c r="M1331" s="153"/>
      <c r="N1331" s="2" t="s">
        <v>57</v>
      </c>
      <c r="O1331" s="2"/>
      <c r="P1331" s="2"/>
    </row>
    <row r="1332" spans="1:16" ht="16.5" customHeight="1" x14ac:dyDescent="0.25">
      <c r="A1332" s="2" t="s">
        <v>2659</v>
      </c>
      <c r="B1332" s="8" t="s">
        <v>2659</v>
      </c>
      <c r="C1332" s="152" t="s">
        <v>102</v>
      </c>
      <c r="D1332" s="2" t="s">
        <v>148</v>
      </c>
      <c r="E1332" s="152" t="s">
        <v>102</v>
      </c>
      <c r="F1332" s="152" t="s">
        <v>103</v>
      </c>
      <c r="G1332" s="152">
        <v>0</v>
      </c>
      <c r="H1332" s="152"/>
      <c r="I1332" s="153">
        <v>57.879214743589749</v>
      </c>
      <c r="J1332" s="145"/>
      <c r="K1332" s="153" t="s">
        <v>86</v>
      </c>
      <c r="L1332" s="153" t="s">
        <v>86</v>
      </c>
      <c r="M1332" s="153"/>
      <c r="N1332" s="2" t="s">
        <v>57</v>
      </c>
      <c r="O1332" s="2"/>
      <c r="P1332" s="2"/>
    </row>
    <row r="1333" spans="1:16" ht="16.5" customHeight="1" x14ac:dyDescent="0.25">
      <c r="A1333" s="2" t="s">
        <v>2660</v>
      </c>
      <c r="B1333" s="8" t="s">
        <v>2660</v>
      </c>
      <c r="C1333" s="152" t="s">
        <v>102</v>
      </c>
      <c r="D1333" s="2" t="s">
        <v>148</v>
      </c>
      <c r="E1333" s="152" t="s">
        <v>102</v>
      </c>
      <c r="F1333" s="152" t="s">
        <v>103</v>
      </c>
      <c r="G1333" s="152">
        <v>0</v>
      </c>
      <c r="H1333" s="152"/>
      <c r="I1333" s="153">
        <v>7.9392500000000021</v>
      </c>
      <c r="J1333" s="145"/>
      <c r="K1333" s="153" t="s">
        <v>86</v>
      </c>
      <c r="L1333" s="153" t="s">
        <v>86</v>
      </c>
      <c r="M1333" s="153"/>
      <c r="N1333" s="2" t="s">
        <v>57</v>
      </c>
      <c r="O1333" s="2"/>
      <c r="P1333" s="2"/>
    </row>
    <row r="1334" spans="1:16" ht="16.5" customHeight="1" x14ac:dyDescent="0.25">
      <c r="A1334" s="2" t="s">
        <v>2661</v>
      </c>
      <c r="B1334" s="8" t="s">
        <v>2661</v>
      </c>
      <c r="C1334" s="152" t="s">
        <v>102</v>
      </c>
      <c r="D1334" s="2" t="s">
        <v>148</v>
      </c>
      <c r="E1334" s="152" t="s">
        <v>102</v>
      </c>
      <c r="F1334" s="152" t="s">
        <v>103</v>
      </c>
      <c r="G1334" s="152">
        <v>0</v>
      </c>
      <c r="H1334" s="152"/>
      <c r="I1334" s="153">
        <v>53.142692307692307</v>
      </c>
      <c r="J1334" s="145"/>
      <c r="K1334" s="153" t="s">
        <v>86</v>
      </c>
      <c r="L1334" s="153" t="s">
        <v>86</v>
      </c>
      <c r="M1334" s="153"/>
      <c r="N1334" s="2" t="s">
        <v>57</v>
      </c>
      <c r="O1334" s="2"/>
      <c r="P1334" s="10"/>
    </row>
    <row r="1335" spans="1:16" ht="16.5" customHeight="1" x14ac:dyDescent="0.25">
      <c r="A1335" s="2" t="s">
        <v>2662</v>
      </c>
      <c r="B1335" s="8" t="s">
        <v>2662</v>
      </c>
      <c r="C1335" s="152" t="s">
        <v>102</v>
      </c>
      <c r="D1335" s="2" t="s">
        <v>148</v>
      </c>
      <c r="E1335" s="152" t="s">
        <v>102</v>
      </c>
      <c r="F1335" s="152" t="s">
        <v>103</v>
      </c>
      <c r="G1335" s="152">
        <v>0</v>
      </c>
      <c r="H1335" s="152"/>
      <c r="I1335" s="153">
        <v>8.6632051282051279</v>
      </c>
      <c r="J1335" s="145"/>
      <c r="K1335" s="153" t="s">
        <v>86</v>
      </c>
      <c r="L1335" s="153" t="s">
        <v>86</v>
      </c>
      <c r="M1335" s="153"/>
      <c r="N1335" s="2" t="s">
        <v>57</v>
      </c>
      <c r="O1335" s="2"/>
      <c r="P1335" s="2"/>
    </row>
    <row r="1336" spans="1:16" ht="16.5" customHeight="1" x14ac:dyDescent="0.25">
      <c r="A1336" s="2" t="s">
        <v>2663</v>
      </c>
      <c r="B1336" s="8" t="s">
        <v>2663</v>
      </c>
      <c r="C1336" s="152" t="s">
        <v>102</v>
      </c>
      <c r="D1336" s="2" t="s">
        <v>148</v>
      </c>
      <c r="E1336" s="152" t="s">
        <v>102</v>
      </c>
      <c r="F1336" s="152" t="s">
        <v>103</v>
      </c>
      <c r="G1336" s="152">
        <v>0</v>
      </c>
      <c r="H1336" s="152"/>
      <c r="I1336" s="153">
        <v>9.3894871794871797</v>
      </c>
      <c r="J1336" s="145"/>
      <c r="K1336" s="153" t="s">
        <v>86</v>
      </c>
      <c r="L1336" s="153" t="s">
        <v>86</v>
      </c>
      <c r="M1336" s="153"/>
      <c r="N1336" s="2" t="s">
        <v>57</v>
      </c>
      <c r="O1336" s="2"/>
      <c r="P1336" s="10"/>
    </row>
    <row r="1337" spans="1:16" ht="16.5" customHeight="1" x14ac:dyDescent="0.25">
      <c r="A1337" s="2" t="s">
        <v>2664</v>
      </c>
      <c r="B1337" s="8" t="s">
        <v>2664</v>
      </c>
      <c r="C1337" s="152" t="s">
        <v>102</v>
      </c>
      <c r="D1337" s="2" t="s">
        <v>163</v>
      </c>
      <c r="E1337" s="152" t="s">
        <v>102</v>
      </c>
      <c r="F1337" s="152" t="s">
        <v>103</v>
      </c>
      <c r="G1337" s="152">
        <v>0</v>
      </c>
      <c r="H1337" s="152"/>
      <c r="I1337" s="153">
        <v>69.300000000000011</v>
      </c>
      <c r="J1337" s="145"/>
      <c r="K1337" s="153" t="s">
        <v>86</v>
      </c>
      <c r="L1337" s="153" t="s">
        <v>86</v>
      </c>
      <c r="M1337" s="153"/>
      <c r="N1337" s="2" t="s">
        <v>57</v>
      </c>
      <c r="O1337" s="2"/>
      <c r="P1337" s="2"/>
    </row>
    <row r="1338" spans="1:16" ht="16.5" customHeight="1" x14ac:dyDescent="0.25">
      <c r="A1338" s="2" t="s">
        <v>2665</v>
      </c>
      <c r="B1338" s="8" t="s">
        <v>2665</v>
      </c>
      <c r="C1338" s="152" t="s">
        <v>102</v>
      </c>
      <c r="D1338" s="2" t="s">
        <v>1741</v>
      </c>
      <c r="E1338" s="152" t="s">
        <v>102</v>
      </c>
      <c r="F1338" s="152" t="s">
        <v>103</v>
      </c>
      <c r="G1338" s="152">
        <v>0</v>
      </c>
      <c r="H1338" s="152"/>
      <c r="I1338" s="153">
        <v>95.7</v>
      </c>
      <c r="J1338" s="145"/>
      <c r="K1338" s="153" t="s">
        <v>86</v>
      </c>
      <c r="L1338" s="153" t="s">
        <v>86</v>
      </c>
      <c r="M1338" s="153"/>
      <c r="N1338" s="2" t="s">
        <v>57</v>
      </c>
      <c r="O1338" s="2"/>
      <c r="P1338" s="2"/>
    </row>
    <row r="1339" spans="1:16" ht="16.5" customHeight="1" x14ac:dyDescent="0.25">
      <c r="A1339" s="2" t="s">
        <v>2666</v>
      </c>
      <c r="B1339" s="8" t="s">
        <v>2666</v>
      </c>
      <c r="C1339" s="152" t="s">
        <v>102</v>
      </c>
      <c r="D1339" s="2" t="s">
        <v>163</v>
      </c>
      <c r="E1339" s="152" t="s">
        <v>102</v>
      </c>
      <c r="F1339" s="152" t="s">
        <v>103</v>
      </c>
      <c r="G1339" s="152">
        <v>0</v>
      </c>
      <c r="H1339" s="152"/>
      <c r="I1339" s="153">
        <v>83.600000000000009</v>
      </c>
      <c r="J1339" s="145"/>
      <c r="K1339" s="153" t="s">
        <v>86</v>
      </c>
      <c r="L1339" s="153" t="s">
        <v>86</v>
      </c>
      <c r="M1339" s="153"/>
      <c r="N1339" s="2" t="s">
        <v>57</v>
      </c>
      <c r="O1339" s="2"/>
      <c r="P1339" s="2"/>
    </row>
    <row r="1340" spans="1:16" ht="16.5" customHeight="1" x14ac:dyDescent="0.25">
      <c r="A1340" s="2" t="s">
        <v>2667</v>
      </c>
      <c r="B1340" s="8" t="s">
        <v>2667</v>
      </c>
      <c r="C1340" s="152" t="s">
        <v>102</v>
      </c>
      <c r="D1340" s="2" t="s">
        <v>1741</v>
      </c>
      <c r="E1340" s="152" t="s">
        <v>102</v>
      </c>
      <c r="F1340" s="152" t="s">
        <v>103</v>
      </c>
      <c r="G1340" s="152">
        <v>0</v>
      </c>
      <c r="H1340" s="152"/>
      <c r="I1340" s="153">
        <v>113.3</v>
      </c>
      <c r="J1340" s="145"/>
      <c r="K1340" s="153" t="s">
        <v>86</v>
      </c>
      <c r="L1340" s="153" t="s">
        <v>86</v>
      </c>
      <c r="M1340" s="153"/>
      <c r="N1340" s="2" t="s">
        <v>57</v>
      </c>
      <c r="O1340" s="2"/>
      <c r="P1340" s="2"/>
    </row>
    <row r="1341" spans="1:16" ht="16.5" customHeight="1" x14ac:dyDescent="0.25">
      <c r="A1341" s="2" t="s">
        <v>2668</v>
      </c>
      <c r="B1341" s="8" t="s">
        <v>2668</v>
      </c>
      <c r="C1341" s="152" t="s">
        <v>102</v>
      </c>
      <c r="D1341" s="2" t="s">
        <v>163</v>
      </c>
      <c r="E1341" s="152" t="s">
        <v>102</v>
      </c>
      <c r="F1341" s="152" t="s">
        <v>103</v>
      </c>
      <c r="G1341" s="152">
        <v>0</v>
      </c>
      <c r="H1341" s="152"/>
      <c r="I1341" s="153">
        <v>100.1</v>
      </c>
      <c r="J1341" s="145"/>
      <c r="K1341" s="153" t="s">
        <v>86</v>
      </c>
      <c r="L1341" s="153" t="s">
        <v>86</v>
      </c>
      <c r="M1341" s="153"/>
      <c r="N1341" s="2" t="s">
        <v>57</v>
      </c>
      <c r="O1341" s="2"/>
      <c r="P1341" s="10"/>
    </row>
    <row r="1342" spans="1:16" ht="16.5" customHeight="1" x14ac:dyDescent="0.25">
      <c r="A1342" s="2" t="s">
        <v>2669</v>
      </c>
      <c r="B1342" s="8" t="s">
        <v>2669</v>
      </c>
      <c r="C1342" s="152" t="s">
        <v>102</v>
      </c>
      <c r="D1342" s="2" t="s">
        <v>163</v>
      </c>
      <c r="E1342" s="152" t="s">
        <v>102</v>
      </c>
      <c r="F1342" s="152" t="s">
        <v>103</v>
      </c>
      <c r="G1342" s="152">
        <v>0</v>
      </c>
      <c r="H1342" s="152"/>
      <c r="I1342" s="153">
        <v>74.800000000000011</v>
      </c>
      <c r="J1342" s="145"/>
      <c r="K1342" s="153" t="s">
        <v>86</v>
      </c>
      <c r="L1342" s="153" t="s">
        <v>86</v>
      </c>
      <c r="M1342" s="153"/>
      <c r="N1342" s="2" t="s">
        <v>57</v>
      </c>
      <c r="O1342" s="2"/>
      <c r="P1342" s="10"/>
    </row>
    <row r="1343" spans="1:16" ht="16.5" customHeight="1" x14ac:dyDescent="0.25">
      <c r="A1343" s="2" t="s">
        <v>2670</v>
      </c>
      <c r="B1343" s="8" t="s">
        <v>2670</v>
      </c>
      <c r="C1343" s="152" t="s">
        <v>102</v>
      </c>
      <c r="D1343" s="2" t="s">
        <v>163</v>
      </c>
      <c r="E1343" s="152" t="s">
        <v>102</v>
      </c>
      <c r="F1343" s="152" t="s">
        <v>103</v>
      </c>
      <c r="G1343" s="152">
        <v>0</v>
      </c>
      <c r="H1343" s="152"/>
      <c r="I1343" s="153">
        <v>44</v>
      </c>
      <c r="J1343" s="145"/>
      <c r="K1343" s="153" t="s">
        <v>86</v>
      </c>
      <c r="L1343" s="153" t="s">
        <v>86</v>
      </c>
      <c r="M1343" s="153"/>
      <c r="N1343" s="2" t="s">
        <v>57</v>
      </c>
      <c r="O1343" s="2"/>
      <c r="P1343" s="2"/>
    </row>
    <row r="1344" spans="1:16" ht="16.5" customHeight="1" x14ac:dyDescent="0.25">
      <c r="A1344" s="2" t="s">
        <v>2671</v>
      </c>
      <c r="B1344" s="8" t="s">
        <v>2671</v>
      </c>
      <c r="C1344" s="152" t="s">
        <v>102</v>
      </c>
      <c r="D1344" s="2" t="s">
        <v>163</v>
      </c>
      <c r="E1344" s="152" t="s">
        <v>102</v>
      </c>
      <c r="F1344" s="152" t="s">
        <v>103</v>
      </c>
      <c r="G1344" s="152">
        <v>0</v>
      </c>
      <c r="H1344" s="152"/>
      <c r="I1344" s="153">
        <v>136.4</v>
      </c>
      <c r="J1344" s="145"/>
      <c r="K1344" s="153" t="s">
        <v>86</v>
      </c>
      <c r="L1344" s="153" t="s">
        <v>86</v>
      </c>
      <c r="M1344" s="153"/>
      <c r="N1344" s="2" t="s">
        <v>57</v>
      </c>
      <c r="O1344" s="2"/>
      <c r="P1344" s="2"/>
    </row>
    <row r="1345" spans="1:16" ht="16.5" customHeight="1" x14ac:dyDescent="0.25">
      <c r="A1345" s="2" t="s">
        <v>2672</v>
      </c>
      <c r="B1345" s="8" t="s">
        <v>2672</v>
      </c>
      <c r="C1345" s="152" t="s">
        <v>102</v>
      </c>
      <c r="D1345" s="2" t="s">
        <v>163</v>
      </c>
      <c r="E1345" s="152" t="s">
        <v>102</v>
      </c>
      <c r="F1345" s="152" t="s">
        <v>103</v>
      </c>
      <c r="G1345" s="152">
        <v>0</v>
      </c>
      <c r="H1345" s="152"/>
      <c r="I1345" s="153">
        <v>209</v>
      </c>
      <c r="J1345" s="145"/>
      <c r="K1345" s="153" t="s">
        <v>86</v>
      </c>
      <c r="L1345" s="153" t="s">
        <v>86</v>
      </c>
      <c r="M1345" s="153"/>
      <c r="N1345" s="2" t="s">
        <v>57</v>
      </c>
      <c r="O1345" s="2"/>
      <c r="P1345" s="2"/>
    </row>
    <row r="1346" spans="1:16" ht="16.5" customHeight="1" x14ac:dyDescent="0.25">
      <c r="A1346" s="2" t="s">
        <v>2673</v>
      </c>
      <c r="B1346" s="8" t="s">
        <v>2673</v>
      </c>
      <c r="C1346" s="152" t="s">
        <v>102</v>
      </c>
      <c r="D1346" s="2" t="s">
        <v>163</v>
      </c>
      <c r="E1346" s="152" t="s">
        <v>102</v>
      </c>
      <c r="F1346" s="152" t="s">
        <v>103</v>
      </c>
      <c r="G1346" s="152">
        <v>0</v>
      </c>
      <c r="H1346" s="152"/>
      <c r="I1346" s="153">
        <v>248.6</v>
      </c>
      <c r="J1346" s="145"/>
      <c r="K1346" s="153" t="s">
        <v>86</v>
      </c>
      <c r="L1346" s="153" t="s">
        <v>86</v>
      </c>
      <c r="M1346" s="153"/>
      <c r="N1346" s="2" t="s">
        <v>57</v>
      </c>
      <c r="O1346" s="2"/>
      <c r="P1346" s="2"/>
    </row>
    <row r="1347" spans="1:16" ht="16.5" customHeight="1" x14ac:dyDescent="0.25">
      <c r="A1347" s="2" t="s">
        <v>2674</v>
      </c>
      <c r="B1347" s="8" t="s">
        <v>2674</v>
      </c>
      <c r="C1347" s="152" t="s">
        <v>102</v>
      </c>
      <c r="D1347" s="2" t="s">
        <v>163</v>
      </c>
      <c r="E1347" s="152" t="s">
        <v>102</v>
      </c>
      <c r="F1347" s="152" t="s">
        <v>103</v>
      </c>
      <c r="G1347" s="152">
        <v>0</v>
      </c>
      <c r="H1347" s="152"/>
      <c r="I1347" s="153">
        <v>36.299999999999997</v>
      </c>
      <c r="J1347" s="145"/>
      <c r="K1347" s="153" t="s">
        <v>86</v>
      </c>
      <c r="L1347" s="153" t="s">
        <v>86</v>
      </c>
      <c r="M1347" s="153"/>
      <c r="N1347" s="2" t="s">
        <v>57</v>
      </c>
      <c r="O1347" s="2"/>
      <c r="P1347" s="2"/>
    </row>
    <row r="1348" spans="1:16" ht="16.5" customHeight="1" x14ac:dyDescent="0.25">
      <c r="A1348" s="2" t="s">
        <v>2675</v>
      </c>
      <c r="B1348" s="8" t="s">
        <v>2675</v>
      </c>
      <c r="C1348" s="152" t="s">
        <v>102</v>
      </c>
      <c r="D1348" s="2" t="s">
        <v>163</v>
      </c>
      <c r="E1348" s="152" t="s">
        <v>102</v>
      </c>
      <c r="F1348" s="152" t="s">
        <v>103</v>
      </c>
      <c r="G1348" s="152">
        <v>0</v>
      </c>
      <c r="H1348" s="152"/>
      <c r="I1348" s="153">
        <v>57.408999999999999</v>
      </c>
      <c r="J1348" s="145"/>
      <c r="K1348" s="153" t="s">
        <v>86</v>
      </c>
      <c r="L1348" s="153" t="s">
        <v>86</v>
      </c>
      <c r="M1348" s="153"/>
      <c r="N1348" s="2" t="s">
        <v>57</v>
      </c>
      <c r="O1348" s="2"/>
      <c r="P1348" s="2"/>
    </row>
    <row r="1349" spans="1:16" ht="16.5" customHeight="1" x14ac:dyDescent="0.25">
      <c r="A1349" s="2" t="s">
        <v>2676</v>
      </c>
      <c r="B1349" s="8" t="s">
        <v>2676</v>
      </c>
      <c r="C1349" s="152" t="s">
        <v>102</v>
      </c>
      <c r="D1349" s="2" t="s">
        <v>163</v>
      </c>
      <c r="E1349" s="152" t="s">
        <v>102</v>
      </c>
      <c r="F1349" s="152" t="s">
        <v>103</v>
      </c>
      <c r="G1349" s="152">
        <v>0</v>
      </c>
      <c r="H1349" s="152"/>
      <c r="I1349" s="153">
        <v>49.500000000000007</v>
      </c>
      <c r="J1349" s="145"/>
      <c r="K1349" s="153" t="s">
        <v>86</v>
      </c>
      <c r="L1349" s="153" t="s">
        <v>86</v>
      </c>
      <c r="M1349" s="153"/>
      <c r="N1349" s="2" t="s">
        <v>57</v>
      </c>
      <c r="O1349" s="2"/>
      <c r="P1349" s="2"/>
    </row>
    <row r="1350" spans="1:16" ht="16.5" customHeight="1" x14ac:dyDescent="0.25">
      <c r="A1350" s="2" t="s">
        <v>2677</v>
      </c>
      <c r="B1350" s="8" t="s">
        <v>2677</v>
      </c>
      <c r="C1350" s="152" t="s">
        <v>102</v>
      </c>
      <c r="D1350" s="2" t="s">
        <v>163</v>
      </c>
      <c r="E1350" s="152" t="s">
        <v>102</v>
      </c>
      <c r="F1350" s="152" t="s">
        <v>103</v>
      </c>
      <c r="G1350" s="152">
        <v>0</v>
      </c>
      <c r="H1350" s="152"/>
      <c r="I1350" s="153">
        <v>80.300000000000011</v>
      </c>
      <c r="J1350" s="145"/>
      <c r="K1350" s="153" t="s">
        <v>86</v>
      </c>
      <c r="L1350" s="153" t="s">
        <v>86</v>
      </c>
      <c r="M1350" s="153"/>
      <c r="N1350" s="2" t="s">
        <v>57</v>
      </c>
      <c r="O1350" s="2"/>
      <c r="P1350" s="2"/>
    </row>
    <row r="1351" spans="1:16" ht="16.5" customHeight="1" x14ac:dyDescent="0.25">
      <c r="A1351" s="2" t="s">
        <v>2678</v>
      </c>
      <c r="B1351" s="8" t="s">
        <v>2678</v>
      </c>
      <c r="C1351" s="152" t="s">
        <v>102</v>
      </c>
      <c r="D1351" s="2" t="s">
        <v>163</v>
      </c>
      <c r="E1351" s="152" t="s">
        <v>102</v>
      </c>
      <c r="F1351" s="152" t="s">
        <v>103</v>
      </c>
      <c r="G1351" s="152">
        <v>0</v>
      </c>
      <c r="H1351" s="152"/>
      <c r="I1351" s="153">
        <v>99.000000000000014</v>
      </c>
      <c r="J1351" s="145"/>
      <c r="K1351" s="153" t="s">
        <v>86</v>
      </c>
      <c r="L1351" s="153" t="s">
        <v>86</v>
      </c>
      <c r="M1351" s="153"/>
      <c r="N1351" s="2" t="s">
        <v>57</v>
      </c>
      <c r="O1351" s="2"/>
      <c r="P1351" s="10"/>
    </row>
    <row r="1352" spans="1:16" ht="16.5" customHeight="1" x14ac:dyDescent="0.25">
      <c r="A1352" s="2" t="s">
        <v>2679</v>
      </c>
      <c r="B1352" s="8" t="s">
        <v>2679</v>
      </c>
      <c r="C1352" s="152" t="s">
        <v>102</v>
      </c>
      <c r="D1352" s="2" t="s">
        <v>163</v>
      </c>
      <c r="E1352" s="152" t="s">
        <v>102</v>
      </c>
      <c r="F1352" s="152" t="s">
        <v>103</v>
      </c>
      <c r="G1352" s="152">
        <v>0</v>
      </c>
      <c r="H1352" s="152"/>
      <c r="I1352" s="153">
        <v>106.7</v>
      </c>
      <c r="J1352" s="145"/>
      <c r="K1352" s="153" t="s">
        <v>86</v>
      </c>
      <c r="L1352" s="153" t="s">
        <v>86</v>
      </c>
      <c r="M1352" s="153"/>
      <c r="N1352" s="2" t="s">
        <v>57</v>
      </c>
      <c r="O1352" s="2"/>
      <c r="P1352" s="10"/>
    </row>
    <row r="1353" spans="1:16" ht="16.5" customHeight="1" x14ac:dyDescent="0.25">
      <c r="A1353" s="2" t="s">
        <v>2680</v>
      </c>
      <c r="B1353" s="8" t="s">
        <v>2680</v>
      </c>
      <c r="C1353" s="152" t="s">
        <v>102</v>
      </c>
      <c r="D1353" s="2" t="s">
        <v>163</v>
      </c>
      <c r="E1353" s="152" t="s">
        <v>102</v>
      </c>
      <c r="F1353" s="152" t="s">
        <v>103</v>
      </c>
      <c r="G1353" s="152">
        <v>0</v>
      </c>
      <c r="H1353" s="152"/>
      <c r="I1353" s="153">
        <v>134.19999999999999</v>
      </c>
      <c r="J1353" s="145"/>
      <c r="K1353" s="153" t="s">
        <v>86</v>
      </c>
      <c r="L1353" s="153" t="s">
        <v>86</v>
      </c>
      <c r="M1353" s="153"/>
      <c r="N1353" s="2" t="s">
        <v>57</v>
      </c>
      <c r="O1353" s="2"/>
      <c r="P1353" s="10"/>
    </row>
    <row r="1354" spans="1:16" ht="16.5" customHeight="1" x14ac:dyDescent="0.25">
      <c r="A1354" s="2" t="s">
        <v>2681</v>
      </c>
      <c r="B1354" s="8" t="s">
        <v>2681</v>
      </c>
      <c r="C1354" s="152" t="s">
        <v>102</v>
      </c>
      <c r="D1354" s="2" t="s">
        <v>163</v>
      </c>
      <c r="E1354" s="152" t="s">
        <v>102</v>
      </c>
      <c r="F1354" s="152" t="s">
        <v>103</v>
      </c>
      <c r="G1354" s="152">
        <v>0</v>
      </c>
      <c r="H1354" s="152"/>
      <c r="I1354" s="153">
        <v>37.400000000000013</v>
      </c>
      <c r="J1354" s="145"/>
      <c r="K1354" s="153" t="s">
        <v>86</v>
      </c>
      <c r="L1354" s="153" t="s">
        <v>86</v>
      </c>
      <c r="M1354" s="153"/>
      <c r="N1354" s="2" t="s">
        <v>57</v>
      </c>
      <c r="O1354" s="2"/>
      <c r="P1354" s="10"/>
    </row>
    <row r="1355" spans="1:16" ht="16.5" customHeight="1" x14ac:dyDescent="0.25">
      <c r="A1355" s="2" t="s">
        <v>2682</v>
      </c>
      <c r="B1355" s="8" t="s">
        <v>2682</v>
      </c>
      <c r="C1355" s="152" t="s">
        <v>102</v>
      </c>
      <c r="D1355" s="2" t="s">
        <v>163</v>
      </c>
      <c r="E1355" s="152" t="s">
        <v>102</v>
      </c>
      <c r="F1355" s="152" t="s">
        <v>103</v>
      </c>
      <c r="G1355" s="152">
        <v>0</v>
      </c>
      <c r="H1355" s="152"/>
      <c r="I1355" s="153">
        <v>63.8</v>
      </c>
      <c r="J1355" s="145"/>
      <c r="K1355" s="153" t="s">
        <v>86</v>
      </c>
      <c r="L1355" s="153" t="s">
        <v>86</v>
      </c>
      <c r="M1355" s="153"/>
      <c r="N1355" s="2" t="s">
        <v>57</v>
      </c>
      <c r="O1355" s="2"/>
      <c r="P1355" s="2"/>
    </row>
    <row r="1356" spans="1:16" ht="16.5" customHeight="1" x14ac:dyDescent="0.25">
      <c r="A1356" s="2" t="s">
        <v>2683</v>
      </c>
      <c r="B1356" s="8" t="s">
        <v>2683</v>
      </c>
      <c r="C1356" s="152" t="s">
        <v>102</v>
      </c>
      <c r="D1356" s="2" t="s">
        <v>163</v>
      </c>
      <c r="E1356" s="152" t="s">
        <v>102</v>
      </c>
      <c r="F1356" s="152" t="s">
        <v>103</v>
      </c>
      <c r="G1356" s="152">
        <v>0</v>
      </c>
      <c r="H1356" s="152"/>
      <c r="I1356" s="153">
        <v>74.800000000000011</v>
      </c>
      <c r="J1356" s="145"/>
      <c r="K1356" s="153" t="s">
        <v>86</v>
      </c>
      <c r="L1356" s="153" t="s">
        <v>86</v>
      </c>
      <c r="M1356" s="153"/>
      <c r="N1356" s="2" t="s">
        <v>57</v>
      </c>
      <c r="O1356" s="2"/>
      <c r="P1356" s="2"/>
    </row>
    <row r="1357" spans="1:16" ht="16.5" customHeight="1" x14ac:dyDescent="0.25">
      <c r="A1357" s="2" t="s">
        <v>2684</v>
      </c>
      <c r="B1357" s="8" t="s">
        <v>2684</v>
      </c>
      <c r="C1357" s="152" t="s">
        <v>102</v>
      </c>
      <c r="D1357" s="2" t="s">
        <v>163</v>
      </c>
      <c r="E1357" s="152" t="s">
        <v>102</v>
      </c>
      <c r="F1357" s="152" t="s">
        <v>103</v>
      </c>
      <c r="G1357" s="152">
        <v>0</v>
      </c>
      <c r="H1357" s="152"/>
      <c r="I1357" s="153">
        <v>83.600000000000009</v>
      </c>
      <c r="J1357" s="145"/>
      <c r="K1357" s="153" t="s">
        <v>86</v>
      </c>
      <c r="L1357" s="153" t="s">
        <v>86</v>
      </c>
      <c r="M1357" s="153"/>
      <c r="N1357" s="2" t="s">
        <v>57</v>
      </c>
      <c r="O1357" s="2"/>
      <c r="P1357" s="10"/>
    </row>
    <row r="1358" spans="1:16" ht="16.5" customHeight="1" x14ac:dyDescent="0.25">
      <c r="A1358" s="2" t="s">
        <v>2685</v>
      </c>
      <c r="B1358" s="8" t="s">
        <v>2685</v>
      </c>
      <c r="C1358" s="152" t="s">
        <v>102</v>
      </c>
      <c r="D1358" s="2" t="s">
        <v>163</v>
      </c>
      <c r="E1358" s="152" t="s">
        <v>102</v>
      </c>
      <c r="F1358" s="152" t="s">
        <v>103</v>
      </c>
      <c r="G1358" s="152">
        <v>0</v>
      </c>
      <c r="H1358" s="152"/>
      <c r="I1358" s="153">
        <v>95.7</v>
      </c>
      <c r="J1358" s="145"/>
      <c r="K1358" s="153" t="s">
        <v>86</v>
      </c>
      <c r="L1358" s="153" t="s">
        <v>86</v>
      </c>
      <c r="M1358" s="153"/>
      <c r="N1358" s="2" t="s">
        <v>57</v>
      </c>
      <c r="O1358" s="2"/>
      <c r="P1358" s="10"/>
    </row>
    <row r="1359" spans="1:16" ht="16.5" customHeight="1" x14ac:dyDescent="0.25">
      <c r="A1359" s="2" t="s">
        <v>2686</v>
      </c>
      <c r="B1359" s="8" t="s">
        <v>2686</v>
      </c>
      <c r="C1359" s="152" t="s">
        <v>102</v>
      </c>
      <c r="D1359" s="2" t="s">
        <v>163</v>
      </c>
      <c r="E1359" s="152" t="s">
        <v>102</v>
      </c>
      <c r="F1359" s="152" t="s">
        <v>103</v>
      </c>
      <c r="G1359" s="152">
        <v>0</v>
      </c>
      <c r="H1359" s="152"/>
      <c r="I1359" s="153">
        <v>124.3</v>
      </c>
      <c r="J1359" s="145"/>
      <c r="K1359" s="153" t="s">
        <v>86</v>
      </c>
      <c r="L1359" s="153" t="s">
        <v>86</v>
      </c>
      <c r="M1359" s="153"/>
      <c r="N1359" s="2" t="s">
        <v>57</v>
      </c>
      <c r="O1359" s="2"/>
      <c r="P1359" s="2"/>
    </row>
    <row r="1360" spans="1:16" ht="16.5" customHeight="1" x14ac:dyDescent="0.25">
      <c r="A1360" s="2" t="s">
        <v>2687</v>
      </c>
      <c r="B1360" s="8" t="s">
        <v>2687</v>
      </c>
      <c r="C1360" s="152" t="s">
        <v>102</v>
      </c>
      <c r="D1360" s="2" t="s">
        <v>163</v>
      </c>
      <c r="E1360" s="152" t="s">
        <v>102</v>
      </c>
      <c r="F1360" s="152" t="s">
        <v>103</v>
      </c>
      <c r="G1360" s="152">
        <v>0</v>
      </c>
      <c r="H1360" s="152"/>
      <c r="I1360" s="153">
        <v>74.800000000000011</v>
      </c>
      <c r="J1360" s="145"/>
      <c r="K1360" s="153" t="s">
        <v>86</v>
      </c>
      <c r="L1360" s="153" t="s">
        <v>86</v>
      </c>
      <c r="M1360" s="153"/>
      <c r="N1360" s="2" t="s">
        <v>57</v>
      </c>
      <c r="O1360" s="2"/>
      <c r="P1360" s="2"/>
    </row>
    <row r="1361" spans="1:16" ht="16.5" customHeight="1" x14ac:dyDescent="0.25">
      <c r="A1361" s="2" t="s">
        <v>2688</v>
      </c>
      <c r="B1361" s="8" t="s">
        <v>2688</v>
      </c>
      <c r="C1361" s="152" t="s">
        <v>102</v>
      </c>
      <c r="D1361" s="2" t="s">
        <v>163</v>
      </c>
      <c r="E1361" s="152" t="s">
        <v>102</v>
      </c>
      <c r="F1361" s="152" t="s">
        <v>103</v>
      </c>
      <c r="G1361" s="152">
        <v>0</v>
      </c>
      <c r="H1361" s="152"/>
      <c r="I1361" s="153">
        <v>66</v>
      </c>
      <c r="J1361" s="145"/>
      <c r="K1361" s="153" t="s">
        <v>86</v>
      </c>
      <c r="L1361" s="153" t="s">
        <v>86</v>
      </c>
      <c r="M1361" s="153"/>
      <c r="N1361" s="2" t="s">
        <v>57</v>
      </c>
      <c r="O1361" s="2"/>
      <c r="P1361" s="2"/>
    </row>
    <row r="1362" spans="1:16" ht="16.5" customHeight="1" x14ac:dyDescent="0.25">
      <c r="A1362" s="2" t="s">
        <v>2689</v>
      </c>
      <c r="B1362" s="8" t="s">
        <v>2689</v>
      </c>
      <c r="C1362" s="152" t="s">
        <v>102</v>
      </c>
      <c r="D1362" s="2" t="s">
        <v>163</v>
      </c>
      <c r="E1362" s="152" t="s">
        <v>102</v>
      </c>
      <c r="F1362" s="152" t="s">
        <v>103</v>
      </c>
      <c r="G1362" s="152">
        <v>0</v>
      </c>
      <c r="H1362" s="152"/>
      <c r="I1362" s="153">
        <v>109.6234615384616</v>
      </c>
      <c r="J1362" s="145"/>
      <c r="K1362" s="153" t="s">
        <v>86</v>
      </c>
      <c r="L1362" s="153" t="s">
        <v>86</v>
      </c>
      <c r="M1362" s="153"/>
      <c r="N1362" s="2" t="s">
        <v>57</v>
      </c>
      <c r="O1362" s="2"/>
      <c r="P1362" s="2"/>
    </row>
    <row r="1363" spans="1:16" ht="16.5" customHeight="1" x14ac:dyDescent="0.25">
      <c r="A1363" s="2" t="s">
        <v>2690</v>
      </c>
      <c r="B1363" s="8" t="s">
        <v>2690</v>
      </c>
      <c r="C1363" s="152" t="s">
        <v>102</v>
      </c>
      <c r="D1363" s="2" t="s">
        <v>163</v>
      </c>
      <c r="E1363" s="152" t="s">
        <v>102</v>
      </c>
      <c r="F1363" s="152" t="s">
        <v>103</v>
      </c>
      <c r="G1363" s="152">
        <v>0</v>
      </c>
      <c r="H1363" s="152"/>
      <c r="I1363" s="153">
        <v>66</v>
      </c>
      <c r="J1363" s="145"/>
      <c r="K1363" s="153" t="s">
        <v>86</v>
      </c>
      <c r="L1363" s="153" t="s">
        <v>86</v>
      </c>
      <c r="M1363" s="153"/>
      <c r="N1363" s="2" t="s">
        <v>57</v>
      </c>
      <c r="O1363" s="2"/>
      <c r="P1363" s="2"/>
    </row>
    <row r="1364" spans="1:16" ht="16.5" customHeight="1" x14ac:dyDescent="0.25">
      <c r="A1364" s="2" t="s">
        <v>2691</v>
      </c>
      <c r="B1364" s="8" t="s">
        <v>2691</v>
      </c>
      <c r="C1364" s="152" t="s">
        <v>102</v>
      </c>
      <c r="D1364" s="2" t="s">
        <v>441</v>
      </c>
      <c r="E1364" s="152" t="s">
        <v>102</v>
      </c>
      <c r="F1364" s="152" t="s">
        <v>103</v>
      </c>
      <c r="G1364" s="152">
        <v>0</v>
      </c>
      <c r="H1364" s="152"/>
      <c r="I1364" s="153">
        <v>90.139006410256414</v>
      </c>
      <c r="J1364" s="145"/>
      <c r="K1364" s="153" t="s">
        <v>86</v>
      </c>
      <c r="L1364" s="153" t="s">
        <v>86</v>
      </c>
      <c r="M1364" s="153"/>
      <c r="N1364" s="2" t="s">
        <v>57</v>
      </c>
      <c r="O1364" s="2"/>
      <c r="P1364" s="10"/>
    </row>
    <row r="1365" spans="1:16" ht="16.5" customHeight="1" x14ac:dyDescent="0.25">
      <c r="A1365" s="2" t="s">
        <v>2692</v>
      </c>
      <c r="B1365" s="8" t="s">
        <v>2692</v>
      </c>
      <c r="C1365" s="152" t="s">
        <v>102</v>
      </c>
      <c r="D1365" s="2" t="s">
        <v>441</v>
      </c>
      <c r="E1365" s="152" t="s">
        <v>102</v>
      </c>
      <c r="F1365" s="152" t="s">
        <v>103</v>
      </c>
      <c r="G1365" s="152">
        <v>0</v>
      </c>
      <c r="H1365" s="152"/>
      <c r="I1365" s="153">
        <v>37.7123717948718</v>
      </c>
      <c r="J1365" s="145"/>
      <c r="K1365" s="153" t="s">
        <v>86</v>
      </c>
      <c r="L1365" s="153" t="s">
        <v>86</v>
      </c>
      <c r="M1365" s="153"/>
      <c r="N1365" s="2" t="s">
        <v>57</v>
      </c>
      <c r="O1365" s="2"/>
      <c r="P1365" s="10"/>
    </row>
    <row r="1366" spans="1:16" ht="16.5" customHeight="1" x14ac:dyDescent="0.25">
      <c r="A1366" s="2" t="s">
        <v>2693</v>
      </c>
      <c r="B1366" s="8" t="s">
        <v>2693</v>
      </c>
      <c r="C1366" s="152" t="s">
        <v>102</v>
      </c>
      <c r="D1366" s="2" t="s">
        <v>908</v>
      </c>
      <c r="E1366" s="152" t="s">
        <v>102</v>
      </c>
      <c r="F1366" s="152" t="s">
        <v>103</v>
      </c>
      <c r="G1366" s="152">
        <v>0</v>
      </c>
      <c r="H1366" s="152"/>
      <c r="I1366" s="153">
        <v>6.2031644230769238</v>
      </c>
      <c r="J1366" s="145"/>
      <c r="K1366" s="153" t="s">
        <v>86</v>
      </c>
      <c r="L1366" s="153" t="s">
        <v>86</v>
      </c>
      <c r="M1366" s="153"/>
      <c r="N1366" s="2" t="s">
        <v>57</v>
      </c>
      <c r="O1366" s="2"/>
      <c r="P1366" s="2"/>
    </row>
    <row r="1367" spans="1:16" ht="16.5" customHeight="1" x14ac:dyDescent="0.25">
      <c r="A1367" s="2" t="s">
        <v>2694</v>
      </c>
      <c r="B1367" s="8" t="s">
        <v>2694</v>
      </c>
      <c r="C1367" s="152" t="s">
        <v>102</v>
      </c>
      <c r="D1367" s="2" t="s">
        <v>278</v>
      </c>
      <c r="E1367" s="152" t="s">
        <v>102</v>
      </c>
      <c r="F1367" s="152" t="s">
        <v>103</v>
      </c>
      <c r="G1367" s="152">
        <v>0</v>
      </c>
      <c r="H1367" s="152"/>
      <c r="I1367" s="153">
        <v>119.8076282051282</v>
      </c>
      <c r="J1367" s="145"/>
      <c r="K1367" s="153" t="s">
        <v>86</v>
      </c>
      <c r="L1367" s="153" t="s">
        <v>86</v>
      </c>
      <c r="M1367" s="153"/>
      <c r="N1367" s="2" t="s">
        <v>57</v>
      </c>
      <c r="O1367" s="2"/>
      <c r="P1367" s="2"/>
    </row>
    <row r="1368" spans="1:16" ht="16.5" customHeight="1" x14ac:dyDescent="0.25">
      <c r="A1368" s="2" t="s">
        <v>2695</v>
      </c>
      <c r="B1368" s="8" t="s">
        <v>2695</v>
      </c>
      <c r="C1368" s="152" t="s">
        <v>102</v>
      </c>
      <c r="D1368" s="2" t="s">
        <v>278</v>
      </c>
      <c r="E1368" s="152" t="s">
        <v>102</v>
      </c>
      <c r="F1368" s="152" t="s">
        <v>103</v>
      </c>
      <c r="G1368" s="152">
        <v>0</v>
      </c>
      <c r="H1368" s="152"/>
      <c r="I1368" s="153">
        <v>148.203141025641</v>
      </c>
      <c r="J1368" s="145"/>
      <c r="K1368" s="153" t="s">
        <v>86</v>
      </c>
      <c r="L1368" s="153" t="s">
        <v>86</v>
      </c>
      <c r="M1368" s="153"/>
      <c r="N1368" s="2" t="s">
        <v>57</v>
      </c>
      <c r="O1368" s="2"/>
      <c r="P1368" s="2"/>
    </row>
    <row r="1369" spans="1:16" ht="16.5" customHeight="1" x14ac:dyDescent="0.25">
      <c r="A1369" s="2" t="s">
        <v>2696</v>
      </c>
      <c r="B1369" s="8" t="s">
        <v>2696</v>
      </c>
      <c r="C1369" s="152" t="s">
        <v>102</v>
      </c>
      <c r="D1369" s="2" t="s">
        <v>163</v>
      </c>
      <c r="E1369" s="152" t="s">
        <v>102</v>
      </c>
      <c r="F1369" s="152" t="s">
        <v>103</v>
      </c>
      <c r="G1369" s="152">
        <v>0</v>
      </c>
      <c r="H1369" s="152"/>
      <c r="I1369" s="153">
        <v>184.8</v>
      </c>
      <c r="J1369" s="145"/>
      <c r="K1369" s="153" t="s">
        <v>86</v>
      </c>
      <c r="L1369" s="153" t="s">
        <v>86</v>
      </c>
      <c r="M1369" s="153"/>
      <c r="N1369" s="2" t="s">
        <v>57</v>
      </c>
      <c r="O1369" s="2"/>
      <c r="P1369" s="2"/>
    </row>
    <row r="1370" spans="1:16" ht="16.5" customHeight="1" x14ac:dyDescent="0.25">
      <c r="A1370" s="2" t="s">
        <v>2697</v>
      </c>
      <c r="B1370" s="8" t="s">
        <v>2697</v>
      </c>
      <c r="C1370" s="152" t="s">
        <v>102</v>
      </c>
      <c r="D1370" s="2" t="s">
        <v>278</v>
      </c>
      <c r="E1370" s="152" t="s">
        <v>102</v>
      </c>
      <c r="F1370" s="152" t="s">
        <v>103</v>
      </c>
      <c r="G1370" s="152">
        <v>0</v>
      </c>
      <c r="H1370" s="152"/>
      <c r="I1370" s="153">
        <v>34.727564102564109</v>
      </c>
      <c r="J1370" s="145"/>
      <c r="K1370" s="153" t="s">
        <v>86</v>
      </c>
      <c r="L1370" s="153" t="s">
        <v>86</v>
      </c>
      <c r="M1370" s="153"/>
      <c r="N1370" s="2" t="s">
        <v>57</v>
      </c>
      <c r="O1370" s="2"/>
      <c r="P1370" s="2"/>
    </row>
    <row r="1371" spans="1:16" ht="16.5" customHeight="1" x14ac:dyDescent="0.25">
      <c r="A1371" s="2" t="s">
        <v>2698</v>
      </c>
      <c r="B1371" s="8" t="s">
        <v>2698</v>
      </c>
      <c r="C1371" s="152" t="s">
        <v>102</v>
      </c>
      <c r="D1371" s="2" t="s">
        <v>278</v>
      </c>
      <c r="E1371" s="152" t="s">
        <v>102</v>
      </c>
      <c r="F1371" s="152" t="s">
        <v>103</v>
      </c>
      <c r="G1371" s="152">
        <v>0</v>
      </c>
      <c r="H1371" s="152"/>
      <c r="I1371" s="153">
        <v>161.21698717948721</v>
      </c>
      <c r="J1371" s="145"/>
      <c r="K1371" s="153" t="s">
        <v>86</v>
      </c>
      <c r="L1371" s="153">
        <v>-34.734406004524892</v>
      </c>
      <c r="M1371" s="153"/>
      <c r="N1371" s="2" t="s">
        <v>57</v>
      </c>
      <c r="O1371" s="2"/>
      <c r="P1371" s="2"/>
    </row>
    <row r="1372" spans="1:16" ht="16.5" customHeight="1" x14ac:dyDescent="0.25">
      <c r="A1372" s="2" t="s">
        <v>2699</v>
      </c>
      <c r="B1372" s="8" t="s">
        <v>2699</v>
      </c>
      <c r="C1372" s="152" t="s">
        <v>102</v>
      </c>
      <c r="D1372" s="2" t="s">
        <v>278</v>
      </c>
      <c r="E1372" s="152" t="s">
        <v>102</v>
      </c>
      <c r="F1372" s="152" t="s">
        <v>103</v>
      </c>
      <c r="G1372" s="152">
        <v>0</v>
      </c>
      <c r="H1372" s="152"/>
      <c r="I1372" s="153">
        <v>37.337243589743593</v>
      </c>
      <c r="J1372" s="145"/>
      <c r="K1372" s="153" t="s">
        <v>86</v>
      </c>
      <c r="L1372" s="153" t="s">
        <v>86</v>
      </c>
      <c r="M1372" s="153"/>
      <c r="N1372" s="2" t="s">
        <v>57</v>
      </c>
      <c r="O1372" s="2"/>
      <c r="P1372" s="2"/>
    </row>
    <row r="1373" spans="1:16" ht="16.5" customHeight="1" x14ac:dyDescent="0.25">
      <c r="A1373" s="2" t="s">
        <v>2700</v>
      </c>
      <c r="B1373" s="8" t="s">
        <v>2700</v>
      </c>
      <c r="C1373" s="152" t="s">
        <v>102</v>
      </c>
      <c r="D1373" s="2" t="s">
        <v>278</v>
      </c>
      <c r="E1373" s="152" t="s">
        <v>102</v>
      </c>
      <c r="F1373" s="152" t="s">
        <v>103</v>
      </c>
      <c r="G1373" s="152">
        <v>0</v>
      </c>
      <c r="H1373" s="152"/>
      <c r="I1373" s="153">
        <v>34.954615384615387</v>
      </c>
      <c r="J1373" s="145"/>
      <c r="K1373" s="153" t="s">
        <v>86</v>
      </c>
      <c r="L1373" s="153" t="s">
        <v>86</v>
      </c>
      <c r="M1373" s="153"/>
      <c r="N1373" s="2" t="s">
        <v>57</v>
      </c>
      <c r="O1373" s="2"/>
      <c r="P1373" s="2"/>
    </row>
    <row r="1374" spans="1:16" ht="16.5" customHeight="1" x14ac:dyDescent="0.25">
      <c r="A1374" s="2" t="s">
        <v>2701</v>
      </c>
      <c r="B1374" s="8" t="s">
        <v>2701</v>
      </c>
      <c r="C1374" s="152" t="s">
        <v>102</v>
      </c>
      <c r="D1374" s="2" t="s">
        <v>278</v>
      </c>
      <c r="E1374" s="152" t="s">
        <v>102</v>
      </c>
      <c r="F1374" s="152" t="s">
        <v>103</v>
      </c>
      <c r="G1374" s="152">
        <v>0</v>
      </c>
      <c r="H1374" s="152"/>
      <c r="I1374" s="153">
        <v>28.05634615384616</v>
      </c>
      <c r="J1374" s="145"/>
      <c r="K1374" s="153" t="s">
        <v>86</v>
      </c>
      <c r="L1374" s="153" t="s">
        <v>86</v>
      </c>
      <c r="M1374" s="153"/>
      <c r="N1374" s="2" t="s">
        <v>57</v>
      </c>
      <c r="O1374" s="2"/>
      <c r="P1374" s="2"/>
    </row>
    <row r="1375" spans="1:16" ht="16.5" customHeight="1" x14ac:dyDescent="0.25">
      <c r="A1375" s="2" t="s">
        <v>2702</v>
      </c>
      <c r="B1375" s="8" t="s">
        <v>2702</v>
      </c>
      <c r="C1375" s="152" t="s">
        <v>102</v>
      </c>
      <c r="D1375" s="2" t="s">
        <v>278</v>
      </c>
      <c r="E1375" s="152" t="s">
        <v>102</v>
      </c>
      <c r="F1375" s="152" t="s">
        <v>103</v>
      </c>
      <c r="G1375" s="152">
        <v>0</v>
      </c>
      <c r="H1375" s="152"/>
      <c r="I1375" s="153">
        <v>24.98551282051282</v>
      </c>
      <c r="J1375" s="145"/>
      <c r="K1375" s="153" t="s">
        <v>86</v>
      </c>
      <c r="L1375" s="153" t="s">
        <v>86</v>
      </c>
      <c r="M1375" s="153"/>
      <c r="N1375" s="2" t="s">
        <v>57</v>
      </c>
      <c r="O1375" s="2"/>
      <c r="P1375" s="2"/>
    </row>
    <row r="1376" spans="1:16" ht="16.5" customHeight="1" x14ac:dyDescent="0.25">
      <c r="A1376" s="2" t="s">
        <v>2703</v>
      </c>
      <c r="B1376" s="8" t="s">
        <v>2703</v>
      </c>
      <c r="C1376" s="152" t="s">
        <v>102</v>
      </c>
      <c r="D1376" s="2" t="s">
        <v>163</v>
      </c>
      <c r="E1376" s="152" t="s">
        <v>102</v>
      </c>
      <c r="F1376" s="152" t="s">
        <v>103</v>
      </c>
      <c r="G1376" s="152">
        <v>0</v>
      </c>
      <c r="H1376" s="152"/>
      <c r="I1376" s="153">
        <v>90.2</v>
      </c>
      <c r="J1376" s="145"/>
      <c r="K1376" s="153" t="s">
        <v>86</v>
      </c>
      <c r="L1376" s="153" t="s">
        <v>86</v>
      </c>
      <c r="M1376" s="153"/>
      <c r="N1376" s="2" t="s">
        <v>57</v>
      </c>
      <c r="O1376" s="2"/>
      <c r="P1376" s="2"/>
    </row>
    <row r="1377" spans="1:16" ht="16.5" customHeight="1" x14ac:dyDescent="0.25">
      <c r="A1377" s="2" t="s">
        <v>2704</v>
      </c>
      <c r="B1377" s="8" t="s">
        <v>2704</v>
      </c>
      <c r="C1377" s="152" t="s">
        <v>102</v>
      </c>
      <c r="D1377" s="2" t="s">
        <v>278</v>
      </c>
      <c r="E1377" s="152" t="s">
        <v>102</v>
      </c>
      <c r="F1377" s="152" t="s">
        <v>103</v>
      </c>
      <c r="G1377" s="152">
        <v>0</v>
      </c>
      <c r="H1377" s="152"/>
      <c r="I1377" s="153">
        <v>65.016346153846158</v>
      </c>
      <c r="J1377" s="145"/>
      <c r="K1377" s="153" t="s">
        <v>86</v>
      </c>
      <c r="L1377" s="153" t="s">
        <v>86</v>
      </c>
      <c r="M1377" s="153"/>
      <c r="N1377" s="2" t="s">
        <v>57</v>
      </c>
      <c r="O1377" s="2"/>
      <c r="P1377" s="10"/>
    </row>
    <row r="1378" spans="1:16" ht="16.5" customHeight="1" x14ac:dyDescent="0.25">
      <c r="A1378" s="2" t="s">
        <v>2705</v>
      </c>
      <c r="B1378" s="8" t="s">
        <v>2705</v>
      </c>
      <c r="C1378" s="152" t="s">
        <v>102</v>
      </c>
      <c r="D1378" s="2" t="s">
        <v>278</v>
      </c>
      <c r="E1378" s="152" t="s">
        <v>102</v>
      </c>
      <c r="F1378" s="152" t="s">
        <v>103</v>
      </c>
      <c r="G1378" s="152">
        <v>0</v>
      </c>
      <c r="H1378" s="152"/>
      <c r="I1378" s="153">
        <v>39.698717948717963</v>
      </c>
      <c r="J1378" s="145"/>
      <c r="K1378" s="153" t="s">
        <v>86</v>
      </c>
      <c r="L1378" s="153" t="s">
        <v>86</v>
      </c>
      <c r="M1378" s="153"/>
      <c r="N1378" s="2" t="s">
        <v>57</v>
      </c>
      <c r="O1378" s="2"/>
      <c r="P1378" s="2"/>
    </row>
    <row r="1379" spans="1:16" ht="16.5" customHeight="1" x14ac:dyDescent="0.25">
      <c r="A1379" s="2" t="s">
        <v>2706</v>
      </c>
      <c r="B1379" s="8" t="s">
        <v>2706</v>
      </c>
      <c r="C1379" s="152" t="s">
        <v>102</v>
      </c>
      <c r="D1379" s="2" t="s">
        <v>278</v>
      </c>
      <c r="E1379" s="152" t="s">
        <v>102</v>
      </c>
      <c r="F1379" s="152" t="s">
        <v>103</v>
      </c>
      <c r="G1379" s="152">
        <v>0</v>
      </c>
      <c r="H1379" s="152"/>
      <c r="I1379" s="153">
        <v>39.501987179487188</v>
      </c>
      <c r="J1379" s="145"/>
      <c r="K1379" s="153" t="s">
        <v>86</v>
      </c>
      <c r="L1379" s="153" t="s">
        <v>86</v>
      </c>
      <c r="M1379" s="153"/>
      <c r="N1379" s="2" t="s">
        <v>57</v>
      </c>
      <c r="O1379" s="2"/>
      <c r="P1379" s="2"/>
    </row>
    <row r="1380" spans="1:16" ht="16.5" customHeight="1" x14ac:dyDescent="0.25">
      <c r="A1380" s="2" t="s">
        <v>2707</v>
      </c>
      <c r="B1380" s="8" t="s">
        <v>2707</v>
      </c>
      <c r="C1380" s="152" t="s">
        <v>102</v>
      </c>
      <c r="D1380" s="2" t="s">
        <v>278</v>
      </c>
      <c r="E1380" s="152" t="s">
        <v>102</v>
      </c>
      <c r="F1380" s="152" t="s">
        <v>103</v>
      </c>
      <c r="G1380" s="152">
        <v>0</v>
      </c>
      <c r="H1380" s="152"/>
      <c r="I1380" s="153">
        <v>55.688910256410267</v>
      </c>
      <c r="J1380" s="145"/>
      <c r="K1380" s="153" t="s">
        <v>86</v>
      </c>
      <c r="L1380" s="153" t="s">
        <v>86</v>
      </c>
      <c r="M1380" s="153"/>
      <c r="N1380" s="2" t="s">
        <v>57</v>
      </c>
      <c r="O1380" s="2"/>
      <c r="P1380" s="10"/>
    </row>
    <row r="1381" spans="1:16" ht="16.5" customHeight="1" x14ac:dyDescent="0.25">
      <c r="A1381" s="2" t="s">
        <v>2708</v>
      </c>
      <c r="B1381" s="8" t="s">
        <v>2708</v>
      </c>
      <c r="C1381" s="152" t="s">
        <v>102</v>
      </c>
      <c r="D1381" s="2" t="s">
        <v>278</v>
      </c>
      <c r="E1381" s="152" t="s">
        <v>102</v>
      </c>
      <c r="F1381" s="152" t="s">
        <v>103</v>
      </c>
      <c r="G1381" s="152">
        <v>0</v>
      </c>
      <c r="H1381" s="152"/>
      <c r="I1381" s="153">
        <v>30.081474358974361</v>
      </c>
      <c r="J1381" s="145"/>
      <c r="K1381" s="153" t="s">
        <v>86</v>
      </c>
      <c r="L1381" s="153" t="s">
        <v>86</v>
      </c>
      <c r="M1381" s="153"/>
      <c r="N1381" s="2" t="s">
        <v>57</v>
      </c>
      <c r="O1381" s="2"/>
      <c r="P1381" s="2"/>
    </row>
    <row r="1382" spans="1:16" ht="16.5" customHeight="1" x14ac:dyDescent="0.25">
      <c r="A1382" s="2" t="s">
        <v>2709</v>
      </c>
      <c r="B1382" s="8" t="s">
        <v>2709</v>
      </c>
      <c r="C1382" s="152" t="s">
        <v>102</v>
      </c>
      <c r="D1382" s="2" t="s">
        <v>278</v>
      </c>
      <c r="E1382" s="152" t="s">
        <v>102</v>
      </c>
      <c r="F1382" s="152" t="s">
        <v>103</v>
      </c>
      <c r="G1382" s="152">
        <v>0</v>
      </c>
      <c r="H1382" s="152"/>
      <c r="I1382" s="153">
        <v>67.430000000000007</v>
      </c>
      <c r="J1382" s="145"/>
      <c r="K1382" s="153" t="s">
        <v>86</v>
      </c>
      <c r="L1382" s="153" t="s">
        <v>86</v>
      </c>
      <c r="M1382" s="153"/>
      <c r="N1382" s="2" t="s">
        <v>57</v>
      </c>
      <c r="O1382" s="2"/>
      <c r="P1382" s="2"/>
    </row>
    <row r="1383" spans="1:16" ht="16.5" customHeight="1" x14ac:dyDescent="0.25">
      <c r="A1383" s="2" t="s">
        <v>2710</v>
      </c>
      <c r="B1383" s="8" t="s">
        <v>2710</v>
      </c>
      <c r="C1383" s="152" t="s">
        <v>102</v>
      </c>
      <c r="D1383" s="2" t="s">
        <v>278</v>
      </c>
      <c r="E1383" s="152" t="s">
        <v>102</v>
      </c>
      <c r="F1383" s="152" t="s">
        <v>103</v>
      </c>
      <c r="G1383" s="152">
        <v>0</v>
      </c>
      <c r="H1383" s="152"/>
      <c r="I1383" s="153">
        <v>95.830448717948713</v>
      </c>
      <c r="J1383" s="145"/>
      <c r="K1383" s="153" t="s">
        <v>86</v>
      </c>
      <c r="L1383" s="153" t="s">
        <v>86</v>
      </c>
      <c r="M1383" s="153"/>
      <c r="N1383" s="2" t="s">
        <v>57</v>
      </c>
      <c r="O1383" s="2"/>
      <c r="P1383" s="2"/>
    </row>
    <row r="1384" spans="1:16" ht="16.5" customHeight="1" x14ac:dyDescent="0.25">
      <c r="A1384" s="2" t="s">
        <v>2711</v>
      </c>
      <c r="B1384" s="8" t="s">
        <v>2711</v>
      </c>
      <c r="C1384" s="152" t="s">
        <v>102</v>
      </c>
      <c r="D1384" s="2" t="s">
        <v>278</v>
      </c>
      <c r="E1384" s="152" t="s">
        <v>102</v>
      </c>
      <c r="F1384" s="152" t="s">
        <v>103</v>
      </c>
      <c r="G1384" s="152">
        <v>0</v>
      </c>
      <c r="H1384" s="152"/>
      <c r="I1384" s="153">
        <v>33.3723076923077</v>
      </c>
      <c r="J1384" s="145"/>
      <c r="K1384" s="153" t="s">
        <v>86</v>
      </c>
      <c r="L1384" s="153" t="s">
        <v>86</v>
      </c>
      <c r="M1384" s="153"/>
      <c r="N1384" s="2" t="s">
        <v>57</v>
      </c>
      <c r="O1384" s="2"/>
      <c r="P1384" s="2"/>
    </row>
    <row r="1385" spans="1:16" ht="16.5" customHeight="1" x14ac:dyDescent="0.25">
      <c r="A1385" s="2" t="s">
        <v>2712</v>
      </c>
      <c r="B1385" s="8" t="s">
        <v>2712</v>
      </c>
      <c r="C1385" s="152" t="s">
        <v>102</v>
      </c>
      <c r="D1385" s="2" t="s">
        <v>163</v>
      </c>
      <c r="E1385" s="152" t="s">
        <v>102</v>
      </c>
      <c r="F1385" s="152" t="s">
        <v>103</v>
      </c>
      <c r="G1385" s="152">
        <v>0</v>
      </c>
      <c r="H1385" s="152"/>
      <c r="I1385" s="153">
        <v>131.07630136986299</v>
      </c>
      <c r="J1385" s="145"/>
      <c r="K1385" s="153" t="s">
        <v>86</v>
      </c>
      <c r="L1385" s="153" t="s">
        <v>86</v>
      </c>
      <c r="M1385" s="153"/>
      <c r="N1385" s="2" t="s">
        <v>57</v>
      </c>
      <c r="O1385" s="2"/>
      <c r="P1385" s="2"/>
    </row>
    <row r="1386" spans="1:16" ht="16.5" customHeight="1" x14ac:dyDescent="0.25">
      <c r="A1386" s="2" t="s">
        <v>2713</v>
      </c>
      <c r="B1386" s="8" t="s">
        <v>2713</v>
      </c>
      <c r="C1386" s="152" t="s">
        <v>102</v>
      </c>
      <c r="D1386" s="2" t="s">
        <v>163</v>
      </c>
      <c r="E1386" s="152" t="s">
        <v>102</v>
      </c>
      <c r="F1386" s="152" t="s">
        <v>103</v>
      </c>
      <c r="G1386" s="152">
        <v>0</v>
      </c>
      <c r="H1386" s="152"/>
      <c r="I1386" s="153">
        <v>118.8</v>
      </c>
      <c r="J1386" s="145"/>
      <c r="K1386" s="153" t="s">
        <v>86</v>
      </c>
      <c r="L1386" s="153" t="s">
        <v>86</v>
      </c>
      <c r="M1386" s="153"/>
      <c r="N1386" s="2" t="s">
        <v>57</v>
      </c>
      <c r="O1386" s="2"/>
      <c r="P1386" s="10"/>
    </row>
    <row r="1387" spans="1:16" ht="16.5" customHeight="1" x14ac:dyDescent="0.25">
      <c r="A1387" s="2" t="s">
        <v>2714</v>
      </c>
      <c r="B1387" s="8" t="s">
        <v>2714</v>
      </c>
      <c r="C1387" s="152" t="s">
        <v>102</v>
      </c>
      <c r="D1387" s="2" t="s">
        <v>163</v>
      </c>
      <c r="E1387" s="152" t="s">
        <v>102</v>
      </c>
      <c r="F1387" s="152" t="s">
        <v>103</v>
      </c>
      <c r="G1387" s="152">
        <v>0</v>
      </c>
      <c r="H1387" s="152"/>
      <c r="I1387" s="153">
        <v>0</v>
      </c>
      <c r="J1387" s="145"/>
      <c r="K1387" s="153" t="s">
        <v>86</v>
      </c>
      <c r="L1387" s="153" t="s">
        <v>86</v>
      </c>
      <c r="M1387" s="153"/>
      <c r="N1387" s="2" t="s">
        <v>57</v>
      </c>
      <c r="O1387" s="2"/>
      <c r="P1387" s="2"/>
    </row>
    <row r="1388" spans="1:16" ht="16.5" customHeight="1" x14ac:dyDescent="0.25">
      <c r="A1388" s="2" t="s">
        <v>2715</v>
      </c>
      <c r="B1388" s="8" t="s">
        <v>2715</v>
      </c>
      <c r="C1388" s="152" t="s">
        <v>102</v>
      </c>
      <c r="D1388" s="2" t="s">
        <v>148</v>
      </c>
      <c r="E1388" s="152" t="s">
        <v>102</v>
      </c>
      <c r="F1388" s="152" t="s">
        <v>103</v>
      </c>
      <c r="G1388" s="152">
        <v>0</v>
      </c>
      <c r="H1388" s="152"/>
      <c r="I1388" s="153">
        <v>7.8681730769230764</v>
      </c>
      <c r="J1388" s="145"/>
      <c r="K1388" s="153" t="s">
        <v>86</v>
      </c>
      <c r="L1388" s="153" t="s">
        <v>86</v>
      </c>
      <c r="M1388" s="153"/>
      <c r="N1388" s="2" t="s">
        <v>57</v>
      </c>
      <c r="O1388" s="2"/>
      <c r="P1388" s="2"/>
    </row>
    <row r="1389" spans="1:16" ht="16.5" customHeight="1" x14ac:dyDescent="0.25">
      <c r="A1389" s="2" t="s">
        <v>2716</v>
      </c>
      <c r="B1389" s="8" t="s">
        <v>2716</v>
      </c>
      <c r="C1389" s="152" t="s">
        <v>102</v>
      </c>
      <c r="D1389" s="2" t="s">
        <v>278</v>
      </c>
      <c r="E1389" s="152" t="s">
        <v>102</v>
      </c>
      <c r="F1389" s="152" t="s">
        <v>103</v>
      </c>
      <c r="G1389" s="152">
        <v>0</v>
      </c>
      <c r="H1389" s="152"/>
      <c r="I1389" s="153">
        <v>49.865256410256407</v>
      </c>
      <c r="J1389" s="145"/>
      <c r="K1389" s="153" t="s">
        <v>86</v>
      </c>
      <c r="L1389" s="153" t="s">
        <v>86</v>
      </c>
      <c r="M1389" s="153"/>
      <c r="N1389" s="2" t="s">
        <v>57</v>
      </c>
      <c r="O1389" s="2"/>
      <c r="P1389" s="2"/>
    </row>
    <row r="1390" spans="1:16" ht="16.5" customHeight="1" x14ac:dyDescent="0.25">
      <c r="A1390" s="2" t="s">
        <v>2717</v>
      </c>
      <c r="B1390" s="8" t="s">
        <v>2717</v>
      </c>
      <c r="C1390" s="152" t="s">
        <v>102</v>
      </c>
      <c r="D1390" s="2" t="s">
        <v>278</v>
      </c>
      <c r="E1390" s="152" t="s">
        <v>102</v>
      </c>
      <c r="F1390" s="152" t="s">
        <v>103</v>
      </c>
      <c r="G1390" s="152">
        <v>0</v>
      </c>
      <c r="H1390" s="152"/>
      <c r="I1390" s="153">
        <v>75.705384615384631</v>
      </c>
      <c r="J1390" s="145"/>
      <c r="K1390" s="153" t="s">
        <v>86</v>
      </c>
      <c r="L1390" s="153" t="s">
        <v>86</v>
      </c>
      <c r="M1390" s="153"/>
      <c r="N1390" s="2" t="s">
        <v>57</v>
      </c>
      <c r="O1390" s="2"/>
      <c r="P1390" s="10"/>
    </row>
    <row r="1391" spans="1:16" ht="16.5" customHeight="1" x14ac:dyDescent="0.25">
      <c r="A1391" s="2" t="s">
        <v>2718</v>
      </c>
      <c r="B1391" s="8" t="s">
        <v>2718</v>
      </c>
      <c r="C1391" s="152" t="s">
        <v>102</v>
      </c>
      <c r="D1391" s="2" t="s">
        <v>278</v>
      </c>
      <c r="E1391" s="152" t="s">
        <v>102</v>
      </c>
      <c r="F1391" s="152" t="s">
        <v>103</v>
      </c>
      <c r="G1391" s="152">
        <v>0</v>
      </c>
      <c r="H1391" s="152"/>
      <c r="I1391" s="153">
        <v>43.994358974358981</v>
      </c>
      <c r="J1391" s="145"/>
      <c r="K1391" s="153" t="s">
        <v>86</v>
      </c>
      <c r="L1391" s="153" t="s">
        <v>86</v>
      </c>
      <c r="M1391" s="153"/>
      <c r="N1391" s="2" t="s">
        <v>57</v>
      </c>
      <c r="O1391" s="2"/>
      <c r="P1391" s="2"/>
    </row>
    <row r="1392" spans="1:16" ht="16.5" customHeight="1" x14ac:dyDescent="0.25">
      <c r="A1392" s="2" t="s">
        <v>2719</v>
      </c>
      <c r="B1392" s="8" t="s">
        <v>2719</v>
      </c>
      <c r="C1392" s="152" t="s">
        <v>102</v>
      </c>
      <c r="D1392" s="2" t="s">
        <v>278</v>
      </c>
      <c r="E1392" s="152" t="s">
        <v>102</v>
      </c>
      <c r="F1392" s="152" t="s">
        <v>103</v>
      </c>
      <c r="G1392" s="152">
        <v>0</v>
      </c>
      <c r="H1392" s="152"/>
      <c r="I1392" s="153">
        <v>77.834166666666661</v>
      </c>
      <c r="J1392" s="145"/>
      <c r="K1392" s="153" t="s">
        <v>86</v>
      </c>
      <c r="L1392" s="153">
        <v>-22.168354242542009</v>
      </c>
      <c r="M1392" s="153"/>
      <c r="N1392" s="2" t="s">
        <v>57</v>
      </c>
      <c r="O1392" s="2"/>
      <c r="P1392" s="2"/>
    </row>
    <row r="1393" spans="1:16" ht="16.5" customHeight="1" x14ac:dyDescent="0.25">
      <c r="A1393" s="2" t="s">
        <v>2720</v>
      </c>
      <c r="B1393" s="2" t="s">
        <v>2720</v>
      </c>
      <c r="C1393" s="152" t="s">
        <v>102</v>
      </c>
      <c r="D1393" s="2" t="s">
        <v>1874</v>
      </c>
      <c r="E1393" s="152" t="s">
        <v>102</v>
      </c>
      <c r="F1393" s="152" t="s">
        <v>103</v>
      </c>
      <c r="G1393" s="152">
        <v>0</v>
      </c>
      <c r="H1393" s="152"/>
      <c r="I1393" s="153">
        <v>0</v>
      </c>
      <c r="J1393" s="145"/>
      <c r="K1393" s="153" t="s">
        <v>86</v>
      </c>
      <c r="L1393" s="153" t="s">
        <v>86</v>
      </c>
      <c r="M1393" s="153"/>
      <c r="N1393" s="2" t="s">
        <v>57</v>
      </c>
      <c r="O1393" s="2"/>
      <c r="P1393" s="2"/>
    </row>
    <row r="1394" spans="1:16" ht="16.5" customHeight="1" x14ac:dyDescent="0.25">
      <c r="A1394" s="2" t="s">
        <v>2721</v>
      </c>
      <c r="B1394" s="2" t="s">
        <v>2721</v>
      </c>
      <c r="C1394" s="152" t="s">
        <v>102</v>
      </c>
      <c r="D1394" s="2" t="s">
        <v>86</v>
      </c>
      <c r="E1394" s="152" t="s">
        <v>102</v>
      </c>
      <c r="F1394" s="152" t="s">
        <v>103</v>
      </c>
      <c r="G1394" s="152">
        <v>0</v>
      </c>
      <c r="H1394" s="152"/>
      <c r="I1394" s="153">
        <v>0</v>
      </c>
      <c r="J1394" s="145"/>
      <c r="K1394" s="153" t="s">
        <v>86</v>
      </c>
      <c r="L1394" s="153" t="s">
        <v>86</v>
      </c>
      <c r="M1394" s="153"/>
      <c r="N1394" s="2" t="s">
        <v>57</v>
      </c>
      <c r="O1394" s="2"/>
      <c r="P1394" s="2"/>
    </row>
    <row r="1395" spans="1:16" ht="16.5" customHeight="1" x14ac:dyDescent="0.25">
      <c r="A1395" s="2" t="s">
        <v>2722</v>
      </c>
      <c r="B1395" s="8" t="s">
        <v>2722</v>
      </c>
      <c r="C1395" s="152" t="s">
        <v>102</v>
      </c>
      <c r="D1395" s="2" t="s">
        <v>278</v>
      </c>
      <c r="E1395" s="152" t="s">
        <v>102</v>
      </c>
      <c r="F1395" s="152" t="s">
        <v>103</v>
      </c>
      <c r="G1395" s="152">
        <v>0</v>
      </c>
      <c r="H1395" s="152"/>
      <c r="I1395" s="153">
        <v>74.690000000000012</v>
      </c>
      <c r="J1395" s="145"/>
      <c r="K1395" s="153" t="s">
        <v>86</v>
      </c>
      <c r="L1395" s="153" t="s">
        <v>86</v>
      </c>
      <c r="M1395" s="153"/>
      <c r="N1395" s="2" t="s">
        <v>57</v>
      </c>
      <c r="O1395" s="2"/>
      <c r="P1395" s="2"/>
    </row>
    <row r="1396" spans="1:16" ht="16.5" customHeight="1" x14ac:dyDescent="0.25">
      <c r="A1396" s="2" t="s">
        <v>2723</v>
      </c>
      <c r="B1396" s="8" t="s">
        <v>2723</v>
      </c>
      <c r="C1396" s="152" t="s">
        <v>102</v>
      </c>
      <c r="D1396" s="2" t="s">
        <v>1874</v>
      </c>
      <c r="E1396" s="152" t="s">
        <v>102</v>
      </c>
      <c r="F1396" s="152" t="s">
        <v>103</v>
      </c>
      <c r="G1396" s="152">
        <v>0</v>
      </c>
      <c r="H1396" s="152"/>
      <c r="I1396" s="153">
        <v>0</v>
      </c>
      <c r="J1396" s="145"/>
      <c r="K1396" s="153" t="s">
        <v>86</v>
      </c>
      <c r="L1396" s="153" t="s">
        <v>86</v>
      </c>
      <c r="M1396" s="153"/>
      <c r="N1396" s="2" t="s">
        <v>57</v>
      </c>
      <c r="O1396" s="2"/>
      <c r="P1396" s="10"/>
    </row>
    <row r="1397" spans="1:16" ht="16.5" customHeight="1" x14ac:dyDescent="0.25">
      <c r="A1397" s="2" t="s">
        <v>2724</v>
      </c>
      <c r="B1397" s="8" t="s">
        <v>2724</v>
      </c>
      <c r="C1397" s="152" t="s">
        <v>102</v>
      </c>
      <c r="D1397" s="2" t="s">
        <v>278</v>
      </c>
      <c r="E1397" s="152" t="s">
        <v>102</v>
      </c>
      <c r="F1397" s="152" t="s">
        <v>103</v>
      </c>
      <c r="G1397" s="152">
        <v>0</v>
      </c>
      <c r="H1397" s="152"/>
      <c r="I1397" s="153">
        <v>7.392564102564104</v>
      </c>
      <c r="J1397" s="145"/>
      <c r="K1397" s="153" t="s">
        <v>86</v>
      </c>
      <c r="L1397" s="153" t="s">
        <v>86</v>
      </c>
      <c r="M1397" s="153"/>
      <c r="N1397" s="2" t="s">
        <v>57</v>
      </c>
      <c r="O1397" s="2"/>
      <c r="P1397" s="2"/>
    </row>
    <row r="1398" spans="1:16" ht="16.5" customHeight="1" x14ac:dyDescent="0.25">
      <c r="A1398" s="2" t="s">
        <v>2725</v>
      </c>
      <c r="B1398" s="8" t="s">
        <v>2725</v>
      </c>
      <c r="C1398" s="152" t="s">
        <v>102</v>
      </c>
      <c r="D1398" s="2" t="s">
        <v>278</v>
      </c>
      <c r="E1398" s="152" t="s">
        <v>102</v>
      </c>
      <c r="F1398" s="152" t="s">
        <v>103</v>
      </c>
      <c r="G1398" s="152">
        <v>0</v>
      </c>
      <c r="H1398" s="152"/>
      <c r="I1398" s="153">
        <v>28.66628205128205</v>
      </c>
      <c r="J1398" s="145"/>
      <c r="K1398" s="153" t="s">
        <v>86</v>
      </c>
      <c r="L1398" s="153" t="s">
        <v>86</v>
      </c>
      <c r="M1398" s="153"/>
      <c r="N1398" s="2" t="s">
        <v>57</v>
      </c>
      <c r="O1398" s="2"/>
      <c r="P1398" s="10"/>
    </row>
    <row r="1399" spans="1:16" ht="16.5" customHeight="1" x14ac:dyDescent="0.25">
      <c r="A1399" s="2" t="s">
        <v>2726</v>
      </c>
      <c r="B1399" s="8" t="s">
        <v>2726</v>
      </c>
      <c r="C1399" s="152" t="s">
        <v>102</v>
      </c>
      <c r="D1399" s="2" t="s">
        <v>278</v>
      </c>
      <c r="E1399" s="152" t="s">
        <v>102</v>
      </c>
      <c r="F1399" s="152" t="s">
        <v>103</v>
      </c>
      <c r="G1399" s="152">
        <v>0</v>
      </c>
      <c r="H1399" s="152"/>
      <c r="I1399" s="153">
        <v>64.224839743589754</v>
      </c>
      <c r="J1399" s="145"/>
      <c r="K1399" s="153" t="s">
        <v>86</v>
      </c>
      <c r="L1399" s="153" t="s">
        <v>86</v>
      </c>
      <c r="M1399" s="153"/>
      <c r="N1399" s="2" t="s">
        <v>57</v>
      </c>
      <c r="O1399" s="2"/>
      <c r="P1399" s="10"/>
    </row>
    <row r="1400" spans="1:16" ht="16.5" customHeight="1" x14ac:dyDescent="0.25">
      <c r="A1400" s="2" t="s">
        <v>2727</v>
      </c>
      <c r="B1400" s="8" t="s">
        <v>2727</v>
      </c>
      <c r="C1400" s="152" t="s">
        <v>102</v>
      </c>
      <c r="D1400" s="2" t="s">
        <v>278</v>
      </c>
      <c r="E1400" s="152" t="s">
        <v>102</v>
      </c>
      <c r="F1400" s="152" t="s">
        <v>103</v>
      </c>
      <c r="G1400" s="152">
        <v>0</v>
      </c>
      <c r="H1400" s="152"/>
      <c r="I1400" s="153">
        <v>40.527948717948718</v>
      </c>
      <c r="J1400" s="145"/>
      <c r="K1400" s="153" t="s">
        <v>86</v>
      </c>
      <c r="L1400" s="153" t="s">
        <v>86</v>
      </c>
      <c r="M1400" s="153"/>
      <c r="N1400" s="2" t="s">
        <v>57</v>
      </c>
      <c r="O1400" s="2"/>
      <c r="P1400" s="2"/>
    </row>
    <row r="1401" spans="1:16" ht="16.5" customHeight="1" x14ac:dyDescent="0.25">
      <c r="A1401" s="2" t="s">
        <v>2728</v>
      </c>
      <c r="B1401" s="8" t="s">
        <v>2728</v>
      </c>
      <c r="C1401" s="152" t="s">
        <v>102</v>
      </c>
      <c r="D1401" s="2" t="s">
        <v>278</v>
      </c>
      <c r="E1401" s="152" t="s">
        <v>102</v>
      </c>
      <c r="F1401" s="152" t="s">
        <v>103</v>
      </c>
      <c r="G1401" s="152">
        <v>0</v>
      </c>
      <c r="H1401" s="152"/>
      <c r="I1401" s="153">
        <v>60.058589743589764</v>
      </c>
      <c r="J1401" s="145"/>
      <c r="K1401" s="153" t="s">
        <v>86</v>
      </c>
      <c r="L1401" s="153" t="s">
        <v>86</v>
      </c>
      <c r="M1401" s="153"/>
      <c r="N1401" s="2" t="s">
        <v>57</v>
      </c>
      <c r="O1401" s="2"/>
      <c r="P1401" s="2"/>
    </row>
    <row r="1402" spans="1:16" ht="16.5" customHeight="1" x14ac:dyDescent="0.25">
      <c r="A1402" s="2" t="s">
        <v>2729</v>
      </c>
      <c r="B1402" s="8" t="s">
        <v>2729</v>
      </c>
      <c r="C1402" s="152" t="s">
        <v>102</v>
      </c>
      <c r="D1402" s="2" t="s">
        <v>278</v>
      </c>
      <c r="E1402" s="152" t="s">
        <v>102</v>
      </c>
      <c r="F1402" s="152" t="s">
        <v>103</v>
      </c>
      <c r="G1402" s="152">
        <v>0</v>
      </c>
      <c r="H1402" s="152"/>
      <c r="I1402" s="153">
        <v>40.058333333333337</v>
      </c>
      <c r="J1402" s="145"/>
      <c r="K1402" s="153" t="s">
        <v>86</v>
      </c>
      <c r="L1402" s="153" t="s">
        <v>86</v>
      </c>
      <c r="M1402" s="153"/>
      <c r="N1402" s="2" t="s">
        <v>57</v>
      </c>
      <c r="O1402" s="2"/>
      <c r="P1402" s="2"/>
    </row>
    <row r="1403" spans="1:16" ht="16.5" customHeight="1" x14ac:dyDescent="0.25">
      <c r="A1403" s="2" t="s">
        <v>2730</v>
      </c>
      <c r="B1403" s="8" t="s">
        <v>2730</v>
      </c>
      <c r="C1403" s="152" t="s">
        <v>102</v>
      </c>
      <c r="D1403" s="2" t="s">
        <v>163</v>
      </c>
      <c r="E1403" s="152" t="s">
        <v>102</v>
      </c>
      <c r="F1403" s="152" t="s">
        <v>103</v>
      </c>
      <c r="G1403" s="152">
        <v>0</v>
      </c>
      <c r="H1403" s="152"/>
      <c r="I1403" s="153">
        <v>31.911000000000001</v>
      </c>
      <c r="J1403" s="145"/>
      <c r="K1403" s="153" t="s">
        <v>86</v>
      </c>
      <c r="L1403" s="153" t="s">
        <v>86</v>
      </c>
      <c r="M1403" s="153"/>
      <c r="N1403" s="2" t="s">
        <v>57</v>
      </c>
      <c r="O1403" s="2"/>
      <c r="P1403" s="2"/>
    </row>
    <row r="1404" spans="1:16" ht="16.5" customHeight="1" x14ac:dyDescent="0.25">
      <c r="A1404" s="2" t="s">
        <v>2731</v>
      </c>
      <c r="B1404" s="8" t="s">
        <v>2731</v>
      </c>
      <c r="C1404" s="152" t="s">
        <v>102</v>
      </c>
      <c r="D1404" s="2" t="s">
        <v>278</v>
      </c>
      <c r="E1404" s="152" t="s">
        <v>102</v>
      </c>
      <c r="F1404" s="152" t="s">
        <v>103</v>
      </c>
      <c r="G1404" s="152">
        <v>0</v>
      </c>
      <c r="H1404" s="152"/>
      <c r="I1404" s="153">
        <v>13.23032051282051</v>
      </c>
      <c r="J1404" s="145"/>
      <c r="K1404" s="153" t="s">
        <v>86</v>
      </c>
      <c r="L1404" s="153" t="s">
        <v>86</v>
      </c>
      <c r="M1404" s="153"/>
      <c r="N1404" s="2" t="s">
        <v>57</v>
      </c>
      <c r="O1404" s="2"/>
      <c r="P1404" s="2"/>
    </row>
    <row r="1405" spans="1:16" ht="16.5" customHeight="1" x14ac:dyDescent="0.25">
      <c r="A1405" s="2" t="s">
        <v>2732</v>
      </c>
      <c r="B1405" s="8" t="s">
        <v>2732</v>
      </c>
      <c r="C1405" s="152" t="s">
        <v>102</v>
      </c>
      <c r="D1405" s="2" t="s">
        <v>278</v>
      </c>
      <c r="E1405" s="152" t="s">
        <v>102</v>
      </c>
      <c r="F1405" s="152" t="s">
        <v>103</v>
      </c>
      <c r="G1405" s="152">
        <v>0</v>
      </c>
      <c r="H1405" s="152"/>
      <c r="I1405" s="153">
        <v>6.1804487179487184</v>
      </c>
      <c r="J1405" s="145"/>
      <c r="K1405" s="153" t="s">
        <v>86</v>
      </c>
      <c r="L1405" s="153" t="s">
        <v>86</v>
      </c>
      <c r="M1405" s="153"/>
      <c r="N1405" s="2" t="s">
        <v>57</v>
      </c>
      <c r="O1405" s="2"/>
      <c r="P1405" s="2"/>
    </row>
    <row r="1406" spans="1:16" ht="16.5" customHeight="1" x14ac:dyDescent="0.25">
      <c r="A1406" s="2" t="s">
        <v>2733</v>
      </c>
      <c r="B1406" s="8" t="s">
        <v>2733</v>
      </c>
      <c r="C1406" s="152" t="s">
        <v>102</v>
      </c>
      <c r="D1406" s="2" t="s">
        <v>278</v>
      </c>
      <c r="E1406" s="152" t="s">
        <v>102</v>
      </c>
      <c r="F1406" s="152" t="s">
        <v>103</v>
      </c>
      <c r="G1406" s="152">
        <v>0</v>
      </c>
      <c r="H1406" s="152"/>
      <c r="I1406" s="153">
        <v>15.06153846153846</v>
      </c>
      <c r="J1406" s="145"/>
      <c r="K1406" s="153" t="s">
        <v>86</v>
      </c>
      <c r="L1406" s="153" t="s">
        <v>86</v>
      </c>
      <c r="M1406" s="153"/>
      <c r="N1406" s="2" t="s">
        <v>57</v>
      </c>
      <c r="O1406" s="2"/>
      <c r="P1406" s="2"/>
    </row>
    <row r="1407" spans="1:16" ht="16.5" customHeight="1" x14ac:dyDescent="0.25">
      <c r="A1407" s="2" t="s">
        <v>2734</v>
      </c>
      <c r="B1407" s="8" t="s">
        <v>2734</v>
      </c>
      <c r="C1407" s="152" t="s">
        <v>102</v>
      </c>
      <c r="D1407" s="2" t="s">
        <v>163</v>
      </c>
      <c r="E1407" s="152" t="s">
        <v>102</v>
      </c>
      <c r="F1407" s="152" t="s">
        <v>103</v>
      </c>
      <c r="G1407" s="152">
        <v>0</v>
      </c>
      <c r="H1407" s="152"/>
      <c r="I1407" s="153">
        <v>40.700000000000003</v>
      </c>
      <c r="J1407" s="145"/>
      <c r="K1407" s="153" t="s">
        <v>86</v>
      </c>
      <c r="L1407" s="153" t="s">
        <v>86</v>
      </c>
      <c r="M1407" s="153"/>
      <c r="N1407" s="2" t="s">
        <v>57</v>
      </c>
      <c r="O1407" s="2"/>
      <c r="P1407" s="10"/>
    </row>
    <row r="1408" spans="1:16" ht="16.5" customHeight="1" x14ac:dyDescent="0.25">
      <c r="A1408" s="2" t="s">
        <v>2735</v>
      </c>
      <c r="B1408" s="8" t="s">
        <v>2735</v>
      </c>
      <c r="C1408" s="152" t="s">
        <v>102</v>
      </c>
      <c r="D1408" s="2" t="s">
        <v>278</v>
      </c>
      <c r="E1408" s="152" t="s">
        <v>102</v>
      </c>
      <c r="F1408" s="152" t="s">
        <v>103</v>
      </c>
      <c r="G1408" s="152">
        <v>0</v>
      </c>
      <c r="H1408" s="152"/>
      <c r="I1408" s="153">
        <v>31.723012820512821</v>
      </c>
      <c r="J1408" s="145"/>
      <c r="K1408" s="153" t="s">
        <v>86</v>
      </c>
      <c r="L1408" s="153" t="s">
        <v>86</v>
      </c>
      <c r="M1408" s="153"/>
      <c r="N1408" s="2" t="s">
        <v>57</v>
      </c>
      <c r="O1408" s="2"/>
      <c r="P1408" s="2"/>
    </row>
    <row r="1409" spans="1:16" ht="16.5" customHeight="1" x14ac:dyDescent="0.25">
      <c r="A1409" s="2" t="s">
        <v>2736</v>
      </c>
      <c r="B1409" s="8" t="s">
        <v>2736</v>
      </c>
      <c r="C1409" s="152" t="s">
        <v>102</v>
      </c>
      <c r="D1409" s="2" t="s">
        <v>278</v>
      </c>
      <c r="E1409" s="152" t="s">
        <v>102</v>
      </c>
      <c r="F1409" s="152" t="s">
        <v>103</v>
      </c>
      <c r="G1409" s="152">
        <v>0</v>
      </c>
      <c r="H1409" s="152"/>
      <c r="I1409" s="153">
        <v>15.581575342465751</v>
      </c>
      <c r="J1409" s="145"/>
      <c r="K1409" s="153" t="s">
        <v>86</v>
      </c>
      <c r="L1409" s="153" t="s">
        <v>86</v>
      </c>
      <c r="M1409" s="153"/>
      <c r="N1409" s="2" t="s">
        <v>57</v>
      </c>
      <c r="O1409" s="2"/>
      <c r="P1409" s="2"/>
    </row>
    <row r="1410" spans="1:16" ht="16.5" customHeight="1" x14ac:dyDescent="0.25">
      <c r="A1410" s="146" t="s">
        <v>2737</v>
      </c>
      <c r="B1410" s="146" t="s">
        <v>2737</v>
      </c>
      <c r="C1410" s="146" t="s">
        <v>102</v>
      </c>
      <c r="D1410" s="2" t="s">
        <v>54</v>
      </c>
      <c r="E1410" s="152" t="s">
        <v>102</v>
      </c>
      <c r="F1410" s="152" t="s">
        <v>103</v>
      </c>
      <c r="G1410" s="152">
        <v>0</v>
      </c>
      <c r="H1410" s="152"/>
      <c r="I1410" s="153" t="s">
        <v>86</v>
      </c>
      <c r="J1410" s="145"/>
      <c r="K1410" s="153" t="s">
        <v>86</v>
      </c>
      <c r="L1410" s="153" t="s">
        <v>86</v>
      </c>
      <c r="M1410" s="153"/>
      <c r="N1410" s="2" t="s">
        <v>57</v>
      </c>
      <c r="O1410" s="2"/>
      <c r="P1410" s="2"/>
    </row>
    <row r="1411" spans="1:16" ht="16.5" customHeight="1" x14ac:dyDescent="0.25">
      <c r="A1411" s="146" t="s">
        <v>2738</v>
      </c>
      <c r="B1411" s="146" t="s">
        <v>2738</v>
      </c>
      <c r="C1411" s="146" t="s">
        <v>102</v>
      </c>
      <c r="D1411" s="2" t="s">
        <v>82</v>
      </c>
      <c r="E1411" s="152" t="s">
        <v>102</v>
      </c>
      <c r="F1411" s="152" t="s">
        <v>103</v>
      </c>
      <c r="G1411" s="152">
        <v>0</v>
      </c>
      <c r="H1411" s="152"/>
      <c r="I1411" s="153" t="s">
        <v>86</v>
      </c>
      <c r="J1411" s="145"/>
      <c r="K1411" s="153" t="s">
        <v>86</v>
      </c>
      <c r="L1411" s="153" t="s">
        <v>86</v>
      </c>
      <c r="M1411" s="153"/>
      <c r="N1411" s="2" t="s">
        <v>57</v>
      </c>
      <c r="O1411" s="2"/>
      <c r="P1411" s="2"/>
    </row>
    <row r="1412" spans="1:16" ht="16.5" customHeight="1" x14ac:dyDescent="0.25">
      <c r="A1412" s="2" t="s">
        <v>2739</v>
      </c>
      <c r="B1412" s="8" t="s">
        <v>2739</v>
      </c>
      <c r="C1412" s="152" t="s">
        <v>102</v>
      </c>
      <c r="D1412" s="2" t="s">
        <v>278</v>
      </c>
      <c r="E1412" s="152" t="s">
        <v>102</v>
      </c>
      <c r="F1412" s="152" t="s">
        <v>103</v>
      </c>
      <c r="G1412" s="152">
        <v>0</v>
      </c>
      <c r="H1412" s="152"/>
      <c r="I1412" s="153">
        <v>41.421346153846159</v>
      </c>
      <c r="J1412" s="145"/>
      <c r="K1412" s="153" t="s">
        <v>86</v>
      </c>
      <c r="L1412" s="153" t="s">
        <v>86</v>
      </c>
      <c r="M1412" s="153"/>
      <c r="N1412" s="2" t="s">
        <v>57</v>
      </c>
      <c r="O1412" s="2"/>
      <c r="P1412" s="10"/>
    </row>
    <row r="1413" spans="1:16" ht="16.5" customHeight="1" x14ac:dyDescent="0.25">
      <c r="A1413" s="2" t="s">
        <v>2740</v>
      </c>
      <c r="B1413" s="2" t="s">
        <v>2740</v>
      </c>
      <c r="C1413" s="152" t="s">
        <v>102</v>
      </c>
      <c r="D1413" s="2" t="s">
        <v>278</v>
      </c>
      <c r="E1413" s="152" t="s">
        <v>102</v>
      </c>
      <c r="F1413" s="152" t="s">
        <v>103</v>
      </c>
      <c r="G1413" s="152">
        <v>0</v>
      </c>
      <c r="H1413" s="152"/>
      <c r="I1413" s="153">
        <v>0</v>
      </c>
      <c r="J1413" s="145"/>
      <c r="K1413" s="153" t="s">
        <v>86</v>
      </c>
      <c r="L1413" s="153" t="s">
        <v>86</v>
      </c>
      <c r="M1413" s="153"/>
      <c r="N1413" s="2" t="s">
        <v>57</v>
      </c>
      <c r="O1413" s="2"/>
      <c r="P1413" s="2"/>
    </row>
    <row r="1414" spans="1:16" ht="16.5" customHeight="1" x14ac:dyDescent="0.25">
      <c r="A1414" s="2" t="s">
        <v>2741</v>
      </c>
      <c r="B1414" s="8" t="s">
        <v>2742</v>
      </c>
      <c r="C1414" s="146">
        <v>45118</v>
      </c>
      <c r="D1414" s="2" t="s">
        <v>2743</v>
      </c>
      <c r="E1414" s="152" t="s">
        <v>102</v>
      </c>
      <c r="F1414" s="152" t="s">
        <v>103</v>
      </c>
      <c r="G1414" s="152">
        <v>0</v>
      </c>
      <c r="H1414" s="152">
        <v>1061</v>
      </c>
      <c r="I1414" s="153">
        <v>0.41799999999999998</v>
      </c>
      <c r="J1414" s="145"/>
      <c r="K1414" s="153" t="s">
        <v>86</v>
      </c>
      <c r="L1414" s="153" t="s">
        <v>86</v>
      </c>
      <c r="M1414" s="153"/>
      <c r="N1414" s="2" t="s">
        <v>57</v>
      </c>
      <c r="O1414" s="2"/>
      <c r="P1414" s="2"/>
    </row>
    <row r="1415" spans="1:16" ht="16.5" customHeight="1" x14ac:dyDescent="0.25">
      <c r="A1415" s="2" t="s">
        <v>2744</v>
      </c>
      <c r="B1415" s="8" t="s">
        <v>2745</v>
      </c>
      <c r="C1415" s="146" t="s">
        <v>1500</v>
      </c>
      <c r="D1415" s="2" t="s">
        <v>1501</v>
      </c>
      <c r="E1415" s="152" t="s">
        <v>102</v>
      </c>
      <c r="F1415" s="152" t="s">
        <v>103</v>
      </c>
      <c r="G1415" s="152">
        <v>1</v>
      </c>
      <c r="H1415" s="152">
        <v>802</v>
      </c>
      <c r="I1415" s="153">
        <v>3.9159999999999999</v>
      </c>
      <c r="J1415" s="145"/>
      <c r="K1415" s="153" t="s">
        <v>86</v>
      </c>
      <c r="L1415" s="153" t="s">
        <v>86</v>
      </c>
      <c r="M1415" s="153"/>
      <c r="N1415" s="2" t="s">
        <v>57</v>
      </c>
      <c r="O1415" s="2"/>
      <c r="P1415" s="2"/>
    </row>
    <row r="1416" spans="1:16" ht="16.5" customHeight="1" x14ac:dyDescent="0.25">
      <c r="A1416" s="2" t="s">
        <v>2746</v>
      </c>
      <c r="B1416" s="8" t="s">
        <v>2747</v>
      </c>
      <c r="C1416" s="146">
        <v>44931</v>
      </c>
      <c r="D1416" s="2" t="s">
        <v>2251</v>
      </c>
      <c r="E1416" s="152" t="s">
        <v>102</v>
      </c>
      <c r="F1416" s="152" t="s">
        <v>103</v>
      </c>
      <c r="G1416" s="152">
        <v>0</v>
      </c>
      <c r="H1416" s="152">
        <v>782</v>
      </c>
      <c r="I1416" s="153">
        <v>11.451000000000001</v>
      </c>
      <c r="J1416" s="145"/>
      <c r="K1416" s="153" t="s">
        <v>86</v>
      </c>
      <c r="L1416" s="153" t="s">
        <v>86</v>
      </c>
      <c r="M1416" s="153"/>
      <c r="N1416" s="2" t="s">
        <v>57</v>
      </c>
      <c r="O1416" s="2"/>
      <c r="P1416" s="2"/>
    </row>
    <row r="1417" spans="1:16" ht="16.5" customHeight="1" x14ac:dyDescent="0.25">
      <c r="A1417" s="2" t="s">
        <v>2748</v>
      </c>
      <c r="B1417" s="8" t="s">
        <v>2749</v>
      </c>
      <c r="C1417" s="146">
        <v>44931</v>
      </c>
      <c r="D1417" s="2" t="s">
        <v>2251</v>
      </c>
      <c r="E1417" s="152" t="s">
        <v>102</v>
      </c>
      <c r="F1417" s="152" t="s">
        <v>103</v>
      </c>
      <c r="G1417" s="152">
        <v>0</v>
      </c>
      <c r="H1417" s="152">
        <v>1070</v>
      </c>
      <c r="I1417" s="153">
        <v>2.2549999999999999</v>
      </c>
      <c r="J1417" s="145"/>
      <c r="K1417" s="153" t="s">
        <v>86</v>
      </c>
      <c r="L1417" s="153" t="s">
        <v>86</v>
      </c>
      <c r="M1417" s="153"/>
      <c r="N1417" s="2" t="s">
        <v>57</v>
      </c>
      <c r="O1417" s="2"/>
      <c r="P1417" s="2"/>
    </row>
    <row r="1418" spans="1:16" ht="16.5" customHeight="1" x14ac:dyDescent="0.25">
      <c r="A1418" s="2" t="s">
        <v>2750</v>
      </c>
      <c r="B1418" s="8" t="s">
        <v>2751</v>
      </c>
      <c r="C1418" s="146">
        <v>44931</v>
      </c>
      <c r="D1418" s="2" t="s">
        <v>2251</v>
      </c>
      <c r="E1418" s="152" t="s">
        <v>102</v>
      </c>
      <c r="F1418" s="152" t="s">
        <v>103</v>
      </c>
      <c r="G1418" s="152">
        <v>0</v>
      </c>
      <c r="H1418" s="152">
        <v>1046</v>
      </c>
      <c r="I1418" s="153">
        <v>5.61</v>
      </c>
      <c r="J1418" s="145"/>
      <c r="K1418" s="153" t="s">
        <v>86</v>
      </c>
      <c r="L1418" s="153" t="s">
        <v>86</v>
      </c>
      <c r="M1418" s="153"/>
      <c r="N1418" s="2" t="s">
        <v>57</v>
      </c>
      <c r="O1418" s="2"/>
      <c r="P1418" s="2"/>
    </row>
    <row r="1419" spans="1:16" ht="16.5" customHeight="1" x14ac:dyDescent="0.25">
      <c r="A1419" s="2" t="s">
        <v>2752</v>
      </c>
      <c r="B1419" s="8" t="s">
        <v>2753</v>
      </c>
      <c r="C1419" s="146">
        <v>44931</v>
      </c>
      <c r="D1419" s="2" t="s">
        <v>2251</v>
      </c>
      <c r="E1419" s="152" t="s">
        <v>102</v>
      </c>
      <c r="F1419" s="152" t="s">
        <v>103</v>
      </c>
      <c r="G1419" s="152">
        <v>0</v>
      </c>
      <c r="H1419" s="152">
        <v>1033</v>
      </c>
      <c r="I1419" s="153">
        <v>3.9929999999999999</v>
      </c>
      <c r="J1419" s="145"/>
      <c r="K1419" s="153" t="s">
        <v>86</v>
      </c>
      <c r="L1419" s="153" t="s">
        <v>86</v>
      </c>
      <c r="M1419" s="153"/>
      <c r="N1419" s="2" t="s">
        <v>57</v>
      </c>
      <c r="O1419" s="2"/>
      <c r="P1419" s="2"/>
    </row>
    <row r="1420" spans="1:16" ht="16.5" customHeight="1" x14ac:dyDescent="0.25">
      <c r="A1420" s="2" t="s">
        <v>2754</v>
      </c>
      <c r="B1420" s="8" t="s">
        <v>2755</v>
      </c>
      <c r="C1420" s="146">
        <v>44931</v>
      </c>
      <c r="D1420" s="2" t="s">
        <v>2251</v>
      </c>
      <c r="E1420" s="152" t="s">
        <v>102</v>
      </c>
      <c r="F1420" s="152" t="s">
        <v>103</v>
      </c>
      <c r="G1420" s="152">
        <v>0</v>
      </c>
      <c r="H1420" s="152">
        <v>1045</v>
      </c>
      <c r="I1420" s="153">
        <v>6.38</v>
      </c>
      <c r="J1420" s="145"/>
      <c r="K1420" s="153" t="s">
        <v>86</v>
      </c>
      <c r="L1420" s="153" t="s">
        <v>86</v>
      </c>
      <c r="M1420" s="153"/>
      <c r="N1420" s="2" t="s">
        <v>57</v>
      </c>
      <c r="O1420" s="2"/>
      <c r="P1420" s="2"/>
    </row>
    <row r="1421" spans="1:16" ht="16.5" customHeight="1" x14ac:dyDescent="0.25">
      <c r="A1421" s="2" t="s">
        <v>2756</v>
      </c>
      <c r="B1421" s="8" t="s">
        <v>2757</v>
      </c>
      <c r="C1421" s="146">
        <v>44931</v>
      </c>
      <c r="D1421" s="2" t="s">
        <v>2251</v>
      </c>
      <c r="E1421" s="152" t="s">
        <v>102</v>
      </c>
      <c r="F1421" s="152" t="s">
        <v>103</v>
      </c>
      <c r="G1421" s="152">
        <v>0</v>
      </c>
      <c r="H1421" s="152">
        <v>1040</v>
      </c>
      <c r="I1421" s="153">
        <v>7.9860000000000007</v>
      </c>
      <c r="J1421" s="145"/>
      <c r="K1421" s="153" t="s">
        <v>86</v>
      </c>
      <c r="L1421" s="153" t="s">
        <v>86</v>
      </c>
      <c r="M1421" s="153"/>
      <c r="N1421" s="2" t="s">
        <v>57</v>
      </c>
      <c r="O1421" s="2"/>
      <c r="P1421" s="2"/>
    </row>
    <row r="1422" spans="1:16" ht="16.5" customHeight="1" x14ac:dyDescent="0.25">
      <c r="A1422" s="2" t="s">
        <v>2758</v>
      </c>
      <c r="B1422" s="8" t="s">
        <v>2759</v>
      </c>
      <c r="C1422" s="146" t="s">
        <v>714</v>
      </c>
      <c r="D1422" s="2" t="s">
        <v>1493</v>
      </c>
      <c r="E1422" s="152" t="s">
        <v>102</v>
      </c>
      <c r="F1422" s="152" t="s">
        <v>103</v>
      </c>
      <c r="G1422" s="152">
        <v>5</v>
      </c>
      <c r="H1422" s="152">
        <v>208</v>
      </c>
      <c r="I1422" s="153">
        <v>39.512000000000008</v>
      </c>
      <c r="J1422" s="145"/>
      <c r="K1422" s="153" t="s">
        <v>86</v>
      </c>
      <c r="L1422" s="153" t="s">
        <v>86</v>
      </c>
      <c r="M1422" s="153"/>
      <c r="N1422" s="2" t="s">
        <v>57</v>
      </c>
      <c r="O1422" s="2"/>
      <c r="P1422" s="2"/>
    </row>
    <row r="1423" spans="1:16" ht="16.5" customHeight="1" x14ac:dyDescent="0.25">
      <c r="A1423" s="2" t="s">
        <v>2760</v>
      </c>
      <c r="B1423" s="8" t="s">
        <v>2761</v>
      </c>
      <c r="C1423" s="146" t="s">
        <v>714</v>
      </c>
      <c r="D1423" s="2" t="s">
        <v>110</v>
      </c>
      <c r="E1423" s="152" t="s">
        <v>102</v>
      </c>
      <c r="F1423" s="152" t="s">
        <v>103</v>
      </c>
      <c r="G1423" s="152">
        <v>8</v>
      </c>
      <c r="H1423" s="152">
        <v>350</v>
      </c>
      <c r="I1423" s="153">
        <v>5.5110000000000001</v>
      </c>
      <c r="J1423" s="145"/>
      <c r="K1423" s="153" t="s">
        <v>86</v>
      </c>
      <c r="L1423" s="153" t="s">
        <v>86</v>
      </c>
      <c r="M1423" s="153"/>
      <c r="N1423" s="2" t="s">
        <v>57</v>
      </c>
      <c r="O1423" s="2"/>
      <c r="P1423" s="2"/>
    </row>
    <row r="1424" spans="1:16" ht="16.5" customHeight="1" x14ac:dyDescent="0.25">
      <c r="A1424" s="2" t="s">
        <v>2762</v>
      </c>
      <c r="B1424" s="8" t="s">
        <v>2763</v>
      </c>
      <c r="C1424" s="146">
        <v>45233</v>
      </c>
      <c r="D1424" s="2" t="s">
        <v>472</v>
      </c>
      <c r="E1424" s="152" t="s">
        <v>102</v>
      </c>
      <c r="F1424" s="152" t="s">
        <v>103</v>
      </c>
      <c r="G1424" s="152">
        <v>0</v>
      </c>
      <c r="H1424" s="152">
        <v>1122</v>
      </c>
      <c r="I1424" s="153">
        <v>0.63800000000000001</v>
      </c>
      <c r="J1424" s="145"/>
      <c r="K1424" s="153" t="s">
        <v>86</v>
      </c>
      <c r="L1424" s="153" t="s">
        <v>86</v>
      </c>
      <c r="M1424" s="153"/>
      <c r="N1424" s="2" t="s">
        <v>57</v>
      </c>
      <c r="O1424" s="2"/>
      <c r="P1424" s="2"/>
    </row>
    <row r="1425" spans="1:16" ht="16.5" customHeight="1" x14ac:dyDescent="0.25">
      <c r="A1425" s="2" t="s">
        <v>2764</v>
      </c>
      <c r="B1425" s="8" t="s">
        <v>2765</v>
      </c>
      <c r="C1425" s="146">
        <v>45233</v>
      </c>
      <c r="D1425" s="2" t="s">
        <v>472</v>
      </c>
      <c r="E1425" s="152" t="s">
        <v>102</v>
      </c>
      <c r="F1425" s="152" t="s">
        <v>103</v>
      </c>
      <c r="G1425" s="152">
        <v>1</v>
      </c>
      <c r="H1425" s="152">
        <v>928</v>
      </c>
      <c r="I1425" s="153">
        <v>0.89100000000000013</v>
      </c>
      <c r="J1425" s="145"/>
      <c r="K1425" s="153" t="s">
        <v>86</v>
      </c>
      <c r="L1425" s="153" t="s">
        <v>86</v>
      </c>
      <c r="M1425" s="153"/>
      <c r="N1425" s="2" t="s">
        <v>57</v>
      </c>
      <c r="O1425" s="2"/>
      <c r="P1425" s="2"/>
    </row>
    <row r="1426" spans="1:16" ht="16.5" customHeight="1" x14ac:dyDescent="0.25">
      <c r="A1426" s="2" t="s">
        <v>2766</v>
      </c>
      <c r="B1426" s="8" t="s">
        <v>2767</v>
      </c>
      <c r="C1426" s="146" t="s">
        <v>102</v>
      </c>
      <c r="D1426" s="2" t="s">
        <v>132</v>
      </c>
      <c r="E1426" s="152" t="s">
        <v>102</v>
      </c>
      <c r="F1426" s="152" t="s">
        <v>103</v>
      </c>
      <c r="G1426" s="152">
        <v>7</v>
      </c>
      <c r="H1426" s="152">
        <v>202</v>
      </c>
      <c r="I1426" s="153">
        <v>27.367999999999999</v>
      </c>
      <c r="J1426" s="145"/>
      <c r="K1426" s="153" t="s">
        <v>86</v>
      </c>
      <c r="L1426" s="153" t="s">
        <v>86</v>
      </c>
      <c r="M1426" s="153"/>
      <c r="N1426" s="2" t="s">
        <v>57</v>
      </c>
      <c r="O1426" s="2"/>
      <c r="P1426" s="2"/>
    </row>
    <row r="1427" spans="1:16" ht="16.5" customHeight="1" x14ac:dyDescent="0.25">
      <c r="A1427" s="2" t="s">
        <v>2768</v>
      </c>
      <c r="B1427" s="8" t="s">
        <v>2769</v>
      </c>
      <c r="C1427" s="146">
        <v>45233</v>
      </c>
      <c r="D1427" s="2" t="s">
        <v>132</v>
      </c>
      <c r="E1427" s="152" t="s">
        <v>102</v>
      </c>
      <c r="F1427" s="152" t="s">
        <v>103</v>
      </c>
      <c r="G1427" s="152">
        <v>0</v>
      </c>
      <c r="H1427" s="152"/>
      <c r="I1427" s="153">
        <v>9.5920000000000023</v>
      </c>
      <c r="J1427" s="145"/>
      <c r="K1427" s="153" t="s">
        <v>86</v>
      </c>
      <c r="L1427" s="153" t="s">
        <v>86</v>
      </c>
      <c r="M1427" s="153"/>
      <c r="N1427" s="2" t="s">
        <v>57</v>
      </c>
      <c r="O1427" s="2"/>
      <c r="P1427" s="2"/>
    </row>
    <row r="1428" spans="1:16" ht="16.5" customHeight="1" x14ac:dyDescent="0.25">
      <c r="A1428" s="2" t="s">
        <v>2770</v>
      </c>
      <c r="B1428" s="8" t="s">
        <v>2771</v>
      </c>
      <c r="C1428" s="146">
        <v>44931</v>
      </c>
      <c r="D1428" s="2" t="s">
        <v>1520</v>
      </c>
      <c r="E1428" s="152" t="s">
        <v>102</v>
      </c>
      <c r="F1428" s="152" t="s">
        <v>103</v>
      </c>
      <c r="G1428" s="152">
        <v>0</v>
      </c>
      <c r="H1428" s="152"/>
      <c r="I1428" s="153">
        <v>4.6859999999999999</v>
      </c>
      <c r="J1428" s="145"/>
      <c r="K1428" s="153" t="s">
        <v>86</v>
      </c>
      <c r="L1428" s="153" t="s">
        <v>86</v>
      </c>
      <c r="M1428" s="153"/>
      <c r="N1428" s="2" t="s">
        <v>57</v>
      </c>
      <c r="O1428" s="2"/>
      <c r="P1428" s="2"/>
    </row>
    <row r="1429" spans="1:16" ht="16.5" customHeight="1" x14ac:dyDescent="0.25">
      <c r="A1429" s="2" t="s">
        <v>2772</v>
      </c>
      <c r="B1429" s="8" t="s">
        <v>2773</v>
      </c>
      <c r="C1429" s="146">
        <v>44931</v>
      </c>
      <c r="D1429" s="2" t="s">
        <v>1520</v>
      </c>
      <c r="E1429" s="152" t="s">
        <v>102</v>
      </c>
      <c r="F1429" s="152" t="s">
        <v>103</v>
      </c>
      <c r="G1429" s="152">
        <v>0</v>
      </c>
      <c r="H1429" s="152"/>
      <c r="I1429" s="153">
        <v>5.3900000000000006</v>
      </c>
      <c r="J1429" s="145"/>
      <c r="K1429" s="153" t="s">
        <v>86</v>
      </c>
      <c r="L1429" s="153" t="s">
        <v>86</v>
      </c>
      <c r="M1429" s="153"/>
      <c r="N1429" s="2" t="s">
        <v>57</v>
      </c>
      <c r="O1429" s="2"/>
      <c r="P1429" s="2"/>
    </row>
    <row r="1430" spans="1:16" ht="16.5" customHeight="1" x14ac:dyDescent="0.25">
      <c r="A1430" s="2" t="s">
        <v>2774</v>
      </c>
      <c r="B1430" s="8" t="s">
        <v>2775</v>
      </c>
      <c r="C1430" s="146">
        <v>44931</v>
      </c>
      <c r="D1430" s="2" t="s">
        <v>1520</v>
      </c>
      <c r="E1430" s="152" t="s">
        <v>102</v>
      </c>
      <c r="F1430" s="152" t="s">
        <v>103</v>
      </c>
      <c r="G1430" s="152">
        <v>0</v>
      </c>
      <c r="H1430" s="152"/>
      <c r="I1430" s="153">
        <v>3.3330000000000002</v>
      </c>
      <c r="J1430" s="145"/>
      <c r="K1430" s="153" t="s">
        <v>86</v>
      </c>
      <c r="L1430" s="153" t="s">
        <v>86</v>
      </c>
      <c r="M1430" s="153"/>
      <c r="N1430" s="2" t="s">
        <v>57</v>
      </c>
      <c r="O1430" s="2"/>
      <c r="P1430" s="2"/>
    </row>
    <row r="1431" spans="1:16" ht="16.5" customHeight="1" x14ac:dyDescent="0.25">
      <c r="A1431" s="2" t="s">
        <v>2776</v>
      </c>
      <c r="B1431" s="8" t="s">
        <v>2777</v>
      </c>
      <c r="C1431" s="146">
        <v>44931</v>
      </c>
      <c r="D1431" s="2" t="s">
        <v>1520</v>
      </c>
      <c r="E1431" s="152" t="s">
        <v>102</v>
      </c>
      <c r="F1431" s="152" t="s">
        <v>103</v>
      </c>
      <c r="G1431" s="152">
        <v>0</v>
      </c>
      <c r="H1431" s="152"/>
      <c r="I1431" s="153">
        <v>5.2030000000000012</v>
      </c>
      <c r="J1431" s="145"/>
      <c r="K1431" s="153" t="s">
        <v>86</v>
      </c>
      <c r="L1431" s="153" t="s">
        <v>86</v>
      </c>
      <c r="M1431" s="153"/>
      <c r="N1431" s="2" t="s">
        <v>57</v>
      </c>
      <c r="O1431" s="2"/>
      <c r="P1431" s="2"/>
    </row>
    <row r="1432" spans="1:16" ht="16.5" customHeight="1" x14ac:dyDescent="0.25">
      <c r="A1432" s="2" t="s">
        <v>2778</v>
      </c>
      <c r="B1432" s="8" t="s">
        <v>2779</v>
      </c>
      <c r="C1432" s="146">
        <v>44931</v>
      </c>
      <c r="D1432" s="2" t="s">
        <v>1520</v>
      </c>
      <c r="E1432" s="152" t="s">
        <v>102</v>
      </c>
      <c r="F1432" s="152" t="s">
        <v>103</v>
      </c>
      <c r="G1432" s="152">
        <v>0</v>
      </c>
      <c r="H1432" s="152">
        <v>1041</v>
      </c>
      <c r="I1432" s="153">
        <v>5.1150000000000011</v>
      </c>
      <c r="J1432" s="145"/>
      <c r="K1432" s="153" t="s">
        <v>86</v>
      </c>
      <c r="L1432" s="153" t="s">
        <v>86</v>
      </c>
      <c r="M1432" s="153"/>
      <c r="N1432" s="2" t="s">
        <v>57</v>
      </c>
      <c r="O1432" s="2"/>
      <c r="P1432" s="2"/>
    </row>
    <row r="1433" spans="1:16" ht="16.5" customHeight="1" x14ac:dyDescent="0.25">
      <c r="A1433" s="2" t="s">
        <v>2780</v>
      </c>
      <c r="B1433" s="8" t="s">
        <v>2781</v>
      </c>
      <c r="C1433" s="146">
        <v>45233</v>
      </c>
      <c r="D1433" s="2" t="s">
        <v>148</v>
      </c>
      <c r="E1433" s="152" t="s">
        <v>102</v>
      </c>
      <c r="F1433" s="152" t="s">
        <v>103</v>
      </c>
      <c r="G1433" s="152">
        <v>1</v>
      </c>
      <c r="H1433" s="152">
        <v>952</v>
      </c>
      <c r="I1433" s="153">
        <v>2.0019999999999998</v>
      </c>
      <c r="J1433" s="145"/>
      <c r="K1433" s="153" t="s">
        <v>86</v>
      </c>
      <c r="L1433" s="153" t="s">
        <v>86</v>
      </c>
      <c r="M1433" s="153"/>
      <c r="N1433" s="2" t="s">
        <v>57</v>
      </c>
      <c r="O1433" s="2"/>
      <c r="P1433" s="2"/>
    </row>
    <row r="1434" spans="1:16" ht="16.5" customHeight="1" x14ac:dyDescent="0.25">
      <c r="A1434" s="2" t="s">
        <v>2782</v>
      </c>
      <c r="B1434" s="8" t="s">
        <v>2783</v>
      </c>
      <c r="C1434" s="146">
        <v>45233</v>
      </c>
      <c r="D1434" s="2" t="s">
        <v>1593</v>
      </c>
      <c r="E1434" s="152" t="s">
        <v>102</v>
      </c>
      <c r="F1434" s="152" t="s">
        <v>103</v>
      </c>
      <c r="G1434" s="152">
        <v>0</v>
      </c>
      <c r="H1434" s="152">
        <v>1125</v>
      </c>
      <c r="I1434" s="153">
        <v>9.9000000000000005E-2</v>
      </c>
      <c r="J1434" s="145"/>
      <c r="K1434" s="153" t="s">
        <v>86</v>
      </c>
      <c r="L1434" s="153" t="s">
        <v>86</v>
      </c>
      <c r="M1434" s="153"/>
      <c r="N1434" s="2" t="s">
        <v>57</v>
      </c>
      <c r="O1434" s="2"/>
      <c r="P1434" s="2"/>
    </row>
    <row r="1435" spans="1:16" ht="16.5" customHeight="1" x14ac:dyDescent="0.25">
      <c r="A1435" s="2" t="s">
        <v>2784</v>
      </c>
      <c r="B1435" s="8" t="s">
        <v>2785</v>
      </c>
      <c r="C1435" s="146">
        <v>45269</v>
      </c>
      <c r="D1435" s="2" t="s">
        <v>163</v>
      </c>
      <c r="E1435" s="152" t="s">
        <v>102</v>
      </c>
      <c r="F1435" s="152" t="s">
        <v>103</v>
      </c>
      <c r="G1435" s="152">
        <v>0</v>
      </c>
      <c r="H1435" s="152">
        <v>324</v>
      </c>
      <c r="I1435" s="153">
        <v>179.71799999999999</v>
      </c>
      <c r="J1435" s="145"/>
      <c r="K1435" s="153" t="s">
        <v>86</v>
      </c>
      <c r="L1435" s="153" t="s">
        <v>86</v>
      </c>
      <c r="M1435" s="153"/>
      <c r="N1435" s="2" t="s">
        <v>57</v>
      </c>
      <c r="O1435" s="2"/>
      <c r="P1435" s="2"/>
    </row>
    <row r="1436" spans="1:16" ht="16.5" customHeight="1" x14ac:dyDescent="0.25">
      <c r="A1436" s="2" t="s">
        <v>2786</v>
      </c>
      <c r="B1436" s="8" t="s">
        <v>2787</v>
      </c>
      <c r="C1436" s="146">
        <v>45269</v>
      </c>
      <c r="D1436" s="2" t="s">
        <v>163</v>
      </c>
      <c r="E1436" s="152" t="s">
        <v>102</v>
      </c>
      <c r="F1436" s="152" t="s">
        <v>103</v>
      </c>
      <c r="G1436" s="152">
        <v>4</v>
      </c>
      <c r="H1436" s="152">
        <v>79</v>
      </c>
      <c r="I1436" s="153">
        <v>74.800000000000011</v>
      </c>
      <c r="J1436" s="145"/>
      <c r="K1436" s="153" t="s">
        <v>86</v>
      </c>
      <c r="L1436" s="153">
        <v>-48.34421917576136</v>
      </c>
      <c r="M1436" s="153"/>
      <c r="N1436" s="2" t="s">
        <v>57</v>
      </c>
      <c r="O1436" s="2"/>
      <c r="P1436" s="2"/>
    </row>
    <row r="1437" spans="1:16" ht="16.5" customHeight="1" x14ac:dyDescent="0.25">
      <c r="A1437" s="2" t="s">
        <v>2788</v>
      </c>
      <c r="B1437" s="8" t="s">
        <v>2789</v>
      </c>
      <c r="C1437" s="146" t="s">
        <v>718</v>
      </c>
      <c r="D1437" s="2" t="s">
        <v>1624</v>
      </c>
      <c r="E1437" s="152" t="s">
        <v>102</v>
      </c>
      <c r="F1437" s="152" t="s">
        <v>103</v>
      </c>
      <c r="G1437" s="152">
        <v>0</v>
      </c>
      <c r="H1437" s="152">
        <v>863</v>
      </c>
      <c r="I1437" s="153">
        <v>64.88900000000001</v>
      </c>
      <c r="J1437" s="145"/>
      <c r="K1437" s="153" t="s">
        <v>86</v>
      </c>
      <c r="L1437" s="153" t="s">
        <v>86</v>
      </c>
      <c r="M1437" s="153"/>
      <c r="N1437" s="2" t="s">
        <v>57</v>
      </c>
      <c r="O1437" s="2"/>
      <c r="P1437" s="2"/>
    </row>
    <row r="1438" spans="1:16" ht="16.5" customHeight="1" x14ac:dyDescent="0.25">
      <c r="A1438" s="2" t="s">
        <v>2790</v>
      </c>
      <c r="B1438" s="8" t="s">
        <v>2791</v>
      </c>
      <c r="C1438" s="146">
        <v>45233</v>
      </c>
      <c r="D1438" s="2" t="s">
        <v>186</v>
      </c>
      <c r="E1438" s="152" t="s">
        <v>102</v>
      </c>
      <c r="F1438" s="152" t="s">
        <v>103</v>
      </c>
      <c r="G1438" s="152">
        <v>0</v>
      </c>
      <c r="H1438" s="152">
        <v>1044</v>
      </c>
      <c r="I1438" s="153">
        <v>0.88000000000000012</v>
      </c>
      <c r="J1438" s="145"/>
      <c r="K1438" s="153" t="s">
        <v>86</v>
      </c>
      <c r="L1438" s="153" t="s">
        <v>86</v>
      </c>
      <c r="M1438" s="153"/>
      <c r="N1438" s="2" t="s">
        <v>57</v>
      </c>
      <c r="O1438" s="2"/>
      <c r="P1438" s="2"/>
    </row>
    <row r="1439" spans="1:16" ht="16.5" customHeight="1" x14ac:dyDescent="0.25">
      <c r="A1439" s="2" t="s">
        <v>2792</v>
      </c>
      <c r="B1439" s="8" t="s">
        <v>2793</v>
      </c>
      <c r="C1439" s="146">
        <v>45233</v>
      </c>
      <c r="D1439" s="2" t="s">
        <v>1635</v>
      </c>
      <c r="E1439" s="152" t="s">
        <v>102</v>
      </c>
      <c r="F1439" s="152" t="s">
        <v>103</v>
      </c>
      <c r="G1439" s="152">
        <v>0</v>
      </c>
      <c r="H1439" s="152"/>
      <c r="I1439" s="153">
        <v>1.6060000000000001</v>
      </c>
      <c r="J1439" s="145"/>
      <c r="K1439" s="153" t="s">
        <v>86</v>
      </c>
      <c r="L1439" s="153" t="s">
        <v>86</v>
      </c>
      <c r="M1439" s="153"/>
      <c r="N1439" s="2" t="s">
        <v>57</v>
      </c>
      <c r="O1439" s="2"/>
      <c r="P1439" s="2"/>
    </row>
    <row r="1440" spans="1:16" ht="16.5" customHeight="1" x14ac:dyDescent="0.25">
      <c r="A1440" s="2" t="s">
        <v>2794</v>
      </c>
      <c r="B1440" s="8" t="s">
        <v>2795</v>
      </c>
      <c r="C1440" s="146" t="s">
        <v>1638</v>
      </c>
      <c r="D1440" s="2" t="s">
        <v>1638</v>
      </c>
      <c r="E1440" s="152" t="s">
        <v>102</v>
      </c>
      <c r="F1440" s="152" t="s">
        <v>103</v>
      </c>
      <c r="G1440" s="152">
        <v>4</v>
      </c>
      <c r="H1440" s="152">
        <v>723</v>
      </c>
      <c r="I1440" s="153">
        <v>0.35199999999999998</v>
      </c>
      <c r="J1440" s="145"/>
      <c r="K1440" s="153" t="s">
        <v>86</v>
      </c>
      <c r="L1440" s="153" t="s">
        <v>86</v>
      </c>
      <c r="M1440" s="153"/>
      <c r="N1440" s="2" t="s">
        <v>57</v>
      </c>
      <c r="O1440" s="2"/>
      <c r="P1440" s="2"/>
    </row>
    <row r="1441" spans="1:16" ht="16.5" customHeight="1" x14ac:dyDescent="0.25">
      <c r="A1441" s="2" t="s">
        <v>2796</v>
      </c>
      <c r="B1441" s="8" t="s">
        <v>2797</v>
      </c>
      <c r="C1441" s="146">
        <v>45233</v>
      </c>
      <c r="D1441" s="2" t="s">
        <v>950</v>
      </c>
      <c r="E1441" s="152" t="s">
        <v>102</v>
      </c>
      <c r="F1441" s="152" t="s">
        <v>103</v>
      </c>
      <c r="G1441" s="152">
        <v>1</v>
      </c>
      <c r="H1441" s="152">
        <v>1009</v>
      </c>
      <c r="I1441" s="153">
        <v>0.40699999999999997</v>
      </c>
      <c r="J1441" s="145"/>
      <c r="K1441" s="153" t="s">
        <v>86</v>
      </c>
      <c r="L1441" s="153" t="s">
        <v>86</v>
      </c>
      <c r="M1441" s="153"/>
      <c r="N1441" s="2" t="s">
        <v>57</v>
      </c>
      <c r="O1441" s="2"/>
      <c r="P1441" s="2"/>
    </row>
    <row r="1442" spans="1:16" ht="16.5" customHeight="1" x14ac:dyDescent="0.25">
      <c r="A1442" s="2" t="s">
        <v>2798</v>
      </c>
      <c r="B1442" s="8" t="s">
        <v>2799</v>
      </c>
      <c r="C1442" s="146" t="s">
        <v>102</v>
      </c>
      <c r="D1442" s="2" t="s">
        <v>783</v>
      </c>
      <c r="E1442" s="152" t="s">
        <v>102</v>
      </c>
      <c r="F1442" s="152" t="s">
        <v>103</v>
      </c>
      <c r="G1442" s="152">
        <v>0</v>
      </c>
      <c r="H1442" s="152">
        <v>305</v>
      </c>
      <c r="I1442" s="153">
        <v>45.067</v>
      </c>
      <c r="J1442" s="145"/>
      <c r="K1442" s="153" t="s">
        <v>86</v>
      </c>
      <c r="L1442" s="153">
        <v>-7.8308917139165004</v>
      </c>
      <c r="M1442" s="153"/>
      <c r="N1442" s="2" t="s">
        <v>57</v>
      </c>
      <c r="O1442" s="2"/>
      <c r="P1442" s="2"/>
    </row>
    <row r="1443" spans="1:16" ht="16.5" customHeight="1" x14ac:dyDescent="0.25">
      <c r="A1443" s="2" t="s">
        <v>2800</v>
      </c>
      <c r="B1443" s="8" t="s">
        <v>2801</v>
      </c>
      <c r="C1443" s="146" t="s">
        <v>753</v>
      </c>
      <c r="D1443" s="2" t="s">
        <v>201</v>
      </c>
      <c r="E1443" s="152" t="s">
        <v>102</v>
      </c>
      <c r="F1443" s="152" t="s">
        <v>103</v>
      </c>
      <c r="G1443" s="152">
        <v>0</v>
      </c>
      <c r="H1443" s="152">
        <v>571</v>
      </c>
      <c r="I1443" s="153">
        <v>7.3150000000000013</v>
      </c>
      <c r="J1443" s="145"/>
      <c r="K1443" s="153">
        <v>-5.7080000000000002</v>
      </c>
      <c r="L1443" s="153" t="s">
        <v>86</v>
      </c>
      <c r="M1443" s="153"/>
      <c r="N1443" s="2" t="s">
        <v>57</v>
      </c>
      <c r="O1443" s="2"/>
      <c r="P1443" s="2"/>
    </row>
    <row r="1444" spans="1:16" ht="16.5" customHeight="1" x14ac:dyDescent="0.25">
      <c r="A1444" s="2" t="s">
        <v>2802</v>
      </c>
      <c r="B1444" s="8" t="s">
        <v>2803</v>
      </c>
      <c r="C1444" s="146" t="s">
        <v>833</v>
      </c>
      <c r="D1444" s="2" t="s">
        <v>201</v>
      </c>
      <c r="E1444" s="152" t="s">
        <v>102</v>
      </c>
      <c r="F1444" s="152" t="s">
        <v>103</v>
      </c>
      <c r="G1444" s="152">
        <v>6</v>
      </c>
      <c r="H1444" s="152">
        <v>147</v>
      </c>
      <c r="I1444" s="153">
        <v>25.707000000000001</v>
      </c>
      <c r="J1444" s="145"/>
      <c r="K1444" s="153">
        <v>-9.4224999999999994</v>
      </c>
      <c r="L1444" s="153">
        <v>-26.718249587033569</v>
      </c>
      <c r="M1444" s="153"/>
      <c r="N1444" s="2" t="s">
        <v>57</v>
      </c>
      <c r="O1444" s="2"/>
      <c r="P1444" s="2"/>
    </row>
    <row r="1445" spans="1:16" ht="16.5" customHeight="1" x14ac:dyDescent="0.25">
      <c r="A1445" s="2" t="s">
        <v>2804</v>
      </c>
      <c r="B1445" s="8" t="s">
        <v>2805</v>
      </c>
      <c r="C1445" s="146" t="s">
        <v>833</v>
      </c>
      <c r="D1445" s="2" t="s">
        <v>201</v>
      </c>
      <c r="E1445" s="152" t="s">
        <v>102</v>
      </c>
      <c r="F1445" s="152" t="s">
        <v>103</v>
      </c>
      <c r="G1445" s="152">
        <v>16</v>
      </c>
      <c r="H1445" s="152">
        <v>54</v>
      </c>
      <c r="I1445" s="153">
        <v>82.478000000000009</v>
      </c>
      <c r="J1445" s="145"/>
      <c r="K1445" s="153">
        <v>-10.920288032301629</v>
      </c>
      <c r="L1445" s="153" t="s">
        <v>86</v>
      </c>
      <c r="M1445" s="153"/>
      <c r="N1445" s="2" t="s">
        <v>57</v>
      </c>
      <c r="O1445" s="2"/>
      <c r="P1445" s="2"/>
    </row>
    <row r="1446" spans="1:16" ht="16.5" customHeight="1" x14ac:dyDescent="0.25">
      <c r="A1446" s="2" t="s">
        <v>2806</v>
      </c>
      <c r="B1446" s="8" t="s">
        <v>2807</v>
      </c>
      <c r="C1446" s="146" t="s">
        <v>823</v>
      </c>
      <c r="D1446" s="2" t="s">
        <v>232</v>
      </c>
      <c r="E1446" s="152" t="s">
        <v>102</v>
      </c>
      <c r="F1446" s="152" t="s">
        <v>103</v>
      </c>
      <c r="G1446" s="152">
        <v>1</v>
      </c>
      <c r="H1446" s="152">
        <v>427</v>
      </c>
      <c r="I1446" s="153">
        <v>28.577999999999999</v>
      </c>
      <c r="J1446" s="145"/>
      <c r="K1446" s="153" t="s">
        <v>86</v>
      </c>
      <c r="L1446" s="153" t="s">
        <v>86</v>
      </c>
      <c r="M1446" s="153"/>
      <c r="N1446" s="2" t="s">
        <v>57</v>
      </c>
      <c r="O1446" s="2"/>
      <c r="P1446" s="2"/>
    </row>
    <row r="1447" spans="1:16" ht="16.5" customHeight="1" x14ac:dyDescent="0.25">
      <c r="A1447" s="2" t="s">
        <v>2808</v>
      </c>
      <c r="B1447" s="8" t="s">
        <v>2809</v>
      </c>
      <c r="C1447" s="146" t="s">
        <v>833</v>
      </c>
      <c r="D1447" s="2" t="s">
        <v>232</v>
      </c>
      <c r="E1447" s="152" t="s">
        <v>102</v>
      </c>
      <c r="F1447" s="152" t="s">
        <v>103</v>
      </c>
      <c r="G1447" s="152">
        <v>3</v>
      </c>
      <c r="H1447" s="152">
        <v>402</v>
      </c>
      <c r="I1447" s="153">
        <v>32.988999999999997</v>
      </c>
      <c r="J1447" s="145"/>
      <c r="K1447" s="153" t="s">
        <v>86</v>
      </c>
      <c r="L1447" s="153" t="s">
        <v>86</v>
      </c>
      <c r="M1447" s="153"/>
      <c r="N1447" s="2" t="s">
        <v>57</v>
      </c>
      <c r="O1447" s="2"/>
      <c r="P1447" s="2"/>
    </row>
    <row r="1448" spans="1:16" ht="16.5" customHeight="1" x14ac:dyDescent="0.25">
      <c r="A1448" s="2" t="s">
        <v>2810</v>
      </c>
      <c r="B1448" s="8" t="s">
        <v>2811</v>
      </c>
      <c r="C1448" s="146" t="s">
        <v>102</v>
      </c>
      <c r="D1448" s="2" t="s">
        <v>54</v>
      </c>
      <c r="E1448" s="152" t="s">
        <v>102</v>
      </c>
      <c r="F1448" s="152" t="s">
        <v>103</v>
      </c>
      <c r="G1448" s="152">
        <v>4</v>
      </c>
      <c r="H1448" s="152">
        <v>164</v>
      </c>
      <c r="I1448" s="153">
        <v>51.051000000000002</v>
      </c>
      <c r="J1448" s="145"/>
      <c r="K1448" s="153">
        <v>-12.726000000000001</v>
      </c>
      <c r="L1448" s="153" t="s">
        <v>86</v>
      </c>
      <c r="M1448" s="153"/>
      <c r="N1448" s="2" t="s">
        <v>57</v>
      </c>
      <c r="O1448" s="2"/>
      <c r="P1448" s="10"/>
    </row>
    <row r="1449" spans="1:16" ht="16.5" customHeight="1" x14ac:dyDescent="0.25">
      <c r="A1449" s="2" t="s">
        <v>2812</v>
      </c>
      <c r="B1449" s="8" t="s">
        <v>2813</v>
      </c>
      <c r="C1449" s="146" t="s">
        <v>102</v>
      </c>
      <c r="D1449" s="2" t="s">
        <v>54</v>
      </c>
      <c r="E1449" s="152" t="s">
        <v>102</v>
      </c>
      <c r="F1449" s="152" t="s">
        <v>103</v>
      </c>
      <c r="G1449" s="152">
        <v>18</v>
      </c>
      <c r="H1449" s="152">
        <v>121</v>
      </c>
      <c r="I1449" s="153">
        <v>15.29</v>
      </c>
      <c r="J1449" s="145"/>
      <c r="K1449" s="153">
        <v>-8.2361111111111107</v>
      </c>
      <c r="L1449" s="153">
        <v>-10.112409671949671</v>
      </c>
      <c r="M1449" s="153"/>
      <c r="N1449" s="2" t="s">
        <v>57</v>
      </c>
      <c r="O1449" s="2"/>
      <c r="P1449" s="2"/>
    </row>
    <row r="1450" spans="1:16" ht="16.5" customHeight="1" x14ac:dyDescent="0.25">
      <c r="A1450" s="2" t="s">
        <v>2814</v>
      </c>
      <c r="B1450" s="8" t="s">
        <v>2815</v>
      </c>
      <c r="C1450" s="146" t="s">
        <v>718</v>
      </c>
      <c r="D1450" s="2" t="s">
        <v>278</v>
      </c>
      <c r="E1450" s="152" t="s">
        <v>102</v>
      </c>
      <c r="F1450" s="152" t="s">
        <v>103</v>
      </c>
      <c r="G1450" s="152">
        <v>1</v>
      </c>
      <c r="H1450" s="152">
        <v>841</v>
      </c>
      <c r="I1450" s="153">
        <v>16.863</v>
      </c>
      <c r="J1450" s="145"/>
      <c r="K1450" s="153" t="s">
        <v>86</v>
      </c>
      <c r="L1450" s="153" t="s">
        <v>86</v>
      </c>
      <c r="M1450" s="153"/>
      <c r="N1450" s="2" t="s">
        <v>57</v>
      </c>
      <c r="O1450" s="2"/>
      <c r="P1450" s="2"/>
    </row>
    <row r="1451" spans="1:16" ht="16.5" customHeight="1" x14ac:dyDescent="0.25">
      <c r="A1451" s="2" t="s">
        <v>2816</v>
      </c>
      <c r="B1451" s="8" t="s">
        <v>2817</v>
      </c>
      <c r="C1451" s="146" t="s">
        <v>714</v>
      </c>
      <c r="D1451" s="2" t="s">
        <v>278</v>
      </c>
      <c r="E1451" s="152" t="s">
        <v>102</v>
      </c>
      <c r="F1451" s="152" t="s">
        <v>103</v>
      </c>
      <c r="G1451" s="152">
        <v>19</v>
      </c>
      <c r="H1451" s="152">
        <v>27</v>
      </c>
      <c r="I1451" s="153">
        <v>101.574</v>
      </c>
      <c r="J1451" s="145"/>
      <c r="K1451" s="153" t="s">
        <v>86</v>
      </c>
      <c r="L1451" s="153">
        <v>-42.73288624715866</v>
      </c>
      <c r="M1451" s="153"/>
      <c r="N1451" s="2" t="s">
        <v>57</v>
      </c>
      <c r="O1451" s="2"/>
      <c r="P1451" s="2"/>
    </row>
    <row r="1452" spans="1:16" ht="16.5" customHeight="1" x14ac:dyDescent="0.25">
      <c r="A1452" s="2" t="s">
        <v>2818</v>
      </c>
      <c r="B1452" s="8" t="s">
        <v>2819</v>
      </c>
      <c r="C1452" s="146" t="s">
        <v>1125</v>
      </c>
      <c r="D1452" s="2" t="s">
        <v>278</v>
      </c>
      <c r="E1452" s="152" t="s">
        <v>102</v>
      </c>
      <c r="F1452" s="152" t="s">
        <v>103</v>
      </c>
      <c r="G1452" s="152">
        <v>30</v>
      </c>
      <c r="H1452" s="152">
        <v>34</v>
      </c>
      <c r="I1452" s="153">
        <v>31.13</v>
      </c>
      <c r="J1452" s="145"/>
      <c r="K1452" s="153">
        <v>-7.6670833333333333</v>
      </c>
      <c r="L1452" s="153" t="s">
        <v>86</v>
      </c>
      <c r="M1452" s="153">
        <v>-4.34</v>
      </c>
      <c r="N1452" s="2" t="s">
        <v>57</v>
      </c>
      <c r="O1452" s="2"/>
      <c r="P1452" s="2"/>
    </row>
    <row r="1453" spans="1:16" ht="16.5" customHeight="1" x14ac:dyDescent="0.25">
      <c r="A1453" s="2" t="s">
        <v>2820</v>
      </c>
      <c r="B1453" s="8" t="s">
        <v>2821</v>
      </c>
      <c r="C1453" s="146" t="s">
        <v>714</v>
      </c>
      <c r="D1453" s="2" t="s">
        <v>282</v>
      </c>
      <c r="E1453" s="152" t="s">
        <v>102</v>
      </c>
      <c r="F1453" s="152" t="s">
        <v>103</v>
      </c>
      <c r="G1453" s="152">
        <v>2</v>
      </c>
      <c r="H1453" s="152">
        <v>379</v>
      </c>
      <c r="I1453" s="153">
        <v>28.908000000000001</v>
      </c>
      <c r="J1453" s="145"/>
      <c r="K1453" s="153" t="s">
        <v>86</v>
      </c>
      <c r="L1453" s="153" t="s">
        <v>86</v>
      </c>
      <c r="M1453" s="153"/>
      <c r="N1453" s="2" t="s">
        <v>57</v>
      </c>
      <c r="O1453" s="2"/>
      <c r="P1453" s="2"/>
    </row>
    <row r="1454" spans="1:16" ht="16.5" customHeight="1" x14ac:dyDescent="0.25">
      <c r="A1454" s="2" t="s">
        <v>2822</v>
      </c>
      <c r="B1454" s="8" t="s">
        <v>2823</v>
      </c>
      <c r="C1454" s="146">
        <v>45269</v>
      </c>
      <c r="D1454" s="2" t="s">
        <v>163</v>
      </c>
      <c r="E1454" s="152" t="s">
        <v>102</v>
      </c>
      <c r="F1454" s="152" t="s">
        <v>103</v>
      </c>
      <c r="G1454" s="152">
        <v>1</v>
      </c>
      <c r="H1454" s="152">
        <v>252</v>
      </c>
      <c r="I1454" s="153">
        <v>119.086</v>
      </c>
      <c r="J1454" s="145"/>
      <c r="K1454" s="153" t="s">
        <v>86</v>
      </c>
      <c r="L1454" s="153" t="s">
        <v>86</v>
      </c>
      <c r="M1454" s="153"/>
      <c r="N1454" s="2" t="s">
        <v>57</v>
      </c>
      <c r="O1454" s="2"/>
      <c r="P1454" s="2"/>
    </row>
    <row r="1455" spans="1:16" ht="16.5" customHeight="1" x14ac:dyDescent="0.25">
      <c r="A1455" s="2" t="s">
        <v>2824</v>
      </c>
      <c r="B1455" s="8" t="s">
        <v>2825</v>
      </c>
      <c r="C1455" s="146" t="s">
        <v>718</v>
      </c>
      <c r="D1455" s="2" t="s">
        <v>278</v>
      </c>
      <c r="E1455" s="152" t="s">
        <v>102</v>
      </c>
      <c r="F1455" s="152" t="s">
        <v>103</v>
      </c>
      <c r="G1455" s="152">
        <v>0</v>
      </c>
      <c r="H1455" s="152">
        <v>1012</v>
      </c>
      <c r="I1455" s="153">
        <v>8.338000000000001</v>
      </c>
      <c r="J1455" s="145"/>
      <c r="K1455" s="153" t="s">
        <v>86</v>
      </c>
      <c r="L1455" s="153" t="s">
        <v>86</v>
      </c>
      <c r="M1455" s="153"/>
      <c r="N1455" s="2" t="s">
        <v>57</v>
      </c>
      <c r="O1455" s="2"/>
      <c r="P1455" s="2"/>
    </row>
    <row r="1456" spans="1:16" ht="16.5" customHeight="1" x14ac:dyDescent="0.25">
      <c r="A1456" s="2" t="s">
        <v>2826</v>
      </c>
      <c r="B1456" s="8" t="s">
        <v>2827</v>
      </c>
      <c r="C1456" s="146" t="s">
        <v>865</v>
      </c>
      <c r="D1456" s="2" t="s">
        <v>869</v>
      </c>
      <c r="E1456" s="152" t="s">
        <v>102</v>
      </c>
      <c r="F1456" s="152" t="s">
        <v>103</v>
      </c>
      <c r="G1456" s="152">
        <v>27</v>
      </c>
      <c r="H1456" s="152">
        <v>182</v>
      </c>
      <c r="I1456" s="153">
        <v>7.3150000000000013</v>
      </c>
      <c r="J1456" s="145"/>
      <c r="K1456" s="153" t="s">
        <v>86</v>
      </c>
      <c r="L1456" s="153" t="s">
        <v>86</v>
      </c>
      <c r="M1456" s="153"/>
      <c r="N1456" s="2" t="s">
        <v>57</v>
      </c>
      <c r="O1456" s="2"/>
      <c r="P1456" s="2"/>
    </row>
    <row r="1457" spans="1:16" ht="16.5" customHeight="1" x14ac:dyDescent="0.25">
      <c r="A1457" s="2" t="s">
        <v>2828</v>
      </c>
      <c r="B1457" s="8" t="s">
        <v>2829</v>
      </c>
      <c r="C1457" s="146">
        <v>45118</v>
      </c>
      <c r="D1457" s="2" t="s">
        <v>1513</v>
      </c>
      <c r="E1457" s="152" t="s">
        <v>102</v>
      </c>
      <c r="F1457" s="152" t="s">
        <v>103</v>
      </c>
      <c r="G1457" s="152">
        <v>0</v>
      </c>
      <c r="H1457" s="152">
        <v>1023</v>
      </c>
      <c r="I1457" s="153">
        <v>1.8919999999999999</v>
      </c>
      <c r="J1457" s="145"/>
      <c r="K1457" s="153" t="s">
        <v>86</v>
      </c>
      <c r="L1457" s="153" t="s">
        <v>86</v>
      </c>
      <c r="M1457" s="153"/>
      <c r="N1457" s="2" t="s">
        <v>57</v>
      </c>
      <c r="O1457" s="2"/>
      <c r="P1457" s="2"/>
    </row>
    <row r="1458" spans="1:16" ht="16.5" customHeight="1" x14ac:dyDescent="0.25">
      <c r="A1458" s="2" t="s">
        <v>2830</v>
      </c>
      <c r="B1458" s="8" t="s">
        <v>2831</v>
      </c>
      <c r="C1458" s="146">
        <v>44374</v>
      </c>
      <c r="D1458" s="2" t="s">
        <v>1513</v>
      </c>
      <c r="E1458" s="152" t="s">
        <v>102</v>
      </c>
      <c r="F1458" s="152" t="s">
        <v>103</v>
      </c>
      <c r="G1458" s="152">
        <v>0</v>
      </c>
      <c r="H1458" s="152">
        <v>588</v>
      </c>
      <c r="I1458" s="153">
        <v>13.156000000000001</v>
      </c>
      <c r="J1458" s="145"/>
      <c r="K1458" s="153" t="s">
        <v>86</v>
      </c>
      <c r="L1458" s="153" t="s">
        <v>86</v>
      </c>
      <c r="M1458" s="153"/>
      <c r="N1458" s="2" t="s">
        <v>57</v>
      </c>
      <c r="O1458" s="2"/>
      <c r="P1458" s="2"/>
    </row>
    <row r="1459" spans="1:16" ht="16.5" customHeight="1" x14ac:dyDescent="0.25">
      <c r="A1459" s="2" t="s">
        <v>2832</v>
      </c>
      <c r="B1459" s="8" t="s">
        <v>2833</v>
      </c>
      <c r="C1459" s="146" t="s">
        <v>714</v>
      </c>
      <c r="D1459" s="2" t="s">
        <v>296</v>
      </c>
      <c r="E1459" s="152" t="s">
        <v>102</v>
      </c>
      <c r="F1459" s="152" t="s">
        <v>103</v>
      </c>
      <c r="G1459" s="152">
        <v>3</v>
      </c>
      <c r="H1459" s="152">
        <v>170</v>
      </c>
      <c r="I1459" s="153">
        <v>84.39200000000001</v>
      </c>
      <c r="J1459" s="145"/>
      <c r="K1459" s="153" t="s">
        <v>86</v>
      </c>
      <c r="L1459" s="153" t="s">
        <v>86</v>
      </c>
      <c r="M1459" s="153"/>
      <c r="N1459" s="2" t="s">
        <v>57</v>
      </c>
      <c r="O1459" s="2"/>
      <c r="P1459" s="2"/>
    </row>
    <row r="1460" spans="1:16" ht="16.5" customHeight="1" x14ac:dyDescent="0.25">
      <c r="A1460" s="2" t="s">
        <v>2834</v>
      </c>
      <c r="B1460" s="8" t="s">
        <v>2835</v>
      </c>
      <c r="C1460" s="146" t="s">
        <v>714</v>
      </c>
      <c r="D1460" s="2" t="s">
        <v>278</v>
      </c>
      <c r="E1460" s="152" t="s">
        <v>102</v>
      </c>
      <c r="F1460" s="152" t="s">
        <v>103</v>
      </c>
      <c r="G1460" s="152">
        <v>2</v>
      </c>
      <c r="H1460" s="152">
        <v>1049</v>
      </c>
      <c r="I1460" s="153">
        <v>6.3360000000000003</v>
      </c>
      <c r="J1460" s="145"/>
      <c r="K1460" s="153" t="s">
        <v>86</v>
      </c>
      <c r="L1460" s="153" t="s">
        <v>86</v>
      </c>
      <c r="M1460" s="153"/>
      <c r="N1460" s="2" t="s">
        <v>57</v>
      </c>
      <c r="O1460" s="2"/>
      <c r="P1460" s="2"/>
    </row>
    <row r="1461" spans="1:16" ht="16.5" customHeight="1" x14ac:dyDescent="0.25">
      <c r="A1461" s="2" t="s">
        <v>2836</v>
      </c>
      <c r="B1461" s="8" t="s">
        <v>2837</v>
      </c>
      <c r="C1461" s="146" t="s">
        <v>718</v>
      </c>
      <c r="D1461" s="2" t="s">
        <v>278</v>
      </c>
      <c r="E1461" s="152" t="s">
        <v>102</v>
      </c>
      <c r="F1461" s="152" t="s">
        <v>103</v>
      </c>
      <c r="G1461" s="152">
        <v>0</v>
      </c>
      <c r="H1461" s="152"/>
      <c r="I1461" s="153">
        <v>5.7640000000000011</v>
      </c>
      <c r="J1461" s="145"/>
      <c r="K1461" s="153" t="s">
        <v>86</v>
      </c>
      <c r="L1461" s="153" t="s">
        <v>86</v>
      </c>
      <c r="M1461" s="153"/>
      <c r="N1461" s="2" t="s">
        <v>57</v>
      </c>
      <c r="O1461" s="2"/>
      <c r="P1461" s="2"/>
    </row>
    <row r="1462" spans="1:16" ht="16.5" customHeight="1" x14ac:dyDescent="0.25">
      <c r="A1462" s="2" t="s">
        <v>2838</v>
      </c>
      <c r="B1462" s="8" t="s">
        <v>2839</v>
      </c>
      <c r="C1462" s="146" t="s">
        <v>718</v>
      </c>
      <c r="D1462" s="2" t="s">
        <v>278</v>
      </c>
      <c r="E1462" s="152" t="s">
        <v>102</v>
      </c>
      <c r="F1462" s="152" t="s">
        <v>103</v>
      </c>
      <c r="G1462" s="152">
        <v>0</v>
      </c>
      <c r="H1462" s="152"/>
      <c r="I1462" s="153">
        <v>47.938000000000002</v>
      </c>
      <c r="J1462" s="145"/>
      <c r="K1462" s="153" t="s">
        <v>86</v>
      </c>
      <c r="L1462" s="153" t="s">
        <v>86</v>
      </c>
      <c r="M1462" s="153"/>
      <c r="N1462" s="2" t="s">
        <v>57</v>
      </c>
      <c r="O1462" s="2"/>
      <c r="P1462" s="2"/>
    </row>
    <row r="1463" spans="1:16" ht="16.5" customHeight="1" x14ac:dyDescent="0.25">
      <c r="A1463" s="2" t="s">
        <v>2840</v>
      </c>
      <c r="B1463" s="8" t="s">
        <v>2841</v>
      </c>
      <c r="C1463" s="146" t="s">
        <v>865</v>
      </c>
      <c r="D1463" s="2" t="s">
        <v>278</v>
      </c>
      <c r="E1463" s="152" t="s">
        <v>102</v>
      </c>
      <c r="F1463" s="152" t="s">
        <v>103</v>
      </c>
      <c r="G1463" s="152">
        <v>0</v>
      </c>
      <c r="H1463" s="152">
        <v>902</v>
      </c>
      <c r="I1463" s="153">
        <v>39.589000000000013</v>
      </c>
      <c r="J1463" s="145"/>
      <c r="K1463" s="153" t="s">
        <v>86</v>
      </c>
      <c r="L1463" s="153" t="s">
        <v>86</v>
      </c>
      <c r="M1463" s="153"/>
      <c r="N1463" s="2" t="s">
        <v>57</v>
      </c>
      <c r="O1463" s="2"/>
      <c r="P1463" s="2"/>
    </row>
    <row r="1464" spans="1:16" ht="16.5" customHeight="1" x14ac:dyDescent="0.25">
      <c r="A1464" s="2" t="s">
        <v>2842</v>
      </c>
      <c r="B1464" s="8" t="s">
        <v>2843</v>
      </c>
      <c r="C1464" s="146" t="s">
        <v>718</v>
      </c>
      <c r="D1464" s="2" t="s">
        <v>278</v>
      </c>
      <c r="E1464" s="152" t="s">
        <v>102</v>
      </c>
      <c r="F1464" s="152" t="s">
        <v>103</v>
      </c>
      <c r="G1464" s="152">
        <v>0</v>
      </c>
      <c r="H1464" s="152">
        <v>878</v>
      </c>
      <c r="I1464" s="153">
        <v>37.872999999999998</v>
      </c>
      <c r="J1464" s="145"/>
      <c r="K1464" s="153" t="s">
        <v>86</v>
      </c>
      <c r="L1464" s="153" t="s">
        <v>86</v>
      </c>
      <c r="M1464" s="153"/>
      <c r="N1464" s="2" t="s">
        <v>57</v>
      </c>
      <c r="O1464" s="2"/>
      <c r="P1464" s="2"/>
    </row>
    <row r="1465" spans="1:16" ht="16.5" customHeight="1" x14ac:dyDescent="0.25">
      <c r="A1465" s="2" t="s">
        <v>2844</v>
      </c>
      <c r="B1465" s="8" t="s">
        <v>2845</v>
      </c>
      <c r="C1465" s="146" t="s">
        <v>718</v>
      </c>
      <c r="D1465" s="2" t="s">
        <v>54</v>
      </c>
      <c r="E1465" s="152" t="s">
        <v>102</v>
      </c>
      <c r="F1465" s="152" t="s">
        <v>103</v>
      </c>
      <c r="G1465" s="152">
        <v>0</v>
      </c>
      <c r="H1465" s="152"/>
      <c r="I1465" s="153">
        <v>59.147000000000013</v>
      </c>
      <c r="J1465" s="145"/>
      <c r="K1465" s="153" t="s">
        <v>86</v>
      </c>
      <c r="L1465" s="153" t="s">
        <v>86</v>
      </c>
      <c r="M1465" s="153"/>
      <c r="N1465" s="2" t="s">
        <v>57</v>
      </c>
      <c r="O1465" s="2"/>
      <c r="P1465" s="2"/>
    </row>
    <row r="1466" spans="1:16" ht="16.5" customHeight="1" x14ac:dyDescent="0.25">
      <c r="A1466" s="2" t="s">
        <v>2846</v>
      </c>
      <c r="B1466" s="8" t="s">
        <v>2847</v>
      </c>
      <c r="C1466" s="146" t="s">
        <v>865</v>
      </c>
      <c r="D1466" s="2" t="s">
        <v>278</v>
      </c>
      <c r="E1466" s="152" t="s">
        <v>102</v>
      </c>
      <c r="F1466" s="152" t="s">
        <v>103</v>
      </c>
      <c r="G1466" s="152">
        <v>1</v>
      </c>
      <c r="H1466" s="152">
        <v>744</v>
      </c>
      <c r="I1466" s="153">
        <v>46.079000000000008</v>
      </c>
      <c r="J1466" s="145"/>
      <c r="K1466" s="153" t="s">
        <v>86</v>
      </c>
      <c r="L1466" s="153" t="s">
        <v>86</v>
      </c>
      <c r="M1466" s="153"/>
      <c r="N1466" s="2" t="s">
        <v>57</v>
      </c>
      <c r="O1466" s="2"/>
      <c r="P1466" s="2"/>
    </row>
    <row r="1467" spans="1:16" ht="16.5" customHeight="1" x14ac:dyDescent="0.25">
      <c r="A1467" s="2" t="s">
        <v>2848</v>
      </c>
      <c r="B1467" s="8" t="s">
        <v>2849</v>
      </c>
      <c r="C1467" s="146" t="s">
        <v>714</v>
      </c>
      <c r="D1467" s="2" t="s">
        <v>278</v>
      </c>
      <c r="E1467" s="152" t="s">
        <v>102</v>
      </c>
      <c r="F1467" s="152" t="s">
        <v>103</v>
      </c>
      <c r="G1467" s="152">
        <v>1</v>
      </c>
      <c r="H1467" s="152">
        <v>380</v>
      </c>
      <c r="I1467" s="153">
        <v>40.061999999999998</v>
      </c>
      <c r="J1467" s="145"/>
      <c r="K1467" s="153" t="s">
        <v>86</v>
      </c>
      <c r="L1467" s="153" t="s">
        <v>86</v>
      </c>
      <c r="M1467" s="153"/>
      <c r="N1467" s="2" t="s">
        <v>57</v>
      </c>
      <c r="O1467" s="2"/>
      <c r="P1467" s="2"/>
    </row>
    <row r="1468" spans="1:16" ht="16.5" customHeight="1" x14ac:dyDescent="0.25">
      <c r="A1468" s="2" t="s">
        <v>2850</v>
      </c>
      <c r="B1468" s="8" t="s">
        <v>2851</v>
      </c>
      <c r="C1468" s="146" t="s">
        <v>865</v>
      </c>
      <c r="D1468" s="2" t="s">
        <v>278</v>
      </c>
      <c r="E1468" s="152" t="s">
        <v>102</v>
      </c>
      <c r="F1468" s="152" t="s">
        <v>103</v>
      </c>
      <c r="G1468" s="152">
        <v>1</v>
      </c>
      <c r="H1468" s="152">
        <v>628</v>
      </c>
      <c r="I1468" s="153">
        <v>45.276000000000003</v>
      </c>
      <c r="J1468" s="145"/>
      <c r="K1468" s="153" t="s">
        <v>86</v>
      </c>
      <c r="L1468" s="153" t="s">
        <v>86</v>
      </c>
      <c r="M1468" s="153"/>
      <c r="N1468" s="2" t="s">
        <v>57</v>
      </c>
      <c r="O1468" s="2"/>
      <c r="P1468" s="10"/>
    </row>
    <row r="1469" spans="1:16" ht="16.5" customHeight="1" x14ac:dyDescent="0.25">
      <c r="A1469" s="2" t="s">
        <v>2852</v>
      </c>
      <c r="B1469" s="8" t="s">
        <v>2853</v>
      </c>
      <c r="C1469" s="146" t="s">
        <v>714</v>
      </c>
      <c r="D1469" s="2" t="s">
        <v>278</v>
      </c>
      <c r="E1469" s="152" t="s">
        <v>102</v>
      </c>
      <c r="F1469" s="152" t="s">
        <v>103</v>
      </c>
      <c r="G1469" s="152">
        <v>1</v>
      </c>
      <c r="H1469" s="152">
        <v>375</v>
      </c>
      <c r="I1469" s="153">
        <v>64.228999999999999</v>
      </c>
      <c r="J1469" s="145"/>
      <c r="K1469" s="153" t="s">
        <v>86</v>
      </c>
      <c r="L1469" s="153" t="s">
        <v>86</v>
      </c>
      <c r="M1469" s="153"/>
      <c r="N1469" s="2" t="s">
        <v>57</v>
      </c>
      <c r="O1469" s="2"/>
      <c r="P1469" s="10"/>
    </row>
    <row r="1470" spans="1:16" ht="16.5" customHeight="1" x14ac:dyDescent="0.25">
      <c r="A1470" s="2" t="s">
        <v>2854</v>
      </c>
      <c r="B1470" s="8" t="s">
        <v>2855</v>
      </c>
      <c r="C1470" s="146" t="s">
        <v>714</v>
      </c>
      <c r="D1470" s="2" t="s">
        <v>278</v>
      </c>
      <c r="E1470" s="152" t="s">
        <v>102</v>
      </c>
      <c r="F1470" s="152" t="s">
        <v>103</v>
      </c>
      <c r="G1470" s="152">
        <v>1</v>
      </c>
      <c r="H1470" s="152">
        <v>461</v>
      </c>
      <c r="I1470" s="153">
        <v>27.664999999999999</v>
      </c>
      <c r="J1470" s="145"/>
      <c r="K1470" s="153" t="s">
        <v>86</v>
      </c>
      <c r="L1470" s="153" t="s">
        <v>86</v>
      </c>
      <c r="M1470" s="153"/>
      <c r="N1470" s="2" t="s">
        <v>57</v>
      </c>
      <c r="O1470" s="2"/>
      <c r="P1470" s="2"/>
    </row>
    <row r="1471" spans="1:16" ht="16.5" customHeight="1" x14ac:dyDescent="0.25">
      <c r="A1471" s="2" t="s">
        <v>2856</v>
      </c>
      <c r="B1471" s="8" t="s">
        <v>2857</v>
      </c>
      <c r="C1471" s="146" t="s">
        <v>714</v>
      </c>
      <c r="D1471" s="2" t="s">
        <v>278</v>
      </c>
      <c r="E1471" s="152" t="s">
        <v>102</v>
      </c>
      <c r="F1471" s="152" t="s">
        <v>103</v>
      </c>
      <c r="G1471" s="152">
        <v>1</v>
      </c>
      <c r="H1471" s="152">
        <v>401</v>
      </c>
      <c r="I1471" s="153">
        <v>37.488</v>
      </c>
      <c r="J1471" s="145"/>
      <c r="K1471" s="153" t="s">
        <v>86</v>
      </c>
      <c r="L1471" s="153" t="s">
        <v>86</v>
      </c>
      <c r="M1471" s="153"/>
      <c r="N1471" s="2" t="s">
        <v>57</v>
      </c>
      <c r="O1471" s="2"/>
      <c r="P1471" s="10"/>
    </row>
    <row r="1472" spans="1:16" ht="16.5" customHeight="1" x14ac:dyDescent="0.25">
      <c r="A1472" s="2" t="s">
        <v>2858</v>
      </c>
      <c r="B1472" s="8" t="s">
        <v>2859</v>
      </c>
      <c r="C1472" s="146" t="s">
        <v>823</v>
      </c>
      <c r="D1472" s="2" t="s">
        <v>296</v>
      </c>
      <c r="E1472" s="152" t="s">
        <v>102</v>
      </c>
      <c r="F1472" s="152" t="s">
        <v>103</v>
      </c>
      <c r="G1472" s="152">
        <v>1</v>
      </c>
      <c r="H1472" s="152">
        <v>680</v>
      </c>
      <c r="I1472" s="153">
        <v>7.766</v>
      </c>
      <c r="J1472" s="145"/>
      <c r="K1472" s="153" t="s">
        <v>86</v>
      </c>
      <c r="L1472" s="153" t="s">
        <v>86</v>
      </c>
      <c r="M1472" s="153"/>
      <c r="N1472" s="2" t="s">
        <v>57</v>
      </c>
      <c r="O1472" s="2"/>
      <c r="P1472" s="2"/>
    </row>
    <row r="1473" spans="1:16" ht="16.5" customHeight="1" x14ac:dyDescent="0.25">
      <c r="A1473" s="2" t="s">
        <v>2860</v>
      </c>
      <c r="B1473" s="8" t="s">
        <v>2861</v>
      </c>
      <c r="C1473" s="146" t="s">
        <v>714</v>
      </c>
      <c r="D1473" s="2" t="s">
        <v>278</v>
      </c>
      <c r="E1473" s="152" t="s">
        <v>102</v>
      </c>
      <c r="F1473" s="152" t="s">
        <v>103</v>
      </c>
      <c r="G1473" s="152">
        <v>1</v>
      </c>
      <c r="H1473" s="152">
        <v>967</v>
      </c>
      <c r="I1473" s="153">
        <v>5.4340000000000011</v>
      </c>
      <c r="J1473" s="145"/>
      <c r="K1473" s="153" t="s">
        <v>86</v>
      </c>
      <c r="L1473" s="153" t="s">
        <v>86</v>
      </c>
      <c r="M1473" s="153"/>
      <c r="N1473" s="2" t="s">
        <v>57</v>
      </c>
      <c r="O1473" s="2"/>
      <c r="P1473" s="2"/>
    </row>
    <row r="1474" spans="1:16" ht="16.5" customHeight="1" x14ac:dyDescent="0.25">
      <c r="A1474" s="2" t="s">
        <v>2862</v>
      </c>
      <c r="B1474" s="8" t="s">
        <v>2863</v>
      </c>
      <c r="C1474" s="146" t="s">
        <v>714</v>
      </c>
      <c r="D1474" s="2" t="s">
        <v>278</v>
      </c>
      <c r="E1474" s="152" t="s">
        <v>102</v>
      </c>
      <c r="F1474" s="152" t="s">
        <v>103</v>
      </c>
      <c r="G1474" s="152">
        <v>0</v>
      </c>
      <c r="H1474" s="152">
        <v>813</v>
      </c>
      <c r="I1474" s="153">
        <v>55.583000000000013</v>
      </c>
      <c r="J1474" s="145"/>
      <c r="K1474" s="153" t="s">
        <v>86</v>
      </c>
      <c r="L1474" s="153" t="s">
        <v>86</v>
      </c>
      <c r="M1474" s="153"/>
      <c r="N1474" s="2" t="s">
        <v>57</v>
      </c>
      <c r="O1474" s="2"/>
      <c r="P1474" s="2"/>
    </row>
    <row r="1475" spans="1:16" ht="16.5" customHeight="1" x14ac:dyDescent="0.25">
      <c r="A1475" s="2" t="s">
        <v>2864</v>
      </c>
      <c r="B1475" s="8" t="s">
        <v>2865</v>
      </c>
      <c r="C1475" s="146" t="s">
        <v>718</v>
      </c>
      <c r="D1475" s="2" t="s">
        <v>278</v>
      </c>
      <c r="E1475" s="152" t="s">
        <v>102</v>
      </c>
      <c r="F1475" s="152" t="s">
        <v>103</v>
      </c>
      <c r="G1475" s="152">
        <v>0</v>
      </c>
      <c r="H1475" s="152">
        <v>858</v>
      </c>
      <c r="I1475" s="153">
        <v>105.28100000000001</v>
      </c>
      <c r="J1475" s="145"/>
      <c r="K1475" s="153" t="s">
        <v>86</v>
      </c>
      <c r="L1475" s="153" t="s">
        <v>86</v>
      </c>
      <c r="M1475" s="153"/>
      <c r="N1475" s="2" t="s">
        <v>57</v>
      </c>
      <c r="O1475" s="2"/>
      <c r="P1475" s="2"/>
    </row>
    <row r="1476" spans="1:16" ht="16.5" customHeight="1" x14ac:dyDescent="0.25">
      <c r="A1476" s="2" t="s">
        <v>2866</v>
      </c>
      <c r="B1476" s="8" t="s">
        <v>2867</v>
      </c>
      <c r="C1476" s="146" t="s">
        <v>714</v>
      </c>
      <c r="D1476" s="2" t="s">
        <v>1741</v>
      </c>
      <c r="E1476" s="152" t="s">
        <v>102</v>
      </c>
      <c r="F1476" s="152" t="s">
        <v>103</v>
      </c>
      <c r="G1476" s="152">
        <v>5</v>
      </c>
      <c r="H1476" s="152">
        <v>51</v>
      </c>
      <c r="I1476" s="153">
        <v>95.7</v>
      </c>
      <c r="J1476" s="145"/>
      <c r="K1476" s="153" t="s">
        <v>86</v>
      </c>
      <c r="L1476" s="153">
        <v>-39.126394339871602</v>
      </c>
      <c r="M1476" s="153"/>
      <c r="N1476" s="2" t="s">
        <v>57</v>
      </c>
      <c r="O1476" s="2"/>
      <c r="P1476" s="2"/>
    </row>
    <row r="1477" spans="1:16" ht="16.5" customHeight="1" x14ac:dyDescent="0.25">
      <c r="A1477" s="2" t="s">
        <v>2868</v>
      </c>
      <c r="B1477" s="8" t="s">
        <v>2869</v>
      </c>
      <c r="C1477" s="146" t="s">
        <v>823</v>
      </c>
      <c r="D1477" s="2" t="s">
        <v>908</v>
      </c>
      <c r="E1477" s="152" t="s">
        <v>102</v>
      </c>
      <c r="F1477" s="152" t="s">
        <v>103</v>
      </c>
      <c r="G1477" s="152">
        <v>2</v>
      </c>
      <c r="H1477" s="152">
        <v>712</v>
      </c>
      <c r="I1477" s="153">
        <v>5.9290000000000003</v>
      </c>
      <c r="J1477" s="145"/>
      <c r="K1477" s="153" t="s">
        <v>86</v>
      </c>
      <c r="L1477" s="153" t="s">
        <v>86</v>
      </c>
      <c r="M1477" s="153"/>
      <c r="N1477" s="2" t="s">
        <v>57</v>
      </c>
      <c r="O1477" s="2"/>
      <c r="P1477" s="2"/>
    </row>
    <row r="1478" spans="1:16" ht="16.5" customHeight="1" x14ac:dyDescent="0.25">
      <c r="A1478" s="2" t="s">
        <v>2870</v>
      </c>
      <c r="B1478" s="8" t="s">
        <v>2871</v>
      </c>
      <c r="C1478" s="146" t="s">
        <v>823</v>
      </c>
      <c r="D1478" s="2" t="s">
        <v>908</v>
      </c>
      <c r="E1478" s="152" t="s">
        <v>102</v>
      </c>
      <c r="F1478" s="152" t="s">
        <v>103</v>
      </c>
      <c r="G1478" s="152">
        <v>1</v>
      </c>
      <c r="H1478" s="152">
        <v>989</v>
      </c>
      <c r="I1478" s="153">
        <v>36.531000000000013</v>
      </c>
      <c r="J1478" s="145"/>
      <c r="K1478" s="153" t="s">
        <v>86</v>
      </c>
      <c r="L1478" s="153" t="s">
        <v>86</v>
      </c>
      <c r="M1478" s="153"/>
      <c r="N1478" s="2" t="s">
        <v>57</v>
      </c>
      <c r="O1478" s="2"/>
      <c r="P1478" s="2"/>
    </row>
    <row r="1479" spans="1:16" ht="16.5" customHeight="1" x14ac:dyDescent="0.25">
      <c r="A1479" s="2" t="s">
        <v>2872</v>
      </c>
      <c r="B1479" s="8" t="s">
        <v>2873</v>
      </c>
      <c r="C1479" s="146" t="s">
        <v>718</v>
      </c>
      <c r="D1479" s="2" t="s">
        <v>908</v>
      </c>
      <c r="E1479" s="152" t="s">
        <v>102</v>
      </c>
      <c r="F1479" s="152" t="s">
        <v>103</v>
      </c>
      <c r="G1479" s="152">
        <v>0</v>
      </c>
      <c r="H1479" s="152"/>
      <c r="I1479" s="153">
        <v>2.4529999999999998</v>
      </c>
      <c r="J1479" s="145"/>
      <c r="K1479" s="153" t="s">
        <v>86</v>
      </c>
      <c r="L1479" s="153" t="s">
        <v>86</v>
      </c>
      <c r="M1479" s="153"/>
      <c r="N1479" s="2" t="s">
        <v>57</v>
      </c>
      <c r="O1479" s="2"/>
      <c r="P1479" s="2"/>
    </row>
    <row r="1480" spans="1:16" ht="16.5" customHeight="1" x14ac:dyDescent="0.25">
      <c r="A1480" s="2" t="s">
        <v>2874</v>
      </c>
      <c r="B1480" s="8" t="s">
        <v>2875</v>
      </c>
      <c r="C1480" s="146" t="s">
        <v>718</v>
      </c>
      <c r="D1480" s="2" t="s">
        <v>908</v>
      </c>
      <c r="E1480" s="152" t="s">
        <v>102</v>
      </c>
      <c r="F1480" s="152" t="s">
        <v>103</v>
      </c>
      <c r="G1480" s="152">
        <v>0</v>
      </c>
      <c r="H1480" s="152"/>
      <c r="I1480" s="153">
        <v>5.8849999999999998</v>
      </c>
      <c r="J1480" s="145"/>
      <c r="K1480" s="153" t="s">
        <v>86</v>
      </c>
      <c r="L1480" s="153" t="s">
        <v>86</v>
      </c>
      <c r="M1480" s="153"/>
      <c r="N1480" s="2" t="s">
        <v>57</v>
      </c>
      <c r="O1480" s="2"/>
      <c r="P1480" s="2"/>
    </row>
    <row r="1481" spans="1:16" ht="16.5" customHeight="1" x14ac:dyDescent="0.25">
      <c r="A1481" s="2" t="s">
        <v>2876</v>
      </c>
      <c r="B1481" s="8" t="s">
        <v>2877</v>
      </c>
      <c r="C1481" s="146" t="s">
        <v>718</v>
      </c>
      <c r="D1481" s="2" t="s">
        <v>908</v>
      </c>
      <c r="E1481" s="152" t="s">
        <v>102</v>
      </c>
      <c r="F1481" s="152" t="s">
        <v>103</v>
      </c>
      <c r="G1481" s="152">
        <v>0</v>
      </c>
      <c r="H1481" s="152">
        <v>1065</v>
      </c>
      <c r="I1481" s="153">
        <v>2.464</v>
      </c>
      <c r="J1481" s="145"/>
      <c r="K1481" s="153" t="s">
        <v>86</v>
      </c>
      <c r="L1481" s="153" t="s">
        <v>86</v>
      </c>
      <c r="M1481" s="153"/>
      <c r="N1481" s="2" t="s">
        <v>57</v>
      </c>
      <c r="O1481" s="2"/>
      <c r="P1481" s="2"/>
    </row>
    <row r="1482" spans="1:16" ht="16.5" customHeight="1" x14ac:dyDescent="0.25">
      <c r="A1482" s="2" t="s">
        <v>2878</v>
      </c>
      <c r="B1482" s="8" t="s">
        <v>2879</v>
      </c>
      <c r="C1482" s="146" t="s">
        <v>823</v>
      </c>
      <c r="D1482" s="2" t="s">
        <v>278</v>
      </c>
      <c r="E1482" s="152" t="s">
        <v>102</v>
      </c>
      <c r="F1482" s="152" t="s">
        <v>103</v>
      </c>
      <c r="G1482" s="152">
        <v>0</v>
      </c>
      <c r="H1482" s="152">
        <v>962</v>
      </c>
      <c r="I1482" s="153">
        <v>25.992999999999999</v>
      </c>
      <c r="J1482" s="145"/>
      <c r="K1482" s="153" t="s">
        <v>86</v>
      </c>
      <c r="L1482" s="153" t="s">
        <v>86</v>
      </c>
      <c r="M1482" s="153"/>
      <c r="N1482" s="2" t="s">
        <v>57</v>
      </c>
      <c r="O1482" s="2"/>
      <c r="P1482" s="2"/>
    </row>
    <row r="1483" spans="1:16" ht="16.5" customHeight="1" x14ac:dyDescent="0.25">
      <c r="A1483" s="2" t="s">
        <v>2880</v>
      </c>
      <c r="B1483" s="8" t="s">
        <v>2881</v>
      </c>
      <c r="C1483" s="146" t="s">
        <v>1047</v>
      </c>
      <c r="D1483" s="2" t="s">
        <v>278</v>
      </c>
      <c r="E1483" s="152" t="s">
        <v>102</v>
      </c>
      <c r="F1483" s="152" t="s">
        <v>103</v>
      </c>
      <c r="G1483" s="152">
        <v>3</v>
      </c>
      <c r="H1483" s="152">
        <v>273</v>
      </c>
      <c r="I1483" s="153">
        <v>23.969000000000001</v>
      </c>
      <c r="J1483" s="145"/>
      <c r="K1483" s="153" t="s">
        <v>86</v>
      </c>
      <c r="L1483" s="153" t="s">
        <v>86</v>
      </c>
      <c r="M1483" s="153"/>
      <c r="N1483" s="2" t="s">
        <v>57</v>
      </c>
      <c r="O1483" s="2"/>
      <c r="P1483" s="2"/>
    </row>
    <row r="1484" spans="1:16" ht="16.5" customHeight="1" x14ac:dyDescent="0.25">
      <c r="A1484" s="2" t="s">
        <v>2882</v>
      </c>
      <c r="B1484" s="8" t="s">
        <v>2883</v>
      </c>
      <c r="C1484" s="146" t="s">
        <v>1047</v>
      </c>
      <c r="D1484" s="2" t="s">
        <v>278</v>
      </c>
      <c r="E1484" s="152" t="s">
        <v>102</v>
      </c>
      <c r="F1484" s="152" t="s">
        <v>103</v>
      </c>
      <c r="G1484" s="152">
        <v>8</v>
      </c>
      <c r="H1484" s="152">
        <v>154</v>
      </c>
      <c r="I1484" s="153">
        <v>28.831</v>
      </c>
      <c r="J1484" s="145"/>
      <c r="K1484" s="153" t="s">
        <v>86</v>
      </c>
      <c r="L1484" s="153">
        <v>-24.653160428637989</v>
      </c>
      <c r="M1484" s="153"/>
      <c r="N1484" s="2" t="s">
        <v>57</v>
      </c>
      <c r="O1484" s="2"/>
      <c r="P1484" s="2"/>
    </row>
    <row r="1485" spans="1:16" ht="16.5" customHeight="1" x14ac:dyDescent="0.25">
      <c r="A1485" s="2" t="s">
        <v>2884</v>
      </c>
      <c r="B1485" s="8" t="s">
        <v>2885</v>
      </c>
      <c r="C1485" s="146" t="s">
        <v>1047</v>
      </c>
      <c r="D1485" s="2" t="s">
        <v>278</v>
      </c>
      <c r="E1485" s="152" t="s">
        <v>102</v>
      </c>
      <c r="F1485" s="152" t="s">
        <v>103</v>
      </c>
      <c r="G1485" s="152">
        <v>32</v>
      </c>
      <c r="H1485" s="152">
        <v>75</v>
      </c>
      <c r="I1485" s="153">
        <v>29.436</v>
      </c>
      <c r="J1485" s="145"/>
      <c r="K1485" s="153">
        <v>-6.2727162698412693</v>
      </c>
      <c r="L1485" s="153" t="s">
        <v>86</v>
      </c>
      <c r="M1485" s="153"/>
      <c r="N1485" s="2" t="s">
        <v>57</v>
      </c>
      <c r="O1485" s="2"/>
      <c r="P1485" s="2"/>
    </row>
    <row r="1486" spans="1:16" ht="16.5" customHeight="1" x14ac:dyDescent="0.25">
      <c r="A1486" s="2" t="s">
        <v>2886</v>
      </c>
      <c r="B1486" s="8" t="s">
        <v>2887</v>
      </c>
      <c r="C1486" s="146" t="s">
        <v>1047</v>
      </c>
      <c r="D1486" s="2" t="s">
        <v>278</v>
      </c>
      <c r="E1486" s="152" t="s">
        <v>102</v>
      </c>
      <c r="F1486" s="152" t="s">
        <v>103</v>
      </c>
      <c r="G1486" s="152">
        <v>4</v>
      </c>
      <c r="H1486" s="152">
        <v>267</v>
      </c>
      <c r="I1486" s="153">
        <v>33.451000000000001</v>
      </c>
      <c r="J1486" s="145"/>
      <c r="K1486" s="153" t="s">
        <v>86</v>
      </c>
      <c r="L1486" s="153">
        <v>-20.38951135834192</v>
      </c>
      <c r="M1486" s="153"/>
      <c r="N1486" s="2" t="s">
        <v>57</v>
      </c>
      <c r="O1486" s="2"/>
      <c r="P1486" s="2"/>
    </row>
    <row r="1487" spans="1:16" ht="16.5" customHeight="1" x14ac:dyDescent="0.25">
      <c r="A1487" s="2" t="s">
        <v>2888</v>
      </c>
      <c r="B1487" s="8" t="s">
        <v>2889</v>
      </c>
      <c r="C1487" s="146" t="s">
        <v>1047</v>
      </c>
      <c r="D1487" s="2" t="s">
        <v>278</v>
      </c>
      <c r="E1487" s="152" t="s">
        <v>102</v>
      </c>
      <c r="F1487" s="152" t="s">
        <v>103</v>
      </c>
      <c r="G1487" s="152">
        <v>4</v>
      </c>
      <c r="H1487" s="152">
        <v>215</v>
      </c>
      <c r="I1487" s="153">
        <v>37.521000000000001</v>
      </c>
      <c r="J1487" s="145"/>
      <c r="K1487" s="153" t="s">
        <v>86</v>
      </c>
      <c r="L1487" s="153" t="s">
        <v>86</v>
      </c>
      <c r="M1487" s="153"/>
      <c r="N1487" s="2" t="s">
        <v>57</v>
      </c>
      <c r="O1487" s="2"/>
      <c r="P1487" s="2"/>
    </row>
    <row r="1488" spans="1:16" ht="16.5" customHeight="1" x14ac:dyDescent="0.25">
      <c r="A1488" s="2" t="s">
        <v>2890</v>
      </c>
      <c r="B1488" s="8" t="s">
        <v>2891</v>
      </c>
      <c r="C1488" s="146" t="s">
        <v>1047</v>
      </c>
      <c r="D1488" s="2" t="s">
        <v>278</v>
      </c>
      <c r="E1488" s="152" t="s">
        <v>102</v>
      </c>
      <c r="F1488" s="152" t="s">
        <v>103</v>
      </c>
      <c r="G1488" s="152">
        <v>5</v>
      </c>
      <c r="H1488" s="152">
        <v>186</v>
      </c>
      <c r="I1488" s="153">
        <v>36.135000000000012</v>
      </c>
      <c r="J1488" s="145"/>
      <c r="K1488" s="153" t="s">
        <v>86</v>
      </c>
      <c r="L1488" s="153">
        <v>-27.433801126657169</v>
      </c>
      <c r="M1488" s="153"/>
      <c r="N1488" s="2" t="s">
        <v>57</v>
      </c>
      <c r="O1488" s="2"/>
      <c r="P1488" s="2"/>
    </row>
    <row r="1489" spans="1:16" ht="16.5" customHeight="1" x14ac:dyDescent="0.25">
      <c r="A1489" s="2" t="s">
        <v>2892</v>
      </c>
      <c r="B1489" s="8" t="s">
        <v>2893</v>
      </c>
      <c r="C1489" s="146" t="s">
        <v>1047</v>
      </c>
      <c r="D1489" s="2" t="s">
        <v>278</v>
      </c>
      <c r="E1489" s="152" t="s">
        <v>102</v>
      </c>
      <c r="F1489" s="152" t="s">
        <v>103</v>
      </c>
      <c r="G1489" s="152">
        <v>16</v>
      </c>
      <c r="H1489" s="152">
        <v>91</v>
      </c>
      <c r="I1489" s="153">
        <v>49.863</v>
      </c>
      <c r="J1489" s="145"/>
      <c r="K1489" s="153">
        <v>-17.67005102040816</v>
      </c>
      <c r="L1489" s="153">
        <v>-33.921962755368568</v>
      </c>
      <c r="M1489" s="153"/>
      <c r="N1489" s="2" t="s">
        <v>57</v>
      </c>
      <c r="O1489" s="2"/>
      <c r="P1489" s="2"/>
    </row>
    <row r="1490" spans="1:16" ht="16.5" customHeight="1" x14ac:dyDescent="0.25">
      <c r="A1490" s="2" t="s">
        <v>2894</v>
      </c>
      <c r="B1490" s="8" t="s">
        <v>2895</v>
      </c>
      <c r="C1490" s="146" t="s">
        <v>823</v>
      </c>
      <c r="D1490" s="2" t="s">
        <v>296</v>
      </c>
      <c r="E1490" s="152" t="s">
        <v>102</v>
      </c>
      <c r="F1490" s="152" t="s">
        <v>103</v>
      </c>
      <c r="G1490" s="152">
        <v>0</v>
      </c>
      <c r="H1490" s="152">
        <v>1013</v>
      </c>
      <c r="I1490" s="153">
        <v>10.417</v>
      </c>
      <c r="J1490" s="145"/>
      <c r="K1490" s="153" t="s">
        <v>86</v>
      </c>
      <c r="L1490" s="153" t="s">
        <v>86</v>
      </c>
      <c r="M1490" s="153"/>
      <c r="N1490" s="2" t="s">
        <v>57</v>
      </c>
      <c r="O1490" s="2"/>
      <c r="P1490" s="2"/>
    </row>
    <row r="1491" spans="1:16" ht="16.5" customHeight="1" x14ac:dyDescent="0.25">
      <c r="A1491" s="2" t="s">
        <v>2896</v>
      </c>
      <c r="B1491" s="8" t="s">
        <v>2897</v>
      </c>
      <c r="C1491" s="146" t="s">
        <v>823</v>
      </c>
      <c r="D1491" s="2" t="s">
        <v>296</v>
      </c>
      <c r="E1491" s="152" t="s">
        <v>102</v>
      </c>
      <c r="F1491" s="152" t="s">
        <v>103</v>
      </c>
      <c r="G1491" s="152">
        <v>0</v>
      </c>
      <c r="H1491" s="152">
        <v>1084</v>
      </c>
      <c r="I1491" s="153">
        <v>5.4890000000000008</v>
      </c>
      <c r="J1491" s="145"/>
      <c r="K1491" s="153" t="s">
        <v>86</v>
      </c>
      <c r="L1491" s="153" t="s">
        <v>86</v>
      </c>
      <c r="M1491" s="153"/>
      <c r="N1491" s="2" t="s">
        <v>57</v>
      </c>
      <c r="O1491" s="2"/>
      <c r="P1491" s="2"/>
    </row>
    <row r="1492" spans="1:16" ht="16.5" customHeight="1" x14ac:dyDescent="0.25">
      <c r="A1492" s="2" t="s">
        <v>2898</v>
      </c>
      <c r="B1492" s="8" t="s">
        <v>2899</v>
      </c>
      <c r="C1492" s="146" t="s">
        <v>823</v>
      </c>
      <c r="D1492" s="2" t="s">
        <v>296</v>
      </c>
      <c r="E1492" s="152" t="s">
        <v>102</v>
      </c>
      <c r="F1492" s="152" t="s">
        <v>103</v>
      </c>
      <c r="G1492" s="152">
        <v>1</v>
      </c>
      <c r="H1492" s="152">
        <v>697</v>
      </c>
      <c r="I1492" s="153">
        <v>8.9320000000000004</v>
      </c>
      <c r="J1492" s="145"/>
      <c r="K1492" s="153" t="s">
        <v>86</v>
      </c>
      <c r="L1492" s="153" t="s">
        <v>86</v>
      </c>
      <c r="M1492" s="153"/>
      <c r="N1492" s="2" t="s">
        <v>57</v>
      </c>
      <c r="O1492" s="2"/>
      <c r="P1492" s="2"/>
    </row>
    <row r="1493" spans="1:16" ht="16.5" customHeight="1" x14ac:dyDescent="0.25">
      <c r="A1493" s="2" t="s">
        <v>2900</v>
      </c>
      <c r="B1493" s="8" t="s">
        <v>2901</v>
      </c>
      <c r="C1493" s="146" t="s">
        <v>823</v>
      </c>
      <c r="D1493" s="2" t="s">
        <v>296</v>
      </c>
      <c r="E1493" s="152" t="s">
        <v>102</v>
      </c>
      <c r="F1493" s="152" t="s">
        <v>103</v>
      </c>
      <c r="G1493" s="152">
        <v>0</v>
      </c>
      <c r="H1493" s="152">
        <v>828</v>
      </c>
      <c r="I1493" s="153">
        <v>27.356999999999999</v>
      </c>
      <c r="J1493" s="145"/>
      <c r="K1493" s="153" t="s">
        <v>86</v>
      </c>
      <c r="L1493" s="153" t="s">
        <v>86</v>
      </c>
      <c r="M1493" s="153"/>
      <c r="N1493" s="2" t="s">
        <v>57</v>
      </c>
      <c r="O1493" s="2"/>
      <c r="P1493" s="2"/>
    </row>
    <row r="1494" spans="1:16" ht="16.5" customHeight="1" x14ac:dyDescent="0.25">
      <c r="A1494" s="2" t="s">
        <v>2902</v>
      </c>
      <c r="B1494" s="8" t="s">
        <v>2903</v>
      </c>
      <c r="C1494" s="146">
        <v>45269</v>
      </c>
      <c r="D1494" s="2" t="s">
        <v>163</v>
      </c>
      <c r="E1494" s="152" t="s">
        <v>102</v>
      </c>
      <c r="F1494" s="152" t="s">
        <v>103</v>
      </c>
      <c r="G1494" s="152">
        <v>8</v>
      </c>
      <c r="H1494" s="152">
        <v>50</v>
      </c>
      <c r="I1494" s="153">
        <v>117.7</v>
      </c>
      <c r="J1494" s="145"/>
      <c r="K1494" s="153" t="s">
        <v>86</v>
      </c>
      <c r="L1494" s="153">
        <v>-77.724468791031924</v>
      </c>
      <c r="M1494" s="153"/>
      <c r="N1494" s="2" t="s">
        <v>57</v>
      </c>
      <c r="O1494" s="2"/>
      <c r="P1494" s="2"/>
    </row>
    <row r="1495" spans="1:16" ht="16.5" customHeight="1" x14ac:dyDescent="0.25">
      <c r="A1495" s="2" t="s">
        <v>2904</v>
      </c>
      <c r="B1495" s="8" t="s">
        <v>2905</v>
      </c>
      <c r="C1495" s="146">
        <v>44343</v>
      </c>
      <c r="D1495" s="2" t="s">
        <v>1797</v>
      </c>
      <c r="E1495" s="152" t="s">
        <v>102</v>
      </c>
      <c r="F1495" s="152" t="s">
        <v>103</v>
      </c>
      <c r="G1495" s="152">
        <v>0</v>
      </c>
      <c r="H1495" s="152"/>
      <c r="I1495" s="153">
        <v>4.5430000000000001</v>
      </c>
      <c r="J1495" s="145"/>
      <c r="K1495" s="153" t="s">
        <v>86</v>
      </c>
      <c r="L1495" s="153" t="s">
        <v>86</v>
      </c>
      <c r="M1495" s="153"/>
      <c r="N1495" s="2" t="s">
        <v>57</v>
      </c>
      <c r="O1495" s="2"/>
      <c r="P1495" s="2"/>
    </row>
    <row r="1496" spans="1:16" ht="16.5" customHeight="1" x14ac:dyDescent="0.25">
      <c r="A1496" s="2" t="s">
        <v>2906</v>
      </c>
      <c r="B1496" s="8" t="s">
        <v>2907</v>
      </c>
      <c r="C1496" s="146" t="s">
        <v>718</v>
      </c>
      <c r="D1496" s="2" t="s">
        <v>278</v>
      </c>
      <c r="E1496" s="152" t="s">
        <v>102</v>
      </c>
      <c r="F1496" s="152" t="s">
        <v>103</v>
      </c>
      <c r="G1496" s="152">
        <v>0</v>
      </c>
      <c r="H1496" s="152"/>
      <c r="I1496" s="153">
        <v>35.122999999999998</v>
      </c>
      <c r="J1496" s="145"/>
      <c r="K1496" s="153" t="s">
        <v>86</v>
      </c>
      <c r="L1496" s="153" t="s">
        <v>86</v>
      </c>
      <c r="M1496" s="153"/>
      <c r="N1496" s="2" t="s">
        <v>57</v>
      </c>
      <c r="O1496" s="2"/>
      <c r="P1496" s="2"/>
    </row>
    <row r="1497" spans="1:16" ht="16.5" customHeight="1" x14ac:dyDescent="0.25">
      <c r="A1497" s="2" t="s">
        <v>2908</v>
      </c>
      <c r="B1497" s="8" t="s">
        <v>2909</v>
      </c>
      <c r="C1497" s="146" t="s">
        <v>718</v>
      </c>
      <c r="D1497" s="2" t="s">
        <v>278</v>
      </c>
      <c r="E1497" s="152" t="s">
        <v>102</v>
      </c>
      <c r="F1497" s="152" t="s">
        <v>103</v>
      </c>
      <c r="G1497" s="152">
        <v>0</v>
      </c>
      <c r="H1497" s="152">
        <v>842</v>
      </c>
      <c r="I1497" s="153">
        <v>15.058999999999999</v>
      </c>
      <c r="J1497" s="145"/>
      <c r="K1497" s="153" t="s">
        <v>86</v>
      </c>
      <c r="L1497" s="153" t="s">
        <v>86</v>
      </c>
      <c r="M1497" s="153"/>
      <c r="N1497" s="2" t="s">
        <v>57</v>
      </c>
      <c r="O1497" s="2"/>
      <c r="P1497" s="2"/>
    </row>
    <row r="1498" spans="1:16" ht="16.5" customHeight="1" x14ac:dyDescent="0.25">
      <c r="A1498" s="2" t="s">
        <v>2910</v>
      </c>
      <c r="B1498" s="8" t="s">
        <v>2911</v>
      </c>
      <c r="C1498" s="146">
        <v>44374</v>
      </c>
      <c r="D1498" s="2" t="s">
        <v>950</v>
      </c>
      <c r="E1498" s="152" t="s">
        <v>102</v>
      </c>
      <c r="F1498" s="152" t="s">
        <v>103</v>
      </c>
      <c r="G1498" s="152">
        <v>0</v>
      </c>
      <c r="H1498" s="152"/>
      <c r="I1498" s="153">
        <v>11.33</v>
      </c>
      <c r="J1498" s="145"/>
      <c r="K1498" s="153" t="s">
        <v>86</v>
      </c>
      <c r="L1498" s="153" t="s">
        <v>86</v>
      </c>
      <c r="M1498" s="153"/>
      <c r="N1498" s="2" t="s">
        <v>57</v>
      </c>
      <c r="O1498" s="2"/>
      <c r="P1498" s="2"/>
    </row>
    <row r="1499" spans="1:16" ht="16.5" customHeight="1" x14ac:dyDescent="0.25">
      <c r="A1499" s="2" t="s">
        <v>2912</v>
      </c>
      <c r="B1499" s="8" t="s">
        <v>2913</v>
      </c>
      <c r="C1499" s="146">
        <v>44374</v>
      </c>
      <c r="D1499" s="2" t="s">
        <v>950</v>
      </c>
      <c r="E1499" s="152" t="s">
        <v>102</v>
      </c>
      <c r="F1499" s="152" t="s">
        <v>103</v>
      </c>
      <c r="G1499" s="152">
        <v>0</v>
      </c>
      <c r="H1499" s="152"/>
      <c r="I1499" s="153">
        <v>22.451000000000001</v>
      </c>
      <c r="J1499" s="145"/>
      <c r="K1499" s="153" t="s">
        <v>86</v>
      </c>
      <c r="L1499" s="153" t="s">
        <v>86</v>
      </c>
      <c r="M1499" s="153"/>
      <c r="N1499" s="2" t="s">
        <v>57</v>
      </c>
      <c r="O1499" s="2"/>
      <c r="P1499" s="2"/>
    </row>
    <row r="1500" spans="1:16" ht="16.5" customHeight="1" x14ac:dyDescent="0.25">
      <c r="A1500" s="2" t="s">
        <v>2914</v>
      </c>
      <c r="B1500" s="8" t="s">
        <v>2915</v>
      </c>
      <c r="C1500" s="146">
        <v>44374</v>
      </c>
      <c r="D1500" s="2" t="s">
        <v>950</v>
      </c>
      <c r="E1500" s="152" t="s">
        <v>102</v>
      </c>
      <c r="F1500" s="152" t="s">
        <v>103</v>
      </c>
      <c r="G1500" s="152">
        <v>1</v>
      </c>
      <c r="H1500" s="152">
        <v>620</v>
      </c>
      <c r="I1500" s="153">
        <v>26.961000000000009</v>
      </c>
      <c r="J1500" s="145"/>
      <c r="K1500" s="153" t="s">
        <v>86</v>
      </c>
      <c r="L1500" s="153" t="s">
        <v>86</v>
      </c>
      <c r="M1500" s="153"/>
      <c r="N1500" s="2" t="s">
        <v>57</v>
      </c>
      <c r="O1500" s="2"/>
      <c r="P1500" s="2"/>
    </row>
    <row r="1501" spans="1:16" ht="16.5" customHeight="1" x14ac:dyDescent="0.25">
      <c r="A1501" s="2" t="s">
        <v>2916</v>
      </c>
      <c r="B1501" s="8" t="s">
        <v>2917</v>
      </c>
      <c r="C1501" s="146">
        <v>44374</v>
      </c>
      <c r="D1501" s="2" t="s">
        <v>950</v>
      </c>
      <c r="E1501" s="152" t="s">
        <v>102</v>
      </c>
      <c r="F1501" s="152" t="s">
        <v>103</v>
      </c>
      <c r="G1501" s="152">
        <v>0</v>
      </c>
      <c r="H1501" s="152">
        <v>876</v>
      </c>
      <c r="I1501" s="153">
        <v>40.293000000000013</v>
      </c>
      <c r="J1501" s="145"/>
      <c r="K1501" s="153" t="s">
        <v>86</v>
      </c>
      <c r="L1501" s="153" t="s">
        <v>86</v>
      </c>
      <c r="M1501" s="153"/>
      <c r="N1501" s="2" t="s">
        <v>57</v>
      </c>
      <c r="O1501" s="2"/>
      <c r="P1501" s="2"/>
    </row>
    <row r="1502" spans="1:16" ht="16.5" customHeight="1" x14ac:dyDescent="0.25">
      <c r="A1502" s="2" t="s">
        <v>2918</v>
      </c>
      <c r="B1502" s="8" t="s">
        <v>2919</v>
      </c>
      <c r="C1502" s="146">
        <v>44374</v>
      </c>
      <c r="D1502" s="2" t="s">
        <v>950</v>
      </c>
      <c r="E1502" s="152" t="s">
        <v>102</v>
      </c>
      <c r="F1502" s="152" t="s">
        <v>103</v>
      </c>
      <c r="G1502" s="152">
        <v>1</v>
      </c>
      <c r="H1502" s="152">
        <v>478</v>
      </c>
      <c r="I1502" s="153">
        <v>53.668999999999997</v>
      </c>
      <c r="J1502" s="145"/>
      <c r="K1502" s="153" t="s">
        <v>86</v>
      </c>
      <c r="L1502" s="153" t="s">
        <v>86</v>
      </c>
      <c r="M1502" s="153"/>
      <c r="N1502" s="2" t="s">
        <v>57</v>
      </c>
      <c r="O1502" s="2"/>
      <c r="P1502" s="2"/>
    </row>
    <row r="1503" spans="1:16" ht="16.5" customHeight="1" x14ac:dyDescent="0.25">
      <c r="A1503" s="2" t="s">
        <v>2920</v>
      </c>
      <c r="B1503" s="8" t="s">
        <v>2921</v>
      </c>
      <c r="C1503" s="146">
        <v>44374</v>
      </c>
      <c r="D1503" s="2" t="s">
        <v>950</v>
      </c>
      <c r="E1503" s="152" t="s">
        <v>102</v>
      </c>
      <c r="F1503" s="152" t="s">
        <v>103</v>
      </c>
      <c r="G1503" s="152">
        <v>0</v>
      </c>
      <c r="H1503" s="152">
        <v>991</v>
      </c>
      <c r="I1503" s="153">
        <v>16.048999999999999</v>
      </c>
      <c r="J1503" s="145"/>
      <c r="K1503" s="153" t="s">
        <v>86</v>
      </c>
      <c r="L1503" s="153" t="s">
        <v>86</v>
      </c>
      <c r="M1503" s="153"/>
      <c r="N1503" s="2" t="s">
        <v>57</v>
      </c>
      <c r="O1503" s="2"/>
      <c r="P1503" s="2"/>
    </row>
    <row r="1504" spans="1:16" ht="16.5" customHeight="1" x14ac:dyDescent="0.25">
      <c r="A1504" s="2" t="s">
        <v>2922</v>
      </c>
      <c r="B1504" s="8" t="s">
        <v>2923</v>
      </c>
      <c r="C1504" s="146" t="s">
        <v>823</v>
      </c>
      <c r="D1504" s="2" t="s">
        <v>278</v>
      </c>
      <c r="E1504" s="152" t="s">
        <v>102</v>
      </c>
      <c r="F1504" s="152" t="s">
        <v>103</v>
      </c>
      <c r="G1504" s="152">
        <v>0</v>
      </c>
      <c r="H1504" s="152">
        <v>561</v>
      </c>
      <c r="I1504" s="153">
        <v>69.52000000000001</v>
      </c>
      <c r="J1504" s="145"/>
      <c r="K1504" s="153" t="s">
        <v>86</v>
      </c>
      <c r="L1504" s="153" t="s">
        <v>86</v>
      </c>
      <c r="M1504" s="153"/>
      <c r="N1504" s="2" t="s">
        <v>57</v>
      </c>
      <c r="O1504" s="2"/>
      <c r="P1504" s="2"/>
    </row>
    <row r="1505" spans="1:16" ht="16.5" customHeight="1" x14ac:dyDescent="0.25">
      <c r="A1505" s="2" t="s">
        <v>2924</v>
      </c>
      <c r="B1505" s="8" t="s">
        <v>2925</v>
      </c>
      <c r="C1505" s="146" t="s">
        <v>823</v>
      </c>
      <c r="D1505" s="2" t="s">
        <v>278</v>
      </c>
      <c r="E1505" s="152" t="s">
        <v>102</v>
      </c>
      <c r="F1505" s="152" t="s">
        <v>103</v>
      </c>
      <c r="G1505" s="152">
        <v>0</v>
      </c>
      <c r="H1505" s="152">
        <v>685</v>
      </c>
      <c r="I1505" s="153">
        <v>75.757000000000005</v>
      </c>
      <c r="J1505" s="145"/>
      <c r="K1505" s="153" t="s">
        <v>86</v>
      </c>
      <c r="L1505" s="153" t="s">
        <v>86</v>
      </c>
      <c r="M1505" s="153"/>
      <c r="N1505" s="2" t="s">
        <v>57</v>
      </c>
      <c r="O1505" s="2"/>
      <c r="P1505" s="2"/>
    </row>
    <row r="1506" spans="1:16" ht="16.5" customHeight="1" x14ac:dyDescent="0.25">
      <c r="A1506" s="2" t="s">
        <v>2926</v>
      </c>
      <c r="B1506" s="8" t="s">
        <v>2927</v>
      </c>
      <c r="C1506" s="146" t="s">
        <v>823</v>
      </c>
      <c r="D1506" s="2" t="s">
        <v>278</v>
      </c>
      <c r="E1506" s="152" t="s">
        <v>102</v>
      </c>
      <c r="F1506" s="152" t="s">
        <v>103</v>
      </c>
      <c r="G1506" s="152">
        <v>0</v>
      </c>
      <c r="H1506" s="152"/>
      <c r="I1506" s="153">
        <v>9.8230000000000004</v>
      </c>
      <c r="J1506" s="145"/>
      <c r="K1506" s="153" t="s">
        <v>86</v>
      </c>
      <c r="L1506" s="153" t="s">
        <v>86</v>
      </c>
      <c r="M1506" s="153"/>
      <c r="N1506" s="2" t="s">
        <v>57</v>
      </c>
      <c r="O1506" s="2"/>
      <c r="P1506" s="2"/>
    </row>
    <row r="1507" spans="1:16" ht="16.5" customHeight="1" x14ac:dyDescent="0.25">
      <c r="A1507" s="2" t="s">
        <v>2928</v>
      </c>
      <c r="B1507" s="8" t="s">
        <v>2929</v>
      </c>
      <c r="C1507" s="146" t="s">
        <v>714</v>
      </c>
      <c r="D1507" s="2" t="s">
        <v>296</v>
      </c>
      <c r="E1507" s="152" t="s">
        <v>102</v>
      </c>
      <c r="F1507" s="152" t="s">
        <v>103</v>
      </c>
      <c r="G1507" s="152">
        <v>2</v>
      </c>
      <c r="H1507" s="152">
        <v>368</v>
      </c>
      <c r="I1507" s="153">
        <v>58.828000000000003</v>
      </c>
      <c r="J1507" s="145"/>
      <c r="K1507" s="153" t="s">
        <v>86</v>
      </c>
      <c r="L1507" s="153" t="s">
        <v>86</v>
      </c>
      <c r="M1507" s="153"/>
      <c r="N1507" s="2" t="s">
        <v>57</v>
      </c>
      <c r="O1507" s="2"/>
      <c r="P1507" s="2"/>
    </row>
    <row r="1508" spans="1:16" ht="16.5" customHeight="1" x14ac:dyDescent="0.25">
      <c r="A1508" s="2" t="s">
        <v>2930</v>
      </c>
      <c r="B1508" s="8" t="s">
        <v>2931</v>
      </c>
      <c r="C1508" s="146" t="s">
        <v>1047</v>
      </c>
      <c r="D1508" s="2" t="s">
        <v>278</v>
      </c>
      <c r="E1508" s="152" t="s">
        <v>102</v>
      </c>
      <c r="F1508" s="152" t="s">
        <v>103</v>
      </c>
      <c r="G1508" s="152">
        <v>0</v>
      </c>
      <c r="H1508" s="152">
        <v>864</v>
      </c>
      <c r="I1508" s="153">
        <v>28.314</v>
      </c>
      <c r="J1508" s="145"/>
      <c r="K1508" s="153" t="s">
        <v>86</v>
      </c>
      <c r="L1508" s="153">
        <v>-16.95804009732959</v>
      </c>
      <c r="M1508" s="153"/>
      <c r="N1508" s="2" t="s">
        <v>57</v>
      </c>
      <c r="O1508" s="2"/>
      <c r="P1508" s="2"/>
    </row>
    <row r="1509" spans="1:16" ht="16.5" customHeight="1" x14ac:dyDescent="0.25">
      <c r="A1509" s="2" t="s">
        <v>2932</v>
      </c>
      <c r="B1509" s="8" t="s">
        <v>2933</v>
      </c>
      <c r="C1509" s="146" t="s">
        <v>1125</v>
      </c>
      <c r="D1509" s="2" t="s">
        <v>278</v>
      </c>
      <c r="E1509" s="152" t="s">
        <v>102</v>
      </c>
      <c r="F1509" s="152" t="s">
        <v>103</v>
      </c>
      <c r="G1509" s="152">
        <v>1</v>
      </c>
      <c r="H1509" s="152">
        <v>465</v>
      </c>
      <c r="I1509" s="153">
        <v>39.500999999999998</v>
      </c>
      <c r="J1509" s="145"/>
      <c r="K1509" s="153" t="s">
        <v>86</v>
      </c>
      <c r="L1509" s="153" t="s">
        <v>86</v>
      </c>
      <c r="M1509" s="153"/>
      <c r="N1509" s="2" t="s">
        <v>57</v>
      </c>
      <c r="O1509" s="2"/>
      <c r="P1509" s="2"/>
    </row>
    <row r="1510" spans="1:16" ht="16.5" customHeight="1" x14ac:dyDescent="0.25">
      <c r="A1510" s="2" t="s">
        <v>2934</v>
      </c>
      <c r="B1510" s="8" t="s">
        <v>2935</v>
      </c>
      <c r="C1510" s="146" t="s">
        <v>865</v>
      </c>
      <c r="D1510" s="2" t="s">
        <v>278</v>
      </c>
      <c r="E1510" s="152" t="s">
        <v>102</v>
      </c>
      <c r="F1510" s="152" t="s">
        <v>103</v>
      </c>
      <c r="G1510" s="152">
        <v>1</v>
      </c>
      <c r="H1510" s="152">
        <v>805</v>
      </c>
      <c r="I1510" s="153">
        <v>79.486000000000018</v>
      </c>
      <c r="J1510" s="145"/>
      <c r="K1510" s="153" t="s">
        <v>86</v>
      </c>
      <c r="L1510" s="153" t="s">
        <v>86</v>
      </c>
      <c r="M1510" s="153"/>
      <c r="N1510" s="2" t="s">
        <v>57</v>
      </c>
      <c r="O1510" s="2"/>
      <c r="P1510" s="2"/>
    </row>
    <row r="1511" spans="1:16" ht="16.5" customHeight="1" x14ac:dyDescent="0.25">
      <c r="A1511" s="2" t="s">
        <v>2936</v>
      </c>
      <c r="B1511" s="8" t="s">
        <v>2937</v>
      </c>
      <c r="C1511" s="146" t="s">
        <v>778</v>
      </c>
      <c r="D1511" s="2" t="s">
        <v>278</v>
      </c>
      <c r="E1511" s="152" t="s">
        <v>102</v>
      </c>
      <c r="F1511" s="152" t="s">
        <v>103</v>
      </c>
      <c r="G1511" s="152">
        <v>4</v>
      </c>
      <c r="H1511" s="152">
        <v>194</v>
      </c>
      <c r="I1511" s="153">
        <v>62.436</v>
      </c>
      <c r="J1511" s="145"/>
      <c r="K1511" s="153" t="s">
        <v>86</v>
      </c>
      <c r="L1511" s="153" t="s">
        <v>86</v>
      </c>
      <c r="M1511" s="153"/>
      <c r="N1511" s="2" t="s">
        <v>57</v>
      </c>
      <c r="O1511" s="2"/>
      <c r="P1511" s="2"/>
    </row>
    <row r="1512" spans="1:16" ht="16.5" customHeight="1" x14ac:dyDescent="0.25">
      <c r="A1512" s="2" t="s">
        <v>2938</v>
      </c>
      <c r="B1512" s="8" t="s">
        <v>2939</v>
      </c>
      <c r="C1512" s="146" t="s">
        <v>718</v>
      </c>
      <c r="D1512" s="2" t="s">
        <v>282</v>
      </c>
      <c r="E1512" s="152" t="s">
        <v>102</v>
      </c>
      <c r="F1512" s="152" t="s">
        <v>103</v>
      </c>
      <c r="G1512" s="152">
        <v>5</v>
      </c>
      <c r="H1512" s="152">
        <v>646</v>
      </c>
      <c r="I1512" s="153">
        <v>2.64</v>
      </c>
      <c r="J1512" s="145"/>
      <c r="K1512" s="153" t="s">
        <v>86</v>
      </c>
      <c r="L1512" s="153" t="s">
        <v>86</v>
      </c>
      <c r="M1512" s="153"/>
      <c r="N1512" s="2" t="s">
        <v>57</v>
      </c>
      <c r="O1512" s="2"/>
      <c r="P1512" s="2"/>
    </row>
    <row r="1513" spans="1:16" ht="16.5" customHeight="1" x14ac:dyDescent="0.25">
      <c r="A1513" s="2" t="s">
        <v>2940</v>
      </c>
      <c r="B1513" s="8" t="s">
        <v>2941</v>
      </c>
      <c r="C1513" s="146" t="s">
        <v>1125</v>
      </c>
      <c r="D1513" s="2" t="s">
        <v>278</v>
      </c>
      <c r="E1513" s="152" t="s">
        <v>102</v>
      </c>
      <c r="F1513" s="152" t="s">
        <v>103</v>
      </c>
      <c r="G1513" s="152">
        <v>0</v>
      </c>
      <c r="H1513" s="152"/>
      <c r="I1513" s="153">
        <v>105.06100000000001</v>
      </c>
      <c r="J1513" s="145"/>
      <c r="K1513" s="153" t="s">
        <v>86</v>
      </c>
      <c r="L1513" s="153" t="s">
        <v>86</v>
      </c>
      <c r="M1513" s="153"/>
      <c r="N1513" s="2" t="s">
        <v>57</v>
      </c>
      <c r="O1513" s="2"/>
      <c r="P1513" s="2"/>
    </row>
    <row r="1514" spans="1:16" ht="16.5" customHeight="1" x14ac:dyDescent="0.25">
      <c r="A1514" s="2" t="s">
        <v>2942</v>
      </c>
      <c r="B1514" s="8" t="s">
        <v>2943</v>
      </c>
      <c r="C1514" s="146" t="s">
        <v>1125</v>
      </c>
      <c r="D1514" s="2" t="s">
        <v>278</v>
      </c>
      <c r="E1514" s="152" t="s">
        <v>102</v>
      </c>
      <c r="F1514" s="152" t="s">
        <v>103</v>
      </c>
      <c r="G1514" s="152">
        <v>0</v>
      </c>
      <c r="H1514" s="152">
        <v>575</v>
      </c>
      <c r="I1514" s="153">
        <v>107.70099999999999</v>
      </c>
      <c r="J1514" s="145"/>
      <c r="K1514" s="153" t="s">
        <v>86</v>
      </c>
      <c r="L1514" s="153" t="s">
        <v>86</v>
      </c>
      <c r="M1514" s="153"/>
      <c r="N1514" s="2" t="s">
        <v>57</v>
      </c>
      <c r="O1514" s="2"/>
      <c r="P1514" s="2"/>
    </row>
    <row r="1515" spans="1:16" ht="16.5" customHeight="1" x14ac:dyDescent="0.25">
      <c r="A1515" s="2" t="s">
        <v>2944</v>
      </c>
      <c r="B1515" s="8" t="s">
        <v>2945</v>
      </c>
      <c r="C1515" s="146" t="s">
        <v>865</v>
      </c>
      <c r="D1515" s="2" t="s">
        <v>148</v>
      </c>
      <c r="E1515" s="152" t="s">
        <v>102</v>
      </c>
      <c r="F1515" s="152" t="s">
        <v>103</v>
      </c>
      <c r="G1515" s="152">
        <v>2</v>
      </c>
      <c r="H1515" s="152">
        <v>501</v>
      </c>
      <c r="I1515" s="153">
        <v>20.196000000000002</v>
      </c>
      <c r="J1515" s="145"/>
      <c r="K1515" s="153" t="s">
        <v>86</v>
      </c>
      <c r="L1515" s="153" t="s">
        <v>86</v>
      </c>
      <c r="M1515" s="153"/>
      <c r="N1515" s="2" t="s">
        <v>57</v>
      </c>
      <c r="O1515" s="2"/>
      <c r="P1515" s="2"/>
    </row>
    <row r="1516" spans="1:16" ht="16.5" customHeight="1" x14ac:dyDescent="0.25">
      <c r="A1516" s="2" t="s">
        <v>2946</v>
      </c>
      <c r="B1516" s="8" t="s">
        <v>2947</v>
      </c>
      <c r="C1516" s="146" t="s">
        <v>865</v>
      </c>
      <c r="D1516" s="2" t="s">
        <v>278</v>
      </c>
      <c r="E1516" s="152" t="s">
        <v>102</v>
      </c>
      <c r="F1516" s="152" t="s">
        <v>103</v>
      </c>
      <c r="G1516" s="152">
        <v>3</v>
      </c>
      <c r="H1516" s="152">
        <v>337</v>
      </c>
      <c r="I1516" s="153">
        <v>37.576000000000001</v>
      </c>
      <c r="J1516" s="145"/>
      <c r="K1516" s="153" t="s">
        <v>86</v>
      </c>
      <c r="L1516" s="153" t="s">
        <v>86</v>
      </c>
      <c r="M1516" s="153"/>
      <c r="N1516" s="2" t="s">
        <v>57</v>
      </c>
      <c r="O1516" s="2"/>
      <c r="P1516" s="2"/>
    </row>
    <row r="1517" spans="1:16" ht="16.5" customHeight="1" x14ac:dyDescent="0.25">
      <c r="A1517" s="2" t="s">
        <v>2948</v>
      </c>
      <c r="B1517" s="8" t="s">
        <v>2949</v>
      </c>
      <c r="C1517" s="146" t="s">
        <v>865</v>
      </c>
      <c r="D1517" s="2" t="s">
        <v>278</v>
      </c>
      <c r="E1517" s="152" t="s">
        <v>102</v>
      </c>
      <c r="F1517" s="152" t="s">
        <v>103</v>
      </c>
      <c r="G1517" s="152">
        <v>1</v>
      </c>
      <c r="H1517" s="152">
        <v>684</v>
      </c>
      <c r="I1517" s="153">
        <v>44.143000000000008</v>
      </c>
      <c r="J1517" s="145"/>
      <c r="K1517" s="153" t="s">
        <v>86</v>
      </c>
      <c r="L1517" s="153" t="s">
        <v>86</v>
      </c>
      <c r="M1517" s="153"/>
      <c r="N1517" s="2" t="s">
        <v>57</v>
      </c>
      <c r="O1517" s="2"/>
      <c r="P1517" s="2"/>
    </row>
    <row r="1518" spans="1:16" ht="16.5" customHeight="1" x14ac:dyDescent="0.25">
      <c r="A1518" s="2" t="s">
        <v>2950</v>
      </c>
      <c r="B1518" s="8" t="s">
        <v>2951</v>
      </c>
      <c r="C1518" s="146" t="s">
        <v>714</v>
      </c>
      <c r="D1518" s="2" t="s">
        <v>278</v>
      </c>
      <c r="E1518" s="152" t="s">
        <v>102</v>
      </c>
      <c r="F1518" s="152" t="s">
        <v>103</v>
      </c>
      <c r="G1518" s="152">
        <v>1</v>
      </c>
      <c r="H1518" s="152">
        <v>801</v>
      </c>
      <c r="I1518" s="153">
        <v>30.195</v>
      </c>
      <c r="J1518" s="145"/>
      <c r="K1518" s="153" t="s">
        <v>86</v>
      </c>
      <c r="L1518" s="153" t="s">
        <v>86</v>
      </c>
      <c r="M1518" s="153"/>
      <c r="N1518" s="2" t="s">
        <v>57</v>
      </c>
      <c r="O1518" s="2"/>
      <c r="P1518" s="2"/>
    </row>
    <row r="1519" spans="1:16" ht="16.5" customHeight="1" x14ac:dyDescent="0.25">
      <c r="A1519" s="2" t="s">
        <v>2952</v>
      </c>
      <c r="B1519" s="8" t="s">
        <v>2952</v>
      </c>
      <c r="C1519" s="146" t="s">
        <v>102</v>
      </c>
      <c r="D1519" s="2" t="s">
        <v>1874</v>
      </c>
      <c r="E1519" s="152" t="s">
        <v>102</v>
      </c>
      <c r="F1519" s="152" t="s">
        <v>103</v>
      </c>
      <c r="G1519" s="152">
        <v>0</v>
      </c>
      <c r="H1519" s="152"/>
      <c r="I1519" s="153">
        <v>0.14299999999999999</v>
      </c>
      <c r="J1519" s="145"/>
      <c r="K1519" s="153" t="s">
        <v>86</v>
      </c>
      <c r="L1519" s="153" t="s">
        <v>86</v>
      </c>
      <c r="M1519" s="153"/>
      <c r="N1519" s="2" t="s">
        <v>57</v>
      </c>
      <c r="O1519" s="2"/>
      <c r="P1519" s="2"/>
    </row>
    <row r="1520" spans="1:16" ht="16.5" customHeight="1" x14ac:dyDescent="0.25">
      <c r="A1520" s="2" t="s">
        <v>2953</v>
      </c>
      <c r="B1520" s="8" t="s">
        <v>2954</v>
      </c>
      <c r="C1520" s="146" t="s">
        <v>753</v>
      </c>
      <c r="D1520" s="2" t="s">
        <v>1906</v>
      </c>
      <c r="E1520" s="152" t="s">
        <v>102</v>
      </c>
      <c r="F1520" s="152" t="s">
        <v>103</v>
      </c>
      <c r="G1520" s="152">
        <v>3</v>
      </c>
      <c r="H1520" s="152">
        <v>709</v>
      </c>
      <c r="I1520" s="153">
        <v>7.5460000000000012</v>
      </c>
      <c r="J1520" s="145"/>
      <c r="K1520" s="153">
        <v>-1.6428212893344469</v>
      </c>
      <c r="L1520" s="153" t="s">
        <v>86</v>
      </c>
      <c r="M1520" s="153"/>
      <c r="N1520" s="2" t="s">
        <v>57</v>
      </c>
      <c r="O1520" s="2"/>
      <c r="P1520" s="2"/>
    </row>
    <row r="1521" spans="1:16" ht="16.5" customHeight="1" x14ac:dyDescent="0.25">
      <c r="A1521" s="2" t="s">
        <v>2955</v>
      </c>
      <c r="B1521" s="8" t="s">
        <v>2956</v>
      </c>
      <c r="C1521" s="146" t="s">
        <v>753</v>
      </c>
      <c r="D1521" s="2" t="s">
        <v>1906</v>
      </c>
      <c r="E1521" s="152" t="s">
        <v>102</v>
      </c>
      <c r="F1521" s="152" t="s">
        <v>103</v>
      </c>
      <c r="G1521" s="152">
        <v>2</v>
      </c>
      <c r="H1521" s="152">
        <v>919</v>
      </c>
      <c r="I1521" s="153">
        <v>6.963000000000001</v>
      </c>
      <c r="J1521" s="145"/>
      <c r="K1521" s="153">
        <v>-0.66315789473684206</v>
      </c>
      <c r="L1521" s="153" t="s">
        <v>86</v>
      </c>
      <c r="M1521" s="153"/>
      <c r="N1521" s="2" t="s">
        <v>57</v>
      </c>
      <c r="O1521" s="2"/>
      <c r="P1521" s="2"/>
    </row>
    <row r="1522" spans="1:16" ht="16.5" customHeight="1" x14ac:dyDescent="0.25">
      <c r="A1522" s="2" t="s">
        <v>2957</v>
      </c>
      <c r="B1522" s="8" t="s">
        <v>2958</v>
      </c>
      <c r="C1522" s="146" t="s">
        <v>753</v>
      </c>
      <c r="D1522" s="2" t="s">
        <v>1906</v>
      </c>
      <c r="E1522" s="152" t="s">
        <v>102</v>
      </c>
      <c r="F1522" s="152" t="s">
        <v>103</v>
      </c>
      <c r="G1522" s="152">
        <v>3</v>
      </c>
      <c r="H1522" s="152">
        <v>677</v>
      </c>
      <c r="I1522" s="153">
        <v>10.307</v>
      </c>
      <c r="J1522" s="145"/>
      <c r="K1522" s="153">
        <v>-0.5</v>
      </c>
      <c r="L1522" s="153" t="s">
        <v>86</v>
      </c>
      <c r="M1522" s="153"/>
      <c r="N1522" s="2" t="s">
        <v>57</v>
      </c>
      <c r="O1522" s="2"/>
      <c r="P1522" s="2"/>
    </row>
    <row r="1523" spans="1:16" ht="16.5" customHeight="1" x14ac:dyDescent="0.25">
      <c r="A1523" s="2" t="s">
        <v>2959</v>
      </c>
      <c r="B1523" s="8" t="s">
        <v>2960</v>
      </c>
      <c r="C1523" s="146" t="s">
        <v>753</v>
      </c>
      <c r="D1523" s="2" t="s">
        <v>1906</v>
      </c>
      <c r="E1523" s="152" t="s">
        <v>102</v>
      </c>
      <c r="F1523" s="152" t="s">
        <v>103</v>
      </c>
      <c r="G1523" s="152">
        <v>3</v>
      </c>
      <c r="H1523" s="152">
        <v>690</v>
      </c>
      <c r="I1523" s="153">
        <v>15.18</v>
      </c>
      <c r="J1523" s="145"/>
      <c r="K1523" s="153">
        <v>-0.76875000000000004</v>
      </c>
      <c r="L1523" s="153" t="s">
        <v>86</v>
      </c>
      <c r="M1523" s="153"/>
      <c r="N1523" s="2" t="s">
        <v>57</v>
      </c>
      <c r="O1523" s="2"/>
      <c r="P1523" s="2"/>
    </row>
    <row r="1524" spans="1:16" ht="16.5" customHeight="1" x14ac:dyDescent="0.25">
      <c r="A1524" s="2" t="s">
        <v>2961</v>
      </c>
      <c r="B1524" s="8" t="s">
        <v>2962</v>
      </c>
      <c r="C1524" s="146" t="s">
        <v>1047</v>
      </c>
      <c r="D1524" s="2" t="s">
        <v>278</v>
      </c>
      <c r="E1524" s="152" t="s">
        <v>102</v>
      </c>
      <c r="F1524" s="152" t="s">
        <v>103</v>
      </c>
      <c r="G1524" s="152">
        <v>10</v>
      </c>
      <c r="H1524" s="152">
        <v>193</v>
      </c>
      <c r="I1524" s="153">
        <v>45.055999999999997</v>
      </c>
      <c r="J1524" s="145"/>
      <c r="K1524" s="153" t="s">
        <v>86</v>
      </c>
      <c r="L1524" s="153" t="s">
        <v>86</v>
      </c>
      <c r="M1524" s="153"/>
      <c r="N1524" s="2" t="s">
        <v>57</v>
      </c>
      <c r="O1524" s="2"/>
      <c r="P1524" s="2"/>
    </row>
    <row r="1525" spans="1:16" ht="16.5" customHeight="1" x14ac:dyDescent="0.25">
      <c r="A1525" s="2" t="s">
        <v>2963</v>
      </c>
      <c r="B1525" s="8" t="s">
        <v>2964</v>
      </c>
      <c r="C1525" s="146" t="s">
        <v>714</v>
      </c>
      <c r="D1525" s="2" t="s">
        <v>278</v>
      </c>
      <c r="E1525" s="152" t="s">
        <v>102</v>
      </c>
      <c r="F1525" s="152" t="s">
        <v>103</v>
      </c>
      <c r="G1525" s="152">
        <v>0</v>
      </c>
      <c r="H1525" s="152"/>
      <c r="I1525" s="153">
        <v>32.593000000000004</v>
      </c>
      <c r="J1525" s="145"/>
      <c r="K1525" s="153" t="s">
        <v>86</v>
      </c>
      <c r="L1525" s="153" t="s">
        <v>86</v>
      </c>
      <c r="M1525" s="153"/>
      <c r="N1525" s="2" t="s">
        <v>57</v>
      </c>
      <c r="O1525" s="2"/>
      <c r="P1525" s="2"/>
    </row>
    <row r="1526" spans="1:16" ht="16.5" customHeight="1" x14ac:dyDescent="0.25">
      <c r="A1526" s="2" t="s">
        <v>2965</v>
      </c>
      <c r="B1526" s="8" t="s">
        <v>2966</v>
      </c>
      <c r="C1526" s="146" t="s">
        <v>714</v>
      </c>
      <c r="D1526" s="2" t="s">
        <v>278</v>
      </c>
      <c r="E1526" s="152" t="s">
        <v>102</v>
      </c>
      <c r="F1526" s="152" t="s">
        <v>103</v>
      </c>
      <c r="G1526" s="152">
        <v>0</v>
      </c>
      <c r="H1526" s="152"/>
      <c r="I1526" s="153">
        <v>48.466000000000008</v>
      </c>
      <c r="J1526" s="145"/>
      <c r="K1526" s="153" t="s">
        <v>86</v>
      </c>
      <c r="L1526" s="153" t="s">
        <v>86</v>
      </c>
      <c r="M1526" s="153"/>
      <c r="N1526" s="2" t="s">
        <v>57</v>
      </c>
      <c r="O1526" s="2"/>
      <c r="P1526" s="2"/>
    </row>
    <row r="1527" spans="1:16" ht="16.5" customHeight="1" x14ac:dyDescent="0.25">
      <c r="A1527" s="2" t="s">
        <v>2967</v>
      </c>
      <c r="B1527" s="8" t="s">
        <v>2968</v>
      </c>
      <c r="C1527" s="146" t="s">
        <v>714</v>
      </c>
      <c r="D1527" s="2" t="s">
        <v>278</v>
      </c>
      <c r="E1527" s="152" t="s">
        <v>102</v>
      </c>
      <c r="F1527" s="152" t="s">
        <v>103</v>
      </c>
      <c r="G1527" s="152">
        <v>0</v>
      </c>
      <c r="H1527" s="152"/>
      <c r="I1527" s="153">
        <v>13.794</v>
      </c>
      <c r="J1527" s="145"/>
      <c r="K1527" s="153" t="s">
        <v>86</v>
      </c>
      <c r="L1527" s="153" t="s">
        <v>86</v>
      </c>
      <c r="M1527" s="153"/>
      <c r="N1527" s="2" t="s">
        <v>57</v>
      </c>
      <c r="O1527" s="2"/>
      <c r="P1527" s="2"/>
    </row>
    <row r="1528" spans="1:16" ht="16.5" customHeight="1" x14ac:dyDescent="0.25">
      <c r="A1528" s="2" t="s">
        <v>2969</v>
      </c>
      <c r="B1528" s="8" t="s">
        <v>2970</v>
      </c>
      <c r="C1528" s="146" t="s">
        <v>102</v>
      </c>
      <c r="D1528" s="2" t="s">
        <v>358</v>
      </c>
      <c r="E1528" s="152" t="s">
        <v>102</v>
      </c>
      <c r="F1528" s="152" t="s">
        <v>103</v>
      </c>
      <c r="G1528" s="152">
        <v>0</v>
      </c>
      <c r="H1528" s="152"/>
      <c r="I1528" s="153">
        <v>31.603000000000002</v>
      </c>
      <c r="J1528" s="145"/>
      <c r="K1528" s="153" t="s">
        <v>86</v>
      </c>
      <c r="L1528" s="153" t="s">
        <v>86</v>
      </c>
      <c r="M1528" s="153"/>
      <c r="N1528" s="2" t="s">
        <v>57</v>
      </c>
      <c r="O1528" s="2"/>
      <c r="P1528" s="2"/>
    </row>
    <row r="1529" spans="1:16" ht="16.5" customHeight="1" x14ac:dyDescent="0.25">
      <c r="A1529" s="2" t="s">
        <v>2971</v>
      </c>
      <c r="B1529" s="8" t="s">
        <v>2971</v>
      </c>
      <c r="C1529" s="146" t="s">
        <v>1125</v>
      </c>
      <c r="D1529" s="2" t="s">
        <v>163</v>
      </c>
      <c r="E1529" s="152" t="s">
        <v>102</v>
      </c>
      <c r="F1529" s="152" t="s">
        <v>103</v>
      </c>
      <c r="G1529" s="152">
        <v>52</v>
      </c>
      <c r="H1529" s="152">
        <v>149</v>
      </c>
      <c r="I1529" s="153">
        <v>84.7</v>
      </c>
      <c r="J1529" s="145"/>
      <c r="K1529" s="153">
        <v>-8.5904500000000006</v>
      </c>
      <c r="L1529" s="153" t="s">
        <v>86</v>
      </c>
      <c r="M1529" s="153"/>
      <c r="N1529" s="2" t="s">
        <v>57</v>
      </c>
      <c r="O1529" s="2"/>
      <c r="P1529" s="2"/>
    </row>
    <row r="1530" spans="1:16" ht="16.5" customHeight="1" x14ac:dyDescent="0.25">
      <c r="A1530" s="2" t="s">
        <v>2972</v>
      </c>
      <c r="B1530" s="8" t="s">
        <v>2973</v>
      </c>
      <c r="C1530" s="146" t="s">
        <v>714</v>
      </c>
      <c r="D1530" s="2" t="s">
        <v>132</v>
      </c>
      <c r="E1530" s="152" t="s">
        <v>102</v>
      </c>
      <c r="F1530" s="152" t="s">
        <v>103</v>
      </c>
      <c r="G1530" s="152">
        <v>1</v>
      </c>
      <c r="H1530" s="152"/>
      <c r="I1530" s="153">
        <v>28.423999999999999</v>
      </c>
      <c r="J1530" s="145"/>
      <c r="K1530" s="153" t="s">
        <v>86</v>
      </c>
      <c r="L1530" s="153" t="s">
        <v>86</v>
      </c>
      <c r="M1530" s="153"/>
      <c r="N1530" s="2" t="s">
        <v>57</v>
      </c>
      <c r="O1530" s="2"/>
      <c r="P1530" s="10"/>
    </row>
    <row r="1531" spans="1:16" ht="16.5" customHeight="1" x14ac:dyDescent="0.25">
      <c r="A1531" s="2" t="s">
        <v>2974</v>
      </c>
      <c r="B1531" s="8" t="s">
        <v>2974</v>
      </c>
      <c r="C1531" s="146" t="s">
        <v>2975</v>
      </c>
      <c r="D1531" s="2" t="s">
        <v>278</v>
      </c>
      <c r="E1531" s="152" t="s">
        <v>102</v>
      </c>
      <c r="F1531" s="152" t="s">
        <v>103</v>
      </c>
      <c r="G1531" s="152">
        <v>0</v>
      </c>
      <c r="H1531" s="152"/>
      <c r="I1531" s="153">
        <v>0</v>
      </c>
      <c r="J1531" s="145"/>
      <c r="K1531" s="153" t="s">
        <v>86</v>
      </c>
      <c r="L1531" s="153" t="s">
        <v>86</v>
      </c>
      <c r="M1531" s="153"/>
      <c r="N1531" s="2" t="s">
        <v>57</v>
      </c>
      <c r="O1531" s="2"/>
      <c r="P1531" s="2"/>
    </row>
    <row r="1532" spans="1:16" ht="16.5" customHeight="1" x14ac:dyDescent="0.25">
      <c r="A1532" s="2" t="s">
        <v>2976</v>
      </c>
      <c r="B1532" s="8" t="s">
        <v>2976</v>
      </c>
      <c r="C1532" s="146" t="s">
        <v>2975</v>
      </c>
      <c r="D1532" s="2" t="s">
        <v>278</v>
      </c>
      <c r="E1532" s="152" t="s">
        <v>102</v>
      </c>
      <c r="F1532" s="152" t="s">
        <v>103</v>
      </c>
      <c r="G1532" s="152">
        <v>0</v>
      </c>
      <c r="H1532" s="152"/>
      <c r="I1532" s="153">
        <v>0</v>
      </c>
      <c r="J1532" s="145"/>
      <c r="K1532" s="153" t="s">
        <v>86</v>
      </c>
      <c r="L1532" s="153" t="s">
        <v>86</v>
      </c>
      <c r="M1532" s="153"/>
      <c r="N1532" s="2" t="s">
        <v>57</v>
      </c>
      <c r="O1532" s="2"/>
      <c r="P1532" s="2"/>
    </row>
    <row r="1533" spans="1:16" ht="16.5" customHeight="1" x14ac:dyDescent="0.25">
      <c r="A1533" s="2" t="s">
        <v>2977</v>
      </c>
      <c r="B1533" s="8" t="s">
        <v>2978</v>
      </c>
      <c r="C1533" s="146" t="s">
        <v>753</v>
      </c>
      <c r="D1533" s="2" t="s">
        <v>296</v>
      </c>
      <c r="E1533" s="152" t="s">
        <v>102</v>
      </c>
      <c r="F1533" s="152" t="s">
        <v>103</v>
      </c>
      <c r="G1533" s="152">
        <v>0</v>
      </c>
      <c r="H1533" s="152"/>
      <c r="I1533" s="153">
        <v>3.3109999999999999</v>
      </c>
      <c r="J1533" s="145"/>
      <c r="K1533" s="153" t="s">
        <v>86</v>
      </c>
      <c r="L1533" s="153" t="s">
        <v>86</v>
      </c>
      <c r="M1533" s="153"/>
      <c r="N1533" s="2" t="s">
        <v>57</v>
      </c>
      <c r="O1533" s="2"/>
      <c r="P1533" s="2"/>
    </row>
    <row r="1534" spans="1:16" ht="16.5" customHeight="1" x14ac:dyDescent="0.25">
      <c r="A1534" s="2" t="s">
        <v>2979</v>
      </c>
      <c r="B1534" s="8" t="s">
        <v>2980</v>
      </c>
      <c r="C1534" s="146" t="s">
        <v>753</v>
      </c>
      <c r="D1534" s="2" t="s">
        <v>296</v>
      </c>
      <c r="E1534" s="152" t="s">
        <v>102</v>
      </c>
      <c r="F1534" s="152" t="s">
        <v>103</v>
      </c>
      <c r="G1534" s="152">
        <v>0</v>
      </c>
      <c r="H1534" s="152"/>
      <c r="I1534" s="153">
        <v>9.3390000000000004</v>
      </c>
      <c r="J1534" s="145"/>
      <c r="K1534" s="153" t="s">
        <v>86</v>
      </c>
      <c r="L1534" s="153" t="s">
        <v>86</v>
      </c>
      <c r="M1534" s="153"/>
      <c r="N1534" s="2" t="s">
        <v>57</v>
      </c>
      <c r="O1534" s="2"/>
      <c r="P1534" s="2"/>
    </row>
    <row r="1535" spans="1:16" ht="16.5" customHeight="1" x14ac:dyDescent="0.25">
      <c r="A1535" s="2" t="s">
        <v>2981</v>
      </c>
      <c r="B1535" s="8" t="s">
        <v>2982</v>
      </c>
      <c r="C1535" s="146" t="s">
        <v>753</v>
      </c>
      <c r="D1535" s="2" t="s">
        <v>1513</v>
      </c>
      <c r="E1535" s="152" t="s">
        <v>102</v>
      </c>
      <c r="F1535" s="152" t="s">
        <v>103</v>
      </c>
      <c r="G1535" s="152">
        <v>0</v>
      </c>
      <c r="H1535" s="152"/>
      <c r="I1535" s="153">
        <v>7.128000000000001</v>
      </c>
      <c r="J1535" s="145"/>
      <c r="K1535" s="153" t="s">
        <v>86</v>
      </c>
      <c r="L1535" s="153" t="s">
        <v>86</v>
      </c>
      <c r="M1535" s="153"/>
      <c r="N1535" s="2" t="s">
        <v>57</v>
      </c>
      <c r="O1535" s="2"/>
      <c r="P1535" s="2"/>
    </row>
    <row r="1536" spans="1:16" ht="16.5" customHeight="1" x14ac:dyDescent="0.25">
      <c r="A1536" s="2" t="s">
        <v>2983</v>
      </c>
      <c r="B1536" s="8" t="s">
        <v>2984</v>
      </c>
      <c r="C1536" s="146" t="s">
        <v>1047</v>
      </c>
      <c r="D1536" s="2" t="s">
        <v>278</v>
      </c>
      <c r="E1536" s="152" t="s">
        <v>102</v>
      </c>
      <c r="F1536" s="152" t="s">
        <v>103</v>
      </c>
      <c r="G1536" s="152">
        <v>0</v>
      </c>
      <c r="H1536" s="152"/>
      <c r="I1536" s="153">
        <v>61.435000000000009</v>
      </c>
      <c r="J1536" s="145"/>
      <c r="K1536" s="153" t="s">
        <v>86</v>
      </c>
      <c r="L1536" s="153" t="s">
        <v>86</v>
      </c>
      <c r="M1536" s="153"/>
      <c r="N1536" s="2" t="s">
        <v>57</v>
      </c>
      <c r="O1536" s="2"/>
      <c r="P1536" s="2"/>
    </row>
    <row r="1537" spans="1:16" ht="16.5" customHeight="1" x14ac:dyDescent="0.25">
      <c r="A1537" s="2" t="s">
        <v>2985</v>
      </c>
      <c r="B1537" s="8" t="s">
        <v>2986</v>
      </c>
      <c r="C1537" s="146" t="s">
        <v>714</v>
      </c>
      <c r="D1537" s="2" t="s">
        <v>278</v>
      </c>
      <c r="E1537" s="152" t="s">
        <v>102</v>
      </c>
      <c r="F1537" s="152" t="s">
        <v>103</v>
      </c>
      <c r="G1537" s="152">
        <v>0</v>
      </c>
      <c r="H1537" s="152"/>
      <c r="I1537" s="153">
        <v>35.277000000000001</v>
      </c>
      <c r="J1537" s="145"/>
      <c r="K1537" s="153" t="s">
        <v>86</v>
      </c>
      <c r="L1537" s="153" t="s">
        <v>86</v>
      </c>
      <c r="M1537" s="153"/>
      <c r="N1537" s="2" t="s">
        <v>57</v>
      </c>
      <c r="O1537" s="2"/>
      <c r="P1537" s="2"/>
    </row>
    <row r="1538" spans="1:16" ht="16.5" customHeight="1" x14ac:dyDescent="0.25">
      <c r="A1538" s="2" t="s">
        <v>2987</v>
      </c>
      <c r="B1538" s="8" t="s">
        <v>2988</v>
      </c>
      <c r="C1538" s="146" t="s">
        <v>714</v>
      </c>
      <c r="D1538" s="2" t="s">
        <v>278</v>
      </c>
      <c r="E1538" s="152" t="s">
        <v>102</v>
      </c>
      <c r="F1538" s="152" t="s">
        <v>103</v>
      </c>
      <c r="G1538" s="152">
        <v>0</v>
      </c>
      <c r="H1538" s="152"/>
      <c r="I1538" s="153">
        <v>50.369</v>
      </c>
      <c r="J1538" s="145"/>
      <c r="K1538" s="153" t="s">
        <v>86</v>
      </c>
      <c r="L1538" s="153" t="s">
        <v>86</v>
      </c>
      <c r="M1538" s="153"/>
      <c r="N1538" s="2" t="s">
        <v>57</v>
      </c>
      <c r="O1538" s="2"/>
      <c r="P1538" s="2"/>
    </row>
    <row r="1539" spans="1:16" ht="16.5" customHeight="1" x14ac:dyDescent="0.25">
      <c r="A1539" s="2" t="s">
        <v>2989</v>
      </c>
      <c r="B1539" s="8" t="s">
        <v>2990</v>
      </c>
      <c r="C1539" s="146" t="s">
        <v>102</v>
      </c>
      <c r="D1539" s="2" t="s">
        <v>148</v>
      </c>
      <c r="E1539" s="152" t="s">
        <v>102</v>
      </c>
      <c r="F1539" s="152" t="s">
        <v>103</v>
      </c>
      <c r="G1539" s="152">
        <v>0</v>
      </c>
      <c r="H1539" s="152"/>
      <c r="I1539" s="153">
        <v>3.850000000000001</v>
      </c>
      <c r="J1539" s="145"/>
      <c r="K1539" s="153" t="s">
        <v>86</v>
      </c>
      <c r="L1539" s="153" t="s">
        <v>86</v>
      </c>
      <c r="M1539" s="153"/>
      <c r="N1539" s="2" t="s">
        <v>2991</v>
      </c>
      <c r="O1539" s="2"/>
      <c r="P1539" s="2"/>
    </row>
    <row r="1540" spans="1:16" ht="16.5" customHeight="1" x14ac:dyDescent="0.25">
      <c r="A1540" s="2" t="s">
        <v>2992</v>
      </c>
      <c r="B1540" s="8" t="s">
        <v>2992</v>
      </c>
      <c r="C1540" s="146" t="s">
        <v>778</v>
      </c>
      <c r="D1540" s="2" t="s">
        <v>1290</v>
      </c>
      <c r="E1540" s="152" t="s">
        <v>102</v>
      </c>
      <c r="F1540" s="152" t="s">
        <v>103</v>
      </c>
      <c r="G1540" s="152">
        <v>0</v>
      </c>
      <c r="H1540" s="152"/>
      <c r="I1540" s="153">
        <v>7.6340000000000012</v>
      </c>
      <c r="J1540" s="145"/>
      <c r="K1540" s="153">
        <v>-1.19</v>
      </c>
      <c r="L1540" s="153" t="s">
        <v>86</v>
      </c>
      <c r="M1540" s="153"/>
      <c r="N1540" s="2" t="s">
        <v>2991</v>
      </c>
      <c r="O1540" s="2"/>
      <c r="P1540" s="2"/>
    </row>
    <row r="1541" spans="1:16" ht="16.5" customHeight="1" x14ac:dyDescent="0.25">
      <c r="A1541" s="2" t="s">
        <v>2993</v>
      </c>
      <c r="B1541" s="8" t="s">
        <v>2993</v>
      </c>
      <c r="C1541" s="146" t="s">
        <v>2067</v>
      </c>
      <c r="D1541" s="2" t="s">
        <v>869</v>
      </c>
      <c r="E1541" s="152" t="s">
        <v>102</v>
      </c>
      <c r="F1541" s="152" t="s">
        <v>103</v>
      </c>
      <c r="G1541" s="152">
        <v>0</v>
      </c>
      <c r="H1541" s="152"/>
      <c r="I1541" s="153">
        <v>0</v>
      </c>
      <c r="J1541" s="145"/>
      <c r="K1541" s="153" t="s">
        <v>86</v>
      </c>
      <c r="L1541" s="153" t="s">
        <v>86</v>
      </c>
      <c r="M1541" s="153"/>
      <c r="N1541" s="2" t="s">
        <v>2991</v>
      </c>
      <c r="O1541" s="2"/>
      <c r="P1541" s="2"/>
    </row>
    <row r="1542" spans="1:16" ht="16.5" customHeight="1" x14ac:dyDescent="0.25">
      <c r="A1542" s="8" t="s">
        <v>2994</v>
      </c>
      <c r="B1542" s="8" t="s">
        <v>2994</v>
      </c>
      <c r="C1542" s="146" t="s">
        <v>778</v>
      </c>
      <c r="D1542" s="2" t="s">
        <v>1290</v>
      </c>
      <c r="E1542" s="152" t="s">
        <v>102</v>
      </c>
      <c r="F1542" s="152" t="s">
        <v>103</v>
      </c>
      <c r="G1542" s="152">
        <v>0</v>
      </c>
      <c r="H1542" s="152"/>
      <c r="I1542" s="153">
        <v>16.181000000000001</v>
      </c>
      <c r="J1542" s="145"/>
      <c r="K1542" s="153" t="s">
        <v>86</v>
      </c>
      <c r="L1542" s="153" t="s">
        <v>86</v>
      </c>
      <c r="M1542" s="153"/>
      <c r="N1542" s="2" t="s">
        <v>2991</v>
      </c>
      <c r="O1542" s="2"/>
      <c r="P1542" s="2"/>
    </row>
    <row r="1543" spans="1:16" ht="16.5" customHeight="1" x14ac:dyDescent="0.25">
      <c r="A1543" s="2" t="s">
        <v>2995</v>
      </c>
      <c r="B1543" s="8" t="s">
        <v>2995</v>
      </c>
      <c r="C1543" s="152" t="s">
        <v>102</v>
      </c>
      <c r="D1543" s="2" t="s">
        <v>278</v>
      </c>
      <c r="E1543" s="152" t="s">
        <v>102</v>
      </c>
      <c r="F1543" s="152" t="s">
        <v>103</v>
      </c>
      <c r="G1543" s="152">
        <v>0</v>
      </c>
      <c r="H1543" s="152"/>
      <c r="I1543" s="153">
        <v>21.110833333333339</v>
      </c>
      <c r="J1543" s="145"/>
      <c r="K1543" s="153" t="s">
        <v>86</v>
      </c>
      <c r="L1543" s="153" t="s">
        <v>86</v>
      </c>
      <c r="M1543" s="153"/>
      <c r="N1543" s="2" t="s">
        <v>57</v>
      </c>
      <c r="O1543" s="2"/>
      <c r="P1543" s="10"/>
    </row>
    <row r="1544" spans="1:16" ht="16.5" customHeight="1" x14ac:dyDescent="0.25">
      <c r="A1544" s="2" t="s">
        <v>2996</v>
      </c>
      <c r="B1544" s="2" t="s">
        <v>2996</v>
      </c>
      <c r="C1544" s="152" t="s">
        <v>102</v>
      </c>
      <c r="D1544" s="2" t="s">
        <v>148</v>
      </c>
      <c r="E1544" s="152" t="s">
        <v>102</v>
      </c>
      <c r="F1544" s="152" t="s">
        <v>103</v>
      </c>
      <c r="G1544" s="152">
        <v>0</v>
      </c>
      <c r="H1544" s="152"/>
      <c r="I1544" s="153">
        <v>34.936000000000007</v>
      </c>
      <c r="J1544" s="145"/>
      <c r="K1544" s="153" t="s">
        <v>86</v>
      </c>
      <c r="L1544" s="153" t="s">
        <v>86</v>
      </c>
      <c r="M1544" s="153"/>
      <c r="N1544" s="2" t="s">
        <v>57</v>
      </c>
      <c r="O1544" s="2"/>
      <c r="P1544" s="10"/>
    </row>
    <row r="1545" spans="1:16" ht="16.5" customHeight="1" x14ac:dyDescent="0.25">
      <c r="A1545" s="2" t="s">
        <v>2997</v>
      </c>
      <c r="B1545" s="2" t="s">
        <v>2997</v>
      </c>
      <c r="C1545" s="152" t="s">
        <v>102</v>
      </c>
      <c r="D1545" s="2" t="s">
        <v>278</v>
      </c>
      <c r="E1545" s="152" t="s">
        <v>102</v>
      </c>
      <c r="F1545" s="152" t="s">
        <v>103</v>
      </c>
      <c r="G1545" s="152">
        <v>0</v>
      </c>
      <c r="H1545" s="152"/>
      <c r="I1545" s="153">
        <v>15.542999999999999</v>
      </c>
      <c r="J1545" s="145"/>
      <c r="K1545" s="153">
        <v>-4.0718302093096028</v>
      </c>
      <c r="L1545" s="153" t="s">
        <v>86</v>
      </c>
      <c r="M1545" s="153"/>
      <c r="N1545" s="2" t="s">
        <v>57</v>
      </c>
      <c r="O1545" s="2"/>
      <c r="P1545" s="10"/>
    </row>
    <row r="1546" spans="1:16" ht="16.5" customHeight="1" x14ac:dyDescent="0.25">
      <c r="A1546" s="2" t="s">
        <v>2998</v>
      </c>
      <c r="B1546" s="2" t="s">
        <v>2998</v>
      </c>
      <c r="C1546" s="152" t="s">
        <v>102</v>
      </c>
      <c r="D1546" s="2" t="s">
        <v>278</v>
      </c>
      <c r="E1546" s="152" t="s">
        <v>102</v>
      </c>
      <c r="F1546" s="152" t="s">
        <v>103</v>
      </c>
      <c r="G1546" s="152">
        <v>0</v>
      </c>
      <c r="H1546" s="152"/>
      <c r="I1546" s="153">
        <v>5.8410000000000002</v>
      </c>
      <c r="J1546" s="145"/>
      <c r="K1546" s="153">
        <v>-1.669806147937982</v>
      </c>
      <c r="L1546" s="153" t="s">
        <v>86</v>
      </c>
      <c r="M1546" s="153"/>
      <c r="N1546" s="2" t="s">
        <v>57</v>
      </c>
      <c r="O1546" s="2"/>
      <c r="P1546" s="10"/>
    </row>
    <row r="1547" spans="1:16" ht="16.5" customHeight="1" x14ac:dyDescent="0.25">
      <c r="A1547" s="2" t="s">
        <v>2999</v>
      </c>
      <c r="B1547" s="2" t="s">
        <v>2999</v>
      </c>
      <c r="C1547" s="152" t="s">
        <v>102</v>
      </c>
      <c r="D1547" s="2" t="s">
        <v>278</v>
      </c>
      <c r="E1547" s="152" t="s">
        <v>102</v>
      </c>
      <c r="F1547" s="152" t="s">
        <v>103</v>
      </c>
      <c r="G1547" s="152">
        <v>0</v>
      </c>
      <c r="H1547" s="152"/>
      <c r="I1547" s="153">
        <v>4.8180000000000014</v>
      </c>
      <c r="J1547" s="145"/>
      <c r="K1547" s="153">
        <v>-1.2121082296121199</v>
      </c>
      <c r="L1547" s="153" t="s">
        <v>86</v>
      </c>
      <c r="M1547" s="153"/>
      <c r="N1547" s="2" t="s">
        <v>57</v>
      </c>
      <c r="O1547" s="2"/>
      <c r="P1547" s="10"/>
    </row>
    <row r="1548" spans="1:16" ht="16.5" customHeight="1" x14ac:dyDescent="0.25">
      <c r="A1548" s="2" t="s">
        <v>3000</v>
      </c>
      <c r="B1548" s="2" t="s">
        <v>3000</v>
      </c>
      <c r="C1548" s="152" t="s">
        <v>102</v>
      </c>
      <c r="D1548" s="2" t="s">
        <v>278</v>
      </c>
      <c r="E1548" s="152" t="s">
        <v>102</v>
      </c>
      <c r="F1548" s="152" t="s">
        <v>103</v>
      </c>
      <c r="G1548" s="152">
        <v>0</v>
      </c>
      <c r="H1548" s="152"/>
      <c r="I1548" s="153">
        <v>3.069</v>
      </c>
      <c r="J1548" s="145"/>
      <c r="K1548" s="153">
        <v>-0.71164563176658813</v>
      </c>
      <c r="L1548" s="153" t="s">
        <v>86</v>
      </c>
      <c r="M1548" s="153"/>
      <c r="N1548" s="2" t="s">
        <v>57</v>
      </c>
      <c r="O1548" s="2"/>
      <c r="P1548" s="10"/>
    </row>
    <row r="1549" spans="1:16" ht="16.5" customHeight="1" x14ac:dyDescent="0.25">
      <c r="A1549" s="2" t="s">
        <v>3001</v>
      </c>
      <c r="B1549" s="8" t="s">
        <v>3001</v>
      </c>
      <c r="C1549" s="152" t="s">
        <v>102</v>
      </c>
      <c r="D1549" s="2" t="s">
        <v>278</v>
      </c>
      <c r="E1549" s="152" t="s">
        <v>102</v>
      </c>
      <c r="F1549" s="152" t="s">
        <v>103</v>
      </c>
      <c r="G1549" s="152">
        <v>0</v>
      </c>
      <c r="H1549" s="152"/>
      <c r="I1549" s="153">
        <v>35.925929487179488</v>
      </c>
      <c r="J1549" s="145"/>
      <c r="K1549" s="153" t="s">
        <v>86</v>
      </c>
      <c r="L1549" s="153" t="s">
        <v>86</v>
      </c>
      <c r="M1549" s="153"/>
      <c r="N1549" s="2" t="s">
        <v>57</v>
      </c>
      <c r="O1549" s="2"/>
      <c r="P1549" s="10"/>
    </row>
    <row r="1550" spans="1:16" ht="16.5" customHeight="1" x14ac:dyDescent="0.25">
      <c r="A1550" s="2" t="s">
        <v>3002</v>
      </c>
      <c r="B1550" s="2" t="s">
        <v>3002</v>
      </c>
      <c r="C1550" s="152" t="s">
        <v>102</v>
      </c>
      <c r="D1550" s="2" t="s">
        <v>278</v>
      </c>
      <c r="E1550" s="152" t="s">
        <v>102</v>
      </c>
      <c r="F1550" s="152" t="s">
        <v>103</v>
      </c>
      <c r="G1550" s="152">
        <v>0</v>
      </c>
      <c r="H1550" s="152"/>
      <c r="I1550" s="153">
        <v>43.604000000000013</v>
      </c>
      <c r="J1550" s="145"/>
      <c r="K1550" s="153">
        <v>-8.9522222222222236</v>
      </c>
      <c r="L1550" s="153" t="s">
        <v>86</v>
      </c>
      <c r="M1550" s="153"/>
      <c r="N1550" s="2" t="s">
        <v>2991</v>
      </c>
      <c r="O1550" s="2"/>
      <c r="P1550" s="10"/>
    </row>
    <row r="1551" spans="1:16" ht="16.5" customHeight="1" x14ac:dyDescent="0.25">
      <c r="A1551" s="2" t="s">
        <v>3003</v>
      </c>
      <c r="B1551" s="2" t="s">
        <v>3003</v>
      </c>
      <c r="C1551" s="152" t="s">
        <v>102</v>
      </c>
      <c r="D1551" s="2" t="s">
        <v>278</v>
      </c>
      <c r="E1551" s="152" t="s">
        <v>102</v>
      </c>
      <c r="F1551" s="152" t="s">
        <v>103</v>
      </c>
      <c r="G1551" s="152">
        <v>0</v>
      </c>
      <c r="H1551" s="152"/>
      <c r="I1551" s="153">
        <v>46.408999999999999</v>
      </c>
      <c r="J1551" s="145"/>
      <c r="K1551" s="153">
        <v>-9.9180740740740756</v>
      </c>
      <c r="L1551" s="153" t="s">
        <v>86</v>
      </c>
      <c r="M1551" s="153"/>
      <c r="N1551" s="2" t="s">
        <v>2991</v>
      </c>
      <c r="O1551" s="2"/>
      <c r="P1551" s="10"/>
    </row>
    <row r="1552" spans="1:16" ht="16.5" customHeight="1" x14ac:dyDescent="0.25">
      <c r="A1552" s="2" t="s">
        <v>3004</v>
      </c>
      <c r="B1552" s="2" t="s">
        <v>3004</v>
      </c>
      <c r="C1552" s="152" t="s">
        <v>102</v>
      </c>
      <c r="D1552" s="2" t="s">
        <v>54</v>
      </c>
      <c r="E1552" s="152" t="s">
        <v>102</v>
      </c>
      <c r="F1552" s="152" t="s">
        <v>103</v>
      </c>
      <c r="G1552" s="152">
        <v>0</v>
      </c>
      <c r="H1552" s="152"/>
      <c r="I1552" s="153">
        <v>0</v>
      </c>
      <c r="J1552" s="145"/>
      <c r="K1552" s="153" t="s">
        <v>86</v>
      </c>
      <c r="L1552" s="153" t="s">
        <v>86</v>
      </c>
      <c r="M1552" s="153"/>
      <c r="N1552" s="2" t="s">
        <v>57</v>
      </c>
      <c r="O1552" s="2"/>
      <c r="P1552" s="10"/>
    </row>
    <row r="1553" spans="1:16" ht="16.5" customHeight="1" x14ac:dyDescent="0.25">
      <c r="A1553" s="2" t="s">
        <v>3005</v>
      </c>
      <c r="B1553" s="8" t="s">
        <v>3005</v>
      </c>
      <c r="C1553" s="152" t="s">
        <v>102</v>
      </c>
      <c r="D1553" s="2" t="s">
        <v>278</v>
      </c>
      <c r="E1553" s="152" t="s">
        <v>102</v>
      </c>
      <c r="F1553" s="152" t="s">
        <v>103</v>
      </c>
      <c r="G1553" s="152">
        <v>0</v>
      </c>
      <c r="H1553" s="152"/>
      <c r="I1553" s="153">
        <v>35.080833333333338</v>
      </c>
      <c r="J1553" s="145"/>
      <c r="K1553" s="153" t="s">
        <v>86</v>
      </c>
      <c r="L1553" s="153" t="s">
        <v>86</v>
      </c>
      <c r="M1553" s="153"/>
      <c r="N1553" s="2" t="s">
        <v>57</v>
      </c>
      <c r="O1553" s="2"/>
      <c r="P1553" s="10"/>
    </row>
    <row r="1554" spans="1:16" ht="16.5" customHeight="1" x14ac:dyDescent="0.25">
      <c r="A1554" s="2" t="s">
        <v>3006</v>
      </c>
      <c r="B1554" s="2" t="s">
        <v>923</v>
      </c>
      <c r="C1554" s="152" t="s">
        <v>102</v>
      </c>
      <c r="D1554" s="2" t="s">
        <v>148</v>
      </c>
      <c r="E1554" s="152" t="s">
        <v>102</v>
      </c>
      <c r="F1554" s="152" t="s">
        <v>103</v>
      </c>
      <c r="G1554" s="152">
        <v>1</v>
      </c>
      <c r="H1554" s="152">
        <v>386</v>
      </c>
      <c r="I1554" s="153">
        <v>15.598000000000001</v>
      </c>
      <c r="J1554" s="145"/>
      <c r="K1554" s="153">
        <v>-6.8633333333333333</v>
      </c>
      <c r="L1554" s="153" t="s">
        <v>86</v>
      </c>
      <c r="M1554" s="153"/>
      <c r="N1554" s="2" t="s">
        <v>57</v>
      </c>
      <c r="O1554" s="2"/>
      <c r="P1554" s="10"/>
    </row>
    <row r="1555" spans="1:16" ht="16.5" customHeight="1" x14ac:dyDescent="0.25">
      <c r="A1555" s="2" t="s">
        <v>3007</v>
      </c>
      <c r="B1555" s="8" t="s">
        <v>3007</v>
      </c>
      <c r="C1555" s="152" t="s">
        <v>102</v>
      </c>
      <c r="D1555" s="2" t="s">
        <v>278</v>
      </c>
      <c r="E1555" s="152" t="s">
        <v>102</v>
      </c>
      <c r="F1555" s="152" t="s">
        <v>103</v>
      </c>
      <c r="G1555" s="152">
        <v>0</v>
      </c>
      <c r="H1555" s="152"/>
      <c r="I1555" s="153">
        <v>43.387243589743591</v>
      </c>
      <c r="J1555" s="145"/>
      <c r="K1555" s="153" t="s">
        <v>86</v>
      </c>
      <c r="L1555" s="153" t="s">
        <v>86</v>
      </c>
      <c r="M1555" s="153"/>
      <c r="N1555" s="2" t="s">
        <v>57</v>
      </c>
      <c r="O1555" s="2"/>
      <c r="P1555" s="10"/>
    </row>
    <row r="1556" spans="1:16" ht="16.5" customHeight="1" x14ac:dyDescent="0.25">
      <c r="A1556" s="2" t="s">
        <v>3008</v>
      </c>
      <c r="B1556" s="8" t="s">
        <v>3008</v>
      </c>
      <c r="C1556" s="152" t="s">
        <v>102</v>
      </c>
      <c r="D1556" s="2" t="s">
        <v>278</v>
      </c>
      <c r="E1556" s="152" t="s">
        <v>102</v>
      </c>
      <c r="F1556" s="152" t="s">
        <v>103</v>
      </c>
      <c r="G1556" s="152">
        <v>0</v>
      </c>
      <c r="H1556" s="152"/>
      <c r="I1556" s="153">
        <v>68.182548076923098</v>
      </c>
      <c r="J1556" s="145"/>
      <c r="K1556" s="153" t="s">
        <v>86</v>
      </c>
      <c r="L1556" s="153" t="s">
        <v>86</v>
      </c>
      <c r="M1556" s="153"/>
      <c r="N1556" s="2" t="s">
        <v>57</v>
      </c>
      <c r="O1556" s="2"/>
      <c r="P1556" s="10"/>
    </row>
    <row r="1557" spans="1:16" ht="16.5" customHeight="1" x14ac:dyDescent="0.25">
      <c r="A1557" s="2" t="s">
        <v>3009</v>
      </c>
      <c r="B1557" s="2" t="s">
        <v>3009</v>
      </c>
      <c r="C1557" s="146" t="s">
        <v>102</v>
      </c>
      <c r="D1557" s="2" t="s">
        <v>278</v>
      </c>
      <c r="E1557" s="152" t="s">
        <v>102</v>
      </c>
      <c r="F1557" s="152" t="s">
        <v>103</v>
      </c>
      <c r="G1557" s="152">
        <v>0</v>
      </c>
      <c r="H1557" s="152"/>
      <c r="I1557" s="153">
        <v>70.290000000000006</v>
      </c>
      <c r="J1557" s="145"/>
      <c r="K1557" s="153">
        <v>-8.8333333333333339</v>
      </c>
      <c r="L1557" s="153" t="s">
        <v>86</v>
      </c>
      <c r="M1557" s="153"/>
      <c r="N1557" s="2" t="s">
        <v>2991</v>
      </c>
      <c r="O1557" s="2"/>
      <c r="P1557" s="10"/>
    </row>
    <row r="1558" spans="1:16" ht="16.5" customHeight="1" x14ac:dyDescent="0.25">
      <c r="A1558" s="2" t="s">
        <v>3010</v>
      </c>
      <c r="B1558" s="2" t="s">
        <v>3010</v>
      </c>
      <c r="C1558" s="146" t="s">
        <v>102</v>
      </c>
      <c r="D1558" s="2" t="s">
        <v>278</v>
      </c>
      <c r="E1558" s="152" t="s">
        <v>102</v>
      </c>
      <c r="F1558" s="152" t="s">
        <v>103</v>
      </c>
      <c r="G1558" s="152">
        <v>0</v>
      </c>
      <c r="H1558" s="152"/>
      <c r="I1558" s="153">
        <v>67.254000000000005</v>
      </c>
      <c r="J1558" s="145"/>
      <c r="K1558" s="153">
        <v>-11.36428571428571</v>
      </c>
      <c r="L1558" s="153" t="s">
        <v>86</v>
      </c>
      <c r="M1558" s="153"/>
      <c r="N1558" s="2" t="s">
        <v>2991</v>
      </c>
      <c r="O1558" s="2"/>
      <c r="P1558" s="10"/>
    </row>
    <row r="1559" spans="1:16" ht="16.5" customHeight="1" x14ac:dyDescent="0.25">
      <c r="A1559" s="2" t="s">
        <v>3011</v>
      </c>
      <c r="B1559" s="2" t="s">
        <v>3011</v>
      </c>
      <c r="C1559" s="146" t="s">
        <v>102</v>
      </c>
      <c r="D1559" s="2" t="s">
        <v>278</v>
      </c>
      <c r="E1559" s="152" t="s">
        <v>102</v>
      </c>
      <c r="F1559" s="152" t="s">
        <v>103</v>
      </c>
      <c r="G1559" s="152">
        <v>0</v>
      </c>
      <c r="H1559" s="152"/>
      <c r="I1559" s="153">
        <v>18.271000000000001</v>
      </c>
      <c r="J1559" s="145"/>
      <c r="K1559" s="153" t="s">
        <v>86</v>
      </c>
      <c r="L1559" s="153" t="s">
        <v>86</v>
      </c>
      <c r="M1559" s="153"/>
      <c r="N1559" s="2" t="s">
        <v>57</v>
      </c>
      <c r="O1559" s="2"/>
      <c r="P1559" s="10"/>
    </row>
    <row r="1560" spans="1:16" ht="16.5" customHeight="1" x14ac:dyDescent="0.25">
      <c r="A1560" s="2" t="s">
        <v>3012</v>
      </c>
      <c r="B1560" s="2" t="s">
        <v>3012</v>
      </c>
      <c r="C1560" s="146" t="s">
        <v>102</v>
      </c>
      <c r="D1560" s="2" t="s">
        <v>278</v>
      </c>
      <c r="E1560" s="152" t="s">
        <v>102</v>
      </c>
      <c r="F1560" s="152" t="s">
        <v>103</v>
      </c>
      <c r="G1560" s="152">
        <v>0</v>
      </c>
      <c r="H1560" s="152"/>
      <c r="I1560" s="153">
        <v>97.031000000000006</v>
      </c>
      <c r="J1560" s="145"/>
      <c r="K1560" s="153">
        <v>-19.201111111111111</v>
      </c>
      <c r="L1560" s="153" t="s">
        <v>86</v>
      </c>
      <c r="M1560" s="153"/>
      <c r="N1560" s="2" t="s">
        <v>57</v>
      </c>
      <c r="O1560" s="2"/>
      <c r="P1560" s="10"/>
    </row>
    <row r="1561" spans="1:16" ht="16.5" customHeight="1" x14ac:dyDescent="0.25">
      <c r="A1561" s="2" t="s">
        <v>3013</v>
      </c>
      <c r="B1561" s="2" t="s">
        <v>3013</v>
      </c>
      <c r="C1561" s="146" t="s">
        <v>102</v>
      </c>
      <c r="D1561" s="2" t="s">
        <v>278</v>
      </c>
      <c r="E1561" s="152" t="s">
        <v>102</v>
      </c>
      <c r="F1561" s="152" t="s">
        <v>103</v>
      </c>
      <c r="G1561" s="152">
        <v>0</v>
      </c>
      <c r="H1561" s="152"/>
      <c r="I1561" s="153">
        <v>75.944000000000017</v>
      </c>
      <c r="J1561" s="145"/>
      <c r="K1561" s="153">
        <v>-12.12125</v>
      </c>
      <c r="L1561" s="153" t="s">
        <v>86</v>
      </c>
      <c r="M1561" s="153"/>
      <c r="N1561" s="2" t="s">
        <v>57</v>
      </c>
      <c r="O1561" s="2"/>
      <c r="P1561" s="10"/>
    </row>
    <row r="1562" spans="1:16" ht="16.5" customHeight="1" x14ac:dyDescent="0.25">
      <c r="A1562" s="2" t="s">
        <v>3014</v>
      </c>
      <c r="B1562" s="2" t="s">
        <v>3014</v>
      </c>
      <c r="C1562" s="146" t="s">
        <v>102</v>
      </c>
      <c r="D1562" s="2" t="s">
        <v>278</v>
      </c>
      <c r="E1562" s="152" t="s">
        <v>102</v>
      </c>
      <c r="F1562" s="152" t="s">
        <v>103</v>
      </c>
      <c r="G1562" s="152">
        <v>0</v>
      </c>
      <c r="H1562" s="152"/>
      <c r="I1562" s="153">
        <v>32.593000000000004</v>
      </c>
      <c r="J1562" s="145"/>
      <c r="K1562" s="153" t="s">
        <v>86</v>
      </c>
      <c r="L1562" s="153" t="s">
        <v>86</v>
      </c>
      <c r="M1562" s="153"/>
      <c r="N1562" s="2" t="s">
        <v>57</v>
      </c>
      <c r="O1562" s="2"/>
      <c r="P1562" s="10"/>
    </row>
    <row r="1563" spans="1:16" ht="16.5" customHeight="1" x14ac:dyDescent="0.25">
      <c r="A1563" s="2" t="s">
        <v>3015</v>
      </c>
      <c r="B1563" s="2" t="s">
        <v>3015</v>
      </c>
      <c r="C1563" s="146" t="s">
        <v>102</v>
      </c>
      <c r="D1563" s="2" t="s">
        <v>278</v>
      </c>
      <c r="E1563" s="152" t="s">
        <v>102</v>
      </c>
      <c r="F1563" s="152" t="s">
        <v>103</v>
      </c>
      <c r="G1563" s="152">
        <v>32</v>
      </c>
      <c r="H1563" s="152">
        <v>75</v>
      </c>
      <c r="I1563" s="153">
        <v>29.436</v>
      </c>
      <c r="J1563" s="145"/>
      <c r="K1563" s="153">
        <v>-6.2727162698412693</v>
      </c>
      <c r="L1563" s="153" t="s">
        <v>86</v>
      </c>
      <c r="M1563" s="153"/>
      <c r="N1563" s="2" t="s">
        <v>57</v>
      </c>
      <c r="O1563" s="2"/>
      <c r="P1563" s="10"/>
    </row>
    <row r="1564" spans="1:16" ht="16.5" customHeight="1" x14ac:dyDescent="0.25">
      <c r="A1564" s="2" t="s">
        <v>3016</v>
      </c>
      <c r="B1564" s="2" t="s">
        <v>3016</v>
      </c>
      <c r="C1564" s="146" t="s">
        <v>102</v>
      </c>
      <c r="D1564" s="2" t="s">
        <v>278</v>
      </c>
      <c r="E1564" s="152" t="s">
        <v>102</v>
      </c>
      <c r="F1564" s="152" t="s">
        <v>103</v>
      </c>
      <c r="G1564" s="152">
        <v>0</v>
      </c>
      <c r="H1564" s="152"/>
      <c r="I1564" s="153">
        <v>42.305999999999997</v>
      </c>
      <c r="J1564" s="145"/>
      <c r="K1564" s="153">
        <v>-9.5917235641438552</v>
      </c>
      <c r="L1564" s="153" t="s">
        <v>86</v>
      </c>
      <c r="M1564" s="153"/>
      <c r="N1564" s="2" t="s">
        <v>57</v>
      </c>
      <c r="O1564" s="2"/>
      <c r="P1564" s="10"/>
    </row>
    <row r="1565" spans="1:16" ht="16.5" customHeight="1" x14ac:dyDescent="0.25">
      <c r="A1565" s="2" t="s">
        <v>3017</v>
      </c>
      <c r="B1565" s="2" t="s">
        <v>3017</v>
      </c>
      <c r="C1565" s="146" t="s">
        <v>102</v>
      </c>
      <c r="D1565" s="2" t="s">
        <v>163</v>
      </c>
      <c r="E1565" s="152" t="s">
        <v>102</v>
      </c>
      <c r="F1565" s="152" t="s">
        <v>103</v>
      </c>
      <c r="G1565" s="152">
        <v>0</v>
      </c>
      <c r="H1565" s="152"/>
      <c r="I1565" s="153">
        <v>42.493000000000009</v>
      </c>
      <c r="J1565" s="145"/>
      <c r="K1565" s="153">
        <v>-8.0219665745258393</v>
      </c>
      <c r="L1565" s="153">
        <v>-10.029999999999999</v>
      </c>
      <c r="M1565" s="153"/>
      <c r="N1565" s="2" t="s">
        <v>2991</v>
      </c>
      <c r="O1565" s="2"/>
      <c r="P1565" s="10"/>
    </row>
    <row r="1566" spans="1:16" ht="16.5" customHeight="1" x14ac:dyDescent="0.25">
      <c r="A1566" s="2" t="s">
        <v>3018</v>
      </c>
      <c r="B1566" s="2" t="s">
        <v>3018</v>
      </c>
      <c r="C1566" s="146" t="s">
        <v>102</v>
      </c>
      <c r="D1566" s="2" t="s">
        <v>163</v>
      </c>
      <c r="E1566" s="152" t="s">
        <v>102</v>
      </c>
      <c r="F1566" s="152" t="s">
        <v>103</v>
      </c>
      <c r="G1566" s="152">
        <v>0</v>
      </c>
      <c r="H1566" s="152"/>
      <c r="I1566" s="153">
        <v>15.51</v>
      </c>
      <c r="J1566" s="145"/>
      <c r="K1566" s="153">
        <v>-2.7667586326805549</v>
      </c>
      <c r="L1566" s="153">
        <v>-1.3721099051811769</v>
      </c>
      <c r="M1566" s="153"/>
      <c r="N1566" s="2" t="s">
        <v>2991</v>
      </c>
      <c r="O1566" s="2"/>
      <c r="P1566" s="10"/>
    </row>
    <row r="1567" spans="1:16" ht="16.5" customHeight="1" x14ac:dyDescent="0.25">
      <c r="A1567" s="146" t="s">
        <v>3019</v>
      </c>
      <c r="B1567" s="146" t="s">
        <v>3019</v>
      </c>
      <c r="C1567" s="146" t="s">
        <v>102</v>
      </c>
      <c r="D1567" s="2" t="s">
        <v>148</v>
      </c>
      <c r="E1567" s="152" t="s">
        <v>102</v>
      </c>
      <c r="F1567" s="152" t="s">
        <v>103</v>
      </c>
      <c r="G1567" s="152">
        <v>28</v>
      </c>
      <c r="H1567" s="152">
        <v>85</v>
      </c>
      <c r="I1567" s="153">
        <v>10.175000000000001</v>
      </c>
      <c r="J1567" s="145"/>
      <c r="K1567" s="153">
        <v>-5.2442387946523814</v>
      </c>
      <c r="L1567" s="153">
        <v>-1.56</v>
      </c>
      <c r="M1567" s="153"/>
      <c r="N1567" s="2" t="s">
        <v>57</v>
      </c>
      <c r="O1567" s="2"/>
      <c r="P1567" s="2"/>
    </row>
    <row r="1568" spans="1:16" ht="16.5" customHeight="1" x14ac:dyDescent="0.25">
      <c r="A1568" s="146" t="s">
        <v>3020</v>
      </c>
      <c r="B1568" s="146" t="s">
        <v>3020</v>
      </c>
      <c r="C1568" s="146" t="s">
        <v>102</v>
      </c>
      <c r="D1568" s="2" t="s">
        <v>278</v>
      </c>
      <c r="E1568" s="152" t="s">
        <v>102</v>
      </c>
      <c r="F1568" s="152" t="s">
        <v>103</v>
      </c>
      <c r="G1568" s="152">
        <v>0</v>
      </c>
      <c r="H1568" s="152">
        <v>561</v>
      </c>
      <c r="I1568" s="153">
        <v>69.52000000000001</v>
      </c>
      <c r="J1568" s="145"/>
      <c r="K1568" s="153" t="s">
        <v>86</v>
      </c>
      <c r="L1568" s="153" t="s">
        <v>86</v>
      </c>
      <c r="M1568" s="153"/>
      <c r="N1568" s="2" t="s">
        <v>57</v>
      </c>
      <c r="O1568" s="2"/>
      <c r="P1568" s="2"/>
    </row>
    <row r="1569" spans="1:16" ht="16.5" customHeight="1" x14ac:dyDescent="0.25">
      <c r="A1569" s="146" t="s">
        <v>3021</v>
      </c>
      <c r="B1569" s="146" t="s">
        <v>3021</v>
      </c>
      <c r="C1569" s="146" t="s">
        <v>102</v>
      </c>
      <c r="D1569" s="2" t="s">
        <v>278</v>
      </c>
      <c r="E1569" s="152" t="s">
        <v>102</v>
      </c>
      <c r="F1569" s="152" t="s">
        <v>103</v>
      </c>
      <c r="G1569" s="152">
        <v>4</v>
      </c>
      <c r="H1569" s="152">
        <v>215</v>
      </c>
      <c r="I1569" s="153">
        <v>37.521000000000001</v>
      </c>
      <c r="J1569" s="145"/>
      <c r="K1569" s="153" t="s">
        <v>86</v>
      </c>
      <c r="L1569" s="153" t="s">
        <v>86</v>
      </c>
      <c r="M1569" s="153"/>
      <c r="N1569" s="2" t="s">
        <v>57</v>
      </c>
      <c r="O1569" s="2"/>
      <c r="P1569" s="2"/>
    </row>
    <row r="1570" spans="1:16" ht="16.5" customHeight="1" x14ac:dyDescent="0.25">
      <c r="A1570" s="146" t="s">
        <v>3022</v>
      </c>
      <c r="B1570" s="146" t="s">
        <v>3022</v>
      </c>
      <c r="C1570" s="146" t="s">
        <v>102</v>
      </c>
      <c r="D1570" s="2" t="s">
        <v>278</v>
      </c>
      <c r="E1570" s="152" t="s">
        <v>102</v>
      </c>
      <c r="F1570" s="152" t="s">
        <v>103</v>
      </c>
      <c r="G1570" s="152">
        <v>0</v>
      </c>
      <c r="H1570" s="152"/>
      <c r="I1570" s="153">
        <v>17.39833333333333</v>
      </c>
      <c r="J1570" s="145"/>
      <c r="K1570" s="153" t="s">
        <v>86</v>
      </c>
      <c r="L1570" s="153">
        <v>-8.3763462110973723</v>
      </c>
      <c r="M1570" s="153"/>
      <c r="N1570" s="2" t="s">
        <v>57</v>
      </c>
      <c r="O1570" s="2"/>
      <c r="P1570" s="2"/>
    </row>
    <row r="1571" spans="1:16" ht="16.5" customHeight="1" x14ac:dyDescent="0.25">
      <c r="A1571" s="146" t="s">
        <v>3023</v>
      </c>
      <c r="B1571" s="146" t="s">
        <v>3023</v>
      </c>
      <c r="C1571" s="146" t="s">
        <v>102</v>
      </c>
      <c r="D1571" s="2" t="s">
        <v>278</v>
      </c>
      <c r="E1571" s="152" t="s">
        <v>102</v>
      </c>
      <c r="F1571" s="152" t="s">
        <v>103</v>
      </c>
      <c r="G1571" s="152">
        <v>0</v>
      </c>
      <c r="H1571" s="152"/>
      <c r="I1571" s="153">
        <v>48.279000000000003</v>
      </c>
      <c r="J1571" s="145"/>
      <c r="K1571" s="153">
        <v>-12.46538333333333</v>
      </c>
      <c r="L1571" s="153" t="s">
        <v>86</v>
      </c>
      <c r="M1571" s="153"/>
      <c r="N1571" s="2" t="s">
        <v>2991</v>
      </c>
      <c r="O1571" s="2"/>
      <c r="P1571" s="2"/>
    </row>
    <row r="1572" spans="1:16" ht="16.5" customHeight="1" x14ac:dyDescent="0.25">
      <c r="A1572" s="146" t="s">
        <v>3024</v>
      </c>
      <c r="B1572" s="146" t="s">
        <v>3024</v>
      </c>
      <c r="C1572" s="146" t="s">
        <v>102</v>
      </c>
      <c r="D1572" s="2" t="s">
        <v>278</v>
      </c>
      <c r="E1572" s="152" t="s">
        <v>102</v>
      </c>
      <c r="F1572" s="152" t="s">
        <v>103</v>
      </c>
      <c r="G1572" s="152">
        <v>0</v>
      </c>
      <c r="H1572" s="152"/>
      <c r="I1572" s="153">
        <v>0</v>
      </c>
      <c r="J1572" s="145"/>
      <c r="K1572" s="153" t="s">
        <v>86</v>
      </c>
      <c r="L1572" s="153" t="s">
        <v>86</v>
      </c>
      <c r="M1572" s="153"/>
      <c r="N1572" s="2" t="s">
        <v>57</v>
      </c>
      <c r="O1572" s="2"/>
      <c r="P1572" s="2"/>
    </row>
    <row r="1573" spans="1:16" ht="16.5" customHeight="1" x14ac:dyDescent="0.25">
      <c r="A1573" s="146" t="s">
        <v>3025</v>
      </c>
      <c r="B1573" s="146" t="s">
        <v>3025</v>
      </c>
      <c r="C1573" s="146" t="s">
        <v>102</v>
      </c>
      <c r="D1573" s="2" t="s">
        <v>296</v>
      </c>
      <c r="E1573" s="152" t="s">
        <v>102</v>
      </c>
      <c r="F1573" s="152" t="s">
        <v>103</v>
      </c>
      <c r="G1573" s="152">
        <v>0</v>
      </c>
      <c r="H1573" s="152">
        <v>247</v>
      </c>
      <c r="I1573" s="153">
        <v>89.826000000000008</v>
      </c>
      <c r="J1573" s="145"/>
      <c r="K1573" s="153">
        <v>-2.504833333333333</v>
      </c>
      <c r="L1573" s="153" t="s">
        <v>86</v>
      </c>
      <c r="M1573" s="153"/>
      <c r="N1573" s="2" t="s">
        <v>57</v>
      </c>
      <c r="O1573" s="2"/>
      <c r="P1573" s="2"/>
    </row>
    <row r="1574" spans="1:16" ht="16.5" customHeight="1" x14ac:dyDescent="0.25">
      <c r="A1574" s="146" t="s">
        <v>3026</v>
      </c>
      <c r="B1574" s="146" t="s">
        <v>3026</v>
      </c>
      <c r="C1574" s="146" t="s">
        <v>102</v>
      </c>
      <c r="D1574" s="2" t="s">
        <v>148</v>
      </c>
      <c r="E1574" s="152" t="s">
        <v>102</v>
      </c>
      <c r="F1574" s="152" t="s">
        <v>103</v>
      </c>
      <c r="G1574" s="152">
        <v>0</v>
      </c>
      <c r="H1574" s="152"/>
      <c r="I1574" s="153">
        <v>3.3980128205128208</v>
      </c>
      <c r="J1574" s="145"/>
      <c r="K1574" s="153">
        <v>-1.1339999999999999</v>
      </c>
      <c r="L1574" s="153" t="s">
        <v>86</v>
      </c>
      <c r="M1574" s="153"/>
      <c r="N1574" s="2" t="s">
        <v>57</v>
      </c>
      <c r="O1574" s="2"/>
      <c r="P1574" s="2"/>
    </row>
    <row r="1575" spans="1:16" ht="16.5" customHeight="1" x14ac:dyDescent="0.25">
      <c r="A1575" s="146" t="s">
        <v>3027</v>
      </c>
      <c r="B1575" s="146" t="s">
        <v>3027</v>
      </c>
      <c r="C1575" s="146" t="s">
        <v>102</v>
      </c>
      <c r="D1575" s="2" t="s">
        <v>278</v>
      </c>
      <c r="E1575" s="152" t="s">
        <v>102</v>
      </c>
      <c r="F1575" s="152" t="s">
        <v>103</v>
      </c>
      <c r="G1575" s="152">
        <v>0</v>
      </c>
      <c r="H1575" s="152"/>
      <c r="I1575" s="153">
        <v>2.2879999999999998</v>
      </c>
      <c r="J1575" s="145"/>
      <c r="K1575" s="153">
        <v>-0.67823048123482732</v>
      </c>
      <c r="L1575" s="153" t="s">
        <v>86</v>
      </c>
      <c r="M1575" s="153"/>
      <c r="N1575" s="2" t="s">
        <v>2991</v>
      </c>
      <c r="O1575" s="2"/>
      <c r="P1575" s="2"/>
    </row>
    <row r="1576" spans="1:16" ht="16.5" customHeight="1" x14ac:dyDescent="0.25">
      <c r="A1576" s="2" t="s">
        <v>3028</v>
      </c>
      <c r="B1576" s="2" t="s">
        <v>3028</v>
      </c>
      <c r="C1576" s="152" t="s">
        <v>102</v>
      </c>
      <c r="D1576" s="2" t="s">
        <v>54</v>
      </c>
      <c r="E1576" s="152" t="s">
        <v>102</v>
      </c>
      <c r="F1576" s="152" t="s">
        <v>103</v>
      </c>
      <c r="G1576" s="152">
        <v>0</v>
      </c>
      <c r="H1576" s="152"/>
      <c r="I1576" s="153">
        <v>0</v>
      </c>
      <c r="J1576" s="145"/>
      <c r="K1576" s="153" t="s">
        <v>86</v>
      </c>
      <c r="L1576" s="153" t="s">
        <v>86</v>
      </c>
      <c r="M1576" s="153"/>
      <c r="N1576" s="2" t="s">
        <v>57</v>
      </c>
      <c r="O1576" s="2"/>
      <c r="P1576" s="2"/>
    </row>
    <row r="1577" spans="1:16" ht="16.5" customHeight="1" x14ac:dyDescent="0.25">
      <c r="A1577" s="146" t="s">
        <v>3029</v>
      </c>
      <c r="B1577" s="146" t="s">
        <v>3029</v>
      </c>
      <c r="C1577" s="146" t="s">
        <v>102</v>
      </c>
      <c r="D1577" s="2" t="s">
        <v>296</v>
      </c>
      <c r="E1577" s="152" t="s">
        <v>102</v>
      </c>
      <c r="F1577" s="152" t="s">
        <v>103</v>
      </c>
      <c r="G1577" s="152">
        <v>1</v>
      </c>
      <c r="H1577" s="152">
        <v>274</v>
      </c>
      <c r="I1577" s="153">
        <v>143.12100000000001</v>
      </c>
      <c r="J1577" s="145"/>
      <c r="K1577" s="153">
        <v>-8.3279999999999994</v>
      </c>
      <c r="L1577" s="153" t="s">
        <v>86</v>
      </c>
      <c r="M1577" s="153"/>
      <c r="N1577" s="2" t="s">
        <v>57</v>
      </c>
      <c r="O1577" s="2"/>
      <c r="P1577" s="2"/>
    </row>
    <row r="1578" spans="1:16" ht="16.5" customHeight="1" x14ac:dyDescent="0.25">
      <c r="A1578" s="146" t="s">
        <v>3030</v>
      </c>
      <c r="B1578" s="146" t="s">
        <v>3030</v>
      </c>
      <c r="C1578" s="146" t="s">
        <v>102</v>
      </c>
      <c r="D1578" s="2" t="s">
        <v>278</v>
      </c>
      <c r="E1578" s="152" t="s">
        <v>102</v>
      </c>
      <c r="F1578" s="152" t="s">
        <v>103</v>
      </c>
      <c r="G1578" s="152">
        <v>0</v>
      </c>
      <c r="H1578" s="152"/>
      <c r="I1578" s="153">
        <v>35.122999999999998</v>
      </c>
      <c r="J1578" s="145"/>
      <c r="K1578" s="153" t="s">
        <v>86</v>
      </c>
      <c r="L1578" s="153" t="s">
        <v>86</v>
      </c>
      <c r="M1578" s="153"/>
      <c r="N1578" s="2" t="s">
        <v>57</v>
      </c>
      <c r="O1578" s="2"/>
      <c r="P1578" s="2"/>
    </row>
    <row r="1579" spans="1:16" ht="16.5" customHeight="1" x14ac:dyDescent="0.25">
      <c r="A1579" s="146" t="s">
        <v>3031</v>
      </c>
      <c r="B1579" s="146" t="s">
        <v>3031</v>
      </c>
      <c r="C1579" s="146" t="s">
        <v>102</v>
      </c>
      <c r="D1579" s="2" t="s">
        <v>278</v>
      </c>
      <c r="E1579" s="152" t="s">
        <v>102</v>
      </c>
      <c r="F1579" s="152" t="s">
        <v>103</v>
      </c>
      <c r="G1579" s="152">
        <v>0</v>
      </c>
      <c r="H1579" s="152"/>
      <c r="I1579" s="153">
        <v>82.5</v>
      </c>
      <c r="J1579" s="145"/>
      <c r="K1579" s="153">
        <v>-23.911666666666669</v>
      </c>
      <c r="L1579" s="153">
        <v>-42.97</v>
      </c>
      <c r="M1579" s="153"/>
      <c r="N1579" s="2" t="s">
        <v>2991</v>
      </c>
      <c r="O1579" s="2"/>
      <c r="P1579" s="2"/>
    </row>
    <row r="1580" spans="1:16" ht="16.5" customHeight="1" x14ac:dyDescent="0.25">
      <c r="A1580" s="146" t="s">
        <v>3032</v>
      </c>
      <c r="B1580" s="146" t="s">
        <v>3032</v>
      </c>
      <c r="C1580" s="146" t="s">
        <v>102</v>
      </c>
      <c r="D1580" s="2" t="s">
        <v>278</v>
      </c>
      <c r="E1580" s="152" t="s">
        <v>102</v>
      </c>
      <c r="F1580" s="152" t="s">
        <v>103</v>
      </c>
      <c r="G1580" s="152">
        <v>1</v>
      </c>
      <c r="H1580" s="152">
        <v>349</v>
      </c>
      <c r="I1580" s="153">
        <v>28.126999999999999</v>
      </c>
      <c r="J1580" s="145"/>
      <c r="K1580" s="153" t="s">
        <v>86</v>
      </c>
      <c r="L1580" s="153" t="s">
        <v>86</v>
      </c>
      <c r="M1580" s="153"/>
      <c r="N1580" s="2" t="s">
        <v>57</v>
      </c>
      <c r="O1580" s="2"/>
      <c r="P1580" s="2"/>
    </row>
    <row r="1581" spans="1:16" ht="16.5" customHeight="1" x14ac:dyDescent="0.25">
      <c r="A1581" s="146" t="s">
        <v>3033</v>
      </c>
      <c r="B1581" s="146" t="s">
        <v>3033</v>
      </c>
      <c r="C1581" s="146" t="s">
        <v>102</v>
      </c>
      <c r="D1581" s="2" t="s">
        <v>441</v>
      </c>
      <c r="E1581" s="152" t="s">
        <v>102</v>
      </c>
      <c r="F1581" s="152" t="s">
        <v>103</v>
      </c>
      <c r="G1581" s="152">
        <v>0</v>
      </c>
      <c r="H1581" s="152"/>
      <c r="I1581" s="153">
        <v>41.942999999999998</v>
      </c>
      <c r="J1581" s="145"/>
      <c r="K1581" s="153">
        <v>-7.6280000000000001</v>
      </c>
      <c r="L1581" s="153">
        <v>-5.9980428062657092</v>
      </c>
      <c r="M1581" s="153"/>
      <c r="N1581" s="2" t="s">
        <v>2991</v>
      </c>
      <c r="O1581" s="2"/>
      <c r="P1581" s="2"/>
    </row>
    <row r="1582" spans="1:16" ht="16.5" customHeight="1" x14ac:dyDescent="0.25">
      <c r="A1582" s="146" t="s">
        <v>3034</v>
      </c>
      <c r="B1582" s="146" t="s">
        <v>3034</v>
      </c>
      <c r="C1582" s="146" t="s">
        <v>102</v>
      </c>
      <c r="D1582" s="2" t="s">
        <v>278</v>
      </c>
      <c r="E1582" s="152" t="s">
        <v>102</v>
      </c>
      <c r="F1582" s="152" t="s">
        <v>103</v>
      </c>
      <c r="G1582" s="152">
        <v>0</v>
      </c>
      <c r="H1582" s="152"/>
      <c r="I1582" s="153">
        <v>27.5</v>
      </c>
      <c r="J1582" s="145"/>
      <c r="K1582" s="153">
        <v>-4.7377631963951314</v>
      </c>
      <c r="L1582" s="153">
        <v>-7.72</v>
      </c>
      <c r="M1582" s="153"/>
      <c r="N1582" s="2" t="s">
        <v>2991</v>
      </c>
      <c r="O1582" s="2"/>
      <c r="P1582" s="2"/>
    </row>
    <row r="1583" spans="1:16" ht="16.5" customHeight="1" x14ac:dyDescent="0.25">
      <c r="A1583" s="146" t="s">
        <v>3035</v>
      </c>
      <c r="B1583" s="146" t="s">
        <v>3035</v>
      </c>
      <c r="C1583" s="146" t="s">
        <v>102</v>
      </c>
      <c r="D1583" s="2" t="s">
        <v>278</v>
      </c>
      <c r="E1583" s="152" t="s">
        <v>102</v>
      </c>
      <c r="F1583" s="152" t="s">
        <v>103</v>
      </c>
      <c r="G1583" s="152">
        <v>0</v>
      </c>
      <c r="H1583" s="152"/>
      <c r="I1583" s="153">
        <v>68.827000000000012</v>
      </c>
      <c r="J1583" s="145"/>
      <c r="K1583" s="153">
        <v>-9.8925000000000001</v>
      </c>
      <c r="L1583" s="153" t="s">
        <v>86</v>
      </c>
      <c r="M1583" s="153"/>
      <c r="N1583" s="2" t="s">
        <v>2991</v>
      </c>
      <c r="O1583" s="2"/>
      <c r="P1583" s="2"/>
    </row>
    <row r="1584" spans="1:16" ht="16.5" customHeight="1" x14ac:dyDescent="0.25">
      <c r="A1584" s="146" t="s">
        <v>3036</v>
      </c>
      <c r="B1584" s="146" t="s">
        <v>3036</v>
      </c>
      <c r="C1584" s="146" t="s">
        <v>102</v>
      </c>
      <c r="D1584" s="2" t="s">
        <v>278</v>
      </c>
      <c r="E1584" s="152" t="s">
        <v>102</v>
      </c>
      <c r="F1584" s="152" t="s">
        <v>103</v>
      </c>
      <c r="G1584" s="152">
        <v>0</v>
      </c>
      <c r="H1584" s="152"/>
      <c r="I1584" s="153">
        <v>77</v>
      </c>
      <c r="J1584" s="145"/>
      <c r="K1584" s="153">
        <v>-22.639600000000002</v>
      </c>
      <c r="L1584" s="153">
        <v>-28.639756033240101</v>
      </c>
      <c r="M1584" s="153"/>
      <c r="N1584" s="2" t="s">
        <v>2991</v>
      </c>
      <c r="O1584" s="2"/>
      <c r="P1584" s="2"/>
    </row>
    <row r="1585" spans="1:16" ht="16.5" customHeight="1" x14ac:dyDescent="0.25">
      <c r="A1585" s="146" t="s">
        <v>3037</v>
      </c>
      <c r="B1585" s="146" t="s">
        <v>3037</v>
      </c>
      <c r="C1585" s="146" t="s">
        <v>102</v>
      </c>
      <c r="D1585" s="2" t="s">
        <v>278</v>
      </c>
      <c r="E1585" s="152" t="s">
        <v>102</v>
      </c>
      <c r="F1585" s="152" t="s">
        <v>103</v>
      </c>
      <c r="G1585" s="152">
        <v>0</v>
      </c>
      <c r="H1585" s="152"/>
      <c r="I1585" s="153">
        <v>6.9300000000000006</v>
      </c>
      <c r="J1585" s="145"/>
      <c r="K1585" s="153">
        <v>-1.256414835164835</v>
      </c>
      <c r="L1585" s="153" t="s">
        <v>86</v>
      </c>
      <c r="M1585" s="153"/>
      <c r="N1585" s="2" t="s">
        <v>2991</v>
      </c>
      <c r="O1585" s="2" t="s">
        <v>503</v>
      </c>
      <c r="P1585" s="2"/>
    </row>
    <row r="1586" spans="1:16" ht="16.5" customHeight="1" x14ac:dyDescent="0.25">
      <c r="A1586" s="2" t="s">
        <v>3038</v>
      </c>
      <c r="B1586" s="8" t="s">
        <v>3038</v>
      </c>
      <c r="C1586" s="152" t="s">
        <v>102</v>
      </c>
      <c r="D1586" s="2" t="s">
        <v>278</v>
      </c>
      <c r="E1586" s="152" t="s">
        <v>102</v>
      </c>
      <c r="F1586" s="152" t="s">
        <v>103</v>
      </c>
      <c r="G1586" s="152">
        <v>0</v>
      </c>
      <c r="H1586" s="152"/>
      <c r="I1586" s="153">
        <v>27.667467948717949</v>
      </c>
      <c r="J1586" s="145"/>
      <c r="K1586" s="153" t="s">
        <v>86</v>
      </c>
      <c r="L1586" s="153" t="s">
        <v>86</v>
      </c>
      <c r="M1586" s="153"/>
      <c r="N1586" s="2" t="s">
        <v>57</v>
      </c>
      <c r="O1586" s="2"/>
      <c r="P1586" s="2"/>
    </row>
    <row r="1587" spans="1:16" ht="16.5" customHeight="1" x14ac:dyDescent="0.25">
      <c r="A1587" s="146" t="s">
        <v>3039</v>
      </c>
      <c r="B1587" s="146" t="s">
        <v>3039</v>
      </c>
      <c r="C1587" s="146" t="s">
        <v>102</v>
      </c>
      <c r="D1587" s="2" t="s">
        <v>278</v>
      </c>
      <c r="E1587" s="152" t="s">
        <v>102</v>
      </c>
      <c r="F1587" s="152" t="s">
        <v>103</v>
      </c>
      <c r="G1587" s="152">
        <v>0</v>
      </c>
      <c r="H1587" s="152"/>
      <c r="I1587" s="153">
        <v>32.548999999999999</v>
      </c>
      <c r="J1587" s="145"/>
      <c r="K1587" s="153">
        <v>-4.1022757633028606</v>
      </c>
      <c r="L1587" s="153">
        <v>-9.9145628158707542</v>
      </c>
      <c r="M1587" s="153"/>
      <c r="N1587" s="2" t="s">
        <v>2991</v>
      </c>
      <c r="O1587" s="2"/>
      <c r="P1587" s="2"/>
    </row>
    <row r="1588" spans="1:16" ht="16.5" customHeight="1" x14ac:dyDescent="0.25">
      <c r="A1588" s="146" t="s">
        <v>3040</v>
      </c>
      <c r="B1588" s="146" t="s">
        <v>3040</v>
      </c>
      <c r="C1588" s="146" t="s">
        <v>102</v>
      </c>
      <c r="D1588" s="2" t="s">
        <v>278</v>
      </c>
      <c r="E1588" s="152" t="s">
        <v>102</v>
      </c>
      <c r="F1588" s="152" t="s">
        <v>103</v>
      </c>
      <c r="G1588" s="152"/>
      <c r="H1588" s="152"/>
      <c r="I1588" s="153">
        <v>41.8</v>
      </c>
      <c r="J1588" s="145"/>
      <c r="K1588" s="153">
        <v>-10.91792063492063</v>
      </c>
      <c r="L1588" s="153">
        <v>-31.98</v>
      </c>
      <c r="M1588" s="153"/>
      <c r="N1588" s="2" t="s">
        <v>2991</v>
      </c>
      <c r="O1588" s="2"/>
      <c r="P1588" s="2"/>
    </row>
    <row r="1589" spans="1:16" ht="16.5" customHeight="1" x14ac:dyDescent="0.25">
      <c r="A1589" s="146" t="s">
        <v>3041</v>
      </c>
      <c r="B1589" s="146" t="s">
        <v>3041</v>
      </c>
      <c r="C1589" s="146" t="s">
        <v>102</v>
      </c>
      <c r="D1589" s="2" t="s">
        <v>278</v>
      </c>
      <c r="E1589" s="152" t="s">
        <v>102</v>
      </c>
      <c r="F1589" s="152" t="s">
        <v>103</v>
      </c>
      <c r="G1589" s="152">
        <v>0</v>
      </c>
      <c r="H1589" s="152"/>
      <c r="I1589" s="153">
        <v>75.185000000000002</v>
      </c>
      <c r="J1589" s="145"/>
      <c r="K1589" s="153">
        <v>-21.123404669555239</v>
      </c>
      <c r="L1589" s="153">
        <v>-35.193420913953858</v>
      </c>
      <c r="M1589" s="153"/>
      <c r="N1589" s="2" t="s">
        <v>359</v>
      </c>
      <c r="O1589" s="2"/>
      <c r="P1589" s="2"/>
    </row>
    <row r="1590" spans="1:16" ht="16.5" customHeight="1" x14ac:dyDescent="0.25">
      <c r="A1590" s="146" t="s">
        <v>3042</v>
      </c>
      <c r="B1590" s="146" t="s">
        <v>3042</v>
      </c>
      <c r="C1590" s="146" t="s">
        <v>102</v>
      </c>
      <c r="D1590" s="2" t="s">
        <v>278</v>
      </c>
      <c r="E1590" s="152" t="s">
        <v>102</v>
      </c>
      <c r="F1590" s="152" t="s">
        <v>103</v>
      </c>
      <c r="G1590" s="152">
        <v>0</v>
      </c>
      <c r="H1590" s="152"/>
      <c r="I1590" s="153">
        <v>51.381000000000007</v>
      </c>
      <c r="J1590" s="145"/>
      <c r="K1590" s="153">
        <v>-8.0167096718869981</v>
      </c>
      <c r="L1590" s="153">
        <v>-10.079805529468601</v>
      </c>
      <c r="M1590" s="153"/>
      <c r="N1590" s="2" t="s">
        <v>2991</v>
      </c>
      <c r="O1590" s="2"/>
      <c r="P1590" s="2"/>
    </row>
    <row r="1591" spans="1:16" ht="16.5" customHeight="1" x14ac:dyDescent="0.25">
      <c r="A1591" s="146" t="s">
        <v>3043</v>
      </c>
      <c r="B1591" s="146" t="s">
        <v>3043</v>
      </c>
      <c r="C1591" s="146" t="s">
        <v>102</v>
      </c>
      <c r="D1591" s="2" t="s">
        <v>278</v>
      </c>
      <c r="E1591" s="152" t="s">
        <v>102</v>
      </c>
      <c r="F1591" s="152" t="s">
        <v>103</v>
      </c>
      <c r="G1591" s="152">
        <v>2</v>
      </c>
      <c r="H1591" s="152">
        <v>355</v>
      </c>
      <c r="I1591" s="153">
        <v>16.027000000000001</v>
      </c>
      <c r="J1591" s="145"/>
      <c r="K1591" s="153" t="s">
        <v>86</v>
      </c>
      <c r="L1591" s="153" t="s">
        <v>86</v>
      </c>
      <c r="M1591" s="153"/>
      <c r="N1591" s="2" t="s">
        <v>57</v>
      </c>
      <c r="O1591" s="2"/>
      <c r="P1591" s="2"/>
    </row>
    <row r="1592" spans="1:16" ht="16.5" customHeight="1" x14ac:dyDescent="0.25">
      <c r="A1592" s="146" t="s">
        <v>3044</v>
      </c>
      <c r="B1592" s="146" t="s">
        <v>3044</v>
      </c>
      <c r="C1592" s="146" t="s">
        <v>102</v>
      </c>
      <c r="D1592" s="2" t="s">
        <v>148</v>
      </c>
      <c r="E1592" s="152" t="s">
        <v>102</v>
      </c>
      <c r="F1592" s="152" t="s">
        <v>103</v>
      </c>
      <c r="G1592" s="152">
        <v>23</v>
      </c>
      <c r="H1592" s="152">
        <v>98</v>
      </c>
      <c r="I1592" s="153">
        <v>23.1</v>
      </c>
      <c r="J1592" s="145"/>
      <c r="K1592" s="153">
        <v>-2.0652083333333331</v>
      </c>
      <c r="L1592" s="153">
        <v>-10.66049596882703</v>
      </c>
      <c r="M1592" s="153"/>
      <c r="N1592" s="2" t="s">
        <v>57</v>
      </c>
      <c r="O1592" s="2"/>
      <c r="P1592" s="2"/>
    </row>
    <row r="1593" spans="1:16" ht="16.5" customHeight="1" x14ac:dyDescent="0.25">
      <c r="A1593" s="146" t="s">
        <v>3045</v>
      </c>
      <c r="B1593" s="146" t="s">
        <v>3045</v>
      </c>
      <c r="C1593" s="146" t="s">
        <v>102</v>
      </c>
      <c r="D1593" s="2" t="s">
        <v>163</v>
      </c>
      <c r="E1593" s="152" t="s">
        <v>102</v>
      </c>
      <c r="F1593" s="152" t="s">
        <v>103</v>
      </c>
      <c r="G1593" s="152">
        <v>2</v>
      </c>
      <c r="H1593" s="152">
        <v>449</v>
      </c>
      <c r="I1593" s="153">
        <v>20.933</v>
      </c>
      <c r="J1593" s="145"/>
      <c r="K1593" s="153" t="s">
        <v>86</v>
      </c>
      <c r="L1593" s="153" t="s">
        <v>86</v>
      </c>
      <c r="M1593" s="153"/>
      <c r="N1593" s="2" t="s">
        <v>57</v>
      </c>
      <c r="O1593" s="2"/>
      <c r="P1593" s="2"/>
    </row>
    <row r="1594" spans="1:16" ht="16.5" customHeight="1" x14ac:dyDescent="0.25">
      <c r="A1594" s="146" t="s">
        <v>3046</v>
      </c>
      <c r="B1594" s="146" t="s">
        <v>3046</v>
      </c>
      <c r="C1594" s="146" t="s">
        <v>102</v>
      </c>
      <c r="D1594" s="2" t="s">
        <v>278</v>
      </c>
      <c r="E1594" s="152" t="s">
        <v>102</v>
      </c>
      <c r="F1594" s="152" t="s">
        <v>103</v>
      </c>
      <c r="G1594" s="152">
        <v>0</v>
      </c>
      <c r="H1594" s="152"/>
      <c r="I1594" s="153">
        <v>54.923000000000002</v>
      </c>
      <c r="J1594" s="145"/>
      <c r="K1594" s="153">
        <v>-10.753</v>
      </c>
      <c r="L1594" s="153">
        <v>-10.64</v>
      </c>
      <c r="M1594" s="153"/>
      <c r="N1594" s="2" t="s">
        <v>57</v>
      </c>
      <c r="O1594" s="2"/>
      <c r="P1594" s="2"/>
    </row>
    <row r="1595" spans="1:16" ht="16.5" customHeight="1" x14ac:dyDescent="0.25">
      <c r="A1595" s="146" t="s">
        <v>3047</v>
      </c>
      <c r="B1595" s="146" t="s">
        <v>3047</v>
      </c>
      <c r="C1595" s="146" t="s">
        <v>102</v>
      </c>
      <c r="D1595" s="146" t="s">
        <v>106</v>
      </c>
      <c r="E1595" s="152" t="s">
        <v>102</v>
      </c>
      <c r="F1595" s="152" t="s">
        <v>103</v>
      </c>
      <c r="G1595" s="152">
        <v>12</v>
      </c>
      <c r="H1595" s="152">
        <v>178</v>
      </c>
      <c r="I1595" s="153">
        <v>10.428000000000001</v>
      </c>
      <c r="J1595" s="145"/>
      <c r="K1595" s="153">
        <v>-0.67</v>
      </c>
      <c r="L1595" s="153">
        <v>-0.38</v>
      </c>
      <c r="M1595" s="153"/>
      <c r="N1595" s="2" t="s">
        <v>57</v>
      </c>
      <c r="O1595" s="2"/>
      <c r="P1595" s="2"/>
    </row>
    <row r="1596" spans="1:16" ht="16.5" customHeight="1" x14ac:dyDescent="0.25">
      <c r="A1596" s="146" t="s">
        <v>3048</v>
      </c>
      <c r="B1596" s="146" t="s">
        <v>3048</v>
      </c>
      <c r="C1596" s="146" t="s">
        <v>102</v>
      </c>
      <c r="D1596" s="146" t="s">
        <v>278</v>
      </c>
      <c r="E1596" s="152" t="s">
        <v>102</v>
      </c>
      <c r="F1596" s="152" t="s">
        <v>103</v>
      </c>
      <c r="G1596" s="152">
        <v>0</v>
      </c>
      <c r="H1596" s="152"/>
      <c r="I1596" s="153">
        <v>74.415000000000006</v>
      </c>
      <c r="J1596" s="145"/>
      <c r="K1596" s="153">
        <v>-22.961392857142862</v>
      </c>
      <c r="L1596" s="153" t="s">
        <v>86</v>
      </c>
      <c r="M1596" s="153"/>
      <c r="N1596" s="2" t="s">
        <v>479</v>
      </c>
      <c r="O1596" s="2"/>
      <c r="P1596" s="2"/>
    </row>
    <row r="1597" spans="1:16" ht="16.5" customHeight="1" x14ac:dyDescent="0.25">
      <c r="A1597" s="146" t="s">
        <v>3049</v>
      </c>
      <c r="B1597" s="146" t="s">
        <v>3049</v>
      </c>
      <c r="C1597" s="146" t="s">
        <v>102</v>
      </c>
      <c r="D1597" s="146" t="s">
        <v>278</v>
      </c>
      <c r="E1597" s="152" t="s">
        <v>102</v>
      </c>
      <c r="F1597" s="152" t="s">
        <v>103</v>
      </c>
      <c r="G1597" s="152">
        <v>0</v>
      </c>
      <c r="H1597" s="152"/>
      <c r="I1597" s="153">
        <v>17.38</v>
      </c>
      <c r="J1597" s="145"/>
      <c r="K1597" s="153">
        <v>-8.3159999999999989</v>
      </c>
      <c r="L1597" s="153" t="s">
        <v>86</v>
      </c>
      <c r="M1597" s="153"/>
      <c r="N1597" s="2" t="s">
        <v>2991</v>
      </c>
      <c r="O1597" s="2"/>
      <c r="P1597" s="2"/>
    </row>
    <row r="1598" spans="1:16" ht="16.5" customHeight="1" x14ac:dyDescent="0.25">
      <c r="A1598" s="146" t="s">
        <v>3050</v>
      </c>
      <c r="B1598" s="146" t="s">
        <v>3050</v>
      </c>
      <c r="C1598" s="146" t="s">
        <v>102</v>
      </c>
      <c r="D1598" s="146" t="s">
        <v>278</v>
      </c>
      <c r="E1598" s="152" t="s">
        <v>102</v>
      </c>
      <c r="F1598" s="152" t="s">
        <v>103</v>
      </c>
      <c r="G1598" s="152">
        <v>0</v>
      </c>
      <c r="H1598" s="152"/>
      <c r="I1598" s="153">
        <v>50.875000000000007</v>
      </c>
      <c r="J1598" s="145"/>
      <c r="K1598" s="153">
        <v>-8.553591586426208</v>
      </c>
      <c r="L1598" s="153">
        <v>-12.952795902548649</v>
      </c>
      <c r="M1598" s="153"/>
      <c r="N1598" s="2" t="s">
        <v>2991</v>
      </c>
      <c r="O1598" s="2"/>
      <c r="P1598" s="2"/>
    </row>
    <row r="1599" spans="1:16" ht="16.5" customHeight="1" x14ac:dyDescent="0.25">
      <c r="A1599" s="146" t="s">
        <v>3051</v>
      </c>
      <c r="B1599" s="146" t="s">
        <v>3051</v>
      </c>
      <c r="C1599" s="146" t="s">
        <v>102</v>
      </c>
      <c r="D1599" s="146" t="s">
        <v>148</v>
      </c>
      <c r="E1599" s="152" t="s">
        <v>102</v>
      </c>
      <c r="F1599" s="152" t="s">
        <v>103</v>
      </c>
      <c r="G1599" s="152">
        <v>0</v>
      </c>
      <c r="H1599" s="152"/>
      <c r="I1599" s="153">
        <v>10.94923076923077</v>
      </c>
      <c r="J1599" s="145"/>
      <c r="K1599" s="153" t="s">
        <v>86</v>
      </c>
      <c r="L1599" s="153" t="s">
        <v>86</v>
      </c>
      <c r="M1599" s="153"/>
      <c r="N1599" s="2" t="s">
        <v>57</v>
      </c>
      <c r="O1599" s="2"/>
      <c r="P1599" s="2"/>
    </row>
    <row r="1600" spans="1:16" ht="16.5" customHeight="1" x14ac:dyDescent="0.25">
      <c r="A1600" s="146" t="s">
        <v>3052</v>
      </c>
      <c r="B1600" s="146" t="s">
        <v>3052</v>
      </c>
      <c r="C1600" s="146" t="s">
        <v>102</v>
      </c>
      <c r="D1600" s="146" t="s">
        <v>278</v>
      </c>
      <c r="E1600" s="152" t="s">
        <v>102</v>
      </c>
      <c r="F1600" s="152" t="s">
        <v>103</v>
      </c>
      <c r="G1600" s="152">
        <v>1</v>
      </c>
      <c r="H1600" s="152">
        <v>385</v>
      </c>
      <c r="I1600" s="153">
        <v>27.379000000000001</v>
      </c>
      <c r="J1600" s="145"/>
      <c r="K1600" s="153" t="s">
        <v>86</v>
      </c>
      <c r="L1600" s="153" t="s">
        <v>86</v>
      </c>
      <c r="M1600" s="153"/>
      <c r="N1600" s="2" t="s">
        <v>57</v>
      </c>
      <c r="O1600" s="2"/>
      <c r="P1600" s="2"/>
    </row>
    <row r="1601" spans="1:16" ht="16.5" customHeight="1" x14ac:dyDescent="0.25">
      <c r="A1601" s="146" t="s">
        <v>3053</v>
      </c>
      <c r="B1601" s="146" t="s">
        <v>3053</v>
      </c>
      <c r="C1601" s="146" t="s">
        <v>102</v>
      </c>
      <c r="D1601" s="146" t="s">
        <v>441</v>
      </c>
      <c r="E1601" s="152" t="s">
        <v>102</v>
      </c>
      <c r="F1601" s="152" t="s">
        <v>103</v>
      </c>
      <c r="G1601" s="152">
        <v>0</v>
      </c>
      <c r="H1601" s="152"/>
      <c r="I1601" s="153">
        <v>43.031999999999996</v>
      </c>
      <c r="J1601" s="145"/>
      <c r="K1601" s="153">
        <v>-9.1960666666666668</v>
      </c>
      <c r="L1601" s="153" t="s">
        <v>86</v>
      </c>
      <c r="M1601" s="153"/>
      <c r="N1601" s="2" t="s">
        <v>2991</v>
      </c>
      <c r="O1601" s="2"/>
      <c r="P1601" s="2"/>
    </row>
    <row r="1602" spans="1:16" ht="16.5" customHeight="1" x14ac:dyDescent="0.25">
      <c r="A1602" s="2" t="s">
        <v>3054</v>
      </c>
      <c r="B1602" s="2" t="s">
        <v>3054</v>
      </c>
      <c r="C1602" s="152" t="s">
        <v>102</v>
      </c>
      <c r="D1602" s="2" t="s">
        <v>54</v>
      </c>
      <c r="E1602" s="152" t="s">
        <v>102</v>
      </c>
      <c r="F1602" s="152" t="s">
        <v>103</v>
      </c>
      <c r="G1602" s="152">
        <v>0</v>
      </c>
      <c r="H1602" s="152"/>
      <c r="I1602" s="153">
        <v>0</v>
      </c>
      <c r="J1602" s="145"/>
      <c r="K1602" s="153" t="s">
        <v>86</v>
      </c>
      <c r="L1602" s="153" t="s">
        <v>86</v>
      </c>
      <c r="M1602" s="153"/>
      <c r="N1602" s="2" t="s">
        <v>57</v>
      </c>
      <c r="O1602" s="2"/>
      <c r="P1602" s="2"/>
    </row>
    <row r="1603" spans="1:16" ht="16.5" customHeight="1" x14ac:dyDescent="0.25">
      <c r="A1603" s="146" t="s">
        <v>3055</v>
      </c>
      <c r="B1603" s="146" t="s">
        <v>3055</v>
      </c>
      <c r="C1603" s="146" t="s">
        <v>102</v>
      </c>
      <c r="D1603" s="8" t="s">
        <v>278</v>
      </c>
      <c r="E1603" s="152" t="s">
        <v>102</v>
      </c>
      <c r="F1603" s="152" t="s">
        <v>103</v>
      </c>
      <c r="G1603" s="152">
        <v>2</v>
      </c>
      <c r="H1603" s="152">
        <v>298</v>
      </c>
      <c r="I1603" s="153">
        <v>44.814000000000007</v>
      </c>
      <c r="J1603" s="145"/>
      <c r="K1603" s="153">
        <v>-9.7581999999999987</v>
      </c>
      <c r="L1603" s="153" t="s">
        <v>86</v>
      </c>
      <c r="M1603" s="153"/>
      <c r="N1603" s="2" t="s">
        <v>57</v>
      </c>
      <c r="O1603" s="2"/>
      <c r="P1603" s="2"/>
    </row>
    <row r="1604" spans="1:16" ht="16.5" customHeight="1" x14ac:dyDescent="0.25">
      <c r="A1604" s="146" t="s">
        <v>3056</v>
      </c>
      <c r="B1604" s="146" t="s">
        <v>3056</v>
      </c>
      <c r="C1604" s="146" t="s">
        <v>102</v>
      </c>
      <c r="D1604" s="146" t="s">
        <v>1874</v>
      </c>
      <c r="E1604" s="152" t="s">
        <v>102</v>
      </c>
      <c r="F1604" s="152" t="s">
        <v>103</v>
      </c>
      <c r="G1604" s="152">
        <v>0</v>
      </c>
      <c r="H1604" s="152"/>
      <c r="I1604" s="153">
        <v>0</v>
      </c>
      <c r="J1604" s="145"/>
      <c r="K1604" s="153" t="s">
        <v>86</v>
      </c>
      <c r="L1604" s="153" t="s">
        <v>86</v>
      </c>
      <c r="M1604" s="153"/>
      <c r="N1604" s="2" t="s">
        <v>57</v>
      </c>
      <c r="O1604" s="2"/>
      <c r="P1604" s="2"/>
    </row>
    <row r="1605" spans="1:16" ht="16.5" customHeight="1" x14ac:dyDescent="0.25">
      <c r="A1605" s="146" t="s">
        <v>3057</v>
      </c>
      <c r="B1605" s="146" t="s">
        <v>3057</v>
      </c>
      <c r="C1605" s="146" t="s">
        <v>102</v>
      </c>
      <c r="D1605" s="8" t="s">
        <v>1874</v>
      </c>
      <c r="E1605" s="152" t="s">
        <v>102</v>
      </c>
      <c r="F1605" s="152" t="s">
        <v>103</v>
      </c>
      <c r="G1605" s="152">
        <v>0</v>
      </c>
      <c r="H1605" s="152">
        <v>0</v>
      </c>
      <c r="I1605" s="153">
        <v>0</v>
      </c>
      <c r="J1605" s="145"/>
      <c r="K1605" s="153" t="s">
        <v>86</v>
      </c>
      <c r="L1605" s="153" t="s">
        <v>86</v>
      </c>
      <c r="M1605" s="153"/>
      <c r="N1605" s="2" t="s">
        <v>57</v>
      </c>
      <c r="O1605" s="2"/>
      <c r="P1605" s="2"/>
    </row>
    <row r="1606" spans="1:16" ht="16.5" customHeight="1" x14ac:dyDescent="0.25">
      <c r="A1606" s="146" t="s">
        <v>3058</v>
      </c>
      <c r="B1606" s="146" t="s">
        <v>3058</v>
      </c>
      <c r="C1606" s="146" t="s">
        <v>102</v>
      </c>
      <c r="D1606" s="8" t="s">
        <v>296</v>
      </c>
      <c r="E1606" s="152" t="s">
        <v>102</v>
      </c>
      <c r="F1606" s="152" t="s">
        <v>103</v>
      </c>
      <c r="G1606" s="152">
        <v>28</v>
      </c>
      <c r="H1606" s="152">
        <v>167</v>
      </c>
      <c r="I1606" s="153">
        <v>65.537999999999997</v>
      </c>
      <c r="J1606" s="145"/>
      <c r="K1606" s="153">
        <v>-12.9139294534413</v>
      </c>
      <c r="L1606" s="153">
        <v>-9.6778772803569062</v>
      </c>
      <c r="M1606" s="153"/>
      <c r="N1606" s="2" t="s">
        <v>57</v>
      </c>
      <c r="O1606" s="2"/>
      <c r="P1606" s="2" t="s">
        <v>51</v>
      </c>
    </row>
    <row r="1607" spans="1:16" ht="16.5" customHeight="1" x14ac:dyDescent="0.25">
      <c r="A1607" s="146" t="s">
        <v>3059</v>
      </c>
      <c r="B1607" s="146" t="s">
        <v>3059</v>
      </c>
      <c r="C1607" s="146" t="s">
        <v>102</v>
      </c>
      <c r="D1607" s="8" t="s">
        <v>278</v>
      </c>
      <c r="E1607" s="152" t="s">
        <v>102</v>
      </c>
      <c r="F1607" s="152" t="s">
        <v>103</v>
      </c>
      <c r="G1607" s="152">
        <v>0</v>
      </c>
      <c r="H1607" s="152"/>
      <c r="I1607" s="153">
        <v>61.897000000000013</v>
      </c>
      <c r="J1607" s="145"/>
      <c r="K1607" s="153">
        <v>-11.537000000000001</v>
      </c>
      <c r="L1607" s="153" t="s">
        <v>86</v>
      </c>
      <c r="M1607" s="153"/>
      <c r="N1607" s="2" t="s">
        <v>2991</v>
      </c>
      <c r="O1607" s="2"/>
      <c r="P1607" s="2"/>
    </row>
    <row r="1608" spans="1:16" ht="16.5" customHeight="1" x14ac:dyDescent="0.25">
      <c r="A1608" s="2" t="s">
        <v>3060</v>
      </c>
      <c r="B1608" s="8" t="s">
        <v>3060</v>
      </c>
      <c r="C1608" s="152" t="s">
        <v>102</v>
      </c>
      <c r="D1608" s="2" t="s">
        <v>278</v>
      </c>
      <c r="E1608" s="152" t="s">
        <v>102</v>
      </c>
      <c r="F1608" s="152" t="s">
        <v>103</v>
      </c>
      <c r="G1608" s="152">
        <v>0</v>
      </c>
      <c r="H1608" s="152"/>
      <c r="I1608" s="153">
        <v>16.87019230769231</v>
      </c>
      <c r="J1608" s="145"/>
      <c r="K1608" s="153" t="s">
        <v>86</v>
      </c>
      <c r="L1608" s="153" t="s">
        <v>86</v>
      </c>
      <c r="M1608" s="153"/>
      <c r="N1608" s="2" t="s">
        <v>57</v>
      </c>
      <c r="O1608" s="2"/>
      <c r="P1608" s="2"/>
    </row>
    <row r="1609" spans="1:16" ht="16.5" customHeight="1" x14ac:dyDescent="0.25">
      <c r="A1609" s="2" t="s">
        <v>3061</v>
      </c>
      <c r="B1609" s="8" t="s">
        <v>3061</v>
      </c>
      <c r="C1609" s="152" t="s">
        <v>102</v>
      </c>
      <c r="D1609" s="2" t="s">
        <v>54</v>
      </c>
      <c r="E1609" s="152" t="s">
        <v>102</v>
      </c>
      <c r="F1609" s="152" t="s">
        <v>103</v>
      </c>
      <c r="G1609" s="152">
        <v>0</v>
      </c>
      <c r="H1609" s="152"/>
      <c r="I1609" s="153">
        <v>2.3740410958904108</v>
      </c>
      <c r="J1609" s="145"/>
      <c r="K1609" s="153" t="s">
        <v>86</v>
      </c>
      <c r="L1609" s="153" t="s">
        <v>86</v>
      </c>
      <c r="M1609" s="153"/>
      <c r="N1609" s="2" t="s">
        <v>57</v>
      </c>
      <c r="O1609" s="2"/>
      <c r="P1609" s="2"/>
    </row>
    <row r="1610" spans="1:16" ht="16.5" customHeight="1" x14ac:dyDescent="0.25">
      <c r="A1610" s="2" t="s">
        <v>3062</v>
      </c>
      <c r="B1610" s="8" t="s">
        <v>3062</v>
      </c>
      <c r="C1610" s="152" t="s">
        <v>102</v>
      </c>
      <c r="D1610" s="2" t="s">
        <v>54</v>
      </c>
      <c r="E1610" s="152" t="s">
        <v>102</v>
      </c>
      <c r="F1610" s="152" t="s">
        <v>103</v>
      </c>
      <c r="G1610" s="152">
        <v>0</v>
      </c>
      <c r="H1610" s="152"/>
      <c r="I1610" s="153">
        <v>31.45171232876713</v>
      </c>
      <c r="J1610" s="145"/>
      <c r="K1610" s="153" t="s">
        <v>86</v>
      </c>
      <c r="L1610" s="153" t="s">
        <v>86</v>
      </c>
      <c r="M1610" s="153"/>
      <c r="N1610" s="2" t="s">
        <v>57</v>
      </c>
      <c r="O1610" s="2"/>
      <c r="P1610" s="2"/>
    </row>
    <row r="1611" spans="1:16" ht="16.5" customHeight="1" x14ac:dyDescent="0.25">
      <c r="A1611" s="2" t="s">
        <v>3063</v>
      </c>
      <c r="B1611" s="8" t="s">
        <v>3063</v>
      </c>
      <c r="C1611" s="152" t="s">
        <v>102</v>
      </c>
      <c r="D1611" s="2" t="s">
        <v>1906</v>
      </c>
      <c r="E1611" s="152" t="s">
        <v>102</v>
      </c>
      <c r="F1611" s="152" t="s">
        <v>103</v>
      </c>
      <c r="G1611" s="152">
        <v>0</v>
      </c>
      <c r="H1611" s="152"/>
      <c r="I1611" s="153">
        <v>15.33371794871795</v>
      </c>
      <c r="J1611" s="145"/>
      <c r="K1611" s="153">
        <v>-1.166878245614035</v>
      </c>
      <c r="L1611" s="153" t="s">
        <v>86</v>
      </c>
      <c r="M1611" s="153"/>
      <c r="N1611" s="2" t="s">
        <v>57</v>
      </c>
      <c r="O1611" s="2"/>
      <c r="P1611" s="2"/>
    </row>
    <row r="1612" spans="1:16" ht="16.5" customHeight="1" x14ac:dyDescent="0.25">
      <c r="A1612" s="2" t="s">
        <v>3064</v>
      </c>
      <c r="B1612" s="8" t="s">
        <v>3064</v>
      </c>
      <c r="C1612" s="152" t="s">
        <v>102</v>
      </c>
      <c r="D1612" s="2" t="s">
        <v>1906</v>
      </c>
      <c r="E1612" s="152" t="s">
        <v>102</v>
      </c>
      <c r="F1612" s="152" t="s">
        <v>103</v>
      </c>
      <c r="G1612" s="152">
        <v>0</v>
      </c>
      <c r="H1612" s="152"/>
      <c r="I1612" s="153">
        <v>13.06285256410257</v>
      </c>
      <c r="J1612" s="145"/>
      <c r="K1612" s="153">
        <v>-0.74541904761904776</v>
      </c>
      <c r="L1612" s="153" t="s">
        <v>86</v>
      </c>
      <c r="M1612" s="153"/>
      <c r="N1612" s="2" t="s">
        <v>57</v>
      </c>
      <c r="O1612" s="2"/>
      <c r="P1612" s="2"/>
    </row>
    <row r="1613" spans="1:16" ht="16.5" customHeight="1" x14ac:dyDescent="0.25">
      <c r="A1613" s="2" t="s">
        <v>3065</v>
      </c>
      <c r="B1613" s="8" t="s">
        <v>3065</v>
      </c>
      <c r="C1613" s="152" t="s">
        <v>102</v>
      </c>
      <c r="D1613" s="2" t="s">
        <v>54</v>
      </c>
      <c r="E1613" s="152" t="s">
        <v>102</v>
      </c>
      <c r="F1613" s="152" t="s">
        <v>103</v>
      </c>
      <c r="G1613" s="152">
        <v>0</v>
      </c>
      <c r="H1613" s="152"/>
      <c r="I1613" s="153">
        <v>20.791410256410259</v>
      </c>
      <c r="J1613" s="145"/>
      <c r="K1613" s="153" t="s">
        <v>86</v>
      </c>
      <c r="L1613" s="153" t="s">
        <v>86</v>
      </c>
      <c r="M1613" s="153"/>
      <c r="N1613" s="2" t="s">
        <v>57</v>
      </c>
      <c r="O1613" s="2"/>
      <c r="P1613" s="2"/>
    </row>
    <row r="1614" spans="1:16" ht="16.5" customHeight="1" x14ac:dyDescent="0.25">
      <c r="A1614" s="2" t="s">
        <v>3066</v>
      </c>
      <c r="B1614" s="8" t="s">
        <v>3066</v>
      </c>
      <c r="C1614" s="152" t="s">
        <v>102</v>
      </c>
      <c r="D1614" s="2" t="s">
        <v>3067</v>
      </c>
      <c r="E1614" s="152" t="s">
        <v>102</v>
      </c>
      <c r="F1614" s="152" t="s">
        <v>103</v>
      </c>
      <c r="G1614" s="152">
        <v>0</v>
      </c>
      <c r="H1614" s="152"/>
      <c r="I1614" s="153">
        <v>5.8655616438356173</v>
      </c>
      <c r="J1614" s="145"/>
      <c r="K1614" s="153" t="s">
        <v>86</v>
      </c>
      <c r="L1614" s="153" t="s">
        <v>86</v>
      </c>
      <c r="M1614" s="153"/>
      <c r="N1614" s="2" t="s">
        <v>57</v>
      </c>
      <c r="O1614" s="2"/>
      <c r="P1614" s="2"/>
    </row>
    <row r="1615" spans="1:16" ht="16.5" customHeight="1" x14ac:dyDescent="0.25">
      <c r="A1615" s="2" t="s">
        <v>3068</v>
      </c>
      <c r="B1615" s="8" t="s">
        <v>3068</v>
      </c>
      <c r="C1615" s="152" t="s">
        <v>102</v>
      </c>
      <c r="D1615" s="2" t="s">
        <v>3067</v>
      </c>
      <c r="E1615" s="152" t="s">
        <v>102</v>
      </c>
      <c r="F1615" s="152" t="s">
        <v>103</v>
      </c>
      <c r="G1615" s="152">
        <v>0</v>
      </c>
      <c r="H1615" s="152"/>
      <c r="I1615" s="153">
        <v>5.1586986301369873</v>
      </c>
      <c r="J1615" s="145"/>
      <c r="K1615" s="153" t="s">
        <v>86</v>
      </c>
      <c r="L1615" s="153" t="s">
        <v>86</v>
      </c>
      <c r="M1615" s="153"/>
      <c r="N1615" s="2" t="s">
        <v>57</v>
      </c>
      <c r="O1615" s="2"/>
      <c r="P1615" s="2"/>
    </row>
    <row r="1616" spans="1:16" ht="16.5" customHeight="1" x14ac:dyDescent="0.25">
      <c r="A1616" s="2" t="s">
        <v>3069</v>
      </c>
      <c r="B1616" s="8" t="s">
        <v>3069</v>
      </c>
      <c r="C1616" s="152" t="s">
        <v>102</v>
      </c>
      <c r="D1616" s="2" t="s">
        <v>3067</v>
      </c>
      <c r="E1616" s="152" t="s">
        <v>102</v>
      </c>
      <c r="F1616" s="152" t="s">
        <v>103</v>
      </c>
      <c r="G1616" s="152">
        <v>0</v>
      </c>
      <c r="H1616" s="152"/>
      <c r="I1616" s="153">
        <v>14.00051369863014</v>
      </c>
      <c r="J1616" s="145"/>
      <c r="K1616" s="153" t="s">
        <v>86</v>
      </c>
      <c r="L1616" s="153" t="s">
        <v>86</v>
      </c>
      <c r="M1616" s="153"/>
      <c r="N1616" s="2" t="s">
        <v>57</v>
      </c>
      <c r="O1616" s="2"/>
      <c r="P1616" s="2"/>
    </row>
    <row r="1617" spans="1:16" ht="16.5" customHeight="1" x14ac:dyDescent="0.25">
      <c r="A1617" s="2" t="s">
        <v>3070</v>
      </c>
      <c r="B1617" s="8" t="s">
        <v>3070</v>
      </c>
      <c r="C1617" s="152" t="s">
        <v>102</v>
      </c>
      <c r="D1617" s="2" t="s">
        <v>2743</v>
      </c>
      <c r="E1617" s="152" t="s">
        <v>102</v>
      </c>
      <c r="F1617" s="152" t="s">
        <v>103</v>
      </c>
      <c r="G1617" s="152">
        <v>0</v>
      </c>
      <c r="H1617" s="152"/>
      <c r="I1617" s="153">
        <v>0.80208333333333337</v>
      </c>
      <c r="J1617" s="145"/>
      <c r="K1617" s="153" t="s">
        <v>86</v>
      </c>
      <c r="L1617" s="153" t="s">
        <v>86</v>
      </c>
      <c r="M1617" s="153"/>
      <c r="N1617" s="2" t="s">
        <v>57</v>
      </c>
      <c r="O1617" s="2"/>
      <c r="P1617" s="2"/>
    </row>
    <row r="1618" spans="1:16" ht="16.5" customHeight="1" x14ac:dyDescent="0.25">
      <c r="A1618" s="2" t="s">
        <v>3071</v>
      </c>
      <c r="B1618" s="8" t="s">
        <v>3071</v>
      </c>
      <c r="C1618" s="152" t="s">
        <v>102</v>
      </c>
      <c r="D1618" s="2" t="s">
        <v>2743</v>
      </c>
      <c r="E1618" s="152" t="s">
        <v>102</v>
      </c>
      <c r="F1618" s="152" t="s">
        <v>103</v>
      </c>
      <c r="G1618" s="152">
        <v>0</v>
      </c>
      <c r="H1618" s="152"/>
      <c r="I1618" s="153">
        <v>1.557479452054795</v>
      </c>
      <c r="J1618" s="145"/>
      <c r="K1618" s="153" t="s">
        <v>86</v>
      </c>
      <c r="L1618" s="153" t="s">
        <v>86</v>
      </c>
      <c r="M1618" s="153"/>
      <c r="N1618" s="2" t="s">
        <v>57</v>
      </c>
      <c r="O1618" s="2"/>
      <c r="P1618" s="2"/>
    </row>
    <row r="1619" spans="1:16" ht="16.5" customHeight="1" x14ac:dyDescent="0.25">
      <c r="A1619" s="2" t="s">
        <v>3072</v>
      </c>
      <c r="B1619" s="8" t="s">
        <v>3072</v>
      </c>
      <c r="C1619" s="152" t="s">
        <v>102</v>
      </c>
      <c r="D1619" s="2" t="s">
        <v>2743</v>
      </c>
      <c r="E1619" s="152" t="s">
        <v>102</v>
      </c>
      <c r="F1619" s="152" t="s">
        <v>103</v>
      </c>
      <c r="G1619" s="152">
        <v>0</v>
      </c>
      <c r="H1619" s="152"/>
      <c r="I1619" s="153">
        <v>1.1987179487179489</v>
      </c>
      <c r="J1619" s="145"/>
      <c r="K1619" s="153" t="s">
        <v>86</v>
      </c>
      <c r="L1619" s="153" t="s">
        <v>86</v>
      </c>
      <c r="M1619" s="153"/>
      <c r="N1619" s="2" t="s">
        <v>57</v>
      </c>
      <c r="O1619" s="2"/>
      <c r="P1619" s="2"/>
    </row>
    <row r="1620" spans="1:16" ht="16.5" customHeight="1" x14ac:dyDescent="0.25">
      <c r="A1620" s="2" t="s">
        <v>3073</v>
      </c>
      <c r="B1620" s="8" t="s">
        <v>3073</v>
      </c>
      <c r="C1620" s="152" t="s">
        <v>102</v>
      </c>
      <c r="D1620" s="2" t="s">
        <v>2454</v>
      </c>
      <c r="E1620" s="152" t="s">
        <v>102</v>
      </c>
      <c r="F1620" s="152" t="s">
        <v>103</v>
      </c>
      <c r="G1620" s="152">
        <v>0</v>
      </c>
      <c r="H1620" s="152"/>
      <c r="I1620" s="153">
        <v>12.489230769230771</v>
      </c>
      <c r="J1620" s="145"/>
      <c r="K1620" s="153" t="s">
        <v>86</v>
      </c>
      <c r="L1620" s="153" t="s">
        <v>86</v>
      </c>
      <c r="M1620" s="153"/>
      <c r="N1620" s="2" t="s">
        <v>57</v>
      </c>
      <c r="O1620" s="2"/>
      <c r="P1620" s="2"/>
    </row>
    <row r="1621" spans="1:16" ht="16.5" customHeight="1" x14ac:dyDescent="0.25">
      <c r="A1621" s="2" t="s">
        <v>3074</v>
      </c>
      <c r="B1621" s="8" t="s">
        <v>3074</v>
      </c>
      <c r="C1621" s="152" t="s">
        <v>102</v>
      </c>
      <c r="D1621" s="2" t="s">
        <v>2454</v>
      </c>
      <c r="E1621" s="152" t="s">
        <v>102</v>
      </c>
      <c r="F1621" s="152" t="s">
        <v>103</v>
      </c>
      <c r="G1621" s="152">
        <v>0</v>
      </c>
      <c r="H1621" s="152"/>
      <c r="I1621" s="153">
        <v>3.067191780821918</v>
      </c>
      <c r="J1621" s="145"/>
      <c r="K1621" s="153" t="s">
        <v>86</v>
      </c>
      <c r="L1621" s="153" t="s">
        <v>86</v>
      </c>
      <c r="M1621" s="153"/>
      <c r="N1621" s="2" t="s">
        <v>57</v>
      </c>
      <c r="O1621" s="2"/>
      <c r="P1621" s="2"/>
    </row>
    <row r="1622" spans="1:16" ht="16.5" customHeight="1" x14ac:dyDescent="0.25">
      <c r="A1622" s="2" t="s">
        <v>3075</v>
      </c>
      <c r="B1622" s="8" t="s">
        <v>3075</v>
      </c>
      <c r="C1622" s="152" t="s">
        <v>102</v>
      </c>
      <c r="D1622" s="2" t="s">
        <v>2454</v>
      </c>
      <c r="E1622" s="152" t="s">
        <v>102</v>
      </c>
      <c r="F1622" s="152" t="s">
        <v>103</v>
      </c>
      <c r="G1622" s="152">
        <v>0</v>
      </c>
      <c r="H1622" s="152"/>
      <c r="I1622" s="153">
        <v>6.1517123287671236</v>
      </c>
      <c r="J1622" s="145"/>
      <c r="K1622" s="153" t="s">
        <v>86</v>
      </c>
      <c r="L1622" s="153" t="s">
        <v>86</v>
      </c>
      <c r="M1622" s="153"/>
      <c r="N1622" s="2" t="s">
        <v>57</v>
      </c>
      <c r="O1622" s="2"/>
      <c r="P1622" s="2"/>
    </row>
    <row r="1623" spans="1:16" ht="16.5" customHeight="1" x14ac:dyDescent="0.25">
      <c r="A1623" s="2" t="s">
        <v>3076</v>
      </c>
      <c r="B1623" s="8" t="s">
        <v>3076</v>
      </c>
      <c r="C1623" s="152" t="s">
        <v>102</v>
      </c>
      <c r="D1623" s="2" t="s">
        <v>2454</v>
      </c>
      <c r="E1623" s="152" t="s">
        <v>102</v>
      </c>
      <c r="F1623" s="152" t="s">
        <v>103</v>
      </c>
      <c r="G1623" s="152">
        <v>0</v>
      </c>
      <c r="H1623" s="152"/>
      <c r="I1623" s="153">
        <v>12.58068493150685</v>
      </c>
      <c r="J1623" s="145"/>
      <c r="K1623" s="153" t="s">
        <v>86</v>
      </c>
      <c r="L1623" s="153" t="s">
        <v>86</v>
      </c>
      <c r="M1623" s="153"/>
      <c r="N1623" s="2" t="s">
        <v>57</v>
      </c>
      <c r="O1623" s="2"/>
      <c r="P1623" s="2"/>
    </row>
    <row r="1624" spans="1:16" ht="16.5" customHeight="1" x14ac:dyDescent="0.25">
      <c r="A1624" s="2" t="s">
        <v>3077</v>
      </c>
      <c r="B1624" s="8" t="s">
        <v>3077</v>
      </c>
      <c r="C1624" s="152" t="s">
        <v>102</v>
      </c>
      <c r="D1624" s="2" t="s">
        <v>82</v>
      </c>
      <c r="E1624" s="152" t="s">
        <v>102</v>
      </c>
      <c r="F1624" s="152" t="s">
        <v>103</v>
      </c>
      <c r="G1624" s="152">
        <v>0</v>
      </c>
      <c r="H1624" s="152"/>
      <c r="I1624" s="153">
        <v>2.669262820512821</v>
      </c>
      <c r="J1624" s="145"/>
      <c r="K1624" s="153" t="s">
        <v>86</v>
      </c>
      <c r="L1624" s="153" t="s">
        <v>86</v>
      </c>
      <c r="M1624" s="153"/>
      <c r="N1624" s="2" t="s">
        <v>57</v>
      </c>
      <c r="O1624" s="2"/>
      <c r="P1624" s="2"/>
    </row>
    <row r="1625" spans="1:16" ht="16.5" customHeight="1" x14ac:dyDescent="0.25">
      <c r="A1625" s="2" t="s">
        <v>3078</v>
      </c>
      <c r="B1625" s="8" t="s">
        <v>3078</v>
      </c>
      <c r="C1625" s="152" t="s">
        <v>102</v>
      </c>
      <c r="D1625" s="2" t="s">
        <v>82</v>
      </c>
      <c r="E1625" s="152" t="s">
        <v>102</v>
      </c>
      <c r="F1625" s="152" t="s">
        <v>103</v>
      </c>
      <c r="G1625" s="152">
        <v>0</v>
      </c>
      <c r="H1625" s="152"/>
      <c r="I1625" s="153">
        <v>3.304935897435898</v>
      </c>
      <c r="J1625" s="145"/>
      <c r="K1625" s="153" t="s">
        <v>86</v>
      </c>
      <c r="L1625" s="153" t="s">
        <v>86</v>
      </c>
      <c r="M1625" s="153"/>
      <c r="N1625" s="2" t="s">
        <v>57</v>
      </c>
      <c r="O1625" s="2"/>
      <c r="P1625" s="2"/>
    </row>
    <row r="1626" spans="1:16" ht="16.5" customHeight="1" x14ac:dyDescent="0.25">
      <c r="A1626" s="2" t="s">
        <v>3079</v>
      </c>
      <c r="B1626" s="8" t="s">
        <v>3079</v>
      </c>
      <c r="C1626" s="152" t="s">
        <v>102</v>
      </c>
      <c r="D1626" s="2" t="s">
        <v>82</v>
      </c>
      <c r="E1626" s="152" t="s">
        <v>102</v>
      </c>
      <c r="F1626" s="152" t="s">
        <v>103</v>
      </c>
      <c r="G1626" s="152">
        <v>0</v>
      </c>
      <c r="H1626" s="152"/>
      <c r="I1626" s="153">
        <v>6.6888461538461543</v>
      </c>
      <c r="J1626" s="145"/>
      <c r="K1626" s="153" t="s">
        <v>86</v>
      </c>
      <c r="L1626" s="153" t="s">
        <v>86</v>
      </c>
      <c r="M1626" s="153"/>
      <c r="N1626" s="2" t="s">
        <v>57</v>
      </c>
      <c r="O1626" s="2"/>
      <c r="P1626" s="2"/>
    </row>
    <row r="1627" spans="1:16" ht="16.5" customHeight="1" x14ac:dyDescent="0.25">
      <c r="A1627" s="2" t="s">
        <v>3080</v>
      </c>
      <c r="B1627" s="8" t="s">
        <v>3080</v>
      </c>
      <c r="C1627" s="152" t="s">
        <v>102</v>
      </c>
      <c r="D1627" s="2" t="s">
        <v>82</v>
      </c>
      <c r="E1627" s="152" t="s">
        <v>102</v>
      </c>
      <c r="F1627" s="152" t="s">
        <v>103</v>
      </c>
      <c r="G1627" s="152">
        <v>0</v>
      </c>
      <c r="H1627" s="152"/>
      <c r="I1627" s="153">
        <v>7.6682692307692308</v>
      </c>
      <c r="J1627" s="145"/>
      <c r="K1627" s="153" t="s">
        <v>86</v>
      </c>
      <c r="L1627" s="153" t="s">
        <v>86</v>
      </c>
      <c r="M1627" s="153"/>
      <c r="N1627" s="2" t="s">
        <v>57</v>
      </c>
      <c r="O1627" s="2"/>
      <c r="P1627" s="2"/>
    </row>
    <row r="1628" spans="1:16" ht="16.5" customHeight="1" x14ac:dyDescent="0.25">
      <c r="A1628" s="2" t="s">
        <v>3081</v>
      </c>
      <c r="B1628" s="8" t="s">
        <v>3081</v>
      </c>
      <c r="C1628" s="152" t="s">
        <v>102</v>
      </c>
      <c r="D1628" s="2" t="s">
        <v>82</v>
      </c>
      <c r="E1628" s="152" t="s">
        <v>102</v>
      </c>
      <c r="F1628" s="152" t="s">
        <v>103</v>
      </c>
      <c r="G1628" s="152">
        <v>0</v>
      </c>
      <c r="H1628" s="152"/>
      <c r="I1628" s="153">
        <v>1.1800890410958911</v>
      </c>
      <c r="J1628" s="145"/>
      <c r="K1628" s="153" t="s">
        <v>86</v>
      </c>
      <c r="L1628" s="153" t="s">
        <v>86</v>
      </c>
      <c r="M1628" s="153"/>
      <c r="N1628" s="2" t="s">
        <v>57</v>
      </c>
      <c r="O1628" s="2"/>
      <c r="P1628" s="2"/>
    </row>
    <row r="1629" spans="1:16" ht="16.5" customHeight="1" x14ac:dyDescent="0.25">
      <c r="A1629" s="2" t="s">
        <v>3082</v>
      </c>
      <c r="B1629" s="8" t="s">
        <v>3082</v>
      </c>
      <c r="C1629" s="152" t="s">
        <v>102</v>
      </c>
      <c r="D1629" s="2" t="s">
        <v>2251</v>
      </c>
      <c r="E1629" s="152" t="s">
        <v>102</v>
      </c>
      <c r="F1629" s="152" t="s">
        <v>103</v>
      </c>
      <c r="G1629" s="152">
        <v>0</v>
      </c>
      <c r="H1629" s="152"/>
      <c r="I1629" s="153">
        <v>8.9676369863013701</v>
      </c>
      <c r="J1629" s="145"/>
      <c r="K1629" s="153" t="s">
        <v>86</v>
      </c>
      <c r="L1629" s="153" t="s">
        <v>86</v>
      </c>
      <c r="M1629" s="153"/>
      <c r="N1629" s="2" t="s">
        <v>57</v>
      </c>
      <c r="O1629" s="2"/>
      <c r="P1629" s="2"/>
    </row>
    <row r="1630" spans="1:16" ht="16.5" customHeight="1" x14ac:dyDescent="0.25">
      <c r="A1630" s="2" t="s">
        <v>3083</v>
      </c>
      <c r="B1630" s="8" t="s">
        <v>3083</v>
      </c>
      <c r="C1630" s="152" t="s">
        <v>102</v>
      </c>
      <c r="D1630" s="2" t="s">
        <v>2251</v>
      </c>
      <c r="E1630" s="152" t="s">
        <v>102</v>
      </c>
      <c r="F1630" s="152" t="s">
        <v>103</v>
      </c>
      <c r="G1630" s="152">
        <v>0</v>
      </c>
      <c r="H1630" s="152"/>
      <c r="I1630" s="153">
        <v>17.77758219178083</v>
      </c>
      <c r="J1630" s="145"/>
      <c r="K1630" s="153" t="s">
        <v>86</v>
      </c>
      <c r="L1630" s="153" t="s">
        <v>86</v>
      </c>
      <c r="M1630" s="153"/>
      <c r="N1630" s="2" t="s">
        <v>57</v>
      </c>
      <c r="O1630" s="2"/>
      <c r="P1630" s="2"/>
    </row>
    <row r="1631" spans="1:16" ht="16.5" customHeight="1" x14ac:dyDescent="0.25">
      <c r="A1631" s="2" t="s">
        <v>3084</v>
      </c>
      <c r="B1631" s="8" t="s">
        <v>3084</v>
      </c>
      <c r="C1631" s="152" t="s">
        <v>102</v>
      </c>
      <c r="D1631" s="2" t="s">
        <v>2251</v>
      </c>
      <c r="E1631" s="152" t="s">
        <v>102</v>
      </c>
      <c r="F1631" s="152" t="s">
        <v>103</v>
      </c>
      <c r="G1631" s="152">
        <v>0</v>
      </c>
      <c r="H1631" s="152"/>
      <c r="I1631" s="153">
        <v>0.56318493150684934</v>
      </c>
      <c r="J1631" s="145"/>
      <c r="K1631" s="153" t="s">
        <v>86</v>
      </c>
      <c r="L1631" s="153" t="s">
        <v>86</v>
      </c>
      <c r="M1631" s="153"/>
      <c r="N1631" s="2" t="s">
        <v>57</v>
      </c>
      <c r="O1631" s="2"/>
      <c r="P1631" s="2"/>
    </row>
    <row r="1632" spans="1:16" ht="16.5" customHeight="1" x14ac:dyDescent="0.25">
      <c r="A1632" s="2" t="s">
        <v>3085</v>
      </c>
      <c r="B1632" s="8" t="s">
        <v>3085</v>
      </c>
      <c r="C1632" s="152" t="s">
        <v>102</v>
      </c>
      <c r="D1632" s="2" t="s">
        <v>2476</v>
      </c>
      <c r="E1632" s="152" t="s">
        <v>102</v>
      </c>
      <c r="F1632" s="152" t="s">
        <v>103</v>
      </c>
      <c r="G1632" s="152">
        <v>0</v>
      </c>
      <c r="H1632" s="152"/>
      <c r="I1632" s="153">
        <v>7.0625641025641022</v>
      </c>
      <c r="J1632" s="145"/>
      <c r="K1632" s="153" t="s">
        <v>86</v>
      </c>
      <c r="L1632" s="153" t="s">
        <v>86</v>
      </c>
      <c r="M1632" s="153"/>
      <c r="N1632" s="2" t="s">
        <v>57</v>
      </c>
      <c r="O1632" s="2"/>
      <c r="P1632" s="2"/>
    </row>
    <row r="1633" spans="1:16" ht="16.5" customHeight="1" x14ac:dyDescent="0.25">
      <c r="A1633" s="2" t="s">
        <v>3086</v>
      </c>
      <c r="B1633" s="8" t="s">
        <v>3086</v>
      </c>
      <c r="C1633" s="152" t="s">
        <v>102</v>
      </c>
      <c r="D1633" s="2" t="s">
        <v>2340</v>
      </c>
      <c r="E1633" s="152" t="s">
        <v>102</v>
      </c>
      <c r="F1633" s="152" t="s">
        <v>103</v>
      </c>
      <c r="G1633" s="152">
        <v>0</v>
      </c>
      <c r="H1633" s="152"/>
      <c r="I1633" s="153">
        <v>2.4004109589041098</v>
      </c>
      <c r="J1633" s="145"/>
      <c r="K1633" s="153" t="s">
        <v>86</v>
      </c>
      <c r="L1633" s="153" t="s">
        <v>86</v>
      </c>
      <c r="M1633" s="153"/>
      <c r="N1633" s="2" t="s">
        <v>57</v>
      </c>
      <c r="O1633" s="2"/>
      <c r="P1633" s="2"/>
    </row>
    <row r="1634" spans="1:16" ht="16.5" customHeight="1" x14ac:dyDescent="0.25">
      <c r="A1634" s="2" t="s">
        <v>3087</v>
      </c>
      <c r="B1634" s="8" t="s">
        <v>3087</v>
      </c>
      <c r="C1634" s="152" t="s">
        <v>102</v>
      </c>
      <c r="D1634" s="2" t="s">
        <v>2340</v>
      </c>
      <c r="E1634" s="152" t="s">
        <v>102</v>
      </c>
      <c r="F1634" s="152" t="s">
        <v>103</v>
      </c>
      <c r="G1634" s="152">
        <v>0</v>
      </c>
      <c r="H1634" s="152"/>
      <c r="I1634" s="153">
        <v>5.7874455128205131</v>
      </c>
      <c r="J1634" s="145"/>
      <c r="K1634" s="153" t="s">
        <v>86</v>
      </c>
      <c r="L1634" s="153" t="s">
        <v>86</v>
      </c>
      <c r="M1634" s="153"/>
      <c r="N1634" s="2" t="s">
        <v>57</v>
      </c>
      <c r="O1634" s="2"/>
      <c r="P1634" s="2"/>
    </row>
    <row r="1635" spans="1:16" ht="16.5" customHeight="1" x14ac:dyDescent="0.25">
      <c r="A1635" s="2" t="s">
        <v>3088</v>
      </c>
      <c r="B1635" s="8" t="s">
        <v>3088</v>
      </c>
      <c r="C1635" s="152" t="s">
        <v>102</v>
      </c>
      <c r="D1635" s="2" t="s">
        <v>2340</v>
      </c>
      <c r="E1635" s="152" t="s">
        <v>102</v>
      </c>
      <c r="F1635" s="152" t="s">
        <v>103</v>
      </c>
      <c r="G1635" s="152">
        <v>0</v>
      </c>
      <c r="H1635" s="152"/>
      <c r="I1635" s="153">
        <v>7.1999794871794887</v>
      </c>
      <c r="J1635" s="145"/>
      <c r="K1635" s="153" t="s">
        <v>86</v>
      </c>
      <c r="L1635" s="153" t="s">
        <v>86</v>
      </c>
      <c r="M1635" s="153"/>
      <c r="N1635" s="2" t="s">
        <v>57</v>
      </c>
      <c r="O1635" s="2"/>
      <c r="P1635" s="2"/>
    </row>
    <row r="1636" spans="1:16" ht="16.5" customHeight="1" x14ac:dyDescent="0.25">
      <c r="A1636" s="2" t="s">
        <v>3089</v>
      </c>
      <c r="B1636" s="8" t="s">
        <v>3089</v>
      </c>
      <c r="C1636" s="152" t="s">
        <v>102</v>
      </c>
      <c r="D1636" s="2" t="s">
        <v>106</v>
      </c>
      <c r="E1636" s="152" t="s">
        <v>102</v>
      </c>
      <c r="F1636" s="152" t="s">
        <v>103</v>
      </c>
      <c r="G1636" s="152">
        <v>0</v>
      </c>
      <c r="H1636" s="152"/>
      <c r="I1636" s="153">
        <v>2.7161538461538459</v>
      </c>
      <c r="J1636" s="145"/>
      <c r="K1636" s="153" t="s">
        <v>86</v>
      </c>
      <c r="L1636" s="153" t="s">
        <v>86</v>
      </c>
      <c r="M1636" s="153"/>
      <c r="N1636" s="2" t="s">
        <v>57</v>
      </c>
      <c r="O1636" s="2"/>
      <c r="P1636" s="2"/>
    </row>
    <row r="1637" spans="1:16" ht="16.5" customHeight="1" x14ac:dyDescent="0.25">
      <c r="A1637" s="2" t="s">
        <v>3090</v>
      </c>
      <c r="B1637" s="8" t="s">
        <v>3090</v>
      </c>
      <c r="C1637" s="152" t="s">
        <v>102</v>
      </c>
      <c r="D1637" s="2" t="s">
        <v>106</v>
      </c>
      <c r="E1637" s="152" t="s">
        <v>102</v>
      </c>
      <c r="F1637" s="152" t="s">
        <v>103</v>
      </c>
      <c r="G1637" s="152">
        <v>0</v>
      </c>
      <c r="H1637" s="152"/>
      <c r="I1637" s="153">
        <v>3.8998390410958912</v>
      </c>
      <c r="J1637" s="145"/>
      <c r="K1637" s="153" t="s">
        <v>86</v>
      </c>
      <c r="L1637" s="153" t="s">
        <v>86</v>
      </c>
      <c r="M1637" s="153"/>
      <c r="N1637" s="2" t="s">
        <v>57</v>
      </c>
      <c r="O1637" s="2"/>
      <c r="P1637" s="2"/>
    </row>
    <row r="1638" spans="1:16" ht="16.5" customHeight="1" x14ac:dyDescent="0.25">
      <c r="A1638" s="2" t="s">
        <v>3091</v>
      </c>
      <c r="B1638" s="8" t="s">
        <v>3091</v>
      </c>
      <c r="C1638" s="152" t="s">
        <v>102</v>
      </c>
      <c r="D1638" s="2" t="s">
        <v>278</v>
      </c>
      <c r="E1638" s="152" t="s">
        <v>102</v>
      </c>
      <c r="F1638" s="152" t="s">
        <v>103</v>
      </c>
      <c r="G1638" s="152">
        <v>0</v>
      </c>
      <c r="H1638" s="152"/>
      <c r="I1638" s="153">
        <v>47.304230769230777</v>
      </c>
      <c r="J1638" s="145"/>
      <c r="K1638" s="153" t="s">
        <v>86</v>
      </c>
      <c r="L1638" s="153" t="s">
        <v>86</v>
      </c>
      <c r="M1638" s="153"/>
      <c r="N1638" s="2" t="s">
        <v>57</v>
      </c>
      <c r="O1638" s="2"/>
      <c r="P1638" s="2"/>
    </row>
    <row r="1639" spans="1:16" ht="16.5" customHeight="1" x14ac:dyDescent="0.25">
      <c r="A1639" s="2" t="s">
        <v>3092</v>
      </c>
      <c r="B1639" s="8" t="s">
        <v>3092</v>
      </c>
      <c r="C1639" s="152" t="s">
        <v>102</v>
      </c>
      <c r="D1639" s="2" t="s">
        <v>278</v>
      </c>
      <c r="E1639" s="152" t="s">
        <v>102</v>
      </c>
      <c r="F1639" s="152" t="s">
        <v>103</v>
      </c>
      <c r="G1639" s="152">
        <v>0</v>
      </c>
      <c r="H1639" s="152"/>
      <c r="I1639" s="153">
        <v>57.598109589041108</v>
      </c>
      <c r="J1639" s="145"/>
      <c r="K1639" s="153" t="s">
        <v>86</v>
      </c>
      <c r="L1639" s="153" t="s">
        <v>86</v>
      </c>
      <c r="M1639" s="153"/>
      <c r="N1639" s="2" t="s">
        <v>57</v>
      </c>
      <c r="O1639" s="2"/>
      <c r="P1639" s="2"/>
    </row>
    <row r="1640" spans="1:16" ht="16.5" customHeight="1" x14ac:dyDescent="0.25">
      <c r="A1640" s="2" t="s">
        <v>3093</v>
      </c>
      <c r="B1640" s="8" t="s">
        <v>3093</v>
      </c>
      <c r="C1640" s="152" t="s">
        <v>102</v>
      </c>
      <c r="D1640" s="2" t="s">
        <v>278</v>
      </c>
      <c r="E1640" s="152" t="s">
        <v>102</v>
      </c>
      <c r="F1640" s="152" t="s">
        <v>103</v>
      </c>
      <c r="G1640" s="152">
        <v>0</v>
      </c>
      <c r="H1640" s="152"/>
      <c r="I1640" s="153">
        <v>15.371369863013699</v>
      </c>
      <c r="J1640" s="145"/>
      <c r="K1640" s="153" t="s">
        <v>86</v>
      </c>
      <c r="L1640" s="153" t="s">
        <v>86</v>
      </c>
      <c r="M1640" s="153"/>
      <c r="N1640" s="2" t="s">
        <v>57</v>
      </c>
      <c r="O1640" s="2"/>
      <c r="P1640" s="2"/>
    </row>
    <row r="1641" spans="1:16" ht="16.5" customHeight="1" x14ac:dyDescent="0.25">
      <c r="A1641" s="2" t="s">
        <v>3094</v>
      </c>
      <c r="B1641" s="8" t="s">
        <v>3094</v>
      </c>
      <c r="C1641" s="152" t="s">
        <v>102</v>
      </c>
      <c r="D1641" s="2" t="s">
        <v>278</v>
      </c>
      <c r="E1641" s="152" t="s">
        <v>102</v>
      </c>
      <c r="F1641" s="152" t="s">
        <v>103</v>
      </c>
      <c r="G1641" s="152">
        <v>0</v>
      </c>
      <c r="H1641" s="152"/>
      <c r="I1641" s="153">
        <v>15.319615384615391</v>
      </c>
      <c r="J1641" s="145"/>
      <c r="K1641" s="153" t="s">
        <v>86</v>
      </c>
      <c r="L1641" s="153" t="s">
        <v>86</v>
      </c>
      <c r="M1641" s="153"/>
      <c r="N1641" s="2" t="s">
        <v>57</v>
      </c>
      <c r="O1641" s="2"/>
      <c r="P1641" s="2"/>
    </row>
    <row r="1642" spans="1:16" ht="16.5" customHeight="1" x14ac:dyDescent="0.25">
      <c r="A1642" s="2" t="s">
        <v>3095</v>
      </c>
      <c r="B1642" s="8" t="s">
        <v>3095</v>
      </c>
      <c r="C1642" s="152" t="s">
        <v>102</v>
      </c>
      <c r="D1642" s="2" t="s">
        <v>278</v>
      </c>
      <c r="E1642" s="152" t="s">
        <v>102</v>
      </c>
      <c r="F1642" s="152" t="s">
        <v>103</v>
      </c>
      <c r="G1642" s="152">
        <v>0</v>
      </c>
      <c r="H1642" s="152"/>
      <c r="I1642" s="153">
        <v>62.340993150684938</v>
      </c>
      <c r="J1642" s="145"/>
      <c r="K1642" s="153" t="s">
        <v>86</v>
      </c>
      <c r="L1642" s="153" t="s">
        <v>86</v>
      </c>
      <c r="M1642" s="153"/>
      <c r="N1642" s="2" t="s">
        <v>57</v>
      </c>
      <c r="O1642" s="2"/>
      <c r="P1642" s="2"/>
    </row>
    <row r="1643" spans="1:16" ht="16.5" customHeight="1" x14ac:dyDescent="0.25">
      <c r="A1643" s="2" t="s">
        <v>3096</v>
      </c>
      <c r="B1643" s="8" t="s">
        <v>3096</v>
      </c>
      <c r="C1643" s="152" t="s">
        <v>102</v>
      </c>
      <c r="D1643" s="2" t="s">
        <v>278</v>
      </c>
      <c r="E1643" s="152" t="s">
        <v>102</v>
      </c>
      <c r="F1643" s="152" t="s">
        <v>103</v>
      </c>
      <c r="G1643" s="152">
        <v>0</v>
      </c>
      <c r="H1643" s="152"/>
      <c r="I1643" s="153">
        <v>12.39044520547945</v>
      </c>
      <c r="J1643" s="145"/>
      <c r="K1643" s="153" t="s">
        <v>86</v>
      </c>
      <c r="L1643" s="153" t="s">
        <v>86</v>
      </c>
      <c r="M1643" s="153"/>
      <c r="N1643" s="2" t="s">
        <v>57</v>
      </c>
      <c r="O1643" s="2"/>
      <c r="P1643" s="2"/>
    </row>
    <row r="1644" spans="1:16" ht="16.5" customHeight="1" x14ac:dyDescent="0.25">
      <c r="A1644" s="2" t="s">
        <v>3097</v>
      </c>
      <c r="B1644" s="8" t="s">
        <v>3097</v>
      </c>
      <c r="C1644" s="152" t="s">
        <v>102</v>
      </c>
      <c r="D1644" s="2" t="s">
        <v>278</v>
      </c>
      <c r="E1644" s="152" t="s">
        <v>102</v>
      </c>
      <c r="F1644" s="152" t="s">
        <v>103</v>
      </c>
      <c r="G1644" s="152">
        <v>0</v>
      </c>
      <c r="H1644" s="152"/>
      <c r="I1644" s="153">
        <v>20.74961643835616</v>
      </c>
      <c r="J1644" s="145"/>
      <c r="K1644" s="153" t="s">
        <v>86</v>
      </c>
      <c r="L1644" s="153" t="s">
        <v>86</v>
      </c>
      <c r="M1644" s="153"/>
      <c r="N1644" s="2" t="s">
        <v>57</v>
      </c>
      <c r="O1644" s="2"/>
      <c r="P1644" s="2"/>
    </row>
    <row r="1645" spans="1:16" ht="16.5" customHeight="1" x14ac:dyDescent="0.25">
      <c r="A1645" s="2" t="s">
        <v>3098</v>
      </c>
      <c r="B1645" s="8" t="s">
        <v>3098</v>
      </c>
      <c r="C1645" s="152" t="s">
        <v>102</v>
      </c>
      <c r="D1645" s="2" t="s">
        <v>278</v>
      </c>
      <c r="E1645" s="152" t="s">
        <v>102</v>
      </c>
      <c r="F1645" s="152" t="s">
        <v>103</v>
      </c>
      <c r="G1645" s="152">
        <v>0</v>
      </c>
      <c r="H1645" s="152"/>
      <c r="I1645" s="153">
        <v>30.801130136986298</v>
      </c>
      <c r="J1645" s="145"/>
      <c r="K1645" s="153" t="s">
        <v>86</v>
      </c>
      <c r="L1645" s="153" t="s">
        <v>86</v>
      </c>
      <c r="M1645" s="153"/>
      <c r="N1645" s="2" t="s">
        <v>57</v>
      </c>
      <c r="O1645" s="2"/>
      <c r="P1645" s="2"/>
    </row>
    <row r="1646" spans="1:16" ht="16.5" customHeight="1" x14ac:dyDescent="0.25">
      <c r="A1646" s="2" t="s">
        <v>3099</v>
      </c>
      <c r="B1646" s="8" t="s">
        <v>3099</v>
      </c>
      <c r="C1646" s="152" t="s">
        <v>102</v>
      </c>
      <c r="D1646" s="2" t="s">
        <v>278</v>
      </c>
      <c r="E1646" s="152" t="s">
        <v>102</v>
      </c>
      <c r="F1646" s="152" t="s">
        <v>103</v>
      </c>
      <c r="G1646" s="152">
        <v>0</v>
      </c>
      <c r="H1646" s="152"/>
      <c r="I1646" s="153">
        <v>13.388356164383559</v>
      </c>
      <c r="J1646" s="145"/>
      <c r="K1646" s="153" t="s">
        <v>86</v>
      </c>
      <c r="L1646" s="153" t="s">
        <v>86</v>
      </c>
      <c r="M1646" s="153"/>
      <c r="N1646" s="2" t="s">
        <v>57</v>
      </c>
      <c r="O1646" s="2"/>
      <c r="P1646" s="2"/>
    </row>
    <row r="1647" spans="1:16" ht="16.5" customHeight="1" x14ac:dyDescent="0.25">
      <c r="A1647" s="2" t="s">
        <v>3100</v>
      </c>
      <c r="B1647" s="8" t="s">
        <v>3100</v>
      </c>
      <c r="C1647" s="152" t="s">
        <v>102</v>
      </c>
      <c r="D1647" s="2" t="s">
        <v>278</v>
      </c>
      <c r="E1647" s="152" t="s">
        <v>102</v>
      </c>
      <c r="F1647" s="152" t="s">
        <v>103</v>
      </c>
      <c r="G1647" s="152">
        <v>0</v>
      </c>
      <c r="H1647" s="152"/>
      <c r="I1647" s="153">
        <v>3.9776282051282061</v>
      </c>
      <c r="J1647" s="145"/>
      <c r="K1647" s="153" t="s">
        <v>86</v>
      </c>
      <c r="L1647" s="153" t="s">
        <v>86</v>
      </c>
      <c r="M1647" s="153"/>
      <c r="N1647" s="2" t="s">
        <v>57</v>
      </c>
      <c r="O1647" s="2"/>
      <c r="P1647" s="2"/>
    </row>
    <row r="1648" spans="1:16" ht="16.5" customHeight="1" x14ac:dyDescent="0.25">
      <c r="A1648" s="2" t="s">
        <v>3101</v>
      </c>
      <c r="B1648" s="8" t="s">
        <v>3101</v>
      </c>
      <c r="C1648" s="152" t="s">
        <v>102</v>
      </c>
      <c r="D1648" s="2" t="s">
        <v>278</v>
      </c>
      <c r="E1648" s="152" t="s">
        <v>102</v>
      </c>
      <c r="F1648" s="152" t="s">
        <v>103</v>
      </c>
      <c r="G1648" s="152">
        <v>0</v>
      </c>
      <c r="H1648" s="152"/>
      <c r="I1648" s="153">
        <v>14.446842465753431</v>
      </c>
      <c r="J1648" s="145"/>
      <c r="K1648" s="153" t="s">
        <v>86</v>
      </c>
      <c r="L1648" s="153" t="s">
        <v>86</v>
      </c>
      <c r="M1648" s="153"/>
      <c r="N1648" s="2" t="s">
        <v>57</v>
      </c>
      <c r="O1648" s="2"/>
      <c r="P1648" s="2"/>
    </row>
    <row r="1649" spans="1:16" ht="16.5" customHeight="1" x14ac:dyDescent="0.25">
      <c r="A1649" s="2" t="s">
        <v>3102</v>
      </c>
      <c r="B1649" s="8" t="s">
        <v>3102</v>
      </c>
      <c r="C1649" s="152" t="s">
        <v>102</v>
      </c>
      <c r="D1649" s="2" t="s">
        <v>278</v>
      </c>
      <c r="E1649" s="152" t="s">
        <v>102</v>
      </c>
      <c r="F1649" s="152" t="s">
        <v>103</v>
      </c>
      <c r="G1649" s="152">
        <v>0</v>
      </c>
      <c r="H1649" s="152"/>
      <c r="I1649" s="153">
        <v>28.709095890410961</v>
      </c>
      <c r="J1649" s="145"/>
      <c r="K1649" s="153" t="s">
        <v>86</v>
      </c>
      <c r="L1649" s="153" t="s">
        <v>86</v>
      </c>
      <c r="M1649" s="153"/>
      <c r="N1649" s="2" t="s">
        <v>57</v>
      </c>
      <c r="O1649" s="2"/>
      <c r="P1649" s="2"/>
    </row>
    <row r="1650" spans="1:16" ht="16.5" customHeight="1" x14ac:dyDescent="0.25">
      <c r="A1650" s="2" t="s">
        <v>3103</v>
      </c>
      <c r="B1650" s="8" t="s">
        <v>3103</v>
      </c>
      <c r="C1650" s="152" t="s">
        <v>102</v>
      </c>
      <c r="D1650" s="2" t="s">
        <v>278</v>
      </c>
      <c r="E1650" s="152" t="s">
        <v>102</v>
      </c>
      <c r="F1650" s="152" t="s">
        <v>103</v>
      </c>
      <c r="G1650" s="152">
        <v>0</v>
      </c>
      <c r="H1650" s="152"/>
      <c r="I1650" s="153">
        <v>21.940253424657531</v>
      </c>
      <c r="J1650" s="145"/>
      <c r="K1650" s="153" t="s">
        <v>86</v>
      </c>
      <c r="L1650" s="153" t="s">
        <v>86</v>
      </c>
      <c r="M1650" s="153"/>
      <c r="N1650" s="2" t="s">
        <v>57</v>
      </c>
      <c r="O1650" s="2"/>
      <c r="P1650" s="2"/>
    </row>
    <row r="1651" spans="1:16" ht="16.5" customHeight="1" x14ac:dyDescent="0.25">
      <c r="A1651" s="2" t="s">
        <v>3104</v>
      </c>
      <c r="B1651" s="8" t="s">
        <v>3104</v>
      </c>
      <c r="C1651" s="152" t="s">
        <v>102</v>
      </c>
      <c r="D1651" s="2" t="s">
        <v>278</v>
      </c>
      <c r="E1651" s="152" t="s">
        <v>102</v>
      </c>
      <c r="F1651" s="152" t="s">
        <v>103</v>
      </c>
      <c r="G1651" s="152">
        <v>0</v>
      </c>
      <c r="H1651" s="152"/>
      <c r="I1651" s="153">
        <v>27.353609589041099</v>
      </c>
      <c r="J1651" s="145"/>
      <c r="K1651" s="153" t="s">
        <v>86</v>
      </c>
      <c r="L1651" s="153" t="s">
        <v>86</v>
      </c>
      <c r="M1651" s="153"/>
      <c r="N1651" s="2" t="s">
        <v>57</v>
      </c>
      <c r="O1651" s="2"/>
      <c r="P1651" s="2"/>
    </row>
    <row r="1652" spans="1:16" ht="16.5" customHeight="1" x14ac:dyDescent="0.25">
      <c r="A1652" s="2" t="s">
        <v>3105</v>
      </c>
      <c r="B1652" s="8" t="s">
        <v>3105</v>
      </c>
      <c r="C1652" s="152" t="s">
        <v>102</v>
      </c>
      <c r="D1652" s="2" t="s">
        <v>278</v>
      </c>
      <c r="E1652" s="152" t="s">
        <v>102</v>
      </c>
      <c r="F1652" s="152" t="s">
        <v>103</v>
      </c>
      <c r="G1652" s="152">
        <v>0</v>
      </c>
      <c r="H1652" s="152"/>
      <c r="I1652" s="153">
        <v>73.584349315068494</v>
      </c>
      <c r="J1652" s="145"/>
      <c r="K1652" s="153" t="s">
        <v>86</v>
      </c>
      <c r="L1652" s="153" t="s">
        <v>86</v>
      </c>
      <c r="M1652" s="153"/>
      <c r="N1652" s="2" t="s">
        <v>57</v>
      </c>
      <c r="O1652" s="2"/>
      <c r="P1652" s="2"/>
    </row>
    <row r="1653" spans="1:16" ht="16.5" customHeight="1" x14ac:dyDescent="0.25">
      <c r="A1653" s="2" t="s">
        <v>3106</v>
      </c>
      <c r="B1653" s="8" t="s">
        <v>3106</v>
      </c>
      <c r="C1653" s="152" t="s">
        <v>102</v>
      </c>
      <c r="D1653" s="2" t="s">
        <v>278</v>
      </c>
      <c r="E1653" s="152" t="s">
        <v>102</v>
      </c>
      <c r="F1653" s="152" t="s">
        <v>103</v>
      </c>
      <c r="G1653" s="152">
        <v>0</v>
      </c>
      <c r="H1653" s="152"/>
      <c r="I1653" s="153">
        <v>90.022307692307692</v>
      </c>
      <c r="J1653" s="145"/>
      <c r="K1653" s="153" t="s">
        <v>86</v>
      </c>
      <c r="L1653" s="153" t="s">
        <v>86</v>
      </c>
      <c r="M1653" s="153"/>
      <c r="N1653" s="2" t="s">
        <v>57</v>
      </c>
      <c r="O1653" s="2"/>
      <c r="P1653" s="2"/>
    </row>
    <row r="1654" spans="1:16" ht="16.5" customHeight="1" x14ac:dyDescent="0.25">
      <c r="A1654" s="2" t="s">
        <v>3107</v>
      </c>
      <c r="B1654" s="8" t="s">
        <v>3107</v>
      </c>
      <c r="C1654" s="152" t="s">
        <v>102</v>
      </c>
      <c r="D1654" s="2" t="s">
        <v>278</v>
      </c>
      <c r="E1654" s="152" t="s">
        <v>102</v>
      </c>
      <c r="F1654" s="152" t="s">
        <v>103</v>
      </c>
      <c r="G1654" s="152">
        <v>0</v>
      </c>
      <c r="H1654" s="152"/>
      <c r="I1654" s="153">
        <v>106.7817948717949</v>
      </c>
      <c r="J1654" s="145"/>
      <c r="K1654" s="153" t="s">
        <v>86</v>
      </c>
      <c r="L1654" s="153" t="s">
        <v>86</v>
      </c>
      <c r="M1654" s="153"/>
      <c r="N1654" s="2" t="s">
        <v>57</v>
      </c>
      <c r="O1654" s="2"/>
      <c r="P1654" s="2"/>
    </row>
    <row r="1655" spans="1:16" ht="16.5" customHeight="1" x14ac:dyDescent="0.25">
      <c r="A1655" s="2" t="s">
        <v>3108</v>
      </c>
      <c r="B1655" s="8" t="s">
        <v>3108</v>
      </c>
      <c r="C1655" s="152" t="s">
        <v>102</v>
      </c>
      <c r="D1655" s="2" t="s">
        <v>278</v>
      </c>
      <c r="E1655" s="152" t="s">
        <v>102</v>
      </c>
      <c r="F1655" s="152" t="s">
        <v>103</v>
      </c>
      <c r="G1655" s="152">
        <v>0</v>
      </c>
      <c r="H1655" s="152"/>
      <c r="I1655" s="153">
        <v>26.900641025641029</v>
      </c>
      <c r="J1655" s="145"/>
      <c r="K1655" s="153" t="s">
        <v>86</v>
      </c>
      <c r="L1655" s="153" t="s">
        <v>86</v>
      </c>
      <c r="M1655" s="153"/>
      <c r="N1655" s="2" t="s">
        <v>57</v>
      </c>
      <c r="O1655" s="2"/>
      <c r="P1655" s="2"/>
    </row>
    <row r="1656" spans="1:16" ht="16.5" customHeight="1" x14ac:dyDescent="0.25">
      <c r="A1656" s="2" t="s">
        <v>3109</v>
      </c>
      <c r="B1656" s="8" t="s">
        <v>3109</v>
      </c>
      <c r="C1656" s="152" t="s">
        <v>102</v>
      </c>
      <c r="D1656" s="2" t="s">
        <v>278</v>
      </c>
      <c r="E1656" s="152" t="s">
        <v>102</v>
      </c>
      <c r="F1656" s="152" t="s">
        <v>103</v>
      </c>
      <c r="G1656" s="152">
        <v>0</v>
      </c>
      <c r="H1656" s="152"/>
      <c r="I1656" s="153">
        <v>22.15794871794872</v>
      </c>
      <c r="J1656" s="145"/>
      <c r="K1656" s="153" t="s">
        <v>86</v>
      </c>
      <c r="L1656" s="153" t="s">
        <v>86</v>
      </c>
      <c r="M1656" s="153"/>
      <c r="N1656" s="2" t="s">
        <v>57</v>
      </c>
      <c r="O1656" s="2"/>
      <c r="P1656" s="2"/>
    </row>
    <row r="1657" spans="1:16" ht="16.5" customHeight="1" x14ac:dyDescent="0.25">
      <c r="A1657" s="2" t="s">
        <v>3110</v>
      </c>
      <c r="B1657" s="8" t="s">
        <v>3110</v>
      </c>
      <c r="C1657" s="152" t="s">
        <v>102</v>
      </c>
      <c r="D1657" s="2" t="s">
        <v>278</v>
      </c>
      <c r="E1657" s="152" t="s">
        <v>102</v>
      </c>
      <c r="F1657" s="152" t="s">
        <v>103</v>
      </c>
      <c r="G1657" s="152">
        <v>0</v>
      </c>
      <c r="H1657" s="152"/>
      <c r="I1657" s="153">
        <v>31.38666666666667</v>
      </c>
      <c r="J1657" s="145"/>
      <c r="K1657" s="153" t="s">
        <v>86</v>
      </c>
      <c r="L1657" s="153" t="s">
        <v>86</v>
      </c>
      <c r="M1657" s="153"/>
      <c r="N1657" s="2" t="s">
        <v>57</v>
      </c>
      <c r="O1657" s="2"/>
      <c r="P1657" s="2"/>
    </row>
    <row r="1658" spans="1:16" ht="16.5" customHeight="1" x14ac:dyDescent="0.25">
      <c r="A1658" s="2" t="s">
        <v>3111</v>
      </c>
      <c r="B1658" s="8" t="s">
        <v>3111</v>
      </c>
      <c r="C1658" s="152" t="s">
        <v>102</v>
      </c>
      <c r="D1658" s="2" t="s">
        <v>278</v>
      </c>
      <c r="E1658" s="152" t="s">
        <v>102</v>
      </c>
      <c r="F1658" s="152" t="s">
        <v>103</v>
      </c>
      <c r="G1658" s="152">
        <v>0</v>
      </c>
      <c r="H1658" s="152"/>
      <c r="I1658" s="153">
        <v>51.674615384615393</v>
      </c>
      <c r="J1658" s="145"/>
      <c r="K1658" s="153" t="s">
        <v>86</v>
      </c>
      <c r="L1658" s="153" t="s">
        <v>86</v>
      </c>
      <c r="M1658" s="153"/>
      <c r="N1658" s="2" t="s">
        <v>57</v>
      </c>
      <c r="O1658" s="2"/>
      <c r="P1658" s="2"/>
    </row>
    <row r="1659" spans="1:16" ht="16.5" customHeight="1" x14ac:dyDescent="0.25">
      <c r="A1659" s="2" t="s">
        <v>3112</v>
      </c>
      <c r="B1659" s="8" t="s">
        <v>3112</v>
      </c>
      <c r="C1659" s="152" t="s">
        <v>102</v>
      </c>
      <c r="D1659" s="2" t="s">
        <v>278</v>
      </c>
      <c r="E1659" s="152" t="s">
        <v>102</v>
      </c>
      <c r="F1659" s="152" t="s">
        <v>103</v>
      </c>
      <c r="G1659" s="152">
        <v>0</v>
      </c>
      <c r="H1659" s="152"/>
      <c r="I1659" s="153">
        <v>21.609711538461539</v>
      </c>
      <c r="J1659" s="145"/>
      <c r="K1659" s="153" t="s">
        <v>86</v>
      </c>
      <c r="L1659" s="153" t="s">
        <v>86</v>
      </c>
      <c r="M1659" s="153"/>
      <c r="N1659" s="2" t="s">
        <v>57</v>
      </c>
      <c r="O1659" s="2"/>
      <c r="P1659" s="2"/>
    </row>
    <row r="1660" spans="1:16" ht="16.5" customHeight="1" x14ac:dyDescent="0.25">
      <c r="A1660" s="2" t="s">
        <v>3113</v>
      </c>
      <c r="B1660" s="8" t="s">
        <v>3113</v>
      </c>
      <c r="C1660" s="152" t="s">
        <v>102</v>
      </c>
      <c r="D1660" s="2" t="s">
        <v>278</v>
      </c>
      <c r="E1660" s="152" t="s">
        <v>102</v>
      </c>
      <c r="F1660" s="152" t="s">
        <v>103</v>
      </c>
      <c r="G1660" s="152">
        <v>0</v>
      </c>
      <c r="H1660" s="152"/>
      <c r="I1660" s="153">
        <v>38.39</v>
      </c>
      <c r="J1660" s="145"/>
      <c r="K1660" s="153" t="s">
        <v>86</v>
      </c>
      <c r="L1660" s="153" t="s">
        <v>86</v>
      </c>
      <c r="M1660" s="153"/>
      <c r="N1660" s="2" t="s">
        <v>57</v>
      </c>
      <c r="O1660" s="2"/>
      <c r="P1660" s="2"/>
    </row>
    <row r="1661" spans="1:16" ht="16.5" customHeight="1" x14ac:dyDescent="0.25">
      <c r="A1661" s="2" t="s">
        <v>3114</v>
      </c>
      <c r="B1661" s="8" t="s">
        <v>3114</v>
      </c>
      <c r="C1661" s="152" t="s">
        <v>102</v>
      </c>
      <c r="D1661" s="2" t="s">
        <v>278</v>
      </c>
      <c r="E1661" s="152" t="s">
        <v>102</v>
      </c>
      <c r="F1661" s="152" t="s">
        <v>103</v>
      </c>
      <c r="G1661" s="152">
        <v>0</v>
      </c>
      <c r="H1661" s="152"/>
      <c r="I1661" s="153">
        <v>15.93166666666667</v>
      </c>
      <c r="J1661" s="145"/>
      <c r="K1661" s="153" t="s">
        <v>86</v>
      </c>
      <c r="L1661" s="153" t="s">
        <v>86</v>
      </c>
      <c r="M1661" s="153"/>
      <c r="N1661" s="2" t="s">
        <v>57</v>
      </c>
      <c r="O1661" s="2"/>
      <c r="P1661" s="2"/>
    </row>
    <row r="1662" spans="1:16" ht="16.5" customHeight="1" x14ac:dyDescent="0.25">
      <c r="A1662" s="2" t="s">
        <v>3115</v>
      </c>
      <c r="B1662" s="8" t="s">
        <v>3115</v>
      </c>
      <c r="C1662" s="152" t="s">
        <v>102</v>
      </c>
      <c r="D1662" s="2" t="s">
        <v>278</v>
      </c>
      <c r="E1662" s="152" t="s">
        <v>102</v>
      </c>
      <c r="F1662" s="152" t="s">
        <v>103</v>
      </c>
      <c r="G1662" s="152">
        <v>0</v>
      </c>
      <c r="H1662" s="152"/>
      <c r="I1662" s="153">
        <v>9.4102739726027416</v>
      </c>
      <c r="J1662" s="145"/>
      <c r="K1662" s="153" t="s">
        <v>86</v>
      </c>
      <c r="L1662" s="153" t="s">
        <v>86</v>
      </c>
      <c r="M1662" s="153"/>
      <c r="N1662" s="2" t="s">
        <v>57</v>
      </c>
      <c r="O1662" s="2"/>
      <c r="P1662" s="2"/>
    </row>
    <row r="1663" spans="1:16" ht="16.5" customHeight="1" x14ac:dyDescent="0.25">
      <c r="A1663" s="2" t="s">
        <v>3116</v>
      </c>
      <c r="B1663" s="8" t="s">
        <v>3116</v>
      </c>
      <c r="C1663" s="152" t="s">
        <v>102</v>
      </c>
      <c r="D1663" s="2" t="s">
        <v>278</v>
      </c>
      <c r="E1663" s="152" t="s">
        <v>102</v>
      </c>
      <c r="F1663" s="152" t="s">
        <v>103</v>
      </c>
      <c r="G1663" s="152">
        <v>0</v>
      </c>
      <c r="H1663" s="152"/>
      <c r="I1663" s="153">
        <v>4.5667628205128219</v>
      </c>
      <c r="J1663" s="145"/>
      <c r="K1663" s="153" t="s">
        <v>86</v>
      </c>
      <c r="L1663" s="153" t="s">
        <v>86</v>
      </c>
      <c r="M1663" s="153"/>
      <c r="N1663" s="2" t="s">
        <v>57</v>
      </c>
      <c r="O1663" s="2"/>
      <c r="P1663" s="2"/>
    </row>
    <row r="1664" spans="1:16" ht="16.5" customHeight="1" x14ac:dyDescent="0.25">
      <c r="A1664" s="2" t="s">
        <v>3117</v>
      </c>
      <c r="B1664" s="8" t="s">
        <v>3117</v>
      </c>
      <c r="C1664" s="152" t="s">
        <v>102</v>
      </c>
      <c r="D1664" s="2" t="s">
        <v>278</v>
      </c>
      <c r="E1664" s="152" t="s">
        <v>102</v>
      </c>
      <c r="F1664" s="152" t="s">
        <v>103</v>
      </c>
      <c r="G1664" s="152">
        <v>0</v>
      </c>
      <c r="H1664" s="152"/>
      <c r="I1664" s="153">
        <v>6.6049358974358983</v>
      </c>
      <c r="J1664" s="145"/>
      <c r="K1664" s="153" t="s">
        <v>86</v>
      </c>
      <c r="L1664" s="153" t="s">
        <v>86</v>
      </c>
      <c r="M1664" s="153"/>
      <c r="N1664" s="2" t="s">
        <v>57</v>
      </c>
      <c r="O1664" s="2"/>
      <c r="P1664" s="2"/>
    </row>
    <row r="1665" spans="1:16" ht="16.5" customHeight="1" x14ac:dyDescent="0.25">
      <c r="A1665" s="2" t="s">
        <v>3118</v>
      </c>
      <c r="B1665" s="8" t="s">
        <v>3118</v>
      </c>
      <c r="C1665" s="152" t="s">
        <v>102</v>
      </c>
      <c r="D1665" s="2" t="s">
        <v>278</v>
      </c>
      <c r="E1665" s="152" t="s">
        <v>102</v>
      </c>
      <c r="F1665" s="152" t="s">
        <v>103</v>
      </c>
      <c r="G1665" s="152">
        <v>0</v>
      </c>
      <c r="H1665" s="152"/>
      <c r="I1665" s="153">
        <v>9.8171232876712349</v>
      </c>
      <c r="J1665" s="145"/>
      <c r="K1665" s="153" t="s">
        <v>86</v>
      </c>
      <c r="L1665" s="153" t="s">
        <v>86</v>
      </c>
      <c r="M1665" s="153"/>
      <c r="N1665" s="2" t="s">
        <v>57</v>
      </c>
      <c r="O1665" s="2"/>
      <c r="P1665" s="2"/>
    </row>
    <row r="1666" spans="1:16" ht="16.5" customHeight="1" x14ac:dyDescent="0.25">
      <c r="A1666" s="2" t="s">
        <v>3119</v>
      </c>
      <c r="B1666" s="8" t="s">
        <v>3119</v>
      </c>
      <c r="C1666" s="152" t="s">
        <v>102</v>
      </c>
      <c r="D1666" s="2" t="s">
        <v>278</v>
      </c>
      <c r="E1666" s="152" t="s">
        <v>102</v>
      </c>
      <c r="F1666" s="152" t="s">
        <v>103</v>
      </c>
      <c r="G1666" s="152">
        <v>0</v>
      </c>
      <c r="H1666" s="152"/>
      <c r="I1666" s="153">
        <v>11.2475</v>
      </c>
      <c r="J1666" s="145"/>
      <c r="K1666" s="153" t="s">
        <v>86</v>
      </c>
      <c r="L1666" s="153" t="s">
        <v>86</v>
      </c>
      <c r="M1666" s="153"/>
      <c r="N1666" s="2" t="s">
        <v>57</v>
      </c>
      <c r="O1666" s="2"/>
      <c r="P1666" s="2"/>
    </row>
    <row r="1667" spans="1:16" ht="16.5" customHeight="1" x14ac:dyDescent="0.25">
      <c r="A1667" s="2" t="s">
        <v>3120</v>
      </c>
      <c r="B1667" s="8" t="s">
        <v>3120</v>
      </c>
      <c r="C1667" s="152" t="s">
        <v>102</v>
      </c>
      <c r="D1667" s="2" t="s">
        <v>278</v>
      </c>
      <c r="E1667" s="152" t="s">
        <v>102</v>
      </c>
      <c r="F1667" s="152" t="s">
        <v>103</v>
      </c>
      <c r="G1667" s="152">
        <v>0</v>
      </c>
      <c r="H1667" s="152"/>
      <c r="I1667" s="153">
        <v>33.635136986301369</v>
      </c>
      <c r="J1667" s="145"/>
      <c r="K1667" s="153" t="s">
        <v>86</v>
      </c>
      <c r="L1667" s="153" t="s">
        <v>86</v>
      </c>
      <c r="M1667" s="153"/>
      <c r="N1667" s="2" t="s">
        <v>57</v>
      </c>
      <c r="O1667" s="2"/>
      <c r="P1667" s="2"/>
    </row>
    <row r="1668" spans="1:16" ht="16.5" customHeight="1" x14ac:dyDescent="0.25">
      <c r="A1668" s="2" t="s">
        <v>3121</v>
      </c>
      <c r="B1668" s="8" t="s">
        <v>3121</v>
      </c>
      <c r="C1668" s="152" t="s">
        <v>102</v>
      </c>
      <c r="D1668" s="2" t="s">
        <v>278</v>
      </c>
      <c r="E1668" s="152" t="s">
        <v>102</v>
      </c>
      <c r="F1668" s="152" t="s">
        <v>103</v>
      </c>
      <c r="G1668" s="152">
        <v>0</v>
      </c>
      <c r="H1668" s="152"/>
      <c r="I1668" s="153">
        <v>64.605256410256416</v>
      </c>
      <c r="J1668" s="145"/>
      <c r="K1668" s="153" t="s">
        <v>86</v>
      </c>
      <c r="L1668" s="153" t="s">
        <v>86</v>
      </c>
      <c r="M1668" s="153"/>
      <c r="N1668" s="2" t="s">
        <v>57</v>
      </c>
      <c r="O1668" s="2"/>
      <c r="P1668" s="2"/>
    </row>
    <row r="1669" spans="1:16" ht="16.5" customHeight="1" x14ac:dyDescent="0.25">
      <c r="A1669" s="2" t="s">
        <v>3122</v>
      </c>
      <c r="B1669" s="8" t="s">
        <v>3122</v>
      </c>
      <c r="C1669" s="152" t="s">
        <v>102</v>
      </c>
      <c r="D1669" s="2" t="s">
        <v>278</v>
      </c>
      <c r="E1669" s="152" t="s">
        <v>102</v>
      </c>
      <c r="F1669" s="152" t="s">
        <v>103</v>
      </c>
      <c r="G1669" s="152">
        <v>0</v>
      </c>
      <c r="H1669" s="152"/>
      <c r="I1669" s="153">
        <v>74.086057692307691</v>
      </c>
      <c r="J1669" s="145"/>
      <c r="K1669" s="153" t="s">
        <v>86</v>
      </c>
      <c r="L1669" s="153" t="s">
        <v>86</v>
      </c>
      <c r="M1669" s="153"/>
      <c r="N1669" s="2" t="s">
        <v>57</v>
      </c>
      <c r="O1669" s="2"/>
      <c r="P1669" s="2"/>
    </row>
    <row r="1670" spans="1:16" ht="16.5" customHeight="1" x14ac:dyDescent="0.25">
      <c r="A1670" s="2" t="s">
        <v>3123</v>
      </c>
      <c r="B1670" s="8" t="s">
        <v>3123</v>
      </c>
      <c r="C1670" s="152" t="s">
        <v>102</v>
      </c>
      <c r="D1670" s="2" t="s">
        <v>278</v>
      </c>
      <c r="E1670" s="152" t="s">
        <v>102</v>
      </c>
      <c r="F1670" s="152" t="s">
        <v>103</v>
      </c>
      <c r="G1670" s="152">
        <v>0</v>
      </c>
      <c r="H1670" s="152"/>
      <c r="I1670" s="153">
        <v>75.713904109589038</v>
      </c>
      <c r="J1670" s="145"/>
      <c r="K1670" s="153" t="s">
        <v>86</v>
      </c>
      <c r="L1670" s="153" t="s">
        <v>86</v>
      </c>
      <c r="M1670" s="153"/>
      <c r="N1670" s="2" t="s">
        <v>57</v>
      </c>
      <c r="O1670" s="2"/>
      <c r="P1670" s="2"/>
    </row>
    <row r="1671" spans="1:16" ht="16.5" customHeight="1" x14ac:dyDescent="0.25">
      <c r="A1671" s="2" t="s">
        <v>3124</v>
      </c>
      <c r="B1671" s="8" t="s">
        <v>3124</v>
      </c>
      <c r="C1671" s="152" t="s">
        <v>102</v>
      </c>
      <c r="D1671" s="2" t="s">
        <v>278</v>
      </c>
      <c r="E1671" s="152" t="s">
        <v>102</v>
      </c>
      <c r="F1671" s="152" t="s">
        <v>103</v>
      </c>
      <c r="G1671" s="152">
        <v>0</v>
      </c>
      <c r="H1671" s="152"/>
      <c r="I1671" s="153">
        <v>30.081474358974361</v>
      </c>
      <c r="J1671" s="145"/>
      <c r="K1671" s="153" t="s">
        <v>86</v>
      </c>
      <c r="L1671" s="153" t="s">
        <v>86</v>
      </c>
      <c r="M1671" s="153"/>
      <c r="N1671" s="2" t="s">
        <v>57</v>
      </c>
      <c r="O1671" s="2"/>
      <c r="P1671" s="2"/>
    </row>
    <row r="1672" spans="1:16" ht="16.5" customHeight="1" x14ac:dyDescent="0.25">
      <c r="A1672" s="2" t="s">
        <v>3125</v>
      </c>
      <c r="B1672" s="8" t="s">
        <v>3125</v>
      </c>
      <c r="C1672" s="152" t="s">
        <v>102</v>
      </c>
      <c r="D1672" s="2" t="s">
        <v>278</v>
      </c>
      <c r="E1672" s="152" t="s">
        <v>102</v>
      </c>
      <c r="F1672" s="152" t="s">
        <v>103</v>
      </c>
      <c r="G1672" s="152">
        <v>0</v>
      </c>
      <c r="H1672" s="152"/>
      <c r="I1672" s="153">
        <v>34.164166666666667</v>
      </c>
      <c r="J1672" s="145"/>
      <c r="K1672" s="153" t="s">
        <v>86</v>
      </c>
      <c r="L1672" s="153" t="s">
        <v>86</v>
      </c>
      <c r="M1672" s="153"/>
      <c r="N1672" s="2" t="s">
        <v>57</v>
      </c>
      <c r="O1672" s="2"/>
      <c r="P1672" s="2"/>
    </row>
    <row r="1673" spans="1:16" ht="16.5" customHeight="1" x14ac:dyDescent="0.25">
      <c r="A1673" s="2" t="s">
        <v>3126</v>
      </c>
      <c r="B1673" s="8" t="s">
        <v>3126</v>
      </c>
      <c r="C1673" s="152" t="s">
        <v>102</v>
      </c>
      <c r="D1673" s="2" t="s">
        <v>278</v>
      </c>
      <c r="E1673" s="152" t="s">
        <v>102</v>
      </c>
      <c r="F1673" s="152" t="s">
        <v>103</v>
      </c>
      <c r="G1673" s="152">
        <v>0</v>
      </c>
      <c r="H1673" s="152"/>
      <c r="I1673" s="153">
        <v>81.987671232876721</v>
      </c>
      <c r="J1673" s="145"/>
      <c r="K1673" s="153" t="s">
        <v>86</v>
      </c>
      <c r="L1673" s="153">
        <v>-24.926755848830929</v>
      </c>
      <c r="M1673" s="153"/>
      <c r="N1673" s="2" t="s">
        <v>57</v>
      </c>
      <c r="O1673" s="2"/>
      <c r="P1673" s="2"/>
    </row>
    <row r="1674" spans="1:16" ht="16.5" customHeight="1" x14ac:dyDescent="0.25">
      <c r="A1674" s="2" t="s">
        <v>3127</v>
      </c>
      <c r="B1674" s="8" t="s">
        <v>3127</v>
      </c>
      <c r="C1674" s="152" t="s">
        <v>102</v>
      </c>
      <c r="D1674" s="2" t="s">
        <v>278</v>
      </c>
      <c r="E1674" s="152" t="s">
        <v>102</v>
      </c>
      <c r="F1674" s="152" t="s">
        <v>103</v>
      </c>
      <c r="G1674" s="152">
        <v>0</v>
      </c>
      <c r="H1674" s="152"/>
      <c r="I1674" s="153">
        <v>43.367123287671241</v>
      </c>
      <c r="J1674" s="145"/>
      <c r="K1674" s="153" t="s">
        <v>86</v>
      </c>
      <c r="L1674" s="153" t="s">
        <v>86</v>
      </c>
      <c r="M1674" s="153"/>
      <c r="N1674" s="2" t="s">
        <v>57</v>
      </c>
      <c r="O1674" s="2"/>
      <c r="P1674" s="2"/>
    </row>
    <row r="1675" spans="1:16" ht="16.5" customHeight="1" x14ac:dyDescent="0.25">
      <c r="A1675" s="2" t="s">
        <v>3128</v>
      </c>
      <c r="B1675" s="8" t="s">
        <v>3128</v>
      </c>
      <c r="C1675" s="152" t="s">
        <v>102</v>
      </c>
      <c r="D1675" s="2" t="s">
        <v>278</v>
      </c>
      <c r="E1675" s="152" t="s">
        <v>102</v>
      </c>
      <c r="F1675" s="152" t="s">
        <v>103</v>
      </c>
      <c r="G1675" s="152">
        <v>0</v>
      </c>
      <c r="H1675" s="152"/>
      <c r="I1675" s="153">
        <v>31.009452054794519</v>
      </c>
      <c r="J1675" s="145"/>
      <c r="K1675" s="153" t="s">
        <v>86</v>
      </c>
      <c r="L1675" s="153" t="s">
        <v>86</v>
      </c>
      <c r="M1675" s="153"/>
      <c r="N1675" s="2" t="s">
        <v>57</v>
      </c>
      <c r="O1675" s="2"/>
      <c r="P1675" s="2"/>
    </row>
    <row r="1676" spans="1:16" ht="16.5" customHeight="1" x14ac:dyDescent="0.25">
      <c r="A1676" s="2" t="s">
        <v>3129</v>
      </c>
      <c r="B1676" s="8" t="s">
        <v>3129</v>
      </c>
      <c r="C1676" s="152" t="s">
        <v>102</v>
      </c>
      <c r="D1676" s="2" t="s">
        <v>278</v>
      </c>
      <c r="E1676" s="152" t="s">
        <v>102</v>
      </c>
      <c r="F1676" s="152" t="s">
        <v>103</v>
      </c>
      <c r="G1676" s="152">
        <v>0</v>
      </c>
      <c r="H1676" s="152"/>
      <c r="I1676" s="153">
        <v>36.208835616438357</v>
      </c>
      <c r="J1676" s="145"/>
      <c r="K1676" s="153" t="s">
        <v>86</v>
      </c>
      <c r="L1676" s="153" t="s">
        <v>86</v>
      </c>
      <c r="M1676" s="153"/>
      <c r="N1676" s="2" t="s">
        <v>57</v>
      </c>
      <c r="O1676" s="2"/>
      <c r="P1676" s="2"/>
    </row>
    <row r="1677" spans="1:16" ht="16.5" customHeight="1" x14ac:dyDescent="0.25">
      <c r="A1677" s="2" t="s">
        <v>3130</v>
      </c>
      <c r="B1677" s="8" t="s">
        <v>3130</v>
      </c>
      <c r="C1677" s="152" t="s">
        <v>102</v>
      </c>
      <c r="D1677" s="2" t="s">
        <v>278</v>
      </c>
      <c r="E1677" s="152" t="s">
        <v>102</v>
      </c>
      <c r="F1677" s="152" t="s">
        <v>103</v>
      </c>
      <c r="G1677" s="152">
        <v>0</v>
      </c>
      <c r="H1677" s="152"/>
      <c r="I1677" s="153">
        <v>24.30012820512821</v>
      </c>
      <c r="J1677" s="145"/>
      <c r="K1677" s="153" t="s">
        <v>86</v>
      </c>
      <c r="L1677" s="153" t="s">
        <v>86</v>
      </c>
      <c r="M1677" s="153"/>
      <c r="N1677" s="2" t="s">
        <v>57</v>
      </c>
      <c r="O1677" s="2"/>
      <c r="P1677" s="2"/>
    </row>
    <row r="1678" spans="1:16" ht="16.5" customHeight="1" x14ac:dyDescent="0.25">
      <c r="A1678" s="2" t="s">
        <v>3131</v>
      </c>
      <c r="B1678" s="8" t="s">
        <v>3131</v>
      </c>
      <c r="C1678" s="152" t="s">
        <v>102</v>
      </c>
      <c r="D1678" s="2" t="s">
        <v>278</v>
      </c>
      <c r="E1678" s="152" t="s">
        <v>102</v>
      </c>
      <c r="F1678" s="152" t="s">
        <v>103</v>
      </c>
      <c r="G1678" s="152">
        <v>0</v>
      </c>
      <c r="H1678" s="152"/>
      <c r="I1678" s="153">
        <v>44.851089743589753</v>
      </c>
      <c r="J1678" s="145"/>
      <c r="K1678" s="153" t="s">
        <v>86</v>
      </c>
      <c r="L1678" s="153" t="s">
        <v>86</v>
      </c>
      <c r="M1678" s="153"/>
      <c r="N1678" s="2" t="s">
        <v>57</v>
      </c>
      <c r="O1678" s="2"/>
      <c r="P1678" s="2"/>
    </row>
    <row r="1679" spans="1:16" ht="16.5" customHeight="1" x14ac:dyDescent="0.25">
      <c r="A1679" s="2" t="s">
        <v>3132</v>
      </c>
      <c r="B1679" s="8" t="s">
        <v>3132</v>
      </c>
      <c r="C1679" s="152" t="s">
        <v>102</v>
      </c>
      <c r="D1679" s="2" t="s">
        <v>278</v>
      </c>
      <c r="E1679" s="152" t="s">
        <v>102</v>
      </c>
      <c r="F1679" s="152" t="s">
        <v>103</v>
      </c>
      <c r="G1679" s="152">
        <v>0</v>
      </c>
      <c r="H1679" s="152"/>
      <c r="I1679" s="153">
        <v>43.610064102564117</v>
      </c>
      <c r="J1679" s="145"/>
      <c r="K1679" s="153" t="s">
        <v>86</v>
      </c>
      <c r="L1679" s="153" t="s">
        <v>86</v>
      </c>
      <c r="M1679" s="153"/>
      <c r="N1679" s="2" t="s">
        <v>57</v>
      </c>
      <c r="O1679" s="2"/>
      <c r="P1679" s="2"/>
    </row>
    <row r="1680" spans="1:16" ht="16.5" customHeight="1" x14ac:dyDescent="0.25">
      <c r="A1680" s="2" t="s">
        <v>3133</v>
      </c>
      <c r="B1680" s="8" t="s">
        <v>3133</v>
      </c>
      <c r="C1680" s="152" t="s">
        <v>102</v>
      </c>
      <c r="D1680" s="2" t="s">
        <v>278</v>
      </c>
      <c r="E1680" s="152" t="s">
        <v>102</v>
      </c>
      <c r="F1680" s="152" t="s">
        <v>103</v>
      </c>
      <c r="G1680" s="152">
        <v>0</v>
      </c>
      <c r="H1680" s="152"/>
      <c r="I1680" s="153">
        <v>23.770547945205479</v>
      </c>
      <c r="J1680" s="145"/>
      <c r="K1680" s="153" t="s">
        <v>86</v>
      </c>
      <c r="L1680" s="153" t="s">
        <v>86</v>
      </c>
      <c r="M1680" s="153"/>
      <c r="N1680" s="2" t="s">
        <v>57</v>
      </c>
      <c r="O1680" s="2"/>
      <c r="P1680" s="2"/>
    </row>
    <row r="1681" spans="1:16" ht="16.5" customHeight="1" x14ac:dyDescent="0.25">
      <c r="A1681" s="2" t="s">
        <v>3134</v>
      </c>
      <c r="B1681" s="8" t="s">
        <v>3134</v>
      </c>
      <c r="C1681" s="152" t="s">
        <v>102</v>
      </c>
      <c r="D1681" s="2" t="s">
        <v>278</v>
      </c>
      <c r="E1681" s="152" t="s">
        <v>102</v>
      </c>
      <c r="F1681" s="152" t="s">
        <v>103</v>
      </c>
      <c r="G1681" s="152">
        <v>0</v>
      </c>
      <c r="H1681" s="152"/>
      <c r="I1681" s="153">
        <v>6.0401282051282053</v>
      </c>
      <c r="J1681" s="145"/>
      <c r="K1681" s="153" t="s">
        <v>86</v>
      </c>
      <c r="L1681" s="153" t="s">
        <v>86</v>
      </c>
      <c r="M1681" s="153"/>
      <c r="N1681" s="2" t="s">
        <v>57</v>
      </c>
      <c r="O1681" s="2"/>
      <c r="P1681" s="2"/>
    </row>
    <row r="1682" spans="1:16" ht="16.5" customHeight="1" x14ac:dyDescent="0.25">
      <c r="A1682" s="2" t="s">
        <v>3135</v>
      </c>
      <c r="B1682" s="8" t="s">
        <v>3135</v>
      </c>
      <c r="C1682" s="152" t="s">
        <v>102</v>
      </c>
      <c r="D1682" s="2" t="s">
        <v>278</v>
      </c>
      <c r="E1682" s="152" t="s">
        <v>102</v>
      </c>
      <c r="F1682" s="152" t="s">
        <v>103</v>
      </c>
      <c r="G1682" s="152">
        <v>0</v>
      </c>
      <c r="H1682" s="152"/>
      <c r="I1682" s="153">
        <v>7.2550641025641038</v>
      </c>
      <c r="J1682" s="145"/>
      <c r="K1682" s="153" t="s">
        <v>86</v>
      </c>
      <c r="L1682" s="153" t="s">
        <v>86</v>
      </c>
      <c r="M1682" s="153"/>
      <c r="N1682" s="2" t="s">
        <v>57</v>
      </c>
      <c r="O1682" s="2"/>
      <c r="P1682" s="2"/>
    </row>
    <row r="1683" spans="1:16" ht="16.5" customHeight="1" x14ac:dyDescent="0.25">
      <c r="A1683" s="2" t="s">
        <v>3136</v>
      </c>
      <c r="B1683" s="8" t="s">
        <v>3136</v>
      </c>
      <c r="C1683" s="152" t="s">
        <v>102</v>
      </c>
      <c r="D1683" s="2" t="s">
        <v>278</v>
      </c>
      <c r="E1683" s="152" t="s">
        <v>102</v>
      </c>
      <c r="F1683" s="152" t="s">
        <v>103</v>
      </c>
      <c r="G1683" s="152">
        <v>0</v>
      </c>
      <c r="H1683" s="152"/>
      <c r="I1683" s="153">
        <v>15.675753424657531</v>
      </c>
      <c r="J1683" s="145"/>
      <c r="K1683" s="153" t="s">
        <v>86</v>
      </c>
      <c r="L1683" s="153" t="s">
        <v>86</v>
      </c>
      <c r="M1683" s="153"/>
      <c r="N1683" s="2" t="s">
        <v>57</v>
      </c>
      <c r="O1683" s="2"/>
      <c r="P1683" s="2"/>
    </row>
    <row r="1684" spans="1:16" ht="16.5" customHeight="1" x14ac:dyDescent="0.25">
      <c r="A1684" s="2" t="s">
        <v>3137</v>
      </c>
      <c r="B1684" s="8" t="s">
        <v>3137</v>
      </c>
      <c r="C1684" s="152" t="s">
        <v>102</v>
      </c>
      <c r="D1684" s="2" t="s">
        <v>278</v>
      </c>
      <c r="E1684" s="152" t="s">
        <v>102</v>
      </c>
      <c r="F1684" s="152" t="s">
        <v>103</v>
      </c>
      <c r="G1684" s="152">
        <v>0</v>
      </c>
      <c r="H1684" s="152"/>
      <c r="I1684" s="153">
        <v>30.78307692307693</v>
      </c>
      <c r="J1684" s="145"/>
      <c r="K1684" s="153" t="s">
        <v>86</v>
      </c>
      <c r="L1684" s="153" t="s">
        <v>86</v>
      </c>
      <c r="M1684" s="153"/>
      <c r="N1684" s="2" t="s">
        <v>57</v>
      </c>
      <c r="O1684" s="2"/>
      <c r="P1684" s="2"/>
    </row>
    <row r="1685" spans="1:16" ht="16.5" customHeight="1" x14ac:dyDescent="0.25">
      <c r="A1685" s="2" t="s">
        <v>3138</v>
      </c>
      <c r="B1685" s="8" t="s">
        <v>3138</v>
      </c>
      <c r="C1685" s="152" t="s">
        <v>102</v>
      </c>
      <c r="D1685" s="2" t="s">
        <v>278</v>
      </c>
      <c r="E1685" s="152" t="s">
        <v>102</v>
      </c>
      <c r="F1685" s="152" t="s">
        <v>103</v>
      </c>
      <c r="G1685" s="152">
        <v>0</v>
      </c>
      <c r="H1685" s="152"/>
      <c r="I1685" s="153">
        <v>5.5747435897435897</v>
      </c>
      <c r="J1685" s="145"/>
      <c r="K1685" s="153" t="s">
        <v>86</v>
      </c>
      <c r="L1685" s="153" t="s">
        <v>86</v>
      </c>
      <c r="M1685" s="153"/>
      <c r="N1685" s="2" t="s">
        <v>57</v>
      </c>
      <c r="O1685" s="2"/>
      <c r="P1685" s="2"/>
    </row>
    <row r="1686" spans="1:16" ht="16.5" customHeight="1" x14ac:dyDescent="0.25">
      <c r="A1686" s="2" t="s">
        <v>3139</v>
      </c>
      <c r="B1686" s="8" t="s">
        <v>3139</v>
      </c>
      <c r="C1686" s="152" t="s">
        <v>102</v>
      </c>
      <c r="D1686" s="2" t="s">
        <v>278</v>
      </c>
      <c r="E1686" s="152" t="s">
        <v>102</v>
      </c>
      <c r="F1686" s="152" t="s">
        <v>103</v>
      </c>
      <c r="G1686" s="152">
        <v>0</v>
      </c>
      <c r="H1686" s="152"/>
      <c r="I1686" s="153">
        <v>10.661538461538459</v>
      </c>
      <c r="J1686" s="145"/>
      <c r="K1686" s="153" t="s">
        <v>86</v>
      </c>
      <c r="L1686" s="153" t="s">
        <v>86</v>
      </c>
      <c r="M1686" s="153"/>
      <c r="N1686" s="2" t="s">
        <v>57</v>
      </c>
      <c r="O1686" s="2"/>
      <c r="P1686" s="2"/>
    </row>
    <row r="1687" spans="1:16" ht="16.5" customHeight="1" x14ac:dyDescent="0.25">
      <c r="A1687" s="2" t="s">
        <v>3140</v>
      </c>
      <c r="B1687" s="8" t="s">
        <v>3140</v>
      </c>
      <c r="C1687" s="152" t="s">
        <v>102</v>
      </c>
      <c r="D1687" s="2" t="s">
        <v>278</v>
      </c>
      <c r="E1687" s="152" t="s">
        <v>102</v>
      </c>
      <c r="F1687" s="152" t="s">
        <v>103</v>
      </c>
      <c r="G1687" s="152">
        <v>0</v>
      </c>
      <c r="H1687" s="152"/>
      <c r="I1687" s="153">
        <v>11.753076923076931</v>
      </c>
      <c r="J1687" s="145"/>
      <c r="K1687" s="153" t="s">
        <v>86</v>
      </c>
      <c r="L1687" s="153" t="s">
        <v>86</v>
      </c>
      <c r="M1687" s="153"/>
      <c r="N1687" s="2" t="s">
        <v>57</v>
      </c>
      <c r="O1687" s="2"/>
      <c r="P1687" s="2"/>
    </row>
    <row r="1688" spans="1:16" ht="16.5" customHeight="1" x14ac:dyDescent="0.25">
      <c r="A1688" s="2" t="s">
        <v>3141</v>
      </c>
      <c r="B1688" s="8" t="s">
        <v>3141</v>
      </c>
      <c r="C1688" s="152" t="s">
        <v>102</v>
      </c>
      <c r="D1688" s="2" t="s">
        <v>278</v>
      </c>
      <c r="E1688" s="152" t="s">
        <v>102</v>
      </c>
      <c r="F1688" s="152" t="s">
        <v>103</v>
      </c>
      <c r="G1688" s="152">
        <v>0</v>
      </c>
      <c r="H1688" s="152"/>
      <c r="I1688" s="153">
        <v>16.382948717948722</v>
      </c>
      <c r="J1688" s="145"/>
      <c r="K1688" s="153" t="s">
        <v>86</v>
      </c>
      <c r="L1688" s="153" t="s">
        <v>86</v>
      </c>
      <c r="M1688" s="153"/>
      <c r="N1688" s="2" t="s">
        <v>57</v>
      </c>
      <c r="O1688" s="2"/>
      <c r="P1688" s="2"/>
    </row>
    <row r="1689" spans="1:16" ht="16.5" customHeight="1" x14ac:dyDescent="0.25">
      <c r="A1689" s="2" t="s">
        <v>3142</v>
      </c>
      <c r="B1689" s="8" t="s">
        <v>3142</v>
      </c>
      <c r="C1689" s="152" t="s">
        <v>102</v>
      </c>
      <c r="D1689" s="2" t="s">
        <v>278</v>
      </c>
      <c r="E1689" s="152" t="s">
        <v>102</v>
      </c>
      <c r="F1689" s="152" t="s">
        <v>103</v>
      </c>
      <c r="G1689" s="152">
        <v>0</v>
      </c>
      <c r="H1689" s="152"/>
      <c r="I1689" s="153">
        <v>18.272808219178081</v>
      </c>
      <c r="J1689" s="145"/>
      <c r="K1689" s="153" t="s">
        <v>86</v>
      </c>
      <c r="L1689" s="153" t="s">
        <v>86</v>
      </c>
      <c r="M1689" s="153"/>
      <c r="N1689" s="2" t="s">
        <v>57</v>
      </c>
      <c r="O1689" s="2"/>
      <c r="P1689" s="2"/>
    </row>
    <row r="1690" spans="1:16" ht="16.5" customHeight="1" x14ac:dyDescent="0.25">
      <c r="A1690" s="2" t="s">
        <v>3143</v>
      </c>
      <c r="B1690" s="8" t="s">
        <v>3143</v>
      </c>
      <c r="C1690" s="152" t="s">
        <v>102</v>
      </c>
      <c r="D1690" s="2" t="s">
        <v>278</v>
      </c>
      <c r="E1690" s="152" t="s">
        <v>102</v>
      </c>
      <c r="F1690" s="152" t="s">
        <v>103</v>
      </c>
      <c r="G1690" s="152">
        <v>0</v>
      </c>
      <c r="H1690" s="152"/>
      <c r="I1690" s="153">
        <v>27.241923076923079</v>
      </c>
      <c r="J1690" s="145"/>
      <c r="K1690" s="153" t="s">
        <v>86</v>
      </c>
      <c r="L1690" s="153" t="s">
        <v>86</v>
      </c>
      <c r="M1690" s="153"/>
      <c r="N1690" s="2" t="s">
        <v>57</v>
      </c>
      <c r="O1690" s="2"/>
      <c r="P1690" s="2"/>
    </row>
    <row r="1691" spans="1:16" ht="16.5" customHeight="1" x14ac:dyDescent="0.25">
      <c r="A1691" s="2" t="s">
        <v>3144</v>
      </c>
      <c r="B1691" s="8" t="s">
        <v>3144</v>
      </c>
      <c r="C1691" s="152" t="s">
        <v>102</v>
      </c>
      <c r="D1691" s="2" t="s">
        <v>278</v>
      </c>
      <c r="E1691" s="152" t="s">
        <v>102</v>
      </c>
      <c r="F1691" s="152" t="s">
        <v>103</v>
      </c>
      <c r="G1691" s="152">
        <v>0</v>
      </c>
      <c r="H1691" s="152"/>
      <c r="I1691" s="153">
        <v>9.2266025641025653</v>
      </c>
      <c r="J1691" s="145"/>
      <c r="K1691" s="153" t="s">
        <v>86</v>
      </c>
      <c r="L1691" s="153" t="s">
        <v>86</v>
      </c>
      <c r="M1691" s="153"/>
      <c r="N1691" s="2" t="s">
        <v>57</v>
      </c>
      <c r="O1691" s="2"/>
      <c r="P1691" s="2"/>
    </row>
    <row r="1692" spans="1:16" ht="16.5" customHeight="1" x14ac:dyDescent="0.25">
      <c r="A1692" s="2" t="s">
        <v>3145</v>
      </c>
      <c r="B1692" s="8" t="s">
        <v>3145</v>
      </c>
      <c r="C1692" s="152" t="s">
        <v>102</v>
      </c>
      <c r="D1692" s="2" t="s">
        <v>278</v>
      </c>
      <c r="E1692" s="152" t="s">
        <v>102</v>
      </c>
      <c r="F1692" s="152" t="s">
        <v>103</v>
      </c>
      <c r="G1692" s="152">
        <v>0</v>
      </c>
      <c r="H1692" s="152"/>
      <c r="I1692" s="153">
        <v>10.68341095890411</v>
      </c>
      <c r="J1692" s="145"/>
      <c r="K1692" s="153" t="s">
        <v>86</v>
      </c>
      <c r="L1692" s="153" t="s">
        <v>86</v>
      </c>
      <c r="M1692" s="153"/>
      <c r="N1692" s="2" t="s">
        <v>57</v>
      </c>
      <c r="O1692" s="2"/>
      <c r="P1692" s="2"/>
    </row>
    <row r="1693" spans="1:16" ht="16.5" customHeight="1" x14ac:dyDescent="0.25">
      <c r="A1693" s="2" t="s">
        <v>3146</v>
      </c>
      <c r="B1693" s="8" t="s">
        <v>3146</v>
      </c>
      <c r="C1693" s="152" t="s">
        <v>102</v>
      </c>
      <c r="D1693" s="2" t="s">
        <v>278</v>
      </c>
      <c r="E1693" s="152" t="s">
        <v>102</v>
      </c>
      <c r="F1693" s="152" t="s">
        <v>103</v>
      </c>
      <c r="G1693" s="152">
        <v>0</v>
      </c>
      <c r="H1693" s="152"/>
      <c r="I1693" s="153">
        <v>6.712820512820513</v>
      </c>
      <c r="J1693" s="145"/>
      <c r="K1693" s="153" t="s">
        <v>86</v>
      </c>
      <c r="L1693" s="153" t="s">
        <v>86</v>
      </c>
      <c r="M1693" s="153"/>
      <c r="N1693" s="2" t="s">
        <v>57</v>
      </c>
      <c r="O1693" s="2"/>
      <c r="P1693" s="2"/>
    </row>
    <row r="1694" spans="1:16" ht="16.5" customHeight="1" x14ac:dyDescent="0.25">
      <c r="A1694" s="2" t="s">
        <v>3147</v>
      </c>
      <c r="B1694" s="8" t="s">
        <v>3147</v>
      </c>
      <c r="C1694" s="152" t="s">
        <v>102</v>
      </c>
      <c r="D1694" s="2" t="s">
        <v>278</v>
      </c>
      <c r="E1694" s="152" t="s">
        <v>102</v>
      </c>
      <c r="F1694" s="152" t="s">
        <v>103</v>
      </c>
      <c r="G1694" s="152">
        <v>0</v>
      </c>
      <c r="H1694" s="152"/>
      <c r="I1694" s="153">
        <v>6.4459294871794883</v>
      </c>
      <c r="J1694" s="145"/>
      <c r="K1694" s="153" t="s">
        <v>86</v>
      </c>
      <c r="L1694" s="153" t="s">
        <v>86</v>
      </c>
      <c r="M1694" s="153"/>
      <c r="N1694" s="2" t="s">
        <v>57</v>
      </c>
      <c r="O1694" s="2"/>
      <c r="P1694" s="2"/>
    </row>
    <row r="1695" spans="1:16" ht="16.5" customHeight="1" x14ac:dyDescent="0.25">
      <c r="A1695" s="2" t="s">
        <v>3148</v>
      </c>
      <c r="B1695" s="8" t="s">
        <v>3148</v>
      </c>
      <c r="C1695" s="152" t="s">
        <v>102</v>
      </c>
      <c r="D1695" s="2" t="s">
        <v>278</v>
      </c>
      <c r="E1695" s="152" t="s">
        <v>102</v>
      </c>
      <c r="F1695" s="152" t="s">
        <v>103</v>
      </c>
      <c r="G1695" s="152">
        <v>0</v>
      </c>
      <c r="H1695" s="152"/>
      <c r="I1695" s="153">
        <v>6.869711538461539</v>
      </c>
      <c r="J1695" s="145"/>
      <c r="K1695" s="153" t="s">
        <v>86</v>
      </c>
      <c r="L1695" s="153" t="s">
        <v>86</v>
      </c>
      <c r="M1695" s="153"/>
      <c r="N1695" s="2" t="s">
        <v>57</v>
      </c>
      <c r="O1695" s="2"/>
      <c r="P1695" s="2"/>
    </row>
    <row r="1696" spans="1:16" ht="16.5" customHeight="1" x14ac:dyDescent="0.25">
      <c r="A1696" s="2" t="s">
        <v>3149</v>
      </c>
      <c r="B1696" s="8" t="s">
        <v>3149</v>
      </c>
      <c r="C1696" s="152" t="s">
        <v>102</v>
      </c>
      <c r="D1696" s="2" t="s">
        <v>278</v>
      </c>
      <c r="E1696" s="152" t="s">
        <v>102</v>
      </c>
      <c r="F1696" s="152" t="s">
        <v>103</v>
      </c>
      <c r="G1696" s="152">
        <v>0</v>
      </c>
      <c r="H1696" s="152"/>
      <c r="I1696" s="153">
        <v>50.987115384615393</v>
      </c>
      <c r="J1696" s="145"/>
      <c r="K1696" s="153" t="s">
        <v>86</v>
      </c>
      <c r="L1696" s="153" t="s">
        <v>86</v>
      </c>
      <c r="M1696" s="153"/>
      <c r="N1696" s="2" t="s">
        <v>57</v>
      </c>
      <c r="O1696" s="2"/>
      <c r="P1696" s="2"/>
    </row>
    <row r="1697" spans="1:16" ht="16.5" customHeight="1" x14ac:dyDescent="0.25">
      <c r="A1697" s="2" t="s">
        <v>3150</v>
      </c>
      <c r="B1697" s="8" t="s">
        <v>3150</v>
      </c>
      <c r="C1697" s="152" t="s">
        <v>102</v>
      </c>
      <c r="D1697" s="2" t="s">
        <v>278</v>
      </c>
      <c r="E1697" s="152" t="s">
        <v>102</v>
      </c>
      <c r="F1697" s="152" t="s">
        <v>103</v>
      </c>
      <c r="G1697" s="152">
        <v>0</v>
      </c>
      <c r="H1697" s="152"/>
      <c r="I1697" s="153">
        <v>40.739931506849317</v>
      </c>
      <c r="J1697" s="145"/>
      <c r="K1697" s="153" t="s">
        <v>86</v>
      </c>
      <c r="L1697" s="153" t="s">
        <v>86</v>
      </c>
      <c r="M1697" s="153"/>
      <c r="N1697" s="2" t="s">
        <v>57</v>
      </c>
      <c r="O1697" s="2"/>
      <c r="P1697" s="2"/>
    </row>
    <row r="1698" spans="1:16" ht="16.5" customHeight="1" x14ac:dyDescent="0.25">
      <c r="A1698" s="2" t="s">
        <v>3151</v>
      </c>
      <c r="B1698" s="8" t="s">
        <v>3151</v>
      </c>
      <c r="C1698" s="152" t="s">
        <v>102</v>
      </c>
      <c r="D1698" s="2" t="s">
        <v>278</v>
      </c>
      <c r="E1698" s="152" t="s">
        <v>102</v>
      </c>
      <c r="F1698" s="152" t="s">
        <v>103</v>
      </c>
      <c r="G1698" s="152">
        <v>0</v>
      </c>
      <c r="H1698" s="152"/>
      <c r="I1698" s="153">
        <v>58.374743589743588</v>
      </c>
      <c r="J1698" s="145"/>
      <c r="K1698" s="153" t="s">
        <v>86</v>
      </c>
      <c r="L1698" s="153" t="s">
        <v>86</v>
      </c>
      <c r="M1698" s="153"/>
      <c r="N1698" s="2" t="s">
        <v>57</v>
      </c>
      <c r="O1698" s="2"/>
      <c r="P1698" s="2"/>
    </row>
    <row r="1699" spans="1:16" ht="16.5" customHeight="1" x14ac:dyDescent="0.25">
      <c r="A1699" s="2" t="s">
        <v>3152</v>
      </c>
      <c r="B1699" s="8" t="s">
        <v>3152</v>
      </c>
      <c r="C1699" s="152" t="s">
        <v>102</v>
      </c>
      <c r="D1699" s="2" t="s">
        <v>278</v>
      </c>
      <c r="E1699" s="152" t="s">
        <v>102</v>
      </c>
      <c r="F1699" s="152" t="s">
        <v>103</v>
      </c>
      <c r="G1699" s="152">
        <v>0</v>
      </c>
      <c r="H1699" s="152"/>
      <c r="I1699" s="153">
        <v>40.598890410958909</v>
      </c>
      <c r="J1699" s="145"/>
      <c r="K1699" s="153" t="s">
        <v>86</v>
      </c>
      <c r="L1699" s="153">
        <v>-19.307789613797929</v>
      </c>
      <c r="M1699" s="153"/>
      <c r="N1699" s="2" t="s">
        <v>57</v>
      </c>
      <c r="O1699" s="2"/>
      <c r="P1699" s="2"/>
    </row>
    <row r="1700" spans="1:16" ht="16.5" customHeight="1" x14ac:dyDescent="0.25">
      <c r="A1700" s="2" t="s">
        <v>3153</v>
      </c>
      <c r="B1700" s="8" t="s">
        <v>3153</v>
      </c>
      <c r="C1700" s="152" t="s">
        <v>102</v>
      </c>
      <c r="D1700" s="2" t="s">
        <v>278</v>
      </c>
      <c r="E1700" s="152" t="s">
        <v>102</v>
      </c>
      <c r="F1700" s="152" t="s">
        <v>103</v>
      </c>
      <c r="G1700" s="152">
        <v>0</v>
      </c>
      <c r="H1700" s="152"/>
      <c r="I1700" s="153">
        <v>115.6424358974359</v>
      </c>
      <c r="J1700" s="145"/>
      <c r="K1700" s="153" t="s">
        <v>86</v>
      </c>
      <c r="L1700" s="153" t="s">
        <v>86</v>
      </c>
      <c r="M1700" s="153"/>
      <c r="N1700" s="2" t="s">
        <v>57</v>
      </c>
      <c r="O1700" s="2"/>
      <c r="P1700" s="2"/>
    </row>
    <row r="1701" spans="1:16" ht="16.5" customHeight="1" x14ac:dyDescent="0.25">
      <c r="A1701" s="2" t="s">
        <v>3154</v>
      </c>
      <c r="B1701" s="8" t="s">
        <v>3154</v>
      </c>
      <c r="C1701" s="152" t="s">
        <v>102</v>
      </c>
      <c r="D1701" s="2" t="s">
        <v>1493</v>
      </c>
      <c r="E1701" s="152" t="s">
        <v>102</v>
      </c>
      <c r="F1701" s="152" t="s">
        <v>103</v>
      </c>
      <c r="G1701" s="152">
        <v>0</v>
      </c>
      <c r="H1701" s="152"/>
      <c r="I1701" s="153">
        <v>32.427083333333343</v>
      </c>
      <c r="J1701" s="145"/>
      <c r="K1701" s="153" t="s">
        <v>86</v>
      </c>
      <c r="L1701" s="153" t="s">
        <v>86</v>
      </c>
      <c r="M1701" s="153"/>
      <c r="N1701" s="2" t="s">
        <v>57</v>
      </c>
      <c r="O1701" s="2"/>
      <c r="P1701" s="2"/>
    </row>
    <row r="1702" spans="1:16" ht="16.5" customHeight="1" x14ac:dyDescent="0.25">
      <c r="A1702" s="2" t="s">
        <v>3155</v>
      </c>
      <c r="B1702" s="8" t="s">
        <v>3155</v>
      </c>
      <c r="C1702" s="152" t="s">
        <v>102</v>
      </c>
      <c r="D1702" s="2" t="s">
        <v>1493</v>
      </c>
      <c r="E1702" s="152" t="s">
        <v>102</v>
      </c>
      <c r="F1702" s="152" t="s">
        <v>103</v>
      </c>
      <c r="G1702" s="152">
        <v>0</v>
      </c>
      <c r="H1702" s="152"/>
      <c r="I1702" s="153">
        <v>19.113630136986298</v>
      </c>
      <c r="J1702" s="145"/>
      <c r="K1702" s="153" t="s">
        <v>86</v>
      </c>
      <c r="L1702" s="153" t="s">
        <v>86</v>
      </c>
      <c r="M1702" s="153"/>
      <c r="N1702" s="2" t="s">
        <v>57</v>
      </c>
      <c r="O1702" s="2"/>
      <c r="P1702" s="2"/>
    </row>
    <row r="1703" spans="1:16" ht="16.5" customHeight="1" x14ac:dyDescent="0.25">
      <c r="A1703" s="2" t="s">
        <v>3156</v>
      </c>
      <c r="B1703" s="8" t="s">
        <v>3156</v>
      </c>
      <c r="C1703" s="152" t="s">
        <v>102</v>
      </c>
      <c r="D1703" s="2" t="s">
        <v>110</v>
      </c>
      <c r="E1703" s="152" t="s">
        <v>102</v>
      </c>
      <c r="F1703" s="152" t="s">
        <v>103</v>
      </c>
      <c r="G1703" s="152">
        <v>0</v>
      </c>
      <c r="H1703" s="152"/>
      <c r="I1703" s="153">
        <v>2.1834246575342471</v>
      </c>
      <c r="J1703" s="145"/>
      <c r="K1703" s="153" t="s">
        <v>86</v>
      </c>
      <c r="L1703" s="153" t="s">
        <v>86</v>
      </c>
      <c r="M1703" s="153"/>
      <c r="N1703" s="2" t="s">
        <v>57</v>
      </c>
      <c r="O1703" s="2"/>
      <c r="P1703" s="2"/>
    </row>
    <row r="1704" spans="1:16" ht="16.5" customHeight="1" x14ac:dyDescent="0.25">
      <c r="A1704" s="2" t="s">
        <v>3157</v>
      </c>
      <c r="B1704" s="8" t="s">
        <v>3157</v>
      </c>
      <c r="C1704" s="152" t="s">
        <v>102</v>
      </c>
      <c r="D1704" s="2" t="s">
        <v>110</v>
      </c>
      <c r="E1704" s="152" t="s">
        <v>102</v>
      </c>
      <c r="F1704" s="152" t="s">
        <v>103</v>
      </c>
      <c r="G1704" s="152">
        <v>0</v>
      </c>
      <c r="H1704" s="152"/>
      <c r="I1704" s="153">
        <v>5.1051282051282056</v>
      </c>
      <c r="J1704" s="145"/>
      <c r="K1704" s="153" t="s">
        <v>86</v>
      </c>
      <c r="L1704" s="153" t="s">
        <v>86</v>
      </c>
      <c r="M1704" s="153"/>
      <c r="N1704" s="2" t="s">
        <v>57</v>
      </c>
      <c r="O1704" s="2"/>
      <c r="P1704" s="2"/>
    </row>
    <row r="1705" spans="1:16" ht="16.5" customHeight="1" x14ac:dyDescent="0.25">
      <c r="A1705" s="2" t="s">
        <v>3158</v>
      </c>
      <c r="B1705" s="8" t="s">
        <v>3158</v>
      </c>
      <c r="C1705" s="152" t="s">
        <v>102</v>
      </c>
      <c r="D1705" s="2" t="s">
        <v>110</v>
      </c>
      <c r="E1705" s="152" t="s">
        <v>102</v>
      </c>
      <c r="F1705" s="152" t="s">
        <v>103</v>
      </c>
      <c r="G1705" s="152">
        <v>0</v>
      </c>
      <c r="H1705" s="152"/>
      <c r="I1705" s="153">
        <v>3.044815068493151</v>
      </c>
      <c r="J1705" s="145"/>
      <c r="K1705" s="153" t="s">
        <v>86</v>
      </c>
      <c r="L1705" s="153" t="s">
        <v>86</v>
      </c>
      <c r="M1705" s="153"/>
      <c r="N1705" s="2" t="s">
        <v>57</v>
      </c>
      <c r="O1705" s="2"/>
      <c r="P1705" s="2"/>
    </row>
    <row r="1706" spans="1:16" ht="16.5" customHeight="1" x14ac:dyDescent="0.25">
      <c r="A1706" s="2" t="s">
        <v>3159</v>
      </c>
      <c r="B1706" s="8" t="s">
        <v>3159</v>
      </c>
      <c r="C1706" s="152" t="s">
        <v>102</v>
      </c>
      <c r="D1706" s="2" t="s">
        <v>296</v>
      </c>
      <c r="E1706" s="152" t="s">
        <v>102</v>
      </c>
      <c r="F1706" s="152" t="s">
        <v>103</v>
      </c>
      <c r="G1706" s="152">
        <v>0</v>
      </c>
      <c r="H1706" s="152"/>
      <c r="I1706" s="153">
        <v>196.14607692307689</v>
      </c>
      <c r="J1706" s="145"/>
      <c r="K1706" s="153" t="s">
        <v>86</v>
      </c>
      <c r="L1706" s="153" t="s">
        <v>86</v>
      </c>
      <c r="M1706" s="153"/>
      <c r="N1706" s="2" t="s">
        <v>57</v>
      </c>
      <c r="O1706" s="2"/>
      <c r="P1706" s="2"/>
    </row>
    <row r="1707" spans="1:16" ht="16.5" customHeight="1" x14ac:dyDescent="0.25">
      <c r="A1707" s="2" t="s">
        <v>3160</v>
      </c>
      <c r="B1707" s="8" t="s">
        <v>3160</v>
      </c>
      <c r="C1707" s="152" t="s">
        <v>102</v>
      </c>
      <c r="D1707" s="2" t="s">
        <v>296</v>
      </c>
      <c r="E1707" s="152" t="s">
        <v>102</v>
      </c>
      <c r="F1707" s="152" t="s">
        <v>103</v>
      </c>
      <c r="G1707" s="152">
        <v>0</v>
      </c>
      <c r="H1707" s="152"/>
      <c r="I1707" s="153">
        <v>82.185068493150695</v>
      </c>
      <c r="J1707" s="145"/>
      <c r="K1707" s="153" t="s">
        <v>86</v>
      </c>
      <c r="L1707" s="153" t="s">
        <v>86</v>
      </c>
      <c r="M1707" s="153"/>
      <c r="N1707" s="2" t="s">
        <v>57</v>
      </c>
      <c r="O1707" s="2"/>
      <c r="P1707" s="2"/>
    </row>
    <row r="1708" spans="1:16" ht="16.5" customHeight="1" x14ac:dyDescent="0.25">
      <c r="A1708" s="2" t="s">
        <v>3161</v>
      </c>
      <c r="B1708" s="8" t="s">
        <v>3161</v>
      </c>
      <c r="C1708" s="152" t="s">
        <v>102</v>
      </c>
      <c r="D1708" s="2" t="s">
        <v>296</v>
      </c>
      <c r="E1708" s="152" t="s">
        <v>102</v>
      </c>
      <c r="F1708" s="152" t="s">
        <v>103</v>
      </c>
      <c r="G1708" s="152">
        <v>0</v>
      </c>
      <c r="H1708" s="152"/>
      <c r="I1708" s="153">
        <v>34.199000000000012</v>
      </c>
      <c r="J1708" s="145"/>
      <c r="K1708" s="153" t="s">
        <v>86</v>
      </c>
      <c r="L1708" s="153" t="s">
        <v>86</v>
      </c>
      <c r="M1708" s="153"/>
      <c r="N1708" s="2" t="s">
        <v>57</v>
      </c>
      <c r="O1708" s="2"/>
      <c r="P1708" s="2"/>
    </row>
    <row r="1709" spans="1:16" ht="16.5" customHeight="1" x14ac:dyDescent="0.25">
      <c r="A1709" s="2" t="s">
        <v>3162</v>
      </c>
      <c r="B1709" s="8" t="s">
        <v>3162</v>
      </c>
      <c r="C1709" s="152" t="s">
        <v>102</v>
      </c>
      <c r="D1709" s="2" t="s">
        <v>296</v>
      </c>
      <c r="E1709" s="152" t="s">
        <v>102</v>
      </c>
      <c r="F1709" s="152" t="s">
        <v>103</v>
      </c>
      <c r="G1709" s="152">
        <v>0</v>
      </c>
      <c r="H1709" s="152"/>
      <c r="I1709" s="153">
        <v>7.6742628205128227</v>
      </c>
      <c r="J1709" s="145"/>
      <c r="K1709" s="153" t="s">
        <v>86</v>
      </c>
      <c r="L1709" s="153" t="s">
        <v>86</v>
      </c>
      <c r="M1709" s="153"/>
      <c r="N1709" s="2" t="s">
        <v>57</v>
      </c>
      <c r="O1709" s="2"/>
      <c r="P1709" s="2"/>
    </row>
    <row r="1710" spans="1:16" ht="16.5" customHeight="1" x14ac:dyDescent="0.25">
      <c r="A1710" s="2" t="s">
        <v>3163</v>
      </c>
      <c r="B1710" s="8" t="s">
        <v>3163</v>
      </c>
      <c r="C1710" s="152" t="s">
        <v>102</v>
      </c>
      <c r="D1710" s="2" t="s">
        <v>296</v>
      </c>
      <c r="E1710" s="152" t="s">
        <v>102</v>
      </c>
      <c r="F1710" s="152" t="s">
        <v>103</v>
      </c>
      <c r="G1710" s="152">
        <v>0</v>
      </c>
      <c r="H1710" s="152"/>
      <c r="I1710" s="153">
        <v>12.125993150684931</v>
      </c>
      <c r="J1710" s="145"/>
      <c r="K1710" s="153" t="s">
        <v>86</v>
      </c>
      <c r="L1710" s="153" t="s">
        <v>86</v>
      </c>
      <c r="M1710" s="153"/>
      <c r="N1710" s="2" t="s">
        <v>57</v>
      </c>
      <c r="O1710" s="2"/>
      <c r="P1710" s="2"/>
    </row>
    <row r="1711" spans="1:16" ht="16.5" customHeight="1" x14ac:dyDescent="0.25">
      <c r="A1711" s="2" t="s">
        <v>3164</v>
      </c>
      <c r="B1711" s="8" t="s">
        <v>3164</v>
      </c>
      <c r="C1711" s="152" t="s">
        <v>102</v>
      </c>
      <c r="D1711" s="2" t="s">
        <v>296</v>
      </c>
      <c r="E1711" s="152" t="s">
        <v>102</v>
      </c>
      <c r="F1711" s="152" t="s">
        <v>103</v>
      </c>
      <c r="G1711" s="152">
        <v>0</v>
      </c>
      <c r="H1711" s="152"/>
      <c r="I1711" s="153">
        <v>9.3404807692307692</v>
      </c>
      <c r="J1711" s="145"/>
      <c r="K1711" s="153" t="s">
        <v>86</v>
      </c>
      <c r="L1711" s="153" t="s">
        <v>86</v>
      </c>
      <c r="M1711" s="153"/>
      <c r="N1711" s="2" t="s">
        <v>57</v>
      </c>
      <c r="O1711" s="2"/>
      <c r="P1711" s="2"/>
    </row>
    <row r="1712" spans="1:16" ht="16.5" customHeight="1" x14ac:dyDescent="0.25">
      <c r="A1712" s="2" t="s">
        <v>3165</v>
      </c>
      <c r="B1712" s="8" t="s">
        <v>3165</v>
      </c>
      <c r="C1712" s="152" t="s">
        <v>102</v>
      </c>
      <c r="D1712" s="2" t="s">
        <v>296</v>
      </c>
      <c r="E1712" s="152" t="s">
        <v>102</v>
      </c>
      <c r="F1712" s="152" t="s">
        <v>103</v>
      </c>
      <c r="G1712" s="152">
        <v>0</v>
      </c>
      <c r="H1712" s="152"/>
      <c r="I1712" s="153">
        <v>10.5786858974359</v>
      </c>
      <c r="J1712" s="145"/>
      <c r="K1712" s="153" t="s">
        <v>86</v>
      </c>
      <c r="L1712" s="153" t="s">
        <v>86</v>
      </c>
      <c r="M1712" s="153"/>
      <c r="N1712" s="2" t="s">
        <v>57</v>
      </c>
      <c r="O1712" s="2"/>
      <c r="P1712" s="2"/>
    </row>
    <row r="1713" spans="1:16" ht="16.5" customHeight="1" x14ac:dyDescent="0.25">
      <c r="A1713" s="2" t="s">
        <v>3166</v>
      </c>
      <c r="B1713" s="8" t="s">
        <v>3166</v>
      </c>
      <c r="C1713" s="152" t="s">
        <v>102</v>
      </c>
      <c r="D1713" s="2" t="s">
        <v>296</v>
      </c>
      <c r="E1713" s="152" t="s">
        <v>102</v>
      </c>
      <c r="F1713" s="152" t="s">
        <v>103</v>
      </c>
      <c r="G1713" s="152">
        <v>0</v>
      </c>
      <c r="H1713" s="152"/>
      <c r="I1713" s="153">
        <v>17.393397435897441</v>
      </c>
      <c r="J1713" s="145"/>
      <c r="K1713" s="153" t="s">
        <v>86</v>
      </c>
      <c r="L1713" s="153" t="s">
        <v>86</v>
      </c>
      <c r="M1713" s="153"/>
      <c r="N1713" s="2" t="s">
        <v>57</v>
      </c>
      <c r="O1713" s="2"/>
      <c r="P1713" s="2"/>
    </row>
    <row r="1714" spans="1:16" ht="16.5" customHeight="1" x14ac:dyDescent="0.25">
      <c r="A1714" s="2" t="s">
        <v>3167</v>
      </c>
      <c r="B1714" s="8" t="s">
        <v>3167</v>
      </c>
      <c r="C1714" s="152" t="s">
        <v>102</v>
      </c>
      <c r="D1714" s="2" t="s">
        <v>296</v>
      </c>
      <c r="E1714" s="152" t="s">
        <v>102</v>
      </c>
      <c r="F1714" s="152" t="s">
        <v>103</v>
      </c>
      <c r="G1714" s="152">
        <v>0</v>
      </c>
      <c r="H1714" s="152"/>
      <c r="I1714" s="153">
        <v>10.16724358974359</v>
      </c>
      <c r="J1714" s="145"/>
      <c r="K1714" s="153" t="s">
        <v>86</v>
      </c>
      <c r="L1714" s="153" t="s">
        <v>86</v>
      </c>
      <c r="M1714" s="153"/>
      <c r="N1714" s="2" t="s">
        <v>57</v>
      </c>
      <c r="O1714" s="2"/>
      <c r="P1714" s="2"/>
    </row>
    <row r="1715" spans="1:16" ht="16.5" customHeight="1" x14ac:dyDescent="0.25">
      <c r="A1715" s="2" t="s">
        <v>3168</v>
      </c>
      <c r="B1715" s="8" t="s">
        <v>3168</v>
      </c>
      <c r="C1715" s="152" t="s">
        <v>102</v>
      </c>
      <c r="D1715" s="2" t="s">
        <v>296</v>
      </c>
      <c r="E1715" s="152" t="s">
        <v>102</v>
      </c>
      <c r="F1715" s="152" t="s">
        <v>103</v>
      </c>
      <c r="G1715" s="152">
        <v>0</v>
      </c>
      <c r="H1715" s="152"/>
      <c r="I1715" s="153">
        <v>2.3075320512820512</v>
      </c>
      <c r="J1715" s="145"/>
      <c r="K1715" s="153" t="s">
        <v>86</v>
      </c>
      <c r="L1715" s="153" t="s">
        <v>86</v>
      </c>
      <c r="M1715" s="153"/>
      <c r="N1715" s="2" t="s">
        <v>57</v>
      </c>
      <c r="O1715" s="2"/>
      <c r="P1715" s="2"/>
    </row>
    <row r="1716" spans="1:16" ht="16.5" customHeight="1" x14ac:dyDescent="0.25">
      <c r="A1716" s="2" t="s">
        <v>3169</v>
      </c>
      <c r="B1716" s="8" t="s">
        <v>3169</v>
      </c>
      <c r="C1716" s="152" t="s">
        <v>102</v>
      </c>
      <c r="D1716" s="2" t="s">
        <v>296</v>
      </c>
      <c r="E1716" s="152" t="s">
        <v>102</v>
      </c>
      <c r="F1716" s="152" t="s">
        <v>103</v>
      </c>
      <c r="G1716" s="152">
        <v>0</v>
      </c>
      <c r="H1716" s="152"/>
      <c r="I1716" s="153">
        <v>2.8240384615384619</v>
      </c>
      <c r="J1716" s="145"/>
      <c r="K1716" s="153" t="s">
        <v>86</v>
      </c>
      <c r="L1716" s="153" t="s">
        <v>86</v>
      </c>
      <c r="M1716" s="153"/>
      <c r="N1716" s="2" t="s">
        <v>57</v>
      </c>
      <c r="O1716" s="2"/>
      <c r="P1716" s="2"/>
    </row>
    <row r="1717" spans="1:16" ht="16.5" customHeight="1" x14ac:dyDescent="0.25">
      <c r="A1717" s="2" t="s">
        <v>3170</v>
      </c>
      <c r="B1717" s="8" t="s">
        <v>3170</v>
      </c>
      <c r="C1717" s="152" t="s">
        <v>102</v>
      </c>
      <c r="D1717" s="2" t="s">
        <v>296</v>
      </c>
      <c r="E1717" s="152" t="s">
        <v>102</v>
      </c>
      <c r="F1717" s="152" t="s">
        <v>103</v>
      </c>
      <c r="G1717" s="152">
        <v>0</v>
      </c>
      <c r="H1717" s="152"/>
      <c r="I1717" s="153">
        <v>3.6941666666666682</v>
      </c>
      <c r="J1717" s="145"/>
      <c r="K1717" s="153" t="s">
        <v>86</v>
      </c>
      <c r="L1717" s="153" t="s">
        <v>86</v>
      </c>
      <c r="M1717" s="153"/>
      <c r="N1717" s="2" t="s">
        <v>57</v>
      </c>
      <c r="O1717" s="2"/>
      <c r="P1717" s="2"/>
    </row>
    <row r="1718" spans="1:16" ht="16.5" customHeight="1" x14ac:dyDescent="0.25">
      <c r="A1718" s="2" t="s">
        <v>3171</v>
      </c>
      <c r="B1718" s="8" t="s">
        <v>3171</v>
      </c>
      <c r="C1718" s="152" t="s">
        <v>102</v>
      </c>
      <c r="D1718" s="2" t="s">
        <v>296</v>
      </c>
      <c r="E1718" s="152" t="s">
        <v>102</v>
      </c>
      <c r="F1718" s="152" t="s">
        <v>103</v>
      </c>
      <c r="G1718" s="152">
        <v>0</v>
      </c>
      <c r="H1718" s="152"/>
      <c r="I1718" s="153">
        <v>4.1472115384615398</v>
      </c>
      <c r="J1718" s="145"/>
      <c r="K1718" s="153" t="s">
        <v>86</v>
      </c>
      <c r="L1718" s="153" t="s">
        <v>86</v>
      </c>
      <c r="M1718" s="153"/>
      <c r="N1718" s="2" t="s">
        <v>57</v>
      </c>
      <c r="O1718" s="2"/>
      <c r="P1718" s="2"/>
    </row>
    <row r="1719" spans="1:16" ht="16.5" customHeight="1" x14ac:dyDescent="0.25">
      <c r="A1719" s="2" t="s">
        <v>3172</v>
      </c>
      <c r="B1719" s="8" t="s">
        <v>3172</v>
      </c>
      <c r="C1719" s="152" t="s">
        <v>102</v>
      </c>
      <c r="D1719" s="2" t="s">
        <v>296</v>
      </c>
      <c r="E1719" s="152" t="s">
        <v>102</v>
      </c>
      <c r="F1719" s="152" t="s">
        <v>103</v>
      </c>
      <c r="G1719" s="152">
        <v>0</v>
      </c>
      <c r="H1719" s="152"/>
      <c r="I1719" s="153">
        <v>10.427435897435901</v>
      </c>
      <c r="J1719" s="145"/>
      <c r="K1719" s="153" t="s">
        <v>86</v>
      </c>
      <c r="L1719" s="153" t="s">
        <v>86</v>
      </c>
      <c r="M1719" s="153"/>
      <c r="N1719" s="2" t="s">
        <v>57</v>
      </c>
      <c r="O1719" s="2"/>
      <c r="P1719" s="2"/>
    </row>
    <row r="1720" spans="1:16" ht="16.5" customHeight="1" x14ac:dyDescent="0.25">
      <c r="A1720" s="2" t="s">
        <v>3173</v>
      </c>
      <c r="B1720" s="8" t="s">
        <v>3173</v>
      </c>
      <c r="C1720" s="152" t="s">
        <v>102</v>
      </c>
      <c r="D1720" s="2" t="s">
        <v>296</v>
      </c>
      <c r="E1720" s="152" t="s">
        <v>102</v>
      </c>
      <c r="F1720" s="152" t="s">
        <v>103</v>
      </c>
      <c r="G1720" s="152">
        <v>0</v>
      </c>
      <c r="H1720" s="152"/>
      <c r="I1720" s="153">
        <v>20.276666666666671</v>
      </c>
      <c r="J1720" s="145"/>
      <c r="K1720" s="153" t="s">
        <v>86</v>
      </c>
      <c r="L1720" s="153" t="s">
        <v>86</v>
      </c>
      <c r="M1720" s="153"/>
      <c r="N1720" s="2" t="s">
        <v>57</v>
      </c>
      <c r="O1720" s="2"/>
      <c r="P1720" s="2"/>
    </row>
    <row r="1721" spans="1:16" ht="16.5" customHeight="1" x14ac:dyDescent="0.25">
      <c r="A1721" s="2" t="s">
        <v>3174</v>
      </c>
      <c r="B1721" s="8" t="s">
        <v>3174</v>
      </c>
      <c r="C1721" s="152" t="s">
        <v>102</v>
      </c>
      <c r="D1721" s="2" t="s">
        <v>296</v>
      </c>
      <c r="E1721" s="152" t="s">
        <v>102</v>
      </c>
      <c r="F1721" s="152" t="s">
        <v>103</v>
      </c>
      <c r="G1721" s="152">
        <v>0</v>
      </c>
      <c r="H1721" s="152"/>
      <c r="I1721" s="153">
        <v>13.452435897435899</v>
      </c>
      <c r="J1721" s="145"/>
      <c r="K1721" s="153" t="s">
        <v>86</v>
      </c>
      <c r="L1721" s="153" t="s">
        <v>86</v>
      </c>
      <c r="M1721" s="153"/>
      <c r="N1721" s="2" t="s">
        <v>57</v>
      </c>
      <c r="O1721" s="2"/>
      <c r="P1721" s="2"/>
    </row>
    <row r="1722" spans="1:16" ht="16.5" customHeight="1" x14ac:dyDescent="0.25">
      <c r="A1722" s="2" t="s">
        <v>3175</v>
      </c>
      <c r="B1722" s="8" t="s">
        <v>3175</v>
      </c>
      <c r="C1722" s="152" t="s">
        <v>102</v>
      </c>
      <c r="D1722" s="2" t="s">
        <v>1513</v>
      </c>
      <c r="E1722" s="152" t="s">
        <v>102</v>
      </c>
      <c r="F1722" s="152" t="s">
        <v>103</v>
      </c>
      <c r="G1722" s="152">
        <v>0</v>
      </c>
      <c r="H1722" s="152"/>
      <c r="I1722" s="153">
        <v>6.2993835616438361</v>
      </c>
      <c r="J1722" s="145"/>
      <c r="K1722" s="153" t="s">
        <v>86</v>
      </c>
      <c r="L1722" s="153" t="s">
        <v>86</v>
      </c>
      <c r="M1722" s="153"/>
      <c r="N1722" s="2" t="s">
        <v>57</v>
      </c>
      <c r="O1722" s="2"/>
      <c r="P1722" s="2"/>
    </row>
    <row r="1723" spans="1:16" ht="16.5" customHeight="1" x14ac:dyDescent="0.25">
      <c r="A1723" s="2" t="s">
        <v>3176</v>
      </c>
      <c r="B1723" s="8" t="s">
        <v>3176</v>
      </c>
      <c r="C1723" s="152" t="s">
        <v>102</v>
      </c>
      <c r="D1723" s="2" t="s">
        <v>1513</v>
      </c>
      <c r="E1723" s="152" t="s">
        <v>102</v>
      </c>
      <c r="F1723" s="152" t="s">
        <v>103</v>
      </c>
      <c r="G1723" s="152">
        <v>0</v>
      </c>
      <c r="H1723" s="152"/>
      <c r="I1723" s="153">
        <v>11.28705479452055</v>
      </c>
      <c r="J1723" s="145"/>
      <c r="K1723" s="153" t="s">
        <v>86</v>
      </c>
      <c r="L1723" s="153" t="s">
        <v>86</v>
      </c>
      <c r="M1723" s="153"/>
      <c r="N1723" s="2" t="s">
        <v>57</v>
      </c>
      <c r="O1723" s="2"/>
      <c r="P1723" s="2"/>
    </row>
    <row r="1724" spans="1:16" ht="16.5" customHeight="1" x14ac:dyDescent="0.25">
      <c r="A1724" s="2" t="s">
        <v>3177</v>
      </c>
      <c r="B1724" s="8" t="s">
        <v>3177</v>
      </c>
      <c r="C1724" s="152" t="s">
        <v>102</v>
      </c>
      <c r="D1724" s="2" t="s">
        <v>1513</v>
      </c>
      <c r="E1724" s="152" t="s">
        <v>102</v>
      </c>
      <c r="F1724" s="152" t="s">
        <v>103</v>
      </c>
      <c r="G1724" s="152">
        <v>0</v>
      </c>
      <c r="H1724" s="152"/>
      <c r="I1724" s="153">
        <v>3.091282051282052</v>
      </c>
      <c r="J1724" s="145"/>
      <c r="K1724" s="153" t="s">
        <v>86</v>
      </c>
      <c r="L1724" s="153" t="s">
        <v>86</v>
      </c>
      <c r="M1724" s="153"/>
      <c r="N1724" s="2" t="s">
        <v>57</v>
      </c>
      <c r="O1724" s="2"/>
      <c r="P1724" s="2"/>
    </row>
    <row r="1725" spans="1:16" ht="16.5" customHeight="1" x14ac:dyDescent="0.25">
      <c r="A1725" s="2" t="s">
        <v>3178</v>
      </c>
      <c r="B1725" s="8" t="s">
        <v>3178</v>
      </c>
      <c r="C1725" s="152" t="s">
        <v>102</v>
      </c>
      <c r="D1725" s="2" t="s">
        <v>1513</v>
      </c>
      <c r="E1725" s="152" t="s">
        <v>102</v>
      </c>
      <c r="F1725" s="152" t="s">
        <v>103</v>
      </c>
      <c r="G1725" s="152">
        <v>0</v>
      </c>
      <c r="H1725" s="152"/>
      <c r="I1725" s="153">
        <v>25.571609589041099</v>
      </c>
      <c r="J1725" s="145"/>
      <c r="K1725" s="153" t="s">
        <v>86</v>
      </c>
      <c r="L1725" s="153" t="s">
        <v>86</v>
      </c>
      <c r="M1725" s="153"/>
      <c r="N1725" s="2" t="s">
        <v>57</v>
      </c>
      <c r="O1725" s="2"/>
      <c r="P1725" s="2"/>
    </row>
    <row r="1726" spans="1:16" ht="16.5" customHeight="1" x14ac:dyDescent="0.25">
      <c r="A1726" s="2" t="s">
        <v>3179</v>
      </c>
      <c r="B1726" s="8" t="s">
        <v>3179</v>
      </c>
      <c r="C1726" s="152" t="s">
        <v>102</v>
      </c>
      <c r="D1726" s="2" t="s">
        <v>472</v>
      </c>
      <c r="E1726" s="152" t="s">
        <v>102</v>
      </c>
      <c r="F1726" s="152" t="s">
        <v>103</v>
      </c>
      <c r="G1726" s="152">
        <v>0</v>
      </c>
      <c r="H1726" s="152"/>
      <c r="I1726" s="153">
        <v>4.0368589743589736</v>
      </c>
      <c r="J1726" s="145"/>
      <c r="K1726" s="153" t="s">
        <v>86</v>
      </c>
      <c r="L1726" s="153" t="s">
        <v>86</v>
      </c>
      <c r="M1726" s="153"/>
      <c r="N1726" s="2" t="s">
        <v>57</v>
      </c>
      <c r="O1726" s="2"/>
      <c r="P1726" s="2"/>
    </row>
    <row r="1727" spans="1:16" ht="16.5" customHeight="1" x14ac:dyDescent="0.25">
      <c r="A1727" s="2" t="s">
        <v>3180</v>
      </c>
      <c r="B1727" s="8" t="s">
        <v>3180</v>
      </c>
      <c r="C1727" s="152" t="s">
        <v>102</v>
      </c>
      <c r="D1727" s="2" t="s">
        <v>472</v>
      </c>
      <c r="E1727" s="152" t="s">
        <v>102</v>
      </c>
      <c r="F1727" s="152" t="s">
        <v>103</v>
      </c>
      <c r="G1727" s="152">
        <v>0</v>
      </c>
      <c r="H1727" s="152"/>
      <c r="I1727" s="153">
        <v>1.335701369863014</v>
      </c>
      <c r="J1727" s="145"/>
      <c r="K1727" s="153" t="s">
        <v>86</v>
      </c>
      <c r="L1727" s="153" t="s">
        <v>86</v>
      </c>
      <c r="M1727" s="153"/>
      <c r="N1727" s="2" t="s">
        <v>57</v>
      </c>
      <c r="O1727" s="2"/>
      <c r="P1727" s="2"/>
    </row>
    <row r="1728" spans="1:16" ht="16.5" customHeight="1" x14ac:dyDescent="0.25">
      <c r="A1728" s="2" t="s">
        <v>3181</v>
      </c>
      <c r="B1728" s="8" t="s">
        <v>3181</v>
      </c>
      <c r="C1728" s="152" t="s">
        <v>102</v>
      </c>
      <c r="D1728" s="2" t="s">
        <v>132</v>
      </c>
      <c r="E1728" s="152" t="s">
        <v>102</v>
      </c>
      <c r="F1728" s="152" t="s">
        <v>103</v>
      </c>
      <c r="G1728" s="152">
        <v>0</v>
      </c>
      <c r="H1728" s="152"/>
      <c r="I1728" s="153">
        <v>12.187435897435901</v>
      </c>
      <c r="J1728" s="145"/>
      <c r="K1728" s="153" t="s">
        <v>86</v>
      </c>
      <c r="L1728" s="153" t="s">
        <v>86</v>
      </c>
      <c r="M1728" s="153"/>
      <c r="N1728" s="2" t="s">
        <v>57</v>
      </c>
      <c r="O1728" s="2"/>
      <c r="P1728" s="2"/>
    </row>
    <row r="1729" spans="1:16" ht="16.5" customHeight="1" x14ac:dyDescent="0.25">
      <c r="A1729" s="2" t="s">
        <v>3182</v>
      </c>
      <c r="B1729" s="8" t="s">
        <v>3182</v>
      </c>
      <c r="C1729" s="152" t="s">
        <v>102</v>
      </c>
      <c r="D1729" s="2" t="s">
        <v>132</v>
      </c>
      <c r="E1729" s="152" t="s">
        <v>102</v>
      </c>
      <c r="F1729" s="152" t="s">
        <v>103</v>
      </c>
      <c r="G1729" s="152">
        <v>0</v>
      </c>
      <c r="H1729" s="152"/>
      <c r="I1729" s="153">
        <v>1.674679487179487</v>
      </c>
      <c r="J1729" s="145"/>
      <c r="K1729" s="153" t="s">
        <v>86</v>
      </c>
      <c r="L1729" s="153" t="s">
        <v>86</v>
      </c>
      <c r="M1729" s="153"/>
      <c r="N1729" s="2" t="s">
        <v>57</v>
      </c>
      <c r="O1729" s="2"/>
      <c r="P1729" s="2"/>
    </row>
    <row r="1730" spans="1:16" ht="16.5" customHeight="1" x14ac:dyDescent="0.25">
      <c r="A1730" s="2" t="s">
        <v>3183</v>
      </c>
      <c r="B1730" s="8" t="s">
        <v>3183</v>
      </c>
      <c r="C1730" s="152" t="s">
        <v>102</v>
      </c>
      <c r="D1730" s="2" t="s">
        <v>132</v>
      </c>
      <c r="E1730" s="152" t="s">
        <v>102</v>
      </c>
      <c r="F1730" s="152" t="s">
        <v>103</v>
      </c>
      <c r="G1730" s="152">
        <v>0</v>
      </c>
      <c r="H1730" s="152"/>
      <c r="I1730" s="153">
        <v>13.706678082191781</v>
      </c>
      <c r="J1730" s="145"/>
      <c r="K1730" s="153" t="s">
        <v>86</v>
      </c>
      <c r="L1730" s="153" t="s">
        <v>86</v>
      </c>
      <c r="M1730" s="153"/>
      <c r="N1730" s="2" t="s">
        <v>57</v>
      </c>
      <c r="O1730" s="2"/>
      <c r="P1730" s="2"/>
    </row>
    <row r="1731" spans="1:16" ht="16.5" customHeight="1" x14ac:dyDescent="0.25">
      <c r="A1731" s="2" t="s">
        <v>3184</v>
      </c>
      <c r="B1731" s="8" t="s">
        <v>3184</v>
      </c>
      <c r="C1731" s="152" t="s">
        <v>102</v>
      </c>
      <c r="D1731" s="2" t="s">
        <v>132</v>
      </c>
      <c r="E1731" s="152" t="s">
        <v>102</v>
      </c>
      <c r="F1731" s="152" t="s">
        <v>103</v>
      </c>
      <c r="G1731" s="152">
        <v>0</v>
      </c>
      <c r="H1731" s="152"/>
      <c r="I1731" s="153">
        <v>30.701000000000001</v>
      </c>
      <c r="J1731" s="145"/>
      <c r="K1731" s="153" t="s">
        <v>86</v>
      </c>
      <c r="L1731" s="153" t="s">
        <v>86</v>
      </c>
      <c r="M1731" s="153"/>
      <c r="N1731" s="2" t="s">
        <v>57</v>
      </c>
      <c r="O1731" s="2"/>
      <c r="P1731" s="2"/>
    </row>
    <row r="1732" spans="1:16" ht="16.5" customHeight="1" x14ac:dyDescent="0.25">
      <c r="A1732" s="2" t="s">
        <v>3185</v>
      </c>
      <c r="B1732" s="8" t="s">
        <v>3185</v>
      </c>
      <c r="C1732" s="152" t="s">
        <v>102</v>
      </c>
      <c r="D1732" s="2" t="s">
        <v>132</v>
      </c>
      <c r="E1732" s="152" t="s">
        <v>102</v>
      </c>
      <c r="F1732" s="152" t="s">
        <v>103</v>
      </c>
      <c r="G1732" s="152">
        <v>0</v>
      </c>
      <c r="H1732" s="152"/>
      <c r="I1732" s="153">
        <v>14.971</v>
      </c>
      <c r="J1732" s="145"/>
      <c r="K1732" s="153" t="s">
        <v>86</v>
      </c>
      <c r="L1732" s="153" t="s">
        <v>86</v>
      </c>
      <c r="M1732" s="153"/>
      <c r="N1732" s="2" t="s">
        <v>57</v>
      </c>
      <c r="O1732" s="2"/>
      <c r="P1732" s="2"/>
    </row>
    <row r="1733" spans="1:16" ht="16.5" customHeight="1" x14ac:dyDescent="0.25">
      <c r="A1733" s="2" t="s">
        <v>3186</v>
      </c>
      <c r="B1733" s="8" t="s">
        <v>3186</v>
      </c>
      <c r="C1733" s="152" t="s">
        <v>102</v>
      </c>
      <c r="D1733" s="2" t="s">
        <v>132</v>
      </c>
      <c r="E1733" s="152" t="s">
        <v>102</v>
      </c>
      <c r="F1733" s="152" t="s">
        <v>103</v>
      </c>
      <c r="G1733" s="152">
        <v>0</v>
      </c>
      <c r="H1733" s="152"/>
      <c r="I1733" s="153">
        <v>3.867328767123289</v>
      </c>
      <c r="J1733" s="145"/>
      <c r="K1733" s="153" t="s">
        <v>86</v>
      </c>
      <c r="L1733" s="153" t="s">
        <v>86</v>
      </c>
      <c r="M1733" s="153"/>
      <c r="N1733" s="2" t="s">
        <v>57</v>
      </c>
      <c r="O1733" s="2"/>
      <c r="P1733" s="2"/>
    </row>
    <row r="1734" spans="1:16" ht="16.5" customHeight="1" x14ac:dyDescent="0.25">
      <c r="A1734" s="2" t="s">
        <v>3187</v>
      </c>
      <c r="B1734" s="8" t="s">
        <v>3187</v>
      </c>
      <c r="C1734" s="152" t="s">
        <v>102</v>
      </c>
      <c r="D1734" s="2" t="s">
        <v>132</v>
      </c>
      <c r="E1734" s="152" t="s">
        <v>102</v>
      </c>
      <c r="F1734" s="152" t="s">
        <v>103</v>
      </c>
      <c r="G1734" s="152">
        <v>0</v>
      </c>
      <c r="H1734" s="152"/>
      <c r="I1734" s="153">
        <v>9.4268493150684929</v>
      </c>
      <c r="J1734" s="145"/>
      <c r="K1734" s="153" t="s">
        <v>86</v>
      </c>
      <c r="L1734" s="153" t="s">
        <v>86</v>
      </c>
      <c r="M1734" s="153"/>
      <c r="N1734" s="2" t="s">
        <v>57</v>
      </c>
      <c r="O1734" s="2"/>
      <c r="P1734" s="2"/>
    </row>
    <row r="1735" spans="1:16" ht="16.5" customHeight="1" x14ac:dyDescent="0.25">
      <c r="A1735" s="2" t="s">
        <v>3188</v>
      </c>
      <c r="B1735" s="8" t="s">
        <v>3188</v>
      </c>
      <c r="C1735" s="152" t="s">
        <v>102</v>
      </c>
      <c r="D1735" s="2" t="s">
        <v>132</v>
      </c>
      <c r="E1735" s="152" t="s">
        <v>102</v>
      </c>
      <c r="F1735" s="152" t="s">
        <v>103</v>
      </c>
      <c r="G1735" s="152">
        <v>0</v>
      </c>
      <c r="H1735" s="152"/>
      <c r="I1735" s="153">
        <v>19.650821917808219</v>
      </c>
      <c r="J1735" s="145"/>
      <c r="K1735" s="153" t="s">
        <v>86</v>
      </c>
      <c r="L1735" s="153" t="s">
        <v>86</v>
      </c>
      <c r="M1735" s="153"/>
      <c r="N1735" s="2" t="s">
        <v>57</v>
      </c>
      <c r="O1735" s="2"/>
      <c r="P1735" s="2"/>
    </row>
    <row r="1736" spans="1:16" ht="16.5" customHeight="1" x14ac:dyDescent="0.25">
      <c r="A1736" s="2" t="s">
        <v>3189</v>
      </c>
      <c r="B1736" s="8" t="s">
        <v>3189</v>
      </c>
      <c r="C1736" s="152" t="s">
        <v>102</v>
      </c>
      <c r="D1736" s="2" t="s">
        <v>1520</v>
      </c>
      <c r="E1736" s="152" t="s">
        <v>102</v>
      </c>
      <c r="F1736" s="152" t="s">
        <v>103</v>
      </c>
      <c r="G1736" s="152">
        <v>0</v>
      </c>
      <c r="H1736" s="152"/>
      <c r="I1736" s="153">
        <v>2.979166666666667</v>
      </c>
      <c r="J1736" s="145"/>
      <c r="K1736" s="153" t="s">
        <v>86</v>
      </c>
      <c r="L1736" s="153" t="s">
        <v>86</v>
      </c>
      <c r="M1736" s="153"/>
      <c r="N1736" s="2" t="s">
        <v>57</v>
      </c>
      <c r="O1736" s="2"/>
      <c r="P1736" s="2"/>
    </row>
    <row r="1737" spans="1:16" ht="16.5" customHeight="1" x14ac:dyDescent="0.25">
      <c r="A1737" s="2" t="s">
        <v>3190</v>
      </c>
      <c r="B1737" s="8" t="s">
        <v>3190</v>
      </c>
      <c r="C1737" s="152" t="s">
        <v>102</v>
      </c>
      <c r="D1737" s="2" t="s">
        <v>1520</v>
      </c>
      <c r="E1737" s="152" t="s">
        <v>102</v>
      </c>
      <c r="F1737" s="152" t="s">
        <v>103</v>
      </c>
      <c r="G1737" s="152">
        <v>0</v>
      </c>
      <c r="H1737" s="152"/>
      <c r="I1737" s="153">
        <v>4.4951923076923084</v>
      </c>
      <c r="J1737" s="145"/>
      <c r="K1737" s="153" t="s">
        <v>86</v>
      </c>
      <c r="L1737" s="153" t="s">
        <v>86</v>
      </c>
      <c r="M1737" s="153"/>
      <c r="N1737" s="2" t="s">
        <v>57</v>
      </c>
      <c r="O1737" s="2"/>
      <c r="P1737" s="2"/>
    </row>
    <row r="1738" spans="1:16" ht="16.5" customHeight="1" x14ac:dyDescent="0.25">
      <c r="A1738" s="2" t="s">
        <v>3191</v>
      </c>
      <c r="B1738" s="8" t="s">
        <v>3191</v>
      </c>
      <c r="C1738" s="152" t="s">
        <v>102</v>
      </c>
      <c r="D1738" s="2" t="s">
        <v>148</v>
      </c>
      <c r="E1738" s="152" t="s">
        <v>102</v>
      </c>
      <c r="F1738" s="152" t="s">
        <v>103</v>
      </c>
      <c r="G1738" s="152">
        <v>0</v>
      </c>
      <c r="H1738" s="152"/>
      <c r="I1738" s="153">
        <v>0.1472945205479452</v>
      </c>
      <c r="J1738" s="145"/>
      <c r="K1738" s="153" t="s">
        <v>86</v>
      </c>
      <c r="L1738" s="153" t="s">
        <v>86</v>
      </c>
      <c r="M1738" s="153"/>
      <c r="N1738" s="2" t="s">
        <v>57</v>
      </c>
      <c r="O1738" s="2"/>
      <c r="P1738" s="2"/>
    </row>
    <row r="1739" spans="1:16" ht="16.5" customHeight="1" x14ac:dyDescent="0.25">
      <c r="A1739" s="2" t="s">
        <v>3192</v>
      </c>
      <c r="B1739" s="8" t="s">
        <v>3192</v>
      </c>
      <c r="C1739" s="152" t="s">
        <v>102</v>
      </c>
      <c r="D1739" s="2" t="s">
        <v>148</v>
      </c>
      <c r="E1739" s="152" t="s">
        <v>102</v>
      </c>
      <c r="F1739" s="152" t="s">
        <v>103</v>
      </c>
      <c r="G1739" s="152">
        <v>0</v>
      </c>
      <c r="H1739" s="152"/>
      <c r="I1739" s="153">
        <v>0.66210958904109596</v>
      </c>
      <c r="J1739" s="145"/>
      <c r="K1739" s="153" t="s">
        <v>86</v>
      </c>
      <c r="L1739" s="153" t="s">
        <v>86</v>
      </c>
      <c r="M1739" s="153"/>
      <c r="N1739" s="2" t="s">
        <v>57</v>
      </c>
      <c r="O1739" s="2"/>
      <c r="P1739" s="2"/>
    </row>
    <row r="1740" spans="1:16" ht="16.5" customHeight="1" x14ac:dyDescent="0.25">
      <c r="A1740" s="2" t="s">
        <v>3193</v>
      </c>
      <c r="B1740" s="8" t="s">
        <v>3193</v>
      </c>
      <c r="C1740" s="152" t="s">
        <v>102</v>
      </c>
      <c r="D1740" s="2" t="s">
        <v>148</v>
      </c>
      <c r="E1740" s="152" t="s">
        <v>102</v>
      </c>
      <c r="F1740" s="152" t="s">
        <v>103</v>
      </c>
      <c r="G1740" s="152">
        <v>0</v>
      </c>
      <c r="H1740" s="152"/>
      <c r="I1740" s="153">
        <v>1.27099358974359</v>
      </c>
      <c r="J1740" s="145"/>
      <c r="K1740" s="153" t="s">
        <v>86</v>
      </c>
      <c r="L1740" s="153" t="s">
        <v>86</v>
      </c>
      <c r="M1740" s="153"/>
      <c r="N1740" s="2" t="s">
        <v>57</v>
      </c>
      <c r="O1740" s="2"/>
      <c r="P1740" s="2"/>
    </row>
    <row r="1741" spans="1:16" ht="16.5" customHeight="1" x14ac:dyDescent="0.25">
      <c r="A1741" s="2" t="s">
        <v>3194</v>
      </c>
      <c r="B1741" s="8" t="s">
        <v>3194</v>
      </c>
      <c r="C1741" s="152" t="s">
        <v>102</v>
      </c>
      <c r="D1741" s="2" t="s">
        <v>148</v>
      </c>
      <c r="E1741" s="152" t="s">
        <v>102</v>
      </c>
      <c r="F1741" s="152" t="s">
        <v>103</v>
      </c>
      <c r="G1741" s="152">
        <v>0</v>
      </c>
      <c r="H1741" s="152"/>
      <c r="I1741" s="153">
        <v>2.2330000000000001</v>
      </c>
      <c r="J1741" s="145"/>
      <c r="K1741" s="153" t="s">
        <v>86</v>
      </c>
      <c r="L1741" s="153" t="s">
        <v>86</v>
      </c>
      <c r="M1741" s="153"/>
      <c r="N1741" s="2" t="s">
        <v>57</v>
      </c>
      <c r="O1741" s="2"/>
      <c r="P1741" s="2"/>
    </row>
    <row r="1742" spans="1:16" ht="16.5" customHeight="1" x14ac:dyDescent="0.25">
      <c r="A1742" s="2" t="s">
        <v>3195</v>
      </c>
      <c r="B1742" s="8" t="s">
        <v>3195</v>
      </c>
      <c r="C1742" s="152" t="s">
        <v>102</v>
      </c>
      <c r="D1742" s="2" t="s">
        <v>148</v>
      </c>
      <c r="E1742" s="152" t="s">
        <v>102</v>
      </c>
      <c r="F1742" s="152" t="s">
        <v>103</v>
      </c>
      <c r="G1742" s="152">
        <v>0</v>
      </c>
      <c r="H1742" s="152"/>
      <c r="I1742" s="153">
        <v>4.5320000000000009</v>
      </c>
      <c r="J1742" s="145"/>
      <c r="K1742" s="153" t="s">
        <v>86</v>
      </c>
      <c r="L1742" s="153" t="s">
        <v>86</v>
      </c>
      <c r="M1742" s="153"/>
      <c r="N1742" s="2" t="s">
        <v>57</v>
      </c>
      <c r="O1742" s="2"/>
      <c r="P1742" s="2"/>
    </row>
    <row r="1743" spans="1:16" ht="16.5" customHeight="1" x14ac:dyDescent="0.25">
      <c r="A1743" s="2" t="s">
        <v>3196</v>
      </c>
      <c r="B1743" s="8" t="s">
        <v>3196</v>
      </c>
      <c r="C1743" s="152" t="s">
        <v>102</v>
      </c>
      <c r="D1743" s="2" t="s">
        <v>148</v>
      </c>
      <c r="E1743" s="152" t="s">
        <v>102</v>
      </c>
      <c r="F1743" s="152" t="s">
        <v>103</v>
      </c>
      <c r="G1743" s="152">
        <v>0</v>
      </c>
      <c r="H1743" s="152"/>
      <c r="I1743" s="153">
        <v>0.92400000000000004</v>
      </c>
      <c r="J1743" s="145"/>
      <c r="K1743" s="153" t="s">
        <v>86</v>
      </c>
      <c r="L1743" s="153" t="s">
        <v>86</v>
      </c>
      <c r="M1743" s="153"/>
      <c r="N1743" s="2" t="s">
        <v>57</v>
      </c>
      <c r="O1743" s="2"/>
      <c r="P1743" s="2"/>
    </row>
    <row r="1744" spans="1:16" ht="16.5" customHeight="1" x14ac:dyDescent="0.25">
      <c r="A1744" s="2" t="s">
        <v>3197</v>
      </c>
      <c r="B1744" s="8" t="s">
        <v>3197</v>
      </c>
      <c r="C1744" s="152" t="s">
        <v>102</v>
      </c>
      <c r="D1744" s="2" t="s">
        <v>148</v>
      </c>
      <c r="E1744" s="152" t="s">
        <v>102</v>
      </c>
      <c r="F1744" s="152" t="s">
        <v>103</v>
      </c>
      <c r="G1744" s="152">
        <v>0</v>
      </c>
      <c r="H1744" s="152"/>
      <c r="I1744" s="153">
        <v>6.145897435897437</v>
      </c>
      <c r="J1744" s="145"/>
      <c r="K1744" s="153" t="s">
        <v>86</v>
      </c>
      <c r="L1744" s="153" t="s">
        <v>86</v>
      </c>
      <c r="M1744" s="153"/>
      <c r="N1744" s="2" t="s">
        <v>57</v>
      </c>
      <c r="O1744" s="2"/>
      <c r="P1744" s="2"/>
    </row>
    <row r="1745" spans="1:16" ht="16.5" customHeight="1" x14ac:dyDescent="0.25">
      <c r="A1745" s="2" t="s">
        <v>3198</v>
      </c>
      <c r="B1745" s="8" t="s">
        <v>3198</v>
      </c>
      <c r="C1745" s="152" t="s">
        <v>102</v>
      </c>
      <c r="D1745" s="2" t="s">
        <v>148</v>
      </c>
      <c r="E1745" s="152" t="s">
        <v>102</v>
      </c>
      <c r="F1745" s="152" t="s">
        <v>103</v>
      </c>
      <c r="G1745" s="152">
        <v>0</v>
      </c>
      <c r="H1745" s="152"/>
      <c r="I1745" s="153">
        <v>68.565961538461551</v>
      </c>
      <c r="J1745" s="145"/>
      <c r="K1745" s="153" t="s">
        <v>86</v>
      </c>
      <c r="L1745" s="153" t="s">
        <v>86</v>
      </c>
      <c r="M1745" s="153"/>
      <c r="N1745" s="2" t="s">
        <v>57</v>
      </c>
      <c r="O1745" s="2"/>
      <c r="P1745" s="2"/>
    </row>
    <row r="1746" spans="1:16" ht="16.5" customHeight="1" x14ac:dyDescent="0.25">
      <c r="A1746" s="2" t="s">
        <v>3199</v>
      </c>
      <c r="B1746" s="8" t="s">
        <v>3199</v>
      </c>
      <c r="C1746" s="152" t="s">
        <v>102</v>
      </c>
      <c r="D1746" s="2" t="s">
        <v>148</v>
      </c>
      <c r="E1746" s="152" t="s">
        <v>102</v>
      </c>
      <c r="F1746" s="152" t="s">
        <v>103</v>
      </c>
      <c r="G1746" s="152">
        <v>0</v>
      </c>
      <c r="H1746" s="152"/>
      <c r="I1746" s="153">
        <v>2.1538141025641031</v>
      </c>
      <c r="J1746" s="145"/>
      <c r="K1746" s="153" t="s">
        <v>86</v>
      </c>
      <c r="L1746" s="153" t="s">
        <v>86</v>
      </c>
      <c r="M1746" s="153"/>
      <c r="N1746" s="2" t="s">
        <v>57</v>
      </c>
      <c r="O1746" s="2"/>
      <c r="P1746" s="2"/>
    </row>
    <row r="1747" spans="1:16" ht="16.5" customHeight="1" x14ac:dyDescent="0.25">
      <c r="A1747" s="2" t="s">
        <v>3200</v>
      </c>
      <c r="B1747" s="8" t="s">
        <v>3200</v>
      </c>
      <c r="C1747" s="152" t="s">
        <v>102</v>
      </c>
      <c r="D1747" s="2" t="s">
        <v>148</v>
      </c>
      <c r="E1747" s="152" t="s">
        <v>102</v>
      </c>
      <c r="F1747" s="152" t="s">
        <v>103</v>
      </c>
      <c r="G1747" s="152">
        <v>0</v>
      </c>
      <c r="H1747" s="152"/>
      <c r="I1747" s="153">
        <v>15.644150641025639</v>
      </c>
      <c r="J1747" s="145"/>
      <c r="K1747" s="153" t="s">
        <v>86</v>
      </c>
      <c r="L1747" s="153" t="s">
        <v>86</v>
      </c>
      <c r="M1747" s="153"/>
      <c r="N1747" s="2" t="s">
        <v>57</v>
      </c>
      <c r="O1747" s="2"/>
      <c r="P1747" s="2"/>
    </row>
    <row r="1748" spans="1:16" ht="16.5" customHeight="1" x14ac:dyDescent="0.25">
      <c r="A1748" s="2" t="s">
        <v>3201</v>
      </c>
      <c r="B1748" s="8" t="s">
        <v>3201</v>
      </c>
      <c r="C1748" s="152" t="s">
        <v>102</v>
      </c>
      <c r="D1748" s="2" t="s">
        <v>148</v>
      </c>
      <c r="E1748" s="152" t="s">
        <v>102</v>
      </c>
      <c r="F1748" s="152" t="s">
        <v>103</v>
      </c>
      <c r="G1748" s="152">
        <v>0</v>
      </c>
      <c r="H1748" s="152"/>
      <c r="I1748" s="153">
        <v>0.14983974358974361</v>
      </c>
      <c r="J1748" s="145"/>
      <c r="K1748" s="153" t="s">
        <v>86</v>
      </c>
      <c r="L1748" s="153" t="s">
        <v>86</v>
      </c>
      <c r="M1748" s="153"/>
      <c r="N1748" s="2" t="s">
        <v>57</v>
      </c>
      <c r="O1748" s="2"/>
      <c r="P1748" s="2"/>
    </row>
    <row r="1749" spans="1:16" ht="16.5" customHeight="1" x14ac:dyDescent="0.25">
      <c r="A1749" s="2" t="s">
        <v>3202</v>
      </c>
      <c r="B1749" s="8" t="s">
        <v>3202</v>
      </c>
      <c r="C1749" s="152" t="s">
        <v>102</v>
      </c>
      <c r="D1749" s="2" t="s">
        <v>148</v>
      </c>
      <c r="E1749" s="152" t="s">
        <v>102</v>
      </c>
      <c r="F1749" s="152" t="s">
        <v>103</v>
      </c>
      <c r="G1749" s="152">
        <v>0</v>
      </c>
      <c r="H1749" s="152"/>
      <c r="I1749" s="153">
        <v>0.74212328767123292</v>
      </c>
      <c r="J1749" s="145"/>
      <c r="K1749" s="153" t="s">
        <v>86</v>
      </c>
      <c r="L1749" s="153" t="s">
        <v>86</v>
      </c>
      <c r="M1749" s="153"/>
      <c r="N1749" s="2" t="s">
        <v>57</v>
      </c>
      <c r="O1749" s="2"/>
      <c r="P1749" s="2"/>
    </row>
    <row r="1750" spans="1:16" ht="16.5" customHeight="1" x14ac:dyDescent="0.25">
      <c r="A1750" s="2" t="s">
        <v>3203</v>
      </c>
      <c r="B1750" s="8" t="s">
        <v>3203</v>
      </c>
      <c r="C1750" s="152" t="s">
        <v>102</v>
      </c>
      <c r="D1750" s="2" t="s">
        <v>148</v>
      </c>
      <c r="E1750" s="152" t="s">
        <v>102</v>
      </c>
      <c r="F1750" s="152" t="s">
        <v>103</v>
      </c>
      <c r="G1750" s="152">
        <v>0</v>
      </c>
      <c r="H1750" s="152"/>
      <c r="I1750" s="153">
        <v>15.07753424657535</v>
      </c>
      <c r="J1750" s="145"/>
      <c r="K1750" s="153" t="s">
        <v>86</v>
      </c>
      <c r="L1750" s="153" t="s">
        <v>86</v>
      </c>
      <c r="M1750" s="153"/>
      <c r="N1750" s="2" t="s">
        <v>57</v>
      </c>
      <c r="O1750" s="2"/>
      <c r="P1750" s="2"/>
    </row>
    <row r="1751" spans="1:16" ht="16.5" customHeight="1" x14ac:dyDescent="0.25">
      <c r="A1751" s="2" t="s">
        <v>3204</v>
      </c>
      <c r="B1751" s="8" t="s">
        <v>3204</v>
      </c>
      <c r="C1751" s="152" t="s">
        <v>102</v>
      </c>
      <c r="D1751" s="2" t="s">
        <v>148</v>
      </c>
      <c r="E1751" s="152" t="s">
        <v>102</v>
      </c>
      <c r="F1751" s="152" t="s">
        <v>103</v>
      </c>
      <c r="G1751" s="152">
        <v>0</v>
      </c>
      <c r="H1751" s="152"/>
      <c r="I1751" s="153">
        <v>7.4609615384615386</v>
      </c>
      <c r="J1751" s="145"/>
      <c r="K1751" s="153" t="s">
        <v>86</v>
      </c>
      <c r="L1751" s="153" t="s">
        <v>86</v>
      </c>
      <c r="M1751" s="153"/>
      <c r="N1751" s="2" t="s">
        <v>57</v>
      </c>
      <c r="O1751" s="2"/>
      <c r="P1751" s="2"/>
    </row>
    <row r="1752" spans="1:16" ht="16.5" customHeight="1" x14ac:dyDescent="0.25">
      <c r="A1752" s="2" t="s">
        <v>3205</v>
      </c>
      <c r="B1752" s="8" t="s">
        <v>3205</v>
      </c>
      <c r="C1752" s="152" t="s">
        <v>102</v>
      </c>
      <c r="D1752" s="2" t="s">
        <v>1593</v>
      </c>
      <c r="E1752" s="152" t="s">
        <v>102</v>
      </c>
      <c r="F1752" s="152" t="s">
        <v>103</v>
      </c>
      <c r="G1752" s="152">
        <v>0</v>
      </c>
      <c r="H1752" s="152"/>
      <c r="I1752" s="153">
        <v>0.1472945205479452</v>
      </c>
      <c r="J1752" s="145"/>
      <c r="K1752" s="153" t="s">
        <v>86</v>
      </c>
      <c r="L1752" s="153" t="s">
        <v>86</v>
      </c>
      <c r="M1752" s="153"/>
      <c r="N1752" s="2" t="s">
        <v>57</v>
      </c>
      <c r="O1752" s="2"/>
      <c r="P1752" s="2"/>
    </row>
    <row r="1753" spans="1:16" ht="16.5" customHeight="1" x14ac:dyDescent="0.25">
      <c r="A1753" s="2" t="s">
        <v>3206</v>
      </c>
      <c r="B1753" s="8" t="s">
        <v>3206</v>
      </c>
      <c r="C1753" s="152" t="s">
        <v>102</v>
      </c>
      <c r="D1753" s="2" t="s">
        <v>1593</v>
      </c>
      <c r="E1753" s="152" t="s">
        <v>102</v>
      </c>
      <c r="F1753" s="152" t="s">
        <v>103</v>
      </c>
      <c r="G1753" s="152">
        <v>0</v>
      </c>
      <c r="H1753" s="152"/>
      <c r="I1753" s="153">
        <v>0.2945890410958904</v>
      </c>
      <c r="J1753" s="145"/>
      <c r="K1753" s="153" t="s">
        <v>86</v>
      </c>
      <c r="L1753" s="153" t="s">
        <v>86</v>
      </c>
      <c r="M1753" s="153"/>
      <c r="N1753" s="2" t="s">
        <v>57</v>
      </c>
      <c r="O1753" s="2"/>
      <c r="P1753" s="2"/>
    </row>
    <row r="1754" spans="1:16" ht="16.5" customHeight="1" x14ac:dyDescent="0.25">
      <c r="A1754" s="2" t="s">
        <v>3207</v>
      </c>
      <c r="B1754" s="8" t="s">
        <v>3207</v>
      </c>
      <c r="C1754" s="152" t="s">
        <v>102</v>
      </c>
      <c r="D1754" s="2" t="s">
        <v>1593</v>
      </c>
      <c r="E1754" s="152" t="s">
        <v>102</v>
      </c>
      <c r="F1754" s="152" t="s">
        <v>103</v>
      </c>
      <c r="G1754" s="152">
        <v>0</v>
      </c>
      <c r="H1754" s="152"/>
      <c r="I1754" s="153">
        <v>7.0512820512820512E-2</v>
      </c>
      <c r="J1754" s="145"/>
      <c r="K1754" s="153" t="s">
        <v>86</v>
      </c>
      <c r="L1754" s="153" t="s">
        <v>86</v>
      </c>
      <c r="M1754" s="153"/>
      <c r="N1754" s="2" t="s">
        <v>57</v>
      </c>
      <c r="O1754" s="2"/>
      <c r="P1754" s="2"/>
    </row>
    <row r="1755" spans="1:16" ht="16.5" customHeight="1" x14ac:dyDescent="0.25">
      <c r="A1755" s="2" t="s">
        <v>3208</v>
      </c>
      <c r="B1755" s="8" t="s">
        <v>3208</v>
      </c>
      <c r="C1755" s="152" t="s">
        <v>102</v>
      </c>
      <c r="D1755" s="2" t="s">
        <v>2300</v>
      </c>
      <c r="E1755" s="152" t="s">
        <v>102</v>
      </c>
      <c r="F1755" s="152" t="s">
        <v>103</v>
      </c>
      <c r="G1755" s="152">
        <v>0</v>
      </c>
      <c r="H1755" s="152"/>
      <c r="I1755" s="153">
        <v>10.044205479452049</v>
      </c>
      <c r="J1755" s="145"/>
      <c r="K1755" s="153" t="s">
        <v>86</v>
      </c>
      <c r="L1755" s="153" t="s">
        <v>86</v>
      </c>
      <c r="M1755" s="153"/>
      <c r="N1755" s="2" t="s">
        <v>57</v>
      </c>
      <c r="O1755" s="2"/>
      <c r="P1755" s="2"/>
    </row>
    <row r="1756" spans="1:16" ht="16.5" customHeight="1" x14ac:dyDescent="0.25">
      <c r="A1756" s="2" t="s">
        <v>3209</v>
      </c>
      <c r="B1756" s="8" t="s">
        <v>3209</v>
      </c>
      <c r="C1756" s="152" t="s">
        <v>102</v>
      </c>
      <c r="D1756" s="2" t="s">
        <v>2300</v>
      </c>
      <c r="E1756" s="152" t="s">
        <v>102</v>
      </c>
      <c r="F1756" s="152" t="s">
        <v>103</v>
      </c>
      <c r="G1756" s="152">
        <v>0</v>
      </c>
      <c r="H1756" s="152"/>
      <c r="I1756" s="153">
        <v>38.533904109589052</v>
      </c>
      <c r="J1756" s="145"/>
      <c r="K1756" s="153" t="s">
        <v>86</v>
      </c>
      <c r="L1756" s="153" t="s">
        <v>86</v>
      </c>
      <c r="M1756" s="153"/>
      <c r="N1756" s="2" t="s">
        <v>57</v>
      </c>
      <c r="O1756" s="2"/>
      <c r="P1756" s="2"/>
    </row>
    <row r="1757" spans="1:16" ht="16.5" customHeight="1" x14ac:dyDescent="0.25">
      <c r="A1757" s="2" t="s">
        <v>3210</v>
      </c>
      <c r="B1757" s="8" t="s">
        <v>3210</v>
      </c>
      <c r="C1757" s="152" t="s">
        <v>102</v>
      </c>
      <c r="D1757" s="2" t="s">
        <v>3211</v>
      </c>
      <c r="E1757" s="152" t="s">
        <v>102</v>
      </c>
      <c r="F1757" s="152" t="s">
        <v>103</v>
      </c>
      <c r="G1757" s="152">
        <v>0</v>
      </c>
      <c r="H1757" s="152"/>
      <c r="I1757" s="153">
        <v>8.6378205128205128</v>
      </c>
      <c r="J1757" s="145"/>
      <c r="K1757" s="153" t="s">
        <v>86</v>
      </c>
      <c r="L1757" s="153" t="s">
        <v>86</v>
      </c>
      <c r="M1757" s="153"/>
      <c r="N1757" s="2" t="s">
        <v>57</v>
      </c>
      <c r="O1757" s="2"/>
      <c r="P1757" s="2"/>
    </row>
    <row r="1758" spans="1:16" ht="16.5" customHeight="1" x14ac:dyDescent="0.25">
      <c r="A1758" s="2" t="s">
        <v>3212</v>
      </c>
      <c r="B1758" s="8" t="s">
        <v>3212</v>
      </c>
      <c r="C1758" s="152" t="s">
        <v>102</v>
      </c>
      <c r="D1758" s="2" t="s">
        <v>3211</v>
      </c>
      <c r="E1758" s="152" t="s">
        <v>102</v>
      </c>
      <c r="F1758" s="152" t="s">
        <v>103</v>
      </c>
      <c r="G1758" s="152">
        <v>0</v>
      </c>
      <c r="H1758" s="152"/>
      <c r="I1758" s="153">
        <v>14.943076923076919</v>
      </c>
      <c r="J1758" s="145"/>
      <c r="K1758" s="153" t="s">
        <v>86</v>
      </c>
      <c r="L1758" s="153" t="s">
        <v>86</v>
      </c>
      <c r="M1758" s="153"/>
      <c r="N1758" s="2" t="s">
        <v>57</v>
      </c>
      <c r="O1758" s="2"/>
      <c r="P1758" s="2"/>
    </row>
    <row r="1759" spans="1:16" ht="16.5" customHeight="1" x14ac:dyDescent="0.25">
      <c r="A1759" s="2" t="s">
        <v>3213</v>
      </c>
      <c r="B1759" s="8" t="s">
        <v>3213</v>
      </c>
      <c r="C1759" s="152" t="s">
        <v>102</v>
      </c>
      <c r="D1759" s="2" t="s">
        <v>3211</v>
      </c>
      <c r="E1759" s="152" t="s">
        <v>102</v>
      </c>
      <c r="F1759" s="152" t="s">
        <v>103</v>
      </c>
      <c r="G1759" s="152">
        <v>0</v>
      </c>
      <c r="H1759" s="152"/>
      <c r="I1759" s="153">
        <v>10.56376712328767</v>
      </c>
      <c r="J1759" s="145"/>
      <c r="K1759" s="153" t="s">
        <v>86</v>
      </c>
      <c r="L1759" s="153" t="s">
        <v>86</v>
      </c>
      <c r="M1759" s="153"/>
      <c r="N1759" s="2" t="s">
        <v>57</v>
      </c>
      <c r="O1759" s="2"/>
      <c r="P1759" s="2"/>
    </row>
    <row r="1760" spans="1:16" ht="16.5" customHeight="1" x14ac:dyDescent="0.25">
      <c r="A1760" s="2" t="s">
        <v>3214</v>
      </c>
      <c r="B1760" s="8" t="s">
        <v>3214</v>
      </c>
      <c r="C1760" s="152" t="s">
        <v>102</v>
      </c>
      <c r="D1760" s="2" t="s">
        <v>3211</v>
      </c>
      <c r="E1760" s="152" t="s">
        <v>102</v>
      </c>
      <c r="F1760" s="152" t="s">
        <v>103</v>
      </c>
      <c r="G1760" s="152">
        <v>0</v>
      </c>
      <c r="H1760" s="152"/>
      <c r="I1760" s="153">
        <v>13.943205128205131</v>
      </c>
      <c r="J1760" s="145"/>
      <c r="K1760" s="153" t="s">
        <v>86</v>
      </c>
      <c r="L1760" s="153" t="s">
        <v>86</v>
      </c>
      <c r="M1760" s="153"/>
      <c r="N1760" s="2" t="s">
        <v>57</v>
      </c>
      <c r="O1760" s="2"/>
      <c r="P1760" s="2"/>
    </row>
    <row r="1761" spans="1:16" ht="16.5" customHeight="1" x14ac:dyDescent="0.25">
      <c r="A1761" s="2" t="s">
        <v>3215</v>
      </c>
      <c r="B1761" s="8" t="s">
        <v>3215</v>
      </c>
      <c r="C1761" s="152" t="s">
        <v>102</v>
      </c>
      <c r="D1761" s="2" t="s">
        <v>3211</v>
      </c>
      <c r="E1761" s="152" t="s">
        <v>102</v>
      </c>
      <c r="F1761" s="152" t="s">
        <v>103</v>
      </c>
      <c r="G1761" s="152">
        <v>0</v>
      </c>
      <c r="H1761" s="152"/>
      <c r="I1761" s="153">
        <v>18.648525641025639</v>
      </c>
      <c r="J1761" s="145"/>
      <c r="K1761" s="153" t="s">
        <v>86</v>
      </c>
      <c r="L1761" s="153" t="s">
        <v>86</v>
      </c>
      <c r="M1761" s="153"/>
      <c r="N1761" s="2" t="s">
        <v>57</v>
      </c>
      <c r="O1761" s="2"/>
      <c r="P1761" s="2"/>
    </row>
    <row r="1762" spans="1:16" ht="16.5" customHeight="1" x14ac:dyDescent="0.25">
      <c r="A1762" s="2" t="s">
        <v>3216</v>
      </c>
      <c r="B1762" s="8" t="s">
        <v>3216</v>
      </c>
      <c r="C1762" s="152" t="s">
        <v>102</v>
      </c>
      <c r="D1762" s="2" t="s">
        <v>2534</v>
      </c>
      <c r="E1762" s="152" t="s">
        <v>102</v>
      </c>
      <c r="F1762" s="152" t="s">
        <v>103</v>
      </c>
      <c r="G1762" s="152">
        <v>0</v>
      </c>
      <c r="H1762" s="152"/>
      <c r="I1762" s="153">
        <v>2.2700684931506849</v>
      </c>
      <c r="J1762" s="145"/>
      <c r="K1762" s="153" t="s">
        <v>86</v>
      </c>
      <c r="L1762" s="153" t="s">
        <v>86</v>
      </c>
      <c r="M1762" s="153"/>
      <c r="N1762" s="2" t="s">
        <v>57</v>
      </c>
      <c r="O1762" s="2"/>
      <c r="P1762" s="2"/>
    </row>
    <row r="1763" spans="1:16" ht="16.5" customHeight="1" x14ac:dyDescent="0.25">
      <c r="A1763" s="2" t="s">
        <v>3217</v>
      </c>
      <c r="B1763" s="8" t="s">
        <v>3217</v>
      </c>
      <c r="C1763" s="152" t="s">
        <v>102</v>
      </c>
      <c r="D1763" s="2" t="s">
        <v>163</v>
      </c>
      <c r="E1763" s="152" t="s">
        <v>102</v>
      </c>
      <c r="F1763" s="152" t="s">
        <v>103</v>
      </c>
      <c r="G1763" s="152">
        <v>0</v>
      </c>
      <c r="H1763" s="152"/>
      <c r="I1763" s="153">
        <v>131.07630136986299</v>
      </c>
      <c r="J1763" s="145"/>
      <c r="K1763" s="153" t="s">
        <v>86</v>
      </c>
      <c r="L1763" s="153" t="s">
        <v>86</v>
      </c>
      <c r="M1763" s="153"/>
      <c r="N1763" s="2" t="s">
        <v>57</v>
      </c>
      <c r="O1763" s="2"/>
      <c r="P1763" s="2"/>
    </row>
    <row r="1764" spans="1:16" ht="16.5" customHeight="1" x14ac:dyDescent="0.25">
      <c r="A1764" s="2" t="s">
        <v>3218</v>
      </c>
      <c r="B1764" s="8" t="s">
        <v>3218</v>
      </c>
      <c r="C1764" s="152" t="s">
        <v>102</v>
      </c>
      <c r="D1764" s="2" t="s">
        <v>869</v>
      </c>
      <c r="E1764" s="152" t="s">
        <v>102</v>
      </c>
      <c r="F1764" s="152" t="s">
        <v>103</v>
      </c>
      <c r="G1764" s="152">
        <v>0</v>
      </c>
      <c r="H1764" s="152"/>
      <c r="I1764" s="153">
        <v>2.1029589041095891</v>
      </c>
      <c r="J1764" s="145"/>
      <c r="K1764" s="153" t="s">
        <v>86</v>
      </c>
      <c r="L1764" s="153" t="s">
        <v>86</v>
      </c>
      <c r="M1764" s="153"/>
      <c r="N1764" s="2" t="s">
        <v>57</v>
      </c>
      <c r="O1764" s="2"/>
      <c r="P1764" s="2"/>
    </row>
    <row r="1765" spans="1:16" ht="16.5" customHeight="1" x14ac:dyDescent="0.25">
      <c r="A1765" s="2" t="s">
        <v>3219</v>
      </c>
      <c r="B1765" s="8" t="s">
        <v>3219</v>
      </c>
      <c r="C1765" s="152" t="s">
        <v>102</v>
      </c>
      <c r="D1765" s="2" t="s">
        <v>441</v>
      </c>
      <c r="E1765" s="152" t="s">
        <v>102</v>
      </c>
      <c r="F1765" s="152" t="s">
        <v>103</v>
      </c>
      <c r="G1765" s="152">
        <v>0</v>
      </c>
      <c r="H1765" s="152"/>
      <c r="I1765" s="153">
        <v>27.000931506849319</v>
      </c>
      <c r="J1765" s="145"/>
      <c r="K1765" s="153" t="s">
        <v>86</v>
      </c>
      <c r="L1765" s="153" t="s">
        <v>86</v>
      </c>
      <c r="M1765" s="153"/>
      <c r="N1765" s="2" t="s">
        <v>57</v>
      </c>
      <c r="O1765" s="2"/>
      <c r="P1765" s="2"/>
    </row>
    <row r="1766" spans="1:16" ht="16.5" customHeight="1" x14ac:dyDescent="0.25">
      <c r="A1766" s="2" t="s">
        <v>3220</v>
      </c>
      <c r="B1766" s="8" t="s">
        <v>3220</v>
      </c>
      <c r="C1766" s="152" t="s">
        <v>102</v>
      </c>
      <c r="D1766" s="2" t="s">
        <v>441</v>
      </c>
      <c r="E1766" s="152" t="s">
        <v>102</v>
      </c>
      <c r="F1766" s="152" t="s">
        <v>103</v>
      </c>
      <c r="G1766" s="152">
        <v>0</v>
      </c>
      <c r="H1766" s="152"/>
      <c r="I1766" s="153">
        <v>37.554000000000002</v>
      </c>
      <c r="J1766" s="145"/>
      <c r="K1766" s="153" t="s">
        <v>86</v>
      </c>
      <c r="L1766" s="153" t="s">
        <v>86</v>
      </c>
      <c r="M1766" s="153"/>
      <c r="N1766" s="2" t="s">
        <v>57</v>
      </c>
      <c r="O1766" s="2"/>
      <c r="P1766" s="2"/>
    </row>
    <row r="1767" spans="1:16" ht="16.5" customHeight="1" x14ac:dyDescent="0.25">
      <c r="A1767" s="2" t="s">
        <v>3221</v>
      </c>
      <c r="B1767" s="8" t="s">
        <v>3221</v>
      </c>
      <c r="C1767" s="152" t="s">
        <v>102</v>
      </c>
      <c r="D1767" s="2" t="s">
        <v>282</v>
      </c>
      <c r="E1767" s="152" t="s">
        <v>102</v>
      </c>
      <c r="F1767" s="152" t="s">
        <v>103</v>
      </c>
      <c r="G1767" s="152">
        <v>0</v>
      </c>
      <c r="H1767" s="152"/>
      <c r="I1767" s="153">
        <v>1.0549452054794519</v>
      </c>
      <c r="J1767" s="145"/>
      <c r="K1767" s="153" t="s">
        <v>86</v>
      </c>
      <c r="L1767" s="153" t="s">
        <v>86</v>
      </c>
      <c r="M1767" s="153"/>
      <c r="N1767" s="2" t="s">
        <v>57</v>
      </c>
      <c r="O1767" s="2"/>
      <c r="P1767" s="2"/>
    </row>
    <row r="1768" spans="1:16" ht="16.5" customHeight="1" x14ac:dyDescent="0.25">
      <c r="A1768" s="2" t="s">
        <v>3222</v>
      </c>
      <c r="B1768" s="8" t="s">
        <v>3222</v>
      </c>
      <c r="C1768" s="152" t="s">
        <v>102</v>
      </c>
      <c r="D1768" s="2" t="s">
        <v>282</v>
      </c>
      <c r="E1768" s="152" t="s">
        <v>102</v>
      </c>
      <c r="F1768" s="152" t="s">
        <v>103</v>
      </c>
      <c r="G1768" s="152">
        <v>0</v>
      </c>
      <c r="H1768" s="152"/>
      <c r="I1768" s="153">
        <v>1.1170650684931509</v>
      </c>
      <c r="J1768" s="145"/>
      <c r="K1768" s="153" t="s">
        <v>86</v>
      </c>
      <c r="L1768" s="153" t="s">
        <v>86</v>
      </c>
      <c r="M1768" s="153"/>
      <c r="N1768" s="2" t="s">
        <v>57</v>
      </c>
      <c r="O1768" s="2"/>
      <c r="P1768" s="2"/>
    </row>
    <row r="1769" spans="1:16" ht="16.5" customHeight="1" x14ac:dyDescent="0.25">
      <c r="A1769" s="2" t="s">
        <v>3223</v>
      </c>
      <c r="B1769" s="8" t="s">
        <v>3223</v>
      </c>
      <c r="C1769" s="152" t="s">
        <v>102</v>
      </c>
      <c r="D1769" s="2" t="s">
        <v>282</v>
      </c>
      <c r="E1769" s="152" t="s">
        <v>102</v>
      </c>
      <c r="F1769" s="152" t="s">
        <v>103</v>
      </c>
      <c r="G1769" s="152">
        <v>0</v>
      </c>
      <c r="H1769" s="152"/>
      <c r="I1769" s="153">
        <v>0.91827457534246582</v>
      </c>
      <c r="J1769" s="145"/>
      <c r="K1769" s="153" t="s">
        <v>86</v>
      </c>
      <c r="L1769" s="153" t="s">
        <v>86</v>
      </c>
      <c r="M1769" s="153"/>
      <c r="N1769" s="2" t="s">
        <v>57</v>
      </c>
      <c r="O1769" s="2"/>
      <c r="P1769" s="2"/>
    </row>
    <row r="1770" spans="1:16" ht="16.5" customHeight="1" x14ac:dyDescent="0.25">
      <c r="A1770" s="2" t="s">
        <v>3224</v>
      </c>
      <c r="B1770" s="8" t="s">
        <v>3224</v>
      </c>
      <c r="C1770" s="152" t="s">
        <v>102</v>
      </c>
      <c r="D1770" s="2" t="s">
        <v>282</v>
      </c>
      <c r="E1770" s="152" t="s">
        <v>102</v>
      </c>
      <c r="F1770" s="152" t="s">
        <v>103</v>
      </c>
      <c r="G1770" s="152">
        <v>0</v>
      </c>
      <c r="H1770" s="152"/>
      <c r="I1770" s="153">
        <v>7.579663315068494</v>
      </c>
      <c r="J1770" s="145"/>
      <c r="K1770" s="153" t="s">
        <v>86</v>
      </c>
      <c r="L1770" s="153" t="s">
        <v>86</v>
      </c>
      <c r="M1770" s="153"/>
      <c r="N1770" s="2" t="s">
        <v>57</v>
      </c>
      <c r="O1770" s="2"/>
      <c r="P1770" s="2"/>
    </row>
    <row r="1771" spans="1:16" ht="16.5" customHeight="1" x14ac:dyDescent="0.25">
      <c r="A1771" s="2" t="s">
        <v>3225</v>
      </c>
      <c r="B1771" s="8" t="s">
        <v>3225</v>
      </c>
      <c r="C1771" s="152" t="s">
        <v>102</v>
      </c>
      <c r="D1771" s="2" t="s">
        <v>282</v>
      </c>
      <c r="E1771" s="152" t="s">
        <v>102</v>
      </c>
      <c r="F1771" s="152" t="s">
        <v>103</v>
      </c>
      <c r="G1771" s="152">
        <v>0</v>
      </c>
      <c r="H1771" s="152"/>
      <c r="I1771" s="153">
        <v>11.596492268493151</v>
      </c>
      <c r="J1771" s="145"/>
      <c r="K1771" s="153" t="s">
        <v>86</v>
      </c>
      <c r="L1771" s="153" t="s">
        <v>86</v>
      </c>
      <c r="M1771" s="153"/>
      <c r="N1771" s="2" t="s">
        <v>57</v>
      </c>
      <c r="O1771" s="2"/>
      <c r="P1771" s="2"/>
    </row>
    <row r="1772" spans="1:16" ht="16.5" customHeight="1" x14ac:dyDescent="0.25">
      <c r="A1772" s="2" t="s">
        <v>3226</v>
      </c>
      <c r="B1772" s="8" t="s">
        <v>3226</v>
      </c>
      <c r="C1772" s="152" t="s">
        <v>102</v>
      </c>
      <c r="D1772" s="2" t="s">
        <v>282</v>
      </c>
      <c r="E1772" s="152" t="s">
        <v>102</v>
      </c>
      <c r="F1772" s="152" t="s">
        <v>103</v>
      </c>
      <c r="G1772" s="152">
        <v>0</v>
      </c>
      <c r="H1772" s="152"/>
      <c r="I1772" s="153">
        <v>1.3062499999999999</v>
      </c>
      <c r="J1772" s="145"/>
      <c r="K1772" s="153" t="s">
        <v>86</v>
      </c>
      <c r="L1772" s="153" t="s">
        <v>86</v>
      </c>
      <c r="M1772" s="153"/>
      <c r="N1772" s="2" t="s">
        <v>57</v>
      </c>
      <c r="O1772" s="2"/>
      <c r="P1772" s="2"/>
    </row>
    <row r="1773" spans="1:16" ht="16.5" customHeight="1" x14ac:dyDescent="0.25">
      <c r="A1773" s="2" t="s">
        <v>3227</v>
      </c>
      <c r="B1773" s="8" t="s">
        <v>3227</v>
      </c>
      <c r="C1773" s="152" t="s">
        <v>102</v>
      </c>
      <c r="D1773" s="2" t="s">
        <v>282</v>
      </c>
      <c r="E1773" s="152" t="s">
        <v>102</v>
      </c>
      <c r="F1773" s="152" t="s">
        <v>103</v>
      </c>
      <c r="G1773" s="152">
        <v>0</v>
      </c>
      <c r="H1773" s="152"/>
      <c r="I1773" s="153">
        <v>5.2174657534246576</v>
      </c>
      <c r="J1773" s="145"/>
      <c r="K1773" s="153" t="s">
        <v>86</v>
      </c>
      <c r="L1773" s="153" t="s">
        <v>86</v>
      </c>
      <c r="M1773" s="153"/>
      <c r="N1773" s="2" t="s">
        <v>57</v>
      </c>
      <c r="O1773" s="2"/>
      <c r="P1773" s="2"/>
    </row>
    <row r="1774" spans="1:16" ht="16.5" customHeight="1" x14ac:dyDescent="0.25">
      <c r="A1774" s="2" t="s">
        <v>3228</v>
      </c>
      <c r="B1774" s="8" t="s">
        <v>3228</v>
      </c>
      <c r="C1774" s="152" t="s">
        <v>102</v>
      </c>
      <c r="D1774" s="2" t="s">
        <v>282</v>
      </c>
      <c r="E1774" s="152" t="s">
        <v>102</v>
      </c>
      <c r="F1774" s="152" t="s">
        <v>103</v>
      </c>
      <c r="G1774" s="152">
        <v>0</v>
      </c>
      <c r="H1774" s="152"/>
      <c r="I1774" s="153">
        <v>1.169691780821918</v>
      </c>
      <c r="J1774" s="145"/>
      <c r="K1774" s="153" t="s">
        <v>86</v>
      </c>
      <c r="L1774" s="153" t="s">
        <v>86</v>
      </c>
      <c r="M1774" s="153"/>
      <c r="N1774" s="2" t="s">
        <v>57</v>
      </c>
      <c r="O1774" s="2"/>
      <c r="P1774" s="2"/>
    </row>
    <row r="1775" spans="1:16" ht="16.5" customHeight="1" x14ac:dyDescent="0.25">
      <c r="A1775" s="2" t="s">
        <v>3229</v>
      </c>
      <c r="B1775" s="8" t="s">
        <v>3229</v>
      </c>
      <c r="C1775" s="152" t="s">
        <v>102</v>
      </c>
      <c r="D1775" s="2" t="s">
        <v>282</v>
      </c>
      <c r="E1775" s="152" t="s">
        <v>102</v>
      </c>
      <c r="F1775" s="152" t="s">
        <v>103</v>
      </c>
      <c r="G1775" s="152">
        <v>0</v>
      </c>
      <c r="H1775" s="152"/>
      <c r="I1775" s="153">
        <v>1.169691780821918</v>
      </c>
      <c r="J1775" s="145"/>
      <c r="K1775" s="153" t="s">
        <v>86</v>
      </c>
      <c r="L1775" s="153" t="s">
        <v>86</v>
      </c>
      <c r="M1775" s="153"/>
      <c r="N1775" s="2" t="s">
        <v>57</v>
      </c>
      <c r="O1775" s="2"/>
      <c r="P1775" s="2"/>
    </row>
    <row r="1776" spans="1:16" ht="16.5" customHeight="1" x14ac:dyDescent="0.25">
      <c r="A1776" s="2" t="s">
        <v>3230</v>
      </c>
      <c r="B1776" s="8" t="s">
        <v>3230</v>
      </c>
      <c r="C1776" s="152" t="s">
        <v>102</v>
      </c>
      <c r="D1776" s="2" t="s">
        <v>282</v>
      </c>
      <c r="E1776" s="152" t="s">
        <v>102</v>
      </c>
      <c r="F1776" s="152" t="s">
        <v>103</v>
      </c>
      <c r="G1776" s="152">
        <v>0</v>
      </c>
      <c r="H1776" s="152"/>
      <c r="I1776" s="153">
        <v>0.80737179487179489</v>
      </c>
      <c r="J1776" s="145"/>
      <c r="K1776" s="153" t="s">
        <v>86</v>
      </c>
      <c r="L1776" s="153" t="s">
        <v>86</v>
      </c>
      <c r="M1776" s="153"/>
      <c r="N1776" s="2" t="s">
        <v>57</v>
      </c>
      <c r="O1776" s="2"/>
      <c r="P1776" s="2"/>
    </row>
    <row r="1777" spans="1:16" ht="16.5" customHeight="1" x14ac:dyDescent="0.25">
      <c r="A1777" s="2" t="s">
        <v>3231</v>
      </c>
      <c r="B1777" s="8" t="s">
        <v>3231</v>
      </c>
      <c r="C1777" s="152" t="s">
        <v>102</v>
      </c>
      <c r="D1777" s="2" t="s">
        <v>908</v>
      </c>
      <c r="E1777" s="152" t="s">
        <v>102</v>
      </c>
      <c r="F1777" s="152" t="s">
        <v>103</v>
      </c>
      <c r="G1777" s="152">
        <v>0</v>
      </c>
      <c r="H1777" s="152"/>
      <c r="I1777" s="153">
        <v>21.16354794520548</v>
      </c>
      <c r="J1777" s="145"/>
      <c r="K1777" s="153" t="s">
        <v>86</v>
      </c>
      <c r="L1777" s="153" t="s">
        <v>86</v>
      </c>
      <c r="M1777" s="153"/>
      <c r="N1777" s="2" t="s">
        <v>57</v>
      </c>
      <c r="O1777" s="2"/>
      <c r="P1777" s="2"/>
    </row>
    <row r="1778" spans="1:16" ht="16.5" customHeight="1" x14ac:dyDescent="0.25">
      <c r="A1778" s="2" t="s">
        <v>3232</v>
      </c>
      <c r="B1778" s="8" t="s">
        <v>3232</v>
      </c>
      <c r="C1778" s="152" t="s">
        <v>102</v>
      </c>
      <c r="D1778" s="2" t="s">
        <v>908</v>
      </c>
      <c r="E1778" s="152" t="s">
        <v>102</v>
      </c>
      <c r="F1778" s="152" t="s">
        <v>103</v>
      </c>
      <c r="G1778" s="152">
        <v>0</v>
      </c>
      <c r="H1778" s="152"/>
      <c r="I1778" s="153">
        <v>13.36443493150685</v>
      </c>
      <c r="J1778" s="145"/>
      <c r="K1778" s="153" t="s">
        <v>86</v>
      </c>
      <c r="L1778" s="153" t="s">
        <v>86</v>
      </c>
      <c r="M1778" s="153"/>
      <c r="N1778" s="2" t="s">
        <v>57</v>
      </c>
      <c r="O1778" s="2"/>
      <c r="P1778" s="2"/>
    </row>
    <row r="1779" spans="1:16" ht="16.5" customHeight="1" x14ac:dyDescent="0.25">
      <c r="A1779" s="2" t="s">
        <v>3233</v>
      </c>
      <c r="B1779" s="8" t="s">
        <v>3233</v>
      </c>
      <c r="C1779" s="152" t="s">
        <v>102</v>
      </c>
      <c r="D1779" s="2" t="s">
        <v>908</v>
      </c>
      <c r="E1779" s="152" t="s">
        <v>102</v>
      </c>
      <c r="F1779" s="152" t="s">
        <v>103</v>
      </c>
      <c r="G1779" s="152">
        <v>0</v>
      </c>
      <c r="H1779" s="152"/>
      <c r="I1779" s="153">
        <v>95.006020547945198</v>
      </c>
      <c r="J1779" s="145"/>
      <c r="K1779" s="153" t="s">
        <v>86</v>
      </c>
      <c r="L1779" s="153" t="s">
        <v>86</v>
      </c>
      <c r="M1779" s="153"/>
      <c r="N1779" s="2" t="s">
        <v>57</v>
      </c>
      <c r="O1779" s="2"/>
      <c r="P1779" s="2"/>
    </row>
    <row r="1780" spans="1:16" ht="16.5" customHeight="1" x14ac:dyDescent="0.25">
      <c r="A1780" s="2" t="s">
        <v>3234</v>
      </c>
      <c r="B1780" s="8" t="s">
        <v>3234</v>
      </c>
      <c r="C1780" s="152" t="s">
        <v>102</v>
      </c>
      <c r="D1780" s="2" t="s">
        <v>908</v>
      </c>
      <c r="E1780" s="152" t="s">
        <v>102</v>
      </c>
      <c r="F1780" s="152" t="s">
        <v>103</v>
      </c>
      <c r="G1780" s="152">
        <v>0</v>
      </c>
      <c r="H1780" s="152"/>
      <c r="I1780" s="153">
        <v>63.382828767123293</v>
      </c>
      <c r="J1780" s="145"/>
      <c r="K1780" s="153" t="s">
        <v>86</v>
      </c>
      <c r="L1780" s="153" t="s">
        <v>86</v>
      </c>
      <c r="M1780" s="153"/>
      <c r="N1780" s="2" t="s">
        <v>57</v>
      </c>
      <c r="O1780" s="2"/>
      <c r="P1780" s="2"/>
    </row>
    <row r="1781" spans="1:16" ht="16.5" customHeight="1" x14ac:dyDescent="0.25">
      <c r="A1781" s="2" t="s">
        <v>3235</v>
      </c>
      <c r="B1781" s="8" t="s">
        <v>3235</v>
      </c>
      <c r="C1781" s="152" t="s">
        <v>102</v>
      </c>
      <c r="D1781" s="2" t="s">
        <v>908</v>
      </c>
      <c r="E1781" s="152" t="s">
        <v>102</v>
      </c>
      <c r="F1781" s="152" t="s">
        <v>103</v>
      </c>
      <c r="G1781" s="152">
        <v>0</v>
      </c>
      <c r="H1781" s="152"/>
      <c r="I1781" s="153">
        <v>18.641458904109591</v>
      </c>
      <c r="J1781" s="145"/>
      <c r="K1781" s="153" t="s">
        <v>86</v>
      </c>
      <c r="L1781" s="153" t="s">
        <v>86</v>
      </c>
      <c r="M1781" s="153"/>
      <c r="N1781" s="2" t="s">
        <v>57</v>
      </c>
      <c r="O1781" s="2"/>
      <c r="P1781" s="2"/>
    </row>
    <row r="1782" spans="1:16" ht="16.5" customHeight="1" x14ac:dyDescent="0.25">
      <c r="A1782" s="2" t="s">
        <v>3236</v>
      </c>
      <c r="B1782" s="8" t="s">
        <v>3236</v>
      </c>
      <c r="C1782" s="152" t="s">
        <v>102</v>
      </c>
      <c r="D1782" s="2" t="s">
        <v>908</v>
      </c>
      <c r="E1782" s="152" t="s">
        <v>102</v>
      </c>
      <c r="F1782" s="152" t="s">
        <v>103</v>
      </c>
      <c r="G1782" s="152">
        <v>0</v>
      </c>
      <c r="H1782" s="152"/>
      <c r="I1782" s="153">
        <v>31.817499999999999</v>
      </c>
      <c r="J1782" s="145"/>
      <c r="K1782" s="153" t="s">
        <v>86</v>
      </c>
      <c r="L1782" s="153" t="s">
        <v>86</v>
      </c>
      <c r="M1782" s="153"/>
      <c r="N1782" s="2" t="s">
        <v>57</v>
      </c>
      <c r="O1782" s="2"/>
      <c r="P1782" s="2"/>
    </row>
    <row r="1783" spans="1:16" ht="16.5" customHeight="1" x14ac:dyDescent="0.25">
      <c r="A1783" s="2" t="s">
        <v>3237</v>
      </c>
      <c r="B1783" s="8" t="s">
        <v>3237</v>
      </c>
      <c r="C1783" s="152" t="s">
        <v>102</v>
      </c>
      <c r="D1783" s="2" t="s">
        <v>908</v>
      </c>
      <c r="E1783" s="152" t="s">
        <v>102</v>
      </c>
      <c r="F1783" s="152" t="s">
        <v>103</v>
      </c>
      <c r="G1783" s="152">
        <v>0</v>
      </c>
      <c r="H1783" s="152"/>
      <c r="I1783" s="153">
        <v>18.450842465753421</v>
      </c>
      <c r="J1783" s="145"/>
      <c r="K1783" s="153" t="s">
        <v>86</v>
      </c>
      <c r="L1783" s="153" t="s">
        <v>86</v>
      </c>
      <c r="M1783" s="153"/>
      <c r="N1783" s="2" t="s">
        <v>57</v>
      </c>
      <c r="O1783" s="2"/>
      <c r="P1783" s="2"/>
    </row>
    <row r="1784" spans="1:16" ht="16.5" customHeight="1" x14ac:dyDescent="0.25">
      <c r="A1784" s="2" t="s">
        <v>3238</v>
      </c>
      <c r="B1784" s="8" t="s">
        <v>3238</v>
      </c>
      <c r="C1784" s="152" t="s">
        <v>102</v>
      </c>
      <c r="D1784" s="2" t="s">
        <v>908</v>
      </c>
      <c r="E1784" s="152" t="s">
        <v>102</v>
      </c>
      <c r="F1784" s="152" t="s">
        <v>103</v>
      </c>
      <c r="G1784" s="152">
        <v>0</v>
      </c>
      <c r="H1784" s="152"/>
      <c r="I1784" s="153">
        <v>30.06900328767124</v>
      </c>
      <c r="J1784" s="145"/>
      <c r="K1784" s="153" t="s">
        <v>86</v>
      </c>
      <c r="L1784" s="153" t="s">
        <v>86</v>
      </c>
      <c r="M1784" s="153"/>
      <c r="N1784" s="2" t="s">
        <v>57</v>
      </c>
      <c r="O1784" s="2"/>
      <c r="P1784" s="2"/>
    </row>
    <row r="1785" spans="1:16" ht="16.5" customHeight="1" x14ac:dyDescent="0.25">
      <c r="A1785" s="2" t="s">
        <v>3239</v>
      </c>
      <c r="B1785" s="8" t="s">
        <v>3239</v>
      </c>
      <c r="C1785" s="152" t="s">
        <v>102</v>
      </c>
      <c r="D1785" s="2" t="s">
        <v>908</v>
      </c>
      <c r="E1785" s="152" t="s">
        <v>102</v>
      </c>
      <c r="F1785" s="152" t="s">
        <v>103</v>
      </c>
      <c r="G1785" s="152">
        <v>0</v>
      </c>
      <c r="H1785" s="152"/>
      <c r="I1785" s="153">
        <v>10.33965191780822</v>
      </c>
      <c r="J1785" s="145"/>
      <c r="K1785" s="153" t="s">
        <v>86</v>
      </c>
      <c r="L1785" s="153" t="s">
        <v>86</v>
      </c>
      <c r="M1785" s="153"/>
      <c r="N1785" s="2" t="s">
        <v>57</v>
      </c>
      <c r="O1785" s="2"/>
      <c r="P1785" s="2"/>
    </row>
    <row r="1786" spans="1:16" ht="16.5" customHeight="1" x14ac:dyDescent="0.25">
      <c r="A1786" s="2" t="s">
        <v>3240</v>
      </c>
      <c r="B1786" s="8" t="s">
        <v>3240</v>
      </c>
      <c r="C1786" s="152" t="s">
        <v>102</v>
      </c>
      <c r="D1786" s="2" t="s">
        <v>908</v>
      </c>
      <c r="E1786" s="152" t="s">
        <v>102</v>
      </c>
      <c r="F1786" s="152" t="s">
        <v>103</v>
      </c>
      <c r="G1786" s="152">
        <v>0</v>
      </c>
      <c r="H1786" s="152"/>
      <c r="I1786" s="153">
        <v>41.39842465753425</v>
      </c>
      <c r="J1786" s="145"/>
      <c r="K1786" s="153" t="s">
        <v>86</v>
      </c>
      <c r="L1786" s="153" t="s">
        <v>86</v>
      </c>
      <c r="M1786" s="153"/>
      <c r="N1786" s="2" t="s">
        <v>57</v>
      </c>
      <c r="O1786" s="2"/>
      <c r="P1786" s="2"/>
    </row>
    <row r="1787" spans="1:16" ht="16.5" customHeight="1" x14ac:dyDescent="0.25">
      <c r="A1787" s="2" t="s">
        <v>3241</v>
      </c>
      <c r="B1787" s="8" t="s">
        <v>3241</v>
      </c>
      <c r="C1787" s="152" t="s">
        <v>102</v>
      </c>
      <c r="D1787" s="2" t="s">
        <v>908</v>
      </c>
      <c r="E1787" s="152" t="s">
        <v>102</v>
      </c>
      <c r="F1787" s="152" t="s">
        <v>103</v>
      </c>
      <c r="G1787" s="152">
        <v>0</v>
      </c>
      <c r="H1787" s="152"/>
      <c r="I1787" s="153">
        <v>62.046931506849312</v>
      </c>
      <c r="J1787" s="145"/>
      <c r="K1787" s="153" t="s">
        <v>86</v>
      </c>
      <c r="L1787" s="153" t="s">
        <v>86</v>
      </c>
      <c r="M1787" s="153"/>
      <c r="N1787" s="2" t="s">
        <v>57</v>
      </c>
      <c r="O1787" s="2"/>
      <c r="P1787" s="2"/>
    </row>
    <row r="1788" spans="1:16" ht="16.5" customHeight="1" x14ac:dyDescent="0.25">
      <c r="A1788" s="2" t="s">
        <v>3242</v>
      </c>
      <c r="B1788" s="8" t="s">
        <v>3242</v>
      </c>
      <c r="C1788" s="152" t="s">
        <v>102</v>
      </c>
      <c r="D1788" s="2" t="s">
        <v>908</v>
      </c>
      <c r="E1788" s="152" t="s">
        <v>102</v>
      </c>
      <c r="F1788" s="152" t="s">
        <v>103</v>
      </c>
      <c r="G1788" s="152">
        <v>0</v>
      </c>
      <c r="H1788" s="152"/>
      <c r="I1788" s="153">
        <v>23.498184931506849</v>
      </c>
      <c r="J1788" s="145"/>
      <c r="K1788" s="153" t="s">
        <v>86</v>
      </c>
      <c r="L1788" s="153" t="s">
        <v>86</v>
      </c>
      <c r="M1788" s="153"/>
      <c r="N1788" s="2" t="s">
        <v>57</v>
      </c>
      <c r="O1788" s="2"/>
      <c r="P1788" s="2"/>
    </row>
    <row r="1789" spans="1:16" ht="16.5" customHeight="1" x14ac:dyDescent="0.25">
      <c r="A1789" s="2" t="s">
        <v>3243</v>
      </c>
      <c r="B1789" s="8" t="s">
        <v>3243</v>
      </c>
      <c r="C1789" s="152" t="s">
        <v>102</v>
      </c>
      <c r="D1789" s="2" t="s">
        <v>908</v>
      </c>
      <c r="E1789" s="152" t="s">
        <v>102</v>
      </c>
      <c r="F1789" s="152" t="s">
        <v>103</v>
      </c>
      <c r="G1789" s="152">
        <v>0</v>
      </c>
      <c r="H1789" s="152"/>
      <c r="I1789" s="153">
        <v>12.942178082191781</v>
      </c>
      <c r="J1789" s="145"/>
      <c r="K1789" s="153" t="s">
        <v>86</v>
      </c>
      <c r="L1789" s="153" t="s">
        <v>86</v>
      </c>
      <c r="M1789" s="153"/>
      <c r="N1789" s="2" t="s">
        <v>57</v>
      </c>
      <c r="O1789" s="2"/>
      <c r="P1789" s="2"/>
    </row>
    <row r="1790" spans="1:16" ht="16.5" customHeight="1" x14ac:dyDescent="0.25">
      <c r="A1790" s="2" t="s">
        <v>3244</v>
      </c>
      <c r="B1790" s="8" t="s">
        <v>3244</v>
      </c>
      <c r="C1790" s="152" t="s">
        <v>102</v>
      </c>
      <c r="D1790" s="2" t="s">
        <v>908</v>
      </c>
      <c r="E1790" s="152" t="s">
        <v>102</v>
      </c>
      <c r="F1790" s="152" t="s">
        <v>103</v>
      </c>
      <c r="G1790" s="152">
        <v>0</v>
      </c>
      <c r="H1790" s="152"/>
      <c r="I1790" s="153">
        <v>31.879198717948722</v>
      </c>
      <c r="J1790" s="145"/>
      <c r="K1790" s="153" t="s">
        <v>86</v>
      </c>
      <c r="L1790" s="153" t="s">
        <v>86</v>
      </c>
      <c r="M1790" s="153"/>
      <c r="N1790" s="2" t="s">
        <v>57</v>
      </c>
      <c r="O1790" s="2"/>
      <c r="P1790" s="2"/>
    </row>
    <row r="1791" spans="1:16" ht="16.5" customHeight="1" x14ac:dyDescent="0.25">
      <c r="A1791" s="2" t="s">
        <v>3245</v>
      </c>
      <c r="B1791" s="8" t="s">
        <v>3245</v>
      </c>
      <c r="C1791" s="152" t="s">
        <v>102</v>
      </c>
      <c r="D1791" s="2" t="s">
        <v>908</v>
      </c>
      <c r="E1791" s="152" t="s">
        <v>102</v>
      </c>
      <c r="F1791" s="152" t="s">
        <v>103</v>
      </c>
      <c r="G1791" s="152">
        <v>0</v>
      </c>
      <c r="H1791" s="152"/>
      <c r="I1791" s="153">
        <v>8.5775320512820521</v>
      </c>
      <c r="J1791" s="145"/>
      <c r="K1791" s="153" t="s">
        <v>86</v>
      </c>
      <c r="L1791" s="153" t="s">
        <v>86</v>
      </c>
      <c r="M1791" s="153"/>
      <c r="N1791" s="2" t="s">
        <v>57</v>
      </c>
      <c r="O1791" s="2"/>
      <c r="P1791" s="2"/>
    </row>
    <row r="1792" spans="1:16" ht="16.5" customHeight="1" x14ac:dyDescent="0.25">
      <c r="A1792" s="2" t="s">
        <v>3246</v>
      </c>
      <c r="B1792" s="8" t="s">
        <v>3246</v>
      </c>
      <c r="C1792" s="152" t="s">
        <v>102</v>
      </c>
      <c r="D1792" s="2" t="s">
        <v>908</v>
      </c>
      <c r="E1792" s="152" t="s">
        <v>102</v>
      </c>
      <c r="F1792" s="152" t="s">
        <v>103</v>
      </c>
      <c r="G1792" s="152">
        <v>0</v>
      </c>
      <c r="H1792" s="152"/>
      <c r="I1792" s="153">
        <v>16.087499999999999</v>
      </c>
      <c r="J1792" s="145"/>
      <c r="K1792" s="153" t="s">
        <v>86</v>
      </c>
      <c r="L1792" s="153" t="s">
        <v>86</v>
      </c>
      <c r="M1792" s="153"/>
      <c r="N1792" s="2" t="s">
        <v>57</v>
      </c>
      <c r="O1792" s="2"/>
      <c r="P1792" s="2"/>
    </row>
    <row r="1793" spans="1:16" ht="16.5" customHeight="1" x14ac:dyDescent="0.25">
      <c r="A1793" s="2" t="s">
        <v>3247</v>
      </c>
      <c r="B1793" s="8" t="s">
        <v>3247</v>
      </c>
      <c r="C1793" s="152" t="s">
        <v>102</v>
      </c>
      <c r="D1793" s="2" t="s">
        <v>908</v>
      </c>
      <c r="E1793" s="152" t="s">
        <v>102</v>
      </c>
      <c r="F1793" s="152" t="s">
        <v>103</v>
      </c>
      <c r="G1793" s="152">
        <v>0</v>
      </c>
      <c r="H1793" s="152"/>
      <c r="I1793" s="153">
        <v>7.1835273972602751</v>
      </c>
      <c r="J1793" s="145"/>
      <c r="K1793" s="153" t="s">
        <v>86</v>
      </c>
      <c r="L1793" s="153" t="s">
        <v>86</v>
      </c>
      <c r="M1793" s="153"/>
      <c r="N1793" s="2" t="s">
        <v>57</v>
      </c>
      <c r="O1793" s="2"/>
      <c r="P1793" s="2"/>
    </row>
    <row r="1794" spans="1:16" ht="16.5" customHeight="1" x14ac:dyDescent="0.25">
      <c r="A1794" s="2" t="s">
        <v>3248</v>
      </c>
      <c r="B1794" s="8" t="s">
        <v>3248</v>
      </c>
      <c r="C1794" s="152" t="s">
        <v>102</v>
      </c>
      <c r="D1794" s="2" t="s">
        <v>908</v>
      </c>
      <c r="E1794" s="152" t="s">
        <v>102</v>
      </c>
      <c r="F1794" s="152" t="s">
        <v>103</v>
      </c>
      <c r="G1794" s="152">
        <v>0</v>
      </c>
      <c r="H1794" s="152"/>
      <c r="I1794" s="153">
        <v>0.81975616438356169</v>
      </c>
      <c r="J1794" s="145"/>
      <c r="K1794" s="153" t="s">
        <v>86</v>
      </c>
      <c r="L1794" s="153" t="s">
        <v>86</v>
      </c>
      <c r="M1794" s="153"/>
      <c r="N1794" s="2" t="s">
        <v>57</v>
      </c>
      <c r="O1794" s="2"/>
      <c r="P1794" s="2"/>
    </row>
    <row r="1795" spans="1:16" ht="16.5" customHeight="1" x14ac:dyDescent="0.25">
      <c r="A1795" s="2" t="s">
        <v>3249</v>
      </c>
      <c r="B1795" s="8" t="s">
        <v>3249</v>
      </c>
      <c r="C1795" s="152" t="s">
        <v>102</v>
      </c>
      <c r="D1795" s="2" t="s">
        <v>908</v>
      </c>
      <c r="E1795" s="152" t="s">
        <v>102</v>
      </c>
      <c r="F1795" s="152" t="s">
        <v>103</v>
      </c>
      <c r="G1795" s="152">
        <v>0</v>
      </c>
      <c r="H1795" s="152"/>
      <c r="I1795" s="153">
        <v>3.2923527397260282</v>
      </c>
      <c r="J1795" s="145"/>
      <c r="K1795" s="153" t="s">
        <v>86</v>
      </c>
      <c r="L1795" s="153" t="s">
        <v>86</v>
      </c>
      <c r="M1795" s="153"/>
      <c r="N1795" s="2" t="s">
        <v>57</v>
      </c>
      <c r="O1795" s="2"/>
      <c r="P1795" s="2"/>
    </row>
    <row r="1796" spans="1:16" ht="16.5" customHeight="1" x14ac:dyDescent="0.25">
      <c r="A1796" s="2" t="s">
        <v>3250</v>
      </c>
      <c r="B1796" s="8" t="s">
        <v>3250</v>
      </c>
      <c r="C1796" s="152" t="s">
        <v>102</v>
      </c>
      <c r="D1796" s="2" t="s">
        <v>908</v>
      </c>
      <c r="E1796" s="152" t="s">
        <v>102</v>
      </c>
      <c r="F1796" s="152" t="s">
        <v>103</v>
      </c>
      <c r="G1796" s="152">
        <v>0</v>
      </c>
      <c r="H1796" s="152"/>
      <c r="I1796" s="153">
        <v>5.346000000000001</v>
      </c>
      <c r="J1796" s="145"/>
      <c r="K1796" s="153" t="s">
        <v>86</v>
      </c>
      <c r="L1796" s="153" t="s">
        <v>86</v>
      </c>
      <c r="M1796" s="153"/>
      <c r="N1796" s="2" t="s">
        <v>57</v>
      </c>
      <c r="O1796" s="2"/>
      <c r="P1796" s="2"/>
    </row>
    <row r="1797" spans="1:16" ht="16.5" customHeight="1" x14ac:dyDescent="0.25">
      <c r="A1797" s="2" t="s">
        <v>3251</v>
      </c>
      <c r="B1797" s="8" t="s">
        <v>3251</v>
      </c>
      <c r="C1797" s="152" t="s">
        <v>102</v>
      </c>
      <c r="D1797" s="2" t="s">
        <v>908</v>
      </c>
      <c r="E1797" s="152" t="s">
        <v>102</v>
      </c>
      <c r="F1797" s="152" t="s">
        <v>103</v>
      </c>
      <c r="G1797" s="152">
        <v>0</v>
      </c>
      <c r="H1797" s="152"/>
      <c r="I1797" s="153">
        <v>9.9329999999999998</v>
      </c>
      <c r="J1797" s="145"/>
      <c r="K1797" s="153" t="s">
        <v>86</v>
      </c>
      <c r="L1797" s="153" t="s">
        <v>86</v>
      </c>
      <c r="M1797" s="153"/>
      <c r="N1797" s="2" t="s">
        <v>57</v>
      </c>
      <c r="O1797" s="2"/>
      <c r="P1797" s="2"/>
    </row>
    <row r="1798" spans="1:16" ht="16.5" customHeight="1" x14ac:dyDescent="0.25">
      <c r="A1798" s="2" t="s">
        <v>3252</v>
      </c>
      <c r="B1798" s="8" t="s">
        <v>3252</v>
      </c>
      <c r="C1798" s="152" t="s">
        <v>102</v>
      </c>
      <c r="D1798" s="2" t="s">
        <v>908</v>
      </c>
      <c r="E1798" s="152" t="s">
        <v>102</v>
      </c>
      <c r="F1798" s="152" t="s">
        <v>103</v>
      </c>
      <c r="G1798" s="152">
        <v>0</v>
      </c>
      <c r="H1798" s="152"/>
      <c r="I1798" s="153">
        <v>1.2123054794520549</v>
      </c>
      <c r="J1798" s="145"/>
      <c r="K1798" s="153" t="s">
        <v>86</v>
      </c>
      <c r="L1798" s="153" t="s">
        <v>86</v>
      </c>
      <c r="M1798" s="153"/>
      <c r="N1798" s="2" t="s">
        <v>57</v>
      </c>
      <c r="O1798" s="2"/>
      <c r="P1798" s="2"/>
    </row>
    <row r="1799" spans="1:16" ht="16.5" customHeight="1" x14ac:dyDescent="0.25">
      <c r="A1799" s="2" t="s">
        <v>3253</v>
      </c>
      <c r="B1799" s="8" t="s">
        <v>3253</v>
      </c>
      <c r="C1799" s="152" t="s">
        <v>102</v>
      </c>
      <c r="D1799" s="2" t="s">
        <v>908</v>
      </c>
      <c r="E1799" s="152" t="s">
        <v>102</v>
      </c>
      <c r="F1799" s="152" t="s">
        <v>103</v>
      </c>
      <c r="G1799" s="152">
        <v>0</v>
      </c>
      <c r="H1799" s="152"/>
      <c r="I1799" s="153">
        <v>5.2422790410958902</v>
      </c>
      <c r="J1799" s="145"/>
      <c r="K1799" s="153" t="s">
        <v>86</v>
      </c>
      <c r="L1799" s="153" t="s">
        <v>86</v>
      </c>
      <c r="M1799" s="153"/>
      <c r="N1799" s="2" t="s">
        <v>57</v>
      </c>
      <c r="O1799" s="2"/>
      <c r="P1799" s="2"/>
    </row>
    <row r="1800" spans="1:16" ht="16.5" customHeight="1" x14ac:dyDescent="0.25">
      <c r="A1800" s="2" t="s">
        <v>3254</v>
      </c>
      <c r="B1800" s="8" t="s">
        <v>3254</v>
      </c>
      <c r="C1800" s="152" t="s">
        <v>102</v>
      </c>
      <c r="D1800" s="2" t="s">
        <v>908</v>
      </c>
      <c r="E1800" s="152" t="s">
        <v>102</v>
      </c>
      <c r="F1800" s="152" t="s">
        <v>103</v>
      </c>
      <c r="G1800" s="152">
        <v>0</v>
      </c>
      <c r="H1800" s="152"/>
      <c r="I1800" s="153">
        <v>8.7027253424657545</v>
      </c>
      <c r="J1800" s="145"/>
      <c r="K1800" s="153" t="s">
        <v>86</v>
      </c>
      <c r="L1800" s="153" t="s">
        <v>86</v>
      </c>
      <c r="M1800" s="153"/>
      <c r="N1800" s="2" t="s">
        <v>57</v>
      </c>
      <c r="O1800" s="2"/>
      <c r="P1800" s="2"/>
    </row>
    <row r="1801" spans="1:16" ht="16.5" customHeight="1" x14ac:dyDescent="0.25">
      <c r="A1801" s="2" t="s">
        <v>3255</v>
      </c>
      <c r="B1801" s="8" t="s">
        <v>3255</v>
      </c>
      <c r="C1801" s="152" t="s">
        <v>102</v>
      </c>
      <c r="D1801" s="2" t="s">
        <v>908</v>
      </c>
      <c r="E1801" s="152" t="s">
        <v>102</v>
      </c>
      <c r="F1801" s="152" t="s">
        <v>103</v>
      </c>
      <c r="G1801" s="152">
        <v>0</v>
      </c>
      <c r="H1801" s="152"/>
      <c r="I1801" s="153">
        <v>1.4901262820512819</v>
      </c>
      <c r="J1801" s="145"/>
      <c r="K1801" s="153" t="s">
        <v>86</v>
      </c>
      <c r="L1801" s="153" t="s">
        <v>86</v>
      </c>
      <c r="M1801" s="153"/>
      <c r="N1801" s="2" t="s">
        <v>57</v>
      </c>
      <c r="O1801" s="2"/>
      <c r="P1801" s="2"/>
    </row>
    <row r="1802" spans="1:16" ht="16.5" customHeight="1" x14ac:dyDescent="0.25">
      <c r="A1802" s="2" t="s">
        <v>3256</v>
      </c>
      <c r="B1802" s="8" t="s">
        <v>3256</v>
      </c>
      <c r="C1802" s="152" t="s">
        <v>102</v>
      </c>
      <c r="D1802" s="2" t="s">
        <v>908</v>
      </c>
      <c r="E1802" s="152" t="s">
        <v>102</v>
      </c>
      <c r="F1802" s="152" t="s">
        <v>103</v>
      </c>
      <c r="G1802" s="152">
        <v>0</v>
      </c>
      <c r="H1802" s="152"/>
      <c r="I1802" s="153">
        <v>3.2709508333333339</v>
      </c>
      <c r="J1802" s="145"/>
      <c r="K1802" s="153" t="s">
        <v>86</v>
      </c>
      <c r="L1802" s="153" t="s">
        <v>86</v>
      </c>
      <c r="M1802" s="153"/>
      <c r="N1802" s="2" t="s">
        <v>57</v>
      </c>
      <c r="O1802" s="2"/>
      <c r="P1802" s="2"/>
    </row>
    <row r="1803" spans="1:16" ht="16.5" customHeight="1" x14ac:dyDescent="0.25">
      <c r="A1803" s="2" t="s">
        <v>3257</v>
      </c>
      <c r="B1803" s="8" t="s">
        <v>3257</v>
      </c>
      <c r="C1803" s="152" t="s">
        <v>102</v>
      </c>
      <c r="D1803" s="2" t="s">
        <v>908</v>
      </c>
      <c r="E1803" s="152" t="s">
        <v>102</v>
      </c>
      <c r="F1803" s="152" t="s">
        <v>103</v>
      </c>
      <c r="G1803" s="152">
        <v>0</v>
      </c>
      <c r="H1803" s="152"/>
      <c r="I1803" s="153">
        <v>8.6073719178082193</v>
      </c>
      <c r="J1803" s="145"/>
      <c r="K1803" s="153" t="s">
        <v>86</v>
      </c>
      <c r="L1803" s="153" t="s">
        <v>86</v>
      </c>
      <c r="M1803" s="153"/>
      <c r="N1803" s="2" t="s">
        <v>57</v>
      </c>
      <c r="O1803" s="2"/>
      <c r="P1803" s="2"/>
    </row>
    <row r="1804" spans="1:16" ht="16.5" customHeight="1" x14ac:dyDescent="0.25">
      <c r="A1804" s="2" t="s">
        <v>3258</v>
      </c>
      <c r="B1804" s="8" t="s">
        <v>3258</v>
      </c>
      <c r="C1804" s="152" t="s">
        <v>102</v>
      </c>
      <c r="D1804" s="2" t="s">
        <v>908</v>
      </c>
      <c r="E1804" s="152" t="s">
        <v>102</v>
      </c>
      <c r="F1804" s="152" t="s">
        <v>103</v>
      </c>
      <c r="G1804" s="152">
        <v>0</v>
      </c>
      <c r="H1804" s="152"/>
      <c r="I1804" s="153">
        <v>22.175612179487182</v>
      </c>
      <c r="J1804" s="145"/>
      <c r="K1804" s="153" t="s">
        <v>86</v>
      </c>
      <c r="L1804" s="153" t="s">
        <v>86</v>
      </c>
      <c r="M1804" s="153"/>
      <c r="N1804" s="2" t="s">
        <v>57</v>
      </c>
      <c r="O1804" s="2"/>
      <c r="P1804" s="2"/>
    </row>
    <row r="1805" spans="1:16" ht="16.5" customHeight="1" x14ac:dyDescent="0.25">
      <c r="A1805" s="2" t="s">
        <v>3259</v>
      </c>
      <c r="B1805" s="8" t="s">
        <v>3259</v>
      </c>
      <c r="C1805" s="152" t="s">
        <v>102</v>
      </c>
      <c r="D1805" s="2" t="s">
        <v>908</v>
      </c>
      <c r="E1805" s="152" t="s">
        <v>102</v>
      </c>
      <c r="F1805" s="152" t="s">
        <v>103</v>
      </c>
      <c r="G1805" s="152">
        <v>0</v>
      </c>
      <c r="H1805" s="152"/>
      <c r="I1805" s="153">
        <v>2.3213013698630141</v>
      </c>
      <c r="J1805" s="145"/>
      <c r="K1805" s="153" t="s">
        <v>86</v>
      </c>
      <c r="L1805" s="153" t="s">
        <v>86</v>
      </c>
      <c r="M1805" s="153"/>
      <c r="N1805" s="2" t="s">
        <v>57</v>
      </c>
      <c r="O1805" s="2"/>
      <c r="P1805" s="2"/>
    </row>
    <row r="1806" spans="1:16" ht="16.5" customHeight="1" x14ac:dyDescent="0.25">
      <c r="A1806" s="2" t="s">
        <v>3260</v>
      </c>
      <c r="B1806" s="8" t="s">
        <v>3260</v>
      </c>
      <c r="C1806" s="152" t="s">
        <v>102</v>
      </c>
      <c r="D1806" s="2" t="s">
        <v>908</v>
      </c>
      <c r="E1806" s="152" t="s">
        <v>102</v>
      </c>
      <c r="F1806" s="152" t="s">
        <v>103</v>
      </c>
      <c r="G1806" s="152">
        <v>0</v>
      </c>
      <c r="H1806" s="152"/>
      <c r="I1806" s="153">
        <v>9.8068797260273985</v>
      </c>
      <c r="J1806" s="145"/>
      <c r="K1806" s="153" t="s">
        <v>86</v>
      </c>
      <c r="L1806" s="153" t="s">
        <v>86</v>
      </c>
      <c r="M1806" s="153"/>
      <c r="N1806" s="2" t="s">
        <v>57</v>
      </c>
      <c r="O1806" s="2"/>
      <c r="P1806" s="2"/>
    </row>
    <row r="1807" spans="1:16" ht="16.5" customHeight="1" x14ac:dyDescent="0.25">
      <c r="A1807" s="2" t="s">
        <v>3261</v>
      </c>
      <c r="B1807" s="8" t="s">
        <v>3261</v>
      </c>
      <c r="C1807" s="152" t="s">
        <v>102</v>
      </c>
      <c r="D1807" s="2" t="s">
        <v>908</v>
      </c>
      <c r="E1807" s="152" t="s">
        <v>102</v>
      </c>
      <c r="F1807" s="152" t="s">
        <v>103</v>
      </c>
      <c r="G1807" s="152">
        <v>0</v>
      </c>
      <c r="H1807" s="152"/>
      <c r="I1807" s="153">
        <v>15.762571705128209</v>
      </c>
      <c r="J1807" s="145"/>
      <c r="K1807" s="153" t="s">
        <v>86</v>
      </c>
      <c r="L1807" s="153" t="s">
        <v>86</v>
      </c>
      <c r="M1807" s="153"/>
      <c r="N1807" s="2" t="s">
        <v>57</v>
      </c>
      <c r="O1807" s="2"/>
      <c r="P1807" s="2"/>
    </row>
    <row r="1808" spans="1:16" ht="16.5" customHeight="1" x14ac:dyDescent="0.25">
      <c r="A1808" s="2" t="s">
        <v>3262</v>
      </c>
      <c r="B1808" s="8" t="s">
        <v>3262</v>
      </c>
      <c r="C1808" s="152" t="s">
        <v>102</v>
      </c>
      <c r="D1808" s="2" t="s">
        <v>908</v>
      </c>
      <c r="E1808" s="152" t="s">
        <v>102</v>
      </c>
      <c r="F1808" s="152" t="s">
        <v>103</v>
      </c>
      <c r="G1808" s="152">
        <v>0</v>
      </c>
      <c r="H1808" s="152"/>
      <c r="I1808" s="153">
        <v>2.5152328767123291</v>
      </c>
      <c r="J1808" s="145"/>
      <c r="K1808" s="153" t="s">
        <v>86</v>
      </c>
      <c r="L1808" s="153" t="s">
        <v>86</v>
      </c>
      <c r="M1808" s="153"/>
      <c r="N1808" s="2" t="s">
        <v>57</v>
      </c>
      <c r="O1808" s="2"/>
      <c r="P1808" s="2"/>
    </row>
    <row r="1809" spans="1:16" ht="16.5" customHeight="1" x14ac:dyDescent="0.25">
      <c r="A1809" s="2" t="s">
        <v>3263</v>
      </c>
      <c r="B1809" s="8" t="s">
        <v>3263</v>
      </c>
      <c r="C1809" s="152" t="s">
        <v>102</v>
      </c>
      <c r="D1809" s="2" t="s">
        <v>908</v>
      </c>
      <c r="E1809" s="152" t="s">
        <v>102</v>
      </c>
      <c r="F1809" s="152" t="s">
        <v>103</v>
      </c>
      <c r="G1809" s="152">
        <v>0</v>
      </c>
      <c r="H1809" s="152"/>
      <c r="I1809" s="153">
        <v>35.245705753424659</v>
      </c>
      <c r="J1809" s="145"/>
      <c r="K1809" s="153" t="s">
        <v>86</v>
      </c>
      <c r="L1809" s="153" t="s">
        <v>86</v>
      </c>
      <c r="M1809" s="153"/>
      <c r="N1809" s="2" t="s">
        <v>57</v>
      </c>
      <c r="O1809" s="2"/>
      <c r="P1809" s="2"/>
    </row>
    <row r="1810" spans="1:16" ht="16.5" customHeight="1" x14ac:dyDescent="0.25">
      <c r="A1810" s="2" t="s">
        <v>3264</v>
      </c>
      <c r="B1810" s="8" t="s">
        <v>3264</v>
      </c>
      <c r="C1810" s="152" t="s">
        <v>102</v>
      </c>
      <c r="D1810" s="2" t="s">
        <v>908</v>
      </c>
      <c r="E1810" s="152" t="s">
        <v>102</v>
      </c>
      <c r="F1810" s="152" t="s">
        <v>103</v>
      </c>
      <c r="G1810" s="152">
        <v>0</v>
      </c>
      <c r="H1810" s="152"/>
      <c r="I1810" s="153">
        <v>70.780253424657531</v>
      </c>
      <c r="J1810" s="145"/>
      <c r="K1810" s="153" t="s">
        <v>86</v>
      </c>
      <c r="L1810" s="153" t="s">
        <v>86</v>
      </c>
      <c r="M1810" s="153"/>
      <c r="N1810" s="2" t="s">
        <v>57</v>
      </c>
      <c r="O1810" s="2"/>
      <c r="P1810" s="2"/>
    </row>
    <row r="1811" spans="1:16" ht="16.5" customHeight="1" x14ac:dyDescent="0.25">
      <c r="A1811" s="2" t="s">
        <v>3265</v>
      </c>
      <c r="B1811" s="8" t="s">
        <v>3265</v>
      </c>
      <c r="C1811" s="152" t="s">
        <v>102</v>
      </c>
      <c r="D1811" s="2" t="s">
        <v>908</v>
      </c>
      <c r="E1811" s="152" t="s">
        <v>102</v>
      </c>
      <c r="F1811" s="152" t="s">
        <v>103</v>
      </c>
      <c r="G1811" s="152">
        <v>0</v>
      </c>
      <c r="H1811" s="152"/>
      <c r="I1811" s="153">
        <v>6.9989278082191788</v>
      </c>
      <c r="J1811" s="145"/>
      <c r="K1811" s="153" t="s">
        <v>86</v>
      </c>
      <c r="L1811" s="153" t="s">
        <v>86</v>
      </c>
      <c r="M1811" s="153"/>
      <c r="N1811" s="2" t="s">
        <v>57</v>
      </c>
      <c r="O1811" s="2"/>
      <c r="P1811" s="2"/>
    </row>
    <row r="1812" spans="1:16" ht="16.5" customHeight="1" x14ac:dyDescent="0.25">
      <c r="A1812" s="2" t="s">
        <v>3266</v>
      </c>
      <c r="B1812" s="8" t="s">
        <v>3266</v>
      </c>
      <c r="C1812" s="152" t="s">
        <v>102</v>
      </c>
      <c r="D1812" s="2" t="s">
        <v>908</v>
      </c>
      <c r="E1812" s="152" t="s">
        <v>102</v>
      </c>
      <c r="F1812" s="152" t="s">
        <v>103</v>
      </c>
      <c r="G1812" s="152">
        <v>0</v>
      </c>
      <c r="H1812" s="152"/>
      <c r="I1812" s="153">
        <v>2.7518609589041101</v>
      </c>
      <c r="J1812" s="145"/>
      <c r="K1812" s="153" t="s">
        <v>86</v>
      </c>
      <c r="L1812" s="153" t="s">
        <v>86</v>
      </c>
      <c r="M1812" s="153"/>
      <c r="N1812" s="2" t="s">
        <v>57</v>
      </c>
      <c r="O1812" s="2"/>
      <c r="P1812" s="2"/>
    </row>
    <row r="1813" spans="1:16" ht="16.5" customHeight="1" x14ac:dyDescent="0.25">
      <c r="A1813" s="2" t="s">
        <v>3267</v>
      </c>
      <c r="B1813" s="8" t="s">
        <v>3267</v>
      </c>
      <c r="C1813" s="152" t="s">
        <v>102</v>
      </c>
      <c r="D1813" s="2" t="s">
        <v>908</v>
      </c>
      <c r="E1813" s="152" t="s">
        <v>102</v>
      </c>
      <c r="F1813" s="152" t="s">
        <v>103</v>
      </c>
      <c r="G1813" s="152">
        <v>0</v>
      </c>
      <c r="H1813" s="152"/>
      <c r="I1813" s="153">
        <v>5.787873525641027</v>
      </c>
      <c r="J1813" s="145"/>
      <c r="K1813" s="153" t="s">
        <v>86</v>
      </c>
      <c r="L1813" s="153" t="s">
        <v>86</v>
      </c>
      <c r="M1813" s="153"/>
      <c r="N1813" s="2" t="s">
        <v>57</v>
      </c>
      <c r="O1813" s="2"/>
      <c r="P1813" s="2"/>
    </row>
    <row r="1814" spans="1:16" ht="16.5" customHeight="1" x14ac:dyDescent="0.25">
      <c r="A1814" s="2" t="s">
        <v>3268</v>
      </c>
      <c r="B1814" s="8" t="s">
        <v>3268</v>
      </c>
      <c r="C1814" s="152" t="s">
        <v>102</v>
      </c>
      <c r="D1814" s="2" t="s">
        <v>908</v>
      </c>
      <c r="E1814" s="152" t="s">
        <v>102</v>
      </c>
      <c r="F1814" s="152" t="s">
        <v>103</v>
      </c>
      <c r="G1814" s="152">
        <v>0</v>
      </c>
      <c r="H1814" s="152"/>
      <c r="I1814" s="153">
        <v>12.17650641025641</v>
      </c>
      <c r="J1814" s="145"/>
      <c r="K1814" s="153" t="s">
        <v>86</v>
      </c>
      <c r="L1814" s="153" t="s">
        <v>86</v>
      </c>
      <c r="M1814" s="153"/>
      <c r="N1814" s="2" t="s">
        <v>57</v>
      </c>
      <c r="O1814" s="2"/>
      <c r="P1814" s="2"/>
    </row>
    <row r="1815" spans="1:16" ht="16.5" customHeight="1" x14ac:dyDescent="0.25">
      <c r="A1815" s="2" t="s">
        <v>3269</v>
      </c>
      <c r="B1815" s="8" t="s">
        <v>3269</v>
      </c>
      <c r="C1815" s="152" t="s">
        <v>102</v>
      </c>
      <c r="D1815" s="2" t="s">
        <v>908</v>
      </c>
      <c r="E1815" s="152" t="s">
        <v>102</v>
      </c>
      <c r="F1815" s="152" t="s">
        <v>103</v>
      </c>
      <c r="G1815" s="152">
        <v>0</v>
      </c>
      <c r="H1815" s="152"/>
      <c r="I1815" s="153">
        <v>14.077884615384621</v>
      </c>
      <c r="J1815" s="145"/>
      <c r="K1815" s="153" t="s">
        <v>86</v>
      </c>
      <c r="L1815" s="153" t="s">
        <v>86</v>
      </c>
      <c r="M1815" s="153"/>
      <c r="N1815" s="2" t="s">
        <v>57</v>
      </c>
      <c r="O1815" s="2"/>
      <c r="P1815" s="2"/>
    </row>
    <row r="1816" spans="1:16" ht="16.5" customHeight="1" x14ac:dyDescent="0.25">
      <c r="A1816" s="2" t="s">
        <v>3270</v>
      </c>
      <c r="B1816" s="8" t="s">
        <v>3270</v>
      </c>
      <c r="C1816" s="152" t="s">
        <v>102</v>
      </c>
      <c r="D1816" s="2" t="s">
        <v>908</v>
      </c>
      <c r="E1816" s="152" t="s">
        <v>102</v>
      </c>
      <c r="F1816" s="152" t="s">
        <v>103</v>
      </c>
      <c r="G1816" s="152">
        <v>0</v>
      </c>
      <c r="H1816" s="152"/>
      <c r="I1816" s="153">
        <v>4.6729216346153848</v>
      </c>
      <c r="J1816" s="145"/>
      <c r="K1816" s="153" t="s">
        <v>86</v>
      </c>
      <c r="L1816" s="153" t="s">
        <v>86</v>
      </c>
      <c r="M1816" s="153"/>
      <c r="N1816" s="2" t="s">
        <v>57</v>
      </c>
      <c r="O1816" s="2"/>
      <c r="P1816" s="2"/>
    </row>
    <row r="1817" spans="1:16" ht="16.5" customHeight="1" x14ac:dyDescent="0.25">
      <c r="A1817" s="2" t="s">
        <v>3271</v>
      </c>
      <c r="B1817" s="8" t="s">
        <v>3271</v>
      </c>
      <c r="C1817" s="152" t="s">
        <v>102</v>
      </c>
      <c r="D1817" s="2" t="s">
        <v>908</v>
      </c>
      <c r="E1817" s="152" t="s">
        <v>102</v>
      </c>
      <c r="F1817" s="152" t="s">
        <v>103</v>
      </c>
      <c r="G1817" s="152">
        <v>0</v>
      </c>
      <c r="H1817" s="152"/>
      <c r="I1817" s="153">
        <v>35.783493589743593</v>
      </c>
      <c r="J1817" s="145"/>
      <c r="K1817" s="153" t="s">
        <v>86</v>
      </c>
      <c r="L1817" s="153" t="s">
        <v>86</v>
      </c>
      <c r="M1817" s="153"/>
      <c r="N1817" s="2" t="s">
        <v>57</v>
      </c>
      <c r="O1817" s="2"/>
      <c r="P1817" s="2"/>
    </row>
    <row r="1818" spans="1:16" ht="16.5" customHeight="1" x14ac:dyDescent="0.25">
      <c r="A1818" s="2" t="s">
        <v>3272</v>
      </c>
      <c r="B1818" s="8" t="s">
        <v>3272</v>
      </c>
      <c r="C1818" s="152" t="s">
        <v>102</v>
      </c>
      <c r="D1818" s="2" t="s">
        <v>908</v>
      </c>
      <c r="E1818" s="152" t="s">
        <v>102</v>
      </c>
      <c r="F1818" s="152" t="s">
        <v>103</v>
      </c>
      <c r="G1818" s="152">
        <v>0</v>
      </c>
      <c r="H1818" s="152"/>
      <c r="I1818" s="153">
        <v>5.505822243589745</v>
      </c>
      <c r="J1818" s="145"/>
      <c r="K1818" s="153" t="s">
        <v>86</v>
      </c>
      <c r="L1818" s="153" t="s">
        <v>86</v>
      </c>
      <c r="M1818" s="153"/>
      <c r="N1818" s="2" t="s">
        <v>57</v>
      </c>
      <c r="O1818" s="2"/>
      <c r="P1818" s="2"/>
    </row>
    <row r="1819" spans="1:16" ht="16.5" customHeight="1" x14ac:dyDescent="0.25">
      <c r="A1819" s="2" t="s">
        <v>3273</v>
      </c>
      <c r="B1819" s="8" t="s">
        <v>3273</v>
      </c>
      <c r="C1819" s="152" t="s">
        <v>102</v>
      </c>
      <c r="D1819" s="2" t="s">
        <v>908</v>
      </c>
      <c r="E1819" s="152" t="s">
        <v>102</v>
      </c>
      <c r="F1819" s="152" t="s">
        <v>103</v>
      </c>
      <c r="G1819" s="152">
        <v>0</v>
      </c>
      <c r="H1819" s="152"/>
      <c r="I1819" s="153">
        <v>11.75182108974359</v>
      </c>
      <c r="J1819" s="145"/>
      <c r="K1819" s="153" t="s">
        <v>86</v>
      </c>
      <c r="L1819" s="153" t="s">
        <v>86</v>
      </c>
      <c r="M1819" s="153"/>
      <c r="N1819" s="2" t="s">
        <v>57</v>
      </c>
      <c r="O1819" s="2"/>
      <c r="P1819" s="2"/>
    </row>
    <row r="1820" spans="1:16" ht="16.5" customHeight="1" x14ac:dyDescent="0.25">
      <c r="A1820" s="2" t="s">
        <v>3274</v>
      </c>
      <c r="B1820" s="8" t="s">
        <v>3274</v>
      </c>
      <c r="C1820" s="152" t="s">
        <v>102</v>
      </c>
      <c r="D1820" s="2" t="s">
        <v>908</v>
      </c>
      <c r="E1820" s="152" t="s">
        <v>102</v>
      </c>
      <c r="F1820" s="152" t="s">
        <v>103</v>
      </c>
      <c r="G1820" s="152">
        <v>0</v>
      </c>
      <c r="H1820" s="152"/>
      <c r="I1820" s="153">
        <v>1.298</v>
      </c>
      <c r="J1820" s="145"/>
      <c r="K1820" s="153" t="s">
        <v>86</v>
      </c>
      <c r="L1820" s="153" t="s">
        <v>86</v>
      </c>
      <c r="M1820" s="153"/>
      <c r="N1820" s="2" t="s">
        <v>57</v>
      </c>
      <c r="O1820" s="2"/>
      <c r="P1820" s="2"/>
    </row>
    <row r="1821" spans="1:16" ht="16.5" customHeight="1" x14ac:dyDescent="0.25">
      <c r="A1821" s="2" t="s">
        <v>3275</v>
      </c>
      <c r="B1821" s="8" t="s">
        <v>3275</v>
      </c>
      <c r="C1821" s="152" t="s">
        <v>102</v>
      </c>
      <c r="D1821" s="2" t="s">
        <v>908</v>
      </c>
      <c r="E1821" s="152" t="s">
        <v>102</v>
      </c>
      <c r="F1821" s="152" t="s">
        <v>103</v>
      </c>
      <c r="G1821" s="152">
        <v>0</v>
      </c>
      <c r="H1821" s="152"/>
      <c r="I1821" s="153">
        <v>4.68004493150685</v>
      </c>
      <c r="J1821" s="145"/>
      <c r="K1821" s="153" t="s">
        <v>86</v>
      </c>
      <c r="L1821" s="153" t="s">
        <v>86</v>
      </c>
      <c r="M1821" s="153"/>
      <c r="N1821" s="2" t="s">
        <v>57</v>
      </c>
      <c r="O1821" s="2"/>
      <c r="P1821" s="2"/>
    </row>
    <row r="1822" spans="1:16" ht="16.5" customHeight="1" x14ac:dyDescent="0.25">
      <c r="A1822" s="2" t="s">
        <v>3276</v>
      </c>
      <c r="B1822" s="8" t="s">
        <v>3276</v>
      </c>
      <c r="C1822" s="152" t="s">
        <v>102</v>
      </c>
      <c r="D1822" s="2" t="s">
        <v>908</v>
      </c>
      <c r="E1822" s="152" t="s">
        <v>102</v>
      </c>
      <c r="F1822" s="152" t="s">
        <v>103</v>
      </c>
      <c r="G1822" s="152">
        <v>0</v>
      </c>
      <c r="H1822" s="152"/>
      <c r="I1822" s="153">
        <v>3.665405685897436</v>
      </c>
      <c r="J1822" s="145"/>
      <c r="K1822" s="153" t="s">
        <v>86</v>
      </c>
      <c r="L1822" s="153" t="s">
        <v>86</v>
      </c>
      <c r="M1822" s="153"/>
      <c r="N1822" s="2" t="s">
        <v>57</v>
      </c>
      <c r="O1822" s="2"/>
      <c r="P1822" s="2"/>
    </row>
    <row r="1823" spans="1:16" ht="16.5" customHeight="1" x14ac:dyDescent="0.25">
      <c r="A1823" s="2" t="s">
        <v>3277</v>
      </c>
      <c r="B1823" s="8" t="s">
        <v>3277</v>
      </c>
      <c r="C1823" s="152" t="s">
        <v>102</v>
      </c>
      <c r="D1823" s="2" t="s">
        <v>908</v>
      </c>
      <c r="E1823" s="152" t="s">
        <v>102</v>
      </c>
      <c r="F1823" s="152" t="s">
        <v>103</v>
      </c>
      <c r="G1823" s="152">
        <v>0</v>
      </c>
      <c r="H1823" s="152"/>
      <c r="I1823" s="153">
        <v>52.26695205479453</v>
      </c>
      <c r="J1823" s="145"/>
      <c r="K1823" s="153" t="s">
        <v>86</v>
      </c>
      <c r="L1823" s="153" t="s">
        <v>86</v>
      </c>
      <c r="M1823" s="153"/>
      <c r="N1823" s="2" t="s">
        <v>57</v>
      </c>
      <c r="O1823" s="2"/>
      <c r="P1823" s="2"/>
    </row>
    <row r="1824" spans="1:16" ht="16.5" customHeight="1" x14ac:dyDescent="0.25">
      <c r="A1824" s="2" t="s">
        <v>3278</v>
      </c>
      <c r="B1824" s="8" t="s">
        <v>3278</v>
      </c>
      <c r="C1824" s="152" t="s">
        <v>102</v>
      </c>
      <c r="D1824" s="2" t="s">
        <v>908</v>
      </c>
      <c r="E1824" s="152" t="s">
        <v>102</v>
      </c>
      <c r="F1824" s="152" t="s">
        <v>103</v>
      </c>
      <c r="G1824" s="152">
        <v>0</v>
      </c>
      <c r="H1824" s="152"/>
      <c r="I1824" s="153">
        <v>70.004000000000005</v>
      </c>
      <c r="J1824" s="145"/>
      <c r="K1824" s="153" t="s">
        <v>86</v>
      </c>
      <c r="L1824" s="153" t="s">
        <v>86</v>
      </c>
      <c r="M1824" s="153"/>
      <c r="N1824" s="2" t="s">
        <v>57</v>
      </c>
      <c r="O1824" s="2"/>
      <c r="P1824" s="2"/>
    </row>
    <row r="1825" spans="1:16" ht="16.5" customHeight="1" x14ac:dyDescent="0.25">
      <c r="A1825" s="2" t="s">
        <v>3279</v>
      </c>
      <c r="B1825" s="8" t="s">
        <v>3279</v>
      </c>
      <c r="C1825" s="152" t="s">
        <v>102</v>
      </c>
      <c r="D1825" s="2" t="s">
        <v>908</v>
      </c>
      <c r="E1825" s="152" t="s">
        <v>102</v>
      </c>
      <c r="F1825" s="152" t="s">
        <v>103</v>
      </c>
      <c r="G1825" s="152">
        <v>0</v>
      </c>
      <c r="H1825" s="152"/>
      <c r="I1825" s="153">
        <v>1.316108044871795</v>
      </c>
      <c r="J1825" s="145"/>
      <c r="K1825" s="153" t="s">
        <v>86</v>
      </c>
      <c r="L1825" s="153" t="s">
        <v>86</v>
      </c>
      <c r="M1825" s="153"/>
      <c r="N1825" s="2" t="s">
        <v>57</v>
      </c>
      <c r="O1825" s="2"/>
      <c r="P1825" s="2"/>
    </row>
    <row r="1826" spans="1:16" ht="16.5" customHeight="1" x14ac:dyDescent="0.25">
      <c r="A1826" s="2" t="s">
        <v>3280</v>
      </c>
      <c r="B1826" s="8" t="s">
        <v>3280</v>
      </c>
      <c r="C1826" s="152" t="s">
        <v>102</v>
      </c>
      <c r="D1826" s="2" t="s">
        <v>908</v>
      </c>
      <c r="E1826" s="152" t="s">
        <v>102</v>
      </c>
      <c r="F1826" s="152" t="s">
        <v>103</v>
      </c>
      <c r="G1826" s="152">
        <v>0</v>
      </c>
      <c r="H1826" s="152"/>
      <c r="I1826" s="153">
        <v>1.820462328767124</v>
      </c>
      <c r="J1826" s="145"/>
      <c r="K1826" s="153" t="s">
        <v>86</v>
      </c>
      <c r="L1826" s="153" t="s">
        <v>86</v>
      </c>
      <c r="M1826" s="153"/>
      <c r="N1826" s="2" t="s">
        <v>57</v>
      </c>
      <c r="O1826" s="2"/>
      <c r="P1826" s="2"/>
    </row>
    <row r="1827" spans="1:16" ht="16.5" customHeight="1" x14ac:dyDescent="0.25">
      <c r="A1827" s="2" t="s">
        <v>3281</v>
      </c>
      <c r="B1827" s="8" t="s">
        <v>3281</v>
      </c>
      <c r="C1827" s="152" t="s">
        <v>102</v>
      </c>
      <c r="D1827" s="2" t="s">
        <v>908</v>
      </c>
      <c r="E1827" s="152" t="s">
        <v>102</v>
      </c>
      <c r="F1827" s="152" t="s">
        <v>103</v>
      </c>
      <c r="G1827" s="152">
        <v>0</v>
      </c>
      <c r="H1827" s="152"/>
      <c r="I1827" s="153">
        <v>2.7365375512820509</v>
      </c>
      <c r="J1827" s="145"/>
      <c r="K1827" s="153" t="s">
        <v>86</v>
      </c>
      <c r="L1827" s="153" t="s">
        <v>86</v>
      </c>
      <c r="M1827" s="153"/>
      <c r="N1827" s="2" t="s">
        <v>57</v>
      </c>
      <c r="O1827" s="2"/>
      <c r="P1827" s="2"/>
    </row>
    <row r="1828" spans="1:16" ht="16.5" customHeight="1" x14ac:dyDescent="0.25">
      <c r="A1828" s="2" t="s">
        <v>3282</v>
      </c>
      <c r="B1828" s="8" t="s">
        <v>3282</v>
      </c>
      <c r="C1828" s="152" t="s">
        <v>102</v>
      </c>
      <c r="D1828" s="2" t="s">
        <v>908</v>
      </c>
      <c r="E1828" s="152" t="s">
        <v>102</v>
      </c>
      <c r="F1828" s="152" t="s">
        <v>103</v>
      </c>
      <c r="G1828" s="152">
        <v>0</v>
      </c>
      <c r="H1828" s="152"/>
      <c r="I1828" s="153">
        <v>9.3534657534246577</v>
      </c>
      <c r="J1828" s="145"/>
      <c r="K1828" s="153" t="s">
        <v>86</v>
      </c>
      <c r="L1828" s="153" t="s">
        <v>86</v>
      </c>
      <c r="M1828" s="153"/>
      <c r="N1828" s="2" t="s">
        <v>57</v>
      </c>
      <c r="O1828" s="2"/>
      <c r="P1828" s="2"/>
    </row>
    <row r="1829" spans="1:16" ht="16.5" customHeight="1" x14ac:dyDescent="0.25">
      <c r="A1829" s="2" t="s">
        <v>3283</v>
      </c>
      <c r="B1829" s="8" t="s">
        <v>3283</v>
      </c>
      <c r="C1829" s="152" t="s">
        <v>102</v>
      </c>
      <c r="D1829" s="2" t="s">
        <v>908</v>
      </c>
      <c r="E1829" s="152" t="s">
        <v>102</v>
      </c>
      <c r="F1829" s="152" t="s">
        <v>103</v>
      </c>
      <c r="G1829" s="152">
        <v>0</v>
      </c>
      <c r="H1829" s="152"/>
      <c r="I1829" s="153">
        <v>23.00467671232877</v>
      </c>
      <c r="J1829" s="145"/>
      <c r="K1829" s="153" t="s">
        <v>86</v>
      </c>
      <c r="L1829" s="153" t="s">
        <v>86</v>
      </c>
      <c r="M1829" s="153"/>
      <c r="N1829" s="2" t="s">
        <v>57</v>
      </c>
      <c r="O1829" s="2"/>
      <c r="P1829" s="2"/>
    </row>
    <row r="1830" spans="1:16" ht="16.5" customHeight="1" x14ac:dyDescent="0.25">
      <c r="A1830" s="2" t="s">
        <v>3284</v>
      </c>
      <c r="B1830" s="8" t="s">
        <v>3284</v>
      </c>
      <c r="C1830" s="152" t="s">
        <v>102</v>
      </c>
      <c r="D1830" s="2" t="s">
        <v>908</v>
      </c>
      <c r="E1830" s="152" t="s">
        <v>102</v>
      </c>
      <c r="F1830" s="152" t="s">
        <v>103</v>
      </c>
      <c r="G1830" s="152">
        <v>0</v>
      </c>
      <c r="H1830" s="152"/>
      <c r="I1830" s="153">
        <v>73.015965753424652</v>
      </c>
      <c r="J1830" s="145"/>
      <c r="K1830" s="153" t="s">
        <v>86</v>
      </c>
      <c r="L1830" s="153" t="s">
        <v>86</v>
      </c>
      <c r="M1830" s="153"/>
      <c r="N1830" s="2" t="s">
        <v>57</v>
      </c>
      <c r="O1830" s="2"/>
      <c r="P1830" s="2"/>
    </row>
    <row r="1831" spans="1:16" ht="16.5" customHeight="1" x14ac:dyDescent="0.25">
      <c r="A1831" s="2" t="s">
        <v>3285</v>
      </c>
      <c r="B1831" s="8" t="s">
        <v>3285</v>
      </c>
      <c r="C1831" s="152" t="s">
        <v>102</v>
      </c>
      <c r="D1831" s="2" t="s">
        <v>908</v>
      </c>
      <c r="E1831" s="152" t="s">
        <v>102</v>
      </c>
      <c r="F1831" s="152" t="s">
        <v>103</v>
      </c>
      <c r="G1831" s="152">
        <v>0</v>
      </c>
      <c r="H1831" s="152"/>
      <c r="I1831" s="153">
        <v>5.4397260273972607</v>
      </c>
      <c r="J1831" s="145"/>
      <c r="K1831" s="153" t="s">
        <v>86</v>
      </c>
      <c r="L1831" s="153" t="s">
        <v>86</v>
      </c>
      <c r="M1831" s="153"/>
      <c r="N1831" s="2" t="s">
        <v>57</v>
      </c>
      <c r="O1831" s="2"/>
      <c r="P1831" s="2"/>
    </row>
    <row r="1832" spans="1:16" ht="16.5" customHeight="1" x14ac:dyDescent="0.25">
      <c r="A1832" s="2" t="s">
        <v>3286</v>
      </c>
      <c r="B1832" s="8" t="s">
        <v>3286</v>
      </c>
      <c r="C1832" s="152" t="s">
        <v>102</v>
      </c>
      <c r="D1832" s="2" t="s">
        <v>908</v>
      </c>
      <c r="E1832" s="152" t="s">
        <v>102</v>
      </c>
      <c r="F1832" s="152" t="s">
        <v>103</v>
      </c>
      <c r="G1832" s="152">
        <v>0</v>
      </c>
      <c r="H1832" s="152"/>
      <c r="I1832" s="153">
        <v>4.3276712328767122</v>
      </c>
      <c r="J1832" s="145"/>
      <c r="K1832" s="153" t="s">
        <v>86</v>
      </c>
      <c r="L1832" s="153" t="s">
        <v>86</v>
      </c>
      <c r="M1832" s="153"/>
      <c r="N1832" s="2" t="s">
        <v>57</v>
      </c>
      <c r="O1832" s="2"/>
      <c r="P1832" s="2"/>
    </row>
    <row r="1833" spans="1:16" ht="16.5" customHeight="1" x14ac:dyDescent="0.25">
      <c r="A1833" s="2" t="s">
        <v>3287</v>
      </c>
      <c r="B1833" s="8" t="s">
        <v>3287</v>
      </c>
      <c r="C1833" s="152" t="s">
        <v>102</v>
      </c>
      <c r="D1833" s="2" t="s">
        <v>908</v>
      </c>
      <c r="E1833" s="152" t="s">
        <v>102</v>
      </c>
      <c r="F1833" s="152" t="s">
        <v>103</v>
      </c>
      <c r="G1833" s="152">
        <v>0</v>
      </c>
      <c r="H1833" s="152"/>
      <c r="I1833" s="153">
        <v>13.91076923076923</v>
      </c>
      <c r="J1833" s="145"/>
      <c r="K1833" s="153" t="s">
        <v>86</v>
      </c>
      <c r="L1833" s="153" t="s">
        <v>86</v>
      </c>
      <c r="M1833" s="153"/>
      <c r="N1833" s="2" t="s">
        <v>57</v>
      </c>
      <c r="O1833" s="2"/>
      <c r="P1833" s="2"/>
    </row>
    <row r="1834" spans="1:16" ht="16.5" customHeight="1" x14ac:dyDescent="0.25">
      <c r="A1834" s="2" t="s">
        <v>3288</v>
      </c>
      <c r="B1834" s="8" t="s">
        <v>3288</v>
      </c>
      <c r="C1834" s="152" t="s">
        <v>102</v>
      </c>
      <c r="D1834" s="2" t="s">
        <v>1624</v>
      </c>
      <c r="E1834" s="152" t="s">
        <v>102</v>
      </c>
      <c r="F1834" s="152" t="s">
        <v>103</v>
      </c>
      <c r="G1834" s="152">
        <v>0</v>
      </c>
      <c r="H1834" s="152"/>
      <c r="I1834" s="153">
        <v>13.06267628205129</v>
      </c>
      <c r="J1834" s="145"/>
      <c r="K1834" s="153" t="s">
        <v>86</v>
      </c>
      <c r="L1834" s="153" t="s">
        <v>86</v>
      </c>
      <c r="M1834" s="153"/>
      <c r="N1834" s="2" t="s">
        <v>57</v>
      </c>
      <c r="O1834" s="2"/>
      <c r="P1834" s="2"/>
    </row>
    <row r="1835" spans="1:16" ht="16.5" customHeight="1" x14ac:dyDescent="0.25">
      <c r="A1835" s="2" t="s">
        <v>3289</v>
      </c>
      <c r="B1835" s="8" t="s">
        <v>3289</v>
      </c>
      <c r="C1835" s="152" t="s">
        <v>102</v>
      </c>
      <c r="D1835" s="2" t="s">
        <v>1624</v>
      </c>
      <c r="E1835" s="152" t="s">
        <v>102</v>
      </c>
      <c r="F1835" s="152" t="s">
        <v>103</v>
      </c>
      <c r="G1835" s="152">
        <v>0</v>
      </c>
      <c r="H1835" s="152"/>
      <c r="I1835" s="153">
        <v>21.108698630136988</v>
      </c>
      <c r="J1835" s="145"/>
      <c r="K1835" s="153" t="s">
        <v>86</v>
      </c>
      <c r="L1835" s="153" t="s">
        <v>86</v>
      </c>
      <c r="M1835" s="153"/>
      <c r="N1835" s="2" t="s">
        <v>57</v>
      </c>
      <c r="O1835" s="2"/>
      <c r="P1835" s="2"/>
    </row>
    <row r="1836" spans="1:16" ht="16.5" customHeight="1" x14ac:dyDescent="0.25">
      <c r="A1836" s="2" t="s">
        <v>3290</v>
      </c>
      <c r="B1836" s="8" t="s">
        <v>3290</v>
      </c>
      <c r="C1836" s="152" t="s">
        <v>102</v>
      </c>
      <c r="D1836" s="2" t="s">
        <v>186</v>
      </c>
      <c r="E1836" s="152" t="s">
        <v>102</v>
      </c>
      <c r="F1836" s="152" t="s">
        <v>103</v>
      </c>
      <c r="G1836" s="152">
        <v>0</v>
      </c>
      <c r="H1836" s="152"/>
      <c r="I1836" s="153">
        <v>11.193910256410261</v>
      </c>
      <c r="J1836" s="145"/>
      <c r="K1836" s="153" t="s">
        <v>86</v>
      </c>
      <c r="L1836" s="153" t="s">
        <v>86</v>
      </c>
      <c r="M1836" s="153"/>
      <c r="N1836" s="2" t="s">
        <v>57</v>
      </c>
      <c r="O1836" s="2"/>
      <c r="P1836" s="2"/>
    </row>
    <row r="1837" spans="1:16" ht="16.5" customHeight="1" x14ac:dyDescent="0.25">
      <c r="A1837" s="2" t="s">
        <v>3291</v>
      </c>
      <c r="B1837" s="8" t="s">
        <v>3291</v>
      </c>
      <c r="C1837" s="152" t="s">
        <v>102</v>
      </c>
      <c r="D1837" s="2" t="s">
        <v>186</v>
      </c>
      <c r="E1837" s="152" t="s">
        <v>102</v>
      </c>
      <c r="F1837" s="152" t="s">
        <v>103</v>
      </c>
      <c r="G1837" s="152">
        <v>0</v>
      </c>
      <c r="H1837" s="152"/>
      <c r="I1837" s="153">
        <v>0.59091095890410972</v>
      </c>
      <c r="J1837" s="145"/>
      <c r="K1837" s="153" t="s">
        <v>86</v>
      </c>
      <c r="L1837" s="153" t="s">
        <v>86</v>
      </c>
      <c r="M1837" s="153"/>
      <c r="N1837" s="2" t="s">
        <v>57</v>
      </c>
      <c r="O1837" s="2"/>
      <c r="P1837" s="2"/>
    </row>
    <row r="1838" spans="1:16" ht="16.5" customHeight="1" x14ac:dyDescent="0.25">
      <c r="A1838" s="2" t="s">
        <v>3292</v>
      </c>
      <c r="B1838" s="8" t="s">
        <v>3292</v>
      </c>
      <c r="C1838" s="152" t="s">
        <v>102</v>
      </c>
      <c r="D1838" s="2" t="s">
        <v>186</v>
      </c>
      <c r="E1838" s="152" t="s">
        <v>102</v>
      </c>
      <c r="F1838" s="152" t="s">
        <v>103</v>
      </c>
      <c r="G1838" s="152">
        <v>0</v>
      </c>
      <c r="H1838" s="152"/>
      <c r="I1838" s="153">
        <v>1.97472602739726</v>
      </c>
      <c r="J1838" s="145"/>
      <c r="K1838" s="153" t="s">
        <v>86</v>
      </c>
      <c r="L1838" s="153" t="s">
        <v>86</v>
      </c>
      <c r="M1838" s="153"/>
      <c r="N1838" s="2" t="s">
        <v>57</v>
      </c>
      <c r="O1838" s="2"/>
      <c r="P1838" s="2"/>
    </row>
    <row r="1839" spans="1:16" ht="16.5" customHeight="1" x14ac:dyDescent="0.25">
      <c r="A1839" s="2" t="s">
        <v>3293</v>
      </c>
      <c r="B1839" s="8" t="s">
        <v>3293</v>
      </c>
      <c r="C1839" s="152" t="s">
        <v>102</v>
      </c>
      <c r="D1839" s="2" t="s">
        <v>186</v>
      </c>
      <c r="E1839" s="152" t="s">
        <v>102</v>
      </c>
      <c r="F1839" s="152" t="s">
        <v>103</v>
      </c>
      <c r="G1839" s="152">
        <v>0</v>
      </c>
      <c r="H1839" s="152"/>
      <c r="I1839" s="153">
        <v>3.839</v>
      </c>
      <c r="J1839" s="145"/>
      <c r="K1839" s="153" t="s">
        <v>86</v>
      </c>
      <c r="L1839" s="153" t="s">
        <v>86</v>
      </c>
      <c r="M1839" s="153"/>
      <c r="N1839" s="2" t="s">
        <v>57</v>
      </c>
      <c r="O1839" s="2"/>
      <c r="P1839" s="2"/>
    </row>
    <row r="1840" spans="1:16" ht="16.5" customHeight="1" x14ac:dyDescent="0.25">
      <c r="A1840" s="2" t="s">
        <v>3294</v>
      </c>
      <c r="B1840" s="8" t="s">
        <v>3294</v>
      </c>
      <c r="C1840" s="152" t="s">
        <v>102</v>
      </c>
      <c r="D1840" s="2" t="s">
        <v>186</v>
      </c>
      <c r="E1840" s="152" t="s">
        <v>102</v>
      </c>
      <c r="F1840" s="152" t="s">
        <v>103</v>
      </c>
      <c r="G1840" s="152">
        <v>0</v>
      </c>
      <c r="H1840" s="152"/>
      <c r="I1840" s="153">
        <v>13.00034246575343</v>
      </c>
      <c r="J1840" s="145"/>
      <c r="K1840" s="153" t="s">
        <v>86</v>
      </c>
      <c r="L1840" s="153" t="s">
        <v>86</v>
      </c>
      <c r="M1840" s="153"/>
      <c r="N1840" s="2" t="s">
        <v>57</v>
      </c>
      <c r="O1840" s="2"/>
      <c r="P1840" s="2"/>
    </row>
    <row r="1841" spans="1:16" ht="16.5" customHeight="1" x14ac:dyDescent="0.25">
      <c r="A1841" s="2" t="s">
        <v>3295</v>
      </c>
      <c r="B1841" s="8" t="s">
        <v>3295</v>
      </c>
      <c r="C1841" s="152" t="s">
        <v>102</v>
      </c>
      <c r="D1841" s="2" t="s">
        <v>1673</v>
      </c>
      <c r="E1841" s="152" t="s">
        <v>102</v>
      </c>
      <c r="F1841" s="152" t="s">
        <v>103</v>
      </c>
      <c r="G1841" s="152">
        <v>0</v>
      </c>
      <c r="H1841" s="152"/>
      <c r="I1841" s="153">
        <v>6.9284931506849317</v>
      </c>
      <c r="J1841" s="145"/>
      <c r="K1841" s="153" t="s">
        <v>86</v>
      </c>
      <c r="L1841" s="153" t="s">
        <v>86</v>
      </c>
      <c r="M1841" s="153"/>
      <c r="N1841" s="2" t="s">
        <v>57</v>
      </c>
      <c r="O1841" s="2"/>
      <c r="P1841" s="2"/>
    </row>
    <row r="1842" spans="1:16" ht="16.5" customHeight="1" x14ac:dyDescent="0.25">
      <c r="A1842" s="2" t="s">
        <v>3296</v>
      </c>
      <c r="B1842" s="8" t="s">
        <v>3296</v>
      </c>
      <c r="C1842" s="152" t="s">
        <v>102</v>
      </c>
      <c r="D1842" s="2" t="s">
        <v>1673</v>
      </c>
      <c r="E1842" s="152" t="s">
        <v>102</v>
      </c>
      <c r="F1842" s="152" t="s">
        <v>103</v>
      </c>
      <c r="G1842" s="152">
        <v>0</v>
      </c>
      <c r="H1842" s="152"/>
      <c r="I1842" s="153">
        <v>6.9284931506849317</v>
      </c>
      <c r="J1842" s="145"/>
      <c r="K1842" s="153" t="s">
        <v>86</v>
      </c>
      <c r="L1842" s="153" t="s">
        <v>86</v>
      </c>
      <c r="M1842" s="153"/>
      <c r="N1842" s="2" t="s">
        <v>57</v>
      </c>
      <c r="O1842" s="2"/>
      <c r="P1842" s="2"/>
    </row>
    <row r="1843" spans="1:16" ht="16.5" customHeight="1" x14ac:dyDescent="0.25">
      <c r="A1843" s="2" t="s">
        <v>3297</v>
      </c>
      <c r="B1843" s="8" t="s">
        <v>3297</v>
      </c>
      <c r="C1843" s="152" t="s">
        <v>102</v>
      </c>
      <c r="D1843" s="2" t="s">
        <v>1673</v>
      </c>
      <c r="E1843" s="152" t="s">
        <v>102</v>
      </c>
      <c r="F1843" s="152" t="s">
        <v>103</v>
      </c>
      <c r="G1843" s="152">
        <v>0</v>
      </c>
      <c r="H1843" s="152"/>
      <c r="I1843" s="153">
        <v>7.0837179487179496</v>
      </c>
      <c r="J1843" s="145"/>
      <c r="K1843" s="153" t="s">
        <v>86</v>
      </c>
      <c r="L1843" s="153" t="s">
        <v>86</v>
      </c>
      <c r="M1843" s="153"/>
      <c r="N1843" s="2" t="s">
        <v>57</v>
      </c>
      <c r="O1843" s="2"/>
      <c r="P1843" s="2"/>
    </row>
    <row r="1844" spans="1:16" ht="16.5" customHeight="1" x14ac:dyDescent="0.25">
      <c r="A1844" s="2" t="s">
        <v>3298</v>
      </c>
      <c r="B1844" s="8" t="s">
        <v>3298</v>
      </c>
      <c r="C1844" s="152" t="s">
        <v>102</v>
      </c>
      <c r="D1844" s="2" t="s">
        <v>1673</v>
      </c>
      <c r="E1844" s="152" t="s">
        <v>102</v>
      </c>
      <c r="F1844" s="152" t="s">
        <v>103</v>
      </c>
      <c r="G1844" s="152">
        <v>0</v>
      </c>
      <c r="H1844" s="152"/>
      <c r="I1844" s="153">
        <v>6.9284931506849317</v>
      </c>
      <c r="J1844" s="145"/>
      <c r="K1844" s="153" t="s">
        <v>86</v>
      </c>
      <c r="L1844" s="153" t="s">
        <v>86</v>
      </c>
      <c r="M1844" s="153"/>
      <c r="N1844" s="2" t="s">
        <v>57</v>
      </c>
      <c r="O1844" s="2"/>
      <c r="P1844" s="2"/>
    </row>
    <row r="1845" spans="1:16" ht="16.5" customHeight="1" x14ac:dyDescent="0.25">
      <c r="A1845" s="2" t="s">
        <v>3299</v>
      </c>
      <c r="B1845" s="8" t="s">
        <v>3299</v>
      </c>
      <c r="C1845" s="152" t="s">
        <v>102</v>
      </c>
      <c r="D1845" s="2" t="s">
        <v>1673</v>
      </c>
      <c r="E1845" s="152" t="s">
        <v>102</v>
      </c>
      <c r="F1845" s="152" t="s">
        <v>103</v>
      </c>
      <c r="G1845" s="152">
        <v>0</v>
      </c>
      <c r="H1845" s="152"/>
      <c r="I1845" s="153">
        <v>6.8530000000000006</v>
      </c>
      <c r="J1845" s="145"/>
      <c r="K1845" s="153" t="s">
        <v>86</v>
      </c>
      <c r="L1845" s="153" t="s">
        <v>86</v>
      </c>
      <c r="M1845" s="153"/>
      <c r="N1845" s="2" t="s">
        <v>57</v>
      </c>
      <c r="O1845" s="2"/>
      <c r="P1845" s="2"/>
    </row>
    <row r="1846" spans="1:16" ht="16.5" customHeight="1" x14ac:dyDescent="0.25">
      <c r="A1846" s="2" t="s">
        <v>3300</v>
      </c>
      <c r="B1846" s="8" t="s">
        <v>3300</v>
      </c>
      <c r="C1846" s="152" t="s">
        <v>102</v>
      </c>
      <c r="D1846" s="2" t="s">
        <v>1673</v>
      </c>
      <c r="E1846" s="152" t="s">
        <v>102</v>
      </c>
      <c r="F1846" s="152" t="s">
        <v>103</v>
      </c>
      <c r="G1846" s="152">
        <v>0</v>
      </c>
      <c r="H1846" s="152"/>
      <c r="I1846" s="153">
        <v>7.0837179487179496</v>
      </c>
      <c r="J1846" s="145"/>
      <c r="K1846" s="153" t="s">
        <v>86</v>
      </c>
      <c r="L1846" s="153" t="s">
        <v>86</v>
      </c>
      <c r="M1846" s="153"/>
      <c r="N1846" s="2" t="s">
        <v>57</v>
      </c>
      <c r="O1846" s="2"/>
      <c r="P1846" s="2"/>
    </row>
    <row r="1847" spans="1:16" ht="16.5" customHeight="1" x14ac:dyDescent="0.25">
      <c r="A1847" s="2" t="s">
        <v>3301</v>
      </c>
      <c r="B1847" s="8" t="s">
        <v>3301</v>
      </c>
      <c r="C1847" s="152" t="s">
        <v>102</v>
      </c>
      <c r="D1847" s="2" t="s">
        <v>1673</v>
      </c>
      <c r="E1847" s="152" t="s">
        <v>102</v>
      </c>
      <c r="F1847" s="152" t="s">
        <v>103</v>
      </c>
      <c r="G1847" s="152">
        <v>0</v>
      </c>
      <c r="H1847" s="152"/>
      <c r="I1847" s="153">
        <v>7.0837179487179496</v>
      </c>
      <c r="J1847" s="145"/>
      <c r="K1847" s="153" t="s">
        <v>86</v>
      </c>
      <c r="L1847" s="153" t="s">
        <v>86</v>
      </c>
      <c r="M1847" s="153"/>
      <c r="N1847" s="2" t="s">
        <v>57</v>
      </c>
      <c r="O1847" s="2"/>
      <c r="P1847" s="2"/>
    </row>
    <row r="1848" spans="1:16" ht="16.5" customHeight="1" x14ac:dyDescent="0.25">
      <c r="A1848" s="2" t="s">
        <v>3302</v>
      </c>
      <c r="B1848" s="8" t="s">
        <v>3302</v>
      </c>
      <c r="C1848" s="152" t="s">
        <v>102</v>
      </c>
      <c r="D1848" s="2" t="s">
        <v>2413</v>
      </c>
      <c r="E1848" s="152" t="s">
        <v>102</v>
      </c>
      <c r="F1848" s="152" t="s">
        <v>103</v>
      </c>
      <c r="G1848" s="152">
        <v>0</v>
      </c>
      <c r="H1848" s="152"/>
      <c r="I1848" s="153">
        <v>1.9619178082191779</v>
      </c>
      <c r="J1848" s="145"/>
      <c r="K1848" s="153" t="s">
        <v>86</v>
      </c>
      <c r="L1848" s="153" t="s">
        <v>86</v>
      </c>
      <c r="M1848" s="153"/>
      <c r="N1848" s="2" t="s">
        <v>57</v>
      </c>
      <c r="O1848" s="2"/>
      <c r="P1848" s="2"/>
    </row>
    <row r="1849" spans="1:16" ht="16.5" customHeight="1" x14ac:dyDescent="0.25">
      <c r="A1849" s="2" t="s">
        <v>3303</v>
      </c>
      <c r="B1849" s="8" t="s">
        <v>3303</v>
      </c>
      <c r="C1849" s="152" t="s">
        <v>102</v>
      </c>
      <c r="D1849" s="2" t="s">
        <v>2413</v>
      </c>
      <c r="E1849" s="152" t="s">
        <v>102</v>
      </c>
      <c r="F1849" s="152" t="s">
        <v>103</v>
      </c>
      <c r="G1849" s="152">
        <v>0</v>
      </c>
      <c r="H1849" s="152"/>
      <c r="I1849" s="153">
        <v>2.3525684931506849</v>
      </c>
      <c r="J1849" s="145"/>
      <c r="K1849" s="153" t="s">
        <v>86</v>
      </c>
      <c r="L1849" s="153" t="s">
        <v>86</v>
      </c>
      <c r="M1849" s="153"/>
      <c r="N1849" s="2" t="s">
        <v>57</v>
      </c>
      <c r="O1849" s="2"/>
      <c r="P1849" s="2"/>
    </row>
    <row r="1850" spans="1:16" ht="16.5" customHeight="1" x14ac:dyDescent="0.25">
      <c r="A1850" s="2" t="s">
        <v>3304</v>
      </c>
      <c r="B1850" s="8" t="s">
        <v>3304</v>
      </c>
      <c r="C1850" s="152" t="s">
        <v>102</v>
      </c>
      <c r="D1850" s="2" t="s">
        <v>2413</v>
      </c>
      <c r="E1850" s="152" t="s">
        <v>102</v>
      </c>
      <c r="F1850" s="152" t="s">
        <v>103</v>
      </c>
      <c r="G1850" s="152">
        <v>0</v>
      </c>
      <c r="H1850" s="152"/>
      <c r="I1850" s="153">
        <v>2.7345547945205491</v>
      </c>
      <c r="J1850" s="145"/>
      <c r="K1850" s="153" t="s">
        <v>86</v>
      </c>
      <c r="L1850" s="153" t="s">
        <v>86</v>
      </c>
      <c r="M1850" s="153"/>
      <c r="N1850" s="2" t="s">
        <v>57</v>
      </c>
      <c r="O1850" s="2"/>
      <c r="P1850" s="2"/>
    </row>
    <row r="1851" spans="1:16" ht="16.5" customHeight="1" x14ac:dyDescent="0.25">
      <c r="A1851" s="2" t="s">
        <v>3305</v>
      </c>
      <c r="B1851" s="8" t="s">
        <v>3305</v>
      </c>
      <c r="C1851" s="152" t="s">
        <v>102</v>
      </c>
      <c r="D1851" s="2" t="s">
        <v>2413</v>
      </c>
      <c r="E1851" s="152" t="s">
        <v>102</v>
      </c>
      <c r="F1851" s="152" t="s">
        <v>103</v>
      </c>
      <c r="G1851" s="152">
        <v>0</v>
      </c>
      <c r="H1851" s="152"/>
      <c r="I1851" s="153">
        <v>3.133869863013699</v>
      </c>
      <c r="J1851" s="145"/>
      <c r="K1851" s="153" t="s">
        <v>86</v>
      </c>
      <c r="L1851" s="153" t="s">
        <v>86</v>
      </c>
      <c r="M1851" s="153"/>
      <c r="N1851" s="2" t="s">
        <v>57</v>
      </c>
      <c r="O1851" s="2"/>
      <c r="P1851" s="2"/>
    </row>
    <row r="1852" spans="1:16" ht="16.5" customHeight="1" x14ac:dyDescent="0.25">
      <c r="A1852" s="2" t="s">
        <v>3306</v>
      </c>
      <c r="B1852" s="8" t="s">
        <v>3306</v>
      </c>
      <c r="C1852" s="152" t="s">
        <v>102</v>
      </c>
      <c r="D1852" s="2" t="s">
        <v>1797</v>
      </c>
      <c r="E1852" s="152" t="s">
        <v>102</v>
      </c>
      <c r="F1852" s="152" t="s">
        <v>103</v>
      </c>
      <c r="G1852" s="152">
        <v>0</v>
      </c>
      <c r="H1852" s="152"/>
      <c r="I1852" s="153">
        <v>3.3409863013698629</v>
      </c>
      <c r="J1852" s="145"/>
      <c r="K1852" s="153" t="s">
        <v>86</v>
      </c>
      <c r="L1852" s="153" t="s">
        <v>86</v>
      </c>
      <c r="M1852" s="153"/>
      <c r="N1852" s="2" t="s">
        <v>57</v>
      </c>
      <c r="O1852" s="2"/>
      <c r="P1852" s="2"/>
    </row>
    <row r="1853" spans="1:16" ht="16.5" customHeight="1" x14ac:dyDescent="0.25">
      <c r="A1853" s="2" t="s">
        <v>3307</v>
      </c>
      <c r="B1853" s="8" t="s">
        <v>3307</v>
      </c>
      <c r="C1853" s="152" t="s">
        <v>102</v>
      </c>
      <c r="D1853" s="2" t="s">
        <v>1797</v>
      </c>
      <c r="E1853" s="152" t="s">
        <v>102</v>
      </c>
      <c r="F1853" s="152" t="s">
        <v>103</v>
      </c>
      <c r="G1853" s="152">
        <v>0</v>
      </c>
      <c r="H1853" s="152"/>
      <c r="I1853" s="153">
        <v>27.646666666666668</v>
      </c>
      <c r="J1853" s="145"/>
      <c r="K1853" s="153" t="s">
        <v>86</v>
      </c>
      <c r="L1853" s="153" t="s">
        <v>86</v>
      </c>
      <c r="M1853" s="153"/>
      <c r="N1853" s="2" t="s">
        <v>57</v>
      </c>
      <c r="O1853" s="2"/>
      <c r="P1853" s="2"/>
    </row>
    <row r="1854" spans="1:16" ht="16.5" customHeight="1" x14ac:dyDescent="0.25">
      <c r="A1854" s="2" t="s">
        <v>3308</v>
      </c>
      <c r="B1854" s="8" t="s">
        <v>3308</v>
      </c>
      <c r="C1854" s="152" t="s">
        <v>102</v>
      </c>
      <c r="D1854" s="2" t="s">
        <v>1797</v>
      </c>
      <c r="E1854" s="152" t="s">
        <v>102</v>
      </c>
      <c r="F1854" s="152" t="s">
        <v>103</v>
      </c>
      <c r="G1854" s="152">
        <v>0</v>
      </c>
      <c r="H1854" s="152"/>
      <c r="I1854" s="153">
        <v>36.899006410256419</v>
      </c>
      <c r="J1854" s="145"/>
      <c r="K1854" s="153" t="s">
        <v>86</v>
      </c>
      <c r="L1854" s="153" t="s">
        <v>86</v>
      </c>
      <c r="M1854" s="153"/>
      <c r="N1854" s="2" t="s">
        <v>57</v>
      </c>
      <c r="O1854" s="2"/>
      <c r="P1854" s="2"/>
    </row>
    <row r="1855" spans="1:16" ht="16.5" customHeight="1" x14ac:dyDescent="0.25">
      <c r="A1855" s="2" t="s">
        <v>3309</v>
      </c>
      <c r="B1855" s="8" t="s">
        <v>3309</v>
      </c>
      <c r="C1855" s="152" t="s">
        <v>102</v>
      </c>
      <c r="D1855" s="2" t="s">
        <v>1797</v>
      </c>
      <c r="E1855" s="152" t="s">
        <v>102</v>
      </c>
      <c r="F1855" s="152" t="s">
        <v>103</v>
      </c>
      <c r="G1855" s="152">
        <v>0</v>
      </c>
      <c r="H1855" s="152"/>
      <c r="I1855" s="153">
        <v>34.829691780821918</v>
      </c>
      <c r="J1855" s="145"/>
      <c r="K1855" s="153" t="s">
        <v>86</v>
      </c>
      <c r="L1855" s="153" t="s">
        <v>86</v>
      </c>
      <c r="M1855" s="153"/>
      <c r="N1855" s="2" t="s">
        <v>57</v>
      </c>
      <c r="O1855" s="2"/>
      <c r="P1855" s="2"/>
    </row>
    <row r="1856" spans="1:16" ht="16.5" customHeight="1" x14ac:dyDescent="0.25">
      <c r="A1856" s="2" t="s">
        <v>3310</v>
      </c>
      <c r="B1856" s="8" t="s">
        <v>3310</v>
      </c>
      <c r="C1856" s="152" t="s">
        <v>102</v>
      </c>
      <c r="D1856" s="2" t="s">
        <v>1797</v>
      </c>
      <c r="E1856" s="152" t="s">
        <v>102</v>
      </c>
      <c r="F1856" s="152" t="s">
        <v>103</v>
      </c>
      <c r="G1856" s="152">
        <v>0</v>
      </c>
      <c r="H1856" s="152"/>
      <c r="I1856" s="153">
        <v>44.546609589041097</v>
      </c>
      <c r="J1856" s="145"/>
      <c r="K1856" s="153" t="s">
        <v>86</v>
      </c>
      <c r="L1856" s="153" t="s">
        <v>86</v>
      </c>
      <c r="M1856" s="153"/>
      <c r="N1856" s="2" t="s">
        <v>57</v>
      </c>
      <c r="O1856" s="2"/>
      <c r="P1856" s="2"/>
    </row>
    <row r="1857" spans="1:16" ht="16.5" customHeight="1" x14ac:dyDescent="0.25">
      <c r="A1857" s="2" t="s">
        <v>3311</v>
      </c>
      <c r="B1857" s="8" t="s">
        <v>3311</v>
      </c>
      <c r="C1857" s="152" t="s">
        <v>102</v>
      </c>
      <c r="D1857" s="2" t="s">
        <v>3312</v>
      </c>
      <c r="E1857" s="152" t="s">
        <v>102</v>
      </c>
      <c r="F1857" s="152" t="s">
        <v>103</v>
      </c>
      <c r="G1857" s="152">
        <v>0</v>
      </c>
      <c r="H1857" s="152"/>
      <c r="I1857" s="153">
        <v>2.097756410256411</v>
      </c>
      <c r="J1857" s="145"/>
      <c r="K1857" s="153" t="s">
        <v>86</v>
      </c>
      <c r="L1857" s="153" t="s">
        <v>86</v>
      </c>
      <c r="M1857" s="153"/>
      <c r="N1857" s="2" t="s">
        <v>57</v>
      </c>
      <c r="O1857" s="2"/>
      <c r="P1857" s="2"/>
    </row>
    <row r="1858" spans="1:16" ht="16.5" customHeight="1" x14ac:dyDescent="0.25">
      <c r="A1858" s="2" t="s">
        <v>3313</v>
      </c>
      <c r="B1858" s="8" t="s">
        <v>3313</v>
      </c>
      <c r="C1858" s="152" t="s">
        <v>102</v>
      </c>
      <c r="D1858" s="2" t="s">
        <v>3312</v>
      </c>
      <c r="E1858" s="152" t="s">
        <v>102</v>
      </c>
      <c r="F1858" s="152" t="s">
        <v>103</v>
      </c>
      <c r="G1858" s="152">
        <v>0</v>
      </c>
      <c r="H1858" s="152"/>
      <c r="I1858" s="153">
        <v>2.0621232876712332</v>
      </c>
      <c r="J1858" s="145"/>
      <c r="K1858" s="153" t="s">
        <v>86</v>
      </c>
      <c r="L1858" s="153" t="s">
        <v>86</v>
      </c>
      <c r="M1858" s="153"/>
      <c r="N1858" s="2" t="s">
        <v>57</v>
      </c>
      <c r="O1858" s="2"/>
      <c r="P1858" s="2"/>
    </row>
    <row r="1859" spans="1:16" ht="16.5" customHeight="1" x14ac:dyDescent="0.25">
      <c r="A1859" s="2" t="s">
        <v>3314</v>
      </c>
      <c r="B1859" s="8" t="s">
        <v>3314</v>
      </c>
      <c r="C1859" s="152" t="s">
        <v>102</v>
      </c>
      <c r="D1859" s="2" t="s">
        <v>1638</v>
      </c>
      <c r="E1859" s="152" t="s">
        <v>102</v>
      </c>
      <c r="F1859" s="152" t="s">
        <v>103</v>
      </c>
      <c r="G1859" s="152">
        <v>0</v>
      </c>
      <c r="H1859" s="152"/>
      <c r="I1859" s="153">
        <v>0.60112179487179485</v>
      </c>
      <c r="J1859" s="145"/>
      <c r="K1859" s="153" t="s">
        <v>86</v>
      </c>
      <c r="L1859" s="153" t="s">
        <v>86</v>
      </c>
      <c r="M1859" s="153"/>
      <c r="N1859" s="2" t="s">
        <v>57</v>
      </c>
      <c r="O1859" s="2"/>
      <c r="P1859" s="2"/>
    </row>
    <row r="1860" spans="1:16" ht="16.5" customHeight="1" x14ac:dyDescent="0.25">
      <c r="A1860" s="2" t="s">
        <v>3315</v>
      </c>
      <c r="B1860" s="8" t="s">
        <v>3315</v>
      </c>
      <c r="C1860" s="152" t="s">
        <v>102</v>
      </c>
      <c r="D1860" s="2" t="s">
        <v>1638</v>
      </c>
      <c r="E1860" s="152" t="s">
        <v>102</v>
      </c>
      <c r="F1860" s="152" t="s">
        <v>103</v>
      </c>
      <c r="G1860" s="152">
        <v>0</v>
      </c>
      <c r="H1860" s="152"/>
      <c r="I1860" s="153">
        <v>9.8773972602739749E-2</v>
      </c>
      <c r="J1860" s="145"/>
      <c r="K1860" s="153" t="s">
        <v>86</v>
      </c>
      <c r="L1860" s="153" t="s">
        <v>86</v>
      </c>
      <c r="M1860" s="153"/>
      <c r="N1860" s="2" t="s">
        <v>57</v>
      </c>
      <c r="O1860" s="2"/>
      <c r="P1860" s="2"/>
    </row>
    <row r="1861" spans="1:16" ht="16.5" customHeight="1" x14ac:dyDescent="0.25">
      <c r="A1861" s="2" t="s">
        <v>3316</v>
      </c>
      <c r="B1861" s="8" t="s">
        <v>3316</v>
      </c>
      <c r="C1861" s="152" t="s">
        <v>102</v>
      </c>
      <c r="D1861" s="2" t="s">
        <v>1638</v>
      </c>
      <c r="E1861" s="152" t="s">
        <v>102</v>
      </c>
      <c r="F1861" s="152" t="s">
        <v>103</v>
      </c>
      <c r="G1861" s="152">
        <v>0</v>
      </c>
      <c r="H1861" s="152"/>
      <c r="I1861" s="153">
        <v>0.73820547945205495</v>
      </c>
      <c r="J1861" s="145"/>
      <c r="K1861" s="153" t="s">
        <v>86</v>
      </c>
      <c r="L1861" s="153" t="s">
        <v>86</v>
      </c>
      <c r="M1861" s="153"/>
      <c r="N1861" s="2" t="s">
        <v>57</v>
      </c>
      <c r="O1861" s="2"/>
      <c r="P1861" s="2"/>
    </row>
    <row r="1862" spans="1:16" ht="16.5" customHeight="1" x14ac:dyDescent="0.25">
      <c r="A1862" s="2" t="s">
        <v>3317</v>
      </c>
      <c r="B1862" s="8" t="s">
        <v>3317</v>
      </c>
      <c r="C1862" s="152" t="s">
        <v>102</v>
      </c>
      <c r="D1862" s="2" t="s">
        <v>950</v>
      </c>
      <c r="E1862" s="152" t="s">
        <v>102</v>
      </c>
      <c r="F1862" s="152" t="s">
        <v>103</v>
      </c>
      <c r="G1862" s="152">
        <v>0</v>
      </c>
      <c r="H1862" s="152"/>
      <c r="I1862" s="153">
        <v>0.39336301369863019</v>
      </c>
      <c r="J1862" s="145"/>
      <c r="K1862" s="153" t="s">
        <v>86</v>
      </c>
      <c r="L1862" s="153" t="s">
        <v>86</v>
      </c>
      <c r="M1862" s="153"/>
      <c r="N1862" s="2" t="s">
        <v>57</v>
      </c>
      <c r="O1862" s="2"/>
      <c r="P1862" s="2"/>
    </row>
    <row r="1863" spans="1:16" ht="16.5" customHeight="1" x14ac:dyDescent="0.25">
      <c r="A1863" s="2" t="s">
        <v>3318</v>
      </c>
      <c r="B1863" s="8" t="s">
        <v>3318</v>
      </c>
      <c r="C1863" s="152" t="s">
        <v>102</v>
      </c>
      <c r="D1863" s="2" t="s">
        <v>950</v>
      </c>
      <c r="E1863" s="152" t="s">
        <v>102</v>
      </c>
      <c r="F1863" s="152" t="s">
        <v>103</v>
      </c>
      <c r="G1863" s="152">
        <v>0</v>
      </c>
      <c r="H1863" s="152"/>
      <c r="I1863" s="153">
        <v>0.1233974358974359</v>
      </c>
      <c r="J1863" s="145"/>
      <c r="K1863" s="153" t="s">
        <v>86</v>
      </c>
      <c r="L1863" s="153" t="s">
        <v>86</v>
      </c>
      <c r="M1863" s="153"/>
      <c r="N1863" s="2" t="s">
        <v>57</v>
      </c>
      <c r="O1863" s="2"/>
      <c r="P1863" s="2"/>
    </row>
    <row r="1864" spans="1:16" ht="16.5" customHeight="1" x14ac:dyDescent="0.25">
      <c r="A1864" s="2" t="s">
        <v>3319</v>
      </c>
      <c r="B1864" s="8" t="s">
        <v>3319</v>
      </c>
      <c r="C1864" s="152" t="s">
        <v>102</v>
      </c>
      <c r="D1864" s="2" t="s">
        <v>950</v>
      </c>
      <c r="E1864" s="152" t="s">
        <v>102</v>
      </c>
      <c r="F1864" s="152" t="s">
        <v>103</v>
      </c>
      <c r="G1864" s="152">
        <v>0</v>
      </c>
      <c r="H1864" s="152"/>
      <c r="I1864" s="153">
        <v>0.40544871794871801</v>
      </c>
      <c r="J1864" s="145"/>
      <c r="K1864" s="153" t="s">
        <v>86</v>
      </c>
      <c r="L1864" s="153" t="s">
        <v>86</v>
      </c>
      <c r="M1864" s="153"/>
      <c r="N1864" s="2" t="s">
        <v>57</v>
      </c>
      <c r="O1864" s="2"/>
      <c r="P1864" s="2"/>
    </row>
    <row r="1865" spans="1:16" ht="16.5" customHeight="1" x14ac:dyDescent="0.25">
      <c r="A1865" s="2" t="s">
        <v>3320</v>
      </c>
      <c r="B1865" s="8" t="s">
        <v>3320</v>
      </c>
      <c r="C1865" s="152" t="s">
        <v>102</v>
      </c>
      <c r="D1865" s="2" t="s">
        <v>950</v>
      </c>
      <c r="E1865" s="152" t="s">
        <v>102</v>
      </c>
      <c r="F1865" s="152" t="s">
        <v>103</v>
      </c>
      <c r="G1865" s="152">
        <v>0</v>
      </c>
      <c r="H1865" s="152"/>
      <c r="I1865" s="153">
        <v>1.5540136986301369</v>
      </c>
      <c r="J1865" s="145"/>
      <c r="K1865" s="153" t="s">
        <v>86</v>
      </c>
      <c r="L1865" s="153" t="s">
        <v>86</v>
      </c>
      <c r="M1865" s="153"/>
      <c r="N1865" s="2" t="s">
        <v>57</v>
      </c>
      <c r="O1865" s="2"/>
      <c r="P1865" s="2"/>
    </row>
    <row r="1866" spans="1:16" ht="16.5" customHeight="1" x14ac:dyDescent="0.25">
      <c r="A1866" s="2" t="s">
        <v>3321</v>
      </c>
      <c r="B1866" s="8" t="s">
        <v>3321</v>
      </c>
      <c r="C1866" s="152" t="s">
        <v>102</v>
      </c>
      <c r="D1866" s="2" t="s">
        <v>950</v>
      </c>
      <c r="E1866" s="152" t="s">
        <v>102</v>
      </c>
      <c r="F1866" s="152" t="s">
        <v>103</v>
      </c>
      <c r="G1866" s="152">
        <v>0</v>
      </c>
      <c r="H1866" s="152"/>
      <c r="I1866" s="153">
        <v>2.4686712328767122</v>
      </c>
      <c r="J1866" s="145"/>
      <c r="K1866" s="153" t="s">
        <v>86</v>
      </c>
      <c r="L1866" s="153" t="s">
        <v>86</v>
      </c>
      <c r="M1866" s="153"/>
      <c r="N1866" s="2" t="s">
        <v>57</v>
      </c>
      <c r="O1866" s="2"/>
      <c r="P1866" s="2"/>
    </row>
    <row r="1867" spans="1:16" ht="16.5" customHeight="1" x14ac:dyDescent="0.25">
      <c r="A1867" s="2" t="s">
        <v>3322</v>
      </c>
      <c r="B1867" s="8" t="s">
        <v>3322</v>
      </c>
      <c r="C1867" s="152" t="s">
        <v>102</v>
      </c>
      <c r="D1867" s="2" t="s">
        <v>950</v>
      </c>
      <c r="E1867" s="152" t="s">
        <v>102</v>
      </c>
      <c r="F1867" s="152" t="s">
        <v>103</v>
      </c>
      <c r="G1867" s="152">
        <v>0</v>
      </c>
      <c r="H1867" s="152"/>
      <c r="I1867" s="153">
        <v>7.1368150684931519</v>
      </c>
      <c r="J1867" s="145"/>
      <c r="K1867" s="153" t="s">
        <v>86</v>
      </c>
      <c r="L1867" s="153" t="s">
        <v>86</v>
      </c>
      <c r="M1867" s="153"/>
      <c r="N1867" s="2" t="s">
        <v>57</v>
      </c>
      <c r="O1867" s="2"/>
      <c r="P1867" s="2"/>
    </row>
    <row r="1868" spans="1:16" ht="16.5" customHeight="1" x14ac:dyDescent="0.25">
      <c r="A1868" s="2" t="s">
        <v>3323</v>
      </c>
      <c r="B1868" s="8" t="s">
        <v>3323</v>
      </c>
      <c r="C1868" s="152" t="s">
        <v>102</v>
      </c>
      <c r="D1868" s="2" t="s">
        <v>950</v>
      </c>
      <c r="E1868" s="152" t="s">
        <v>102</v>
      </c>
      <c r="F1868" s="152" t="s">
        <v>103</v>
      </c>
      <c r="G1868" s="152">
        <v>0</v>
      </c>
      <c r="H1868" s="152"/>
      <c r="I1868" s="153">
        <v>9.1578767123287683</v>
      </c>
      <c r="J1868" s="145"/>
      <c r="K1868" s="153" t="s">
        <v>86</v>
      </c>
      <c r="L1868" s="153" t="s">
        <v>86</v>
      </c>
      <c r="M1868" s="153"/>
      <c r="N1868" s="2" t="s">
        <v>57</v>
      </c>
      <c r="O1868" s="2"/>
      <c r="P1868" s="2"/>
    </row>
    <row r="1869" spans="1:16" ht="16.5" customHeight="1" x14ac:dyDescent="0.25">
      <c r="A1869" s="2" t="s">
        <v>3324</v>
      </c>
      <c r="B1869" s="8" t="s">
        <v>3324</v>
      </c>
      <c r="C1869" s="152" t="s">
        <v>102</v>
      </c>
      <c r="D1869" s="2" t="s">
        <v>950</v>
      </c>
      <c r="E1869" s="152" t="s">
        <v>102</v>
      </c>
      <c r="F1869" s="152" t="s">
        <v>103</v>
      </c>
      <c r="G1869" s="152">
        <v>0</v>
      </c>
      <c r="H1869" s="152"/>
      <c r="I1869" s="153">
        <v>12.59801369863014</v>
      </c>
      <c r="J1869" s="145"/>
      <c r="K1869" s="153" t="s">
        <v>86</v>
      </c>
      <c r="L1869" s="153" t="s">
        <v>86</v>
      </c>
      <c r="M1869" s="153"/>
      <c r="N1869" s="2" t="s">
        <v>57</v>
      </c>
      <c r="O1869" s="2"/>
      <c r="P1869" s="2"/>
    </row>
    <row r="1870" spans="1:16" ht="16.5" customHeight="1" x14ac:dyDescent="0.25">
      <c r="A1870" s="2" t="s">
        <v>3325</v>
      </c>
      <c r="B1870" s="8" t="s">
        <v>3325</v>
      </c>
      <c r="C1870" s="152" t="s">
        <v>102</v>
      </c>
      <c r="D1870" s="2" t="s">
        <v>950</v>
      </c>
      <c r="E1870" s="152" t="s">
        <v>102</v>
      </c>
      <c r="F1870" s="152" t="s">
        <v>103</v>
      </c>
      <c r="G1870" s="152">
        <v>0</v>
      </c>
      <c r="H1870" s="152"/>
      <c r="I1870" s="153">
        <v>15.46871232876712</v>
      </c>
      <c r="J1870" s="145"/>
      <c r="K1870" s="153" t="s">
        <v>86</v>
      </c>
      <c r="L1870" s="153" t="s">
        <v>86</v>
      </c>
      <c r="M1870" s="153"/>
      <c r="N1870" s="2" t="s">
        <v>57</v>
      </c>
      <c r="O1870" s="2"/>
      <c r="P1870" s="2"/>
    </row>
    <row r="1871" spans="1:16" ht="16.5" customHeight="1" x14ac:dyDescent="0.25">
      <c r="A1871" s="2" t="s">
        <v>3326</v>
      </c>
      <c r="B1871" s="8" t="s">
        <v>3326</v>
      </c>
      <c r="C1871" s="152" t="s">
        <v>102</v>
      </c>
      <c r="D1871" s="2" t="s">
        <v>950</v>
      </c>
      <c r="E1871" s="152" t="s">
        <v>102</v>
      </c>
      <c r="F1871" s="152" t="s">
        <v>103</v>
      </c>
      <c r="G1871" s="152">
        <v>0</v>
      </c>
      <c r="H1871" s="152"/>
      <c r="I1871" s="153">
        <v>10.026198630136991</v>
      </c>
      <c r="J1871" s="145"/>
      <c r="K1871" s="153" t="s">
        <v>86</v>
      </c>
      <c r="L1871" s="153" t="s">
        <v>86</v>
      </c>
      <c r="M1871" s="153"/>
      <c r="N1871" s="2" t="s">
        <v>57</v>
      </c>
      <c r="O1871" s="2"/>
      <c r="P1871" s="2"/>
    </row>
    <row r="1872" spans="1:16" ht="16.5" customHeight="1" x14ac:dyDescent="0.25">
      <c r="A1872" s="2" t="s">
        <v>3327</v>
      </c>
      <c r="B1872" s="8" t="s">
        <v>3327</v>
      </c>
      <c r="C1872" s="152" t="s">
        <v>102</v>
      </c>
      <c r="D1872" s="2" t="s">
        <v>950</v>
      </c>
      <c r="E1872" s="152" t="s">
        <v>102</v>
      </c>
      <c r="F1872" s="152" t="s">
        <v>103</v>
      </c>
      <c r="G1872" s="152">
        <v>0</v>
      </c>
      <c r="H1872" s="152"/>
      <c r="I1872" s="153">
        <v>11.396301369863011</v>
      </c>
      <c r="J1872" s="145"/>
      <c r="K1872" s="153" t="s">
        <v>86</v>
      </c>
      <c r="L1872" s="153" t="s">
        <v>86</v>
      </c>
      <c r="M1872" s="153"/>
      <c r="N1872" s="2" t="s">
        <v>57</v>
      </c>
      <c r="O1872" s="2"/>
      <c r="P1872" s="2"/>
    </row>
    <row r="1873" spans="1:16" ht="16.5" customHeight="1" x14ac:dyDescent="0.25">
      <c r="A1873" s="2" t="s">
        <v>3328</v>
      </c>
      <c r="B1873" s="8" t="s">
        <v>3328</v>
      </c>
      <c r="C1873" s="152" t="s">
        <v>102</v>
      </c>
      <c r="D1873" s="2" t="s">
        <v>950</v>
      </c>
      <c r="E1873" s="152" t="s">
        <v>102</v>
      </c>
      <c r="F1873" s="152" t="s">
        <v>103</v>
      </c>
      <c r="G1873" s="152">
        <v>0</v>
      </c>
      <c r="H1873" s="152"/>
      <c r="I1873" s="153">
        <v>13.249349315068489</v>
      </c>
      <c r="J1873" s="145"/>
      <c r="K1873" s="153" t="s">
        <v>86</v>
      </c>
      <c r="L1873" s="153" t="s">
        <v>86</v>
      </c>
      <c r="M1873" s="153"/>
      <c r="N1873" s="2" t="s">
        <v>57</v>
      </c>
      <c r="O1873" s="2"/>
      <c r="P1873" s="2"/>
    </row>
    <row r="1874" spans="1:16" ht="16.5" customHeight="1" x14ac:dyDescent="0.25">
      <c r="A1874" s="2" t="s">
        <v>3329</v>
      </c>
      <c r="B1874" s="8" t="s">
        <v>3329</v>
      </c>
      <c r="C1874" s="152" t="s">
        <v>102</v>
      </c>
      <c r="D1874" s="2" t="s">
        <v>950</v>
      </c>
      <c r="E1874" s="152" t="s">
        <v>102</v>
      </c>
      <c r="F1874" s="152" t="s">
        <v>103</v>
      </c>
      <c r="G1874" s="152">
        <v>0</v>
      </c>
      <c r="H1874" s="152"/>
      <c r="I1874" s="153">
        <v>2.007852564102564</v>
      </c>
      <c r="J1874" s="145"/>
      <c r="K1874" s="153" t="s">
        <v>86</v>
      </c>
      <c r="L1874" s="153" t="s">
        <v>86</v>
      </c>
      <c r="M1874" s="153"/>
      <c r="N1874" s="2" t="s">
        <v>57</v>
      </c>
      <c r="O1874" s="2"/>
      <c r="P1874" s="2"/>
    </row>
    <row r="1875" spans="1:16" ht="16.5" customHeight="1" x14ac:dyDescent="0.25">
      <c r="A1875" s="2" t="s">
        <v>3330</v>
      </c>
      <c r="B1875" s="8" t="s">
        <v>3330</v>
      </c>
      <c r="C1875" s="152" t="s">
        <v>102</v>
      </c>
      <c r="D1875" s="2" t="s">
        <v>950</v>
      </c>
      <c r="E1875" s="152" t="s">
        <v>102</v>
      </c>
      <c r="F1875" s="152" t="s">
        <v>103</v>
      </c>
      <c r="G1875" s="152">
        <v>0</v>
      </c>
      <c r="H1875" s="152"/>
      <c r="I1875" s="153">
        <v>2.101753424657534</v>
      </c>
      <c r="J1875" s="145"/>
      <c r="K1875" s="153" t="s">
        <v>86</v>
      </c>
      <c r="L1875" s="153" t="s">
        <v>86</v>
      </c>
      <c r="M1875" s="153"/>
      <c r="N1875" s="2" t="s">
        <v>57</v>
      </c>
      <c r="O1875" s="2"/>
      <c r="P1875" s="2"/>
    </row>
    <row r="1876" spans="1:16" ht="16.5" customHeight="1" x14ac:dyDescent="0.25">
      <c r="A1876" s="2" t="s">
        <v>3331</v>
      </c>
      <c r="B1876" s="8" t="s">
        <v>3331</v>
      </c>
      <c r="C1876" s="152" t="s">
        <v>102</v>
      </c>
      <c r="D1876" s="2" t="s">
        <v>950</v>
      </c>
      <c r="E1876" s="152" t="s">
        <v>102</v>
      </c>
      <c r="F1876" s="152" t="s">
        <v>103</v>
      </c>
      <c r="G1876" s="152">
        <v>0</v>
      </c>
      <c r="H1876" s="152"/>
      <c r="I1876" s="153">
        <v>3.6537328767123292</v>
      </c>
      <c r="J1876" s="145"/>
      <c r="K1876" s="153" t="s">
        <v>86</v>
      </c>
      <c r="L1876" s="153" t="s">
        <v>86</v>
      </c>
      <c r="M1876" s="153"/>
      <c r="N1876" s="2" t="s">
        <v>57</v>
      </c>
      <c r="O1876" s="2"/>
      <c r="P1876" s="2"/>
    </row>
    <row r="1877" spans="1:16" ht="16.5" customHeight="1" x14ac:dyDescent="0.25">
      <c r="A1877" s="2" t="s">
        <v>3332</v>
      </c>
      <c r="B1877" s="8" t="s">
        <v>3332</v>
      </c>
      <c r="C1877" s="152" t="s">
        <v>102</v>
      </c>
      <c r="D1877" s="2" t="s">
        <v>950</v>
      </c>
      <c r="E1877" s="152" t="s">
        <v>102</v>
      </c>
      <c r="F1877" s="152" t="s">
        <v>103</v>
      </c>
      <c r="G1877" s="152">
        <v>0</v>
      </c>
      <c r="H1877" s="152"/>
      <c r="I1877" s="153">
        <v>2.7394230769230772</v>
      </c>
      <c r="J1877" s="145"/>
      <c r="K1877" s="153" t="s">
        <v>86</v>
      </c>
      <c r="L1877" s="153" t="s">
        <v>86</v>
      </c>
      <c r="M1877" s="153"/>
      <c r="N1877" s="2" t="s">
        <v>57</v>
      </c>
      <c r="O1877" s="2"/>
      <c r="P1877" s="2"/>
    </row>
    <row r="1878" spans="1:16" ht="16.5" customHeight="1" x14ac:dyDescent="0.25">
      <c r="A1878" s="2" t="s">
        <v>3333</v>
      </c>
      <c r="B1878" s="8" t="s">
        <v>3333</v>
      </c>
      <c r="C1878" s="152" t="s">
        <v>102</v>
      </c>
      <c r="D1878" s="2" t="s">
        <v>950</v>
      </c>
      <c r="E1878" s="152" t="s">
        <v>102</v>
      </c>
      <c r="F1878" s="152" t="s">
        <v>103</v>
      </c>
      <c r="G1878" s="152">
        <v>0</v>
      </c>
      <c r="H1878" s="152"/>
      <c r="I1878" s="153">
        <v>4.674397260273973</v>
      </c>
      <c r="J1878" s="145"/>
      <c r="K1878" s="153" t="s">
        <v>86</v>
      </c>
      <c r="L1878" s="153" t="s">
        <v>86</v>
      </c>
      <c r="M1878" s="153"/>
      <c r="N1878" s="2" t="s">
        <v>57</v>
      </c>
      <c r="O1878" s="2"/>
      <c r="P1878" s="2"/>
    </row>
    <row r="1879" spans="1:16" ht="16.5" customHeight="1" x14ac:dyDescent="0.25">
      <c r="A1879" s="2" t="s">
        <v>3334</v>
      </c>
      <c r="B1879" s="8" t="s">
        <v>3334</v>
      </c>
      <c r="C1879" s="152" t="s">
        <v>102</v>
      </c>
      <c r="D1879" s="2" t="s">
        <v>950</v>
      </c>
      <c r="E1879" s="152" t="s">
        <v>102</v>
      </c>
      <c r="F1879" s="152" t="s">
        <v>103</v>
      </c>
      <c r="G1879" s="152">
        <v>0</v>
      </c>
      <c r="H1879" s="152"/>
      <c r="I1879" s="153">
        <v>2.9245192307692309</v>
      </c>
      <c r="J1879" s="145"/>
      <c r="K1879" s="153" t="s">
        <v>86</v>
      </c>
      <c r="L1879" s="153" t="s">
        <v>86</v>
      </c>
      <c r="M1879" s="153"/>
      <c r="N1879" s="2" t="s">
        <v>57</v>
      </c>
      <c r="O1879" s="2"/>
      <c r="P1879" s="2"/>
    </row>
    <row r="1880" spans="1:16" ht="16.5" customHeight="1" x14ac:dyDescent="0.25">
      <c r="A1880" s="2" t="s">
        <v>3335</v>
      </c>
      <c r="B1880" s="8" t="s">
        <v>3335</v>
      </c>
      <c r="C1880" s="152" t="s">
        <v>102</v>
      </c>
      <c r="D1880" s="2" t="s">
        <v>950</v>
      </c>
      <c r="E1880" s="152" t="s">
        <v>102</v>
      </c>
      <c r="F1880" s="152" t="s">
        <v>103</v>
      </c>
      <c r="G1880" s="152">
        <v>0</v>
      </c>
      <c r="H1880" s="152"/>
      <c r="I1880" s="153">
        <v>4.3487671232876721</v>
      </c>
      <c r="J1880" s="145"/>
      <c r="K1880" s="153" t="s">
        <v>86</v>
      </c>
      <c r="L1880" s="153" t="s">
        <v>86</v>
      </c>
      <c r="M1880" s="153"/>
      <c r="N1880" s="2" t="s">
        <v>57</v>
      </c>
      <c r="O1880" s="2"/>
      <c r="P1880" s="2"/>
    </row>
    <row r="1881" spans="1:16" ht="16.5" customHeight="1" x14ac:dyDescent="0.25">
      <c r="A1881" s="2" t="s">
        <v>3336</v>
      </c>
      <c r="B1881" s="8" t="s">
        <v>3336</v>
      </c>
      <c r="C1881" s="152" t="s">
        <v>102</v>
      </c>
      <c r="D1881" s="2" t="s">
        <v>950</v>
      </c>
      <c r="E1881" s="152" t="s">
        <v>102</v>
      </c>
      <c r="F1881" s="152" t="s">
        <v>103</v>
      </c>
      <c r="G1881" s="152">
        <v>0</v>
      </c>
      <c r="H1881" s="152"/>
      <c r="I1881" s="153">
        <v>8.2102191780821929</v>
      </c>
      <c r="J1881" s="145"/>
      <c r="K1881" s="153" t="s">
        <v>86</v>
      </c>
      <c r="L1881" s="153" t="s">
        <v>86</v>
      </c>
      <c r="M1881" s="153"/>
      <c r="N1881" s="2" t="s">
        <v>57</v>
      </c>
      <c r="O1881" s="2"/>
      <c r="P1881" s="2"/>
    </row>
    <row r="1882" spans="1:16" ht="16.5" customHeight="1" x14ac:dyDescent="0.25">
      <c r="A1882" s="2" t="s">
        <v>3337</v>
      </c>
      <c r="B1882" s="8" t="s">
        <v>3337</v>
      </c>
      <c r="C1882" s="152" t="s">
        <v>102</v>
      </c>
      <c r="D1882" s="2" t="s">
        <v>950</v>
      </c>
      <c r="E1882" s="152" t="s">
        <v>102</v>
      </c>
      <c r="F1882" s="152" t="s">
        <v>103</v>
      </c>
      <c r="G1882" s="152">
        <v>0</v>
      </c>
      <c r="H1882" s="152"/>
      <c r="I1882" s="153">
        <v>5.5564102564102571</v>
      </c>
      <c r="J1882" s="145"/>
      <c r="K1882" s="153" t="s">
        <v>86</v>
      </c>
      <c r="L1882" s="153" t="s">
        <v>86</v>
      </c>
      <c r="M1882" s="153"/>
      <c r="N1882" s="2" t="s">
        <v>57</v>
      </c>
      <c r="O1882" s="2"/>
      <c r="P1882" s="2"/>
    </row>
    <row r="1883" spans="1:16" ht="16.5" customHeight="1" x14ac:dyDescent="0.25">
      <c r="A1883" s="2" t="s">
        <v>3338</v>
      </c>
      <c r="B1883" s="8" t="s">
        <v>3338</v>
      </c>
      <c r="C1883" s="152" t="s">
        <v>102</v>
      </c>
      <c r="D1883" s="2" t="s">
        <v>950</v>
      </c>
      <c r="E1883" s="152" t="s">
        <v>102</v>
      </c>
      <c r="F1883" s="152" t="s">
        <v>103</v>
      </c>
      <c r="G1883" s="152">
        <v>0</v>
      </c>
      <c r="H1883" s="152"/>
      <c r="I1883" s="153">
        <v>10.40628205128205</v>
      </c>
      <c r="J1883" s="145"/>
      <c r="K1883" s="153" t="s">
        <v>86</v>
      </c>
      <c r="L1883" s="153" t="s">
        <v>86</v>
      </c>
      <c r="M1883" s="153"/>
      <c r="N1883" s="2" t="s">
        <v>57</v>
      </c>
      <c r="O1883" s="2"/>
      <c r="P1883" s="2"/>
    </row>
    <row r="1884" spans="1:16" ht="16.5" customHeight="1" x14ac:dyDescent="0.25">
      <c r="A1884" s="2" t="s">
        <v>3339</v>
      </c>
      <c r="B1884" s="8" t="s">
        <v>3339</v>
      </c>
      <c r="C1884" s="152" t="s">
        <v>102</v>
      </c>
      <c r="D1884" s="2" t="s">
        <v>950</v>
      </c>
      <c r="E1884" s="152" t="s">
        <v>102</v>
      </c>
      <c r="F1884" s="152" t="s">
        <v>103</v>
      </c>
      <c r="G1884" s="152">
        <v>0</v>
      </c>
      <c r="H1884" s="152"/>
      <c r="I1884" s="153">
        <v>13.201732876712329</v>
      </c>
      <c r="J1884" s="145"/>
      <c r="K1884" s="153" t="s">
        <v>86</v>
      </c>
      <c r="L1884" s="153" t="s">
        <v>86</v>
      </c>
      <c r="M1884" s="153"/>
      <c r="N1884" s="2" t="s">
        <v>57</v>
      </c>
      <c r="O1884" s="2"/>
      <c r="P1884" s="2"/>
    </row>
    <row r="1885" spans="1:16" ht="16.5" customHeight="1" x14ac:dyDescent="0.25">
      <c r="A1885" s="2" t="s">
        <v>3340</v>
      </c>
      <c r="B1885" s="8" t="s">
        <v>3340</v>
      </c>
      <c r="C1885" s="152" t="s">
        <v>102</v>
      </c>
      <c r="D1885" s="2" t="s">
        <v>950</v>
      </c>
      <c r="E1885" s="152" t="s">
        <v>102</v>
      </c>
      <c r="F1885" s="152" t="s">
        <v>103</v>
      </c>
      <c r="G1885" s="152">
        <v>0</v>
      </c>
      <c r="H1885" s="152"/>
      <c r="I1885" s="153">
        <v>25.690993589743591</v>
      </c>
      <c r="J1885" s="145"/>
      <c r="K1885" s="153" t="s">
        <v>86</v>
      </c>
      <c r="L1885" s="153" t="s">
        <v>86</v>
      </c>
      <c r="M1885" s="153"/>
      <c r="N1885" s="2" t="s">
        <v>57</v>
      </c>
      <c r="O1885" s="2"/>
      <c r="P1885" s="2"/>
    </row>
    <row r="1886" spans="1:16" ht="16.5" customHeight="1" x14ac:dyDescent="0.25">
      <c r="A1886" s="2" t="s">
        <v>3341</v>
      </c>
      <c r="B1886" s="8" t="s">
        <v>3341</v>
      </c>
      <c r="C1886" s="152" t="s">
        <v>102</v>
      </c>
      <c r="D1886" s="2" t="s">
        <v>950</v>
      </c>
      <c r="E1886" s="152" t="s">
        <v>102</v>
      </c>
      <c r="F1886" s="152" t="s">
        <v>103</v>
      </c>
      <c r="G1886" s="152">
        <v>0</v>
      </c>
      <c r="H1886" s="152"/>
      <c r="I1886" s="153">
        <v>18.006095890410961</v>
      </c>
      <c r="J1886" s="145"/>
      <c r="K1886" s="153" t="s">
        <v>86</v>
      </c>
      <c r="L1886" s="153" t="s">
        <v>86</v>
      </c>
      <c r="M1886" s="153"/>
      <c r="N1886" s="2" t="s">
        <v>57</v>
      </c>
      <c r="O1886" s="2"/>
      <c r="P1886" s="2"/>
    </row>
    <row r="1887" spans="1:16" ht="16.5" customHeight="1" x14ac:dyDescent="0.25">
      <c r="A1887" s="2" t="s">
        <v>3342</v>
      </c>
      <c r="B1887" s="8" t="s">
        <v>3342</v>
      </c>
      <c r="C1887" s="152" t="s">
        <v>102</v>
      </c>
      <c r="D1887" s="2" t="s">
        <v>950</v>
      </c>
      <c r="E1887" s="152" t="s">
        <v>102</v>
      </c>
      <c r="F1887" s="152" t="s">
        <v>103</v>
      </c>
      <c r="G1887" s="152">
        <v>0</v>
      </c>
      <c r="H1887" s="152"/>
      <c r="I1887" s="153">
        <v>6.8750000000000009</v>
      </c>
      <c r="J1887" s="145"/>
      <c r="K1887" s="153" t="s">
        <v>86</v>
      </c>
      <c r="L1887" s="153" t="s">
        <v>86</v>
      </c>
      <c r="M1887" s="153"/>
      <c r="N1887" s="2" t="s">
        <v>57</v>
      </c>
      <c r="O1887" s="2"/>
      <c r="P1887" s="2"/>
    </row>
    <row r="1888" spans="1:16" ht="16.5" customHeight="1" x14ac:dyDescent="0.25">
      <c r="A1888" s="2" t="s">
        <v>3343</v>
      </c>
      <c r="B1888" s="8" t="s">
        <v>3343</v>
      </c>
      <c r="C1888" s="152" t="s">
        <v>102</v>
      </c>
      <c r="D1888" s="2" t="s">
        <v>950</v>
      </c>
      <c r="E1888" s="152" t="s">
        <v>102</v>
      </c>
      <c r="F1888" s="152" t="s">
        <v>103</v>
      </c>
      <c r="G1888" s="152">
        <v>0</v>
      </c>
      <c r="H1888" s="152"/>
      <c r="I1888" s="153">
        <v>13.57445205479452</v>
      </c>
      <c r="J1888" s="145"/>
      <c r="K1888" s="153" t="s">
        <v>86</v>
      </c>
      <c r="L1888" s="153" t="s">
        <v>86</v>
      </c>
      <c r="M1888" s="153"/>
      <c r="N1888" s="2" t="s">
        <v>57</v>
      </c>
      <c r="O1888" s="2"/>
      <c r="P1888" s="2"/>
    </row>
    <row r="1889" spans="1:16" ht="16.5" customHeight="1" x14ac:dyDescent="0.25">
      <c r="A1889" s="2" t="s">
        <v>3344</v>
      </c>
      <c r="B1889" s="8" t="s">
        <v>3344</v>
      </c>
      <c r="C1889" s="152" t="s">
        <v>102</v>
      </c>
      <c r="D1889" s="2" t="s">
        <v>950</v>
      </c>
      <c r="E1889" s="152" t="s">
        <v>102</v>
      </c>
      <c r="F1889" s="152" t="s">
        <v>103</v>
      </c>
      <c r="G1889" s="152">
        <v>0</v>
      </c>
      <c r="H1889" s="152"/>
      <c r="I1889" s="153">
        <v>8.7548717948717947</v>
      </c>
      <c r="J1889" s="145"/>
      <c r="K1889" s="153" t="s">
        <v>86</v>
      </c>
      <c r="L1889" s="153" t="s">
        <v>86</v>
      </c>
      <c r="M1889" s="153"/>
      <c r="N1889" s="2" t="s">
        <v>57</v>
      </c>
      <c r="O1889" s="2"/>
      <c r="P1889" s="2"/>
    </row>
    <row r="1890" spans="1:16" ht="16.5" customHeight="1" x14ac:dyDescent="0.25">
      <c r="A1890" s="2" t="s">
        <v>3345</v>
      </c>
      <c r="B1890" s="8" t="s">
        <v>3345</v>
      </c>
      <c r="C1890" s="152" t="s">
        <v>102</v>
      </c>
      <c r="D1890" s="2" t="s">
        <v>950</v>
      </c>
      <c r="E1890" s="152" t="s">
        <v>102</v>
      </c>
      <c r="F1890" s="152" t="s">
        <v>103</v>
      </c>
      <c r="G1890" s="152">
        <v>0</v>
      </c>
      <c r="H1890" s="152"/>
      <c r="I1890" s="153">
        <v>13.52435897435898</v>
      </c>
      <c r="J1890" s="145"/>
      <c r="K1890" s="153" t="s">
        <v>86</v>
      </c>
      <c r="L1890" s="153" t="s">
        <v>86</v>
      </c>
      <c r="M1890" s="153"/>
      <c r="N1890" s="2" t="s">
        <v>57</v>
      </c>
      <c r="O1890" s="2"/>
      <c r="P1890" s="2"/>
    </row>
    <row r="1891" spans="1:16" ht="16.5" customHeight="1" x14ac:dyDescent="0.25">
      <c r="A1891" s="2" t="s">
        <v>3346</v>
      </c>
      <c r="B1891" s="8" t="s">
        <v>3346</v>
      </c>
      <c r="C1891" s="152" t="s">
        <v>102</v>
      </c>
      <c r="D1891" s="2" t="s">
        <v>278</v>
      </c>
      <c r="E1891" s="152" t="s">
        <v>102</v>
      </c>
      <c r="F1891" s="152" t="s">
        <v>103</v>
      </c>
      <c r="G1891" s="152">
        <v>0</v>
      </c>
      <c r="H1891" s="152"/>
      <c r="I1891" s="153">
        <v>16.119935897435901</v>
      </c>
      <c r="J1891" s="145"/>
      <c r="K1891" s="153" t="s">
        <v>86</v>
      </c>
      <c r="L1891" s="153" t="s">
        <v>86</v>
      </c>
      <c r="M1891" s="153"/>
      <c r="N1891" s="2" t="s">
        <v>57</v>
      </c>
      <c r="O1891" s="2"/>
      <c r="P1891" s="2"/>
    </row>
    <row r="1892" spans="1:16" ht="16.5" customHeight="1" x14ac:dyDescent="0.25">
      <c r="A1892" s="2" t="s">
        <v>3347</v>
      </c>
      <c r="B1892" s="8" t="s">
        <v>3347</v>
      </c>
      <c r="C1892" s="152" t="s">
        <v>102</v>
      </c>
      <c r="D1892" s="2" t="s">
        <v>278</v>
      </c>
      <c r="E1892" s="152" t="s">
        <v>102</v>
      </c>
      <c r="F1892" s="152" t="s">
        <v>103</v>
      </c>
      <c r="G1892" s="152">
        <v>0</v>
      </c>
      <c r="H1892" s="152"/>
      <c r="I1892" s="153">
        <v>25.990320512820521</v>
      </c>
      <c r="J1892" s="145"/>
      <c r="K1892" s="153" t="s">
        <v>86</v>
      </c>
      <c r="L1892" s="153" t="s">
        <v>86</v>
      </c>
      <c r="M1892" s="153"/>
      <c r="N1892" s="2" t="s">
        <v>57</v>
      </c>
      <c r="O1892" s="2"/>
      <c r="P1892" s="2"/>
    </row>
    <row r="1893" spans="1:16" ht="16.5" customHeight="1" x14ac:dyDescent="0.25">
      <c r="A1893" s="2" t="s">
        <v>3348</v>
      </c>
      <c r="B1893" s="8" t="s">
        <v>3348</v>
      </c>
      <c r="C1893" s="152" t="s">
        <v>102</v>
      </c>
      <c r="D1893" s="2" t="s">
        <v>278</v>
      </c>
      <c r="E1893" s="152" t="s">
        <v>102</v>
      </c>
      <c r="F1893" s="152" t="s">
        <v>103</v>
      </c>
      <c r="G1893" s="152">
        <v>0</v>
      </c>
      <c r="H1893" s="152"/>
      <c r="I1893" s="153">
        <v>56.566794871794883</v>
      </c>
      <c r="J1893" s="145"/>
      <c r="K1893" s="153" t="s">
        <v>86</v>
      </c>
      <c r="L1893" s="153" t="s">
        <v>86</v>
      </c>
      <c r="M1893" s="153"/>
      <c r="N1893" s="2" t="s">
        <v>57</v>
      </c>
      <c r="O1893" s="2"/>
      <c r="P1893" s="2"/>
    </row>
    <row r="1894" spans="1:16" ht="16.5" customHeight="1" x14ac:dyDescent="0.25">
      <c r="A1894" s="2" t="s">
        <v>3349</v>
      </c>
      <c r="B1894" s="8" t="s">
        <v>3349</v>
      </c>
      <c r="C1894" s="152" t="s">
        <v>102</v>
      </c>
      <c r="D1894" s="2" t="s">
        <v>201</v>
      </c>
      <c r="E1894" s="152" t="s">
        <v>102</v>
      </c>
      <c r="F1894" s="152" t="s">
        <v>103</v>
      </c>
      <c r="G1894" s="152">
        <v>0</v>
      </c>
      <c r="H1894" s="152"/>
      <c r="I1894" s="153">
        <v>13.95869863013699</v>
      </c>
      <c r="J1894" s="145"/>
      <c r="K1894" s="153" t="s">
        <v>86</v>
      </c>
      <c r="L1894" s="153" t="s">
        <v>86</v>
      </c>
      <c r="M1894" s="153"/>
      <c r="N1894" s="2" t="s">
        <v>57</v>
      </c>
      <c r="O1894" s="2"/>
      <c r="P1894" s="2"/>
    </row>
    <row r="1895" spans="1:16" ht="16.5" customHeight="1" x14ac:dyDescent="0.25">
      <c r="A1895" s="2" t="s">
        <v>3350</v>
      </c>
      <c r="B1895" s="8" t="s">
        <v>3350</v>
      </c>
      <c r="C1895" s="152" t="s">
        <v>102</v>
      </c>
      <c r="D1895" s="2" t="s">
        <v>201</v>
      </c>
      <c r="E1895" s="152" t="s">
        <v>102</v>
      </c>
      <c r="F1895" s="152" t="s">
        <v>103</v>
      </c>
      <c r="G1895" s="152">
        <v>0</v>
      </c>
      <c r="H1895" s="152"/>
      <c r="I1895" s="153">
        <v>31.46211538461538</v>
      </c>
      <c r="J1895" s="145"/>
      <c r="K1895" s="153">
        <v>-7.9261280123385376</v>
      </c>
      <c r="L1895" s="153">
        <v>-14.914779648226681</v>
      </c>
      <c r="M1895" s="153"/>
      <c r="N1895" s="2" t="s">
        <v>57</v>
      </c>
      <c r="O1895" s="2"/>
      <c r="P1895" s="2"/>
    </row>
    <row r="1896" spans="1:16" ht="16.5" customHeight="1" x14ac:dyDescent="0.25">
      <c r="A1896" s="2" t="s">
        <v>3351</v>
      </c>
      <c r="B1896" s="8" t="s">
        <v>3351</v>
      </c>
      <c r="C1896" s="152" t="s">
        <v>102</v>
      </c>
      <c r="D1896" s="2" t="s">
        <v>3352</v>
      </c>
      <c r="E1896" s="152" t="s">
        <v>102</v>
      </c>
      <c r="F1896" s="152" t="s">
        <v>103</v>
      </c>
      <c r="G1896" s="152">
        <v>0</v>
      </c>
      <c r="H1896" s="152"/>
      <c r="I1896" s="153">
        <v>1.604166666666667</v>
      </c>
      <c r="J1896" s="145"/>
      <c r="K1896" s="153" t="s">
        <v>86</v>
      </c>
      <c r="L1896" s="153" t="s">
        <v>86</v>
      </c>
      <c r="M1896" s="153"/>
      <c r="N1896" s="2" t="s">
        <v>57</v>
      </c>
      <c r="O1896" s="2"/>
      <c r="P1896" s="2"/>
    </row>
    <row r="1897" spans="1:16" ht="16.5" customHeight="1" x14ac:dyDescent="0.25">
      <c r="A1897" s="2" t="s">
        <v>3353</v>
      </c>
      <c r="B1897" s="8" t="s">
        <v>3353</v>
      </c>
      <c r="C1897" s="152" t="s">
        <v>102</v>
      </c>
      <c r="D1897" s="2" t="s">
        <v>3352</v>
      </c>
      <c r="E1897" s="152" t="s">
        <v>102</v>
      </c>
      <c r="F1897" s="152" t="s">
        <v>103</v>
      </c>
      <c r="G1897" s="152">
        <v>0</v>
      </c>
      <c r="H1897" s="152"/>
      <c r="I1897" s="153">
        <v>1.0929487179487181</v>
      </c>
      <c r="J1897" s="145"/>
      <c r="K1897" s="153" t="s">
        <v>86</v>
      </c>
      <c r="L1897" s="153" t="s">
        <v>86</v>
      </c>
      <c r="M1897" s="153"/>
      <c r="N1897" s="2" t="s">
        <v>57</v>
      </c>
      <c r="O1897" s="2"/>
      <c r="P1897" s="2"/>
    </row>
    <row r="1898" spans="1:16" ht="16.5" customHeight="1" x14ac:dyDescent="0.25">
      <c r="A1898" s="2" t="s">
        <v>3354</v>
      </c>
      <c r="B1898" s="8" t="s">
        <v>3354</v>
      </c>
      <c r="C1898" s="152" t="s">
        <v>102</v>
      </c>
      <c r="D1898" s="2" t="s">
        <v>3352</v>
      </c>
      <c r="E1898" s="152" t="s">
        <v>102</v>
      </c>
      <c r="F1898" s="152" t="s">
        <v>103</v>
      </c>
      <c r="G1898" s="152">
        <v>0</v>
      </c>
      <c r="H1898" s="152"/>
      <c r="I1898" s="153">
        <v>1.3926282051282051</v>
      </c>
      <c r="J1898" s="145"/>
      <c r="K1898" s="153" t="s">
        <v>86</v>
      </c>
      <c r="L1898" s="153" t="s">
        <v>86</v>
      </c>
      <c r="M1898" s="153"/>
      <c r="N1898" s="2" t="s">
        <v>57</v>
      </c>
      <c r="O1898" s="2"/>
      <c r="P1898" s="2"/>
    </row>
    <row r="1899" spans="1:16" ht="16.5" customHeight="1" x14ac:dyDescent="0.25">
      <c r="A1899" s="2" t="s">
        <v>3355</v>
      </c>
      <c r="B1899" s="8" t="s">
        <v>3355</v>
      </c>
      <c r="C1899" s="152" t="s">
        <v>102</v>
      </c>
      <c r="D1899" s="2" t="s">
        <v>3352</v>
      </c>
      <c r="E1899" s="152" t="s">
        <v>102</v>
      </c>
      <c r="F1899" s="152" t="s">
        <v>103</v>
      </c>
      <c r="G1899" s="152">
        <v>0</v>
      </c>
      <c r="H1899" s="152"/>
      <c r="I1899" s="153">
        <v>2.210576923076923</v>
      </c>
      <c r="J1899" s="145"/>
      <c r="K1899" s="153" t="s">
        <v>86</v>
      </c>
      <c r="L1899" s="153" t="s">
        <v>86</v>
      </c>
      <c r="M1899" s="153"/>
      <c r="N1899" s="2" t="s">
        <v>57</v>
      </c>
      <c r="O1899" s="2"/>
      <c r="P1899" s="2"/>
    </row>
    <row r="1900" spans="1:16" ht="16.5" customHeight="1" x14ac:dyDescent="0.25">
      <c r="A1900" s="2" t="s">
        <v>3356</v>
      </c>
      <c r="B1900" s="8" t="s">
        <v>3356</v>
      </c>
      <c r="C1900" s="152" t="s">
        <v>102</v>
      </c>
      <c r="D1900" s="2" t="s">
        <v>3352</v>
      </c>
      <c r="E1900" s="152" t="s">
        <v>102</v>
      </c>
      <c r="F1900" s="152" t="s">
        <v>103</v>
      </c>
      <c r="G1900" s="152">
        <v>0</v>
      </c>
      <c r="H1900" s="152"/>
      <c r="I1900" s="153">
        <v>1.1987179487179489</v>
      </c>
      <c r="J1900" s="145"/>
      <c r="K1900" s="153" t="s">
        <v>86</v>
      </c>
      <c r="L1900" s="153" t="s">
        <v>86</v>
      </c>
      <c r="M1900" s="153"/>
      <c r="N1900" s="2" t="s">
        <v>57</v>
      </c>
      <c r="O1900" s="2"/>
      <c r="P1900" s="2"/>
    </row>
    <row r="1901" spans="1:16" ht="16.5" customHeight="1" x14ac:dyDescent="0.25">
      <c r="A1901" s="2" t="s">
        <v>3357</v>
      </c>
      <c r="B1901" s="8" t="s">
        <v>3357</v>
      </c>
      <c r="C1901" s="152" t="s">
        <v>102</v>
      </c>
      <c r="D1901" s="2" t="s">
        <v>3352</v>
      </c>
      <c r="E1901" s="152" t="s">
        <v>102</v>
      </c>
      <c r="F1901" s="152" t="s">
        <v>103</v>
      </c>
      <c r="G1901" s="152">
        <v>0</v>
      </c>
      <c r="H1901" s="152"/>
      <c r="I1901" s="153">
        <v>1.530128205128205</v>
      </c>
      <c r="J1901" s="145"/>
      <c r="K1901" s="153" t="s">
        <v>86</v>
      </c>
      <c r="L1901" s="153" t="s">
        <v>86</v>
      </c>
      <c r="M1901" s="153"/>
      <c r="N1901" s="2" t="s">
        <v>57</v>
      </c>
      <c r="O1901" s="2"/>
      <c r="P1901" s="2"/>
    </row>
    <row r="1902" spans="1:16" ht="16.5" customHeight="1" x14ac:dyDescent="0.25">
      <c r="A1902" s="2" t="s">
        <v>3358</v>
      </c>
      <c r="B1902" s="8" t="s">
        <v>3358</v>
      </c>
      <c r="C1902" s="152" t="s">
        <v>102</v>
      </c>
      <c r="D1902" s="2" t="s">
        <v>3352</v>
      </c>
      <c r="E1902" s="152" t="s">
        <v>102</v>
      </c>
      <c r="F1902" s="152" t="s">
        <v>103</v>
      </c>
      <c r="G1902" s="152">
        <v>0</v>
      </c>
      <c r="H1902" s="152"/>
      <c r="I1902" s="153">
        <v>1.2516025641025641</v>
      </c>
      <c r="J1902" s="145"/>
      <c r="K1902" s="153" t="s">
        <v>86</v>
      </c>
      <c r="L1902" s="153" t="s">
        <v>86</v>
      </c>
      <c r="M1902" s="153"/>
      <c r="N1902" s="2" t="s">
        <v>57</v>
      </c>
      <c r="O1902" s="2"/>
      <c r="P1902" s="2"/>
    </row>
    <row r="1903" spans="1:16" ht="16.5" customHeight="1" x14ac:dyDescent="0.25">
      <c r="A1903" s="2" t="s">
        <v>3359</v>
      </c>
      <c r="B1903" s="8" t="s">
        <v>3359</v>
      </c>
      <c r="C1903" s="152" t="s">
        <v>102</v>
      </c>
      <c r="D1903" s="2" t="s">
        <v>3352</v>
      </c>
      <c r="E1903" s="152" t="s">
        <v>102</v>
      </c>
      <c r="F1903" s="152" t="s">
        <v>103</v>
      </c>
      <c r="G1903" s="152">
        <v>0</v>
      </c>
      <c r="H1903" s="152"/>
      <c r="I1903" s="153">
        <v>2.5560897435897441</v>
      </c>
      <c r="J1903" s="145"/>
      <c r="K1903" s="153" t="s">
        <v>86</v>
      </c>
      <c r="L1903" s="153" t="s">
        <v>86</v>
      </c>
      <c r="M1903" s="153"/>
      <c r="N1903" s="2" t="s">
        <v>57</v>
      </c>
      <c r="O1903" s="2"/>
      <c r="P1903" s="2"/>
    </row>
    <row r="1904" spans="1:16" ht="16.5" customHeight="1" x14ac:dyDescent="0.25">
      <c r="A1904" s="2" t="s">
        <v>3360</v>
      </c>
      <c r="B1904" s="8" t="s">
        <v>3360</v>
      </c>
      <c r="C1904" s="152" t="s">
        <v>102</v>
      </c>
      <c r="D1904" s="2" t="s">
        <v>232</v>
      </c>
      <c r="E1904" s="152" t="s">
        <v>102</v>
      </c>
      <c r="F1904" s="152" t="s">
        <v>103</v>
      </c>
      <c r="G1904" s="152">
        <v>0</v>
      </c>
      <c r="H1904" s="152"/>
      <c r="I1904" s="153">
        <v>4.3947260273972599</v>
      </c>
      <c r="J1904" s="145"/>
      <c r="K1904" s="153" t="s">
        <v>86</v>
      </c>
      <c r="L1904" s="153" t="s">
        <v>86</v>
      </c>
      <c r="M1904" s="153"/>
      <c r="N1904" s="2" t="s">
        <v>57</v>
      </c>
      <c r="O1904" s="2"/>
      <c r="P1904" s="2"/>
    </row>
    <row r="1905" spans="1:16" ht="16.5" customHeight="1" x14ac:dyDescent="0.25">
      <c r="A1905" s="2" t="s">
        <v>3361</v>
      </c>
      <c r="B1905" s="8" t="s">
        <v>3361</v>
      </c>
      <c r="C1905" s="152" t="s">
        <v>102</v>
      </c>
      <c r="D1905" s="2" t="s">
        <v>232</v>
      </c>
      <c r="E1905" s="152" t="s">
        <v>102</v>
      </c>
      <c r="F1905" s="152" t="s">
        <v>103</v>
      </c>
      <c r="G1905" s="152">
        <v>0</v>
      </c>
      <c r="H1905" s="152"/>
      <c r="I1905" s="153">
        <v>6.5555479452054799</v>
      </c>
      <c r="J1905" s="145"/>
      <c r="K1905" s="153" t="s">
        <v>86</v>
      </c>
      <c r="L1905" s="153" t="s">
        <v>86</v>
      </c>
      <c r="M1905" s="153"/>
      <c r="N1905" s="2" t="s">
        <v>57</v>
      </c>
      <c r="O1905" s="2"/>
      <c r="P1905" s="2"/>
    </row>
    <row r="1906" spans="1:16" ht="16.5" customHeight="1" x14ac:dyDescent="0.25">
      <c r="A1906" s="2" t="s">
        <v>3362</v>
      </c>
      <c r="B1906" s="8" t="s">
        <v>3362</v>
      </c>
      <c r="C1906" s="152" t="s">
        <v>102</v>
      </c>
      <c r="D1906" s="2" t="s">
        <v>232</v>
      </c>
      <c r="E1906" s="152" t="s">
        <v>102</v>
      </c>
      <c r="F1906" s="152" t="s">
        <v>103</v>
      </c>
      <c r="G1906" s="152">
        <v>0</v>
      </c>
      <c r="H1906" s="152"/>
      <c r="I1906" s="153">
        <v>27.34240384615385</v>
      </c>
      <c r="J1906" s="145"/>
      <c r="K1906" s="153" t="s">
        <v>86</v>
      </c>
      <c r="L1906" s="153" t="s">
        <v>86</v>
      </c>
      <c r="M1906" s="153"/>
      <c r="N1906" s="2" t="s">
        <v>57</v>
      </c>
      <c r="O1906" s="2"/>
      <c r="P1906" s="2"/>
    </row>
    <row r="1907" spans="1:16" ht="16.5" customHeight="1" x14ac:dyDescent="0.25">
      <c r="A1907" s="2" t="s">
        <v>3363</v>
      </c>
      <c r="B1907" s="8" t="s">
        <v>3363</v>
      </c>
      <c r="C1907" s="152" t="s">
        <v>102</v>
      </c>
      <c r="D1907" s="2" t="s">
        <v>232</v>
      </c>
      <c r="E1907" s="152" t="s">
        <v>102</v>
      </c>
      <c r="F1907" s="152" t="s">
        <v>103</v>
      </c>
      <c r="G1907" s="152">
        <v>0</v>
      </c>
      <c r="H1907" s="152"/>
      <c r="I1907" s="153">
        <v>11.60429487179487</v>
      </c>
      <c r="J1907" s="145"/>
      <c r="K1907" s="153" t="s">
        <v>86</v>
      </c>
      <c r="L1907" s="153" t="s">
        <v>86</v>
      </c>
      <c r="M1907" s="153"/>
      <c r="N1907" s="2" t="s">
        <v>57</v>
      </c>
      <c r="O1907" s="2"/>
      <c r="P1907" s="2"/>
    </row>
    <row r="1908" spans="1:16" ht="16.5" customHeight="1" x14ac:dyDescent="0.25">
      <c r="A1908" s="2" t="s">
        <v>3364</v>
      </c>
      <c r="B1908" s="8" t="s">
        <v>3364</v>
      </c>
      <c r="C1908" s="152" t="s">
        <v>102</v>
      </c>
      <c r="D1908" s="2" t="s">
        <v>232</v>
      </c>
      <c r="E1908" s="152" t="s">
        <v>102</v>
      </c>
      <c r="F1908" s="152" t="s">
        <v>103</v>
      </c>
      <c r="G1908" s="152">
        <v>0</v>
      </c>
      <c r="H1908" s="152"/>
      <c r="I1908" s="153">
        <v>18.669486301369862</v>
      </c>
      <c r="J1908" s="145"/>
      <c r="K1908" s="153" t="s">
        <v>86</v>
      </c>
      <c r="L1908" s="153" t="s">
        <v>86</v>
      </c>
      <c r="M1908" s="153"/>
      <c r="N1908" s="2" t="s">
        <v>57</v>
      </c>
      <c r="O1908" s="2"/>
      <c r="P1908" s="2"/>
    </row>
    <row r="1909" spans="1:16" ht="16.5" customHeight="1" x14ac:dyDescent="0.25">
      <c r="A1909" s="2" t="s">
        <v>3365</v>
      </c>
      <c r="B1909" s="8" t="s">
        <v>3365</v>
      </c>
      <c r="C1909" s="152" t="s">
        <v>102</v>
      </c>
      <c r="D1909" s="2" t="s">
        <v>232</v>
      </c>
      <c r="E1909" s="152" t="s">
        <v>102</v>
      </c>
      <c r="F1909" s="152" t="s">
        <v>103</v>
      </c>
      <c r="G1909" s="152">
        <v>0</v>
      </c>
      <c r="H1909" s="152"/>
      <c r="I1909" s="153">
        <v>37.091095890410962</v>
      </c>
      <c r="J1909" s="145"/>
      <c r="K1909" s="153" t="s">
        <v>86</v>
      </c>
      <c r="L1909" s="153" t="s">
        <v>86</v>
      </c>
      <c r="M1909" s="153"/>
      <c r="N1909" s="2" t="s">
        <v>57</v>
      </c>
      <c r="O1909" s="2"/>
      <c r="P1909" s="2"/>
    </row>
    <row r="1910" spans="1:16" ht="16.5" customHeight="1" x14ac:dyDescent="0.25">
      <c r="A1910" s="2" t="s">
        <v>3366</v>
      </c>
      <c r="B1910" s="8" t="s">
        <v>3366</v>
      </c>
      <c r="C1910" s="152" t="s">
        <v>102</v>
      </c>
      <c r="D1910" s="2" t="s">
        <v>54</v>
      </c>
      <c r="E1910" s="152" t="s">
        <v>102</v>
      </c>
      <c r="F1910" s="152" t="s">
        <v>103</v>
      </c>
      <c r="G1910" s="152">
        <v>0</v>
      </c>
      <c r="H1910" s="152"/>
      <c r="I1910" s="153">
        <v>19.49335616438357</v>
      </c>
      <c r="J1910" s="145"/>
      <c r="K1910" s="153" t="s">
        <v>86</v>
      </c>
      <c r="L1910" s="153" t="s">
        <v>86</v>
      </c>
      <c r="M1910" s="153"/>
      <c r="N1910" s="2" t="s">
        <v>57</v>
      </c>
      <c r="O1910" s="2"/>
      <c r="P1910" s="2"/>
    </row>
    <row r="1911" spans="1:16" ht="16.5" customHeight="1" x14ac:dyDescent="0.25">
      <c r="A1911" s="2" t="s">
        <v>3367</v>
      </c>
      <c r="B1911" s="8" t="s">
        <v>3367</v>
      </c>
      <c r="C1911" s="152" t="s">
        <v>102</v>
      </c>
      <c r="D1911" s="2" t="s">
        <v>54</v>
      </c>
      <c r="E1911" s="152" t="s">
        <v>102</v>
      </c>
      <c r="F1911" s="152" t="s">
        <v>103</v>
      </c>
      <c r="G1911" s="152">
        <v>0</v>
      </c>
      <c r="H1911" s="152"/>
      <c r="I1911" s="153">
        <v>68.363869863013704</v>
      </c>
      <c r="J1911" s="145"/>
      <c r="K1911" s="153" t="s">
        <v>86</v>
      </c>
      <c r="L1911" s="153" t="s">
        <v>86</v>
      </c>
      <c r="M1911" s="153"/>
      <c r="N1911" s="2" t="s">
        <v>57</v>
      </c>
      <c r="O1911" s="2"/>
      <c r="P1911" s="2"/>
    </row>
    <row r="1912" spans="1:16" ht="16.5" customHeight="1" x14ac:dyDescent="0.25">
      <c r="A1912" s="2" t="s">
        <v>3368</v>
      </c>
      <c r="B1912" s="8" t="s">
        <v>3368</v>
      </c>
      <c r="C1912" s="152" t="s">
        <v>102</v>
      </c>
      <c r="D1912" s="2" t="s">
        <v>54</v>
      </c>
      <c r="E1912" s="152" t="s">
        <v>102</v>
      </c>
      <c r="F1912" s="152" t="s">
        <v>103</v>
      </c>
      <c r="G1912" s="152">
        <v>0</v>
      </c>
      <c r="H1912" s="152"/>
      <c r="I1912" s="153">
        <v>34.920479452054792</v>
      </c>
      <c r="J1912" s="145"/>
      <c r="K1912" s="153" t="s">
        <v>86</v>
      </c>
      <c r="L1912" s="153" t="s">
        <v>86</v>
      </c>
      <c r="M1912" s="153"/>
      <c r="N1912" s="2" t="s">
        <v>57</v>
      </c>
      <c r="O1912" s="2"/>
      <c r="P1912" s="2"/>
    </row>
    <row r="1913" spans="1:16" ht="16.5" customHeight="1" x14ac:dyDescent="0.25">
      <c r="A1913" s="2" t="s">
        <v>3369</v>
      </c>
      <c r="B1913" s="8" t="s">
        <v>3369</v>
      </c>
      <c r="C1913" s="152" t="s">
        <v>102</v>
      </c>
      <c r="D1913" s="2" t="s">
        <v>54</v>
      </c>
      <c r="E1913" s="152" t="s">
        <v>102</v>
      </c>
      <c r="F1913" s="152" t="s">
        <v>103</v>
      </c>
      <c r="G1913" s="152">
        <v>0</v>
      </c>
      <c r="H1913" s="152"/>
      <c r="I1913" s="153">
        <v>0</v>
      </c>
      <c r="J1913" s="145"/>
      <c r="K1913" s="153">
        <v>-6.8668750000000003</v>
      </c>
      <c r="L1913" s="153" t="s">
        <v>86</v>
      </c>
      <c r="M1913" s="153"/>
      <c r="N1913" s="2" t="s">
        <v>57</v>
      </c>
      <c r="O1913" s="2"/>
      <c r="P1913" s="2"/>
    </row>
    <row r="1914" spans="1:16" ht="16.5" customHeight="1" x14ac:dyDescent="0.25">
      <c r="A1914" s="2" t="s">
        <v>3370</v>
      </c>
      <c r="B1914" s="8" t="s">
        <v>3370</v>
      </c>
      <c r="C1914" s="152" t="s">
        <v>102</v>
      </c>
      <c r="D1914" s="2" t="s">
        <v>82</v>
      </c>
      <c r="E1914" s="152" t="s">
        <v>102</v>
      </c>
      <c r="F1914" s="152" t="s">
        <v>103</v>
      </c>
      <c r="G1914" s="152">
        <v>0</v>
      </c>
      <c r="H1914" s="152"/>
      <c r="I1914" s="153">
        <v>0</v>
      </c>
      <c r="J1914" s="145"/>
      <c r="K1914" s="153">
        <v>-6.1140476190476196</v>
      </c>
      <c r="L1914" s="153" t="s">
        <v>86</v>
      </c>
      <c r="M1914" s="153"/>
      <c r="N1914" s="2" t="s">
        <v>57</v>
      </c>
      <c r="O1914" s="2"/>
      <c r="P1914" s="2"/>
    </row>
    <row r="1915" spans="1:16" ht="16.5" customHeight="1" x14ac:dyDescent="0.25">
      <c r="A1915" s="2" t="s">
        <v>3371</v>
      </c>
      <c r="B1915" s="8" t="s">
        <v>3371</v>
      </c>
      <c r="C1915" s="152" t="s">
        <v>102</v>
      </c>
      <c r="D1915" s="2" t="s">
        <v>278</v>
      </c>
      <c r="E1915" s="152" t="s">
        <v>102</v>
      </c>
      <c r="F1915" s="152" t="s">
        <v>103</v>
      </c>
      <c r="G1915" s="152">
        <v>0</v>
      </c>
      <c r="H1915" s="152"/>
      <c r="I1915" s="153">
        <v>0</v>
      </c>
      <c r="J1915" s="145"/>
      <c r="K1915" s="153" t="s">
        <v>86</v>
      </c>
      <c r="L1915" s="153" t="s">
        <v>86</v>
      </c>
      <c r="M1915" s="153"/>
      <c r="N1915" s="2" t="s">
        <v>57</v>
      </c>
      <c r="O1915" s="2"/>
      <c r="P1915" s="2"/>
    </row>
    <row r="1916" spans="1:16" ht="16.5" customHeight="1" x14ac:dyDescent="0.25">
      <c r="A1916" s="2" t="s">
        <v>3372</v>
      </c>
      <c r="B1916" s="8" t="s">
        <v>3372</v>
      </c>
      <c r="C1916" s="152" t="s">
        <v>102</v>
      </c>
      <c r="D1916" s="2" t="s">
        <v>278</v>
      </c>
      <c r="E1916" s="152" t="s">
        <v>102</v>
      </c>
      <c r="F1916" s="152" t="s">
        <v>103</v>
      </c>
      <c r="G1916" s="152">
        <v>0</v>
      </c>
      <c r="H1916" s="152"/>
      <c r="I1916" s="153">
        <v>0</v>
      </c>
      <c r="J1916" s="145"/>
      <c r="K1916" s="153" t="s">
        <v>86</v>
      </c>
      <c r="L1916" s="153" t="s">
        <v>86</v>
      </c>
      <c r="M1916" s="153"/>
      <c r="N1916" s="2" t="s">
        <v>57</v>
      </c>
      <c r="O1916" s="2"/>
      <c r="P1916" s="2"/>
    </row>
    <row r="1917" spans="1:16" ht="16.5" customHeight="1" x14ac:dyDescent="0.25">
      <c r="A1917" s="2" t="s">
        <v>3373</v>
      </c>
      <c r="B1917" s="8" t="s">
        <v>3373</v>
      </c>
      <c r="C1917" s="152" t="s">
        <v>102</v>
      </c>
      <c r="D1917" s="2" t="s">
        <v>148</v>
      </c>
      <c r="E1917" s="152" t="s">
        <v>102</v>
      </c>
      <c r="F1917" s="152" t="s">
        <v>103</v>
      </c>
      <c r="G1917" s="152">
        <v>0</v>
      </c>
      <c r="H1917" s="152"/>
      <c r="I1917" s="153">
        <v>9.1300000000000008</v>
      </c>
      <c r="J1917" s="145"/>
      <c r="K1917" s="153" t="s">
        <v>86</v>
      </c>
      <c r="L1917" s="153" t="s">
        <v>86</v>
      </c>
      <c r="M1917" s="153"/>
      <c r="N1917" s="2" t="s">
        <v>57</v>
      </c>
      <c r="O1917" s="2"/>
      <c r="P1917" s="2"/>
    </row>
    <row r="1918" spans="1:16" ht="16.5" customHeight="1" x14ac:dyDescent="0.25">
      <c r="A1918" s="2" t="s">
        <v>3374</v>
      </c>
      <c r="B1918" s="8" t="s">
        <v>3374</v>
      </c>
      <c r="C1918" s="152" t="s">
        <v>102</v>
      </c>
      <c r="D1918" s="2" t="s">
        <v>3067</v>
      </c>
      <c r="E1918" s="152" t="s">
        <v>102</v>
      </c>
      <c r="F1918" s="152" t="s">
        <v>103</v>
      </c>
      <c r="G1918" s="152">
        <v>0</v>
      </c>
      <c r="H1918" s="152"/>
      <c r="I1918" s="153">
        <v>0</v>
      </c>
      <c r="J1918" s="145"/>
      <c r="K1918" s="153" t="s">
        <v>86</v>
      </c>
      <c r="L1918" s="153" t="s">
        <v>86</v>
      </c>
      <c r="M1918" s="153"/>
      <c r="N1918" s="2" t="s">
        <v>57</v>
      </c>
      <c r="O1918" s="2"/>
      <c r="P1918" s="2"/>
    </row>
    <row r="1919" spans="1:16" ht="16.5" customHeight="1" x14ac:dyDescent="0.25">
      <c r="A1919" s="2" t="s">
        <v>3375</v>
      </c>
      <c r="B1919" s="8" t="s">
        <v>3375</v>
      </c>
      <c r="C1919" s="152" t="s">
        <v>102</v>
      </c>
      <c r="D1919" s="2" t="s">
        <v>1874</v>
      </c>
      <c r="E1919" s="152" t="s">
        <v>102</v>
      </c>
      <c r="F1919" s="152" t="s">
        <v>103</v>
      </c>
      <c r="G1919" s="152">
        <v>0</v>
      </c>
      <c r="H1919" s="152"/>
      <c r="I1919" s="153">
        <v>0</v>
      </c>
      <c r="J1919" s="145"/>
      <c r="K1919" s="153" t="s">
        <v>86</v>
      </c>
      <c r="L1919" s="153" t="s">
        <v>86</v>
      </c>
      <c r="M1919" s="153"/>
      <c r="N1919" s="2" t="s">
        <v>57</v>
      </c>
      <c r="O1919" s="2"/>
      <c r="P1919" s="2"/>
    </row>
    <row r="1920" spans="1:16" ht="16.5" customHeight="1" x14ac:dyDescent="0.25">
      <c r="A1920" s="2" t="s">
        <v>3376</v>
      </c>
      <c r="B1920" s="8" t="s">
        <v>3376</v>
      </c>
      <c r="C1920" s="152" t="s">
        <v>1874</v>
      </c>
      <c r="D1920" s="2" t="s">
        <v>278</v>
      </c>
      <c r="E1920" s="152" t="s">
        <v>102</v>
      </c>
      <c r="F1920" s="152" t="s">
        <v>103</v>
      </c>
      <c r="G1920" s="152">
        <v>0</v>
      </c>
      <c r="H1920" s="152"/>
      <c r="I1920" s="153">
        <v>0</v>
      </c>
      <c r="J1920" s="145"/>
      <c r="K1920" s="153" t="s">
        <v>86</v>
      </c>
      <c r="L1920" s="153" t="s">
        <v>86</v>
      </c>
      <c r="M1920" s="153"/>
      <c r="N1920" s="2" t="s">
        <v>2991</v>
      </c>
      <c r="O1920" s="2"/>
      <c r="P1920" s="2"/>
    </row>
    <row r="1921" spans="1:16" ht="16.5" customHeight="1" x14ac:dyDescent="0.25">
      <c r="A1921" s="2" t="s">
        <v>3377</v>
      </c>
      <c r="B1921" s="8" t="s">
        <v>3377</v>
      </c>
      <c r="C1921" s="152" t="s">
        <v>1874</v>
      </c>
      <c r="D1921" s="2" t="s">
        <v>278</v>
      </c>
      <c r="E1921" s="152" t="s">
        <v>102</v>
      </c>
      <c r="F1921" s="152" t="s">
        <v>103</v>
      </c>
      <c r="G1921" s="152">
        <v>0</v>
      </c>
      <c r="H1921" s="152"/>
      <c r="I1921" s="153">
        <v>0</v>
      </c>
      <c r="J1921" s="145"/>
      <c r="K1921" s="153" t="s">
        <v>86</v>
      </c>
      <c r="L1921" s="153" t="s">
        <v>86</v>
      </c>
      <c r="M1921" s="153"/>
      <c r="N1921" s="2" t="s">
        <v>2991</v>
      </c>
      <c r="O1921" s="2"/>
      <c r="P1921" s="2"/>
    </row>
    <row r="1922" spans="1:16" ht="16.5" customHeight="1" x14ac:dyDescent="0.25">
      <c r="A1922" s="2" t="s">
        <v>3378</v>
      </c>
      <c r="B1922" s="8" t="s">
        <v>3378</v>
      </c>
      <c r="C1922" s="152" t="s">
        <v>1874</v>
      </c>
      <c r="D1922" s="2" t="s">
        <v>278</v>
      </c>
      <c r="E1922" s="152" t="s">
        <v>102</v>
      </c>
      <c r="F1922" s="152" t="s">
        <v>103</v>
      </c>
      <c r="G1922" s="152">
        <v>0</v>
      </c>
      <c r="H1922" s="152"/>
      <c r="I1922" s="153">
        <v>0</v>
      </c>
      <c r="J1922" s="145"/>
      <c r="K1922" s="153" t="s">
        <v>86</v>
      </c>
      <c r="L1922" s="153" t="s">
        <v>86</v>
      </c>
      <c r="M1922" s="153"/>
      <c r="N1922" s="2" t="s">
        <v>2991</v>
      </c>
      <c r="O1922" s="2"/>
      <c r="P1922" s="2"/>
    </row>
    <row r="1923" spans="1:16" ht="16.5" customHeight="1" x14ac:dyDescent="0.25">
      <c r="A1923" s="2" t="s">
        <v>3379</v>
      </c>
      <c r="B1923" s="8" t="s">
        <v>3379</v>
      </c>
      <c r="C1923" s="152" t="s">
        <v>1874</v>
      </c>
      <c r="D1923" s="2" t="s">
        <v>278</v>
      </c>
      <c r="E1923" s="152" t="s">
        <v>102</v>
      </c>
      <c r="F1923" s="152" t="s">
        <v>103</v>
      </c>
      <c r="G1923" s="152">
        <v>0</v>
      </c>
      <c r="H1923" s="152"/>
      <c r="I1923" s="153">
        <v>0</v>
      </c>
      <c r="J1923" s="145"/>
      <c r="K1923" s="153" t="s">
        <v>86</v>
      </c>
      <c r="L1923" s="153" t="s">
        <v>86</v>
      </c>
      <c r="M1923" s="153"/>
      <c r="N1923" s="2" t="s">
        <v>2991</v>
      </c>
      <c r="O1923" s="2"/>
      <c r="P1923" s="2"/>
    </row>
    <row r="1924" spans="1:16" ht="16.5" customHeight="1" x14ac:dyDescent="0.25">
      <c r="A1924" s="2" t="s">
        <v>3380</v>
      </c>
      <c r="B1924" s="8" t="s">
        <v>3380</v>
      </c>
      <c r="C1924" s="152" t="s">
        <v>102</v>
      </c>
      <c r="D1924" s="2" t="s">
        <v>278</v>
      </c>
      <c r="E1924" s="152" t="s">
        <v>102</v>
      </c>
      <c r="F1924" s="152" t="s">
        <v>103</v>
      </c>
      <c r="G1924" s="152">
        <v>0</v>
      </c>
      <c r="H1924" s="152"/>
      <c r="I1924" s="153">
        <v>0</v>
      </c>
      <c r="J1924" s="145"/>
      <c r="K1924" s="153" t="s">
        <v>86</v>
      </c>
      <c r="L1924" s="153" t="s">
        <v>86</v>
      </c>
      <c r="M1924" s="153"/>
      <c r="N1924" s="2" t="s">
        <v>57</v>
      </c>
      <c r="O1924" s="2"/>
      <c r="P1924" s="2"/>
    </row>
    <row r="1925" spans="1:16" ht="16.5" customHeight="1" x14ac:dyDescent="0.25">
      <c r="A1925" s="2" t="s">
        <v>1874</v>
      </c>
      <c r="B1925" s="8" t="s">
        <v>1874</v>
      </c>
      <c r="C1925" s="152" t="s">
        <v>102</v>
      </c>
      <c r="D1925" s="2" t="s">
        <v>1874</v>
      </c>
      <c r="E1925" s="152" t="s">
        <v>102</v>
      </c>
      <c r="F1925" s="152" t="s">
        <v>103</v>
      </c>
      <c r="G1925" s="152">
        <v>0</v>
      </c>
      <c r="H1925" s="152"/>
      <c r="I1925" s="153">
        <v>0</v>
      </c>
      <c r="J1925" s="145"/>
      <c r="K1925" s="153" t="s">
        <v>86</v>
      </c>
      <c r="L1925" s="153" t="s">
        <v>86</v>
      </c>
      <c r="M1925" s="153"/>
      <c r="N1925" s="2" t="s">
        <v>57</v>
      </c>
      <c r="O1925" s="2"/>
      <c r="P1925" s="2"/>
    </row>
    <row r="1926" spans="1:16" ht="16.5" customHeight="1" x14ac:dyDescent="0.25">
      <c r="A1926" s="2" t="s">
        <v>3381</v>
      </c>
      <c r="B1926" s="8" t="s">
        <v>3381</v>
      </c>
      <c r="C1926" s="152" t="s">
        <v>102</v>
      </c>
      <c r="D1926" s="2" t="s">
        <v>1874</v>
      </c>
      <c r="E1926" s="152" t="s">
        <v>102</v>
      </c>
      <c r="F1926" s="152" t="s">
        <v>103</v>
      </c>
      <c r="G1926" s="152">
        <v>0</v>
      </c>
      <c r="H1926" s="152"/>
      <c r="I1926" s="153">
        <v>0</v>
      </c>
      <c r="J1926" s="145"/>
      <c r="K1926" s="153" t="s">
        <v>86</v>
      </c>
      <c r="L1926" s="153" t="s">
        <v>86</v>
      </c>
      <c r="M1926" s="153"/>
      <c r="N1926" s="2" t="s">
        <v>57</v>
      </c>
      <c r="O1926" s="2"/>
      <c r="P1926" s="2"/>
    </row>
    <row r="1927" spans="1:16" ht="16.5" customHeight="1" x14ac:dyDescent="0.25">
      <c r="A1927" s="2" t="s">
        <v>3382</v>
      </c>
      <c r="B1927" s="8" t="s">
        <v>3382</v>
      </c>
      <c r="C1927" s="152" t="s">
        <v>102</v>
      </c>
      <c r="D1927" s="2" t="s">
        <v>1874</v>
      </c>
      <c r="E1927" s="152" t="s">
        <v>102</v>
      </c>
      <c r="F1927" s="152" t="s">
        <v>103</v>
      </c>
      <c r="G1927" s="152">
        <v>0</v>
      </c>
      <c r="H1927" s="152"/>
      <c r="I1927" s="153">
        <v>0</v>
      </c>
      <c r="J1927" s="145"/>
      <c r="K1927" s="153" t="s">
        <v>86</v>
      </c>
      <c r="L1927" s="153" t="s">
        <v>86</v>
      </c>
      <c r="M1927" s="153"/>
      <c r="N1927" s="2" t="s">
        <v>57</v>
      </c>
      <c r="O1927" s="2"/>
      <c r="P1927" s="2"/>
    </row>
    <row r="1928" spans="1:16" ht="16.5" customHeight="1" x14ac:dyDescent="0.25">
      <c r="A1928" s="2" t="s">
        <v>3383</v>
      </c>
      <c r="B1928" s="8" t="s">
        <v>3383</v>
      </c>
      <c r="C1928" s="152" t="s">
        <v>102</v>
      </c>
      <c r="D1928" s="2" t="s">
        <v>1874</v>
      </c>
      <c r="E1928" s="152" t="s">
        <v>102</v>
      </c>
      <c r="F1928" s="152" t="s">
        <v>103</v>
      </c>
      <c r="G1928" s="152">
        <v>0</v>
      </c>
      <c r="H1928" s="152"/>
      <c r="I1928" s="153">
        <v>0</v>
      </c>
      <c r="J1928" s="145"/>
      <c r="K1928" s="153" t="s">
        <v>86</v>
      </c>
      <c r="L1928" s="153" t="s">
        <v>86</v>
      </c>
      <c r="M1928" s="153"/>
      <c r="N1928" s="2" t="s">
        <v>57</v>
      </c>
      <c r="O1928" s="2"/>
      <c r="P1928" s="2"/>
    </row>
    <row r="1929" spans="1:16" ht="16.5" customHeight="1" x14ac:dyDescent="0.25">
      <c r="A1929" s="2" t="s">
        <v>3384</v>
      </c>
      <c r="B1929" s="8" t="s">
        <v>3384</v>
      </c>
      <c r="C1929" s="152" t="s">
        <v>102</v>
      </c>
      <c r="D1929" s="2" t="s">
        <v>91</v>
      </c>
      <c r="E1929" s="152" t="s">
        <v>102</v>
      </c>
      <c r="F1929" s="152" t="s">
        <v>103</v>
      </c>
      <c r="G1929" s="152">
        <v>0</v>
      </c>
      <c r="H1929" s="152"/>
      <c r="I1929" s="153">
        <v>0</v>
      </c>
      <c r="J1929" s="145"/>
      <c r="K1929" s="153" t="s">
        <v>86</v>
      </c>
      <c r="L1929" s="153" t="s">
        <v>86</v>
      </c>
      <c r="M1929" s="153"/>
      <c r="N1929" s="2" t="s">
        <v>57</v>
      </c>
      <c r="O1929" s="2"/>
      <c r="P1929" s="2"/>
    </row>
    <row r="1930" spans="1:16" ht="16.5" customHeight="1" x14ac:dyDescent="0.25">
      <c r="A1930" s="2" t="s">
        <v>3385</v>
      </c>
      <c r="B1930" s="8" t="s">
        <v>3385</v>
      </c>
      <c r="C1930" s="152" t="s">
        <v>102</v>
      </c>
      <c r="D1930" s="2" t="s">
        <v>1493</v>
      </c>
      <c r="E1930" s="152" t="s">
        <v>102</v>
      </c>
      <c r="F1930" s="152" t="s">
        <v>103</v>
      </c>
      <c r="G1930" s="152">
        <v>0</v>
      </c>
      <c r="H1930" s="152"/>
      <c r="I1930" s="153">
        <v>0</v>
      </c>
      <c r="J1930" s="145"/>
      <c r="K1930" s="153" t="s">
        <v>86</v>
      </c>
      <c r="L1930" s="153" t="s">
        <v>86</v>
      </c>
      <c r="M1930" s="153"/>
      <c r="N1930" s="2" t="s">
        <v>57</v>
      </c>
      <c r="O1930" s="2"/>
      <c r="P1930" s="2"/>
    </row>
    <row r="1931" spans="1:16" ht="16.5" customHeight="1" x14ac:dyDescent="0.25">
      <c r="A1931" s="2" t="s">
        <v>3386</v>
      </c>
      <c r="B1931" s="8" t="s">
        <v>3386</v>
      </c>
      <c r="C1931" s="152" t="s">
        <v>102</v>
      </c>
      <c r="D1931" s="2" t="s">
        <v>3387</v>
      </c>
      <c r="E1931" s="152" t="s">
        <v>102</v>
      </c>
      <c r="F1931" s="152" t="s">
        <v>103</v>
      </c>
      <c r="G1931" s="152">
        <v>0</v>
      </c>
      <c r="H1931" s="152"/>
      <c r="I1931" s="153">
        <v>0</v>
      </c>
      <c r="J1931" s="145"/>
      <c r="K1931" s="153" t="s">
        <v>86</v>
      </c>
      <c r="L1931" s="153" t="s">
        <v>86</v>
      </c>
      <c r="M1931" s="153"/>
      <c r="N1931" s="2" t="s">
        <v>57</v>
      </c>
      <c r="O1931" s="2"/>
      <c r="P1931" s="2"/>
    </row>
    <row r="1932" spans="1:16" ht="16.5" customHeight="1" x14ac:dyDescent="0.25">
      <c r="A1932" s="2" t="s">
        <v>3388</v>
      </c>
      <c r="B1932" s="8" t="s">
        <v>3388</v>
      </c>
      <c r="C1932" s="152" t="s">
        <v>102</v>
      </c>
      <c r="D1932" s="2" t="s">
        <v>54</v>
      </c>
      <c r="E1932" s="152" t="s">
        <v>102</v>
      </c>
      <c r="F1932" s="152" t="s">
        <v>103</v>
      </c>
      <c r="G1932" s="152">
        <v>0</v>
      </c>
      <c r="H1932" s="152"/>
      <c r="I1932" s="153">
        <v>0</v>
      </c>
      <c r="J1932" s="145"/>
      <c r="K1932" s="153" t="s">
        <v>86</v>
      </c>
      <c r="L1932" s="153" t="s">
        <v>86</v>
      </c>
      <c r="M1932" s="153"/>
      <c r="N1932" s="2" t="s">
        <v>57</v>
      </c>
      <c r="O1932" s="2"/>
      <c r="P1932" s="2"/>
    </row>
    <row r="1933" spans="1:16" ht="16.5" customHeight="1" x14ac:dyDescent="0.25">
      <c r="A1933" s="2" t="s">
        <v>3389</v>
      </c>
      <c r="B1933" s="8" t="s">
        <v>3389</v>
      </c>
      <c r="C1933" s="152" t="s">
        <v>102</v>
      </c>
      <c r="D1933" s="2" t="s">
        <v>54</v>
      </c>
      <c r="E1933" s="152" t="s">
        <v>102</v>
      </c>
      <c r="F1933" s="152" t="s">
        <v>103</v>
      </c>
      <c r="G1933" s="152">
        <v>0</v>
      </c>
      <c r="H1933" s="152"/>
      <c r="I1933" s="153">
        <v>0</v>
      </c>
      <c r="J1933" s="145"/>
      <c r="K1933" s="153" t="s">
        <v>86</v>
      </c>
      <c r="L1933" s="153" t="s">
        <v>86</v>
      </c>
      <c r="M1933" s="153"/>
      <c r="N1933" s="2" t="s">
        <v>57</v>
      </c>
      <c r="O1933" s="2"/>
      <c r="P1933" s="2"/>
    </row>
    <row r="1934" spans="1:16" ht="16.5" customHeight="1" x14ac:dyDescent="0.25">
      <c r="A1934" s="2" t="s">
        <v>3390</v>
      </c>
      <c r="B1934" s="8" t="s">
        <v>3390</v>
      </c>
      <c r="C1934" s="152" t="s">
        <v>102</v>
      </c>
      <c r="D1934" s="2" t="s">
        <v>163</v>
      </c>
      <c r="E1934" s="152" t="s">
        <v>102</v>
      </c>
      <c r="F1934" s="152" t="s">
        <v>103</v>
      </c>
      <c r="G1934" s="152">
        <v>0</v>
      </c>
      <c r="H1934" s="152"/>
      <c r="I1934" s="153">
        <v>0</v>
      </c>
      <c r="J1934" s="145"/>
      <c r="K1934" s="153" t="s">
        <v>86</v>
      </c>
      <c r="L1934" s="153" t="s">
        <v>86</v>
      </c>
      <c r="M1934" s="153"/>
      <c r="N1934" s="2" t="s">
        <v>57</v>
      </c>
      <c r="O1934" s="2"/>
      <c r="P1934" s="2"/>
    </row>
    <row r="1935" spans="1:16" ht="16.5" customHeight="1" x14ac:dyDescent="0.25">
      <c r="A1935" s="2" t="s">
        <v>3391</v>
      </c>
      <c r="B1935" s="8" t="s">
        <v>3391</v>
      </c>
      <c r="C1935" s="152" t="s">
        <v>102</v>
      </c>
      <c r="D1935" s="2" t="s">
        <v>163</v>
      </c>
      <c r="E1935" s="152" t="s">
        <v>102</v>
      </c>
      <c r="F1935" s="152" t="s">
        <v>103</v>
      </c>
      <c r="G1935" s="152">
        <v>0</v>
      </c>
      <c r="H1935" s="152"/>
      <c r="I1935" s="153">
        <v>0</v>
      </c>
      <c r="J1935" s="145"/>
      <c r="K1935" s="153" t="s">
        <v>86</v>
      </c>
      <c r="L1935" s="153" t="s">
        <v>86</v>
      </c>
      <c r="M1935" s="153"/>
      <c r="N1935" s="2" t="s">
        <v>57</v>
      </c>
      <c r="O1935" s="2"/>
      <c r="P1935" s="2"/>
    </row>
    <row r="1936" spans="1:16" ht="16.5" customHeight="1" x14ac:dyDescent="0.25">
      <c r="A1936" s="2" t="s">
        <v>3392</v>
      </c>
      <c r="B1936" s="8" t="s">
        <v>3392</v>
      </c>
      <c r="C1936" s="152" t="s">
        <v>102</v>
      </c>
      <c r="D1936" s="2" t="s">
        <v>278</v>
      </c>
      <c r="E1936" s="152" t="s">
        <v>102</v>
      </c>
      <c r="F1936" s="152" t="s">
        <v>103</v>
      </c>
      <c r="G1936" s="152">
        <v>0</v>
      </c>
      <c r="H1936" s="152"/>
      <c r="I1936" s="153">
        <v>0</v>
      </c>
      <c r="J1936" s="145"/>
      <c r="K1936" s="153" t="s">
        <v>86</v>
      </c>
      <c r="L1936" s="153" t="s">
        <v>86</v>
      </c>
      <c r="M1936" s="153"/>
      <c r="N1936" s="2" t="s">
        <v>57</v>
      </c>
      <c r="O1936" s="2"/>
      <c r="P1936" s="2"/>
    </row>
    <row r="1937" spans="1:16" ht="16.5" customHeight="1" x14ac:dyDescent="0.25">
      <c r="A1937" s="2" t="s">
        <v>3393</v>
      </c>
      <c r="B1937" s="8" t="s">
        <v>3393</v>
      </c>
      <c r="C1937" s="152" t="s">
        <v>102</v>
      </c>
      <c r="D1937" s="2" t="s">
        <v>175</v>
      </c>
      <c r="E1937" s="152" t="s">
        <v>102</v>
      </c>
      <c r="F1937" s="152" t="s">
        <v>103</v>
      </c>
      <c r="G1937" s="152">
        <v>0</v>
      </c>
      <c r="H1937" s="152"/>
      <c r="I1937" s="153">
        <v>0</v>
      </c>
      <c r="J1937" s="145"/>
      <c r="K1937" s="153" t="s">
        <v>86</v>
      </c>
      <c r="L1937" s="153" t="s">
        <v>86</v>
      </c>
      <c r="M1937" s="153"/>
      <c r="N1937" s="2" t="s">
        <v>57</v>
      </c>
      <c r="O1937" s="2"/>
      <c r="P1937" s="2"/>
    </row>
    <row r="1938" spans="1:16" ht="16.5" customHeight="1" x14ac:dyDescent="0.25">
      <c r="A1938" s="2" t="s">
        <v>3394</v>
      </c>
      <c r="B1938" s="8" t="s">
        <v>3394</v>
      </c>
      <c r="C1938" s="152" t="s">
        <v>102</v>
      </c>
      <c r="D1938" s="2" t="s">
        <v>1874</v>
      </c>
      <c r="E1938" s="152" t="s">
        <v>102</v>
      </c>
      <c r="F1938" s="152" t="s">
        <v>103</v>
      </c>
      <c r="G1938" s="152">
        <v>0</v>
      </c>
      <c r="H1938" s="152"/>
      <c r="I1938" s="153">
        <v>0</v>
      </c>
      <c r="J1938" s="145"/>
      <c r="K1938" s="153" t="s">
        <v>86</v>
      </c>
      <c r="L1938" s="153" t="s">
        <v>86</v>
      </c>
      <c r="M1938" s="153"/>
      <c r="N1938" s="2" t="s">
        <v>57</v>
      </c>
      <c r="O1938" s="2"/>
      <c r="P1938" s="2"/>
    </row>
    <row r="1939" spans="1:16" ht="16.5" customHeight="1" x14ac:dyDescent="0.25">
      <c r="A1939" s="2" t="s">
        <v>3395</v>
      </c>
      <c r="B1939" s="8" t="s">
        <v>3395</v>
      </c>
      <c r="C1939" s="152" t="s">
        <v>102</v>
      </c>
      <c r="D1939" s="2" t="s">
        <v>1874</v>
      </c>
      <c r="E1939" s="152" t="s">
        <v>102</v>
      </c>
      <c r="F1939" s="152" t="s">
        <v>103</v>
      </c>
      <c r="G1939" s="152">
        <v>0</v>
      </c>
      <c r="H1939" s="152"/>
      <c r="I1939" s="153">
        <v>0</v>
      </c>
      <c r="J1939" s="145"/>
      <c r="K1939" s="153" t="s">
        <v>86</v>
      </c>
      <c r="L1939" s="153" t="s">
        <v>86</v>
      </c>
      <c r="M1939" s="153"/>
      <c r="N1939" s="2" t="s">
        <v>57</v>
      </c>
      <c r="O1939" s="2"/>
      <c r="P1939" s="2"/>
    </row>
    <row r="1940" spans="1:16" ht="16.5" customHeight="1" x14ac:dyDescent="0.25">
      <c r="A1940" s="2" t="s">
        <v>3396</v>
      </c>
      <c r="B1940" s="8" t="s">
        <v>3396</v>
      </c>
      <c r="C1940" s="152" t="s">
        <v>102</v>
      </c>
      <c r="D1940" s="2" t="s">
        <v>148</v>
      </c>
      <c r="E1940" s="152" t="s">
        <v>102</v>
      </c>
      <c r="F1940" s="152" t="s">
        <v>103</v>
      </c>
      <c r="G1940" s="152">
        <v>0</v>
      </c>
      <c r="H1940" s="152"/>
      <c r="I1940" s="153">
        <v>1.111</v>
      </c>
      <c r="J1940" s="145"/>
      <c r="K1940" s="153">
        <v>-4.0072000000000001</v>
      </c>
      <c r="L1940" s="153" t="s">
        <v>86</v>
      </c>
      <c r="M1940" s="153"/>
      <c r="N1940" s="2" t="s">
        <v>2991</v>
      </c>
      <c r="O1940" s="2"/>
      <c r="P1940" s="2"/>
    </row>
    <row r="1941" spans="1:16" ht="16.5" customHeight="1" x14ac:dyDescent="0.25">
      <c r="A1941" s="2" t="s">
        <v>3397</v>
      </c>
      <c r="B1941" s="8" t="s">
        <v>3397</v>
      </c>
      <c r="C1941" s="152" t="s">
        <v>102</v>
      </c>
      <c r="D1941" s="2" t="s">
        <v>163</v>
      </c>
      <c r="E1941" s="152" t="s">
        <v>102</v>
      </c>
      <c r="F1941" s="152" t="s">
        <v>103</v>
      </c>
      <c r="G1941" s="152">
        <v>0</v>
      </c>
      <c r="H1941" s="152"/>
      <c r="I1941" s="153">
        <v>77.055000000000007</v>
      </c>
      <c r="J1941" s="145"/>
      <c r="K1941" s="153" t="s">
        <v>86</v>
      </c>
      <c r="L1941" s="153" t="s">
        <v>86</v>
      </c>
      <c r="M1941" s="153"/>
      <c r="N1941" s="2" t="s">
        <v>57</v>
      </c>
      <c r="O1941" s="2"/>
      <c r="P1941" s="2"/>
    </row>
    <row r="1942" spans="1:16" ht="16.5" customHeight="1" x14ac:dyDescent="0.25">
      <c r="A1942" s="2" t="s">
        <v>3398</v>
      </c>
      <c r="B1942" s="8" t="s">
        <v>3398</v>
      </c>
      <c r="C1942" s="152" t="s">
        <v>102</v>
      </c>
      <c r="D1942" s="2" t="s">
        <v>278</v>
      </c>
      <c r="E1942" s="152" t="s">
        <v>102</v>
      </c>
      <c r="F1942" s="152" t="s">
        <v>103</v>
      </c>
      <c r="G1942" s="152">
        <v>0</v>
      </c>
      <c r="H1942" s="152"/>
      <c r="I1942" s="153">
        <v>7.9090000000000007</v>
      </c>
      <c r="J1942" s="145"/>
      <c r="K1942" s="153">
        <v>-1.2492307692307689</v>
      </c>
      <c r="L1942" s="153">
        <v>-7.0544361266735649</v>
      </c>
      <c r="M1942" s="153"/>
      <c r="N1942" s="2" t="s">
        <v>57</v>
      </c>
      <c r="O1942" s="2"/>
      <c r="P1942" s="2"/>
    </row>
    <row r="1943" spans="1:16" ht="16.5" customHeight="1" x14ac:dyDescent="0.25">
      <c r="A1943" s="2" t="s">
        <v>3399</v>
      </c>
      <c r="B1943" s="8" t="s">
        <v>3399</v>
      </c>
      <c r="C1943" s="152" t="s">
        <v>102</v>
      </c>
      <c r="D1943" s="2" t="s">
        <v>441</v>
      </c>
      <c r="E1943" s="152" t="s">
        <v>102</v>
      </c>
      <c r="F1943" s="152" t="s">
        <v>103</v>
      </c>
      <c r="G1943" s="152">
        <v>0</v>
      </c>
      <c r="H1943" s="152"/>
      <c r="I1943" s="153">
        <v>22</v>
      </c>
      <c r="J1943" s="145"/>
      <c r="K1943" s="153">
        <v>-3.9430000000000001</v>
      </c>
      <c r="L1943" s="153" t="s">
        <v>86</v>
      </c>
      <c r="M1943" s="153"/>
      <c r="N1943" s="2" t="s">
        <v>57</v>
      </c>
      <c r="O1943" s="2"/>
      <c r="P1943" s="2"/>
    </row>
    <row r="1944" spans="1:16" ht="16.5" customHeight="1" x14ac:dyDescent="0.25">
      <c r="A1944" s="2" t="s">
        <v>3400</v>
      </c>
      <c r="B1944" s="8" t="s">
        <v>3400</v>
      </c>
      <c r="C1944" s="152" t="s">
        <v>102</v>
      </c>
      <c r="D1944" s="2" t="s">
        <v>278</v>
      </c>
      <c r="E1944" s="152" t="s">
        <v>102</v>
      </c>
      <c r="F1944" s="152" t="s">
        <v>103</v>
      </c>
      <c r="G1944" s="152">
        <v>0</v>
      </c>
      <c r="H1944" s="152"/>
      <c r="I1944" s="153">
        <v>19.260999999999999</v>
      </c>
      <c r="J1944" s="145"/>
      <c r="K1944" s="153">
        <v>-5.41</v>
      </c>
      <c r="L1944" s="153" t="s">
        <v>86</v>
      </c>
      <c r="M1944" s="153"/>
      <c r="N1944" s="2" t="s">
        <v>57</v>
      </c>
      <c r="O1944" s="2"/>
      <c r="P1944" s="2"/>
    </row>
    <row r="1945" spans="1:16" ht="16.5" customHeight="1" x14ac:dyDescent="0.25">
      <c r="A1945" s="2" t="s">
        <v>3401</v>
      </c>
      <c r="B1945" s="8" t="s">
        <v>3401</v>
      </c>
      <c r="C1945" s="152" t="s">
        <v>102</v>
      </c>
      <c r="D1945" s="2" t="s">
        <v>1874</v>
      </c>
      <c r="E1945" s="152" t="s">
        <v>102</v>
      </c>
      <c r="F1945" s="152" t="s">
        <v>103</v>
      </c>
      <c r="G1945" s="152">
        <v>0</v>
      </c>
      <c r="H1945" s="152"/>
      <c r="I1945" s="153">
        <v>0</v>
      </c>
      <c r="J1945" s="145"/>
      <c r="K1945" s="153" t="s">
        <v>86</v>
      </c>
      <c r="L1945" s="153" t="s">
        <v>86</v>
      </c>
      <c r="M1945" s="153"/>
      <c r="N1945" s="2" t="s">
        <v>57</v>
      </c>
      <c r="O1945" s="2"/>
      <c r="P1945" s="2"/>
    </row>
    <row r="1946" spans="1:16" ht="16.5" customHeight="1" x14ac:dyDescent="0.25">
      <c r="A1946" s="2" t="s">
        <v>3402</v>
      </c>
      <c r="B1946" s="8" t="s">
        <v>3402</v>
      </c>
      <c r="C1946" s="152" t="s">
        <v>102</v>
      </c>
      <c r="D1946" s="2" t="s">
        <v>278</v>
      </c>
      <c r="E1946" s="152" t="s">
        <v>102</v>
      </c>
      <c r="F1946" s="152" t="s">
        <v>103</v>
      </c>
      <c r="G1946" s="152">
        <v>0</v>
      </c>
      <c r="H1946" s="152"/>
      <c r="I1946" s="153">
        <v>26.850999999999999</v>
      </c>
      <c r="J1946" s="145"/>
      <c r="K1946" s="153">
        <v>-8.9043333333333337</v>
      </c>
      <c r="L1946" s="153" t="s">
        <v>86</v>
      </c>
      <c r="M1946" s="153"/>
      <c r="N1946" s="2" t="s">
        <v>479</v>
      </c>
      <c r="O1946" s="2" t="s">
        <v>635</v>
      </c>
      <c r="P1946" s="2"/>
    </row>
    <row r="1947" spans="1:16" ht="16.5" customHeight="1" x14ac:dyDescent="0.25">
      <c r="A1947" s="2" t="s">
        <v>3403</v>
      </c>
      <c r="B1947" s="8" t="s">
        <v>3403</v>
      </c>
      <c r="C1947" s="152" t="s">
        <v>102</v>
      </c>
      <c r="D1947" s="2" t="s">
        <v>278</v>
      </c>
      <c r="E1947" s="152" t="s">
        <v>102</v>
      </c>
      <c r="F1947" s="152" t="s">
        <v>103</v>
      </c>
      <c r="G1947" s="152">
        <v>0</v>
      </c>
      <c r="H1947" s="152"/>
      <c r="I1947" s="153">
        <v>14.707000000000001</v>
      </c>
      <c r="J1947" s="145"/>
      <c r="K1947" s="153" t="s">
        <v>86</v>
      </c>
      <c r="L1947" s="153" t="s">
        <v>86</v>
      </c>
      <c r="M1947" s="153"/>
      <c r="N1947" s="2" t="s">
        <v>57</v>
      </c>
      <c r="O1947" s="2"/>
      <c r="P1947" s="2"/>
    </row>
    <row r="1948" spans="1:16" ht="16.5" customHeight="1" x14ac:dyDescent="0.25">
      <c r="A1948" s="2" t="s">
        <v>3404</v>
      </c>
      <c r="B1948" s="8" t="s">
        <v>3404</v>
      </c>
      <c r="C1948" s="152" t="s">
        <v>102</v>
      </c>
      <c r="D1948" s="2" t="s">
        <v>1874</v>
      </c>
      <c r="E1948" s="152" t="s">
        <v>102</v>
      </c>
      <c r="F1948" s="152" t="s">
        <v>103</v>
      </c>
      <c r="G1948" s="152">
        <v>0</v>
      </c>
      <c r="H1948" s="152"/>
      <c r="I1948" s="153">
        <v>0</v>
      </c>
      <c r="J1948" s="145"/>
      <c r="K1948" s="153" t="s">
        <v>86</v>
      </c>
      <c r="L1948" s="153" t="s">
        <v>86</v>
      </c>
      <c r="M1948" s="153"/>
      <c r="N1948" s="2" t="s">
        <v>57</v>
      </c>
      <c r="O1948" s="2"/>
      <c r="P1948" s="2"/>
    </row>
    <row r="1949" spans="1:16" ht="16.5" customHeight="1" x14ac:dyDescent="0.25">
      <c r="A1949" s="2" t="s">
        <v>3405</v>
      </c>
      <c r="B1949" s="8" t="s">
        <v>3405</v>
      </c>
      <c r="C1949" s="152" t="s">
        <v>102</v>
      </c>
      <c r="D1949" s="2" t="s">
        <v>278</v>
      </c>
      <c r="E1949" s="152" t="s">
        <v>102</v>
      </c>
      <c r="F1949" s="152" t="s">
        <v>103</v>
      </c>
      <c r="G1949" s="152">
        <v>3</v>
      </c>
      <c r="H1949" s="152">
        <v>334</v>
      </c>
      <c r="I1949" s="153">
        <v>20.140999999999998</v>
      </c>
      <c r="J1949" s="145"/>
      <c r="K1949" s="153">
        <v>-7.6186080412347907</v>
      </c>
      <c r="L1949" s="153" t="s">
        <v>86</v>
      </c>
      <c r="M1949" s="153"/>
      <c r="N1949" s="2" t="s">
        <v>57</v>
      </c>
      <c r="O1949" s="2"/>
      <c r="P1949" s="2"/>
    </row>
    <row r="1950" spans="1:16" ht="16.5" customHeight="1" x14ac:dyDescent="0.25">
      <c r="A1950" s="2" t="s">
        <v>3406</v>
      </c>
      <c r="B1950" s="2" t="s">
        <v>3406</v>
      </c>
      <c r="C1950" s="152" t="s">
        <v>102</v>
      </c>
      <c r="D1950" s="2" t="s">
        <v>278</v>
      </c>
      <c r="E1950" s="152" t="s">
        <v>102</v>
      </c>
      <c r="F1950" s="152" t="s">
        <v>103</v>
      </c>
      <c r="G1950" s="152">
        <v>0</v>
      </c>
      <c r="H1950" s="152">
        <v>864</v>
      </c>
      <c r="I1950" s="153">
        <v>28.314</v>
      </c>
      <c r="J1950" s="145"/>
      <c r="K1950" s="153" t="s">
        <v>86</v>
      </c>
      <c r="L1950" s="153">
        <v>-16.95804009732959</v>
      </c>
      <c r="M1950" s="153"/>
      <c r="N1950" s="2" t="s">
        <v>57</v>
      </c>
      <c r="O1950" s="2"/>
      <c r="P1950" s="2"/>
    </row>
    <row r="1951" spans="1:16" ht="16.5" customHeight="1" x14ac:dyDescent="0.25">
      <c r="A1951" s="2" t="s">
        <v>3407</v>
      </c>
      <c r="B1951" s="2" t="s">
        <v>3407</v>
      </c>
      <c r="C1951" s="152" t="s">
        <v>102</v>
      </c>
      <c r="D1951" s="2" t="s">
        <v>278</v>
      </c>
      <c r="E1951" s="152" t="s">
        <v>102</v>
      </c>
      <c r="F1951" s="152" t="s">
        <v>103</v>
      </c>
      <c r="G1951" s="152">
        <v>0</v>
      </c>
      <c r="H1951" s="152"/>
      <c r="I1951" s="153">
        <v>10.472</v>
      </c>
      <c r="J1951" s="145"/>
      <c r="K1951" s="153">
        <v>-1.6324000000000001</v>
      </c>
      <c r="L1951" s="153" t="s">
        <v>86</v>
      </c>
      <c r="M1951" s="153"/>
      <c r="N1951" s="2" t="s">
        <v>57</v>
      </c>
      <c r="O1951" s="2"/>
      <c r="P1951" s="2"/>
    </row>
    <row r="1952" spans="1:16" ht="16.5" customHeight="1" x14ac:dyDescent="0.25">
      <c r="A1952" s="2" t="s">
        <v>3408</v>
      </c>
      <c r="B1952" s="2" t="s">
        <v>3408</v>
      </c>
      <c r="C1952" s="152" t="s">
        <v>102</v>
      </c>
      <c r="D1952" s="2" t="s">
        <v>1874</v>
      </c>
      <c r="E1952" s="152" t="s">
        <v>102</v>
      </c>
      <c r="F1952" s="152" t="s">
        <v>103</v>
      </c>
      <c r="G1952" s="152">
        <v>0</v>
      </c>
      <c r="H1952" s="152"/>
      <c r="I1952" s="153">
        <v>0</v>
      </c>
      <c r="J1952" s="145"/>
      <c r="K1952" s="153" t="s">
        <v>86</v>
      </c>
      <c r="L1952" s="153" t="s">
        <v>86</v>
      </c>
      <c r="M1952" s="153"/>
      <c r="N1952" s="2" t="s">
        <v>57</v>
      </c>
      <c r="O1952" s="2"/>
      <c r="P1952" s="2"/>
    </row>
    <row r="1953" spans="1:16" ht="16.5" customHeight="1" x14ac:dyDescent="0.25">
      <c r="A1953" s="2" t="s">
        <v>3409</v>
      </c>
      <c r="B1953" s="2" t="s">
        <v>432</v>
      </c>
      <c r="C1953" s="152" t="s">
        <v>102</v>
      </c>
      <c r="D1953" s="2" t="s">
        <v>278</v>
      </c>
      <c r="E1953" s="152" t="s">
        <v>102</v>
      </c>
      <c r="F1953" s="152" t="s">
        <v>103</v>
      </c>
      <c r="G1953" s="152">
        <v>0</v>
      </c>
      <c r="H1953" s="152"/>
      <c r="I1953" s="153">
        <v>147.24600000000001</v>
      </c>
      <c r="J1953" s="145"/>
      <c r="K1953" s="153">
        <v>-17.725000000000001</v>
      </c>
      <c r="L1953" s="153" t="s">
        <v>86</v>
      </c>
      <c r="M1953" s="153"/>
      <c r="N1953" s="2" t="s">
        <v>57</v>
      </c>
      <c r="O1953" s="2"/>
      <c r="P1953" s="2"/>
    </row>
    <row r="1954" spans="1:16" ht="16.5" customHeight="1" x14ac:dyDescent="0.25">
      <c r="A1954" s="2" t="s">
        <v>3413</v>
      </c>
      <c r="B1954" s="2" t="s">
        <v>3413</v>
      </c>
      <c r="C1954" s="152" t="s">
        <v>102</v>
      </c>
      <c r="D1954" s="2" t="s">
        <v>1874</v>
      </c>
      <c r="E1954" s="152" t="s">
        <v>102</v>
      </c>
      <c r="F1954" s="152" t="s">
        <v>103</v>
      </c>
      <c r="G1954" s="152">
        <v>0</v>
      </c>
      <c r="H1954" s="152"/>
      <c r="I1954" s="153">
        <v>0</v>
      </c>
      <c r="J1954" s="145"/>
      <c r="K1954" s="153" t="s">
        <v>86</v>
      </c>
      <c r="L1954" s="153" t="s">
        <v>86</v>
      </c>
      <c r="M1954" s="153"/>
      <c r="N1954" s="2" t="s">
        <v>57</v>
      </c>
      <c r="O1954" s="2"/>
      <c r="P1954" s="2"/>
    </row>
    <row r="1955" spans="1:16" ht="16.5" customHeight="1" x14ac:dyDescent="0.25">
      <c r="A1955" s="2" t="s">
        <v>3412</v>
      </c>
      <c r="B1955" s="8" t="s">
        <v>1473</v>
      </c>
      <c r="C1955" s="152" t="s">
        <v>102</v>
      </c>
      <c r="D1955" s="8" t="s">
        <v>278</v>
      </c>
      <c r="E1955" s="152" t="s">
        <v>102</v>
      </c>
      <c r="F1955" s="152" t="s">
        <v>103</v>
      </c>
      <c r="G1955" s="152">
        <v>0</v>
      </c>
      <c r="H1955" s="152"/>
      <c r="I1955" s="153">
        <v>28.5</v>
      </c>
      <c r="J1955" s="145" t="s">
        <v>1475</v>
      </c>
      <c r="K1955" s="153">
        <v>-9.3084242424242412</v>
      </c>
      <c r="L1955" s="153" t="s">
        <v>86</v>
      </c>
      <c r="M1955" s="153"/>
      <c r="N1955" s="2" t="s">
        <v>359</v>
      </c>
      <c r="O1955" s="2" t="s">
        <v>645</v>
      </c>
      <c r="P1955" s="10" t="s">
        <v>498</v>
      </c>
    </row>
    <row r="1956" spans="1:16" ht="16.5" customHeight="1" x14ac:dyDescent="0.25">
      <c r="A1956" s="2" t="s">
        <v>3411</v>
      </c>
      <c r="B1956" s="8" t="s">
        <v>574</v>
      </c>
      <c r="C1956" s="152" t="s">
        <v>102</v>
      </c>
      <c r="D1956" s="8" t="s">
        <v>278</v>
      </c>
      <c r="E1956" s="152" t="s">
        <v>102</v>
      </c>
      <c r="F1956" s="152" t="s">
        <v>103</v>
      </c>
      <c r="G1956" s="152">
        <v>0</v>
      </c>
      <c r="H1956" s="152"/>
      <c r="I1956" s="153">
        <v>56.41</v>
      </c>
      <c r="J1956" s="145">
        <v>250</v>
      </c>
      <c r="K1956" s="153">
        <v>-22.140999999999998</v>
      </c>
      <c r="L1956" s="153" t="s">
        <v>86</v>
      </c>
      <c r="M1956" s="153"/>
      <c r="N1956" s="2" t="s">
        <v>479</v>
      </c>
      <c r="O1956" s="2"/>
      <c r="P1956" s="2"/>
    </row>
    <row r="1957" spans="1:16" ht="16.5" customHeight="1" x14ac:dyDescent="0.25">
      <c r="A1957" s="2" t="s">
        <v>3414</v>
      </c>
      <c r="B1957" s="8" t="s">
        <v>810</v>
      </c>
      <c r="C1957" s="152" t="s">
        <v>102</v>
      </c>
      <c r="D1957" s="8" t="s">
        <v>166</v>
      </c>
      <c r="E1957" s="152" t="s">
        <v>102</v>
      </c>
      <c r="F1957" s="152" t="s">
        <v>103</v>
      </c>
      <c r="G1957" s="152">
        <v>1</v>
      </c>
      <c r="H1957" s="152">
        <v>197</v>
      </c>
      <c r="I1957" s="153">
        <v>37</v>
      </c>
      <c r="J1957" s="145" t="s">
        <v>811</v>
      </c>
      <c r="K1957" s="153">
        <v>-5.9474999999999998</v>
      </c>
      <c r="L1957" s="153" t="s">
        <v>86</v>
      </c>
      <c r="M1957" s="153"/>
      <c r="N1957" s="2" t="s">
        <v>57</v>
      </c>
      <c r="O1957" s="2"/>
      <c r="P1957" s="10"/>
    </row>
    <row r="1958" spans="1:16" ht="16.5" customHeight="1" x14ac:dyDescent="0.25">
      <c r="A1958" s="2" t="s">
        <v>3415</v>
      </c>
      <c r="B1958" s="146" t="s">
        <v>1383</v>
      </c>
      <c r="C1958" s="152" t="s">
        <v>102</v>
      </c>
      <c r="D1958" s="8" t="s">
        <v>278</v>
      </c>
      <c r="E1958" s="152" t="s">
        <v>102</v>
      </c>
      <c r="F1958" s="152" t="s">
        <v>103</v>
      </c>
      <c r="G1958" s="152">
        <v>0</v>
      </c>
      <c r="H1958" s="152"/>
      <c r="I1958" s="153">
        <v>40.090000000000003</v>
      </c>
      <c r="J1958" s="145" t="s">
        <v>1385</v>
      </c>
      <c r="K1958" s="153">
        <v>-9.1501761904761914</v>
      </c>
      <c r="L1958" s="153">
        <v>-9.8667031106634955</v>
      </c>
      <c r="M1958" s="153"/>
      <c r="N1958" s="2" t="s">
        <v>359</v>
      </c>
      <c r="O1958" s="2" t="s">
        <v>630</v>
      </c>
      <c r="P1958" s="10" t="s">
        <v>498</v>
      </c>
    </row>
    <row r="1959" spans="1:16" ht="16.5" customHeight="1" x14ac:dyDescent="0.25">
      <c r="A1959" s="2" t="s">
        <v>3416</v>
      </c>
      <c r="B1959" s="2" t="s">
        <v>3416</v>
      </c>
      <c r="C1959" s="152" t="s">
        <v>102</v>
      </c>
      <c r="D1959" s="2" t="s">
        <v>1874</v>
      </c>
      <c r="E1959" s="152" t="s">
        <v>102</v>
      </c>
      <c r="F1959" s="152" t="s">
        <v>103</v>
      </c>
      <c r="G1959" s="152">
        <v>0</v>
      </c>
      <c r="H1959" s="152"/>
      <c r="I1959" s="153">
        <v>0</v>
      </c>
      <c r="J1959" s="145"/>
      <c r="K1959" s="153" t="s">
        <v>86</v>
      </c>
      <c r="L1959" s="153" t="s">
        <v>86</v>
      </c>
      <c r="M1959" s="153"/>
      <c r="N1959" s="2" t="s">
        <v>57</v>
      </c>
      <c r="O1959" s="2"/>
      <c r="P1959" s="2"/>
    </row>
    <row r="1960" spans="1:16" ht="16.5" customHeight="1" x14ac:dyDescent="0.25">
      <c r="A1960" s="2" t="s">
        <v>3417</v>
      </c>
      <c r="B1960" s="8" t="s">
        <v>1109</v>
      </c>
      <c r="C1960" s="152" t="s">
        <v>102</v>
      </c>
      <c r="D1960" s="8" t="s">
        <v>278</v>
      </c>
      <c r="E1960" s="152" t="s">
        <v>102</v>
      </c>
      <c r="F1960" s="151" t="s">
        <v>103</v>
      </c>
      <c r="G1960" s="152">
        <v>0</v>
      </c>
      <c r="H1960" s="152"/>
      <c r="I1960" s="153">
        <v>10.62</v>
      </c>
      <c r="J1960" s="145" t="s">
        <v>1110</v>
      </c>
      <c r="K1960" s="153">
        <v>-1.1000000000000001</v>
      </c>
      <c r="L1960" s="153" t="s">
        <v>86</v>
      </c>
      <c r="M1960" s="153"/>
      <c r="N1960" s="2" t="s">
        <v>57</v>
      </c>
      <c r="O1960" s="2"/>
      <c r="P1960" s="10"/>
    </row>
    <row r="1961" spans="1:16" ht="16.5" customHeight="1" x14ac:dyDescent="0.25">
      <c r="A1961" s="158" t="s">
        <v>12297</v>
      </c>
      <c r="B1961" s="142" t="s">
        <v>12297</v>
      </c>
      <c r="C1961" s="150"/>
      <c r="D1961" s="142" t="s">
        <v>278</v>
      </c>
      <c r="E1961" s="150" t="s">
        <v>102</v>
      </c>
      <c r="F1961" s="151" t="s">
        <v>103</v>
      </c>
      <c r="G1961" s="152">
        <v>0</v>
      </c>
      <c r="H1961" s="150"/>
      <c r="I1961" s="159">
        <v>12.1</v>
      </c>
      <c r="J1961" s="160"/>
      <c r="K1961" s="159" t="s">
        <v>86</v>
      </c>
      <c r="L1961" s="159" t="s">
        <v>86</v>
      </c>
      <c r="M1961" s="159"/>
      <c r="N1961" s="158" t="s">
        <v>57</v>
      </c>
      <c r="O1961" s="158"/>
      <c r="P1961" s="161"/>
    </row>
    <row r="1962" spans="1:16" ht="16.5" customHeight="1" x14ac:dyDescent="0.25">
      <c r="A1962" s="158" t="s">
        <v>13769</v>
      </c>
      <c r="B1962" s="142" t="s">
        <v>13769</v>
      </c>
      <c r="C1962" s="150"/>
      <c r="D1962" s="142" t="s">
        <v>278</v>
      </c>
      <c r="E1962" s="150" t="s">
        <v>102</v>
      </c>
      <c r="F1962" s="151" t="s">
        <v>103</v>
      </c>
      <c r="G1962" s="152">
        <v>0</v>
      </c>
      <c r="H1962" s="150"/>
      <c r="I1962" s="159">
        <v>31.15</v>
      </c>
      <c r="J1962" s="160"/>
      <c r="K1962" s="159" t="s">
        <v>86</v>
      </c>
      <c r="L1962" s="159" t="s">
        <v>86</v>
      </c>
      <c r="M1962" s="159"/>
      <c r="N1962" s="158" t="s">
        <v>57</v>
      </c>
      <c r="O1962" s="158"/>
      <c r="P1962" s="161"/>
    </row>
    <row r="1963" spans="1:16" ht="16.5" customHeight="1" x14ac:dyDescent="0.25">
      <c r="A1963" s="158" t="s">
        <v>13770</v>
      </c>
      <c r="B1963" s="142" t="s">
        <v>13770</v>
      </c>
      <c r="C1963" s="150"/>
      <c r="D1963" s="142" t="s">
        <v>278</v>
      </c>
      <c r="E1963" s="150" t="s">
        <v>102</v>
      </c>
      <c r="F1963" s="151" t="s">
        <v>103</v>
      </c>
      <c r="G1963" s="152">
        <v>0</v>
      </c>
      <c r="H1963" s="150"/>
      <c r="I1963" s="159">
        <v>75.91</v>
      </c>
      <c r="J1963" s="160"/>
      <c r="K1963" s="159" t="s">
        <v>86</v>
      </c>
      <c r="L1963" s="159" t="s">
        <v>86</v>
      </c>
      <c r="M1963" s="159"/>
      <c r="N1963" s="158" t="s">
        <v>57</v>
      </c>
      <c r="O1963" s="158"/>
      <c r="P1963" s="161"/>
    </row>
    <row r="1964" spans="1:16" ht="16.5" customHeight="1" x14ac:dyDescent="0.25">
      <c r="A1964" s="158" t="s">
        <v>12273</v>
      </c>
      <c r="B1964" s="142" t="s">
        <v>12273</v>
      </c>
      <c r="C1964" s="150"/>
      <c r="D1964" s="142" t="s">
        <v>278</v>
      </c>
      <c r="E1964" s="150" t="s">
        <v>102</v>
      </c>
      <c r="F1964" s="151" t="s">
        <v>103</v>
      </c>
      <c r="G1964" s="152">
        <v>0</v>
      </c>
      <c r="H1964" s="150"/>
      <c r="I1964" s="159">
        <v>37.488</v>
      </c>
      <c r="J1964" s="160"/>
      <c r="K1964" s="159" t="s">
        <v>86</v>
      </c>
      <c r="L1964" s="159" t="s">
        <v>86</v>
      </c>
      <c r="M1964" s="159"/>
      <c r="N1964" s="158" t="s">
        <v>57</v>
      </c>
      <c r="O1964" s="158"/>
      <c r="P1964" s="161"/>
    </row>
    <row r="1965" spans="1:16" ht="16.5" customHeight="1" x14ac:dyDescent="0.25">
      <c r="A1965" s="2" t="s">
        <v>3418</v>
      </c>
      <c r="B1965" s="2" t="s">
        <v>3418</v>
      </c>
      <c r="C1965" s="152" t="s">
        <v>102</v>
      </c>
      <c r="D1965" s="2" t="s">
        <v>1874</v>
      </c>
      <c r="E1965" s="152" t="s">
        <v>102</v>
      </c>
      <c r="F1965" s="152" t="s">
        <v>103</v>
      </c>
      <c r="G1965" s="152">
        <v>0</v>
      </c>
      <c r="H1965" s="152"/>
      <c r="I1965" s="153">
        <v>0</v>
      </c>
      <c r="J1965" s="145"/>
      <c r="K1965" s="153" t="s">
        <v>86</v>
      </c>
      <c r="L1965" s="153" t="s">
        <v>86</v>
      </c>
      <c r="M1965" s="153"/>
      <c r="N1965" s="2" t="s">
        <v>57</v>
      </c>
      <c r="O1965" s="2"/>
      <c r="P1965" s="2"/>
    </row>
    <row r="1966" spans="1:16" ht="16.5" customHeight="1" x14ac:dyDescent="0.25">
      <c r="A1966" s="2" t="s">
        <v>3410</v>
      </c>
      <c r="B1966" s="8" t="s">
        <v>345</v>
      </c>
      <c r="C1966" s="152" t="s">
        <v>102</v>
      </c>
      <c r="D1966" s="8" t="s">
        <v>278</v>
      </c>
      <c r="E1966" s="152" t="s">
        <v>102</v>
      </c>
      <c r="F1966" s="152" t="s">
        <v>103</v>
      </c>
      <c r="G1966" s="152">
        <v>5</v>
      </c>
      <c r="H1966" s="152">
        <v>320</v>
      </c>
      <c r="I1966" s="153">
        <v>20.163</v>
      </c>
      <c r="J1966" s="145">
        <v>130</v>
      </c>
      <c r="K1966" s="153">
        <v>-3.0607291666666669</v>
      </c>
      <c r="L1966" s="153">
        <v>-12.16701793983623</v>
      </c>
      <c r="M1966" s="153"/>
      <c r="N1966" s="2" t="s">
        <v>57</v>
      </c>
      <c r="O1966" s="2"/>
      <c r="P1966" s="10"/>
    </row>
    <row r="1967" spans="1:16" ht="16.5" customHeight="1" x14ac:dyDescent="0.25">
      <c r="A1967" s="2" t="s">
        <v>13768</v>
      </c>
      <c r="B1967" s="2" t="s">
        <v>13768</v>
      </c>
      <c r="C1967" s="152" t="s">
        <v>102</v>
      </c>
      <c r="D1967" s="2" t="s">
        <v>278</v>
      </c>
      <c r="E1967" s="152" t="s">
        <v>102</v>
      </c>
      <c r="F1967" s="152" t="s">
        <v>103</v>
      </c>
      <c r="G1967" s="152">
        <v>0</v>
      </c>
      <c r="H1967" s="152"/>
      <c r="I1967" s="153">
        <v>43.21</v>
      </c>
      <c r="J1967" s="145"/>
      <c r="K1967" s="153" t="s">
        <v>86</v>
      </c>
      <c r="L1967" s="153" t="s">
        <v>86</v>
      </c>
      <c r="M1967" s="153"/>
      <c r="N1967" s="2" t="s">
        <v>57</v>
      </c>
      <c r="O1967" s="2"/>
      <c r="P1967" s="2"/>
    </row>
  </sheetData>
  <sheetProtection algorithmName="SHA-512" hashValue="iEJJ77yfcvedZBxBV2qjr0KlcCr/iaT9sSBC8WeM8blXTMXNrFrrpaxzGMauU40aAmR/kZtIhkOxT3iQIzu27w==" saltValue="StjvwoOaq1m9sv2rxDPv5w==" spinCount="100000" sheet="1" objects="1" scenarios="1"/>
  <autoFilter ref="A1:AN1967"/>
  <conditionalFormatting sqref="B1950:B1953">
    <cfRule type="duplicateValues" dxfId="82" priority="47"/>
    <cfRule type="duplicateValues" dxfId="81" priority="48"/>
  </conditionalFormatting>
  <conditionalFormatting sqref="B369:B378">
    <cfRule type="duplicateValues" dxfId="80" priority="39"/>
  </conditionalFormatting>
  <conditionalFormatting sqref="E2:F622">
    <cfRule type="cellIs" dxfId="79" priority="35" operator="lessThan">
      <formula>0</formula>
    </cfRule>
  </conditionalFormatting>
  <conditionalFormatting sqref="B1954">
    <cfRule type="duplicateValues" dxfId="78" priority="24"/>
    <cfRule type="duplicateValues" dxfId="77" priority="25"/>
  </conditionalFormatting>
  <conditionalFormatting sqref="B379:B390">
    <cfRule type="duplicateValues" dxfId="76" priority="14"/>
    <cfRule type="duplicateValues" dxfId="75" priority="15"/>
  </conditionalFormatting>
  <conditionalFormatting sqref="B1959">
    <cfRule type="duplicateValues" dxfId="74" priority="8"/>
    <cfRule type="duplicateValues" dxfId="73" priority="9"/>
    <cfRule type="duplicateValues" dxfId="72" priority="10"/>
  </conditionalFormatting>
  <conditionalFormatting sqref="F1960:F1964">
    <cfRule type="cellIs" dxfId="71" priority="6" operator="lessThan">
      <formula>0</formula>
    </cfRule>
  </conditionalFormatting>
  <conditionalFormatting sqref="B1965 B1967">
    <cfRule type="duplicateValues" dxfId="70" priority="3"/>
    <cfRule type="duplicateValues" dxfId="69" priority="4"/>
    <cfRule type="duplicateValues" dxfId="68" priority="5"/>
  </conditionalFormatting>
  <conditionalFormatting sqref="A1:A1048576">
    <cfRule type="duplicateValues" dxfId="67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"/>
  <sheetViews>
    <sheetView zoomScale="130" zoomScaleNormal="130" workbookViewId="0">
      <pane ySplit="1" topLeftCell="A347" activePane="bottomLeft" state="frozen"/>
      <selection pane="bottomLeft" activeCell="A377" sqref="A377"/>
    </sheetView>
  </sheetViews>
  <sheetFormatPr defaultRowHeight="15" x14ac:dyDescent="0.25"/>
  <cols>
    <col min="1" max="1" width="47.5703125" style="117" bestFit="1" customWidth="1"/>
    <col min="2" max="2" width="14.42578125" style="25" bestFit="1" customWidth="1"/>
    <col min="3" max="3" width="10.85546875" style="157" bestFit="1" customWidth="1"/>
  </cols>
  <sheetData>
    <row r="1" spans="1:3" x14ac:dyDescent="0.25">
      <c r="A1" s="140" t="s">
        <v>3419</v>
      </c>
      <c r="B1" s="138" t="s">
        <v>3420</v>
      </c>
      <c r="C1" s="139" t="s">
        <v>3421</v>
      </c>
    </row>
    <row r="2" spans="1:3" x14ac:dyDescent="0.25">
      <c r="A2" s="141" t="s">
        <v>3422</v>
      </c>
      <c r="B2" s="137" t="s">
        <v>3422</v>
      </c>
    </row>
    <row r="3" spans="1:3" s="162" customFormat="1" x14ac:dyDescent="0.25">
      <c r="A3" s="141" t="s">
        <v>2434</v>
      </c>
      <c r="B3" s="137" t="s">
        <v>2434</v>
      </c>
    </row>
    <row r="4" spans="1:3" s="162" customFormat="1" x14ac:dyDescent="0.25">
      <c r="A4" s="141" t="s">
        <v>3423</v>
      </c>
      <c r="B4" s="137" t="s">
        <v>3423</v>
      </c>
    </row>
    <row r="5" spans="1:3" s="162" customFormat="1" x14ac:dyDescent="0.25">
      <c r="A5" s="141" t="s">
        <v>3424</v>
      </c>
      <c r="B5" s="137" t="s">
        <v>3425</v>
      </c>
    </row>
    <row r="6" spans="1:3" s="162" customFormat="1" x14ac:dyDescent="0.25">
      <c r="A6" s="141" t="s">
        <v>3426</v>
      </c>
      <c r="B6" s="137" t="s">
        <v>3426</v>
      </c>
    </row>
    <row r="7" spans="1:3" s="162" customFormat="1" x14ac:dyDescent="0.25">
      <c r="A7" s="141" t="s">
        <v>3427</v>
      </c>
      <c r="B7" s="137" t="s">
        <v>3427</v>
      </c>
    </row>
    <row r="8" spans="1:3" s="162" customFormat="1" x14ac:dyDescent="0.25">
      <c r="A8" s="141" t="s">
        <v>3428</v>
      </c>
      <c r="B8" s="137" t="s">
        <v>3427</v>
      </c>
    </row>
    <row r="9" spans="1:3" s="162" customFormat="1" x14ac:dyDescent="0.25">
      <c r="A9" s="141" t="s">
        <v>3429</v>
      </c>
      <c r="B9" s="137" t="s">
        <v>3426</v>
      </c>
    </row>
    <row r="10" spans="1:3" s="162" customFormat="1" x14ac:dyDescent="0.25">
      <c r="A10" s="141" t="s">
        <v>3430</v>
      </c>
      <c r="B10" s="137" t="s">
        <v>2434</v>
      </c>
    </row>
    <row r="11" spans="1:3" s="162" customFormat="1" x14ac:dyDescent="0.25">
      <c r="A11" s="141" t="s">
        <v>3431</v>
      </c>
      <c r="B11" s="137" t="s">
        <v>3432</v>
      </c>
    </row>
    <row r="12" spans="1:3" s="162" customFormat="1" x14ac:dyDescent="0.25">
      <c r="A12" s="141" t="s">
        <v>3433</v>
      </c>
      <c r="B12" s="137" t="s">
        <v>3433</v>
      </c>
    </row>
    <row r="13" spans="1:3" s="162" customFormat="1" x14ac:dyDescent="0.25">
      <c r="A13" s="141" t="s">
        <v>3434</v>
      </c>
      <c r="B13" s="137" t="s">
        <v>3434</v>
      </c>
    </row>
    <row r="14" spans="1:3" s="162" customFormat="1" x14ac:dyDescent="0.25">
      <c r="A14" s="141" t="s">
        <v>3435</v>
      </c>
      <c r="B14" s="137" t="s">
        <v>3436</v>
      </c>
    </row>
    <row r="15" spans="1:3" s="162" customFormat="1" x14ac:dyDescent="0.25">
      <c r="A15" s="141" t="s">
        <v>3437</v>
      </c>
      <c r="B15" s="137" t="s">
        <v>3434</v>
      </c>
    </row>
    <row r="16" spans="1:3" s="162" customFormat="1" x14ac:dyDescent="0.25">
      <c r="A16" s="141" t="s">
        <v>3438</v>
      </c>
      <c r="B16" s="137" t="s">
        <v>3439</v>
      </c>
    </row>
    <row r="17" spans="1:2" s="162" customFormat="1" x14ac:dyDescent="0.25">
      <c r="A17" s="141" t="s">
        <v>3440</v>
      </c>
      <c r="B17" s="137" t="s">
        <v>3439</v>
      </c>
    </row>
    <row r="18" spans="1:2" s="162" customFormat="1" x14ac:dyDescent="0.25">
      <c r="A18" s="141" t="s">
        <v>3436</v>
      </c>
      <c r="B18" s="137" t="s">
        <v>3436</v>
      </c>
    </row>
    <row r="19" spans="1:2" s="162" customFormat="1" x14ac:dyDescent="0.25">
      <c r="A19" s="141" t="s">
        <v>3441</v>
      </c>
      <c r="B19" s="137" t="s">
        <v>3441</v>
      </c>
    </row>
    <row r="20" spans="1:2" s="162" customFormat="1" x14ac:dyDescent="0.25">
      <c r="A20" s="141" t="s">
        <v>3442</v>
      </c>
      <c r="B20" s="137">
        <v>0</v>
      </c>
    </row>
    <row r="21" spans="1:2" s="162" customFormat="1" x14ac:dyDescent="0.25">
      <c r="A21" s="141" t="s">
        <v>3443</v>
      </c>
      <c r="B21" s="137">
        <v>0</v>
      </c>
    </row>
    <row r="22" spans="1:2" s="162" customFormat="1" x14ac:dyDescent="0.25">
      <c r="A22" s="141" t="s">
        <v>3444</v>
      </c>
      <c r="B22" s="137" t="s">
        <v>3441</v>
      </c>
    </row>
    <row r="23" spans="1:2" s="162" customFormat="1" x14ac:dyDescent="0.25">
      <c r="A23" s="141" t="s">
        <v>3445</v>
      </c>
      <c r="B23" s="137" t="s">
        <v>3445</v>
      </c>
    </row>
    <row r="24" spans="1:2" s="162" customFormat="1" x14ac:dyDescent="0.25">
      <c r="A24" s="141" t="s">
        <v>3446</v>
      </c>
      <c r="B24" s="137" t="s">
        <v>3445</v>
      </c>
    </row>
    <row r="25" spans="1:2" s="162" customFormat="1" x14ac:dyDescent="0.25">
      <c r="A25" s="141" t="s">
        <v>3447</v>
      </c>
      <c r="B25" s="137" t="s">
        <v>3445</v>
      </c>
    </row>
    <row r="26" spans="1:2" s="162" customFormat="1" x14ac:dyDescent="0.25">
      <c r="A26" s="141" t="s">
        <v>3448</v>
      </c>
      <c r="B26" s="137" t="s">
        <v>3445</v>
      </c>
    </row>
    <row r="27" spans="1:2" s="162" customFormat="1" x14ac:dyDescent="0.25">
      <c r="A27" s="141" t="s">
        <v>3449</v>
      </c>
      <c r="B27" s="137" t="s">
        <v>2476</v>
      </c>
    </row>
    <row r="28" spans="1:2" s="162" customFormat="1" x14ac:dyDescent="0.25">
      <c r="A28" s="141" t="s">
        <v>3450</v>
      </c>
      <c r="B28" s="137" t="s">
        <v>3450</v>
      </c>
    </row>
    <row r="29" spans="1:2" s="162" customFormat="1" x14ac:dyDescent="0.25">
      <c r="A29" s="141" t="s">
        <v>3451</v>
      </c>
      <c r="B29" s="137" t="s">
        <v>3450</v>
      </c>
    </row>
    <row r="30" spans="1:2" s="162" customFormat="1" x14ac:dyDescent="0.25">
      <c r="A30" s="141" t="s">
        <v>3452</v>
      </c>
      <c r="B30" s="137" t="s">
        <v>91</v>
      </c>
    </row>
    <row r="31" spans="1:2" s="162" customFormat="1" x14ac:dyDescent="0.25">
      <c r="A31" s="141" t="s">
        <v>3453</v>
      </c>
      <c r="B31" s="137" t="s">
        <v>91</v>
      </c>
    </row>
    <row r="32" spans="1:2" s="162" customFormat="1" x14ac:dyDescent="0.25">
      <c r="A32" s="141" t="s">
        <v>102</v>
      </c>
      <c r="B32" s="137" t="s">
        <v>102</v>
      </c>
    </row>
    <row r="33" spans="1:2" s="162" customFormat="1" x14ac:dyDescent="0.25">
      <c r="A33" s="141" t="s">
        <v>3454</v>
      </c>
      <c r="B33" s="137" t="s">
        <v>3454</v>
      </c>
    </row>
    <row r="34" spans="1:2" s="162" customFormat="1" x14ac:dyDescent="0.25">
      <c r="A34" s="141" t="s">
        <v>3455</v>
      </c>
      <c r="B34" s="137" t="s">
        <v>3454</v>
      </c>
    </row>
    <row r="35" spans="1:2" s="162" customFormat="1" x14ac:dyDescent="0.25">
      <c r="A35" s="141" t="s">
        <v>2486</v>
      </c>
      <c r="B35" s="137" t="s">
        <v>2486</v>
      </c>
    </row>
    <row r="36" spans="1:2" s="162" customFormat="1" x14ac:dyDescent="0.25">
      <c r="A36" s="141" t="s">
        <v>3456</v>
      </c>
      <c r="B36" s="137" t="s">
        <v>2486</v>
      </c>
    </row>
    <row r="37" spans="1:2" s="162" customFormat="1" x14ac:dyDescent="0.25">
      <c r="A37" s="141" t="s">
        <v>3457</v>
      </c>
      <c r="B37" s="137" t="s">
        <v>2486</v>
      </c>
    </row>
    <row r="38" spans="1:2" s="162" customFormat="1" x14ac:dyDescent="0.25">
      <c r="A38" s="141" t="s">
        <v>3458</v>
      </c>
      <c r="B38" s="137" t="s">
        <v>3458</v>
      </c>
    </row>
    <row r="39" spans="1:2" s="162" customFormat="1" x14ac:dyDescent="0.25">
      <c r="A39" s="141" t="s">
        <v>3459</v>
      </c>
      <c r="B39" s="137" t="s">
        <v>3458</v>
      </c>
    </row>
    <row r="40" spans="1:2" s="162" customFormat="1" x14ac:dyDescent="0.25">
      <c r="A40" s="141" t="s">
        <v>3460</v>
      </c>
      <c r="B40" s="137">
        <v>0</v>
      </c>
    </row>
    <row r="41" spans="1:2" s="162" customFormat="1" x14ac:dyDescent="0.25">
      <c r="A41" s="141" t="s">
        <v>3461</v>
      </c>
      <c r="B41" s="137" t="s">
        <v>3461</v>
      </c>
    </row>
    <row r="42" spans="1:2" s="162" customFormat="1" x14ac:dyDescent="0.25">
      <c r="A42" s="141" t="s">
        <v>3462</v>
      </c>
      <c r="B42" s="137" t="s">
        <v>3463</v>
      </c>
    </row>
    <row r="43" spans="1:2" s="162" customFormat="1" x14ac:dyDescent="0.25">
      <c r="A43" s="141" t="s">
        <v>3464</v>
      </c>
      <c r="B43" s="137" t="s">
        <v>3465</v>
      </c>
    </row>
    <row r="44" spans="1:2" s="162" customFormat="1" x14ac:dyDescent="0.25">
      <c r="A44" s="141" t="s">
        <v>3465</v>
      </c>
      <c r="B44" s="137" t="s">
        <v>3465</v>
      </c>
    </row>
    <row r="45" spans="1:2" s="162" customFormat="1" x14ac:dyDescent="0.25">
      <c r="A45" s="141" t="s">
        <v>3466</v>
      </c>
      <c r="B45" s="137" t="s">
        <v>3467</v>
      </c>
    </row>
    <row r="46" spans="1:2" s="162" customFormat="1" x14ac:dyDescent="0.25">
      <c r="A46" s="141" t="s">
        <v>3468</v>
      </c>
      <c r="B46" s="137" t="s">
        <v>3468</v>
      </c>
    </row>
    <row r="47" spans="1:2" s="162" customFormat="1" x14ac:dyDescent="0.25">
      <c r="A47" s="141" t="s">
        <v>3469</v>
      </c>
      <c r="B47" s="137" t="s">
        <v>3469</v>
      </c>
    </row>
    <row r="48" spans="1:2" s="162" customFormat="1" x14ac:dyDescent="0.25">
      <c r="A48" s="141" t="s">
        <v>3470</v>
      </c>
      <c r="B48" s="137" t="s">
        <v>3469</v>
      </c>
    </row>
    <row r="49" spans="1:2" s="162" customFormat="1" x14ac:dyDescent="0.25">
      <c r="A49" s="141" t="s">
        <v>3471</v>
      </c>
      <c r="B49" s="137" t="s">
        <v>3471</v>
      </c>
    </row>
    <row r="50" spans="1:2" s="162" customFormat="1" x14ac:dyDescent="0.25">
      <c r="A50" s="141" t="s">
        <v>3472</v>
      </c>
      <c r="B50" s="137" t="s">
        <v>3471</v>
      </c>
    </row>
    <row r="51" spans="1:2" s="162" customFormat="1" x14ac:dyDescent="0.25">
      <c r="A51" s="141" t="s">
        <v>3473</v>
      </c>
      <c r="B51" s="137" t="s">
        <v>3473</v>
      </c>
    </row>
    <row r="52" spans="1:2" s="162" customFormat="1" x14ac:dyDescent="0.25">
      <c r="A52" s="141" t="s">
        <v>3474</v>
      </c>
      <c r="B52" s="137" t="s">
        <v>3473</v>
      </c>
    </row>
    <row r="53" spans="1:2" s="162" customFormat="1" x14ac:dyDescent="0.25">
      <c r="A53" s="141" t="s">
        <v>3475</v>
      </c>
      <c r="B53" s="137" t="s">
        <v>3468</v>
      </c>
    </row>
    <row r="54" spans="1:2" s="162" customFormat="1" x14ac:dyDescent="0.25">
      <c r="A54" s="141" t="s">
        <v>3476</v>
      </c>
      <c r="B54" s="137" t="s">
        <v>3477</v>
      </c>
    </row>
    <row r="55" spans="1:2" s="162" customFormat="1" x14ac:dyDescent="0.25">
      <c r="A55" s="141" t="s">
        <v>3478</v>
      </c>
      <c r="B55" s="137" t="s">
        <v>3479</v>
      </c>
    </row>
    <row r="56" spans="1:2" s="162" customFormat="1" x14ac:dyDescent="0.25">
      <c r="A56" s="141" t="s">
        <v>3477</v>
      </c>
      <c r="B56" s="137" t="s">
        <v>3477</v>
      </c>
    </row>
    <row r="57" spans="1:2" s="162" customFormat="1" x14ac:dyDescent="0.25">
      <c r="A57" s="141" t="s">
        <v>3479</v>
      </c>
      <c r="B57" s="137" t="s">
        <v>3479</v>
      </c>
    </row>
    <row r="58" spans="1:2" s="162" customFormat="1" x14ac:dyDescent="0.25">
      <c r="A58" s="141" t="s">
        <v>3480</v>
      </c>
      <c r="B58" s="137" t="s">
        <v>3480</v>
      </c>
    </row>
    <row r="59" spans="1:2" s="162" customFormat="1" x14ac:dyDescent="0.25">
      <c r="A59" s="141" t="s">
        <v>3481</v>
      </c>
      <c r="B59" s="137" t="s">
        <v>3480</v>
      </c>
    </row>
    <row r="60" spans="1:2" s="162" customFormat="1" x14ac:dyDescent="0.25">
      <c r="A60" s="141" t="s">
        <v>3482</v>
      </c>
      <c r="B60" s="137" t="s">
        <v>3482</v>
      </c>
    </row>
    <row r="61" spans="1:2" s="162" customFormat="1" x14ac:dyDescent="0.25">
      <c r="A61" s="141" t="s">
        <v>3483</v>
      </c>
      <c r="B61" s="137" t="s">
        <v>3484</v>
      </c>
    </row>
    <row r="62" spans="1:2" s="162" customFormat="1" x14ac:dyDescent="0.25">
      <c r="A62" s="141" t="s">
        <v>3485</v>
      </c>
      <c r="B62" s="137" t="s">
        <v>3486</v>
      </c>
    </row>
    <row r="63" spans="1:2" s="162" customFormat="1" x14ac:dyDescent="0.25">
      <c r="A63" s="141" t="s">
        <v>3487</v>
      </c>
      <c r="B63" s="137" t="s">
        <v>3488</v>
      </c>
    </row>
    <row r="64" spans="1:2" s="162" customFormat="1" x14ac:dyDescent="0.25">
      <c r="A64" s="141" t="s">
        <v>3489</v>
      </c>
      <c r="B64" s="137" t="s">
        <v>3482</v>
      </c>
    </row>
    <row r="65" spans="1:2" s="162" customFormat="1" x14ac:dyDescent="0.25">
      <c r="A65" s="141" t="s">
        <v>3486</v>
      </c>
      <c r="B65" s="137" t="s">
        <v>3486</v>
      </c>
    </row>
    <row r="66" spans="1:2" s="162" customFormat="1" x14ac:dyDescent="0.25">
      <c r="A66" s="141" t="s">
        <v>3488</v>
      </c>
      <c r="B66" s="137" t="s">
        <v>3488</v>
      </c>
    </row>
    <row r="67" spans="1:2" s="162" customFormat="1" x14ac:dyDescent="0.25">
      <c r="A67" s="141" t="s">
        <v>3484</v>
      </c>
      <c r="B67" s="137" t="s">
        <v>3484</v>
      </c>
    </row>
    <row r="68" spans="1:2" s="162" customFormat="1" x14ac:dyDescent="0.25">
      <c r="A68" s="141" t="s">
        <v>3490</v>
      </c>
      <c r="B68" s="137" t="s">
        <v>3491</v>
      </c>
    </row>
    <row r="69" spans="1:2" s="162" customFormat="1" x14ac:dyDescent="0.25">
      <c r="A69" s="141" t="s">
        <v>3492</v>
      </c>
      <c r="B69" s="137" t="s">
        <v>3492</v>
      </c>
    </row>
    <row r="70" spans="1:2" s="162" customFormat="1" x14ac:dyDescent="0.25">
      <c r="A70" s="141" t="s">
        <v>3493</v>
      </c>
      <c r="B70" s="137" t="s">
        <v>3492</v>
      </c>
    </row>
    <row r="71" spans="1:2" s="162" customFormat="1" x14ac:dyDescent="0.25">
      <c r="A71" s="141" t="s">
        <v>3494</v>
      </c>
      <c r="B71" s="137" t="s">
        <v>3495</v>
      </c>
    </row>
    <row r="72" spans="1:2" s="162" customFormat="1" x14ac:dyDescent="0.25">
      <c r="A72" s="141" t="s">
        <v>3496</v>
      </c>
      <c r="B72" s="137" t="s">
        <v>3497</v>
      </c>
    </row>
    <row r="73" spans="1:2" s="162" customFormat="1" x14ac:dyDescent="0.25">
      <c r="A73" s="141" t="s">
        <v>3498</v>
      </c>
      <c r="B73" s="137" t="s">
        <v>3499</v>
      </c>
    </row>
    <row r="74" spans="1:2" s="162" customFormat="1" x14ac:dyDescent="0.25">
      <c r="A74" s="141" t="s">
        <v>3495</v>
      </c>
      <c r="B74" s="137" t="s">
        <v>3495</v>
      </c>
    </row>
    <row r="75" spans="1:2" s="162" customFormat="1" x14ac:dyDescent="0.25">
      <c r="A75" s="141" t="s">
        <v>3499</v>
      </c>
      <c r="B75" s="137" t="s">
        <v>3499</v>
      </c>
    </row>
    <row r="76" spans="1:2" s="162" customFormat="1" x14ac:dyDescent="0.25">
      <c r="A76" s="141" t="s">
        <v>3500</v>
      </c>
      <c r="B76" s="137" t="s">
        <v>3501</v>
      </c>
    </row>
    <row r="77" spans="1:2" s="162" customFormat="1" x14ac:dyDescent="0.25">
      <c r="A77" s="141" t="s">
        <v>3497</v>
      </c>
      <c r="B77" s="137" t="s">
        <v>3497</v>
      </c>
    </row>
    <row r="78" spans="1:2" s="162" customFormat="1" x14ac:dyDescent="0.25">
      <c r="A78" s="141" t="s">
        <v>3501</v>
      </c>
      <c r="B78" s="137" t="s">
        <v>3501</v>
      </c>
    </row>
    <row r="79" spans="1:2" s="162" customFormat="1" x14ac:dyDescent="0.25">
      <c r="A79" s="141" t="s">
        <v>3502</v>
      </c>
      <c r="B79" s="137" t="s">
        <v>3503</v>
      </c>
    </row>
    <row r="80" spans="1:2" s="162" customFormat="1" x14ac:dyDescent="0.25">
      <c r="A80" s="141" t="s">
        <v>3504</v>
      </c>
      <c r="B80" s="137" t="s">
        <v>3504</v>
      </c>
    </row>
    <row r="81" spans="1:2" s="162" customFormat="1" x14ac:dyDescent="0.25">
      <c r="A81" s="141" t="s">
        <v>3503</v>
      </c>
      <c r="B81" s="137" t="s">
        <v>3503</v>
      </c>
    </row>
    <row r="82" spans="1:2" s="162" customFormat="1" x14ac:dyDescent="0.25">
      <c r="A82" s="141" t="s">
        <v>3505</v>
      </c>
      <c r="B82" s="137" t="s">
        <v>3505</v>
      </c>
    </row>
    <row r="83" spans="1:2" s="162" customFormat="1" x14ac:dyDescent="0.25">
      <c r="A83" s="141" t="s">
        <v>3506</v>
      </c>
      <c r="B83" s="137" t="s">
        <v>3506</v>
      </c>
    </row>
    <row r="84" spans="1:2" s="162" customFormat="1" x14ac:dyDescent="0.25">
      <c r="A84" s="141" t="s">
        <v>3507</v>
      </c>
      <c r="B84" s="137" t="s">
        <v>3506</v>
      </c>
    </row>
    <row r="85" spans="1:2" s="162" customFormat="1" x14ac:dyDescent="0.25">
      <c r="A85" s="141" t="s">
        <v>3508</v>
      </c>
      <c r="B85" s="137" t="s">
        <v>3509</v>
      </c>
    </row>
    <row r="86" spans="1:2" s="162" customFormat="1" x14ac:dyDescent="0.25">
      <c r="A86" s="141" t="s">
        <v>3510</v>
      </c>
      <c r="B86" s="137" t="s">
        <v>3504</v>
      </c>
    </row>
    <row r="87" spans="1:2" s="162" customFormat="1" x14ac:dyDescent="0.25">
      <c r="A87" s="141" t="s">
        <v>3511</v>
      </c>
      <c r="B87" s="137" t="s">
        <v>3512</v>
      </c>
    </row>
    <row r="88" spans="1:2" s="162" customFormat="1" x14ac:dyDescent="0.25">
      <c r="A88" s="141" t="s">
        <v>3513</v>
      </c>
      <c r="B88" s="137" t="s">
        <v>3514</v>
      </c>
    </row>
    <row r="89" spans="1:2" s="162" customFormat="1" x14ac:dyDescent="0.25">
      <c r="A89" s="141" t="s">
        <v>3515</v>
      </c>
      <c r="B89" s="137" t="s">
        <v>3516</v>
      </c>
    </row>
    <row r="90" spans="1:2" s="162" customFormat="1" x14ac:dyDescent="0.25">
      <c r="A90" s="141" t="s">
        <v>3517</v>
      </c>
      <c r="B90" s="137" t="s">
        <v>3518</v>
      </c>
    </row>
    <row r="91" spans="1:2" s="162" customFormat="1" x14ac:dyDescent="0.25">
      <c r="A91" s="141" t="s">
        <v>3519</v>
      </c>
      <c r="B91" s="137" t="s">
        <v>3520</v>
      </c>
    </row>
    <row r="92" spans="1:2" s="162" customFormat="1" x14ac:dyDescent="0.25">
      <c r="A92" s="141" t="s">
        <v>3512</v>
      </c>
      <c r="B92" s="137" t="s">
        <v>3512</v>
      </c>
    </row>
    <row r="93" spans="1:2" s="162" customFormat="1" x14ac:dyDescent="0.25">
      <c r="A93" s="141" t="s">
        <v>3514</v>
      </c>
      <c r="B93" s="137" t="s">
        <v>3514</v>
      </c>
    </row>
    <row r="94" spans="1:2" s="162" customFormat="1" x14ac:dyDescent="0.25">
      <c r="A94" s="141" t="s">
        <v>3521</v>
      </c>
      <c r="B94" s="137" t="s">
        <v>3521</v>
      </c>
    </row>
    <row r="95" spans="1:2" s="162" customFormat="1" x14ac:dyDescent="0.25">
      <c r="A95" s="141" t="s">
        <v>3516</v>
      </c>
      <c r="B95" s="137" t="s">
        <v>3516</v>
      </c>
    </row>
    <row r="96" spans="1:2" s="162" customFormat="1" x14ac:dyDescent="0.25">
      <c r="A96" s="141" t="s">
        <v>3522</v>
      </c>
      <c r="B96" s="137" t="s">
        <v>3503</v>
      </c>
    </row>
    <row r="97" spans="1:2" s="162" customFormat="1" x14ac:dyDescent="0.25">
      <c r="A97" s="141" t="s">
        <v>3523</v>
      </c>
      <c r="B97" s="137" t="s">
        <v>3505</v>
      </c>
    </row>
    <row r="98" spans="1:2" s="162" customFormat="1" x14ac:dyDescent="0.25">
      <c r="A98" s="141" t="s">
        <v>3524</v>
      </c>
      <c r="B98" s="137" t="s">
        <v>3525</v>
      </c>
    </row>
    <row r="99" spans="1:2" s="162" customFormat="1" x14ac:dyDescent="0.25">
      <c r="A99" s="141" t="s">
        <v>3526</v>
      </c>
      <c r="B99" s="137" t="s">
        <v>3527</v>
      </c>
    </row>
    <row r="100" spans="1:2" s="162" customFormat="1" x14ac:dyDescent="0.25">
      <c r="A100" s="141" t="s">
        <v>3527</v>
      </c>
      <c r="B100" s="137" t="s">
        <v>3527</v>
      </c>
    </row>
    <row r="101" spans="1:2" s="162" customFormat="1" x14ac:dyDescent="0.25">
      <c r="A101" s="141" t="s">
        <v>3528</v>
      </c>
      <c r="B101" s="137" t="s">
        <v>3521</v>
      </c>
    </row>
    <row r="102" spans="1:2" s="162" customFormat="1" x14ac:dyDescent="0.25">
      <c r="A102" s="141" t="s">
        <v>3509</v>
      </c>
      <c r="B102" s="137" t="s">
        <v>3509</v>
      </c>
    </row>
    <row r="103" spans="1:2" s="162" customFormat="1" x14ac:dyDescent="0.25">
      <c r="A103" s="141" t="s">
        <v>3518</v>
      </c>
      <c r="B103" s="137" t="s">
        <v>3518</v>
      </c>
    </row>
    <row r="104" spans="1:2" s="162" customFormat="1" x14ac:dyDescent="0.25">
      <c r="A104" s="141" t="s">
        <v>3529</v>
      </c>
      <c r="B104" s="137" t="s">
        <v>3529</v>
      </c>
    </row>
    <row r="105" spans="1:2" s="162" customFormat="1" x14ac:dyDescent="0.25">
      <c r="A105" s="141" t="s">
        <v>3530</v>
      </c>
      <c r="B105" s="137" t="s">
        <v>3529</v>
      </c>
    </row>
    <row r="106" spans="1:2" s="162" customFormat="1" x14ac:dyDescent="0.25">
      <c r="A106" s="141" t="s">
        <v>3531</v>
      </c>
      <c r="B106" s="137" t="s">
        <v>3531</v>
      </c>
    </row>
    <row r="107" spans="1:2" s="162" customFormat="1" x14ac:dyDescent="0.25">
      <c r="A107" s="141" t="s">
        <v>3532</v>
      </c>
      <c r="B107" s="137" t="s">
        <v>3531</v>
      </c>
    </row>
    <row r="108" spans="1:2" s="162" customFormat="1" x14ac:dyDescent="0.25">
      <c r="A108" s="141" t="s">
        <v>3533</v>
      </c>
      <c r="B108" s="137" t="s">
        <v>3533</v>
      </c>
    </row>
    <row r="109" spans="1:2" s="162" customFormat="1" x14ac:dyDescent="0.25">
      <c r="A109" s="141" t="s">
        <v>3534</v>
      </c>
      <c r="B109" s="137" t="s">
        <v>3533</v>
      </c>
    </row>
    <row r="110" spans="1:2" s="162" customFormat="1" x14ac:dyDescent="0.25">
      <c r="A110" s="141" t="s">
        <v>3535</v>
      </c>
      <c r="B110" s="137" t="s">
        <v>3533</v>
      </c>
    </row>
    <row r="111" spans="1:2" s="162" customFormat="1" x14ac:dyDescent="0.25">
      <c r="A111" s="141" t="s">
        <v>3536</v>
      </c>
      <c r="B111" s="137" t="s">
        <v>3536</v>
      </c>
    </row>
    <row r="112" spans="1:2" s="162" customFormat="1" x14ac:dyDescent="0.25">
      <c r="A112" s="141" t="s">
        <v>3537</v>
      </c>
      <c r="B112" s="137" t="s">
        <v>3536</v>
      </c>
    </row>
    <row r="113" spans="1:2" s="162" customFormat="1" x14ac:dyDescent="0.25">
      <c r="A113" s="141" t="s">
        <v>3538</v>
      </c>
      <c r="B113" s="137" t="s">
        <v>3538</v>
      </c>
    </row>
    <row r="114" spans="1:2" s="162" customFormat="1" x14ac:dyDescent="0.25">
      <c r="A114" s="141" t="s">
        <v>3539</v>
      </c>
      <c r="B114" s="137" t="s">
        <v>3538</v>
      </c>
    </row>
    <row r="115" spans="1:2" s="162" customFormat="1" x14ac:dyDescent="0.25">
      <c r="A115" s="141" t="s">
        <v>3540</v>
      </c>
      <c r="B115" s="137" t="s">
        <v>3538</v>
      </c>
    </row>
    <row r="116" spans="1:2" s="162" customFormat="1" x14ac:dyDescent="0.25">
      <c r="A116" s="141" t="s">
        <v>282</v>
      </c>
      <c r="B116" s="137" t="s">
        <v>282</v>
      </c>
    </row>
    <row r="117" spans="1:2" s="162" customFormat="1" x14ac:dyDescent="0.25">
      <c r="A117" s="141" t="s">
        <v>3541</v>
      </c>
      <c r="B117" s="137" t="s">
        <v>3542</v>
      </c>
    </row>
    <row r="118" spans="1:2" s="162" customFormat="1" x14ac:dyDescent="0.25">
      <c r="A118" s="141" t="s">
        <v>3543</v>
      </c>
      <c r="B118" s="137" t="s">
        <v>282</v>
      </c>
    </row>
    <row r="119" spans="1:2" s="162" customFormat="1" x14ac:dyDescent="0.25">
      <c r="A119" s="141" t="s">
        <v>3544</v>
      </c>
      <c r="B119" s="137" t="s">
        <v>3544</v>
      </c>
    </row>
    <row r="120" spans="1:2" s="162" customFormat="1" x14ac:dyDescent="0.25">
      <c r="A120" s="141" t="s">
        <v>3545</v>
      </c>
      <c r="B120" s="137" t="s">
        <v>3544</v>
      </c>
    </row>
    <row r="121" spans="1:2" s="162" customFormat="1" x14ac:dyDescent="0.25">
      <c r="A121" s="141" t="s">
        <v>3546</v>
      </c>
      <c r="B121" s="137" t="s">
        <v>3544</v>
      </c>
    </row>
    <row r="122" spans="1:2" s="162" customFormat="1" x14ac:dyDescent="0.25">
      <c r="A122" s="141" t="s">
        <v>3547</v>
      </c>
      <c r="B122" s="137">
        <v>0</v>
      </c>
    </row>
    <row r="123" spans="1:2" s="162" customFormat="1" x14ac:dyDescent="0.25">
      <c r="A123" s="141" t="s">
        <v>3548</v>
      </c>
      <c r="B123" s="137" t="s">
        <v>3549</v>
      </c>
    </row>
    <row r="124" spans="1:2" s="162" customFormat="1" x14ac:dyDescent="0.25">
      <c r="A124" s="141" t="s">
        <v>3549</v>
      </c>
      <c r="B124" s="137" t="s">
        <v>3549</v>
      </c>
    </row>
    <row r="125" spans="1:2" s="162" customFormat="1" x14ac:dyDescent="0.25">
      <c r="A125" s="141" t="s">
        <v>3550</v>
      </c>
      <c r="B125" s="137" t="s">
        <v>3551</v>
      </c>
    </row>
    <row r="126" spans="1:2" s="162" customFormat="1" x14ac:dyDescent="0.25">
      <c r="A126" s="141" t="s">
        <v>2413</v>
      </c>
      <c r="B126" s="137" t="s">
        <v>2413</v>
      </c>
    </row>
    <row r="127" spans="1:2" s="162" customFormat="1" x14ac:dyDescent="0.25">
      <c r="A127" s="141" t="s">
        <v>3552</v>
      </c>
      <c r="B127" s="137" t="s">
        <v>3552</v>
      </c>
    </row>
    <row r="128" spans="1:2" s="162" customFormat="1" x14ac:dyDescent="0.25">
      <c r="A128" s="141" t="s">
        <v>3551</v>
      </c>
      <c r="B128" s="137" t="s">
        <v>3551</v>
      </c>
    </row>
    <row r="129" spans="1:2" s="162" customFormat="1" x14ac:dyDescent="0.25">
      <c r="A129" s="141" t="s">
        <v>3553</v>
      </c>
      <c r="B129" s="137" t="s">
        <v>2413</v>
      </c>
    </row>
    <row r="130" spans="1:2" s="162" customFormat="1" x14ac:dyDescent="0.25">
      <c r="A130" s="141" t="s">
        <v>3554</v>
      </c>
      <c r="B130" s="137" t="s">
        <v>3555</v>
      </c>
    </row>
    <row r="131" spans="1:2" s="162" customFormat="1" x14ac:dyDescent="0.25">
      <c r="A131" s="141" t="s">
        <v>3556</v>
      </c>
      <c r="B131" s="137" t="s">
        <v>3557</v>
      </c>
    </row>
    <row r="132" spans="1:2" s="162" customFormat="1" x14ac:dyDescent="0.25">
      <c r="A132" s="141" t="s">
        <v>3555</v>
      </c>
      <c r="B132" s="137" t="s">
        <v>3555</v>
      </c>
    </row>
    <row r="133" spans="1:2" s="162" customFormat="1" x14ac:dyDescent="0.25">
      <c r="A133" s="141" t="s">
        <v>3557</v>
      </c>
      <c r="B133" s="137" t="s">
        <v>3557</v>
      </c>
    </row>
    <row r="134" spans="1:2" s="162" customFormat="1" x14ac:dyDescent="0.25">
      <c r="A134" s="141" t="s">
        <v>3558</v>
      </c>
      <c r="B134" s="137" t="s">
        <v>3559</v>
      </c>
    </row>
    <row r="135" spans="1:2" s="162" customFormat="1" x14ac:dyDescent="0.25">
      <c r="A135" s="141" t="s">
        <v>3560</v>
      </c>
      <c r="B135" s="137" t="s">
        <v>3559</v>
      </c>
    </row>
    <row r="136" spans="1:2" s="162" customFormat="1" x14ac:dyDescent="0.25">
      <c r="A136" s="141" t="s">
        <v>3561</v>
      </c>
      <c r="B136" s="137" t="s">
        <v>3561</v>
      </c>
    </row>
    <row r="137" spans="1:2" s="162" customFormat="1" x14ac:dyDescent="0.25">
      <c r="A137" s="141" t="s">
        <v>3562</v>
      </c>
      <c r="B137" s="137" t="s">
        <v>3563</v>
      </c>
    </row>
    <row r="138" spans="1:2" s="162" customFormat="1" x14ac:dyDescent="0.25">
      <c r="A138" s="141" t="s">
        <v>3564</v>
      </c>
      <c r="B138" s="137" t="s">
        <v>3565</v>
      </c>
    </row>
    <row r="139" spans="1:2" s="162" customFormat="1" x14ac:dyDescent="0.25">
      <c r="A139" s="141" t="s">
        <v>3566</v>
      </c>
      <c r="B139" s="137" t="s">
        <v>3566</v>
      </c>
    </row>
    <row r="140" spans="1:2" s="162" customFormat="1" x14ac:dyDescent="0.25">
      <c r="A140" s="141" t="s">
        <v>3567</v>
      </c>
      <c r="B140" s="137" t="s">
        <v>3561</v>
      </c>
    </row>
    <row r="141" spans="1:2" s="162" customFormat="1" x14ac:dyDescent="0.25">
      <c r="A141" s="141" t="s">
        <v>3565</v>
      </c>
      <c r="B141" s="137" t="s">
        <v>3565</v>
      </c>
    </row>
    <row r="142" spans="1:2" s="162" customFormat="1" x14ac:dyDescent="0.25">
      <c r="A142" s="141" t="s">
        <v>3568</v>
      </c>
      <c r="B142" s="137" t="s">
        <v>3568</v>
      </c>
    </row>
    <row r="143" spans="1:2" s="162" customFormat="1" x14ac:dyDescent="0.25">
      <c r="A143" s="141" t="s">
        <v>3569</v>
      </c>
      <c r="B143" s="137" t="s">
        <v>3568</v>
      </c>
    </row>
    <row r="144" spans="1:2" s="162" customFormat="1" x14ac:dyDescent="0.25">
      <c r="A144" s="141" t="s">
        <v>3570</v>
      </c>
      <c r="B144" s="137" t="s">
        <v>3568</v>
      </c>
    </row>
    <row r="145" spans="1:2" s="162" customFormat="1" x14ac:dyDescent="0.25">
      <c r="A145" s="141" t="s">
        <v>3571</v>
      </c>
      <c r="B145" s="137" t="s">
        <v>3572</v>
      </c>
    </row>
    <row r="146" spans="1:2" s="162" customFormat="1" x14ac:dyDescent="0.25">
      <c r="A146" s="141" t="s">
        <v>3573</v>
      </c>
      <c r="B146" s="137" t="s">
        <v>3573</v>
      </c>
    </row>
    <row r="147" spans="1:2" s="162" customFormat="1" x14ac:dyDescent="0.25">
      <c r="A147" s="141" t="s">
        <v>3574</v>
      </c>
      <c r="B147" s="137" t="s">
        <v>3573</v>
      </c>
    </row>
    <row r="148" spans="1:2" s="162" customFormat="1" x14ac:dyDescent="0.25">
      <c r="A148" s="141" t="s">
        <v>3572</v>
      </c>
      <c r="B148" s="137" t="s">
        <v>3572</v>
      </c>
    </row>
    <row r="149" spans="1:2" s="162" customFormat="1" x14ac:dyDescent="0.25">
      <c r="A149" s="141" t="s">
        <v>3575</v>
      </c>
      <c r="B149" s="137" t="s">
        <v>3575</v>
      </c>
    </row>
    <row r="150" spans="1:2" s="162" customFormat="1" x14ac:dyDescent="0.25">
      <c r="A150" s="141" t="s">
        <v>3576</v>
      </c>
      <c r="B150" s="137" t="s">
        <v>3575</v>
      </c>
    </row>
    <row r="151" spans="1:2" s="162" customFormat="1" x14ac:dyDescent="0.25">
      <c r="A151" s="141" t="s">
        <v>3577</v>
      </c>
      <c r="B151" s="137" t="s">
        <v>3578</v>
      </c>
    </row>
    <row r="152" spans="1:2" s="162" customFormat="1" x14ac:dyDescent="0.25">
      <c r="A152" s="141" t="s">
        <v>3579</v>
      </c>
      <c r="B152" s="137" t="s">
        <v>3580</v>
      </c>
    </row>
    <row r="153" spans="1:2" s="162" customFormat="1" x14ac:dyDescent="0.25">
      <c r="A153" s="141" t="s">
        <v>3581</v>
      </c>
      <c r="B153" s="137" t="s">
        <v>3582</v>
      </c>
    </row>
    <row r="154" spans="1:2" s="162" customFormat="1" x14ac:dyDescent="0.25">
      <c r="A154" s="141" t="s">
        <v>3583</v>
      </c>
      <c r="B154" s="137" t="s">
        <v>3584</v>
      </c>
    </row>
    <row r="155" spans="1:2" s="162" customFormat="1" x14ac:dyDescent="0.25">
      <c r="A155" s="141" t="s">
        <v>3585</v>
      </c>
      <c r="B155" s="137" t="s">
        <v>3471</v>
      </c>
    </row>
    <row r="156" spans="1:2" s="162" customFormat="1" x14ac:dyDescent="0.25">
      <c r="A156" s="141" t="s">
        <v>3586</v>
      </c>
      <c r="B156" s="137" t="s">
        <v>2486</v>
      </c>
    </row>
    <row r="157" spans="1:2" s="162" customFormat="1" x14ac:dyDescent="0.25">
      <c r="A157" s="141" t="s">
        <v>3587</v>
      </c>
      <c r="B157" s="137" t="s">
        <v>3588</v>
      </c>
    </row>
    <row r="158" spans="1:2" s="162" customFormat="1" x14ac:dyDescent="0.25">
      <c r="A158" s="141" t="s">
        <v>3525</v>
      </c>
      <c r="B158" s="137" t="s">
        <v>3525</v>
      </c>
    </row>
    <row r="159" spans="1:2" s="162" customFormat="1" x14ac:dyDescent="0.25">
      <c r="A159" s="141" t="s">
        <v>3589</v>
      </c>
      <c r="B159" s="137" t="s">
        <v>3590</v>
      </c>
    </row>
    <row r="160" spans="1:2" s="162" customFormat="1" x14ac:dyDescent="0.25">
      <c r="A160" s="141" t="s">
        <v>3591</v>
      </c>
      <c r="B160" s="137" t="s">
        <v>3592</v>
      </c>
    </row>
    <row r="161" spans="1:3" s="162" customFormat="1" x14ac:dyDescent="0.25">
      <c r="A161" s="141" t="s">
        <v>3593</v>
      </c>
      <c r="B161" s="137" t="s">
        <v>3518</v>
      </c>
    </row>
    <row r="162" spans="1:3" s="162" customFormat="1" x14ac:dyDescent="0.25">
      <c r="A162" s="141" t="s">
        <v>3594</v>
      </c>
      <c r="B162" s="137"/>
    </row>
    <row r="163" spans="1:3" s="162" customFormat="1" x14ac:dyDescent="0.25">
      <c r="A163" s="141" t="s">
        <v>3595</v>
      </c>
      <c r="B163" s="137" t="s">
        <v>3450</v>
      </c>
      <c r="C163" s="162" t="s">
        <v>3596</v>
      </c>
    </row>
    <row r="164" spans="1:3" s="162" customFormat="1" x14ac:dyDescent="0.25">
      <c r="A164" s="141" t="s">
        <v>3597</v>
      </c>
      <c r="B164" s="137" t="s">
        <v>3450</v>
      </c>
    </row>
    <row r="165" spans="1:3" s="162" customFormat="1" x14ac:dyDescent="0.25">
      <c r="A165" s="141" t="s">
        <v>3598</v>
      </c>
      <c r="B165" s="137" t="s">
        <v>3552</v>
      </c>
    </row>
    <row r="166" spans="1:3" s="162" customFormat="1" x14ac:dyDescent="0.25">
      <c r="A166" s="141" t="s">
        <v>3599</v>
      </c>
      <c r="B166" s="137" t="s">
        <v>1593</v>
      </c>
    </row>
    <row r="167" spans="1:3" s="162" customFormat="1" x14ac:dyDescent="0.25">
      <c r="A167" s="141" t="s">
        <v>3600</v>
      </c>
      <c r="B167" s="137"/>
    </row>
    <row r="168" spans="1:3" s="162" customFormat="1" x14ac:dyDescent="0.25">
      <c r="A168" s="141" t="s">
        <v>3601</v>
      </c>
      <c r="B168" s="137"/>
    </row>
    <row r="169" spans="1:3" s="162" customFormat="1" x14ac:dyDescent="0.25">
      <c r="A169" s="141" t="s">
        <v>3602</v>
      </c>
      <c r="B169" s="137"/>
    </row>
    <row r="170" spans="1:3" s="162" customFormat="1" x14ac:dyDescent="0.25">
      <c r="A170" s="141" t="s">
        <v>3603</v>
      </c>
      <c r="B170" s="137" t="s">
        <v>3604</v>
      </c>
    </row>
    <row r="171" spans="1:3" s="162" customFormat="1" x14ac:dyDescent="0.25">
      <c r="A171" s="141" t="s">
        <v>3605</v>
      </c>
      <c r="B171" s="137" t="s">
        <v>3606</v>
      </c>
    </row>
    <row r="172" spans="1:3" s="162" customFormat="1" x14ac:dyDescent="0.25">
      <c r="A172" s="141" t="s">
        <v>3607</v>
      </c>
      <c r="B172" s="137"/>
    </row>
    <row r="173" spans="1:3" s="162" customFormat="1" x14ac:dyDescent="0.25">
      <c r="A173" s="141" t="s">
        <v>3608</v>
      </c>
      <c r="B173" s="137" t="s">
        <v>3609</v>
      </c>
    </row>
    <row r="174" spans="1:3" s="162" customFormat="1" x14ac:dyDescent="0.25">
      <c r="A174" s="141" t="s">
        <v>3610</v>
      </c>
      <c r="B174" s="137" t="s">
        <v>3473</v>
      </c>
    </row>
    <row r="175" spans="1:3" s="162" customFormat="1" x14ac:dyDescent="0.25">
      <c r="A175" s="141" t="s">
        <v>3611</v>
      </c>
      <c r="B175" s="137" t="s">
        <v>3611</v>
      </c>
    </row>
    <row r="176" spans="1:3" s="162" customFormat="1" x14ac:dyDescent="0.25">
      <c r="A176" s="141" t="s">
        <v>3612</v>
      </c>
      <c r="B176" s="137" t="s">
        <v>1741</v>
      </c>
    </row>
    <row r="177" spans="1:2" s="162" customFormat="1" x14ac:dyDescent="0.25">
      <c r="A177" s="141" t="s">
        <v>3613</v>
      </c>
      <c r="B177" s="137"/>
    </row>
    <row r="178" spans="1:2" s="162" customFormat="1" x14ac:dyDescent="0.25">
      <c r="A178" s="141" t="s">
        <v>3614</v>
      </c>
      <c r="B178" s="137"/>
    </row>
    <row r="179" spans="1:2" s="162" customFormat="1" x14ac:dyDescent="0.25">
      <c r="A179" s="141" t="s">
        <v>3615</v>
      </c>
      <c r="B179" s="137" t="s">
        <v>3604</v>
      </c>
    </row>
    <row r="180" spans="1:2" s="162" customFormat="1" x14ac:dyDescent="0.25">
      <c r="A180" s="141" t="s">
        <v>3616</v>
      </c>
      <c r="B180" s="137"/>
    </row>
    <row r="181" spans="1:2" s="162" customFormat="1" x14ac:dyDescent="0.25">
      <c r="A181" s="141" t="s">
        <v>3617</v>
      </c>
      <c r="B181" s="137" t="s">
        <v>3618</v>
      </c>
    </row>
    <row r="182" spans="1:2" s="162" customFormat="1" x14ac:dyDescent="0.25">
      <c r="A182" s="141" t="s">
        <v>3619</v>
      </c>
      <c r="B182" s="137" t="s">
        <v>3620</v>
      </c>
    </row>
    <row r="183" spans="1:2" s="162" customFormat="1" x14ac:dyDescent="0.25">
      <c r="A183" s="141" t="s">
        <v>3621</v>
      </c>
      <c r="B183" s="137" t="s">
        <v>3622</v>
      </c>
    </row>
    <row r="184" spans="1:2" s="162" customFormat="1" x14ac:dyDescent="0.25">
      <c r="A184" s="141" t="s">
        <v>3623</v>
      </c>
      <c r="B184" s="137"/>
    </row>
    <row r="185" spans="1:2" s="162" customFormat="1" x14ac:dyDescent="0.25">
      <c r="A185" s="141" t="s">
        <v>3624</v>
      </c>
      <c r="B185" s="137" t="s">
        <v>3471</v>
      </c>
    </row>
    <row r="186" spans="1:2" s="162" customFormat="1" x14ac:dyDescent="0.25">
      <c r="A186" s="141" t="s">
        <v>3625</v>
      </c>
      <c r="B186" s="137" t="s">
        <v>3626</v>
      </c>
    </row>
    <row r="187" spans="1:2" s="162" customFormat="1" x14ac:dyDescent="0.25">
      <c r="A187" s="141" t="s">
        <v>3627</v>
      </c>
      <c r="B187" s="137" t="s">
        <v>3628</v>
      </c>
    </row>
    <row r="188" spans="1:2" s="162" customFormat="1" x14ac:dyDescent="0.25">
      <c r="A188" s="141" t="s">
        <v>3629</v>
      </c>
      <c r="B188" s="137"/>
    </row>
    <row r="189" spans="1:2" s="162" customFormat="1" x14ac:dyDescent="0.25">
      <c r="A189" s="141" t="s">
        <v>3630</v>
      </c>
      <c r="B189" s="137" t="s">
        <v>3491</v>
      </c>
    </row>
    <row r="190" spans="1:2" s="162" customFormat="1" x14ac:dyDescent="0.25">
      <c r="A190" s="141" t="s">
        <v>3631</v>
      </c>
      <c r="B190" s="137" t="s">
        <v>3561</v>
      </c>
    </row>
    <row r="191" spans="1:2" s="162" customFormat="1" x14ac:dyDescent="0.25">
      <c r="A191" s="141" t="s">
        <v>3632</v>
      </c>
      <c r="B191" s="137"/>
    </row>
    <row r="192" spans="1:2" s="162" customFormat="1" x14ac:dyDescent="0.25">
      <c r="A192" s="141" t="s">
        <v>3633</v>
      </c>
      <c r="B192" s="137"/>
    </row>
    <row r="193" spans="1:2" s="162" customFormat="1" x14ac:dyDescent="0.25">
      <c r="A193" s="141" t="s">
        <v>3634</v>
      </c>
      <c r="B193" s="137" t="s">
        <v>3635</v>
      </c>
    </row>
    <row r="194" spans="1:2" s="162" customFormat="1" x14ac:dyDescent="0.25">
      <c r="A194" s="141" t="s">
        <v>3636</v>
      </c>
      <c r="B194" s="137"/>
    </row>
    <row r="195" spans="1:2" s="162" customFormat="1" x14ac:dyDescent="0.25">
      <c r="A195" s="141" t="s">
        <v>3637</v>
      </c>
      <c r="B195" s="137" t="s">
        <v>3504</v>
      </c>
    </row>
    <row r="196" spans="1:2" s="162" customFormat="1" x14ac:dyDescent="0.25">
      <c r="A196" s="141" t="s">
        <v>3638</v>
      </c>
      <c r="B196" s="137"/>
    </row>
    <row r="197" spans="1:2" s="162" customFormat="1" x14ac:dyDescent="0.25">
      <c r="A197" s="141" t="s">
        <v>3639</v>
      </c>
      <c r="B197" s="137"/>
    </row>
    <row r="198" spans="1:2" s="162" customFormat="1" x14ac:dyDescent="0.25">
      <c r="A198" s="141" t="s">
        <v>3640</v>
      </c>
      <c r="B198" s="137" t="s">
        <v>3641</v>
      </c>
    </row>
    <row r="199" spans="1:2" s="162" customFormat="1" x14ac:dyDescent="0.25">
      <c r="A199" s="141" t="s">
        <v>3642</v>
      </c>
      <c r="B199" s="137"/>
    </row>
    <row r="200" spans="1:2" s="162" customFormat="1" x14ac:dyDescent="0.25">
      <c r="A200" s="141" t="s">
        <v>3643</v>
      </c>
      <c r="B200" s="137"/>
    </row>
    <row r="201" spans="1:2" s="162" customFormat="1" x14ac:dyDescent="0.25">
      <c r="A201" s="141" t="s">
        <v>3644</v>
      </c>
      <c r="B201" s="137"/>
    </row>
    <row r="202" spans="1:2" s="162" customFormat="1" x14ac:dyDescent="0.25">
      <c r="A202" s="141" t="s">
        <v>3645</v>
      </c>
      <c r="B202" s="137"/>
    </row>
    <row r="203" spans="1:2" s="162" customFormat="1" x14ac:dyDescent="0.25">
      <c r="A203" s="141" t="s">
        <v>3646</v>
      </c>
      <c r="B203" s="137"/>
    </row>
    <row r="204" spans="1:2" s="162" customFormat="1" x14ac:dyDescent="0.25">
      <c r="A204" s="141" t="s">
        <v>3647</v>
      </c>
      <c r="B204" s="137"/>
    </row>
    <row r="205" spans="1:2" s="162" customFormat="1" x14ac:dyDescent="0.25">
      <c r="A205" s="141" t="s">
        <v>3648</v>
      </c>
      <c r="B205" s="137"/>
    </row>
    <row r="206" spans="1:2" s="162" customFormat="1" x14ac:dyDescent="0.25">
      <c r="A206" s="141" t="s">
        <v>3649</v>
      </c>
      <c r="B206" s="137" t="s">
        <v>3650</v>
      </c>
    </row>
    <row r="207" spans="1:2" s="162" customFormat="1" x14ac:dyDescent="0.25">
      <c r="A207" s="141" t="s">
        <v>3651</v>
      </c>
      <c r="B207" s="137" t="s">
        <v>3652</v>
      </c>
    </row>
    <row r="208" spans="1:2" s="162" customFormat="1" x14ac:dyDescent="0.25">
      <c r="A208" s="141" t="s">
        <v>3653</v>
      </c>
      <c r="B208" s="137"/>
    </row>
    <row r="209" spans="1:2" s="162" customFormat="1" x14ac:dyDescent="0.25">
      <c r="A209" s="141" t="s">
        <v>3654</v>
      </c>
      <c r="B209" s="137"/>
    </row>
    <row r="210" spans="1:2" s="162" customFormat="1" x14ac:dyDescent="0.25">
      <c r="A210" s="141" t="s">
        <v>3655</v>
      </c>
      <c r="B210" s="137"/>
    </row>
    <row r="211" spans="1:2" s="162" customFormat="1" x14ac:dyDescent="0.25">
      <c r="A211" s="141" t="s">
        <v>3656</v>
      </c>
      <c r="B211" s="137" t="s">
        <v>3657</v>
      </c>
    </row>
    <row r="212" spans="1:2" s="162" customFormat="1" x14ac:dyDescent="0.25">
      <c r="A212" s="141" t="s">
        <v>3658</v>
      </c>
      <c r="B212" s="137"/>
    </row>
    <row r="213" spans="1:2" s="162" customFormat="1" x14ac:dyDescent="0.25">
      <c r="A213" s="141" t="s">
        <v>3659</v>
      </c>
      <c r="B213" s="137"/>
    </row>
    <row r="214" spans="1:2" s="162" customFormat="1" x14ac:dyDescent="0.25">
      <c r="A214" s="141" t="s">
        <v>3660</v>
      </c>
      <c r="B214" s="137"/>
    </row>
    <row r="215" spans="1:2" s="162" customFormat="1" x14ac:dyDescent="0.25">
      <c r="A215" s="141" t="s">
        <v>3661</v>
      </c>
      <c r="B215" s="137" t="s">
        <v>3491</v>
      </c>
    </row>
    <row r="216" spans="1:2" s="162" customFormat="1" x14ac:dyDescent="0.25">
      <c r="A216" s="141" t="s">
        <v>3620</v>
      </c>
      <c r="B216" s="137"/>
    </row>
    <row r="217" spans="1:2" s="162" customFormat="1" x14ac:dyDescent="0.25">
      <c r="A217" s="141" t="s">
        <v>3662</v>
      </c>
      <c r="B217" s="137"/>
    </row>
    <row r="218" spans="1:2" s="162" customFormat="1" x14ac:dyDescent="0.25">
      <c r="A218" s="141" t="s">
        <v>3663</v>
      </c>
      <c r="B218" s="137"/>
    </row>
    <row r="219" spans="1:2" s="162" customFormat="1" x14ac:dyDescent="0.25">
      <c r="A219" s="141" t="s">
        <v>3664</v>
      </c>
      <c r="B219" s="137" t="s">
        <v>3664</v>
      </c>
    </row>
    <row r="220" spans="1:2" s="162" customFormat="1" x14ac:dyDescent="0.25">
      <c r="A220" s="141" t="s">
        <v>3665</v>
      </c>
      <c r="B220" s="137" t="s">
        <v>3666</v>
      </c>
    </row>
    <row r="221" spans="1:2" s="162" customFormat="1" x14ac:dyDescent="0.25">
      <c r="A221" s="141" t="s">
        <v>3667</v>
      </c>
      <c r="B221" s="137"/>
    </row>
    <row r="222" spans="1:2" s="162" customFormat="1" x14ac:dyDescent="0.25">
      <c r="A222" s="141" t="s">
        <v>3668</v>
      </c>
      <c r="B222" s="137" t="s">
        <v>3668</v>
      </c>
    </row>
    <row r="223" spans="1:2" s="162" customFormat="1" x14ac:dyDescent="0.25">
      <c r="A223" s="141" t="s">
        <v>3669</v>
      </c>
      <c r="B223" s="137" t="s">
        <v>3670</v>
      </c>
    </row>
    <row r="224" spans="1:2" s="162" customFormat="1" x14ac:dyDescent="0.25">
      <c r="A224" s="141" t="s">
        <v>3671</v>
      </c>
      <c r="B224" s="137"/>
    </row>
    <row r="225" spans="1:2" s="162" customFormat="1" x14ac:dyDescent="0.25">
      <c r="A225" s="141" t="s">
        <v>3672</v>
      </c>
      <c r="B225" s="137"/>
    </row>
    <row r="226" spans="1:2" s="162" customFormat="1" x14ac:dyDescent="0.25">
      <c r="A226" s="141" t="s">
        <v>3673</v>
      </c>
      <c r="B226" s="137"/>
    </row>
    <row r="227" spans="1:2" s="162" customFormat="1" x14ac:dyDescent="0.25">
      <c r="A227" s="141" t="s">
        <v>3674</v>
      </c>
      <c r="B227" s="137"/>
    </row>
    <row r="228" spans="1:2" s="162" customFormat="1" x14ac:dyDescent="0.25">
      <c r="A228" s="141" t="s">
        <v>3675</v>
      </c>
      <c r="B228" s="137"/>
    </row>
    <row r="229" spans="1:2" s="162" customFormat="1" x14ac:dyDescent="0.25">
      <c r="A229" s="141" t="s">
        <v>3676</v>
      </c>
      <c r="B229" s="137"/>
    </row>
    <row r="230" spans="1:2" s="162" customFormat="1" x14ac:dyDescent="0.25">
      <c r="A230" s="141" t="s">
        <v>3677</v>
      </c>
      <c r="B230" s="137"/>
    </row>
    <row r="231" spans="1:2" s="162" customFormat="1" x14ac:dyDescent="0.25">
      <c r="A231" s="141" t="s">
        <v>3678</v>
      </c>
      <c r="B231" s="137"/>
    </row>
    <row r="232" spans="1:2" s="162" customFormat="1" x14ac:dyDescent="0.25">
      <c r="A232" s="141" t="s">
        <v>3679</v>
      </c>
      <c r="B232" s="137" t="s">
        <v>3680</v>
      </c>
    </row>
    <row r="233" spans="1:2" s="162" customFormat="1" x14ac:dyDescent="0.25">
      <c r="A233" s="141" t="s">
        <v>3681</v>
      </c>
      <c r="B233" s="137"/>
    </row>
    <row r="234" spans="1:2" s="162" customFormat="1" x14ac:dyDescent="0.25">
      <c r="A234" s="141" t="s">
        <v>3682</v>
      </c>
      <c r="B234" s="137"/>
    </row>
    <row r="235" spans="1:2" s="162" customFormat="1" x14ac:dyDescent="0.25">
      <c r="A235" s="141" t="s">
        <v>3683</v>
      </c>
      <c r="B235" s="137"/>
    </row>
    <row r="236" spans="1:2" s="162" customFormat="1" x14ac:dyDescent="0.25">
      <c r="A236" s="141" t="s">
        <v>3684</v>
      </c>
      <c r="B236" s="137" t="s">
        <v>3549</v>
      </c>
    </row>
    <row r="237" spans="1:2" s="162" customFormat="1" x14ac:dyDescent="0.25">
      <c r="A237" s="141" t="s">
        <v>3685</v>
      </c>
      <c r="B237" s="137" t="s">
        <v>3685</v>
      </c>
    </row>
    <row r="238" spans="1:2" s="162" customFormat="1" x14ac:dyDescent="0.25">
      <c r="A238" s="141" t="s">
        <v>3686</v>
      </c>
      <c r="B238" s="137"/>
    </row>
    <row r="239" spans="1:2" s="162" customFormat="1" x14ac:dyDescent="0.25">
      <c r="A239" s="141" t="s">
        <v>3687</v>
      </c>
      <c r="B239" s="137"/>
    </row>
    <row r="240" spans="1:2" s="162" customFormat="1" x14ac:dyDescent="0.25">
      <c r="A240" s="141" t="s">
        <v>3688</v>
      </c>
      <c r="B240" s="137"/>
    </row>
    <row r="241" spans="1:2" s="162" customFormat="1" x14ac:dyDescent="0.25">
      <c r="A241" s="141" t="s">
        <v>3689</v>
      </c>
      <c r="B241" s="137"/>
    </row>
    <row r="242" spans="1:2" s="162" customFormat="1" x14ac:dyDescent="0.25">
      <c r="A242" s="141" t="s">
        <v>3690</v>
      </c>
      <c r="B242" s="137" t="s">
        <v>3691</v>
      </c>
    </row>
    <row r="243" spans="1:2" s="162" customFormat="1" x14ac:dyDescent="0.25">
      <c r="A243" s="141" t="s">
        <v>3692</v>
      </c>
      <c r="B243" s="137" t="s">
        <v>3693</v>
      </c>
    </row>
    <row r="244" spans="1:2" s="162" customFormat="1" x14ac:dyDescent="0.25">
      <c r="A244" s="141" t="s">
        <v>3694</v>
      </c>
      <c r="B244" s="137" t="s">
        <v>3695</v>
      </c>
    </row>
    <row r="245" spans="1:2" s="162" customFormat="1" x14ac:dyDescent="0.25">
      <c r="A245" s="141" t="s">
        <v>3696</v>
      </c>
      <c r="B245" s="137" t="s">
        <v>3697</v>
      </c>
    </row>
    <row r="246" spans="1:2" s="162" customFormat="1" x14ac:dyDescent="0.25">
      <c r="A246" s="141" t="s">
        <v>3698</v>
      </c>
      <c r="B246" s="137"/>
    </row>
    <row r="247" spans="1:2" s="162" customFormat="1" x14ac:dyDescent="0.25">
      <c r="A247" s="141" t="s">
        <v>3699</v>
      </c>
      <c r="B247" s="137" t="s">
        <v>2434</v>
      </c>
    </row>
    <row r="248" spans="1:2" s="162" customFormat="1" x14ac:dyDescent="0.25">
      <c r="A248" s="141" t="s">
        <v>3700</v>
      </c>
      <c r="B248" s="137"/>
    </row>
    <row r="249" spans="1:2" s="162" customFormat="1" x14ac:dyDescent="0.25">
      <c r="A249" s="141" t="s">
        <v>3701</v>
      </c>
      <c r="B249" s="137"/>
    </row>
    <row r="250" spans="1:2" s="162" customFormat="1" x14ac:dyDescent="0.25">
      <c r="A250" s="141" t="s">
        <v>3702</v>
      </c>
      <c r="B250" s="137"/>
    </row>
    <row r="251" spans="1:2" s="162" customFormat="1" x14ac:dyDescent="0.25">
      <c r="A251" s="141" t="s">
        <v>3542</v>
      </c>
      <c r="B251" s="137"/>
    </row>
    <row r="252" spans="1:2" s="162" customFormat="1" x14ac:dyDescent="0.25">
      <c r="A252" s="141" t="s">
        <v>3703</v>
      </c>
      <c r="B252" s="137"/>
    </row>
    <row r="253" spans="1:2" s="162" customFormat="1" x14ac:dyDescent="0.25">
      <c r="A253" s="141" t="s">
        <v>3704</v>
      </c>
      <c r="B253" s="137"/>
    </row>
    <row r="254" spans="1:2" s="162" customFormat="1" x14ac:dyDescent="0.25">
      <c r="A254" s="141" t="s">
        <v>3705</v>
      </c>
      <c r="B254" s="137"/>
    </row>
    <row r="255" spans="1:2" s="162" customFormat="1" x14ac:dyDescent="0.25">
      <c r="A255" s="141" t="s">
        <v>3706</v>
      </c>
      <c r="B255" s="137"/>
    </row>
    <row r="256" spans="1:2" s="162" customFormat="1" x14ac:dyDescent="0.25">
      <c r="A256" s="141" t="s">
        <v>3707</v>
      </c>
      <c r="B256" s="137" t="s">
        <v>3707</v>
      </c>
    </row>
    <row r="257" spans="1:2" s="162" customFormat="1" x14ac:dyDescent="0.25">
      <c r="A257" s="141" t="s">
        <v>3708</v>
      </c>
      <c r="B257" s="137"/>
    </row>
    <row r="258" spans="1:2" s="162" customFormat="1" x14ac:dyDescent="0.25">
      <c r="A258" s="141" t="s">
        <v>3709</v>
      </c>
      <c r="B258" s="137"/>
    </row>
    <row r="259" spans="1:2" s="162" customFormat="1" x14ac:dyDescent="0.25">
      <c r="A259" s="141" t="s">
        <v>3710</v>
      </c>
      <c r="B259" s="137"/>
    </row>
    <row r="260" spans="1:2" s="162" customFormat="1" x14ac:dyDescent="0.25">
      <c r="A260" s="141" t="s">
        <v>3711</v>
      </c>
      <c r="B260" s="137"/>
    </row>
    <row r="261" spans="1:2" s="162" customFormat="1" x14ac:dyDescent="0.25">
      <c r="A261" s="141" t="s">
        <v>3712</v>
      </c>
      <c r="B261" s="137"/>
    </row>
    <row r="262" spans="1:2" s="162" customFormat="1" x14ac:dyDescent="0.25">
      <c r="A262" s="141" t="s">
        <v>3713</v>
      </c>
      <c r="B262" s="137"/>
    </row>
    <row r="263" spans="1:2" s="162" customFormat="1" x14ac:dyDescent="0.25">
      <c r="A263" s="141" t="s">
        <v>3714</v>
      </c>
      <c r="B263" s="137"/>
    </row>
    <row r="264" spans="1:2" s="162" customFormat="1" x14ac:dyDescent="0.25">
      <c r="A264" s="141" t="s">
        <v>3715</v>
      </c>
      <c r="B264" s="137"/>
    </row>
    <row r="265" spans="1:2" s="162" customFormat="1" x14ac:dyDescent="0.25">
      <c r="A265" s="141" t="s">
        <v>3716</v>
      </c>
      <c r="B265" s="137"/>
    </row>
    <row r="266" spans="1:2" s="162" customFormat="1" x14ac:dyDescent="0.25">
      <c r="A266" s="141" t="s">
        <v>3717</v>
      </c>
      <c r="B266" s="137"/>
    </row>
    <row r="267" spans="1:2" s="162" customFormat="1" x14ac:dyDescent="0.25">
      <c r="A267" s="141" t="s">
        <v>3718</v>
      </c>
      <c r="B267" s="137" t="s">
        <v>3719</v>
      </c>
    </row>
    <row r="268" spans="1:2" s="162" customFormat="1" x14ac:dyDescent="0.25">
      <c r="A268" s="141" t="s">
        <v>3720</v>
      </c>
      <c r="B268" s="137"/>
    </row>
    <row r="269" spans="1:2" s="162" customFormat="1" x14ac:dyDescent="0.25">
      <c r="A269" s="141" t="s">
        <v>3721</v>
      </c>
      <c r="B269" s="137"/>
    </row>
    <row r="270" spans="1:2" s="162" customFormat="1" x14ac:dyDescent="0.25">
      <c r="A270" s="141" t="s">
        <v>3722</v>
      </c>
      <c r="B270" s="137"/>
    </row>
    <row r="271" spans="1:2" s="162" customFormat="1" x14ac:dyDescent="0.25">
      <c r="A271" s="141" t="s">
        <v>3723</v>
      </c>
      <c r="B271" s="137"/>
    </row>
    <row r="272" spans="1:2" s="162" customFormat="1" x14ac:dyDescent="0.25">
      <c r="A272" s="141" t="s">
        <v>3724</v>
      </c>
      <c r="B272" s="137"/>
    </row>
    <row r="273" spans="1:2" s="162" customFormat="1" x14ac:dyDescent="0.25">
      <c r="A273" s="141" t="s">
        <v>3725</v>
      </c>
      <c r="B273" s="137"/>
    </row>
    <row r="274" spans="1:2" s="162" customFormat="1" x14ac:dyDescent="0.25">
      <c r="A274" s="141" t="s">
        <v>3726</v>
      </c>
      <c r="B274" s="137"/>
    </row>
    <row r="275" spans="1:2" s="162" customFormat="1" x14ac:dyDescent="0.25">
      <c r="A275" s="141" t="s">
        <v>3727</v>
      </c>
      <c r="B275" s="137"/>
    </row>
    <row r="276" spans="1:2" s="162" customFormat="1" x14ac:dyDescent="0.25">
      <c r="A276" s="141" t="s">
        <v>3728</v>
      </c>
      <c r="B276" s="137"/>
    </row>
    <row r="277" spans="1:2" s="162" customFormat="1" x14ac:dyDescent="0.25">
      <c r="A277" s="141" t="s">
        <v>3729</v>
      </c>
      <c r="B277" s="137"/>
    </row>
    <row r="278" spans="1:2" s="162" customFormat="1" x14ac:dyDescent="0.25">
      <c r="A278" s="141" t="s">
        <v>3730</v>
      </c>
      <c r="B278" s="137" t="s">
        <v>3730</v>
      </c>
    </row>
    <row r="279" spans="1:2" s="162" customFormat="1" x14ac:dyDescent="0.25">
      <c r="A279" s="141" t="s">
        <v>3731</v>
      </c>
      <c r="B279" s="137"/>
    </row>
    <row r="280" spans="1:2" s="162" customFormat="1" x14ac:dyDescent="0.25">
      <c r="A280" s="141" t="s">
        <v>3732</v>
      </c>
      <c r="B280" s="137"/>
    </row>
    <row r="281" spans="1:2" s="162" customFormat="1" x14ac:dyDescent="0.25">
      <c r="A281" s="141" t="s">
        <v>3733</v>
      </c>
      <c r="B281" s="137" t="s">
        <v>3734</v>
      </c>
    </row>
    <row r="282" spans="1:2" s="162" customFormat="1" x14ac:dyDescent="0.25">
      <c r="A282" s="141" t="s">
        <v>3735</v>
      </c>
      <c r="B282" s="137"/>
    </row>
    <row r="283" spans="1:2" s="162" customFormat="1" x14ac:dyDescent="0.25">
      <c r="A283" s="141" t="s">
        <v>3736</v>
      </c>
      <c r="B283" s="137" t="s">
        <v>3737</v>
      </c>
    </row>
    <row r="284" spans="1:2" s="162" customFormat="1" x14ac:dyDescent="0.25">
      <c r="A284" s="141" t="s">
        <v>3738</v>
      </c>
      <c r="B284" s="137" t="s">
        <v>3739</v>
      </c>
    </row>
    <row r="285" spans="1:2" s="162" customFormat="1" x14ac:dyDescent="0.25">
      <c r="A285" s="141" t="s">
        <v>3740</v>
      </c>
      <c r="B285" s="137" t="s">
        <v>3741</v>
      </c>
    </row>
    <row r="286" spans="1:2" s="162" customFormat="1" x14ac:dyDescent="0.25">
      <c r="A286" s="141" t="s">
        <v>3742</v>
      </c>
      <c r="B286" s="137" t="s">
        <v>3741</v>
      </c>
    </row>
    <row r="287" spans="1:2" s="162" customFormat="1" x14ac:dyDescent="0.25">
      <c r="A287" s="141" t="s">
        <v>3743</v>
      </c>
      <c r="B287" s="137" t="s">
        <v>3744</v>
      </c>
    </row>
    <row r="288" spans="1:2" s="162" customFormat="1" x14ac:dyDescent="0.25">
      <c r="A288" s="141" t="s">
        <v>3745</v>
      </c>
      <c r="B288" s="137" t="s">
        <v>3559</v>
      </c>
    </row>
    <row r="289" spans="1:2" s="162" customFormat="1" x14ac:dyDescent="0.25">
      <c r="A289" s="141" t="s">
        <v>3746</v>
      </c>
      <c r="B289" s="137" t="s">
        <v>3563</v>
      </c>
    </row>
    <row r="290" spans="1:2" s="162" customFormat="1" x14ac:dyDescent="0.25">
      <c r="A290" s="141" t="s">
        <v>3747</v>
      </c>
      <c r="B290" s="137" t="s">
        <v>3480</v>
      </c>
    </row>
    <row r="291" spans="1:2" s="162" customFormat="1" x14ac:dyDescent="0.25">
      <c r="A291" s="141" t="s">
        <v>3748</v>
      </c>
      <c r="B291" s="137" t="s">
        <v>3465</v>
      </c>
    </row>
    <row r="292" spans="1:2" s="162" customFormat="1" x14ac:dyDescent="0.25">
      <c r="A292" s="141" t="s">
        <v>3749</v>
      </c>
      <c r="B292" s="137" t="s">
        <v>3441</v>
      </c>
    </row>
    <row r="293" spans="1:2" s="162" customFormat="1" x14ac:dyDescent="0.25">
      <c r="A293" s="141" t="s">
        <v>3750</v>
      </c>
      <c r="B293" s="137" t="s">
        <v>578</v>
      </c>
    </row>
    <row r="294" spans="1:2" s="162" customFormat="1" x14ac:dyDescent="0.25">
      <c r="A294" s="141" t="s">
        <v>3751</v>
      </c>
      <c r="B294" s="137" t="s">
        <v>3752</v>
      </c>
    </row>
    <row r="295" spans="1:2" s="162" customFormat="1" x14ac:dyDescent="0.25">
      <c r="A295" s="141" t="s">
        <v>3753</v>
      </c>
      <c r="B295" s="137"/>
    </row>
    <row r="296" spans="1:2" s="162" customFormat="1" x14ac:dyDescent="0.25">
      <c r="A296" s="141" t="s">
        <v>3754</v>
      </c>
      <c r="B296" s="137" t="s">
        <v>3755</v>
      </c>
    </row>
    <row r="297" spans="1:2" s="162" customFormat="1" x14ac:dyDescent="0.25">
      <c r="A297" s="141" t="s">
        <v>3756</v>
      </c>
      <c r="B297" s="137" t="s">
        <v>3641</v>
      </c>
    </row>
    <row r="298" spans="1:2" s="162" customFormat="1" x14ac:dyDescent="0.25">
      <c r="A298" s="141" t="s">
        <v>3757</v>
      </c>
      <c r="B298" s="137"/>
    </row>
    <row r="299" spans="1:2" s="162" customFormat="1" x14ac:dyDescent="0.25">
      <c r="A299" s="141" t="s">
        <v>3758</v>
      </c>
      <c r="B299" s="137"/>
    </row>
    <row r="300" spans="1:2" s="162" customFormat="1" x14ac:dyDescent="0.25">
      <c r="A300" s="141" t="s">
        <v>3759</v>
      </c>
      <c r="B300" s="137" t="s">
        <v>2486</v>
      </c>
    </row>
    <row r="301" spans="1:2" s="162" customFormat="1" x14ac:dyDescent="0.25">
      <c r="A301" s="141" t="s">
        <v>3760</v>
      </c>
      <c r="B301" s="137"/>
    </row>
    <row r="302" spans="1:2" s="162" customFormat="1" x14ac:dyDescent="0.25">
      <c r="A302" s="141" t="s">
        <v>3761</v>
      </c>
      <c r="B302" s="137" t="s">
        <v>3762</v>
      </c>
    </row>
    <row r="303" spans="1:2" s="162" customFormat="1" x14ac:dyDescent="0.25">
      <c r="A303" s="141" t="s">
        <v>3763</v>
      </c>
      <c r="B303" s="137" t="s">
        <v>3764</v>
      </c>
    </row>
    <row r="304" spans="1:2" s="162" customFormat="1" x14ac:dyDescent="0.25">
      <c r="A304" s="141" t="s">
        <v>3765</v>
      </c>
      <c r="B304" s="137" t="s">
        <v>3592</v>
      </c>
    </row>
    <row r="305" spans="1:2" s="162" customFormat="1" x14ac:dyDescent="0.25">
      <c r="A305" s="141" t="s">
        <v>3766</v>
      </c>
      <c r="B305" s="137" t="s">
        <v>3767</v>
      </c>
    </row>
    <row r="306" spans="1:2" s="162" customFormat="1" x14ac:dyDescent="0.25">
      <c r="A306" s="141" t="s">
        <v>3768</v>
      </c>
      <c r="B306" s="137" t="s">
        <v>3769</v>
      </c>
    </row>
    <row r="307" spans="1:2" s="162" customFormat="1" x14ac:dyDescent="0.25">
      <c r="A307" s="141" t="s">
        <v>3770</v>
      </c>
      <c r="B307" s="137" t="s">
        <v>3450</v>
      </c>
    </row>
    <row r="308" spans="1:2" s="162" customFormat="1" x14ac:dyDescent="0.25">
      <c r="A308" s="141" t="s">
        <v>3771</v>
      </c>
      <c r="B308" s="137" t="s">
        <v>3772</v>
      </c>
    </row>
    <row r="309" spans="1:2" s="162" customFormat="1" x14ac:dyDescent="0.25">
      <c r="A309" s="141" t="s">
        <v>3773</v>
      </c>
      <c r="B309" s="137" t="s">
        <v>3774</v>
      </c>
    </row>
    <row r="310" spans="1:2" s="162" customFormat="1" x14ac:dyDescent="0.25">
      <c r="A310" s="141" t="s">
        <v>3775</v>
      </c>
      <c r="B310" s="137" t="s">
        <v>3776</v>
      </c>
    </row>
    <row r="311" spans="1:2" s="162" customFormat="1" x14ac:dyDescent="0.25">
      <c r="A311" s="141" t="s">
        <v>3777</v>
      </c>
      <c r="B311" s="137" t="s">
        <v>3778</v>
      </c>
    </row>
    <row r="312" spans="1:2" s="162" customFormat="1" x14ac:dyDescent="0.25">
      <c r="A312" s="141" t="s">
        <v>3779</v>
      </c>
      <c r="B312" s="137" t="s">
        <v>3551</v>
      </c>
    </row>
    <row r="313" spans="1:2" s="162" customFormat="1" x14ac:dyDescent="0.25">
      <c r="A313" s="141" t="s">
        <v>3780</v>
      </c>
      <c r="B313" s="137"/>
    </row>
    <row r="314" spans="1:2" s="162" customFormat="1" x14ac:dyDescent="0.25">
      <c r="A314" s="141" t="s">
        <v>3781</v>
      </c>
      <c r="B314" s="137" t="s">
        <v>3551</v>
      </c>
    </row>
    <row r="315" spans="1:2" s="162" customFormat="1" x14ac:dyDescent="0.25">
      <c r="A315" s="141" t="s">
        <v>3782</v>
      </c>
      <c r="B315" s="137" t="s">
        <v>102</v>
      </c>
    </row>
    <row r="316" spans="1:2" s="162" customFormat="1" x14ac:dyDescent="0.25">
      <c r="A316" s="141" t="s">
        <v>3783</v>
      </c>
      <c r="B316" s="137" t="s">
        <v>3784</v>
      </c>
    </row>
    <row r="317" spans="1:2" s="162" customFormat="1" x14ac:dyDescent="0.25">
      <c r="A317" s="141" t="s">
        <v>3785</v>
      </c>
      <c r="B317" s="137" t="s">
        <v>3786</v>
      </c>
    </row>
    <row r="318" spans="1:2" s="162" customFormat="1" x14ac:dyDescent="0.25">
      <c r="A318" s="141" t="s">
        <v>3787</v>
      </c>
      <c r="B318" s="137"/>
    </row>
    <row r="319" spans="1:2" s="162" customFormat="1" x14ac:dyDescent="0.25">
      <c r="A319" s="141" t="s">
        <v>3788</v>
      </c>
      <c r="B319" s="137" t="s">
        <v>3789</v>
      </c>
    </row>
    <row r="320" spans="1:2" s="162" customFormat="1" x14ac:dyDescent="0.25">
      <c r="A320" s="141" t="s">
        <v>3790</v>
      </c>
      <c r="B320" s="137" t="s">
        <v>3499</v>
      </c>
    </row>
    <row r="321" spans="1:3" s="162" customFormat="1" x14ac:dyDescent="0.25">
      <c r="A321" s="141" t="s">
        <v>3791</v>
      </c>
      <c r="B321" s="137" t="s">
        <v>3604</v>
      </c>
    </row>
    <row r="322" spans="1:3" s="162" customFormat="1" x14ac:dyDescent="0.25">
      <c r="A322" s="141" t="s">
        <v>3792</v>
      </c>
      <c r="B322" s="137" t="s">
        <v>3793</v>
      </c>
    </row>
    <row r="323" spans="1:3" s="162" customFormat="1" x14ac:dyDescent="0.25">
      <c r="A323" s="141" t="s">
        <v>3794</v>
      </c>
      <c r="B323" s="137" t="s">
        <v>3795</v>
      </c>
    </row>
    <row r="324" spans="1:3" s="162" customFormat="1" x14ac:dyDescent="0.25">
      <c r="A324" s="141" t="s">
        <v>3796</v>
      </c>
      <c r="B324" s="137" t="s">
        <v>3797</v>
      </c>
    </row>
    <row r="325" spans="1:3" s="162" customFormat="1" x14ac:dyDescent="0.25">
      <c r="A325" s="141" t="s">
        <v>3798</v>
      </c>
      <c r="B325" s="137" t="s">
        <v>3799</v>
      </c>
    </row>
    <row r="326" spans="1:3" s="162" customFormat="1" x14ac:dyDescent="0.25">
      <c r="A326" s="141" t="s">
        <v>3800</v>
      </c>
      <c r="B326" s="137" t="s">
        <v>3801</v>
      </c>
      <c r="C326" s="162" t="s">
        <v>3802</v>
      </c>
    </row>
    <row r="327" spans="1:3" s="162" customFormat="1" x14ac:dyDescent="0.25">
      <c r="A327" s="141" t="s">
        <v>3803</v>
      </c>
      <c r="B327" s="137" t="s">
        <v>3804</v>
      </c>
      <c r="C327" s="162" t="s">
        <v>3802</v>
      </c>
    </row>
    <row r="328" spans="1:3" s="162" customFormat="1" x14ac:dyDescent="0.25">
      <c r="A328" s="141" t="s">
        <v>3805</v>
      </c>
      <c r="B328" s="137" t="s">
        <v>3806</v>
      </c>
      <c r="C328" s="162" t="s">
        <v>3597</v>
      </c>
    </row>
    <row r="329" spans="1:3" s="162" customFormat="1" x14ac:dyDescent="0.25">
      <c r="A329" s="141" t="s">
        <v>3807</v>
      </c>
      <c r="B329" s="137" t="s">
        <v>578</v>
      </c>
      <c r="C329" s="162" t="s">
        <v>3808</v>
      </c>
    </row>
    <row r="330" spans="1:3" s="162" customFormat="1" x14ac:dyDescent="0.25">
      <c r="A330" s="141" t="s">
        <v>3809</v>
      </c>
      <c r="B330" s="137" t="s">
        <v>3810</v>
      </c>
      <c r="C330" s="162" t="s">
        <v>3811</v>
      </c>
    </row>
    <row r="331" spans="1:3" s="162" customFormat="1" x14ac:dyDescent="0.25">
      <c r="A331" s="141" t="s">
        <v>3812</v>
      </c>
      <c r="B331" s="137" t="s">
        <v>3813</v>
      </c>
      <c r="C331" s="162" t="s">
        <v>3814</v>
      </c>
    </row>
    <row r="332" spans="1:3" s="162" customFormat="1" x14ac:dyDescent="0.25">
      <c r="A332" s="141" t="s">
        <v>3815</v>
      </c>
      <c r="B332" s="137" t="s">
        <v>3816</v>
      </c>
      <c r="C332" s="162" t="s">
        <v>3817</v>
      </c>
    </row>
    <row r="333" spans="1:3" s="162" customFormat="1" x14ac:dyDescent="0.25">
      <c r="A333" s="141" t="s">
        <v>3818</v>
      </c>
      <c r="B333" s="137" t="s">
        <v>3819</v>
      </c>
      <c r="C333" s="162" t="s">
        <v>3802</v>
      </c>
    </row>
    <row r="334" spans="1:3" s="162" customFormat="1" x14ac:dyDescent="0.25">
      <c r="A334" s="141" t="s">
        <v>3820</v>
      </c>
      <c r="B334" s="137" t="s">
        <v>3821</v>
      </c>
      <c r="C334" s="162" t="s">
        <v>3811</v>
      </c>
    </row>
    <row r="335" spans="1:3" s="162" customFormat="1" x14ac:dyDescent="0.25">
      <c r="A335" s="141" t="s">
        <v>3822</v>
      </c>
      <c r="B335" s="137" t="s">
        <v>3823</v>
      </c>
      <c r="C335" s="162" t="s">
        <v>3624</v>
      </c>
    </row>
    <row r="336" spans="1:3" s="162" customFormat="1" x14ac:dyDescent="0.25">
      <c r="A336" s="141" t="s">
        <v>3824</v>
      </c>
      <c r="B336" s="137" t="s">
        <v>3825</v>
      </c>
      <c r="C336" s="162" t="s">
        <v>3808</v>
      </c>
    </row>
    <row r="337" spans="1:3" s="162" customFormat="1" x14ac:dyDescent="0.25">
      <c r="A337" s="141" t="s">
        <v>3826</v>
      </c>
      <c r="B337" s="137" t="s">
        <v>3827</v>
      </c>
      <c r="C337" s="162" t="s">
        <v>3597</v>
      </c>
    </row>
    <row r="338" spans="1:3" s="162" customFormat="1" x14ac:dyDescent="0.25">
      <c r="A338" s="141" t="s">
        <v>3828</v>
      </c>
      <c r="B338" s="137" t="s">
        <v>3829</v>
      </c>
      <c r="C338" s="162" t="s">
        <v>3599</v>
      </c>
    </row>
    <row r="339" spans="1:3" s="162" customFormat="1" x14ac:dyDescent="0.25">
      <c r="A339" s="141" t="s">
        <v>3830</v>
      </c>
      <c r="B339" s="137" t="s">
        <v>3831</v>
      </c>
      <c r="C339" s="162" t="s">
        <v>3597</v>
      </c>
    </row>
    <row r="340" spans="1:3" s="162" customFormat="1" x14ac:dyDescent="0.25">
      <c r="A340" s="141" t="s">
        <v>3832</v>
      </c>
      <c r="B340" s="137" t="s">
        <v>3833</v>
      </c>
      <c r="C340" s="162" t="s">
        <v>3834</v>
      </c>
    </row>
    <row r="341" spans="1:3" s="162" customFormat="1" x14ac:dyDescent="0.25">
      <c r="A341" s="141" t="s">
        <v>3835</v>
      </c>
      <c r="B341" s="137" t="s">
        <v>3512</v>
      </c>
      <c r="C341" s="162" t="s">
        <v>3836</v>
      </c>
    </row>
    <row r="342" spans="1:3" s="162" customFormat="1" x14ac:dyDescent="0.25">
      <c r="A342" s="141" t="s">
        <v>3837</v>
      </c>
      <c r="B342" s="137" t="s">
        <v>3838</v>
      </c>
      <c r="C342" s="162" t="s">
        <v>3839</v>
      </c>
    </row>
    <row r="343" spans="1:3" s="162" customFormat="1" x14ac:dyDescent="0.25">
      <c r="A343" s="141" t="s">
        <v>3840</v>
      </c>
      <c r="B343" s="137" t="s">
        <v>282</v>
      </c>
      <c r="C343" s="162" t="s">
        <v>3543</v>
      </c>
    </row>
    <row r="344" spans="1:3" s="162" customFormat="1" x14ac:dyDescent="0.25">
      <c r="A344" s="141" t="s">
        <v>3841</v>
      </c>
      <c r="B344" s="137" t="s">
        <v>3842</v>
      </c>
      <c r="C344" s="162" t="s">
        <v>3841</v>
      </c>
    </row>
    <row r="345" spans="1:3" s="162" customFormat="1" x14ac:dyDescent="0.25">
      <c r="A345" s="141" t="s">
        <v>3843</v>
      </c>
      <c r="B345" s="137" t="s">
        <v>3844</v>
      </c>
      <c r="C345" s="162" t="s">
        <v>3597</v>
      </c>
    </row>
    <row r="346" spans="1:3" s="162" customFormat="1" x14ac:dyDescent="0.25">
      <c r="A346" s="141" t="s">
        <v>3845</v>
      </c>
      <c r="B346" s="137" t="s">
        <v>3846</v>
      </c>
      <c r="C346" s="162" t="s">
        <v>3597</v>
      </c>
    </row>
    <row r="347" spans="1:3" s="162" customFormat="1" x14ac:dyDescent="0.25">
      <c r="A347" s="141" t="s">
        <v>3847</v>
      </c>
      <c r="B347" s="137" t="s">
        <v>3848</v>
      </c>
      <c r="C347" s="162" t="s">
        <v>3802</v>
      </c>
    </row>
    <row r="348" spans="1:3" s="162" customFormat="1" x14ac:dyDescent="0.25">
      <c r="A348" s="141" t="s">
        <v>3849</v>
      </c>
      <c r="B348" s="137" t="s">
        <v>3850</v>
      </c>
      <c r="C348" s="162" t="s">
        <v>3849</v>
      </c>
    </row>
    <row r="349" spans="1:3" s="162" customFormat="1" x14ac:dyDescent="0.25">
      <c r="A349" s="141" t="s">
        <v>3851</v>
      </c>
      <c r="B349" s="137" t="s">
        <v>3555</v>
      </c>
      <c r="C349" s="162" t="s">
        <v>3852</v>
      </c>
    </row>
    <row r="350" spans="1:3" s="162" customFormat="1" x14ac:dyDescent="0.25">
      <c r="A350" s="141" t="s">
        <v>3853</v>
      </c>
      <c r="B350" s="137" t="s">
        <v>3854</v>
      </c>
      <c r="C350" s="162" t="s">
        <v>3834</v>
      </c>
    </row>
    <row r="351" spans="1:3" s="162" customFormat="1" x14ac:dyDescent="0.25">
      <c r="A351" s="141" t="s">
        <v>3855</v>
      </c>
      <c r="B351" s="137" t="s">
        <v>3856</v>
      </c>
      <c r="C351" s="162" t="s">
        <v>3597</v>
      </c>
    </row>
    <row r="352" spans="1:3" s="162" customFormat="1" x14ac:dyDescent="0.25">
      <c r="A352" s="141" t="s">
        <v>3857</v>
      </c>
      <c r="B352" s="137" t="s">
        <v>3856</v>
      </c>
      <c r="C352" s="162" t="s">
        <v>3597</v>
      </c>
    </row>
    <row r="353" spans="1:3" s="162" customFormat="1" x14ac:dyDescent="0.25">
      <c r="A353" s="141" t="s">
        <v>3858</v>
      </c>
      <c r="B353" s="137" t="s">
        <v>3858</v>
      </c>
      <c r="C353" s="162" t="s">
        <v>3859</v>
      </c>
    </row>
    <row r="354" spans="1:3" s="162" customFormat="1" x14ac:dyDescent="0.25">
      <c r="A354" s="141" t="s">
        <v>3860</v>
      </c>
      <c r="B354" s="137" t="s">
        <v>3858</v>
      </c>
      <c r="C354" s="162" t="s">
        <v>3859</v>
      </c>
    </row>
    <row r="355" spans="1:3" s="162" customFormat="1" x14ac:dyDescent="0.25">
      <c r="A355" s="141" t="s">
        <v>3861</v>
      </c>
      <c r="B355" s="137" t="s">
        <v>3862</v>
      </c>
      <c r="C355" s="162" t="s">
        <v>3863</v>
      </c>
    </row>
    <row r="356" spans="1:3" s="162" customFormat="1" x14ac:dyDescent="0.25">
      <c r="A356" s="141" t="s">
        <v>3864</v>
      </c>
      <c r="B356" s="137" t="s">
        <v>3829</v>
      </c>
      <c r="C356" s="162" t="s">
        <v>3624</v>
      </c>
    </row>
    <row r="357" spans="1:3" s="162" customFormat="1" x14ac:dyDescent="0.25">
      <c r="A357" s="141" t="s">
        <v>3799</v>
      </c>
      <c r="B357" s="137" t="s">
        <v>3799</v>
      </c>
    </row>
    <row r="358" spans="1:3" s="162" customFormat="1" x14ac:dyDescent="0.25">
      <c r="A358" s="141" t="s">
        <v>3865</v>
      </c>
      <c r="B358" s="137" t="s">
        <v>3865</v>
      </c>
    </row>
    <row r="359" spans="1:3" s="162" customFormat="1" x14ac:dyDescent="0.25">
      <c r="A359" s="141" t="s">
        <v>3866</v>
      </c>
      <c r="B359" s="137" t="s">
        <v>3866</v>
      </c>
    </row>
    <row r="360" spans="1:3" s="162" customFormat="1" x14ac:dyDescent="0.25">
      <c r="A360" s="141" t="s">
        <v>3867</v>
      </c>
      <c r="B360" s="137" t="s">
        <v>3868</v>
      </c>
    </row>
    <row r="361" spans="1:3" s="162" customFormat="1" x14ac:dyDescent="0.25">
      <c r="A361" s="141" t="s">
        <v>3869</v>
      </c>
      <c r="B361" s="137" t="s">
        <v>3869</v>
      </c>
    </row>
    <row r="362" spans="1:3" s="162" customFormat="1" x14ac:dyDescent="0.25">
      <c r="A362" s="141" t="s">
        <v>3870</v>
      </c>
      <c r="B362" s="137" t="s">
        <v>3538</v>
      </c>
    </row>
    <row r="363" spans="1:3" s="162" customFormat="1" x14ac:dyDescent="0.25">
      <c r="A363" s="141" t="s">
        <v>3871</v>
      </c>
      <c r="B363" s="137" t="s">
        <v>3872</v>
      </c>
    </row>
    <row r="364" spans="1:3" s="162" customFormat="1" x14ac:dyDescent="0.25">
      <c r="A364" s="141" t="s">
        <v>3873</v>
      </c>
      <c r="B364" s="137" t="s">
        <v>3874</v>
      </c>
    </row>
    <row r="365" spans="1:3" s="162" customFormat="1" x14ac:dyDescent="0.25">
      <c r="A365" s="141" t="s">
        <v>3875</v>
      </c>
      <c r="B365" s="137" t="s">
        <v>3486</v>
      </c>
    </row>
    <row r="366" spans="1:3" s="162" customFormat="1" x14ac:dyDescent="0.25">
      <c r="A366" s="141" t="s">
        <v>3876</v>
      </c>
      <c r="B366" s="137" t="s">
        <v>3877</v>
      </c>
    </row>
    <row r="367" spans="1:3" s="162" customFormat="1" x14ac:dyDescent="0.25">
      <c r="A367" s="141" t="s">
        <v>3878</v>
      </c>
      <c r="B367" s="137"/>
    </row>
    <row r="368" spans="1:3" s="162" customFormat="1" x14ac:dyDescent="0.25">
      <c r="A368" s="141" t="s">
        <v>1624</v>
      </c>
      <c r="B368" s="137" t="s">
        <v>1624</v>
      </c>
    </row>
    <row r="369" spans="1:3" s="162" customFormat="1" x14ac:dyDescent="0.25">
      <c r="A369" s="141" t="s">
        <v>3879</v>
      </c>
      <c r="B369" s="137" t="s">
        <v>3879</v>
      </c>
    </row>
    <row r="370" spans="1:3" s="162" customFormat="1" x14ac:dyDescent="0.25">
      <c r="A370" s="141" t="s">
        <v>3880</v>
      </c>
      <c r="B370" s="137" t="s">
        <v>3880</v>
      </c>
    </row>
    <row r="371" spans="1:3" s="162" customFormat="1" x14ac:dyDescent="0.25">
      <c r="A371" s="141" t="s">
        <v>3881</v>
      </c>
      <c r="B371" s="137" t="s">
        <v>3881</v>
      </c>
    </row>
    <row r="372" spans="1:3" s="162" customFormat="1" x14ac:dyDescent="0.25">
      <c r="A372" s="141" t="s">
        <v>3882</v>
      </c>
      <c r="B372" s="137" t="s">
        <v>3883</v>
      </c>
    </row>
    <row r="373" spans="1:3" s="162" customFormat="1" x14ac:dyDescent="0.25">
      <c r="A373" s="141" t="s">
        <v>3884</v>
      </c>
      <c r="B373" s="137" t="s">
        <v>3885</v>
      </c>
    </row>
    <row r="374" spans="1:3" s="162" customFormat="1" x14ac:dyDescent="0.25">
      <c r="A374" s="141" t="s">
        <v>3886</v>
      </c>
      <c r="B374" s="137" t="s">
        <v>3887</v>
      </c>
    </row>
    <row r="375" spans="1:3" s="162" customFormat="1" x14ac:dyDescent="0.25">
      <c r="A375" s="141" t="s">
        <v>13774</v>
      </c>
      <c r="B375" s="137" t="s">
        <v>13773</v>
      </c>
    </row>
    <row r="376" spans="1:3" s="163" customFormat="1" x14ac:dyDescent="0.25">
      <c r="A376" s="141" t="s">
        <v>13877</v>
      </c>
      <c r="B376" s="137" t="s">
        <v>282</v>
      </c>
    </row>
    <row r="377" spans="1:3" s="162" customFormat="1" x14ac:dyDescent="0.25">
      <c r="A377"/>
      <c r="B377"/>
      <c r="C377"/>
    </row>
    <row r="378" spans="1:3" s="162" customFormat="1" x14ac:dyDescent="0.25">
      <c r="A378"/>
      <c r="B378"/>
      <c r="C378"/>
    </row>
  </sheetData>
  <autoFilter ref="A1:C375"/>
  <conditionalFormatting sqref="A379:A1048576 A1:A376">
    <cfRule type="duplicateValues" dxfId="66" priority="19"/>
  </conditionalFormatting>
  <conditionalFormatting sqref="A368">
    <cfRule type="duplicateValues" dxfId="65" priority="1795"/>
  </conditionalFormatting>
  <conditionalFormatting sqref="A369">
    <cfRule type="duplicateValues" dxfId="64" priority="17"/>
  </conditionalFormatting>
  <conditionalFormatting sqref="A370">
    <cfRule type="duplicateValues" dxfId="63" priority="16"/>
  </conditionalFormatting>
  <conditionalFormatting sqref="A371">
    <cfRule type="duplicateValues" dxfId="62" priority="15"/>
  </conditionalFormatting>
  <conditionalFormatting sqref="B371">
    <cfRule type="duplicateValues" dxfId="61" priority="14"/>
  </conditionalFormatting>
  <conditionalFormatting sqref="A372">
    <cfRule type="duplicateValues" dxfId="60" priority="12"/>
  </conditionalFormatting>
  <conditionalFormatting sqref="B372">
    <cfRule type="duplicateValues" dxfId="59" priority="11"/>
  </conditionalFormatting>
  <conditionalFormatting sqref="A373">
    <cfRule type="duplicateValues" dxfId="58" priority="10"/>
  </conditionalFormatting>
  <conditionalFormatting sqref="B373">
    <cfRule type="duplicateValues" dxfId="57" priority="9"/>
  </conditionalFormatting>
  <conditionalFormatting sqref="A374">
    <cfRule type="duplicateValues" dxfId="56" priority="6"/>
  </conditionalFormatting>
  <conditionalFormatting sqref="B374">
    <cfRule type="duplicateValues" dxfId="55" priority="5"/>
  </conditionalFormatting>
  <conditionalFormatting sqref="A375:A376">
    <cfRule type="duplicateValues" dxfId="54" priority="4"/>
  </conditionalFormatting>
  <conditionalFormatting sqref="B375:B376">
    <cfRule type="duplicateValues" dxfId="53" priority="3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75"/>
  <sheetViews>
    <sheetView tabSelected="1" zoomScale="130" zoomScaleNormal="130" workbookViewId="0">
      <pane ySplit="1" topLeftCell="A11964" activePane="bottomLeft" state="frozen"/>
      <selection pane="bottomLeft" activeCell="A11976" sqref="A11976"/>
    </sheetView>
  </sheetViews>
  <sheetFormatPr defaultRowHeight="15" x14ac:dyDescent="0.25"/>
  <cols>
    <col min="1" max="1" width="70.42578125" style="157" bestFit="1" customWidth="1"/>
    <col min="2" max="2" width="84.140625" style="157" bestFit="1" customWidth="1"/>
  </cols>
  <sheetData>
    <row r="1" spans="1:2" x14ac:dyDescent="0.25">
      <c r="A1" t="s">
        <v>3419</v>
      </c>
      <c r="B1" t="s">
        <v>3888</v>
      </c>
    </row>
    <row r="2" spans="1:2" x14ac:dyDescent="0.25">
      <c r="A2" t="s">
        <v>3889</v>
      </c>
      <c r="B2" t="s">
        <v>3070</v>
      </c>
    </row>
    <row r="3" spans="1:2" x14ac:dyDescent="0.25">
      <c r="A3" t="s">
        <v>3890</v>
      </c>
      <c r="B3" t="s">
        <v>2741</v>
      </c>
    </row>
    <row r="4" spans="1:2" x14ac:dyDescent="0.25">
      <c r="A4" t="s">
        <v>3891</v>
      </c>
      <c r="B4" t="s">
        <v>3071</v>
      </c>
    </row>
    <row r="5" spans="1:2" x14ac:dyDescent="0.25">
      <c r="A5" t="s">
        <v>3892</v>
      </c>
      <c r="B5" t="s">
        <v>3072</v>
      </c>
    </row>
    <row r="6" spans="1:2" x14ac:dyDescent="0.25">
      <c r="A6" t="s">
        <v>3893</v>
      </c>
      <c r="B6" t="s">
        <v>2250</v>
      </c>
    </row>
    <row r="7" spans="1:2" x14ac:dyDescent="0.25">
      <c r="A7" t="s">
        <v>3894</v>
      </c>
      <c r="B7" t="s">
        <v>3082</v>
      </c>
    </row>
    <row r="8" spans="1:2" x14ac:dyDescent="0.25">
      <c r="A8" t="s">
        <v>3895</v>
      </c>
      <c r="B8" t="s">
        <v>2746</v>
      </c>
    </row>
    <row r="9" spans="1:2" x14ac:dyDescent="0.25">
      <c r="A9" t="s">
        <v>3896</v>
      </c>
      <c r="B9" t="s">
        <v>3083</v>
      </c>
    </row>
    <row r="10" spans="1:2" x14ac:dyDescent="0.25">
      <c r="A10" t="s">
        <v>3897</v>
      </c>
      <c r="B10" t="s">
        <v>58</v>
      </c>
    </row>
    <row r="11" spans="1:2" x14ac:dyDescent="0.25">
      <c r="A11" t="s">
        <v>3898</v>
      </c>
      <c r="B11" t="s">
        <v>60</v>
      </c>
    </row>
    <row r="12" spans="1:2" x14ac:dyDescent="0.25">
      <c r="A12" t="s">
        <v>3899</v>
      </c>
      <c r="B12" t="s">
        <v>62</v>
      </c>
    </row>
    <row r="13" spans="1:2" x14ac:dyDescent="0.25">
      <c r="A13" t="s">
        <v>3900</v>
      </c>
      <c r="B13" t="s">
        <v>3028</v>
      </c>
    </row>
    <row r="14" spans="1:2" x14ac:dyDescent="0.25">
      <c r="A14" t="s">
        <v>3901</v>
      </c>
      <c r="B14" t="s">
        <v>64</v>
      </c>
    </row>
    <row r="15" spans="1:2" x14ac:dyDescent="0.25">
      <c r="A15" t="s">
        <v>3902</v>
      </c>
      <c r="B15" t="s">
        <v>66</v>
      </c>
    </row>
    <row r="16" spans="1:2" x14ac:dyDescent="0.25">
      <c r="A16" t="s">
        <v>3903</v>
      </c>
      <c r="B16" t="s">
        <v>3904</v>
      </c>
    </row>
    <row r="17" spans="1:2" x14ac:dyDescent="0.25">
      <c r="A17" t="s">
        <v>3905</v>
      </c>
      <c r="B17" t="s">
        <v>3906</v>
      </c>
    </row>
    <row r="18" spans="1:2" x14ac:dyDescent="0.25">
      <c r="A18" t="s">
        <v>3907</v>
      </c>
      <c r="B18" t="s">
        <v>68</v>
      </c>
    </row>
    <row r="19" spans="1:2" x14ac:dyDescent="0.25">
      <c r="A19" t="s">
        <v>3908</v>
      </c>
      <c r="B19" t="s">
        <v>70</v>
      </c>
    </row>
    <row r="20" spans="1:2" x14ac:dyDescent="0.25">
      <c r="A20" t="s">
        <v>3909</v>
      </c>
      <c r="B20" t="s">
        <v>72</v>
      </c>
    </row>
    <row r="21" spans="1:2" x14ac:dyDescent="0.25">
      <c r="A21" t="s">
        <v>3910</v>
      </c>
      <c r="B21" t="s">
        <v>2445</v>
      </c>
    </row>
    <row r="22" spans="1:2" x14ac:dyDescent="0.25">
      <c r="A22" t="s">
        <v>3911</v>
      </c>
      <c r="B22" t="s">
        <v>3912</v>
      </c>
    </row>
    <row r="23" spans="1:2" x14ac:dyDescent="0.25">
      <c r="A23" t="s">
        <v>3913</v>
      </c>
      <c r="B23" t="s">
        <v>2439</v>
      </c>
    </row>
    <row r="24" spans="1:2" x14ac:dyDescent="0.25">
      <c r="A24" t="s">
        <v>3914</v>
      </c>
      <c r="B24" t="s">
        <v>3062</v>
      </c>
    </row>
    <row r="25" spans="1:2" x14ac:dyDescent="0.25">
      <c r="A25" t="s">
        <v>3915</v>
      </c>
      <c r="B25" t="s">
        <v>376</v>
      </c>
    </row>
    <row r="26" spans="1:2" x14ac:dyDescent="0.25">
      <c r="A26" t="s">
        <v>3916</v>
      </c>
      <c r="B26" t="s">
        <v>2449</v>
      </c>
    </row>
    <row r="27" spans="1:2" x14ac:dyDescent="0.25">
      <c r="A27" t="s">
        <v>3917</v>
      </c>
      <c r="B27" t="s">
        <v>3210</v>
      </c>
    </row>
    <row r="28" spans="1:2" x14ac:dyDescent="0.25">
      <c r="A28" t="s">
        <v>3918</v>
      </c>
      <c r="B28" t="s">
        <v>3212</v>
      </c>
    </row>
    <row r="29" spans="1:2" x14ac:dyDescent="0.25">
      <c r="A29" t="s">
        <v>3919</v>
      </c>
      <c r="B29" t="s">
        <v>74</v>
      </c>
    </row>
    <row r="30" spans="1:2" x14ac:dyDescent="0.25">
      <c r="A30" t="s">
        <v>3920</v>
      </c>
      <c r="B30" t="s">
        <v>76</v>
      </c>
    </row>
    <row r="31" spans="1:2" x14ac:dyDescent="0.25">
      <c r="A31" t="s">
        <v>3921</v>
      </c>
      <c r="B31" t="s">
        <v>52</v>
      </c>
    </row>
    <row r="32" spans="1:2" x14ac:dyDescent="0.25">
      <c r="A32" t="s">
        <v>3922</v>
      </c>
      <c r="B32" t="s">
        <v>1496</v>
      </c>
    </row>
    <row r="33" spans="1:2" x14ac:dyDescent="0.25">
      <c r="A33" t="s">
        <v>3923</v>
      </c>
      <c r="B33" t="s">
        <v>3065</v>
      </c>
    </row>
    <row r="34" spans="1:2" x14ac:dyDescent="0.25">
      <c r="A34" t="s">
        <v>3924</v>
      </c>
      <c r="B34" t="s">
        <v>2249</v>
      </c>
    </row>
    <row r="35" spans="1:2" x14ac:dyDescent="0.25">
      <c r="A35" t="s">
        <v>3925</v>
      </c>
      <c r="B35" t="s">
        <v>78</v>
      </c>
    </row>
    <row r="36" spans="1:2" x14ac:dyDescent="0.25">
      <c r="A36" t="s">
        <v>3926</v>
      </c>
      <c r="B36" t="s">
        <v>2810</v>
      </c>
    </row>
    <row r="37" spans="1:2" x14ac:dyDescent="0.25">
      <c r="A37" t="s">
        <v>3927</v>
      </c>
      <c r="B37" t="s">
        <v>80</v>
      </c>
    </row>
    <row r="38" spans="1:2" x14ac:dyDescent="0.25">
      <c r="A38" t="s">
        <v>3928</v>
      </c>
      <c r="B38" t="s">
        <v>2812</v>
      </c>
    </row>
    <row r="39" spans="1:2" x14ac:dyDescent="0.25">
      <c r="A39" t="s">
        <v>3929</v>
      </c>
      <c r="B39" t="s">
        <v>261</v>
      </c>
    </row>
    <row r="40" spans="1:2" x14ac:dyDescent="0.25">
      <c r="A40" t="s">
        <v>3930</v>
      </c>
      <c r="B40" t="s">
        <v>263</v>
      </c>
    </row>
    <row r="41" spans="1:2" x14ac:dyDescent="0.25">
      <c r="A41" t="s">
        <v>3931</v>
      </c>
      <c r="B41" t="s">
        <v>265</v>
      </c>
    </row>
    <row r="42" spans="1:2" x14ac:dyDescent="0.25">
      <c r="A42" t="s">
        <v>3932</v>
      </c>
      <c r="B42" t="s">
        <v>3933</v>
      </c>
    </row>
    <row r="43" spans="1:2" x14ac:dyDescent="0.25">
      <c r="A43" t="s">
        <v>3934</v>
      </c>
      <c r="B43" t="s">
        <v>84</v>
      </c>
    </row>
    <row r="44" spans="1:2" x14ac:dyDescent="0.25">
      <c r="A44" t="s">
        <v>3935</v>
      </c>
      <c r="B44" t="s">
        <v>2314</v>
      </c>
    </row>
    <row r="45" spans="1:2" x14ac:dyDescent="0.25">
      <c r="A45" t="s">
        <v>3936</v>
      </c>
      <c r="B45" t="s">
        <v>2315</v>
      </c>
    </row>
    <row r="46" spans="1:2" x14ac:dyDescent="0.25">
      <c r="A46" t="s">
        <v>3937</v>
      </c>
      <c r="B46" t="s">
        <v>3938</v>
      </c>
    </row>
    <row r="47" spans="1:2" x14ac:dyDescent="0.25">
      <c r="A47" t="s">
        <v>3939</v>
      </c>
      <c r="B47" t="s">
        <v>87</v>
      </c>
    </row>
    <row r="48" spans="1:2" x14ac:dyDescent="0.25">
      <c r="A48" t="s">
        <v>3940</v>
      </c>
      <c r="B48" t="s">
        <v>3366</v>
      </c>
    </row>
    <row r="49" spans="1:2" x14ac:dyDescent="0.25">
      <c r="A49" t="s">
        <v>3941</v>
      </c>
      <c r="B49" t="s">
        <v>1645</v>
      </c>
    </row>
    <row r="50" spans="1:2" x14ac:dyDescent="0.25">
      <c r="A50" t="s">
        <v>3942</v>
      </c>
      <c r="B50" t="s">
        <v>3943</v>
      </c>
    </row>
    <row r="51" spans="1:2" x14ac:dyDescent="0.25">
      <c r="A51" t="s">
        <v>3944</v>
      </c>
      <c r="B51" t="s">
        <v>2316</v>
      </c>
    </row>
    <row r="52" spans="1:2" x14ac:dyDescent="0.25">
      <c r="A52" t="s">
        <v>3945</v>
      </c>
      <c r="B52" t="s">
        <v>2335</v>
      </c>
    </row>
    <row r="53" spans="1:2" x14ac:dyDescent="0.25">
      <c r="A53" t="s">
        <v>3946</v>
      </c>
      <c r="B53" t="s">
        <v>3368</v>
      </c>
    </row>
    <row r="54" spans="1:2" x14ac:dyDescent="0.25">
      <c r="A54" t="s">
        <v>3947</v>
      </c>
      <c r="B54" t="s">
        <v>3948</v>
      </c>
    </row>
    <row r="55" spans="1:2" x14ac:dyDescent="0.25">
      <c r="A55" t="s">
        <v>3949</v>
      </c>
      <c r="B55" t="s">
        <v>3950</v>
      </c>
    </row>
    <row r="56" spans="1:2" x14ac:dyDescent="0.25">
      <c r="A56" t="s">
        <v>3951</v>
      </c>
      <c r="B56" t="s">
        <v>2532</v>
      </c>
    </row>
    <row r="57" spans="1:2" x14ac:dyDescent="0.25">
      <c r="A57" t="s">
        <v>3952</v>
      </c>
      <c r="B57" t="s">
        <v>3953</v>
      </c>
    </row>
    <row r="58" spans="1:2" x14ac:dyDescent="0.25">
      <c r="A58" t="s">
        <v>3954</v>
      </c>
      <c r="B58" t="s">
        <v>3955</v>
      </c>
    </row>
    <row r="59" spans="1:2" x14ac:dyDescent="0.25">
      <c r="A59" t="s">
        <v>3956</v>
      </c>
      <c r="B59" t="s">
        <v>3957</v>
      </c>
    </row>
    <row r="60" spans="1:2" x14ac:dyDescent="0.25">
      <c r="A60" t="s">
        <v>3958</v>
      </c>
      <c r="B60" t="s">
        <v>3959</v>
      </c>
    </row>
    <row r="61" spans="1:2" x14ac:dyDescent="0.25">
      <c r="A61" t="s">
        <v>3960</v>
      </c>
      <c r="B61" t="s">
        <v>3216</v>
      </c>
    </row>
    <row r="62" spans="1:2" x14ac:dyDescent="0.25">
      <c r="A62" t="s">
        <v>3961</v>
      </c>
      <c r="B62" t="s">
        <v>2535</v>
      </c>
    </row>
    <row r="63" spans="1:2" x14ac:dyDescent="0.25">
      <c r="A63" t="s">
        <v>3962</v>
      </c>
      <c r="B63" t="s">
        <v>2309</v>
      </c>
    </row>
    <row r="64" spans="1:2" x14ac:dyDescent="0.25">
      <c r="A64" t="s">
        <v>3963</v>
      </c>
      <c r="B64" t="s">
        <v>2546</v>
      </c>
    </row>
    <row r="65" spans="1:2" x14ac:dyDescent="0.25">
      <c r="A65" t="s">
        <v>3964</v>
      </c>
      <c r="B65" t="s">
        <v>3314</v>
      </c>
    </row>
    <row r="66" spans="1:2" x14ac:dyDescent="0.25">
      <c r="A66" t="s">
        <v>3965</v>
      </c>
      <c r="B66" t="s">
        <v>2547</v>
      </c>
    </row>
    <row r="67" spans="1:2" x14ac:dyDescent="0.25">
      <c r="A67" t="s">
        <v>3966</v>
      </c>
      <c r="B67" t="s">
        <v>3967</v>
      </c>
    </row>
    <row r="68" spans="1:2" x14ac:dyDescent="0.25">
      <c r="A68" t="s">
        <v>3968</v>
      </c>
      <c r="B68" t="s">
        <v>3315</v>
      </c>
    </row>
    <row r="69" spans="1:2" x14ac:dyDescent="0.25">
      <c r="A69" t="s">
        <v>3969</v>
      </c>
      <c r="B69" t="s">
        <v>2794</v>
      </c>
    </row>
    <row r="70" spans="1:2" x14ac:dyDescent="0.25">
      <c r="A70" t="s">
        <v>3970</v>
      </c>
      <c r="B70" t="s">
        <v>1636</v>
      </c>
    </row>
    <row r="71" spans="1:2" x14ac:dyDescent="0.25">
      <c r="A71" t="s">
        <v>3971</v>
      </c>
      <c r="B71" t="s">
        <v>2548</v>
      </c>
    </row>
    <row r="72" spans="1:2" x14ac:dyDescent="0.25">
      <c r="A72" t="s">
        <v>3972</v>
      </c>
      <c r="B72" t="s">
        <v>3316</v>
      </c>
    </row>
    <row r="73" spans="1:2" x14ac:dyDescent="0.25">
      <c r="A73" t="s">
        <v>3973</v>
      </c>
      <c r="B73" t="s">
        <v>2549</v>
      </c>
    </row>
    <row r="74" spans="1:2" x14ac:dyDescent="0.25">
      <c r="A74" t="s">
        <v>3974</v>
      </c>
      <c r="B74" t="s">
        <v>3975</v>
      </c>
    </row>
    <row r="75" spans="1:2" x14ac:dyDescent="0.25">
      <c r="A75" t="s">
        <v>3976</v>
      </c>
      <c r="B75" t="s">
        <v>1518</v>
      </c>
    </row>
    <row r="76" spans="1:2" x14ac:dyDescent="0.25">
      <c r="A76" t="s">
        <v>3977</v>
      </c>
      <c r="B76" t="s">
        <v>1521</v>
      </c>
    </row>
    <row r="77" spans="1:2" x14ac:dyDescent="0.25">
      <c r="A77" t="s">
        <v>3978</v>
      </c>
      <c r="B77" t="s">
        <v>1523</v>
      </c>
    </row>
    <row r="78" spans="1:2" x14ac:dyDescent="0.25">
      <c r="A78" t="s">
        <v>3979</v>
      </c>
      <c r="B78" t="s">
        <v>1525</v>
      </c>
    </row>
    <row r="79" spans="1:2" x14ac:dyDescent="0.25">
      <c r="A79" t="s">
        <v>3980</v>
      </c>
      <c r="B79" t="s">
        <v>1527</v>
      </c>
    </row>
    <row r="80" spans="1:2" x14ac:dyDescent="0.25">
      <c r="A80" t="s">
        <v>3981</v>
      </c>
      <c r="B80" t="s">
        <v>1529</v>
      </c>
    </row>
    <row r="81" spans="1:2" x14ac:dyDescent="0.25">
      <c r="A81" t="s">
        <v>3982</v>
      </c>
      <c r="B81" t="s">
        <v>1531</v>
      </c>
    </row>
    <row r="82" spans="1:2" x14ac:dyDescent="0.25">
      <c r="A82" t="s">
        <v>3983</v>
      </c>
      <c r="B82" t="s">
        <v>2770</v>
      </c>
    </row>
    <row r="83" spans="1:2" x14ac:dyDescent="0.25">
      <c r="A83" t="s">
        <v>3984</v>
      </c>
      <c r="B83" t="s">
        <v>1533</v>
      </c>
    </row>
    <row r="84" spans="1:2" x14ac:dyDescent="0.25">
      <c r="A84" t="s">
        <v>3985</v>
      </c>
      <c r="B84" t="s">
        <v>3189</v>
      </c>
    </row>
    <row r="85" spans="1:2" x14ac:dyDescent="0.25">
      <c r="A85" t="s">
        <v>3986</v>
      </c>
      <c r="B85" t="s">
        <v>1535</v>
      </c>
    </row>
    <row r="86" spans="1:2" x14ac:dyDescent="0.25">
      <c r="A86" t="s">
        <v>3987</v>
      </c>
      <c r="B86" t="s">
        <v>2772</v>
      </c>
    </row>
    <row r="87" spans="1:2" x14ac:dyDescent="0.25">
      <c r="A87" t="s">
        <v>3988</v>
      </c>
      <c r="B87" t="s">
        <v>1537</v>
      </c>
    </row>
    <row r="88" spans="1:2" x14ac:dyDescent="0.25">
      <c r="A88" t="s">
        <v>3989</v>
      </c>
      <c r="B88" t="s">
        <v>2774</v>
      </c>
    </row>
    <row r="89" spans="1:2" x14ac:dyDescent="0.25">
      <c r="A89" t="s">
        <v>3990</v>
      </c>
      <c r="B89" t="s">
        <v>3190</v>
      </c>
    </row>
    <row r="90" spans="1:2" x14ac:dyDescent="0.25">
      <c r="A90" t="s">
        <v>3991</v>
      </c>
      <c r="B90" t="s">
        <v>1539</v>
      </c>
    </row>
    <row r="91" spans="1:2" x14ac:dyDescent="0.25">
      <c r="A91" t="s">
        <v>3992</v>
      </c>
      <c r="B91" t="s">
        <v>1541</v>
      </c>
    </row>
    <row r="92" spans="1:2" x14ac:dyDescent="0.25">
      <c r="A92" t="s">
        <v>3993</v>
      </c>
      <c r="B92" t="s">
        <v>1543</v>
      </c>
    </row>
    <row r="93" spans="1:2" x14ac:dyDescent="0.25">
      <c r="A93" t="s">
        <v>3994</v>
      </c>
      <c r="B93" t="s">
        <v>2776</v>
      </c>
    </row>
    <row r="94" spans="1:2" x14ac:dyDescent="0.25">
      <c r="A94" t="s">
        <v>3995</v>
      </c>
      <c r="B94" t="s">
        <v>1545</v>
      </c>
    </row>
    <row r="95" spans="1:2" x14ac:dyDescent="0.25">
      <c r="A95" t="s">
        <v>3996</v>
      </c>
      <c r="B95" t="s">
        <v>1547</v>
      </c>
    </row>
    <row r="96" spans="1:2" x14ac:dyDescent="0.25">
      <c r="A96" t="s">
        <v>3997</v>
      </c>
      <c r="B96" t="s">
        <v>2778</v>
      </c>
    </row>
    <row r="97" spans="1:2" x14ac:dyDescent="0.25">
      <c r="A97" t="s">
        <v>3998</v>
      </c>
      <c r="B97" t="s">
        <v>1549</v>
      </c>
    </row>
    <row r="98" spans="1:2" x14ac:dyDescent="0.25">
      <c r="A98" t="s">
        <v>3999</v>
      </c>
      <c r="B98" t="s">
        <v>1551</v>
      </c>
    </row>
    <row r="99" spans="1:2" x14ac:dyDescent="0.25">
      <c r="A99" t="s">
        <v>4000</v>
      </c>
      <c r="B99" t="s">
        <v>1553</v>
      </c>
    </row>
    <row r="100" spans="1:2" x14ac:dyDescent="0.25">
      <c r="A100" t="s">
        <v>4001</v>
      </c>
      <c r="B100" t="s">
        <v>1555</v>
      </c>
    </row>
    <row r="101" spans="1:2" x14ac:dyDescent="0.25">
      <c r="A101" t="s">
        <v>4002</v>
      </c>
      <c r="B101" t="s">
        <v>1557</v>
      </c>
    </row>
    <row r="102" spans="1:2" x14ac:dyDescent="0.25">
      <c r="A102" t="s">
        <v>4003</v>
      </c>
      <c r="B102" t="s">
        <v>1559</v>
      </c>
    </row>
    <row r="103" spans="1:2" x14ac:dyDescent="0.25">
      <c r="A103" t="s">
        <v>4004</v>
      </c>
      <c r="B103" t="s">
        <v>1561</v>
      </c>
    </row>
    <row r="104" spans="1:2" x14ac:dyDescent="0.25">
      <c r="A104" t="s">
        <v>4005</v>
      </c>
      <c r="B104" t="s">
        <v>1563</v>
      </c>
    </row>
    <row r="105" spans="1:2" x14ac:dyDescent="0.25">
      <c r="A105" t="s">
        <v>4006</v>
      </c>
      <c r="B105" t="s">
        <v>1565</v>
      </c>
    </row>
    <row r="106" spans="1:2" x14ac:dyDescent="0.25">
      <c r="A106" t="s">
        <v>4007</v>
      </c>
      <c r="B106" t="s">
        <v>1567</v>
      </c>
    </row>
    <row r="107" spans="1:2" x14ac:dyDescent="0.25">
      <c r="A107" t="s">
        <v>4008</v>
      </c>
      <c r="B107" t="s">
        <v>4009</v>
      </c>
    </row>
    <row r="108" spans="1:2" x14ac:dyDescent="0.25">
      <c r="A108" t="s">
        <v>4010</v>
      </c>
      <c r="B108" t="s">
        <v>4011</v>
      </c>
    </row>
    <row r="109" spans="1:2" x14ac:dyDescent="0.25">
      <c r="A109" t="s">
        <v>4012</v>
      </c>
      <c r="B109" t="s">
        <v>4013</v>
      </c>
    </row>
    <row r="110" spans="1:2" x14ac:dyDescent="0.25">
      <c r="A110" t="s">
        <v>4014</v>
      </c>
      <c r="B110" t="s">
        <v>1764</v>
      </c>
    </row>
    <row r="111" spans="1:2" x14ac:dyDescent="0.25">
      <c r="A111" t="s">
        <v>4015</v>
      </c>
      <c r="B111" t="s">
        <v>2368</v>
      </c>
    </row>
    <row r="112" spans="1:2" x14ac:dyDescent="0.25">
      <c r="A112" t="s">
        <v>4016</v>
      </c>
      <c r="B112" t="s">
        <v>2369</v>
      </c>
    </row>
    <row r="113" spans="1:2" x14ac:dyDescent="0.25">
      <c r="A113" t="s">
        <v>4017</v>
      </c>
      <c r="B113" t="s">
        <v>1511</v>
      </c>
    </row>
    <row r="114" spans="1:2" x14ac:dyDescent="0.25">
      <c r="A114" t="s">
        <v>4018</v>
      </c>
      <c r="B114" t="s">
        <v>2828</v>
      </c>
    </row>
    <row r="115" spans="1:2" x14ac:dyDescent="0.25">
      <c r="A115" t="s">
        <v>4019</v>
      </c>
      <c r="B115" t="s">
        <v>3175</v>
      </c>
    </row>
    <row r="116" spans="1:2" x14ac:dyDescent="0.25">
      <c r="A116" t="s">
        <v>4020</v>
      </c>
      <c r="B116" t="s">
        <v>1678</v>
      </c>
    </row>
    <row r="117" spans="1:2" x14ac:dyDescent="0.25">
      <c r="A117" t="s">
        <v>4021</v>
      </c>
      <c r="B117" t="s">
        <v>3176</v>
      </c>
    </row>
    <row r="118" spans="1:2" x14ac:dyDescent="0.25">
      <c r="A118" t="s">
        <v>4022</v>
      </c>
      <c r="B118" t="s">
        <v>4023</v>
      </c>
    </row>
    <row r="119" spans="1:2" x14ac:dyDescent="0.25">
      <c r="A119" t="s">
        <v>4024</v>
      </c>
      <c r="B119" t="s">
        <v>4025</v>
      </c>
    </row>
    <row r="120" spans="1:2" x14ac:dyDescent="0.25">
      <c r="A120" t="s">
        <v>4026</v>
      </c>
      <c r="B120" t="s">
        <v>3177</v>
      </c>
    </row>
    <row r="121" spans="1:2" x14ac:dyDescent="0.25">
      <c r="A121" t="s">
        <v>4027</v>
      </c>
      <c r="B121" t="s">
        <v>4028</v>
      </c>
    </row>
    <row r="122" spans="1:2" x14ac:dyDescent="0.25">
      <c r="A122" t="s">
        <v>4029</v>
      </c>
      <c r="B122" t="s">
        <v>4030</v>
      </c>
    </row>
    <row r="123" spans="1:2" x14ac:dyDescent="0.25">
      <c r="A123" t="s">
        <v>4031</v>
      </c>
      <c r="B123" t="s">
        <v>4032</v>
      </c>
    </row>
    <row r="124" spans="1:2" x14ac:dyDescent="0.25">
      <c r="A124" t="s">
        <v>4033</v>
      </c>
      <c r="B124" t="s">
        <v>4034</v>
      </c>
    </row>
    <row r="125" spans="1:2" x14ac:dyDescent="0.25">
      <c r="A125" t="s">
        <v>4035</v>
      </c>
      <c r="B125" t="s">
        <v>4036</v>
      </c>
    </row>
    <row r="126" spans="1:2" x14ac:dyDescent="0.25">
      <c r="A126" t="s">
        <v>4037</v>
      </c>
      <c r="B126" t="s">
        <v>4038</v>
      </c>
    </row>
    <row r="127" spans="1:2" x14ac:dyDescent="0.25">
      <c r="A127" t="s">
        <v>4039</v>
      </c>
      <c r="B127" t="s">
        <v>4040</v>
      </c>
    </row>
    <row r="128" spans="1:2" x14ac:dyDescent="0.25">
      <c r="A128" t="s">
        <v>4041</v>
      </c>
      <c r="B128" t="s">
        <v>4042</v>
      </c>
    </row>
    <row r="129" spans="1:2" x14ac:dyDescent="0.25">
      <c r="A129" t="s">
        <v>4043</v>
      </c>
      <c r="B129" t="s">
        <v>4044</v>
      </c>
    </row>
    <row r="130" spans="1:2" x14ac:dyDescent="0.25">
      <c r="A130" t="s">
        <v>4045</v>
      </c>
      <c r="B130" t="s">
        <v>4046</v>
      </c>
    </row>
    <row r="131" spans="1:2" x14ac:dyDescent="0.25">
      <c r="A131" t="s">
        <v>4047</v>
      </c>
      <c r="B131" t="s">
        <v>4048</v>
      </c>
    </row>
    <row r="132" spans="1:2" x14ac:dyDescent="0.25">
      <c r="A132" t="s">
        <v>4049</v>
      </c>
      <c r="B132" t="s">
        <v>4050</v>
      </c>
    </row>
    <row r="133" spans="1:2" x14ac:dyDescent="0.25">
      <c r="A133" t="s">
        <v>4051</v>
      </c>
      <c r="B133" t="s">
        <v>3085</v>
      </c>
    </row>
    <row r="134" spans="1:2" x14ac:dyDescent="0.25">
      <c r="A134" t="s">
        <v>4052</v>
      </c>
      <c r="B134" t="s">
        <v>4053</v>
      </c>
    </row>
    <row r="135" spans="1:2" x14ac:dyDescent="0.25">
      <c r="A135" t="s">
        <v>4054</v>
      </c>
      <c r="B135" t="s">
        <v>4055</v>
      </c>
    </row>
    <row r="136" spans="1:2" x14ac:dyDescent="0.25">
      <c r="A136" t="s">
        <v>4056</v>
      </c>
      <c r="B136" t="s">
        <v>4057</v>
      </c>
    </row>
    <row r="137" spans="1:2" x14ac:dyDescent="0.25">
      <c r="A137" t="s">
        <v>4058</v>
      </c>
      <c r="B137" t="s">
        <v>4059</v>
      </c>
    </row>
    <row r="138" spans="1:2" x14ac:dyDescent="0.25">
      <c r="A138" t="s">
        <v>4060</v>
      </c>
      <c r="B138" t="s">
        <v>4061</v>
      </c>
    </row>
    <row r="139" spans="1:2" x14ac:dyDescent="0.25">
      <c r="A139" t="s">
        <v>4062</v>
      </c>
      <c r="B139" t="s">
        <v>325</v>
      </c>
    </row>
    <row r="140" spans="1:2" x14ac:dyDescent="0.25">
      <c r="A140" t="s">
        <v>4063</v>
      </c>
      <c r="B140" t="s">
        <v>1786</v>
      </c>
    </row>
    <row r="141" spans="1:2" x14ac:dyDescent="0.25">
      <c r="A141" t="s">
        <v>4064</v>
      </c>
      <c r="B141" t="s">
        <v>3162</v>
      </c>
    </row>
    <row r="142" spans="1:2" x14ac:dyDescent="0.25">
      <c r="A142" t="s">
        <v>4065</v>
      </c>
      <c r="B142" t="s">
        <v>2455</v>
      </c>
    </row>
    <row r="143" spans="1:2" x14ac:dyDescent="0.25">
      <c r="A143" t="s">
        <v>4066</v>
      </c>
      <c r="B143" t="s">
        <v>2744</v>
      </c>
    </row>
    <row r="144" spans="1:2" x14ac:dyDescent="0.25">
      <c r="A144" t="s">
        <v>4067</v>
      </c>
      <c r="B144" t="s">
        <v>4068</v>
      </c>
    </row>
    <row r="145" spans="1:2" x14ac:dyDescent="0.25">
      <c r="A145" t="s">
        <v>4069</v>
      </c>
      <c r="B145" t="s">
        <v>3073</v>
      </c>
    </row>
    <row r="146" spans="1:2" x14ac:dyDescent="0.25">
      <c r="A146" t="s">
        <v>4070</v>
      </c>
      <c r="B146" t="s">
        <v>4071</v>
      </c>
    </row>
    <row r="147" spans="1:2" x14ac:dyDescent="0.25">
      <c r="A147" t="s">
        <v>4072</v>
      </c>
      <c r="B147" t="s">
        <v>1498</v>
      </c>
    </row>
    <row r="148" spans="1:2" x14ac:dyDescent="0.25">
      <c r="A148" t="s">
        <v>4073</v>
      </c>
      <c r="B148" t="s">
        <v>3074</v>
      </c>
    </row>
    <row r="149" spans="1:2" x14ac:dyDescent="0.25">
      <c r="A149" t="s">
        <v>4074</v>
      </c>
      <c r="B149" t="s">
        <v>4075</v>
      </c>
    </row>
    <row r="150" spans="1:2" x14ac:dyDescent="0.25">
      <c r="A150" t="s">
        <v>4076</v>
      </c>
      <c r="B150" t="s">
        <v>2457</v>
      </c>
    </row>
    <row r="151" spans="1:2" x14ac:dyDescent="0.25">
      <c r="A151" t="s">
        <v>4077</v>
      </c>
      <c r="B151" t="s">
        <v>4078</v>
      </c>
    </row>
    <row r="152" spans="1:2" x14ac:dyDescent="0.25">
      <c r="A152" t="s">
        <v>4079</v>
      </c>
      <c r="B152" t="s">
        <v>2372</v>
      </c>
    </row>
    <row r="153" spans="1:2" x14ac:dyDescent="0.25">
      <c r="A153" t="s">
        <v>4080</v>
      </c>
      <c r="B153" t="s">
        <v>4081</v>
      </c>
    </row>
    <row r="154" spans="1:2" x14ac:dyDescent="0.25">
      <c r="A154" t="s">
        <v>4082</v>
      </c>
      <c r="B154" t="s">
        <v>2373</v>
      </c>
    </row>
    <row r="155" spans="1:2" x14ac:dyDescent="0.25">
      <c r="A155" t="s">
        <v>4083</v>
      </c>
      <c r="B155" t="s">
        <v>4084</v>
      </c>
    </row>
    <row r="156" spans="1:2" x14ac:dyDescent="0.25">
      <c r="A156" t="s">
        <v>4085</v>
      </c>
      <c r="B156" t="s">
        <v>3075</v>
      </c>
    </row>
    <row r="157" spans="1:2" x14ac:dyDescent="0.25">
      <c r="A157" t="s">
        <v>4086</v>
      </c>
      <c r="B157" t="s">
        <v>4087</v>
      </c>
    </row>
    <row r="158" spans="1:2" x14ac:dyDescent="0.25">
      <c r="A158" t="s">
        <v>4088</v>
      </c>
      <c r="B158" t="s">
        <v>4089</v>
      </c>
    </row>
    <row r="159" spans="1:2" x14ac:dyDescent="0.25">
      <c r="A159" t="s">
        <v>4090</v>
      </c>
      <c r="B159" t="s">
        <v>4091</v>
      </c>
    </row>
    <row r="160" spans="1:2" x14ac:dyDescent="0.25">
      <c r="A160" t="s">
        <v>4092</v>
      </c>
      <c r="B160" t="s">
        <v>3076</v>
      </c>
    </row>
    <row r="161" spans="1:2" x14ac:dyDescent="0.25">
      <c r="A161" t="s">
        <v>4093</v>
      </c>
      <c r="B161" t="s">
        <v>89</v>
      </c>
    </row>
    <row r="162" spans="1:2" x14ac:dyDescent="0.25">
      <c r="A162" t="s">
        <v>4094</v>
      </c>
      <c r="B162" t="s">
        <v>93</v>
      </c>
    </row>
    <row r="163" spans="1:2" x14ac:dyDescent="0.25">
      <c r="A163" t="s">
        <v>4095</v>
      </c>
      <c r="B163" t="s">
        <v>95</v>
      </c>
    </row>
    <row r="164" spans="1:2" x14ac:dyDescent="0.25">
      <c r="A164" t="s">
        <v>4096</v>
      </c>
      <c r="B164" t="s">
        <v>2477</v>
      </c>
    </row>
    <row r="165" spans="1:2" x14ac:dyDescent="0.25">
      <c r="A165" t="s">
        <v>4097</v>
      </c>
      <c r="B165" t="s">
        <v>4098</v>
      </c>
    </row>
    <row r="166" spans="1:2" x14ac:dyDescent="0.25">
      <c r="A166" t="s">
        <v>4099</v>
      </c>
      <c r="B166" t="s">
        <v>4100</v>
      </c>
    </row>
    <row r="167" spans="1:2" x14ac:dyDescent="0.25">
      <c r="A167" t="s">
        <v>4101</v>
      </c>
      <c r="B167" t="s">
        <v>4102</v>
      </c>
    </row>
    <row r="168" spans="1:2" x14ac:dyDescent="0.25">
      <c r="A168" t="s">
        <v>4103</v>
      </c>
      <c r="B168" t="s">
        <v>4104</v>
      </c>
    </row>
    <row r="169" spans="1:2" x14ac:dyDescent="0.25">
      <c r="A169" t="s">
        <v>4105</v>
      </c>
      <c r="B169" t="s">
        <v>97</v>
      </c>
    </row>
    <row r="170" spans="1:2" x14ac:dyDescent="0.25">
      <c r="A170" t="s">
        <v>4106</v>
      </c>
      <c r="B170" t="s">
        <v>3384</v>
      </c>
    </row>
    <row r="171" spans="1:2" x14ac:dyDescent="0.25">
      <c r="A171" t="s">
        <v>4107</v>
      </c>
      <c r="B171" t="s">
        <v>99</v>
      </c>
    </row>
    <row r="172" spans="1:2" x14ac:dyDescent="0.25">
      <c r="A172" t="s">
        <v>4108</v>
      </c>
      <c r="B172" t="s">
        <v>4109</v>
      </c>
    </row>
    <row r="173" spans="1:2" x14ac:dyDescent="0.25">
      <c r="A173" t="s">
        <v>4110</v>
      </c>
      <c r="B173" t="s">
        <v>4111</v>
      </c>
    </row>
    <row r="174" spans="1:2" x14ac:dyDescent="0.25">
      <c r="A174" t="s">
        <v>4112</v>
      </c>
      <c r="B174" t="s">
        <v>3089</v>
      </c>
    </row>
    <row r="175" spans="1:2" x14ac:dyDescent="0.25">
      <c r="A175" t="s">
        <v>4113</v>
      </c>
      <c r="B175" t="s">
        <v>3090</v>
      </c>
    </row>
    <row r="176" spans="1:2" x14ac:dyDescent="0.25">
      <c r="A176" t="s">
        <v>4114</v>
      </c>
      <c r="B176" t="s">
        <v>1465</v>
      </c>
    </row>
    <row r="177" spans="1:2" x14ac:dyDescent="0.25">
      <c r="A177" t="s">
        <v>4115</v>
      </c>
      <c r="B177" t="s">
        <v>1465</v>
      </c>
    </row>
    <row r="178" spans="1:2" x14ac:dyDescent="0.25">
      <c r="A178" t="s">
        <v>4116</v>
      </c>
      <c r="B178" t="s">
        <v>1465</v>
      </c>
    </row>
    <row r="179" spans="1:2" x14ac:dyDescent="0.25">
      <c r="A179" t="s">
        <v>4117</v>
      </c>
      <c r="B179" t="s">
        <v>4118</v>
      </c>
    </row>
    <row r="180" spans="1:2" x14ac:dyDescent="0.25">
      <c r="A180" t="s">
        <v>4119</v>
      </c>
      <c r="B180" t="s">
        <v>4118</v>
      </c>
    </row>
    <row r="181" spans="1:2" x14ac:dyDescent="0.25">
      <c r="A181" t="s">
        <v>4120</v>
      </c>
      <c r="B181" t="s">
        <v>4118</v>
      </c>
    </row>
    <row r="182" spans="1:2" x14ac:dyDescent="0.25">
      <c r="A182" t="s">
        <v>4121</v>
      </c>
      <c r="B182" t="s">
        <v>3091</v>
      </c>
    </row>
    <row r="183" spans="1:2" x14ac:dyDescent="0.25">
      <c r="A183" t="s">
        <v>4122</v>
      </c>
      <c r="B183" t="s">
        <v>3092</v>
      </c>
    </row>
    <row r="184" spans="1:2" x14ac:dyDescent="0.25">
      <c r="A184" t="s">
        <v>4123</v>
      </c>
      <c r="B184" t="s">
        <v>1985</v>
      </c>
    </row>
    <row r="185" spans="1:2" x14ac:dyDescent="0.25">
      <c r="A185" t="s">
        <v>4124</v>
      </c>
      <c r="B185" t="s">
        <v>2814</v>
      </c>
    </row>
    <row r="186" spans="1:2" x14ac:dyDescent="0.25">
      <c r="A186" t="s">
        <v>4125</v>
      </c>
      <c r="B186" t="s">
        <v>818</v>
      </c>
    </row>
    <row r="187" spans="1:2" x14ac:dyDescent="0.25">
      <c r="A187" t="s">
        <v>4126</v>
      </c>
      <c r="B187" t="s">
        <v>821</v>
      </c>
    </row>
    <row r="188" spans="1:2" x14ac:dyDescent="0.25">
      <c r="A188" t="s">
        <v>4127</v>
      </c>
      <c r="B188" t="s">
        <v>1674</v>
      </c>
    </row>
    <row r="189" spans="1:2" x14ac:dyDescent="0.25">
      <c r="A189" t="s">
        <v>4128</v>
      </c>
      <c r="B189" t="s">
        <v>3143</v>
      </c>
    </row>
    <row r="190" spans="1:2" x14ac:dyDescent="0.25">
      <c r="A190" t="s">
        <v>4129</v>
      </c>
      <c r="B190" t="s">
        <v>2824</v>
      </c>
    </row>
    <row r="191" spans="1:2" x14ac:dyDescent="0.25">
      <c r="A191" t="s">
        <v>4130</v>
      </c>
      <c r="B191" t="s">
        <v>844</v>
      </c>
    </row>
    <row r="192" spans="1:2" x14ac:dyDescent="0.25">
      <c r="A192" t="s">
        <v>4131</v>
      </c>
      <c r="B192" t="s">
        <v>1682</v>
      </c>
    </row>
    <row r="193" spans="1:2" x14ac:dyDescent="0.25">
      <c r="A193" t="s">
        <v>4132</v>
      </c>
      <c r="B193" t="s">
        <v>3155</v>
      </c>
    </row>
    <row r="194" spans="1:2" x14ac:dyDescent="0.25">
      <c r="A194" t="s">
        <v>4133</v>
      </c>
      <c r="B194" t="s">
        <v>4134</v>
      </c>
    </row>
    <row r="195" spans="1:2" x14ac:dyDescent="0.25">
      <c r="A195" t="s">
        <v>4135</v>
      </c>
      <c r="B195" t="s">
        <v>2758</v>
      </c>
    </row>
    <row r="196" spans="1:2" x14ac:dyDescent="0.25">
      <c r="A196" t="s">
        <v>4136</v>
      </c>
      <c r="B196" t="s">
        <v>1502</v>
      </c>
    </row>
    <row r="197" spans="1:2" x14ac:dyDescent="0.25">
      <c r="A197" t="s">
        <v>4137</v>
      </c>
      <c r="B197" t="s">
        <v>4138</v>
      </c>
    </row>
    <row r="198" spans="1:2" x14ac:dyDescent="0.25">
      <c r="A198" t="s">
        <v>4139</v>
      </c>
      <c r="B198" t="s">
        <v>1649</v>
      </c>
    </row>
    <row r="199" spans="1:2" x14ac:dyDescent="0.25">
      <c r="A199" t="s">
        <v>4140</v>
      </c>
      <c r="B199" t="s">
        <v>4141</v>
      </c>
    </row>
    <row r="200" spans="1:2" x14ac:dyDescent="0.25">
      <c r="A200" t="s">
        <v>4142</v>
      </c>
      <c r="B200" t="s">
        <v>2253</v>
      </c>
    </row>
    <row r="201" spans="1:2" x14ac:dyDescent="0.25">
      <c r="A201" t="s">
        <v>4143</v>
      </c>
      <c r="B201" t="s">
        <v>4144</v>
      </c>
    </row>
    <row r="202" spans="1:2" x14ac:dyDescent="0.25">
      <c r="A202" t="s">
        <v>4145</v>
      </c>
      <c r="B202" t="s">
        <v>2981</v>
      </c>
    </row>
    <row r="203" spans="1:2" x14ac:dyDescent="0.25">
      <c r="A203" t="s">
        <v>4146</v>
      </c>
      <c r="B203" t="s">
        <v>1680</v>
      </c>
    </row>
    <row r="204" spans="1:2" x14ac:dyDescent="0.25">
      <c r="A204" t="s">
        <v>4147</v>
      </c>
      <c r="B204" t="s">
        <v>4148</v>
      </c>
    </row>
    <row r="205" spans="1:2" x14ac:dyDescent="0.25">
      <c r="A205" t="s">
        <v>4149</v>
      </c>
      <c r="B205" t="s">
        <v>4150</v>
      </c>
    </row>
    <row r="206" spans="1:2" x14ac:dyDescent="0.25">
      <c r="A206" t="s">
        <v>4151</v>
      </c>
      <c r="B206" t="s">
        <v>4152</v>
      </c>
    </row>
    <row r="207" spans="1:2" x14ac:dyDescent="0.25">
      <c r="A207" t="s">
        <v>4153</v>
      </c>
      <c r="B207" t="s">
        <v>2830</v>
      </c>
    </row>
    <row r="208" spans="1:2" x14ac:dyDescent="0.25">
      <c r="A208" t="s">
        <v>4154</v>
      </c>
      <c r="B208" t="s">
        <v>3178</v>
      </c>
    </row>
    <row r="209" spans="1:2" x14ac:dyDescent="0.25">
      <c r="A209" t="s">
        <v>4155</v>
      </c>
      <c r="B209" t="s">
        <v>4156</v>
      </c>
    </row>
    <row r="210" spans="1:2" x14ac:dyDescent="0.25">
      <c r="A210" t="s">
        <v>4157</v>
      </c>
      <c r="B210" t="s">
        <v>4158</v>
      </c>
    </row>
    <row r="211" spans="1:2" x14ac:dyDescent="0.25">
      <c r="A211" t="s">
        <v>4159</v>
      </c>
      <c r="B211" t="s">
        <v>4160</v>
      </c>
    </row>
    <row r="212" spans="1:2" x14ac:dyDescent="0.25">
      <c r="A212" t="s">
        <v>4161</v>
      </c>
      <c r="B212" t="s">
        <v>4162</v>
      </c>
    </row>
    <row r="213" spans="1:2" x14ac:dyDescent="0.25">
      <c r="A213" t="s">
        <v>4163</v>
      </c>
      <c r="B213" t="s">
        <v>4164</v>
      </c>
    </row>
    <row r="214" spans="1:2" x14ac:dyDescent="0.25">
      <c r="A214" t="s">
        <v>4165</v>
      </c>
      <c r="B214" t="s">
        <v>4166</v>
      </c>
    </row>
    <row r="215" spans="1:2" x14ac:dyDescent="0.25">
      <c r="A215" t="s">
        <v>4167</v>
      </c>
      <c r="B215" t="s">
        <v>4168</v>
      </c>
    </row>
    <row r="216" spans="1:2" x14ac:dyDescent="0.25">
      <c r="A216" t="s">
        <v>4169</v>
      </c>
      <c r="B216" t="s">
        <v>4170</v>
      </c>
    </row>
    <row r="217" spans="1:2" x14ac:dyDescent="0.25">
      <c r="A217" t="s">
        <v>4171</v>
      </c>
      <c r="B217" t="s">
        <v>299</v>
      </c>
    </row>
    <row r="218" spans="1:2" x14ac:dyDescent="0.25">
      <c r="A218" t="s">
        <v>4172</v>
      </c>
      <c r="B218" t="s">
        <v>4173</v>
      </c>
    </row>
    <row r="219" spans="1:2" x14ac:dyDescent="0.25">
      <c r="A219" t="s">
        <v>4174</v>
      </c>
      <c r="B219" t="s">
        <v>4175</v>
      </c>
    </row>
    <row r="220" spans="1:2" x14ac:dyDescent="0.25">
      <c r="A220" t="s">
        <v>4176</v>
      </c>
      <c r="B220" t="s">
        <v>4177</v>
      </c>
    </row>
    <row r="221" spans="1:2" x14ac:dyDescent="0.25">
      <c r="A221" t="s">
        <v>4178</v>
      </c>
      <c r="B221" t="s">
        <v>3066</v>
      </c>
    </row>
    <row r="222" spans="1:2" x14ac:dyDescent="0.25">
      <c r="A222" t="s">
        <v>4179</v>
      </c>
      <c r="B222" t="s">
        <v>4180</v>
      </c>
    </row>
    <row r="223" spans="1:2" x14ac:dyDescent="0.25">
      <c r="A223" t="s">
        <v>4181</v>
      </c>
      <c r="B223" t="s">
        <v>3068</v>
      </c>
    </row>
    <row r="224" spans="1:2" x14ac:dyDescent="0.25">
      <c r="A224" t="s">
        <v>4182</v>
      </c>
      <c r="B224" t="s">
        <v>3069</v>
      </c>
    </row>
    <row r="225" spans="1:2" x14ac:dyDescent="0.25">
      <c r="A225" t="s">
        <v>4183</v>
      </c>
      <c r="B225" t="s">
        <v>4184</v>
      </c>
    </row>
    <row r="226" spans="1:2" x14ac:dyDescent="0.25">
      <c r="A226" t="s">
        <v>4185</v>
      </c>
      <c r="B226" t="s">
        <v>294</v>
      </c>
    </row>
    <row r="227" spans="1:2" x14ac:dyDescent="0.25">
      <c r="A227" t="s">
        <v>4186</v>
      </c>
      <c r="B227" t="s">
        <v>297</v>
      </c>
    </row>
    <row r="228" spans="1:2" x14ac:dyDescent="0.25">
      <c r="A228" t="s">
        <v>4187</v>
      </c>
      <c r="B228" t="s">
        <v>2832</v>
      </c>
    </row>
    <row r="229" spans="1:2" x14ac:dyDescent="0.25">
      <c r="A229" t="s">
        <v>4188</v>
      </c>
      <c r="B229" t="s">
        <v>3160</v>
      </c>
    </row>
    <row r="230" spans="1:2" x14ac:dyDescent="0.25">
      <c r="A230" t="s">
        <v>4189</v>
      </c>
      <c r="B230" t="s">
        <v>3154</v>
      </c>
    </row>
    <row r="231" spans="1:2" x14ac:dyDescent="0.25">
      <c r="A231" t="s">
        <v>4190</v>
      </c>
      <c r="B231" t="s">
        <v>4191</v>
      </c>
    </row>
    <row r="232" spans="1:2" x14ac:dyDescent="0.25">
      <c r="A232" t="s">
        <v>4192</v>
      </c>
      <c r="B232" t="s">
        <v>3158</v>
      </c>
    </row>
    <row r="233" spans="1:2" x14ac:dyDescent="0.25">
      <c r="A233" t="s">
        <v>4193</v>
      </c>
      <c r="B233" t="s">
        <v>108</v>
      </c>
    </row>
    <row r="234" spans="1:2" x14ac:dyDescent="0.25">
      <c r="A234" t="s">
        <v>4194</v>
      </c>
      <c r="B234" t="s">
        <v>4195</v>
      </c>
    </row>
    <row r="235" spans="1:2" x14ac:dyDescent="0.25">
      <c r="A235" t="s">
        <v>4196</v>
      </c>
      <c r="B235" t="s">
        <v>2760</v>
      </c>
    </row>
    <row r="236" spans="1:2" x14ac:dyDescent="0.25">
      <c r="A236" t="s">
        <v>4197</v>
      </c>
      <c r="B236" t="s">
        <v>111</v>
      </c>
    </row>
    <row r="237" spans="1:2" x14ac:dyDescent="0.25">
      <c r="A237" t="s">
        <v>4198</v>
      </c>
      <c r="B237" t="s">
        <v>4199</v>
      </c>
    </row>
    <row r="238" spans="1:2" x14ac:dyDescent="0.25">
      <c r="A238" t="s">
        <v>4200</v>
      </c>
      <c r="B238" t="s">
        <v>4201</v>
      </c>
    </row>
    <row r="239" spans="1:2" x14ac:dyDescent="0.25">
      <c r="A239" t="s">
        <v>4202</v>
      </c>
      <c r="B239" t="s">
        <v>113</v>
      </c>
    </row>
    <row r="240" spans="1:2" x14ac:dyDescent="0.25">
      <c r="A240" t="s">
        <v>4203</v>
      </c>
      <c r="B240" t="s">
        <v>4204</v>
      </c>
    </row>
    <row r="241" spans="1:2" x14ac:dyDescent="0.25">
      <c r="A241" t="s">
        <v>4205</v>
      </c>
      <c r="B241" t="s">
        <v>4206</v>
      </c>
    </row>
    <row r="242" spans="1:2" x14ac:dyDescent="0.25">
      <c r="A242" t="s">
        <v>4207</v>
      </c>
      <c r="B242" t="s">
        <v>712</v>
      </c>
    </row>
    <row r="243" spans="1:2" x14ac:dyDescent="0.25">
      <c r="A243" t="s">
        <v>4208</v>
      </c>
      <c r="B243" t="s">
        <v>4209</v>
      </c>
    </row>
    <row r="244" spans="1:2" x14ac:dyDescent="0.25">
      <c r="A244" t="s">
        <v>4210</v>
      </c>
      <c r="B244" t="s">
        <v>4211</v>
      </c>
    </row>
    <row r="245" spans="1:2" x14ac:dyDescent="0.25">
      <c r="A245" t="s">
        <v>4212</v>
      </c>
      <c r="B245" t="s">
        <v>716</v>
      </c>
    </row>
    <row r="246" spans="1:2" x14ac:dyDescent="0.25">
      <c r="A246" t="s">
        <v>4213</v>
      </c>
      <c r="B246" t="s">
        <v>115</v>
      </c>
    </row>
    <row r="247" spans="1:2" x14ac:dyDescent="0.25">
      <c r="A247" t="s">
        <v>4214</v>
      </c>
      <c r="B247" t="s">
        <v>720</v>
      </c>
    </row>
    <row r="248" spans="1:2" x14ac:dyDescent="0.25">
      <c r="A248" t="s">
        <v>4215</v>
      </c>
      <c r="B248" t="s">
        <v>1506</v>
      </c>
    </row>
    <row r="249" spans="1:2" x14ac:dyDescent="0.25">
      <c r="A249" t="s">
        <v>4216</v>
      </c>
      <c r="B249" t="s">
        <v>1508</v>
      </c>
    </row>
    <row r="250" spans="1:2" x14ac:dyDescent="0.25">
      <c r="A250" t="s">
        <v>4217</v>
      </c>
      <c r="B250" t="s">
        <v>117</v>
      </c>
    </row>
    <row r="251" spans="1:2" x14ac:dyDescent="0.25">
      <c r="A251" t="s">
        <v>4218</v>
      </c>
      <c r="B251" t="s">
        <v>723</v>
      </c>
    </row>
    <row r="252" spans="1:2" x14ac:dyDescent="0.25">
      <c r="A252" t="s">
        <v>4219</v>
      </c>
      <c r="B252" t="s">
        <v>4220</v>
      </c>
    </row>
    <row r="253" spans="1:2" x14ac:dyDescent="0.25">
      <c r="A253" t="s">
        <v>4221</v>
      </c>
      <c r="B253" t="s">
        <v>4222</v>
      </c>
    </row>
    <row r="254" spans="1:2" x14ac:dyDescent="0.25">
      <c r="A254" t="s">
        <v>4223</v>
      </c>
      <c r="B254" t="s">
        <v>121</v>
      </c>
    </row>
    <row r="255" spans="1:2" x14ac:dyDescent="0.25">
      <c r="A255" t="s">
        <v>4224</v>
      </c>
      <c r="B255" t="s">
        <v>124</v>
      </c>
    </row>
    <row r="256" spans="1:2" x14ac:dyDescent="0.25">
      <c r="A256" t="s">
        <v>4225</v>
      </c>
      <c r="B256" t="s">
        <v>126</v>
      </c>
    </row>
    <row r="257" spans="1:2" x14ac:dyDescent="0.25">
      <c r="A257" t="s">
        <v>4226</v>
      </c>
      <c r="B257" t="s">
        <v>273</v>
      </c>
    </row>
    <row r="258" spans="1:2" x14ac:dyDescent="0.25">
      <c r="A258" t="s">
        <v>4227</v>
      </c>
      <c r="B258" t="s">
        <v>128</v>
      </c>
    </row>
    <row r="259" spans="1:2" x14ac:dyDescent="0.25">
      <c r="A259" t="s">
        <v>4228</v>
      </c>
      <c r="B259" t="s">
        <v>130</v>
      </c>
    </row>
    <row r="260" spans="1:2" x14ac:dyDescent="0.25">
      <c r="A260" t="s">
        <v>4229</v>
      </c>
      <c r="B260" t="s">
        <v>4230</v>
      </c>
    </row>
    <row r="261" spans="1:2" x14ac:dyDescent="0.25">
      <c r="A261" t="s">
        <v>4231</v>
      </c>
      <c r="B261" t="s">
        <v>3181</v>
      </c>
    </row>
    <row r="262" spans="1:2" x14ac:dyDescent="0.25">
      <c r="A262" t="s">
        <v>4232</v>
      </c>
      <c r="B262" t="s">
        <v>2766</v>
      </c>
    </row>
    <row r="263" spans="1:2" x14ac:dyDescent="0.25">
      <c r="A263" t="s">
        <v>4233</v>
      </c>
      <c r="B263" t="s">
        <v>133</v>
      </c>
    </row>
    <row r="264" spans="1:2" x14ac:dyDescent="0.25">
      <c r="A264" t="s">
        <v>4234</v>
      </c>
      <c r="B264" t="s">
        <v>135</v>
      </c>
    </row>
    <row r="265" spans="1:2" x14ac:dyDescent="0.25">
      <c r="A265" t="s">
        <v>4235</v>
      </c>
      <c r="B265" t="s">
        <v>3183</v>
      </c>
    </row>
    <row r="266" spans="1:2" x14ac:dyDescent="0.25">
      <c r="A266" t="s">
        <v>4236</v>
      </c>
      <c r="B266" t="s">
        <v>1514</v>
      </c>
    </row>
    <row r="267" spans="1:2" x14ac:dyDescent="0.25">
      <c r="A267" t="s">
        <v>4237</v>
      </c>
      <c r="B267" t="s">
        <v>137</v>
      </c>
    </row>
    <row r="268" spans="1:2" x14ac:dyDescent="0.25">
      <c r="A268" t="s">
        <v>4238</v>
      </c>
      <c r="B268" t="s">
        <v>3184</v>
      </c>
    </row>
    <row r="269" spans="1:2" x14ac:dyDescent="0.25">
      <c r="A269" t="s">
        <v>4239</v>
      </c>
      <c r="B269" t="s">
        <v>140</v>
      </c>
    </row>
    <row r="270" spans="1:2" x14ac:dyDescent="0.25">
      <c r="A270" t="s">
        <v>4240</v>
      </c>
      <c r="B270" t="s">
        <v>1516</v>
      </c>
    </row>
    <row r="271" spans="1:2" x14ac:dyDescent="0.25">
      <c r="A271" t="s">
        <v>4241</v>
      </c>
      <c r="B271" t="s">
        <v>727</v>
      </c>
    </row>
    <row r="272" spans="1:2" x14ac:dyDescent="0.25">
      <c r="A272" t="s">
        <v>4242</v>
      </c>
      <c r="B272" t="s">
        <v>2260</v>
      </c>
    </row>
    <row r="273" spans="1:2" x14ac:dyDescent="0.25">
      <c r="A273" t="s">
        <v>4243</v>
      </c>
      <c r="B273" t="s">
        <v>2261</v>
      </c>
    </row>
    <row r="274" spans="1:2" x14ac:dyDescent="0.25">
      <c r="A274" t="s">
        <v>4244</v>
      </c>
      <c r="B274" t="s">
        <v>2262</v>
      </c>
    </row>
    <row r="275" spans="1:2" x14ac:dyDescent="0.25">
      <c r="A275" t="s">
        <v>4245</v>
      </c>
      <c r="B275" t="s">
        <v>2263</v>
      </c>
    </row>
    <row r="276" spans="1:2" x14ac:dyDescent="0.25">
      <c r="A276" t="s">
        <v>4246</v>
      </c>
      <c r="B276" t="s">
        <v>142</v>
      </c>
    </row>
    <row r="277" spans="1:2" x14ac:dyDescent="0.25">
      <c r="A277" t="s">
        <v>4247</v>
      </c>
      <c r="B277" t="s">
        <v>4248</v>
      </c>
    </row>
    <row r="278" spans="1:2" x14ac:dyDescent="0.25">
      <c r="A278" t="s">
        <v>4249</v>
      </c>
      <c r="B278" t="s">
        <v>2522</v>
      </c>
    </row>
    <row r="279" spans="1:2" x14ac:dyDescent="0.25">
      <c r="A279" t="s">
        <v>4250</v>
      </c>
      <c r="B279" t="s">
        <v>3185</v>
      </c>
    </row>
    <row r="280" spans="1:2" x14ac:dyDescent="0.25">
      <c r="A280" t="s">
        <v>4251</v>
      </c>
      <c r="B280" t="s">
        <v>2264</v>
      </c>
    </row>
    <row r="281" spans="1:2" x14ac:dyDescent="0.25">
      <c r="A281" t="s">
        <v>4252</v>
      </c>
      <c r="B281" t="s">
        <v>144</v>
      </c>
    </row>
    <row r="282" spans="1:2" x14ac:dyDescent="0.25">
      <c r="A282" t="s">
        <v>4253</v>
      </c>
      <c r="B282" t="s">
        <v>3186</v>
      </c>
    </row>
    <row r="283" spans="1:2" x14ac:dyDescent="0.25">
      <c r="A283" t="s">
        <v>4254</v>
      </c>
      <c r="B283" t="s">
        <v>2336</v>
      </c>
    </row>
    <row r="284" spans="1:2" x14ac:dyDescent="0.25">
      <c r="A284" t="s">
        <v>4255</v>
      </c>
      <c r="B284" t="s">
        <v>184</v>
      </c>
    </row>
    <row r="285" spans="1:2" x14ac:dyDescent="0.25">
      <c r="A285" t="s">
        <v>4256</v>
      </c>
      <c r="B285" t="s">
        <v>3291</v>
      </c>
    </row>
    <row r="286" spans="1:2" x14ac:dyDescent="0.25">
      <c r="A286" t="s">
        <v>4257</v>
      </c>
      <c r="B286" t="s">
        <v>3292</v>
      </c>
    </row>
    <row r="287" spans="1:2" x14ac:dyDescent="0.25">
      <c r="A287" t="s">
        <v>4258</v>
      </c>
      <c r="B287" t="s">
        <v>3293</v>
      </c>
    </row>
    <row r="288" spans="1:2" x14ac:dyDescent="0.25">
      <c r="A288" t="s">
        <v>4259</v>
      </c>
      <c r="B288" t="s">
        <v>187</v>
      </c>
    </row>
    <row r="289" spans="1:2" x14ac:dyDescent="0.25">
      <c r="A289" t="s">
        <v>4260</v>
      </c>
      <c r="B289" t="s">
        <v>189</v>
      </c>
    </row>
    <row r="290" spans="1:2" x14ac:dyDescent="0.25">
      <c r="A290" t="s">
        <v>4261</v>
      </c>
      <c r="B290" t="s">
        <v>191</v>
      </c>
    </row>
    <row r="291" spans="1:2" x14ac:dyDescent="0.25">
      <c r="A291" t="s">
        <v>4262</v>
      </c>
      <c r="B291" t="s">
        <v>193</v>
      </c>
    </row>
    <row r="292" spans="1:2" x14ac:dyDescent="0.25">
      <c r="A292" t="s">
        <v>4263</v>
      </c>
      <c r="B292" t="s">
        <v>195</v>
      </c>
    </row>
    <row r="293" spans="1:2" x14ac:dyDescent="0.25">
      <c r="A293" t="s">
        <v>4264</v>
      </c>
      <c r="B293" t="s">
        <v>197</v>
      </c>
    </row>
    <row r="294" spans="1:2" x14ac:dyDescent="0.25">
      <c r="A294" t="s">
        <v>4265</v>
      </c>
      <c r="B294" t="s">
        <v>1569</v>
      </c>
    </row>
    <row r="295" spans="1:2" x14ac:dyDescent="0.25">
      <c r="A295" t="s">
        <v>4266</v>
      </c>
      <c r="B295" t="s">
        <v>146</v>
      </c>
    </row>
    <row r="296" spans="1:2" x14ac:dyDescent="0.25">
      <c r="A296" t="s">
        <v>4267</v>
      </c>
      <c r="B296" t="s">
        <v>149</v>
      </c>
    </row>
    <row r="297" spans="1:2" x14ac:dyDescent="0.25">
      <c r="A297" t="s">
        <v>4268</v>
      </c>
      <c r="B297" t="s">
        <v>1571</v>
      </c>
    </row>
    <row r="298" spans="1:2" x14ac:dyDescent="0.25">
      <c r="A298" t="s">
        <v>4269</v>
      </c>
      <c r="B298" t="s">
        <v>4270</v>
      </c>
    </row>
    <row r="299" spans="1:2" x14ac:dyDescent="0.25">
      <c r="A299" t="s">
        <v>4271</v>
      </c>
      <c r="B299" t="s">
        <v>3191</v>
      </c>
    </row>
    <row r="300" spans="1:2" x14ac:dyDescent="0.25">
      <c r="A300" t="s">
        <v>4272</v>
      </c>
      <c r="B300" t="s">
        <v>4273</v>
      </c>
    </row>
    <row r="301" spans="1:2" x14ac:dyDescent="0.25">
      <c r="A301" t="s">
        <v>4274</v>
      </c>
      <c r="B301" t="s">
        <v>1573</v>
      </c>
    </row>
    <row r="302" spans="1:2" x14ac:dyDescent="0.25">
      <c r="A302" t="s">
        <v>4275</v>
      </c>
      <c r="B302" t="s">
        <v>2265</v>
      </c>
    </row>
    <row r="303" spans="1:2" x14ac:dyDescent="0.25">
      <c r="A303" t="s">
        <v>4276</v>
      </c>
      <c r="B303" t="s">
        <v>2266</v>
      </c>
    </row>
    <row r="304" spans="1:2" x14ac:dyDescent="0.25">
      <c r="A304" t="s">
        <v>4277</v>
      </c>
      <c r="B304" t="s">
        <v>4278</v>
      </c>
    </row>
    <row r="305" spans="1:2" x14ac:dyDescent="0.25">
      <c r="A305" t="s">
        <v>4279</v>
      </c>
      <c r="B305" t="s">
        <v>4280</v>
      </c>
    </row>
    <row r="306" spans="1:2" x14ac:dyDescent="0.25">
      <c r="A306" t="s">
        <v>4281</v>
      </c>
      <c r="B306" t="s">
        <v>151</v>
      </c>
    </row>
    <row r="307" spans="1:2" x14ac:dyDescent="0.25">
      <c r="A307" t="s">
        <v>4282</v>
      </c>
      <c r="B307" t="s">
        <v>2267</v>
      </c>
    </row>
    <row r="308" spans="1:2" x14ac:dyDescent="0.25">
      <c r="A308" t="s">
        <v>4283</v>
      </c>
      <c r="B308" t="s">
        <v>3192</v>
      </c>
    </row>
    <row r="309" spans="1:2" x14ac:dyDescent="0.25">
      <c r="A309" t="s">
        <v>4284</v>
      </c>
      <c r="B309" t="s">
        <v>2268</v>
      </c>
    </row>
    <row r="310" spans="1:2" x14ac:dyDescent="0.25">
      <c r="A310" t="s">
        <v>4285</v>
      </c>
      <c r="B310" t="s">
        <v>3193</v>
      </c>
    </row>
    <row r="311" spans="1:2" x14ac:dyDescent="0.25">
      <c r="A311" t="s">
        <v>4286</v>
      </c>
      <c r="B311" t="s">
        <v>3194</v>
      </c>
    </row>
    <row r="312" spans="1:2" x14ac:dyDescent="0.25">
      <c r="A312" t="s">
        <v>4287</v>
      </c>
      <c r="B312" t="s">
        <v>3195</v>
      </c>
    </row>
    <row r="313" spans="1:2" x14ac:dyDescent="0.25">
      <c r="A313" t="s">
        <v>4288</v>
      </c>
      <c r="B313" t="s">
        <v>4289</v>
      </c>
    </row>
    <row r="314" spans="1:2" x14ac:dyDescent="0.25">
      <c r="A314" t="s">
        <v>4290</v>
      </c>
      <c r="B314" t="s">
        <v>1575</v>
      </c>
    </row>
    <row r="315" spans="1:2" x14ac:dyDescent="0.25">
      <c r="A315" t="s">
        <v>4291</v>
      </c>
      <c r="B315" t="s">
        <v>3196</v>
      </c>
    </row>
    <row r="316" spans="1:2" x14ac:dyDescent="0.25">
      <c r="A316" t="s">
        <v>4292</v>
      </c>
      <c r="B316" t="s">
        <v>1577</v>
      </c>
    </row>
    <row r="317" spans="1:2" x14ac:dyDescent="0.25">
      <c r="A317" t="s">
        <v>4293</v>
      </c>
      <c r="B317" t="s">
        <v>2989</v>
      </c>
    </row>
    <row r="318" spans="1:2" x14ac:dyDescent="0.25">
      <c r="A318" t="s">
        <v>4294</v>
      </c>
      <c r="B318" t="s">
        <v>2269</v>
      </c>
    </row>
    <row r="319" spans="1:2" x14ac:dyDescent="0.25">
      <c r="A319" t="s">
        <v>4295</v>
      </c>
      <c r="B319" t="s">
        <v>2270</v>
      </c>
    </row>
    <row r="320" spans="1:2" x14ac:dyDescent="0.25">
      <c r="A320" t="s">
        <v>4296</v>
      </c>
      <c r="B320" t="s">
        <v>2271</v>
      </c>
    </row>
    <row r="321" spans="1:2" x14ac:dyDescent="0.25">
      <c r="A321" t="s">
        <v>4297</v>
      </c>
      <c r="B321" t="s">
        <v>153</v>
      </c>
    </row>
    <row r="322" spans="1:2" x14ac:dyDescent="0.25">
      <c r="A322" t="s">
        <v>4298</v>
      </c>
      <c r="B322" t="s">
        <v>3197</v>
      </c>
    </row>
    <row r="323" spans="1:2" x14ac:dyDescent="0.25">
      <c r="A323" t="s">
        <v>4299</v>
      </c>
      <c r="B323" t="s">
        <v>2272</v>
      </c>
    </row>
    <row r="324" spans="1:2" x14ac:dyDescent="0.25">
      <c r="A324" t="s">
        <v>4300</v>
      </c>
      <c r="B324" t="s">
        <v>2273</v>
      </c>
    </row>
    <row r="325" spans="1:2" x14ac:dyDescent="0.25">
      <c r="A325" t="s">
        <v>4301</v>
      </c>
      <c r="B325" t="s">
        <v>1579</v>
      </c>
    </row>
    <row r="326" spans="1:2" x14ac:dyDescent="0.25">
      <c r="A326" t="s">
        <v>4302</v>
      </c>
      <c r="B326" t="s">
        <v>4303</v>
      </c>
    </row>
    <row r="327" spans="1:2" x14ac:dyDescent="0.25">
      <c r="A327" t="s">
        <v>4304</v>
      </c>
      <c r="B327" t="s">
        <v>2317</v>
      </c>
    </row>
    <row r="328" spans="1:2" x14ac:dyDescent="0.25">
      <c r="A328" t="s">
        <v>4305</v>
      </c>
      <c r="B328" t="s">
        <v>4306</v>
      </c>
    </row>
    <row r="329" spans="1:2" x14ac:dyDescent="0.25">
      <c r="A329" t="s">
        <v>4307</v>
      </c>
      <c r="B329" t="s">
        <v>2318</v>
      </c>
    </row>
    <row r="330" spans="1:2" x14ac:dyDescent="0.25">
      <c r="A330" t="s">
        <v>4308</v>
      </c>
      <c r="B330" t="s">
        <v>2319</v>
      </c>
    </row>
    <row r="331" spans="1:2" x14ac:dyDescent="0.25">
      <c r="A331" t="s">
        <v>4309</v>
      </c>
      <c r="B331" t="s">
        <v>2320</v>
      </c>
    </row>
    <row r="332" spans="1:2" x14ac:dyDescent="0.25">
      <c r="A332" t="s">
        <v>4310</v>
      </c>
      <c r="B332" t="s">
        <v>4311</v>
      </c>
    </row>
    <row r="333" spans="1:2" x14ac:dyDescent="0.25">
      <c r="A333" t="s">
        <v>4312</v>
      </c>
      <c r="B333" t="s">
        <v>4313</v>
      </c>
    </row>
    <row r="334" spans="1:2" x14ac:dyDescent="0.25">
      <c r="A334" t="s">
        <v>4314</v>
      </c>
      <c r="B334" t="s">
        <v>4315</v>
      </c>
    </row>
    <row r="335" spans="1:2" x14ac:dyDescent="0.25">
      <c r="A335" t="s">
        <v>4316</v>
      </c>
      <c r="B335" t="s">
        <v>2274</v>
      </c>
    </row>
    <row r="336" spans="1:2" x14ac:dyDescent="0.25">
      <c r="A336" t="s">
        <v>4317</v>
      </c>
      <c r="B336" t="s">
        <v>2321</v>
      </c>
    </row>
    <row r="337" spans="1:2" x14ac:dyDescent="0.25">
      <c r="A337" t="s">
        <v>4318</v>
      </c>
      <c r="B337" t="s">
        <v>2322</v>
      </c>
    </row>
    <row r="338" spans="1:2" x14ac:dyDescent="0.25">
      <c r="A338" t="s">
        <v>4319</v>
      </c>
      <c r="B338" t="s">
        <v>4320</v>
      </c>
    </row>
    <row r="339" spans="1:2" x14ac:dyDescent="0.25">
      <c r="A339" t="s">
        <v>4321</v>
      </c>
      <c r="B339" t="s">
        <v>2323</v>
      </c>
    </row>
    <row r="340" spans="1:2" x14ac:dyDescent="0.25">
      <c r="A340" t="s">
        <v>4322</v>
      </c>
      <c r="B340" t="s">
        <v>271</v>
      </c>
    </row>
    <row r="341" spans="1:2" x14ac:dyDescent="0.25">
      <c r="A341" t="s">
        <v>4323</v>
      </c>
      <c r="B341" t="s">
        <v>2275</v>
      </c>
    </row>
    <row r="342" spans="1:2" x14ac:dyDescent="0.25">
      <c r="A342" t="s">
        <v>4324</v>
      </c>
      <c r="B342" t="s">
        <v>1778</v>
      </c>
    </row>
    <row r="343" spans="1:2" x14ac:dyDescent="0.25">
      <c r="A343" t="s">
        <v>4325</v>
      </c>
      <c r="B343" t="s">
        <v>4326</v>
      </c>
    </row>
    <row r="344" spans="1:2" x14ac:dyDescent="0.25">
      <c r="A344" t="s">
        <v>4327</v>
      </c>
      <c r="B344" t="s">
        <v>4328</v>
      </c>
    </row>
    <row r="345" spans="1:2" x14ac:dyDescent="0.25">
      <c r="A345" t="s">
        <v>4329</v>
      </c>
      <c r="B345" t="s">
        <v>3200</v>
      </c>
    </row>
    <row r="346" spans="1:2" x14ac:dyDescent="0.25">
      <c r="A346" t="s">
        <v>4330</v>
      </c>
      <c r="B346" t="s">
        <v>4331</v>
      </c>
    </row>
    <row r="347" spans="1:2" x14ac:dyDescent="0.25">
      <c r="A347" t="s">
        <v>4332</v>
      </c>
      <c r="B347" t="s">
        <v>4333</v>
      </c>
    </row>
    <row r="348" spans="1:2" x14ac:dyDescent="0.25">
      <c r="A348" t="s">
        <v>4334</v>
      </c>
      <c r="B348" t="s">
        <v>4335</v>
      </c>
    </row>
    <row r="349" spans="1:2" x14ac:dyDescent="0.25">
      <c r="A349" t="s">
        <v>4336</v>
      </c>
      <c r="B349" t="s">
        <v>155</v>
      </c>
    </row>
    <row r="350" spans="1:2" x14ac:dyDescent="0.25">
      <c r="A350" t="s">
        <v>4337</v>
      </c>
      <c r="B350" t="s">
        <v>2276</v>
      </c>
    </row>
    <row r="351" spans="1:2" x14ac:dyDescent="0.25">
      <c r="A351" t="s">
        <v>4338</v>
      </c>
      <c r="B351" t="s">
        <v>3201</v>
      </c>
    </row>
    <row r="352" spans="1:2" x14ac:dyDescent="0.25">
      <c r="A352" t="s">
        <v>4339</v>
      </c>
      <c r="B352" t="s">
        <v>1780</v>
      </c>
    </row>
    <row r="353" spans="1:2" x14ac:dyDescent="0.25">
      <c r="A353" t="s">
        <v>4340</v>
      </c>
      <c r="B353" t="s">
        <v>2277</v>
      </c>
    </row>
    <row r="354" spans="1:2" x14ac:dyDescent="0.25">
      <c r="A354" t="s">
        <v>4341</v>
      </c>
      <c r="B354" t="s">
        <v>2278</v>
      </c>
    </row>
    <row r="355" spans="1:2" x14ac:dyDescent="0.25">
      <c r="A355" t="s">
        <v>4342</v>
      </c>
      <c r="B355" t="s">
        <v>4343</v>
      </c>
    </row>
    <row r="356" spans="1:2" x14ac:dyDescent="0.25">
      <c r="A356" t="s">
        <v>4344</v>
      </c>
      <c r="B356" t="s">
        <v>3202</v>
      </c>
    </row>
    <row r="357" spans="1:2" x14ac:dyDescent="0.25">
      <c r="A357" t="s">
        <v>4345</v>
      </c>
      <c r="B357" t="s">
        <v>928</v>
      </c>
    </row>
    <row r="358" spans="1:2" x14ac:dyDescent="0.25">
      <c r="A358" t="s">
        <v>4346</v>
      </c>
      <c r="B358" t="s">
        <v>1581</v>
      </c>
    </row>
    <row r="359" spans="1:2" x14ac:dyDescent="0.25">
      <c r="A359" t="s">
        <v>4347</v>
      </c>
      <c r="B359" t="s">
        <v>2525</v>
      </c>
    </row>
    <row r="360" spans="1:2" x14ac:dyDescent="0.25">
      <c r="A360" t="s">
        <v>4348</v>
      </c>
      <c r="B360" t="s">
        <v>2279</v>
      </c>
    </row>
    <row r="361" spans="1:2" x14ac:dyDescent="0.25">
      <c r="A361" t="s">
        <v>4349</v>
      </c>
      <c r="B361" t="s">
        <v>4350</v>
      </c>
    </row>
    <row r="362" spans="1:2" x14ac:dyDescent="0.25">
      <c r="A362" t="s">
        <v>4351</v>
      </c>
      <c r="B362" t="s">
        <v>2280</v>
      </c>
    </row>
    <row r="363" spans="1:2" x14ac:dyDescent="0.25">
      <c r="A363" t="s">
        <v>4352</v>
      </c>
      <c r="B363" t="s">
        <v>4353</v>
      </c>
    </row>
    <row r="364" spans="1:2" x14ac:dyDescent="0.25">
      <c r="A364" t="s">
        <v>4354</v>
      </c>
      <c r="B364" t="s">
        <v>4355</v>
      </c>
    </row>
    <row r="365" spans="1:2" x14ac:dyDescent="0.25">
      <c r="A365" t="s">
        <v>4356</v>
      </c>
      <c r="B365" t="s">
        <v>4357</v>
      </c>
    </row>
    <row r="366" spans="1:2" x14ac:dyDescent="0.25">
      <c r="A366" t="s">
        <v>4358</v>
      </c>
      <c r="B366" t="s">
        <v>2281</v>
      </c>
    </row>
    <row r="367" spans="1:2" x14ac:dyDescent="0.25">
      <c r="A367" t="s">
        <v>4359</v>
      </c>
      <c r="B367" t="s">
        <v>2780</v>
      </c>
    </row>
    <row r="368" spans="1:2" x14ac:dyDescent="0.25">
      <c r="A368" t="s">
        <v>4360</v>
      </c>
      <c r="B368" t="s">
        <v>2282</v>
      </c>
    </row>
    <row r="369" spans="1:2" x14ac:dyDescent="0.25">
      <c r="A369" t="s">
        <v>4361</v>
      </c>
      <c r="B369" t="s">
        <v>4362</v>
      </c>
    </row>
    <row r="370" spans="1:2" x14ac:dyDescent="0.25">
      <c r="A370" t="s">
        <v>4363</v>
      </c>
      <c r="B370" t="s">
        <v>4364</v>
      </c>
    </row>
    <row r="371" spans="1:2" x14ac:dyDescent="0.25">
      <c r="A371" t="s">
        <v>4365</v>
      </c>
      <c r="B371" t="s">
        <v>4366</v>
      </c>
    </row>
    <row r="372" spans="1:2" x14ac:dyDescent="0.25">
      <c r="A372" t="s">
        <v>4367</v>
      </c>
      <c r="B372" t="s">
        <v>4368</v>
      </c>
    </row>
    <row r="373" spans="1:2" x14ac:dyDescent="0.25">
      <c r="A373" t="s">
        <v>4369</v>
      </c>
      <c r="B373" t="s">
        <v>4370</v>
      </c>
    </row>
    <row r="374" spans="1:2" x14ac:dyDescent="0.25">
      <c r="A374" t="s">
        <v>4371</v>
      </c>
      <c r="B374" t="s">
        <v>4372</v>
      </c>
    </row>
    <row r="375" spans="1:2" x14ac:dyDescent="0.25">
      <c r="A375" t="s">
        <v>4373</v>
      </c>
      <c r="B375" t="s">
        <v>4374</v>
      </c>
    </row>
    <row r="376" spans="1:2" x14ac:dyDescent="0.25">
      <c r="A376" t="s">
        <v>4375</v>
      </c>
      <c r="B376" t="s">
        <v>4376</v>
      </c>
    </row>
    <row r="377" spans="1:2" x14ac:dyDescent="0.25">
      <c r="A377" t="s">
        <v>4377</v>
      </c>
      <c r="B377" t="s">
        <v>4378</v>
      </c>
    </row>
    <row r="378" spans="1:2" x14ac:dyDescent="0.25">
      <c r="A378" t="s">
        <v>4379</v>
      </c>
      <c r="B378" t="s">
        <v>4380</v>
      </c>
    </row>
    <row r="379" spans="1:2" x14ac:dyDescent="0.25">
      <c r="A379" t="s">
        <v>4381</v>
      </c>
      <c r="B379" t="s">
        <v>4382</v>
      </c>
    </row>
    <row r="380" spans="1:2" x14ac:dyDescent="0.25">
      <c r="A380" t="s">
        <v>4383</v>
      </c>
      <c r="B380" t="s">
        <v>4384</v>
      </c>
    </row>
    <row r="381" spans="1:2" x14ac:dyDescent="0.25">
      <c r="A381" t="s">
        <v>4385</v>
      </c>
      <c r="B381" t="s">
        <v>4386</v>
      </c>
    </row>
    <row r="382" spans="1:2" x14ac:dyDescent="0.25">
      <c r="A382" t="s">
        <v>4387</v>
      </c>
      <c r="B382" t="s">
        <v>2527</v>
      </c>
    </row>
    <row r="383" spans="1:2" x14ac:dyDescent="0.25">
      <c r="A383" t="s">
        <v>4388</v>
      </c>
      <c r="B383" t="s">
        <v>4389</v>
      </c>
    </row>
    <row r="384" spans="1:2" x14ac:dyDescent="0.25">
      <c r="A384" t="s">
        <v>4390</v>
      </c>
      <c r="B384" t="s">
        <v>4391</v>
      </c>
    </row>
    <row r="385" spans="1:2" x14ac:dyDescent="0.25">
      <c r="A385" t="s">
        <v>4392</v>
      </c>
      <c r="B385" t="s">
        <v>157</v>
      </c>
    </row>
    <row r="386" spans="1:2" x14ac:dyDescent="0.25">
      <c r="A386" t="s">
        <v>4393</v>
      </c>
      <c r="B386" t="s">
        <v>2283</v>
      </c>
    </row>
    <row r="387" spans="1:2" x14ac:dyDescent="0.25">
      <c r="A387" t="s">
        <v>4394</v>
      </c>
      <c r="B387" t="s">
        <v>3373</v>
      </c>
    </row>
    <row r="388" spans="1:2" x14ac:dyDescent="0.25">
      <c r="A388" t="s">
        <v>4395</v>
      </c>
      <c r="B388" t="s">
        <v>4396</v>
      </c>
    </row>
    <row r="389" spans="1:2" x14ac:dyDescent="0.25">
      <c r="A389" t="s">
        <v>4397</v>
      </c>
      <c r="B389" t="s">
        <v>4398</v>
      </c>
    </row>
    <row r="390" spans="1:2" x14ac:dyDescent="0.25">
      <c r="A390" t="s">
        <v>4399</v>
      </c>
      <c r="B390" t="s">
        <v>4400</v>
      </c>
    </row>
    <row r="391" spans="1:2" x14ac:dyDescent="0.25">
      <c r="A391" t="s">
        <v>4401</v>
      </c>
      <c r="B391" t="s">
        <v>3203</v>
      </c>
    </row>
    <row r="392" spans="1:2" x14ac:dyDescent="0.25">
      <c r="A392" t="s">
        <v>4402</v>
      </c>
      <c r="B392" t="s">
        <v>2284</v>
      </c>
    </row>
    <row r="393" spans="1:2" x14ac:dyDescent="0.25">
      <c r="A393" t="s">
        <v>4403</v>
      </c>
      <c r="B393" t="s">
        <v>4404</v>
      </c>
    </row>
    <row r="394" spans="1:2" x14ac:dyDescent="0.25">
      <c r="A394" t="s">
        <v>4405</v>
      </c>
      <c r="B394" t="s">
        <v>4406</v>
      </c>
    </row>
    <row r="395" spans="1:2" x14ac:dyDescent="0.25">
      <c r="A395" t="s">
        <v>4407</v>
      </c>
      <c r="B395" t="s">
        <v>2286</v>
      </c>
    </row>
    <row r="396" spans="1:2" x14ac:dyDescent="0.25">
      <c r="A396" t="s">
        <v>4408</v>
      </c>
      <c r="B396" t="s">
        <v>3204</v>
      </c>
    </row>
    <row r="397" spans="1:2" x14ac:dyDescent="0.25">
      <c r="A397" t="s">
        <v>4409</v>
      </c>
      <c r="B397" t="s">
        <v>4410</v>
      </c>
    </row>
    <row r="398" spans="1:2" x14ac:dyDescent="0.25">
      <c r="A398" t="s">
        <v>4411</v>
      </c>
      <c r="B398" t="s">
        <v>4412</v>
      </c>
    </row>
    <row r="399" spans="1:2" x14ac:dyDescent="0.25">
      <c r="A399" t="s">
        <v>4413</v>
      </c>
      <c r="B399" t="s">
        <v>4414</v>
      </c>
    </row>
    <row r="400" spans="1:2" x14ac:dyDescent="0.25">
      <c r="A400" t="s">
        <v>4415</v>
      </c>
      <c r="B400" t="s">
        <v>2894</v>
      </c>
    </row>
    <row r="401" spans="1:2" x14ac:dyDescent="0.25">
      <c r="A401" t="s">
        <v>4416</v>
      </c>
      <c r="B401" t="s">
        <v>4417</v>
      </c>
    </row>
    <row r="402" spans="1:2" x14ac:dyDescent="0.25">
      <c r="A402" t="s">
        <v>4418</v>
      </c>
      <c r="B402" t="s">
        <v>4419</v>
      </c>
    </row>
    <row r="403" spans="1:2" x14ac:dyDescent="0.25">
      <c r="A403" t="s">
        <v>4420</v>
      </c>
      <c r="B403" t="s">
        <v>1583</v>
      </c>
    </row>
    <row r="404" spans="1:2" x14ac:dyDescent="0.25">
      <c r="A404" t="s">
        <v>4421</v>
      </c>
      <c r="B404" t="s">
        <v>2287</v>
      </c>
    </row>
    <row r="405" spans="1:2" x14ac:dyDescent="0.25">
      <c r="A405" t="s">
        <v>4422</v>
      </c>
      <c r="B405" t="s">
        <v>2288</v>
      </c>
    </row>
    <row r="406" spans="1:2" x14ac:dyDescent="0.25">
      <c r="A406" t="s">
        <v>4423</v>
      </c>
      <c r="B406" t="s">
        <v>2289</v>
      </c>
    </row>
    <row r="407" spans="1:2" x14ac:dyDescent="0.25">
      <c r="A407" t="s">
        <v>4424</v>
      </c>
      <c r="B407" t="s">
        <v>1585</v>
      </c>
    </row>
    <row r="408" spans="1:2" x14ac:dyDescent="0.25">
      <c r="A408" t="s">
        <v>4425</v>
      </c>
      <c r="B408" t="s">
        <v>1587</v>
      </c>
    </row>
    <row r="409" spans="1:2" x14ac:dyDescent="0.25">
      <c r="A409" t="s">
        <v>4426</v>
      </c>
      <c r="B409" t="s">
        <v>1589</v>
      </c>
    </row>
    <row r="410" spans="1:2" x14ac:dyDescent="0.25">
      <c r="A410" t="s">
        <v>4427</v>
      </c>
      <c r="B410" t="s">
        <v>2290</v>
      </c>
    </row>
    <row r="411" spans="1:2" x14ac:dyDescent="0.25">
      <c r="A411" t="s">
        <v>4428</v>
      </c>
      <c r="B411" t="s">
        <v>2291</v>
      </c>
    </row>
    <row r="412" spans="1:2" x14ac:dyDescent="0.25">
      <c r="A412" t="s">
        <v>4429</v>
      </c>
      <c r="B412" t="s">
        <v>730</v>
      </c>
    </row>
    <row r="413" spans="1:2" x14ac:dyDescent="0.25">
      <c r="A413" t="s">
        <v>4430</v>
      </c>
      <c r="B413" t="s">
        <v>2292</v>
      </c>
    </row>
    <row r="414" spans="1:2" x14ac:dyDescent="0.25">
      <c r="A414" t="s">
        <v>4431</v>
      </c>
      <c r="B414" t="s">
        <v>2293</v>
      </c>
    </row>
    <row r="415" spans="1:2" x14ac:dyDescent="0.25">
      <c r="A415" t="s">
        <v>4432</v>
      </c>
      <c r="B415" t="s">
        <v>159</v>
      </c>
    </row>
    <row r="416" spans="1:2" x14ac:dyDescent="0.25">
      <c r="A416" t="s">
        <v>4433</v>
      </c>
      <c r="B416" t="s">
        <v>733</v>
      </c>
    </row>
    <row r="417" spans="1:2" x14ac:dyDescent="0.25">
      <c r="A417" t="s">
        <v>4434</v>
      </c>
      <c r="B417" t="s">
        <v>2294</v>
      </c>
    </row>
    <row r="418" spans="1:2" x14ac:dyDescent="0.25">
      <c r="A418" t="s">
        <v>4435</v>
      </c>
      <c r="B418" t="s">
        <v>2295</v>
      </c>
    </row>
    <row r="419" spans="1:2" x14ac:dyDescent="0.25">
      <c r="A419" t="s">
        <v>4436</v>
      </c>
      <c r="B419" t="s">
        <v>1659</v>
      </c>
    </row>
    <row r="420" spans="1:2" x14ac:dyDescent="0.25">
      <c r="A420" t="s">
        <v>4437</v>
      </c>
      <c r="B420" t="s">
        <v>1661</v>
      </c>
    </row>
    <row r="421" spans="1:2" x14ac:dyDescent="0.25">
      <c r="A421" t="s">
        <v>4438</v>
      </c>
      <c r="B421" t="s">
        <v>1663</v>
      </c>
    </row>
    <row r="422" spans="1:2" x14ac:dyDescent="0.25">
      <c r="A422" t="s">
        <v>4439</v>
      </c>
      <c r="B422" t="s">
        <v>815</v>
      </c>
    </row>
    <row r="423" spans="1:2" x14ac:dyDescent="0.25">
      <c r="A423" t="s">
        <v>4440</v>
      </c>
      <c r="B423" t="s">
        <v>2333</v>
      </c>
    </row>
    <row r="424" spans="1:2" x14ac:dyDescent="0.25">
      <c r="A424" t="s">
        <v>4441</v>
      </c>
      <c r="B424" t="s">
        <v>2337</v>
      </c>
    </row>
    <row r="425" spans="1:2" x14ac:dyDescent="0.25">
      <c r="A425" t="s">
        <v>4442</v>
      </c>
      <c r="B425" t="s">
        <v>2338</v>
      </c>
    </row>
    <row r="426" spans="1:2" x14ac:dyDescent="0.25">
      <c r="A426" t="s">
        <v>4443</v>
      </c>
      <c r="B426" t="s">
        <v>2190</v>
      </c>
    </row>
    <row r="427" spans="1:2" x14ac:dyDescent="0.25">
      <c r="A427" t="s">
        <v>4444</v>
      </c>
      <c r="B427" t="s">
        <v>3198</v>
      </c>
    </row>
    <row r="428" spans="1:2" x14ac:dyDescent="0.25">
      <c r="A428" t="s">
        <v>4445</v>
      </c>
      <c r="B428" t="s">
        <v>2299</v>
      </c>
    </row>
    <row r="429" spans="1:2" x14ac:dyDescent="0.25">
      <c r="A429" t="s">
        <v>4446</v>
      </c>
      <c r="B429" t="s">
        <v>3208</v>
      </c>
    </row>
    <row r="430" spans="1:2" x14ac:dyDescent="0.25">
      <c r="A430" t="s">
        <v>4447</v>
      </c>
      <c r="B430" t="s">
        <v>4448</v>
      </c>
    </row>
    <row r="431" spans="1:2" x14ac:dyDescent="0.25">
      <c r="A431" t="s">
        <v>4449</v>
      </c>
      <c r="B431" t="s">
        <v>3209</v>
      </c>
    </row>
    <row r="432" spans="1:2" x14ac:dyDescent="0.25">
      <c r="A432" t="s">
        <v>4450</v>
      </c>
      <c r="B432" t="s">
        <v>4451</v>
      </c>
    </row>
    <row r="433" spans="1:2" x14ac:dyDescent="0.25">
      <c r="A433" t="s">
        <v>4452</v>
      </c>
      <c r="B433" t="s">
        <v>4453</v>
      </c>
    </row>
    <row r="434" spans="1:2" x14ac:dyDescent="0.25">
      <c r="A434" t="s">
        <v>4454</v>
      </c>
      <c r="B434" t="s">
        <v>161</v>
      </c>
    </row>
    <row r="435" spans="1:2" x14ac:dyDescent="0.25">
      <c r="A435" t="s">
        <v>4455</v>
      </c>
      <c r="B435" t="s">
        <v>1606</v>
      </c>
    </row>
    <row r="436" spans="1:2" x14ac:dyDescent="0.25">
      <c r="A436" t="s">
        <v>4456</v>
      </c>
      <c r="B436" t="s">
        <v>736</v>
      </c>
    </row>
    <row r="437" spans="1:2" x14ac:dyDescent="0.25">
      <c r="A437" t="s">
        <v>4457</v>
      </c>
      <c r="B437" t="s">
        <v>3217</v>
      </c>
    </row>
    <row r="438" spans="1:2" x14ac:dyDescent="0.25">
      <c r="A438" t="s">
        <v>4458</v>
      </c>
      <c r="B438" t="s">
        <v>739</v>
      </c>
    </row>
    <row r="439" spans="1:2" x14ac:dyDescent="0.25">
      <c r="A439" t="s">
        <v>4459</v>
      </c>
      <c r="B439" t="s">
        <v>2714</v>
      </c>
    </row>
    <row r="440" spans="1:2" x14ac:dyDescent="0.25">
      <c r="A440" t="s">
        <v>4460</v>
      </c>
      <c r="B440" t="s">
        <v>2784</v>
      </c>
    </row>
    <row r="441" spans="1:2" x14ac:dyDescent="0.25">
      <c r="A441" t="s">
        <v>4461</v>
      </c>
      <c r="B441" t="s">
        <v>2301</v>
      </c>
    </row>
    <row r="442" spans="1:2" x14ac:dyDescent="0.25">
      <c r="A442" t="s">
        <v>4462</v>
      </c>
      <c r="B442" t="s">
        <v>1608</v>
      </c>
    </row>
    <row r="443" spans="1:2" x14ac:dyDescent="0.25">
      <c r="A443" t="s">
        <v>4463</v>
      </c>
      <c r="B443" t="s">
        <v>2302</v>
      </c>
    </row>
    <row r="444" spans="1:2" x14ac:dyDescent="0.25">
      <c r="A444" t="s">
        <v>4464</v>
      </c>
      <c r="B444" t="s">
        <v>742</v>
      </c>
    </row>
    <row r="445" spans="1:2" x14ac:dyDescent="0.25">
      <c r="A445" t="s">
        <v>4465</v>
      </c>
      <c r="B445" t="s">
        <v>747</v>
      </c>
    </row>
    <row r="446" spans="1:2" x14ac:dyDescent="0.25">
      <c r="A446" t="s">
        <v>4466</v>
      </c>
      <c r="B446" t="s">
        <v>751</v>
      </c>
    </row>
    <row r="447" spans="1:2" x14ac:dyDescent="0.25">
      <c r="A447" t="s">
        <v>4467</v>
      </c>
      <c r="B447" t="s">
        <v>1610</v>
      </c>
    </row>
    <row r="448" spans="1:2" x14ac:dyDescent="0.25">
      <c r="A448" t="s">
        <v>4468</v>
      </c>
      <c r="B448" t="s">
        <v>755</v>
      </c>
    </row>
    <row r="449" spans="1:2" x14ac:dyDescent="0.25">
      <c r="A449" t="s">
        <v>4469</v>
      </c>
      <c r="B449" t="s">
        <v>758</v>
      </c>
    </row>
    <row r="450" spans="1:2" x14ac:dyDescent="0.25">
      <c r="A450" t="s">
        <v>4470</v>
      </c>
      <c r="B450" t="s">
        <v>761</v>
      </c>
    </row>
    <row r="451" spans="1:2" x14ac:dyDescent="0.25">
      <c r="A451" t="s">
        <v>4471</v>
      </c>
      <c r="B451" t="s">
        <v>2537</v>
      </c>
    </row>
    <row r="452" spans="1:2" x14ac:dyDescent="0.25">
      <c r="A452" t="s">
        <v>4472</v>
      </c>
      <c r="B452" t="s">
        <v>1612</v>
      </c>
    </row>
    <row r="453" spans="1:2" x14ac:dyDescent="0.25">
      <c r="A453" t="s">
        <v>4473</v>
      </c>
      <c r="B453" t="s">
        <v>167</v>
      </c>
    </row>
    <row r="454" spans="1:2" x14ac:dyDescent="0.25">
      <c r="A454" t="s">
        <v>4474</v>
      </c>
      <c r="B454" t="s">
        <v>167</v>
      </c>
    </row>
    <row r="455" spans="1:2" x14ac:dyDescent="0.25">
      <c r="A455" t="s">
        <v>4475</v>
      </c>
      <c r="B455" t="s">
        <v>2786</v>
      </c>
    </row>
    <row r="456" spans="1:2" x14ac:dyDescent="0.25">
      <c r="A456" t="s">
        <v>4476</v>
      </c>
      <c r="B456" t="s">
        <v>1651</v>
      </c>
    </row>
    <row r="457" spans="1:2" x14ac:dyDescent="0.25">
      <c r="A457" t="s">
        <v>4477</v>
      </c>
      <c r="B457" t="s">
        <v>169</v>
      </c>
    </row>
    <row r="458" spans="1:2" x14ac:dyDescent="0.25">
      <c r="A458" t="s">
        <v>4478</v>
      </c>
      <c r="B458" t="s">
        <v>1653</v>
      </c>
    </row>
    <row r="459" spans="1:2" x14ac:dyDescent="0.25">
      <c r="A459" t="s">
        <v>4479</v>
      </c>
      <c r="B459" t="s">
        <v>1655</v>
      </c>
    </row>
    <row r="460" spans="1:2" x14ac:dyDescent="0.25">
      <c r="A460" t="s">
        <v>4480</v>
      </c>
      <c r="B460" t="s">
        <v>1657</v>
      </c>
    </row>
    <row r="461" spans="1:2" x14ac:dyDescent="0.25">
      <c r="A461" t="s">
        <v>4481</v>
      </c>
      <c r="B461" t="s">
        <v>800</v>
      </c>
    </row>
    <row r="462" spans="1:2" x14ac:dyDescent="0.25">
      <c r="A462" t="s">
        <v>4482</v>
      </c>
      <c r="B462" t="s">
        <v>171</v>
      </c>
    </row>
    <row r="463" spans="1:2" x14ac:dyDescent="0.25">
      <c r="A463" t="s">
        <v>4483</v>
      </c>
      <c r="B463" t="s">
        <v>767</v>
      </c>
    </row>
    <row r="464" spans="1:2" x14ac:dyDescent="0.25">
      <c r="A464" t="s">
        <v>4484</v>
      </c>
      <c r="B464" t="s">
        <v>770</v>
      </c>
    </row>
    <row r="465" spans="1:2" x14ac:dyDescent="0.25">
      <c r="A465" t="s">
        <v>4485</v>
      </c>
      <c r="B465" t="s">
        <v>1614</v>
      </c>
    </row>
    <row r="466" spans="1:2" x14ac:dyDescent="0.25">
      <c r="A466" t="s">
        <v>4486</v>
      </c>
      <c r="B466" t="s">
        <v>1616</v>
      </c>
    </row>
    <row r="467" spans="1:2" x14ac:dyDescent="0.25">
      <c r="A467" t="s">
        <v>4487</v>
      </c>
      <c r="B467" t="s">
        <v>164</v>
      </c>
    </row>
    <row r="468" spans="1:2" x14ac:dyDescent="0.25">
      <c r="A468" t="s">
        <v>4488</v>
      </c>
      <c r="B468" t="s">
        <v>764</v>
      </c>
    </row>
    <row r="469" spans="1:2" x14ac:dyDescent="0.25">
      <c r="A469" t="s">
        <v>4489</v>
      </c>
      <c r="B469" t="s">
        <v>267</v>
      </c>
    </row>
    <row r="470" spans="1:2" x14ac:dyDescent="0.25">
      <c r="A470" t="s">
        <v>4490</v>
      </c>
      <c r="B470" t="s">
        <v>803</v>
      </c>
    </row>
    <row r="471" spans="1:2" x14ac:dyDescent="0.25">
      <c r="A471" t="s">
        <v>4491</v>
      </c>
      <c r="B471" t="s">
        <v>806</v>
      </c>
    </row>
    <row r="472" spans="1:2" x14ac:dyDescent="0.25">
      <c r="A472" t="s">
        <v>4492</v>
      </c>
      <c r="B472" t="s">
        <v>809</v>
      </c>
    </row>
    <row r="473" spans="1:2" x14ac:dyDescent="0.25">
      <c r="A473" t="s">
        <v>4493</v>
      </c>
      <c r="B473" t="s">
        <v>812</v>
      </c>
    </row>
    <row r="474" spans="1:2" x14ac:dyDescent="0.25">
      <c r="A474" t="s">
        <v>4494</v>
      </c>
      <c r="B474" t="s">
        <v>269</v>
      </c>
    </row>
    <row r="475" spans="1:2" x14ac:dyDescent="0.25">
      <c r="A475" t="s">
        <v>4495</v>
      </c>
      <c r="B475" t="s">
        <v>847</v>
      </c>
    </row>
    <row r="476" spans="1:2" x14ac:dyDescent="0.25">
      <c r="A476" t="s">
        <v>4496</v>
      </c>
      <c r="B476" t="s">
        <v>850</v>
      </c>
    </row>
    <row r="477" spans="1:2" x14ac:dyDescent="0.25">
      <c r="A477" t="s">
        <v>4497</v>
      </c>
      <c r="B477" t="s">
        <v>1676</v>
      </c>
    </row>
    <row r="478" spans="1:2" x14ac:dyDescent="0.25">
      <c r="A478" t="s">
        <v>4498</v>
      </c>
      <c r="B478" t="s">
        <v>853</v>
      </c>
    </row>
    <row r="479" spans="1:2" x14ac:dyDescent="0.25">
      <c r="A479" t="s">
        <v>4499</v>
      </c>
      <c r="B479" t="s">
        <v>1618</v>
      </c>
    </row>
    <row r="480" spans="1:2" x14ac:dyDescent="0.25">
      <c r="A480" t="s">
        <v>4500</v>
      </c>
      <c r="B480" t="s">
        <v>773</v>
      </c>
    </row>
    <row r="481" spans="1:2" x14ac:dyDescent="0.25">
      <c r="A481" t="s">
        <v>4501</v>
      </c>
      <c r="B481" t="s">
        <v>776</v>
      </c>
    </row>
    <row r="482" spans="1:2" x14ac:dyDescent="0.25">
      <c r="A482" t="s">
        <v>4502</v>
      </c>
      <c r="B482" t="s">
        <v>4503</v>
      </c>
    </row>
    <row r="483" spans="1:2" x14ac:dyDescent="0.25">
      <c r="A483" t="s">
        <v>4504</v>
      </c>
      <c r="B483" t="s">
        <v>3221</v>
      </c>
    </row>
    <row r="484" spans="1:2" x14ac:dyDescent="0.25">
      <c r="A484" t="s">
        <v>4505</v>
      </c>
      <c r="B484" t="s">
        <v>280</v>
      </c>
    </row>
    <row r="485" spans="1:2" x14ac:dyDescent="0.25">
      <c r="A485" t="s">
        <v>4506</v>
      </c>
      <c r="B485" t="s">
        <v>4507</v>
      </c>
    </row>
    <row r="486" spans="1:2" x14ac:dyDescent="0.25">
      <c r="A486" t="s">
        <v>4508</v>
      </c>
      <c r="B486" t="s">
        <v>3222</v>
      </c>
    </row>
    <row r="487" spans="1:2" x14ac:dyDescent="0.25">
      <c r="A487" t="s">
        <v>4509</v>
      </c>
      <c r="B487" t="s">
        <v>2540</v>
      </c>
    </row>
    <row r="488" spans="1:2" x14ac:dyDescent="0.25">
      <c r="A488" t="s">
        <v>4510</v>
      </c>
      <c r="B488" t="s">
        <v>284</v>
      </c>
    </row>
    <row r="489" spans="1:2" x14ac:dyDescent="0.25">
      <c r="A489" t="s">
        <v>4511</v>
      </c>
      <c r="B489" t="s">
        <v>4512</v>
      </c>
    </row>
    <row r="490" spans="1:2" x14ac:dyDescent="0.25">
      <c r="A490" t="s">
        <v>4513</v>
      </c>
      <c r="B490" t="s">
        <v>4514</v>
      </c>
    </row>
    <row r="491" spans="1:2" x14ac:dyDescent="0.25">
      <c r="A491" t="s">
        <v>4515</v>
      </c>
      <c r="B491" t="s">
        <v>286</v>
      </c>
    </row>
    <row r="492" spans="1:2" x14ac:dyDescent="0.25">
      <c r="A492" t="s">
        <v>4516</v>
      </c>
      <c r="B492" t="s">
        <v>4517</v>
      </c>
    </row>
    <row r="493" spans="1:2" x14ac:dyDescent="0.25">
      <c r="A493" t="s">
        <v>4518</v>
      </c>
      <c r="B493" t="s">
        <v>4519</v>
      </c>
    </row>
    <row r="494" spans="1:2" x14ac:dyDescent="0.25">
      <c r="A494" t="s">
        <v>4520</v>
      </c>
      <c r="B494" t="s">
        <v>288</v>
      </c>
    </row>
    <row r="495" spans="1:2" x14ac:dyDescent="0.25">
      <c r="A495" t="s">
        <v>4521</v>
      </c>
      <c r="B495" t="s">
        <v>4522</v>
      </c>
    </row>
    <row r="496" spans="1:2" x14ac:dyDescent="0.25">
      <c r="A496" t="s">
        <v>4523</v>
      </c>
      <c r="B496" t="s">
        <v>2543</v>
      </c>
    </row>
    <row r="497" spans="1:2" x14ac:dyDescent="0.25">
      <c r="A497" t="s">
        <v>4524</v>
      </c>
      <c r="B497" t="s">
        <v>3223</v>
      </c>
    </row>
    <row r="498" spans="1:2" x14ac:dyDescent="0.25">
      <c r="A498" t="s">
        <v>4525</v>
      </c>
      <c r="B498" t="s">
        <v>4526</v>
      </c>
    </row>
    <row r="499" spans="1:2" x14ac:dyDescent="0.25">
      <c r="A499" t="s">
        <v>4527</v>
      </c>
      <c r="B499" t="s">
        <v>4528</v>
      </c>
    </row>
    <row r="500" spans="1:2" x14ac:dyDescent="0.25">
      <c r="A500" t="s">
        <v>4529</v>
      </c>
      <c r="B500" t="s">
        <v>4530</v>
      </c>
    </row>
    <row r="501" spans="1:2" x14ac:dyDescent="0.25">
      <c r="A501" t="s">
        <v>4531</v>
      </c>
      <c r="B501" t="s">
        <v>3224</v>
      </c>
    </row>
    <row r="502" spans="1:2" x14ac:dyDescent="0.25">
      <c r="A502" t="s">
        <v>4532</v>
      </c>
      <c r="B502" t="s">
        <v>4533</v>
      </c>
    </row>
    <row r="503" spans="1:2" x14ac:dyDescent="0.25">
      <c r="A503" t="s">
        <v>4534</v>
      </c>
      <c r="B503" t="s">
        <v>3225</v>
      </c>
    </row>
    <row r="504" spans="1:2" x14ac:dyDescent="0.25">
      <c r="A504" t="s">
        <v>4535</v>
      </c>
      <c r="B504" t="s">
        <v>2332</v>
      </c>
    </row>
    <row r="505" spans="1:2" x14ac:dyDescent="0.25">
      <c r="A505" t="s">
        <v>4536</v>
      </c>
      <c r="B505" t="s">
        <v>2820</v>
      </c>
    </row>
    <row r="506" spans="1:2" x14ac:dyDescent="0.25">
      <c r="A506" t="s">
        <v>4537</v>
      </c>
      <c r="B506" t="s">
        <v>4538</v>
      </c>
    </row>
    <row r="507" spans="1:2" x14ac:dyDescent="0.25">
      <c r="A507" t="s">
        <v>4539</v>
      </c>
      <c r="B507" t="s">
        <v>4540</v>
      </c>
    </row>
    <row r="508" spans="1:2" x14ac:dyDescent="0.25">
      <c r="A508" t="s">
        <v>4541</v>
      </c>
      <c r="B508" t="s">
        <v>3231</v>
      </c>
    </row>
    <row r="509" spans="1:2" x14ac:dyDescent="0.25">
      <c r="A509" t="s">
        <v>4542</v>
      </c>
      <c r="B509" t="s">
        <v>3232</v>
      </c>
    </row>
    <row r="510" spans="1:2" x14ac:dyDescent="0.25">
      <c r="A510" t="s">
        <v>4543</v>
      </c>
      <c r="B510" t="s">
        <v>4544</v>
      </c>
    </row>
    <row r="511" spans="1:2" x14ac:dyDescent="0.25">
      <c r="A511" t="s">
        <v>4545</v>
      </c>
      <c r="B511" t="s">
        <v>3233</v>
      </c>
    </row>
    <row r="512" spans="1:2" x14ac:dyDescent="0.25">
      <c r="A512" t="s">
        <v>4546</v>
      </c>
      <c r="B512" t="s">
        <v>3234</v>
      </c>
    </row>
    <row r="513" spans="1:2" x14ac:dyDescent="0.25">
      <c r="A513" t="s">
        <v>4547</v>
      </c>
      <c r="B513" t="s">
        <v>3235</v>
      </c>
    </row>
    <row r="514" spans="1:2" x14ac:dyDescent="0.25">
      <c r="A514" t="s">
        <v>4548</v>
      </c>
      <c r="B514" t="s">
        <v>4549</v>
      </c>
    </row>
    <row r="515" spans="1:2" x14ac:dyDescent="0.25">
      <c r="A515" t="s">
        <v>4550</v>
      </c>
      <c r="B515" t="s">
        <v>3236</v>
      </c>
    </row>
    <row r="516" spans="1:2" x14ac:dyDescent="0.25">
      <c r="A516" t="s">
        <v>4551</v>
      </c>
      <c r="B516" t="s">
        <v>3237</v>
      </c>
    </row>
    <row r="517" spans="1:2" x14ac:dyDescent="0.25">
      <c r="A517" t="s">
        <v>4552</v>
      </c>
      <c r="B517" t="s">
        <v>3238</v>
      </c>
    </row>
    <row r="518" spans="1:2" x14ac:dyDescent="0.25">
      <c r="A518" t="s">
        <v>4553</v>
      </c>
      <c r="B518" t="s">
        <v>3239</v>
      </c>
    </row>
    <row r="519" spans="1:2" x14ac:dyDescent="0.25">
      <c r="A519" t="s">
        <v>4554</v>
      </c>
      <c r="B519" t="s">
        <v>4555</v>
      </c>
    </row>
    <row r="520" spans="1:2" x14ac:dyDescent="0.25">
      <c r="A520" t="s">
        <v>4556</v>
      </c>
      <c r="B520" t="s">
        <v>3240</v>
      </c>
    </row>
    <row r="521" spans="1:2" x14ac:dyDescent="0.25">
      <c r="A521" t="s">
        <v>4557</v>
      </c>
      <c r="B521" t="s">
        <v>4558</v>
      </c>
    </row>
    <row r="522" spans="1:2" x14ac:dyDescent="0.25">
      <c r="A522" t="s">
        <v>4559</v>
      </c>
      <c r="B522" t="s">
        <v>173</v>
      </c>
    </row>
    <row r="523" spans="1:2" x14ac:dyDescent="0.25">
      <c r="A523" t="s">
        <v>4560</v>
      </c>
      <c r="B523" t="s">
        <v>176</v>
      </c>
    </row>
    <row r="524" spans="1:2" x14ac:dyDescent="0.25">
      <c r="A524" t="s">
        <v>4561</v>
      </c>
      <c r="B524" t="s">
        <v>178</v>
      </c>
    </row>
    <row r="525" spans="1:2" x14ac:dyDescent="0.25">
      <c r="A525" t="s">
        <v>4562</v>
      </c>
      <c r="B525" t="s">
        <v>4563</v>
      </c>
    </row>
    <row r="526" spans="1:2" x14ac:dyDescent="0.25">
      <c r="A526" t="s">
        <v>4564</v>
      </c>
      <c r="B526" t="s">
        <v>180</v>
      </c>
    </row>
    <row r="527" spans="1:2" x14ac:dyDescent="0.25">
      <c r="A527" t="s">
        <v>4565</v>
      </c>
      <c r="B527" t="s">
        <v>4566</v>
      </c>
    </row>
    <row r="528" spans="1:2" x14ac:dyDescent="0.25">
      <c r="A528" t="s">
        <v>4567</v>
      </c>
      <c r="B528" t="s">
        <v>4568</v>
      </c>
    </row>
    <row r="529" spans="1:2" x14ac:dyDescent="0.25">
      <c r="A529" t="s">
        <v>4569</v>
      </c>
      <c r="B529" t="s">
        <v>182</v>
      </c>
    </row>
    <row r="530" spans="1:2" x14ac:dyDescent="0.25">
      <c r="A530" t="s">
        <v>4570</v>
      </c>
      <c r="B530" t="s">
        <v>1647</v>
      </c>
    </row>
    <row r="531" spans="1:2" x14ac:dyDescent="0.25">
      <c r="A531" t="s">
        <v>4571</v>
      </c>
      <c r="B531" t="s">
        <v>3288</v>
      </c>
    </row>
    <row r="532" spans="1:2" x14ac:dyDescent="0.25">
      <c r="A532" t="s">
        <v>4572</v>
      </c>
      <c r="B532" t="s">
        <v>1622</v>
      </c>
    </row>
    <row r="533" spans="1:2" x14ac:dyDescent="0.25">
      <c r="A533" t="s">
        <v>4573</v>
      </c>
      <c r="B533" t="s">
        <v>1625</v>
      </c>
    </row>
    <row r="534" spans="1:2" x14ac:dyDescent="0.25">
      <c r="A534" t="s">
        <v>4574</v>
      </c>
      <c r="B534" t="s">
        <v>2307</v>
      </c>
    </row>
    <row r="535" spans="1:2" x14ac:dyDescent="0.25">
      <c r="A535" t="s">
        <v>4575</v>
      </c>
      <c r="B535" t="s">
        <v>1627</v>
      </c>
    </row>
    <row r="536" spans="1:2" x14ac:dyDescent="0.25">
      <c r="A536" t="s">
        <v>4576</v>
      </c>
      <c r="B536" t="s">
        <v>1629</v>
      </c>
    </row>
    <row r="537" spans="1:2" x14ac:dyDescent="0.25">
      <c r="A537" t="s">
        <v>4577</v>
      </c>
      <c r="B537" t="s">
        <v>3289</v>
      </c>
    </row>
    <row r="538" spans="1:2" x14ac:dyDescent="0.25">
      <c r="A538" t="s">
        <v>4578</v>
      </c>
      <c r="B538" t="s">
        <v>1631</v>
      </c>
    </row>
    <row r="539" spans="1:2" x14ac:dyDescent="0.25">
      <c r="A539" t="s">
        <v>4579</v>
      </c>
      <c r="B539" t="s">
        <v>2788</v>
      </c>
    </row>
    <row r="540" spans="1:2" x14ac:dyDescent="0.25">
      <c r="A540" t="s">
        <v>4580</v>
      </c>
      <c r="B540" t="s">
        <v>780</v>
      </c>
    </row>
    <row r="541" spans="1:2" x14ac:dyDescent="0.25">
      <c r="A541" t="s">
        <v>4581</v>
      </c>
      <c r="B541" t="s">
        <v>785</v>
      </c>
    </row>
    <row r="542" spans="1:2" x14ac:dyDescent="0.25">
      <c r="A542" t="s">
        <v>4582</v>
      </c>
      <c r="B542" t="s">
        <v>787</v>
      </c>
    </row>
    <row r="543" spans="1:2" x14ac:dyDescent="0.25">
      <c r="A543" t="s">
        <v>4583</v>
      </c>
      <c r="B543" t="s">
        <v>790</v>
      </c>
    </row>
    <row r="544" spans="1:2" x14ac:dyDescent="0.25">
      <c r="A544" t="s">
        <v>4584</v>
      </c>
      <c r="B544" t="s">
        <v>1643</v>
      </c>
    </row>
    <row r="545" spans="1:2" x14ac:dyDescent="0.25">
      <c r="A545" t="s">
        <v>4585</v>
      </c>
      <c r="B545" t="s">
        <v>792</v>
      </c>
    </row>
    <row r="546" spans="1:2" x14ac:dyDescent="0.25">
      <c r="A546" t="s">
        <v>4586</v>
      </c>
      <c r="B546" t="s">
        <v>794</v>
      </c>
    </row>
    <row r="547" spans="1:2" x14ac:dyDescent="0.25">
      <c r="A547" t="s">
        <v>4587</v>
      </c>
      <c r="B547" t="s">
        <v>2798</v>
      </c>
    </row>
    <row r="548" spans="1:2" x14ac:dyDescent="0.25">
      <c r="A548" t="s">
        <v>4588</v>
      </c>
      <c r="B548" t="s">
        <v>3213</v>
      </c>
    </row>
    <row r="549" spans="1:2" x14ac:dyDescent="0.25">
      <c r="A549" t="s">
        <v>4589</v>
      </c>
      <c r="B549" t="s">
        <v>3349</v>
      </c>
    </row>
    <row r="550" spans="1:2" x14ac:dyDescent="0.25">
      <c r="A550" t="s">
        <v>4590</v>
      </c>
      <c r="B550" t="s">
        <v>199</v>
      </c>
    </row>
    <row r="551" spans="1:2" x14ac:dyDescent="0.25">
      <c r="A551" t="s">
        <v>4591</v>
      </c>
      <c r="B551" t="s">
        <v>202</v>
      </c>
    </row>
    <row r="552" spans="1:2" x14ac:dyDescent="0.25">
      <c r="A552" t="s">
        <v>4592</v>
      </c>
      <c r="B552" t="s">
        <v>204</v>
      </c>
    </row>
    <row r="553" spans="1:2" x14ac:dyDescent="0.25">
      <c r="A553" t="s">
        <v>4593</v>
      </c>
      <c r="B553" t="s">
        <v>2800</v>
      </c>
    </row>
    <row r="554" spans="1:2" x14ac:dyDescent="0.25">
      <c r="A554" t="s">
        <v>4594</v>
      </c>
      <c r="B554" t="s">
        <v>206</v>
      </c>
    </row>
    <row r="555" spans="1:2" x14ac:dyDescent="0.25">
      <c r="A555" t="s">
        <v>4595</v>
      </c>
      <c r="B555" t="s">
        <v>208</v>
      </c>
    </row>
    <row r="556" spans="1:2" x14ac:dyDescent="0.25">
      <c r="A556" t="s">
        <v>4596</v>
      </c>
      <c r="B556" t="s">
        <v>210</v>
      </c>
    </row>
    <row r="557" spans="1:2" x14ac:dyDescent="0.25">
      <c r="A557" t="s">
        <v>4597</v>
      </c>
      <c r="B557" t="s">
        <v>212</v>
      </c>
    </row>
    <row r="558" spans="1:2" x14ac:dyDescent="0.25">
      <c r="A558" t="s">
        <v>4598</v>
      </c>
      <c r="B558" t="s">
        <v>214</v>
      </c>
    </row>
    <row r="559" spans="1:2" x14ac:dyDescent="0.25">
      <c r="A559" t="s">
        <v>4599</v>
      </c>
      <c r="B559" t="s">
        <v>216</v>
      </c>
    </row>
    <row r="560" spans="1:2" x14ac:dyDescent="0.25">
      <c r="A560" t="s">
        <v>4600</v>
      </c>
      <c r="B560" t="s">
        <v>218</v>
      </c>
    </row>
    <row r="561" spans="1:2" x14ac:dyDescent="0.25">
      <c r="A561" t="s">
        <v>4601</v>
      </c>
      <c r="B561" t="s">
        <v>220</v>
      </c>
    </row>
    <row r="562" spans="1:2" x14ac:dyDescent="0.25">
      <c r="A562" t="s">
        <v>4602</v>
      </c>
      <c r="B562" t="s">
        <v>222</v>
      </c>
    </row>
    <row r="563" spans="1:2" x14ac:dyDescent="0.25">
      <c r="A563" t="s">
        <v>4603</v>
      </c>
      <c r="B563" t="s">
        <v>2310</v>
      </c>
    </row>
    <row r="564" spans="1:2" x14ac:dyDescent="0.25">
      <c r="A564" t="s">
        <v>4604</v>
      </c>
      <c r="B564" t="s">
        <v>224</v>
      </c>
    </row>
    <row r="565" spans="1:2" x14ac:dyDescent="0.25">
      <c r="A565" t="s">
        <v>4605</v>
      </c>
      <c r="B565" t="s">
        <v>226</v>
      </c>
    </row>
    <row r="566" spans="1:2" x14ac:dyDescent="0.25">
      <c r="A566" t="s">
        <v>4606</v>
      </c>
      <c r="B566" t="s">
        <v>228</v>
      </c>
    </row>
    <row r="567" spans="1:2" x14ac:dyDescent="0.25">
      <c r="A567" t="s">
        <v>4607</v>
      </c>
      <c r="B567" t="s">
        <v>797</v>
      </c>
    </row>
    <row r="568" spans="1:2" x14ac:dyDescent="0.25">
      <c r="A568" t="s">
        <v>4608</v>
      </c>
      <c r="B568" t="s">
        <v>2311</v>
      </c>
    </row>
    <row r="569" spans="1:2" x14ac:dyDescent="0.25">
      <c r="A569" t="s">
        <v>4609</v>
      </c>
      <c r="B569" t="s">
        <v>2802</v>
      </c>
    </row>
    <row r="570" spans="1:2" x14ac:dyDescent="0.25">
      <c r="A570" t="s">
        <v>4610</v>
      </c>
      <c r="B570" t="s">
        <v>3350</v>
      </c>
    </row>
    <row r="571" spans="1:2" x14ac:dyDescent="0.25">
      <c r="A571" t="s">
        <v>4611</v>
      </c>
      <c r="B571" t="s">
        <v>2312</v>
      </c>
    </row>
    <row r="572" spans="1:2" x14ac:dyDescent="0.25">
      <c r="A572" t="s">
        <v>4612</v>
      </c>
      <c r="B572" t="s">
        <v>2804</v>
      </c>
    </row>
    <row r="573" spans="1:2" x14ac:dyDescent="0.25">
      <c r="A573" t="s">
        <v>4613</v>
      </c>
      <c r="B573" t="s">
        <v>3360</v>
      </c>
    </row>
    <row r="574" spans="1:2" x14ac:dyDescent="0.25">
      <c r="A574" t="s">
        <v>4614</v>
      </c>
      <c r="B574" t="s">
        <v>230</v>
      </c>
    </row>
    <row r="575" spans="1:2" x14ac:dyDescent="0.25">
      <c r="A575" t="s">
        <v>4615</v>
      </c>
      <c r="B575" t="s">
        <v>233</v>
      </c>
    </row>
    <row r="576" spans="1:2" x14ac:dyDescent="0.25">
      <c r="A576" t="s">
        <v>4616</v>
      </c>
      <c r="B576" t="s">
        <v>235</v>
      </c>
    </row>
    <row r="577" spans="1:2" x14ac:dyDescent="0.25">
      <c r="A577" t="s">
        <v>4617</v>
      </c>
      <c r="B577" t="s">
        <v>237</v>
      </c>
    </row>
    <row r="578" spans="1:2" x14ac:dyDescent="0.25">
      <c r="A578" t="s">
        <v>4618</v>
      </c>
      <c r="B578" t="s">
        <v>239</v>
      </c>
    </row>
    <row r="579" spans="1:2" x14ac:dyDescent="0.25">
      <c r="A579" t="s">
        <v>4619</v>
      </c>
      <c r="B579" t="s">
        <v>241</v>
      </c>
    </row>
    <row r="580" spans="1:2" x14ac:dyDescent="0.25">
      <c r="A580" t="s">
        <v>4620</v>
      </c>
      <c r="B580" t="s">
        <v>243</v>
      </c>
    </row>
    <row r="581" spans="1:2" x14ac:dyDescent="0.25">
      <c r="A581" t="s">
        <v>4621</v>
      </c>
      <c r="B581" t="s">
        <v>245</v>
      </c>
    </row>
    <row r="582" spans="1:2" x14ac:dyDescent="0.25">
      <c r="A582" t="s">
        <v>4622</v>
      </c>
      <c r="B582" t="s">
        <v>247</v>
      </c>
    </row>
    <row r="583" spans="1:2" x14ac:dyDescent="0.25">
      <c r="A583" t="s">
        <v>4623</v>
      </c>
      <c r="B583" t="s">
        <v>249</v>
      </c>
    </row>
    <row r="584" spans="1:2" x14ac:dyDescent="0.25">
      <c r="A584" t="s">
        <v>4624</v>
      </c>
      <c r="B584" t="s">
        <v>251</v>
      </c>
    </row>
    <row r="585" spans="1:2" x14ac:dyDescent="0.25">
      <c r="A585" t="s">
        <v>4625</v>
      </c>
      <c r="B585" t="s">
        <v>253</v>
      </c>
    </row>
    <row r="586" spans="1:2" x14ac:dyDescent="0.25">
      <c r="A586" t="s">
        <v>4626</v>
      </c>
      <c r="B586" t="s">
        <v>255</v>
      </c>
    </row>
    <row r="587" spans="1:2" x14ac:dyDescent="0.25">
      <c r="A587" t="s">
        <v>4627</v>
      </c>
      <c r="B587" t="s">
        <v>3361</v>
      </c>
    </row>
    <row r="588" spans="1:2" x14ac:dyDescent="0.25">
      <c r="A588" t="s">
        <v>4628</v>
      </c>
      <c r="B588" t="s">
        <v>4629</v>
      </c>
    </row>
    <row r="589" spans="1:2" x14ac:dyDescent="0.25">
      <c r="A589" t="s">
        <v>4630</v>
      </c>
      <c r="B589" t="s">
        <v>2313</v>
      </c>
    </row>
    <row r="590" spans="1:2" x14ac:dyDescent="0.25">
      <c r="A590" t="s">
        <v>4631</v>
      </c>
      <c r="B590" t="s">
        <v>4632</v>
      </c>
    </row>
    <row r="591" spans="1:2" x14ac:dyDescent="0.25">
      <c r="A591" t="s">
        <v>4633</v>
      </c>
      <c r="B591" t="s">
        <v>2806</v>
      </c>
    </row>
    <row r="592" spans="1:2" x14ac:dyDescent="0.25">
      <c r="A592" t="s">
        <v>4634</v>
      </c>
      <c r="B592" t="s">
        <v>2195</v>
      </c>
    </row>
    <row r="593" spans="1:2" x14ac:dyDescent="0.25">
      <c r="A593" t="s">
        <v>4635</v>
      </c>
      <c r="B593" t="s">
        <v>257</v>
      </c>
    </row>
    <row r="594" spans="1:2" x14ac:dyDescent="0.25">
      <c r="A594" t="s">
        <v>4636</v>
      </c>
      <c r="B594" t="s">
        <v>259</v>
      </c>
    </row>
    <row r="595" spans="1:2" x14ac:dyDescent="0.25">
      <c r="A595" t="s">
        <v>4637</v>
      </c>
      <c r="B595" t="s">
        <v>3362</v>
      </c>
    </row>
    <row r="596" spans="1:2" x14ac:dyDescent="0.25">
      <c r="A596" t="s">
        <v>4638</v>
      </c>
      <c r="B596" t="s">
        <v>2808</v>
      </c>
    </row>
    <row r="597" spans="1:2" x14ac:dyDescent="0.25">
      <c r="A597" t="s">
        <v>4639</v>
      </c>
      <c r="B597" t="s">
        <v>2193</v>
      </c>
    </row>
    <row r="598" spans="1:2" x14ac:dyDescent="0.25">
      <c r="A598" t="s">
        <v>4640</v>
      </c>
      <c r="B598" t="s">
        <v>2197</v>
      </c>
    </row>
    <row r="599" spans="1:2" x14ac:dyDescent="0.25">
      <c r="A599" t="s">
        <v>4641</v>
      </c>
      <c r="B599" t="s">
        <v>2574</v>
      </c>
    </row>
    <row r="600" spans="1:2" x14ac:dyDescent="0.25">
      <c r="A600" t="s">
        <v>4642</v>
      </c>
      <c r="B600" t="s">
        <v>2575</v>
      </c>
    </row>
    <row r="601" spans="1:2" x14ac:dyDescent="0.25">
      <c r="A601" t="s">
        <v>4643</v>
      </c>
      <c r="B601" t="s">
        <v>4644</v>
      </c>
    </row>
    <row r="602" spans="1:2" x14ac:dyDescent="0.25">
      <c r="A602" t="s">
        <v>4645</v>
      </c>
      <c r="B602" t="s">
        <v>4646</v>
      </c>
    </row>
    <row r="603" spans="1:2" x14ac:dyDescent="0.25">
      <c r="A603" t="s">
        <v>4647</v>
      </c>
      <c r="B603" t="s">
        <v>2826</v>
      </c>
    </row>
    <row r="604" spans="1:2" x14ac:dyDescent="0.25">
      <c r="A604" t="s">
        <v>4648</v>
      </c>
      <c r="B604" t="s">
        <v>4649</v>
      </c>
    </row>
    <row r="605" spans="1:2" x14ac:dyDescent="0.25">
      <c r="A605" t="s">
        <v>4650</v>
      </c>
      <c r="B605" t="s">
        <v>4651</v>
      </c>
    </row>
    <row r="606" spans="1:2" x14ac:dyDescent="0.25">
      <c r="A606" t="s">
        <v>4652</v>
      </c>
      <c r="B606" t="s">
        <v>1665</v>
      </c>
    </row>
    <row r="607" spans="1:2" x14ac:dyDescent="0.25">
      <c r="A607" t="s">
        <v>4653</v>
      </c>
      <c r="B607" t="s">
        <v>825</v>
      </c>
    </row>
    <row r="608" spans="1:2" x14ac:dyDescent="0.25">
      <c r="A608" t="s">
        <v>4654</v>
      </c>
      <c r="B608" t="s">
        <v>828</v>
      </c>
    </row>
    <row r="609" spans="1:2" x14ac:dyDescent="0.25">
      <c r="A609" t="s">
        <v>4655</v>
      </c>
      <c r="B609" t="s">
        <v>2818</v>
      </c>
    </row>
    <row r="610" spans="1:2" x14ac:dyDescent="0.25">
      <c r="A610" t="s">
        <v>4656</v>
      </c>
      <c r="B610" t="s">
        <v>2822</v>
      </c>
    </row>
    <row r="611" spans="1:2" x14ac:dyDescent="0.25">
      <c r="A611" t="s">
        <v>4657</v>
      </c>
      <c r="B611" t="s">
        <v>1667</v>
      </c>
    </row>
    <row r="612" spans="1:2" x14ac:dyDescent="0.25">
      <c r="A612" t="s">
        <v>4658</v>
      </c>
      <c r="B612" t="s">
        <v>831</v>
      </c>
    </row>
    <row r="613" spans="1:2" x14ac:dyDescent="0.25">
      <c r="A613" t="s">
        <v>4659</v>
      </c>
      <c r="B613" t="s">
        <v>2327</v>
      </c>
    </row>
    <row r="614" spans="1:2" x14ac:dyDescent="0.25">
      <c r="A614" t="s">
        <v>4660</v>
      </c>
      <c r="B614" t="s">
        <v>4661</v>
      </c>
    </row>
    <row r="615" spans="1:2" x14ac:dyDescent="0.25">
      <c r="A615" t="s">
        <v>4662</v>
      </c>
      <c r="B615" t="s">
        <v>2326</v>
      </c>
    </row>
    <row r="616" spans="1:2" x14ac:dyDescent="0.25">
      <c r="A616" t="s">
        <v>4663</v>
      </c>
      <c r="B616" t="s">
        <v>2325</v>
      </c>
    </row>
    <row r="617" spans="1:2" x14ac:dyDescent="0.25">
      <c r="A617" t="s">
        <v>4664</v>
      </c>
      <c r="B617" t="s">
        <v>4665</v>
      </c>
    </row>
    <row r="618" spans="1:2" x14ac:dyDescent="0.25">
      <c r="A618" t="s">
        <v>4666</v>
      </c>
      <c r="B618" t="s">
        <v>4667</v>
      </c>
    </row>
    <row r="619" spans="1:2" x14ac:dyDescent="0.25">
      <c r="A619" t="s">
        <v>4668</v>
      </c>
      <c r="B619" t="s">
        <v>275</v>
      </c>
    </row>
    <row r="620" spans="1:2" x14ac:dyDescent="0.25">
      <c r="A620" t="s">
        <v>4669</v>
      </c>
      <c r="B620" t="s">
        <v>104</v>
      </c>
    </row>
    <row r="621" spans="1:2" x14ac:dyDescent="0.25">
      <c r="A621" t="s">
        <v>4670</v>
      </c>
      <c r="B621" t="s">
        <v>4671</v>
      </c>
    </row>
    <row r="622" spans="1:2" x14ac:dyDescent="0.25">
      <c r="A622" t="s">
        <v>4672</v>
      </c>
      <c r="B622" t="s">
        <v>4673</v>
      </c>
    </row>
    <row r="623" spans="1:2" x14ac:dyDescent="0.25">
      <c r="A623" t="s">
        <v>4674</v>
      </c>
      <c r="B623" t="s">
        <v>4675</v>
      </c>
    </row>
    <row r="624" spans="1:2" x14ac:dyDescent="0.25">
      <c r="A624" t="s">
        <v>4676</v>
      </c>
      <c r="B624" t="s">
        <v>2481</v>
      </c>
    </row>
    <row r="625" spans="1:2" x14ac:dyDescent="0.25">
      <c r="A625" t="s">
        <v>4677</v>
      </c>
      <c r="B625" t="s">
        <v>3134</v>
      </c>
    </row>
    <row r="626" spans="1:2" x14ac:dyDescent="0.25">
      <c r="A626" t="s">
        <v>4678</v>
      </c>
      <c r="B626" t="s">
        <v>4679</v>
      </c>
    </row>
    <row r="627" spans="1:2" x14ac:dyDescent="0.25">
      <c r="A627" t="s">
        <v>4680</v>
      </c>
      <c r="B627" t="s">
        <v>4681</v>
      </c>
    </row>
    <row r="628" spans="1:2" x14ac:dyDescent="0.25">
      <c r="A628" t="s">
        <v>4682</v>
      </c>
      <c r="B628" t="s">
        <v>4683</v>
      </c>
    </row>
    <row r="629" spans="1:2" x14ac:dyDescent="0.25">
      <c r="A629" t="s">
        <v>4684</v>
      </c>
      <c r="B629" t="s">
        <v>3135</v>
      </c>
    </row>
    <row r="630" spans="1:2" x14ac:dyDescent="0.25">
      <c r="A630" t="s">
        <v>4685</v>
      </c>
      <c r="B630" t="s">
        <v>4686</v>
      </c>
    </row>
    <row r="631" spans="1:2" x14ac:dyDescent="0.25">
      <c r="A631" t="s">
        <v>4687</v>
      </c>
      <c r="B631" t="s">
        <v>4688</v>
      </c>
    </row>
    <row r="632" spans="1:2" x14ac:dyDescent="0.25">
      <c r="A632" t="s">
        <v>4689</v>
      </c>
      <c r="B632" t="s">
        <v>4690</v>
      </c>
    </row>
    <row r="633" spans="1:2" x14ac:dyDescent="0.25">
      <c r="A633" t="s">
        <v>4691</v>
      </c>
      <c r="B633" t="s">
        <v>3136</v>
      </c>
    </row>
    <row r="634" spans="1:2" x14ac:dyDescent="0.25">
      <c r="A634" t="s">
        <v>4692</v>
      </c>
      <c r="B634" t="s">
        <v>4693</v>
      </c>
    </row>
    <row r="635" spans="1:2" x14ac:dyDescent="0.25">
      <c r="A635" t="s">
        <v>4694</v>
      </c>
      <c r="B635" t="s">
        <v>2328</v>
      </c>
    </row>
    <row r="636" spans="1:2" x14ac:dyDescent="0.25">
      <c r="A636" t="s">
        <v>4695</v>
      </c>
      <c r="B636" t="s">
        <v>4696</v>
      </c>
    </row>
    <row r="637" spans="1:2" x14ac:dyDescent="0.25">
      <c r="A637" t="s">
        <v>4697</v>
      </c>
      <c r="B637" t="s">
        <v>4698</v>
      </c>
    </row>
    <row r="638" spans="1:2" x14ac:dyDescent="0.25">
      <c r="A638" t="s">
        <v>4699</v>
      </c>
      <c r="B638" t="s">
        <v>4700</v>
      </c>
    </row>
    <row r="639" spans="1:2" x14ac:dyDescent="0.25">
      <c r="A639" t="s">
        <v>4701</v>
      </c>
      <c r="B639" t="s">
        <v>835</v>
      </c>
    </row>
    <row r="640" spans="1:2" x14ac:dyDescent="0.25">
      <c r="A640" t="s">
        <v>4702</v>
      </c>
      <c r="B640" t="s">
        <v>4703</v>
      </c>
    </row>
    <row r="641" spans="1:2" x14ac:dyDescent="0.25">
      <c r="A641" t="s">
        <v>4704</v>
      </c>
      <c r="B641" t="s">
        <v>4705</v>
      </c>
    </row>
    <row r="642" spans="1:2" x14ac:dyDescent="0.25">
      <c r="A642" t="s">
        <v>4706</v>
      </c>
      <c r="B642" t="s">
        <v>4707</v>
      </c>
    </row>
    <row r="643" spans="1:2" x14ac:dyDescent="0.25">
      <c r="A643" t="s">
        <v>4708</v>
      </c>
      <c r="B643" t="s">
        <v>3138</v>
      </c>
    </row>
    <row r="644" spans="1:2" x14ac:dyDescent="0.25">
      <c r="A644" t="s">
        <v>4709</v>
      </c>
      <c r="B644" t="s">
        <v>4710</v>
      </c>
    </row>
    <row r="645" spans="1:2" x14ac:dyDescent="0.25">
      <c r="A645" t="s">
        <v>4711</v>
      </c>
      <c r="B645" t="s">
        <v>4712</v>
      </c>
    </row>
    <row r="646" spans="1:2" x14ac:dyDescent="0.25">
      <c r="A646" t="s">
        <v>4713</v>
      </c>
      <c r="B646" t="s">
        <v>4714</v>
      </c>
    </row>
    <row r="647" spans="1:2" x14ac:dyDescent="0.25">
      <c r="A647" t="s">
        <v>4715</v>
      </c>
      <c r="B647" t="s">
        <v>1669</v>
      </c>
    </row>
    <row r="648" spans="1:2" x14ac:dyDescent="0.25">
      <c r="A648" t="s">
        <v>4716</v>
      </c>
      <c r="B648" t="s">
        <v>1669</v>
      </c>
    </row>
    <row r="649" spans="1:2" x14ac:dyDescent="0.25">
      <c r="A649" t="s">
        <v>4717</v>
      </c>
      <c r="B649" t="s">
        <v>4718</v>
      </c>
    </row>
    <row r="650" spans="1:2" x14ac:dyDescent="0.25">
      <c r="A650" t="s">
        <v>4719</v>
      </c>
      <c r="B650" t="s">
        <v>4720</v>
      </c>
    </row>
    <row r="651" spans="1:2" x14ac:dyDescent="0.25">
      <c r="A651" t="s">
        <v>4721</v>
      </c>
      <c r="B651" t="s">
        <v>3139</v>
      </c>
    </row>
    <row r="652" spans="1:2" x14ac:dyDescent="0.25">
      <c r="A652" t="s">
        <v>4722</v>
      </c>
      <c r="B652" t="s">
        <v>3140</v>
      </c>
    </row>
    <row r="653" spans="1:2" x14ac:dyDescent="0.25">
      <c r="A653" t="s">
        <v>4723</v>
      </c>
      <c r="B653" t="s">
        <v>2329</v>
      </c>
    </row>
    <row r="654" spans="1:2" x14ac:dyDescent="0.25">
      <c r="A654" t="s">
        <v>4724</v>
      </c>
      <c r="B654" t="s">
        <v>2736</v>
      </c>
    </row>
    <row r="655" spans="1:2" x14ac:dyDescent="0.25">
      <c r="A655" t="s">
        <v>4725</v>
      </c>
      <c r="B655" t="s">
        <v>4726</v>
      </c>
    </row>
    <row r="656" spans="1:2" x14ac:dyDescent="0.25">
      <c r="A656" t="s">
        <v>4727</v>
      </c>
      <c r="B656" t="s">
        <v>3141</v>
      </c>
    </row>
    <row r="657" spans="1:2" x14ac:dyDescent="0.25">
      <c r="A657" t="s">
        <v>4728</v>
      </c>
      <c r="B657" t="s">
        <v>3142</v>
      </c>
    </row>
    <row r="658" spans="1:2" x14ac:dyDescent="0.25">
      <c r="A658" t="s">
        <v>4729</v>
      </c>
      <c r="B658" t="s">
        <v>838</v>
      </c>
    </row>
    <row r="659" spans="1:2" x14ac:dyDescent="0.25">
      <c r="A659" t="s">
        <v>4730</v>
      </c>
      <c r="B659" t="s">
        <v>841</v>
      </c>
    </row>
    <row r="660" spans="1:2" x14ac:dyDescent="0.25">
      <c r="A660" t="s">
        <v>4731</v>
      </c>
      <c r="B660" t="s">
        <v>2330</v>
      </c>
    </row>
    <row r="661" spans="1:2" x14ac:dyDescent="0.25">
      <c r="A661" t="s">
        <v>4732</v>
      </c>
      <c r="B661" t="s">
        <v>4733</v>
      </c>
    </row>
    <row r="662" spans="1:2" x14ac:dyDescent="0.25">
      <c r="A662" t="s">
        <v>4734</v>
      </c>
      <c r="B662" t="s">
        <v>3111</v>
      </c>
    </row>
    <row r="663" spans="1:2" x14ac:dyDescent="0.25">
      <c r="A663" t="s">
        <v>4735</v>
      </c>
      <c r="B663" t="s">
        <v>4736</v>
      </c>
    </row>
    <row r="664" spans="1:2" x14ac:dyDescent="0.25">
      <c r="A664" t="s">
        <v>4737</v>
      </c>
      <c r="B664" t="s">
        <v>4738</v>
      </c>
    </row>
    <row r="665" spans="1:2" x14ac:dyDescent="0.25">
      <c r="A665" t="s">
        <v>4739</v>
      </c>
      <c r="B665" t="s">
        <v>3115</v>
      </c>
    </row>
    <row r="666" spans="1:2" x14ac:dyDescent="0.25">
      <c r="A666" t="s">
        <v>4740</v>
      </c>
      <c r="B666" t="s">
        <v>4741</v>
      </c>
    </row>
    <row r="667" spans="1:2" x14ac:dyDescent="0.25">
      <c r="A667" t="s">
        <v>4742</v>
      </c>
      <c r="B667" t="s">
        <v>4743</v>
      </c>
    </row>
    <row r="668" spans="1:2" x14ac:dyDescent="0.25">
      <c r="A668" t="s">
        <v>4744</v>
      </c>
      <c r="B668" t="s">
        <v>2324</v>
      </c>
    </row>
    <row r="669" spans="1:2" x14ac:dyDescent="0.25">
      <c r="A669" t="s">
        <v>4745</v>
      </c>
      <c r="B669" t="s">
        <v>1684</v>
      </c>
    </row>
    <row r="670" spans="1:2" x14ac:dyDescent="0.25">
      <c r="A670" t="s">
        <v>4746</v>
      </c>
      <c r="B670" t="s">
        <v>1687</v>
      </c>
    </row>
    <row r="671" spans="1:2" x14ac:dyDescent="0.25">
      <c r="A671" t="s">
        <v>4747</v>
      </c>
      <c r="B671" t="s">
        <v>2816</v>
      </c>
    </row>
    <row r="672" spans="1:2" x14ac:dyDescent="0.25">
      <c r="A672" t="s">
        <v>4748</v>
      </c>
      <c r="B672" t="s">
        <v>2557</v>
      </c>
    </row>
    <row r="673" spans="1:2" x14ac:dyDescent="0.25">
      <c r="A673" t="s">
        <v>4749</v>
      </c>
      <c r="B673" t="s">
        <v>3320</v>
      </c>
    </row>
    <row r="674" spans="1:2" x14ac:dyDescent="0.25">
      <c r="A674" t="s">
        <v>4750</v>
      </c>
      <c r="B674" t="s">
        <v>3321</v>
      </c>
    </row>
    <row r="675" spans="1:2" x14ac:dyDescent="0.25">
      <c r="A675" t="s">
        <v>4751</v>
      </c>
      <c r="B675" t="s">
        <v>2559</v>
      </c>
    </row>
    <row r="676" spans="1:2" x14ac:dyDescent="0.25">
      <c r="A676" t="s">
        <v>4752</v>
      </c>
      <c r="B676" t="s">
        <v>4753</v>
      </c>
    </row>
    <row r="677" spans="1:2" x14ac:dyDescent="0.25">
      <c r="A677" t="s">
        <v>4754</v>
      </c>
      <c r="B677" t="s">
        <v>3322</v>
      </c>
    </row>
    <row r="678" spans="1:2" x14ac:dyDescent="0.25">
      <c r="A678" t="s">
        <v>4755</v>
      </c>
      <c r="B678" t="s">
        <v>3323</v>
      </c>
    </row>
    <row r="679" spans="1:2" x14ac:dyDescent="0.25">
      <c r="A679" t="s">
        <v>4756</v>
      </c>
      <c r="B679" t="s">
        <v>3324</v>
      </c>
    </row>
    <row r="680" spans="1:2" x14ac:dyDescent="0.25">
      <c r="A680" t="s">
        <v>4757</v>
      </c>
      <c r="B680" t="s">
        <v>3325</v>
      </c>
    </row>
    <row r="681" spans="1:2" x14ac:dyDescent="0.25">
      <c r="A681" t="s">
        <v>4758</v>
      </c>
      <c r="B681" t="s">
        <v>2334</v>
      </c>
    </row>
    <row r="682" spans="1:2" x14ac:dyDescent="0.25">
      <c r="A682" t="s">
        <v>4759</v>
      </c>
      <c r="B682" t="s">
        <v>4760</v>
      </c>
    </row>
    <row r="683" spans="1:2" x14ac:dyDescent="0.25">
      <c r="A683" t="s">
        <v>4761</v>
      </c>
      <c r="B683" t="s">
        <v>856</v>
      </c>
    </row>
    <row r="684" spans="1:2" x14ac:dyDescent="0.25">
      <c r="A684" t="s">
        <v>4762</v>
      </c>
      <c r="B684" t="s">
        <v>3241</v>
      </c>
    </row>
    <row r="685" spans="1:2" x14ac:dyDescent="0.25">
      <c r="A685" t="s">
        <v>4763</v>
      </c>
      <c r="B685" t="s">
        <v>3242</v>
      </c>
    </row>
    <row r="686" spans="1:2" x14ac:dyDescent="0.25">
      <c r="A686" t="s">
        <v>4764</v>
      </c>
      <c r="B686" t="s">
        <v>4765</v>
      </c>
    </row>
    <row r="687" spans="1:2" x14ac:dyDescent="0.25">
      <c r="A687" t="s">
        <v>4766</v>
      </c>
      <c r="B687" t="s">
        <v>3243</v>
      </c>
    </row>
    <row r="688" spans="1:2" x14ac:dyDescent="0.25">
      <c r="A688" t="s">
        <v>4767</v>
      </c>
      <c r="B688" t="s">
        <v>3244</v>
      </c>
    </row>
    <row r="689" spans="1:2" x14ac:dyDescent="0.25">
      <c r="A689" t="s">
        <v>4768</v>
      </c>
      <c r="B689" t="s">
        <v>4769</v>
      </c>
    </row>
    <row r="690" spans="1:2" x14ac:dyDescent="0.25">
      <c r="A690" t="s">
        <v>4770</v>
      </c>
      <c r="B690" t="s">
        <v>4771</v>
      </c>
    </row>
    <row r="691" spans="1:2" x14ac:dyDescent="0.25">
      <c r="A691" t="s">
        <v>4772</v>
      </c>
      <c r="B691" t="s">
        <v>4773</v>
      </c>
    </row>
    <row r="692" spans="1:2" x14ac:dyDescent="0.25">
      <c r="A692" t="s">
        <v>4774</v>
      </c>
      <c r="B692" t="s">
        <v>4775</v>
      </c>
    </row>
    <row r="693" spans="1:2" x14ac:dyDescent="0.25">
      <c r="A693" t="s">
        <v>4776</v>
      </c>
      <c r="B693" t="s">
        <v>3086</v>
      </c>
    </row>
    <row r="694" spans="1:2" x14ac:dyDescent="0.25">
      <c r="A694" t="s">
        <v>4777</v>
      </c>
      <c r="B694" t="s">
        <v>4778</v>
      </c>
    </row>
    <row r="695" spans="1:2" x14ac:dyDescent="0.25">
      <c r="A695" t="s">
        <v>4779</v>
      </c>
      <c r="B695" t="s">
        <v>4780</v>
      </c>
    </row>
    <row r="696" spans="1:2" x14ac:dyDescent="0.25">
      <c r="A696" t="s">
        <v>4781</v>
      </c>
      <c r="B696" t="s">
        <v>3087</v>
      </c>
    </row>
    <row r="697" spans="1:2" x14ac:dyDescent="0.25">
      <c r="A697" t="s">
        <v>4782</v>
      </c>
      <c r="B697" t="s">
        <v>4783</v>
      </c>
    </row>
    <row r="698" spans="1:2" x14ac:dyDescent="0.25">
      <c r="A698" t="s">
        <v>4784</v>
      </c>
      <c r="B698" t="s">
        <v>4785</v>
      </c>
    </row>
    <row r="699" spans="1:2" x14ac:dyDescent="0.25">
      <c r="A699" t="s">
        <v>4786</v>
      </c>
      <c r="B699" t="s">
        <v>4787</v>
      </c>
    </row>
    <row r="700" spans="1:2" x14ac:dyDescent="0.25">
      <c r="A700" t="s">
        <v>4788</v>
      </c>
      <c r="B700" t="s">
        <v>3088</v>
      </c>
    </row>
    <row r="701" spans="1:2" x14ac:dyDescent="0.25">
      <c r="A701" t="s">
        <v>4789</v>
      </c>
      <c r="B701" t="s">
        <v>4790</v>
      </c>
    </row>
    <row r="702" spans="1:2" x14ac:dyDescent="0.25">
      <c r="A702" t="s">
        <v>4791</v>
      </c>
      <c r="B702" t="s">
        <v>4792</v>
      </c>
    </row>
    <row r="703" spans="1:2" x14ac:dyDescent="0.25">
      <c r="A703" t="s">
        <v>4793</v>
      </c>
      <c r="B703" t="s">
        <v>4794</v>
      </c>
    </row>
    <row r="704" spans="1:2" x14ac:dyDescent="0.25">
      <c r="A704" t="s">
        <v>4795</v>
      </c>
      <c r="B704" t="s">
        <v>4796</v>
      </c>
    </row>
    <row r="705" spans="1:2" x14ac:dyDescent="0.25">
      <c r="A705" t="s">
        <v>4797</v>
      </c>
      <c r="B705" t="s">
        <v>4798</v>
      </c>
    </row>
    <row r="706" spans="1:2" x14ac:dyDescent="0.25">
      <c r="A706" t="s">
        <v>4799</v>
      </c>
      <c r="B706" t="s">
        <v>4800</v>
      </c>
    </row>
    <row r="707" spans="1:2" x14ac:dyDescent="0.25">
      <c r="A707" t="s">
        <v>4801</v>
      </c>
      <c r="B707" t="s">
        <v>4802</v>
      </c>
    </row>
    <row r="708" spans="1:2" x14ac:dyDescent="0.25">
      <c r="A708" t="s">
        <v>4803</v>
      </c>
      <c r="B708" t="s">
        <v>4804</v>
      </c>
    </row>
    <row r="709" spans="1:2" x14ac:dyDescent="0.25">
      <c r="A709" t="s">
        <v>4805</v>
      </c>
      <c r="B709" t="s">
        <v>2339</v>
      </c>
    </row>
    <row r="710" spans="1:2" x14ac:dyDescent="0.25">
      <c r="A710" t="s">
        <v>4806</v>
      </c>
      <c r="B710" t="s">
        <v>4807</v>
      </c>
    </row>
    <row r="711" spans="1:2" x14ac:dyDescent="0.25">
      <c r="A711" t="s">
        <v>4808</v>
      </c>
      <c r="B711" t="s">
        <v>4809</v>
      </c>
    </row>
    <row r="712" spans="1:2" x14ac:dyDescent="0.25">
      <c r="A712" t="s">
        <v>4810</v>
      </c>
      <c r="B712" t="s">
        <v>4811</v>
      </c>
    </row>
    <row r="713" spans="1:2" x14ac:dyDescent="0.25">
      <c r="A713" t="s">
        <v>4812</v>
      </c>
      <c r="B713" t="s">
        <v>4813</v>
      </c>
    </row>
    <row r="714" spans="1:2" x14ac:dyDescent="0.25">
      <c r="A714" t="s">
        <v>4814</v>
      </c>
      <c r="B714" t="s">
        <v>4815</v>
      </c>
    </row>
    <row r="715" spans="1:2" x14ac:dyDescent="0.25">
      <c r="A715" t="s">
        <v>4816</v>
      </c>
      <c r="B715" t="s">
        <v>4817</v>
      </c>
    </row>
    <row r="716" spans="1:2" x14ac:dyDescent="0.25">
      <c r="A716" t="s">
        <v>4818</v>
      </c>
      <c r="B716" t="s">
        <v>4819</v>
      </c>
    </row>
    <row r="717" spans="1:2" x14ac:dyDescent="0.25">
      <c r="A717" t="s">
        <v>4820</v>
      </c>
      <c r="B717" t="s">
        <v>4821</v>
      </c>
    </row>
    <row r="718" spans="1:2" x14ac:dyDescent="0.25">
      <c r="A718" t="s">
        <v>4822</v>
      </c>
      <c r="B718" t="s">
        <v>4823</v>
      </c>
    </row>
    <row r="719" spans="1:2" x14ac:dyDescent="0.25">
      <c r="A719" t="s">
        <v>4824</v>
      </c>
      <c r="B719" t="s">
        <v>4825</v>
      </c>
    </row>
    <row r="720" spans="1:2" x14ac:dyDescent="0.25">
      <c r="A720" t="s">
        <v>4826</v>
      </c>
      <c r="B720" t="s">
        <v>4827</v>
      </c>
    </row>
    <row r="721" spans="1:2" x14ac:dyDescent="0.25">
      <c r="A721" t="s">
        <v>4828</v>
      </c>
      <c r="B721" t="s">
        <v>4829</v>
      </c>
    </row>
    <row r="722" spans="1:2" x14ac:dyDescent="0.25">
      <c r="A722" t="s">
        <v>4830</v>
      </c>
      <c r="B722" t="s">
        <v>2341</v>
      </c>
    </row>
    <row r="723" spans="1:2" x14ac:dyDescent="0.25">
      <c r="A723" t="s">
        <v>4831</v>
      </c>
      <c r="B723" t="s">
        <v>3326</v>
      </c>
    </row>
    <row r="724" spans="1:2" x14ac:dyDescent="0.25">
      <c r="A724" t="s">
        <v>4832</v>
      </c>
      <c r="B724" t="s">
        <v>3327</v>
      </c>
    </row>
    <row r="725" spans="1:2" x14ac:dyDescent="0.25">
      <c r="A725" t="s">
        <v>4833</v>
      </c>
      <c r="B725" t="s">
        <v>3328</v>
      </c>
    </row>
    <row r="726" spans="1:2" x14ac:dyDescent="0.25">
      <c r="A726" t="s">
        <v>4834</v>
      </c>
      <c r="B726" t="s">
        <v>2358</v>
      </c>
    </row>
    <row r="727" spans="1:2" x14ac:dyDescent="0.25">
      <c r="A727" t="s">
        <v>4835</v>
      </c>
      <c r="B727" t="s">
        <v>3199</v>
      </c>
    </row>
    <row r="728" spans="1:2" x14ac:dyDescent="0.25">
      <c r="A728" t="s">
        <v>4836</v>
      </c>
      <c r="B728" t="s">
        <v>4837</v>
      </c>
    </row>
    <row r="729" spans="1:2" x14ac:dyDescent="0.25">
      <c r="A729" t="s">
        <v>4838</v>
      </c>
      <c r="B729" t="s">
        <v>4839</v>
      </c>
    </row>
    <row r="730" spans="1:2" x14ac:dyDescent="0.25">
      <c r="A730" t="s">
        <v>4840</v>
      </c>
      <c r="B730" t="s">
        <v>4841</v>
      </c>
    </row>
    <row r="731" spans="1:2" x14ac:dyDescent="0.25">
      <c r="A731" t="s">
        <v>4842</v>
      </c>
      <c r="B731" t="s">
        <v>4843</v>
      </c>
    </row>
    <row r="732" spans="1:2" x14ac:dyDescent="0.25">
      <c r="A732" t="s">
        <v>4844</v>
      </c>
      <c r="B732" t="s">
        <v>4845</v>
      </c>
    </row>
    <row r="733" spans="1:2" x14ac:dyDescent="0.25">
      <c r="A733" t="s">
        <v>4846</v>
      </c>
      <c r="B733" t="s">
        <v>4847</v>
      </c>
    </row>
    <row r="734" spans="1:2" x14ac:dyDescent="0.25">
      <c r="A734" t="s">
        <v>4848</v>
      </c>
      <c r="B734" t="s">
        <v>4849</v>
      </c>
    </row>
    <row r="735" spans="1:2" x14ac:dyDescent="0.25">
      <c r="A735" t="s">
        <v>4850</v>
      </c>
      <c r="B735" t="s">
        <v>4851</v>
      </c>
    </row>
    <row r="736" spans="1:2" x14ac:dyDescent="0.25">
      <c r="A736" t="s">
        <v>4852</v>
      </c>
      <c r="B736" t="s">
        <v>4853</v>
      </c>
    </row>
    <row r="737" spans="1:2" x14ac:dyDescent="0.25">
      <c r="A737" t="s">
        <v>4854</v>
      </c>
      <c r="B737" t="s">
        <v>4855</v>
      </c>
    </row>
    <row r="738" spans="1:2" x14ac:dyDescent="0.25">
      <c r="A738" t="s">
        <v>4856</v>
      </c>
      <c r="B738" t="s">
        <v>4857</v>
      </c>
    </row>
    <row r="739" spans="1:2" x14ac:dyDescent="0.25">
      <c r="A739" t="s">
        <v>4858</v>
      </c>
      <c r="B739" t="s">
        <v>4859</v>
      </c>
    </row>
    <row r="740" spans="1:2" x14ac:dyDescent="0.25">
      <c r="A740" t="s">
        <v>4860</v>
      </c>
      <c r="B740" t="s">
        <v>4861</v>
      </c>
    </row>
    <row r="741" spans="1:2" x14ac:dyDescent="0.25">
      <c r="A741" t="s">
        <v>4862</v>
      </c>
      <c r="B741" t="s">
        <v>4863</v>
      </c>
    </row>
    <row r="742" spans="1:2" x14ac:dyDescent="0.25">
      <c r="A742" t="s">
        <v>4864</v>
      </c>
      <c r="B742" t="s">
        <v>4865</v>
      </c>
    </row>
    <row r="743" spans="1:2" x14ac:dyDescent="0.25">
      <c r="A743" t="s">
        <v>4866</v>
      </c>
      <c r="B743" t="s">
        <v>4867</v>
      </c>
    </row>
    <row r="744" spans="1:2" x14ac:dyDescent="0.25">
      <c r="A744" t="s">
        <v>4868</v>
      </c>
      <c r="B744" t="s">
        <v>4869</v>
      </c>
    </row>
    <row r="745" spans="1:2" x14ac:dyDescent="0.25">
      <c r="A745" t="s">
        <v>4870</v>
      </c>
      <c r="B745" t="s">
        <v>4871</v>
      </c>
    </row>
    <row r="746" spans="1:2" x14ac:dyDescent="0.25">
      <c r="A746" t="s">
        <v>4872</v>
      </c>
      <c r="B746" t="s">
        <v>4873</v>
      </c>
    </row>
    <row r="747" spans="1:2" x14ac:dyDescent="0.25">
      <c r="A747" t="s">
        <v>4874</v>
      </c>
      <c r="B747" t="s">
        <v>4875</v>
      </c>
    </row>
    <row r="748" spans="1:2" x14ac:dyDescent="0.25">
      <c r="A748" t="s">
        <v>4876</v>
      </c>
      <c r="B748" t="s">
        <v>2331</v>
      </c>
    </row>
    <row r="749" spans="1:2" x14ac:dyDescent="0.25">
      <c r="A749" t="s">
        <v>4877</v>
      </c>
      <c r="B749" t="s">
        <v>4878</v>
      </c>
    </row>
    <row r="750" spans="1:2" x14ac:dyDescent="0.25">
      <c r="A750" t="s">
        <v>4879</v>
      </c>
      <c r="B750" t="s">
        <v>4880</v>
      </c>
    </row>
    <row r="751" spans="1:2" x14ac:dyDescent="0.25">
      <c r="A751" t="s">
        <v>4881</v>
      </c>
      <c r="B751" t="s">
        <v>4882</v>
      </c>
    </row>
    <row r="752" spans="1:2" x14ac:dyDescent="0.25">
      <c r="A752" t="s">
        <v>4883</v>
      </c>
      <c r="B752" t="s">
        <v>4884</v>
      </c>
    </row>
    <row r="753" spans="1:2" x14ac:dyDescent="0.25">
      <c r="A753" t="s">
        <v>4885</v>
      </c>
      <c r="B753" t="s">
        <v>4886</v>
      </c>
    </row>
    <row r="754" spans="1:2" x14ac:dyDescent="0.25">
      <c r="A754" t="s">
        <v>4887</v>
      </c>
      <c r="B754" t="s">
        <v>3295</v>
      </c>
    </row>
    <row r="755" spans="1:2" x14ac:dyDescent="0.25">
      <c r="A755" t="s">
        <v>4888</v>
      </c>
      <c r="B755" t="s">
        <v>4889</v>
      </c>
    </row>
    <row r="756" spans="1:2" x14ac:dyDescent="0.25">
      <c r="A756" t="s">
        <v>4890</v>
      </c>
      <c r="B756" t="s">
        <v>4891</v>
      </c>
    </row>
    <row r="757" spans="1:2" x14ac:dyDescent="0.25">
      <c r="A757" t="s">
        <v>4892</v>
      </c>
      <c r="B757" t="s">
        <v>4893</v>
      </c>
    </row>
    <row r="758" spans="1:2" x14ac:dyDescent="0.25">
      <c r="A758" t="s">
        <v>4894</v>
      </c>
      <c r="B758" t="s">
        <v>4895</v>
      </c>
    </row>
    <row r="759" spans="1:2" x14ac:dyDescent="0.25">
      <c r="A759" t="s">
        <v>4896</v>
      </c>
      <c r="B759" t="s">
        <v>4897</v>
      </c>
    </row>
    <row r="760" spans="1:2" x14ac:dyDescent="0.25">
      <c r="A760" t="s">
        <v>4898</v>
      </c>
      <c r="B760" t="s">
        <v>4899</v>
      </c>
    </row>
    <row r="761" spans="1:2" x14ac:dyDescent="0.25">
      <c r="A761" t="s">
        <v>4900</v>
      </c>
      <c r="B761" t="s">
        <v>4901</v>
      </c>
    </row>
    <row r="762" spans="1:2" x14ac:dyDescent="0.25">
      <c r="A762" t="s">
        <v>4902</v>
      </c>
      <c r="B762" t="s">
        <v>3297</v>
      </c>
    </row>
    <row r="763" spans="1:2" x14ac:dyDescent="0.25">
      <c r="A763" t="s">
        <v>4903</v>
      </c>
      <c r="B763" t="s">
        <v>4904</v>
      </c>
    </row>
    <row r="764" spans="1:2" x14ac:dyDescent="0.25">
      <c r="A764" t="s">
        <v>4905</v>
      </c>
      <c r="B764" t="s">
        <v>4906</v>
      </c>
    </row>
    <row r="765" spans="1:2" x14ac:dyDescent="0.25">
      <c r="A765" t="s">
        <v>4907</v>
      </c>
      <c r="B765" t="s">
        <v>4908</v>
      </c>
    </row>
    <row r="766" spans="1:2" x14ac:dyDescent="0.25">
      <c r="A766" t="s">
        <v>4909</v>
      </c>
      <c r="B766" t="s">
        <v>4910</v>
      </c>
    </row>
    <row r="767" spans="1:2" x14ac:dyDescent="0.25">
      <c r="A767" t="s">
        <v>4911</v>
      </c>
      <c r="B767" t="s">
        <v>3299</v>
      </c>
    </row>
    <row r="768" spans="1:2" x14ac:dyDescent="0.25">
      <c r="A768" t="s">
        <v>4912</v>
      </c>
      <c r="B768" t="s">
        <v>4913</v>
      </c>
    </row>
    <row r="769" spans="1:2" x14ac:dyDescent="0.25">
      <c r="A769" t="s">
        <v>4914</v>
      </c>
      <c r="B769" t="s">
        <v>4915</v>
      </c>
    </row>
    <row r="770" spans="1:2" x14ac:dyDescent="0.25">
      <c r="A770" t="s">
        <v>4916</v>
      </c>
      <c r="B770" t="s">
        <v>3300</v>
      </c>
    </row>
    <row r="771" spans="1:2" x14ac:dyDescent="0.25">
      <c r="A771" t="s">
        <v>4917</v>
      </c>
      <c r="B771" t="s">
        <v>4918</v>
      </c>
    </row>
    <row r="772" spans="1:2" x14ac:dyDescent="0.25">
      <c r="A772" t="s">
        <v>4919</v>
      </c>
      <c r="B772" t="s">
        <v>4920</v>
      </c>
    </row>
    <row r="773" spans="1:2" x14ac:dyDescent="0.25">
      <c r="A773" t="s">
        <v>4921</v>
      </c>
      <c r="B773" t="s">
        <v>4922</v>
      </c>
    </row>
    <row r="774" spans="1:2" x14ac:dyDescent="0.25">
      <c r="A774" t="s">
        <v>4923</v>
      </c>
      <c r="B774" t="s">
        <v>4924</v>
      </c>
    </row>
    <row r="775" spans="1:2" x14ac:dyDescent="0.25">
      <c r="A775" t="s">
        <v>4925</v>
      </c>
      <c r="B775" t="s">
        <v>4926</v>
      </c>
    </row>
    <row r="776" spans="1:2" x14ac:dyDescent="0.25">
      <c r="A776" t="s">
        <v>4927</v>
      </c>
      <c r="B776" t="s">
        <v>4928</v>
      </c>
    </row>
    <row r="777" spans="1:2" x14ac:dyDescent="0.25">
      <c r="A777" t="s">
        <v>4929</v>
      </c>
      <c r="B777" t="s">
        <v>4930</v>
      </c>
    </row>
    <row r="778" spans="1:2" x14ac:dyDescent="0.25">
      <c r="A778" t="s">
        <v>4931</v>
      </c>
      <c r="B778" t="s">
        <v>4932</v>
      </c>
    </row>
    <row r="779" spans="1:2" x14ac:dyDescent="0.25">
      <c r="A779" t="s">
        <v>4933</v>
      </c>
      <c r="B779" t="s">
        <v>4934</v>
      </c>
    </row>
    <row r="780" spans="1:2" x14ac:dyDescent="0.25">
      <c r="A780" t="s">
        <v>4935</v>
      </c>
      <c r="B780" t="s">
        <v>4936</v>
      </c>
    </row>
    <row r="781" spans="1:2" x14ac:dyDescent="0.25">
      <c r="A781" t="s">
        <v>4937</v>
      </c>
      <c r="B781" t="s">
        <v>4938</v>
      </c>
    </row>
    <row r="782" spans="1:2" x14ac:dyDescent="0.25">
      <c r="A782" t="s">
        <v>4939</v>
      </c>
      <c r="B782" t="s">
        <v>290</v>
      </c>
    </row>
    <row r="783" spans="1:2" x14ac:dyDescent="0.25">
      <c r="A783" t="s">
        <v>4940</v>
      </c>
      <c r="B783" t="s">
        <v>292</v>
      </c>
    </row>
    <row r="784" spans="1:2" x14ac:dyDescent="0.25">
      <c r="A784" t="s">
        <v>4941</v>
      </c>
      <c r="B784" t="s">
        <v>378</v>
      </c>
    </row>
    <row r="785" spans="1:2" x14ac:dyDescent="0.25">
      <c r="A785" t="s">
        <v>4942</v>
      </c>
      <c r="B785" t="s">
        <v>4943</v>
      </c>
    </row>
    <row r="786" spans="1:2" x14ac:dyDescent="0.25">
      <c r="A786" t="s">
        <v>4944</v>
      </c>
      <c r="B786" t="s">
        <v>2304</v>
      </c>
    </row>
    <row r="787" spans="1:2" x14ac:dyDescent="0.25">
      <c r="A787" t="s">
        <v>4945</v>
      </c>
      <c r="B787" t="s">
        <v>2544</v>
      </c>
    </row>
    <row r="788" spans="1:2" x14ac:dyDescent="0.25">
      <c r="A788" t="s">
        <v>4946</v>
      </c>
      <c r="B788" t="s">
        <v>2306</v>
      </c>
    </row>
    <row r="789" spans="1:2" x14ac:dyDescent="0.25">
      <c r="A789" t="s">
        <v>4947</v>
      </c>
      <c r="B789" t="s">
        <v>2834</v>
      </c>
    </row>
    <row r="790" spans="1:2" x14ac:dyDescent="0.25">
      <c r="A790" t="s">
        <v>4948</v>
      </c>
      <c r="B790" t="s">
        <v>2836</v>
      </c>
    </row>
    <row r="791" spans="1:2" x14ac:dyDescent="0.25">
      <c r="A791" t="s">
        <v>4949</v>
      </c>
      <c r="B791" t="s">
        <v>1690</v>
      </c>
    </row>
    <row r="792" spans="1:2" x14ac:dyDescent="0.25">
      <c r="A792" t="s">
        <v>4950</v>
      </c>
      <c r="B792" t="s">
        <v>3144</v>
      </c>
    </row>
    <row r="793" spans="1:2" x14ac:dyDescent="0.25">
      <c r="A793" t="s">
        <v>4951</v>
      </c>
      <c r="B793" t="s">
        <v>1692</v>
      </c>
    </row>
    <row r="794" spans="1:2" x14ac:dyDescent="0.25">
      <c r="A794" t="s">
        <v>4952</v>
      </c>
      <c r="B794" t="s">
        <v>3145</v>
      </c>
    </row>
    <row r="795" spans="1:2" x14ac:dyDescent="0.25">
      <c r="A795" t="s">
        <v>4953</v>
      </c>
      <c r="B795" t="s">
        <v>1694</v>
      </c>
    </row>
    <row r="796" spans="1:2" x14ac:dyDescent="0.25">
      <c r="A796" t="s">
        <v>4954</v>
      </c>
      <c r="B796" t="s">
        <v>3146</v>
      </c>
    </row>
    <row r="797" spans="1:2" x14ac:dyDescent="0.25">
      <c r="A797" t="s">
        <v>4955</v>
      </c>
      <c r="B797" t="s">
        <v>4956</v>
      </c>
    </row>
    <row r="798" spans="1:2" x14ac:dyDescent="0.25">
      <c r="A798" t="s">
        <v>4957</v>
      </c>
      <c r="B798" t="s">
        <v>2838</v>
      </c>
    </row>
    <row r="799" spans="1:2" x14ac:dyDescent="0.25">
      <c r="A799" t="s">
        <v>4958</v>
      </c>
      <c r="B799" t="s">
        <v>4959</v>
      </c>
    </row>
    <row r="800" spans="1:2" x14ac:dyDescent="0.25">
      <c r="A800" t="s">
        <v>4960</v>
      </c>
      <c r="B800" t="s">
        <v>2342</v>
      </c>
    </row>
    <row r="801" spans="1:2" x14ac:dyDescent="0.25">
      <c r="A801" t="s">
        <v>4961</v>
      </c>
      <c r="B801" t="s">
        <v>2840</v>
      </c>
    </row>
    <row r="802" spans="1:2" x14ac:dyDescent="0.25">
      <c r="A802" t="s">
        <v>4962</v>
      </c>
      <c r="B802" t="s">
        <v>3147</v>
      </c>
    </row>
    <row r="803" spans="1:2" x14ac:dyDescent="0.25">
      <c r="A803" t="s">
        <v>4963</v>
      </c>
      <c r="B803" t="s">
        <v>4964</v>
      </c>
    </row>
    <row r="804" spans="1:2" x14ac:dyDescent="0.25">
      <c r="A804" t="s">
        <v>4965</v>
      </c>
      <c r="B804" t="s">
        <v>2842</v>
      </c>
    </row>
    <row r="805" spans="1:2" x14ac:dyDescent="0.25">
      <c r="A805" t="s">
        <v>4966</v>
      </c>
      <c r="B805" t="s">
        <v>3148</v>
      </c>
    </row>
    <row r="806" spans="1:2" x14ac:dyDescent="0.25">
      <c r="A806" t="s">
        <v>4967</v>
      </c>
      <c r="B806" t="s">
        <v>2343</v>
      </c>
    </row>
    <row r="807" spans="1:2" x14ac:dyDescent="0.25">
      <c r="A807" t="s">
        <v>4968</v>
      </c>
      <c r="B807" t="s">
        <v>4969</v>
      </c>
    </row>
    <row r="808" spans="1:2" x14ac:dyDescent="0.25">
      <c r="A808" t="s">
        <v>4970</v>
      </c>
      <c r="B808" t="s">
        <v>4971</v>
      </c>
    </row>
    <row r="809" spans="1:2" x14ac:dyDescent="0.25">
      <c r="A809" t="s">
        <v>4972</v>
      </c>
      <c r="B809" t="s">
        <v>4973</v>
      </c>
    </row>
    <row r="810" spans="1:2" x14ac:dyDescent="0.25">
      <c r="A810" t="s">
        <v>4974</v>
      </c>
      <c r="B810" t="s">
        <v>3149</v>
      </c>
    </row>
    <row r="811" spans="1:2" x14ac:dyDescent="0.25">
      <c r="A811" t="s">
        <v>4975</v>
      </c>
      <c r="B811" t="s">
        <v>860</v>
      </c>
    </row>
    <row r="812" spans="1:2" x14ac:dyDescent="0.25">
      <c r="A812" t="s">
        <v>4976</v>
      </c>
      <c r="B812" t="s">
        <v>863</v>
      </c>
    </row>
    <row r="813" spans="1:2" x14ac:dyDescent="0.25">
      <c r="A813" t="s">
        <v>4977</v>
      </c>
      <c r="B813" t="s">
        <v>3150</v>
      </c>
    </row>
    <row r="814" spans="1:2" x14ac:dyDescent="0.25">
      <c r="A814" t="s">
        <v>4978</v>
      </c>
      <c r="B814" t="s">
        <v>2344</v>
      </c>
    </row>
    <row r="815" spans="1:2" x14ac:dyDescent="0.25">
      <c r="A815" t="s">
        <v>4979</v>
      </c>
      <c r="B815" t="s">
        <v>2345</v>
      </c>
    </row>
    <row r="816" spans="1:2" x14ac:dyDescent="0.25">
      <c r="A816" t="s">
        <v>4980</v>
      </c>
      <c r="B816" t="s">
        <v>4981</v>
      </c>
    </row>
    <row r="817" spans="1:2" x14ac:dyDescent="0.25">
      <c r="A817" t="s">
        <v>4982</v>
      </c>
      <c r="B817" t="s">
        <v>867</v>
      </c>
    </row>
    <row r="818" spans="1:2" x14ac:dyDescent="0.25">
      <c r="A818" t="s">
        <v>4983</v>
      </c>
      <c r="B818" t="s">
        <v>871</v>
      </c>
    </row>
    <row r="819" spans="1:2" x14ac:dyDescent="0.25">
      <c r="A819" t="s">
        <v>4984</v>
      </c>
      <c r="B819" t="s">
        <v>874</v>
      </c>
    </row>
    <row r="820" spans="1:2" x14ac:dyDescent="0.25">
      <c r="A820" t="s">
        <v>4985</v>
      </c>
      <c r="B820" t="s">
        <v>4986</v>
      </c>
    </row>
    <row r="821" spans="1:2" x14ac:dyDescent="0.25">
      <c r="A821" t="s">
        <v>4987</v>
      </c>
      <c r="B821" t="s">
        <v>877</v>
      </c>
    </row>
    <row r="822" spans="1:2" x14ac:dyDescent="0.25">
      <c r="A822" t="s">
        <v>4988</v>
      </c>
      <c r="B822" t="s">
        <v>880</v>
      </c>
    </row>
    <row r="823" spans="1:2" x14ac:dyDescent="0.25">
      <c r="A823" t="s">
        <v>4989</v>
      </c>
      <c r="B823" t="s">
        <v>890</v>
      </c>
    </row>
    <row r="824" spans="1:2" x14ac:dyDescent="0.25">
      <c r="A824" t="s">
        <v>4990</v>
      </c>
      <c r="B824" t="s">
        <v>3218</v>
      </c>
    </row>
    <row r="825" spans="1:2" x14ac:dyDescent="0.25">
      <c r="A825" t="s">
        <v>4991</v>
      </c>
      <c r="B825" t="s">
        <v>893</v>
      </c>
    </row>
    <row r="826" spans="1:2" x14ac:dyDescent="0.25">
      <c r="A826" t="s">
        <v>4992</v>
      </c>
      <c r="B826" t="s">
        <v>2844</v>
      </c>
    </row>
    <row r="827" spans="1:2" x14ac:dyDescent="0.25">
      <c r="A827" t="s">
        <v>4993</v>
      </c>
      <c r="B827" t="s">
        <v>4994</v>
      </c>
    </row>
    <row r="828" spans="1:2" x14ac:dyDescent="0.25">
      <c r="A828" t="s">
        <v>4995</v>
      </c>
      <c r="B828" t="s">
        <v>3290</v>
      </c>
    </row>
    <row r="829" spans="1:2" x14ac:dyDescent="0.25">
      <c r="A829" t="s">
        <v>4996</v>
      </c>
      <c r="B829" t="s">
        <v>2357</v>
      </c>
    </row>
    <row r="830" spans="1:2" x14ac:dyDescent="0.25">
      <c r="A830" t="s">
        <v>4997</v>
      </c>
      <c r="B830" t="s">
        <v>3168</v>
      </c>
    </row>
    <row r="831" spans="1:2" x14ac:dyDescent="0.25">
      <c r="A831" t="s">
        <v>4998</v>
      </c>
      <c r="B831" t="s">
        <v>2353</v>
      </c>
    </row>
    <row r="832" spans="1:2" x14ac:dyDescent="0.25">
      <c r="A832" t="s">
        <v>4999</v>
      </c>
      <c r="B832" t="s">
        <v>1710</v>
      </c>
    </row>
    <row r="833" spans="1:2" x14ac:dyDescent="0.25">
      <c r="A833" t="s">
        <v>5000</v>
      </c>
      <c r="B833" t="s">
        <v>1983</v>
      </c>
    </row>
    <row r="834" spans="1:2" x14ac:dyDescent="0.25">
      <c r="A834" t="s">
        <v>5001</v>
      </c>
      <c r="B834" t="s">
        <v>1712</v>
      </c>
    </row>
    <row r="835" spans="1:2" x14ac:dyDescent="0.25">
      <c r="A835" t="s">
        <v>5002</v>
      </c>
      <c r="B835" t="s">
        <v>1714</v>
      </c>
    </row>
    <row r="836" spans="1:2" x14ac:dyDescent="0.25">
      <c r="A836" t="s">
        <v>5003</v>
      </c>
      <c r="B836" t="s">
        <v>3169</v>
      </c>
    </row>
    <row r="837" spans="1:2" x14ac:dyDescent="0.25">
      <c r="A837" t="s">
        <v>5004</v>
      </c>
      <c r="B837" t="s">
        <v>2858</v>
      </c>
    </row>
    <row r="838" spans="1:2" x14ac:dyDescent="0.25">
      <c r="A838" t="s">
        <v>5005</v>
      </c>
      <c r="B838" t="s">
        <v>2354</v>
      </c>
    </row>
    <row r="839" spans="1:2" x14ac:dyDescent="0.25">
      <c r="A839" t="s">
        <v>5006</v>
      </c>
      <c r="B839" t="s">
        <v>3170</v>
      </c>
    </row>
    <row r="840" spans="1:2" x14ac:dyDescent="0.25">
      <c r="A840" t="s">
        <v>5007</v>
      </c>
      <c r="B840" t="s">
        <v>1716</v>
      </c>
    </row>
    <row r="841" spans="1:2" x14ac:dyDescent="0.25">
      <c r="A841" t="s">
        <v>5008</v>
      </c>
      <c r="B841" t="s">
        <v>1718</v>
      </c>
    </row>
    <row r="842" spans="1:2" x14ac:dyDescent="0.25">
      <c r="A842" t="s">
        <v>5009</v>
      </c>
      <c r="B842" t="s">
        <v>3171</v>
      </c>
    </row>
    <row r="843" spans="1:2" x14ac:dyDescent="0.25">
      <c r="A843" t="s">
        <v>5010</v>
      </c>
      <c r="B843" t="s">
        <v>3172</v>
      </c>
    </row>
    <row r="844" spans="1:2" x14ac:dyDescent="0.25">
      <c r="A844" t="s">
        <v>5011</v>
      </c>
      <c r="B844" t="s">
        <v>3173</v>
      </c>
    </row>
    <row r="845" spans="1:2" x14ac:dyDescent="0.25">
      <c r="A845" t="s">
        <v>5012</v>
      </c>
      <c r="B845" t="s">
        <v>2355</v>
      </c>
    </row>
    <row r="846" spans="1:2" x14ac:dyDescent="0.25">
      <c r="A846" t="s">
        <v>5013</v>
      </c>
      <c r="B846" t="s">
        <v>3174</v>
      </c>
    </row>
    <row r="847" spans="1:2" x14ac:dyDescent="0.25">
      <c r="A847" t="s">
        <v>5014</v>
      </c>
      <c r="B847" t="s">
        <v>2356</v>
      </c>
    </row>
    <row r="848" spans="1:2" x14ac:dyDescent="0.25">
      <c r="A848" t="s">
        <v>5015</v>
      </c>
      <c r="B848" t="s">
        <v>896</v>
      </c>
    </row>
    <row r="849" spans="1:2" x14ac:dyDescent="0.25">
      <c r="A849" t="s">
        <v>5016</v>
      </c>
      <c r="B849" t="s">
        <v>3245</v>
      </c>
    </row>
    <row r="850" spans="1:2" x14ac:dyDescent="0.25">
      <c r="A850" t="s">
        <v>5017</v>
      </c>
      <c r="B850" t="s">
        <v>3246</v>
      </c>
    </row>
    <row r="851" spans="1:2" x14ac:dyDescent="0.25">
      <c r="A851" t="s">
        <v>5018</v>
      </c>
      <c r="B851" t="s">
        <v>3247</v>
      </c>
    </row>
    <row r="852" spans="1:2" x14ac:dyDescent="0.25">
      <c r="A852" t="s">
        <v>5019</v>
      </c>
      <c r="B852" t="s">
        <v>689</v>
      </c>
    </row>
    <row r="853" spans="1:2" x14ac:dyDescent="0.25">
      <c r="A853" t="s">
        <v>5020</v>
      </c>
      <c r="B853" t="s">
        <v>301</v>
      </c>
    </row>
    <row r="854" spans="1:2" x14ac:dyDescent="0.25">
      <c r="A854" t="s">
        <v>5021</v>
      </c>
      <c r="B854" t="s">
        <v>303</v>
      </c>
    </row>
    <row r="855" spans="1:2" x14ac:dyDescent="0.25">
      <c r="A855" t="s">
        <v>5022</v>
      </c>
      <c r="B855" t="s">
        <v>690</v>
      </c>
    </row>
    <row r="856" spans="1:2" x14ac:dyDescent="0.25">
      <c r="A856" t="s">
        <v>5023</v>
      </c>
      <c r="B856" t="s">
        <v>1720</v>
      </c>
    </row>
    <row r="857" spans="1:2" x14ac:dyDescent="0.25">
      <c r="A857" t="s">
        <v>5024</v>
      </c>
      <c r="B857" t="s">
        <v>3329</v>
      </c>
    </row>
    <row r="858" spans="1:2" x14ac:dyDescent="0.25">
      <c r="A858" t="s">
        <v>5025</v>
      </c>
      <c r="B858" t="s">
        <v>5026</v>
      </c>
    </row>
    <row r="859" spans="1:2" x14ac:dyDescent="0.25">
      <c r="A859" t="s">
        <v>5027</v>
      </c>
      <c r="B859" t="s">
        <v>3330</v>
      </c>
    </row>
    <row r="860" spans="1:2" x14ac:dyDescent="0.25">
      <c r="A860" t="s">
        <v>5028</v>
      </c>
      <c r="B860" t="s">
        <v>3331</v>
      </c>
    </row>
    <row r="861" spans="1:2" x14ac:dyDescent="0.25">
      <c r="A861" t="s">
        <v>5029</v>
      </c>
      <c r="B861" t="s">
        <v>1722</v>
      </c>
    </row>
    <row r="862" spans="1:2" x14ac:dyDescent="0.25">
      <c r="A862" t="s">
        <v>5030</v>
      </c>
      <c r="B862" t="s">
        <v>2359</v>
      </c>
    </row>
    <row r="863" spans="1:2" x14ac:dyDescent="0.25">
      <c r="A863" t="s">
        <v>5031</v>
      </c>
      <c r="B863" t="s">
        <v>3332</v>
      </c>
    </row>
    <row r="864" spans="1:2" x14ac:dyDescent="0.25">
      <c r="A864" t="s">
        <v>5032</v>
      </c>
      <c r="B864" t="s">
        <v>3333</v>
      </c>
    </row>
    <row r="865" spans="1:2" x14ac:dyDescent="0.25">
      <c r="A865" t="s">
        <v>5033</v>
      </c>
      <c r="B865" t="s">
        <v>3334</v>
      </c>
    </row>
    <row r="866" spans="1:2" x14ac:dyDescent="0.25">
      <c r="A866" t="s">
        <v>5034</v>
      </c>
      <c r="B866" t="s">
        <v>1725</v>
      </c>
    </row>
    <row r="867" spans="1:2" x14ac:dyDescent="0.25">
      <c r="A867" t="s">
        <v>5035</v>
      </c>
      <c r="B867" t="s">
        <v>1727</v>
      </c>
    </row>
    <row r="868" spans="1:2" x14ac:dyDescent="0.25">
      <c r="A868" t="s">
        <v>5036</v>
      </c>
      <c r="B868" t="s">
        <v>1729</v>
      </c>
    </row>
    <row r="869" spans="1:2" x14ac:dyDescent="0.25">
      <c r="A869" t="s">
        <v>5037</v>
      </c>
      <c r="B869" t="s">
        <v>3335</v>
      </c>
    </row>
    <row r="870" spans="1:2" x14ac:dyDescent="0.25">
      <c r="A870" t="s">
        <v>5038</v>
      </c>
      <c r="B870" t="s">
        <v>3336</v>
      </c>
    </row>
    <row r="871" spans="1:2" x14ac:dyDescent="0.25">
      <c r="A871" t="s">
        <v>5039</v>
      </c>
      <c r="B871" t="s">
        <v>3337</v>
      </c>
    </row>
    <row r="872" spans="1:2" x14ac:dyDescent="0.25">
      <c r="A872" t="s">
        <v>5040</v>
      </c>
      <c r="B872" t="s">
        <v>3338</v>
      </c>
    </row>
    <row r="873" spans="1:2" x14ac:dyDescent="0.25">
      <c r="A873" t="s">
        <v>5041</v>
      </c>
      <c r="B873" t="s">
        <v>1731</v>
      </c>
    </row>
    <row r="874" spans="1:2" x14ac:dyDescent="0.25">
      <c r="A874" t="s">
        <v>5042</v>
      </c>
      <c r="B874" t="s">
        <v>1733</v>
      </c>
    </row>
    <row r="875" spans="1:2" x14ac:dyDescent="0.25">
      <c r="A875" t="s">
        <v>5043</v>
      </c>
      <c r="B875" t="s">
        <v>3339</v>
      </c>
    </row>
    <row r="876" spans="1:2" x14ac:dyDescent="0.25">
      <c r="A876" t="s">
        <v>5044</v>
      </c>
      <c r="B876" t="s">
        <v>3340</v>
      </c>
    </row>
    <row r="877" spans="1:2" x14ac:dyDescent="0.25">
      <c r="A877" t="s">
        <v>5045</v>
      </c>
      <c r="B877" t="s">
        <v>305</v>
      </c>
    </row>
    <row r="878" spans="1:2" x14ac:dyDescent="0.25">
      <c r="A878" t="s">
        <v>5046</v>
      </c>
      <c r="B878" t="s">
        <v>2429</v>
      </c>
    </row>
    <row r="879" spans="1:2" x14ac:dyDescent="0.25">
      <c r="A879" t="s">
        <v>5047</v>
      </c>
      <c r="B879" t="s">
        <v>2430</v>
      </c>
    </row>
    <row r="880" spans="1:2" x14ac:dyDescent="0.25">
      <c r="A880" t="s">
        <v>5048</v>
      </c>
      <c r="B880" t="s">
        <v>2360</v>
      </c>
    </row>
    <row r="881" spans="1:2" x14ac:dyDescent="0.25">
      <c r="A881" t="s">
        <v>5049</v>
      </c>
      <c r="B881" t="s">
        <v>5050</v>
      </c>
    </row>
    <row r="882" spans="1:2" x14ac:dyDescent="0.25">
      <c r="A882" t="s">
        <v>5051</v>
      </c>
      <c r="B882" t="s">
        <v>3093</v>
      </c>
    </row>
    <row r="883" spans="1:2" x14ac:dyDescent="0.25">
      <c r="A883" t="s">
        <v>5052</v>
      </c>
      <c r="B883" t="s">
        <v>1735</v>
      </c>
    </row>
    <row r="884" spans="1:2" x14ac:dyDescent="0.25">
      <c r="A884" t="s">
        <v>5053</v>
      </c>
      <c r="B884" t="s">
        <v>3094</v>
      </c>
    </row>
    <row r="885" spans="1:2" x14ac:dyDescent="0.25">
      <c r="A885" t="s">
        <v>5054</v>
      </c>
      <c r="B885" t="s">
        <v>3096</v>
      </c>
    </row>
    <row r="886" spans="1:2" x14ac:dyDescent="0.25">
      <c r="A886" t="s">
        <v>5055</v>
      </c>
      <c r="B886" t="s">
        <v>1696</v>
      </c>
    </row>
    <row r="887" spans="1:2" x14ac:dyDescent="0.25">
      <c r="A887" t="s">
        <v>5056</v>
      </c>
      <c r="B887" t="s">
        <v>1698</v>
      </c>
    </row>
    <row r="888" spans="1:2" x14ac:dyDescent="0.25">
      <c r="A888" t="s">
        <v>5057</v>
      </c>
      <c r="B888" t="s">
        <v>3151</v>
      </c>
    </row>
    <row r="889" spans="1:2" x14ac:dyDescent="0.25">
      <c r="A889" t="s">
        <v>5058</v>
      </c>
      <c r="B889" t="s">
        <v>2846</v>
      </c>
    </row>
    <row r="890" spans="1:2" x14ac:dyDescent="0.25">
      <c r="A890" t="s">
        <v>5059</v>
      </c>
      <c r="B890" t="s">
        <v>2346</v>
      </c>
    </row>
    <row r="891" spans="1:2" x14ac:dyDescent="0.25">
      <c r="A891" t="s">
        <v>5060</v>
      </c>
      <c r="B891" t="s">
        <v>2347</v>
      </c>
    </row>
    <row r="892" spans="1:2" x14ac:dyDescent="0.25">
      <c r="A892" t="s">
        <v>5061</v>
      </c>
      <c r="B892" t="s">
        <v>2987</v>
      </c>
    </row>
    <row r="893" spans="1:2" x14ac:dyDescent="0.25">
      <c r="A893" t="s">
        <v>5062</v>
      </c>
      <c r="B893" t="s">
        <v>3152</v>
      </c>
    </row>
    <row r="894" spans="1:2" x14ac:dyDescent="0.25">
      <c r="A894" t="s">
        <v>5063</v>
      </c>
      <c r="B894" t="s">
        <v>2348</v>
      </c>
    </row>
    <row r="895" spans="1:2" x14ac:dyDescent="0.25">
      <c r="A895" t="s">
        <v>5064</v>
      </c>
      <c r="B895" t="s">
        <v>3153</v>
      </c>
    </row>
    <row r="896" spans="1:2" x14ac:dyDescent="0.25">
      <c r="A896" t="s">
        <v>5065</v>
      </c>
      <c r="B896" t="s">
        <v>5066</v>
      </c>
    </row>
    <row r="897" spans="1:2" x14ac:dyDescent="0.25">
      <c r="A897" t="s">
        <v>5067</v>
      </c>
      <c r="B897" t="s">
        <v>2719</v>
      </c>
    </row>
    <row r="898" spans="1:2" x14ac:dyDescent="0.25">
      <c r="A898" t="s">
        <v>5068</v>
      </c>
      <c r="B898" t="s">
        <v>2848</v>
      </c>
    </row>
    <row r="899" spans="1:2" x14ac:dyDescent="0.25">
      <c r="A899" t="s">
        <v>5069</v>
      </c>
      <c r="B899" t="s">
        <v>1700</v>
      </c>
    </row>
    <row r="900" spans="1:2" x14ac:dyDescent="0.25">
      <c r="A900" t="s">
        <v>5070</v>
      </c>
      <c r="B900" t="s">
        <v>2349</v>
      </c>
    </row>
    <row r="901" spans="1:2" x14ac:dyDescent="0.25">
      <c r="A901" t="s">
        <v>5071</v>
      </c>
      <c r="B901" t="s">
        <v>2850</v>
      </c>
    </row>
    <row r="902" spans="1:2" x14ac:dyDescent="0.25">
      <c r="A902" t="s">
        <v>5072</v>
      </c>
      <c r="B902" t="s">
        <v>3008</v>
      </c>
    </row>
    <row r="903" spans="1:2" x14ac:dyDescent="0.25">
      <c r="A903" t="s">
        <v>5073</v>
      </c>
      <c r="B903" t="s">
        <v>1702</v>
      </c>
    </row>
    <row r="904" spans="1:2" x14ac:dyDescent="0.25">
      <c r="A904" t="s">
        <v>5074</v>
      </c>
      <c r="B904" t="s">
        <v>2431</v>
      </c>
    </row>
    <row r="905" spans="1:2" x14ac:dyDescent="0.25">
      <c r="A905" t="s">
        <v>5075</v>
      </c>
      <c r="B905" t="s">
        <v>1704</v>
      </c>
    </row>
    <row r="906" spans="1:2" x14ac:dyDescent="0.25">
      <c r="A906" t="s">
        <v>5076</v>
      </c>
      <c r="B906" t="s">
        <v>2852</v>
      </c>
    </row>
    <row r="907" spans="1:2" x14ac:dyDescent="0.25">
      <c r="A907" t="s">
        <v>5077</v>
      </c>
      <c r="B907" t="s">
        <v>883</v>
      </c>
    </row>
    <row r="908" spans="1:2" x14ac:dyDescent="0.25">
      <c r="A908" t="s">
        <v>5078</v>
      </c>
      <c r="B908" t="s">
        <v>2479</v>
      </c>
    </row>
    <row r="909" spans="1:2" x14ac:dyDescent="0.25">
      <c r="A909" t="s">
        <v>5079</v>
      </c>
      <c r="B909" t="s">
        <v>2694</v>
      </c>
    </row>
    <row r="910" spans="1:2" x14ac:dyDescent="0.25">
      <c r="A910" t="s">
        <v>5080</v>
      </c>
      <c r="B910" t="s">
        <v>2698</v>
      </c>
    </row>
    <row r="911" spans="1:2" x14ac:dyDescent="0.25">
      <c r="A911" t="s">
        <v>5081</v>
      </c>
      <c r="B911" t="s">
        <v>2854</v>
      </c>
    </row>
    <row r="912" spans="1:2" x14ac:dyDescent="0.25">
      <c r="A912" t="s">
        <v>5082</v>
      </c>
      <c r="B912" t="s">
        <v>2856</v>
      </c>
    </row>
    <row r="913" spans="1:2" x14ac:dyDescent="0.25">
      <c r="A913" t="s">
        <v>5083</v>
      </c>
      <c r="B913" t="s">
        <v>887</v>
      </c>
    </row>
    <row r="914" spans="1:2" x14ac:dyDescent="0.25">
      <c r="A914" t="s">
        <v>5084</v>
      </c>
      <c r="B914" t="s">
        <v>2350</v>
      </c>
    </row>
    <row r="915" spans="1:2" x14ac:dyDescent="0.25">
      <c r="A915" t="s">
        <v>5085</v>
      </c>
      <c r="B915" t="s">
        <v>2351</v>
      </c>
    </row>
    <row r="916" spans="1:2" x14ac:dyDescent="0.25">
      <c r="A916" t="s">
        <v>5086</v>
      </c>
      <c r="B916" t="s">
        <v>2352</v>
      </c>
    </row>
    <row r="917" spans="1:2" x14ac:dyDescent="0.25">
      <c r="A917" t="s">
        <v>5087</v>
      </c>
      <c r="B917" t="s">
        <v>1706</v>
      </c>
    </row>
    <row r="918" spans="1:2" x14ac:dyDescent="0.25">
      <c r="A918" t="s">
        <v>5088</v>
      </c>
      <c r="B918" t="s">
        <v>5089</v>
      </c>
    </row>
    <row r="919" spans="1:2" x14ac:dyDescent="0.25">
      <c r="A919" t="s">
        <v>5090</v>
      </c>
      <c r="B919" t="s">
        <v>1708</v>
      </c>
    </row>
    <row r="920" spans="1:2" x14ac:dyDescent="0.25">
      <c r="A920" t="s">
        <v>5091</v>
      </c>
      <c r="B920" t="s">
        <v>3367</v>
      </c>
    </row>
    <row r="921" spans="1:2" x14ac:dyDescent="0.25">
      <c r="A921" t="s">
        <v>5092</v>
      </c>
      <c r="B921" t="s">
        <v>2860</v>
      </c>
    </row>
    <row r="922" spans="1:2" x14ac:dyDescent="0.25">
      <c r="A922" t="s">
        <v>5093</v>
      </c>
      <c r="B922" t="s">
        <v>3097</v>
      </c>
    </row>
    <row r="923" spans="1:2" x14ac:dyDescent="0.25">
      <c r="A923" t="s">
        <v>5094</v>
      </c>
      <c r="B923" t="s">
        <v>5095</v>
      </c>
    </row>
    <row r="924" spans="1:2" x14ac:dyDescent="0.25">
      <c r="A924" t="s">
        <v>5096</v>
      </c>
      <c r="B924" t="s">
        <v>3098</v>
      </c>
    </row>
    <row r="925" spans="1:2" x14ac:dyDescent="0.25">
      <c r="A925" t="s">
        <v>5097</v>
      </c>
      <c r="B925" t="s">
        <v>3099</v>
      </c>
    </row>
    <row r="926" spans="1:2" x14ac:dyDescent="0.25">
      <c r="A926" t="s">
        <v>5098</v>
      </c>
      <c r="B926" t="s">
        <v>3100</v>
      </c>
    </row>
    <row r="927" spans="1:2" x14ac:dyDescent="0.25">
      <c r="A927" t="s">
        <v>5099</v>
      </c>
      <c r="B927" t="s">
        <v>3101</v>
      </c>
    </row>
    <row r="928" spans="1:2" x14ac:dyDescent="0.25">
      <c r="A928" t="s">
        <v>5100</v>
      </c>
      <c r="B928" t="s">
        <v>3102</v>
      </c>
    </row>
    <row r="929" spans="1:2" x14ac:dyDescent="0.25">
      <c r="A929" t="s">
        <v>5101</v>
      </c>
      <c r="B929" t="s">
        <v>3103</v>
      </c>
    </row>
    <row r="930" spans="1:2" x14ac:dyDescent="0.25">
      <c r="A930" t="s">
        <v>5102</v>
      </c>
      <c r="B930" t="s">
        <v>3104</v>
      </c>
    </row>
    <row r="931" spans="1:2" x14ac:dyDescent="0.25">
      <c r="A931" t="s">
        <v>5103</v>
      </c>
      <c r="B931" t="s">
        <v>2862</v>
      </c>
    </row>
    <row r="932" spans="1:2" x14ac:dyDescent="0.25">
      <c r="A932" t="s">
        <v>5104</v>
      </c>
      <c r="B932" t="s">
        <v>1737</v>
      </c>
    </row>
    <row r="933" spans="1:2" x14ac:dyDescent="0.25">
      <c r="A933" t="s">
        <v>5105</v>
      </c>
      <c r="B933" t="s">
        <v>5106</v>
      </c>
    </row>
    <row r="934" spans="1:2" x14ac:dyDescent="0.25">
      <c r="A934" t="s">
        <v>5107</v>
      </c>
      <c r="B934" t="s">
        <v>2361</v>
      </c>
    </row>
    <row r="935" spans="1:2" x14ac:dyDescent="0.25">
      <c r="A935" t="s">
        <v>5108</v>
      </c>
      <c r="B935" t="s">
        <v>2864</v>
      </c>
    </row>
    <row r="936" spans="1:2" x14ac:dyDescent="0.25">
      <c r="A936" t="s">
        <v>5109</v>
      </c>
      <c r="B936" t="s">
        <v>307</v>
      </c>
    </row>
    <row r="937" spans="1:2" x14ac:dyDescent="0.25">
      <c r="A937" t="s">
        <v>5110</v>
      </c>
      <c r="B937" t="s">
        <v>309</v>
      </c>
    </row>
    <row r="938" spans="1:2" x14ac:dyDescent="0.25">
      <c r="A938" t="s">
        <v>5111</v>
      </c>
      <c r="B938" t="s">
        <v>311</v>
      </c>
    </row>
    <row r="939" spans="1:2" x14ac:dyDescent="0.25">
      <c r="A939" t="s">
        <v>5112</v>
      </c>
      <c r="B939" t="s">
        <v>3159</v>
      </c>
    </row>
    <row r="940" spans="1:2" x14ac:dyDescent="0.25">
      <c r="A940" t="s">
        <v>5113</v>
      </c>
      <c r="B940" t="s">
        <v>313</v>
      </c>
    </row>
    <row r="941" spans="1:2" x14ac:dyDescent="0.25">
      <c r="A941" t="s">
        <v>5114</v>
      </c>
      <c r="B941" t="s">
        <v>315</v>
      </c>
    </row>
    <row r="942" spans="1:2" x14ac:dyDescent="0.25">
      <c r="A942" t="s">
        <v>5115</v>
      </c>
      <c r="B942" t="s">
        <v>317</v>
      </c>
    </row>
    <row r="943" spans="1:2" x14ac:dyDescent="0.25">
      <c r="A943" t="s">
        <v>5116</v>
      </c>
      <c r="B943" t="s">
        <v>319</v>
      </c>
    </row>
    <row r="944" spans="1:2" x14ac:dyDescent="0.25">
      <c r="A944" t="s">
        <v>5117</v>
      </c>
      <c r="B944" t="s">
        <v>902</v>
      </c>
    </row>
    <row r="945" spans="1:2" x14ac:dyDescent="0.25">
      <c r="A945" t="s">
        <v>5118</v>
      </c>
      <c r="B945" t="s">
        <v>3248</v>
      </c>
    </row>
    <row r="946" spans="1:2" x14ac:dyDescent="0.25">
      <c r="A946" t="s">
        <v>5119</v>
      </c>
      <c r="B946" t="s">
        <v>3249</v>
      </c>
    </row>
    <row r="947" spans="1:2" x14ac:dyDescent="0.25">
      <c r="A947" t="s">
        <v>5120</v>
      </c>
      <c r="B947" t="s">
        <v>3250</v>
      </c>
    </row>
    <row r="948" spans="1:2" x14ac:dyDescent="0.25">
      <c r="A948" t="s">
        <v>5121</v>
      </c>
      <c r="B948" t="s">
        <v>3251</v>
      </c>
    </row>
    <row r="949" spans="1:2" x14ac:dyDescent="0.25">
      <c r="A949" t="s">
        <v>5122</v>
      </c>
      <c r="B949" t="s">
        <v>3252</v>
      </c>
    </row>
    <row r="950" spans="1:2" x14ac:dyDescent="0.25">
      <c r="A950" t="s">
        <v>5123</v>
      </c>
      <c r="B950" t="s">
        <v>5124</v>
      </c>
    </row>
    <row r="951" spans="1:2" x14ac:dyDescent="0.25">
      <c r="A951" t="s">
        <v>5125</v>
      </c>
      <c r="B951" t="s">
        <v>3253</v>
      </c>
    </row>
    <row r="952" spans="1:2" x14ac:dyDescent="0.25">
      <c r="A952" t="s">
        <v>5126</v>
      </c>
      <c r="B952" t="s">
        <v>3254</v>
      </c>
    </row>
    <row r="953" spans="1:2" x14ac:dyDescent="0.25">
      <c r="A953" t="s">
        <v>5127</v>
      </c>
      <c r="B953" t="s">
        <v>905</v>
      </c>
    </row>
    <row r="954" spans="1:2" x14ac:dyDescent="0.25">
      <c r="A954" t="s">
        <v>5128</v>
      </c>
      <c r="B954" t="s">
        <v>3255</v>
      </c>
    </row>
    <row r="955" spans="1:2" x14ac:dyDescent="0.25">
      <c r="A955" t="s">
        <v>5129</v>
      </c>
      <c r="B955" t="s">
        <v>3256</v>
      </c>
    </row>
    <row r="956" spans="1:2" x14ac:dyDescent="0.25">
      <c r="A956" t="s">
        <v>5130</v>
      </c>
      <c r="B956" t="s">
        <v>2362</v>
      </c>
    </row>
    <row r="957" spans="1:2" x14ac:dyDescent="0.25">
      <c r="A957" t="s">
        <v>5131</v>
      </c>
      <c r="B957" t="s">
        <v>3257</v>
      </c>
    </row>
    <row r="958" spans="1:2" x14ac:dyDescent="0.25">
      <c r="A958" t="s">
        <v>5132</v>
      </c>
      <c r="B958" t="s">
        <v>3258</v>
      </c>
    </row>
    <row r="959" spans="1:2" x14ac:dyDescent="0.25">
      <c r="A959" t="s">
        <v>5133</v>
      </c>
      <c r="B959" t="s">
        <v>3259</v>
      </c>
    </row>
    <row r="960" spans="1:2" x14ac:dyDescent="0.25">
      <c r="A960" t="s">
        <v>5134</v>
      </c>
      <c r="B960" t="s">
        <v>3260</v>
      </c>
    </row>
    <row r="961" spans="1:2" x14ac:dyDescent="0.25">
      <c r="A961" t="s">
        <v>5135</v>
      </c>
      <c r="B961" t="s">
        <v>3261</v>
      </c>
    </row>
    <row r="962" spans="1:2" x14ac:dyDescent="0.25">
      <c r="A962" t="s">
        <v>5136</v>
      </c>
      <c r="B962" t="s">
        <v>5137</v>
      </c>
    </row>
    <row r="963" spans="1:2" x14ac:dyDescent="0.25">
      <c r="A963" t="s">
        <v>5138</v>
      </c>
      <c r="B963" t="s">
        <v>3262</v>
      </c>
    </row>
    <row r="964" spans="1:2" x14ac:dyDescent="0.25">
      <c r="A964" t="s">
        <v>5139</v>
      </c>
      <c r="B964" t="s">
        <v>1742</v>
      </c>
    </row>
    <row r="965" spans="1:2" x14ac:dyDescent="0.25">
      <c r="A965" t="s">
        <v>5140</v>
      </c>
      <c r="B965" t="s">
        <v>2363</v>
      </c>
    </row>
    <row r="966" spans="1:2" x14ac:dyDescent="0.25">
      <c r="A966" t="s">
        <v>5141</v>
      </c>
      <c r="B966" t="s">
        <v>5142</v>
      </c>
    </row>
    <row r="967" spans="1:2" x14ac:dyDescent="0.25">
      <c r="A967" t="s">
        <v>5143</v>
      </c>
      <c r="B967" t="s">
        <v>2868</v>
      </c>
    </row>
    <row r="968" spans="1:2" x14ac:dyDescent="0.25">
      <c r="A968" t="s">
        <v>5144</v>
      </c>
      <c r="B968" t="s">
        <v>5145</v>
      </c>
    </row>
    <row r="969" spans="1:2" x14ac:dyDescent="0.25">
      <c r="A969" t="s">
        <v>5146</v>
      </c>
      <c r="B969" t="s">
        <v>3263</v>
      </c>
    </row>
    <row r="970" spans="1:2" x14ac:dyDescent="0.25">
      <c r="A970" t="s">
        <v>5147</v>
      </c>
      <c r="B970" t="s">
        <v>3264</v>
      </c>
    </row>
    <row r="971" spans="1:2" x14ac:dyDescent="0.25">
      <c r="A971" t="s">
        <v>5148</v>
      </c>
      <c r="B971" t="s">
        <v>5149</v>
      </c>
    </row>
    <row r="972" spans="1:2" x14ac:dyDescent="0.25">
      <c r="A972" t="s">
        <v>5150</v>
      </c>
      <c r="B972" t="s">
        <v>2364</v>
      </c>
    </row>
    <row r="973" spans="1:2" x14ac:dyDescent="0.25">
      <c r="A973" t="s">
        <v>5151</v>
      </c>
      <c r="B973" t="s">
        <v>3265</v>
      </c>
    </row>
    <row r="974" spans="1:2" x14ac:dyDescent="0.25">
      <c r="A974" t="s">
        <v>5152</v>
      </c>
      <c r="B974" t="s">
        <v>5153</v>
      </c>
    </row>
    <row r="975" spans="1:2" x14ac:dyDescent="0.25">
      <c r="A975" t="s">
        <v>5154</v>
      </c>
      <c r="B975" t="s">
        <v>910</v>
      </c>
    </row>
    <row r="976" spans="1:2" x14ac:dyDescent="0.25">
      <c r="A976" t="s">
        <v>5155</v>
      </c>
      <c r="B976" t="s">
        <v>3266</v>
      </c>
    </row>
    <row r="977" spans="1:2" x14ac:dyDescent="0.25">
      <c r="A977" t="s">
        <v>5156</v>
      </c>
      <c r="B977" t="s">
        <v>3267</v>
      </c>
    </row>
    <row r="978" spans="1:2" x14ac:dyDescent="0.25">
      <c r="A978" t="s">
        <v>5157</v>
      </c>
      <c r="B978" t="s">
        <v>3268</v>
      </c>
    </row>
    <row r="979" spans="1:2" x14ac:dyDescent="0.25">
      <c r="A979" t="s">
        <v>5158</v>
      </c>
      <c r="B979" t="s">
        <v>3269</v>
      </c>
    </row>
    <row r="980" spans="1:2" x14ac:dyDescent="0.25">
      <c r="A980" t="s">
        <v>5159</v>
      </c>
      <c r="B980" t="s">
        <v>5160</v>
      </c>
    </row>
    <row r="981" spans="1:2" x14ac:dyDescent="0.25">
      <c r="A981" t="s">
        <v>5161</v>
      </c>
      <c r="B981" t="s">
        <v>3270</v>
      </c>
    </row>
    <row r="982" spans="1:2" x14ac:dyDescent="0.25">
      <c r="A982" t="s">
        <v>5162</v>
      </c>
      <c r="B982" t="s">
        <v>5163</v>
      </c>
    </row>
    <row r="983" spans="1:2" x14ac:dyDescent="0.25">
      <c r="A983" t="s">
        <v>5164</v>
      </c>
      <c r="B983" t="s">
        <v>3271</v>
      </c>
    </row>
    <row r="984" spans="1:2" x14ac:dyDescent="0.25">
      <c r="A984" t="s">
        <v>5165</v>
      </c>
      <c r="B984" t="s">
        <v>3272</v>
      </c>
    </row>
    <row r="985" spans="1:2" x14ac:dyDescent="0.25">
      <c r="A985" t="s">
        <v>5166</v>
      </c>
      <c r="B985" t="s">
        <v>3273</v>
      </c>
    </row>
    <row r="986" spans="1:2" x14ac:dyDescent="0.25">
      <c r="A986" t="s">
        <v>5167</v>
      </c>
      <c r="B986" t="s">
        <v>2870</v>
      </c>
    </row>
    <row r="987" spans="1:2" x14ac:dyDescent="0.25">
      <c r="A987" t="s">
        <v>5168</v>
      </c>
      <c r="B987" t="s">
        <v>1744</v>
      </c>
    </row>
    <row r="988" spans="1:2" x14ac:dyDescent="0.25">
      <c r="A988" t="s">
        <v>5169</v>
      </c>
      <c r="B988" t="s">
        <v>1746</v>
      </c>
    </row>
    <row r="989" spans="1:2" x14ac:dyDescent="0.25">
      <c r="A989" t="s">
        <v>5170</v>
      </c>
      <c r="B989" t="s">
        <v>3274</v>
      </c>
    </row>
    <row r="990" spans="1:2" x14ac:dyDescent="0.25">
      <c r="A990" t="s">
        <v>5171</v>
      </c>
      <c r="B990" t="s">
        <v>2872</v>
      </c>
    </row>
    <row r="991" spans="1:2" x14ac:dyDescent="0.25">
      <c r="A991" t="s">
        <v>5172</v>
      </c>
      <c r="B991" t="s">
        <v>3275</v>
      </c>
    </row>
    <row r="992" spans="1:2" x14ac:dyDescent="0.25">
      <c r="A992" t="s">
        <v>5173</v>
      </c>
      <c r="B992" t="s">
        <v>3276</v>
      </c>
    </row>
    <row r="993" spans="1:2" x14ac:dyDescent="0.25">
      <c r="A993" t="s">
        <v>5174</v>
      </c>
      <c r="B993" t="s">
        <v>2874</v>
      </c>
    </row>
    <row r="994" spans="1:2" x14ac:dyDescent="0.25">
      <c r="A994" t="s">
        <v>5175</v>
      </c>
      <c r="B994" t="s">
        <v>5176</v>
      </c>
    </row>
    <row r="995" spans="1:2" x14ac:dyDescent="0.25">
      <c r="A995" t="s">
        <v>5177</v>
      </c>
      <c r="B995" t="s">
        <v>5178</v>
      </c>
    </row>
    <row r="996" spans="1:2" x14ac:dyDescent="0.25">
      <c r="A996" t="s">
        <v>5179</v>
      </c>
      <c r="B996" t="s">
        <v>3277</v>
      </c>
    </row>
    <row r="997" spans="1:2" x14ac:dyDescent="0.25">
      <c r="A997" t="s">
        <v>5180</v>
      </c>
      <c r="B997" t="s">
        <v>3278</v>
      </c>
    </row>
    <row r="998" spans="1:2" x14ac:dyDescent="0.25">
      <c r="A998" t="s">
        <v>5181</v>
      </c>
      <c r="B998" t="s">
        <v>3279</v>
      </c>
    </row>
    <row r="999" spans="1:2" x14ac:dyDescent="0.25">
      <c r="A999" t="s">
        <v>5182</v>
      </c>
      <c r="B999" t="s">
        <v>3280</v>
      </c>
    </row>
    <row r="1000" spans="1:2" x14ac:dyDescent="0.25">
      <c r="A1000" t="s">
        <v>5183</v>
      </c>
      <c r="B1000" t="s">
        <v>2876</v>
      </c>
    </row>
    <row r="1001" spans="1:2" x14ac:dyDescent="0.25">
      <c r="A1001" t="s">
        <v>5184</v>
      </c>
      <c r="B1001" t="s">
        <v>3281</v>
      </c>
    </row>
    <row r="1002" spans="1:2" x14ac:dyDescent="0.25">
      <c r="A1002" t="s">
        <v>5185</v>
      </c>
      <c r="B1002" t="s">
        <v>1748</v>
      </c>
    </row>
    <row r="1003" spans="1:2" x14ac:dyDescent="0.25">
      <c r="A1003" t="s">
        <v>5186</v>
      </c>
      <c r="B1003" t="s">
        <v>3282</v>
      </c>
    </row>
    <row r="1004" spans="1:2" x14ac:dyDescent="0.25">
      <c r="A1004" t="s">
        <v>5187</v>
      </c>
      <c r="B1004" t="s">
        <v>1750</v>
      </c>
    </row>
    <row r="1005" spans="1:2" x14ac:dyDescent="0.25">
      <c r="A1005" t="s">
        <v>5188</v>
      </c>
      <c r="B1005" t="s">
        <v>5189</v>
      </c>
    </row>
    <row r="1006" spans="1:2" x14ac:dyDescent="0.25">
      <c r="A1006" t="s">
        <v>5190</v>
      </c>
      <c r="B1006" t="s">
        <v>3283</v>
      </c>
    </row>
    <row r="1007" spans="1:2" x14ac:dyDescent="0.25">
      <c r="A1007" t="s">
        <v>5191</v>
      </c>
      <c r="B1007" t="s">
        <v>5192</v>
      </c>
    </row>
    <row r="1008" spans="1:2" x14ac:dyDescent="0.25">
      <c r="A1008" t="s">
        <v>5193</v>
      </c>
      <c r="B1008" t="s">
        <v>899</v>
      </c>
    </row>
    <row r="1009" spans="1:2" x14ac:dyDescent="0.25">
      <c r="A1009" t="s">
        <v>5194</v>
      </c>
      <c r="B1009" t="s">
        <v>2866</v>
      </c>
    </row>
    <row r="1010" spans="1:2" x14ac:dyDescent="0.25">
      <c r="A1010" t="s">
        <v>5195</v>
      </c>
      <c r="B1010" t="s">
        <v>1739</v>
      </c>
    </row>
    <row r="1011" spans="1:2" x14ac:dyDescent="0.25">
      <c r="A1011" t="s">
        <v>5196</v>
      </c>
      <c r="B1011" t="s">
        <v>3219</v>
      </c>
    </row>
    <row r="1012" spans="1:2" x14ac:dyDescent="0.25">
      <c r="A1012" t="s">
        <v>5197</v>
      </c>
      <c r="B1012" t="s">
        <v>3220</v>
      </c>
    </row>
    <row r="1013" spans="1:2" x14ac:dyDescent="0.25">
      <c r="A1013" t="s">
        <v>5198</v>
      </c>
      <c r="B1013" t="s">
        <v>5199</v>
      </c>
    </row>
    <row r="1014" spans="1:2" x14ac:dyDescent="0.25">
      <c r="A1014" t="s">
        <v>5200</v>
      </c>
      <c r="B1014" t="s">
        <v>5201</v>
      </c>
    </row>
    <row r="1015" spans="1:2" x14ac:dyDescent="0.25">
      <c r="A1015" t="s">
        <v>5202</v>
      </c>
      <c r="B1015" t="s">
        <v>3363</v>
      </c>
    </row>
    <row r="1016" spans="1:2" x14ac:dyDescent="0.25">
      <c r="A1016" t="s">
        <v>5203</v>
      </c>
      <c r="B1016" t="s">
        <v>3364</v>
      </c>
    </row>
    <row r="1017" spans="1:2" x14ac:dyDescent="0.25">
      <c r="A1017" t="s">
        <v>5204</v>
      </c>
      <c r="B1017" t="s">
        <v>3365</v>
      </c>
    </row>
    <row r="1018" spans="1:2" x14ac:dyDescent="0.25">
      <c r="A1018" t="s">
        <v>5205</v>
      </c>
      <c r="B1018" t="s">
        <v>321</v>
      </c>
    </row>
    <row r="1019" spans="1:2" x14ac:dyDescent="0.25">
      <c r="A1019" t="s">
        <v>5206</v>
      </c>
      <c r="B1019" t="s">
        <v>323</v>
      </c>
    </row>
    <row r="1020" spans="1:2" x14ac:dyDescent="0.25">
      <c r="A1020" t="s">
        <v>5207</v>
      </c>
      <c r="B1020" t="s">
        <v>2365</v>
      </c>
    </row>
    <row r="1021" spans="1:2" x14ac:dyDescent="0.25">
      <c r="A1021" t="s">
        <v>5208</v>
      </c>
      <c r="B1021" t="s">
        <v>5209</v>
      </c>
    </row>
    <row r="1022" spans="1:2" x14ac:dyDescent="0.25">
      <c r="A1022" t="s">
        <v>5210</v>
      </c>
      <c r="B1022" t="s">
        <v>5211</v>
      </c>
    </row>
    <row r="1023" spans="1:2" x14ac:dyDescent="0.25">
      <c r="A1023" t="s">
        <v>5212</v>
      </c>
      <c r="B1023" t="s">
        <v>5209</v>
      </c>
    </row>
    <row r="1024" spans="1:2" x14ac:dyDescent="0.25">
      <c r="A1024" t="s">
        <v>5213</v>
      </c>
      <c r="B1024" t="s">
        <v>5209</v>
      </c>
    </row>
    <row r="1025" spans="1:2" x14ac:dyDescent="0.25">
      <c r="A1025" t="s">
        <v>5214</v>
      </c>
      <c r="B1025" t="s">
        <v>5215</v>
      </c>
    </row>
    <row r="1026" spans="1:2" x14ac:dyDescent="0.25">
      <c r="A1026" t="s">
        <v>5216</v>
      </c>
      <c r="B1026" t="s">
        <v>5209</v>
      </c>
    </row>
    <row r="1027" spans="1:2" x14ac:dyDescent="0.25">
      <c r="A1027" t="s">
        <v>5217</v>
      </c>
      <c r="B1027" t="s">
        <v>5209</v>
      </c>
    </row>
    <row r="1028" spans="1:2" x14ac:dyDescent="0.25">
      <c r="A1028" t="s">
        <v>5218</v>
      </c>
      <c r="B1028" t="s">
        <v>5209</v>
      </c>
    </row>
    <row r="1029" spans="1:2" x14ac:dyDescent="0.25">
      <c r="A1029" t="s">
        <v>5219</v>
      </c>
      <c r="B1029" t="s">
        <v>5209</v>
      </c>
    </row>
    <row r="1030" spans="1:2" x14ac:dyDescent="0.25">
      <c r="A1030" t="s">
        <v>5220</v>
      </c>
      <c r="B1030" t="s">
        <v>5209</v>
      </c>
    </row>
    <row r="1031" spans="1:2" x14ac:dyDescent="0.25">
      <c r="A1031" t="s">
        <v>5221</v>
      </c>
      <c r="B1031" t="s">
        <v>5209</v>
      </c>
    </row>
    <row r="1032" spans="1:2" x14ac:dyDescent="0.25">
      <c r="A1032" t="s">
        <v>5222</v>
      </c>
      <c r="B1032" t="s">
        <v>5209</v>
      </c>
    </row>
    <row r="1033" spans="1:2" x14ac:dyDescent="0.25">
      <c r="A1033" t="s">
        <v>5223</v>
      </c>
      <c r="B1033" t="s">
        <v>5209</v>
      </c>
    </row>
    <row r="1034" spans="1:2" x14ac:dyDescent="0.25">
      <c r="A1034" t="s">
        <v>5224</v>
      </c>
      <c r="B1034" t="s">
        <v>5209</v>
      </c>
    </row>
    <row r="1035" spans="1:2" x14ac:dyDescent="0.25">
      <c r="A1035" t="s">
        <v>5225</v>
      </c>
      <c r="B1035" t="s">
        <v>5209</v>
      </c>
    </row>
    <row r="1036" spans="1:2" x14ac:dyDescent="0.25">
      <c r="A1036" t="s">
        <v>5226</v>
      </c>
      <c r="B1036" t="s">
        <v>5209</v>
      </c>
    </row>
    <row r="1037" spans="1:2" x14ac:dyDescent="0.25">
      <c r="A1037" t="s">
        <v>5227</v>
      </c>
      <c r="B1037" t="s">
        <v>3904</v>
      </c>
    </row>
    <row r="1038" spans="1:2" x14ac:dyDescent="0.25">
      <c r="A1038" t="s">
        <v>5228</v>
      </c>
      <c r="B1038" t="s">
        <v>66</v>
      </c>
    </row>
    <row r="1039" spans="1:2" x14ac:dyDescent="0.25">
      <c r="A1039" t="s">
        <v>371</v>
      </c>
      <c r="B1039" t="s">
        <v>370</v>
      </c>
    </row>
    <row r="1040" spans="1:2" x14ac:dyDescent="0.25">
      <c r="A1040" t="s">
        <v>5229</v>
      </c>
      <c r="B1040" t="s">
        <v>87</v>
      </c>
    </row>
    <row r="1041" spans="1:2" x14ac:dyDescent="0.25">
      <c r="A1041" t="s">
        <v>59</v>
      </c>
      <c r="B1041" t="s">
        <v>58</v>
      </c>
    </row>
    <row r="1042" spans="1:2" x14ac:dyDescent="0.25">
      <c r="A1042" t="s">
        <v>777</v>
      </c>
      <c r="B1042" t="s">
        <v>776</v>
      </c>
    </row>
    <row r="1043" spans="1:2" x14ac:dyDescent="0.25">
      <c r="A1043" t="s">
        <v>5230</v>
      </c>
      <c r="B1043" t="s">
        <v>2269</v>
      </c>
    </row>
    <row r="1044" spans="1:2" x14ac:dyDescent="0.25">
      <c r="A1044" t="s">
        <v>1969</v>
      </c>
      <c r="B1044" t="s">
        <v>708</v>
      </c>
    </row>
    <row r="1045" spans="1:2" x14ac:dyDescent="0.25">
      <c r="A1045" t="s">
        <v>5231</v>
      </c>
      <c r="B1045" t="s">
        <v>2273</v>
      </c>
    </row>
    <row r="1046" spans="1:2" x14ac:dyDescent="0.25">
      <c r="A1046" t="s">
        <v>116</v>
      </c>
      <c r="B1046" t="s">
        <v>115</v>
      </c>
    </row>
    <row r="1047" spans="1:2" x14ac:dyDescent="0.25">
      <c r="A1047" t="s">
        <v>5232</v>
      </c>
      <c r="B1047" t="s">
        <v>2270</v>
      </c>
    </row>
    <row r="1048" spans="1:2" x14ac:dyDescent="0.25">
      <c r="A1048" t="s">
        <v>1908</v>
      </c>
      <c r="B1048" t="s">
        <v>1907</v>
      </c>
    </row>
    <row r="1049" spans="1:2" x14ac:dyDescent="0.25">
      <c r="A1049" t="s">
        <v>5233</v>
      </c>
      <c r="B1049" t="s">
        <v>1669</v>
      </c>
    </row>
    <row r="1050" spans="1:2" x14ac:dyDescent="0.25">
      <c r="A1050" t="s">
        <v>5234</v>
      </c>
      <c r="B1050" t="s">
        <v>2267</v>
      </c>
    </row>
    <row r="1051" spans="1:2" x14ac:dyDescent="0.25">
      <c r="A1051" t="s">
        <v>152</v>
      </c>
      <c r="B1051" t="s">
        <v>151</v>
      </c>
    </row>
    <row r="1052" spans="1:2" x14ac:dyDescent="0.25">
      <c r="A1052" t="s">
        <v>5235</v>
      </c>
      <c r="B1052" t="s">
        <v>2319</v>
      </c>
    </row>
    <row r="1053" spans="1:2" x14ac:dyDescent="0.25">
      <c r="A1053" t="s">
        <v>5236</v>
      </c>
      <c r="B1053" t="s">
        <v>2320</v>
      </c>
    </row>
    <row r="1054" spans="1:2" x14ac:dyDescent="0.25">
      <c r="A1054" t="s">
        <v>2482</v>
      </c>
      <c r="B1054" t="s">
        <v>2481</v>
      </c>
    </row>
    <row r="1055" spans="1:2" x14ac:dyDescent="0.25">
      <c r="A1055" t="s">
        <v>5237</v>
      </c>
      <c r="B1055" t="s">
        <v>2322</v>
      </c>
    </row>
    <row r="1056" spans="1:2" x14ac:dyDescent="0.25">
      <c r="A1056" t="s">
        <v>1878</v>
      </c>
      <c r="B1056" t="s">
        <v>1877</v>
      </c>
    </row>
    <row r="1057" spans="1:2" x14ac:dyDescent="0.25">
      <c r="A1057" t="s">
        <v>1988</v>
      </c>
      <c r="B1057" t="s">
        <v>1987</v>
      </c>
    </row>
    <row r="1058" spans="1:2" x14ac:dyDescent="0.25">
      <c r="A1058" t="s">
        <v>1890</v>
      </c>
      <c r="B1058" t="s">
        <v>1889</v>
      </c>
    </row>
    <row r="1059" spans="1:2" x14ac:dyDescent="0.25">
      <c r="A1059" t="s">
        <v>1892</v>
      </c>
      <c r="B1059" t="s">
        <v>1891</v>
      </c>
    </row>
    <row r="1060" spans="1:2" x14ac:dyDescent="0.25">
      <c r="A1060" t="s">
        <v>1896</v>
      </c>
      <c r="B1060" t="s">
        <v>1895</v>
      </c>
    </row>
    <row r="1061" spans="1:2" x14ac:dyDescent="0.25">
      <c r="A1061" t="s">
        <v>1903</v>
      </c>
      <c r="B1061" t="s">
        <v>1902</v>
      </c>
    </row>
    <row r="1062" spans="1:2" x14ac:dyDescent="0.25">
      <c r="A1062" t="s">
        <v>5238</v>
      </c>
      <c r="B1062" t="s">
        <v>3138</v>
      </c>
    </row>
    <row r="1063" spans="1:2" x14ac:dyDescent="0.25">
      <c r="A1063" t="s">
        <v>5239</v>
      </c>
      <c r="B1063" t="s">
        <v>70</v>
      </c>
    </row>
    <row r="1064" spans="1:2" x14ac:dyDescent="0.25">
      <c r="A1064" t="s">
        <v>5240</v>
      </c>
      <c r="B1064" t="s">
        <v>72</v>
      </c>
    </row>
    <row r="1065" spans="1:2" x14ac:dyDescent="0.25">
      <c r="A1065" t="s">
        <v>5241</v>
      </c>
      <c r="B1065" t="s">
        <v>2445</v>
      </c>
    </row>
    <row r="1066" spans="1:2" x14ac:dyDescent="0.25">
      <c r="A1066" t="s">
        <v>5242</v>
      </c>
      <c r="B1066" t="s">
        <v>368</v>
      </c>
    </row>
    <row r="1067" spans="1:2" x14ac:dyDescent="0.25">
      <c r="A1067" t="s">
        <v>266</v>
      </c>
      <c r="B1067" t="s">
        <v>265</v>
      </c>
    </row>
    <row r="1068" spans="1:2" x14ac:dyDescent="0.25">
      <c r="A1068" t="s">
        <v>264</v>
      </c>
      <c r="B1068" t="s">
        <v>263</v>
      </c>
    </row>
    <row r="1069" spans="1:2" x14ac:dyDescent="0.25">
      <c r="A1069" t="s">
        <v>1967</v>
      </c>
      <c r="B1069" t="s">
        <v>706</v>
      </c>
    </row>
    <row r="1070" spans="1:2" x14ac:dyDescent="0.25">
      <c r="A1070" t="s">
        <v>5243</v>
      </c>
      <c r="B1070" t="s">
        <v>2341</v>
      </c>
    </row>
    <row r="1071" spans="1:2" x14ac:dyDescent="0.25">
      <c r="A1071" t="s">
        <v>5244</v>
      </c>
      <c r="B1071" t="s">
        <v>3255</v>
      </c>
    </row>
    <row r="1072" spans="1:2" x14ac:dyDescent="0.25">
      <c r="A1072" t="s">
        <v>5245</v>
      </c>
      <c r="B1072" t="s">
        <v>3204</v>
      </c>
    </row>
    <row r="1073" spans="1:2" x14ac:dyDescent="0.25">
      <c r="A1073" t="s">
        <v>5246</v>
      </c>
      <c r="B1073" t="s">
        <v>2280</v>
      </c>
    </row>
    <row r="1074" spans="1:2" x14ac:dyDescent="0.25">
      <c r="A1074" t="s">
        <v>5247</v>
      </c>
      <c r="B1074" t="s">
        <v>1571</v>
      </c>
    </row>
    <row r="1075" spans="1:2" x14ac:dyDescent="0.25">
      <c r="A1075" t="s">
        <v>5248</v>
      </c>
      <c r="B1075" t="s">
        <v>844</v>
      </c>
    </row>
    <row r="1076" spans="1:2" x14ac:dyDescent="0.25">
      <c r="A1076" t="s">
        <v>5249</v>
      </c>
      <c r="B1076" t="s">
        <v>2288</v>
      </c>
    </row>
    <row r="1077" spans="1:2" x14ac:dyDescent="0.25">
      <c r="A1077" t="s">
        <v>2966</v>
      </c>
      <c r="B1077" t="s">
        <v>2965</v>
      </c>
    </row>
    <row r="1078" spans="1:2" x14ac:dyDescent="0.25">
      <c r="A1078" t="s">
        <v>5250</v>
      </c>
      <c r="B1078" t="s">
        <v>3272</v>
      </c>
    </row>
    <row r="1079" spans="1:2" x14ac:dyDescent="0.25">
      <c r="A1079" t="s">
        <v>5251</v>
      </c>
      <c r="B1079" t="s">
        <v>2321</v>
      </c>
    </row>
    <row r="1080" spans="1:2" x14ac:dyDescent="0.25">
      <c r="A1080" t="s">
        <v>5252</v>
      </c>
      <c r="B1080" t="s">
        <v>2429</v>
      </c>
    </row>
    <row r="1081" spans="1:2" x14ac:dyDescent="0.25">
      <c r="A1081" t="s">
        <v>920</v>
      </c>
      <c r="B1081" t="s">
        <v>919</v>
      </c>
    </row>
    <row r="1082" spans="1:2" x14ac:dyDescent="0.25">
      <c r="A1082" t="s">
        <v>5253</v>
      </c>
      <c r="B1082" t="s">
        <v>2337</v>
      </c>
    </row>
    <row r="1083" spans="1:2" x14ac:dyDescent="0.25">
      <c r="A1083" t="s">
        <v>5254</v>
      </c>
      <c r="B1083" t="s">
        <v>2333</v>
      </c>
    </row>
    <row r="1084" spans="1:2" x14ac:dyDescent="0.25">
      <c r="A1084" t="s">
        <v>1662</v>
      </c>
      <c r="B1084" t="s">
        <v>1661</v>
      </c>
    </row>
    <row r="1085" spans="1:2" x14ac:dyDescent="0.25">
      <c r="A1085" t="s">
        <v>5255</v>
      </c>
      <c r="B1085" t="s">
        <v>2295</v>
      </c>
    </row>
    <row r="1086" spans="1:2" x14ac:dyDescent="0.25">
      <c r="A1086" t="s">
        <v>5256</v>
      </c>
      <c r="B1086" t="s">
        <v>74</v>
      </c>
    </row>
    <row r="1087" spans="1:2" x14ac:dyDescent="0.25">
      <c r="A1087" t="s">
        <v>5257</v>
      </c>
      <c r="B1087" t="s">
        <v>3076</v>
      </c>
    </row>
    <row r="1088" spans="1:2" x14ac:dyDescent="0.25">
      <c r="A1088" t="s">
        <v>5258</v>
      </c>
      <c r="B1088" t="s">
        <v>4152</v>
      </c>
    </row>
    <row r="1089" spans="1:2" x14ac:dyDescent="0.25">
      <c r="A1089" t="s">
        <v>5259</v>
      </c>
      <c r="B1089" t="s">
        <v>108</v>
      </c>
    </row>
    <row r="1090" spans="1:2" x14ac:dyDescent="0.25">
      <c r="A1090" t="s">
        <v>5260</v>
      </c>
      <c r="B1090" t="s">
        <v>113</v>
      </c>
    </row>
    <row r="1091" spans="1:2" x14ac:dyDescent="0.25">
      <c r="A1091" t="s">
        <v>194</v>
      </c>
      <c r="B1091" t="s">
        <v>193</v>
      </c>
    </row>
    <row r="1092" spans="1:2" x14ac:dyDescent="0.25">
      <c r="A1092" t="s">
        <v>5261</v>
      </c>
      <c r="B1092" t="s">
        <v>913</v>
      </c>
    </row>
    <row r="1093" spans="1:2" x14ac:dyDescent="0.25">
      <c r="A1093" t="s">
        <v>1753</v>
      </c>
      <c r="B1093" t="s">
        <v>1752</v>
      </c>
    </row>
    <row r="1094" spans="1:2" x14ac:dyDescent="0.25">
      <c r="A1094" t="s">
        <v>5262</v>
      </c>
      <c r="B1094" t="s">
        <v>2282</v>
      </c>
    </row>
    <row r="1095" spans="1:2" x14ac:dyDescent="0.25">
      <c r="A1095" t="s">
        <v>383</v>
      </c>
      <c r="B1095" t="s">
        <v>382</v>
      </c>
    </row>
    <row r="1096" spans="1:2" x14ac:dyDescent="0.25">
      <c r="A1096" t="s">
        <v>231</v>
      </c>
      <c r="B1096" t="s">
        <v>230</v>
      </c>
    </row>
    <row r="1097" spans="1:2" x14ac:dyDescent="0.25">
      <c r="A1097" t="s">
        <v>5263</v>
      </c>
      <c r="B1097" t="s">
        <v>2357</v>
      </c>
    </row>
    <row r="1098" spans="1:2" x14ac:dyDescent="0.25">
      <c r="A1098" t="s">
        <v>5264</v>
      </c>
      <c r="B1098" t="s">
        <v>245</v>
      </c>
    </row>
    <row r="1099" spans="1:2" x14ac:dyDescent="0.25">
      <c r="A1099" t="s">
        <v>5265</v>
      </c>
      <c r="B1099" t="s">
        <v>2338</v>
      </c>
    </row>
    <row r="1100" spans="1:2" x14ac:dyDescent="0.25">
      <c r="A1100" t="s">
        <v>234</v>
      </c>
      <c r="B1100" t="s">
        <v>233</v>
      </c>
    </row>
    <row r="1101" spans="1:2" x14ac:dyDescent="0.25">
      <c r="A1101" t="s">
        <v>5266</v>
      </c>
      <c r="B1101" t="s">
        <v>333</v>
      </c>
    </row>
    <row r="1102" spans="1:2" x14ac:dyDescent="0.25">
      <c r="A1102" t="s">
        <v>5267</v>
      </c>
      <c r="B1102" t="s">
        <v>2271</v>
      </c>
    </row>
    <row r="1103" spans="1:2" x14ac:dyDescent="0.25">
      <c r="A1103" t="s">
        <v>5268</v>
      </c>
      <c r="B1103" t="s">
        <v>2382</v>
      </c>
    </row>
    <row r="1104" spans="1:2" x14ac:dyDescent="0.25">
      <c r="A1104" t="s">
        <v>5269</v>
      </c>
      <c r="B1104" t="s">
        <v>899</v>
      </c>
    </row>
    <row r="1105" spans="1:2" x14ac:dyDescent="0.25">
      <c r="A1105" t="s">
        <v>1966</v>
      </c>
      <c r="B1105" t="s">
        <v>704</v>
      </c>
    </row>
    <row r="1106" spans="1:2" x14ac:dyDescent="0.25">
      <c r="A1106" t="s">
        <v>5270</v>
      </c>
      <c r="B1106" t="s">
        <v>155</v>
      </c>
    </row>
    <row r="1107" spans="1:2" x14ac:dyDescent="0.25">
      <c r="A1107" t="s">
        <v>5271</v>
      </c>
      <c r="B1107" t="s">
        <v>2278</v>
      </c>
    </row>
    <row r="1108" spans="1:2" x14ac:dyDescent="0.25">
      <c r="A1108" t="s">
        <v>1829</v>
      </c>
      <c r="B1108" t="s">
        <v>1828</v>
      </c>
    </row>
    <row r="1109" spans="1:2" x14ac:dyDescent="0.25">
      <c r="A1109" t="s">
        <v>5272</v>
      </c>
      <c r="B1109" t="s">
        <v>1946</v>
      </c>
    </row>
    <row r="1110" spans="1:2" x14ac:dyDescent="0.25">
      <c r="A1110" t="s">
        <v>90</v>
      </c>
      <c r="B1110" t="s">
        <v>89</v>
      </c>
    </row>
    <row r="1111" spans="1:2" x14ac:dyDescent="0.25">
      <c r="A1111" t="s">
        <v>5273</v>
      </c>
      <c r="B1111" t="s">
        <v>80</v>
      </c>
    </row>
    <row r="1112" spans="1:2" x14ac:dyDescent="0.25">
      <c r="A1112" t="s">
        <v>5274</v>
      </c>
      <c r="B1112" t="s">
        <v>263</v>
      </c>
    </row>
    <row r="1113" spans="1:2" x14ac:dyDescent="0.25">
      <c r="A1113" t="s">
        <v>5275</v>
      </c>
      <c r="B1113" t="s">
        <v>4273</v>
      </c>
    </row>
    <row r="1114" spans="1:2" x14ac:dyDescent="0.25">
      <c r="A1114" t="s">
        <v>5276</v>
      </c>
      <c r="B1114" t="s">
        <v>151</v>
      </c>
    </row>
    <row r="1115" spans="1:2" x14ac:dyDescent="0.25">
      <c r="A1115" t="s">
        <v>5277</v>
      </c>
      <c r="B1115" t="s">
        <v>2322</v>
      </c>
    </row>
    <row r="1116" spans="1:2" x14ac:dyDescent="0.25">
      <c r="A1116" t="s">
        <v>5278</v>
      </c>
      <c r="B1116" t="s">
        <v>847</v>
      </c>
    </row>
    <row r="1117" spans="1:2" x14ac:dyDescent="0.25">
      <c r="A1117" t="s">
        <v>765</v>
      </c>
      <c r="B1117" t="s">
        <v>764</v>
      </c>
    </row>
    <row r="1118" spans="1:2" x14ac:dyDescent="0.25">
      <c r="A1118" t="s">
        <v>5279</v>
      </c>
      <c r="B1118" t="s">
        <v>2315</v>
      </c>
    </row>
    <row r="1119" spans="1:2" x14ac:dyDescent="0.25">
      <c r="A1119" t="s">
        <v>244</v>
      </c>
      <c r="B1119" t="s">
        <v>243</v>
      </c>
    </row>
    <row r="1120" spans="1:2" x14ac:dyDescent="0.25">
      <c r="A1120" t="s">
        <v>105</v>
      </c>
      <c r="B1120" t="s">
        <v>104</v>
      </c>
    </row>
    <row r="1121" spans="1:2" x14ac:dyDescent="0.25">
      <c r="A1121" t="s">
        <v>258</v>
      </c>
      <c r="B1121" t="s">
        <v>257</v>
      </c>
    </row>
    <row r="1122" spans="1:2" x14ac:dyDescent="0.25">
      <c r="A1122" t="s">
        <v>1580</v>
      </c>
      <c r="B1122" t="s">
        <v>1579</v>
      </c>
    </row>
    <row r="1123" spans="1:2" x14ac:dyDescent="0.25">
      <c r="A1123" t="s">
        <v>5280</v>
      </c>
      <c r="B1123" t="s">
        <v>3226</v>
      </c>
    </row>
    <row r="1124" spans="1:2" x14ac:dyDescent="0.25">
      <c r="A1124" t="s">
        <v>878</v>
      </c>
      <c r="B1124" t="s">
        <v>877</v>
      </c>
    </row>
    <row r="1125" spans="1:2" x14ac:dyDescent="0.25">
      <c r="A1125" t="s">
        <v>5281</v>
      </c>
      <c r="B1125" t="s">
        <v>1645</v>
      </c>
    </row>
    <row r="1126" spans="1:2" x14ac:dyDescent="0.25">
      <c r="A1126" t="s">
        <v>5282</v>
      </c>
      <c r="B1126" t="s">
        <v>2277</v>
      </c>
    </row>
    <row r="1127" spans="1:2" x14ac:dyDescent="0.25">
      <c r="A1127" t="s">
        <v>5283</v>
      </c>
      <c r="B1127" t="s">
        <v>2278</v>
      </c>
    </row>
    <row r="1128" spans="1:2" x14ac:dyDescent="0.25">
      <c r="A1128" t="s">
        <v>67</v>
      </c>
      <c r="B1128" t="s">
        <v>66</v>
      </c>
    </row>
    <row r="1129" spans="1:2" x14ac:dyDescent="0.25">
      <c r="A1129" t="s">
        <v>188</v>
      </c>
      <c r="B1129" t="s">
        <v>187</v>
      </c>
    </row>
    <row r="1130" spans="1:2" x14ac:dyDescent="0.25">
      <c r="A1130" t="s">
        <v>5284</v>
      </c>
      <c r="B1130" t="s">
        <v>2373</v>
      </c>
    </row>
    <row r="1131" spans="1:2" x14ac:dyDescent="0.25">
      <c r="A1131" t="s">
        <v>5285</v>
      </c>
      <c r="B1131" t="s">
        <v>2424</v>
      </c>
    </row>
    <row r="1132" spans="1:2" x14ac:dyDescent="0.25">
      <c r="A1132" t="s">
        <v>236</v>
      </c>
      <c r="B1132" t="s">
        <v>235</v>
      </c>
    </row>
    <row r="1133" spans="1:2" x14ac:dyDescent="0.25">
      <c r="A1133" t="s">
        <v>1648</v>
      </c>
      <c r="B1133" t="s">
        <v>1647</v>
      </c>
    </row>
    <row r="1134" spans="1:2" x14ac:dyDescent="0.25">
      <c r="A1134" t="s">
        <v>238</v>
      </c>
      <c r="B1134" t="s">
        <v>237</v>
      </c>
    </row>
    <row r="1135" spans="1:2" x14ac:dyDescent="0.25">
      <c r="A1135" t="s">
        <v>868</v>
      </c>
      <c r="B1135" t="s">
        <v>867</v>
      </c>
    </row>
    <row r="1136" spans="1:2" x14ac:dyDescent="0.25">
      <c r="A1136" t="s">
        <v>5286</v>
      </c>
      <c r="B1136" t="s">
        <v>3120</v>
      </c>
    </row>
    <row r="1137" spans="1:2" x14ac:dyDescent="0.25">
      <c r="A1137" t="s">
        <v>248</v>
      </c>
      <c r="B1137" t="s">
        <v>247</v>
      </c>
    </row>
    <row r="1138" spans="1:2" x14ac:dyDescent="0.25">
      <c r="A1138" t="s">
        <v>5287</v>
      </c>
      <c r="B1138" t="s">
        <v>2400</v>
      </c>
    </row>
    <row r="1139" spans="1:2" x14ac:dyDescent="0.25">
      <c r="A1139" t="s">
        <v>5288</v>
      </c>
      <c r="B1139" t="s">
        <v>3161</v>
      </c>
    </row>
    <row r="1140" spans="1:2" x14ac:dyDescent="0.25">
      <c r="A1140" t="s">
        <v>5289</v>
      </c>
      <c r="B1140" t="s">
        <v>1846</v>
      </c>
    </row>
    <row r="1141" spans="1:2" x14ac:dyDescent="0.25">
      <c r="A1141" t="s">
        <v>240</v>
      </c>
      <c r="B1141" t="s">
        <v>239</v>
      </c>
    </row>
    <row r="1142" spans="1:2" x14ac:dyDescent="0.25">
      <c r="A1142" t="s">
        <v>250</v>
      </c>
      <c r="B1142" t="s">
        <v>249</v>
      </c>
    </row>
    <row r="1143" spans="1:2" x14ac:dyDescent="0.25">
      <c r="A1143" t="s">
        <v>114</v>
      </c>
      <c r="B1143" t="s">
        <v>113</v>
      </c>
    </row>
    <row r="1144" spans="1:2" x14ac:dyDescent="0.25">
      <c r="A1144" t="s">
        <v>5290</v>
      </c>
      <c r="B1144" t="s">
        <v>5291</v>
      </c>
    </row>
    <row r="1145" spans="1:2" x14ac:dyDescent="0.25">
      <c r="A1145" t="s">
        <v>5292</v>
      </c>
      <c r="B1145" t="s">
        <v>3204</v>
      </c>
    </row>
    <row r="1146" spans="1:2" x14ac:dyDescent="0.25">
      <c r="A1146" t="s">
        <v>5293</v>
      </c>
      <c r="B1146" t="s">
        <v>2288</v>
      </c>
    </row>
    <row r="1147" spans="1:2" x14ac:dyDescent="0.25">
      <c r="A1147" t="s">
        <v>5294</v>
      </c>
      <c r="B1147" t="s">
        <v>195</v>
      </c>
    </row>
    <row r="1148" spans="1:2" x14ac:dyDescent="0.25">
      <c r="A1148" t="s">
        <v>5295</v>
      </c>
      <c r="B1148" t="s">
        <v>191</v>
      </c>
    </row>
    <row r="1149" spans="1:2" x14ac:dyDescent="0.25">
      <c r="A1149" t="s">
        <v>198</v>
      </c>
      <c r="B1149" t="s">
        <v>197</v>
      </c>
    </row>
    <row r="1150" spans="1:2" x14ac:dyDescent="0.25">
      <c r="A1150" t="s">
        <v>289</v>
      </c>
      <c r="B1150" t="s">
        <v>288</v>
      </c>
    </row>
    <row r="1151" spans="1:2" x14ac:dyDescent="0.25">
      <c r="A1151" t="s">
        <v>2964</v>
      </c>
      <c r="B1151" t="s">
        <v>2963</v>
      </c>
    </row>
    <row r="1152" spans="1:2" x14ac:dyDescent="0.25">
      <c r="A1152" t="s">
        <v>5296</v>
      </c>
      <c r="B1152" t="s">
        <v>2334</v>
      </c>
    </row>
    <row r="1153" spans="1:2" x14ac:dyDescent="0.25">
      <c r="A1153" t="s">
        <v>5297</v>
      </c>
      <c r="B1153" t="s">
        <v>4760</v>
      </c>
    </row>
    <row r="1154" spans="1:2" x14ac:dyDescent="0.25">
      <c r="A1154" t="s">
        <v>332</v>
      </c>
      <c r="B1154" t="s">
        <v>331</v>
      </c>
    </row>
    <row r="1155" spans="1:2" x14ac:dyDescent="0.25">
      <c r="A1155" t="s">
        <v>367</v>
      </c>
      <c r="B1155" t="s">
        <v>366</v>
      </c>
    </row>
    <row r="1156" spans="1:2" x14ac:dyDescent="0.25">
      <c r="A1156" t="s">
        <v>154</v>
      </c>
      <c r="B1156" t="s">
        <v>153</v>
      </c>
    </row>
    <row r="1157" spans="1:2" x14ac:dyDescent="0.25">
      <c r="A1157" t="s">
        <v>5298</v>
      </c>
      <c r="B1157" t="s">
        <v>2383</v>
      </c>
    </row>
    <row r="1158" spans="1:2" x14ac:dyDescent="0.25">
      <c r="A1158" t="s">
        <v>306</v>
      </c>
      <c r="B1158" t="s">
        <v>305</v>
      </c>
    </row>
    <row r="1159" spans="1:2" x14ac:dyDescent="0.25">
      <c r="A1159" t="s">
        <v>5299</v>
      </c>
      <c r="B1159" t="s">
        <v>2190</v>
      </c>
    </row>
    <row r="1160" spans="1:2" x14ac:dyDescent="0.25">
      <c r="A1160" t="s">
        <v>343</v>
      </c>
      <c r="B1160" t="s">
        <v>342</v>
      </c>
    </row>
    <row r="1161" spans="1:2" x14ac:dyDescent="0.25">
      <c r="A1161" t="s">
        <v>5300</v>
      </c>
      <c r="B1161" t="s">
        <v>2405</v>
      </c>
    </row>
    <row r="1162" spans="1:2" x14ac:dyDescent="0.25">
      <c r="A1162" t="s">
        <v>5301</v>
      </c>
      <c r="B1162" t="s">
        <v>2368</v>
      </c>
    </row>
    <row r="1163" spans="1:2" x14ac:dyDescent="0.25">
      <c r="A1163" t="s">
        <v>5302</v>
      </c>
      <c r="B1163" t="s">
        <v>2363</v>
      </c>
    </row>
    <row r="1164" spans="1:2" x14ac:dyDescent="0.25">
      <c r="A1164" t="s">
        <v>5303</v>
      </c>
      <c r="B1164" t="s">
        <v>2327</v>
      </c>
    </row>
    <row r="1165" spans="1:2" x14ac:dyDescent="0.25">
      <c r="A1165" t="s">
        <v>5304</v>
      </c>
      <c r="B1165" t="s">
        <v>764</v>
      </c>
    </row>
    <row r="1166" spans="1:2" x14ac:dyDescent="0.25">
      <c r="A1166" t="s">
        <v>5305</v>
      </c>
      <c r="B1166" t="s">
        <v>847</v>
      </c>
    </row>
    <row r="1167" spans="1:2" x14ac:dyDescent="0.25">
      <c r="A1167" t="s">
        <v>5306</v>
      </c>
      <c r="B1167" t="s">
        <v>3222</v>
      </c>
    </row>
    <row r="1168" spans="1:2" x14ac:dyDescent="0.25">
      <c r="A1168" t="s">
        <v>5307</v>
      </c>
      <c r="B1168" t="s">
        <v>1877</v>
      </c>
    </row>
    <row r="1169" spans="1:2" x14ac:dyDescent="0.25">
      <c r="A1169" t="s">
        <v>5308</v>
      </c>
      <c r="B1169" t="s">
        <v>913</v>
      </c>
    </row>
    <row r="1170" spans="1:2" x14ac:dyDescent="0.25">
      <c r="A1170" t="s">
        <v>71</v>
      </c>
      <c r="B1170" t="s">
        <v>70</v>
      </c>
    </row>
    <row r="1171" spans="1:2" x14ac:dyDescent="0.25">
      <c r="A1171" t="s">
        <v>1106</v>
      </c>
      <c r="B1171" t="s">
        <v>1105</v>
      </c>
    </row>
    <row r="1172" spans="1:2" x14ac:dyDescent="0.25">
      <c r="A1172" t="s">
        <v>5309</v>
      </c>
      <c r="B1172" t="s">
        <v>815</v>
      </c>
    </row>
    <row r="1173" spans="1:2" x14ac:dyDescent="0.25">
      <c r="A1173" t="s">
        <v>5310</v>
      </c>
      <c r="B1173" t="s">
        <v>1899</v>
      </c>
    </row>
    <row r="1174" spans="1:2" x14ac:dyDescent="0.25">
      <c r="A1174" t="s">
        <v>5311</v>
      </c>
      <c r="B1174" t="s">
        <v>1663</v>
      </c>
    </row>
    <row r="1175" spans="1:2" x14ac:dyDescent="0.25">
      <c r="A1175" t="s">
        <v>5312</v>
      </c>
      <c r="B1175" t="s">
        <v>1881</v>
      </c>
    </row>
    <row r="1176" spans="1:2" x14ac:dyDescent="0.25">
      <c r="A1176" t="s">
        <v>1660</v>
      </c>
      <c r="B1176" t="s">
        <v>1659</v>
      </c>
    </row>
    <row r="1177" spans="1:2" x14ac:dyDescent="0.25">
      <c r="A1177" t="s">
        <v>5313</v>
      </c>
      <c r="B1177" t="s">
        <v>1883</v>
      </c>
    </row>
    <row r="1178" spans="1:2" x14ac:dyDescent="0.25">
      <c r="A1178" t="s">
        <v>5314</v>
      </c>
      <c r="B1178" t="s">
        <v>1893</v>
      </c>
    </row>
    <row r="1179" spans="1:2" x14ac:dyDescent="0.25">
      <c r="A1179" t="s">
        <v>5315</v>
      </c>
      <c r="B1179" t="s">
        <v>1872</v>
      </c>
    </row>
    <row r="1180" spans="1:2" x14ac:dyDescent="0.25">
      <c r="A1180" t="s">
        <v>5316</v>
      </c>
      <c r="B1180" t="s">
        <v>173</v>
      </c>
    </row>
    <row r="1181" spans="1:2" x14ac:dyDescent="0.25">
      <c r="A1181" t="s">
        <v>731</v>
      </c>
      <c r="B1181" t="s">
        <v>730</v>
      </c>
    </row>
    <row r="1182" spans="1:2" x14ac:dyDescent="0.25">
      <c r="A1182" t="s">
        <v>5317</v>
      </c>
      <c r="B1182" t="s">
        <v>1879</v>
      </c>
    </row>
    <row r="1183" spans="1:2" x14ac:dyDescent="0.25">
      <c r="A1183" t="s">
        <v>5318</v>
      </c>
      <c r="B1183" t="s">
        <v>2360</v>
      </c>
    </row>
    <row r="1184" spans="1:2" x14ac:dyDescent="0.25">
      <c r="A1184" t="s">
        <v>5319</v>
      </c>
      <c r="B1184" t="s">
        <v>1885</v>
      </c>
    </row>
    <row r="1185" spans="1:2" x14ac:dyDescent="0.25">
      <c r="A1185" t="s">
        <v>5320</v>
      </c>
      <c r="B1185" t="s">
        <v>1768</v>
      </c>
    </row>
    <row r="1186" spans="1:2" x14ac:dyDescent="0.25">
      <c r="A1186" t="s">
        <v>5321</v>
      </c>
      <c r="B1186" t="s">
        <v>2408</v>
      </c>
    </row>
    <row r="1187" spans="1:2" x14ac:dyDescent="0.25">
      <c r="A1187" t="s">
        <v>5322</v>
      </c>
      <c r="B1187" t="s">
        <v>1875</v>
      </c>
    </row>
    <row r="1188" spans="1:2" x14ac:dyDescent="0.25">
      <c r="A1188" t="s">
        <v>5323</v>
      </c>
      <c r="B1188" t="s">
        <v>155</v>
      </c>
    </row>
    <row r="1189" spans="1:2" x14ac:dyDescent="0.25">
      <c r="A1189" t="s">
        <v>5324</v>
      </c>
      <c r="B1189" t="s">
        <v>284</v>
      </c>
    </row>
    <row r="1190" spans="1:2" x14ac:dyDescent="0.25">
      <c r="A1190" t="s">
        <v>5325</v>
      </c>
      <c r="B1190" t="s">
        <v>2326</v>
      </c>
    </row>
    <row r="1191" spans="1:2" x14ac:dyDescent="0.25">
      <c r="A1191" t="s">
        <v>5326</v>
      </c>
      <c r="B1191" t="s">
        <v>2334</v>
      </c>
    </row>
    <row r="1192" spans="1:2" x14ac:dyDescent="0.25">
      <c r="A1192" t="s">
        <v>5327</v>
      </c>
      <c r="B1192" t="s">
        <v>4760</v>
      </c>
    </row>
    <row r="1193" spans="1:2" x14ac:dyDescent="0.25">
      <c r="A1193" t="s">
        <v>5328</v>
      </c>
      <c r="B1193" t="s">
        <v>2820</v>
      </c>
    </row>
    <row r="1194" spans="1:2" x14ac:dyDescent="0.25">
      <c r="A1194" t="s">
        <v>5329</v>
      </c>
      <c r="B1194" t="s">
        <v>1627</v>
      </c>
    </row>
    <row r="1195" spans="1:2" x14ac:dyDescent="0.25">
      <c r="A1195" t="s">
        <v>185</v>
      </c>
      <c r="B1195" t="s">
        <v>184</v>
      </c>
    </row>
    <row r="1196" spans="1:2" x14ac:dyDescent="0.25">
      <c r="A1196" t="s">
        <v>79</v>
      </c>
      <c r="B1196" t="s">
        <v>78</v>
      </c>
    </row>
    <row r="1197" spans="1:2" x14ac:dyDescent="0.25">
      <c r="A1197" t="s">
        <v>5330</v>
      </c>
      <c r="B1197" t="s">
        <v>1887</v>
      </c>
    </row>
    <row r="1198" spans="1:2" x14ac:dyDescent="0.25">
      <c r="A1198" t="s">
        <v>5331</v>
      </c>
      <c r="B1198" t="s">
        <v>1401</v>
      </c>
    </row>
    <row r="1199" spans="1:2" x14ac:dyDescent="0.25">
      <c r="A1199" t="s">
        <v>2939</v>
      </c>
      <c r="B1199" t="s">
        <v>2938</v>
      </c>
    </row>
    <row r="1200" spans="1:2" x14ac:dyDescent="0.25">
      <c r="A1200" t="s">
        <v>369</v>
      </c>
      <c r="B1200" t="s">
        <v>368</v>
      </c>
    </row>
    <row r="1201" spans="1:2" x14ac:dyDescent="0.25">
      <c r="A1201" t="s">
        <v>5332</v>
      </c>
      <c r="B1201" t="s">
        <v>2402</v>
      </c>
    </row>
    <row r="1202" spans="1:2" x14ac:dyDescent="0.25">
      <c r="A1202" t="s">
        <v>5333</v>
      </c>
      <c r="B1202" t="s">
        <v>2427</v>
      </c>
    </row>
    <row r="1203" spans="1:2" x14ac:dyDescent="0.25">
      <c r="A1203" t="s">
        <v>5334</v>
      </c>
      <c r="B1203" t="s">
        <v>2190</v>
      </c>
    </row>
    <row r="1204" spans="1:2" x14ac:dyDescent="0.25">
      <c r="A1204" t="s">
        <v>5335</v>
      </c>
      <c r="B1204" t="s">
        <v>2385</v>
      </c>
    </row>
    <row r="1205" spans="1:2" x14ac:dyDescent="0.25">
      <c r="A1205" t="s">
        <v>5336</v>
      </c>
      <c r="B1205" t="s">
        <v>182</v>
      </c>
    </row>
    <row r="1206" spans="1:2" x14ac:dyDescent="0.25">
      <c r="A1206" t="s">
        <v>5337</v>
      </c>
      <c r="B1206" t="s">
        <v>1897</v>
      </c>
    </row>
    <row r="1207" spans="1:2" x14ac:dyDescent="0.25">
      <c r="A1207" t="s">
        <v>2933</v>
      </c>
      <c r="B1207" t="s">
        <v>2932</v>
      </c>
    </row>
    <row r="1208" spans="1:2" x14ac:dyDescent="0.25">
      <c r="A1208" t="s">
        <v>1019</v>
      </c>
      <c r="B1208" t="s">
        <v>1018</v>
      </c>
    </row>
    <row r="1209" spans="1:2" x14ac:dyDescent="0.25">
      <c r="A1209" t="s">
        <v>5338</v>
      </c>
      <c r="B1209" t="s">
        <v>3363</v>
      </c>
    </row>
    <row r="1210" spans="1:2" x14ac:dyDescent="0.25">
      <c r="A1210" t="s">
        <v>5339</v>
      </c>
      <c r="B1210" t="s">
        <v>4184</v>
      </c>
    </row>
    <row r="1211" spans="1:2" x14ac:dyDescent="0.25">
      <c r="A1211" t="s">
        <v>5340</v>
      </c>
      <c r="B1211" t="s">
        <v>787</v>
      </c>
    </row>
    <row r="1212" spans="1:2" x14ac:dyDescent="0.25">
      <c r="A1212" t="s">
        <v>5341</v>
      </c>
      <c r="B1212" t="s">
        <v>1643</v>
      </c>
    </row>
    <row r="1213" spans="1:2" x14ac:dyDescent="0.25">
      <c r="A1213" t="s">
        <v>5342</v>
      </c>
      <c r="B1213" t="s">
        <v>794</v>
      </c>
    </row>
    <row r="1214" spans="1:2" x14ac:dyDescent="0.25">
      <c r="A1214" t="s">
        <v>75</v>
      </c>
      <c r="B1214" t="s">
        <v>74</v>
      </c>
    </row>
    <row r="1215" spans="1:2" x14ac:dyDescent="0.25">
      <c r="A1215" t="s">
        <v>1937</v>
      </c>
      <c r="B1215" t="s">
        <v>1936</v>
      </c>
    </row>
    <row r="1216" spans="1:2" x14ac:dyDescent="0.25">
      <c r="A1216" t="s">
        <v>5343</v>
      </c>
      <c r="B1216" t="s">
        <v>2290</v>
      </c>
    </row>
    <row r="1217" spans="1:2" x14ac:dyDescent="0.25">
      <c r="A1217" t="s">
        <v>5344</v>
      </c>
      <c r="B1217" t="s">
        <v>896</v>
      </c>
    </row>
    <row r="1218" spans="1:2" x14ac:dyDescent="0.25">
      <c r="A1218" t="s">
        <v>5345</v>
      </c>
      <c r="B1218" t="s">
        <v>2421</v>
      </c>
    </row>
    <row r="1219" spans="1:2" x14ac:dyDescent="0.25">
      <c r="A1219" t="s">
        <v>5346</v>
      </c>
      <c r="B1219" t="s">
        <v>1856</v>
      </c>
    </row>
    <row r="1220" spans="1:2" x14ac:dyDescent="0.25">
      <c r="A1220" t="s">
        <v>5347</v>
      </c>
      <c r="B1220" t="s">
        <v>1030</v>
      </c>
    </row>
    <row r="1221" spans="1:2" x14ac:dyDescent="0.25">
      <c r="A1221" t="s">
        <v>5348</v>
      </c>
      <c r="B1221" t="s">
        <v>2277</v>
      </c>
    </row>
    <row r="1222" spans="1:2" x14ac:dyDescent="0.25">
      <c r="A1222" t="s">
        <v>5349</v>
      </c>
      <c r="B1222" t="s">
        <v>2287</v>
      </c>
    </row>
    <row r="1223" spans="1:2" x14ac:dyDescent="0.25">
      <c r="A1223" t="s">
        <v>5350</v>
      </c>
      <c r="B1223" t="s">
        <v>3078</v>
      </c>
    </row>
    <row r="1224" spans="1:2" x14ac:dyDescent="0.25">
      <c r="A1224" t="s">
        <v>5351</v>
      </c>
      <c r="B1224" t="s">
        <v>3077</v>
      </c>
    </row>
    <row r="1225" spans="1:2" x14ac:dyDescent="0.25">
      <c r="A1225" t="s">
        <v>5352</v>
      </c>
      <c r="B1225" t="s">
        <v>3133</v>
      </c>
    </row>
    <row r="1226" spans="1:2" x14ac:dyDescent="0.25">
      <c r="A1226" t="s">
        <v>5353</v>
      </c>
      <c r="B1226" t="s">
        <v>1108</v>
      </c>
    </row>
    <row r="1227" spans="1:2" x14ac:dyDescent="0.25">
      <c r="A1227" t="s">
        <v>310</v>
      </c>
      <c r="B1227" t="s">
        <v>309</v>
      </c>
    </row>
    <row r="1228" spans="1:2" x14ac:dyDescent="0.25">
      <c r="A1228" t="s">
        <v>5354</v>
      </c>
      <c r="B1228" t="s">
        <v>3287</v>
      </c>
    </row>
    <row r="1229" spans="1:2" x14ac:dyDescent="0.25">
      <c r="A1229" t="s">
        <v>5355</v>
      </c>
      <c r="B1229" t="s">
        <v>3063</v>
      </c>
    </row>
    <row r="1230" spans="1:2" x14ac:dyDescent="0.25">
      <c r="A1230" t="s">
        <v>1970</v>
      </c>
      <c r="B1230" t="s">
        <v>709</v>
      </c>
    </row>
    <row r="1231" spans="1:2" x14ac:dyDescent="0.25">
      <c r="A1231" t="s">
        <v>1968</v>
      </c>
      <c r="B1231" t="s">
        <v>707</v>
      </c>
    </row>
    <row r="1232" spans="1:2" x14ac:dyDescent="0.25">
      <c r="A1232" t="s">
        <v>1028</v>
      </c>
      <c r="B1232" t="s">
        <v>1027</v>
      </c>
    </row>
    <row r="1233" spans="1:2" x14ac:dyDescent="0.25">
      <c r="A1233" t="s">
        <v>5356</v>
      </c>
      <c r="B1233" t="s">
        <v>1844</v>
      </c>
    </row>
    <row r="1234" spans="1:2" x14ac:dyDescent="0.25">
      <c r="A1234" t="s">
        <v>5357</v>
      </c>
      <c r="B1234" t="s">
        <v>202</v>
      </c>
    </row>
    <row r="1235" spans="1:2" x14ac:dyDescent="0.25">
      <c r="A1235" t="s">
        <v>5358</v>
      </c>
      <c r="B1235" t="s">
        <v>2800</v>
      </c>
    </row>
    <row r="1236" spans="1:2" x14ac:dyDescent="0.25">
      <c r="A1236" t="s">
        <v>5359</v>
      </c>
      <c r="B1236" t="s">
        <v>3250</v>
      </c>
    </row>
    <row r="1237" spans="1:2" x14ac:dyDescent="0.25">
      <c r="A1237" t="s">
        <v>2968</v>
      </c>
      <c r="B1237" t="s">
        <v>2967</v>
      </c>
    </row>
    <row r="1238" spans="1:2" x14ac:dyDescent="0.25">
      <c r="A1238" t="s">
        <v>5360</v>
      </c>
      <c r="B1238" t="s">
        <v>2335</v>
      </c>
    </row>
    <row r="1239" spans="1:2" x14ac:dyDescent="0.25">
      <c r="A1239" t="s">
        <v>5361</v>
      </c>
      <c r="B1239" t="s">
        <v>2314</v>
      </c>
    </row>
    <row r="1240" spans="1:2" x14ac:dyDescent="0.25">
      <c r="A1240" t="s">
        <v>5362</v>
      </c>
      <c r="B1240" t="s">
        <v>1494</v>
      </c>
    </row>
    <row r="1241" spans="1:2" x14ac:dyDescent="0.25">
      <c r="A1241" t="s">
        <v>5363</v>
      </c>
      <c r="B1241" t="s">
        <v>3108</v>
      </c>
    </row>
    <row r="1242" spans="1:2" x14ac:dyDescent="0.25">
      <c r="A1242" t="s">
        <v>5364</v>
      </c>
      <c r="B1242" t="s">
        <v>2418</v>
      </c>
    </row>
    <row r="1243" spans="1:2" x14ac:dyDescent="0.25">
      <c r="A1243" t="s">
        <v>5365</v>
      </c>
      <c r="B1243" t="s">
        <v>3198</v>
      </c>
    </row>
    <row r="1244" spans="1:2" x14ac:dyDescent="0.25">
      <c r="A1244" t="s">
        <v>5366</v>
      </c>
      <c r="B1244" t="s">
        <v>3080</v>
      </c>
    </row>
    <row r="1245" spans="1:2" x14ac:dyDescent="0.25">
      <c r="A1245" t="s">
        <v>5367</v>
      </c>
      <c r="B1245" t="s">
        <v>2406</v>
      </c>
    </row>
    <row r="1246" spans="1:2" x14ac:dyDescent="0.25">
      <c r="A1246" t="s">
        <v>5368</v>
      </c>
      <c r="B1246" t="s">
        <v>3362</v>
      </c>
    </row>
    <row r="1247" spans="1:2" x14ac:dyDescent="0.25">
      <c r="A1247" t="s">
        <v>5369</v>
      </c>
      <c r="B1247" t="s">
        <v>2426</v>
      </c>
    </row>
    <row r="1248" spans="1:2" x14ac:dyDescent="0.25">
      <c r="A1248" t="s">
        <v>5370</v>
      </c>
      <c r="B1248" t="s">
        <v>1770</v>
      </c>
    </row>
    <row r="1249" spans="1:2" x14ac:dyDescent="0.25">
      <c r="A1249" t="s">
        <v>252</v>
      </c>
      <c r="B1249" t="s">
        <v>251</v>
      </c>
    </row>
    <row r="1250" spans="1:2" x14ac:dyDescent="0.25">
      <c r="A1250" t="s">
        <v>5371</v>
      </c>
      <c r="B1250" t="s">
        <v>2293</v>
      </c>
    </row>
    <row r="1251" spans="1:2" x14ac:dyDescent="0.25">
      <c r="A1251" t="s">
        <v>5372</v>
      </c>
      <c r="B1251" t="s">
        <v>2401</v>
      </c>
    </row>
    <row r="1252" spans="1:2" x14ac:dyDescent="0.25">
      <c r="A1252" t="s">
        <v>5373</v>
      </c>
      <c r="B1252" t="s">
        <v>2410</v>
      </c>
    </row>
    <row r="1253" spans="1:2" x14ac:dyDescent="0.25">
      <c r="A1253" t="s">
        <v>345</v>
      </c>
      <c r="B1253" t="s">
        <v>344</v>
      </c>
    </row>
    <row r="1254" spans="1:2" x14ac:dyDescent="0.25">
      <c r="A1254" t="s">
        <v>903</v>
      </c>
      <c r="B1254" t="s">
        <v>902</v>
      </c>
    </row>
    <row r="1255" spans="1:2" x14ac:dyDescent="0.25">
      <c r="A1255" t="s">
        <v>5374</v>
      </c>
      <c r="B1255" t="s">
        <v>243</v>
      </c>
    </row>
    <row r="1256" spans="1:2" x14ac:dyDescent="0.25">
      <c r="A1256" t="s">
        <v>5375</v>
      </c>
      <c r="B1256" t="s">
        <v>2944</v>
      </c>
    </row>
    <row r="1257" spans="1:2" x14ac:dyDescent="0.25">
      <c r="A1257" t="s">
        <v>5376</v>
      </c>
      <c r="B1257" t="s">
        <v>2886</v>
      </c>
    </row>
    <row r="1258" spans="1:2" x14ac:dyDescent="0.25">
      <c r="A1258" t="s">
        <v>5377</v>
      </c>
      <c r="B1258" t="s">
        <v>2425</v>
      </c>
    </row>
    <row r="1259" spans="1:2" x14ac:dyDescent="0.25">
      <c r="A1259" t="s">
        <v>5378</v>
      </c>
      <c r="B1259" t="s">
        <v>2325</v>
      </c>
    </row>
    <row r="1260" spans="1:2" x14ac:dyDescent="0.25">
      <c r="A1260" t="s">
        <v>5379</v>
      </c>
      <c r="B1260" t="s">
        <v>1948</v>
      </c>
    </row>
    <row r="1261" spans="1:2" x14ac:dyDescent="0.25">
      <c r="A1261" t="s">
        <v>5380</v>
      </c>
      <c r="B1261" t="s">
        <v>2423</v>
      </c>
    </row>
    <row r="1262" spans="1:2" x14ac:dyDescent="0.25">
      <c r="A1262" t="s">
        <v>5381</v>
      </c>
      <c r="B1262" t="s">
        <v>3079</v>
      </c>
    </row>
    <row r="1263" spans="1:2" x14ac:dyDescent="0.25">
      <c r="A1263" t="s">
        <v>5382</v>
      </c>
      <c r="B1263" t="s">
        <v>780</v>
      </c>
    </row>
    <row r="1264" spans="1:2" x14ac:dyDescent="0.25">
      <c r="A1264" t="s">
        <v>322</v>
      </c>
      <c r="B1264" t="s">
        <v>321</v>
      </c>
    </row>
    <row r="1265" spans="1:2" x14ac:dyDescent="0.25">
      <c r="A1265" t="s">
        <v>5383</v>
      </c>
      <c r="B1265" t="s">
        <v>3324</v>
      </c>
    </row>
    <row r="1266" spans="1:2" x14ac:dyDescent="0.25">
      <c r="A1266" t="s">
        <v>2929</v>
      </c>
      <c r="B1266" t="s">
        <v>2928</v>
      </c>
    </row>
    <row r="1267" spans="1:2" x14ac:dyDescent="0.25">
      <c r="A1267" t="s">
        <v>5384</v>
      </c>
      <c r="B1267" t="s">
        <v>3325</v>
      </c>
    </row>
    <row r="1268" spans="1:2" x14ac:dyDescent="0.25">
      <c r="A1268" t="s">
        <v>339</v>
      </c>
      <c r="B1268" t="s">
        <v>338</v>
      </c>
    </row>
    <row r="1269" spans="1:2" x14ac:dyDescent="0.25">
      <c r="A1269" t="s">
        <v>5385</v>
      </c>
      <c r="B1269" t="s">
        <v>311</v>
      </c>
    </row>
    <row r="1270" spans="1:2" x14ac:dyDescent="0.25">
      <c r="A1270" t="s">
        <v>5386</v>
      </c>
      <c r="B1270" t="s">
        <v>1698</v>
      </c>
    </row>
    <row r="1271" spans="1:2" x14ac:dyDescent="0.25">
      <c r="A1271" t="s">
        <v>5387</v>
      </c>
      <c r="B1271" t="s">
        <v>3194</v>
      </c>
    </row>
    <row r="1272" spans="1:2" x14ac:dyDescent="0.25">
      <c r="A1272" t="s">
        <v>5388</v>
      </c>
      <c r="B1272" t="s">
        <v>1581</v>
      </c>
    </row>
    <row r="1273" spans="1:2" x14ac:dyDescent="0.25">
      <c r="A1273" t="s">
        <v>5389</v>
      </c>
      <c r="B1273" t="s">
        <v>2193</v>
      </c>
    </row>
    <row r="1274" spans="1:2" x14ac:dyDescent="0.25">
      <c r="A1274" t="s">
        <v>5390</v>
      </c>
      <c r="B1274" t="s">
        <v>3321</v>
      </c>
    </row>
    <row r="1275" spans="1:2" x14ac:dyDescent="0.25">
      <c r="A1275" t="s">
        <v>5391</v>
      </c>
      <c r="B1275" t="s">
        <v>2419</v>
      </c>
    </row>
    <row r="1276" spans="1:2" x14ac:dyDescent="0.25">
      <c r="A1276" t="s">
        <v>61</v>
      </c>
      <c r="B1276" t="s">
        <v>60</v>
      </c>
    </row>
    <row r="1277" spans="1:2" x14ac:dyDescent="0.25">
      <c r="A1277" t="s">
        <v>5392</v>
      </c>
      <c r="B1277" t="s">
        <v>3114</v>
      </c>
    </row>
    <row r="1278" spans="1:2" x14ac:dyDescent="0.25">
      <c r="A1278" t="s">
        <v>1697</v>
      </c>
      <c r="B1278" t="s">
        <v>1696</v>
      </c>
    </row>
    <row r="1279" spans="1:2" x14ac:dyDescent="0.25">
      <c r="A1279" t="s">
        <v>281</v>
      </c>
      <c r="B1279" t="s">
        <v>280</v>
      </c>
    </row>
    <row r="1280" spans="1:2" x14ac:dyDescent="0.25">
      <c r="A1280" t="s">
        <v>5393</v>
      </c>
      <c r="B1280" t="s">
        <v>477</v>
      </c>
    </row>
    <row r="1281" spans="1:2" x14ac:dyDescent="0.25">
      <c r="A1281" t="s">
        <v>373</v>
      </c>
      <c r="B1281" t="s">
        <v>372</v>
      </c>
    </row>
    <row r="1282" spans="1:2" x14ac:dyDescent="0.25">
      <c r="A1282" t="s">
        <v>5394</v>
      </c>
      <c r="B1282" t="s">
        <v>2389</v>
      </c>
    </row>
    <row r="1283" spans="1:2" x14ac:dyDescent="0.25">
      <c r="A1283" t="s">
        <v>5395</v>
      </c>
      <c r="B1283" t="s">
        <v>720</v>
      </c>
    </row>
    <row r="1284" spans="1:2" x14ac:dyDescent="0.25">
      <c r="A1284" t="s">
        <v>1507</v>
      </c>
      <c r="B1284" t="s">
        <v>1506</v>
      </c>
    </row>
    <row r="1285" spans="1:2" x14ac:dyDescent="0.25">
      <c r="A1285" t="s">
        <v>5396</v>
      </c>
      <c r="B1285" t="s">
        <v>1706</v>
      </c>
    </row>
    <row r="1286" spans="1:2" x14ac:dyDescent="0.25">
      <c r="A1286" t="s">
        <v>5397</v>
      </c>
      <c r="B1286" t="s">
        <v>1776</v>
      </c>
    </row>
    <row r="1287" spans="1:2" x14ac:dyDescent="0.25">
      <c r="A1287" t="s">
        <v>295</v>
      </c>
      <c r="B1287" t="s">
        <v>294</v>
      </c>
    </row>
    <row r="1288" spans="1:2" x14ac:dyDescent="0.25">
      <c r="A1288" t="s">
        <v>5398</v>
      </c>
      <c r="B1288" t="s">
        <v>4792</v>
      </c>
    </row>
    <row r="1289" spans="1:2" x14ac:dyDescent="0.25">
      <c r="A1289" t="s">
        <v>5399</v>
      </c>
      <c r="B1289" t="s">
        <v>2428</v>
      </c>
    </row>
    <row r="1290" spans="1:2" x14ac:dyDescent="0.25">
      <c r="A1290" t="s">
        <v>5400</v>
      </c>
      <c r="B1290" t="s">
        <v>2420</v>
      </c>
    </row>
    <row r="1291" spans="1:2" x14ac:dyDescent="0.25">
      <c r="A1291" t="s">
        <v>85</v>
      </c>
      <c r="B1291" t="s">
        <v>84</v>
      </c>
    </row>
    <row r="1292" spans="1:2" x14ac:dyDescent="0.25">
      <c r="A1292" t="s">
        <v>5401</v>
      </c>
      <c r="B1292" t="s">
        <v>1772</v>
      </c>
    </row>
    <row r="1293" spans="1:2" x14ac:dyDescent="0.25">
      <c r="A1293" t="s">
        <v>5402</v>
      </c>
      <c r="B1293" t="s">
        <v>1024</v>
      </c>
    </row>
    <row r="1294" spans="1:2" x14ac:dyDescent="0.25">
      <c r="A1294" t="s">
        <v>5403</v>
      </c>
      <c r="B1294" t="s">
        <v>297</v>
      </c>
    </row>
    <row r="1295" spans="1:2" x14ac:dyDescent="0.25">
      <c r="A1295" t="s">
        <v>316</v>
      </c>
      <c r="B1295" t="s">
        <v>315</v>
      </c>
    </row>
    <row r="1296" spans="1:2" x14ac:dyDescent="0.25">
      <c r="A1296" t="s">
        <v>5404</v>
      </c>
      <c r="B1296" t="s">
        <v>3069</v>
      </c>
    </row>
    <row r="1297" spans="1:2" x14ac:dyDescent="0.25">
      <c r="A1297" t="s">
        <v>272</v>
      </c>
      <c r="B1297" t="s">
        <v>271</v>
      </c>
    </row>
    <row r="1298" spans="1:2" x14ac:dyDescent="0.25">
      <c r="A1298" t="s">
        <v>5405</v>
      </c>
      <c r="B1298" t="s">
        <v>164</v>
      </c>
    </row>
    <row r="1299" spans="1:2" x14ac:dyDescent="0.25">
      <c r="A1299" t="s">
        <v>5406</v>
      </c>
      <c r="B1299" t="s">
        <v>803</v>
      </c>
    </row>
    <row r="1300" spans="1:2" x14ac:dyDescent="0.25">
      <c r="A1300" t="s">
        <v>5407</v>
      </c>
      <c r="B1300" t="s">
        <v>809</v>
      </c>
    </row>
    <row r="1301" spans="1:2" x14ac:dyDescent="0.25">
      <c r="A1301" t="s">
        <v>5408</v>
      </c>
      <c r="B1301" t="s">
        <v>267</v>
      </c>
    </row>
    <row r="1302" spans="1:2" x14ac:dyDescent="0.25">
      <c r="A1302" t="s">
        <v>270</v>
      </c>
      <c r="B1302" t="s">
        <v>269</v>
      </c>
    </row>
    <row r="1303" spans="1:2" x14ac:dyDescent="0.25">
      <c r="A1303" t="s">
        <v>268</v>
      </c>
      <c r="B1303" t="s">
        <v>267</v>
      </c>
    </row>
    <row r="1304" spans="1:2" x14ac:dyDescent="0.25">
      <c r="A1304" t="s">
        <v>260</v>
      </c>
      <c r="B1304" t="s">
        <v>259</v>
      </c>
    </row>
    <row r="1305" spans="1:2" x14ac:dyDescent="0.25">
      <c r="A1305" t="s">
        <v>5409</v>
      </c>
      <c r="B1305" t="s">
        <v>2422</v>
      </c>
    </row>
    <row r="1306" spans="1:2" x14ac:dyDescent="0.25">
      <c r="A1306" t="s">
        <v>5410</v>
      </c>
      <c r="B1306" t="s">
        <v>3273</v>
      </c>
    </row>
    <row r="1307" spans="1:2" x14ac:dyDescent="0.25">
      <c r="A1307" t="s">
        <v>308</v>
      </c>
      <c r="B1307" t="s">
        <v>307</v>
      </c>
    </row>
    <row r="1308" spans="1:2" x14ac:dyDescent="0.25">
      <c r="A1308" t="s">
        <v>254</v>
      </c>
      <c r="B1308" t="s">
        <v>253</v>
      </c>
    </row>
    <row r="1309" spans="1:2" x14ac:dyDescent="0.25">
      <c r="A1309" t="s">
        <v>242</v>
      </c>
      <c r="B1309" t="s">
        <v>241</v>
      </c>
    </row>
    <row r="1310" spans="1:2" x14ac:dyDescent="0.25">
      <c r="A1310" t="s">
        <v>256</v>
      </c>
      <c r="B1310" t="s">
        <v>255</v>
      </c>
    </row>
    <row r="1311" spans="1:2" x14ac:dyDescent="0.25">
      <c r="A1311" t="s">
        <v>5411</v>
      </c>
      <c r="B1311" t="s">
        <v>773</v>
      </c>
    </row>
    <row r="1312" spans="1:2" x14ac:dyDescent="0.25">
      <c r="A1312" t="s">
        <v>5412</v>
      </c>
      <c r="B1312" t="s">
        <v>896</v>
      </c>
    </row>
    <row r="1313" spans="1:2" x14ac:dyDescent="0.25">
      <c r="A1313" t="s">
        <v>5413</v>
      </c>
      <c r="B1313" t="s">
        <v>2826</v>
      </c>
    </row>
    <row r="1314" spans="1:2" x14ac:dyDescent="0.25">
      <c r="A1314" t="s">
        <v>5414</v>
      </c>
      <c r="B1314" t="s">
        <v>809</v>
      </c>
    </row>
    <row r="1315" spans="1:2" x14ac:dyDescent="0.25">
      <c r="A1315" t="s">
        <v>5415</v>
      </c>
      <c r="B1315" t="s">
        <v>893</v>
      </c>
    </row>
    <row r="1316" spans="1:2" x14ac:dyDescent="0.25">
      <c r="A1316" t="s">
        <v>5416</v>
      </c>
      <c r="B1316" t="s">
        <v>319</v>
      </c>
    </row>
    <row r="1317" spans="1:2" x14ac:dyDescent="0.25">
      <c r="A1317" t="s">
        <v>5417</v>
      </c>
      <c r="B1317" t="s">
        <v>313</v>
      </c>
    </row>
    <row r="1318" spans="1:2" x14ac:dyDescent="0.25">
      <c r="A1318" t="s">
        <v>5418</v>
      </c>
      <c r="B1318" t="s">
        <v>871</v>
      </c>
    </row>
    <row r="1319" spans="1:2" x14ac:dyDescent="0.25">
      <c r="A1319" t="s">
        <v>5419</v>
      </c>
      <c r="B1319" t="s">
        <v>716</v>
      </c>
    </row>
    <row r="1320" spans="1:2" x14ac:dyDescent="0.25">
      <c r="A1320" t="s">
        <v>5420</v>
      </c>
      <c r="B1320" t="s">
        <v>317</v>
      </c>
    </row>
    <row r="1321" spans="1:2" x14ac:dyDescent="0.25">
      <c r="A1321" t="s">
        <v>5421</v>
      </c>
      <c r="B1321" t="s">
        <v>874</v>
      </c>
    </row>
    <row r="1322" spans="1:2" x14ac:dyDescent="0.25">
      <c r="A1322" t="s">
        <v>5422</v>
      </c>
      <c r="B1322" t="s">
        <v>880</v>
      </c>
    </row>
    <row r="1323" spans="1:2" x14ac:dyDescent="0.25">
      <c r="A1323" t="s">
        <v>5423</v>
      </c>
      <c r="B1323" t="s">
        <v>164</v>
      </c>
    </row>
    <row r="1324" spans="1:2" x14ac:dyDescent="0.25">
      <c r="A1324" t="s">
        <v>5424</v>
      </c>
      <c r="B1324" t="s">
        <v>2291</v>
      </c>
    </row>
    <row r="1325" spans="1:2" x14ac:dyDescent="0.25">
      <c r="A1325" t="s">
        <v>5425</v>
      </c>
      <c r="B1325" t="s">
        <v>1848</v>
      </c>
    </row>
    <row r="1326" spans="1:2" x14ac:dyDescent="0.25">
      <c r="A1326" t="s">
        <v>5426</v>
      </c>
      <c r="B1326" t="s">
        <v>2292</v>
      </c>
    </row>
    <row r="1327" spans="1:2" x14ac:dyDescent="0.25">
      <c r="A1327" t="s">
        <v>5427</v>
      </c>
      <c r="B1327" t="s">
        <v>2798</v>
      </c>
    </row>
    <row r="1328" spans="1:2" x14ac:dyDescent="0.25">
      <c r="A1328" t="s">
        <v>5428</v>
      </c>
      <c r="B1328" t="s">
        <v>325</v>
      </c>
    </row>
    <row r="1329" spans="1:2" x14ac:dyDescent="0.25">
      <c r="A1329" t="s">
        <v>5429</v>
      </c>
      <c r="B1329" t="s">
        <v>792</v>
      </c>
    </row>
    <row r="1330" spans="1:2" x14ac:dyDescent="0.25">
      <c r="A1330" t="s">
        <v>5430</v>
      </c>
      <c r="B1330" t="s">
        <v>790</v>
      </c>
    </row>
    <row r="1331" spans="1:2" x14ac:dyDescent="0.25">
      <c r="A1331" t="s">
        <v>5431</v>
      </c>
      <c r="B1331" t="s">
        <v>1643</v>
      </c>
    </row>
    <row r="1332" spans="1:2" x14ac:dyDescent="0.25">
      <c r="A1332" t="s">
        <v>5432</v>
      </c>
      <c r="B1332" t="s">
        <v>785</v>
      </c>
    </row>
    <row r="1333" spans="1:2" x14ac:dyDescent="0.25">
      <c r="A1333" t="s">
        <v>5433</v>
      </c>
      <c r="B1333" t="s">
        <v>787</v>
      </c>
    </row>
    <row r="1334" spans="1:2" x14ac:dyDescent="0.25">
      <c r="A1334" t="s">
        <v>5434</v>
      </c>
      <c r="B1334" t="s">
        <v>2399</v>
      </c>
    </row>
    <row r="1335" spans="1:2" x14ac:dyDescent="0.25">
      <c r="A1335" t="s">
        <v>5435</v>
      </c>
      <c r="B1335" t="s">
        <v>4753</v>
      </c>
    </row>
    <row r="1336" spans="1:2" x14ac:dyDescent="0.25">
      <c r="A1336" t="s">
        <v>5436</v>
      </c>
      <c r="B1336" t="s">
        <v>794</v>
      </c>
    </row>
    <row r="1337" spans="1:2" x14ac:dyDescent="0.25">
      <c r="A1337" t="s">
        <v>5437</v>
      </c>
      <c r="B1337" t="s">
        <v>159</v>
      </c>
    </row>
    <row r="1338" spans="1:2" x14ac:dyDescent="0.25">
      <c r="A1338" t="s">
        <v>5438</v>
      </c>
      <c r="B1338" t="s">
        <v>159</v>
      </c>
    </row>
    <row r="1339" spans="1:2" x14ac:dyDescent="0.25">
      <c r="A1339" t="s">
        <v>5439</v>
      </c>
      <c r="B1339" t="s">
        <v>3338</v>
      </c>
    </row>
    <row r="1340" spans="1:2" x14ac:dyDescent="0.25">
      <c r="A1340" t="s">
        <v>5440</v>
      </c>
      <c r="B1340" t="s">
        <v>2362</v>
      </c>
    </row>
    <row r="1341" spans="1:2" x14ac:dyDescent="0.25">
      <c r="A1341" t="s">
        <v>5441</v>
      </c>
      <c r="B1341" t="s">
        <v>3266</v>
      </c>
    </row>
    <row r="1342" spans="1:2" x14ac:dyDescent="0.25">
      <c r="A1342" t="s">
        <v>5442</v>
      </c>
      <c r="B1342" t="s">
        <v>812</v>
      </c>
    </row>
    <row r="1343" spans="1:2" x14ac:dyDescent="0.25">
      <c r="A1343" t="s">
        <v>5443</v>
      </c>
      <c r="B1343" t="s">
        <v>1614</v>
      </c>
    </row>
    <row r="1344" spans="1:2" x14ac:dyDescent="0.25">
      <c r="A1344" t="s">
        <v>5444</v>
      </c>
      <c r="B1344" t="s">
        <v>2364</v>
      </c>
    </row>
    <row r="1345" spans="1:2" x14ac:dyDescent="0.25">
      <c r="A1345" t="s">
        <v>5445</v>
      </c>
      <c r="B1345" t="s">
        <v>3260</v>
      </c>
    </row>
    <row r="1346" spans="1:2" x14ac:dyDescent="0.25">
      <c r="A1346" t="s">
        <v>5446</v>
      </c>
      <c r="B1346" t="s">
        <v>269</v>
      </c>
    </row>
    <row r="1347" spans="1:2" x14ac:dyDescent="0.25">
      <c r="A1347" t="s">
        <v>5447</v>
      </c>
      <c r="B1347" t="s">
        <v>2294</v>
      </c>
    </row>
    <row r="1348" spans="1:2" x14ac:dyDescent="0.25">
      <c r="A1348" t="s">
        <v>5448</v>
      </c>
      <c r="B1348" t="s">
        <v>2314</v>
      </c>
    </row>
    <row r="1349" spans="1:2" x14ac:dyDescent="0.25">
      <c r="A1349" t="s">
        <v>5449</v>
      </c>
      <c r="B1349" t="s">
        <v>803</v>
      </c>
    </row>
    <row r="1350" spans="1:2" x14ac:dyDescent="0.25">
      <c r="A1350" t="s">
        <v>5450</v>
      </c>
      <c r="B1350" t="s">
        <v>899</v>
      </c>
    </row>
    <row r="1351" spans="1:2" x14ac:dyDescent="0.25">
      <c r="A1351" t="s">
        <v>5451</v>
      </c>
      <c r="B1351" t="s">
        <v>159</v>
      </c>
    </row>
    <row r="1352" spans="1:2" x14ac:dyDescent="0.25">
      <c r="A1352" t="s">
        <v>5452</v>
      </c>
      <c r="B1352" t="s">
        <v>286</v>
      </c>
    </row>
    <row r="1353" spans="1:2" x14ac:dyDescent="0.25">
      <c r="A1353" t="s">
        <v>5453</v>
      </c>
      <c r="B1353" t="s">
        <v>2832</v>
      </c>
    </row>
    <row r="1354" spans="1:2" x14ac:dyDescent="0.25">
      <c r="A1354" t="s">
        <v>5454</v>
      </c>
      <c r="B1354" t="s">
        <v>2296</v>
      </c>
    </row>
    <row r="1355" spans="1:2" x14ac:dyDescent="0.25">
      <c r="A1355" t="s">
        <v>2783</v>
      </c>
      <c r="B1355" t="s">
        <v>2782</v>
      </c>
    </row>
    <row r="1356" spans="1:2" x14ac:dyDescent="0.25">
      <c r="A1356" t="s">
        <v>1592</v>
      </c>
      <c r="B1356" t="s">
        <v>1591</v>
      </c>
    </row>
    <row r="1357" spans="1:2" x14ac:dyDescent="0.25">
      <c r="A1357" t="s">
        <v>1595</v>
      </c>
      <c r="B1357" t="s">
        <v>1594</v>
      </c>
    </row>
    <row r="1358" spans="1:2" x14ac:dyDescent="0.25">
      <c r="A1358" t="s">
        <v>1597</v>
      </c>
      <c r="B1358" t="s">
        <v>1596</v>
      </c>
    </row>
    <row r="1359" spans="1:2" x14ac:dyDescent="0.25">
      <c r="A1359" t="s">
        <v>1599</v>
      </c>
      <c r="B1359" t="s">
        <v>1598</v>
      </c>
    </row>
    <row r="1360" spans="1:2" x14ac:dyDescent="0.25">
      <c r="A1360" t="s">
        <v>5455</v>
      </c>
      <c r="B1360" t="s">
        <v>2297</v>
      </c>
    </row>
    <row r="1361" spans="1:2" x14ac:dyDescent="0.25">
      <c r="A1361" t="s">
        <v>5456</v>
      </c>
      <c r="B1361" t="s">
        <v>3207</v>
      </c>
    </row>
    <row r="1362" spans="1:2" x14ac:dyDescent="0.25">
      <c r="A1362" t="s">
        <v>5457</v>
      </c>
      <c r="B1362" t="s">
        <v>2298</v>
      </c>
    </row>
    <row r="1363" spans="1:2" x14ac:dyDescent="0.25">
      <c r="A1363" t="s">
        <v>1601</v>
      </c>
      <c r="B1363" t="s">
        <v>1600</v>
      </c>
    </row>
    <row r="1364" spans="1:2" x14ac:dyDescent="0.25">
      <c r="A1364" t="s">
        <v>1603</v>
      </c>
      <c r="B1364" t="s">
        <v>1602</v>
      </c>
    </row>
    <row r="1365" spans="1:2" x14ac:dyDescent="0.25">
      <c r="A1365" t="s">
        <v>1605</v>
      </c>
      <c r="B1365" t="s">
        <v>1604</v>
      </c>
    </row>
    <row r="1366" spans="1:2" x14ac:dyDescent="0.25">
      <c r="A1366" t="s">
        <v>5458</v>
      </c>
      <c r="B1366" t="s">
        <v>2392</v>
      </c>
    </row>
    <row r="1367" spans="1:2" x14ac:dyDescent="0.25">
      <c r="A1367" t="s">
        <v>5459</v>
      </c>
      <c r="B1367" t="s">
        <v>2393</v>
      </c>
    </row>
    <row r="1368" spans="1:2" x14ac:dyDescent="0.25">
      <c r="A1368" t="s">
        <v>2797</v>
      </c>
      <c r="B1368" t="s">
        <v>2796</v>
      </c>
    </row>
    <row r="1369" spans="1:2" x14ac:dyDescent="0.25">
      <c r="A1369" t="s">
        <v>5460</v>
      </c>
      <c r="B1369" t="s">
        <v>3318</v>
      </c>
    </row>
    <row r="1370" spans="1:2" x14ac:dyDescent="0.25">
      <c r="A1370" t="s">
        <v>1640</v>
      </c>
      <c r="B1370" t="s">
        <v>1639</v>
      </c>
    </row>
    <row r="1371" spans="1:2" x14ac:dyDescent="0.25">
      <c r="A1371" t="s">
        <v>5461</v>
      </c>
      <c r="B1371" t="s">
        <v>3319</v>
      </c>
    </row>
    <row r="1372" spans="1:2" x14ac:dyDescent="0.25">
      <c r="A1372" t="s">
        <v>1642</v>
      </c>
      <c r="B1372" t="s">
        <v>1641</v>
      </c>
    </row>
    <row r="1373" spans="1:2" x14ac:dyDescent="0.25">
      <c r="A1373" t="s">
        <v>2751</v>
      </c>
      <c r="B1373" t="s">
        <v>2750</v>
      </c>
    </row>
    <row r="1374" spans="1:2" x14ac:dyDescent="0.25">
      <c r="A1374" t="s">
        <v>2753</v>
      </c>
      <c r="B1374" t="s">
        <v>2752</v>
      </c>
    </row>
    <row r="1375" spans="1:2" x14ac:dyDescent="0.25">
      <c r="A1375" t="s">
        <v>5462</v>
      </c>
      <c r="B1375" t="s">
        <v>3167</v>
      </c>
    </row>
    <row r="1376" spans="1:2" x14ac:dyDescent="0.25">
      <c r="A1376" t="s">
        <v>5463</v>
      </c>
      <c r="B1376" t="s">
        <v>2252</v>
      </c>
    </row>
    <row r="1377" spans="1:2" x14ac:dyDescent="0.25">
      <c r="A1377" t="s">
        <v>2755</v>
      </c>
      <c r="B1377" t="s">
        <v>2754</v>
      </c>
    </row>
    <row r="1378" spans="1:2" x14ac:dyDescent="0.25">
      <c r="A1378" t="s">
        <v>5464</v>
      </c>
      <c r="B1378" t="s">
        <v>1778</v>
      </c>
    </row>
    <row r="1379" spans="1:2" x14ac:dyDescent="0.25">
      <c r="A1379" t="s">
        <v>2915</v>
      </c>
      <c r="B1379" t="s">
        <v>2914</v>
      </c>
    </row>
    <row r="1380" spans="1:2" x14ac:dyDescent="0.25">
      <c r="A1380" t="s">
        <v>2757</v>
      </c>
      <c r="B1380" t="s">
        <v>2756</v>
      </c>
    </row>
    <row r="1381" spans="1:2" x14ac:dyDescent="0.25">
      <c r="A1381" t="s">
        <v>2749</v>
      </c>
      <c r="B1381" t="s">
        <v>2748</v>
      </c>
    </row>
    <row r="1382" spans="1:2" x14ac:dyDescent="0.25">
      <c r="A1382" t="s">
        <v>5465</v>
      </c>
      <c r="B1382" t="s">
        <v>3157</v>
      </c>
    </row>
    <row r="1383" spans="1:2" x14ac:dyDescent="0.25">
      <c r="A1383" t="s">
        <v>5466</v>
      </c>
      <c r="B1383" t="s">
        <v>2272</v>
      </c>
    </row>
    <row r="1384" spans="1:2" x14ac:dyDescent="0.25">
      <c r="A1384" t="s">
        <v>5467</v>
      </c>
      <c r="B1384" t="s">
        <v>3301</v>
      </c>
    </row>
    <row r="1385" spans="1:2" x14ac:dyDescent="0.25">
      <c r="A1385" t="s">
        <v>5468</v>
      </c>
      <c r="B1385" t="s">
        <v>3115</v>
      </c>
    </row>
    <row r="1386" spans="1:2" x14ac:dyDescent="0.25">
      <c r="A1386" t="s">
        <v>5469</v>
      </c>
      <c r="B1386" t="s">
        <v>3130</v>
      </c>
    </row>
    <row r="1387" spans="1:2" x14ac:dyDescent="0.25">
      <c r="A1387" t="s">
        <v>5470</v>
      </c>
      <c r="B1387" t="s">
        <v>2328</v>
      </c>
    </row>
    <row r="1388" spans="1:2" x14ac:dyDescent="0.25">
      <c r="A1388" t="s">
        <v>5471</v>
      </c>
      <c r="B1388" t="s">
        <v>2275</v>
      </c>
    </row>
    <row r="1389" spans="1:2" x14ac:dyDescent="0.25">
      <c r="A1389" t="s">
        <v>5472</v>
      </c>
      <c r="B1389" t="s">
        <v>1678</v>
      </c>
    </row>
    <row r="1390" spans="1:2" x14ac:dyDescent="0.25">
      <c r="A1390" t="s">
        <v>5473</v>
      </c>
      <c r="B1390" t="s">
        <v>3195</v>
      </c>
    </row>
    <row r="1391" spans="1:2" x14ac:dyDescent="0.25">
      <c r="A1391" t="s">
        <v>5474</v>
      </c>
      <c r="B1391" t="s">
        <v>3201</v>
      </c>
    </row>
    <row r="1392" spans="1:2" x14ac:dyDescent="0.25">
      <c r="A1392" t="s">
        <v>5475</v>
      </c>
      <c r="B1392" t="s">
        <v>2331</v>
      </c>
    </row>
    <row r="1393" spans="1:2" x14ac:dyDescent="0.25">
      <c r="A1393" t="s">
        <v>5476</v>
      </c>
      <c r="B1393" t="s">
        <v>1504</v>
      </c>
    </row>
    <row r="1394" spans="1:2" x14ac:dyDescent="0.25">
      <c r="A1394" t="s">
        <v>5477</v>
      </c>
      <c r="B1394" t="s">
        <v>80</v>
      </c>
    </row>
    <row r="1395" spans="1:2" x14ac:dyDescent="0.25">
      <c r="A1395" t="s">
        <v>5478</v>
      </c>
      <c r="B1395" t="s">
        <v>3340</v>
      </c>
    </row>
    <row r="1396" spans="1:2" x14ac:dyDescent="0.25">
      <c r="A1396" t="s">
        <v>2465</v>
      </c>
      <c r="B1396" t="s">
        <v>2464</v>
      </c>
    </row>
    <row r="1397" spans="1:2" x14ac:dyDescent="0.25">
      <c r="A1397" t="s">
        <v>2909</v>
      </c>
      <c r="B1397" t="s">
        <v>2908</v>
      </c>
    </row>
    <row r="1398" spans="1:2" x14ac:dyDescent="0.25">
      <c r="A1398" t="s">
        <v>2841</v>
      </c>
      <c r="B1398" t="s">
        <v>2840</v>
      </c>
    </row>
    <row r="1399" spans="1:2" x14ac:dyDescent="0.25">
      <c r="A1399" t="s">
        <v>5479</v>
      </c>
      <c r="B1399" t="s">
        <v>1756</v>
      </c>
    </row>
    <row r="1400" spans="1:2" x14ac:dyDescent="0.25">
      <c r="A1400" t="s">
        <v>5480</v>
      </c>
      <c r="B1400" t="s">
        <v>2369</v>
      </c>
    </row>
    <row r="1401" spans="1:2" x14ac:dyDescent="0.25">
      <c r="A1401" t="s">
        <v>5481</v>
      </c>
      <c r="B1401" t="s">
        <v>2254</v>
      </c>
    </row>
    <row r="1402" spans="1:2" x14ac:dyDescent="0.25">
      <c r="A1402" t="s">
        <v>5482</v>
      </c>
      <c r="B1402" t="s">
        <v>2255</v>
      </c>
    </row>
    <row r="1403" spans="1:2" x14ac:dyDescent="0.25">
      <c r="A1403" t="s">
        <v>5483</v>
      </c>
      <c r="B1403" t="s">
        <v>2256</v>
      </c>
    </row>
    <row r="1404" spans="1:2" x14ac:dyDescent="0.25">
      <c r="A1404" t="s">
        <v>5484</v>
      </c>
      <c r="B1404" t="s">
        <v>1836</v>
      </c>
    </row>
    <row r="1405" spans="1:2" x14ac:dyDescent="0.25">
      <c r="A1405" t="s">
        <v>5485</v>
      </c>
      <c r="B1405" t="s">
        <v>3179</v>
      </c>
    </row>
    <row r="1406" spans="1:2" x14ac:dyDescent="0.25">
      <c r="A1406" t="s">
        <v>2763</v>
      </c>
      <c r="B1406" t="s">
        <v>2762</v>
      </c>
    </row>
    <row r="1407" spans="1:2" x14ac:dyDescent="0.25">
      <c r="A1407" t="s">
        <v>2765</v>
      </c>
      <c r="B1407" t="s">
        <v>2764</v>
      </c>
    </row>
    <row r="1408" spans="1:2" x14ac:dyDescent="0.25">
      <c r="A1408" t="s">
        <v>5486</v>
      </c>
      <c r="B1408" t="s">
        <v>2308</v>
      </c>
    </row>
    <row r="1409" spans="1:2" x14ac:dyDescent="0.25">
      <c r="A1409" t="s">
        <v>5487</v>
      </c>
      <c r="B1409" t="s">
        <v>2257</v>
      </c>
    </row>
    <row r="1410" spans="1:2" x14ac:dyDescent="0.25">
      <c r="A1410" t="s">
        <v>5488</v>
      </c>
      <c r="B1410" t="s">
        <v>2409</v>
      </c>
    </row>
    <row r="1411" spans="1:2" x14ac:dyDescent="0.25">
      <c r="A1411" t="s">
        <v>5489</v>
      </c>
      <c r="B1411" t="s">
        <v>111</v>
      </c>
    </row>
    <row r="1412" spans="1:2" x14ac:dyDescent="0.25">
      <c r="A1412" t="s">
        <v>5490</v>
      </c>
      <c r="B1412" t="s">
        <v>3285</v>
      </c>
    </row>
    <row r="1413" spans="1:2" x14ac:dyDescent="0.25">
      <c r="A1413" t="s">
        <v>5491</v>
      </c>
      <c r="B1413" t="s">
        <v>68</v>
      </c>
    </row>
    <row r="1414" spans="1:2" x14ac:dyDescent="0.25">
      <c r="A1414" t="s">
        <v>2438</v>
      </c>
      <c r="B1414" t="s">
        <v>2437</v>
      </c>
    </row>
    <row r="1415" spans="1:2" x14ac:dyDescent="0.25">
      <c r="A1415" t="s">
        <v>5492</v>
      </c>
      <c r="B1415" t="s">
        <v>1909</v>
      </c>
    </row>
    <row r="1416" spans="1:2" x14ac:dyDescent="0.25">
      <c r="A1416" t="s">
        <v>2988</v>
      </c>
      <c r="B1416" t="s">
        <v>2987</v>
      </c>
    </row>
    <row r="1417" spans="1:2" x14ac:dyDescent="0.25">
      <c r="A1417" t="s">
        <v>5493</v>
      </c>
      <c r="B1417" t="s">
        <v>3293</v>
      </c>
    </row>
    <row r="1418" spans="1:2" x14ac:dyDescent="0.25">
      <c r="A1418" t="s">
        <v>5494</v>
      </c>
      <c r="B1418" t="s">
        <v>3214</v>
      </c>
    </row>
    <row r="1419" spans="1:2" x14ac:dyDescent="0.25">
      <c r="A1419" t="s">
        <v>5495</v>
      </c>
      <c r="B1419" t="s">
        <v>2253</v>
      </c>
    </row>
    <row r="1420" spans="1:2" x14ac:dyDescent="0.25">
      <c r="A1420" t="s">
        <v>1632</v>
      </c>
      <c r="B1420" t="s">
        <v>1631</v>
      </c>
    </row>
    <row r="1421" spans="1:2" x14ac:dyDescent="0.25">
      <c r="A1421" t="s">
        <v>5496</v>
      </c>
      <c r="B1421" t="s">
        <v>2398</v>
      </c>
    </row>
    <row r="1422" spans="1:2" x14ac:dyDescent="0.25">
      <c r="A1422" t="s">
        <v>2791</v>
      </c>
      <c r="B1422" t="s">
        <v>2790</v>
      </c>
    </row>
    <row r="1423" spans="1:2" x14ac:dyDescent="0.25">
      <c r="A1423" t="s">
        <v>1681</v>
      </c>
      <c r="B1423" t="s">
        <v>1680</v>
      </c>
    </row>
    <row r="1424" spans="1:2" x14ac:dyDescent="0.25">
      <c r="A1424" t="s">
        <v>1734</v>
      </c>
      <c r="B1424" t="s">
        <v>1733</v>
      </c>
    </row>
    <row r="1425" spans="1:2" x14ac:dyDescent="0.25">
      <c r="A1425" t="s">
        <v>926</v>
      </c>
      <c r="B1425" t="s">
        <v>925</v>
      </c>
    </row>
    <row r="1426" spans="1:2" x14ac:dyDescent="0.25">
      <c r="A1426" t="s">
        <v>5497</v>
      </c>
      <c r="B1426" t="s">
        <v>2332</v>
      </c>
    </row>
    <row r="1427" spans="1:2" x14ac:dyDescent="0.25">
      <c r="A1427" t="s">
        <v>5498</v>
      </c>
      <c r="B1427" t="s">
        <v>3311</v>
      </c>
    </row>
    <row r="1428" spans="1:2" x14ac:dyDescent="0.25">
      <c r="A1428" t="s">
        <v>1713</v>
      </c>
      <c r="B1428" t="s">
        <v>1712</v>
      </c>
    </row>
    <row r="1429" spans="1:2" x14ac:dyDescent="0.25">
      <c r="A1429" t="s">
        <v>5499</v>
      </c>
      <c r="B1429" t="s">
        <v>3276</v>
      </c>
    </row>
    <row r="1430" spans="1:2" x14ac:dyDescent="0.25">
      <c r="A1430" t="s">
        <v>5500</v>
      </c>
      <c r="B1430" t="s">
        <v>3087</v>
      </c>
    </row>
    <row r="1431" spans="1:2" x14ac:dyDescent="0.25">
      <c r="A1431" t="s">
        <v>2901</v>
      </c>
      <c r="B1431" t="s">
        <v>2900</v>
      </c>
    </row>
    <row r="1432" spans="1:2" x14ac:dyDescent="0.25">
      <c r="A1432" t="s">
        <v>5501</v>
      </c>
      <c r="B1432" t="s">
        <v>3313</v>
      </c>
    </row>
    <row r="1433" spans="1:2" x14ac:dyDescent="0.25">
      <c r="A1433" t="s">
        <v>2911</v>
      </c>
      <c r="B1433" t="s">
        <v>2910</v>
      </c>
    </row>
    <row r="1434" spans="1:2" x14ac:dyDescent="0.25">
      <c r="A1434" t="s">
        <v>5502</v>
      </c>
      <c r="B1434" t="s">
        <v>3162</v>
      </c>
    </row>
    <row r="1435" spans="1:2" x14ac:dyDescent="0.25">
      <c r="A1435" t="s">
        <v>2899</v>
      </c>
      <c r="B1435" t="s">
        <v>2898</v>
      </c>
    </row>
    <row r="1436" spans="1:2" x14ac:dyDescent="0.25">
      <c r="A1436" t="s">
        <v>5503</v>
      </c>
      <c r="B1436" t="s">
        <v>2266</v>
      </c>
    </row>
    <row r="1437" spans="1:2" x14ac:dyDescent="0.25">
      <c r="A1437" t="s">
        <v>5504</v>
      </c>
      <c r="B1437" t="s">
        <v>2283</v>
      </c>
    </row>
    <row r="1438" spans="1:2" x14ac:dyDescent="0.25">
      <c r="A1438" t="s">
        <v>5505</v>
      </c>
      <c r="B1438" t="s">
        <v>3116</v>
      </c>
    </row>
    <row r="1439" spans="1:2" x14ac:dyDescent="0.25">
      <c r="A1439" t="s">
        <v>5506</v>
      </c>
      <c r="B1439" t="s">
        <v>3117</v>
      </c>
    </row>
    <row r="1440" spans="1:2" x14ac:dyDescent="0.25">
      <c r="A1440" t="s">
        <v>2835</v>
      </c>
      <c r="B1440" t="s">
        <v>2834</v>
      </c>
    </row>
    <row r="1441" spans="1:2" x14ac:dyDescent="0.25">
      <c r="A1441" t="s">
        <v>2837</v>
      </c>
      <c r="B1441" t="s">
        <v>2836</v>
      </c>
    </row>
    <row r="1442" spans="1:2" x14ac:dyDescent="0.25">
      <c r="A1442" t="s">
        <v>1691</v>
      </c>
      <c r="B1442" t="s">
        <v>1690</v>
      </c>
    </row>
    <row r="1443" spans="1:2" x14ac:dyDescent="0.25">
      <c r="A1443" t="s">
        <v>5507</v>
      </c>
      <c r="B1443" t="s">
        <v>3144</v>
      </c>
    </row>
    <row r="1444" spans="1:2" x14ac:dyDescent="0.25">
      <c r="A1444" t="s">
        <v>5508</v>
      </c>
      <c r="B1444" t="s">
        <v>3146</v>
      </c>
    </row>
    <row r="1445" spans="1:2" x14ac:dyDescent="0.25">
      <c r="A1445" t="s">
        <v>1827</v>
      </c>
      <c r="B1445" t="s">
        <v>1826</v>
      </c>
    </row>
    <row r="1446" spans="1:2" x14ac:dyDescent="0.25">
      <c r="A1446" t="s">
        <v>5509</v>
      </c>
      <c r="B1446" t="s">
        <v>3073</v>
      </c>
    </row>
    <row r="1447" spans="1:2" x14ac:dyDescent="0.25">
      <c r="A1447" t="s">
        <v>5510</v>
      </c>
      <c r="B1447" t="s">
        <v>3137</v>
      </c>
    </row>
    <row r="1448" spans="1:2" x14ac:dyDescent="0.25">
      <c r="A1448" t="s">
        <v>1914</v>
      </c>
      <c r="B1448" t="s">
        <v>1913</v>
      </c>
    </row>
    <row r="1449" spans="1:2" x14ac:dyDescent="0.25">
      <c r="A1449" t="s">
        <v>2954</v>
      </c>
      <c r="B1449" t="s">
        <v>2953</v>
      </c>
    </row>
    <row r="1450" spans="1:2" x14ac:dyDescent="0.25">
      <c r="A1450" t="s">
        <v>5511</v>
      </c>
      <c r="B1450" t="s">
        <v>2411</v>
      </c>
    </row>
    <row r="1451" spans="1:2" x14ac:dyDescent="0.25">
      <c r="A1451" t="s">
        <v>5512</v>
      </c>
      <c r="B1451" t="s">
        <v>3135</v>
      </c>
    </row>
    <row r="1452" spans="1:2" x14ac:dyDescent="0.25">
      <c r="A1452" t="s">
        <v>836</v>
      </c>
      <c r="B1452" t="s">
        <v>835</v>
      </c>
    </row>
    <row r="1453" spans="1:2" x14ac:dyDescent="0.25">
      <c r="A1453" t="s">
        <v>5513</v>
      </c>
      <c r="B1453" t="s">
        <v>2574</v>
      </c>
    </row>
    <row r="1454" spans="1:2" x14ac:dyDescent="0.25">
      <c r="A1454" t="s">
        <v>2960</v>
      </c>
      <c r="B1454" t="s">
        <v>2959</v>
      </c>
    </row>
    <row r="1455" spans="1:2" x14ac:dyDescent="0.25">
      <c r="A1455" t="s">
        <v>5514</v>
      </c>
      <c r="B1455" t="s">
        <v>3166</v>
      </c>
    </row>
    <row r="1456" spans="1:2" x14ac:dyDescent="0.25">
      <c r="A1456" t="s">
        <v>5515</v>
      </c>
      <c r="B1456" t="s">
        <v>2313</v>
      </c>
    </row>
    <row r="1457" spans="1:2" x14ac:dyDescent="0.25">
      <c r="A1457" t="s">
        <v>2956</v>
      </c>
      <c r="B1457" t="s">
        <v>2955</v>
      </c>
    </row>
    <row r="1458" spans="1:2" x14ac:dyDescent="0.25">
      <c r="A1458" t="s">
        <v>5516</v>
      </c>
      <c r="B1458" t="s">
        <v>3088</v>
      </c>
    </row>
    <row r="1459" spans="1:2" x14ac:dyDescent="0.25">
      <c r="A1459" t="s">
        <v>5517</v>
      </c>
      <c r="B1459" t="s">
        <v>3113</v>
      </c>
    </row>
    <row r="1460" spans="1:2" x14ac:dyDescent="0.25">
      <c r="A1460" t="s">
        <v>5518</v>
      </c>
      <c r="B1460" t="s">
        <v>3165</v>
      </c>
    </row>
    <row r="1461" spans="1:2" x14ac:dyDescent="0.25">
      <c r="A1461" t="s">
        <v>1040</v>
      </c>
      <c r="B1461" t="s">
        <v>1039</v>
      </c>
    </row>
    <row r="1462" spans="1:2" x14ac:dyDescent="0.25">
      <c r="A1462" t="s">
        <v>2821</v>
      </c>
      <c r="B1462" t="s">
        <v>2820</v>
      </c>
    </row>
    <row r="1463" spans="1:2" x14ac:dyDescent="0.25">
      <c r="A1463" t="s">
        <v>5519</v>
      </c>
      <c r="B1463" t="s">
        <v>2307</v>
      </c>
    </row>
    <row r="1464" spans="1:2" x14ac:dyDescent="0.25">
      <c r="A1464" t="s">
        <v>1749</v>
      </c>
      <c r="B1464" t="s">
        <v>1748</v>
      </c>
    </row>
    <row r="1465" spans="1:2" x14ac:dyDescent="0.25">
      <c r="A1465" t="s">
        <v>956</v>
      </c>
      <c r="B1465" t="s">
        <v>955</v>
      </c>
    </row>
    <row r="1466" spans="1:2" x14ac:dyDescent="0.25">
      <c r="A1466" t="s">
        <v>1628</v>
      </c>
      <c r="B1466" t="s">
        <v>1627</v>
      </c>
    </row>
    <row r="1467" spans="1:2" x14ac:dyDescent="0.25">
      <c r="A1467" t="s">
        <v>5520</v>
      </c>
      <c r="B1467" t="s">
        <v>5521</v>
      </c>
    </row>
    <row r="1468" spans="1:2" x14ac:dyDescent="0.25">
      <c r="A1468" t="s">
        <v>5522</v>
      </c>
      <c r="B1468" t="s">
        <v>1021</v>
      </c>
    </row>
    <row r="1469" spans="1:2" x14ac:dyDescent="0.25">
      <c r="A1469" t="s">
        <v>1634</v>
      </c>
      <c r="B1469" t="s">
        <v>1633</v>
      </c>
    </row>
    <row r="1470" spans="1:2" x14ac:dyDescent="0.25">
      <c r="A1470" t="s">
        <v>2793</v>
      </c>
      <c r="B1470" t="s">
        <v>2792</v>
      </c>
    </row>
    <row r="1471" spans="1:2" x14ac:dyDescent="0.25">
      <c r="A1471" t="s">
        <v>5523</v>
      </c>
      <c r="B1471" t="s">
        <v>2394</v>
      </c>
    </row>
    <row r="1472" spans="1:2" x14ac:dyDescent="0.25">
      <c r="A1472" t="s">
        <v>2875</v>
      </c>
      <c r="B1472" t="s">
        <v>2874</v>
      </c>
    </row>
    <row r="1473" spans="1:2" x14ac:dyDescent="0.25">
      <c r="A1473" t="s">
        <v>2839</v>
      </c>
      <c r="B1473" t="s">
        <v>2838</v>
      </c>
    </row>
    <row r="1474" spans="1:2" x14ac:dyDescent="0.25">
      <c r="A1474" t="s">
        <v>5524</v>
      </c>
      <c r="B1474" t="s">
        <v>2279</v>
      </c>
    </row>
    <row r="1475" spans="1:2" x14ac:dyDescent="0.25">
      <c r="A1475" t="s">
        <v>5525</v>
      </c>
      <c r="B1475" t="s">
        <v>2306</v>
      </c>
    </row>
    <row r="1476" spans="1:2" x14ac:dyDescent="0.25">
      <c r="A1476" t="s">
        <v>2815</v>
      </c>
      <c r="B1476" t="s">
        <v>2814</v>
      </c>
    </row>
    <row r="1477" spans="1:2" x14ac:dyDescent="0.25">
      <c r="A1477" t="s">
        <v>5526</v>
      </c>
      <c r="B1477" t="s">
        <v>3215</v>
      </c>
    </row>
    <row r="1478" spans="1:2" x14ac:dyDescent="0.25">
      <c r="A1478" t="s">
        <v>5527</v>
      </c>
      <c r="B1478" t="s">
        <v>2347</v>
      </c>
    </row>
    <row r="1479" spans="1:2" x14ac:dyDescent="0.25">
      <c r="A1479" t="s">
        <v>5528</v>
      </c>
      <c r="B1479" t="s">
        <v>3351</v>
      </c>
    </row>
    <row r="1480" spans="1:2" x14ac:dyDescent="0.25">
      <c r="A1480" t="s">
        <v>5529</v>
      </c>
      <c r="B1480" t="s">
        <v>3353</v>
      </c>
    </row>
    <row r="1481" spans="1:2" x14ac:dyDescent="0.25">
      <c r="A1481" t="s">
        <v>5530</v>
      </c>
      <c r="B1481" t="s">
        <v>3354</v>
      </c>
    </row>
    <row r="1482" spans="1:2" x14ac:dyDescent="0.25">
      <c r="A1482" t="s">
        <v>5531</v>
      </c>
      <c r="B1482" t="s">
        <v>3355</v>
      </c>
    </row>
    <row r="1483" spans="1:2" x14ac:dyDescent="0.25">
      <c r="A1483" t="s">
        <v>5532</v>
      </c>
      <c r="B1483" t="s">
        <v>3356</v>
      </c>
    </row>
    <row r="1484" spans="1:2" x14ac:dyDescent="0.25">
      <c r="A1484" t="s">
        <v>5533</v>
      </c>
      <c r="B1484" t="s">
        <v>3357</v>
      </c>
    </row>
    <row r="1485" spans="1:2" x14ac:dyDescent="0.25">
      <c r="A1485" t="s">
        <v>1807</v>
      </c>
      <c r="B1485" t="s">
        <v>1806</v>
      </c>
    </row>
    <row r="1486" spans="1:2" x14ac:dyDescent="0.25">
      <c r="A1486" t="s">
        <v>5534</v>
      </c>
      <c r="B1486" t="s">
        <v>3358</v>
      </c>
    </row>
    <row r="1487" spans="1:2" x14ac:dyDescent="0.25">
      <c r="A1487" t="s">
        <v>1719</v>
      </c>
      <c r="B1487" t="s">
        <v>1718</v>
      </c>
    </row>
    <row r="1488" spans="1:2" x14ac:dyDescent="0.25">
      <c r="A1488" t="s">
        <v>5535</v>
      </c>
      <c r="B1488" t="s">
        <v>3359</v>
      </c>
    </row>
    <row r="1489" spans="1:2" x14ac:dyDescent="0.25">
      <c r="A1489" t="s">
        <v>5536</v>
      </c>
      <c r="B1489" t="s">
        <v>2380</v>
      </c>
    </row>
    <row r="1490" spans="1:2" x14ac:dyDescent="0.25">
      <c r="A1490" t="s">
        <v>5537</v>
      </c>
      <c r="B1490" t="s">
        <v>2374</v>
      </c>
    </row>
    <row r="1491" spans="1:2" x14ac:dyDescent="0.25">
      <c r="A1491" t="s">
        <v>5538</v>
      </c>
      <c r="B1491" t="s">
        <v>2268</v>
      </c>
    </row>
    <row r="1492" spans="1:2" x14ac:dyDescent="0.25">
      <c r="A1492" t="s">
        <v>5539</v>
      </c>
      <c r="B1492" t="s">
        <v>3202</v>
      </c>
    </row>
    <row r="1493" spans="1:2" x14ac:dyDescent="0.25">
      <c r="A1493" t="s">
        <v>1582</v>
      </c>
      <c r="B1493" t="s">
        <v>1581</v>
      </c>
    </row>
    <row r="1494" spans="1:2" x14ac:dyDescent="0.25">
      <c r="A1494" t="s">
        <v>5540</v>
      </c>
      <c r="B1494" t="s">
        <v>2309</v>
      </c>
    </row>
    <row r="1495" spans="1:2" x14ac:dyDescent="0.25">
      <c r="A1495" t="s">
        <v>5541</v>
      </c>
      <c r="B1495" t="s">
        <v>3314</v>
      </c>
    </row>
    <row r="1496" spans="1:2" x14ac:dyDescent="0.25">
      <c r="A1496" t="s">
        <v>713</v>
      </c>
      <c r="B1496" t="s">
        <v>712</v>
      </c>
    </row>
    <row r="1497" spans="1:2" x14ac:dyDescent="0.25">
      <c r="A1497" t="s">
        <v>1728</v>
      </c>
      <c r="B1497" t="s">
        <v>1727</v>
      </c>
    </row>
    <row r="1498" spans="1:2" x14ac:dyDescent="0.25">
      <c r="A1498" t="s">
        <v>1732</v>
      </c>
      <c r="B1498" t="s">
        <v>1731</v>
      </c>
    </row>
    <row r="1499" spans="1:2" x14ac:dyDescent="0.25">
      <c r="A1499" t="s">
        <v>5542</v>
      </c>
      <c r="B1499" t="s">
        <v>3072</v>
      </c>
    </row>
    <row r="1500" spans="1:2" x14ac:dyDescent="0.25">
      <c r="A1500" t="s">
        <v>5543</v>
      </c>
      <c r="B1500" t="s">
        <v>3164</v>
      </c>
    </row>
    <row r="1501" spans="1:2" x14ac:dyDescent="0.25">
      <c r="A1501" t="s">
        <v>5544</v>
      </c>
      <c r="B1501" t="s">
        <v>1508</v>
      </c>
    </row>
    <row r="1502" spans="1:2" x14ac:dyDescent="0.25">
      <c r="A1502" t="s">
        <v>5545</v>
      </c>
      <c r="B1502" t="s">
        <v>3337</v>
      </c>
    </row>
    <row r="1503" spans="1:2" x14ac:dyDescent="0.25">
      <c r="A1503" t="s">
        <v>5546</v>
      </c>
      <c r="B1503" t="s">
        <v>2575</v>
      </c>
    </row>
    <row r="1504" spans="1:2" x14ac:dyDescent="0.25">
      <c r="A1504" t="s">
        <v>2795</v>
      </c>
      <c r="B1504" t="s">
        <v>2794</v>
      </c>
    </row>
    <row r="1505" spans="1:2" x14ac:dyDescent="0.25">
      <c r="A1505" t="s">
        <v>1637</v>
      </c>
      <c r="B1505" t="s">
        <v>1636</v>
      </c>
    </row>
    <row r="1506" spans="1:2" x14ac:dyDescent="0.25">
      <c r="A1506" t="s">
        <v>5547</v>
      </c>
      <c r="B1506" t="s">
        <v>3074</v>
      </c>
    </row>
    <row r="1507" spans="1:2" x14ac:dyDescent="0.25">
      <c r="A1507" t="s">
        <v>977</v>
      </c>
      <c r="B1507" t="s">
        <v>976</v>
      </c>
    </row>
    <row r="1508" spans="1:2" x14ac:dyDescent="0.25">
      <c r="A1508" t="s">
        <v>2440</v>
      </c>
      <c r="B1508" t="s">
        <v>2439</v>
      </c>
    </row>
    <row r="1509" spans="1:2" x14ac:dyDescent="0.25">
      <c r="A1509" t="s">
        <v>5548</v>
      </c>
      <c r="B1509" t="s">
        <v>2317</v>
      </c>
    </row>
    <row r="1510" spans="1:2" x14ac:dyDescent="0.25">
      <c r="A1510" t="s">
        <v>2927</v>
      </c>
      <c r="B1510" t="s">
        <v>2926</v>
      </c>
    </row>
    <row r="1511" spans="1:2" x14ac:dyDescent="0.25">
      <c r="A1511" t="s">
        <v>1617</v>
      </c>
      <c r="B1511" t="s">
        <v>1616</v>
      </c>
    </row>
    <row r="1512" spans="1:2" x14ac:dyDescent="0.25">
      <c r="A1512" t="s">
        <v>5549</v>
      </c>
      <c r="B1512" t="s">
        <v>3288</v>
      </c>
    </row>
    <row r="1513" spans="1:2" x14ac:dyDescent="0.25">
      <c r="A1513" t="s">
        <v>5550</v>
      </c>
      <c r="B1513" t="s">
        <v>3345</v>
      </c>
    </row>
    <row r="1514" spans="1:2" x14ac:dyDescent="0.25">
      <c r="A1514" t="s">
        <v>2829</v>
      </c>
      <c r="B1514" t="s">
        <v>2828</v>
      </c>
    </row>
    <row r="1515" spans="1:2" x14ac:dyDescent="0.25">
      <c r="A1515" t="s">
        <v>2747</v>
      </c>
      <c r="B1515" t="s">
        <v>2746</v>
      </c>
    </row>
    <row r="1516" spans="1:2" x14ac:dyDescent="0.25">
      <c r="A1516" t="s">
        <v>5551</v>
      </c>
      <c r="B1516" t="s">
        <v>2250</v>
      </c>
    </row>
    <row r="1517" spans="1:2" x14ac:dyDescent="0.25">
      <c r="A1517" t="s">
        <v>5552</v>
      </c>
      <c r="B1517" t="s">
        <v>2329</v>
      </c>
    </row>
    <row r="1518" spans="1:2" x14ac:dyDescent="0.25">
      <c r="A1518" t="s">
        <v>5553</v>
      </c>
      <c r="B1518" t="s">
        <v>3140</v>
      </c>
    </row>
    <row r="1519" spans="1:2" x14ac:dyDescent="0.25">
      <c r="A1519" t="s">
        <v>2859</v>
      </c>
      <c r="B1519" t="s">
        <v>2858</v>
      </c>
    </row>
    <row r="1520" spans="1:2" x14ac:dyDescent="0.25">
      <c r="A1520" t="s">
        <v>861</v>
      </c>
      <c r="B1520" t="s">
        <v>860</v>
      </c>
    </row>
    <row r="1521" spans="1:2" x14ac:dyDescent="0.25">
      <c r="A1521" t="s">
        <v>5554</v>
      </c>
      <c r="B1521" t="s">
        <v>3085</v>
      </c>
    </row>
    <row r="1522" spans="1:2" x14ac:dyDescent="0.25">
      <c r="A1522" t="s">
        <v>1512</v>
      </c>
      <c r="B1522" t="s">
        <v>1511</v>
      </c>
    </row>
    <row r="1523" spans="1:2" x14ac:dyDescent="0.25">
      <c r="A1523" t="s">
        <v>5555</v>
      </c>
      <c r="B1523" t="s">
        <v>3094</v>
      </c>
    </row>
    <row r="1524" spans="1:2" x14ac:dyDescent="0.25">
      <c r="A1524" t="s">
        <v>1584</v>
      </c>
      <c r="B1524" t="s">
        <v>1583</v>
      </c>
    </row>
    <row r="1525" spans="1:2" x14ac:dyDescent="0.25">
      <c r="A1525" t="s">
        <v>5556</v>
      </c>
      <c r="B1525" t="s">
        <v>3334</v>
      </c>
    </row>
    <row r="1526" spans="1:2" x14ac:dyDescent="0.25">
      <c r="A1526" t="s">
        <v>5557</v>
      </c>
      <c r="B1526" t="s">
        <v>2286</v>
      </c>
    </row>
    <row r="1527" spans="1:2" x14ac:dyDescent="0.25">
      <c r="A1527" t="s">
        <v>1823</v>
      </c>
      <c r="B1527" t="s">
        <v>1822</v>
      </c>
    </row>
    <row r="1528" spans="1:2" x14ac:dyDescent="0.25">
      <c r="A1528" t="s">
        <v>5558</v>
      </c>
      <c r="B1528" t="s">
        <v>3070</v>
      </c>
    </row>
    <row r="1529" spans="1:2" x14ac:dyDescent="0.25">
      <c r="A1529" t="s">
        <v>2742</v>
      </c>
      <c r="B1529" t="s">
        <v>2741</v>
      </c>
    </row>
    <row r="1530" spans="1:2" x14ac:dyDescent="0.25">
      <c r="A1530" t="s">
        <v>864</v>
      </c>
      <c r="B1530" t="s">
        <v>863</v>
      </c>
    </row>
    <row r="1531" spans="1:2" x14ac:dyDescent="0.25">
      <c r="A1531" t="s">
        <v>5559</v>
      </c>
      <c r="B1531" t="s">
        <v>2249</v>
      </c>
    </row>
    <row r="1532" spans="1:2" x14ac:dyDescent="0.25">
      <c r="A1532" t="s">
        <v>2781</v>
      </c>
      <c r="B1532" t="s">
        <v>2780</v>
      </c>
    </row>
    <row r="1533" spans="1:2" x14ac:dyDescent="0.25">
      <c r="A1533" t="s">
        <v>917</v>
      </c>
      <c r="B1533" t="s">
        <v>916</v>
      </c>
    </row>
    <row r="1534" spans="1:2" x14ac:dyDescent="0.25">
      <c r="A1534" t="s">
        <v>5560</v>
      </c>
      <c r="B1534" t="s">
        <v>2281</v>
      </c>
    </row>
    <row r="1535" spans="1:2" x14ac:dyDescent="0.25">
      <c r="A1535" t="s">
        <v>2515</v>
      </c>
      <c r="B1535" t="s">
        <v>2514</v>
      </c>
    </row>
    <row r="1536" spans="1:2" x14ac:dyDescent="0.25">
      <c r="A1536" t="s">
        <v>2769</v>
      </c>
      <c r="B1536" t="s">
        <v>2768</v>
      </c>
    </row>
    <row r="1537" spans="1:2" x14ac:dyDescent="0.25">
      <c r="A1537" t="s">
        <v>5561</v>
      </c>
      <c r="B1537" t="s">
        <v>3297</v>
      </c>
    </row>
    <row r="1538" spans="1:2" x14ac:dyDescent="0.25">
      <c r="A1538" t="s">
        <v>5562</v>
      </c>
      <c r="B1538" t="s">
        <v>3200</v>
      </c>
    </row>
    <row r="1539" spans="1:2" x14ac:dyDescent="0.25">
      <c r="A1539" t="s">
        <v>1630</v>
      </c>
      <c r="B1539" t="s">
        <v>1629</v>
      </c>
    </row>
    <row r="1540" spans="1:2" x14ac:dyDescent="0.25">
      <c r="A1540" t="s">
        <v>1037</v>
      </c>
      <c r="B1540" t="s">
        <v>1036</v>
      </c>
    </row>
    <row r="1541" spans="1:2" x14ac:dyDescent="0.25">
      <c r="A1541" t="s">
        <v>5563</v>
      </c>
      <c r="B1541" t="s">
        <v>3299</v>
      </c>
    </row>
    <row r="1542" spans="1:2" x14ac:dyDescent="0.25">
      <c r="A1542" t="s">
        <v>1805</v>
      </c>
      <c r="B1542" t="s">
        <v>1804</v>
      </c>
    </row>
    <row r="1543" spans="1:2" x14ac:dyDescent="0.25">
      <c r="A1543" t="s">
        <v>2919</v>
      </c>
      <c r="B1543" t="s">
        <v>2918</v>
      </c>
    </row>
    <row r="1544" spans="1:2" x14ac:dyDescent="0.25">
      <c r="A1544" t="s">
        <v>2958</v>
      </c>
      <c r="B1544" t="s">
        <v>2957</v>
      </c>
    </row>
    <row r="1545" spans="1:2" x14ac:dyDescent="0.25">
      <c r="A1545" t="s">
        <v>1783</v>
      </c>
      <c r="B1545" t="s">
        <v>1782</v>
      </c>
    </row>
    <row r="1546" spans="1:2" x14ac:dyDescent="0.25">
      <c r="A1546" t="s">
        <v>929</v>
      </c>
      <c r="B1546" t="s">
        <v>928</v>
      </c>
    </row>
    <row r="1547" spans="1:2" x14ac:dyDescent="0.25">
      <c r="A1547" t="s">
        <v>5564</v>
      </c>
      <c r="B1547" t="s">
        <v>3210</v>
      </c>
    </row>
    <row r="1548" spans="1:2" x14ac:dyDescent="0.25">
      <c r="A1548" t="s">
        <v>5565</v>
      </c>
      <c r="B1548" t="s">
        <v>2365</v>
      </c>
    </row>
    <row r="1549" spans="1:2" x14ac:dyDescent="0.25">
      <c r="A1549" t="s">
        <v>2895</v>
      </c>
      <c r="B1549" t="s">
        <v>2894</v>
      </c>
    </row>
    <row r="1550" spans="1:2" x14ac:dyDescent="0.25">
      <c r="A1550" t="s">
        <v>5566</v>
      </c>
      <c r="B1550" t="s">
        <v>2263</v>
      </c>
    </row>
    <row r="1551" spans="1:2" x14ac:dyDescent="0.25">
      <c r="A1551" t="s">
        <v>1813</v>
      </c>
      <c r="B1551" t="s">
        <v>1812</v>
      </c>
    </row>
    <row r="1552" spans="1:2" x14ac:dyDescent="0.25">
      <c r="A1552" t="s">
        <v>5567</v>
      </c>
      <c r="B1552" t="s">
        <v>3134</v>
      </c>
    </row>
    <row r="1553" spans="1:2" x14ac:dyDescent="0.25">
      <c r="A1553" t="s">
        <v>2847</v>
      </c>
      <c r="B1553" t="s">
        <v>2846</v>
      </c>
    </row>
    <row r="1554" spans="1:2" x14ac:dyDescent="0.25">
      <c r="A1554" t="s">
        <v>5568</v>
      </c>
      <c r="B1554" t="s">
        <v>3172</v>
      </c>
    </row>
    <row r="1555" spans="1:2" x14ac:dyDescent="0.25">
      <c r="A1555" t="s">
        <v>1803</v>
      </c>
      <c r="B1555" t="s">
        <v>1802</v>
      </c>
    </row>
    <row r="1556" spans="1:2" x14ac:dyDescent="0.25">
      <c r="A1556" t="s">
        <v>5569</v>
      </c>
      <c r="B1556" t="s">
        <v>2260</v>
      </c>
    </row>
    <row r="1557" spans="1:2" x14ac:dyDescent="0.25">
      <c r="A1557" t="s">
        <v>1811</v>
      </c>
      <c r="B1557" t="s">
        <v>1810</v>
      </c>
    </row>
    <row r="1558" spans="1:2" x14ac:dyDescent="0.25">
      <c r="A1558" t="s">
        <v>1717</v>
      </c>
      <c r="B1558" t="s">
        <v>1716</v>
      </c>
    </row>
    <row r="1559" spans="1:2" x14ac:dyDescent="0.25">
      <c r="A1559" t="s">
        <v>5570</v>
      </c>
      <c r="B1559" t="s">
        <v>3307</v>
      </c>
    </row>
    <row r="1560" spans="1:2" x14ac:dyDescent="0.25">
      <c r="A1560" t="s">
        <v>1843</v>
      </c>
      <c r="B1560" t="s">
        <v>1842</v>
      </c>
    </row>
    <row r="1561" spans="1:2" x14ac:dyDescent="0.25">
      <c r="A1561" t="s">
        <v>2851</v>
      </c>
      <c r="B1561" t="s">
        <v>2850</v>
      </c>
    </row>
    <row r="1562" spans="1:2" x14ac:dyDescent="0.25">
      <c r="A1562" t="s">
        <v>5571</v>
      </c>
      <c r="B1562" t="s">
        <v>3184</v>
      </c>
    </row>
    <row r="1563" spans="1:2" x14ac:dyDescent="0.25">
      <c r="A1563" t="s">
        <v>1726</v>
      </c>
      <c r="B1563" t="s">
        <v>1725</v>
      </c>
    </row>
    <row r="1564" spans="1:2" x14ac:dyDescent="0.25">
      <c r="A1564" t="s">
        <v>5572</v>
      </c>
      <c r="B1564" t="s">
        <v>3185</v>
      </c>
    </row>
    <row r="1565" spans="1:2" x14ac:dyDescent="0.25">
      <c r="A1565" t="s">
        <v>1785</v>
      </c>
      <c r="B1565" t="s">
        <v>1784</v>
      </c>
    </row>
    <row r="1566" spans="1:2" x14ac:dyDescent="0.25">
      <c r="A1566" t="s">
        <v>5573</v>
      </c>
      <c r="B1566" t="s">
        <v>3143</v>
      </c>
    </row>
    <row r="1567" spans="1:2" x14ac:dyDescent="0.25">
      <c r="A1567" t="s">
        <v>5574</v>
      </c>
      <c r="B1567" t="s">
        <v>2264</v>
      </c>
    </row>
    <row r="1568" spans="1:2" x14ac:dyDescent="0.25">
      <c r="A1568" t="s">
        <v>980</v>
      </c>
      <c r="B1568" t="s">
        <v>979</v>
      </c>
    </row>
    <row r="1569" spans="1:2" x14ac:dyDescent="0.25">
      <c r="A1569" t="s">
        <v>5575</v>
      </c>
      <c r="B1569" t="s">
        <v>2522</v>
      </c>
    </row>
    <row r="1570" spans="1:2" x14ac:dyDescent="0.25">
      <c r="A1570" t="s">
        <v>5576</v>
      </c>
      <c r="B1570" t="s">
        <v>3212</v>
      </c>
    </row>
    <row r="1571" spans="1:2" x14ac:dyDescent="0.25">
      <c r="A1571" t="s">
        <v>5577</v>
      </c>
      <c r="B1571" t="s">
        <v>2262</v>
      </c>
    </row>
    <row r="1572" spans="1:2" x14ac:dyDescent="0.25">
      <c r="A1572" t="s">
        <v>5578</v>
      </c>
      <c r="B1572" t="s">
        <v>3122</v>
      </c>
    </row>
    <row r="1573" spans="1:2" x14ac:dyDescent="0.25">
      <c r="A1573" t="s">
        <v>1912</v>
      </c>
      <c r="B1573" t="s">
        <v>1911</v>
      </c>
    </row>
    <row r="1574" spans="1:2" x14ac:dyDescent="0.25">
      <c r="A1574" t="s">
        <v>5579</v>
      </c>
      <c r="B1574" t="s">
        <v>2301</v>
      </c>
    </row>
    <row r="1575" spans="1:2" x14ac:dyDescent="0.25">
      <c r="A1575" t="s">
        <v>5580</v>
      </c>
      <c r="B1575" t="s">
        <v>2386</v>
      </c>
    </row>
    <row r="1576" spans="1:2" x14ac:dyDescent="0.25">
      <c r="A1576" t="s">
        <v>5581</v>
      </c>
      <c r="B1576" t="s">
        <v>2390</v>
      </c>
    </row>
    <row r="1577" spans="1:2" x14ac:dyDescent="0.25">
      <c r="A1577" t="s">
        <v>2913</v>
      </c>
      <c r="B1577" t="s">
        <v>2912</v>
      </c>
    </row>
    <row r="1578" spans="1:2" x14ac:dyDescent="0.25">
      <c r="A1578" t="s">
        <v>1853</v>
      </c>
      <c r="B1578" t="s">
        <v>1852</v>
      </c>
    </row>
    <row r="1579" spans="1:2" x14ac:dyDescent="0.25">
      <c r="A1579" t="s">
        <v>2809</v>
      </c>
      <c r="B1579" t="s">
        <v>2808</v>
      </c>
    </row>
    <row r="1580" spans="1:2" x14ac:dyDescent="0.25">
      <c r="A1580" t="s">
        <v>5582</v>
      </c>
      <c r="B1580" t="s">
        <v>2304</v>
      </c>
    </row>
    <row r="1581" spans="1:2" x14ac:dyDescent="0.25">
      <c r="A1581" t="s">
        <v>2448</v>
      </c>
      <c r="B1581" t="s">
        <v>2447</v>
      </c>
    </row>
    <row r="1582" spans="1:2" x14ac:dyDescent="0.25">
      <c r="A1582" t="s">
        <v>5583</v>
      </c>
      <c r="B1582" t="s">
        <v>2417</v>
      </c>
    </row>
    <row r="1583" spans="1:2" x14ac:dyDescent="0.25">
      <c r="A1583" t="s">
        <v>5584</v>
      </c>
      <c r="B1583" t="s">
        <v>2276</v>
      </c>
    </row>
    <row r="1584" spans="1:2" x14ac:dyDescent="0.25">
      <c r="A1584" t="s">
        <v>5585</v>
      </c>
      <c r="B1584" t="s">
        <v>2354</v>
      </c>
    </row>
    <row r="1585" spans="1:2" x14ac:dyDescent="0.25">
      <c r="A1585" t="s">
        <v>5586</v>
      </c>
      <c r="B1585" t="s">
        <v>3261</v>
      </c>
    </row>
    <row r="1586" spans="1:2" x14ac:dyDescent="0.25">
      <c r="A1586" t="s">
        <v>2198</v>
      </c>
      <c r="B1586" t="s">
        <v>2197</v>
      </c>
    </row>
    <row r="1587" spans="1:2" x14ac:dyDescent="0.25">
      <c r="A1587" t="s">
        <v>1517</v>
      </c>
      <c r="B1587" t="s">
        <v>1516</v>
      </c>
    </row>
    <row r="1588" spans="1:2" x14ac:dyDescent="0.25">
      <c r="A1588" t="s">
        <v>953</v>
      </c>
      <c r="B1588" t="s">
        <v>952</v>
      </c>
    </row>
    <row r="1589" spans="1:2" x14ac:dyDescent="0.25">
      <c r="A1589" t="s">
        <v>5587</v>
      </c>
      <c r="B1589" t="s">
        <v>3091</v>
      </c>
    </row>
    <row r="1590" spans="1:2" x14ac:dyDescent="0.25">
      <c r="A1590" t="s">
        <v>5588</v>
      </c>
      <c r="B1590" t="s">
        <v>2407</v>
      </c>
    </row>
    <row r="1591" spans="1:2" x14ac:dyDescent="0.25">
      <c r="A1591" t="s">
        <v>1626</v>
      </c>
      <c r="B1591" t="s">
        <v>1625</v>
      </c>
    </row>
    <row r="1592" spans="1:2" x14ac:dyDescent="0.25">
      <c r="A1592" t="s">
        <v>5589</v>
      </c>
      <c r="B1592" t="s">
        <v>2719</v>
      </c>
    </row>
    <row r="1593" spans="1:2" x14ac:dyDescent="0.25">
      <c r="A1593" t="s">
        <v>5590</v>
      </c>
      <c r="B1593" t="s">
        <v>3173</v>
      </c>
    </row>
    <row r="1594" spans="1:2" x14ac:dyDescent="0.25">
      <c r="A1594" t="s">
        <v>5591</v>
      </c>
      <c r="B1594" t="s">
        <v>2258</v>
      </c>
    </row>
    <row r="1595" spans="1:2" x14ac:dyDescent="0.25">
      <c r="A1595" t="s">
        <v>5592</v>
      </c>
      <c r="B1595" t="s">
        <v>2259</v>
      </c>
    </row>
    <row r="1596" spans="1:2" x14ac:dyDescent="0.25">
      <c r="A1596" t="s">
        <v>5593</v>
      </c>
      <c r="B1596" t="s">
        <v>3182</v>
      </c>
    </row>
    <row r="1597" spans="1:2" x14ac:dyDescent="0.25">
      <c r="A1597" t="s">
        <v>5594</v>
      </c>
      <c r="B1597" t="s">
        <v>2384</v>
      </c>
    </row>
    <row r="1598" spans="1:2" x14ac:dyDescent="0.25">
      <c r="A1598" t="s">
        <v>2949</v>
      </c>
      <c r="B1598" t="s">
        <v>2948</v>
      </c>
    </row>
    <row r="1599" spans="1:2" x14ac:dyDescent="0.25">
      <c r="A1599" t="s">
        <v>5595</v>
      </c>
      <c r="B1599" t="s">
        <v>2336</v>
      </c>
    </row>
    <row r="1600" spans="1:2" x14ac:dyDescent="0.25">
      <c r="A1600" t="s">
        <v>2951</v>
      </c>
      <c r="B1600" t="s">
        <v>2950</v>
      </c>
    </row>
    <row r="1601" spans="1:2" x14ac:dyDescent="0.25">
      <c r="A1601" t="s">
        <v>1781</v>
      </c>
      <c r="B1601" t="s">
        <v>1780</v>
      </c>
    </row>
    <row r="1602" spans="1:2" x14ac:dyDescent="0.25">
      <c r="A1602" t="s">
        <v>5596</v>
      </c>
      <c r="B1602" t="s">
        <v>3170</v>
      </c>
    </row>
    <row r="1603" spans="1:2" x14ac:dyDescent="0.25">
      <c r="A1603" t="s">
        <v>5597</v>
      </c>
      <c r="B1603" t="s">
        <v>4522</v>
      </c>
    </row>
    <row r="1604" spans="1:2" x14ac:dyDescent="0.25">
      <c r="A1604" t="s">
        <v>1801</v>
      </c>
      <c r="B1604" t="s">
        <v>1800</v>
      </c>
    </row>
    <row r="1605" spans="1:2" x14ac:dyDescent="0.25">
      <c r="A1605" t="s">
        <v>5598</v>
      </c>
      <c r="B1605" t="s">
        <v>2389</v>
      </c>
    </row>
    <row r="1606" spans="1:2" x14ac:dyDescent="0.25">
      <c r="A1606" t="s">
        <v>5599</v>
      </c>
      <c r="B1606" t="s">
        <v>3168</v>
      </c>
    </row>
    <row r="1607" spans="1:2" x14ac:dyDescent="0.25">
      <c r="A1607" t="s">
        <v>2921</v>
      </c>
      <c r="B1607" t="s">
        <v>2920</v>
      </c>
    </row>
    <row r="1608" spans="1:2" x14ac:dyDescent="0.25">
      <c r="A1608" t="s">
        <v>1796</v>
      </c>
      <c r="B1608" t="s">
        <v>1795</v>
      </c>
    </row>
    <row r="1609" spans="1:2" x14ac:dyDescent="0.25">
      <c r="A1609" t="s">
        <v>5600</v>
      </c>
      <c r="B1609" t="s">
        <v>3274</v>
      </c>
    </row>
    <row r="1610" spans="1:2" x14ac:dyDescent="0.25">
      <c r="A1610" t="s">
        <v>1499</v>
      </c>
      <c r="B1610" t="s">
        <v>1498</v>
      </c>
    </row>
    <row r="1611" spans="1:2" x14ac:dyDescent="0.25">
      <c r="A1611" t="s">
        <v>891</v>
      </c>
      <c r="B1611" t="s">
        <v>890</v>
      </c>
    </row>
    <row r="1612" spans="1:2" x14ac:dyDescent="0.25">
      <c r="A1612" t="s">
        <v>2905</v>
      </c>
      <c r="B1612" t="s">
        <v>2904</v>
      </c>
    </row>
    <row r="1613" spans="1:2" x14ac:dyDescent="0.25">
      <c r="A1613" t="s">
        <v>2897</v>
      </c>
      <c r="B1613" t="s">
        <v>2896</v>
      </c>
    </row>
    <row r="1614" spans="1:2" x14ac:dyDescent="0.25">
      <c r="A1614" t="s">
        <v>1715</v>
      </c>
      <c r="B1614" t="s">
        <v>1714</v>
      </c>
    </row>
    <row r="1615" spans="1:2" x14ac:dyDescent="0.25">
      <c r="A1615" t="s">
        <v>1799</v>
      </c>
      <c r="B1615" t="s">
        <v>1798</v>
      </c>
    </row>
    <row r="1616" spans="1:2" x14ac:dyDescent="0.25">
      <c r="A1616" t="s">
        <v>5601</v>
      </c>
      <c r="B1616" t="s">
        <v>3344</v>
      </c>
    </row>
    <row r="1617" spans="1:2" x14ac:dyDescent="0.25">
      <c r="A1617" t="s">
        <v>1723</v>
      </c>
      <c r="B1617" t="s">
        <v>1722</v>
      </c>
    </row>
    <row r="1618" spans="1:2" x14ac:dyDescent="0.25">
      <c r="A1618" t="s">
        <v>2877</v>
      </c>
      <c r="B1618" t="s">
        <v>2876</v>
      </c>
    </row>
    <row r="1619" spans="1:2" x14ac:dyDescent="0.25">
      <c r="A1619" t="s">
        <v>5602</v>
      </c>
      <c r="B1619" t="s">
        <v>3171</v>
      </c>
    </row>
    <row r="1620" spans="1:2" x14ac:dyDescent="0.25">
      <c r="A1620" t="s">
        <v>5603</v>
      </c>
      <c r="B1620" t="s">
        <v>3256</v>
      </c>
    </row>
    <row r="1621" spans="1:2" x14ac:dyDescent="0.25">
      <c r="A1621" t="s">
        <v>5604</v>
      </c>
      <c r="B1621" t="s">
        <v>3141</v>
      </c>
    </row>
    <row r="1622" spans="1:2" x14ac:dyDescent="0.25">
      <c r="A1622" t="s">
        <v>5605</v>
      </c>
      <c r="B1622" t="s">
        <v>2375</v>
      </c>
    </row>
    <row r="1623" spans="1:2" x14ac:dyDescent="0.25">
      <c r="A1623" t="s">
        <v>5606</v>
      </c>
      <c r="B1623" t="s">
        <v>3193</v>
      </c>
    </row>
    <row r="1624" spans="1:2" x14ac:dyDescent="0.25">
      <c r="A1624" t="s">
        <v>5607</v>
      </c>
      <c r="B1624" t="s">
        <v>3089</v>
      </c>
    </row>
    <row r="1625" spans="1:2" x14ac:dyDescent="0.25">
      <c r="A1625" t="s">
        <v>1711</v>
      </c>
      <c r="B1625" t="s">
        <v>1710</v>
      </c>
    </row>
    <row r="1626" spans="1:2" x14ac:dyDescent="0.25">
      <c r="A1626" t="s">
        <v>2978</v>
      </c>
      <c r="B1626" t="s">
        <v>2977</v>
      </c>
    </row>
    <row r="1627" spans="1:2" x14ac:dyDescent="0.25">
      <c r="A1627" t="s">
        <v>2982</v>
      </c>
      <c r="B1627" t="s">
        <v>2981</v>
      </c>
    </row>
    <row r="1628" spans="1:2" x14ac:dyDescent="0.25">
      <c r="A1628" t="s">
        <v>529</v>
      </c>
      <c r="B1628" t="s">
        <v>528</v>
      </c>
    </row>
    <row r="1629" spans="1:2" x14ac:dyDescent="0.25">
      <c r="A1629" t="s">
        <v>5608</v>
      </c>
      <c r="B1629" t="s">
        <v>3196</v>
      </c>
    </row>
    <row r="1630" spans="1:2" x14ac:dyDescent="0.25">
      <c r="A1630" t="s">
        <v>5609</v>
      </c>
      <c r="B1630" t="s">
        <v>3230</v>
      </c>
    </row>
    <row r="1631" spans="1:2" x14ac:dyDescent="0.25">
      <c r="A1631" t="s">
        <v>1730</v>
      </c>
      <c r="B1631" t="s">
        <v>1729</v>
      </c>
    </row>
    <row r="1632" spans="1:2" x14ac:dyDescent="0.25">
      <c r="A1632" t="s">
        <v>5610</v>
      </c>
      <c r="B1632" t="s">
        <v>3197</v>
      </c>
    </row>
    <row r="1633" spans="1:2" x14ac:dyDescent="0.25">
      <c r="A1633" t="s">
        <v>1578</v>
      </c>
      <c r="B1633" t="s">
        <v>1577</v>
      </c>
    </row>
    <row r="1634" spans="1:2" x14ac:dyDescent="0.25">
      <c r="A1634" t="s">
        <v>1588</v>
      </c>
      <c r="B1634" t="s">
        <v>1587</v>
      </c>
    </row>
    <row r="1635" spans="1:2" x14ac:dyDescent="0.25">
      <c r="A1635" t="s">
        <v>5611</v>
      </c>
      <c r="B1635" t="s">
        <v>2385</v>
      </c>
    </row>
    <row r="1636" spans="1:2" x14ac:dyDescent="0.25">
      <c r="A1636" t="s">
        <v>1787</v>
      </c>
      <c r="B1636" t="s">
        <v>1786</v>
      </c>
    </row>
    <row r="1637" spans="1:2" x14ac:dyDescent="0.25">
      <c r="A1637" t="s">
        <v>1586</v>
      </c>
      <c r="B1637" t="s">
        <v>1585</v>
      </c>
    </row>
    <row r="1638" spans="1:2" x14ac:dyDescent="0.25">
      <c r="A1638" t="s">
        <v>1590</v>
      </c>
      <c r="B1638" t="s">
        <v>1589</v>
      </c>
    </row>
    <row r="1639" spans="1:2" x14ac:dyDescent="0.25">
      <c r="A1639" t="s">
        <v>5612</v>
      </c>
      <c r="B1639" t="s">
        <v>3268</v>
      </c>
    </row>
    <row r="1640" spans="1:2" x14ac:dyDescent="0.25">
      <c r="A1640" t="s">
        <v>2917</v>
      </c>
      <c r="B1640" t="s">
        <v>2916</v>
      </c>
    </row>
    <row r="1641" spans="1:2" x14ac:dyDescent="0.25">
      <c r="A1641" t="s">
        <v>5613</v>
      </c>
      <c r="B1641" t="s">
        <v>2359</v>
      </c>
    </row>
    <row r="1642" spans="1:2" x14ac:dyDescent="0.25">
      <c r="A1642" t="s">
        <v>5614</v>
      </c>
      <c r="B1642" t="s">
        <v>3100</v>
      </c>
    </row>
    <row r="1643" spans="1:2" x14ac:dyDescent="0.25">
      <c r="A1643" t="s">
        <v>1765</v>
      </c>
      <c r="B1643" t="s">
        <v>1764</v>
      </c>
    </row>
    <row r="1644" spans="1:2" x14ac:dyDescent="0.25">
      <c r="A1644" t="s">
        <v>2831</v>
      </c>
      <c r="B1644" t="s">
        <v>2830</v>
      </c>
    </row>
    <row r="1645" spans="1:2" x14ac:dyDescent="0.25">
      <c r="A1645" t="s">
        <v>5615</v>
      </c>
      <c r="B1645" t="s">
        <v>2339</v>
      </c>
    </row>
    <row r="1646" spans="1:2" x14ac:dyDescent="0.25">
      <c r="A1646" t="s">
        <v>1736</v>
      </c>
      <c r="B1646" t="s">
        <v>1735</v>
      </c>
    </row>
    <row r="1647" spans="1:2" x14ac:dyDescent="0.25">
      <c r="A1647" t="s">
        <v>5616</v>
      </c>
      <c r="B1647" t="s">
        <v>2396</v>
      </c>
    </row>
    <row r="1648" spans="1:2" x14ac:dyDescent="0.25">
      <c r="A1648" t="s">
        <v>5617</v>
      </c>
      <c r="B1648" t="s">
        <v>3332</v>
      </c>
    </row>
    <row r="1649" spans="1:2" x14ac:dyDescent="0.25">
      <c r="A1649" t="s">
        <v>1747</v>
      </c>
      <c r="B1649" t="s">
        <v>1746</v>
      </c>
    </row>
    <row r="1650" spans="1:2" x14ac:dyDescent="0.25">
      <c r="A1650" t="s">
        <v>5618</v>
      </c>
      <c r="B1650" t="s">
        <v>3300</v>
      </c>
    </row>
    <row r="1651" spans="1:2" x14ac:dyDescent="0.25">
      <c r="A1651" t="s">
        <v>1859</v>
      </c>
      <c r="B1651" t="s">
        <v>1858</v>
      </c>
    </row>
    <row r="1652" spans="1:2" x14ac:dyDescent="0.25">
      <c r="A1652" t="s">
        <v>5619</v>
      </c>
      <c r="B1652" t="s">
        <v>2353</v>
      </c>
    </row>
    <row r="1653" spans="1:2" x14ac:dyDescent="0.25">
      <c r="A1653" t="s">
        <v>2873</v>
      </c>
      <c r="B1653" t="s">
        <v>2872</v>
      </c>
    </row>
    <row r="1654" spans="1:2" x14ac:dyDescent="0.25">
      <c r="A1654" t="s">
        <v>1984</v>
      </c>
      <c r="B1654" t="s">
        <v>1983</v>
      </c>
    </row>
    <row r="1655" spans="1:2" x14ac:dyDescent="0.25">
      <c r="A1655" t="s">
        <v>1623</v>
      </c>
      <c r="B1655" t="s">
        <v>1622</v>
      </c>
    </row>
    <row r="1656" spans="1:2" x14ac:dyDescent="0.25">
      <c r="A1656" t="s">
        <v>5620</v>
      </c>
      <c r="B1656" t="s">
        <v>2387</v>
      </c>
    </row>
    <row r="1657" spans="1:2" x14ac:dyDescent="0.25">
      <c r="A1657" t="s">
        <v>2807</v>
      </c>
      <c r="B1657" t="s">
        <v>2806</v>
      </c>
    </row>
    <row r="1658" spans="1:2" x14ac:dyDescent="0.25">
      <c r="A1658" t="s">
        <v>5621</v>
      </c>
      <c r="B1658" t="s">
        <v>3329</v>
      </c>
    </row>
    <row r="1659" spans="1:2" x14ac:dyDescent="0.25">
      <c r="A1659" t="s">
        <v>5622</v>
      </c>
      <c r="B1659" t="s">
        <v>2362</v>
      </c>
    </row>
    <row r="1660" spans="1:2" x14ac:dyDescent="0.25">
      <c r="A1660" t="s">
        <v>5623</v>
      </c>
      <c r="B1660" t="s">
        <v>3281</v>
      </c>
    </row>
    <row r="1661" spans="1:2" x14ac:dyDescent="0.25">
      <c r="A1661" t="s">
        <v>300</v>
      </c>
      <c r="B1661" t="s">
        <v>299</v>
      </c>
    </row>
    <row r="1662" spans="1:2" x14ac:dyDescent="0.25">
      <c r="A1662" t="s">
        <v>5624</v>
      </c>
      <c r="B1662" t="s">
        <v>2346</v>
      </c>
    </row>
    <row r="1663" spans="1:2" x14ac:dyDescent="0.25">
      <c r="A1663" t="s">
        <v>109</v>
      </c>
      <c r="B1663" t="s">
        <v>108</v>
      </c>
    </row>
    <row r="1664" spans="1:2" x14ac:dyDescent="0.25">
      <c r="A1664" t="s">
        <v>5625</v>
      </c>
      <c r="B1664" t="s">
        <v>3008</v>
      </c>
    </row>
    <row r="1665" spans="1:2" x14ac:dyDescent="0.25">
      <c r="A1665" t="s">
        <v>1576</v>
      </c>
      <c r="B1665" t="s">
        <v>1575</v>
      </c>
    </row>
    <row r="1666" spans="1:2" x14ac:dyDescent="0.25">
      <c r="A1666" t="s">
        <v>5626</v>
      </c>
      <c r="B1666" t="s">
        <v>3154</v>
      </c>
    </row>
    <row r="1667" spans="1:2" x14ac:dyDescent="0.25">
      <c r="A1667" t="s">
        <v>5627</v>
      </c>
      <c r="B1667" t="s">
        <v>2376</v>
      </c>
    </row>
    <row r="1668" spans="1:2" x14ac:dyDescent="0.25">
      <c r="A1668" t="s">
        <v>5628</v>
      </c>
      <c r="B1668" t="s">
        <v>3181</v>
      </c>
    </row>
    <row r="1669" spans="1:2" x14ac:dyDescent="0.25">
      <c r="A1669" t="s">
        <v>5629</v>
      </c>
      <c r="B1669" t="s">
        <v>3066</v>
      </c>
    </row>
    <row r="1670" spans="1:2" x14ac:dyDescent="0.25">
      <c r="A1670" t="s">
        <v>2865</v>
      </c>
      <c r="B1670" t="s">
        <v>2864</v>
      </c>
    </row>
    <row r="1671" spans="1:2" x14ac:dyDescent="0.25">
      <c r="A1671" t="s">
        <v>832</v>
      </c>
      <c r="B1671" t="s">
        <v>831</v>
      </c>
    </row>
    <row r="1672" spans="1:2" x14ac:dyDescent="0.25">
      <c r="A1672" t="s">
        <v>2761</v>
      </c>
      <c r="B1672" t="s">
        <v>2760</v>
      </c>
    </row>
    <row r="1673" spans="1:2" x14ac:dyDescent="0.25">
      <c r="A1673" t="s">
        <v>5630</v>
      </c>
      <c r="B1673" t="s">
        <v>3159</v>
      </c>
    </row>
    <row r="1674" spans="1:2" x14ac:dyDescent="0.25">
      <c r="A1674" t="s">
        <v>5631</v>
      </c>
      <c r="B1674" t="s">
        <v>3194</v>
      </c>
    </row>
    <row r="1675" spans="1:2" x14ac:dyDescent="0.25">
      <c r="A1675" t="s">
        <v>1905</v>
      </c>
      <c r="B1675" t="s">
        <v>1904</v>
      </c>
    </row>
    <row r="1676" spans="1:2" x14ac:dyDescent="0.25">
      <c r="A1676" t="s">
        <v>5632</v>
      </c>
      <c r="B1676" t="s">
        <v>3279</v>
      </c>
    </row>
    <row r="1677" spans="1:2" x14ac:dyDescent="0.25">
      <c r="A1677" t="s">
        <v>1672</v>
      </c>
      <c r="B1677" t="s">
        <v>1671</v>
      </c>
    </row>
    <row r="1678" spans="1:2" x14ac:dyDescent="0.25">
      <c r="A1678" t="s">
        <v>5633</v>
      </c>
      <c r="B1678" t="s">
        <v>2318</v>
      </c>
    </row>
    <row r="1679" spans="1:2" x14ac:dyDescent="0.25">
      <c r="A1679" t="s">
        <v>5634</v>
      </c>
      <c r="B1679" t="s">
        <v>952</v>
      </c>
    </row>
    <row r="1680" spans="1:2" x14ac:dyDescent="0.25">
      <c r="A1680" t="s">
        <v>5635</v>
      </c>
      <c r="B1680" t="s">
        <v>3109</v>
      </c>
    </row>
    <row r="1681" spans="1:2" x14ac:dyDescent="0.25">
      <c r="A1681" t="s">
        <v>5636</v>
      </c>
      <c r="B1681" t="s">
        <v>1840</v>
      </c>
    </row>
    <row r="1682" spans="1:2" x14ac:dyDescent="0.25">
      <c r="A1682" t="s">
        <v>5637</v>
      </c>
      <c r="B1682" t="s">
        <v>2207</v>
      </c>
    </row>
    <row r="1683" spans="1:2" x14ac:dyDescent="0.25">
      <c r="A1683" t="s">
        <v>5638</v>
      </c>
      <c r="B1683" t="s">
        <v>3244</v>
      </c>
    </row>
    <row r="1684" spans="1:2" x14ac:dyDescent="0.25">
      <c r="A1684" t="s">
        <v>5639</v>
      </c>
      <c r="B1684" t="s">
        <v>3148</v>
      </c>
    </row>
    <row r="1685" spans="1:2" x14ac:dyDescent="0.25">
      <c r="A1685" t="s">
        <v>5640</v>
      </c>
      <c r="B1685" t="s">
        <v>2356</v>
      </c>
    </row>
    <row r="1686" spans="1:2" x14ac:dyDescent="0.25">
      <c r="A1686" t="s">
        <v>5641</v>
      </c>
      <c r="B1686" t="s">
        <v>1750</v>
      </c>
    </row>
    <row r="1687" spans="1:2" x14ac:dyDescent="0.25">
      <c r="A1687" t="s">
        <v>5642</v>
      </c>
      <c r="B1687" t="s">
        <v>1692</v>
      </c>
    </row>
    <row r="1688" spans="1:2" x14ac:dyDescent="0.25">
      <c r="A1688" t="s">
        <v>5643</v>
      </c>
      <c r="B1688" t="s">
        <v>1824</v>
      </c>
    </row>
    <row r="1689" spans="1:2" x14ac:dyDescent="0.25">
      <c r="A1689" t="s">
        <v>5644</v>
      </c>
      <c r="B1689" t="s">
        <v>3269</v>
      </c>
    </row>
    <row r="1690" spans="1:2" x14ac:dyDescent="0.25">
      <c r="A1690" t="s">
        <v>5645</v>
      </c>
      <c r="B1690" t="s">
        <v>1708</v>
      </c>
    </row>
    <row r="1691" spans="1:2" x14ac:dyDescent="0.25">
      <c r="A1691" t="s">
        <v>2990</v>
      </c>
      <c r="B1691" t="s">
        <v>2989</v>
      </c>
    </row>
    <row r="1692" spans="1:2" x14ac:dyDescent="0.25">
      <c r="A1692" t="s">
        <v>5646</v>
      </c>
      <c r="B1692" t="s">
        <v>1808</v>
      </c>
    </row>
    <row r="1693" spans="1:2" x14ac:dyDescent="0.25">
      <c r="A1693" t="s">
        <v>5647</v>
      </c>
      <c r="B1693" t="s">
        <v>1814</v>
      </c>
    </row>
    <row r="1694" spans="1:2" x14ac:dyDescent="0.25">
      <c r="A1694" t="s">
        <v>5648</v>
      </c>
      <c r="B1694" t="s">
        <v>1694</v>
      </c>
    </row>
    <row r="1695" spans="1:2" x14ac:dyDescent="0.25">
      <c r="A1695" t="s">
        <v>5649</v>
      </c>
      <c r="B1695" t="s">
        <v>3308</v>
      </c>
    </row>
    <row r="1696" spans="1:2" x14ac:dyDescent="0.25">
      <c r="A1696" t="s">
        <v>5650</v>
      </c>
      <c r="B1696" t="s">
        <v>3124</v>
      </c>
    </row>
    <row r="1697" spans="1:2" x14ac:dyDescent="0.25">
      <c r="A1697" t="s">
        <v>5651</v>
      </c>
      <c r="B1697" t="s">
        <v>2381</v>
      </c>
    </row>
    <row r="1698" spans="1:2" x14ac:dyDescent="0.25">
      <c r="A1698" t="s">
        <v>5652</v>
      </c>
      <c r="B1698" t="s">
        <v>3169</v>
      </c>
    </row>
    <row r="1699" spans="1:2" x14ac:dyDescent="0.25">
      <c r="A1699" t="s">
        <v>5653</v>
      </c>
      <c r="B1699" t="s">
        <v>3388</v>
      </c>
    </row>
    <row r="1700" spans="1:2" x14ac:dyDescent="0.25">
      <c r="A1700" t="s">
        <v>5654</v>
      </c>
      <c r="B1700" t="s">
        <v>2412</v>
      </c>
    </row>
    <row r="1701" spans="1:2" x14ac:dyDescent="0.25">
      <c r="A1701" t="s">
        <v>2869</v>
      </c>
      <c r="B1701" t="s">
        <v>2868</v>
      </c>
    </row>
    <row r="1702" spans="1:2" x14ac:dyDescent="0.25">
      <c r="A1702" t="s">
        <v>5655</v>
      </c>
      <c r="B1702" t="s">
        <v>3064</v>
      </c>
    </row>
    <row r="1703" spans="1:2" x14ac:dyDescent="0.25">
      <c r="A1703" t="s">
        <v>5656</v>
      </c>
      <c r="B1703" t="s">
        <v>2294</v>
      </c>
    </row>
    <row r="1704" spans="1:2" x14ac:dyDescent="0.25">
      <c r="A1704" t="s">
        <v>5657</v>
      </c>
      <c r="B1704" t="s">
        <v>3271</v>
      </c>
    </row>
    <row r="1705" spans="1:2" x14ac:dyDescent="0.25">
      <c r="A1705" t="s">
        <v>5658</v>
      </c>
      <c r="B1705" t="s">
        <v>3147</v>
      </c>
    </row>
    <row r="1706" spans="1:2" x14ac:dyDescent="0.25">
      <c r="A1706" t="s">
        <v>5659</v>
      </c>
      <c r="B1706" t="s">
        <v>2343</v>
      </c>
    </row>
    <row r="1707" spans="1:2" x14ac:dyDescent="0.25">
      <c r="A1707" t="s">
        <v>5660</v>
      </c>
      <c r="B1707" t="s">
        <v>2358</v>
      </c>
    </row>
    <row r="1708" spans="1:2" x14ac:dyDescent="0.25">
      <c r="A1708" t="s">
        <v>5661</v>
      </c>
      <c r="B1708" t="s">
        <v>3149</v>
      </c>
    </row>
    <row r="1709" spans="1:2" x14ac:dyDescent="0.25">
      <c r="A1709" t="s">
        <v>5662</v>
      </c>
      <c r="B1709" t="s">
        <v>2355</v>
      </c>
    </row>
    <row r="1710" spans="1:2" x14ac:dyDescent="0.25">
      <c r="A1710" t="s">
        <v>5663</v>
      </c>
      <c r="B1710" t="s">
        <v>3267</v>
      </c>
    </row>
    <row r="1711" spans="1:2" x14ac:dyDescent="0.25">
      <c r="A1711" t="s">
        <v>5664</v>
      </c>
      <c r="B1711" t="s">
        <v>733</v>
      </c>
    </row>
    <row r="1712" spans="1:2" x14ac:dyDescent="0.25">
      <c r="A1712" t="s">
        <v>5665</v>
      </c>
      <c r="B1712" t="s">
        <v>3177</v>
      </c>
    </row>
    <row r="1713" spans="1:2" x14ac:dyDescent="0.25">
      <c r="A1713" t="s">
        <v>5666</v>
      </c>
      <c r="B1713" t="s">
        <v>2530</v>
      </c>
    </row>
    <row r="1714" spans="1:2" x14ac:dyDescent="0.25">
      <c r="A1714" t="s">
        <v>5667</v>
      </c>
      <c r="B1714" t="s">
        <v>2364</v>
      </c>
    </row>
    <row r="1715" spans="1:2" x14ac:dyDescent="0.25">
      <c r="A1715" t="s">
        <v>5668</v>
      </c>
      <c r="B1715" t="s">
        <v>2342</v>
      </c>
    </row>
    <row r="1716" spans="1:2" x14ac:dyDescent="0.25">
      <c r="A1716" t="s">
        <v>5669</v>
      </c>
      <c r="B1716" t="s">
        <v>2842</v>
      </c>
    </row>
    <row r="1717" spans="1:2" x14ac:dyDescent="0.25">
      <c r="A1717" t="s">
        <v>5670</v>
      </c>
      <c r="B1717" t="s">
        <v>3174</v>
      </c>
    </row>
    <row r="1718" spans="1:2" x14ac:dyDescent="0.25">
      <c r="A1718" t="s">
        <v>5671</v>
      </c>
      <c r="B1718" t="s">
        <v>3245</v>
      </c>
    </row>
    <row r="1719" spans="1:2" x14ac:dyDescent="0.25">
      <c r="A1719" t="s">
        <v>5672</v>
      </c>
      <c r="B1719" t="s">
        <v>2870</v>
      </c>
    </row>
    <row r="1720" spans="1:2" x14ac:dyDescent="0.25">
      <c r="A1720" t="s">
        <v>5673</v>
      </c>
      <c r="B1720" t="s">
        <v>2860</v>
      </c>
    </row>
    <row r="1721" spans="1:2" x14ac:dyDescent="0.25">
      <c r="A1721" t="s">
        <v>5674</v>
      </c>
      <c r="B1721" t="s">
        <v>3139</v>
      </c>
    </row>
    <row r="1722" spans="1:2" x14ac:dyDescent="0.25">
      <c r="A1722" t="s">
        <v>5675</v>
      </c>
      <c r="B1722" t="s">
        <v>1742</v>
      </c>
    </row>
    <row r="1723" spans="1:2" x14ac:dyDescent="0.25">
      <c r="A1723" t="s">
        <v>5676</v>
      </c>
      <c r="B1723" t="s">
        <v>2824</v>
      </c>
    </row>
    <row r="1724" spans="1:2" x14ac:dyDescent="0.25">
      <c r="A1724" t="s">
        <v>5677</v>
      </c>
      <c r="B1724" t="s">
        <v>1618</v>
      </c>
    </row>
    <row r="1725" spans="1:2" x14ac:dyDescent="0.25">
      <c r="A1725" t="s">
        <v>5678</v>
      </c>
      <c r="B1725" t="s">
        <v>958</v>
      </c>
    </row>
    <row r="1726" spans="1:2" x14ac:dyDescent="0.25">
      <c r="A1726" t="s">
        <v>5679</v>
      </c>
      <c r="B1726" t="s">
        <v>2862</v>
      </c>
    </row>
    <row r="1727" spans="1:2" x14ac:dyDescent="0.25">
      <c r="A1727" t="s">
        <v>5680</v>
      </c>
      <c r="B1727" t="s">
        <v>2361</v>
      </c>
    </row>
    <row r="1728" spans="1:2" x14ac:dyDescent="0.25">
      <c r="A1728" t="s">
        <v>5681</v>
      </c>
      <c r="B1728" t="s">
        <v>3236</v>
      </c>
    </row>
    <row r="1729" spans="1:2" x14ac:dyDescent="0.25">
      <c r="A1729" t="s">
        <v>5682</v>
      </c>
      <c r="B1729" t="s">
        <v>3290</v>
      </c>
    </row>
    <row r="1730" spans="1:2" x14ac:dyDescent="0.25">
      <c r="A1730" t="s">
        <v>5683</v>
      </c>
      <c r="B1730" t="s">
        <v>3132</v>
      </c>
    </row>
    <row r="1731" spans="1:2" x14ac:dyDescent="0.25">
      <c r="A1731" t="s">
        <v>1503</v>
      </c>
      <c r="B1731" t="s">
        <v>1502</v>
      </c>
    </row>
    <row r="1732" spans="1:2" x14ac:dyDescent="0.25">
      <c r="A1732" t="s">
        <v>5684</v>
      </c>
      <c r="B1732" t="s">
        <v>948</v>
      </c>
    </row>
    <row r="1733" spans="1:2" x14ac:dyDescent="0.25">
      <c r="A1733" t="s">
        <v>5685</v>
      </c>
      <c r="B1733" t="s">
        <v>1649</v>
      </c>
    </row>
    <row r="1734" spans="1:2" x14ac:dyDescent="0.25">
      <c r="A1734" t="s">
        <v>5686</v>
      </c>
      <c r="B1734" t="s">
        <v>3233</v>
      </c>
    </row>
    <row r="1735" spans="1:2" x14ac:dyDescent="0.25">
      <c r="A1735" t="s">
        <v>5687</v>
      </c>
      <c r="B1735" t="s">
        <v>1854</v>
      </c>
    </row>
    <row r="1736" spans="1:2" x14ac:dyDescent="0.25">
      <c r="A1736" t="s">
        <v>5688</v>
      </c>
      <c r="B1736" t="s">
        <v>3199</v>
      </c>
    </row>
    <row r="1737" spans="1:2" x14ac:dyDescent="0.25">
      <c r="A1737" t="s">
        <v>5689</v>
      </c>
      <c r="B1737" t="s">
        <v>286</v>
      </c>
    </row>
    <row r="1738" spans="1:2" x14ac:dyDescent="0.25">
      <c r="A1738" t="s">
        <v>5690</v>
      </c>
      <c r="B1738" t="s">
        <v>2744</v>
      </c>
    </row>
    <row r="1739" spans="1:2" x14ac:dyDescent="0.25">
      <c r="A1739" t="s">
        <v>5691</v>
      </c>
      <c r="B1739" t="s">
        <v>4156</v>
      </c>
    </row>
    <row r="1740" spans="1:2" x14ac:dyDescent="0.25">
      <c r="A1740" t="s">
        <v>5692</v>
      </c>
      <c r="B1740" t="s">
        <v>2274</v>
      </c>
    </row>
    <row r="1741" spans="1:2" x14ac:dyDescent="0.25">
      <c r="A1741" t="s">
        <v>5693</v>
      </c>
      <c r="B1741" t="s">
        <v>1573</v>
      </c>
    </row>
    <row r="1742" spans="1:2" x14ac:dyDescent="0.25">
      <c r="A1742" t="s">
        <v>5694</v>
      </c>
      <c r="B1742" t="s">
        <v>2265</v>
      </c>
    </row>
    <row r="1743" spans="1:2" x14ac:dyDescent="0.25">
      <c r="A1743" t="s">
        <v>5695</v>
      </c>
      <c r="B1743" t="s">
        <v>1985</v>
      </c>
    </row>
    <row r="1744" spans="1:2" x14ac:dyDescent="0.25">
      <c r="A1744" t="s">
        <v>5696</v>
      </c>
      <c r="B1744" t="s">
        <v>3270</v>
      </c>
    </row>
    <row r="1745" spans="1:2" x14ac:dyDescent="0.25">
      <c r="A1745" t="s">
        <v>5697</v>
      </c>
      <c r="B1745" t="s">
        <v>2788</v>
      </c>
    </row>
    <row r="1746" spans="1:2" x14ac:dyDescent="0.25">
      <c r="A1746" t="s">
        <v>5698</v>
      </c>
      <c r="B1746" t="s">
        <v>1033</v>
      </c>
    </row>
    <row r="1747" spans="1:2" x14ac:dyDescent="0.25">
      <c r="A1747" t="s">
        <v>5699</v>
      </c>
      <c r="B1747" t="s">
        <v>2388</v>
      </c>
    </row>
    <row r="1748" spans="1:2" x14ac:dyDescent="0.25">
      <c r="A1748" t="s">
        <v>5700</v>
      </c>
      <c r="B1748" t="s">
        <v>2479</v>
      </c>
    </row>
    <row r="1749" spans="1:2" x14ac:dyDescent="0.25">
      <c r="A1749" t="s">
        <v>5701</v>
      </c>
      <c r="B1749" t="s">
        <v>1744</v>
      </c>
    </row>
    <row r="1750" spans="1:2" x14ac:dyDescent="0.25">
      <c r="A1750" t="s">
        <v>5702</v>
      </c>
      <c r="B1750" t="s">
        <v>1737</v>
      </c>
    </row>
    <row r="1751" spans="1:2" x14ac:dyDescent="0.25">
      <c r="A1751" t="s">
        <v>5703</v>
      </c>
      <c r="B1751" t="s">
        <v>2391</v>
      </c>
    </row>
    <row r="1752" spans="1:2" x14ac:dyDescent="0.25">
      <c r="A1752" t="s">
        <v>5704</v>
      </c>
      <c r="B1752" t="s">
        <v>2289</v>
      </c>
    </row>
    <row r="1753" spans="1:2" x14ac:dyDescent="0.25">
      <c r="A1753" t="s">
        <v>1171</v>
      </c>
      <c r="B1753" t="s">
        <v>1170</v>
      </c>
    </row>
    <row r="1754" spans="1:2" x14ac:dyDescent="0.25">
      <c r="A1754" t="s">
        <v>1183</v>
      </c>
      <c r="B1754" t="s">
        <v>1182</v>
      </c>
    </row>
    <row r="1755" spans="1:2" x14ac:dyDescent="0.25">
      <c r="A1755" t="s">
        <v>5705</v>
      </c>
      <c r="B1755" t="s">
        <v>3144</v>
      </c>
    </row>
    <row r="1756" spans="1:2" x14ac:dyDescent="0.25">
      <c r="A1756" t="s">
        <v>5706</v>
      </c>
      <c r="B1756" t="s">
        <v>3086</v>
      </c>
    </row>
    <row r="1757" spans="1:2" x14ac:dyDescent="0.25">
      <c r="A1757" t="s">
        <v>5707</v>
      </c>
      <c r="B1757" t="s">
        <v>3115</v>
      </c>
    </row>
    <row r="1758" spans="1:2" x14ac:dyDescent="0.25">
      <c r="A1758" t="s">
        <v>5708</v>
      </c>
      <c r="B1758" t="s">
        <v>58</v>
      </c>
    </row>
    <row r="1759" spans="1:2" x14ac:dyDescent="0.25">
      <c r="A1759" t="s">
        <v>5709</v>
      </c>
      <c r="B1759" t="s">
        <v>151</v>
      </c>
    </row>
    <row r="1760" spans="1:2" x14ac:dyDescent="0.25">
      <c r="A1760" t="s">
        <v>5710</v>
      </c>
      <c r="B1760" t="s">
        <v>2320</v>
      </c>
    </row>
    <row r="1761" spans="1:2" x14ac:dyDescent="0.25">
      <c r="A1761" t="s">
        <v>5711</v>
      </c>
      <c r="B1761" t="s">
        <v>2322</v>
      </c>
    </row>
    <row r="1762" spans="1:2" x14ac:dyDescent="0.25">
      <c r="A1762" t="s">
        <v>5712</v>
      </c>
      <c r="B1762" t="s">
        <v>1573</v>
      </c>
    </row>
    <row r="1763" spans="1:2" x14ac:dyDescent="0.25">
      <c r="A1763" t="s">
        <v>5713</v>
      </c>
      <c r="B1763" t="s">
        <v>4289</v>
      </c>
    </row>
    <row r="1764" spans="1:2" x14ac:dyDescent="0.25">
      <c r="A1764" t="s">
        <v>5714</v>
      </c>
      <c r="B1764" t="s">
        <v>2279</v>
      </c>
    </row>
    <row r="1765" spans="1:2" x14ac:dyDescent="0.25">
      <c r="A1765" t="s">
        <v>5715</v>
      </c>
      <c r="B1765" t="s">
        <v>3298</v>
      </c>
    </row>
    <row r="1766" spans="1:2" x14ac:dyDescent="0.25">
      <c r="A1766" t="s">
        <v>5716</v>
      </c>
      <c r="B1766" t="s">
        <v>4871</v>
      </c>
    </row>
    <row r="1767" spans="1:2" x14ac:dyDescent="0.25">
      <c r="A1767" t="s">
        <v>5717</v>
      </c>
      <c r="B1767" t="s">
        <v>3296</v>
      </c>
    </row>
    <row r="1768" spans="1:2" x14ac:dyDescent="0.25">
      <c r="A1768" t="s">
        <v>5718</v>
      </c>
      <c r="B1768" t="s">
        <v>4928</v>
      </c>
    </row>
    <row r="1769" spans="1:2" x14ac:dyDescent="0.25">
      <c r="A1769" t="s">
        <v>5719</v>
      </c>
      <c r="B1769" t="s">
        <v>5209</v>
      </c>
    </row>
    <row r="1770" spans="1:2" x14ac:dyDescent="0.25">
      <c r="A1770" t="s">
        <v>5720</v>
      </c>
      <c r="B1770" t="s">
        <v>1571</v>
      </c>
    </row>
    <row r="1771" spans="1:2" x14ac:dyDescent="0.25">
      <c r="A1771" t="s">
        <v>5721</v>
      </c>
      <c r="B1771" t="s">
        <v>5722</v>
      </c>
    </row>
    <row r="1772" spans="1:2" x14ac:dyDescent="0.25">
      <c r="A1772" t="s">
        <v>5723</v>
      </c>
      <c r="B1772" t="s">
        <v>89</v>
      </c>
    </row>
    <row r="1773" spans="1:2" x14ac:dyDescent="0.25">
      <c r="A1773" t="s">
        <v>5724</v>
      </c>
      <c r="B1773" t="s">
        <v>4102</v>
      </c>
    </row>
    <row r="1774" spans="1:2" x14ac:dyDescent="0.25">
      <c r="A1774" t="s">
        <v>5725</v>
      </c>
      <c r="B1774" t="s">
        <v>97</v>
      </c>
    </row>
    <row r="1775" spans="1:2" x14ac:dyDescent="0.25">
      <c r="A1775" t="s">
        <v>5726</v>
      </c>
      <c r="B1775" t="s">
        <v>3384</v>
      </c>
    </row>
    <row r="1776" spans="1:2" x14ac:dyDescent="0.25">
      <c r="A1776" t="s">
        <v>5727</v>
      </c>
      <c r="B1776" t="s">
        <v>4109</v>
      </c>
    </row>
    <row r="1777" spans="1:2" x14ac:dyDescent="0.25">
      <c r="A1777" t="s">
        <v>5728</v>
      </c>
      <c r="B1777" t="s">
        <v>3143</v>
      </c>
    </row>
    <row r="1778" spans="1:2" x14ac:dyDescent="0.25">
      <c r="A1778" t="s">
        <v>5729</v>
      </c>
      <c r="B1778" t="s">
        <v>4138</v>
      </c>
    </row>
    <row r="1779" spans="1:2" x14ac:dyDescent="0.25">
      <c r="A1779" t="s">
        <v>5730</v>
      </c>
      <c r="B1779" t="s">
        <v>124</v>
      </c>
    </row>
    <row r="1780" spans="1:2" x14ac:dyDescent="0.25">
      <c r="A1780" t="s">
        <v>5731</v>
      </c>
      <c r="B1780" t="s">
        <v>130</v>
      </c>
    </row>
    <row r="1781" spans="1:2" x14ac:dyDescent="0.25">
      <c r="A1781" t="s">
        <v>5732</v>
      </c>
      <c r="B1781" t="s">
        <v>847</v>
      </c>
    </row>
    <row r="1782" spans="1:2" x14ac:dyDescent="0.25">
      <c r="A1782" t="s">
        <v>5733</v>
      </c>
      <c r="B1782" t="s">
        <v>764</v>
      </c>
    </row>
    <row r="1783" spans="1:2" x14ac:dyDescent="0.25">
      <c r="A1783" t="s">
        <v>5734</v>
      </c>
      <c r="B1783" t="s">
        <v>1647</v>
      </c>
    </row>
    <row r="1784" spans="1:2" x14ac:dyDescent="0.25">
      <c r="A1784" t="s">
        <v>5735</v>
      </c>
      <c r="B1784" t="s">
        <v>247</v>
      </c>
    </row>
    <row r="1785" spans="1:2" x14ac:dyDescent="0.25">
      <c r="A1785" t="s">
        <v>5736</v>
      </c>
      <c r="B1785" t="s">
        <v>288</v>
      </c>
    </row>
    <row r="1786" spans="1:2" x14ac:dyDescent="0.25">
      <c r="A1786" t="s">
        <v>5737</v>
      </c>
      <c r="B1786" t="s">
        <v>153</v>
      </c>
    </row>
    <row r="1787" spans="1:2" x14ac:dyDescent="0.25">
      <c r="A1787" t="s">
        <v>5738</v>
      </c>
      <c r="B1787" t="s">
        <v>1899</v>
      </c>
    </row>
    <row r="1788" spans="1:2" x14ac:dyDescent="0.25">
      <c r="A1788" t="s">
        <v>5739</v>
      </c>
      <c r="B1788" t="s">
        <v>1883</v>
      </c>
    </row>
    <row r="1789" spans="1:2" x14ac:dyDescent="0.25">
      <c r="A1789" t="s">
        <v>5740</v>
      </c>
      <c r="B1789" t="s">
        <v>1872</v>
      </c>
    </row>
    <row r="1790" spans="1:2" x14ac:dyDescent="0.25">
      <c r="A1790" t="s">
        <v>5741</v>
      </c>
      <c r="B1790" t="s">
        <v>4733</v>
      </c>
    </row>
    <row r="1791" spans="1:2" x14ac:dyDescent="0.25">
      <c r="A1791" t="s">
        <v>5742</v>
      </c>
      <c r="B1791" t="s">
        <v>2360</v>
      </c>
    </row>
    <row r="1792" spans="1:2" x14ac:dyDescent="0.25">
      <c r="A1792" t="s">
        <v>5743</v>
      </c>
      <c r="B1792" t="s">
        <v>5743</v>
      </c>
    </row>
    <row r="1793" spans="1:2" x14ac:dyDescent="0.25">
      <c r="A1793" t="s">
        <v>2432</v>
      </c>
      <c r="B1793" t="s">
        <v>2432</v>
      </c>
    </row>
    <row r="1794" spans="1:2" x14ac:dyDescent="0.25">
      <c r="A1794" t="s">
        <v>5744</v>
      </c>
      <c r="B1794" t="s">
        <v>5209</v>
      </c>
    </row>
    <row r="1795" spans="1:2" x14ac:dyDescent="0.25">
      <c r="A1795" t="s">
        <v>5745</v>
      </c>
      <c r="B1795" t="s">
        <v>5746</v>
      </c>
    </row>
    <row r="1796" spans="1:2" x14ac:dyDescent="0.25">
      <c r="A1796" t="s">
        <v>52</v>
      </c>
      <c r="B1796" t="s">
        <v>52</v>
      </c>
    </row>
    <row r="1797" spans="1:2" x14ac:dyDescent="0.25">
      <c r="A1797" t="s">
        <v>5747</v>
      </c>
      <c r="B1797" t="s">
        <v>52</v>
      </c>
    </row>
    <row r="1798" spans="1:2" x14ac:dyDescent="0.25">
      <c r="A1798" t="s">
        <v>5748</v>
      </c>
      <c r="B1798" t="s">
        <v>52</v>
      </c>
    </row>
    <row r="1799" spans="1:2" x14ac:dyDescent="0.25">
      <c r="A1799" t="s">
        <v>5749</v>
      </c>
      <c r="B1799" t="s">
        <v>52</v>
      </c>
    </row>
    <row r="1800" spans="1:2" x14ac:dyDescent="0.25">
      <c r="A1800" t="s">
        <v>5750</v>
      </c>
      <c r="B1800" t="s">
        <v>52</v>
      </c>
    </row>
    <row r="1801" spans="1:2" x14ac:dyDescent="0.25">
      <c r="A1801" t="s">
        <v>5751</v>
      </c>
      <c r="B1801" t="s">
        <v>3904</v>
      </c>
    </row>
    <row r="1802" spans="1:2" x14ac:dyDescent="0.25">
      <c r="A1802" t="s">
        <v>5752</v>
      </c>
      <c r="B1802" t="s">
        <v>5753</v>
      </c>
    </row>
    <row r="1803" spans="1:2" x14ac:dyDescent="0.25">
      <c r="A1803" t="s">
        <v>5754</v>
      </c>
      <c r="B1803" t="s">
        <v>5753</v>
      </c>
    </row>
    <row r="1804" spans="1:2" x14ac:dyDescent="0.25">
      <c r="A1804" t="s">
        <v>2437</v>
      </c>
      <c r="B1804" t="s">
        <v>2437</v>
      </c>
    </row>
    <row r="1805" spans="1:2" x14ac:dyDescent="0.25">
      <c r="A1805" t="s">
        <v>58</v>
      </c>
      <c r="B1805" t="s">
        <v>58</v>
      </c>
    </row>
    <row r="1806" spans="1:2" x14ac:dyDescent="0.25">
      <c r="A1806" t="s">
        <v>5755</v>
      </c>
      <c r="B1806" t="s">
        <v>58</v>
      </c>
    </row>
    <row r="1807" spans="1:2" x14ac:dyDescent="0.25">
      <c r="A1807" t="s">
        <v>5756</v>
      </c>
      <c r="B1807" t="s">
        <v>58</v>
      </c>
    </row>
    <row r="1808" spans="1:2" x14ac:dyDescent="0.25">
      <c r="A1808" t="s">
        <v>5757</v>
      </c>
      <c r="B1808" t="s">
        <v>58</v>
      </c>
    </row>
    <row r="1809" spans="1:2" x14ac:dyDescent="0.25">
      <c r="A1809" t="s">
        <v>5758</v>
      </c>
      <c r="B1809" t="s">
        <v>58</v>
      </c>
    </row>
    <row r="1810" spans="1:2" x14ac:dyDescent="0.25">
      <c r="A1810" t="s">
        <v>5759</v>
      </c>
      <c r="B1810" t="s">
        <v>52</v>
      </c>
    </row>
    <row r="1811" spans="1:2" x14ac:dyDescent="0.25">
      <c r="A1811" t="s">
        <v>60</v>
      </c>
      <c r="B1811" t="s">
        <v>60</v>
      </c>
    </row>
    <row r="1812" spans="1:2" x14ac:dyDescent="0.25">
      <c r="A1812" t="s">
        <v>5760</v>
      </c>
      <c r="B1812" t="s">
        <v>60</v>
      </c>
    </row>
    <row r="1813" spans="1:2" x14ac:dyDescent="0.25">
      <c r="A1813" t="s">
        <v>5761</v>
      </c>
      <c r="B1813" t="s">
        <v>60</v>
      </c>
    </row>
    <row r="1814" spans="1:2" x14ac:dyDescent="0.25">
      <c r="A1814" t="s">
        <v>5762</v>
      </c>
      <c r="B1814" t="s">
        <v>60</v>
      </c>
    </row>
    <row r="1815" spans="1:2" x14ac:dyDescent="0.25">
      <c r="A1815" t="s">
        <v>5763</v>
      </c>
      <c r="B1815" t="s">
        <v>5764</v>
      </c>
    </row>
    <row r="1816" spans="1:2" x14ac:dyDescent="0.25">
      <c r="A1816" t="s">
        <v>5765</v>
      </c>
      <c r="B1816" t="s">
        <v>60</v>
      </c>
    </row>
    <row r="1817" spans="1:2" x14ac:dyDescent="0.25">
      <c r="A1817" t="s">
        <v>5766</v>
      </c>
      <c r="B1817" t="s">
        <v>60</v>
      </c>
    </row>
    <row r="1818" spans="1:2" x14ac:dyDescent="0.25">
      <c r="A1818" t="s">
        <v>62</v>
      </c>
      <c r="B1818" t="s">
        <v>62</v>
      </c>
    </row>
    <row r="1819" spans="1:2" x14ac:dyDescent="0.25">
      <c r="A1819" t="s">
        <v>5767</v>
      </c>
      <c r="B1819" t="s">
        <v>62</v>
      </c>
    </row>
    <row r="1820" spans="1:2" x14ac:dyDescent="0.25">
      <c r="A1820" t="s">
        <v>5768</v>
      </c>
      <c r="B1820" t="s">
        <v>62</v>
      </c>
    </row>
    <row r="1821" spans="1:2" x14ac:dyDescent="0.25">
      <c r="A1821" t="s">
        <v>5769</v>
      </c>
      <c r="B1821" t="s">
        <v>62</v>
      </c>
    </row>
    <row r="1822" spans="1:2" x14ac:dyDescent="0.25">
      <c r="A1822" t="s">
        <v>5770</v>
      </c>
      <c r="B1822" t="s">
        <v>62</v>
      </c>
    </row>
    <row r="1823" spans="1:2" x14ac:dyDescent="0.25">
      <c r="A1823" t="s">
        <v>5771</v>
      </c>
      <c r="B1823" t="s">
        <v>5772</v>
      </c>
    </row>
    <row r="1824" spans="1:2" x14ac:dyDescent="0.25">
      <c r="A1824" t="s">
        <v>5773</v>
      </c>
      <c r="B1824" t="s">
        <v>62</v>
      </c>
    </row>
    <row r="1825" spans="1:2" x14ac:dyDescent="0.25">
      <c r="A1825" t="s">
        <v>3028</v>
      </c>
      <c r="B1825" t="s">
        <v>3028</v>
      </c>
    </row>
    <row r="1826" spans="1:2" x14ac:dyDescent="0.25">
      <c r="A1826" t="s">
        <v>5774</v>
      </c>
      <c r="B1826" t="s">
        <v>3028</v>
      </c>
    </row>
    <row r="1827" spans="1:2" x14ac:dyDescent="0.25">
      <c r="A1827" t="s">
        <v>64</v>
      </c>
      <c r="B1827" t="s">
        <v>64</v>
      </c>
    </row>
    <row r="1828" spans="1:2" x14ac:dyDescent="0.25">
      <c r="A1828" t="s">
        <v>5775</v>
      </c>
      <c r="B1828" t="s">
        <v>64</v>
      </c>
    </row>
    <row r="1829" spans="1:2" x14ac:dyDescent="0.25">
      <c r="A1829" t="s">
        <v>5776</v>
      </c>
      <c r="B1829" t="s">
        <v>64</v>
      </c>
    </row>
    <row r="1830" spans="1:2" x14ac:dyDescent="0.25">
      <c r="A1830" t="s">
        <v>66</v>
      </c>
      <c r="B1830" t="s">
        <v>66</v>
      </c>
    </row>
    <row r="1831" spans="1:2" x14ac:dyDescent="0.25">
      <c r="A1831" t="s">
        <v>5777</v>
      </c>
      <c r="B1831" t="s">
        <v>66</v>
      </c>
    </row>
    <row r="1832" spans="1:2" x14ac:dyDescent="0.25">
      <c r="A1832" t="s">
        <v>5778</v>
      </c>
      <c r="B1832" t="s">
        <v>66</v>
      </c>
    </row>
    <row r="1833" spans="1:2" x14ac:dyDescent="0.25">
      <c r="A1833" t="s">
        <v>5779</v>
      </c>
      <c r="B1833" t="s">
        <v>66</v>
      </c>
    </row>
    <row r="1834" spans="1:2" x14ac:dyDescent="0.25">
      <c r="A1834" t="s">
        <v>5780</v>
      </c>
      <c r="B1834" t="s">
        <v>66</v>
      </c>
    </row>
    <row r="1835" spans="1:2" x14ac:dyDescent="0.25">
      <c r="A1835" t="s">
        <v>5781</v>
      </c>
      <c r="B1835" t="s">
        <v>3906</v>
      </c>
    </row>
    <row r="1836" spans="1:2" x14ac:dyDescent="0.25">
      <c r="A1836" t="s">
        <v>5782</v>
      </c>
      <c r="B1836" t="s">
        <v>3906</v>
      </c>
    </row>
    <row r="1837" spans="1:2" x14ac:dyDescent="0.25">
      <c r="A1837" t="s">
        <v>68</v>
      </c>
      <c r="B1837" t="s">
        <v>68</v>
      </c>
    </row>
    <row r="1838" spans="1:2" x14ac:dyDescent="0.25">
      <c r="A1838" t="s">
        <v>5783</v>
      </c>
      <c r="B1838" t="s">
        <v>68</v>
      </c>
    </row>
    <row r="1839" spans="1:2" x14ac:dyDescent="0.25">
      <c r="A1839" t="s">
        <v>5784</v>
      </c>
      <c r="B1839" t="s">
        <v>68</v>
      </c>
    </row>
    <row r="1840" spans="1:2" x14ac:dyDescent="0.25">
      <c r="A1840" t="s">
        <v>5785</v>
      </c>
      <c r="B1840" t="s">
        <v>68</v>
      </c>
    </row>
    <row r="1841" spans="1:2" x14ac:dyDescent="0.25">
      <c r="A1841" t="s">
        <v>70</v>
      </c>
      <c r="B1841" t="s">
        <v>70</v>
      </c>
    </row>
    <row r="1842" spans="1:2" x14ac:dyDescent="0.25">
      <c r="A1842" t="s">
        <v>5786</v>
      </c>
      <c r="B1842" t="s">
        <v>70</v>
      </c>
    </row>
    <row r="1843" spans="1:2" x14ac:dyDescent="0.25">
      <c r="A1843" t="s">
        <v>5787</v>
      </c>
      <c r="B1843" t="s">
        <v>70</v>
      </c>
    </row>
    <row r="1844" spans="1:2" x14ac:dyDescent="0.25">
      <c r="A1844" t="s">
        <v>5788</v>
      </c>
      <c r="B1844" t="s">
        <v>70</v>
      </c>
    </row>
    <row r="1845" spans="1:2" x14ac:dyDescent="0.25">
      <c r="A1845" t="s">
        <v>5789</v>
      </c>
      <c r="B1845" t="s">
        <v>70</v>
      </c>
    </row>
    <row r="1846" spans="1:2" x14ac:dyDescent="0.25">
      <c r="A1846" t="s">
        <v>5790</v>
      </c>
      <c r="B1846" t="s">
        <v>64</v>
      </c>
    </row>
    <row r="1847" spans="1:2" x14ac:dyDescent="0.25">
      <c r="A1847" t="s">
        <v>72</v>
      </c>
      <c r="B1847" t="s">
        <v>72</v>
      </c>
    </row>
    <row r="1848" spans="1:2" x14ac:dyDescent="0.25">
      <c r="A1848" t="s">
        <v>5791</v>
      </c>
      <c r="B1848" t="s">
        <v>72</v>
      </c>
    </row>
    <row r="1849" spans="1:2" x14ac:dyDescent="0.25">
      <c r="A1849" t="s">
        <v>5792</v>
      </c>
      <c r="B1849" t="s">
        <v>72</v>
      </c>
    </row>
    <row r="1850" spans="1:2" x14ac:dyDescent="0.25">
      <c r="A1850" t="s">
        <v>5793</v>
      </c>
      <c r="B1850" t="s">
        <v>72</v>
      </c>
    </row>
    <row r="1851" spans="1:2" x14ac:dyDescent="0.25">
      <c r="A1851" t="s">
        <v>5794</v>
      </c>
      <c r="B1851" t="s">
        <v>72</v>
      </c>
    </row>
    <row r="1852" spans="1:2" x14ac:dyDescent="0.25">
      <c r="A1852" t="s">
        <v>5795</v>
      </c>
      <c r="B1852" t="s">
        <v>5209</v>
      </c>
    </row>
    <row r="1853" spans="1:2" x14ac:dyDescent="0.25">
      <c r="A1853" t="s">
        <v>5796</v>
      </c>
      <c r="B1853" t="s">
        <v>72</v>
      </c>
    </row>
    <row r="1854" spans="1:2" x14ac:dyDescent="0.25">
      <c r="A1854" t="s">
        <v>2844</v>
      </c>
      <c r="B1854" t="s">
        <v>2844</v>
      </c>
    </row>
    <row r="1855" spans="1:2" x14ac:dyDescent="0.25">
      <c r="A1855" t="s">
        <v>5797</v>
      </c>
      <c r="B1855" t="s">
        <v>2844</v>
      </c>
    </row>
    <row r="1856" spans="1:2" x14ac:dyDescent="0.25">
      <c r="A1856" t="s">
        <v>2439</v>
      </c>
      <c r="B1856" t="s">
        <v>2439</v>
      </c>
    </row>
    <row r="1857" spans="1:2" x14ac:dyDescent="0.25">
      <c r="A1857" t="s">
        <v>819</v>
      </c>
      <c r="B1857" t="s">
        <v>818</v>
      </c>
    </row>
    <row r="1858" spans="1:2" x14ac:dyDescent="0.25">
      <c r="A1858" t="s">
        <v>5798</v>
      </c>
      <c r="B1858" t="s">
        <v>3110</v>
      </c>
    </row>
    <row r="1859" spans="1:2" x14ac:dyDescent="0.25">
      <c r="A1859" t="s">
        <v>5799</v>
      </c>
      <c r="B1859" t="s">
        <v>2378</v>
      </c>
    </row>
    <row r="1860" spans="1:2" x14ac:dyDescent="0.25">
      <c r="A1860" t="s">
        <v>822</v>
      </c>
      <c r="B1860" t="s">
        <v>821</v>
      </c>
    </row>
    <row r="1861" spans="1:2" x14ac:dyDescent="0.25">
      <c r="A1861" t="s">
        <v>5800</v>
      </c>
      <c r="B1861" t="s">
        <v>1674</v>
      </c>
    </row>
    <row r="1862" spans="1:2" x14ac:dyDescent="0.25">
      <c r="A1862" t="s">
        <v>1050</v>
      </c>
      <c r="B1862" t="s">
        <v>1049</v>
      </c>
    </row>
    <row r="1863" spans="1:2" x14ac:dyDescent="0.25">
      <c r="A1863" t="s">
        <v>993</v>
      </c>
      <c r="B1863" t="s">
        <v>992</v>
      </c>
    </row>
    <row r="1864" spans="1:2" x14ac:dyDescent="0.25">
      <c r="A1864" t="s">
        <v>1982</v>
      </c>
      <c r="B1864" t="s">
        <v>1981</v>
      </c>
    </row>
    <row r="1865" spans="1:2" x14ac:dyDescent="0.25">
      <c r="A1865" t="s">
        <v>5801</v>
      </c>
      <c r="B1865" t="s">
        <v>1774</v>
      </c>
    </row>
    <row r="1866" spans="1:2" x14ac:dyDescent="0.25">
      <c r="A1866" t="s">
        <v>5802</v>
      </c>
      <c r="B1866" t="s">
        <v>945</v>
      </c>
    </row>
    <row r="1867" spans="1:2" x14ac:dyDescent="0.25">
      <c r="A1867" t="s">
        <v>842</v>
      </c>
      <c r="B1867" t="s">
        <v>841</v>
      </c>
    </row>
    <row r="1868" spans="1:2" x14ac:dyDescent="0.25">
      <c r="A1868" t="s">
        <v>5803</v>
      </c>
      <c r="B1868" t="s">
        <v>1682</v>
      </c>
    </row>
    <row r="1869" spans="1:2" x14ac:dyDescent="0.25">
      <c r="A1869" t="s">
        <v>5804</v>
      </c>
      <c r="B1869" t="s">
        <v>1816</v>
      </c>
    </row>
    <row r="1870" spans="1:2" x14ac:dyDescent="0.25">
      <c r="A1870" t="s">
        <v>1152</v>
      </c>
      <c r="B1870" t="s">
        <v>1151</v>
      </c>
    </row>
    <row r="1871" spans="1:2" x14ac:dyDescent="0.25">
      <c r="A1871" t="s">
        <v>5805</v>
      </c>
      <c r="B1871" t="s">
        <v>2284</v>
      </c>
    </row>
    <row r="1872" spans="1:2" x14ac:dyDescent="0.25">
      <c r="A1872" t="s">
        <v>1149</v>
      </c>
      <c r="B1872" t="s">
        <v>1148</v>
      </c>
    </row>
    <row r="1873" spans="1:2" x14ac:dyDescent="0.25">
      <c r="A1873" t="s">
        <v>5806</v>
      </c>
      <c r="B1873" t="s">
        <v>2299</v>
      </c>
    </row>
    <row r="1874" spans="1:2" x14ac:dyDescent="0.25">
      <c r="A1874" t="s">
        <v>94</v>
      </c>
      <c r="B1874" t="s">
        <v>93</v>
      </c>
    </row>
    <row r="1875" spans="1:2" x14ac:dyDescent="0.25">
      <c r="A1875" t="s">
        <v>5807</v>
      </c>
      <c r="B1875" t="s">
        <v>2854</v>
      </c>
    </row>
    <row r="1876" spans="1:2" x14ac:dyDescent="0.25">
      <c r="A1876" t="s">
        <v>96</v>
      </c>
      <c r="B1876" t="s">
        <v>95</v>
      </c>
    </row>
    <row r="1877" spans="1:2" x14ac:dyDescent="0.25">
      <c r="A1877" t="s">
        <v>129</v>
      </c>
      <c r="B1877" t="s">
        <v>128</v>
      </c>
    </row>
    <row r="1878" spans="1:2" x14ac:dyDescent="0.25">
      <c r="A1878" t="s">
        <v>5808</v>
      </c>
      <c r="B1878" t="s">
        <v>2350</v>
      </c>
    </row>
    <row r="1879" spans="1:2" x14ac:dyDescent="0.25">
      <c r="A1879" t="s">
        <v>2857</v>
      </c>
      <c r="B1879" t="s">
        <v>2856</v>
      </c>
    </row>
    <row r="1880" spans="1:2" x14ac:dyDescent="0.25">
      <c r="A1880" t="s">
        <v>5809</v>
      </c>
      <c r="B1880" t="s">
        <v>2856</v>
      </c>
    </row>
    <row r="1881" spans="1:2" x14ac:dyDescent="0.25">
      <c r="A1881" t="s">
        <v>5810</v>
      </c>
      <c r="B1881" t="s">
        <v>97</v>
      </c>
    </row>
    <row r="1882" spans="1:2" x14ac:dyDescent="0.25">
      <c r="A1882" t="s">
        <v>100</v>
      </c>
      <c r="B1882" t="s">
        <v>99</v>
      </c>
    </row>
    <row r="1883" spans="1:2" x14ac:dyDescent="0.25">
      <c r="A1883" t="s">
        <v>1069</v>
      </c>
      <c r="B1883" t="s">
        <v>1068</v>
      </c>
    </row>
    <row r="1884" spans="1:2" x14ac:dyDescent="0.25">
      <c r="A1884" t="s">
        <v>1933</v>
      </c>
      <c r="B1884" t="s">
        <v>1932</v>
      </c>
    </row>
    <row r="1885" spans="1:2" x14ac:dyDescent="0.25">
      <c r="A1885" t="s">
        <v>127</v>
      </c>
      <c r="B1885" t="s">
        <v>126</v>
      </c>
    </row>
    <row r="1886" spans="1:2" x14ac:dyDescent="0.25">
      <c r="A1886" t="s">
        <v>1851</v>
      </c>
      <c r="B1886" t="s">
        <v>1850</v>
      </c>
    </row>
    <row r="1887" spans="1:2" x14ac:dyDescent="0.25">
      <c r="A1887" t="s">
        <v>5811</v>
      </c>
      <c r="B1887" t="s">
        <v>3181</v>
      </c>
    </row>
    <row r="1888" spans="1:2" x14ac:dyDescent="0.25">
      <c r="A1888" t="s">
        <v>5812</v>
      </c>
      <c r="B1888" t="s">
        <v>3181</v>
      </c>
    </row>
    <row r="1889" spans="1:2" x14ac:dyDescent="0.25">
      <c r="A1889" t="s">
        <v>355</v>
      </c>
      <c r="B1889" t="s">
        <v>354</v>
      </c>
    </row>
    <row r="1890" spans="1:2" x14ac:dyDescent="0.25">
      <c r="A1890" t="s">
        <v>125</v>
      </c>
      <c r="B1890" t="s">
        <v>124</v>
      </c>
    </row>
    <row r="1891" spans="1:2" x14ac:dyDescent="0.25">
      <c r="A1891" t="s">
        <v>2849</v>
      </c>
      <c r="B1891" t="s">
        <v>2848</v>
      </c>
    </row>
    <row r="1892" spans="1:2" x14ac:dyDescent="0.25">
      <c r="A1892" t="s">
        <v>2853</v>
      </c>
      <c r="B1892" t="s">
        <v>2852</v>
      </c>
    </row>
    <row r="1893" spans="1:2" x14ac:dyDescent="0.25">
      <c r="A1893" t="s">
        <v>5813</v>
      </c>
      <c r="B1893" t="s">
        <v>1959</v>
      </c>
    </row>
    <row r="1894" spans="1:2" x14ac:dyDescent="0.25">
      <c r="A1894" t="s">
        <v>1146</v>
      </c>
      <c r="B1894" t="s">
        <v>1145</v>
      </c>
    </row>
    <row r="1895" spans="1:2" x14ac:dyDescent="0.25">
      <c r="A1895" t="s">
        <v>1721</v>
      </c>
      <c r="B1895" t="s">
        <v>1720</v>
      </c>
    </row>
    <row r="1896" spans="1:2" x14ac:dyDescent="0.25">
      <c r="A1896" t="s">
        <v>136</v>
      </c>
      <c r="B1896" t="s">
        <v>135</v>
      </c>
    </row>
    <row r="1897" spans="1:2" x14ac:dyDescent="0.25">
      <c r="A1897" t="s">
        <v>1143</v>
      </c>
      <c r="B1897" t="s">
        <v>1142</v>
      </c>
    </row>
    <row r="1898" spans="1:2" x14ac:dyDescent="0.25">
      <c r="A1898" t="s">
        <v>2855</v>
      </c>
      <c r="B1898" t="s">
        <v>2854</v>
      </c>
    </row>
    <row r="1899" spans="1:2" x14ac:dyDescent="0.25">
      <c r="A1899" t="s">
        <v>1515</v>
      </c>
      <c r="B1899" t="s">
        <v>1514</v>
      </c>
    </row>
    <row r="1900" spans="1:2" x14ac:dyDescent="0.25">
      <c r="A1900" t="s">
        <v>1140</v>
      </c>
      <c r="B1900" t="s">
        <v>1139</v>
      </c>
    </row>
    <row r="1901" spans="1:2" x14ac:dyDescent="0.25">
      <c r="A1901" t="s">
        <v>5814</v>
      </c>
      <c r="B1901" t="s">
        <v>690</v>
      </c>
    </row>
    <row r="1902" spans="1:2" x14ac:dyDescent="0.25">
      <c r="A1902" t="s">
        <v>1057</v>
      </c>
      <c r="B1902" t="s">
        <v>1056</v>
      </c>
    </row>
    <row r="1903" spans="1:2" x14ac:dyDescent="0.25">
      <c r="A1903" t="s">
        <v>357</v>
      </c>
      <c r="B1903" t="s">
        <v>356</v>
      </c>
    </row>
    <row r="1904" spans="1:2" x14ac:dyDescent="0.25">
      <c r="A1904" t="s">
        <v>5815</v>
      </c>
      <c r="B1904" t="s">
        <v>2261</v>
      </c>
    </row>
    <row r="1905" spans="1:2" x14ac:dyDescent="0.25">
      <c r="A1905" t="s">
        <v>813</v>
      </c>
      <c r="B1905" t="s">
        <v>812</v>
      </c>
    </row>
    <row r="1906" spans="1:2" x14ac:dyDescent="0.25">
      <c r="A1906" t="s">
        <v>5816</v>
      </c>
      <c r="B1906" t="s">
        <v>806</v>
      </c>
    </row>
    <row r="1907" spans="1:2" x14ac:dyDescent="0.25">
      <c r="A1907" t="s">
        <v>361</v>
      </c>
      <c r="B1907" t="s">
        <v>360</v>
      </c>
    </row>
    <row r="1908" spans="1:2" x14ac:dyDescent="0.25">
      <c r="A1908" t="s">
        <v>5817</v>
      </c>
      <c r="B1908" t="s">
        <v>1614</v>
      </c>
    </row>
    <row r="1909" spans="1:2" x14ac:dyDescent="0.25">
      <c r="A1909" t="s">
        <v>5818</v>
      </c>
      <c r="B1909" t="s">
        <v>727</v>
      </c>
    </row>
    <row r="1910" spans="1:2" x14ac:dyDescent="0.25">
      <c r="A1910" t="s">
        <v>302</v>
      </c>
      <c r="B1910" t="s">
        <v>301</v>
      </c>
    </row>
    <row r="1911" spans="1:2" x14ac:dyDescent="0.25">
      <c r="A1911" t="s">
        <v>5819</v>
      </c>
      <c r="B1911" t="s">
        <v>180</v>
      </c>
    </row>
    <row r="1912" spans="1:2" x14ac:dyDescent="0.25">
      <c r="A1912" t="s">
        <v>375</v>
      </c>
      <c r="B1912" t="s">
        <v>374</v>
      </c>
    </row>
    <row r="1913" spans="1:2" x14ac:dyDescent="0.25">
      <c r="A1913" t="s">
        <v>5820</v>
      </c>
      <c r="B1913" t="s">
        <v>303</v>
      </c>
    </row>
    <row r="1914" spans="1:2" x14ac:dyDescent="0.25">
      <c r="A1914" t="s">
        <v>5821</v>
      </c>
      <c r="B1914" t="s">
        <v>1157</v>
      </c>
    </row>
    <row r="1915" spans="1:2" x14ac:dyDescent="0.25">
      <c r="A1915" t="s">
        <v>274</v>
      </c>
      <c r="B1915" t="s">
        <v>273</v>
      </c>
    </row>
    <row r="1916" spans="1:2" x14ac:dyDescent="0.25">
      <c r="A1916" t="s">
        <v>888</v>
      </c>
      <c r="B1916" t="s">
        <v>887</v>
      </c>
    </row>
    <row r="1917" spans="1:2" x14ac:dyDescent="0.25">
      <c r="A1917" t="s">
        <v>5822</v>
      </c>
      <c r="B1917" t="s">
        <v>2351</v>
      </c>
    </row>
    <row r="1918" spans="1:2" x14ac:dyDescent="0.25">
      <c r="A1918" t="s">
        <v>1956</v>
      </c>
      <c r="B1918" t="s">
        <v>1955</v>
      </c>
    </row>
    <row r="1919" spans="1:2" x14ac:dyDescent="0.25">
      <c r="A1919" t="s">
        <v>5823</v>
      </c>
      <c r="B1919" t="s">
        <v>3131</v>
      </c>
    </row>
    <row r="1920" spans="1:2" x14ac:dyDescent="0.25">
      <c r="A1920" t="s">
        <v>1927</v>
      </c>
      <c r="B1920" t="s">
        <v>1926</v>
      </c>
    </row>
    <row r="1921" spans="1:2" x14ac:dyDescent="0.25">
      <c r="A1921" t="s">
        <v>5824</v>
      </c>
      <c r="B1921" t="s">
        <v>180</v>
      </c>
    </row>
    <row r="1922" spans="1:2" x14ac:dyDescent="0.25">
      <c r="A1922" t="s">
        <v>5825</v>
      </c>
      <c r="B1922" t="s">
        <v>1814</v>
      </c>
    </row>
    <row r="1923" spans="1:2" x14ac:dyDescent="0.25">
      <c r="A1923" t="s">
        <v>1685</v>
      </c>
      <c r="B1923" t="s">
        <v>1684</v>
      </c>
    </row>
    <row r="1924" spans="1:2" x14ac:dyDescent="0.25">
      <c r="A1924" t="s">
        <v>381</v>
      </c>
      <c r="B1924" t="s">
        <v>380</v>
      </c>
    </row>
    <row r="1925" spans="1:2" x14ac:dyDescent="0.25">
      <c r="A1925" t="s">
        <v>351</v>
      </c>
      <c r="B1925" t="s">
        <v>350</v>
      </c>
    </row>
    <row r="1926" spans="1:2" x14ac:dyDescent="0.25">
      <c r="A1926" t="s">
        <v>1979</v>
      </c>
      <c r="B1926" t="s">
        <v>1978</v>
      </c>
    </row>
    <row r="1927" spans="1:2" x14ac:dyDescent="0.25">
      <c r="A1927" t="s">
        <v>5826</v>
      </c>
      <c r="B1927" t="s">
        <v>1696</v>
      </c>
    </row>
    <row r="1928" spans="1:2" x14ac:dyDescent="0.25">
      <c r="A1928" t="s">
        <v>5827</v>
      </c>
      <c r="B1928" t="s">
        <v>3125</v>
      </c>
    </row>
    <row r="1929" spans="1:2" x14ac:dyDescent="0.25">
      <c r="A1929" t="s">
        <v>804</v>
      </c>
      <c r="B1929" t="s">
        <v>803</v>
      </c>
    </row>
    <row r="1930" spans="1:2" x14ac:dyDescent="0.25">
      <c r="A1930" t="s">
        <v>1103</v>
      </c>
      <c r="B1930" t="s">
        <v>1102</v>
      </c>
    </row>
    <row r="1931" spans="1:2" x14ac:dyDescent="0.25">
      <c r="A1931" t="s">
        <v>2931</v>
      </c>
      <c r="B1931" t="s">
        <v>2930</v>
      </c>
    </row>
    <row r="1932" spans="1:2" x14ac:dyDescent="0.25">
      <c r="A1932" t="s">
        <v>1031</v>
      </c>
      <c r="B1932" t="s">
        <v>1030</v>
      </c>
    </row>
    <row r="1933" spans="1:2" x14ac:dyDescent="0.25">
      <c r="A1933" t="s">
        <v>5828</v>
      </c>
      <c r="B1933" t="s">
        <v>323</v>
      </c>
    </row>
    <row r="1934" spans="1:2" x14ac:dyDescent="0.25">
      <c r="A1934" t="s">
        <v>1002</v>
      </c>
      <c r="B1934" t="s">
        <v>1001</v>
      </c>
    </row>
    <row r="1935" spans="1:2" x14ac:dyDescent="0.25">
      <c r="A1935" t="s">
        <v>1174</v>
      </c>
      <c r="B1935" t="s">
        <v>1173</v>
      </c>
    </row>
    <row r="1936" spans="1:2" x14ac:dyDescent="0.25">
      <c r="A1936" t="s">
        <v>2767</v>
      </c>
      <c r="B1936" t="s">
        <v>2766</v>
      </c>
    </row>
    <row r="1937" spans="1:2" x14ac:dyDescent="0.25">
      <c r="A1937" t="s">
        <v>341</v>
      </c>
      <c r="B1937" t="s">
        <v>340</v>
      </c>
    </row>
    <row r="1938" spans="1:2" x14ac:dyDescent="0.25">
      <c r="A1938" t="s">
        <v>1935</v>
      </c>
      <c r="B1938" t="s">
        <v>1934</v>
      </c>
    </row>
    <row r="1939" spans="1:2" x14ac:dyDescent="0.25">
      <c r="A1939" t="s">
        <v>177</v>
      </c>
      <c r="B1939" t="s">
        <v>176</v>
      </c>
    </row>
    <row r="1940" spans="1:2" x14ac:dyDescent="0.25">
      <c r="A1940" t="s">
        <v>5829</v>
      </c>
      <c r="B1940" t="s">
        <v>2758</v>
      </c>
    </row>
    <row r="1941" spans="1:2" x14ac:dyDescent="0.25">
      <c r="A1941" t="s">
        <v>299</v>
      </c>
      <c r="B1941" t="s">
        <v>299</v>
      </c>
    </row>
    <row r="1942" spans="1:2" x14ac:dyDescent="0.25">
      <c r="A1942" t="s">
        <v>5830</v>
      </c>
      <c r="B1942" t="s">
        <v>299</v>
      </c>
    </row>
    <row r="1943" spans="1:2" x14ac:dyDescent="0.25">
      <c r="A1943" t="s">
        <v>5831</v>
      </c>
      <c r="B1943" t="s">
        <v>299</v>
      </c>
    </row>
    <row r="1944" spans="1:2" x14ac:dyDescent="0.25">
      <c r="A1944" t="s">
        <v>5832</v>
      </c>
      <c r="B1944" t="s">
        <v>299</v>
      </c>
    </row>
    <row r="1945" spans="1:2" x14ac:dyDescent="0.25">
      <c r="A1945" t="s">
        <v>5833</v>
      </c>
      <c r="B1945" t="s">
        <v>299</v>
      </c>
    </row>
    <row r="1946" spans="1:2" x14ac:dyDescent="0.25">
      <c r="A1946" t="s">
        <v>5834</v>
      </c>
      <c r="B1946" t="s">
        <v>5835</v>
      </c>
    </row>
    <row r="1947" spans="1:2" x14ac:dyDescent="0.25">
      <c r="A1947" t="s">
        <v>5836</v>
      </c>
      <c r="B1947" t="s">
        <v>5837</v>
      </c>
    </row>
    <row r="1948" spans="1:2" x14ac:dyDescent="0.25">
      <c r="A1948" t="s">
        <v>5838</v>
      </c>
      <c r="B1948" t="s">
        <v>299</v>
      </c>
    </row>
    <row r="1949" spans="1:2" x14ac:dyDescent="0.25">
      <c r="A1949" t="s">
        <v>376</v>
      </c>
      <c r="B1949" t="s">
        <v>376</v>
      </c>
    </row>
    <row r="1950" spans="1:2" x14ac:dyDescent="0.25">
      <c r="A1950" t="s">
        <v>5839</v>
      </c>
      <c r="B1950" t="s">
        <v>376</v>
      </c>
    </row>
    <row r="1951" spans="1:2" x14ac:dyDescent="0.25">
      <c r="A1951" t="s">
        <v>5840</v>
      </c>
      <c r="B1951" t="s">
        <v>376</v>
      </c>
    </row>
    <row r="1952" spans="1:2" x14ac:dyDescent="0.25">
      <c r="A1952" t="s">
        <v>5841</v>
      </c>
      <c r="B1952" t="s">
        <v>905</v>
      </c>
    </row>
    <row r="1953" spans="1:2" x14ac:dyDescent="0.25">
      <c r="A1953" t="s">
        <v>5842</v>
      </c>
      <c r="B1953" t="s">
        <v>3258</v>
      </c>
    </row>
    <row r="1954" spans="1:2" x14ac:dyDescent="0.25">
      <c r="A1954" t="s">
        <v>1118</v>
      </c>
      <c r="B1954" t="s">
        <v>1117</v>
      </c>
    </row>
    <row r="1955" spans="1:2" x14ac:dyDescent="0.25">
      <c r="A1955" t="s">
        <v>5843</v>
      </c>
      <c r="B1955" t="s">
        <v>3251</v>
      </c>
    </row>
    <row r="1956" spans="1:2" x14ac:dyDescent="0.25">
      <c r="A1956" t="s">
        <v>5844</v>
      </c>
      <c r="B1956" t="s">
        <v>910</v>
      </c>
    </row>
    <row r="1957" spans="1:2" x14ac:dyDescent="0.25">
      <c r="A1957" t="s">
        <v>5845</v>
      </c>
      <c r="B1957" t="s">
        <v>2311</v>
      </c>
    </row>
    <row r="1958" spans="1:2" x14ac:dyDescent="0.25">
      <c r="A1958" t="s">
        <v>5846</v>
      </c>
      <c r="B1958" t="s">
        <v>973</v>
      </c>
    </row>
    <row r="1959" spans="1:2" x14ac:dyDescent="0.25">
      <c r="A1959" t="s">
        <v>1158</v>
      </c>
      <c r="B1959" t="s">
        <v>1157</v>
      </c>
    </row>
    <row r="1960" spans="1:2" x14ac:dyDescent="0.25">
      <c r="A1960" t="s">
        <v>5847</v>
      </c>
      <c r="B1960" t="s">
        <v>2846</v>
      </c>
    </row>
    <row r="1961" spans="1:2" x14ac:dyDescent="0.25">
      <c r="A1961" t="s">
        <v>1965</v>
      </c>
      <c r="B1961" t="s">
        <v>1964</v>
      </c>
    </row>
    <row r="1962" spans="1:2" x14ac:dyDescent="0.25">
      <c r="A1962" t="s">
        <v>839</v>
      </c>
      <c r="B1962" t="s">
        <v>838</v>
      </c>
    </row>
    <row r="1963" spans="1:2" x14ac:dyDescent="0.25">
      <c r="A1963" t="s">
        <v>5848</v>
      </c>
      <c r="B1963" t="s">
        <v>995</v>
      </c>
    </row>
    <row r="1964" spans="1:2" x14ac:dyDescent="0.25">
      <c r="A1964" t="s">
        <v>5849</v>
      </c>
      <c r="B1964" t="s">
        <v>982</v>
      </c>
    </row>
    <row r="1965" spans="1:2" x14ac:dyDescent="0.25">
      <c r="A1965" t="s">
        <v>1191</v>
      </c>
      <c r="B1965" t="s">
        <v>1190</v>
      </c>
    </row>
    <row r="1966" spans="1:2" x14ac:dyDescent="0.25">
      <c r="A1966" t="s">
        <v>5850</v>
      </c>
      <c r="B1966" t="s">
        <v>3151</v>
      </c>
    </row>
    <row r="1967" spans="1:2" x14ac:dyDescent="0.25">
      <c r="A1967" t="s">
        <v>5851</v>
      </c>
      <c r="B1967" t="s">
        <v>2398</v>
      </c>
    </row>
    <row r="1968" spans="1:2" x14ac:dyDescent="0.25">
      <c r="A1968" t="s">
        <v>5852</v>
      </c>
      <c r="B1968" t="s">
        <v>964</v>
      </c>
    </row>
    <row r="1969" spans="1:2" x14ac:dyDescent="0.25">
      <c r="A1969" t="s">
        <v>5853</v>
      </c>
      <c r="B1969" t="s">
        <v>2346</v>
      </c>
    </row>
    <row r="1970" spans="1:2" x14ac:dyDescent="0.25">
      <c r="A1970" t="s">
        <v>1161</v>
      </c>
      <c r="B1970" t="s">
        <v>1160</v>
      </c>
    </row>
    <row r="1971" spans="1:2" x14ac:dyDescent="0.25">
      <c r="A1971" t="s">
        <v>5854</v>
      </c>
      <c r="B1971" t="s">
        <v>2347</v>
      </c>
    </row>
    <row r="1972" spans="1:2" x14ac:dyDescent="0.25">
      <c r="A1972" t="s">
        <v>1072</v>
      </c>
      <c r="B1972" t="s">
        <v>1071</v>
      </c>
    </row>
    <row r="1973" spans="1:2" x14ac:dyDescent="0.25">
      <c r="A1973" t="s">
        <v>5855</v>
      </c>
      <c r="B1973" t="s">
        <v>1187</v>
      </c>
    </row>
    <row r="1974" spans="1:2" x14ac:dyDescent="0.25">
      <c r="A1974" t="s">
        <v>5856</v>
      </c>
      <c r="B1974" t="s">
        <v>961</v>
      </c>
    </row>
    <row r="1975" spans="1:2" x14ac:dyDescent="0.25">
      <c r="A1975" t="s">
        <v>179</v>
      </c>
      <c r="B1975" t="s">
        <v>178</v>
      </c>
    </row>
    <row r="1976" spans="1:2" x14ac:dyDescent="0.25">
      <c r="A1976" t="s">
        <v>2833</v>
      </c>
      <c r="B1976" t="s">
        <v>2832</v>
      </c>
    </row>
    <row r="1977" spans="1:2" x14ac:dyDescent="0.25">
      <c r="A1977" t="s">
        <v>5857</v>
      </c>
      <c r="B1977" t="s">
        <v>2987</v>
      </c>
    </row>
    <row r="1978" spans="1:2" x14ac:dyDescent="0.25">
      <c r="A1978" t="s">
        <v>2970</v>
      </c>
      <c r="B1978" t="s">
        <v>2969</v>
      </c>
    </row>
    <row r="1979" spans="1:2" x14ac:dyDescent="0.25">
      <c r="A1979" t="s">
        <v>1994</v>
      </c>
      <c r="B1979" t="s">
        <v>1993</v>
      </c>
    </row>
    <row r="1980" spans="1:2" x14ac:dyDescent="0.25">
      <c r="A1980" t="s">
        <v>5858</v>
      </c>
      <c r="B1980" t="s">
        <v>5858</v>
      </c>
    </row>
    <row r="1981" spans="1:2" x14ac:dyDescent="0.25">
      <c r="A1981" t="s">
        <v>3388</v>
      </c>
      <c r="B1981" t="s">
        <v>3388</v>
      </c>
    </row>
    <row r="1982" spans="1:2" x14ac:dyDescent="0.25">
      <c r="A1982" t="s">
        <v>5859</v>
      </c>
      <c r="B1982" t="s">
        <v>5859</v>
      </c>
    </row>
    <row r="1983" spans="1:2" x14ac:dyDescent="0.25">
      <c r="A1983" t="s">
        <v>5860</v>
      </c>
      <c r="B1983" t="s">
        <v>5859</v>
      </c>
    </row>
    <row r="1984" spans="1:2" x14ac:dyDescent="0.25">
      <c r="A1984" t="s">
        <v>3054</v>
      </c>
      <c r="B1984" t="s">
        <v>3054</v>
      </c>
    </row>
    <row r="1985" spans="1:2" x14ac:dyDescent="0.25">
      <c r="A1985" t="s">
        <v>5861</v>
      </c>
      <c r="B1985" t="s">
        <v>3054</v>
      </c>
    </row>
    <row r="1986" spans="1:2" x14ac:dyDescent="0.25">
      <c r="A1986" t="s">
        <v>5862</v>
      </c>
      <c r="B1986" t="s">
        <v>5862</v>
      </c>
    </row>
    <row r="1987" spans="1:2" x14ac:dyDescent="0.25">
      <c r="A1987" t="s">
        <v>5863</v>
      </c>
      <c r="B1987" t="s">
        <v>5862</v>
      </c>
    </row>
    <row r="1988" spans="1:2" x14ac:dyDescent="0.25">
      <c r="A1988" t="s">
        <v>5864</v>
      </c>
      <c r="B1988" t="s">
        <v>5864</v>
      </c>
    </row>
    <row r="1989" spans="1:2" x14ac:dyDescent="0.25">
      <c r="A1989" t="s">
        <v>3062</v>
      </c>
      <c r="B1989" t="s">
        <v>3062</v>
      </c>
    </row>
    <row r="1990" spans="1:2" x14ac:dyDescent="0.25">
      <c r="A1990" t="s">
        <v>5865</v>
      </c>
      <c r="B1990" t="s">
        <v>3062</v>
      </c>
    </row>
    <row r="1991" spans="1:2" x14ac:dyDescent="0.25">
      <c r="A1991" t="s">
        <v>5866</v>
      </c>
      <c r="B1991" t="s">
        <v>2445</v>
      </c>
    </row>
    <row r="1992" spans="1:2" x14ac:dyDescent="0.25">
      <c r="A1992" t="s">
        <v>5867</v>
      </c>
      <c r="B1992" t="s">
        <v>3912</v>
      </c>
    </row>
    <row r="1993" spans="1:2" x14ac:dyDescent="0.25">
      <c r="A1993" t="s">
        <v>5868</v>
      </c>
      <c r="B1993" t="s">
        <v>5868</v>
      </c>
    </row>
    <row r="1994" spans="1:2" x14ac:dyDescent="0.25">
      <c r="A1994" t="s">
        <v>74</v>
      </c>
      <c r="B1994" t="s">
        <v>74</v>
      </c>
    </row>
    <row r="1995" spans="1:2" x14ac:dyDescent="0.25">
      <c r="A1995" t="s">
        <v>5869</v>
      </c>
      <c r="B1995" t="s">
        <v>74</v>
      </c>
    </row>
    <row r="1996" spans="1:2" x14ac:dyDescent="0.25">
      <c r="A1996" t="s">
        <v>5870</v>
      </c>
      <c r="B1996" t="s">
        <v>74</v>
      </c>
    </row>
    <row r="1997" spans="1:2" x14ac:dyDescent="0.25">
      <c r="A1997" t="s">
        <v>5871</v>
      </c>
      <c r="B1997" t="s">
        <v>5872</v>
      </c>
    </row>
    <row r="1998" spans="1:2" x14ac:dyDescent="0.25">
      <c r="A1998" t="s">
        <v>5873</v>
      </c>
      <c r="B1998" t="s">
        <v>74</v>
      </c>
    </row>
    <row r="1999" spans="1:2" x14ac:dyDescent="0.25">
      <c r="A1999" t="s">
        <v>5874</v>
      </c>
      <c r="B1999" t="s">
        <v>5209</v>
      </c>
    </row>
    <row r="2000" spans="1:2" x14ac:dyDescent="0.25">
      <c r="A2000" t="s">
        <v>5875</v>
      </c>
      <c r="B2000" t="s">
        <v>74</v>
      </c>
    </row>
    <row r="2001" spans="1:2" x14ac:dyDescent="0.25">
      <c r="A2001" t="s">
        <v>5876</v>
      </c>
      <c r="B2001" t="s">
        <v>5209</v>
      </c>
    </row>
    <row r="2002" spans="1:2" x14ac:dyDescent="0.25">
      <c r="A2002" t="s">
        <v>2953</v>
      </c>
      <c r="B2002" t="s">
        <v>2953</v>
      </c>
    </row>
    <row r="2003" spans="1:2" x14ac:dyDescent="0.25">
      <c r="A2003" t="s">
        <v>5877</v>
      </c>
      <c r="B2003" t="s">
        <v>2953</v>
      </c>
    </row>
    <row r="2004" spans="1:2" x14ac:dyDescent="0.25">
      <c r="A2004" t="s">
        <v>2955</v>
      </c>
      <c r="B2004" t="s">
        <v>2955</v>
      </c>
    </row>
    <row r="2005" spans="1:2" x14ac:dyDescent="0.25">
      <c r="A2005" t="s">
        <v>5878</v>
      </c>
      <c r="B2005" t="s">
        <v>2955</v>
      </c>
    </row>
    <row r="2006" spans="1:2" x14ac:dyDescent="0.25">
      <c r="A2006" t="s">
        <v>1904</v>
      </c>
      <c r="B2006" t="s">
        <v>1904</v>
      </c>
    </row>
    <row r="2007" spans="1:2" x14ac:dyDescent="0.25">
      <c r="A2007" t="s">
        <v>5879</v>
      </c>
      <c r="B2007" t="s">
        <v>1904</v>
      </c>
    </row>
    <row r="2008" spans="1:2" x14ac:dyDescent="0.25">
      <c r="A2008" t="s">
        <v>2957</v>
      </c>
      <c r="B2008" t="s">
        <v>2957</v>
      </c>
    </row>
    <row r="2009" spans="1:2" x14ac:dyDescent="0.25">
      <c r="A2009" t="s">
        <v>5880</v>
      </c>
      <c r="B2009" t="s">
        <v>2957</v>
      </c>
    </row>
    <row r="2010" spans="1:2" x14ac:dyDescent="0.25">
      <c r="A2010" t="s">
        <v>2409</v>
      </c>
      <c r="B2010" t="s">
        <v>2409</v>
      </c>
    </row>
    <row r="2011" spans="1:2" x14ac:dyDescent="0.25">
      <c r="A2011" t="s">
        <v>5881</v>
      </c>
      <c r="B2011" t="s">
        <v>2409</v>
      </c>
    </row>
    <row r="2012" spans="1:2" x14ac:dyDescent="0.25">
      <c r="A2012" t="s">
        <v>3063</v>
      </c>
      <c r="B2012" t="s">
        <v>3063</v>
      </c>
    </row>
    <row r="2013" spans="1:2" x14ac:dyDescent="0.25">
      <c r="A2013" t="s">
        <v>5882</v>
      </c>
      <c r="B2013" t="s">
        <v>3063</v>
      </c>
    </row>
    <row r="2014" spans="1:2" x14ac:dyDescent="0.25">
      <c r="A2014" t="s">
        <v>3064</v>
      </c>
      <c r="B2014" t="s">
        <v>3064</v>
      </c>
    </row>
    <row r="2015" spans="1:2" x14ac:dyDescent="0.25">
      <c r="A2015" t="s">
        <v>5883</v>
      </c>
      <c r="B2015" t="s">
        <v>3064</v>
      </c>
    </row>
    <row r="2016" spans="1:2" x14ac:dyDescent="0.25">
      <c r="A2016" t="s">
        <v>2959</v>
      </c>
      <c r="B2016" t="s">
        <v>2959</v>
      </c>
    </row>
    <row r="2017" spans="1:2" x14ac:dyDescent="0.25">
      <c r="A2017" t="s">
        <v>5884</v>
      </c>
      <c r="B2017" t="s">
        <v>2959</v>
      </c>
    </row>
    <row r="2018" spans="1:2" x14ac:dyDescent="0.25">
      <c r="A2018" t="s">
        <v>2410</v>
      </c>
      <c r="B2018" t="s">
        <v>2410</v>
      </c>
    </row>
    <row r="2019" spans="1:2" x14ac:dyDescent="0.25">
      <c r="A2019" t="s">
        <v>5885</v>
      </c>
      <c r="B2019" t="s">
        <v>2410</v>
      </c>
    </row>
    <row r="2020" spans="1:2" x14ac:dyDescent="0.25">
      <c r="A2020" t="s">
        <v>1909</v>
      </c>
      <c r="B2020" t="s">
        <v>1909</v>
      </c>
    </row>
    <row r="2021" spans="1:2" x14ac:dyDescent="0.25">
      <c r="A2021" t="s">
        <v>2411</v>
      </c>
      <c r="B2021" t="s">
        <v>2411</v>
      </c>
    </row>
    <row r="2022" spans="1:2" x14ac:dyDescent="0.25">
      <c r="A2022" t="s">
        <v>1911</v>
      </c>
      <c r="B2022" t="s">
        <v>1911</v>
      </c>
    </row>
    <row r="2023" spans="1:2" x14ac:dyDescent="0.25">
      <c r="A2023" t="s">
        <v>1913</v>
      </c>
      <c r="B2023" t="s">
        <v>1913</v>
      </c>
    </row>
    <row r="2024" spans="1:2" x14ac:dyDescent="0.25">
      <c r="A2024" t="s">
        <v>706</v>
      </c>
      <c r="B2024" t="s">
        <v>706</v>
      </c>
    </row>
    <row r="2025" spans="1:2" x14ac:dyDescent="0.25">
      <c r="A2025" t="s">
        <v>5886</v>
      </c>
      <c r="B2025" t="s">
        <v>706</v>
      </c>
    </row>
    <row r="2026" spans="1:2" x14ac:dyDescent="0.25">
      <c r="A2026" t="s">
        <v>709</v>
      </c>
      <c r="B2026" t="s">
        <v>709</v>
      </c>
    </row>
    <row r="2027" spans="1:2" x14ac:dyDescent="0.25">
      <c r="A2027" t="s">
        <v>5887</v>
      </c>
      <c r="B2027" t="s">
        <v>709</v>
      </c>
    </row>
    <row r="2028" spans="1:2" x14ac:dyDescent="0.25">
      <c r="A2028" t="s">
        <v>704</v>
      </c>
      <c r="B2028" t="s">
        <v>704</v>
      </c>
    </row>
    <row r="2029" spans="1:2" x14ac:dyDescent="0.25">
      <c r="A2029" t="s">
        <v>5888</v>
      </c>
      <c r="B2029" t="s">
        <v>704</v>
      </c>
    </row>
    <row r="2030" spans="1:2" x14ac:dyDescent="0.25">
      <c r="A2030" t="s">
        <v>372</v>
      </c>
      <c r="B2030" t="s">
        <v>372</v>
      </c>
    </row>
    <row r="2031" spans="1:2" x14ac:dyDescent="0.25">
      <c r="A2031" t="s">
        <v>5889</v>
      </c>
      <c r="B2031" t="s">
        <v>372</v>
      </c>
    </row>
    <row r="2032" spans="1:2" x14ac:dyDescent="0.25">
      <c r="A2032" t="s">
        <v>370</v>
      </c>
      <c r="B2032" t="s">
        <v>370</v>
      </c>
    </row>
    <row r="2033" spans="1:2" x14ac:dyDescent="0.25">
      <c r="A2033" t="s">
        <v>5890</v>
      </c>
      <c r="B2033" t="s">
        <v>370</v>
      </c>
    </row>
    <row r="2034" spans="1:2" x14ac:dyDescent="0.25">
      <c r="A2034" t="s">
        <v>708</v>
      </c>
      <c r="B2034" t="s">
        <v>708</v>
      </c>
    </row>
    <row r="2035" spans="1:2" x14ac:dyDescent="0.25">
      <c r="A2035" t="s">
        <v>5891</v>
      </c>
      <c r="B2035" t="s">
        <v>708</v>
      </c>
    </row>
    <row r="2036" spans="1:2" x14ac:dyDescent="0.25">
      <c r="A2036" t="s">
        <v>366</v>
      </c>
      <c r="B2036" t="s">
        <v>366</v>
      </c>
    </row>
    <row r="2037" spans="1:2" x14ac:dyDescent="0.25">
      <c r="A2037" t="s">
        <v>5892</v>
      </c>
      <c r="B2037" t="s">
        <v>366</v>
      </c>
    </row>
    <row r="2038" spans="1:2" x14ac:dyDescent="0.25">
      <c r="A2038" t="s">
        <v>368</v>
      </c>
      <c r="B2038" t="s">
        <v>368</v>
      </c>
    </row>
    <row r="2039" spans="1:2" x14ac:dyDescent="0.25">
      <c r="A2039" t="s">
        <v>5893</v>
      </c>
      <c r="B2039" t="s">
        <v>368</v>
      </c>
    </row>
    <row r="2040" spans="1:2" x14ac:dyDescent="0.25">
      <c r="A2040" t="s">
        <v>707</v>
      </c>
      <c r="B2040" t="s">
        <v>707</v>
      </c>
    </row>
    <row r="2041" spans="1:2" x14ac:dyDescent="0.25">
      <c r="A2041" t="s">
        <v>5894</v>
      </c>
      <c r="B2041" t="s">
        <v>707</v>
      </c>
    </row>
    <row r="2042" spans="1:2" x14ac:dyDescent="0.25">
      <c r="A2042" t="s">
        <v>5895</v>
      </c>
      <c r="B2042" t="s">
        <v>5896</v>
      </c>
    </row>
    <row r="2043" spans="1:2" x14ac:dyDescent="0.25">
      <c r="A2043" t="s">
        <v>5897</v>
      </c>
      <c r="B2043" t="s">
        <v>5898</v>
      </c>
    </row>
    <row r="2044" spans="1:2" x14ac:dyDescent="0.25">
      <c r="A2044" t="s">
        <v>5899</v>
      </c>
      <c r="B2044" t="s">
        <v>5900</v>
      </c>
    </row>
    <row r="2045" spans="1:2" x14ac:dyDescent="0.25">
      <c r="A2045" t="s">
        <v>76</v>
      </c>
      <c r="B2045" t="s">
        <v>76</v>
      </c>
    </row>
    <row r="2046" spans="1:2" x14ac:dyDescent="0.25">
      <c r="A2046" t="s">
        <v>5901</v>
      </c>
      <c r="B2046" t="s">
        <v>76</v>
      </c>
    </row>
    <row r="2047" spans="1:2" x14ac:dyDescent="0.25">
      <c r="A2047" t="s">
        <v>5902</v>
      </c>
      <c r="B2047" t="s">
        <v>76</v>
      </c>
    </row>
    <row r="2048" spans="1:2" x14ac:dyDescent="0.25">
      <c r="A2048" t="s">
        <v>5903</v>
      </c>
      <c r="B2048" t="s">
        <v>76</v>
      </c>
    </row>
    <row r="2049" spans="1:2" x14ac:dyDescent="0.25">
      <c r="A2049" t="s">
        <v>5904</v>
      </c>
      <c r="B2049" t="s">
        <v>76</v>
      </c>
    </row>
    <row r="2050" spans="1:2" x14ac:dyDescent="0.25">
      <c r="A2050" t="s">
        <v>5905</v>
      </c>
      <c r="B2050" t="s">
        <v>5209</v>
      </c>
    </row>
    <row r="2051" spans="1:2" x14ac:dyDescent="0.25">
      <c r="A2051" t="s">
        <v>5906</v>
      </c>
      <c r="B2051" t="s">
        <v>76</v>
      </c>
    </row>
    <row r="2052" spans="1:2" x14ac:dyDescent="0.25">
      <c r="A2052" t="s">
        <v>1496</v>
      </c>
      <c r="B2052" t="s">
        <v>1496</v>
      </c>
    </row>
    <row r="2053" spans="1:2" x14ac:dyDescent="0.25">
      <c r="A2053" t="s">
        <v>5907</v>
      </c>
      <c r="B2053" t="s">
        <v>1496</v>
      </c>
    </row>
    <row r="2054" spans="1:2" x14ac:dyDescent="0.25">
      <c r="A2054" t="s">
        <v>5908</v>
      </c>
      <c r="B2054" t="s">
        <v>1496</v>
      </c>
    </row>
    <row r="2055" spans="1:2" x14ac:dyDescent="0.25">
      <c r="A2055" t="s">
        <v>5909</v>
      </c>
      <c r="B2055" t="s">
        <v>1496</v>
      </c>
    </row>
    <row r="2056" spans="1:2" x14ac:dyDescent="0.25">
      <c r="A2056" t="s">
        <v>3065</v>
      </c>
      <c r="B2056" t="s">
        <v>3065</v>
      </c>
    </row>
    <row r="2057" spans="1:2" x14ac:dyDescent="0.25">
      <c r="A2057" t="s">
        <v>5910</v>
      </c>
      <c r="B2057" t="s">
        <v>3065</v>
      </c>
    </row>
    <row r="2058" spans="1:2" x14ac:dyDescent="0.25">
      <c r="A2058" t="s">
        <v>78</v>
      </c>
      <c r="B2058" t="s">
        <v>78</v>
      </c>
    </row>
    <row r="2059" spans="1:2" x14ac:dyDescent="0.25">
      <c r="A2059" t="s">
        <v>5911</v>
      </c>
      <c r="B2059" t="s">
        <v>78</v>
      </c>
    </row>
    <row r="2060" spans="1:2" x14ac:dyDescent="0.25">
      <c r="A2060" t="s">
        <v>5912</v>
      </c>
      <c r="B2060" t="s">
        <v>78</v>
      </c>
    </row>
    <row r="2061" spans="1:2" x14ac:dyDescent="0.25">
      <c r="A2061" t="s">
        <v>5913</v>
      </c>
      <c r="B2061" t="s">
        <v>78</v>
      </c>
    </row>
    <row r="2062" spans="1:2" x14ac:dyDescent="0.25">
      <c r="A2062" t="s">
        <v>5914</v>
      </c>
      <c r="B2062" t="s">
        <v>5914</v>
      </c>
    </row>
    <row r="2063" spans="1:2" x14ac:dyDescent="0.25">
      <c r="A2063" t="s">
        <v>5915</v>
      </c>
      <c r="B2063" t="s">
        <v>78</v>
      </c>
    </row>
    <row r="2064" spans="1:2" x14ac:dyDescent="0.25">
      <c r="A2064" t="s">
        <v>5916</v>
      </c>
      <c r="B2064" t="s">
        <v>5917</v>
      </c>
    </row>
    <row r="2065" spans="1:2" x14ac:dyDescent="0.25">
      <c r="A2065" t="s">
        <v>1198</v>
      </c>
      <c r="B2065" t="s">
        <v>1197</v>
      </c>
    </row>
    <row r="2066" spans="1:2" x14ac:dyDescent="0.25">
      <c r="A2066" t="s">
        <v>1094</v>
      </c>
      <c r="B2066" t="s">
        <v>1093</v>
      </c>
    </row>
    <row r="2067" spans="1:2" x14ac:dyDescent="0.25">
      <c r="A2067" t="s">
        <v>1929</v>
      </c>
      <c r="B2067" t="s">
        <v>1928</v>
      </c>
    </row>
    <row r="2068" spans="1:2" x14ac:dyDescent="0.25">
      <c r="A2068" t="s">
        <v>5918</v>
      </c>
      <c r="B2068" t="s">
        <v>3065</v>
      </c>
    </row>
    <row r="2069" spans="1:2" x14ac:dyDescent="0.25">
      <c r="A2069" t="s">
        <v>2984</v>
      </c>
      <c r="B2069" t="s">
        <v>2983</v>
      </c>
    </row>
    <row r="2070" spans="1:2" x14ac:dyDescent="0.25">
      <c r="A2070" t="s">
        <v>1925</v>
      </c>
      <c r="B2070" t="s">
        <v>1924</v>
      </c>
    </row>
    <row r="2071" spans="1:2" x14ac:dyDescent="0.25">
      <c r="A2071" t="s">
        <v>2813</v>
      </c>
      <c r="B2071" t="s">
        <v>2812</v>
      </c>
    </row>
    <row r="2072" spans="1:2" x14ac:dyDescent="0.25">
      <c r="A2072" t="s">
        <v>1497</v>
      </c>
      <c r="B2072" t="s">
        <v>1496</v>
      </c>
    </row>
    <row r="2073" spans="1:2" x14ac:dyDescent="0.25">
      <c r="A2073" t="s">
        <v>77</v>
      </c>
      <c r="B2073" t="s">
        <v>76</v>
      </c>
    </row>
    <row r="2074" spans="1:2" x14ac:dyDescent="0.25">
      <c r="A2074" t="s">
        <v>5919</v>
      </c>
      <c r="B2074" t="s">
        <v>1645</v>
      </c>
    </row>
    <row r="2075" spans="1:2" x14ac:dyDescent="0.25">
      <c r="A2075" t="s">
        <v>5920</v>
      </c>
      <c r="B2075" t="s">
        <v>2371</v>
      </c>
    </row>
    <row r="2076" spans="1:2" x14ac:dyDescent="0.25">
      <c r="A2076" t="s">
        <v>5921</v>
      </c>
      <c r="B2076" t="s">
        <v>2370</v>
      </c>
    </row>
    <row r="2077" spans="1:2" x14ac:dyDescent="0.25">
      <c r="A2077" t="s">
        <v>2893</v>
      </c>
      <c r="B2077" t="s">
        <v>2892</v>
      </c>
    </row>
    <row r="2078" spans="1:2" x14ac:dyDescent="0.25">
      <c r="A2078" t="s">
        <v>2889</v>
      </c>
      <c r="B2078" t="s">
        <v>2888</v>
      </c>
    </row>
    <row r="2079" spans="1:2" x14ac:dyDescent="0.25">
      <c r="A2079" t="s">
        <v>2891</v>
      </c>
      <c r="B2079" t="s">
        <v>2890</v>
      </c>
    </row>
    <row r="2080" spans="1:2" x14ac:dyDescent="0.25">
      <c r="A2080" t="s">
        <v>5922</v>
      </c>
      <c r="B2080" t="s">
        <v>1818</v>
      </c>
    </row>
    <row r="2081" spans="1:2" x14ac:dyDescent="0.25">
      <c r="A2081" t="s">
        <v>5923</v>
      </c>
      <c r="B2081" t="s">
        <v>167</v>
      </c>
    </row>
    <row r="2082" spans="1:2" x14ac:dyDescent="0.25">
      <c r="A2082" t="s">
        <v>5924</v>
      </c>
      <c r="B2082" t="s">
        <v>169</v>
      </c>
    </row>
    <row r="2083" spans="1:2" x14ac:dyDescent="0.25">
      <c r="A2083" t="s">
        <v>1075</v>
      </c>
      <c r="B2083" t="s">
        <v>1074</v>
      </c>
    </row>
    <row r="2084" spans="1:2" x14ac:dyDescent="0.25">
      <c r="A2084" t="s">
        <v>5925</v>
      </c>
      <c r="B2084" t="s">
        <v>137</v>
      </c>
    </row>
    <row r="2085" spans="1:2" x14ac:dyDescent="0.25">
      <c r="A2085" t="s">
        <v>276</v>
      </c>
      <c r="B2085" t="s">
        <v>275</v>
      </c>
    </row>
    <row r="2086" spans="1:2" x14ac:dyDescent="0.25">
      <c r="A2086" t="s">
        <v>1688</v>
      </c>
      <c r="B2086" t="s">
        <v>1687</v>
      </c>
    </row>
    <row r="2087" spans="1:2" x14ac:dyDescent="0.25">
      <c r="A2087" t="s">
        <v>5926</v>
      </c>
      <c r="B2087" t="s">
        <v>275</v>
      </c>
    </row>
    <row r="2088" spans="1:2" x14ac:dyDescent="0.25">
      <c r="A2088" t="s">
        <v>1085</v>
      </c>
      <c r="B2088" t="s">
        <v>1084</v>
      </c>
    </row>
    <row r="2089" spans="1:2" x14ac:dyDescent="0.25">
      <c r="A2089" t="s">
        <v>5927</v>
      </c>
      <c r="B2089" t="s">
        <v>2345</v>
      </c>
    </row>
    <row r="2090" spans="1:2" x14ac:dyDescent="0.25">
      <c r="A2090" t="s">
        <v>5928</v>
      </c>
      <c r="B2090" t="s">
        <v>2344</v>
      </c>
    </row>
    <row r="2091" spans="1:2" x14ac:dyDescent="0.25">
      <c r="A2091" t="s">
        <v>884</v>
      </c>
      <c r="B2091" t="s">
        <v>883</v>
      </c>
    </row>
    <row r="2092" spans="1:2" x14ac:dyDescent="0.25">
      <c r="A2092" t="s">
        <v>5929</v>
      </c>
      <c r="B2092" t="s">
        <v>2397</v>
      </c>
    </row>
    <row r="2093" spans="1:2" x14ac:dyDescent="0.25">
      <c r="A2093" t="s">
        <v>971</v>
      </c>
      <c r="B2093" t="s">
        <v>970</v>
      </c>
    </row>
    <row r="2094" spans="1:2" x14ac:dyDescent="0.25">
      <c r="A2094" t="s">
        <v>2925</v>
      </c>
      <c r="B2094" t="s">
        <v>2924</v>
      </c>
    </row>
    <row r="2095" spans="1:2" x14ac:dyDescent="0.25">
      <c r="A2095" t="s">
        <v>968</v>
      </c>
      <c r="B2095" t="s">
        <v>967</v>
      </c>
    </row>
    <row r="2096" spans="1:2" x14ac:dyDescent="0.25">
      <c r="A2096" t="s">
        <v>5930</v>
      </c>
      <c r="B2096" t="s">
        <v>2395</v>
      </c>
    </row>
    <row r="2097" spans="1:2" x14ac:dyDescent="0.25">
      <c r="A2097" t="s">
        <v>5931</v>
      </c>
      <c r="B2097" t="s">
        <v>2403</v>
      </c>
    </row>
    <row r="2098" spans="1:2" x14ac:dyDescent="0.25">
      <c r="A2098" t="s">
        <v>5932</v>
      </c>
      <c r="B2098" t="s">
        <v>1009</v>
      </c>
    </row>
    <row r="2099" spans="1:2" x14ac:dyDescent="0.25">
      <c r="A2099" t="s">
        <v>5933</v>
      </c>
      <c r="B2099" t="s">
        <v>1014</v>
      </c>
    </row>
    <row r="2100" spans="1:2" x14ac:dyDescent="0.25">
      <c r="A2100" t="s">
        <v>1168</v>
      </c>
      <c r="B2100" t="s">
        <v>1167</v>
      </c>
    </row>
    <row r="2101" spans="1:2" x14ac:dyDescent="0.25">
      <c r="A2101" t="s">
        <v>5934</v>
      </c>
      <c r="B2101" t="s">
        <v>1833</v>
      </c>
    </row>
    <row r="2102" spans="1:2" x14ac:dyDescent="0.25">
      <c r="A2102" t="s">
        <v>5935</v>
      </c>
      <c r="B2102" t="s">
        <v>998</v>
      </c>
    </row>
    <row r="2103" spans="1:2" x14ac:dyDescent="0.25">
      <c r="A2103" t="s">
        <v>999</v>
      </c>
      <c r="B2103" t="s">
        <v>998</v>
      </c>
    </row>
    <row r="2104" spans="1:2" x14ac:dyDescent="0.25">
      <c r="A2104" t="s">
        <v>347</v>
      </c>
      <c r="B2104" t="s">
        <v>346</v>
      </c>
    </row>
    <row r="2105" spans="1:2" x14ac:dyDescent="0.25">
      <c r="A2105" t="s">
        <v>53</v>
      </c>
      <c r="B2105" t="s">
        <v>52</v>
      </c>
    </row>
    <row r="2106" spans="1:2" x14ac:dyDescent="0.25">
      <c r="A2106" t="s">
        <v>2811</v>
      </c>
      <c r="B2106" t="s">
        <v>2810</v>
      </c>
    </row>
    <row r="2107" spans="1:2" x14ac:dyDescent="0.25">
      <c r="A2107" t="s">
        <v>63</v>
      </c>
      <c r="B2107" t="s">
        <v>62</v>
      </c>
    </row>
    <row r="2108" spans="1:2" x14ac:dyDescent="0.25">
      <c r="A2108" t="s">
        <v>2845</v>
      </c>
      <c r="B2108" t="s">
        <v>2844</v>
      </c>
    </row>
    <row r="2109" spans="1:2" x14ac:dyDescent="0.25">
      <c r="A2109" t="s">
        <v>377</v>
      </c>
      <c r="B2109" t="s">
        <v>376</v>
      </c>
    </row>
    <row r="2110" spans="1:2" x14ac:dyDescent="0.25">
      <c r="A2110" t="s">
        <v>262</v>
      </c>
      <c r="B2110" t="s">
        <v>261</v>
      </c>
    </row>
    <row r="2111" spans="1:2" x14ac:dyDescent="0.25">
      <c r="A2111" t="s">
        <v>65</v>
      </c>
      <c r="B2111" t="s">
        <v>64</v>
      </c>
    </row>
    <row r="2112" spans="1:2" x14ac:dyDescent="0.25">
      <c r="A2112" t="s">
        <v>2442</v>
      </c>
      <c r="B2112" t="s">
        <v>2441</v>
      </c>
    </row>
    <row r="2113" spans="1:2" x14ac:dyDescent="0.25">
      <c r="A2113" t="s">
        <v>353</v>
      </c>
      <c r="B2113" t="s">
        <v>352</v>
      </c>
    </row>
    <row r="2114" spans="1:2" x14ac:dyDescent="0.25">
      <c r="A2114" t="s">
        <v>211</v>
      </c>
      <c r="B2114" t="s">
        <v>210</v>
      </c>
    </row>
    <row r="2115" spans="1:2" x14ac:dyDescent="0.25">
      <c r="A2115" t="s">
        <v>1918</v>
      </c>
      <c r="B2115" t="s">
        <v>1917</v>
      </c>
    </row>
    <row r="2116" spans="1:2" x14ac:dyDescent="0.25">
      <c r="A2116" t="s">
        <v>1155</v>
      </c>
      <c r="B2116" t="s">
        <v>1154</v>
      </c>
    </row>
    <row r="2117" spans="1:2" x14ac:dyDescent="0.25">
      <c r="A2117" t="s">
        <v>293</v>
      </c>
      <c r="B2117" t="s">
        <v>292</v>
      </c>
    </row>
    <row r="2118" spans="1:2" x14ac:dyDescent="0.25">
      <c r="A2118" t="s">
        <v>1100</v>
      </c>
      <c r="B2118" t="s">
        <v>1099</v>
      </c>
    </row>
    <row r="2119" spans="1:2" x14ac:dyDescent="0.25">
      <c r="A2119" t="s">
        <v>291</v>
      </c>
      <c r="B2119" t="s">
        <v>290</v>
      </c>
    </row>
    <row r="2120" spans="1:2" x14ac:dyDescent="0.25">
      <c r="A2120" t="s">
        <v>5936</v>
      </c>
      <c r="B2120" t="s">
        <v>2310</v>
      </c>
    </row>
    <row r="2121" spans="1:2" x14ac:dyDescent="0.25">
      <c r="A2121" t="s">
        <v>213</v>
      </c>
      <c r="B2121" t="s">
        <v>212</v>
      </c>
    </row>
    <row r="2122" spans="1:2" x14ac:dyDescent="0.25">
      <c r="A2122" t="s">
        <v>2803</v>
      </c>
      <c r="B2122" t="s">
        <v>2802</v>
      </c>
    </row>
    <row r="2123" spans="1:2" x14ac:dyDescent="0.25">
      <c r="A2123" t="s">
        <v>1060</v>
      </c>
      <c r="B2123" t="s">
        <v>1059</v>
      </c>
    </row>
    <row r="2124" spans="1:2" x14ac:dyDescent="0.25">
      <c r="A2124" t="s">
        <v>225</v>
      </c>
      <c r="B2124" t="s">
        <v>224</v>
      </c>
    </row>
    <row r="2125" spans="1:2" x14ac:dyDescent="0.25">
      <c r="A2125" t="s">
        <v>5937</v>
      </c>
      <c r="B2125" t="s">
        <v>3350</v>
      </c>
    </row>
    <row r="2126" spans="1:2" x14ac:dyDescent="0.25">
      <c r="A2126" t="s">
        <v>1091</v>
      </c>
      <c r="B2126" t="s">
        <v>1090</v>
      </c>
    </row>
    <row r="2127" spans="1:2" x14ac:dyDescent="0.25">
      <c r="A2127" t="s">
        <v>2907</v>
      </c>
      <c r="B2127" t="s">
        <v>2906</v>
      </c>
    </row>
    <row r="2128" spans="1:2" x14ac:dyDescent="0.25">
      <c r="A2128" t="s">
        <v>1864</v>
      </c>
      <c r="B2128" t="s">
        <v>1863</v>
      </c>
    </row>
    <row r="2129" spans="1:2" x14ac:dyDescent="0.25">
      <c r="A2129" t="s">
        <v>5938</v>
      </c>
      <c r="B2129" t="s">
        <v>1111</v>
      </c>
    </row>
    <row r="2130" spans="1:2" x14ac:dyDescent="0.25">
      <c r="A2130" t="s">
        <v>5939</v>
      </c>
      <c r="B2130" t="s">
        <v>1179</v>
      </c>
    </row>
    <row r="2131" spans="1:2" x14ac:dyDescent="0.25">
      <c r="A2131" t="s">
        <v>724</v>
      </c>
      <c r="B2131" t="s">
        <v>723</v>
      </c>
    </row>
    <row r="2132" spans="1:2" x14ac:dyDescent="0.25">
      <c r="A2132" t="s">
        <v>1088</v>
      </c>
      <c r="B2132" t="s">
        <v>1087</v>
      </c>
    </row>
    <row r="2133" spans="1:2" x14ac:dyDescent="0.25">
      <c r="A2133" t="s">
        <v>1079</v>
      </c>
      <c r="B2133" t="s">
        <v>1078</v>
      </c>
    </row>
    <row r="2134" spans="1:2" x14ac:dyDescent="0.25">
      <c r="A2134" t="s">
        <v>5940</v>
      </c>
      <c r="B2134" t="s">
        <v>1569</v>
      </c>
    </row>
    <row r="2135" spans="1:2" x14ac:dyDescent="0.25">
      <c r="A2135" t="s">
        <v>5941</v>
      </c>
      <c r="B2135" t="s">
        <v>1950</v>
      </c>
    </row>
    <row r="2136" spans="1:2" x14ac:dyDescent="0.25">
      <c r="A2136" t="s">
        <v>1128</v>
      </c>
      <c r="B2136" t="s">
        <v>1127</v>
      </c>
    </row>
    <row r="2137" spans="1:2" x14ac:dyDescent="0.25">
      <c r="A2137" t="s">
        <v>5942</v>
      </c>
      <c r="B2137" t="s">
        <v>2969</v>
      </c>
    </row>
    <row r="2138" spans="1:2" x14ac:dyDescent="0.25">
      <c r="A2138" t="s">
        <v>5943</v>
      </c>
      <c r="B2138" t="s">
        <v>1955</v>
      </c>
    </row>
    <row r="2139" spans="1:2" x14ac:dyDescent="0.25">
      <c r="A2139" t="s">
        <v>5944</v>
      </c>
      <c r="B2139" t="s">
        <v>157</v>
      </c>
    </row>
    <row r="2140" spans="1:2" x14ac:dyDescent="0.25">
      <c r="A2140" t="s">
        <v>181</v>
      </c>
      <c r="B2140" t="s">
        <v>180</v>
      </c>
    </row>
    <row r="2141" spans="1:2" x14ac:dyDescent="0.25">
      <c r="A2141" t="s">
        <v>1972</v>
      </c>
      <c r="B2141" t="s">
        <v>1971</v>
      </c>
    </row>
    <row r="2142" spans="1:2" x14ac:dyDescent="0.25">
      <c r="A2142" t="s">
        <v>5945</v>
      </c>
      <c r="B2142" t="s">
        <v>2961</v>
      </c>
    </row>
    <row r="2143" spans="1:2" x14ac:dyDescent="0.25">
      <c r="A2143" t="s">
        <v>5946</v>
      </c>
      <c r="B2143" t="s">
        <v>1971</v>
      </c>
    </row>
    <row r="2144" spans="1:2" x14ac:dyDescent="0.25">
      <c r="A2144" t="s">
        <v>2962</v>
      </c>
      <c r="B2144" t="s">
        <v>2961</v>
      </c>
    </row>
    <row r="2145" spans="1:2" x14ac:dyDescent="0.25">
      <c r="A2145" t="s">
        <v>2937</v>
      </c>
      <c r="B2145" t="s">
        <v>2936</v>
      </c>
    </row>
    <row r="2146" spans="1:2" x14ac:dyDescent="0.25">
      <c r="A2146" t="s">
        <v>1953</v>
      </c>
      <c r="B2146" t="s">
        <v>1952</v>
      </c>
    </row>
    <row r="2147" spans="1:2" x14ac:dyDescent="0.25">
      <c r="A2147" t="s">
        <v>190</v>
      </c>
      <c r="B2147" t="s">
        <v>189</v>
      </c>
    </row>
    <row r="2148" spans="1:2" x14ac:dyDescent="0.25">
      <c r="A2148" t="s">
        <v>1923</v>
      </c>
      <c r="B2148" t="s">
        <v>1922</v>
      </c>
    </row>
    <row r="2149" spans="1:2" x14ac:dyDescent="0.25">
      <c r="A2149" t="s">
        <v>1652</v>
      </c>
      <c r="B2149" t="s">
        <v>1651</v>
      </c>
    </row>
    <row r="2150" spans="1:2" x14ac:dyDescent="0.25">
      <c r="A2150" t="s">
        <v>5947</v>
      </c>
      <c r="B2150" t="s">
        <v>1130</v>
      </c>
    </row>
    <row r="2151" spans="1:2" x14ac:dyDescent="0.25">
      <c r="A2151" t="s">
        <v>5948</v>
      </c>
      <c r="B2151" t="s">
        <v>2404</v>
      </c>
    </row>
    <row r="2152" spans="1:2" x14ac:dyDescent="0.25">
      <c r="A2152" t="s">
        <v>2903</v>
      </c>
      <c r="B2152" t="s">
        <v>2902</v>
      </c>
    </row>
    <row r="2153" spans="1:2" x14ac:dyDescent="0.25">
      <c r="A2153" t="s">
        <v>5949</v>
      </c>
      <c r="B2153" t="s">
        <v>2349</v>
      </c>
    </row>
    <row r="2154" spans="1:2" x14ac:dyDescent="0.25">
      <c r="A2154" t="s">
        <v>1097</v>
      </c>
      <c r="B2154" t="s">
        <v>1096</v>
      </c>
    </row>
    <row r="2155" spans="1:2" x14ac:dyDescent="0.25">
      <c r="A2155" t="s">
        <v>5950</v>
      </c>
      <c r="B2155" t="s">
        <v>2312</v>
      </c>
    </row>
    <row r="2156" spans="1:2" x14ac:dyDescent="0.25">
      <c r="A2156" t="s">
        <v>363</v>
      </c>
      <c r="B2156" t="s">
        <v>362</v>
      </c>
    </row>
    <row r="2157" spans="1:2" x14ac:dyDescent="0.25">
      <c r="A2157" t="s">
        <v>5951</v>
      </c>
      <c r="B2157" t="s">
        <v>329</v>
      </c>
    </row>
    <row r="2158" spans="1:2" x14ac:dyDescent="0.25">
      <c r="A2158" t="s">
        <v>5952</v>
      </c>
      <c r="B2158" t="s">
        <v>1114</v>
      </c>
    </row>
    <row r="2159" spans="1:2" x14ac:dyDescent="0.25">
      <c r="A2159" t="s">
        <v>5953</v>
      </c>
      <c r="B2159" t="s">
        <v>1136</v>
      </c>
    </row>
    <row r="2160" spans="1:2" x14ac:dyDescent="0.25">
      <c r="A2160" t="s">
        <v>5954</v>
      </c>
      <c r="B2160" t="s">
        <v>133</v>
      </c>
    </row>
    <row r="2161" spans="1:2" x14ac:dyDescent="0.25">
      <c r="A2161" t="s">
        <v>209</v>
      </c>
      <c r="B2161" t="s">
        <v>208</v>
      </c>
    </row>
    <row r="2162" spans="1:2" x14ac:dyDescent="0.25">
      <c r="A2162" t="s">
        <v>5955</v>
      </c>
      <c r="B2162" t="s">
        <v>1120</v>
      </c>
    </row>
    <row r="2163" spans="1:2" x14ac:dyDescent="0.25">
      <c r="A2163" t="s">
        <v>5956</v>
      </c>
      <c r="B2163" t="s">
        <v>1133</v>
      </c>
    </row>
    <row r="2164" spans="1:2" x14ac:dyDescent="0.25">
      <c r="A2164" t="s">
        <v>1916</v>
      </c>
      <c r="B2164" t="s">
        <v>1915</v>
      </c>
    </row>
    <row r="2165" spans="1:2" x14ac:dyDescent="0.25">
      <c r="A2165" t="s">
        <v>5957</v>
      </c>
      <c r="B2165" t="s">
        <v>226</v>
      </c>
    </row>
    <row r="2166" spans="1:2" x14ac:dyDescent="0.25">
      <c r="A2166" t="s">
        <v>5958</v>
      </c>
      <c r="B2166" t="s">
        <v>142</v>
      </c>
    </row>
    <row r="2167" spans="1:2" x14ac:dyDescent="0.25">
      <c r="A2167" t="s">
        <v>2787</v>
      </c>
      <c r="B2167" t="s">
        <v>2786</v>
      </c>
    </row>
    <row r="2168" spans="1:2" x14ac:dyDescent="0.25">
      <c r="A2168" t="s">
        <v>5959</v>
      </c>
      <c r="B2168" t="s">
        <v>142</v>
      </c>
    </row>
    <row r="2169" spans="1:2" x14ac:dyDescent="0.25">
      <c r="A2169" t="s">
        <v>1839</v>
      </c>
      <c r="B2169" t="s">
        <v>1838</v>
      </c>
    </row>
    <row r="2170" spans="1:2" x14ac:dyDescent="0.25">
      <c r="A2170" t="s">
        <v>5960</v>
      </c>
      <c r="B2170" t="s">
        <v>2537</v>
      </c>
    </row>
    <row r="2171" spans="1:2" x14ac:dyDescent="0.25">
      <c r="A2171" t="s">
        <v>5961</v>
      </c>
      <c r="B2171" t="s">
        <v>2539</v>
      </c>
    </row>
    <row r="2172" spans="1:2" x14ac:dyDescent="0.25">
      <c r="A2172" t="s">
        <v>2943</v>
      </c>
      <c r="B2172" t="s">
        <v>2942</v>
      </c>
    </row>
    <row r="2173" spans="1:2" x14ac:dyDescent="0.25">
      <c r="A2173" t="s">
        <v>207</v>
      </c>
      <c r="B2173" t="s">
        <v>206</v>
      </c>
    </row>
    <row r="2174" spans="1:2" x14ac:dyDescent="0.25">
      <c r="A2174" t="s">
        <v>73</v>
      </c>
      <c r="B2174" t="s">
        <v>72</v>
      </c>
    </row>
    <row r="2175" spans="1:2" x14ac:dyDescent="0.25">
      <c r="A2175" t="s">
        <v>219</v>
      </c>
      <c r="B2175" t="s">
        <v>218</v>
      </c>
    </row>
    <row r="2176" spans="1:2" x14ac:dyDescent="0.25">
      <c r="A2176" t="s">
        <v>1921</v>
      </c>
      <c r="B2176" t="s">
        <v>1920</v>
      </c>
    </row>
    <row r="2177" spans="1:2" x14ac:dyDescent="0.25">
      <c r="A2177" t="s">
        <v>1861</v>
      </c>
      <c r="B2177" t="s">
        <v>1860</v>
      </c>
    </row>
    <row r="2178" spans="1:2" x14ac:dyDescent="0.25">
      <c r="A2178" t="s">
        <v>940</v>
      </c>
      <c r="B2178" t="s">
        <v>939</v>
      </c>
    </row>
    <row r="2179" spans="1:2" x14ac:dyDescent="0.25">
      <c r="A2179" t="s">
        <v>5962</v>
      </c>
      <c r="B2179" t="s">
        <v>3123</v>
      </c>
    </row>
    <row r="2180" spans="1:2" x14ac:dyDescent="0.25">
      <c r="A2180" t="s">
        <v>2973</v>
      </c>
      <c r="B2180" t="s">
        <v>2972</v>
      </c>
    </row>
    <row r="2181" spans="1:2" x14ac:dyDescent="0.25">
      <c r="A2181" t="s">
        <v>5963</v>
      </c>
      <c r="B2181" t="s">
        <v>1657</v>
      </c>
    </row>
    <row r="2182" spans="1:2" x14ac:dyDescent="0.25">
      <c r="A2182" t="s">
        <v>943</v>
      </c>
      <c r="B2182" t="s">
        <v>942</v>
      </c>
    </row>
    <row r="2183" spans="1:2" x14ac:dyDescent="0.25">
      <c r="A2183" t="s">
        <v>2517</v>
      </c>
      <c r="B2183" t="s">
        <v>2516</v>
      </c>
    </row>
    <row r="2184" spans="1:2" x14ac:dyDescent="0.25">
      <c r="A2184" t="s">
        <v>2519</v>
      </c>
      <c r="B2184" t="s">
        <v>2518</v>
      </c>
    </row>
    <row r="2185" spans="1:2" x14ac:dyDescent="0.25">
      <c r="A2185" t="s">
        <v>5964</v>
      </c>
      <c r="B2185" t="s">
        <v>2330</v>
      </c>
    </row>
    <row r="2186" spans="1:2" x14ac:dyDescent="0.25">
      <c r="A2186" t="s">
        <v>365</v>
      </c>
      <c r="B2186" t="s">
        <v>364</v>
      </c>
    </row>
    <row r="2187" spans="1:2" x14ac:dyDescent="0.25">
      <c r="A2187" t="s">
        <v>1043</v>
      </c>
      <c r="B2187" t="s">
        <v>1042</v>
      </c>
    </row>
    <row r="2188" spans="1:2" x14ac:dyDescent="0.25">
      <c r="A2188" t="s">
        <v>131</v>
      </c>
      <c r="B2188" t="s">
        <v>130</v>
      </c>
    </row>
    <row r="2189" spans="1:2" x14ac:dyDescent="0.25">
      <c r="A2189" t="s">
        <v>5965</v>
      </c>
      <c r="B2189" t="s">
        <v>2323</v>
      </c>
    </row>
    <row r="2190" spans="1:2" x14ac:dyDescent="0.25">
      <c r="A2190" t="s">
        <v>221</v>
      </c>
      <c r="B2190" t="s">
        <v>220</v>
      </c>
    </row>
    <row r="2191" spans="1:2" x14ac:dyDescent="0.25">
      <c r="A2191" t="s">
        <v>801</v>
      </c>
      <c r="B2191" t="s">
        <v>800</v>
      </c>
    </row>
    <row r="2192" spans="1:2" x14ac:dyDescent="0.25">
      <c r="A2192" t="s">
        <v>2823</v>
      </c>
      <c r="B2192" t="s">
        <v>2822</v>
      </c>
    </row>
    <row r="2193" spans="1:2" x14ac:dyDescent="0.25">
      <c r="A2193" t="s">
        <v>762</v>
      </c>
      <c r="B2193" t="s">
        <v>761</v>
      </c>
    </row>
    <row r="2194" spans="1:2" x14ac:dyDescent="0.25">
      <c r="A2194" t="s">
        <v>2941</v>
      </c>
      <c r="B2194" t="s">
        <v>2940</v>
      </c>
    </row>
    <row r="2195" spans="1:2" x14ac:dyDescent="0.25">
      <c r="A2195" t="s">
        <v>1064</v>
      </c>
      <c r="B2195" t="s">
        <v>1063</v>
      </c>
    </row>
    <row r="2196" spans="1:2" x14ac:dyDescent="0.25">
      <c r="A2196" t="s">
        <v>1761</v>
      </c>
      <c r="B2196" t="s">
        <v>1760</v>
      </c>
    </row>
    <row r="2197" spans="1:2" x14ac:dyDescent="0.25">
      <c r="A2197" t="s">
        <v>328</v>
      </c>
      <c r="B2197" t="s">
        <v>327</v>
      </c>
    </row>
    <row r="2198" spans="1:2" x14ac:dyDescent="0.25">
      <c r="A2198" t="s">
        <v>330</v>
      </c>
      <c r="B2198" t="s">
        <v>329</v>
      </c>
    </row>
    <row r="2199" spans="1:2" x14ac:dyDescent="0.25">
      <c r="A2199" t="s">
        <v>2879</v>
      </c>
      <c r="B2199" t="s">
        <v>2878</v>
      </c>
    </row>
    <row r="2200" spans="1:2" x14ac:dyDescent="0.25">
      <c r="A2200" t="s">
        <v>336</v>
      </c>
      <c r="B2200" t="s">
        <v>335</v>
      </c>
    </row>
    <row r="2201" spans="1:2" x14ac:dyDescent="0.25">
      <c r="A2201" t="s">
        <v>5966</v>
      </c>
      <c r="B2201" t="s">
        <v>3112</v>
      </c>
    </row>
    <row r="2202" spans="1:2" x14ac:dyDescent="0.25">
      <c r="A2202" t="s">
        <v>2947</v>
      </c>
      <c r="B2202" t="s">
        <v>2946</v>
      </c>
    </row>
    <row r="2203" spans="1:2" x14ac:dyDescent="0.25">
      <c r="A2203" t="s">
        <v>1763</v>
      </c>
      <c r="B2203" t="s">
        <v>1762</v>
      </c>
    </row>
    <row r="2204" spans="1:2" x14ac:dyDescent="0.25">
      <c r="A2204" t="s">
        <v>5967</v>
      </c>
      <c r="B2204" t="s">
        <v>3121</v>
      </c>
    </row>
    <row r="2205" spans="1:2" x14ac:dyDescent="0.25">
      <c r="A2205" t="s">
        <v>1942</v>
      </c>
      <c r="B2205" t="s">
        <v>1941</v>
      </c>
    </row>
    <row r="2206" spans="1:2" x14ac:dyDescent="0.25">
      <c r="A2206" t="s">
        <v>5968</v>
      </c>
      <c r="B2206" t="s">
        <v>5969</v>
      </c>
    </row>
    <row r="2207" spans="1:2" x14ac:dyDescent="0.25">
      <c r="A2207" t="s">
        <v>1082</v>
      </c>
      <c r="B2207" t="s">
        <v>1081</v>
      </c>
    </row>
    <row r="2208" spans="1:2" x14ac:dyDescent="0.25">
      <c r="A2208" t="s">
        <v>5970</v>
      </c>
      <c r="B2208" t="s">
        <v>3309</v>
      </c>
    </row>
    <row r="2209" spans="1:2" x14ac:dyDescent="0.25">
      <c r="A2209" t="s">
        <v>752</v>
      </c>
      <c r="B2209" t="s">
        <v>751</v>
      </c>
    </row>
    <row r="2210" spans="1:2" x14ac:dyDescent="0.25">
      <c r="A2210" t="s">
        <v>748</v>
      </c>
      <c r="B2210" t="s">
        <v>747</v>
      </c>
    </row>
    <row r="2211" spans="1:2" x14ac:dyDescent="0.25">
      <c r="A2211" t="s">
        <v>1609</v>
      </c>
      <c r="B2211" t="s">
        <v>1608</v>
      </c>
    </row>
    <row r="2212" spans="1:2" x14ac:dyDescent="0.25">
      <c r="A2212" t="s">
        <v>937</v>
      </c>
      <c r="B2212" t="s">
        <v>936</v>
      </c>
    </row>
    <row r="2213" spans="1:2" x14ac:dyDescent="0.25">
      <c r="A2213" t="s">
        <v>5971</v>
      </c>
      <c r="B2213" t="s">
        <v>2302</v>
      </c>
    </row>
    <row r="2214" spans="1:2" x14ac:dyDescent="0.25">
      <c r="A2214" t="s">
        <v>740</v>
      </c>
      <c r="B2214" t="s">
        <v>739</v>
      </c>
    </row>
    <row r="2215" spans="1:2" x14ac:dyDescent="0.25">
      <c r="A2215" t="s">
        <v>2785</v>
      </c>
      <c r="B2215" t="s">
        <v>2784</v>
      </c>
    </row>
    <row r="2216" spans="1:2" x14ac:dyDescent="0.25">
      <c r="A2216" t="s">
        <v>5972</v>
      </c>
      <c r="B2216" t="s">
        <v>767</v>
      </c>
    </row>
    <row r="2217" spans="1:2" x14ac:dyDescent="0.25">
      <c r="A2217" t="s">
        <v>1046</v>
      </c>
      <c r="B2217" t="s">
        <v>1045</v>
      </c>
    </row>
    <row r="2218" spans="1:2" x14ac:dyDescent="0.25">
      <c r="A2218" t="s">
        <v>1006</v>
      </c>
      <c r="B2218" t="s">
        <v>1005</v>
      </c>
    </row>
    <row r="2219" spans="1:2" x14ac:dyDescent="0.25">
      <c r="A2219" t="s">
        <v>5973</v>
      </c>
      <c r="B2219" t="s">
        <v>1869</v>
      </c>
    </row>
    <row r="2220" spans="1:2" x14ac:dyDescent="0.25">
      <c r="A2220" t="s">
        <v>1053</v>
      </c>
      <c r="B2220" t="s">
        <v>1052</v>
      </c>
    </row>
    <row r="2221" spans="1:2" x14ac:dyDescent="0.25">
      <c r="A2221" t="s">
        <v>5974</v>
      </c>
      <c r="B2221" t="s">
        <v>1667</v>
      </c>
    </row>
    <row r="2222" spans="1:2" x14ac:dyDescent="0.25">
      <c r="A2222" t="s">
        <v>5975</v>
      </c>
      <c r="B2222" t="s">
        <v>2379</v>
      </c>
    </row>
    <row r="2223" spans="1:2" x14ac:dyDescent="0.25">
      <c r="A2223" t="s">
        <v>1939</v>
      </c>
      <c r="B2223" t="s">
        <v>1938</v>
      </c>
    </row>
    <row r="2224" spans="1:2" x14ac:dyDescent="0.25">
      <c r="A2224" t="s">
        <v>1789</v>
      </c>
      <c r="B2224" t="s">
        <v>5976</v>
      </c>
    </row>
    <row r="2225" spans="1:2" x14ac:dyDescent="0.25">
      <c r="A2225" t="s">
        <v>1792</v>
      </c>
      <c r="B2225" t="s">
        <v>5977</v>
      </c>
    </row>
    <row r="2226" spans="1:2" x14ac:dyDescent="0.25">
      <c r="A2226" t="s">
        <v>5978</v>
      </c>
      <c r="B2226" t="s">
        <v>1465</v>
      </c>
    </row>
    <row r="2227" spans="1:2" x14ac:dyDescent="0.25">
      <c r="A2227" t="s">
        <v>1931</v>
      </c>
      <c r="B2227" t="s">
        <v>1930</v>
      </c>
    </row>
    <row r="2228" spans="1:2" x14ac:dyDescent="0.25">
      <c r="A2228" t="s">
        <v>5979</v>
      </c>
      <c r="B2228" t="s">
        <v>3106</v>
      </c>
    </row>
    <row r="2229" spans="1:2" x14ac:dyDescent="0.25">
      <c r="A2229" t="s">
        <v>1164</v>
      </c>
      <c r="B2229" t="s">
        <v>1163</v>
      </c>
    </row>
    <row r="2230" spans="1:2" x14ac:dyDescent="0.25">
      <c r="A2230" t="s">
        <v>1666</v>
      </c>
      <c r="B2230" t="s">
        <v>1665</v>
      </c>
    </row>
    <row r="2231" spans="1:2" x14ac:dyDescent="0.25">
      <c r="A2231" t="s">
        <v>923</v>
      </c>
      <c r="B2231" t="s">
        <v>922</v>
      </c>
    </row>
    <row r="2232" spans="1:2" x14ac:dyDescent="0.25">
      <c r="A2232" t="s">
        <v>826</v>
      </c>
      <c r="B2232" t="s">
        <v>825</v>
      </c>
    </row>
    <row r="2233" spans="1:2" x14ac:dyDescent="0.25">
      <c r="A2233" t="s">
        <v>2819</v>
      </c>
      <c r="B2233" t="s">
        <v>2818</v>
      </c>
    </row>
    <row r="2234" spans="1:2" x14ac:dyDescent="0.25">
      <c r="A2234" t="s">
        <v>829</v>
      </c>
      <c r="B2234" t="s">
        <v>828</v>
      </c>
    </row>
    <row r="2235" spans="1:2" x14ac:dyDescent="0.25">
      <c r="A2235" t="s">
        <v>2883</v>
      </c>
      <c r="B2235" t="s">
        <v>2882</v>
      </c>
    </row>
    <row r="2236" spans="1:2" x14ac:dyDescent="0.25">
      <c r="A2236" t="s">
        <v>2885</v>
      </c>
      <c r="B2236" t="s">
        <v>2884</v>
      </c>
    </row>
    <row r="2237" spans="1:2" x14ac:dyDescent="0.25">
      <c r="A2237" t="s">
        <v>200</v>
      </c>
      <c r="B2237" t="s">
        <v>199</v>
      </c>
    </row>
    <row r="2238" spans="1:2" x14ac:dyDescent="0.25">
      <c r="A2238" t="s">
        <v>223</v>
      </c>
      <c r="B2238" t="s">
        <v>222</v>
      </c>
    </row>
    <row r="2239" spans="1:2" x14ac:dyDescent="0.25">
      <c r="A2239" t="s">
        <v>217</v>
      </c>
      <c r="B2239" t="s">
        <v>216</v>
      </c>
    </row>
    <row r="2240" spans="1:2" x14ac:dyDescent="0.25">
      <c r="A2240" t="s">
        <v>5980</v>
      </c>
      <c r="B2240" t="s">
        <v>218</v>
      </c>
    </row>
    <row r="2241" spans="1:2" x14ac:dyDescent="0.25">
      <c r="A2241" t="s">
        <v>5981</v>
      </c>
      <c r="B2241" t="s">
        <v>1702</v>
      </c>
    </row>
    <row r="2242" spans="1:2" x14ac:dyDescent="0.25">
      <c r="A2242" t="s">
        <v>5982</v>
      </c>
      <c r="B2242" t="s">
        <v>1700</v>
      </c>
    </row>
    <row r="2243" spans="1:2" x14ac:dyDescent="0.25">
      <c r="A2243" t="s">
        <v>2935</v>
      </c>
      <c r="B2243" t="s">
        <v>2934</v>
      </c>
    </row>
    <row r="2244" spans="1:2" x14ac:dyDescent="0.25">
      <c r="A2244" t="s">
        <v>5983</v>
      </c>
      <c r="B2244" t="s">
        <v>3153</v>
      </c>
    </row>
    <row r="2245" spans="1:2" x14ac:dyDescent="0.25">
      <c r="A2245" t="s">
        <v>759</v>
      </c>
      <c r="B2245" t="s">
        <v>758</v>
      </c>
    </row>
    <row r="2246" spans="1:2" x14ac:dyDescent="0.25">
      <c r="A2246" t="s">
        <v>932</v>
      </c>
      <c r="B2246" t="s">
        <v>931</v>
      </c>
    </row>
    <row r="2247" spans="1:2" x14ac:dyDescent="0.25">
      <c r="A2247" t="s">
        <v>5984</v>
      </c>
      <c r="B2247" t="s">
        <v>1866</v>
      </c>
    </row>
    <row r="2248" spans="1:2" x14ac:dyDescent="0.25">
      <c r="A2248" t="s">
        <v>5985</v>
      </c>
      <c r="B2248" t="s">
        <v>3111</v>
      </c>
    </row>
    <row r="2249" spans="1:2" x14ac:dyDescent="0.25">
      <c r="A2249" t="s">
        <v>989</v>
      </c>
      <c r="B2249" t="s">
        <v>988</v>
      </c>
    </row>
    <row r="2250" spans="1:2" x14ac:dyDescent="0.25">
      <c r="A2250" t="s">
        <v>5986</v>
      </c>
      <c r="B2250" t="s">
        <v>224</v>
      </c>
    </row>
    <row r="2251" spans="1:2" x14ac:dyDescent="0.25">
      <c r="A2251" t="s">
        <v>5987</v>
      </c>
      <c r="B2251" t="s">
        <v>2316</v>
      </c>
    </row>
    <row r="2252" spans="1:2" x14ac:dyDescent="0.25">
      <c r="A2252" t="s">
        <v>5988</v>
      </c>
      <c r="B2252" t="s">
        <v>2372</v>
      </c>
    </row>
    <row r="2253" spans="1:2" x14ac:dyDescent="0.25">
      <c r="A2253" t="s">
        <v>215</v>
      </c>
      <c r="B2253" t="s">
        <v>214</v>
      </c>
    </row>
    <row r="2254" spans="1:2" x14ac:dyDescent="0.25">
      <c r="A2254" t="s">
        <v>774</v>
      </c>
      <c r="B2254" t="s">
        <v>773</v>
      </c>
    </row>
    <row r="2255" spans="1:2" x14ac:dyDescent="0.25">
      <c r="A2255" t="s">
        <v>205</v>
      </c>
      <c r="B2255" t="s">
        <v>204</v>
      </c>
    </row>
    <row r="2256" spans="1:2" x14ac:dyDescent="0.25">
      <c r="A2256" t="s">
        <v>203</v>
      </c>
      <c r="B2256" t="s">
        <v>202</v>
      </c>
    </row>
    <row r="2257" spans="1:2" x14ac:dyDescent="0.25">
      <c r="A2257" t="s">
        <v>5989</v>
      </c>
      <c r="B2257" t="s">
        <v>2367</v>
      </c>
    </row>
    <row r="2258" spans="1:2" x14ac:dyDescent="0.25">
      <c r="A2258" t="s">
        <v>2881</v>
      </c>
      <c r="B2258" t="s">
        <v>2880</v>
      </c>
    </row>
    <row r="2259" spans="1:2" x14ac:dyDescent="0.25">
      <c r="A2259" t="s">
        <v>122</v>
      </c>
      <c r="B2259" t="s">
        <v>121</v>
      </c>
    </row>
    <row r="2260" spans="1:2" x14ac:dyDescent="0.25">
      <c r="A2260" t="s">
        <v>5990</v>
      </c>
      <c r="B2260" t="s">
        <v>206</v>
      </c>
    </row>
    <row r="2261" spans="1:2" x14ac:dyDescent="0.25">
      <c r="A2261" t="s">
        <v>1831</v>
      </c>
      <c r="B2261" t="s">
        <v>1830</v>
      </c>
    </row>
    <row r="2262" spans="1:2" x14ac:dyDescent="0.25">
      <c r="A2262" t="s">
        <v>5991</v>
      </c>
      <c r="B2262" t="s">
        <v>2366</v>
      </c>
    </row>
    <row r="2263" spans="1:2" x14ac:dyDescent="0.25">
      <c r="A2263" t="s">
        <v>1767</v>
      </c>
      <c r="B2263" t="s">
        <v>1766</v>
      </c>
    </row>
    <row r="2264" spans="1:2" x14ac:dyDescent="0.25">
      <c r="A2264" t="s">
        <v>1821</v>
      </c>
      <c r="B2264" t="s">
        <v>1820</v>
      </c>
    </row>
    <row r="2265" spans="1:2" x14ac:dyDescent="0.25">
      <c r="A2265" t="s">
        <v>2923</v>
      </c>
      <c r="B2265" t="s">
        <v>2922</v>
      </c>
    </row>
    <row r="2266" spans="1:2" x14ac:dyDescent="0.25">
      <c r="A2266" t="s">
        <v>986</v>
      </c>
      <c r="B2266" t="s">
        <v>985</v>
      </c>
    </row>
    <row r="2267" spans="1:2" x14ac:dyDescent="0.25">
      <c r="A2267" t="s">
        <v>5992</v>
      </c>
      <c r="B2267" t="s">
        <v>2694</v>
      </c>
    </row>
    <row r="2268" spans="1:2" x14ac:dyDescent="0.25">
      <c r="A2268" t="s">
        <v>5993</v>
      </c>
      <c r="B2268" t="s">
        <v>3107</v>
      </c>
    </row>
    <row r="2269" spans="1:2" x14ac:dyDescent="0.25">
      <c r="A2269" t="s">
        <v>5994</v>
      </c>
      <c r="B2269" t="s">
        <v>2348</v>
      </c>
    </row>
    <row r="2270" spans="1:2" x14ac:dyDescent="0.25">
      <c r="A2270" t="s">
        <v>5995</v>
      </c>
      <c r="B2270" t="s">
        <v>2698</v>
      </c>
    </row>
    <row r="2271" spans="1:2" x14ac:dyDescent="0.25">
      <c r="A2271" t="s">
        <v>1177</v>
      </c>
      <c r="B2271" t="s">
        <v>1176</v>
      </c>
    </row>
    <row r="2272" spans="1:2" x14ac:dyDescent="0.25">
      <c r="A2272" t="s">
        <v>5996</v>
      </c>
      <c r="B2272" t="s">
        <v>2431</v>
      </c>
    </row>
    <row r="2273" spans="1:2" x14ac:dyDescent="0.25">
      <c r="A2273" t="s">
        <v>5997</v>
      </c>
      <c r="B2273" t="s">
        <v>1704</v>
      </c>
    </row>
    <row r="2274" spans="1:2" x14ac:dyDescent="0.25">
      <c r="A2274" t="s">
        <v>5998</v>
      </c>
      <c r="B2274" t="s">
        <v>2352</v>
      </c>
    </row>
    <row r="2275" spans="1:2" x14ac:dyDescent="0.25">
      <c r="A2275" t="s">
        <v>1759</v>
      </c>
      <c r="B2275" t="s">
        <v>1758</v>
      </c>
    </row>
    <row r="2276" spans="1:2" x14ac:dyDescent="0.25">
      <c r="A2276" t="s">
        <v>5999</v>
      </c>
      <c r="B2276" t="s">
        <v>2538</v>
      </c>
    </row>
    <row r="2277" spans="1:2" x14ac:dyDescent="0.25">
      <c r="A2277" t="s">
        <v>1611</v>
      </c>
      <c r="B2277" t="s">
        <v>1610</v>
      </c>
    </row>
    <row r="2278" spans="1:2" x14ac:dyDescent="0.25">
      <c r="A2278" t="s">
        <v>6000</v>
      </c>
      <c r="B2278" t="s">
        <v>3220</v>
      </c>
    </row>
    <row r="2279" spans="1:2" x14ac:dyDescent="0.25">
      <c r="A2279" t="s">
        <v>6001</v>
      </c>
      <c r="B2279" t="s">
        <v>4184</v>
      </c>
    </row>
    <row r="2280" spans="1:2" x14ac:dyDescent="0.25">
      <c r="A2280" t="s">
        <v>6002</v>
      </c>
      <c r="B2280" t="s">
        <v>4175</v>
      </c>
    </row>
    <row r="2281" spans="1:2" x14ac:dyDescent="0.25">
      <c r="A2281" t="s">
        <v>6003</v>
      </c>
      <c r="B2281" t="s">
        <v>4177</v>
      </c>
    </row>
    <row r="2282" spans="1:2" x14ac:dyDescent="0.25">
      <c r="A2282" t="s">
        <v>6004</v>
      </c>
      <c r="B2282" t="s">
        <v>3066</v>
      </c>
    </row>
    <row r="2283" spans="1:2" x14ac:dyDescent="0.25">
      <c r="A2283" t="s">
        <v>6005</v>
      </c>
      <c r="B2283" t="s">
        <v>4180</v>
      </c>
    </row>
    <row r="2284" spans="1:2" x14ac:dyDescent="0.25">
      <c r="A2284" t="s">
        <v>6006</v>
      </c>
      <c r="B2284" t="s">
        <v>3068</v>
      </c>
    </row>
    <row r="2285" spans="1:2" x14ac:dyDescent="0.25">
      <c r="A2285" t="s">
        <v>6007</v>
      </c>
      <c r="B2285" t="s">
        <v>3069</v>
      </c>
    </row>
    <row r="2286" spans="1:2" x14ac:dyDescent="0.25">
      <c r="A2286" t="s">
        <v>3070</v>
      </c>
      <c r="B2286" t="s">
        <v>3070</v>
      </c>
    </row>
    <row r="2287" spans="1:2" x14ac:dyDescent="0.25">
      <c r="A2287" t="s">
        <v>6008</v>
      </c>
      <c r="B2287" t="s">
        <v>3070</v>
      </c>
    </row>
    <row r="2288" spans="1:2" x14ac:dyDescent="0.25">
      <c r="A2288" t="s">
        <v>6009</v>
      </c>
      <c r="B2288" t="s">
        <v>3070</v>
      </c>
    </row>
    <row r="2289" spans="1:2" x14ac:dyDescent="0.25">
      <c r="A2289" t="s">
        <v>6010</v>
      </c>
      <c r="B2289" t="s">
        <v>3070</v>
      </c>
    </row>
    <row r="2290" spans="1:2" x14ac:dyDescent="0.25">
      <c r="A2290" t="s">
        <v>2741</v>
      </c>
      <c r="B2290" t="s">
        <v>2741</v>
      </c>
    </row>
    <row r="2291" spans="1:2" x14ac:dyDescent="0.25">
      <c r="A2291" t="s">
        <v>6011</v>
      </c>
      <c r="B2291" t="s">
        <v>2741</v>
      </c>
    </row>
    <row r="2292" spans="1:2" x14ac:dyDescent="0.25">
      <c r="A2292" t="s">
        <v>3071</v>
      </c>
      <c r="B2292" t="s">
        <v>3071</v>
      </c>
    </row>
    <row r="2293" spans="1:2" x14ac:dyDescent="0.25">
      <c r="A2293" t="s">
        <v>6012</v>
      </c>
      <c r="B2293" t="s">
        <v>3071</v>
      </c>
    </row>
    <row r="2294" spans="1:2" x14ac:dyDescent="0.25">
      <c r="A2294" t="s">
        <v>3072</v>
      </c>
      <c r="B2294" t="s">
        <v>3072</v>
      </c>
    </row>
    <row r="2295" spans="1:2" x14ac:dyDescent="0.25">
      <c r="A2295" t="s">
        <v>6013</v>
      </c>
      <c r="B2295" t="s">
        <v>3072</v>
      </c>
    </row>
    <row r="2296" spans="1:2" x14ac:dyDescent="0.25">
      <c r="A2296" t="s">
        <v>6014</v>
      </c>
      <c r="B2296" t="s">
        <v>3072</v>
      </c>
    </row>
    <row r="2297" spans="1:2" x14ac:dyDescent="0.25">
      <c r="A2297" t="s">
        <v>6015</v>
      </c>
      <c r="B2297" t="s">
        <v>3072</v>
      </c>
    </row>
    <row r="2298" spans="1:2" x14ac:dyDescent="0.25">
      <c r="A2298" t="s">
        <v>6016</v>
      </c>
      <c r="B2298" t="s">
        <v>5209</v>
      </c>
    </row>
    <row r="2299" spans="1:2" x14ac:dyDescent="0.25">
      <c r="A2299" t="s">
        <v>380</v>
      </c>
      <c r="B2299" t="s">
        <v>380</v>
      </c>
    </row>
    <row r="2300" spans="1:2" x14ac:dyDescent="0.25">
      <c r="A2300" t="s">
        <v>6017</v>
      </c>
      <c r="B2300" t="s">
        <v>380</v>
      </c>
    </row>
    <row r="2301" spans="1:2" x14ac:dyDescent="0.25">
      <c r="A2301" t="s">
        <v>6018</v>
      </c>
      <c r="B2301" t="s">
        <v>6019</v>
      </c>
    </row>
    <row r="2302" spans="1:2" x14ac:dyDescent="0.25">
      <c r="A2302" t="s">
        <v>6019</v>
      </c>
      <c r="B2302" t="s">
        <v>6019</v>
      </c>
    </row>
    <row r="2303" spans="1:2" x14ac:dyDescent="0.25">
      <c r="A2303" t="s">
        <v>6020</v>
      </c>
      <c r="B2303" t="s">
        <v>6020</v>
      </c>
    </row>
    <row r="2304" spans="1:2" x14ac:dyDescent="0.25">
      <c r="A2304" t="s">
        <v>6021</v>
      </c>
      <c r="B2304" t="s">
        <v>4936</v>
      </c>
    </row>
    <row r="2305" spans="1:2" x14ac:dyDescent="0.25">
      <c r="A2305" t="s">
        <v>6022</v>
      </c>
      <c r="B2305" t="s">
        <v>2449</v>
      </c>
    </row>
    <row r="2306" spans="1:2" x14ac:dyDescent="0.25">
      <c r="A2306" t="s">
        <v>6023</v>
      </c>
      <c r="B2306" t="s">
        <v>6024</v>
      </c>
    </row>
    <row r="2307" spans="1:2" x14ac:dyDescent="0.25">
      <c r="A2307" t="s">
        <v>6025</v>
      </c>
      <c r="B2307" t="s">
        <v>6026</v>
      </c>
    </row>
    <row r="2308" spans="1:2" x14ac:dyDescent="0.25">
      <c r="A2308" t="s">
        <v>6027</v>
      </c>
      <c r="B2308" t="s">
        <v>6028</v>
      </c>
    </row>
    <row r="2309" spans="1:2" x14ac:dyDescent="0.25">
      <c r="A2309" t="s">
        <v>6029</v>
      </c>
      <c r="B2309" t="s">
        <v>2455</v>
      </c>
    </row>
    <row r="2310" spans="1:2" x14ac:dyDescent="0.25">
      <c r="A2310" t="s">
        <v>2744</v>
      </c>
      <c r="B2310" t="s">
        <v>2744</v>
      </c>
    </row>
    <row r="2311" spans="1:2" x14ac:dyDescent="0.25">
      <c r="A2311" t="s">
        <v>6030</v>
      </c>
      <c r="B2311" t="s">
        <v>2744</v>
      </c>
    </row>
    <row r="2312" spans="1:2" x14ac:dyDescent="0.25">
      <c r="A2312" t="s">
        <v>6031</v>
      </c>
      <c r="B2312" t="s">
        <v>6032</v>
      </c>
    </row>
    <row r="2313" spans="1:2" x14ac:dyDescent="0.25">
      <c r="A2313" t="s">
        <v>6033</v>
      </c>
      <c r="B2313" t="s">
        <v>6034</v>
      </c>
    </row>
    <row r="2314" spans="1:2" x14ac:dyDescent="0.25">
      <c r="A2314" t="s">
        <v>6035</v>
      </c>
      <c r="B2314" t="s">
        <v>5209</v>
      </c>
    </row>
    <row r="2315" spans="1:2" x14ac:dyDescent="0.25">
      <c r="A2315" t="s">
        <v>6036</v>
      </c>
      <c r="B2315" t="s">
        <v>4068</v>
      </c>
    </row>
    <row r="2316" spans="1:2" x14ac:dyDescent="0.25">
      <c r="A2316" t="s">
        <v>3073</v>
      </c>
      <c r="B2316" t="s">
        <v>3073</v>
      </c>
    </row>
    <row r="2317" spans="1:2" x14ac:dyDescent="0.25">
      <c r="A2317" t="s">
        <v>6037</v>
      </c>
      <c r="B2317" t="s">
        <v>3073</v>
      </c>
    </row>
    <row r="2318" spans="1:2" x14ac:dyDescent="0.25">
      <c r="A2318" t="s">
        <v>6038</v>
      </c>
      <c r="B2318" t="s">
        <v>4071</v>
      </c>
    </row>
    <row r="2319" spans="1:2" x14ac:dyDescent="0.25">
      <c r="A2319" t="s">
        <v>1498</v>
      </c>
      <c r="B2319" t="s">
        <v>1498</v>
      </c>
    </row>
    <row r="2320" spans="1:2" x14ac:dyDescent="0.25">
      <c r="A2320" t="s">
        <v>6039</v>
      </c>
      <c r="B2320" t="s">
        <v>1498</v>
      </c>
    </row>
    <row r="2321" spans="1:2" x14ac:dyDescent="0.25">
      <c r="A2321" t="s">
        <v>6040</v>
      </c>
      <c r="B2321" t="s">
        <v>3074</v>
      </c>
    </row>
    <row r="2322" spans="1:2" x14ac:dyDescent="0.25">
      <c r="A2322" t="s">
        <v>6041</v>
      </c>
      <c r="B2322" t="s">
        <v>4075</v>
      </c>
    </row>
    <row r="2323" spans="1:2" x14ac:dyDescent="0.25">
      <c r="A2323" t="s">
        <v>6042</v>
      </c>
      <c r="B2323" t="s">
        <v>2457</v>
      </c>
    </row>
    <row r="2324" spans="1:2" x14ac:dyDescent="0.25">
      <c r="A2324" t="s">
        <v>6043</v>
      </c>
      <c r="B2324" t="s">
        <v>4078</v>
      </c>
    </row>
    <row r="2325" spans="1:2" x14ac:dyDescent="0.25">
      <c r="A2325" t="s">
        <v>6044</v>
      </c>
      <c r="B2325" t="s">
        <v>6045</v>
      </c>
    </row>
    <row r="2326" spans="1:2" x14ac:dyDescent="0.25">
      <c r="A2326" t="s">
        <v>6046</v>
      </c>
      <c r="B2326" t="s">
        <v>2459</v>
      </c>
    </row>
    <row r="2327" spans="1:2" x14ac:dyDescent="0.25">
      <c r="A2327" t="s">
        <v>6047</v>
      </c>
      <c r="B2327" t="s">
        <v>6048</v>
      </c>
    </row>
    <row r="2328" spans="1:2" x14ac:dyDescent="0.25">
      <c r="A2328" t="s">
        <v>6049</v>
      </c>
      <c r="B2328" t="s">
        <v>6050</v>
      </c>
    </row>
    <row r="2329" spans="1:2" x14ac:dyDescent="0.25">
      <c r="A2329" t="s">
        <v>6051</v>
      </c>
      <c r="B2329" t="s">
        <v>4081</v>
      </c>
    </row>
    <row r="2330" spans="1:2" x14ac:dyDescent="0.25">
      <c r="A2330" t="s">
        <v>6052</v>
      </c>
      <c r="B2330" t="s">
        <v>6053</v>
      </c>
    </row>
    <row r="2331" spans="1:2" x14ac:dyDescent="0.25">
      <c r="A2331" t="s">
        <v>6054</v>
      </c>
      <c r="B2331" t="s">
        <v>2460</v>
      </c>
    </row>
    <row r="2332" spans="1:2" x14ac:dyDescent="0.25">
      <c r="A2332" t="s">
        <v>6055</v>
      </c>
      <c r="B2332" t="s">
        <v>4084</v>
      </c>
    </row>
    <row r="2333" spans="1:2" x14ac:dyDescent="0.25">
      <c r="A2333" t="s">
        <v>6056</v>
      </c>
      <c r="B2333" t="s">
        <v>3075</v>
      </c>
    </row>
    <row r="2334" spans="1:2" x14ac:dyDescent="0.25">
      <c r="A2334" t="s">
        <v>6057</v>
      </c>
      <c r="B2334" t="s">
        <v>4087</v>
      </c>
    </row>
    <row r="2335" spans="1:2" x14ac:dyDescent="0.25">
      <c r="A2335" t="s">
        <v>6058</v>
      </c>
      <c r="B2335" t="s">
        <v>6059</v>
      </c>
    </row>
    <row r="2336" spans="1:2" x14ac:dyDescent="0.25">
      <c r="A2336" t="s">
        <v>6060</v>
      </c>
      <c r="B2336" t="s">
        <v>4089</v>
      </c>
    </row>
    <row r="2337" spans="1:2" x14ac:dyDescent="0.25">
      <c r="A2337" t="s">
        <v>6061</v>
      </c>
      <c r="B2337" t="s">
        <v>4091</v>
      </c>
    </row>
    <row r="2338" spans="1:2" x14ac:dyDescent="0.25">
      <c r="A2338" t="s">
        <v>6062</v>
      </c>
      <c r="B2338" t="s">
        <v>3076</v>
      </c>
    </row>
    <row r="2339" spans="1:2" x14ac:dyDescent="0.25">
      <c r="A2339" t="s">
        <v>6063</v>
      </c>
      <c r="B2339" t="s">
        <v>5209</v>
      </c>
    </row>
    <row r="2340" spans="1:2" x14ac:dyDescent="0.25">
      <c r="A2340" t="s">
        <v>6064</v>
      </c>
      <c r="B2340" t="s">
        <v>6065</v>
      </c>
    </row>
    <row r="2341" spans="1:2" x14ac:dyDescent="0.25">
      <c r="A2341" t="s">
        <v>6065</v>
      </c>
      <c r="B2341" t="s">
        <v>6065</v>
      </c>
    </row>
    <row r="2342" spans="1:2" x14ac:dyDescent="0.25">
      <c r="A2342" t="s">
        <v>6066</v>
      </c>
      <c r="B2342" t="s">
        <v>6067</v>
      </c>
    </row>
    <row r="2343" spans="1:2" x14ac:dyDescent="0.25">
      <c r="A2343" t="s">
        <v>6067</v>
      </c>
      <c r="B2343" t="s">
        <v>6067</v>
      </c>
    </row>
    <row r="2344" spans="1:2" x14ac:dyDescent="0.25">
      <c r="A2344" t="s">
        <v>6068</v>
      </c>
      <c r="B2344" t="s">
        <v>6069</v>
      </c>
    </row>
    <row r="2345" spans="1:2" x14ac:dyDescent="0.25">
      <c r="A2345" t="s">
        <v>6069</v>
      </c>
      <c r="B2345" t="s">
        <v>6069</v>
      </c>
    </row>
    <row r="2346" spans="1:2" x14ac:dyDescent="0.25">
      <c r="A2346" t="s">
        <v>3077</v>
      </c>
      <c r="B2346" t="s">
        <v>3077</v>
      </c>
    </row>
    <row r="2347" spans="1:2" x14ac:dyDescent="0.25">
      <c r="A2347" t="s">
        <v>3078</v>
      </c>
      <c r="B2347" t="s">
        <v>3078</v>
      </c>
    </row>
    <row r="2348" spans="1:2" x14ac:dyDescent="0.25">
      <c r="A2348" t="s">
        <v>2418</v>
      </c>
      <c r="B2348" t="s">
        <v>2418</v>
      </c>
    </row>
    <row r="2349" spans="1:2" x14ac:dyDescent="0.25">
      <c r="A2349" t="s">
        <v>2419</v>
      </c>
      <c r="B2349" t="s">
        <v>2419</v>
      </c>
    </row>
    <row r="2350" spans="1:2" x14ac:dyDescent="0.25">
      <c r="A2350" t="s">
        <v>2249</v>
      </c>
      <c r="B2350" t="s">
        <v>2249</v>
      </c>
    </row>
    <row r="2351" spans="1:2" x14ac:dyDescent="0.25">
      <c r="A2351" t="s">
        <v>6070</v>
      </c>
      <c r="B2351" t="s">
        <v>2249</v>
      </c>
    </row>
    <row r="2352" spans="1:2" x14ac:dyDescent="0.25">
      <c r="A2352" t="s">
        <v>2420</v>
      </c>
      <c r="B2352" t="s">
        <v>2420</v>
      </c>
    </row>
    <row r="2353" spans="1:2" x14ac:dyDescent="0.25">
      <c r="A2353" t="s">
        <v>1401</v>
      </c>
      <c r="B2353" t="s">
        <v>1401</v>
      </c>
    </row>
    <row r="2354" spans="1:2" x14ac:dyDescent="0.25">
      <c r="A2354" t="s">
        <v>80</v>
      </c>
      <c r="B2354" t="s">
        <v>80</v>
      </c>
    </row>
    <row r="2355" spans="1:2" x14ac:dyDescent="0.25">
      <c r="A2355" t="s">
        <v>6071</v>
      </c>
      <c r="B2355" t="s">
        <v>80</v>
      </c>
    </row>
    <row r="2356" spans="1:2" x14ac:dyDescent="0.25">
      <c r="A2356" t="s">
        <v>6072</v>
      </c>
      <c r="B2356" t="s">
        <v>80</v>
      </c>
    </row>
    <row r="2357" spans="1:2" x14ac:dyDescent="0.25">
      <c r="A2357" t="s">
        <v>6073</v>
      </c>
      <c r="B2357" t="s">
        <v>80</v>
      </c>
    </row>
    <row r="2358" spans="1:2" x14ac:dyDescent="0.25">
      <c r="A2358" t="s">
        <v>6074</v>
      </c>
      <c r="B2358" t="s">
        <v>5209</v>
      </c>
    </row>
    <row r="2359" spans="1:2" x14ac:dyDescent="0.25">
      <c r="A2359" t="s">
        <v>6075</v>
      </c>
      <c r="B2359" t="s">
        <v>80</v>
      </c>
    </row>
    <row r="2360" spans="1:2" x14ac:dyDescent="0.25">
      <c r="A2360" t="s">
        <v>6076</v>
      </c>
      <c r="B2360" t="s">
        <v>2462</v>
      </c>
    </row>
    <row r="2361" spans="1:2" x14ac:dyDescent="0.25">
      <c r="A2361" t="s">
        <v>2462</v>
      </c>
      <c r="B2361" t="s">
        <v>2462</v>
      </c>
    </row>
    <row r="2362" spans="1:2" x14ac:dyDescent="0.25">
      <c r="A2362" t="s">
        <v>2421</v>
      </c>
      <c r="B2362" t="s">
        <v>2421</v>
      </c>
    </row>
    <row r="2363" spans="1:2" x14ac:dyDescent="0.25">
      <c r="A2363" t="s">
        <v>2422</v>
      </c>
      <c r="B2363" t="s">
        <v>2422</v>
      </c>
    </row>
    <row r="2364" spans="1:2" x14ac:dyDescent="0.25">
      <c r="A2364" t="s">
        <v>2423</v>
      </c>
      <c r="B2364" t="s">
        <v>2423</v>
      </c>
    </row>
    <row r="2365" spans="1:2" x14ac:dyDescent="0.25">
      <c r="A2365" t="s">
        <v>2424</v>
      </c>
      <c r="B2365" t="s">
        <v>2424</v>
      </c>
    </row>
    <row r="2366" spans="1:2" x14ac:dyDescent="0.25">
      <c r="A2366" t="s">
        <v>2425</v>
      </c>
      <c r="B2366" t="s">
        <v>2425</v>
      </c>
    </row>
    <row r="2367" spans="1:2" x14ac:dyDescent="0.25">
      <c r="A2367" t="s">
        <v>2426</v>
      </c>
      <c r="B2367" t="s">
        <v>2426</v>
      </c>
    </row>
    <row r="2368" spans="1:2" x14ac:dyDescent="0.25">
      <c r="A2368" t="s">
        <v>1494</v>
      </c>
      <c r="B2368" t="s">
        <v>1494</v>
      </c>
    </row>
    <row r="2369" spans="1:2" x14ac:dyDescent="0.25">
      <c r="A2369" t="s">
        <v>84</v>
      </c>
      <c r="B2369" t="s">
        <v>84</v>
      </c>
    </row>
    <row r="2370" spans="1:2" x14ac:dyDescent="0.25">
      <c r="A2370" t="s">
        <v>6077</v>
      </c>
      <c r="B2370" t="s">
        <v>84</v>
      </c>
    </row>
    <row r="2371" spans="1:2" x14ac:dyDescent="0.25">
      <c r="A2371" t="s">
        <v>6078</v>
      </c>
      <c r="B2371" t="s">
        <v>84</v>
      </c>
    </row>
    <row r="2372" spans="1:2" x14ac:dyDescent="0.25">
      <c r="A2372" t="s">
        <v>6079</v>
      </c>
      <c r="B2372" t="s">
        <v>84</v>
      </c>
    </row>
    <row r="2373" spans="1:2" x14ac:dyDescent="0.25">
      <c r="A2373" t="s">
        <v>2464</v>
      </c>
      <c r="B2373" t="s">
        <v>2464</v>
      </c>
    </row>
    <row r="2374" spans="1:2" x14ac:dyDescent="0.25">
      <c r="A2374" t="s">
        <v>6080</v>
      </c>
      <c r="B2374" t="s">
        <v>6081</v>
      </c>
    </row>
    <row r="2375" spans="1:2" x14ac:dyDescent="0.25">
      <c r="A2375" t="s">
        <v>6081</v>
      </c>
      <c r="B2375" t="s">
        <v>6081</v>
      </c>
    </row>
    <row r="2376" spans="1:2" x14ac:dyDescent="0.25">
      <c r="A2376" t="s">
        <v>6082</v>
      </c>
      <c r="B2376" t="s">
        <v>6083</v>
      </c>
    </row>
    <row r="2377" spans="1:2" x14ac:dyDescent="0.25">
      <c r="A2377" t="s">
        <v>6083</v>
      </c>
      <c r="B2377" t="s">
        <v>6083</v>
      </c>
    </row>
    <row r="2378" spans="1:2" x14ac:dyDescent="0.25">
      <c r="A2378" t="s">
        <v>6084</v>
      </c>
      <c r="B2378" t="s">
        <v>6085</v>
      </c>
    </row>
    <row r="2379" spans="1:2" x14ac:dyDescent="0.25">
      <c r="A2379" t="s">
        <v>3079</v>
      </c>
      <c r="B2379" t="s">
        <v>3079</v>
      </c>
    </row>
    <row r="2380" spans="1:2" x14ac:dyDescent="0.25">
      <c r="A2380" t="s">
        <v>3080</v>
      </c>
      <c r="B2380" t="s">
        <v>3080</v>
      </c>
    </row>
    <row r="2381" spans="1:2" x14ac:dyDescent="0.25">
      <c r="A2381" t="s">
        <v>2427</v>
      </c>
      <c r="B2381" t="s">
        <v>2427</v>
      </c>
    </row>
    <row r="2382" spans="1:2" x14ac:dyDescent="0.25">
      <c r="A2382" t="s">
        <v>2428</v>
      </c>
      <c r="B2382" t="s">
        <v>2428</v>
      </c>
    </row>
    <row r="2383" spans="1:2" x14ac:dyDescent="0.25">
      <c r="A2383" t="s">
        <v>477</v>
      </c>
      <c r="B2383" t="s">
        <v>477</v>
      </c>
    </row>
    <row r="2384" spans="1:2" x14ac:dyDescent="0.25">
      <c r="A2384" t="s">
        <v>6086</v>
      </c>
      <c r="B2384" t="s">
        <v>6087</v>
      </c>
    </row>
    <row r="2385" spans="1:2" x14ac:dyDescent="0.25">
      <c r="A2385" t="s">
        <v>6087</v>
      </c>
      <c r="B2385" t="s">
        <v>6087</v>
      </c>
    </row>
    <row r="2386" spans="1:2" x14ac:dyDescent="0.25">
      <c r="A2386" t="s">
        <v>87</v>
      </c>
      <c r="B2386" t="s">
        <v>87</v>
      </c>
    </row>
    <row r="2387" spans="1:2" x14ac:dyDescent="0.25">
      <c r="A2387" t="s">
        <v>6088</v>
      </c>
      <c r="B2387" t="s">
        <v>87</v>
      </c>
    </row>
    <row r="2388" spans="1:2" x14ac:dyDescent="0.25">
      <c r="A2388" t="s">
        <v>6089</v>
      </c>
      <c r="B2388" t="s">
        <v>87</v>
      </c>
    </row>
    <row r="2389" spans="1:2" x14ac:dyDescent="0.25">
      <c r="A2389" t="s">
        <v>6090</v>
      </c>
      <c r="B2389" t="s">
        <v>87</v>
      </c>
    </row>
    <row r="2390" spans="1:2" x14ac:dyDescent="0.25">
      <c r="A2390" t="s">
        <v>6091</v>
      </c>
      <c r="B2390" t="s">
        <v>3081</v>
      </c>
    </row>
    <row r="2391" spans="1:2" x14ac:dyDescent="0.25">
      <c r="A2391" t="s">
        <v>3081</v>
      </c>
      <c r="B2391" t="s">
        <v>3081</v>
      </c>
    </row>
    <row r="2392" spans="1:2" x14ac:dyDescent="0.25">
      <c r="A2392" t="s">
        <v>6092</v>
      </c>
      <c r="B2392" t="s">
        <v>2466</v>
      </c>
    </row>
    <row r="2393" spans="1:2" x14ac:dyDescent="0.25">
      <c r="A2393" t="s">
        <v>2466</v>
      </c>
      <c r="B2393" t="s">
        <v>2466</v>
      </c>
    </row>
    <row r="2394" spans="1:2" x14ac:dyDescent="0.25">
      <c r="A2394" t="s">
        <v>6093</v>
      </c>
      <c r="B2394" t="s">
        <v>6094</v>
      </c>
    </row>
    <row r="2395" spans="1:2" x14ac:dyDescent="0.25">
      <c r="A2395" t="s">
        <v>6095</v>
      </c>
      <c r="B2395" t="s">
        <v>6096</v>
      </c>
    </row>
    <row r="2396" spans="1:2" x14ac:dyDescent="0.25">
      <c r="A2396" t="s">
        <v>6097</v>
      </c>
      <c r="B2396" t="s">
        <v>6098</v>
      </c>
    </row>
    <row r="2397" spans="1:2" x14ac:dyDescent="0.25">
      <c r="A2397" t="s">
        <v>6098</v>
      </c>
      <c r="B2397" t="s">
        <v>6098</v>
      </c>
    </row>
    <row r="2398" spans="1:2" x14ac:dyDescent="0.25">
      <c r="A2398" t="s">
        <v>6099</v>
      </c>
      <c r="B2398" t="s">
        <v>6100</v>
      </c>
    </row>
    <row r="2399" spans="1:2" x14ac:dyDescent="0.25">
      <c r="A2399" t="s">
        <v>6101</v>
      </c>
      <c r="B2399" t="s">
        <v>6102</v>
      </c>
    </row>
    <row r="2400" spans="1:2" x14ac:dyDescent="0.25">
      <c r="A2400" t="s">
        <v>6103</v>
      </c>
      <c r="B2400" t="s">
        <v>6104</v>
      </c>
    </row>
    <row r="2401" spans="1:2" x14ac:dyDescent="0.25">
      <c r="A2401" t="s">
        <v>6105</v>
      </c>
      <c r="B2401" t="s">
        <v>6106</v>
      </c>
    </row>
    <row r="2402" spans="1:2" x14ac:dyDescent="0.25">
      <c r="A2402" t="s">
        <v>6106</v>
      </c>
      <c r="B2402" t="s">
        <v>6106</v>
      </c>
    </row>
    <row r="2403" spans="1:2" x14ac:dyDescent="0.25">
      <c r="A2403" t="s">
        <v>2250</v>
      </c>
      <c r="B2403" t="s">
        <v>2250</v>
      </c>
    </row>
    <row r="2404" spans="1:2" x14ac:dyDescent="0.25">
      <c r="A2404" t="s">
        <v>6107</v>
      </c>
      <c r="B2404" t="s">
        <v>2250</v>
      </c>
    </row>
    <row r="2405" spans="1:2" x14ac:dyDescent="0.25">
      <c r="A2405" t="s">
        <v>3082</v>
      </c>
      <c r="B2405" t="s">
        <v>3082</v>
      </c>
    </row>
    <row r="2406" spans="1:2" x14ac:dyDescent="0.25">
      <c r="A2406" t="s">
        <v>6108</v>
      </c>
      <c r="B2406" t="s">
        <v>3082</v>
      </c>
    </row>
    <row r="2407" spans="1:2" x14ac:dyDescent="0.25">
      <c r="A2407" t="s">
        <v>2746</v>
      </c>
      <c r="B2407" t="s">
        <v>2746</v>
      </c>
    </row>
    <row r="2408" spans="1:2" x14ac:dyDescent="0.25">
      <c r="A2408" t="s">
        <v>6109</v>
      </c>
      <c r="B2408" t="s">
        <v>2746</v>
      </c>
    </row>
    <row r="2409" spans="1:2" x14ac:dyDescent="0.25">
      <c r="A2409" t="s">
        <v>3083</v>
      </c>
      <c r="B2409" t="s">
        <v>3083</v>
      </c>
    </row>
    <row r="2410" spans="1:2" x14ac:dyDescent="0.25">
      <c r="A2410" t="s">
        <v>6110</v>
      </c>
      <c r="B2410" t="s">
        <v>3083</v>
      </c>
    </row>
    <row r="2411" spans="1:2" x14ac:dyDescent="0.25">
      <c r="A2411" t="s">
        <v>6111</v>
      </c>
      <c r="B2411" t="s">
        <v>6112</v>
      </c>
    </row>
    <row r="2412" spans="1:2" x14ac:dyDescent="0.25">
      <c r="A2412" t="s">
        <v>6113</v>
      </c>
      <c r="B2412" t="s">
        <v>2748</v>
      </c>
    </row>
    <row r="2413" spans="1:2" x14ac:dyDescent="0.25">
      <c r="A2413" t="s">
        <v>2748</v>
      </c>
      <c r="B2413" t="s">
        <v>2748</v>
      </c>
    </row>
    <row r="2414" spans="1:2" x14ac:dyDescent="0.25">
      <c r="A2414" t="s">
        <v>6114</v>
      </c>
      <c r="B2414" t="s">
        <v>2750</v>
      </c>
    </row>
    <row r="2415" spans="1:2" x14ac:dyDescent="0.25">
      <c r="A2415" t="s">
        <v>2750</v>
      </c>
      <c r="B2415" t="s">
        <v>2750</v>
      </c>
    </row>
    <row r="2416" spans="1:2" x14ac:dyDescent="0.25">
      <c r="A2416" t="s">
        <v>6115</v>
      </c>
      <c r="B2416" t="s">
        <v>6115</v>
      </c>
    </row>
    <row r="2417" spans="1:2" x14ac:dyDescent="0.25">
      <c r="A2417" t="s">
        <v>6116</v>
      </c>
      <c r="B2417" t="s">
        <v>2752</v>
      </c>
    </row>
    <row r="2418" spans="1:2" x14ac:dyDescent="0.25">
      <c r="A2418" t="s">
        <v>2752</v>
      </c>
      <c r="B2418" t="s">
        <v>2752</v>
      </c>
    </row>
    <row r="2419" spans="1:2" x14ac:dyDescent="0.25">
      <c r="A2419" t="s">
        <v>6117</v>
      </c>
      <c r="B2419" t="s">
        <v>6118</v>
      </c>
    </row>
    <row r="2420" spans="1:2" x14ac:dyDescent="0.25">
      <c r="A2420" t="s">
        <v>6118</v>
      </c>
      <c r="B2420" t="s">
        <v>6118</v>
      </c>
    </row>
    <row r="2421" spans="1:2" x14ac:dyDescent="0.25">
      <c r="A2421" t="s">
        <v>6119</v>
      </c>
      <c r="B2421" t="s">
        <v>6119</v>
      </c>
    </row>
    <row r="2422" spans="1:2" x14ac:dyDescent="0.25">
      <c r="A2422" t="s">
        <v>6120</v>
      </c>
      <c r="B2422" t="s">
        <v>6120</v>
      </c>
    </row>
    <row r="2423" spans="1:2" x14ac:dyDescent="0.25">
      <c r="A2423" t="s">
        <v>6121</v>
      </c>
      <c r="B2423" t="s">
        <v>2252</v>
      </c>
    </row>
    <row r="2424" spans="1:2" x14ac:dyDescent="0.25">
      <c r="A2424" t="s">
        <v>2252</v>
      </c>
      <c r="B2424" t="s">
        <v>2252</v>
      </c>
    </row>
    <row r="2425" spans="1:2" x14ac:dyDescent="0.25">
      <c r="A2425" t="s">
        <v>6122</v>
      </c>
      <c r="B2425" t="s">
        <v>2754</v>
      </c>
    </row>
    <row r="2426" spans="1:2" x14ac:dyDescent="0.25">
      <c r="A2426" t="s">
        <v>2754</v>
      </c>
      <c r="B2426" t="s">
        <v>2754</v>
      </c>
    </row>
    <row r="2427" spans="1:2" x14ac:dyDescent="0.25">
      <c r="A2427" t="s">
        <v>6123</v>
      </c>
      <c r="B2427" t="s">
        <v>3084</v>
      </c>
    </row>
    <row r="2428" spans="1:2" x14ac:dyDescent="0.25">
      <c r="A2428" t="s">
        <v>3084</v>
      </c>
      <c r="B2428" t="s">
        <v>3084</v>
      </c>
    </row>
    <row r="2429" spans="1:2" x14ac:dyDescent="0.25">
      <c r="A2429" t="s">
        <v>6124</v>
      </c>
      <c r="B2429" t="s">
        <v>6124</v>
      </c>
    </row>
    <row r="2430" spans="1:2" x14ac:dyDescent="0.25">
      <c r="A2430" t="s">
        <v>6125</v>
      </c>
      <c r="B2430" t="s">
        <v>6125</v>
      </c>
    </row>
    <row r="2431" spans="1:2" x14ac:dyDescent="0.25">
      <c r="A2431" t="s">
        <v>6126</v>
      </c>
      <c r="B2431" t="s">
        <v>2474</v>
      </c>
    </row>
    <row r="2432" spans="1:2" x14ac:dyDescent="0.25">
      <c r="A2432" t="s">
        <v>2474</v>
      </c>
      <c r="B2432" t="s">
        <v>2474</v>
      </c>
    </row>
    <row r="2433" spans="1:2" x14ac:dyDescent="0.25">
      <c r="A2433" t="s">
        <v>6127</v>
      </c>
      <c r="B2433" t="s">
        <v>6128</v>
      </c>
    </row>
    <row r="2434" spans="1:2" x14ac:dyDescent="0.25">
      <c r="A2434" t="s">
        <v>6128</v>
      </c>
      <c r="B2434" t="s">
        <v>6128</v>
      </c>
    </row>
    <row r="2435" spans="1:2" x14ac:dyDescent="0.25">
      <c r="A2435" t="s">
        <v>6129</v>
      </c>
      <c r="B2435" t="s">
        <v>2756</v>
      </c>
    </row>
    <row r="2436" spans="1:2" x14ac:dyDescent="0.25">
      <c r="A2436" t="s">
        <v>2756</v>
      </c>
      <c r="B2436" t="s">
        <v>2756</v>
      </c>
    </row>
    <row r="2437" spans="1:2" x14ac:dyDescent="0.25">
      <c r="A2437" t="s">
        <v>6130</v>
      </c>
      <c r="B2437" t="s">
        <v>5209</v>
      </c>
    </row>
    <row r="2438" spans="1:2" x14ac:dyDescent="0.25">
      <c r="A2438" t="s">
        <v>4028</v>
      </c>
      <c r="B2438" t="s">
        <v>4028</v>
      </c>
    </row>
    <row r="2439" spans="1:2" x14ac:dyDescent="0.25">
      <c r="A2439" t="s">
        <v>6131</v>
      </c>
      <c r="B2439" t="s">
        <v>4028</v>
      </c>
    </row>
    <row r="2440" spans="1:2" x14ac:dyDescent="0.25">
      <c r="A2440" t="s">
        <v>6132</v>
      </c>
      <c r="B2440" t="s">
        <v>4030</v>
      </c>
    </row>
    <row r="2441" spans="1:2" x14ac:dyDescent="0.25">
      <c r="A2441" t="s">
        <v>4040</v>
      </c>
      <c r="B2441" t="s">
        <v>4040</v>
      </c>
    </row>
    <row r="2442" spans="1:2" x14ac:dyDescent="0.25">
      <c r="A2442" t="s">
        <v>6133</v>
      </c>
      <c r="B2442" t="s">
        <v>4040</v>
      </c>
    </row>
    <row r="2443" spans="1:2" x14ac:dyDescent="0.25">
      <c r="A2443" t="s">
        <v>4044</v>
      </c>
      <c r="B2443" t="s">
        <v>4044</v>
      </c>
    </row>
    <row r="2444" spans="1:2" x14ac:dyDescent="0.25">
      <c r="A2444" t="s">
        <v>6134</v>
      </c>
      <c r="B2444" t="s">
        <v>4044</v>
      </c>
    </row>
    <row r="2445" spans="1:2" x14ac:dyDescent="0.25">
      <c r="A2445" t="s">
        <v>3085</v>
      </c>
      <c r="B2445" t="s">
        <v>3085</v>
      </c>
    </row>
    <row r="2446" spans="1:2" x14ac:dyDescent="0.25">
      <c r="A2446" t="s">
        <v>6135</v>
      </c>
      <c r="B2446" t="s">
        <v>3085</v>
      </c>
    </row>
    <row r="2447" spans="1:2" x14ac:dyDescent="0.25">
      <c r="A2447" t="s">
        <v>4053</v>
      </c>
      <c r="B2447" t="s">
        <v>4053</v>
      </c>
    </row>
    <row r="2448" spans="1:2" x14ac:dyDescent="0.25">
      <c r="A2448" t="s">
        <v>6136</v>
      </c>
      <c r="B2448" t="s">
        <v>4053</v>
      </c>
    </row>
    <row r="2449" spans="1:2" x14ac:dyDescent="0.25">
      <c r="A2449" t="s">
        <v>89</v>
      </c>
      <c r="B2449" t="s">
        <v>89</v>
      </c>
    </row>
    <row r="2450" spans="1:2" x14ac:dyDescent="0.25">
      <c r="A2450" t="s">
        <v>6137</v>
      </c>
      <c r="B2450" t="s">
        <v>89</v>
      </c>
    </row>
    <row r="2451" spans="1:2" x14ac:dyDescent="0.25">
      <c r="A2451" t="s">
        <v>6138</v>
      </c>
      <c r="B2451" t="s">
        <v>89</v>
      </c>
    </row>
    <row r="2452" spans="1:2" x14ac:dyDescent="0.25">
      <c r="A2452" t="s">
        <v>6139</v>
      </c>
      <c r="B2452" t="s">
        <v>89</v>
      </c>
    </row>
    <row r="2453" spans="1:2" x14ac:dyDescent="0.25">
      <c r="A2453" t="s">
        <v>6140</v>
      </c>
      <c r="B2453" t="s">
        <v>89</v>
      </c>
    </row>
    <row r="2454" spans="1:2" x14ac:dyDescent="0.25">
      <c r="A2454" t="s">
        <v>6141</v>
      </c>
      <c r="B2454" t="s">
        <v>89</v>
      </c>
    </row>
    <row r="2455" spans="1:2" x14ac:dyDescent="0.25">
      <c r="A2455" t="s">
        <v>93</v>
      </c>
      <c r="B2455" t="s">
        <v>93</v>
      </c>
    </row>
    <row r="2456" spans="1:2" x14ac:dyDescent="0.25">
      <c r="A2456" t="s">
        <v>6142</v>
      </c>
      <c r="B2456" t="s">
        <v>93</v>
      </c>
    </row>
    <row r="2457" spans="1:2" x14ac:dyDescent="0.25">
      <c r="A2457" t="s">
        <v>6143</v>
      </c>
      <c r="B2457" t="s">
        <v>93</v>
      </c>
    </row>
    <row r="2458" spans="1:2" x14ac:dyDescent="0.25">
      <c r="A2458" t="s">
        <v>6144</v>
      </c>
      <c r="B2458" t="s">
        <v>93</v>
      </c>
    </row>
    <row r="2459" spans="1:2" x14ac:dyDescent="0.25">
      <c r="A2459" t="s">
        <v>6145</v>
      </c>
      <c r="B2459" t="s">
        <v>93</v>
      </c>
    </row>
    <row r="2460" spans="1:2" x14ac:dyDescent="0.25">
      <c r="A2460" t="s">
        <v>95</v>
      </c>
      <c r="B2460" t="s">
        <v>95</v>
      </c>
    </row>
    <row r="2461" spans="1:2" x14ac:dyDescent="0.25">
      <c r="A2461" t="s">
        <v>6146</v>
      </c>
      <c r="B2461" t="s">
        <v>95</v>
      </c>
    </row>
    <row r="2462" spans="1:2" x14ac:dyDescent="0.25">
      <c r="A2462" t="s">
        <v>6147</v>
      </c>
      <c r="B2462" t="s">
        <v>95</v>
      </c>
    </row>
    <row r="2463" spans="1:2" x14ac:dyDescent="0.25">
      <c r="A2463" t="s">
        <v>6148</v>
      </c>
      <c r="B2463" t="s">
        <v>95</v>
      </c>
    </row>
    <row r="2464" spans="1:2" x14ac:dyDescent="0.25">
      <c r="A2464" t="s">
        <v>6149</v>
      </c>
      <c r="B2464" t="s">
        <v>4111</v>
      </c>
    </row>
    <row r="2465" spans="1:2" x14ac:dyDescent="0.25">
      <c r="A2465" t="s">
        <v>2477</v>
      </c>
      <c r="B2465" t="s">
        <v>2477</v>
      </c>
    </row>
    <row r="2466" spans="1:2" x14ac:dyDescent="0.25">
      <c r="A2466" t="s">
        <v>6150</v>
      </c>
      <c r="B2466" t="s">
        <v>2477</v>
      </c>
    </row>
    <row r="2467" spans="1:2" x14ac:dyDescent="0.25">
      <c r="A2467" t="s">
        <v>4098</v>
      </c>
      <c r="B2467" t="s">
        <v>4098</v>
      </c>
    </row>
    <row r="2468" spans="1:2" x14ac:dyDescent="0.25">
      <c r="A2468" t="s">
        <v>6151</v>
      </c>
      <c r="B2468" t="s">
        <v>4098</v>
      </c>
    </row>
    <row r="2469" spans="1:2" x14ac:dyDescent="0.25">
      <c r="A2469" t="s">
        <v>6152</v>
      </c>
      <c r="B2469" t="s">
        <v>4100</v>
      </c>
    </row>
    <row r="2470" spans="1:2" x14ac:dyDescent="0.25">
      <c r="A2470" t="s">
        <v>2395</v>
      </c>
      <c r="B2470" t="s">
        <v>2395</v>
      </c>
    </row>
    <row r="2471" spans="1:2" x14ac:dyDescent="0.25">
      <c r="A2471" t="s">
        <v>6153</v>
      </c>
      <c r="B2471" t="s">
        <v>2395</v>
      </c>
    </row>
    <row r="2472" spans="1:2" x14ac:dyDescent="0.25">
      <c r="A2472" t="s">
        <v>6154</v>
      </c>
      <c r="B2472" t="s">
        <v>4102</v>
      </c>
    </row>
    <row r="2473" spans="1:2" x14ac:dyDescent="0.25">
      <c r="A2473" t="s">
        <v>6155</v>
      </c>
      <c r="B2473" t="s">
        <v>4104</v>
      </c>
    </row>
    <row r="2474" spans="1:2" x14ac:dyDescent="0.25">
      <c r="A2474" t="s">
        <v>1793</v>
      </c>
      <c r="B2474" t="s">
        <v>1793</v>
      </c>
    </row>
    <row r="2475" spans="1:2" x14ac:dyDescent="0.25">
      <c r="A2475" t="s">
        <v>6156</v>
      </c>
      <c r="B2475" t="s">
        <v>1793</v>
      </c>
    </row>
    <row r="2476" spans="1:2" x14ac:dyDescent="0.25">
      <c r="A2476" t="s">
        <v>6157</v>
      </c>
      <c r="B2476" t="s">
        <v>1793</v>
      </c>
    </row>
    <row r="2477" spans="1:2" x14ac:dyDescent="0.25">
      <c r="A2477" t="s">
        <v>97</v>
      </c>
      <c r="B2477" t="s">
        <v>97</v>
      </c>
    </row>
    <row r="2478" spans="1:2" x14ac:dyDescent="0.25">
      <c r="A2478" t="s">
        <v>6158</v>
      </c>
      <c r="B2478" t="s">
        <v>97</v>
      </c>
    </row>
    <row r="2479" spans="1:2" x14ac:dyDescent="0.25">
      <c r="A2479" t="s">
        <v>6159</v>
      </c>
      <c r="B2479" t="s">
        <v>97</v>
      </c>
    </row>
    <row r="2480" spans="1:2" x14ac:dyDescent="0.25">
      <c r="A2480" t="s">
        <v>6160</v>
      </c>
      <c r="B2480" t="s">
        <v>97</v>
      </c>
    </row>
    <row r="2481" spans="1:2" x14ac:dyDescent="0.25">
      <c r="A2481" t="s">
        <v>6161</v>
      </c>
      <c r="B2481" t="s">
        <v>97</v>
      </c>
    </row>
    <row r="2482" spans="1:2" x14ac:dyDescent="0.25">
      <c r="A2482" t="s">
        <v>6162</v>
      </c>
      <c r="B2482" t="s">
        <v>97</v>
      </c>
    </row>
    <row r="2483" spans="1:2" x14ac:dyDescent="0.25">
      <c r="A2483" t="s">
        <v>6163</v>
      </c>
      <c r="B2483" t="s">
        <v>97</v>
      </c>
    </row>
    <row r="2484" spans="1:2" x14ac:dyDescent="0.25">
      <c r="A2484" t="s">
        <v>346</v>
      </c>
      <c r="B2484" t="s">
        <v>346</v>
      </c>
    </row>
    <row r="2485" spans="1:2" x14ac:dyDescent="0.25">
      <c r="A2485" t="s">
        <v>6164</v>
      </c>
      <c r="B2485" t="s">
        <v>346</v>
      </c>
    </row>
    <row r="2486" spans="1:2" x14ac:dyDescent="0.25">
      <c r="A2486" t="s">
        <v>6165</v>
      </c>
      <c r="B2486" t="s">
        <v>346</v>
      </c>
    </row>
    <row r="2487" spans="1:2" x14ac:dyDescent="0.25">
      <c r="A2487" t="s">
        <v>6166</v>
      </c>
      <c r="B2487" t="s">
        <v>3384</v>
      </c>
    </row>
    <row r="2488" spans="1:2" x14ac:dyDescent="0.25">
      <c r="A2488" t="s">
        <v>99</v>
      </c>
      <c r="B2488" t="s">
        <v>99</v>
      </c>
    </row>
    <row r="2489" spans="1:2" x14ac:dyDescent="0.25">
      <c r="A2489" t="s">
        <v>6167</v>
      </c>
      <c r="B2489" t="s">
        <v>99</v>
      </c>
    </row>
    <row r="2490" spans="1:2" x14ac:dyDescent="0.25">
      <c r="A2490" t="s">
        <v>6168</v>
      </c>
      <c r="B2490" t="s">
        <v>99</v>
      </c>
    </row>
    <row r="2491" spans="1:2" x14ac:dyDescent="0.25">
      <c r="A2491" t="s">
        <v>6169</v>
      </c>
      <c r="B2491" t="s">
        <v>99</v>
      </c>
    </row>
    <row r="2492" spans="1:2" x14ac:dyDescent="0.25">
      <c r="A2492" t="s">
        <v>998</v>
      </c>
      <c r="B2492" t="s">
        <v>998</v>
      </c>
    </row>
    <row r="2493" spans="1:2" x14ac:dyDescent="0.25">
      <c r="A2493" t="s">
        <v>6170</v>
      </c>
      <c r="B2493" t="s">
        <v>998</v>
      </c>
    </row>
    <row r="2494" spans="1:2" x14ac:dyDescent="0.25">
      <c r="A2494" t="s">
        <v>6171</v>
      </c>
      <c r="B2494" t="s">
        <v>998</v>
      </c>
    </row>
    <row r="2495" spans="1:2" x14ac:dyDescent="0.25">
      <c r="A2495" t="s">
        <v>6172</v>
      </c>
      <c r="B2495" t="s">
        <v>998</v>
      </c>
    </row>
    <row r="2496" spans="1:2" x14ac:dyDescent="0.25">
      <c r="A2496" t="s">
        <v>6173</v>
      </c>
      <c r="B2496" t="s">
        <v>4109</v>
      </c>
    </row>
    <row r="2497" spans="1:2" x14ac:dyDescent="0.25">
      <c r="A2497" t="s">
        <v>6174</v>
      </c>
      <c r="B2497" t="s">
        <v>4771</v>
      </c>
    </row>
    <row r="2498" spans="1:2" x14ac:dyDescent="0.25">
      <c r="A2498" t="s">
        <v>6175</v>
      </c>
      <c r="B2498" t="s">
        <v>3086</v>
      </c>
    </row>
    <row r="2499" spans="1:2" x14ac:dyDescent="0.25">
      <c r="A2499" t="s">
        <v>6176</v>
      </c>
      <c r="B2499" t="s">
        <v>4778</v>
      </c>
    </row>
    <row r="2500" spans="1:2" x14ac:dyDescent="0.25">
      <c r="A2500" t="s">
        <v>6177</v>
      </c>
      <c r="B2500" t="s">
        <v>4780</v>
      </c>
    </row>
    <row r="2501" spans="1:2" x14ac:dyDescent="0.25">
      <c r="A2501" t="s">
        <v>3087</v>
      </c>
      <c r="B2501" t="s">
        <v>3087</v>
      </c>
    </row>
    <row r="2502" spans="1:2" x14ac:dyDescent="0.25">
      <c r="A2502" t="s">
        <v>6178</v>
      </c>
      <c r="B2502" t="s">
        <v>6179</v>
      </c>
    </row>
    <row r="2503" spans="1:2" x14ac:dyDescent="0.25">
      <c r="A2503" t="s">
        <v>6180</v>
      </c>
      <c r="B2503" t="s">
        <v>6179</v>
      </c>
    </row>
    <row r="2504" spans="1:2" x14ac:dyDescent="0.25">
      <c r="A2504" t="s">
        <v>6181</v>
      </c>
      <c r="B2504" t="s">
        <v>4783</v>
      </c>
    </row>
    <row r="2505" spans="1:2" x14ac:dyDescent="0.25">
      <c r="A2505" t="s">
        <v>6182</v>
      </c>
      <c r="B2505" t="s">
        <v>4785</v>
      </c>
    </row>
    <row r="2506" spans="1:2" x14ac:dyDescent="0.25">
      <c r="A2506" t="s">
        <v>6183</v>
      </c>
      <c r="B2506" t="s">
        <v>4787</v>
      </c>
    </row>
    <row r="2507" spans="1:2" x14ac:dyDescent="0.25">
      <c r="A2507" t="s">
        <v>3088</v>
      </c>
      <c r="B2507" t="s">
        <v>3088</v>
      </c>
    </row>
    <row r="2508" spans="1:2" x14ac:dyDescent="0.25">
      <c r="A2508" t="s">
        <v>6184</v>
      </c>
      <c r="B2508" t="s">
        <v>6185</v>
      </c>
    </row>
    <row r="2509" spans="1:2" x14ac:dyDescent="0.25">
      <c r="A2509" t="s">
        <v>6186</v>
      </c>
      <c r="B2509" t="s">
        <v>6185</v>
      </c>
    </row>
    <row r="2510" spans="1:2" x14ac:dyDescent="0.25">
      <c r="A2510" t="s">
        <v>6187</v>
      </c>
      <c r="B2510" t="s">
        <v>6188</v>
      </c>
    </row>
    <row r="2511" spans="1:2" x14ac:dyDescent="0.25">
      <c r="A2511" t="s">
        <v>6189</v>
      </c>
      <c r="B2511" t="s">
        <v>4790</v>
      </c>
    </row>
    <row r="2512" spans="1:2" x14ac:dyDescent="0.25">
      <c r="A2512" t="s">
        <v>6190</v>
      </c>
      <c r="B2512" t="s">
        <v>4792</v>
      </c>
    </row>
    <row r="2513" spans="1:2" x14ac:dyDescent="0.25">
      <c r="A2513" t="s">
        <v>6191</v>
      </c>
      <c r="B2513" t="s">
        <v>4794</v>
      </c>
    </row>
    <row r="2514" spans="1:2" x14ac:dyDescent="0.25">
      <c r="A2514" t="s">
        <v>6192</v>
      </c>
      <c r="B2514" t="s">
        <v>4796</v>
      </c>
    </row>
    <row r="2515" spans="1:2" x14ac:dyDescent="0.25">
      <c r="A2515" t="s">
        <v>6193</v>
      </c>
      <c r="B2515" t="s">
        <v>4800</v>
      </c>
    </row>
    <row r="2516" spans="1:2" x14ac:dyDescent="0.25">
      <c r="A2516" t="s">
        <v>6194</v>
      </c>
      <c r="B2516" t="s">
        <v>4798</v>
      </c>
    </row>
    <row r="2517" spans="1:2" x14ac:dyDescent="0.25">
      <c r="A2517" t="s">
        <v>6195</v>
      </c>
      <c r="B2517" t="s">
        <v>6196</v>
      </c>
    </row>
    <row r="2518" spans="1:2" x14ac:dyDescent="0.25">
      <c r="A2518" t="s">
        <v>6197</v>
      </c>
      <c r="B2518" t="s">
        <v>4804</v>
      </c>
    </row>
    <row r="2519" spans="1:2" x14ac:dyDescent="0.25">
      <c r="A2519" t="s">
        <v>2339</v>
      </c>
      <c r="B2519" t="s">
        <v>2339</v>
      </c>
    </row>
    <row r="2520" spans="1:2" x14ac:dyDescent="0.25">
      <c r="A2520" t="s">
        <v>6198</v>
      </c>
      <c r="B2520" t="s">
        <v>4807</v>
      </c>
    </row>
    <row r="2521" spans="1:2" x14ac:dyDescent="0.25">
      <c r="A2521" t="s">
        <v>6199</v>
      </c>
      <c r="B2521" t="s">
        <v>4807</v>
      </c>
    </row>
    <row r="2522" spans="1:2" x14ac:dyDescent="0.25">
      <c r="A2522" t="s">
        <v>6200</v>
      </c>
      <c r="B2522" t="s">
        <v>2339</v>
      </c>
    </row>
    <row r="2523" spans="1:2" x14ac:dyDescent="0.25">
      <c r="A2523" t="s">
        <v>6201</v>
      </c>
      <c r="B2523" t="s">
        <v>4811</v>
      </c>
    </row>
    <row r="2524" spans="1:2" x14ac:dyDescent="0.25">
      <c r="A2524" t="s">
        <v>6202</v>
      </c>
      <c r="B2524" t="s">
        <v>4813</v>
      </c>
    </row>
    <row r="2525" spans="1:2" x14ac:dyDescent="0.25">
      <c r="A2525" t="s">
        <v>6203</v>
      </c>
      <c r="B2525" t="s">
        <v>4815</v>
      </c>
    </row>
    <row r="2526" spans="1:2" x14ac:dyDescent="0.25">
      <c r="A2526" t="s">
        <v>6204</v>
      </c>
      <c r="B2526" t="s">
        <v>4817</v>
      </c>
    </row>
    <row r="2527" spans="1:2" x14ac:dyDescent="0.25">
      <c r="A2527" t="s">
        <v>6205</v>
      </c>
      <c r="B2527" t="s">
        <v>4821</v>
      </c>
    </row>
    <row r="2528" spans="1:2" x14ac:dyDescent="0.25">
      <c r="A2528" t="s">
        <v>6206</v>
      </c>
      <c r="B2528" t="s">
        <v>6207</v>
      </c>
    </row>
    <row r="2529" spans="1:2" x14ac:dyDescent="0.25">
      <c r="A2529" t="s">
        <v>6208</v>
      </c>
      <c r="B2529" t="s">
        <v>4825</v>
      </c>
    </row>
    <row r="2530" spans="1:2" x14ac:dyDescent="0.25">
      <c r="A2530" t="s">
        <v>6209</v>
      </c>
      <c r="B2530" t="s">
        <v>4827</v>
      </c>
    </row>
    <row r="2531" spans="1:2" x14ac:dyDescent="0.25">
      <c r="A2531" t="s">
        <v>6210</v>
      </c>
      <c r="B2531" t="s">
        <v>4829</v>
      </c>
    </row>
    <row r="2532" spans="1:2" x14ac:dyDescent="0.25">
      <c r="A2532" t="s">
        <v>2341</v>
      </c>
      <c r="B2532" t="s">
        <v>2341</v>
      </c>
    </row>
    <row r="2533" spans="1:2" x14ac:dyDescent="0.25">
      <c r="A2533" t="s">
        <v>6211</v>
      </c>
      <c r="B2533" t="s">
        <v>2341</v>
      </c>
    </row>
    <row r="2534" spans="1:2" x14ac:dyDescent="0.25">
      <c r="A2534" t="s">
        <v>1570</v>
      </c>
      <c r="B2534" t="s">
        <v>1569</v>
      </c>
    </row>
    <row r="2535" spans="1:2" x14ac:dyDescent="0.25">
      <c r="A2535" t="s">
        <v>227</v>
      </c>
      <c r="B2535" t="s">
        <v>226</v>
      </c>
    </row>
    <row r="2536" spans="1:2" x14ac:dyDescent="0.25">
      <c r="A2536" t="s">
        <v>1656</v>
      </c>
      <c r="B2536" t="s">
        <v>1655</v>
      </c>
    </row>
    <row r="2537" spans="1:2" x14ac:dyDescent="0.25">
      <c r="A2537" t="s">
        <v>1962</v>
      </c>
      <c r="B2537" t="s">
        <v>1961</v>
      </c>
    </row>
    <row r="2538" spans="1:2" x14ac:dyDescent="0.25">
      <c r="A2538" t="s">
        <v>857</v>
      </c>
      <c r="B2538" t="s">
        <v>856</v>
      </c>
    </row>
    <row r="2539" spans="1:2" x14ac:dyDescent="0.25">
      <c r="A2539" t="s">
        <v>158</v>
      </c>
      <c r="B2539" t="s">
        <v>157</v>
      </c>
    </row>
    <row r="2540" spans="1:2" x14ac:dyDescent="0.25">
      <c r="A2540" t="s">
        <v>147</v>
      </c>
      <c r="B2540" t="s">
        <v>146</v>
      </c>
    </row>
    <row r="2541" spans="1:2" x14ac:dyDescent="0.25">
      <c r="A2541" t="s">
        <v>6212</v>
      </c>
      <c r="B2541" t="s">
        <v>2312</v>
      </c>
    </row>
    <row r="2542" spans="1:2" x14ac:dyDescent="0.25">
      <c r="A2542" t="s">
        <v>2759</v>
      </c>
      <c r="B2542" t="s">
        <v>2758</v>
      </c>
    </row>
    <row r="2543" spans="1:2" x14ac:dyDescent="0.25">
      <c r="A2543" t="s">
        <v>6213</v>
      </c>
      <c r="B2543" t="s">
        <v>746</v>
      </c>
    </row>
    <row r="2544" spans="1:2" x14ac:dyDescent="0.25">
      <c r="A2544" t="s">
        <v>798</v>
      </c>
      <c r="B2544" t="s">
        <v>797</v>
      </c>
    </row>
    <row r="2545" spans="1:2" x14ac:dyDescent="0.25">
      <c r="A2545" t="s">
        <v>6214</v>
      </c>
      <c r="B2545" t="s">
        <v>1014</v>
      </c>
    </row>
    <row r="2546" spans="1:2" x14ac:dyDescent="0.25">
      <c r="A2546" t="s">
        <v>1990</v>
      </c>
      <c r="B2546" t="s">
        <v>1989</v>
      </c>
    </row>
    <row r="2547" spans="1:2" x14ac:dyDescent="0.25">
      <c r="A2547" t="s">
        <v>1185</v>
      </c>
      <c r="B2547" t="s">
        <v>746</v>
      </c>
    </row>
    <row r="2548" spans="1:2" x14ac:dyDescent="0.25">
      <c r="A2548" t="s">
        <v>771</v>
      </c>
      <c r="B2548" t="s">
        <v>770</v>
      </c>
    </row>
    <row r="2549" spans="1:2" x14ac:dyDescent="0.25">
      <c r="A2549" t="s">
        <v>1996</v>
      </c>
      <c r="B2549" t="s">
        <v>1995</v>
      </c>
    </row>
    <row r="2550" spans="1:2" x14ac:dyDescent="0.25">
      <c r="A2550" t="s">
        <v>1010</v>
      </c>
      <c r="B2550" t="s">
        <v>1009</v>
      </c>
    </row>
    <row r="2551" spans="1:2" x14ac:dyDescent="0.25">
      <c r="A2551" t="s">
        <v>1015</v>
      </c>
      <c r="B2551" t="s">
        <v>1014</v>
      </c>
    </row>
    <row r="2552" spans="1:2" x14ac:dyDescent="0.25">
      <c r="A2552" t="s">
        <v>162</v>
      </c>
      <c r="B2552" t="s">
        <v>161</v>
      </c>
    </row>
    <row r="2553" spans="1:2" x14ac:dyDescent="0.25">
      <c r="A2553" t="s">
        <v>6215</v>
      </c>
      <c r="B2553" t="s">
        <v>167</v>
      </c>
    </row>
    <row r="2554" spans="1:2" x14ac:dyDescent="0.25">
      <c r="A2554" t="s">
        <v>6216</v>
      </c>
      <c r="B2554" t="s">
        <v>2539</v>
      </c>
    </row>
    <row r="2555" spans="1:2" x14ac:dyDescent="0.25">
      <c r="A2555" t="s">
        <v>6217</v>
      </c>
      <c r="B2555" t="s">
        <v>169</v>
      </c>
    </row>
    <row r="2556" spans="1:2" x14ac:dyDescent="0.25">
      <c r="A2556" t="s">
        <v>6218</v>
      </c>
      <c r="B2556" t="s">
        <v>1655</v>
      </c>
    </row>
    <row r="2557" spans="1:2" x14ac:dyDescent="0.25">
      <c r="A2557" t="s">
        <v>6219</v>
      </c>
      <c r="B2557" t="s">
        <v>1676</v>
      </c>
    </row>
    <row r="2558" spans="1:2" x14ac:dyDescent="0.25">
      <c r="A2558" t="s">
        <v>6220</v>
      </c>
      <c r="B2558" t="s">
        <v>1653</v>
      </c>
    </row>
    <row r="2559" spans="1:2" x14ac:dyDescent="0.25">
      <c r="A2559" t="s">
        <v>6221</v>
      </c>
      <c r="B2559" t="s">
        <v>853</v>
      </c>
    </row>
    <row r="2560" spans="1:2" x14ac:dyDescent="0.25">
      <c r="A2560" t="s">
        <v>6222</v>
      </c>
      <c r="B2560" t="s">
        <v>1667</v>
      </c>
    </row>
    <row r="2561" spans="1:2" x14ac:dyDescent="0.25">
      <c r="A2561" t="s">
        <v>6223</v>
      </c>
      <c r="B2561" t="s">
        <v>2804</v>
      </c>
    </row>
    <row r="2562" spans="1:2" x14ac:dyDescent="0.25">
      <c r="A2562" t="s">
        <v>6224</v>
      </c>
      <c r="B2562" t="s">
        <v>797</v>
      </c>
    </row>
    <row r="2563" spans="1:2" x14ac:dyDescent="0.25">
      <c r="A2563" t="s">
        <v>6225</v>
      </c>
      <c r="B2563" t="s">
        <v>1657</v>
      </c>
    </row>
    <row r="2564" spans="1:2" x14ac:dyDescent="0.25">
      <c r="A2564" t="s">
        <v>6226</v>
      </c>
      <c r="B2564" t="s">
        <v>770</v>
      </c>
    </row>
    <row r="2565" spans="1:2" x14ac:dyDescent="0.25">
      <c r="A2565" t="s">
        <v>737</v>
      </c>
      <c r="B2565" t="s">
        <v>736</v>
      </c>
    </row>
    <row r="2566" spans="1:2" x14ac:dyDescent="0.25">
      <c r="A2566" t="s">
        <v>2817</v>
      </c>
      <c r="B2566" t="s">
        <v>2816</v>
      </c>
    </row>
    <row r="2567" spans="1:2" x14ac:dyDescent="0.25">
      <c r="A2567" t="s">
        <v>1677</v>
      </c>
      <c r="B2567" t="s">
        <v>1676</v>
      </c>
    </row>
    <row r="2568" spans="1:2" x14ac:dyDescent="0.25">
      <c r="A2568" t="s">
        <v>2867</v>
      </c>
      <c r="B2568" t="s">
        <v>2866</v>
      </c>
    </row>
    <row r="2569" spans="1:2" x14ac:dyDescent="0.25">
      <c r="A2569" t="s">
        <v>1607</v>
      </c>
      <c r="B2569" t="s">
        <v>1606</v>
      </c>
    </row>
    <row r="2570" spans="1:2" x14ac:dyDescent="0.25">
      <c r="A2570" t="s">
        <v>1668</v>
      </c>
      <c r="B2570" t="s">
        <v>1667</v>
      </c>
    </row>
    <row r="2571" spans="1:2" x14ac:dyDescent="0.25">
      <c r="A2571" t="s">
        <v>2805</v>
      </c>
      <c r="B2571" t="s">
        <v>2804</v>
      </c>
    </row>
    <row r="2572" spans="1:2" x14ac:dyDescent="0.25">
      <c r="A2572" t="s">
        <v>851</v>
      </c>
      <c r="B2572" t="s">
        <v>850</v>
      </c>
    </row>
    <row r="2573" spans="1:2" x14ac:dyDescent="0.25">
      <c r="A2573" t="s">
        <v>349</v>
      </c>
      <c r="B2573" t="s">
        <v>348</v>
      </c>
    </row>
    <row r="2574" spans="1:2" x14ac:dyDescent="0.25">
      <c r="A2574" t="s">
        <v>756</v>
      </c>
      <c r="B2574" t="s">
        <v>755</v>
      </c>
    </row>
    <row r="2575" spans="1:2" x14ac:dyDescent="0.25">
      <c r="A2575" t="s">
        <v>768</v>
      </c>
      <c r="B2575" t="s">
        <v>767</v>
      </c>
    </row>
    <row r="2576" spans="1:2" x14ac:dyDescent="0.25">
      <c r="A2576" t="s">
        <v>854</v>
      </c>
      <c r="B2576" t="s">
        <v>853</v>
      </c>
    </row>
    <row r="2577" spans="1:2" x14ac:dyDescent="0.25">
      <c r="A2577" t="s">
        <v>172</v>
      </c>
      <c r="B2577" t="s">
        <v>171</v>
      </c>
    </row>
    <row r="2578" spans="1:2" x14ac:dyDescent="0.25">
      <c r="A2578" t="s">
        <v>150</v>
      </c>
      <c r="B2578" t="s">
        <v>149</v>
      </c>
    </row>
    <row r="2579" spans="1:2" x14ac:dyDescent="0.25">
      <c r="A2579" t="s">
        <v>229</v>
      </c>
      <c r="B2579" t="s">
        <v>228</v>
      </c>
    </row>
    <row r="2580" spans="1:2" x14ac:dyDescent="0.25">
      <c r="A2580" t="s">
        <v>138</v>
      </c>
      <c r="B2580" t="s">
        <v>137</v>
      </c>
    </row>
    <row r="2581" spans="1:2" x14ac:dyDescent="0.25">
      <c r="A2581" t="s">
        <v>1740</v>
      </c>
      <c r="B2581" t="s">
        <v>1739</v>
      </c>
    </row>
    <row r="2582" spans="1:2" x14ac:dyDescent="0.25">
      <c r="A2582" t="s">
        <v>1613</v>
      </c>
      <c r="B2582" t="s">
        <v>1612</v>
      </c>
    </row>
    <row r="2583" spans="1:2" x14ac:dyDescent="0.25">
      <c r="A2583" t="s">
        <v>134</v>
      </c>
      <c r="B2583" t="s">
        <v>133</v>
      </c>
    </row>
    <row r="2584" spans="1:2" x14ac:dyDescent="0.25">
      <c r="A2584" t="s">
        <v>1755</v>
      </c>
      <c r="B2584" t="s">
        <v>1754</v>
      </c>
    </row>
    <row r="2585" spans="1:2" x14ac:dyDescent="0.25">
      <c r="A2585" t="s">
        <v>145</v>
      </c>
      <c r="B2585" t="s">
        <v>144</v>
      </c>
    </row>
    <row r="2586" spans="1:2" x14ac:dyDescent="0.25">
      <c r="A2586" t="s">
        <v>6227</v>
      </c>
      <c r="B2586" t="s">
        <v>2324</v>
      </c>
    </row>
    <row r="2587" spans="1:2" x14ac:dyDescent="0.25">
      <c r="A2587" t="s">
        <v>1974</v>
      </c>
      <c r="B2587" t="s">
        <v>1973</v>
      </c>
    </row>
    <row r="2588" spans="1:2" x14ac:dyDescent="0.25">
      <c r="A2588" t="s">
        <v>743</v>
      </c>
      <c r="B2588" t="s">
        <v>742</v>
      </c>
    </row>
    <row r="2589" spans="1:2" x14ac:dyDescent="0.25">
      <c r="A2589" t="s">
        <v>141</v>
      </c>
      <c r="B2589" t="s">
        <v>140</v>
      </c>
    </row>
    <row r="2590" spans="1:2" x14ac:dyDescent="0.25">
      <c r="A2590" t="s">
        <v>1794</v>
      </c>
      <c r="B2590" t="s">
        <v>1793</v>
      </c>
    </row>
    <row r="2591" spans="1:2" x14ac:dyDescent="0.25">
      <c r="A2591" t="s">
        <v>1658</v>
      </c>
      <c r="B2591" t="s">
        <v>1657</v>
      </c>
    </row>
    <row r="2592" spans="1:2" x14ac:dyDescent="0.25">
      <c r="A2592" t="s">
        <v>1654</v>
      </c>
      <c r="B2592" t="s">
        <v>1653</v>
      </c>
    </row>
    <row r="2593" spans="1:2" x14ac:dyDescent="0.25">
      <c r="A2593" t="s">
        <v>1944</v>
      </c>
      <c r="B2593" t="s">
        <v>1943</v>
      </c>
    </row>
    <row r="2594" spans="1:2" x14ac:dyDescent="0.25">
      <c r="A2594" t="s">
        <v>6228</v>
      </c>
      <c r="B2594" t="s">
        <v>5209</v>
      </c>
    </row>
    <row r="2595" spans="1:2" x14ac:dyDescent="0.25">
      <c r="A2595" t="s">
        <v>3089</v>
      </c>
      <c r="B2595" t="s">
        <v>3089</v>
      </c>
    </row>
    <row r="2596" spans="1:2" x14ac:dyDescent="0.25">
      <c r="A2596" t="s">
        <v>6229</v>
      </c>
      <c r="B2596" t="s">
        <v>3089</v>
      </c>
    </row>
    <row r="2597" spans="1:2" x14ac:dyDescent="0.25">
      <c r="A2597" t="s">
        <v>3090</v>
      </c>
      <c r="B2597" t="s">
        <v>3090</v>
      </c>
    </row>
    <row r="2598" spans="1:2" x14ac:dyDescent="0.25">
      <c r="A2598" t="s">
        <v>6230</v>
      </c>
      <c r="B2598" t="s">
        <v>3090</v>
      </c>
    </row>
    <row r="2599" spans="1:2" x14ac:dyDescent="0.25">
      <c r="A2599" t="s">
        <v>104</v>
      </c>
      <c r="B2599" t="s">
        <v>104</v>
      </c>
    </row>
    <row r="2600" spans="1:2" x14ac:dyDescent="0.25">
      <c r="A2600" t="s">
        <v>6231</v>
      </c>
      <c r="B2600" t="s">
        <v>104</v>
      </c>
    </row>
    <row r="2601" spans="1:2" x14ac:dyDescent="0.25">
      <c r="A2601" t="s">
        <v>6232</v>
      </c>
      <c r="B2601" t="s">
        <v>104</v>
      </c>
    </row>
    <row r="2602" spans="1:2" x14ac:dyDescent="0.25">
      <c r="A2602" t="s">
        <v>6233</v>
      </c>
      <c r="B2602" t="s">
        <v>104</v>
      </c>
    </row>
    <row r="2603" spans="1:2" x14ac:dyDescent="0.25">
      <c r="A2603" t="s">
        <v>1465</v>
      </c>
      <c r="B2603" t="s">
        <v>1465</v>
      </c>
    </row>
    <row r="2604" spans="1:2" x14ac:dyDescent="0.25">
      <c r="A2604" t="s">
        <v>6234</v>
      </c>
      <c r="B2604" t="s">
        <v>1465</v>
      </c>
    </row>
    <row r="2605" spans="1:2" x14ac:dyDescent="0.25">
      <c r="A2605" t="s">
        <v>6235</v>
      </c>
      <c r="B2605" t="s">
        <v>6236</v>
      </c>
    </row>
    <row r="2606" spans="1:2" x14ac:dyDescent="0.25">
      <c r="A2606" t="s">
        <v>6237</v>
      </c>
      <c r="B2606" t="s">
        <v>1465</v>
      </c>
    </row>
    <row r="2607" spans="1:2" x14ac:dyDescent="0.25">
      <c r="A2607" t="s">
        <v>6238</v>
      </c>
      <c r="B2607" t="s">
        <v>6239</v>
      </c>
    </row>
    <row r="2608" spans="1:2" x14ac:dyDescent="0.25">
      <c r="A2608" t="s">
        <v>6240</v>
      </c>
      <c r="B2608" t="s">
        <v>1465</v>
      </c>
    </row>
    <row r="2609" spans="1:2" x14ac:dyDescent="0.25">
      <c r="A2609" t="s">
        <v>6241</v>
      </c>
      <c r="B2609" t="s">
        <v>1465</v>
      </c>
    </row>
    <row r="2610" spans="1:2" x14ac:dyDescent="0.25">
      <c r="A2610" t="s">
        <v>6242</v>
      </c>
      <c r="B2610" t="s">
        <v>6243</v>
      </c>
    </row>
    <row r="2611" spans="1:2" x14ac:dyDescent="0.25">
      <c r="A2611" t="s">
        <v>6244</v>
      </c>
      <c r="B2611" t="s">
        <v>1465</v>
      </c>
    </row>
    <row r="2612" spans="1:2" x14ac:dyDescent="0.25">
      <c r="A2612" t="s">
        <v>3091</v>
      </c>
      <c r="B2612" t="s">
        <v>3091</v>
      </c>
    </row>
    <row r="2613" spans="1:2" x14ac:dyDescent="0.25">
      <c r="A2613" t="s">
        <v>6245</v>
      </c>
      <c r="B2613" t="s">
        <v>3091</v>
      </c>
    </row>
    <row r="2614" spans="1:2" x14ac:dyDescent="0.25">
      <c r="A2614" t="s">
        <v>3092</v>
      </c>
      <c r="B2614" t="s">
        <v>3092</v>
      </c>
    </row>
    <row r="2615" spans="1:2" x14ac:dyDescent="0.25">
      <c r="A2615" t="s">
        <v>6246</v>
      </c>
      <c r="B2615" t="s">
        <v>3092</v>
      </c>
    </row>
    <row r="2616" spans="1:2" x14ac:dyDescent="0.25">
      <c r="A2616" t="s">
        <v>1985</v>
      </c>
      <c r="B2616" t="s">
        <v>1985</v>
      </c>
    </row>
    <row r="2617" spans="1:2" x14ac:dyDescent="0.25">
      <c r="A2617" t="s">
        <v>6247</v>
      </c>
      <c r="B2617" t="s">
        <v>1985</v>
      </c>
    </row>
    <row r="2618" spans="1:2" x14ac:dyDescent="0.25">
      <c r="A2618" t="s">
        <v>2814</v>
      </c>
      <c r="B2618" t="s">
        <v>2814</v>
      </c>
    </row>
    <row r="2619" spans="1:2" x14ac:dyDescent="0.25">
      <c r="A2619" t="s">
        <v>6248</v>
      </c>
      <c r="B2619" t="s">
        <v>2814</v>
      </c>
    </row>
    <row r="2620" spans="1:2" x14ac:dyDescent="0.25">
      <c r="A2620" t="s">
        <v>818</v>
      </c>
      <c r="B2620" t="s">
        <v>818</v>
      </c>
    </row>
    <row r="2621" spans="1:2" x14ac:dyDescent="0.25">
      <c r="A2621" t="s">
        <v>6249</v>
      </c>
      <c r="B2621" t="s">
        <v>818</v>
      </c>
    </row>
    <row r="2622" spans="1:2" x14ac:dyDescent="0.25">
      <c r="A2622" t="s">
        <v>6250</v>
      </c>
      <c r="B2622" t="s">
        <v>818</v>
      </c>
    </row>
    <row r="2623" spans="1:2" x14ac:dyDescent="0.25">
      <c r="A2623" t="s">
        <v>6251</v>
      </c>
      <c r="B2623" t="s">
        <v>818</v>
      </c>
    </row>
    <row r="2624" spans="1:2" x14ac:dyDescent="0.25">
      <c r="A2624" t="s">
        <v>6252</v>
      </c>
      <c r="B2624" t="s">
        <v>5209</v>
      </c>
    </row>
    <row r="2625" spans="1:2" x14ac:dyDescent="0.25">
      <c r="A2625" t="s">
        <v>6253</v>
      </c>
      <c r="B2625" t="s">
        <v>818</v>
      </c>
    </row>
    <row r="2626" spans="1:2" x14ac:dyDescent="0.25">
      <c r="A2626" t="s">
        <v>6254</v>
      </c>
      <c r="B2626" t="s">
        <v>818</v>
      </c>
    </row>
    <row r="2627" spans="1:2" x14ac:dyDescent="0.25">
      <c r="A2627" t="s">
        <v>821</v>
      </c>
      <c r="B2627" t="s">
        <v>821</v>
      </c>
    </row>
    <row r="2628" spans="1:2" x14ac:dyDescent="0.25">
      <c r="A2628" t="s">
        <v>6255</v>
      </c>
      <c r="B2628" t="s">
        <v>821</v>
      </c>
    </row>
    <row r="2629" spans="1:2" x14ac:dyDescent="0.25">
      <c r="A2629" t="s">
        <v>2324</v>
      </c>
      <c r="B2629" t="s">
        <v>2324</v>
      </c>
    </row>
    <row r="2630" spans="1:2" x14ac:dyDescent="0.25">
      <c r="A2630" t="s">
        <v>6256</v>
      </c>
      <c r="B2630" t="s">
        <v>2324</v>
      </c>
    </row>
    <row r="2631" spans="1:2" x14ac:dyDescent="0.25">
      <c r="A2631" t="s">
        <v>6257</v>
      </c>
      <c r="B2631" t="s">
        <v>2324</v>
      </c>
    </row>
    <row r="2632" spans="1:2" x14ac:dyDescent="0.25">
      <c r="A2632" t="s">
        <v>6258</v>
      </c>
      <c r="B2632" t="s">
        <v>2324</v>
      </c>
    </row>
    <row r="2633" spans="1:2" x14ac:dyDescent="0.25">
      <c r="A2633" t="s">
        <v>1193</v>
      </c>
      <c r="B2633" t="s">
        <v>1193</v>
      </c>
    </row>
    <row r="2634" spans="1:2" x14ac:dyDescent="0.25">
      <c r="A2634" t="s">
        <v>6259</v>
      </c>
      <c r="B2634" t="s">
        <v>1193</v>
      </c>
    </row>
    <row r="2635" spans="1:2" x14ac:dyDescent="0.25">
      <c r="A2635" t="s">
        <v>2816</v>
      </c>
      <c r="B2635" t="s">
        <v>2816</v>
      </c>
    </row>
    <row r="2636" spans="1:2" x14ac:dyDescent="0.25">
      <c r="A2636" t="s">
        <v>6260</v>
      </c>
      <c r="B2636" t="s">
        <v>2816</v>
      </c>
    </row>
    <row r="2637" spans="1:2" x14ac:dyDescent="0.25">
      <c r="A2637" t="s">
        <v>6261</v>
      </c>
      <c r="B2637" t="s">
        <v>2816</v>
      </c>
    </row>
    <row r="2638" spans="1:2" x14ac:dyDescent="0.25">
      <c r="A2638" t="s">
        <v>1995</v>
      </c>
      <c r="B2638" t="s">
        <v>1995</v>
      </c>
    </row>
    <row r="2639" spans="1:2" x14ac:dyDescent="0.25">
      <c r="A2639" t="s">
        <v>6262</v>
      </c>
      <c r="B2639" t="s">
        <v>1995</v>
      </c>
    </row>
    <row r="2640" spans="1:2" x14ac:dyDescent="0.25">
      <c r="A2640" t="s">
        <v>6263</v>
      </c>
      <c r="B2640" t="s">
        <v>1995</v>
      </c>
    </row>
    <row r="2641" spans="1:2" x14ac:dyDescent="0.25">
      <c r="A2641" t="s">
        <v>1665</v>
      </c>
      <c r="B2641" t="s">
        <v>1665</v>
      </c>
    </row>
    <row r="2642" spans="1:2" x14ac:dyDescent="0.25">
      <c r="A2642" t="s">
        <v>6264</v>
      </c>
      <c r="B2642" t="s">
        <v>1665</v>
      </c>
    </row>
    <row r="2643" spans="1:2" x14ac:dyDescent="0.25">
      <c r="A2643" t="s">
        <v>6265</v>
      </c>
      <c r="B2643" t="s">
        <v>1665</v>
      </c>
    </row>
    <row r="2644" spans="1:2" x14ac:dyDescent="0.25">
      <c r="A2644" t="s">
        <v>6266</v>
      </c>
      <c r="B2644" t="s">
        <v>1665</v>
      </c>
    </row>
    <row r="2645" spans="1:2" x14ac:dyDescent="0.25">
      <c r="A2645" t="s">
        <v>1702</v>
      </c>
      <c r="B2645" t="s">
        <v>1702</v>
      </c>
    </row>
    <row r="2646" spans="1:2" x14ac:dyDescent="0.25">
      <c r="A2646" t="s">
        <v>6267</v>
      </c>
      <c r="B2646" t="s">
        <v>1702</v>
      </c>
    </row>
    <row r="2647" spans="1:2" x14ac:dyDescent="0.25">
      <c r="A2647" t="s">
        <v>6268</v>
      </c>
      <c r="B2647" t="s">
        <v>1702</v>
      </c>
    </row>
    <row r="2648" spans="1:2" x14ac:dyDescent="0.25">
      <c r="A2648" t="s">
        <v>2431</v>
      </c>
      <c r="B2648" t="s">
        <v>2431</v>
      </c>
    </row>
    <row r="2649" spans="1:2" x14ac:dyDescent="0.25">
      <c r="A2649" t="s">
        <v>6269</v>
      </c>
      <c r="B2649" t="s">
        <v>2431</v>
      </c>
    </row>
    <row r="2650" spans="1:2" x14ac:dyDescent="0.25">
      <c r="A2650" t="s">
        <v>1704</v>
      </c>
      <c r="B2650" t="s">
        <v>1704</v>
      </c>
    </row>
    <row r="2651" spans="1:2" x14ac:dyDescent="0.25">
      <c r="A2651" t="s">
        <v>6270</v>
      </c>
      <c r="B2651" t="s">
        <v>1704</v>
      </c>
    </row>
    <row r="2652" spans="1:2" x14ac:dyDescent="0.25">
      <c r="A2652" t="s">
        <v>6271</v>
      </c>
      <c r="B2652" t="s">
        <v>1704</v>
      </c>
    </row>
    <row r="2653" spans="1:2" x14ac:dyDescent="0.25">
      <c r="A2653" t="s">
        <v>6272</v>
      </c>
      <c r="B2653" t="s">
        <v>1704</v>
      </c>
    </row>
    <row r="2654" spans="1:2" x14ac:dyDescent="0.25">
      <c r="A2654" t="s">
        <v>2852</v>
      </c>
      <c r="B2654" t="s">
        <v>2852</v>
      </c>
    </row>
    <row r="2655" spans="1:2" x14ac:dyDescent="0.25">
      <c r="A2655" t="s">
        <v>6273</v>
      </c>
      <c r="B2655" t="s">
        <v>2852</v>
      </c>
    </row>
    <row r="2656" spans="1:2" x14ac:dyDescent="0.25">
      <c r="A2656" t="s">
        <v>6274</v>
      </c>
      <c r="B2656" t="s">
        <v>2852</v>
      </c>
    </row>
    <row r="2657" spans="1:2" x14ac:dyDescent="0.25">
      <c r="A2657" t="s">
        <v>883</v>
      </c>
      <c r="B2657" t="s">
        <v>883</v>
      </c>
    </row>
    <row r="2658" spans="1:2" x14ac:dyDescent="0.25">
      <c r="A2658" t="s">
        <v>6275</v>
      </c>
      <c r="B2658" t="s">
        <v>883</v>
      </c>
    </row>
    <row r="2659" spans="1:2" x14ac:dyDescent="0.25">
      <c r="A2659" t="s">
        <v>2479</v>
      </c>
      <c r="B2659" t="s">
        <v>2479</v>
      </c>
    </row>
    <row r="2660" spans="1:2" x14ac:dyDescent="0.25">
      <c r="A2660" t="s">
        <v>6276</v>
      </c>
      <c r="B2660" t="s">
        <v>2479</v>
      </c>
    </row>
    <row r="2661" spans="1:2" x14ac:dyDescent="0.25">
      <c r="A2661" t="s">
        <v>2694</v>
      </c>
      <c r="B2661" t="s">
        <v>2694</v>
      </c>
    </row>
    <row r="2662" spans="1:2" x14ac:dyDescent="0.25">
      <c r="A2662" t="s">
        <v>6277</v>
      </c>
      <c r="B2662" t="s">
        <v>2694</v>
      </c>
    </row>
    <row r="2663" spans="1:2" x14ac:dyDescent="0.25">
      <c r="A2663" t="s">
        <v>2698</v>
      </c>
      <c r="B2663" t="s">
        <v>2698</v>
      </c>
    </row>
    <row r="2664" spans="1:2" x14ac:dyDescent="0.25">
      <c r="A2664" t="s">
        <v>6278</v>
      </c>
      <c r="B2664" t="s">
        <v>2698</v>
      </c>
    </row>
    <row r="2665" spans="1:2" x14ac:dyDescent="0.25">
      <c r="A2665" t="s">
        <v>2854</v>
      </c>
      <c r="B2665" t="s">
        <v>2854</v>
      </c>
    </row>
    <row r="2666" spans="1:2" x14ac:dyDescent="0.25">
      <c r="A2666" t="s">
        <v>6279</v>
      </c>
      <c r="B2666" t="s">
        <v>2854</v>
      </c>
    </row>
    <row r="2667" spans="1:2" x14ac:dyDescent="0.25">
      <c r="A2667" t="s">
        <v>6280</v>
      </c>
      <c r="B2667" t="s">
        <v>2854</v>
      </c>
    </row>
    <row r="2668" spans="1:2" x14ac:dyDescent="0.25">
      <c r="A2668" t="s">
        <v>2856</v>
      </c>
      <c r="B2668" t="s">
        <v>2856</v>
      </c>
    </row>
    <row r="2669" spans="1:2" x14ac:dyDescent="0.25">
      <c r="A2669" t="s">
        <v>6281</v>
      </c>
      <c r="B2669" t="s">
        <v>2856</v>
      </c>
    </row>
    <row r="2670" spans="1:2" x14ac:dyDescent="0.25">
      <c r="A2670" t="s">
        <v>6282</v>
      </c>
      <c r="B2670" t="s">
        <v>2856</v>
      </c>
    </row>
    <row r="2671" spans="1:2" x14ac:dyDescent="0.25">
      <c r="A2671" t="s">
        <v>6283</v>
      </c>
      <c r="B2671" t="s">
        <v>1665</v>
      </c>
    </row>
    <row r="2672" spans="1:2" x14ac:dyDescent="0.25">
      <c r="A2672" t="s">
        <v>825</v>
      </c>
      <c r="B2672" t="s">
        <v>825</v>
      </c>
    </row>
    <row r="2673" spans="1:2" x14ac:dyDescent="0.25">
      <c r="A2673" t="s">
        <v>6284</v>
      </c>
      <c r="B2673" t="s">
        <v>825</v>
      </c>
    </row>
    <row r="2674" spans="1:2" x14ac:dyDescent="0.25">
      <c r="A2674" t="s">
        <v>6285</v>
      </c>
      <c r="B2674" t="s">
        <v>825</v>
      </c>
    </row>
    <row r="2675" spans="1:2" x14ac:dyDescent="0.25">
      <c r="A2675" t="s">
        <v>6286</v>
      </c>
      <c r="B2675" t="s">
        <v>825</v>
      </c>
    </row>
    <row r="2676" spans="1:2" x14ac:dyDescent="0.25">
      <c r="A2676" t="s">
        <v>887</v>
      </c>
      <c r="B2676" t="s">
        <v>887</v>
      </c>
    </row>
    <row r="2677" spans="1:2" x14ac:dyDescent="0.25">
      <c r="A2677" t="s">
        <v>6287</v>
      </c>
      <c r="B2677" t="s">
        <v>887</v>
      </c>
    </row>
    <row r="2678" spans="1:2" x14ac:dyDescent="0.25">
      <c r="A2678" t="s">
        <v>6288</v>
      </c>
      <c r="B2678" t="s">
        <v>887</v>
      </c>
    </row>
    <row r="2679" spans="1:2" x14ac:dyDescent="0.25">
      <c r="A2679" t="s">
        <v>2350</v>
      </c>
      <c r="B2679" t="s">
        <v>2350</v>
      </c>
    </row>
    <row r="2680" spans="1:2" x14ac:dyDescent="0.25">
      <c r="A2680" t="s">
        <v>6289</v>
      </c>
      <c r="B2680" t="s">
        <v>2350</v>
      </c>
    </row>
    <row r="2681" spans="1:2" x14ac:dyDescent="0.25">
      <c r="A2681" t="s">
        <v>6290</v>
      </c>
      <c r="B2681" t="s">
        <v>2350</v>
      </c>
    </row>
    <row r="2682" spans="1:2" x14ac:dyDescent="0.25">
      <c r="A2682" t="s">
        <v>2351</v>
      </c>
      <c r="B2682" t="s">
        <v>2351</v>
      </c>
    </row>
    <row r="2683" spans="1:2" x14ac:dyDescent="0.25">
      <c r="A2683" t="s">
        <v>6291</v>
      </c>
      <c r="B2683" t="s">
        <v>2351</v>
      </c>
    </row>
    <row r="2684" spans="1:2" x14ac:dyDescent="0.25">
      <c r="A2684" t="s">
        <v>6292</v>
      </c>
      <c r="B2684" t="s">
        <v>2351</v>
      </c>
    </row>
    <row r="2685" spans="1:2" x14ac:dyDescent="0.25">
      <c r="A2685" t="s">
        <v>2352</v>
      </c>
      <c r="B2685" t="s">
        <v>2352</v>
      </c>
    </row>
    <row r="2686" spans="1:2" x14ac:dyDescent="0.25">
      <c r="A2686" t="s">
        <v>6293</v>
      </c>
      <c r="B2686" t="s">
        <v>2352</v>
      </c>
    </row>
    <row r="2687" spans="1:2" x14ac:dyDescent="0.25">
      <c r="A2687" t="s">
        <v>6294</v>
      </c>
      <c r="B2687" t="s">
        <v>2352</v>
      </c>
    </row>
    <row r="2688" spans="1:2" x14ac:dyDescent="0.25">
      <c r="A2688" t="s">
        <v>1706</v>
      </c>
      <c r="B2688" t="s">
        <v>1706</v>
      </c>
    </row>
    <row r="2689" spans="1:2" x14ac:dyDescent="0.25">
      <c r="A2689" t="s">
        <v>6295</v>
      </c>
      <c r="B2689" t="s">
        <v>1706</v>
      </c>
    </row>
    <row r="2690" spans="1:2" x14ac:dyDescent="0.25">
      <c r="A2690" t="s">
        <v>6296</v>
      </c>
      <c r="B2690" t="s">
        <v>1706</v>
      </c>
    </row>
    <row r="2691" spans="1:2" x14ac:dyDescent="0.25">
      <c r="A2691" t="s">
        <v>6297</v>
      </c>
      <c r="B2691" t="s">
        <v>5089</v>
      </c>
    </row>
    <row r="2692" spans="1:2" x14ac:dyDescent="0.25">
      <c r="A2692" t="s">
        <v>1708</v>
      </c>
      <c r="B2692" t="s">
        <v>1708</v>
      </c>
    </row>
    <row r="2693" spans="1:2" x14ac:dyDescent="0.25">
      <c r="A2693" t="s">
        <v>6298</v>
      </c>
      <c r="B2693" t="s">
        <v>1708</v>
      </c>
    </row>
    <row r="2694" spans="1:2" x14ac:dyDescent="0.25">
      <c r="A2694" t="s">
        <v>305</v>
      </c>
      <c r="B2694" t="s">
        <v>305</v>
      </c>
    </row>
    <row r="2695" spans="1:2" x14ac:dyDescent="0.25">
      <c r="A2695" t="s">
        <v>6299</v>
      </c>
      <c r="B2695" t="s">
        <v>305</v>
      </c>
    </row>
    <row r="2696" spans="1:2" x14ac:dyDescent="0.25">
      <c r="A2696" t="s">
        <v>6300</v>
      </c>
      <c r="B2696" t="s">
        <v>305</v>
      </c>
    </row>
    <row r="2697" spans="1:2" x14ac:dyDescent="0.25">
      <c r="A2697" t="s">
        <v>6301</v>
      </c>
      <c r="B2697" t="s">
        <v>305</v>
      </c>
    </row>
    <row r="2698" spans="1:2" x14ac:dyDescent="0.25">
      <c r="A2698" t="s">
        <v>6302</v>
      </c>
      <c r="B2698" t="s">
        <v>305</v>
      </c>
    </row>
    <row r="2699" spans="1:2" x14ac:dyDescent="0.25">
      <c r="A2699" t="s">
        <v>6303</v>
      </c>
      <c r="B2699" t="s">
        <v>2429</v>
      </c>
    </row>
    <row r="2700" spans="1:2" x14ac:dyDescent="0.25">
      <c r="A2700" t="s">
        <v>6304</v>
      </c>
      <c r="B2700" t="s">
        <v>2430</v>
      </c>
    </row>
    <row r="2701" spans="1:2" x14ac:dyDescent="0.25">
      <c r="A2701" t="s">
        <v>6305</v>
      </c>
      <c r="B2701" t="s">
        <v>825</v>
      </c>
    </row>
    <row r="2702" spans="1:2" x14ac:dyDescent="0.25">
      <c r="A2702" t="s">
        <v>828</v>
      </c>
      <c r="B2702" t="s">
        <v>828</v>
      </c>
    </row>
    <row r="2703" spans="1:2" x14ac:dyDescent="0.25">
      <c r="A2703" t="s">
        <v>6306</v>
      </c>
      <c r="B2703" t="s">
        <v>828</v>
      </c>
    </row>
    <row r="2704" spans="1:2" x14ac:dyDescent="0.25">
      <c r="A2704" t="s">
        <v>6307</v>
      </c>
      <c r="B2704" t="s">
        <v>828</v>
      </c>
    </row>
    <row r="2705" spans="1:2" x14ac:dyDescent="0.25">
      <c r="A2705" t="s">
        <v>2360</v>
      </c>
      <c r="B2705" t="s">
        <v>2360</v>
      </c>
    </row>
    <row r="2706" spans="1:2" x14ac:dyDescent="0.25">
      <c r="A2706" t="s">
        <v>6308</v>
      </c>
      <c r="B2706" t="s">
        <v>2360</v>
      </c>
    </row>
    <row r="2707" spans="1:2" x14ac:dyDescent="0.25">
      <c r="A2707" t="s">
        <v>6309</v>
      </c>
      <c r="B2707" t="s">
        <v>5050</v>
      </c>
    </row>
    <row r="2708" spans="1:2" x14ac:dyDescent="0.25">
      <c r="A2708" t="s">
        <v>916</v>
      </c>
      <c r="B2708" t="s">
        <v>916</v>
      </c>
    </row>
    <row r="2709" spans="1:2" x14ac:dyDescent="0.25">
      <c r="A2709" t="s">
        <v>6310</v>
      </c>
      <c r="B2709" t="s">
        <v>916</v>
      </c>
    </row>
    <row r="2710" spans="1:2" x14ac:dyDescent="0.25">
      <c r="A2710" t="s">
        <v>6311</v>
      </c>
      <c r="B2710" t="s">
        <v>3093</v>
      </c>
    </row>
    <row r="2711" spans="1:2" x14ac:dyDescent="0.25">
      <c r="A2711" t="s">
        <v>1735</v>
      </c>
      <c r="B2711" t="s">
        <v>1735</v>
      </c>
    </row>
    <row r="2712" spans="1:2" x14ac:dyDescent="0.25">
      <c r="A2712" t="s">
        <v>6312</v>
      </c>
      <c r="B2712" t="s">
        <v>1735</v>
      </c>
    </row>
    <row r="2713" spans="1:2" x14ac:dyDescent="0.25">
      <c r="A2713" t="s">
        <v>3094</v>
      </c>
      <c r="B2713" t="s">
        <v>3094</v>
      </c>
    </row>
    <row r="2714" spans="1:2" x14ac:dyDescent="0.25">
      <c r="A2714" t="s">
        <v>6313</v>
      </c>
      <c r="B2714" t="s">
        <v>3094</v>
      </c>
    </row>
    <row r="2715" spans="1:2" x14ac:dyDescent="0.25">
      <c r="A2715" t="s">
        <v>6314</v>
      </c>
      <c r="B2715" t="s">
        <v>3095</v>
      </c>
    </row>
    <row r="2716" spans="1:2" x14ac:dyDescent="0.25">
      <c r="A2716" t="s">
        <v>6315</v>
      </c>
      <c r="B2716" t="s">
        <v>3096</v>
      </c>
    </row>
    <row r="2717" spans="1:2" x14ac:dyDescent="0.25">
      <c r="A2717" t="s">
        <v>2860</v>
      </c>
      <c r="B2717" t="s">
        <v>2860</v>
      </c>
    </row>
    <row r="2718" spans="1:2" x14ac:dyDescent="0.25">
      <c r="A2718" t="s">
        <v>6316</v>
      </c>
      <c r="B2718" t="s">
        <v>2860</v>
      </c>
    </row>
    <row r="2719" spans="1:2" x14ac:dyDescent="0.25">
      <c r="A2719" t="s">
        <v>6317</v>
      </c>
      <c r="B2719" t="s">
        <v>3097</v>
      </c>
    </row>
    <row r="2720" spans="1:2" x14ac:dyDescent="0.25">
      <c r="A2720" t="s">
        <v>6318</v>
      </c>
      <c r="B2720" t="s">
        <v>828</v>
      </c>
    </row>
    <row r="2721" spans="1:2" x14ac:dyDescent="0.25">
      <c r="A2721" t="s">
        <v>2818</v>
      </c>
      <c r="B2721" t="s">
        <v>2818</v>
      </c>
    </row>
    <row r="2722" spans="1:2" x14ac:dyDescent="0.25">
      <c r="A2722" t="s">
        <v>6319</v>
      </c>
      <c r="B2722" t="s">
        <v>2818</v>
      </c>
    </row>
    <row r="2723" spans="1:2" x14ac:dyDescent="0.25">
      <c r="A2723" t="s">
        <v>6320</v>
      </c>
      <c r="B2723" t="s">
        <v>2818</v>
      </c>
    </row>
    <row r="2724" spans="1:2" x14ac:dyDescent="0.25">
      <c r="A2724" t="s">
        <v>6321</v>
      </c>
      <c r="B2724" t="s">
        <v>2818</v>
      </c>
    </row>
    <row r="2725" spans="1:2" x14ac:dyDescent="0.25">
      <c r="A2725" t="s">
        <v>6322</v>
      </c>
      <c r="B2725" t="s">
        <v>2818</v>
      </c>
    </row>
    <row r="2726" spans="1:2" x14ac:dyDescent="0.25">
      <c r="A2726" t="s">
        <v>6323</v>
      </c>
      <c r="B2726" t="s">
        <v>5095</v>
      </c>
    </row>
    <row r="2727" spans="1:2" x14ac:dyDescent="0.25">
      <c r="A2727" t="s">
        <v>6324</v>
      </c>
      <c r="B2727" t="s">
        <v>3098</v>
      </c>
    </row>
    <row r="2728" spans="1:2" x14ac:dyDescent="0.25">
      <c r="A2728" t="s">
        <v>6325</v>
      </c>
      <c r="B2728" t="s">
        <v>5209</v>
      </c>
    </row>
    <row r="2729" spans="1:2" x14ac:dyDescent="0.25">
      <c r="A2729" t="s">
        <v>6326</v>
      </c>
      <c r="B2729" t="s">
        <v>3099</v>
      </c>
    </row>
    <row r="2730" spans="1:2" x14ac:dyDescent="0.25">
      <c r="A2730" t="s">
        <v>3100</v>
      </c>
      <c r="B2730" t="s">
        <v>3100</v>
      </c>
    </row>
    <row r="2731" spans="1:2" x14ac:dyDescent="0.25">
      <c r="A2731" t="s">
        <v>6327</v>
      </c>
      <c r="B2731" t="s">
        <v>3100</v>
      </c>
    </row>
    <row r="2732" spans="1:2" x14ac:dyDescent="0.25">
      <c r="A2732" t="s">
        <v>6328</v>
      </c>
      <c r="B2732" t="s">
        <v>3101</v>
      </c>
    </row>
    <row r="2733" spans="1:2" x14ac:dyDescent="0.25">
      <c r="A2733" t="s">
        <v>6329</v>
      </c>
      <c r="B2733" t="s">
        <v>3102</v>
      </c>
    </row>
    <row r="2734" spans="1:2" x14ac:dyDescent="0.25">
      <c r="A2734" t="s">
        <v>6330</v>
      </c>
      <c r="B2734" t="s">
        <v>3103</v>
      </c>
    </row>
    <row r="2735" spans="1:2" x14ac:dyDescent="0.25">
      <c r="A2735" t="s">
        <v>6331</v>
      </c>
      <c r="B2735" t="s">
        <v>3104</v>
      </c>
    </row>
    <row r="2736" spans="1:2" x14ac:dyDescent="0.25">
      <c r="A2736" t="s">
        <v>2862</v>
      </c>
      <c r="B2736" t="s">
        <v>2862</v>
      </c>
    </row>
    <row r="2737" spans="1:2" x14ac:dyDescent="0.25">
      <c r="A2737" t="s">
        <v>6332</v>
      </c>
      <c r="B2737" t="s">
        <v>2862</v>
      </c>
    </row>
    <row r="2738" spans="1:2" x14ac:dyDescent="0.25">
      <c r="A2738" t="s">
        <v>1737</v>
      </c>
      <c r="B2738" t="s">
        <v>1737</v>
      </c>
    </row>
    <row r="2739" spans="1:2" x14ac:dyDescent="0.25">
      <c r="A2739" t="s">
        <v>6333</v>
      </c>
      <c r="B2739" t="s">
        <v>1737</v>
      </c>
    </row>
    <row r="2740" spans="1:2" x14ac:dyDescent="0.25">
      <c r="A2740" t="s">
        <v>1197</v>
      </c>
      <c r="B2740" t="s">
        <v>1197</v>
      </c>
    </row>
    <row r="2741" spans="1:2" x14ac:dyDescent="0.25">
      <c r="A2741" t="s">
        <v>6334</v>
      </c>
      <c r="B2741" t="s">
        <v>1197</v>
      </c>
    </row>
    <row r="2742" spans="1:2" x14ac:dyDescent="0.25">
      <c r="A2742" t="s">
        <v>6335</v>
      </c>
      <c r="B2742" t="s">
        <v>5209</v>
      </c>
    </row>
    <row r="2743" spans="1:2" x14ac:dyDescent="0.25">
      <c r="A2743" t="s">
        <v>6336</v>
      </c>
      <c r="B2743" t="s">
        <v>2818</v>
      </c>
    </row>
    <row r="2744" spans="1:2" x14ac:dyDescent="0.25">
      <c r="A2744" t="s">
        <v>1667</v>
      </c>
      <c r="B2744" t="s">
        <v>1667</v>
      </c>
    </row>
    <row r="2745" spans="1:2" x14ac:dyDescent="0.25">
      <c r="A2745" t="s">
        <v>6337</v>
      </c>
      <c r="B2745" t="s">
        <v>1667</v>
      </c>
    </row>
    <row r="2746" spans="1:2" x14ac:dyDescent="0.25">
      <c r="A2746" t="s">
        <v>6338</v>
      </c>
      <c r="B2746" t="s">
        <v>1667</v>
      </c>
    </row>
    <row r="2747" spans="1:2" x14ac:dyDescent="0.25">
      <c r="A2747" t="s">
        <v>6339</v>
      </c>
      <c r="B2747" t="s">
        <v>5106</v>
      </c>
    </row>
    <row r="2748" spans="1:2" x14ac:dyDescent="0.25">
      <c r="A2748" t="s">
        <v>2361</v>
      </c>
      <c r="B2748" t="s">
        <v>2361</v>
      </c>
    </row>
    <row r="2749" spans="1:2" x14ac:dyDescent="0.25">
      <c r="A2749" t="s">
        <v>2864</v>
      </c>
      <c r="B2749" t="s">
        <v>2864</v>
      </c>
    </row>
    <row r="2750" spans="1:2" x14ac:dyDescent="0.25">
      <c r="A2750" t="s">
        <v>6340</v>
      </c>
      <c r="B2750" t="s">
        <v>2864</v>
      </c>
    </row>
    <row r="2751" spans="1:2" x14ac:dyDescent="0.25">
      <c r="A2751" t="s">
        <v>1754</v>
      </c>
      <c r="B2751" t="s">
        <v>1754</v>
      </c>
    </row>
    <row r="2752" spans="1:2" x14ac:dyDescent="0.25">
      <c r="A2752" t="s">
        <v>6341</v>
      </c>
      <c r="B2752" t="s">
        <v>1754</v>
      </c>
    </row>
    <row r="2753" spans="1:2" x14ac:dyDescent="0.25">
      <c r="A2753" t="s">
        <v>6342</v>
      </c>
      <c r="B2753" t="s">
        <v>1754</v>
      </c>
    </row>
    <row r="2754" spans="1:2" x14ac:dyDescent="0.25">
      <c r="A2754" t="s">
        <v>6343</v>
      </c>
      <c r="B2754" t="s">
        <v>1754</v>
      </c>
    </row>
    <row r="2755" spans="1:2" x14ac:dyDescent="0.25">
      <c r="A2755" t="s">
        <v>6344</v>
      </c>
      <c r="B2755" t="s">
        <v>1754</v>
      </c>
    </row>
    <row r="2756" spans="1:2" x14ac:dyDescent="0.25">
      <c r="A2756" t="s">
        <v>6345</v>
      </c>
      <c r="B2756" t="s">
        <v>5199</v>
      </c>
    </row>
    <row r="2757" spans="1:2" x14ac:dyDescent="0.25">
      <c r="A2757" t="s">
        <v>2366</v>
      </c>
      <c r="B2757" t="s">
        <v>2366</v>
      </c>
    </row>
    <row r="2758" spans="1:2" x14ac:dyDescent="0.25">
      <c r="A2758" t="s">
        <v>6346</v>
      </c>
      <c r="B2758" t="s">
        <v>2366</v>
      </c>
    </row>
    <row r="2759" spans="1:2" x14ac:dyDescent="0.25">
      <c r="A2759" t="s">
        <v>6347</v>
      </c>
      <c r="B2759" t="s">
        <v>3105</v>
      </c>
    </row>
    <row r="2760" spans="1:2" x14ac:dyDescent="0.25">
      <c r="A2760" t="s">
        <v>3106</v>
      </c>
      <c r="B2760" t="s">
        <v>3106</v>
      </c>
    </row>
    <row r="2761" spans="1:2" x14ac:dyDescent="0.25">
      <c r="A2761" t="s">
        <v>6348</v>
      </c>
      <c r="B2761" t="s">
        <v>3106</v>
      </c>
    </row>
    <row r="2762" spans="1:2" x14ac:dyDescent="0.25">
      <c r="A2762" t="s">
        <v>3107</v>
      </c>
      <c r="B2762" t="s">
        <v>3107</v>
      </c>
    </row>
    <row r="2763" spans="1:2" x14ac:dyDescent="0.25">
      <c r="A2763" t="s">
        <v>6349</v>
      </c>
      <c r="B2763" t="s">
        <v>3107</v>
      </c>
    </row>
    <row r="2764" spans="1:2" x14ac:dyDescent="0.25">
      <c r="A2764" t="s">
        <v>325</v>
      </c>
      <c r="B2764" t="s">
        <v>325</v>
      </c>
    </row>
    <row r="2765" spans="1:2" x14ac:dyDescent="0.25">
      <c r="A2765" t="s">
        <v>6350</v>
      </c>
      <c r="B2765" t="s">
        <v>325</v>
      </c>
    </row>
    <row r="2766" spans="1:2" x14ac:dyDescent="0.25">
      <c r="A2766" t="s">
        <v>6351</v>
      </c>
      <c r="B2766" t="s">
        <v>325</v>
      </c>
    </row>
    <row r="2767" spans="1:2" x14ac:dyDescent="0.25">
      <c r="A2767" t="s">
        <v>6352</v>
      </c>
      <c r="B2767" t="s">
        <v>1667</v>
      </c>
    </row>
    <row r="2768" spans="1:2" x14ac:dyDescent="0.25">
      <c r="A2768" t="s">
        <v>831</v>
      </c>
      <c r="B2768" t="s">
        <v>831</v>
      </c>
    </row>
    <row r="2769" spans="1:2" x14ac:dyDescent="0.25">
      <c r="A2769" t="s">
        <v>6353</v>
      </c>
      <c r="B2769" t="s">
        <v>831</v>
      </c>
    </row>
    <row r="2770" spans="1:2" x14ac:dyDescent="0.25">
      <c r="A2770" t="s">
        <v>6354</v>
      </c>
      <c r="B2770" t="s">
        <v>831</v>
      </c>
    </row>
    <row r="2771" spans="1:2" x14ac:dyDescent="0.25">
      <c r="A2771" t="s">
        <v>327</v>
      </c>
      <c r="B2771" t="s">
        <v>327</v>
      </c>
    </row>
    <row r="2772" spans="1:2" x14ac:dyDescent="0.25">
      <c r="A2772" t="s">
        <v>6355</v>
      </c>
      <c r="B2772" t="s">
        <v>327</v>
      </c>
    </row>
    <row r="2773" spans="1:2" x14ac:dyDescent="0.25">
      <c r="A2773" t="s">
        <v>6356</v>
      </c>
      <c r="B2773" t="s">
        <v>327</v>
      </c>
    </row>
    <row r="2774" spans="1:2" x14ac:dyDescent="0.25">
      <c r="A2774" t="s">
        <v>6357</v>
      </c>
      <c r="B2774" t="s">
        <v>327</v>
      </c>
    </row>
    <row r="2775" spans="1:2" x14ac:dyDescent="0.25">
      <c r="A2775" t="s">
        <v>329</v>
      </c>
      <c r="B2775" t="s">
        <v>329</v>
      </c>
    </row>
    <row r="2776" spans="1:2" x14ac:dyDescent="0.25">
      <c r="A2776" t="s">
        <v>6358</v>
      </c>
      <c r="B2776" t="s">
        <v>329</v>
      </c>
    </row>
    <row r="2777" spans="1:2" x14ac:dyDescent="0.25">
      <c r="A2777" t="s">
        <v>6359</v>
      </c>
      <c r="B2777" t="s">
        <v>329</v>
      </c>
    </row>
    <row r="2778" spans="1:2" x14ac:dyDescent="0.25">
      <c r="A2778" t="s">
        <v>331</v>
      </c>
      <c r="B2778" t="s">
        <v>331</v>
      </c>
    </row>
    <row r="2779" spans="1:2" x14ac:dyDescent="0.25">
      <c r="A2779" t="s">
        <v>6360</v>
      </c>
      <c r="B2779" t="s">
        <v>331</v>
      </c>
    </row>
    <row r="2780" spans="1:2" x14ac:dyDescent="0.25">
      <c r="A2780" t="s">
        <v>6361</v>
      </c>
      <c r="B2780" t="s">
        <v>331</v>
      </c>
    </row>
    <row r="2781" spans="1:2" x14ac:dyDescent="0.25">
      <c r="A2781" t="s">
        <v>1756</v>
      </c>
      <c r="B2781" t="s">
        <v>1756</v>
      </c>
    </row>
    <row r="2782" spans="1:2" x14ac:dyDescent="0.25">
      <c r="A2782" t="s">
        <v>6362</v>
      </c>
      <c r="B2782" t="s">
        <v>1756</v>
      </c>
    </row>
    <row r="2783" spans="1:2" x14ac:dyDescent="0.25">
      <c r="A2783" t="s">
        <v>6363</v>
      </c>
      <c r="B2783" t="s">
        <v>1756</v>
      </c>
    </row>
    <row r="2784" spans="1:2" x14ac:dyDescent="0.25">
      <c r="A2784" t="s">
        <v>2878</v>
      </c>
      <c r="B2784" t="s">
        <v>2878</v>
      </c>
    </row>
    <row r="2785" spans="1:2" x14ac:dyDescent="0.25">
      <c r="A2785" t="s">
        <v>6364</v>
      </c>
      <c r="B2785" t="s">
        <v>2878</v>
      </c>
    </row>
    <row r="2786" spans="1:2" x14ac:dyDescent="0.25">
      <c r="A2786" t="s">
        <v>6365</v>
      </c>
      <c r="B2786" t="s">
        <v>2878</v>
      </c>
    </row>
    <row r="2787" spans="1:2" x14ac:dyDescent="0.25">
      <c r="A2787" t="s">
        <v>1758</v>
      </c>
      <c r="B2787" t="s">
        <v>1758</v>
      </c>
    </row>
    <row r="2788" spans="1:2" x14ac:dyDescent="0.25">
      <c r="A2788" t="s">
        <v>6366</v>
      </c>
      <c r="B2788" t="s">
        <v>1758</v>
      </c>
    </row>
    <row r="2789" spans="1:2" x14ac:dyDescent="0.25">
      <c r="A2789" t="s">
        <v>6367</v>
      </c>
      <c r="B2789" t="s">
        <v>1758</v>
      </c>
    </row>
    <row r="2790" spans="1:2" x14ac:dyDescent="0.25">
      <c r="A2790" t="s">
        <v>6368</v>
      </c>
      <c r="B2790" t="s">
        <v>1758</v>
      </c>
    </row>
    <row r="2791" spans="1:2" x14ac:dyDescent="0.25">
      <c r="A2791" t="s">
        <v>6369</v>
      </c>
      <c r="B2791" t="s">
        <v>1758</v>
      </c>
    </row>
    <row r="2792" spans="1:2" x14ac:dyDescent="0.25">
      <c r="A2792" t="s">
        <v>2367</v>
      </c>
      <c r="B2792" t="s">
        <v>2367</v>
      </c>
    </row>
    <row r="2793" spans="1:2" x14ac:dyDescent="0.25">
      <c r="A2793" t="s">
        <v>6370</v>
      </c>
      <c r="B2793" t="s">
        <v>2367</v>
      </c>
    </row>
    <row r="2794" spans="1:2" x14ac:dyDescent="0.25">
      <c r="A2794" t="s">
        <v>6371</v>
      </c>
      <c r="B2794" t="s">
        <v>2367</v>
      </c>
    </row>
    <row r="2795" spans="1:2" x14ac:dyDescent="0.25">
      <c r="A2795" t="s">
        <v>1760</v>
      </c>
      <c r="B2795" t="s">
        <v>1760</v>
      </c>
    </row>
    <row r="2796" spans="1:2" x14ac:dyDescent="0.25">
      <c r="A2796" t="s">
        <v>6372</v>
      </c>
      <c r="B2796" t="s">
        <v>1760</v>
      </c>
    </row>
    <row r="2797" spans="1:2" x14ac:dyDescent="0.25">
      <c r="A2797" t="s">
        <v>1762</v>
      </c>
      <c r="B2797" t="s">
        <v>1762</v>
      </c>
    </row>
    <row r="2798" spans="1:2" x14ac:dyDescent="0.25">
      <c r="A2798" t="s">
        <v>6373</v>
      </c>
      <c r="B2798" t="s">
        <v>1762</v>
      </c>
    </row>
    <row r="2799" spans="1:2" x14ac:dyDescent="0.25">
      <c r="A2799" t="s">
        <v>2880</v>
      </c>
      <c r="B2799" t="s">
        <v>2880</v>
      </c>
    </row>
    <row r="2800" spans="1:2" x14ac:dyDescent="0.25">
      <c r="A2800" t="s">
        <v>6374</v>
      </c>
      <c r="B2800" t="s">
        <v>2880</v>
      </c>
    </row>
    <row r="2801" spans="1:2" x14ac:dyDescent="0.25">
      <c r="A2801" t="s">
        <v>6375</v>
      </c>
      <c r="B2801" t="s">
        <v>2880</v>
      </c>
    </row>
    <row r="2802" spans="1:2" x14ac:dyDescent="0.25">
      <c r="A2802" t="s">
        <v>6376</v>
      </c>
      <c r="B2802" t="s">
        <v>4733</v>
      </c>
    </row>
    <row r="2803" spans="1:2" x14ac:dyDescent="0.25">
      <c r="A2803" t="s">
        <v>2882</v>
      </c>
      <c r="B2803" t="s">
        <v>2882</v>
      </c>
    </row>
    <row r="2804" spans="1:2" x14ac:dyDescent="0.25">
      <c r="A2804" t="s">
        <v>6377</v>
      </c>
      <c r="B2804" t="s">
        <v>2882</v>
      </c>
    </row>
    <row r="2805" spans="1:2" x14ac:dyDescent="0.25">
      <c r="A2805" t="s">
        <v>6378</v>
      </c>
      <c r="B2805" t="s">
        <v>2882</v>
      </c>
    </row>
    <row r="2806" spans="1:2" x14ac:dyDescent="0.25">
      <c r="A2806" t="s">
        <v>6379</v>
      </c>
      <c r="B2806" t="s">
        <v>2882</v>
      </c>
    </row>
    <row r="2807" spans="1:2" x14ac:dyDescent="0.25">
      <c r="A2807" t="s">
        <v>6380</v>
      </c>
      <c r="B2807" t="s">
        <v>5209</v>
      </c>
    </row>
    <row r="2808" spans="1:2" x14ac:dyDescent="0.25">
      <c r="A2808" t="s">
        <v>6381</v>
      </c>
      <c r="B2808" t="s">
        <v>2882</v>
      </c>
    </row>
    <row r="2809" spans="1:2" x14ac:dyDescent="0.25">
      <c r="A2809" t="s">
        <v>2884</v>
      </c>
      <c r="B2809" t="s">
        <v>2884</v>
      </c>
    </row>
    <row r="2810" spans="1:2" x14ac:dyDescent="0.25">
      <c r="A2810" t="s">
        <v>6382</v>
      </c>
      <c r="B2810" t="s">
        <v>2884</v>
      </c>
    </row>
    <row r="2811" spans="1:2" x14ac:dyDescent="0.25">
      <c r="A2811" t="s">
        <v>6383</v>
      </c>
      <c r="B2811" t="s">
        <v>2884</v>
      </c>
    </row>
    <row r="2812" spans="1:2" x14ac:dyDescent="0.25">
      <c r="A2812" t="s">
        <v>6384</v>
      </c>
      <c r="B2812" t="s">
        <v>2884</v>
      </c>
    </row>
    <row r="2813" spans="1:2" x14ac:dyDescent="0.25">
      <c r="A2813" t="s">
        <v>6385</v>
      </c>
      <c r="B2813" t="s">
        <v>2884</v>
      </c>
    </row>
    <row r="2814" spans="1:2" x14ac:dyDescent="0.25">
      <c r="A2814" t="s">
        <v>6386</v>
      </c>
      <c r="B2814" t="s">
        <v>2884</v>
      </c>
    </row>
    <row r="2815" spans="1:2" x14ac:dyDescent="0.25">
      <c r="A2815" t="s">
        <v>3108</v>
      </c>
      <c r="B2815" t="s">
        <v>3108</v>
      </c>
    </row>
    <row r="2816" spans="1:2" x14ac:dyDescent="0.25">
      <c r="A2816" t="s">
        <v>6387</v>
      </c>
      <c r="B2816" t="s">
        <v>3108</v>
      </c>
    </row>
    <row r="2817" spans="1:2" x14ac:dyDescent="0.25">
      <c r="A2817" t="s">
        <v>6388</v>
      </c>
      <c r="B2817" t="s">
        <v>5209</v>
      </c>
    </row>
    <row r="2818" spans="1:2" x14ac:dyDescent="0.25">
      <c r="A2818" t="s">
        <v>3109</v>
      </c>
      <c r="B2818" t="s">
        <v>3109</v>
      </c>
    </row>
    <row r="2819" spans="1:2" x14ac:dyDescent="0.25">
      <c r="A2819" t="s">
        <v>6389</v>
      </c>
      <c r="B2819" t="s">
        <v>3109</v>
      </c>
    </row>
    <row r="2820" spans="1:2" x14ac:dyDescent="0.25">
      <c r="A2820" t="s">
        <v>2886</v>
      </c>
      <c r="B2820" t="s">
        <v>2886</v>
      </c>
    </row>
    <row r="2821" spans="1:2" x14ac:dyDescent="0.25">
      <c r="A2821" t="s">
        <v>6390</v>
      </c>
      <c r="B2821" t="s">
        <v>2886</v>
      </c>
    </row>
    <row r="2822" spans="1:2" x14ac:dyDescent="0.25">
      <c r="A2822" t="s">
        <v>6391</v>
      </c>
      <c r="B2822" t="s">
        <v>2886</v>
      </c>
    </row>
    <row r="2823" spans="1:2" x14ac:dyDescent="0.25">
      <c r="A2823" t="s">
        <v>3110</v>
      </c>
      <c r="B2823" t="s">
        <v>3110</v>
      </c>
    </row>
    <row r="2824" spans="1:2" x14ac:dyDescent="0.25">
      <c r="A2824" t="s">
        <v>6392</v>
      </c>
      <c r="B2824" t="s">
        <v>3110</v>
      </c>
    </row>
    <row r="2825" spans="1:2" x14ac:dyDescent="0.25">
      <c r="A2825" t="s">
        <v>6393</v>
      </c>
      <c r="B2825" t="s">
        <v>3110</v>
      </c>
    </row>
    <row r="2826" spans="1:2" x14ac:dyDescent="0.25">
      <c r="A2826" t="s">
        <v>2888</v>
      </c>
      <c r="B2826" t="s">
        <v>2888</v>
      </c>
    </row>
    <row r="2827" spans="1:2" x14ac:dyDescent="0.25">
      <c r="A2827" t="s">
        <v>6394</v>
      </c>
      <c r="B2827" t="s">
        <v>2888</v>
      </c>
    </row>
    <row r="2828" spans="1:2" x14ac:dyDescent="0.25">
      <c r="A2828" t="s">
        <v>6395</v>
      </c>
      <c r="B2828" t="s">
        <v>2888</v>
      </c>
    </row>
    <row r="2829" spans="1:2" x14ac:dyDescent="0.25">
      <c r="A2829" t="s">
        <v>2890</v>
      </c>
      <c r="B2829" t="s">
        <v>2890</v>
      </c>
    </row>
    <row r="2830" spans="1:2" x14ac:dyDescent="0.25">
      <c r="A2830" t="s">
        <v>6396</v>
      </c>
      <c r="B2830" t="s">
        <v>2890</v>
      </c>
    </row>
    <row r="2831" spans="1:2" x14ac:dyDescent="0.25">
      <c r="A2831" t="s">
        <v>6397</v>
      </c>
      <c r="B2831" t="s">
        <v>2890</v>
      </c>
    </row>
    <row r="2832" spans="1:2" x14ac:dyDescent="0.25">
      <c r="A2832" t="s">
        <v>2370</v>
      </c>
      <c r="B2832" t="s">
        <v>2370</v>
      </c>
    </row>
    <row r="2833" spans="1:2" x14ac:dyDescent="0.25">
      <c r="A2833" t="s">
        <v>6398</v>
      </c>
      <c r="B2833" t="s">
        <v>2370</v>
      </c>
    </row>
    <row r="2834" spans="1:2" x14ac:dyDescent="0.25">
      <c r="A2834" t="s">
        <v>6399</v>
      </c>
      <c r="B2834" t="s">
        <v>2370</v>
      </c>
    </row>
    <row r="2835" spans="1:2" x14ac:dyDescent="0.25">
      <c r="A2835" t="s">
        <v>6400</v>
      </c>
      <c r="B2835" t="s">
        <v>2370</v>
      </c>
    </row>
    <row r="2836" spans="1:2" x14ac:dyDescent="0.25">
      <c r="A2836" t="s">
        <v>2371</v>
      </c>
      <c r="B2836" t="s">
        <v>2371</v>
      </c>
    </row>
    <row r="2837" spans="1:2" x14ac:dyDescent="0.25">
      <c r="A2837" t="s">
        <v>6401</v>
      </c>
      <c r="B2837" t="s">
        <v>2371</v>
      </c>
    </row>
    <row r="2838" spans="1:2" x14ac:dyDescent="0.25">
      <c r="A2838" t="s">
        <v>6402</v>
      </c>
      <c r="B2838" t="s">
        <v>2371</v>
      </c>
    </row>
    <row r="2839" spans="1:2" x14ac:dyDescent="0.25">
      <c r="A2839" t="s">
        <v>6403</v>
      </c>
      <c r="B2839" t="s">
        <v>2371</v>
      </c>
    </row>
    <row r="2840" spans="1:2" x14ac:dyDescent="0.25">
      <c r="A2840" t="s">
        <v>3111</v>
      </c>
      <c r="B2840" t="s">
        <v>3111</v>
      </c>
    </row>
    <row r="2841" spans="1:2" x14ac:dyDescent="0.25">
      <c r="A2841" t="s">
        <v>6404</v>
      </c>
      <c r="B2841" t="s">
        <v>3111</v>
      </c>
    </row>
    <row r="2842" spans="1:2" x14ac:dyDescent="0.25">
      <c r="A2842" t="s">
        <v>2892</v>
      </c>
      <c r="B2842" t="s">
        <v>2892</v>
      </c>
    </row>
    <row r="2843" spans="1:2" x14ac:dyDescent="0.25">
      <c r="A2843" t="s">
        <v>6405</v>
      </c>
      <c r="B2843" t="s">
        <v>2892</v>
      </c>
    </row>
    <row r="2844" spans="1:2" x14ac:dyDescent="0.25">
      <c r="A2844" t="s">
        <v>6406</v>
      </c>
      <c r="B2844" t="s">
        <v>2892</v>
      </c>
    </row>
    <row r="2845" spans="1:2" x14ac:dyDescent="0.25">
      <c r="A2845" t="s">
        <v>6407</v>
      </c>
      <c r="B2845" t="s">
        <v>2892</v>
      </c>
    </row>
    <row r="2846" spans="1:2" x14ac:dyDescent="0.25">
      <c r="A2846" t="s">
        <v>6408</v>
      </c>
      <c r="B2846" t="s">
        <v>2480</v>
      </c>
    </row>
    <row r="2847" spans="1:2" x14ac:dyDescent="0.25">
      <c r="A2847" t="s">
        <v>1766</v>
      </c>
      <c r="B2847" t="s">
        <v>1766</v>
      </c>
    </row>
    <row r="2848" spans="1:2" x14ac:dyDescent="0.25">
      <c r="A2848" t="s">
        <v>6409</v>
      </c>
      <c r="B2848" t="s">
        <v>1766</v>
      </c>
    </row>
    <row r="2849" spans="1:2" x14ac:dyDescent="0.25">
      <c r="A2849" t="s">
        <v>335</v>
      </c>
      <c r="B2849" t="s">
        <v>335</v>
      </c>
    </row>
    <row r="2850" spans="1:2" x14ac:dyDescent="0.25">
      <c r="A2850" t="s">
        <v>6410</v>
      </c>
      <c r="B2850" t="s">
        <v>335</v>
      </c>
    </row>
    <row r="2851" spans="1:2" x14ac:dyDescent="0.25">
      <c r="A2851" t="s">
        <v>6411</v>
      </c>
      <c r="B2851" t="s">
        <v>335</v>
      </c>
    </row>
    <row r="2852" spans="1:2" x14ac:dyDescent="0.25">
      <c r="A2852" t="s">
        <v>6412</v>
      </c>
      <c r="B2852" t="s">
        <v>335</v>
      </c>
    </row>
    <row r="2853" spans="1:2" x14ac:dyDescent="0.25">
      <c r="A2853" t="s">
        <v>3112</v>
      </c>
      <c r="B2853" t="s">
        <v>3112</v>
      </c>
    </row>
    <row r="2854" spans="1:2" x14ac:dyDescent="0.25">
      <c r="A2854" t="s">
        <v>6413</v>
      </c>
      <c r="B2854" t="s">
        <v>3112</v>
      </c>
    </row>
    <row r="2855" spans="1:2" x14ac:dyDescent="0.25">
      <c r="A2855" t="s">
        <v>6414</v>
      </c>
      <c r="B2855" t="s">
        <v>3112</v>
      </c>
    </row>
    <row r="2856" spans="1:2" x14ac:dyDescent="0.25">
      <c r="A2856" t="s">
        <v>1768</v>
      </c>
      <c r="B2856" t="s">
        <v>1768</v>
      </c>
    </row>
    <row r="2857" spans="1:2" x14ac:dyDescent="0.25">
      <c r="A2857" t="s">
        <v>6415</v>
      </c>
      <c r="B2857" t="s">
        <v>5209</v>
      </c>
    </row>
    <row r="2858" spans="1:2" x14ac:dyDescent="0.25">
      <c r="A2858" t="s">
        <v>6416</v>
      </c>
      <c r="B2858" t="s">
        <v>1768</v>
      </c>
    </row>
    <row r="2859" spans="1:2" x14ac:dyDescent="0.25">
      <c r="A2859" t="s">
        <v>6417</v>
      </c>
      <c r="B2859" t="s">
        <v>1768</v>
      </c>
    </row>
    <row r="2860" spans="1:2" x14ac:dyDescent="0.25">
      <c r="A2860" t="s">
        <v>1770</v>
      </c>
      <c r="B2860" t="s">
        <v>1770</v>
      </c>
    </row>
    <row r="2861" spans="1:2" x14ac:dyDescent="0.25">
      <c r="A2861" t="s">
        <v>6418</v>
      </c>
      <c r="B2861" t="s">
        <v>1770</v>
      </c>
    </row>
    <row r="2862" spans="1:2" x14ac:dyDescent="0.25">
      <c r="A2862" t="s">
        <v>6419</v>
      </c>
      <c r="B2862" t="s">
        <v>1770</v>
      </c>
    </row>
    <row r="2863" spans="1:2" x14ac:dyDescent="0.25">
      <c r="A2863" t="s">
        <v>1772</v>
      </c>
      <c r="B2863" t="s">
        <v>1772</v>
      </c>
    </row>
    <row r="2864" spans="1:2" x14ac:dyDescent="0.25">
      <c r="A2864" t="s">
        <v>6420</v>
      </c>
      <c r="B2864" t="s">
        <v>1772</v>
      </c>
    </row>
    <row r="2865" spans="1:2" x14ac:dyDescent="0.25">
      <c r="A2865" t="s">
        <v>6421</v>
      </c>
      <c r="B2865" t="s">
        <v>1772</v>
      </c>
    </row>
    <row r="2866" spans="1:2" x14ac:dyDescent="0.25">
      <c r="A2866" t="s">
        <v>1774</v>
      </c>
      <c r="B2866" t="s">
        <v>1774</v>
      </c>
    </row>
    <row r="2867" spans="1:2" x14ac:dyDescent="0.25">
      <c r="A2867" t="s">
        <v>6422</v>
      </c>
      <c r="B2867" t="s">
        <v>1774</v>
      </c>
    </row>
    <row r="2868" spans="1:2" x14ac:dyDescent="0.25">
      <c r="A2868" t="s">
        <v>1776</v>
      </c>
      <c r="B2868" t="s">
        <v>1776</v>
      </c>
    </row>
    <row r="2869" spans="1:2" x14ac:dyDescent="0.25">
      <c r="A2869" t="s">
        <v>6423</v>
      </c>
      <c r="B2869" t="s">
        <v>1776</v>
      </c>
    </row>
    <row r="2870" spans="1:2" x14ac:dyDescent="0.25">
      <c r="A2870" t="s">
        <v>6424</v>
      </c>
      <c r="B2870" t="s">
        <v>1776</v>
      </c>
    </row>
    <row r="2871" spans="1:2" x14ac:dyDescent="0.25">
      <c r="A2871" t="s">
        <v>6425</v>
      </c>
      <c r="B2871" t="s">
        <v>4736</v>
      </c>
    </row>
    <row r="2872" spans="1:2" x14ac:dyDescent="0.25">
      <c r="A2872" t="s">
        <v>931</v>
      </c>
      <c r="B2872" t="s">
        <v>931</v>
      </c>
    </row>
    <row r="2873" spans="1:2" x14ac:dyDescent="0.25">
      <c r="A2873" t="s">
        <v>6426</v>
      </c>
      <c r="B2873" t="s">
        <v>931</v>
      </c>
    </row>
    <row r="2874" spans="1:2" x14ac:dyDescent="0.25">
      <c r="A2874" t="s">
        <v>6427</v>
      </c>
      <c r="B2874" t="s">
        <v>931</v>
      </c>
    </row>
    <row r="2875" spans="1:2" x14ac:dyDescent="0.25">
      <c r="A2875" t="s">
        <v>6428</v>
      </c>
      <c r="B2875" t="s">
        <v>931</v>
      </c>
    </row>
    <row r="2876" spans="1:2" x14ac:dyDescent="0.25">
      <c r="A2876" t="s">
        <v>6429</v>
      </c>
      <c r="B2876" t="s">
        <v>5209</v>
      </c>
    </row>
    <row r="2877" spans="1:2" x14ac:dyDescent="0.25">
      <c r="A2877" t="s">
        <v>2378</v>
      </c>
      <c r="B2877" t="s">
        <v>2378</v>
      </c>
    </row>
    <row r="2878" spans="1:2" x14ac:dyDescent="0.25">
      <c r="A2878" t="s">
        <v>6430</v>
      </c>
      <c r="B2878" t="s">
        <v>2378</v>
      </c>
    </row>
    <row r="2879" spans="1:2" x14ac:dyDescent="0.25">
      <c r="A2879" t="s">
        <v>6431</v>
      </c>
      <c r="B2879" t="s">
        <v>2378</v>
      </c>
    </row>
    <row r="2880" spans="1:2" x14ac:dyDescent="0.25">
      <c r="A2880" t="s">
        <v>2379</v>
      </c>
      <c r="B2880" t="s">
        <v>2379</v>
      </c>
    </row>
    <row r="2881" spans="1:2" x14ac:dyDescent="0.25">
      <c r="A2881" t="s">
        <v>6432</v>
      </c>
      <c r="B2881" t="s">
        <v>2379</v>
      </c>
    </row>
    <row r="2882" spans="1:2" x14ac:dyDescent="0.25">
      <c r="A2882" t="s">
        <v>6433</v>
      </c>
      <c r="B2882" t="s">
        <v>2379</v>
      </c>
    </row>
    <row r="2883" spans="1:2" x14ac:dyDescent="0.25">
      <c r="A2883" t="s">
        <v>942</v>
      </c>
      <c r="B2883" t="s">
        <v>942</v>
      </c>
    </row>
    <row r="2884" spans="1:2" x14ac:dyDescent="0.25">
      <c r="A2884" t="s">
        <v>6434</v>
      </c>
      <c r="B2884" t="s">
        <v>942</v>
      </c>
    </row>
    <row r="2885" spans="1:2" x14ac:dyDescent="0.25">
      <c r="A2885" t="s">
        <v>3113</v>
      </c>
      <c r="B2885" t="s">
        <v>3113</v>
      </c>
    </row>
    <row r="2886" spans="1:2" x14ac:dyDescent="0.25">
      <c r="A2886" t="s">
        <v>6435</v>
      </c>
      <c r="B2886" t="s">
        <v>3113</v>
      </c>
    </row>
    <row r="2887" spans="1:2" x14ac:dyDescent="0.25">
      <c r="A2887" t="s">
        <v>2384</v>
      </c>
      <c r="B2887" t="s">
        <v>2384</v>
      </c>
    </row>
    <row r="2888" spans="1:2" x14ac:dyDescent="0.25">
      <c r="A2888" t="s">
        <v>6436</v>
      </c>
      <c r="B2888" t="s">
        <v>2384</v>
      </c>
    </row>
    <row r="2889" spans="1:2" x14ac:dyDescent="0.25">
      <c r="A2889" t="s">
        <v>1814</v>
      </c>
      <c r="B2889" t="s">
        <v>1814</v>
      </c>
    </row>
    <row r="2890" spans="1:2" x14ac:dyDescent="0.25">
      <c r="A2890" t="s">
        <v>6437</v>
      </c>
      <c r="B2890" t="s">
        <v>1814</v>
      </c>
    </row>
    <row r="2891" spans="1:2" x14ac:dyDescent="0.25">
      <c r="A2891" t="s">
        <v>1816</v>
      </c>
      <c r="B2891" t="s">
        <v>1816</v>
      </c>
    </row>
    <row r="2892" spans="1:2" x14ac:dyDescent="0.25">
      <c r="A2892" t="s">
        <v>6438</v>
      </c>
      <c r="B2892" t="s">
        <v>1816</v>
      </c>
    </row>
    <row r="2893" spans="1:2" x14ac:dyDescent="0.25">
      <c r="A2893" t="s">
        <v>2906</v>
      </c>
      <c r="B2893" t="s">
        <v>2906</v>
      </c>
    </row>
    <row r="2894" spans="1:2" x14ac:dyDescent="0.25">
      <c r="A2894" t="s">
        <v>6439</v>
      </c>
      <c r="B2894" t="s">
        <v>2906</v>
      </c>
    </row>
    <row r="2895" spans="1:2" x14ac:dyDescent="0.25">
      <c r="A2895" t="s">
        <v>1818</v>
      </c>
      <c r="B2895" t="s">
        <v>1818</v>
      </c>
    </row>
    <row r="2896" spans="1:2" x14ac:dyDescent="0.25">
      <c r="A2896" t="s">
        <v>6440</v>
      </c>
      <c r="B2896" t="s">
        <v>1818</v>
      </c>
    </row>
    <row r="2897" spans="1:2" x14ac:dyDescent="0.25">
      <c r="A2897" t="s">
        <v>6441</v>
      </c>
      <c r="B2897" t="s">
        <v>4738</v>
      </c>
    </row>
    <row r="2898" spans="1:2" x14ac:dyDescent="0.25">
      <c r="A2898" t="s">
        <v>3114</v>
      </c>
      <c r="B2898" t="s">
        <v>3114</v>
      </c>
    </row>
    <row r="2899" spans="1:2" x14ac:dyDescent="0.25">
      <c r="A2899" t="s">
        <v>6442</v>
      </c>
      <c r="B2899" t="s">
        <v>3114</v>
      </c>
    </row>
    <row r="2900" spans="1:2" x14ac:dyDescent="0.25">
      <c r="A2900" t="s">
        <v>945</v>
      </c>
      <c r="B2900" t="s">
        <v>945</v>
      </c>
    </row>
    <row r="2901" spans="1:2" x14ac:dyDescent="0.25">
      <c r="A2901" t="s">
        <v>6443</v>
      </c>
      <c r="B2901" t="s">
        <v>945</v>
      </c>
    </row>
    <row r="2902" spans="1:2" x14ac:dyDescent="0.25">
      <c r="A2902" t="s">
        <v>2908</v>
      </c>
      <c r="B2902" t="s">
        <v>2908</v>
      </c>
    </row>
    <row r="2903" spans="1:2" x14ac:dyDescent="0.25">
      <c r="A2903" t="s">
        <v>6444</v>
      </c>
      <c r="B2903" t="s">
        <v>2908</v>
      </c>
    </row>
    <row r="2904" spans="1:2" x14ac:dyDescent="0.25">
      <c r="A2904" t="s">
        <v>1820</v>
      </c>
      <c r="B2904" t="s">
        <v>1820</v>
      </c>
    </row>
    <row r="2905" spans="1:2" x14ac:dyDescent="0.25">
      <c r="A2905" t="s">
        <v>6445</v>
      </c>
      <c r="B2905" t="s">
        <v>1820</v>
      </c>
    </row>
    <row r="2906" spans="1:2" x14ac:dyDescent="0.25">
      <c r="A2906" t="s">
        <v>2391</v>
      </c>
      <c r="B2906" t="s">
        <v>2391</v>
      </c>
    </row>
    <row r="2907" spans="1:2" x14ac:dyDescent="0.25">
      <c r="A2907" t="s">
        <v>6446</v>
      </c>
      <c r="B2907" t="s">
        <v>2391</v>
      </c>
    </row>
    <row r="2908" spans="1:2" x14ac:dyDescent="0.25">
      <c r="A2908" t="s">
        <v>6447</v>
      </c>
      <c r="B2908" t="s">
        <v>5209</v>
      </c>
    </row>
    <row r="2909" spans="1:2" x14ac:dyDescent="0.25">
      <c r="A2909" t="s">
        <v>961</v>
      </c>
      <c r="B2909" t="s">
        <v>961</v>
      </c>
    </row>
    <row r="2910" spans="1:2" x14ac:dyDescent="0.25">
      <c r="A2910" t="s">
        <v>6448</v>
      </c>
      <c r="B2910" t="s">
        <v>961</v>
      </c>
    </row>
    <row r="2911" spans="1:2" x14ac:dyDescent="0.25">
      <c r="A2911" t="s">
        <v>964</v>
      </c>
      <c r="B2911" t="s">
        <v>964</v>
      </c>
    </row>
    <row r="2912" spans="1:2" x14ac:dyDescent="0.25">
      <c r="A2912" t="s">
        <v>6449</v>
      </c>
      <c r="B2912" t="s">
        <v>964</v>
      </c>
    </row>
    <row r="2913" spans="1:2" x14ac:dyDescent="0.25">
      <c r="A2913" t="s">
        <v>967</v>
      </c>
      <c r="B2913" t="s">
        <v>967</v>
      </c>
    </row>
    <row r="2914" spans="1:2" x14ac:dyDescent="0.25">
      <c r="A2914" t="s">
        <v>6450</v>
      </c>
      <c r="B2914" t="s">
        <v>967</v>
      </c>
    </row>
    <row r="2915" spans="1:2" x14ac:dyDescent="0.25">
      <c r="A2915" t="s">
        <v>2922</v>
      </c>
      <c r="B2915" t="s">
        <v>2922</v>
      </c>
    </row>
    <row r="2916" spans="1:2" x14ac:dyDescent="0.25">
      <c r="A2916" t="s">
        <v>6451</v>
      </c>
      <c r="B2916" t="s">
        <v>2922</v>
      </c>
    </row>
    <row r="2917" spans="1:2" x14ac:dyDescent="0.25">
      <c r="A2917" t="s">
        <v>970</v>
      </c>
      <c r="B2917" t="s">
        <v>970</v>
      </c>
    </row>
    <row r="2918" spans="1:2" x14ac:dyDescent="0.25">
      <c r="A2918" t="s">
        <v>6452</v>
      </c>
      <c r="B2918" t="s">
        <v>970</v>
      </c>
    </row>
    <row r="2919" spans="1:2" x14ac:dyDescent="0.25">
      <c r="A2919" t="s">
        <v>6453</v>
      </c>
      <c r="B2919" t="s">
        <v>3115</v>
      </c>
    </row>
    <row r="2920" spans="1:2" x14ac:dyDescent="0.25">
      <c r="A2920" t="s">
        <v>2924</v>
      </c>
      <c r="B2920" t="s">
        <v>2924</v>
      </c>
    </row>
    <row r="2921" spans="1:2" x14ac:dyDescent="0.25">
      <c r="A2921" t="s">
        <v>6454</v>
      </c>
      <c r="B2921" t="s">
        <v>2924</v>
      </c>
    </row>
    <row r="2922" spans="1:2" x14ac:dyDescent="0.25">
      <c r="A2922" t="s">
        <v>2394</v>
      </c>
      <c r="B2922" t="s">
        <v>2394</v>
      </c>
    </row>
    <row r="2923" spans="1:2" x14ac:dyDescent="0.25">
      <c r="A2923" t="s">
        <v>6455</v>
      </c>
      <c r="B2923" t="s">
        <v>2394</v>
      </c>
    </row>
    <row r="2924" spans="1:2" x14ac:dyDescent="0.25">
      <c r="A2924" t="s">
        <v>2926</v>
      </c>
      <c r="B2924" t="s">
        <v>2926</v>
      </c>
    </row>
    <row r="2925" spans="1:2" x14ac:dyDescent="0.25">
      <c r="A2925" t="s">
        <v>6456</v>
      </c>
      <c r="B2925" t="s">
        <v>2926</v>
      </c>
    </row>
    <row r="2926" spans="1:2" x14ac:dyDescent="0.25">
      <c r="A2926" t="s">
        <v>3116</v>
      </c>
      <c r="B2926" t="s">
        <v>3116</v>
      </c>
    </row>
    <row r="2927" spans="1:2" x14ac:dyDescent="0.25">
      <c r="A2927" t="s">
        <v>6457</v>
      </c>
      <c r="B2927" t="s">
        <v>3116</v>
      </c>
    </row>
    <row r="2928" spans="1:2" x14ac:dyDescent="0.25">
      <c r="A2928" t="s">
        <v>3117</v>
      </c>
      <c r="B2928" t="s">
        <v>3117</v>
      </c>
    </row>
    <row r="2929" spans="1:2" x14ac:dyDescent="0.25">
      <c r="A2929" t="s">
        <v>6458</v>
      </c>
      <c r="B2929" t="s">
        <v>3117</v>
      </c>
    </row>
    <row r="2930" spans="1:2" x14ac:dyDescent="0.25">
      <c r="A2930" t="s">
        <v>6459</v>
      </c>
      <c r="B2930" t="s">
        <v>3118</v>
      </c>
    </row>
    <row r="2931" spans="1:2" x14ac:dyDescent="0.25">
      <c r="A2931" t="s">
        <v>6460</v>
      </c>
      <c r="B2931" t="s">
        <v>3119</v>
      </c>
    </row>
    <row r="2932" spans="1:2" x14ac:dyDescent="0.25">
      <c r="A2932" t="s">
        <v>3120</v>
      </c>
      <c r="B2932" t="s">
        <v>3120</v>
      </c>
    </row>
    <row r="2933" spans="1:2" x14ac:dyDescent="0.25">
      <c r="A2933" t="s">
        <v>6461</v>
      </c>
      <c r="B2933" t="s">
        <v>3120</v>
      </c>
    </row>
    <row r="2934" spans="1:2" x14ac:dyDescent="0.25">
      <c r="A2934" t="s">
        <v>973</v>
      </c>
      <c r="B2934" t="s">
        <v>973</v>
      </c>
    </row>
    <row r="2935" spans="1:2" x14ac:dyDescent="0.25">
      <c r="A2935" t="s">
        <v>6462</v>
      </c>
      <c r="B2935" t="s">
        <v>973</v>
      </c>
    </row>
    <row r="2936" spans="1:2" x14ac:dyDescent="0.25">
      <c r="A2936" t="s">
        <v>976</v>
      </c>
      <c r="B2936" t="s">
        <v>976</v>
      </c>
    </row>
    <row r="2937" spans="1:2" x14ac:dyDescent="0.25">
      <c r="A2937" t="s">
        <v>6463</v>
      </c>
      <c r="B2937" t="s">
        <v>976</v>
      </c>
    </row>
    <row r="2938" spans="1:2" x14ac:dyDescent="0.25">
      <c r="A2938" t="s">
        <v>6464</v>
      </c>
      <c r="B2938" t="s">
        <v>4741</v>
      </c>
    </row>
    <row r="2939" spans="1:2" x14ac:dyDescent="0.25">
      <c r="A2939" t="s">
        <v>979</v>
      </c>
      <c r="B2939" t="s">
        <v>979</v>
      </c>
    </row>
    <row r="2940" spans="1:2" x14ac:dyDescent="0.25">
      <c r="A2940" t="s">
        <v>6465</v>
      </c>
      <c r="B2940" t="s">
        <v>979</v>
      </c>
    </row>
    <row r="2941" spans="1:2" x14ac:dyDescent="0.25">
      <c r="A2941" t="s">
        <v>982</v>
      </c>
      <c r="B2941" t="s">
        <v>982</v>
      </c>
    </row>
    <row r="2942" spans="1:2" x14ac:dyDescent="0.25">
      <c r="A2942" t="s">
        <v>6466</v>
      </c>
      <c r="B2942" t="s">
        <v>982</v>
      </c>
    </row>
    <row r="2943" spans="1:2" x14ac:dyDescent="0.25">
      <c r="A2943" t="s">
        <v>2396</v>
      </c>
      <c r="B2943" t="s">
        <v>2396</v>
      </c>
    </row>
    <row r="2944" spans="1:2" x14ac:dyDescent="0.25">
      <c r="A2944" t="s">
        <v>6467</v>
      </c>
      <c r="B2944" t="s">
        <v>2396</v>
      </c>
    </row>
    <row r="2945" spans="1:2" x14ac:dyDescent="0.25">
      <c r="A2945" t="s">
        <v>6468</v>
      </c>
      <c r="B2945" t="s">
        <v>2396</v>
      </c>
    </row>
    <row r="2946" spans="1:2" x14ac:dyDescent="0.25">
      <c r="A2946" t="s">
        <v>2930</v>
      </c>
      <c r="B2946" t="s">
        <v>2930</v>
      </c>
    </row>
    <row r="2947" spans="1:2" x14ac:dyDescent="0.25">
      <c r="A2947" t="s">
        <v>985</v>
      </c>
      <c r="B2947" t="s">
        <v>985</v>
      </c>
    </row>
    <row r="2948" spans="1:2" x14ac:dyDescent="0.25">
      <c r="A2948" t="s">
        <v>6469</v>
      </c>
      <c r="B2948" t="s">
        <v>985</v>
      </c>
    </row>
    <row r="2949" spans="1:2" x14ac:dyDescent="0.25">
      <c r="A2949" t="s">
        <v>1830</v>
      </c>
      <c r="B2949" t="s">
        <v>1830</v>
      </c>
    </row>
    <row r="2950" spans="1:2" x14ac:dyDescent="0.25">
      <c r="A2950" t="s">
        <v>6470</v>
      </c>
      <c r="B2950" t="s">
        <v>1830</v>
      </c>
    </row>
    <row r="2951" spans="1:2" x14ac:dyDescent="0.25">
      <c r="A2951" t="s">
        <v>6471</v>
      </c>
      <c r="B2951" t="s">
        <v>1830</v>
      </c>
    </row>
    <row r="2952" spans="1:2" x14ac:dyDescent="0.25">
      <c r="A2952" t="s">
        <v>6472</v>
      </c>
      <c r="B2952" t="s">
        <v>1830</v>
      </c>
    </row>
    <row r="2953" spans="1:2" x14ac:dyDescent="0.25">
      <c r="A2953" t="s">
        <v>988</v>
      </c>
      <c r="B2953" t="s">
        <v>988</v>
      </c>
    </row>
    <row r="2954" spans="1:2" x14ac:dyDescent="0.25">
      <c r="A2954" t="s">
        <v>6473</v>
      </c>
      <c r="B2954" t="s">
        <v>988</v>
      </c>
    </row>
    <row r="2955" spans="1:2" x14ac:dyDescent="0.25">
      <c r="A2955" t="s">
        <v>6474</v>
      </c>
      <c r="B2955" t="s">
        <v>988</v>
      </c>
    </row>
    <row r="2956" spans="1:2" x14ac:dyDescent="0.25">
      <c r="A2956" t="s">
        <v>6475</v>
      </c>
      <c r="B2956" t="s">
        <v>988</v>
      </c>
    </row>
    <row r="2957" spans="1:2" x14ac:dyDescent="0.25">
      <c r="A2957" t="s">
        <v>6476</v>
      </c>
      <c r="B2957" t="s">
        <v>5209</v>
      </c>
    </row>
    <row r="2958" spans="1:2" x14ac:dyDescent="0.25">
      <c r="A2958" t="s">
        <v>2397</v>
      </c>
      <c r="B2958" t="s">
        <v>2397</v>
      </c>
    </row>
    <row r="2959" spans="1:2" x14ac:dyDescent="0.25">
      <c r="A2959" t="s">
        <v>6477</v>
      </c>
      <c r="B2959" t="s">
        <v>2397</v>
      </c>
    </row>
    <row r="2960" spans="1:2" x14ac:dyDescent="0.25">
      <c r="A2960" t="s">
        <v>6478</v>
      </c>
      <c r="B2960" t="s">
        <v>2397</v>
      </c>
    </row>
    <row r="2961" spans="1:2" x14ac:dyDescent="0.25">
      <c r="A2961" t="s">
        <v>6479</v>
      </c>
      <c r="B2961" t="s">
        <v>2397</v>
      </c>
    </row>
    <row r="2962" spans="1:2" x14ac:dyDescent="0.25">
      <c r="A2962" t="s">
        <v>1833</v>
      </c>
      <c r="B2962" t="s">
        <v>1833</v>
      </c>
    </row>
    <row r="2963" spans="1:2" x14ac:dyDescent="0.25">
      <c r="A2963" t="s">
        <v>6480</v>
      </c>
      <c r="B2963" t="s">
        <v>1833</v>
      </c>
    </row>
    <row r="2964" spans="1:2" x14ac:dyDescent="0.25">
      <c r="A2964" t="s">
        <v>6481</v>
      </c>
      <c r="B2964" t="s">
        <v>1833</v>
      </c>
    </row>
    <row r="2965" spans="1:2" x14ac:dyDescent="0.25">
      <c r="A2965" t="s">
        <v>6482</v>
      </c>
      <c r="B2965" t="s">
        <v>1833</v>
      </c>
    </row>
    <row r="2966" spans="1:2" x14ac:dyDescent="0.25">
      <c r="A2966" t="s">
        <v>6483</v>
      </c>
      <c r="B2966" t="s">
        <v>5209</v>
      </c>
    </row>
    <row r="2967" spans="1:2" x14ac:dyDescent="0.25">
      <c r="A2967" t="s">
        <v>2932</v>
      </c>
      <c r="B2967" t="s">
        <v>2932</v>
      </c>
    </row>
    <row r="2968" spans="1:2" x14ac:dyDescent="0.25">
      <c r="A2968" t="s">
        <v>6484</v>
      </c>
      <c r="B2968" t="s">
        <v>2932</v>
      </c>
    </row>
    <row r="2969" spans="1:2" x14ac:dyDescent="0.25">
      <c r="A2969" t="s">
        <v>6485</v>
      </c>
      <c r="B2969" t="s">
        <v>4743</v>
      </c>
    </row>
    <row r="2970" spans="1:2" x14ac:dyDescent="0.25">
      <c r="A2970" t="s">
        <v>2398</v>
      </c>
      <c r="B2970" t="s">
        <v>2398</v>
      </c>
    </row>
    <row r="2971" spans="1:2" x14ac:dyDescent="0.25">
      <c r="A2971" t="s">
        <v>3121</v>
      </c>
      <c r="B2971" t="s">
        <v>3121</v>
      </c>
    </row>
    <row r="2972" spans="1:2" x14ac:dyDescent="0.25">
      <c r="A2972" t="s">
        <v>6486</v>
      </c>
      <c r="B2972" t="s">
        <v>3121</v>
      </c>
    </row>
    <row r="2973" spans="1:2" x14ac:dyDescent="0.25">
      <c r="A2973" t="s">
        <v>3122</v>
      </c>
      <c r="B2973" t="s">
        <v>3122</v>
      </c>
    </row>
    <row r="2974" spans="1:2" x14ac:dyDescent="0.25">
      <c r="A2974" t="s">
        <v>1836</v>
      </c>
      <c r="B2974" t="s">
        <v>1836</v>
      </c>
    </row>
    <row r="2975" spans="1:2" x14ac:dyDescent="0.25">
      <c r="A2975" t="s">
        <v>6487</v>
      </c>
      <c r="B2975" t="s">
        <v>1836</v>
      </c>
    </row>
    <row r="2976" spans="1:2" x14ac:dyDescent="0.25">
      <c r="A2976" t="s">
        <v>1838</v>
      </c>
      <c r="B2976" t="s">
        <v>1838</v>
      </c>
    </row>
    <row r="2977" spans="1:2" x14ac:dyDescent="0.25">
      <c r="A2977" t="s">
        <v>6488</v>
      </c>
      <c r="B2977" t="s">
        <v>1838</v>
      </c>
    </row>
    <row r="2978" spans="1:2" x14ac:dyDescent="0.25">
      <c r="A2978" t="s">
        <v>3123</v>
      </c>
      <c r="B2978" t="s">
        <v>3123</v>
      </c>
    </row>
    <row r="2979" spans="1:2" x14ac:dyDescent="0.25">
      <c r="A2979" t="s">
        <v>2934</v>
      </c>
      <c r="B2979" t="s">
        <v>2934</v>
      </c>
    </row>
    <row r="2980" spans="1:2" x14ac:dyDescent="0.25">
      <c r="A2980" t="s">
        <v>6489</v>
      </c>
      <c r="B2980" t="s">
        <v>2934</v>
      </c>
    </row>
    <row r="2981" spans="1:2" x14ac:dyDescent="0.25">
      <c r="A2981" t="s">
        <v>992</v>
      </c>
      <c r="B2981" t="s">
        <v>992</v>
      </c>
    </row>
    <row r="2982" spans="1:2" x14ac:dyDescent="0.25">
      <c r="A2982" t="s">
        <v>6490</v>
      </c>
      <c r="B2982" t="s">
        <v>992</v>
      </c>
    </row>
    <row r="2983" spans="1:2" x14ac:dyDescent="0.25">
      <c r="A2983" t="s">
        <v>995</v>
      </c>
      <c r="B2983" t="s">
        <v>995</v>
      </c>
    </row>
    <row r="2984" spans="1:2" x14ac:dyDescent="0.25">
      <c r="A2984" t="s">
        <v>6491</v>
      </c>
      <c r="B2984" t="s">
        <v>995</v>
      </c>
    </row>
    <row r="2985" spans="1:2" x14ac:dyDescent="0.25">
      <c r="A2985" t="s">
        <v>3124</v>
      </c>
      <c r="B2985" t="s">
        <v>3124</v>
      </c>
    </row>
    <row r="2986" spans="1:2" x14ac:dyDescent="0.25">
      <c r="A2986" t="s">
        <v>3125</v>
      </c>
      <c r="B2986" t="s">
        <v>3125</v>
      </c>
    </row>
    <row r="2987" spans="1:2" x14ac:dyDescent="0.25">
      <c r="A2987" t="s">
        <v>1840</v>
      </c>
      <c r="B2987" t="s">
        <v>1840</v>
      </c>
    </row>
    <row r="2988" spans="1:2" x14ac:dyDescent="0.25">
      <c r="A2988" t="s">
        <v>6492</v>
      </c>
      <c r="B2988" t="s">
        <v>1840</v>
      </c>
    </row>
    <row r="2989" spans="1:2" x14ac:dyDescent="0.25">
      <c r="A2989" t="s">
        <v>1842</v>
      </c>
      <c r="B2989" t="s">
        <v>1842</v>
      </c>
    </row>
    <row r="2990" spans="1:2" x14ac:dyDescent="0.25">
      <c r="A2990" t="s">
        <v>6493</v>
      </c>
      <c r="B2990" t="s">
        <v>1842</v>
      </c>
    </row>
    <row r="2991" spans="1:2" x14ac:dyDescent="0.25">
      <c r="A2991" t="s">
        <v>2936</v>
      </c>
      <c r="B2991" t="s">
        <v>2936</v>
      </c>
    </row>
    <row r="2992" spans="1:2" x14ac:dyDescent="0.25">
      <c r="A2992" t="s">
        <v>6494</v>
      </c>
      <c r="B2992" t="s">
        <v>2936</v>
      </c>
    </row>
    <row r="2993" spans="1:2" x14ac:dyDescent="0.25">
      <c r="A2993" t="s">
        <v>6495</v>
      </c>
      <c r="B2993" t="s">
        <v>2936</v>
      </c>
    </row>
    <row r="2994" spans="1:2" x14ac:dyDescent="0.25">
      <c r="A2994" t="s">
        <v>3126</v>
      </c>
      <c r="B2994" t="s">
        <v>3126</v>
      </c>
    </row>
    <row r="2995" spans="1:2" x14ac:dyDescent="0.25">
      <c r="A2995" t="s">
        <v>2403</v>
      </c>
      <c r="B2995" t="s">
        <v>2403</v>
      </c>
    </row>
    <row r="2996" spans="1:2" x14ac:dyDescent="0.25">
      <c r="A2996" t="s">
        <v>6496</v>
      </c>
      <c r="B2996" t="s">
        <v>2403</v>
      </c>
    </row>
    <row r="2997" spans="1:2" x14ac:dyDescent="0.25">
      <c r="A2997" t="s">
        <v>6497</v>
      </c>
      <c r="B2997" t="s">
        <v>2403</v>
      </c>
    </row>
    <row r="2998" spans="1:2" x14ac:dyDescent="0.25">
      <c r="A2998" t="s">
        <v>2940</v>
      </c>
      <c r="B2998" t="s">
        <v>2940</v>
      </c>
    </row>
    <row r="2999" spans="1:2" x14ac:dyDescent="0.25">
      <c r="A2999" t="s">
        <v>6498</v>
      </c>
      <c r="B2999" t="s">
        <v>2940</v>
      </c>
    </row>
    <row r="3000" spans="1:2" x14ac:dyDescent="0.25">
      <c r="A3000" t="s">
        <v>6499</v>
      </c>
      <c r="B3000" t="s">
        <v>2940</v>
      </c>
    </row>
    <row r="3001" spans="1:2" x14ac:dyDescent="0.25">
      <c r="A3001" t="s">
        <v>2404</v>
      </c>
      <c r="B3001" t="s">
        <v>2404</v>
      </c>
    </row>
    <row r="3002" spans="1:2" x14ac:dyDescent="0.25">
      <c r="A3002" t="s">
        <v>6500</v>
      </c>
      <c r="B3002" t="s">
        <v>2404</v>
      </c>
    </row>
    <row r="3003" spans="1:2" x14ac:dyDescent="0.25">
      <c r="A3003" t="s">
        <v>6501</v>
      </c>
      <c r="B3003" t="s">
        <v>2404</v>
      </c>
    </row>
    <row r="3004" spans="1:2" x14ac:dyDescent="0.25">
      <c r="A3004" t="s">
        <v>2942</v>
      </c>
      <c r="B3004" t="s">
        <v>2942</v>
      </c>
    </row>
    <row r="3005" spans="1:2" x14ac:dyDescent="0.25">
      <c r="A3005" t="s">
        <v>6502</v>
      </c>
      <c r="B3005" t="s">
        <v>2942</v>
      </c>
    </row>
    <row r="3006" spans="1:2" x14ac:dyDescent="0.25">
      <c r="A3006" t="s">
        <v>6503</v>
      </c>
      <c r="B3006" t="s">
        <v>2942</v>
      </c>
    </row>
    <row r="3007" spans="1:2" x14ac:dyDescent="0.25">
      <c r="A3007" t="s">
        <v>1001</v>
      </c>
      <c r="B3007" t="s">
        <v>1001</v>
      </c>
    </row>
    <row r="3008" spans="1:2" x14ac:dyDescent="0.25">
      <c r="A3008" t="s">
        <v>6504</v>
      </c>
      <c r="B3008" t="s">
        <v>1001</v>
      </c>
    </row>
    <row r="3009" spans="1:2" x14ac:dyDescent="0.25">
      <c r="A3009" t="s">
        <v>6505</v>
      </c>
      <c r="B3009" t="s">
        <v>1001</v>
      </c>
    </row>
    <row r="3010" spans="1:2" x14ac:dyDescent="0.25">
      <c r="A3010" t="s">
        <v>1005</v>
      </c>
      <c r="B3010" t="s">
        <v>1005</v>
      </c>
    </row>
    <row r="3011" spans="1:2" x14ac:dyDescent="0.25">
      <c r="A3011" t="s">
        <v>6506</v>
      </c>
      <c r="B3011" t="s">
        <v>1005</v>
      </c>
    </row>
    <row r="3012" spans="1:2" x14ac:dyDescent="0.25">
      <c r="A3012" t="s">
        <v>6507</v>
      </c>
      <c r="B3012" t="s">
        <v>1005</v>
      </c>
    </row>
    <row r="3013" spans="1:2" x14ac:dyDescent="0.25">
      <c r="A3013" t="s">
        <v>1009</v>
      </c>
      <c r="B3013" t="s">
        <v>1009</v>
      </c>
    </row>
    <row r="3014" spans="1:2" x14ac:dyDescent="0.25">
      <c r="A3014" t="s">
        <v>6508</v>
      </c>
      <c r="B3014" t="s">
        <v>1009</v>
      </c>
    </row>
    <row r="3015" spans="1:2" x14ac:dyDescent="0.25">
      <c r="A3015" t="s">
        <v>6509</v>
      </c>
      <c r="B3015" t="s">
        <v>1009</v>
      </c>
    </row>
    <row r="3016" spans="1:2" x14ac:dyDescent="0.25">
      <c r="A3016" t="s">
        <v>6510</v>
      </c>
      <c r="B3016" t="s">
        <v>1009</v>
      </c>
    </row>
    <row r="3017" spans="1:2" x14ac:dyDescent="0.25">
      <c r="A3017" t="s">
        <v>6511</v>
      </c>
      <c r="B3017" t="s">
        <v>1009</v>
      </c>
    </row>
    <row r="3018" spans="1:2" x14ac:dyDescent="0.25">
      <c r="A3018" t="s">
        <v>1014</v>
      </c>
      <c r="B3018" t="s">
        <v>1014</v>
      </c>
    </row>
    <row r="3019" spans="1:2" x14ac:dyDescent="0.25">
      <c r="A3019" t="s">
        <v>6512</v>
      </c>
      <c r="B3019" t="s">
        <v>1014</v>
      </c>
    </row>
    <row r="3020" spans="1:2" x14ac:dyDescent="0.25">
      <c r="A3020" t="s">
        <v>6513</v>
      </c>
      <c r="B3020" t="s">
        <v>1014</v>
      </c>
    </row>
    <row r="3021" spans="1:2" x14ac:dyDescent="0.25">
      <c r="A3021" t="s">
        <v>338</v>
      </c>
      <c r="B3021" t="s">
        <v>338</v>
      </c>
    </row>
    <row r="3022" spans="1:2" x14ac:dyDescent="0.25">
      <c r="A3022" t="s">
        <v>6514</v>
      </c>
      <c r="B3022" t="s">
        <v>338</v>
      </c>
    </row>
    <row r="3023" spans="1:2" x14ac:dyDescent="0.25">
      <c r="A3023" t="s">
        <v>340</v>
      </c>
      <c r="B3023" t="s">
        <v>340</v>
      </c>
    </row>
    <row r="3024" spans="1:2" x14ac:dyDescent="0.25">
      <c r="A3024" t="s">
        <v>6515</v>
      </c>
      <c r="B3024" t="s">
        <v>340</v>
      </c>
    </row>
    <row r="3025" spans="1:2" x14ac:dyDescent="0.25">
      <c r="A3025" t="s">
        <v>6516</v>
      </c>
      <c r="B3025" t="s">
        <v>340</v>
      </c>
    </row>
    <row r="3026" spans="1:2" x14ac:dyDescent="0.25">
      <c r="A3026" t="s">
        <v>6517</v>
      </c>
      <c r="B3026" t="s">
        <v>5209</v>
      </c>
    </row>
    <row r="3027" spans="1:2" x14ac:dyDescent="0.25">
      <c r="A3027" t="s">
        <v>342</v>
      </c>
      <c r="B3027" t="s">
        <v>342</v>
      </c>
    </row>
    <row r="3028" spans="1:2" x14ac:dyDescent="0.25">
      <c r="A3028" t="s">
        <v>344</v>
      </c>
      <c r="B3028" t="s">
        <v>344</v>
      </c>
    </row>
    <row r="3029" spans="1:2" x14ac:dyDescent="0.25">
      <c r="A3029" t="s">
        <v>6518</v>
      </c>
      <c r="B3029" t="s">
        <v>344</v>
      </c>
    </row>
    <row r="3030" spans="1:2" x14ac:dyDescent="0.25">
      <c r="A3030" t="s">
        <v>3128</v>
      </c>
      <c r="B3030" t="s">
        <v>3128</v>
      </c>
    </row>
    <row r="3031" spans="1:2" x14ac:dyDescent="0.25">
      <c r="A3031" t="s">
        <v>3129</v>
      </c>
      <c r="B3031" t="s">
        <v>3129</v>
      </c>
    </row>
    <row r="3032" spans="1:2" x14ac:dyDescent="0.25">
      <c r="A3032" t="s">
        <v>6519</v>
      </c>
      <c r="B3032" t="s">
        <v>2481</v>
      </c>
    </row>
    <row r="3033" spans="1:2" x14ac:dyDescent="0.25">
      <c r="A3033" t="s">
        <v>2946</v>
      </c>
      <c r="B3033" t="s">
        <v>2946</v>
      </c>
    </row>
    <row r="3034" spans="1:2" x14ac:dyDescent="0.25">
      <c r="A3034" t="s">
        <v>2405</v>
      </c>
      <c r="B3034" t="s">
        <v>2405</v>
      </c>
    </row>
    <row r="3035" spans="1:2" x14ac:dyDescent="0.25">
      <c r="A3035" t="s">
        <v>6520</v>
      </c>
      <c r="B3035" t="s">
        <v>2405</v>
      </c>
    </row>
    <row r="3036" spans="1:2" x14ac:dyDescent="0.25">
      <c r="A3036" t="s">
        <v>1024</v>
      </c>
      <c r="B3036" t="s">
        <v>1024</v>
      </c>
    </row>
    <row r="3037" spans="1:2" x14ac:dyDescent="0.25">
      <c r="A3037" t="s">
        <v>6521</v>
      </c>
      <c r="B3037" t="s">
        <v>1024</v>
      </c>
    </row>
    <row r="3038" spans="1:2" x14ac:dyDescent="0.25">
      <c r="A3038" t="s">
        <v>6522</v>
      </c>
      <c r="B3038" t="s">
        <v>5209</v>
      </c>
    </row>
    <row r="3039" spans="1:2" x14ac:dyDescent="0.25">
      <c r="A3039" t="s">
        <v>1848</v>
      </c>
      <c r="B3039" t="s">
        <v>1848</v>
      </c>
    </row>
    <row r="3040" spans="1:2" x14ac:dyDescent="0.25">
      <c r="A3040" t="s">
        <v>6523</v>
      </c>
      <c r="B3040" t="s">
        <v>1848</v>
      </c>
    </row>
    <row r="3041" spans="1:2" x14ac:dyDescent="0.25">
      <c r="A3041" t="s">
        <v>6524</v>
      </c>
      <c r="B3041" t="s">
        <v>1848</v>
      </c>
    </row>
    <row r="3042" spans="1:2" x14ac:dyDescent="0.25">
      <c r="A3042" t="s">
        <v>1850</v>
      </c>
      <c r="B3042" t="s">
        <v>1850</v>
      </c>
    </row>
    <row r="3043" spans="1:2" x14ac:dyDescent="0.25">
      <c r="A3043" t="s">
        <v>3130</v>
      </c>
      <c r="B3043" t="s">
        <v>3130</v>
      </c>
    </row>
    <row r="3044" spans="1:2" x14ac:dyDescent="0.25">
      <c r="A3044" t="s">
        <v>3131</v>
      </c>
      <c r="B3044" t="s">
        <v>3131</v>
      </c>
    </row>
    <row r="3045" spans="1:2" x14ac:dyDescent="0.25">
      <c r="A3045" t="s">
        <v>3132</v>
      </c>
      <c r="B3045" t="s">
        <v>3132</v>
      </c>
    </row>
    <row r="3046" spans="1:2" x14ac:dyDescent="0.25">
      <c r="A3046" t="s">
        <v>2948</v>
      </c>
      <c r="B3046" t="s">
        <v>2948</v>
      </c>
    </row>
    <row r="3047" spans="1:2" x14ac:dyDescent="0.25">
      <c r="A3047" t="s">
        <v>3133</v>
      </c>
      <c r="B3047" t="s">
        <v>3133</v>
      </c>
    </row>
    <row r="3048" spans="1:2" x14ac:dyDescent="0.25">
      <c r="A3048" t="s">
        <v>3134</v>
      </c>
      <c r="B3048" t="s">
        <v>3134</v>
      </c>
    </row>
    <row r="3049" spans="1:2" x14ac:dyDescent="0.25">
      <c r="A3049" t="s">
        <v>6525</v>
      </c>
      <c r="B3049" t="s">
        <v>4679</v>
      </c>
    </row>
    <row r="3050" spans="1:2" x14ac:dyDescent="0.25">
      <c r="A3050" t="s">
        <v>6526</v>
      </c>
      <c r="B3050" t="s">
        <v>4679</v>
      </c>
    </row>
    <row r="3051" spans="1:2" x14ac:dyDescent="0.25">
      <c r="A3051" t="s">
        <v>6527</v>
      </c>
      <c r="B3051" t="s">
        <v>4683</v>
      </c>
    </row>
    <row r="3052" spans="1:2" x14ac:dyDescent="0.25">
      <c r="A3052" t="s">
        <v>6528</v>
      </c>
      <c r="B3052" t="s">
        <v>4683</v>
      </c>
    </row>
    <row r="3053" spans="1:2" x14ac:dyDescent="0.25">
      <c r="A3053" t="s">
        <v>6529</v>
      </c>
      <c r="B3053" t="s">
        <v>4681</v>
      </c>
    </row>
    <row r="3054" spans="1:2" x14ac:dyDescent="0.25">
      <c r="A3054" t="s">
        <v>6530</v>
      </c>
      <c r="B3054" t="s">
        <v>4681</v>
      </c>
    </row>
    <row r="3055" spans="1:2" x14ac:dyDescent="0.25">
      <c r="A3055" t="s">
        <v>6531</v>
      </c>
      <c r="B3055" t="s">
        <v>3134</v>
      </c>
    </row>
    <row r="3056" spans="1:2" x14ac:dyDescent="0.25">
      <c r="A3056" t="s">
        <v>2407</v>
      </c>
      <c r="B3056" t="s">
        <v>2407</v>
      </c>
    </row>
    <row r="3057" spans="1:2" x14ac:dyDescent="0.25">
      <c r="A3057" t="s">
        <v>1033</v>
      </c>
      <c r="B3057" t="s">
        <v>1033</v>
      </c>
    </row>
    <row r="3058" spans="1:2" x14ac:dyDescent="0.25">
      <c r="A3058" t="s">
        <v>1852</v>
      </c>
      <c r="B3058" t="s">
        <v>1852</v>
      </c>
    </row>
    <row r="3059" spans="1:2" x14ac:dyDescent="0.25">
      <c r="A3059" t="s">
        <v>2950</v>
      </c>
      <c r="B3059" t="s">
        <v>2950</v>
      </c>
    </row>
    <row r="3060" spans="1:2" x14ac:dyDescent="0.25">
      <c r="A3060" t="s">
        <v>1854</v>
      </c>
      <c r="B3060" t="s">
        <v>1854</v>
      </c>
    </row>
    <row r="3061" spans="1:2" x14ac:dyDescent="0.25">
      <c r="A3061" t="s">
        <v>1036</v>
      </c>
      <c r="B3061" t="s">
        <v>1036</v>
      </c>
    </row>
    <row r="3062" spans="1:2" x14ac:dyDescent="0.25">
      <c r="A3062" t="s">
        <v>1856</v>
      </c>
      <c r="B3062" t="s">
        <v>1856</v>
      </c>
    </row>
    <row r="3063" spans="1:2" x14ac:dyDescent="0.25">
      <c r="A3063" t="s">
        <v>1039</v>
      </c>
      <c r="B3063" t="s">
        <v>1039</v>
      </c>
    </row>
    <row r="3064" spans="1:2" x14ac:dyDescent="0.25">
      <c r="A3064" t="s">
        <v>1858</v>
      </c>
      <c r="B3064" t="s">
        <v>1858</v>
      </c>
    </row>
    <row r="3065" spans="1:2" x14ac:dyDescent="0.25">
      <c r="A3065" t="s">
        <v>1860</v>
      </c>
      <c r="B3065" t="s">
        <v>1860</v>
      </c>
    </row>
    <row r="3066" spans="1:2" x14ac:dyDescent="0.25">
      <c r="A3066" t="s">
        <v>6532</v>
      </c>
      <c r="B3066" t="s">
        <v>1860</v>
      </c>
    </row>
    <row r="3067" spans="1:2" x14ac:dyDescent="0.25">
      <c r="A3067" t="s">
        <v>6533</v>
      </c>
      <c r="B3067" t="s">
        <v>1860</v>
      </c>
    </row>
    <row r="3068" spans="1:2" x14ac:dyDescent="0.25">
      <c r="A3068" t="s">
        <v>3135</v>
      </c>
      <c r="B3068" t="s">
        <v>3135</v>
      </c>
    </row>
    <row r="3069" spans="1:2" x14ac:dyDescent="0.25">
      <c r="A3069" t="s">
        <v>6534</v>
      </c>
      <c r="B3069" t="s">
        <v>4686</v>
      </c>
    </row>
    <row r="3070" spans="1:2" x14ac:dyDescent="0.25">
      <c r="A3070" t="s">
        <v>6535</v>
      </c>
      <c r="B3070" t="s">
        <v>4686</v>
      </c>
    </row>
    <row r="3071" spans="1:2" x14ac:dyDescent="0.25">
      <c r="A3071" t="s">
        <v>6536</v>
      </c>
      <c r="B3071" t="s">
        <v>4690</v>
      </c>
    </row>
    <row r="3072" spans="1:2" x14ac:dyDescent="0.25">
      <c r="A3072" t="s">
        <v>6537</v>
      </c>
      <c r="B3072" t="s">
        <v>4690</v>
      </c>
    </row>
    <row r="3073" spans="1:2" x14ac:dyDescent="0.25">
      <c r="A3073" t="s">
        <v>6538</v>
      </c>
      <c r="B3073" t="s">
        <v>4688</v>
      </c>
    </row>
    <row r="3074" spans="1:2" x14ac:dyDescent="0.25">
      <c r="A3074" t="s">
        <v>6539</v>
      </c>
      <c r="B3074" t="s">
        <v>4688</v>
      </c>
    </row>
    <row r="3075" spans="1:2" x14ac:dyDescent="0.25">
      <c r="A3075" t="s">
        <v>6540</v>
      </c>
      <c r="B3075" t="s">
        <v>3135</v>
      </c>
    </row>
    <row r="3076" spans="1:2" x14ac:dyDescent="0.25">
      <c r="A3076" t="s">
        <v>1042</v>
      </c>
      <c r="B3076" t="s">
        <v>1042</v>
      </c>
    </row>
    <row r="3077" spans="1:2" x14ac:dyDescent="0.25">
      <c r="A3077" t="s">
        <v>6541</v>
      </c>
      <c r="B3077" t="s">
        <v>1042</v>
      </c>
    </row>
    <row r="3078" spans="1:2" x14ac:dyDescent="0.25">
      <c r="A3078" t="s">
        <v>1863</v>
      </c>
      <c r="B3078" t="s">
        <v>1863</v>
      </c>
    </row>
    <row r="3079" spans="1:2" x14ac:dyDescent="0.25">
      <c r="A3079" t="s">
        <v>6542</v>
      </c>
      <c r="B3079" t="s">
        <v>1863</v>
      </c>
    </row>
    <row r="3080" spans="1:2" x14ac:dyDescent="0.25">
      <c r="A3080" t="s">
        <v>6543</v>
      </c>
      <c r="B3080" t="s">
        <v>1863</v>
      </c>
    </row>
    <row r="3081" spans="1:2" x14ac:dyDescent="0.25">
      <c r="A3081" t="s">
        <v>1866</v>
      </c>
      <c r="B3081" t="s">
        <v>1866</v>
      </c>
    </row>
    <row r="3082" spans="1:2" x14ac:dyDescent="0.25">
      <c r="A3082" t="s">
        <v>6544</v>
      </c>
      <c r="B3082" t="s">
        <v>1866</v>
      </c>
    </row>
    <row r="3083" spans="1:2" x14ac:dyDescent="0.25">
      <c r="A3083" t="s">
        <v>6545</v>
      </c>
      <c r="B3083" t="s">
        <v>1866</v>
      </c>
    </row>
    <row r="3084" spans="1:2" x14ac:dyDescent="0.25">
      <c r="A3084" t="s">
        <v>1869</v>
      </c>
      <c r="B3084" t="s">
        <v>1869</v>
      </c>
    </row>
    <row r="3085" spans="1:2" x14ac:dyDescent="0.25">
      <c r="A3085" t="s">
        <v>6546</v>
      </c>
      <c r="B3085" t="s">
        <v>1869</v>
      </c>
    </row>
    <row r="3086" spans="1:2" x14ac:dyDescent="0.25">
      <c r="A3086" t="s">
        <v>6547</v>
      </c>
      <c r="B3086" t="s">
        <v>1869</v>
      </c>
    </row>
    <row r="3087" spans="1:2" x14ac:dyDescent="0.25">
      <c r="A3087" t="s">
        <v>6548</v>
      </c>
      <c r="B3087" t="s">
        <v>1869</v>
      </c>
    </row>
    <row r="3088" spans="1:2" x14ac:dyDescent="0.25">
      <c r="A3088" t="s">
        <v>1907</v>
      </c>
      <c r="B3088" t="s">
        <v>1907</v>
      </c>
    </row>
    <row r="3089" spans="1:2" x14ac:dyDescent="0.25">
      <c r="A3089" t="s">
        <v>6549</v>
      </c>
      <c r="B3089" t="s">
        <v>1907</v>
      </c>
    </row>
    <row r="3090" spans="1:2" x14ac:dyDescent="0.25">
      <c r="A3090" t="s">
        <v>1045</v>
      </c>
      <c r="B3090" t="s">
        <v>1045</v>
      </c>
    </row>
    <row r="3091" spans="1:2" x14ac:dyDescent="0.25">
      <c r="A3091" t="s">
        <v>6550</v>
      </c>
      <c r="B3091" t="s">
        <v>1045</v>
      </c>
    </row>
    <row r="3092" spans="1:2" x14ac:dyDescent="0.25">
      <c r="A3092" t="s">
        <v>6551</v>
      </c>
      <c r="B3092" t="s">
        <v>1045</v>
      </c>
    </row>
    <row r="3093" spans="1:2" x14ac:dyDescent="0.25">
      <c r="A3093" t="s">
        <v>6552</v>
      </c>
      <c r="B3093" t="s">
        <v>3136</v>
      </c>
    </row>
    <row r="3094" spans="1:2" x14ac:dyDescent="0.25">
      <c r="A3094" t="s">
        <v>1049</v>
      </c>
      <c r="B3094" t="s">
        <v>1049</v>
      </c>
    </row>
    <row r="3095" spans="1:2" x14ac:dyDescent="0.25">
      <c r="A3095" t="s">
        <v>6553</v>
      </c>
      <c r="B3095" t="s">
        <v>1049</v>
      </c>
    </row>
    <row r="3096" spans="1:2" x14ac:dyDescent="0.25">
      <c r="A3096" t="s">
        <v>2961</v>
      </c>
      <c r="B3096" t="s">
        <v>2961</v>
      </c>
    </row>
    <row r="3097" spans="1:2" x14ac:dyDescent="0.25">
      <c r="A3097" t="s">
        <v>6554</v>
      </c>
      <c r="B3097" t="s">
        <v>2961</v>
      </c>
    </row>
    <row r="3098" spans="1:2" x14ac:dyDescent="0.25">
      <c r="A3098" t="s">
        <v>6555</v>
      </c>
      <c r="B3098" t="s">
        <v>2961</v>
      </c>
    </row>
    <row r="3099" spans="1:2" x14ac:dyDescent="0.25">
      <c r="A3099" t="s">
        <v>1052</v>
      </c>
      <c r="B3099" t="s">
        <v>1052</v>
      </c>
    </row>
    <row r="3100" spans="1:2" x14ac:dyDescent="0.25">
      <c r="A3100" t="s">
        <v>6556</v>
      </c>
      <c r="B3100" t="s">
        <v>1052</v>
      </c>
    </row>
    <row r="3101" spans="1:2" x14ac:dyDescent="0.25">
      <c r="A3101" t="s">
        <v>6557</v>
      </c>
      <c r="B3101" t="s">
        <v>1052</v>
      </c>
    </row>
    <row r="3102" spans="1:2" x14ac:dyDescent="0.25">
      <c r="A3102" t="s">
        <v>1056</v>
      </c>
      <c r="B3102" t="s">
        <v>1056</v>
      </c>
    </row>
    <row r="3103" spans="1:2" x14ac:dyDescent="0.25">
      <c r="A3103" t="s">
        <v>1915</v>
      </c>
      <c r="B3103" t="s">
        <v>1915</v>
      </c>
    </row>
    <row r="3104" spans="1:2" x14ac:dyDescent="0.25">
      <c r="A3104" t="s">
        <v>6558</v>
      </c>
      <c r="B3104" t="s">
        <v>1915</v>
      </c>
    </row>
    <row r="3105" spans="1:2" x14ac:dyDescent="0.25">
      <c r="A3105" t="s">
        <v>1917</v>
      </c>
      <c r="B3105" t="s">
        <v>1917</v>
      </c>
    </row>
    <row r="3106" spans="1:2" x14ac:dyDescent="0.25">
      <c r="A3106" t="s">
        <v>6559</v>
      </c>
      <c r="B3106" t="s">
        <v>1917</v>
      </c>
    </row>
    <row r="3107" spans="1:2" x14ac:dyDescent="0.25">
      <c r="A3107" t="s">
        <v>1059</v>
      </c>
      <c r="B3107" t="s">
        <v>1059</v>
      </c>
    </row>
    <row r="3108" spans="1:2" x14ac:dyDescent="0.25">
      <c r="A3108" t="s">
        <v>1920</v>
      </c>
      <c r="B3108" t="s">
        <v>1920</v>
      </c>
    </row>
    <row r="3109" spans="1:2" x14ac:dyDescent="0.25">
      <c r="A3109" t="s">
        <v>1063</v>
      </c>
      <c r="B3109" t="s">
        <v>1063</v>
      </c>
    </row>
    <row r="3110" spans="1:2" x14ac:dyDescent="0.25">
      <c r="A3110" t="s">
        <v>6560</v>
      </c>
      <c r="B3110" t="s">
        <v>1063</v>
      </c>
    </row>
    <row r="3111" spans="1:2" x14ac:dyDescent="0.25">
      <c r="A3111" t="s">
        <v>6561</v>
      </c>
      <c r="B3111" t="s">
        <v>1063</v>
      </c>
    </row>
    <row r="3112" spans="1:2" x14ac:dyDescent="0.25">
      <c r="A3112" t="s">
        <v>6562</v>
      </c>
      <c r="B3112" t="s">
        <v>1063</v>
      </c>
    </row>
    <row r="3113" spans="1:2" x14ac:dyDescent="0.25">
      <c r="A3113" t="s">
        <v>1068</v>
      </c>
      <c r="B3113" t="s">
        <v>1068</v>
      </c>
    </row>
    <row r="3114" spans="1:2" x14ac:dyDescent="0.25">
      <c r="A3114" t="s">
        <v>6563</v>
      </c>
      <c r="B3114" t="s">
        <v>1068</v>
      </c>
    </row>
    <row r="3115" spans="1:2" x14ac:dyDescent="0.25">
      <c r="A3115" t="s">
        <v>6564</v>
      </c>
      <c r="B3115" t="s">
        <v>4693</v>
      </c>
    </row>
    <row r="3116" spans="1:2" x14ac:dyDescent="0.25">
      <c r="A3116" t="s">
        <v>1922</v>
      </c>
      <c r="B3116" t="s">
        <v>1922</v>
      </c>
    </row>
    <row r="3117" spans="1:2" x14ac:dyDescent="0.25">
      <c r="A3117" t="s">
        <v>6565</v>
      </c>
      <c r="B3117" t="s">
        <v>1922</v>
      </c>
    </row>
    <row r="3118" spans="1:2" x14ac:dyDescent="0.25">
      <c r="A3118" t="s">
        <v>1071</v>
      </c>
      <c r="B3118" t="s">
        <v>1071</v>
      </c>
    </row>
    <row r="3119" spans="1:2" x14ac:dyDescent="0.25">
      <c r="A3119" t="s">
        <v>6566</v>
      </c>
      <c r="B3119" t="s">
        <v>1071</v>
      </c>
    </row>
    <row r="3120" spans="1:2" x14ac:dyDescent="0.25">
      <c r="A3120" t="s">
        <v>1924</v>
      </c>
      <c r="B3120" t="s">
        <v>1924</v>
      </c>
    </row>
    <row r="3121" spans="1:2" x14ac:dyDescent="0.25">
      <c r="A3121" t="s">
        <v>6567</v>
      </c>
      <c r="B3121" t="s">
        <v>1924</v>
      </c>
    </row>
    <row r="3122" spans="1:2" x14ac:dyDescent="0.25">
      <c r="A3122" t="s">
        <v>3137</v>
      </c>
      <c r="B3122" t="s">
        <v>3137</v>
      </c>
    </row>
    <row r="3123" spans="1:2" x14ac:dyDescent="0.25">
      <c r="A3123" t="s">
        <v>6568</v>
      </c>
      <c r="B3123" t="s">
        <v>3137</v>
      </c>
    </row>
    <row r="3124" spans="1:2" x14ac:dyDescent="0.25">
      <c r="A3124" t="s">
        <v>1926</v>
      </c>
      <c r="B3124" t="s">
        <v>1926</v>
      </c>
    </row>
    <row r="3125" spans="1:2" x14ac:dyDescent="0.25">
      <c r="A3125" t="s">
        <v>6569</v>
      </c>
      <c r="B3125" t="s">
        <v>1926</v>
      </c>
    </row>
    <row r="3126" spans="1:2" x14ac:dyDescent="0.25">
      <c r="A3126" t="s">
        <v>1074</v>
      </c>
      <c r="B3126" t="s">
        <v>1074</v>
      </c>
    </row>
    <row r="3127" spans="1:2" x14ac:dyDescent="0.25">
      <c r="A3127" t="s">
        <v>6570</v>
      </c>
      <c r="B3127" t="s">
        <v>1074</v>
      </c>
    </row>
    <row r="3128" spans="1:2" x14ac:dyDescent="0.25">
      <c r="A3128" t="s">
        <v>6571</v>
      </c>
      <c r="B3128" t="s">
        <v>1074</v>
      </c>
    </row>
    <row r="3129" spans="1:2" x14ac:dyDescent="0.25">
      <c r="A3129" t="s">
        <v>1078</v>
      </c>
      <c r="B3129" t="s">
        <v>1078</v>
      </c>
    </row>
    <row r="3130" spans="1:2" x14ac:dyDescent="0.25">
      <c r="A3130" t="s">
        <v>1928</v>
      </c>
      <c r="B3130" t="s">
        <v>1928</v>
      </c>
    </row>
    <row r="3131" spans="1:2" x14ac:dyDescent="0.25">
      <c r="A3131" t="s">
        <v>6572</v>
      </c>
      <c r="B3131" t="s">
        <v>1928</v>
      </c>
    </row>
    <row r="3132" spans="1:2" x14ac:dyDescent="0.25">
      <c r="A3132" t="s">
        <v>6573</v>
      </c>
      <c r="B3132" t="s">
        <v>1928</v>
      </c>
    </row>
    <row r="3133" spans="1:2" x14ac:dyDescent="0.25">
      <c r="A3133" t="s">
        <v>1081</v>
      </c>
      <c r="B3133" t="s">
        <v>1081</v>
      </c>
    </row>
    <row r="3134" spans="1:2" x14ac:dyDescent="0.25">
      <c r="A3134" t="s">
        <v>6574</v>
      </c>
      <c r="B3134" t="s">
        <v>1081</v>
      </c>
    </row>
    <row r="3135" spans="1:2" x14ac:dyDescent="0.25">
      <c r="A3135" t="s">
        <v>6575</v>
      </c>
      <c r="B3135" t="s">
        <v>1081</v>
      </c>
    </row>
    <row r="3136" spans="1:2" x14ac:dyDescent="0.25">
      <c r="A3136" t="s">
        <v>1084</v>
      </c>
      <c r="B3136" t="s">
        <v>1084</v>
      </c>
    </row>
    <row r="3137" spans="1:2" x14ac:dyDescent="0.25">
      <c r="A3137" t="s">
        <v>6576</v>
      </c>
      <c r="B3137" t="s">
        <v>1084</v>
      </c>
    </row>
    <row r="3138" spans="1:2" x14ac:dyDescent="0.25">
      <c r="A3138" t="s">
        <v>6577</v>
      </c>
      <c r="B3138" t="s">
        <v>1084</v>
      </c>
    </row>
    <row r="3139" spans="1:2" x14ac:dyDescent="0.25">
      <c r="A3139" t="s">
        <v>6578</v>
      </c>
      <c r="B3139" t="s">
        <v>1084</v>
      </c>
    </row>
    <row r="3140" spans="1:2" x14ac:dyDescent="0.25">
      <c r="A3140" t="s">
        <v>2328</v>
      </c>
      <c r="B3140" t="s">
        <v>2328</v>
      </c>
    </row>
    <row r="3141" spans="1:2" x14ac:dyDescent="0.25">
      <c r="A3141" t="s">
        <v>6579</v>
      </c>
      <c r="B3141" t="s">
        <v>4700</v>
      </c>
    </row>
    <row r="3142" spans="1:2" x14ac:dyDescent="0.25">
      <c r="A3142" t="s">
        <v>6580</v>
      </c>
      <c r="B3142" t="s">
        <v>4700</v>
      </c>
    </row>
    <row r="3143" spans="1:2" x14ac:dyDescent="0.25">
      <c r="A3143" t="s">
        <v>6581</v>
      </c>
      <c r="B3143" t="s">
        <v>4696</v>
      </c>
    </row>
    <row r="3144" spans="1:2" x14ac:dyDescent="0.25">
      <c r="A3144" t="s">
        <v>6582</v>
      </c>
      <c r="B3144" t="s">
        <v>4696</v>
      </c>
    </row>
    <row r="3145" spans="1:2" x14ac:dyDescent="0.25">
      <c r="A3145" t="s">
        <v>6583</v>
      </c>
      <c r="B3145" t="s">
        <v>4698</v>
      </c>
    </row>
    <row r="3146" spans="1:2" x14ac:dyDescent="0.25">
      <c r="A3146" t="s">
        <v>6584</v>
      </c>
      <c r="B3146" t="s">
        <v>4698</v>
      </c>
    </row>
    <row r="3147" spans="1:2" x14ac:dyDescent="0.25">
      <c r="A3147" t="s">
        <v>1087</v>
      </c>
      <c r="B3147" t="s">
        <v>1087</v>
      </c>
    </row>
    <row r="3148" spans="1:2" x14ac:dyDescent="0.25">
      <c r="A3148" t="s">
        <v>1090</v>
      </c>
      <c r="B3148" t="s">
        <v>1090</v>
      </c>
    </row>
    <row r="3149" spans="1:2" x14ac:dyDescent="0.25">
      <c r="A3149" t="s">
        <v>6585</v>
      </c>
      <c r="B3149" t="s">
        <v>1090</v>
      </c>
    </row>
    <row r="3150" spans="1:2" x14ac:dyDescent="0.25">
      <c r="A3150" t="s">
        <v>1093</v>
      </c>
      <c r="B3150" t="s">
        <v>1093</v>
      </c>
    </row>
    <row r="3151" spans="1:2" x14ac:dyDescent="0.25">
      <c r="A3151" t="s">
        <v>6586</v>
      </c>
      <c r="B3151" t="s">
        <v>1093</v>
      </c>
    </row>
    <row r="3152" spans="1:2" x14ac:dyDescent="0.25">
      <c r="A3152" t="s">
        <v>2414</v>
      </c>
      <c r="B3152" t="s">
        <v>2414</v>
      </c>
    </row>
    <row r="3153" spans="1:2" x14ac:dyDescent="0.25">
      <c r="A3153" t="s">
        <v>2415</v>
      </c>
      <c r="B3153" t="s">
        <v>2415</v>
      </c>
    </row>
    <row r="3154" spans="1:2" x14ac:dyDescent="0.25">
      <c r="A3154" t="s">
        <v>1930</v>
      </c>
      <c r="B3154" t="s">
        <v>1930</v>
      </c>
    </row>
    <row r="3155" spans="1:2" x14ac:dyDescent="0.25">
      <c r="A3155" t="s">
        <v>6587</v>
      </c>
      <c r="B3155" t="s">
        <v>1930</v>
      </c>
    </row>
    <row r="3156" spans="1:2" x14ac:dyDescent="0.25">
      <c r="A3156" t="s">
        <v>1932</v>
      </c>
      <c r="B3156" t="s">
        <v>1932</v>
      </c>
    </row>
    <row r="3157" spans="1:2" x14ac:dyDescent="0.25">
      <c r="A3157" t="s">
        <v>1096</v>
      </c>
      <c r="B3157" t="s">
        <v>1096</v>
      </c>
    </row>
    <row r="3158" spans="1:2" x14ac:dyDescent="0.25">
      <c r="A3158" t="s">
        <v>6588</v>
      </c>
      <c r="B3158" t="s">
        <v>1096</v>
      </c>
    </row>
    <row r="3159" spans="1:2" x14ac:dyDescent="0.25">
      <c r="A3159" t="s">
        <v>1099</v>
      </c>
      <c r="B3159" t="s">
        <v>1099</v>
      </c>
    </row>
    <row r="3160" spans="1:2" x14ac:dyDescent="0.25">
      <c r="A3160" t="s">
        <v>6589</v>
      </c>
      <c r="B3160" t="s">
        <v>1099</v>
      </c>
    </row>
    <row r="3161" spans="1:2" x14ac:dyDescent="0.25">
      <c r="A3161" t="s">
        <v>6590</v>
      </c>
      <c r="B3161" t="s">
        <v>1099</v>
      </c>
    </row>
    <row r="3162" spans="1:2" x14ac:dyDescent="0.25">
      <c r="A3162" t="s">
        <v>1102</v>
      </c>
      <c r="B3162" t="s">
        <v>1102</v>
      </c>
    </row>
    <row r="3163" spans="1:2" x14ac:dyDescent="0.25">
      <c r="A3163" t="s">
        <v>835</v>
      </c>
      <c r="B3163" t="s">
        <v>835</v>
      </c>
    </row>
    <row r="3164" spans="1:2" x14ac:dyDescent="0.25">
      <c r="A3164" t="s">
        <v>6591</v>
      </c>
      <c r="B3164" t="s">
        <v>4707</v>
      </c>
    </row>
    <row r="3165" spans="1:2" x14ac:dyDescent="0.25">
      <c r="A3165" t="s">
        <v>6592</v>
      </c>
      <c r="B3165" t="s">
        <v>4707</v>
      </c>
    </row>
    <row r="3166" spans="1:2" x14ac:dyDescent="0.25">
      <c r="A3166" t="s">
        <v>6593</v>
      </c>
      <c r="B3166" t="s">
        <v>4703</v>
      </c>
    </row>
    <row r="3167" spans="1:2" x14ac:dyDescent="0.25">
      <c r="A3167" t="s">
        <v>6594</v>
      </c>
      <c r="B3167" t="s">
        <v>4703</v>
      </c>
    </row>
    <row r="3168" spans="1:2" x14ac:dyDescent="0.25">
      <c r="A3168" t="s">
        <v>6595</v>
      </c>
      <c r="B3168" t="s">
        <v>4705</v>
      </c>
    </row>
    <row r="3169" spans="1:2" x14ac:dyDescent="0.25">
      <c r="A3169" t="s">
        <v>6596</v>
      </c>
      <c r="B3169" t="s">
        <v>4705</v>
      </c>
    </row>
    <row r="3170" spans="1:2" x14ac:dyDescent="0.25">
      <c r="A3170" t="s">
        <v>6597</v>
      </c>
      <c r="B3170" t="s">
        <v>835</v>
      </c>
    </row>
    <row r="3171" spans="1:2" x14ac:dyDescent="0.25">
      <c r="A3171" t="s">
        <v>1105</v>
      </c>
      <c r="B3171" t="s">
        <v>1105</v>
      </c>
    </row>
    <row r="3172" spans="1:2" x14ac:dyDescent="0.25">
      <c r="A3172" t="s">
        <v>6598</v>
      </c>
      <c r="B3172" t="s">
        <v>1105</v>
      </c>
    </row>
    <row r="3173" spans="1:2" x14ac:dyDescent="0.25">
      <c r="A3173" t="s">
        <v>6599</v>
      </c>
      <c r="B3173" t="s">
        <v>1105</v>
      </c>
    </row>
    <row r="3174" spans="1:2" x14ac:dyDescent="0.25">
      <c r="A3174" t="s">
        <v>354</v>
      </c>
      <c r="B3174" t="s">
        <v>354</v>
      </c>
    </row>
    <row r="3175" spans="1:2" x14ac:dyDescent="0.25">
      <c r="A3175" t="s">
        <v>1936</v>
      </c>
      <c r="B3175" t="s">
        <v>1936</v>
      </c>
    </row>
    <row r="3176" spans="1:2" x14ac:dyDescent="0.25">
      <c r="A3176" t="s">
        <v>6600</v>
      </c>
      <c r="B3176" t="s">
        <v>1936</v>
      </c>
    </row>
    <row r="3177" spans="1:2" x14ac:dyDescent="0.25">
      <c r="A3177" t="s">
        <v>1108</v>
      </c>
      <c r="B3177" t="s">
        <v>1108</v>
      </c>
    </row>
    <row r="3178" spans="1:2" x14ac:dyDescent="0.25">
      <c r="A3178" t="s">
        <v>2722</v>
      </c>
      <c r="B3178" t="s">
        <v>2722</v>
      </c>
    </row>
    <row r="3179" spans="1:2" x14ac:dyDescent="0.25">
      <c r="A3179" t="s">
        <v>6601</v>
      </c>
      <c r="B3179" t="s">
        <v>6602</v>
      </c>
    </row>
    <row r="3180" spans="1:2" x14ac:dyDescent="0.25">
      <c r="A3180" t="s">
        <v>6603</v>
      </c>
      <c r="B3180" t="s">
        <v>6604</v>
      </c>
    </row>
    <row r="3181" spans="1:2" x14ac:dyDescent="0.25">
      <c r="A3181" t="s">
        <v>1938</v>
      </c>
      <c r="B3181" t="s">
        <v>1938</v>
      </c>
    </row>
    <row r="3182" spans="1:2" x14ac:dyDescent="0.25">
      <c r="A3182" t="s">
        <v>6605</v>
      </c>
      <c r="B3182" t="s">
        <v>1938</v>
      </c>
    </row>
    <row r="3183" spans="1:2" x14ac:dyDescent="0.25">
      <c r="A3183" t="s">
        <v>6606</v>
      </c>
      <c r="B3183" t="s">
        <v>1938</v>
      </c>
    </row>
    <row r="3184" spans="1:2" x14ac:dyDescent="0.25">
      <c r="A3184" t="s">
        <v>6607</v>
      </c>
      <c r="B3184" t="s">
        <v>1938</v>
      </c>
    </row>
    <row r="3185" spans="1:2" x14ac:dyDescent="0.25">
      <c r="A3185" t="s">
        <v>1114</v>
      </c>
      <c r="B3185" t="s">
        <v>1114</v>
      </c>
    </row>
    <row r="3186" spans="1:2" x14ac:dyDescent="0.25">
      <c r="A3186" t="s">
        <v>6608</v>
      </c>
      <c r="B3186" t="s">
        <v>1114</v>
      </c>
    </row>
    <row r="3187" spans="1:2" x14ac:dyDescent="0.25">
      <c r="A3187" t="s">
        <v>1117</v>
      </c>
      <c r="B3187" t="s">
        <v>1117</v>
      </c>
    </row>
    <row r="3188" spans="1:2" x14ac:dyDescent="0.25">
      <c r="A3188" t="s">
        <v>6609</v>
      </c>
      <c r="B3188" t="s">
        <v>1117</v>
      </c>
    </row>
    <row r="3189" spans="1:2" x14ac:dyDescent="0.25">
      <c r="A3189" t="s">
        <v>1120</v>
      </c>
      <c r="B3189" t="s">
        <v>1120</v>
      </c>
    </row>
    <row r="3190" spans="1:2" x14ac:dyDescent="0.25">
      <c r="A3190" t="s">
        <v>6610</v>
      </c>
      <c r="B3190" t="s">
        <v>1120</v>
      </c>
    </row>
    <row r="3191" spans="1:2" x14ac:dyDescent="0.25">
      <c r="A3191" t="s">
        <v>3138</v>
      </c>
      <c r="B3191" t="s">
        <v>3138</v>
      </c>
    </row>
    <row r="3192" spans="1:2" x14ac:dyDescent="0.25">
      <c r="A3192" t="s">
        <v>6611</v>
      </c>
      <c r="B3192" t="s">
        <v>4714</v>
      </c>
    </row>
    <row r="3193" spans="1:2" x14ac:dyDescent="0.25">
      <c r="A3193" t="s">
        <v>6612</v>
      </c>
      <c r="B3193" t="s">
        <v>4714</v>
      </c>
    </row>
    <row r="3194" spans="1:2" x14ac:dyDescent="0.25">
      <c r="A3194" t="s">
        <v>6613</v>
      </c>
      <c r="B3194" t="s">
        <v>4710</v>
      </c>
    </row>
    <row r="3195" spans="1:2" x14ac:dyDescent="0.25">
      <c r="A3195" t="s">
        <v>6614</v>
      </c>
      <c r="B3195" t="s">
        <v>4710</v>
      </c>
    </row>
    <row r="3196" spans="1:2" x14ac:dyDescent="0.25">
      <c r="A3196" t="s">
        <v>6615</v>
      </c>
      <c r="B3196" t="s">
        <v>4712</v>
      </c>
    </row>
    <row r="3197" spans="1:2" x14ac:dyDescent="0.25">
      <c r="A3197" t="s">
        <v>6616</v>
      </c>
      <c r="B3197" t="s">
        <v>4712</v>
      </c>
    </row>
    <row r="3198" spans="1:2" x14ac:dyDescent="0.25">
      <c r="A3198" t="s">
        <v>6617</v>
      </c>
      <c r="B3198" t="s">
        <v>3138</v>
      </c>
    </row>
    <row r="3199" spans="1:2" x14ac:dyDescent="0.25">
      <c r="A3199" t="s">
        <v>2963</v>
      </c>
      <c r="B3199" t="s">
        <v>2963</v>
      </c>
    </row>
    <row r="3200" spans="1:2" x14ac:dyDescent="0.25">
      <c r="A3200" t="s">
        <v>1946</v>
      </c>
      <c r="B3200" t="s">
        <v>1946</v>
      </c>
    </row>
    <row r="3201" spans="1:2" x14ac:dyDescent="0.25">
      <c r="A3201" t="s">
        <v>2965</v>
      </c>
      <c r="B3201" t="s">
        <v>2965</v>
      </c>
    </row>
    <row r="3202" spans="1:2" x14ac:dyDescent="0.25">
      <c r="A3202" t="s">
        <v>2967</v>
      </c>
      <c r="B3202" t="s">
        <v>2967</v>
      </c>
    </row>
    <row r="3203" spans="1:2" x14ac:dyDescent="0.25">
      <c r="A3203" t="s">
        <v>1948</v>
      </c>
      <c r="B3203" t="s">
        <v>1948</v>
      </c>
    </row>
    <row r="3204" spans="1:2" x14ac:dyDescent="0.25">
      <c r="A3204" t="s">
        <v>1950</v>
      </c>
      <c r="B3204" t="s">
        <v>1950</v>
      </c>
    </row>
    <row r="3205" spans="1:2" x14ac:dyDescent="0.25">
      <c r="A3205" t="s">
        <v>1127</v>
      </c>
      <c r="B3205" t="s">
        <v>1127</v>
      </c>
    </row>
    <row r="3206" spans="1:2" x14ac:dyDescent="0.25">
      <c r="A3206" t="s">
        <v>1130</v>
      </c>
      <c r="B3206" t="s">
        <v>1130</v>
      </c>
    </row>
    <row r="3207" spans="1:2" x14ac:dyDescent="0.25">
      <c r="A3207" t="s">
        <v>1133</v>
      </c>
      <c r="B3207" t="s">
        <v>1133</v>
      </c>
    </row>
    <row r="3208" spans="1:2" x14ac:dyDescent="0.25">
      <c r="A3208" t="s">
        <v>6618</v>
      </c>
      <c r="B3208" t="s">
        <v>1133</v>
      </c>
    </row>
    <row r="3209" spans="1:2" x14ac:dyDescent="0.25">
      <c r="A3209" t="s">
        <v>1136</v>
      </c>
      <c r="B3209" t="s">
        <v>1136</v>
      </c>
    </row>
    <row r="3210" spans="1:2" x14ac:dyDescent="0.25">
      <c r="A3210" t="s">
        <v>6619</v>
      </c>
      <c r="B3210" t="s">
        <v>1136</v>
      </c>
    </row>
    <row r="3211" spans="1:2" x14ac:dyDescent="0.25">
      <c r="A3211" t="s">
        <v>1669</v>
      </c>
      <c r="B3211" t="s">
        <v>1669</v>
      </c>
    </row>
    <row r="3212" spans="1:2" x14ac:dyDescent="0.25">
      <c r="A3212" t="s">
        <v>6620</v>
      </c>
      <c r="B3212" t="s">
        <v>4720</v>
      </c>
    </row>
    <row r="3213" spans="1:2" x14ac:dyDescent="0.25">
      <c r="A3213" t="s">
        <v>6621</v>
      </c>
      <c r="B3213" t="s">
        <v>4720</v>
      </c>
    </row>
    <row r="3214" spans="1:2" x14ac:dyDescent="0.25">
      <c r="A3214" t="s">
        <v>6622</v>
      </c>
      <c r="B3214" t="s">
        <v>6623</v>
      </c>
    </row>
    <row r="3215" spans="1:2" x14ac:dyDescent="0.25">
      <c r="A3215" t="s">
        <v>6624</v>
      </c>
      <c r="B3215" t="s">
        <v>6623</v>
      </c>
    </row>
    <row r="3216" spans="1:2" x14ac:dyDescent="0.25">
      <c r="A3216" t="s">
        <v>6625</v>
      </c>
      <c r="B3216" t="s">
        <v>4718</v>
      </c>
    </row>
    <row r="3217" spans="1:2" x14ac:dyDescent="0.25">
      <c r="A3217" t="s">
        <v>6626</v>
      </c>
      <c r="B3217" t="s">
        <v>4718</v>
      </c>
    </row>
    <row r="3218" spans="1:2" x14ac:dyDescent="0.25">
      <c r="A3218" t="s">
        <v>6627</v>
      </c>
      <c r="B3218" t="s">
        <v>1669</v>
      </c>
    </row>
    <row r="3219" spans="1:2" x14ac:dyDescent="0.25">
      <c r="A3219" t="s">
        <v>1959</v>
      </c>
      <c r="B3219" t="s">
        <v>1959</v>
      </c>
    </row>
    <row r="3220" spans="1:2" x14ac:dyDescent="0.25">
      <c r="A3220" t="s">
        <v>1139</v>
      </c>
      <c r="B3220" t="s">
        <v>1139</v>
      </c>
    </row>
    <row r="3221" spans="1:2" x14ac:dyDescent="0.25">
      <c r="A3221" t="s">
        <v>1142</v>
      </c>
      <c r="B3221" t="s">
        <v>1142</v>
      </c>
    </row>
    <row r="3222" spans="1:2" x14ac:dyDescent="0.25">
      <c r="A3222" t="s">
        <v>1145</v>
      </c>
      <c r="B3222" t="s">
        <v>1145</v>
      </c>
    </row>
    <row r="3223" spans="1:2" x14ac:dyDescent="0.25">
      <c r="A3223" t="s">
        <v>6628</v>
      </c>
      <c r="B3223" t="s">
        <v>1145</v>
      </c>
    </row>
    <row r="3224" spans="1:2" x14ac:dyDescent="0.25">
      <c r="A3224" t="s">
        <v>6629</v>
      </c>
      <c r="B3224" t="s">
        <v>1145</v>
      </c>
    </row>
    <row r="3225" spans="1:2" x14ac:dyDescent="0.25">
      <c r="A3225" t="s">
        <v>1148</v>
      </c>
      <c r="B3225" t="s">
        <v>1148</v>
      </c>
    </row>
    <row r="3226" spans="1:2" x14ac:dyDescent="0.25">
      <c r="A3226" t="s">
        <v>6630</v>
      </c>
      <c r="B3226" t="s">
        <v>1148</v>
      </c>
    </row>
    <row r="3227" spans="1:2" x14ac:dyDescent="0.25">
      <c r="A3227" t="s">
        <v>6631</v>
      </c>
      <c r="B3227" t="s">
        <v>1148</v>
      </c>
    </row>
    <row r="3228" spans="1:2" x14ac:dyDescent="0.25">
      <c r="A3228" t="s">
        <v>1151</v>
      </c>
      <c r="B3228" t="s">
        <v>1151</v>
      </c>
    </row>
    <row r="3229" spans="1:2" x14ac:dyDescent="0.25">
      <c r="A3229" t="s">
        <v>6632</v>
      </c>
      <c r="B3229" t="s">
        <v>1151</v>
      </c>
    </row>
    <row r="3230" spans="1:2" x14ac:dyDescent="0.25">
      <c r="A3230" t="s">
        <v>1154</v>
      </c>
      <c r="B3230" t="s">
        <v>1154</v>
      </c>
    </row>
    <row r="3231" spans="1:2" x14ac:dyDescent="0.25">
      <c r="A3231" t="s">
        <v>6633</v>
      </c>
      <c r="B3231" t="s">
        <v>1154</v>
      </c>
    </row>
    <row r="3232" spans="1:2" x14ac:dyDescent="0.25">
      <c r="A3232" t="s">
        <v>2974</v>
      </c>
      <c r="B3232" t="s">
        <v>2974</v>
      </c>
    </row>
    <row r="3233" spans="1:2" x14ac:dyDescent="0.25">
      <c r="A3233" t="s">
        <v>1961</v>
      </c>
      <c r="B3233" t="s">
        <v>1961</v>
      </c>
    </row>
    <row r="3234" spans="1:2" x14ac:dyDescent="0.25">
      <c r="A3234" t="s">
        <v>6634</v>
      </c>
      <c r="B3234" t="s">
        <v>1961</v>
      </c>
    </row>
    <row r="3235" spans="1:2" x14ac:dyDescent="0.25">
      <c r="A3235" t="s">
        <v>6635</v>
      </c>
      <c r="B3235" t="s">
        <v>1961</v>
      </c>
    </row>
    <row r="3236" spans="1:2" x14ac:dyDescent="0.25">
      <c r="A3236" t="s">
        <v>1157</v>
      </c>
      <c r="B3236" t="s">
        <v>1157</v>
      </c>
    </row>
    <row r="3237" spans="1:2" x14ac:dyDescent="0.25">
      <c r="A3237" t="s">
        <v>6636</v>
      </c>
      <c r="B3237" t="s">
        <v>1157</v>
      </c>
    </row>
    <row r="3238" spans="1:2" x14ac:dyDescent="0.25">
      <c r="A3238" t="s">
        <v>6637</v>
      </c>
      <c r="B3238" t="s">
        <v>1669</v>
      </c>
    </row>
    <row r="3239" spans="1:2" x14ac:dyDescent="0.25">
      <c r="A3239" t="s">
        <v>3139</v>
      </c>
      <c r="B3239" t="s">
        <v>3139</v>
      </c>
    </row>
    <row r="3240" spans="1:2" x14ac:dyDescent="0.25">
      <c r="A3240" t="s">
        <v>6638</v>
      </c>
      <c r="B3240" t="s">
        <v>3139</v>
      </c>
    </row>
    <row r="3241" spans="1:2" x14ac:dyDescent="0.25">
      <c r="A3241" t="s">
        <v>1964</v>
      </c>
      <c r="B3241" t="s">
        <v>1964</v>
      </c>
    </row>
    <row r="3242" spans="1:2" x14ac:dyDescent="0.25">
      <c r="A3242" t="s">
        <v>6639</v>
      </c>
      <c r="B3242" t="s">
        <v>1964</v>
      </c>
    </row>
    <row r="3243" spans="1:2" x14ac:dyDescent="0.25">
      <c r="A3243" t="s">
        <v>6640</v>
      </c>
      <c r="B3243" t="s">
        <v>1964</v>
      </c>
    </row>
    <row r="3244" spans="1:2" x14ac:dyDescent="0.25">
      <c r="A3244" t="s">
        <v>6641</v>
      </c>
      <c r="B3244" t="s">
        <v>1964</v>
      </c>
    </row>
    <row r="3245" spans="1:2" x14ac:dyDescent="0.25">
      <c r="A3245" t="s">
        <v>1160</v>
      </c>
      <c r="B3245" t="s">
        <v>1160</v>
      </c>
    </row>
    <row r="3246" spans="1:2" x14ac:dyDescent="0.25">
      <c r="A3246" t="s">
        <v>6642</v>
      </c>
      <c r="B3246" t="s">
        <v>1160</v>
      </c>
    </row>
    <row r="3247" spans="1:2" x14ac:dyDescent="0.25">
      <c r="A3247" t="s">
        <v>1163</v>
      </c>
      <c r="B3247" t="s">
        <v>1163</v>
      </c>
    </row>
    <row r="3248" spans="1:2" x14ac:dyDescent="0.25">
      <c r="A3248" t="s">
        <v>6643</v>
      </c>
      <c r="B3248" t="s">
        <v>1163</v>
      </c>
    </row>
    <row r="3249" spans="1:2" x14ac:dyDescent="0.25">
      <c r="A3249" t="s">
        <v>6644</v>
      </c>
      <c r="B3249" t="s">
        <v>1163</v>
      </c>
    </row>
    <row r="3250" spans="1:2" x14ac:dyDescent="0.25">
      <c r="A3250" t="s">
        <v>6645</v>
      </c>
      <c r="B3250" t="s">
        <v>1163</v>
      </c>
    </row>
    <row r="3251" spans="1:2" x14ac:dyDescent="0.25">
      <c r="A3251" t="s">
        <v>1167</v>
      </c>
      <c r="B3251" t="s">
        <v>1167</v>
      </c>
    </row>
    <row r="3252" spans="1:2" x14ac:dyDescent="0.25">
      <c r="A3252" t="s">
        <v>6646</v>
      </c>
      <c r="B3252" t="s">
        <v>1167</v>
      </c>
    </row>
    <row r="3253" spans="1:2" x14ac:dyDescent="0.25">
      <c r="A3253" t="s">
        <v>6647</v>
      </c>
      <c r="B3253" t="s">
        <v>1167</v>
      </c>
    </row>
    <row r="3254" spans="1:2" x14ac:dyDescent="0.25">
      <c r="A3254" t="s">
        <v>1978</v>
      </c>
      <c r="B3254" t="s">
        <v>1978</v>
      </c>
    </row>
    <row r="3255" spans="1:2" x14ac:dyDescent="0.25">
      <c r="A3255" t="s">
        <v>6648</v>
      </c>
      <c r="B3255" t="s">
        <v>1978</v>
      </c>
    </row>
    <row r="3256" spans="1:2" x14ac:dyDescent="0.25">
      <c r="A3256" t="s">
        <v>6649</v>
      </c>
      <c r="B3256" t="s">
        <v>1978</v>
      </c>
    </row>
    <row r="3257" spans="1:2" x14ac:dyDescent="0.25">
      <c r="A3257" t="s">
        <v>1981</v>
      </c>
      <c r="B3257" t="s">
        <v>1981</v>
      </c>
    </row>
    <row r="3258" spans="1:2" x14ac:dyDescent="0.25">
      <c r="A3258" t="s">
        <v>6650</v>
      </c>
      <c r="B3258" t="s">
        <v>1981</v>
      </c>
    </row>
    <row r="3259" spans="1:2" x14ac:dyDescent="0.25">
      <c r="A3259" t="s">
        <v>2976</v>
      </c>
      <c r="B3259" t="s">
        <v>2976</v>
      </c>
    </row>
    <row r="3260" spans="1:2" x14ac:dyDescent="0.25">
      <c r="A3260" t="s">
        <v>1176</v>
      </c>
      <c r="B3260" t="s">
        <v>1176</v>
      </c>
    </row>
    <row r="3261" spans="1:2" x14ac:dyDescent="0.25">
      <c r="A3261" t="s">
        <v>6651</v>
      </c>
      <c r="B3261" t="s">
        <v>1176</v>
      </c>
    </row>
    <row r="3262" spans="1:2" x14ac:dyDescent="0.25">
      <c r="A3262" t="s">
        <v>6652</v>
      </c>
      <c r="B3262" t="s">
        <v>1176</v>
      </c>
    </row>
    <row r="3263" spans="1:2" x14ac:dyDescent="0.25">
      <c r="A3263" t="s">
        <v>6653</v>
      </c>
      <c r="B3263" t="s">
        <v>1176</v>
      </c>
    </row>
    <row r="3264" spans="1:2" x14ac:dyDescent="0.25">
      <c r="A3264" t="s">
        <v>2983</v>
      </c>
      <c r="B3264" t="s">
        <v>2983</v>
      </c>
    </row>
    <row r="3265" spans="1:2" x14ac:dyDescent="0.25">
      <c r="A3265" t="s">
        <v>1190</v>
      </c>
      <c r="B3265" t="s">
        <v>1190</v>
      </c>
    </row>
    <row r="3266" spans="1:2" x14ac:dyDescent="0.25">
      <c r="A3266" t="s">
        <v>3140</v>
      </c>
      <c r="B3266" t="s">
        <v>3140</v>
      </c>
    </row>
    <row r="3267" spans="1:2" x14ac:dyDescent="0.25">
      <c r="A3267" t="s">
        <v>6654</v>
      </c>
      <c r="B3267" t="s">
        <v>3140</v>
      </c>
    </row>
    <row r="3268" spans="1:2" x14ac:dyDescent="0.25">
      <c r="A3268" t="s">
        <v>1993</v>
      </c>
      <c r="B3268" t="s">
        <v>1993</v>
      </c>
    </row>
    <row r="3269" spans="1:2" x14ac:dyDescent="0.25">
      <c r="A3269" t="s">
        <v>2329</v>
      </c>
      <c r="B3269" t="s">
        <v>2329</v>
      </c>
    </row>
    <row r="3270" spans="1:2" x14ac:dyDescent="0.25">
      <c r="A3270" t="s">
        <v>6655</v>
      </c>
      <c r="B3270" t="s">
        <v>2329</v>
      </c>
    </row>
    <row r="3271" spans="1:2" x14ac:dyDescent="0.25">
      <c r="A3271" t="s">
        <v>6656</v>
      </c>
      <c r="B3271" t="s">
        <v>2736</v>
      </c>
    </row>
    <row r="3272" spans="1:2" x14ac:dyDescent="0.25">
      <c r="A3272" t="s">
        <v>6657</v>
      </c>
      <c r="B3272" t="s">
        <v>4726</v>
      </c>
    </row>
    <row r="3273" spans="1:2" x14ac:dyDescent="0.25">
      <c r="A3273" t="s">
        <v>3141</v>
      </c>
      <c r="B3273" t="s">
        <v>3141</v>
      </c>
    </row>
    <row r="3274" spans="1:2" x14ac:dyDescent="0.25">
      <c r="A3274" t="s">
        <v>6658</v>
      </c>
      <c r="B3274" t="s">
        <v>3141</v>
      </c>
    </row>
    <row r="3275" spans="1:2" x14ac:dyDescent="0.25">
      <c r="A3275" t="s">
        <v>6659</v>
      </c>
      <c r="B3275" t="s">
        <v>3142</v>
      </c>
    </row>
    <row r="3276" spans="1:2" x14ac:dyDescent="0.25">
      <c r="A3276" t="s">
        <v>838</v>
      </c>
      <c r="B3276" t="s">
        <v>838</v>
      </c>
    </row>
    <row r="3277" spans="1:2" x14ac:dyDescent="0.25">
      <c r="A3277" t="s">
        <v>6660</v>
      </c>
      <c r="B3277" t="s">
        <v>838</v>
      </c>
    </row>
    <row r="3278" spans="1:2" x14ac:dyDescent="0.25">
      <c r="A3278" t="s">
        <v>6661</v>
      </c>
      <c r="B3278" t="s">
        <v>838</v>
      </c>
    </row>
    <row r="3279" spans="1:2" x14ac:dyDescent="0.25">
      <c r="A3279" t="s">
        <v>6662</v>
      </c>
      <c r="B3279" t="s">
        <v>5209</v>
      </c>
    </row>
    <row r="3280" spans="1:2" x14ac:dyDescent="0.25">
      <c r="A3280" t="s">
        <v>6663</v>
      </c>
      <c r="B3280" t="s">
        <v>838</v>
      </c>
    </row>
    <row r="3281" spans="1:2" x14ac:dyDescent="0.25">
      <c r="A3281" t="s">
        <v>841</v>
      </c>
      <c r="B3281" t="s">
        <v>841</v>
      </c>
    </row>
    <row r="3282" spans="1:2" x14ac:dyDescent="0.25">
      <c r="A3282" t="s">
        <v>6664</v>
      </c>
      <c r="B3282" t="s">
        <v>841</v>
      </c>
    </row>
    <row r="3283" spans="1:2" x14ac:dyDescent="0.25">
      <c r="A3283" t="s">
        <v>6665</v>
      </c>
      <c r="B3283" t="s">
        <v>841</v>
      </c>
    </row>
    <row r="3284" spans="1:2" x14ac:dyDescent="0.25">
      <c r="A3284" t="s">
        <v>6666</v>
      </c>
      <c r="B3284" t="s">
        <v>841</v>
      </c>
    </row>
    <row r="3285" spans="1:2" x14ac:dyDescent="0.25">
      <c r="A3285" t="s">
        <v>275</v>
      </c>
      <c r="B3285" t="s">
        <v>275</v>
      </c>
    </row>
    <row r="3286" spans="1:2" x14ac:dyDescent="0.25">
      <c r="A3286" t="s">
        <v>6667</v>
      </c>
      <c r="B3286" t="s">
        <v>275</v>
      </c>
    </row>
    <row r="3287" spans="1:2" x14ac:dyDescent="0.25">
      <c r="A3287" t="s">
        <v>6668</v>
      </c>
      <c r="B3287" t="s">
        <v>275</v>
      </c>
    </row>
    <row r="3288" spans="1:2" x14ac:dyDescent="0.25">
      <c r="A3288" t="s">
        <v>6669</v>
      </c>
      <c r="B3288" t="s">
        <v>275</v>
      </c>
    </row>
    <row r="3289" spans="1:2" x14ac:dyDescent="0.25">
      <c r="A3289" t="s">
        <v>6670</v>
      </c>
      <c r="B3289" t="s">
        <v>275</v>
      </c>
    </row>
    <row r="3290" spans="1:2" x14ac:dyDescent="0.25">
      <c r="A3290" t="s">
        <v>1674</v>
      </c>
      <c r="B3290" t="s">
        <v>1674</v>
      </c>
    </row>
    <row r="3291" spans="1:2" x14ac:dyDescent="0.25">
      <c r="A3291" t="s">
        <v>6671</v>
      </c>
      <c r="B3291" t="s">
        <v>1674</v>
      </c>
    </row>
    <row r="3292" spans="1:2" x14ac:dyDescent="0.25">
      <c r="A3292" t="s">
        <v>6672</v>
      </c>
      <c r="B3292" t="s">
        <v>1674</v>
      </c>
    </row>
    <row r="3293" spans="1:2" x14ac:dyDescent="0.25">
      <c r="A3293" t="s">
        <v>6673</v>
      </c>
      <c r="B3293" t="s">
        <v>1674</v>
      </c>
    </row>
    <row r="3294" spans="1:2" x14ac:dyDescent="0.25">
      <c r="A3294" t="s">
        <v>3143</v>
      </c>
      <c r="B3294" t="s">
        <v>3143</v>
      </c>
    </row>
    <row r="3295" spans="1:2" x14ac:dyDescent="0.25">
      <c r="A3295" t="s">
        <v>6674</v>
      </c>
      <c r="B3295" t="s">
        <v>3143</v>
      </c>
    </row>
    <row r="3296" spans="1:2" x14ac:dyDescent="0.25">
      <c r="A3296" t="s">
        <v>2824</v>
      </c>
      <c r="B3296" t="s">
        <v>2824</v>
      </c>
    </row>
    <row r="3297" spans="1:2" x14ac:dyDescent="0.25">
      <c r="A3297" t="s">
        <v>6675</v>
      </c>
      <c r="B3297" t="s">
        <v>2824</v>
      </c>
    </row>
    <row r="3298" spans="1:2" x14ac:dyDescent="0.25">
      <c r="A3298" t="s">
        <v>290</v>
      </c>
      <c r="B3298" t="s">
        <v>290</v>
      </c>
    </row>
    <row r="3299" spans="1:2" x14ac:dyDescent="0.25">
      <c r="A3299" t="s">
        <v>6676</v>
      </c>
      <c r="B3299" t="s">
        <v>290</v>
      </c>
    </row>
    <row r="3300" spans="1:2" x14ac:dyDescent="0.25">
      <c r="A3300" t="s">
        <v>292</v>
      </c>
      <c r="B3300" t="s">
        <v>292</v>
      </c>
    </row>
    <row r="3301" spans="1:2" x14ac:dyDescent="0.25">
      <c r="A3301" t="s">
        <v>6677</v>
      </c>
      <c r="B3301" t="s">
        <v>292</v>
      </c>
    </row>
    <row r="3302" spans="1:2" x14ac:dyDescent="0.25">
      <c r="A3302" t="s">
        <v>6678</v>
      </c>
      <c r="B3302" t="s">
        <v>292</v>
      </c>
    </row>
    <row r="3303" spans="1:2" x14ac:dyDescent="0.25">
      <c r="A3303" t="s">
        <v>6679</v>
      </c>
      <c r="B3303" t="s">
        <v>292</v>
      </c>
    </row>
    <row r="3304" spans="1:2" x14ac:dyDescent="0.25">
      <c r="A3304" t="s">
        <v>6680</v>
      </c>
      <c r="B3304" t="s">
        <v>292</v>
      </c>
    </row>
    <row r="3305" spans="1:2" x14ac:dyDescent="0.25">
      <c r="A3305" t="s">
        <v>378</v>
      </c>
      <c r="B3305" t="s">
        <v>378</v>
      </c>
    </row>
    <row r="3306" spans="1:2" x14ac:dyDescent="0.25">
      <c r="A3306" t="s">
        <v>6681</v>
      </c>
      <c r="B3306" t="s">
        <v>378</v>
      </c>
    </row>
    <row r="3307" spans="1:2" x14ac:dyDescent="0.25">
      <c r="A3307" t="s">
        <v>844</v>
      </c>
      <c r="B3307" t="s">
        <v>844</v>
      </c>
    </row>
    <row r="3308" spans="1:2" x14ac:dyDescent="0.25">
      <c r="A3308" t="s">
        <v>6682</v>
      </c>
      <c r="B3308" t="s">
        <v>844</v>
      </c>
    </row>
    <row r="3309" spans="1:2" x14ac:dyDescent="0.25">
      <c r="A3309" t="s">
        <v>6683</v>
      </c>
      <c r="B3309" t="s">
        <v>844</v>
      </c>
    </row>
    <row r="3310" spans="1:2" x14ac:dyDescent="0.25">
      <c r="A3310" t="s">
        <v>6684</v>
      </c>
      <c r="B3310" t="s">
        <v>844</v>
      </c>
    </row>
    <row r="3311" spans="1:2" x14ac:dyDescent="0.25">
      <c r="A3311" t="s">
        <v>1682</v>
      </c>
      <c r="B3311" t="s">
        <v>1682</v>
      </c>
    </row>
    <row r="3312" spans="1:2" x14ac:dyDescent="0.25">
      <c r="A3312" t="s">
        <v>6685</v>
      </c>
      <c r="B3312" t="s">
        <v>1682</v>
      </c>
    </row>
    <row r="3313" spans="1:2" x14ac:dyDescent="0.25">
      <c r="A3313" t="s">
        <v>6686</v>
      </c>
      <c r="B3313" t="s">
        <v>1682</v>
      </c>
    </row>
    <row r="3314" spans="1:2" x14ac:dyDescent="0.25">
      <c r="A3314" t="s">
        <v>1684</v>
      </c>
      <c r="B3314" t="s">
        <v>1684</v>
      </c>
    </row>
    <row r="3315" spans="1:2" x14ac:dyDescent="0.25">
      <c r="A3315" t="s">
        <v>6687</v>
      </c>
      <c r="B3315" t="s">
        <v>1684</v>
      </c>
    </row>
    <row r="3316" spans="1:2" x14ac:dyDescent="0.25">
      <c r="A3316" t="s">
        <v>1687</v>
      </c>
      <c r="B3316" t="s">
        <v>1687</v>
      </c>
    </row>
    <row r="3317" spans="1:2" x14ac:dyDescent="0.25">
      <c r="A3317" t="s">
        <v>6688</v>
      </c>
      <c r="B3317" t="s">
        <v>1687</v>
      </c>
    </row>
    <row r="3318" spans="1:2" x14ac:dyDescent="0.25">
      <c r="A3318" t="s">
        <v>6689</v>
      </c>
      <c r="B3318" t="s">
        <v>1687</v>
      </c>
    </row>
    <row r="3319" spans="1:2" x14ac:dyDescent="0.25">
      <c r="A3319" t="s">
        <v>6690</v>
      </c>
      <c r="B3319" t="s">
        <v>1687</v>
      </c>
    </row>
    <row r="3320" spans="1:2" x14ac:dyDescent="0.25">
      <c r="A3320" t="s">
        <v>856</v>
      </c>
      <c r="B3320" t="s">
        <v>856</v>
      </c>
    </row>
    <row r="3321" spans="1:2" x14ac:dyDescent="0.25">
      <c r="A3321" t="s">
        <v>6691</v>
      </c>
      <c r="B3321" t="s">
        <v>856</v>
      </c>
    </row>
    <row r="3322" spans="1:2" x14ac:dyDescent="0.25">
      <c r="A3322" t="s">
        <v>6692</v>
      </c>
      <c r="B3322" t="s">
        <v>856</v>
      </c>
    </row>
    <row r="3323" spans="1:2" x14ac:dyDescent="0.25">
      <c r="A3323" t="s">
        <v>6693</v>
      </c>
      <c r="B3323" t="s">
        <v>856</v>
      </c>
    </row>
    <row r="3324" spans="1:2" x14ac:dyDescent="0.25">
      <c r="A3324" t="s">
        <v>6694</v>
      </c>
      <c r="B3324" t="s">
        <v>856</v>
      </c>
    </row>
    <row r="3325" spans="1:2" x14ac:dyDescent="0.25">
      <c r="A3325" t="s">
        <v>6695</v>
      </c>
      <c r="B3325" t="s">
        <v>856</v>
      </c>
    </row>
    <row r="3326" spans="1:2" x14ac:dyDescent="0.25">
      <c r="A3326" t="s">
        <v>6696</v>
      </c>
      <c r="B3326" t="s">
        <v>856</v>
      </c>
    </row>
    <row r="3327" spans="1:2" x14ac:dyDescent="0.25">
      <c r="A3327" t="s">
        <v>2834</v>
      </c>
      <c r="B3327" t="s">
        <v>2834</v>
      </c>
    </row>
    <row r="3328" spans="1:2" x14ac:dyDescent="0.25">
      <c r="A3328" t="s">
        <v>6697</v>
      </c>
      <c r="B3328" t="s">
        <v>2834</v>
      </c>
    </row>
    <row r="3329" spans="1:2" x14ac:dyDescent="0.25">
      <c r="A3329" t="s">
        <v>2836</v>
      </c>
      <c r="B3329" t="s">
        <v>2836</v>
      </c>
    </row>
    <row r="3330" spans="1:2" x14ac:dyDescent="0.25">
      <c r="A3330" t="s">
        <v>1690</v>
      </c>
      <c r="B3330" t="s">
        <v>1690</v>
      </c>
    </row>
    <row r="3331" spans="1:2" x14ac:dyDescent="0.25">
      <c r="A3331" t="s">
        <v>3144</v>
      </c>
      <c r="B3331" t="s">
        <v>3144</v>
      </c>
    </row>
    <row r="3332" spans="1:2" x14ac:dyDescent="0.25">
      <c r="A3332" t="s">
        <v>6698</v>
      </c>
      <c r="B3332" t="s">
        <v>3144</v>
      </c>
    </row>
    <row r="3333" spans="1:2" x14ac:dyDescent="0.25">
      <c r="A3333" t="s">
        <v>1692</v>
      </c>
      <c r="B3333" t="s">
        <v>1692</v>
      </c>
    </row>
    <row r="3334" spans="1:2" x14ac:dyDescent="0.25">
      <c r="A3334" t="s">
        <v>6699</v>
      </c>
      <c r="B3334" t="s">
        <v>1692</v>
      </c>
    </row>
    <row r="3335" spans="1:2" x14ac:dyDescent="0.25">
      <c r="A3335" t="s">
        <v>6700</v>
      </c>
      <c r="B3335" t="s">
        <v>3145</v>
      </c>
    </row>
    <row r="3336" spans="1:2" x14ac:dyDescent="0.25">
      <c r="A3336" t="s">
        <v>1694</v>
      </c>
      <c r="B3336" t="s">
        <v>1694</v>
      </c>
    </row>
    <row r="3337" spans="1:2" x14ac:dyDescent="0.25">
      <c r="A3337" t="s">
        <v>3146</v>
      </c>
      <c r="B3337" t="s">
        <v>3146</v>
      </c>
    </row>
    <row r="3338" spans="1:2" x14ac:dyDescent="0.25">
      <c r="A3338" t="s">
        <v>6701</v>
      </c>
      <c r="B3338" t="s">
        <v>3146</v>
      </c>
    </row>
    <row r="3339" spans="1:2" x14ac:dyDescent="0.25">
      <c r="A3339" t="s">
        <v>6702</v>
      </c>
      <c r="B3339" t="s">
        <v>4956</v>
      </c>
    </row>
    <row r="3340" spans="1:2" x14ac:dyDescent="0.25">
      <c r="A3340" t="s">
        <v>2838</v>
      </c>
      <c r="B3340" t="s">
        <v>2838</v>
      </c>
    </row>
    <row r="3341" spans="1:2" x14ac:dyDescent="0.25">
      <c r="A3341" t="s">
        <v>6703</v>
      </c>
      <c r="B3341" t="s">
        <v>6704</v>
      </c>
    </row>
    <row r="3342" spans="1:2" x14ac:dyDescent="0.25">
      <c r="A3342" t="s">
        <v>2342</v>
      </c>
      <c r="B3342" t="s">
        <v>2342</v>
      </c>
    </row>
    <row r="3343" spans="1:2" x14ac:dyDescent="0.25">
      <c r="A3343" t="s">
        <v>6705</v>
      </c>
      <c r="B3343" t="s">
        <v>2342</v>
      </c>
    </row>
    <row r="3344" spans="1:2" x14ac:dyDescent="0.25">
      <c r="A3344" t="s">
        <v>6706</v>
      </c>
      <c r="B3344" t="s">
        <v>2342</v>
      </c>
    </row>
    <row r="3345" spans="1:2" x14ac:dyDescent="0.25">
      <c r="A3345" t="s">
        <v>2840</v>
      </c>
      <c r="B3345" t="s">
        <v>2840</v>
      </c>
    </row>
    <row r="3346" spans="1:2" x14ac:dyDescent="0.25">
      <c r="A3346" t="s">
        <v>6707</v>
      </c>
      <c r="B3346" t="s">
        <v>2840</v>
      </c>
    </row>
    <row r="3347" spans="1:2" x14ac:dyDescent="0.25">
      <c r="A3347" t="s">
        <v>3147</v>
      </c>
      <c r="B3347" t="s">
        <v>3147</v>
      </c>
    </row>
    <row r="3348" spans="1:2" x14ac:dyDescent="0.25">
      <c r="A3348" t="s">
        <v>6708</v>
      </c>
      <c r="B3348" t="s">
        <v>3147</v>
      </c>
    </row>
    <row r="3349" spans="1:2" x14ac:dyDescent="0.25">
      <c r="A3349" t="s">
        <v>6709</v>
      </c>
      <c r="B3349" t="s">
        <v>4964</v>
      </c>
    </row>
    <row r="3350" spans="1:2" x14ac:dyDescent="0.25">
      <c r="A3350" t="s">
        <v>2842</v>
      </c>
      <c r="B3350" t="s">
        <v>2842</v>
      </c>
    </row>
    <row r="3351" spans="1:2" x14ac:dyDescent="0.25">
      <c r="A3351" t="s">
        <v>6710</v>
      </c>
      <c r="B3351" t="s">
        <v>2842</v>
      </c>
    </row>
    <row r="3352" spans="1:2" x14ac:dyDescent="0.25">
      <c r="A3352" t="s">
        <v>6711</v>
      </c>
      <c r="B3352" t="s">
        <v>2842</v>
      </c>
    </row>
    <row r="3353" spans="1:2" x14ac:dyDescent="0.25">
      <c r="A3353" t="s">
        <v>3148</v>
      </c>
      <c r="B3353" t="s">
        <v>3148</v>
      </c>
    </row>
    <row r="3354" spans="1:2" x14ac:dyDescent="0.25">
      <c r="A3354" t="s">
        <v>6712</v>
      </c>
      <c r="B3354" t="s">
        <v>3148</v>
      </c>
    </row>
    <row r="3355" spans="1:2" x14ac:dyDescent="0.25">
      <c r="A3355" t="s">
        <v>2343</v>
      </c>
      <c r="B3355" t="s">
        <v>2343</v>
      </c>
    </row>
    <row r="3356" spans="1:2" x14ac:dyDescent="0.25">
      <c r="A3356" t="s">
        <v>6713</v>
      </c>
      <c r="B3356" t="s">
        <v>2343</v>
      </c>
    </row>
    <row r="3357" spans="1:2" x14ac:dyDescent="0.25">
      <c r="A3357" t="s">
        <v>6714</v>
      </c>
      <c r="B3357" t="s">
        <v>4969</v>
      </c>
    </row>
    <row r="3358" spans="1:2" x14ac:dyDescent="0.25">
      <c r="A3358" t="s">
        <v>6715</v>
      </c>
      <c r="B3358" t="s">
        <v>4971</v>
      </c>
    </row>
    <row r="3359" spans="1:2" x14ac:dyDescent="0.25">
      <c r="A3359" t="s">
        <v>6716</v>
      </c>
      <c r="B3359" t="s">
        <v>4973</v>
      </c>
    </row>
    <row r="3360" spans="1:2" x14ac:dyDescent="0.25">
      <c r="A3360" t="s">
        <v>3149</v>
      </c>
      <c r="B3360" t="s">
        <v>3149</v>
      </c>
    </row>
    <row r="3361" spans="1:2" x14ac:dyDescent="0.25">
      <c r="A3361" t="s">
        <v>6717</v>
      </c>
      <c r="B3361" t="s">
        <v>3149</v>
      </c>
    </row>
    <row r="3362" spans="1:2" x14ac:dyDescent="0.25">
      <c r="A3362" t="s">
        <v>860</v>
      </c>
      <c r="B3362" t="s">
        <v>860</v>
      </c>
    </row>
    <row r="3363" spans="1:2" x14ac:dyDescent="0.25">
      <c r="A3363" t="s">
        <v>6718</v>
      </c>
      <c r="B3363" t="s">
        <v>860</v>
      </c>
    </row>
    <row r="3364" spans="1:2" x14ac:dyDescent="0.25">
      <c r="A3364" t="s">
        <v>863</v>
      </c>
      <c r="B3364" t="s">
        <v>863</v>
      </c>
    </row>
    <row r="3365" spans="1:2" x14ac:dyDescent="0.25">
      <c r="A3365" t="s">
        <v>6719</v>
      </c>
      <c r="B3365" t="s">
        <v>863</v>
      </c>
    </row>
    <row r="3366" spans="1:2" x14ac:dyDescent="0.25">
      <c r="A3366" t="s">
        <v>6720</v>
      </c>
      <c r="B3366" t="s">
        <v>3150</v>
      </c>
    </row>
    <row r="3367" spans="1:2" x14ac:dyDescent="0.25">
      <c r="A3367" t="s">
        <v>2344</v>
      </c>
      <c r="B3367" t="s">
        <v>2344</v>
      </c>
    </row>
    <row r="3368" spans="1:2" x14ac:dyDescent="0.25">
      <c r="A3368" t="s">
        <v>6721</v>
      </c>
      <c r="B3368" t="s">
        <v>2344</v>
      </c>
    </row>
    <row r="3369" spans="1:2" x14ac:dyDescent="0.25">
      <c r="A3369" t="s">
        <v>2345</v>
      </c>
      <c r="B3369" t="s">
        <v>2345</v>
      </c>
    </row>
    <row r="3370" spans="1:2" x14ac:dyDescent="0.25">
      <c r="A3370" t="s">
        <v>6722</v>
      </c>
      <c r="B3370" t="s">
        <v>2345</v>
      </c>
    </row>
    <row r="3371" spans="1:2" x14ac:dyDescent="0.25">
      <c r="A3371" t="s">
        <v>1696</v>
      </c>
      <c r="B3371" t="s">
        <v>1696</v>
      </c>
    </row>
    <row r="3372" spans="1:2" x14ac:dyDescent="0.25">
      <c r="A3372" t="s">
        <v>6723</v>
      </c>
      <c r="B3372" t="s">
        <v>1696</v>
      </c>
    </row>
    <row r="3373" spans="1:2" x14ac:dyDescent="0.25">
      <c r="A3373" t="s">
        <v>6724</v>
      </c>
      <c r="B3373" t="s">
        <v>1696</v>
      </c>
    </row>
    <row r="3374" spans="1:2" x14ac:dyDescent="0.25">
      <c r="A3374" t="s">
        <v>1698</v>
      </c>
      <c r="B3374" t="s">
        <v>1698</v>
      </c>
    </row>
    <row r="3375" spans="1:2" x14ac:dyDescent="0.25">
      <c r="A3375" t="s">
        <v>6725</v>
      </c>
      <c r="B3375" t="s">
        <v>1698</v>
      </c>
    </row>
    <row r="3376" spans="1:2" x14ac:dyDescent="0.25">
      <c r="A3376" t="s">
        <v>6726</v>
      </c>
      <c r="B3376" t="s">
        <v>1698</v>
      </c>
    </row>
    <row r="3377" spans="1:2" x14ac:dyDescent="0.25">
      <c r="A3377" t="s">
        <v>3151</v>
      </c>
      <c r="B3377" t="s">
        <v>3151</v>
      </c>
    </row>
    <row r="3378" spans="1:2" x14ac:dyDescent="0.25">
      <c r="A3378" t="s">
        <v>6727</v>
      </c>
      <c r="B3378" t="s">
        <v>3151</v>
      </c>
    </row>
    <row r="3379" spans="1:2" x14ac:dyDescent="0.25">
      <c r="A3379" t="s">
        <v>2846</v>
      </c>
      <c r="B3379" t="s">
        <v>2846</v>
      </c>
    </row>
    <row r="3380" spans="1:2" x14ac:dyDescent="0.25">
      <c r="A3380" t="s">
        <v>6728</v>
      </c>
      <c r="B3380" t="s">
        <v>2846</v>
      </c>
    </row>
    <row r="3381" spans="1:2" x14ac:dyDescent="0.25">
      <c r="A3381" t="s">
        <v>2346</v>
      </c>
      <c r="B3381" t="s">
        <v>2346</v>
      </c>
    </row>
    <row r="3382" spans="1:2" x14ac:dyDescent="0.25">
      <c r="A3382" t="s">
        <v>6729</v>
      </c>
      <c r="B3382" t="s">
        <v>2346</v>
      </c>
    </row>
    <row r="3383" spans="1:2" x14ac:dyDescent="0.25">
      <c r="A3383" t="s">
        <v>6730</v>
      </c>
      <c r="B3383" t="s">
        <v>2346</v>
      </c>
    </row>
    <row r="3384" spans="1:2" x14ac:dyDescent="0.25">
      <c r="A3384" t="s">
        <v>2347</v>
      </c>
      <c r="B3384" t="s">
        <v>2347</v>
      </c>
    </row>
    <row r="3385" spans="1:2" x14ac:dyDescent="0.25">
      <c r="A3385" t="s">
        <v>6731</v>
      </c>
      <c r="B3385" t="s">
        <v>2347</v>
      </c>
    </row>
    <row r="3386" spans="1:2" x14ac:dyDescent="0.25">
      <c r="A3386" t="s">
        <v>2987</v>
      </c>
      <c r="B3386" t="s">
        <v>2987</v>
      </c>
    </row>
    <row r="3387" spans="1:2" x14ac:dyDescent="0.25">
      <c r="A3387" t="s">
        <v>6732</v>
      </c>
      <c r="B3387" t="s">
        <v>2987</v>
      </c>
    </row>
    <row r="3388" spans="1:2" x14ac:dyDescent="0.25">
      <c r="A3388" t="s">
        <v>6733</v>
      </c>
      <c r="B3388" t="s">
        <v>3152</v>
      </c>
    </row>
    <row r="3389" spans="1:2" x14ac:dyDescent="0.25">
      <c r="A3389" t="s">
        <v>2348</v>
      </c>
      <c r="B3389" t="s">
        <v>2348</v>
      </c>
    </row>
    <row r="3390" spans="1:2" x14ac:dyDescent="0.25">
      <c r="A3390" t="s">
        <v>6734</v>
      </c>
      <c r="B3390" t="s">
        <v>2348</v>
      </c>
    </row>
    <row r="3391" spans="1:2" x14ac:dyDescent="0.25">
      <c r="A3391" t="s">
        <v>3153</v>
      </c>
      <c r="B3391" t="s">
        <v>3153</v>
      </c>
    </row>
    <row r="3392" spans="1:2" x14ac:dyDescent="0.25">
      <c r="A3392" t="s">
        <v>6735</v>
      </c>
      <c r="B3392" t="s">
        <v>3153</v>
      </c>
    </row>
    <row r="3393" spans="1:2" x14ac:dyDescent="0.25">
      <c r="A3393" t="s">
        <v>6736</v>
      </c>
      <c r="B3393" t="s">
        <v>5066</v>
      </c>
    </row>
    <row r="3394" spans="1:2" x14ac:dyDescent="0.25">
      <c r="A3394" t="s">
        <v>2719</v>
      </c>
      <c r="B3394" t="s">
        <v>2719</v>
      </c>
    </row>
    <row r="3395" spans="1:2" x14ac:dyDescent="0.25">
      <c r="A3395" t="s">
        <v>6737</v>
      </c>
      <c r="B3395" t="s">
        <v>2719</v>
      </c>
    </row>
    <row r="3396" spans="1:2" x14ac:dyDescent="0.25">
      <c r="A3396" t="s">
        <v>2848</v>
      </c>
      <c r="B3396" t="s">
        <v>2848</v>
      </c>
    </row>
    <row r="3397" spans="1:2" x14ac:dyDescent="0.25">
      <c r="A3397" t="s">
        <v>6738</v>
      </c>
      <c r="B3397" t="s">
        <v>2848</v>
      </c>
    </row>
    <row r="3398" spans="1:2" x14ac:dyDescent="0.25">
      <c r="A3398" t="s">
        <v>6739</v>
      </c>
      <c r="B3398" t="s">
        <v>2848</v>
      </c>
    </row>
    <row r="3399" spans="1:2" x14ac:dyDescent="0.25">
      <c r="A3399" t="s">
        <v>1700</v>
      </c>
      <c r="B3399" t="s">
        <v>1700</v>
      </c>
    </row>
    <row r="3400" spans="1:2" x14ac:dyDescent="0.25">
      <c r="A3400" t="s">
        <v>6740</v>
      </c>
      <c r="B3400" t="s">
        <v>1700</v>
      </c>
    </row>
    <row r="3401" spans="1:2" x14ac:dyDescent="0.25">
      <c r="A3401" t="s">
        <v>2349</v>
      </c>
      <c r="B3401" t="s">
        <v>2349</v>
      </c>
    </row>
    <row r="3402" spans="1:2" x14ac:dyDescent="0.25">
      <c r="A3402" t="s">
        <v>6741</v>
      </c>
      <c r="B3402" t="s">
        <v>2349</v>
      </c>
    </row>
    <row r="3403" spans="1:2" x14ac:dyDescent="0.25">
      <c r="A3403" t="s">
        <v>2850</v>
      </c>
      <c r="B3403" t="s">
        <v>2850</v>
      </c>
    </row>
    <row r="3404" spans="1:2" x14ac:dyDescent="0.25">
      <c r="A3404" t="s">
        <v>6742</v>
      </c>
      <c r="B3404" t="s">
        <v>2850</v>
      </c>
    </row>
    <row r="3405" spans="1:2" x14ac:dyDescent="0.25">
      <c r="A3405" t="s">
        <v>3008</v>
      </c>
      <c r="B3405" t="s">
        <v>3008</v>
      </c>
    </row>
    <row r="3406" spans="1:2" x14ac:dyDescent="0.25">
      <c r="A3406" t="s">
        <v>6743</v>
      </c>
      <c r="B3406" t="s">
        <v>3008</v>
      </c>
    </row>
    <row r="3407" spans="1:2" x14ac:dyDescent="0.25">
      <c r="A3407" t="s">
        <v>6744</v>
      </c>
      <c r="B3407" t="s">
        <v>5209</v>
      </c>
    </row>
    <row r="3408" spans="1:2" x14ac:dyDescent="0.25">
      <c r="A3408" t="s">
        <v>3154</v>
      </c>
      <c r="B3408" t="s">
        <v>3154</v>
      </c>
    </row>
    <row r="3409" spans="1:2" x14ac:dyDescent="0.25">
      <c r="A3409" t="s">
        <v>6745</v>
      </c>
      <c r="B3409" t="s">
        <v>3154</v>
      </c>
    </row>
    <row r="3410" spans="1:2" x14ac:dyDescent="0.25">
      <c r="A3410" t="s">
        <v>3155</v>
      </c>
      <c r="B3410" t="s">
        <v>3155</v>
      </c>
    </row>
    <row r="3411" spans="1:2" x14ac:dyDescent="0.25">
      <c r="A3411" t="s">
        <v>6746</v>
      </c>
      <c r="B3411" t="s">
        <v>6747</v>
      </c>
    </row>
    <row r="3412" spans="1:2" x14ac:dyDescent="0.25">
      <c r="A3412" t="s">
        <v>6748</v>
      </c>
      <c r="B3412" t="s">
        <v>4134</v>
      </c>
    </row>
    <row r="3413" spans="1:2" x14ac:dyDescent="0.25">
      <c r="A3413" t="s">
        <v>2758</v>
      </c>
      <c r="B3413" t="s">
        <v>2758</v>
      </c>
    </row>
    <row r="3414" spans="1:2" x14ac:dyDescent="0.25">
      <c r="A3414" t="s">
        <v>6749</v>
      </c>
      <c r="B3414" t="s">
        <v>2758</v>
      </c>
    </row>
    <row r="3415" spans="1:2" x14ac:dyDescent="0.25">
      <c r="A3415" t="s">
        <v>6750</v>
      </c>
      <c r="B3415" t="s">
        <v>2758</v>
      </c>
    </row>
    <row r="3416" spans="1:2" x14ac:dyDescent="0.25">
      <c r="A3416" t="s">
        <v>1502</v>
      </c>
      <c r="B3416" t="s">
        <v>1502</v>
      </c>
    </row>
    <row r="3417" spans="1:2" x14ac:dyDescent="0.25">
      <c r="A3417" t="s">
        <v>6751</v>
      </c>
      <c r="B3417" t="s">
        <v>1502</v>
      </c>
    </row>
    <row r="3418" spans="1:2" x14ac:dyDescent="0.25">
      <c r="A3418" t="s">
        <v>6752</v>
      </c>
      <c r="B3418" t="s">
        <v>4138</v>
      </c>
    </row>
    <row r="3419" spans="1:2" x14ac:dyDescent="0.25">
      <c r="A3419" t="s">
        <v>1649</v>
      </c>
      <c r="B3419" t="s">
        <v>1649</v>
      </c>
    </row>
    <row r="3420" spans="1:2" x14ac:dyDescent="0.25">
      <c r="A3420" t="s">
        <v>6753</v>
      </c>
      <c r="B3420" t="s">
        <v>1649</v>
      </c>
    </row>
    <row r="3421" spans="1:2" x14ac:dyDescent="0.25">
      <c r="A3421" t="s">
        <v>2483</v>
      </c>
      <c r="B3421" t="s">
        <v>2483</v>
      </c>
    </row>
    <row r="3422" spans="1:2" x14ac:dyDescent="0.25">
      <c r="A3422" t="s">
        <v>6754</v>
      </c>
      <c r="B3422" t="s">
        <v>2483</v>
      </c>
    </row>
    <row r="3423" spans="1:2" x14ac:dyDescent="0.25">
      <c r="A3423" t="s">
        <v>4141</v>
      </c>
      <c r="B3423" t="s">
        <v>4141</v>
      </c>
    </row>
    <row r="3424" spans="1:2" x14ac:dyDescent="0.25">
      <c r="A3424" t="s">
        <v>6755</v>
      </c>
      <c r="B3424" t="s">
        <v>4141</v>
      </c>
    </row>
    <row r="3425" spans="1:2" x14ac:dyDescent="0.25">
      <c r="A3425" t="s">
        <v>2253</v>
      </c>
      <c r="B3425" t="s">
        <v>2253</v>
      </c>
    </row>
    <row r="3426" spans="1:2" x14ac:dyDescent="0.25">
      <c r="A3426" t="s">
        <v>6756</v>
      </c>
      <c r="B3426" t="s">
        <v>2253</v>
      </c>
    </row>
    <row r="3427" spans="1:2" x14ac:dyDescent="0.25">
      <c r="A3427" t="s">
        <v>6757</v>
      </c>
      <c r="B3427" t="s">
        <v>4144</v>
      </c>
    </row>
    <row r="3428" spans="1:2" x14ac:dyDescent="0.25">
      <c r="A3428" t="s">
        <v>6758</v>
      </c>
      <c r="B3428" t="s">
        <v>6759</v>
      </c>
    </row>
    <row r="3429" spans="1:2" x14ac:dyDescent="0.25">
      <c r="A3429" t="s">
        <v>6760</v>
      </c>
      <c r="B3429" t="s">
        <v>6761</v>
      </c>
    </row>
    <row r="3430" spans="1:2" x14ac:dyDescent="0.25">
      <c r="A3430" t="s">
        <v>6761</v>
      </c>
      <c r="B3430" t="s">
        <v>6761</v>
      </c>
    </row>
    <row r="3431" spans="1:2" x14ac:dyDescent="0.25">
      <c r="A3431" t="s">
        <v>6762</v>
      </c>
      <c r="B3431" t="s">
        <v>6763</v>
      </c>
    </row>
    <row r="3432" spans="1:2" x14ac:dyDescent="0.25">
      <c r="A3432" t="s">
        <v>6764</v>
      </c>
      <c r="B3432" t="s">
        <v>6765</v>
      </c>
    </row>
    <row r="3433" spans="1:2" x14ac:dyDescent="0.25">
      <c r="A3433" t="s">
        <v>6766</v>
      </c>
      <c r="B3433" t="s">
        <v>2487</v>
      </c>
    </row>
    <row r="3434" spans="1:2" x14ac:dyDescent="0.25">
      <c r="A3434" t="s">
        <v>6767</v>
      </c>
      <c r="B3434" t="s">
        <v>6768</v>
      </c>
    </row>
    <row r="3435" spans="1:2" x14ac:dyDescent="0.25">
      <c r="A3435" t="s">
        <v>6769</v>
      </c>
      <c r="B3435" t="s">
        <v>6769</v>
      </c>
    </row>
    <row r="3436" spans="1:2" x14ac:dyDescent="0.25">
      <c r="A3436" t="s">
        <v>3156</v>
      </c>
      <c r="B3436" t="s">
        <v>3156</v>
      </c>
    </row>
    <row r="3437" spans="1:2" x14ac:dyDescent="0.25">
      <c r="A3437" t="s">
        <v>6770</v>
      </c>
      <c r="B3437" t="s">
        <v>2505</v>
      </c>
    </row>
    <row r="3438" spans="1:2" x14ac:dyDescent="0.25">
      <c r="A3438" t="s">
        <v>2505</v>
      </c>
      <c r="B3438" t="s">
        <v>2505</v>
      </c>
    </row>
    <row r="3439" spans="1:2" x14ac:dyDescent="0.25">
      <c r="A3439" t="s">
        <v>6771</v>
      </c>
      <c r="B3439" t="s">
        <v>3157</v>
      </c>
    </row>
    <row r="3440" spans="1:2" x14ac:dyDescent="0.25">
      <c r="A3440" t="s">
        <v>3157</v>
      </c>
      <c r="B3440" t="s">
        <v>3157</v>
      </c>
    </row>
    <row r="3441" spans="1:2" x14ac:dyDescent="0.25">
      <c r="A3441" t="s">
        <v>6772</v>
      </c>
      <c r="B3441" t="s">
        <v>6773</v>
      </c>
    </row>
    <row r="3442" spans="1:2" x14ac:dyDescent="0.25">
      <c r="A3442" t="s">
        <v>6774</v>
      </c>
      <c r="B3442" t="s">
        <v>6775</v>
      </c>
    </row>
    <row r="3443" spans="1:2" x14ac:dyDescent="0.25">
      <c r="A3443" t="s">
        <v>2760</v>
      </c>
      <c r="B3443" t="s">
        <v>2760</v>
      </c>
    </row>
    <row r="3444" spans="1:2" x14ac:dyDescent="0.25">
      <c r="A3444" t="s">
        <v>6776</v>
      </c>
      <c r="B3444" t="s">
        <v>2760</v>
      </c>
    </row>
    <row r="3445" spans="1:2" x14ac:dyDescent="0.25">
      <c r="A3445" t="s">
        <v>6777</v>
      </c>
      <c r="B3445" t="s">
        <v>2760</v>
      </c>
    </row>
    <row r="3446" spans="1:2" x14ac:dyDescent="0.25">
      <c r="A3446" t="s">
        <v>6778</v>
      </c>
      <c r="B3446" t="s">
        <v>6779</v>
      </c>
    </row>
    <row r="3447" spans="1:2" x14ac:dyDescent="0.25">
      <c r="A3447" t="s">
        <v>6779</v>
      </c>
      <c r="B3447" t="s">
        <v>6779</v>
      </c>
    </row>
    <row r="3448" spans="1:2" x14ac:dyDescent="0.25">
      <c r="A3448" t="s">
        <v>6780</v>
      </c>
      <c r="B3448" t="s">
        <v>3158</v>
      </c>
    </row>
    <row r="3449" spans="1:2" x14ac:dyDescent="0.25">
      <c r="A3449" t="s">
        <v>6781</v>
      </c>
      <c r="B3449" t="s">
        <v>6781</v>
      </c>
    </row>
    <row r="3450" spans="1:2" x14ac:dyDescent="0.25">
      <c r="A3450" t="s">
        <v>108</v>
      </c>
      <c r="B3450" t="s">
        <v>108</v>
      </c>
    </row>
    <row r="3451" spans="1:2" x14ac:dyDescent="0.25">
      <c r="A3451" t="s">
        <v>6782</v>
      </c>
      <c r="B3451" t="s">
        <v>4195</v>
      </c>
    </row>
    <row r="3452" spans="1:2" x14ac:dyDescent="0.25">
      <c r="A3452" t="s">
        <v>6783</v>
      </c>
      <c r="B3452" t="s">
        <v>4195</v>
      </c>
    </row>
    <row r="3453" spans="1:2" x14ac:dyDescent="0.25">
      <c r="A3453" t="s">
        <v>6784</v>
      </c>
      <c r="B3453" t="s">
        <v>4195</v>
      </c>
    </row>
    <row r="3454" spans="1:2" x14ac:dyDescent="0.25">
      <c r="A3454" t="s">
        <v>6785</v>
      </c>
      <c r="B3454" t="s">
        <v>4195</v>
      </c>
    </row>
    <row r="3455" spans="1:2" x14ac:dyDescent="0.25">
      <c r="A3455" t="s">
        <v>6786</v>
      </c>
      <c r="B3455" t="s">
        <v>4195</v>
      </c>
    </row>
    <row r="3456" spans="1:2" x14ac:dyDescent="0.25">
      <c r="A3456" t="s">
        <v>6787</v>
      </c>
      <c r="B3456" t="s">
        <v>108</v>
      </c>
    </row>
    <row r="3457" spans="1:2" x14ac:dyDescent="0.25">
      <c r="A3457" t="s">
        <v>6788</v>
      </c>
      <c r="B3457" t="s">
        <v>108</v>
      </c>
    </row>
    <row r="3458" spans="1:2" x14ac:dyDescent="0.25">
      <c r="A3458" t="s">
        <v>6789</v>
      </c>
      <c r="B3458" t="s">
        <v>108</v>
      </c>
    </row>
    <row r="3459" spans="1:2" x14ac:dyDescent="0.25">
      <c r="A3459" t="s">
        <v>6790</v>
      </c>
      <c r="B3459" t="s">
        <v>6790</v>
      </c>
    </row>
    <row r="3460" spans="1:2" x14ac:dyDescent="0.25">
      <c r="A3460" t="s">
        <v>6791</v>
      </c>
      <c r="B3460" t="s">
        <v>6792</v>
      </c>
    </row>
    <row r="3461" spans="1:2" x14ac:dyDescent="0.25">
      <c r="A3461" t="s">
        <v>6792</v>
      </c>
      <c r="B3461" t="s">
        <v>6792</v>
      </c>
    </row>
    <row r="3462" spans="1:2" x14ac:dyDescent="0.25">
      <c r="A3462" t="s">
        <v>111</v>
      </c>
      <c r="B3462" t="s">
        <v>111</v>
      </c>
    </row>
    <row r="3463" spans="1:2" x14ac:dyDescent="0.25">
      <c r="A3463" t="s">
        <v>6793</v>
      </c>
      <c r="B3463" t="s">
        <v>4199</v>
      </c>
    </row>
    <row r="3464" spans="1:2" x14ac:dyDescent="0.25">
      <c r="A3464" t="s">
        <v>6794</v>
      </c>
      <c r="B3464" t="s">
        <v>4199</v>
      </c>
    </row>
    <row r="3465" spans="1:2" x14ac:dyDescent="0.25">
      <c r="A3465" t="s">
        <v>6795</v>
      </c>
      <c r="B3465" t="s">
        <v>111</v>
      </c>
    </row>
    <row r="3466" spans="1:2" x14ac:dyDescent="0.25">
      <c r="A3466" t="s">
        <v>6796</v>
      </c>
      <c r="B3466" t="s">
        <v>111</v>
      </c>
    </row>
    <row r="3467" spans="1:2" x14ac:dyDescent="0.25">
      <c r="A3467" t="s">
        <v>6797</v>
      </c>
      <c r="B3467" t="s">
        <v>111</v>
      </c>
    </row>
    <row r="3468" spans="1:2" x14ac:dyDescent="0.25">
      <c r="A3468" t="s">
        <v>6798</v>
      </c>
      <c r="B3468" t="s">
        <v>4201</v>
      </c>
    </row>
    <row r="3469" spans="1:2" x14ac:dyDescent="0.25">
      <c r="A3469" t="s">
        <v>6799</v>
      </c>
      <c r="B3469" t="s">
        <v>4201</v>
      </c>
    </row>
    <row r="3470" spans="1:2" x14ac:dyDescent="0.25">
      <c r="A3470" t="s">
        <v>6800</v>
      </c>
      <c r="B3470" t="s">
        <v>4201</v>
      </c>
    </row>
    <row r="3471" spans="1:2" x14ac:dyDescent="0.25">
      <c r="A3471" t="s">
        <v>6801</v>
      </c>
      <c r="B3471" t="s">
        <v>111</v>
      </c>
    </row>
    <row r="3472" spans="1:2" x14ac:dyDescent="0.25">
      <c r="A3472" t="s">
        <v>6802</v>
      </c>
      <c r="B3472" t="s">
        <v>111</v>
      </c>
    </row>
    <row r="3473" spans="1:2" x14ac:dyDescent="0.25">
      <c r="A3473" t="s">
        <v>6803</v>
      </c>
      <c r="B3473" t="s">
        <v>6804</v>
      </c>
    </row>
    <row r="3474" spans="1:2" x14ac:dyDescent="0.25">
      <c r="A3474" t="s">
        <v>6804</v>
      </c>
      <c r="B3474" t="s">
        <v>6804</v>
      </c>
    </row>
    <row r="3475" spans="1:2" x14ac:dyDescent="0.25">
      <c r="A3475" t="s">
        <v>6805</v>
      </c>
      <c r="B3475" t="s">
        <v>1504</v>
      </c>
    </row>
    <row r="3476" spans="1:2" x14ac:dyDescent="0.25">
      <c r="A3476" t="s">
        <v>1504</v>
      </c>
      <c r="B3476" t="s">
        <v>1504</v>
      </c>
    </row>
    <row r="3477" spans="1:2" x14ac:dyDescent="0.25">
      <c r="A3477" t="s">
        <v>113</v>
      </c>
      <c r="B3477" t="s">
        <v>113</v>
      </c>
    </row>
    <row r="3478" spans="1:2" x14ac:dyDescent="0.25">
      <c r="A3478" t="s">
        <v>6806</v>
      </c>
      <c r="B3478" t="s">
        <v>4204</v>
      </c>
    </row>
    <row r="3479" spans="1:2" x14ac:dyDescent="0.25">
      <c r="A3479" t="s">
        <v>6807</v>
      </c>
      <c r="B3479" t="s">
        <v>4204</v>
      </c>
    </row>
    <row r="3480" spans="1:2" x14ac:dyDescent="0.25">
      <c r="A3480" t="s">
        <v>6808</v>
      </c>
      <c r="B3480" t="s">
        <v>4204</v>
      </c>
    </row>
    <row r="3481" spans="1:2" x14ac:dyDescent="0.25">
      <c r="A3481" t="s">
        <v>6809</v>
      </c>
      <c r="B3481" t="s">
        <v>113</v>
      </c>
    </row>
    <row r="3482" spans="1:2" x14ac:dyDescent="0.25">
      <c r="A3482" t="s">
        <v>6810</v>
      </c>
      <c r="B3482" t="s">
        <v>113</v>
      </c>
    </row>
    <row r="3483" spans="1:2" x14ac:dyDescent="0.25">
      <c r="A3483" t="s">
        <v>6811</v>
      </c>
      <c r="B3483" t="s">
        <v>113</v>
      </c>
    </row>
    <row r="3484" spans="1:2" x14ac:dyDescent="0.25">
      <c r="A3484" t="s">
        <v>6812</v>
      </c>
      <c r="B3484" t="s">
        <v>4206</v>
      </c>
    </row>
    <row r="3485" spans="1:2" x14ac:dyDescent="0.25">
      <c r="A3485" t="s">
        <v>6813</v>
      </c>
      <c r="B3485" t="s">
        <v>4206</v>
      </c>
    </row>
    <row r="3486" spans="1:2" x14ac:dyDescent="0.25">
      <c r="A3486" t="s">
        <v>6814</v>
      </c>
      <c r="B3486" t="s">
        <v>4206</v>
      </c>
    </row>
    <row r="3487" spans="1:2" x14ac:dyDescent="0.25">
      <c r="A3487" t="s">
        <v>6815</v>
      </c>
      <c r="B3487" t="s">
        <v>4206</v>
      </c>
    </row>
    <row r="3488" spans="1:2" x14ac:dyDescent="0.25">
      <c r="A3488" t="s">
        <v>6816</v>
      </c>
      <c r="B3488" t="s">
        <v>4206</v>
      </c>
    </row>
    <row r="3489" spans="1:2" x14ac:dyDescent="0.25">
      <c r="A3489" t="s">
        <v>6817</v>
      </c>
      <c r="B3489" t="s">
        <v>5209</v>
      </c>
    </row>
    <row r="3490" spans="1:2" x14ac:dyDescent="0.25">
      <c r="A3490" t="s">
        <v>712</v>
      </c>
      <c r="B3490" t="s">
        <v>712</v>
      </c>
    </row>
    <row r="3491" spans="1:2" x14ac:dyDescent="0.25">
      <c r="A3491" t="s">
        <v>6818</v>
      </c>
      <c r="B3491" t="s">
        <v>4209</v>
      </c>
    </row>
    <row r="3492" spans="1:2" x14ac:dyDescent="0.25">
      <c r="A3492" t="s">
        <v>6819</v>
      </c>
      <c r="B3492" t="s">
        <v>4209</v>
      </c>
    </row>
    <row r="3493" spans="1:2" x14ac:dyDescent="0.25">
      <c r="A3493" t="s">
        <v>6820</v>
      </c>
      <c r="B3493" t="s">
        <v>712</v>
      </c>
    </row>
    <row r="3494" spans="1:2" x14ac:dyDescent="0.25">
      <c r="A3494" t="s">
        <v>6821</v>
      </c>
      <c r="B3494" t="s">
        <v>4211</v>
      </c>
    </row>
    <row r="3495" spans="1:2" x14ac:dyDescent="0.25">
      <c r="A3495" t="s">
        <v>6822</v>
      </c>
      <c r="B3495" t="s">
        <v>4211</v>
      </c>
    </row>
    <row r="3496" spans="1:2" x14ac:dyDescent="0.25">
      <c r="A3496" t="s">
        <v>716</v>
      </c>
      <c r="B3496" t="s">
        <v>716</v>
      </c>
    </row>
    <row r="3497" spans="1:2" x14ac:dyDescent="0.25">
      <c r="A3497" t="s">
        <v>6823</v>
      </c>
      <c r="B3497" t="s">
        <v>716</v>
      </c>
    </row>
    <row r="3498" spans="1:2" x14ac:dyDescent="0.25">
      <c r="A3498" t="s">
        <v>6824</v>
      </c>
      <c r="B3498" t="s">
        <v>716</v>
      </c>
    </row>
    <row r="3499" spans="1:2" x14ac:dyDescent="0.25">
      <c r="A3499" t="s">
        <v>115</v>
      </c>
      <c r="B3499" t="s">
        <v>115</v>
      </c>
    </row>
    <row r="3500" spans="1:2" x14ac:dyDescent="0.25">
      <c r="A3500" t="s">
        <v>6825</v>
      </c>
      <c r="B3500" t="s">
        <v>115</v>
      </c>
    </row>
    <row r="3501" spans="1:2" x14ac:dyDescent="0.25">
      <c r="A3501" t="s">
        <v>6826</v>
      </c>
      <c r="B3501" t="s">
        <v>115</v>
      </c>
    </row>
    <row r="3502" spans="1:2" x14ac:dyDescent="0.25">
      <c r="A3502" t="s">
        <v>6827</v>
      </c>
      <c r="B3502" t="s">
        <v>115</v>
      </c>
    </row>
    <row r="3503" spans="1:2" x14ac:dyDescent="0.25">
      <c r="A3503" t="s">
        <v>6828</v>
      </c>
      <c r="B3503" t="s">
        <v>115</v>
      </c>
    </row>
    <row r="3504" spans="1:2" x14ac:dyDescent="0.25">
      <c r="A3504" t="s">
        <v>6829</v>
      </c>
      <c r="B3504" t="s">
        <v>115</v>
      </c>
    </row>
    <row r="3505" spans="1:2" x14ac:dyDescent="0.25">
      <c r="A3505" t="s">
        <v>720</v>
      </c>
      <c r="B3505" t="s">
        <v>720</v>
      </c>
    </row>
    <row r="3506" spans="1:2" x14ac:dyDescent="0.25">
      <c r="A3506" t="s">
        <v>6830</v>
      </c>
      <c r="B3506" t="s">
        <v>720</v>
      </c>
    </row>
    <row r="3507" spans="1:2" x14ac:dyDescent="0.25">
      <c r="A3507" t="s">
        <v>6831</v>
      </c>
      <c r="B3507" t="s">
        <v>720</v>
      </c>
    </row>
    <row r="3508" spans="1:2" x14ac:dyDescent="0.25">
      <c r="A3508" t="s">
        <v>1506</v>
      </c>
      <c r="B3508" t="s">
        <v>1506</v>
      </c>
    </row>
    <row r="3509" spans="1:2" x14ac:dyDescent="0.25">
      <c r="A3509" t="s">
        <v>6832</v>
      </c>
      <c r="B3509" t="s">
        <v>1506</v>
      </c>
    </row>
    <row r="3510" spans="1:2" x14ac:dyDescent="0.25">
      <c r="A3510" t="s">
        <v>6833</v>
      </c>
      <c r="B3510" t="s">
        <v>1506</v>
      </c>
    </row>
    <row r="3511" spans="1:2" x14ac:dyDescent="0.25">
      <c r="A3511" t="s">
        <v>1508</v>
      </c>
      <c r="B3511" t="s">
        <v>1508</v>
      </c>
    </row>
    <row r="3512" spans="1:2" x14ac:dyDescent="0.25">
      <c r="A3512" t="s">
        <v>6834</v>
      </c>
      <c r="B3512" t="s">
        <v>1508</v>
      </c>
    </row>
    <row r="3513" spans="1:2" x14ac:dyDescent="0.25">
      <c r="A3513" t="s">
        <v>6835</v>
      </c>
      <c r="B3513" t="s">
        <v>1508</v>
      </c>
    </row>
    <row r="3514" spans="1:2" x14ac:dyDescent="0.25">
      <c r="A3514" t="s">
        <v>117</v>
      </c>
      <c r="B3514" t="s">
        <v>117</v>
      </c>
    </row>
    <row r="3515" spans="1:2" x14ac:dyDescent="0.25">
      <c r="A3515" t="s">
        <v>6836</v>
      </c>
      <c r="B3515" t="s">
        <v>117</v>
      </c>
    </row>
    <row r="3516" spans="1:2" x14ac:dyDescent="0.25">
      <c r="A3516" t="s">
        <v>6837</v>
      </c>
      <c r="B3516" t="s">
        <v>117</v>
      </c>
    </row>
    <row r="3517" spans="1:2" x14ac:dyDescent="0.25">
      <c r="A3517" t="s">
        <v>723</v>
      </c>
      <c r="B3517" t="s">
        <v>723</v>
      </c>
    </row>
    <row r="3518" spans="1:2" x14ac:dyDescent="0.25">
      <c r="A3518" t="s">
        <v>6838</v>
      </c>
      <c r="B3518" t="s">
        <v>723</v>
      </c>
    </row>
    <row r="3519" spans="1:2" x14ac:dyDescent="0.25">
      <c r="A3519" t="s">
        <v>6839</v>
      </c>
      <c r="B3519" t="s">
        <v>723</v>
      </c>
    </row>
    <row r="3520" spans="1:2" x14ac:dyDescent="0.25">
      <c r="A3520" t="s">
        <v>6840</v>
      </c>
      <c r="B3520" t="s">
        <v>4222</v>
      </c>
    </row>
    <row r="3521" spans="1:2" x14ac:dyDescent="0.25">
      <c r="A3521" t="s">
        <v>6841</v>
      </c>
      <c r="B3521" t="s">
        <v>4220</v>
      </c>
    </row>
    <row r="3522" spans="1:2" x14ac:dyDescent="0.25">
      <c r="A3522" t="s">
        <v>6842</v>
      </c>
      <c r="B3522" t="s">
        <v>5209</v>
      </c>
    </row>
    <row r="3523" spans="1:2" x14ac:dyDescent="0.25">
      <c r="A3523" t="s">
        <v>6843</v>
      </c>
      <c r="B3523" t="s">
        <v>6844</v>
      </c>
    </row>
    <row r="3524" spans="1:2" x14ac:dyDescent="0.25">
      <c r="A3524" t="s">
        <v>307</v>
      </c>
      <c r="B3524" t="s">
        <v>307</v>
      </c>
    </row>
    <row r="3525" spans="1:2" x14ac:dyDescent="0.25">
      <c r="A3525" t="s">
        <v>6845</v>
      </c>
      <c r="B3525" t="s">
        <v>307</v>
      </c>
    </row>
    <row r="3526" spans="1:2" x14ac:dyDescent="0.25">
      <c r="A3526" t="s">
        <v>6846</v>
      </c>
      <c r="B3526" t="s">
        <v>307</v>
      </c>
    </row>
    <row r="3527" spans="1:2" x14ac:dyDescent="0.25">
      <c r="A3527" t="s">
        <v>6847</v>
      </c>
      <c r="B3527" t="s">
        <v>307</v>
      </c>
    </row>
    <row r="3528" spans="1:2" x14ac:dyDescent="0.25">
      <c r="A3528" t="s">
        <v>6848</v>
      </c>
      <c r="B3528" t="s">
        <v>5209</v>
      </c>
    </row>
    <row r="3529" spans="1:2" x14ac:dyDescent="0.25">
      <c r="A3529" t="s">
        <v>6849</v>
      </c>
      <c r="B3529" t="s">
        <v>307</v>
      </c>
    </row>
    <row r="3530" spans="1:2" x14ac:dyDescent="0.25">
      <c r="A3530" t="s">
        <v>309</v>
      </c>
      <c r="B3530" t="s">
        <v>309</v>
      </c>
    </row>
    <row r="3531" spans="1:2" x14ac:dyDescent="0.25">
      <c r="A3531" t="s">
        <v>6850</v>
      </c>
      <c r="B3531" t="s">
        <v>309</v>
      </c>
    </row>
    <row r="3532" spans="1:2" x14ac:dyDescent="0.25">
      <c r="A3532" t="s">
        <v>6851</v>
      </c>
      <c r="B3532" t="s">
        <v>309</v>
      </c>
    </row>
    <row r="3533" spans="1:2" x14ac:dyDescent="0.25">
      <c r="A3533" t="s">
        <v>6852</v>
      </c>
      <c r="B3533" t="s">
        <v>309</v>
      </c>
    </row>
    <row r="3534" spans="1:2" x14ac:dyDescent="0.25">
      <c r="A3534" t="s">
        <v>311</v>
      </c>
      <c r="B3534" t="s">
        <v>311</v>
      </c>
    </row>
    <row r="3535" spans="1:2" x14ac:dyDescent="0.25">
      <c r="A3535" t="s">
        <v>6853</v>
      </c>
      <c r="B3535" t="s">
        <v>311</v>
      </c>
    </row>
    <row r="3536" spans="1:2" x14ac:dyDescent="0.25">
      <c r="A3536" t="s">
        <v>6854</v>
      </c>
      <c r="B3536" t="s">
        <v>311</v>
      </c>
    </row>
    <row r="3537" spans="1:2" x14ac:dyDescent="0.25">
      <c r="A3537" t="s">
        <v>6855</v>
      </c>
      <c r="B3537" t="s">
        <v>311</v>
      </c>
    </row>
    <row r="3538" spans="1:2" x14ac:dyDescent="0.25">
      <c r="A3538" t="s">
        <v>3159</v>
      </c>
      <c r="B3538" t="s">
        <v>3159</v>
      </c>
    </row>
    <row r="3539" spans="1:2" x14ac:dyDescent="0.25">
      <c r="A3539" t="s">
        <v>6856</v>
      </c>
      <c r="B3539" t="s">
        <v>3159</v>
      </c>
    </row>
    <row r="3540" spans="1:2" x14ac:dyDescent="0.25">
      <c r="A3540" t="s">
        <v>6857</v>
      </c>
      <c r="B3540" t="s">
        <v>3159</v>
      </c>
    </row>
    <row r="3541" spans="1:2" x14ac:dyDescent="0.25">
      <c r="A3541" t="s">
        <v>313</v>
      </c>
      <c r="B3541" t="s">
        <v>313</v>
      </c>
    </row>
    <row r="3542" spans="1:2" x14ac:dyDescent="0.25">
      <c r="A3542" t="s">
        <v>6858</v>
      </c>
      <c r="B3542" t="s">
        <v>313</v>
      </c>
    </row>
    <row r="3543" spans="1:2" x14ac:dyDescent="0.25">
      <c r="A3543" t="s">
        <v>6859</v>
      </c>
      <c r="B3543" t="s">
        <v>313</v>
      </c>
    </row>
    <row r="3544" spans="1:2" x14ac:dyDescent="0.25">
      <c r="A3544" t="s">
        <v>6860</v>
      </c>
      <c r="B3544" t="s">
        <v>313</v>
      </c>
    </row>
    <row r="3545" spans="1:2" x14ac:dyDescent="0.25">
      <c r="A3545" t="s">
        <v>6861</v>
      </c>
      <c r="B3545" t="s">
        <v>313</v>
      </c>
    </row>
    <row r="3546" spans="1:2" x14ac:dyDescent="0.25">
      <c r="A3546" t="s">
        <v>315</v>
      </c>
      <c r="B3546" t="s">
        <v>315</v>
      </c>
    </row>
    <row r="3547" spans="1:2" x14ac:dyDescent="0.25">
      <c r="A3547" t="s">
        <v>6862</v>
      </c>
      <c r="B3547" t="s">
        <v>315</v>
      </c>
    </row>
    <row r="3548" spans="1:2" x14ac:dyDescent="0.25">
      <c r="A3548" t="s">
        <v>6863</v>
      </c>
      <c r="B3548" t="s">
        <v>315</v>
      </c>
    </row>
    <row r="3549" spans="1:2" x14ac:dyDescent="0.25">
      <c r="A3549" t="s">
        <v>6864</v>
      </c>
      <c r="B3549" t="s">
        <v>315</v>
      </c>
    </row>
    <row r="3550" spans="1:2" x14ac:dyDescent="0.25">
      <c r="A3550" t="s">
        <v>6865</v>
      </c>
      <c r="B3550" t="s">
        <v>315</v>
      </c>
    </row>
    <row r="3551" spans="1:2" x14ac:dyDescent="0.25">
      <c r="A3551" t="s">
        <v>317</v>
      </c>
      <c r="B3551" t="s">
        <v>317</v>
      </c>
    </row>
    <row r="3552" spans="1:2" x14ac:dyDescent="0.25">
      <c r="A3552" t="s">
        <v>6866</v>
      </c>
      <c r="B3552" t="s">
        <v>317</v>
      </c>
    </row>
    <row r="3553" spans="1:2" x14ac:dyDescent="0.25">
      <c r="A3553" t="s">
        <v>6867</v>
      </c>
      <c r="B3553" t="s">
        <v>317</v>
      </c>
    </row>
    <row r="3554" spans="1:2" x14ac:dyDescent="0.25">
      <c r="A3554" t="s">
        <v>6868</v>
      </c>
      <c r="B3554" t="s">
        <v>317</v>
      </c>
    </row>
    <row r="3555" spans="1:2" x14ac:dyDescent="0.25">
      <c r="A3555" t="s">
        <v>6869</v>
      </c>
      <c r="B3555" t="s">
        <v>317</v>
      </c>
    </row>
    <row r="3556" spans="1:2" x14ac:dyDescent="0.25">
      <c r="A3556" t="s">
        <v>319</v>
      </c>
      <c r="B3556" t="s">
        <v>319</v>
      </c>
    </row>
    <row r="3557" spans="1:2" x14ac:dyDescent="0.25">
      <c r="A3557" t="s">
        <v>6870</v>
      </c>
      <c r="B3557" t="s">
        <v>319</v>
      </c>
    </row>
    <row r="3558" spans="1:2" x14ac:dyDescent="0.25">
      <c r="A3558" t="s">
        <v>6871</v>
      </c>
      <c r="B3558" t="s">
        <v>319</v>
      </c>
    </row>
    <row r="3559" spans="1:2" x14ac:dyDescent="0.25">
      <c r="A3559" t="s">
        <v>6872</v>
      </c>
      <c r="B3559" t="s">
        <v>319</v>
      </c>
    </row>
    <row r="3560" spans="1:2" x14ac:dyDescent="0.25">
      <c r="A3560" t="s">
        <v>2832</v>
      </c>
      <c r="B3560" t="s">
        <v>2832</v>
      </c>
    </row>
    <row r="3561" spans="1:2" x14ac:dyDescent="0.25">
      <c r="A3561" t="s">
        <v>6873</v>
      </c>
      <c r="B3561" t="s">
        <v>2832</v>
      </c>
    </row>
    <row r="3562" spans="1:2" x14ac:dyDescent="0.25">
      <c r="A3562" t="s">
        <v>6874</v>
      </c>
      <c r="B3562" t="s">
        <v>5209</v>
      </c>
    </row>
    <row r="3563" spans="1:2" x14ac:dyDescent="0.25">
      <c r="A3563" t="s">
        <v>6875</v>
      </c>
      <c r="B3563" t="s">
        <v>2832</v>
      </c>
    </row>
    <row r="3564" spans="1:2" x14ac:dyDescent="0.25">
      <c r="A3564" t="s">
        <v>6876</v>
      </c>
      <c r="B3564" t="s">
        <v>3160</v>
      </c>
    </row>
    <row r="3565" spans="1:2" x14ac:dyDescent="0.25">
      <c r="A3565" t="s">
        <v>3161</v>
      </c>
      <c r="B3565" t="s">
        <v>3161</v>
      </c>
    </row>
    <row r="3566" spans="1:2" x14ac:dyDescent="0.25">
      <c r="A3566" t="s">
        <v>6877</v>
      </c>
      <c r="B3566" t="s">
        <v>3161</v>
      </c>
    </row>
    <row r="3567" spans="1:2" x14ac:dyDescent="0.25">
      <c r="A3567" t="s">
        <v>1828</v>
      </c>
      <c r="B3567" t="s">
        <v>1828</v>
      </c>
    </row>
    <row r="3568" spans="1:2" x14ac:dyDescent="0.25">
      <c r="A3568" t="s">
        <v>6878</v>
      </c>
      <c r="B3568" t="s">
        <v>1828</v>
      </c>
    </row>
    <row r="3569" spans="1:2" x14ac:dyDescent="0.25">
      <c r="A3569" t="s">
        <v>6879</v>
      </c>
      <c r="B3569" t="s">
        <v>1828</v>
      </c>
    </row>
    <row r="3570" spans="1:2" x14ac:dyDescent="0.25">
      <c r="A3570" t="s">
        <v>2928</v>
      </c>
      <c r="B3570" t="s">
        <v>2928</v>
      </c>
    </row>
    <row r="3571" spans="1:2" x14ac:dyDescent="0.25">
      <c r="A3571" t="s">
        <v>6880</v>
      </c>
      <c r="B3571" t="s">
        <v>2928</v>
      </c>
    </row>
    <row r="3572" spans="1:2" x14ac:dyDescent="0.25">
      <c r="A3572" t="s">
        <v>6881</v>
      </c>
      <c r="B3572" t="s">
        <v>2928</v>
      </c>
    </row>
    <row r="3573" spans="1:2" x14ac:dyDescent="0.25">
      <c r="A3573" t="s">
        <v>1786</v>
      </c>
      <c r="B3573" t="s">
        <v>1786</v>
      </c>
    </row>
    <row r="3574" spans="1:2" x14ac:dyDescent="0.25">
      <c r="A3574" t="s">
        <v>6882</v>
      </c>
      <c r="B3574" t="s">
        <v>1786</v>
      </c>
    </row>
    <row r="3575" spans="1:2" x14ac:dyDescent="0.25">
      <c r="A3575" t="s">
        <v>6883</v>
      </c>
      <c r="B3575" t="s">
        <v>1786</v>
      </c>
    </row>
    <row r="3576" spans="1:2" x14ac:dyDescent="0.25">
      <c r="A3576" t="s">
        <v>3162</v>
      </c>
      <c r="B3576" t="s">
        <v>3162</v>
      </c>
    </row>
    <row r="3577" spans="1:2" x14ac:dyDescent="0.25">
      <c r="A3577" t="s">
        <v>6884</v>
      </c>
      <c r="B3577" t="s">
        <v>3162</v>
      </c>
    </row>
    <row r="3578" spans="1:2" x14ac:dyDescent="0.25">
      <c r="A3578" t="s">
        <v>6885</v>
      </c>
      <c r="B3578" t="s">
        <v>3162</v>
      </c>
    </row>
    <row r="3579" spans="1:2" x14ac:dyDescent="0.25">
      <c r="A3579" t="s">
        <v>2896</v>
      </c>
      <c r="B3579" t="s">
        <v>2896</v>
      </c>
    </row>
    <row r="3580" spans="1:2" x14ac:dyDescent="0.25">
      <c r="A3580" t="s">
        <v>6886</v>
      </c>
      <c r="B3580" t="s">
        <v>2896</v>
      </c>
    </row>
    <row r="3581" spans="1:2" x14ac:dyDescent="0.25">
      <c r="A3581" t="s">
        <v>6887</v>
      </c>
      <c r="B3581" t="s">
        <v>2896</v>
      </c>
    </row>
    <row r="3582" spans="1:2" x14ac:dyDescent="0.25">
      <c r="A3582" t="s">
        <v>2898</v>
      </c>
      <c r="B3582" t="s">
        <v>2898</v>
      </c>
    </row>
    <row r="3583" spans="1:2" x14ac:dyDescent="0.25">
      <c r="A3583" t="s">
        <v>6888</v>
      </c>
      <c r="B3583" t="s">
        <v>2898</v>
      </c>
    </row>
    <row r="3584" spans="1:2" x14ac:dyDescent="0.25">
      <c r="A3584" t="s">
        <v>6889</v>
      </c>
      <c r="B3584" t="s">
        <v>2898</v>
      </c>
    </row>
    <row r="3585" spans="1:2" x14ac:dyDescent="0.25">
      <c r="A3585" t="s">
        <v>2417</v>
      </c>
      <c r="B3585" t="s">
        <v>2417</v>
      </c>
    </row>
    <row r="3586" spans="1:2" x14ac:dyDescent="0.25">
      <c r="A3586" t="s">
        <v>6890</v>
      </c>
      <c r="B3586" t="s">
        <v>2417</v>
      </c>
    </row>
    <row r="3587" spans="1:2" x14ac:dyDescent="0.25">
      <c r="A3587" t="s">
        <v>6891</v>
      </c>
      <c r="B3587" t="s">
        <v>2417</v>
      </c>
    </row>
    <row r="3588" spans="1:2" x14ac:dyDescent="0.25">
      <c r="A3588" t="s">
        <v>6892</v>
      </c>
      <c r="B3588" t="s">
        <v>3163</v>
      </c>
    </row>
    <row r="3589" spans="1:2" x14ac:dyDescent="0.25">
      <c r="A3589" t="s">
        <v>6893</v>
      </c>
      <c r="B3589" t="s">
        <v>3163</v>
      </c>
    </row>
    <row r="3590" spans="1:2" x14ac:dyDescent="0.25">
      <c r="A3590" t="s">
        <v>3164</v>
      </c>
      <c r="B3590" t="s">
        <v>3164</v>
      </c>
    </row>
    <row r="3591" spans="1:2" x14ac:dyDescent="0.25">
      <c r="A3591" t="s">
        <v>6894</v>
      </c>
      <c r="B3591" t="s">
        <v>3164</v>
      </c>
    </row>
    <row r="3592" spans="1:2" x14ac:dyDescent="0.25">
      <c r="A3592" t="s">
        <v>6895</v>
      </c>
      <c r="B3592" t="s">
        <v>3164</v>
      </c>
    </row>
    <row r="3593" spans="1:2" x14ac:dyDescent="0.25">
      <c r="A3593" t="s">
        <v>2375</v>
      </c>
      <c r="B3593" t="s">
        <v>2375</v>
      </c>
    </row>
    <row r="3594" spans="1:2" x14ac:dyDescent="0.25">
      <c r="A3594" t="s">
        <v>6896</v>
      </c>
      <c r="B3594" t="s">
        <v>2375</v>
      </c>
    </row>
    <row r="3595" spans="1:2" x14ac:dyDescent="0.25">
      <c r="A3595" t="s">
        <v>6897</v>
      </c>
      <c r="B3595" t="s">
        <v>2375</v>
      </c>
    </row>
    <row r="3596" spans="1:2" x14ac:dyDescent="0.25">
      <c r="A3596" t="s">
        <v>3165</v>
      </c>
      <c r="B3596" t="s">
        <v>3165</v>
      </c>
    </row>
    <row r="3597" spans="1:2" x14ac:dyDescent="0.25">
      <c r="A3597" t="s">
        <v>6898</v>
      </c>
      <c r="B3597" t="s">
        <v>3165</v>
      </c>
    </row>
    <row r="3598" spans="1:2" x14ac:dyDescent="0.25">
      <c r="A3598" t="s">
        <v>6899</v>
      </c>
      <c r="B3598" t="s">
        <v>3165</v>
      </c>
    </row>
    <row r="3599" spans="1:2" x14ac:dyDescent="0.25">
      <c r="A3599" t="s">
        <v>3166</v>
      </c>
      <c r="B3599" t="s">
        <v>3166</v>
      </c>
    </row>
    <row r="3600" spans="1:2" x14ac:dyDescent="0.25">
      <c r="A3600" t="s">
        <v>6900</v>
      </c>
      <c r="B3600" t="s">
        <v>3166</v>
      </c>
    </row>
    <row r="3601" spans="1:2" x14ac:dyDescent="0.25">
      <c r="A3601" t="s">
        <v>6901</v>
      </c>
      <c r="B3601" t="s">
        <v>3166</v>
      </c>
    </row>
    <row r="3602" spans="1:2" x14ac:dyDescent="0.25">
      <c r="A3602" t="s">
        <v>2979</v>
      </c>
      <c r="B3602" t="s">
        <v>2979</v>
      </c>
    </row>
    <row r="3603" spans="1:2" x14ac:dyDescent="0.25">
      <c r="A3603" t="s">
        <v>6902</v>
      </c>
      <c r="B3603" t="s">
        <v>2979</v>
      </c>
    </row>
    <row r="3604" spans="1:2" x14ac:dyDescent="0.25">
      <c r="A3604" t="s">
        <v>6903</v>
      </c>
      <c r="B3604" t="s">
        <v>2979</v>
      </c>
    </row>
    <row r="3605" spans="1:2" x14ac:dyDescent="0.25">
      <c r="A3605" t="s">
        <v>928</v>
      </c>
      <c r="B3605" t="s">
        <v>928</v>
      </c>
    </row>
    <row r="3606" spans="1:2" x14ac:dyDescent="0.25">
      <c r="A3606" t="s">
        <v>6904</v>
      </c>
      <c r="B3606" t="s">
        <v>928</v>
      </c>
    </row>
    <row r="3607" spans="1:2" x14ac:dyDescent="0.25">
      <c r="A3607" t="s">
        <v>6905</v>
      </c>
      <c r="B3607" t="s">
        <v>928</v>
      </c>
    </row>
    <row r="3608" spans="1:2" x14ac:dyDescent="0.25">
      <c r="A3608" t="s">
        <v>2376</v>
      </c>
      <c r="B3608" t="s">
        <v>2376</v>
      </c>
    </row>
    <row r="3609" spans="1:2" x14ac:dyDescent="0.25">
      <c r="A3609" t="s">
        <v>6906</v>
      </c>
      <c r="B3609" t="s">
        <v>2376</v>
      </c>
    </row>
    <row r="3610" spans="1:2" x14ac:dyDescent="0.25">
      <c r="A3610" t="s">
        <v>6907</v>
      </c>
      <c r="B3610" t="s">
        <v>2376</v>
      </c>
    </row>
    <row r="3611" spans="1:2" x14ac:dyDescent="0.25">
      <c r="A3611" t="s">
        <v>2900</v>
      </c>
      <c r="B3611" t="s">
        <v>2900</v>
      </c>
    </row>
    <row r="3612" spans="1:2" x14ac:dyDescent="0.25">
      <c r="A3612" t="s">
        <v>6908</v>
      </c>
      <c r="B3612" t="s">
        <v>2900</v>
      </c>
    </row>
    <row r="3613" spans="1:2" x14ac:dyDescent="0.25">
      <c r="A3613" t="s">
        <v>6909</v>
      </c>
      <c r="B3613" t="s">
        <v>2900</v>
      </c>
    </row>
    <row r="3614" spans="1:2" x14ac:dyDescent="0.25">
      <c r="A3614" t="s">
        <v>2977</v>
      </c>
      <c r="B3614" t="s">
        <v>2977</v>
      </c>
    </row>
    <row r="3615" spans="1:2" x14ac:dyDescent="0.25">
      <c r="A3615" t="s">
        <v>925</v>
      </c>
      <c r="B3615" t="s">
        <v>925</v>
      </c>
    </row>
    <row r="3616" spans="1:2" x14ac:dyDescent="0.25">
      <c r="A3616" t="s">
        <v>1778</v>
      </c>
      <c r="B3616" t="s">
        <v>1778</v>
      </c>
    </row>
    <row r="3617" spans="1:2" x14ac:dyDescent="0.25">
      <c r="A3617" t="s">
        <v>1780</v>
      </c>
      <c r="B3617" t="s">
        <v>1780</v>
      </c>
    </row>
    <row r="3618" spans="1:2" x14ac:dyDescent="0.25">
      <c r="A3618" t="s">
        <v>6910</v>
      </c>
      <c r="B3618" t="s">
        <v>1780</v>
      </c>
    </row>
    <row r="3619" spans="1:2" x14ac:dyDescent="0.25">
      <c r="A3619" t="s">
        <v>2374</v>
      </c>
      <c r="B3619" t="s">
        <v>2374</v>
      </c>
    </row>
    <row r="3620" spans="1:2" x14ac:dyDescent="0.25">
      <c r="A3620" t="s">
        <v>6911</v>
      </c>
      <c r="B3620" t="s">
        <v>2374</v>
      </c>
    </row>
    <row r="3621" spans="1:2" x14ac:dyDescent="0.25">
      <c r="A3621" t="s">
        <v>6912</v>
      </c>
      <c r="B3621" t="s">
        <v>2374</v>
      </c>
    </row>
    <row r="3622" spans="1:2" x14ac:dyDescent="0.25">
      <c r="A3622" t="s">
        <v>2894</v>
      </c>
      <c r="B3622" t="s">
        <v>2894</v>
      </c>
    </row>
    <row r="3623" spans="1:2" x14ac:dyDescent="0.25">
      <c r="A3623" t="s">
        <v>6913</v>
      </c>
      <c r="B3623" t="s">
        <v>2894</v>
      </c>
    </row>
    <row r="3624" spans="1:2" x14ac:dyDescent="0.25">
      <c r="A3624" t="s">
        <v>3167</v>
      </c>
      <c r="B3624" t="s">
        <v>3167</v>
      </c>
    </row>
    <row r="3625" spans="1:2" x14ac:dyDescent="0.25">
      <c r="A3625" t="s">
        <v>6914</v>
      </c>
      <c r="B3625" t="s">
        <v>3167</v>
      </c>
    </row>
    <row r="3626" spans="1:2" x14ac:dyDescent="0.25">
      <c r="A3626" t="s">
        <v>1782</v>
      </c>
      <c r="B3626" t="s">
        <v>1782</v>
      </c>
    </row>
    <row r="3627" spans="1:2" x14ac:dyDescent="0.25">
      <c r="A3627" t="s">
        <v>6915</v>
      </c>
      <c r="B3627" t="s">
        <v>1782</v>
      </c>
    </row>
    <row r="3628" spans="1:2" x14ac:dyDescent="0.25">
      <c r="A3628" t="s">
        <v>1784</v>
      </c>
      <c r="B3628" t="s">
        <v>1784</v>
      </c>
    </row>
    <row r="3629" spans="1:2" x14ac:dyDescent="0.25">
      <c r="A3629" t="s">
        <v>6916</v>
      </c>
      <c r="B3629" t="s">
        <v>1784</v>
      </c>
    </row>
    <row r="3630" spans="1:2" x14ac:dyDescent="0.25">
      <c r="A3630" t="s">
        <v>294</v>
      </c>
      <c r="B3630" t="s">
        <v>294</v>
      </c>
    </row>
    <row r="3631" spans="1:2" x14ac:dyDescent="0.25">
      <c r="A3631" t="s">
        <v>6917</v>
      </c>
      <c r="B3631" t="s">
        <v>294</v>
      </c>
    </row>
    <row r="3632" spans="1:2" x14ac:dyDescent="0.25">
      <c r="A3632" t="s">
        <v>6918</v>
      </c>
      <c r="B3632" t="s">
        <v>294</v>
      </c>
    </row>
    <row r="3633" spans="1:2" x14ac:dyDescent="0.25">
      <c r="A3633" t="s">
        <v>6919</v>
      </c>
      <c r="B3633" t="s">
        <v>294</v>
      </c>
    </row>
    <row r="3634" spans="1:2" x14ac:dyDescent="0.25">
      <c r="A3634" t="s">
        <v>297</v>
      </c>
      <c r="B3634" t="s">
        <v>297</v>
      </c>
    </row>
    <row r="3635" spans="1:2" x14ac:dyDescent="0.25">
      <c r="A3635" t="s">
        <v>6920</v>
      </c>
      <c r="B3635" t="s">
        <v>297</v>
      </c>
    </row>
    <row r="3636" spans="1:2" x14ac:dyDescent="0.25">
      <c r="A3636" t="s">
        <v>6921</v>
      </c>
      <c r="B3636" t="s">
        <v>297</v>
      </c>
    </row>
    <row r="3637" spans="1:2" x14ac:dyDescent="0.25">
      <c r="A3637" t="s">
        <v>6922</v>
      </c>
      <c r="B3637" t="s">
        <v>5209</v>
      </c>
    </row>
    <row r="3638" spans="1:2" x14ac:dyDescent="0.25">
      <c r="A3638" t="s">
        <v>6923</v>
      </c>
      <c r="B3638" t="s">
        <v>297</v>
      </c>
    </row>
    <row r="3639" spans="1:2" x14ac:dyDescent="0.25">
      <c r="A3639" t="s">
        <v>6924</v>
      </c>
      <c r="B3639" t="s">
        <v>5209</v>
      </c>
    </row>
    <row r="3640" spans="1:2" x14ac:dyDescent="0.25">
      <c r="A3640" t="s">
        <v>321</v>
      </c>
      <c r="B3640" t="s">
        <v>321</v>
      </c>
    </row>
    <row r="3641" spans="1:2" x14ac:dyDescent="0.25">
      <c r="A3641" t="s">
        <v>6925</v>
      </c>
      <c r="B3641" t="s">
        <v>321</v>
      </c>
    </row>
    <row r="3642" spans="1:2" x14ac:dyDescent="0.25">
      <c r="A3642" t="s">
        <v>6926</v>
      </c>
      <c r="B3642" t="s">
        <v>321</v>
      </c>
    </row>
    <row r="3643" spans="1:2" x14ac:dyDescent="0.25">
      <c r="A3643" t="s">
        <v>6927</v>
      </c>
      <c r="B3643" t="s">
        <v>321</v>
      </c>
    </row>
    <row r="3644" spans="1:2" x14ac:dyDescent="0.25">
      <c r="A3644" t="s">
        <v>323</v>
      </c>
      <c r="B3644" t="s">
        <v>323</v>
      </c>
    </row>
    <row r="3645" spans="1:2" x14ac:dyDescent="0.25">
      <c r="A3645" t="s">
        <v>6928</v>
      </c>
      <c r="B3645" t="s">
        <v>323</v>
      </c>
    </row>
    <row r="3646" spans="1:2" x14ac:dyDescent="0.25">
      <c r="A3646" t="s">
        <v>6929</v>
      </c>
      <c r="B3646" t="s">
        <v>323</v>
      </c>
    </row>
    <row r="3647" spans="1:2" x14ac:dyDescent="0.25">
      <c r="A3647" t="s">
        <v>528</v>
      </c>
      <c r="B3647" t="s">
        <v>528</v>
      </c>
    </row>
    <row r="3648" spans="1:2" x14ac:dyDescent="0.25">
      <c r="A3648" t="s">
        <v>2207</v>
      </c>
      <c r="B3648" t="s">
        <v>2207</v>
      </c>
    </row>
    <row r="3649" spans="1:2" x14ac:dyDescent="0.25">
      <c r="A3649" t="s">
        <v>6930</v>
      </c>
      <c r="B3649" t="s">
        <v>2508</v>
      </c>
    </row>
    <row r="3650" spans="1:2" x14ac:dyDescent="0.25">
      <c r="A3650" t="s">
        <v>1941</v>
      </c>
      <c r="B3650" t="s">
        <v>1941</v>
      </c>
    </row>
    <row r="3651" spans="1:2" x14ac:dyDescent="0.25">
      <c r="A3651" t="s">
        <v>1943</v>
      </c>
      <c r="B3651" t="s">
        <v>1943</v>
      </c>
    </row>
    <row r="3652" spans="1:2" x14ac:dyDescent="0.25">
      <c r="A3652" t="s">
        <v>689</v>
      </c>
      <c r="B3652" t="s">
        <v>689</v>
      </c>
    </row>
    <row r="3653" spans="1:2" x14ac:dyDescent="0.25">
      <c r="A3653" t="s">
        <v>6931</v>
      </c>
      <c r="B3653" t="s">
        <v>689</v>
      </c>
    </row>
    <row r="3654" spans="1:2" x14ac:dyDescent="0.25">
      <c r="A3654" t="s">
        <v>6932</v>
      </c>
      <c r="B3654" t="s">
        <v>689</v>
      </c>
    </row>
    <row r="3655" spans="1:2" x14ac:dyDescent="0.25">
      <c r="A3655" t="s">
        <v>301</v>
      </c>
      <c r="B3655" t="s">
        <v>301</v>
      </c>
    </row>
    <row r="3656" spans="1:2" x14ac:dyDescent="0.25">
      <c r="A3656" t="s">
        <v>6933</v>
      </c>
      <c r="B3656" t="s">
        <v>301</v>
      </c>
    </row>
    <row r="3657" spans="1:2" x14ac:dyDescent="0.25">
      <c r="A3657" t="s">
        <v>6934</v>
      </c>
      <c r="B3657" t="s">
        <v>5209</v>
      </c>
    </row>
    <row r="3658" spans="1:2" x14ac:dyDescent="0.25">
      <c r="A3658" t="s">
        <v>6935</v>
      </c>
      <c r="B3658" t="s">
        <v>301</v>
      </c>
    </row>
    <row r="3659" spans="1:2" x14ac:dyDescent="0.25">
      <c r="A3659" t="s">
        <v>303</v>
      </c>
      <c r="B3659" t="s">
        <v>303</v>
      </c>
    </row>
    <row r="3660" spans="1:2" x14ac:dyDescent="0.25">
      <c r="A3660" t="s">
        <v>6936</v>
      </c>
      <c r="B3660" t="s">
        <v>303</v>
      </c>
    </row>
    <row r="3661" spans="1:2" x14ac:dyDescent="0.25">
      <c r="A3661" t="s">
        <v>6937</v>
      </c>
      <c r="B3661" t="s">
        <v>303</v>
      </c>
    </row>
    <row r="3662" spans="1:2" x14ac:dyDescent="0.25">
      <c r="A3662" t="s">
        <v>690</v>
      </c>
      <c r="B3662" t="s">
        <v>690</v>
      </c>
    </row>
    <row r="3663" spans="1:2" x14ac:dyDescent="0.25">
      <c r="A3663" t="s">
        <v>6938</v>
      </c>
      <c r="B3663" t="s">
        <v>690</v>
      </c>
    </row>
    <row r="3664" spans="1:2" x14ac:dyDescent="0.25">
      <c r="A3664" t="s">
        <v>6939</v>
      </c>
      <c r="B3664" t="s">
        <v>690</v>
      </c>
    </row>
    <row r="3665" spans="1:2" x14ac:dyDescent="0.25">
      <c r="A3665" t="s">
        <v>1720</v>
      </c>
      <c r="B3665" t="s">
        <v>1720</v>
      </c>
    </row>
    <row r="3666" spans="1:2" x14ac:dyDescent="0.25">
      <c r="A3666" t="s">
        <v>6940</v>
      </c>
      <c r="B3666" t="s">
        <v>1720</v>
      </c>
    </row>
    <row r="3667" spans="1:2" x14ac:dyDescent="0.25">
      <c r="A3667" t="s">
        <v>6941</v>
      </c>
      <c r="B3667" t="s">
        <v>1720</v>
      </c>
    </row>
    <row r="3668" spans="1:2" x14ac:dyDescent="0.25">
      <c r="A3668" t="s">
        <v>6942</v>
      </c>
      <c r="B3668" t="s">
        <v>5209</v>
      </c>
    </row>
    <row r="3669" spans="1:2" x14ac:dyDescent="0.25">
      <c r="A3669" t="s">
        <v>3168</v>
      </c>
      <c r="B3669" t="s">
        <v>3168</v>
      </c>
    </row>
    <row r="3670" spans="1:2" x14ac:dyDescent="0.25">
      <c r="A3670" t="s">
        <v>6943</v>
      </c>
      <c r="B3670" t="s">
        <v>3168</v>
      </c>
    </row>
    <row r="3671" spans="1:2" x14ac:dyDescent="0.25">
      <c r="A3671" t="s">
        <v>2353</v>
      </c>
      <c r="B3671" t="s">
        <v>2353</v>
      </c>
    </row>
    <row r="3672" spans="1:2" x14ac:dyDescent="0.25">
      <c r="A3672" t="s">
        <v>6944</v>
      </c>
      <c r="B3672" t="s">
        <v>2353</v>
      </c>
    </row>
    <row r="3673" spans="1:2" x14ac:dyDescent="0.25">
      <c r="A3673" t="s">
        <v>1710</v>
      </c>
      <c r="B3673" t="s">
        <v>1710</v>
      </c>
    </row>
    <row r="3674" spans="1:2" x14ac:dyDescent="0.25">
      <c r="A3674" t="s">
        <v>6945</v>
      </c>
      <c r="B3674" t="s">
        <v>1710</v>
      </c>
    </row>
    <row r="3675" spans="1:2" x14ac:dyDescent="0.25">
      <c r="A3675" t="s">
        <v>1983</v>
      </c>
      <c r="B3675" t="s">
        <v>1983</v>
      </c>
    </row>
    <row r="3676" spans="1:2" x14ac:dyDescent="0.25">
      <c r="A3676" t="s">
        <v>6946</v>
      </c>
      <c r="B3676" t="s">
        <v>1983</v>
      </c>
    </row>
    <row r="3677" spans="1:2" x14ac:dyDescent="0.25">
      <c r="A3677" t="s">
        <v>1712</v>
      </c>
      <c r="B3677" t="s">
        <v>1712</v>
      </c>
    </row>
    <row r="3678" spans="1:2" x14ac:dyDescent="0.25">
      <c r="A3678" t="s">
        <v>6947</v>
      </c>
      <c r="B3678" t="s">
        <v>1712</v>
      </c>
    </row>
    <row r="3679" spans="1:2" x14ac:dyDescent="0.25">
      <c r="A3679" t="s">
        <v>1714</v>
      </c>
      <c r="B3679" t="s">
        <v>1714</v>
      </c>
    </row>
    <row r="3680" spans="1:2" x14ac:dyDescent="0.25">
      <c r="A3680" t="s">
        <v>6948</v>
      </c>
      <c r="B3680" t="s">
        <v>1714</v>
      </c>
    </row>
    <row r="3681" spans="1:2" x14ac:dyDescent="0.25">
      <c r="A3681" t="s">
        <v>3169</v>
      </c>
      <c r="B3681" t="s">
        <v>3169</v>
      </c>
    </row>
    <row r="3682" spans="1:2" x14ac:dyDescent="0.25">
      <c r="A3682" t="s">
        <v>6949</v>
      </c>
      <c r="B3682" t="s">
        <v>3169</v>
      </c>
    </row>
    <row r="3683" spans="1:2" x14ac:dyDescent="0.25">
      <c r="A3683" t="s">
        <v>2858</v>
      </c>
      <c r="B3683" t="s">
        <v>2858</v>
      </c>
    </row>
    <row r="3684" spans="1:2" x14ac:dyDescent="0.25">
      <c r="A3684" t="s">
        <v>6950</v>
      </c>
      <c r="B3684" t="s">
        <v>2858</v>
      </c>
    </row>
    <row r="3685" spans="1:2" x14ac:dyDescent="0.25">
      <c r="A3685" t="s">
        <v>2354</v>
      </c>
      <c r="B3685" t="s">
        <v>2354</v>
      </c>
    </row>
    <row r="3686" spans="1:2" x14ac:dyDescent="0.25">
      <c r="A3686" t="s">
        <v>6951</v>
      </c>
      <c r="B3686" t="s">
        <v>2354</v>
      </c>
    </row>
    <row r="3687" spans="1:2" x14ac:dyDescent="0.25">
      <c r="A3687" t="s">
        <v>3170</v>
      </c>
      <c r="B3687" t="s">
        <v>3170</v>
      </c>
    </row>
    <row r="3688" spans="1:2" x14ac:dyDescent="0.25">
      <c r="A3688" t="s">
        <v>6952</v>
      </c>
      <c r="B3688" t="s">
        <v>3170</v>
      </c>
    </row>
    <row r="3689" spans="1:2" x14ac:dyDescent="0.25">
      <c r="A3689" t="s">
        <v>1716</v>
      </c>
      <c r="B3689" t="s">
        <v>1716</v>
      </c>
    </row>
    <row r="3690" spans="1:2" x14ac:dyDescent="0.25">
      <c r="A3690" t="s">
        <v>6953</v>
      </c>
      <c r="B3690" t="s">
        <v>1716</v>
      </c>
    </row>
    <row r="3691" spans="1:2" x14ac:dyDescent="0.25">
      <c r="A3691" t="s">
        <v>1718</v>
      </c>
      <c r="B3691" t="s">
        <v>1718</v>
      </c>
    </row>
    <row r="3692" spans="1:2" x14ac:dyDescent="0.25">
      <c r="A3692" t="s">
        <v>6954</v>
      </c>
      <c r="B3692" t="s">
        <v>1718</v>
      </c>
    </row>
    <row r="3693" spans="1:2" x14ac:dyDescent="0.25">
      <c r="A3693" t="s">
        <v>3171</v>
      </c>
      <c r="B3693" t="s">
        <v>3171</v>
      </c>
    </row>
    <row r="3694" spans="1:2" x14ac:dyDescent="0.25">
      <c r="A3694" t="s">
        <v>6955</v>
      </c>
      <c r="B3694" t="s">
        <v>3171</v>
      </c>
    </row>
    <row r="3695" spans="1:2" x14ac:dyDescent="0.25">
      <c r="A3695" t="s">
        <v>3172</v>
      </c>
      <c r="B3695" t="s">
        <v>3172</v>
      </c>
    </row>
    <row r="3696" spans="1:2" x14ac:dyDescent="0.25">
      <c r="A3696" t="s">
        <v>6956</v>
      </c>
      <c r="B3696" t="s">
        <v>3172</v>
      </c>
    </row>
    <row r="3697" spans="1:2" x14ac:dyDescent="0.25">
      <c r="A3697" t="s">
        <v>3173</v>
      </c>
      <c r="B3697" t="s">
        <v>3173</v>
      </c>
    </row>
    <row r="3698" spans="1:2" x14ac:dyDescent="0.25">
      <c r="A3698" t="s">
        <v>6957</v>
      </c>
      <c r="B3698" t="s">
        <v>3173</v>
      </c>
    </row>
    <row r="3699" spans="1:2" x14ac:dyDescent="0.25">
      <c r="A3699" t="s">
        <v>2355</v>
      </c>
      <c r="B3699" t="s">
        <v>2355</v>
      </c>
    </row>
    <row r="3700" spans="1:2" x14ac:dyDescent="0.25">
      <c r="A3700" t="s">
        <v>6958</v>
      </c>
      <c r="B3700" t="s">
        <v>2355</v>
      </c>
    </row>
    <row r="3701" spans="1:2" x14ac:dyDescent="0.25">
      <c r="A3701" t="s">
        <v>3174</v>
      </c>
      <c r="B3701" t="s">
        <v>3174</v>
      </c>
    </row>
    <row r="3702" spans="1:2" x14ac:dyDescent="0.25">
      <c r="A3702" t="s">
        <v>6959</v>
      </c>
      <c r="B3702" t="s">
        <v>3174</v>
      </c>
    </row>
    <row r="3703" spans="1:2" x14ac:dyDescent="0.25">
      <c r="A3703" t="s">
        <v>2356</v>
      </c>
      <c r="B3703" t="s">
        <v>2356</v>
      </c>
    </row>
    <row r="3704" spans="1:2" x14ac:dyDescent="0.25">
      <c r="A3704" t="s">
        <v>6960</v>
      </c>
      <c r="B3704" t="s">
        <v>2356</v>
      </c>
    </row>
    <row r="3705" spans="1:2" x14ac:dyDescent="0.25">
      <c r="A3705" t="s">
        <v>2365</v>
      </c>
      <c r="B3705" t="s">
        <v>2365</v>
      </c>
    </row>
    <row r="3706" spans="1:2" x14ac:dyDescent="0.25">
      <c r="A3706" t="s">
        <v>6961</v>
      </c>
      <c r="B3706" t="s">
        <v>2365</v>
      </c>
    </row>
    <row r="3707" spans="1:2" x14ac:dyDescent="0.25">
      <c r="A3707" t="s">
        <v>6962</v>
      </c>
      <c r="B3707" t="s">
        <v>5209</v>
      </c>
    </row>
    <row r="3708" spans="1:2" x14ac:dyDescent="0.25">
      <c r="A3708" t="s">
        <v>6963</v>
      </c>
      <c r="B3708" t="s">
        <v>6964</v>
      </c>
    </row>
    <row r="3709" spans="1:2" x14ac:dyDescent="0.25">
      <c r="A3709" t="s">
        <v>6965</v>
      </c>
      <c r="B3709" t="s">
        <v>4009</v>
      </c>
    </row>
    <row r="3710" spans="1:2" x14ac:dyDescent="0.25">
      <c r="A3710" t="s">
        <v>6966</v>
      </c>
      <c r="B3710" t="s">
        <v>4173</v>
      </c>
    </row>
    <row r="3711" spans="1:2" x14ac:dyDescent="0.25">
      <c r="A3711" t="s">
        <v>6967</v>
      </c>
      <c r="B3711" t="s">
        <v>4013</v>
      </c>
    </row>
    <row r="3712" spans="1:2" x14ac:dyDescent="0.25">
      <c r="A3712" t="s">
        <v>6968</v>
      </c>
      <c r="B3712" t="s">
        <v>6969</v>
      </c>
    </row>
    <row r="3713" spans="1:2" x14ac:dyDescent="0.25">
      <c r="A3713" t="s">
        <v>6970</v>
      </c>
      <c r="B3713" t="s">
        <v>6971</v>
      </c>
    </row>
    <row r="3714" spans="1:2" x14ac:dyDescent="0.25">
      <c r="A3714" t="s">
        <v>6972</v>
      </c>
      <c r="B3714" t="s">
        <v>6973</v>
      </c>
    </row>
    <row r="3715" spans="1:2" x14ac:dyDescent="0.25">
      <c r="A3715" t="s">
        <v>6973</v>
      </c>
      <c r="B3715" t="s">
        <v>6973</v>
      </c>
    </row>
    <row r="3716" spans="1:2" x14ac:dyDescent="0.25">
      <c r="A3716" t="s">
        <v>6974</v>
      </c>
      <c r="B3716" t="s">
        <v>6975</v>
      </c>
    </row>
    <row r="3717" spans="1:2" x14ac:dyDescent="0.25">
      <c r="A3717" t="s">
        <v>6976</v>
      </c>
      <c r="B3717" t="s">
        <v>6977</v>
      </c>
    </row>
    <row r="3718" spans="1:2" x14ac:dyDescent="0.25">
      <c r="A3718" t="s">
        <v>1511</v>
      </c>
      <c r="B3718" t="s">
        <v>1511</v>
      </c>
    </row>
    <row r="3719" spans="1:2" x14ac:dyDescent="0.25">
      <c r="A3719" t="s">
        <v>6978</v>
      </c>
      <c r="B3719" t="s">
        <v>1511</v>
      </c>
    </row>
    <row r="3720" spans="1:2" x14ac:dyDescent="0.25">
      <c r="A3720" t="s">
        <v>2828</v>
      </c>
      <c r="B3720" t="s">
        <v>2828</v>
      </c>
    </row>
    <row r="3721" spans="1:2" x14ac:dyDescent="0.25">
      <c r="A3721" t="s">
        <v>6979</v>
      </c>
      <c r="B3721" t="s">
        <v>2828</v>
      </c>
    </row>
    <row r="3722" spans="1:2" x14ac:dyDescent="0.25">
      <c r="A3722" t="s">
        <v>6980</v>
      </c>
      <c r="B3722" t="s">
        <v>3175</v>
      </c>
    </row>
    <row r="3723" spans="1:2" x14ac:dyDescent="0.25">
      <c r="A3723" t="s">
        <v>1678</v>
      </c>
      <c r="B3723" t="s">
        <v>1678</v>
      </c>
    </row>
    <row r="3724" spans="1:2" x14ac:dyDescent="0.25">
      <c r="A3724" t="s">
        <v>6981</v>
      </c>
      <c r="B3724" t="s">
        <v>1678</v>
      </c>
    </row>
    <row r="3725" spans="1:2" x14ac:dyDescent="0.25">
      <c r="A3725" t="s">
        <v>6982</v>
      </c>
      <c r="B3725" t="s">
        <v>3176</v>
      </c>
    </row>
    <row r="3726" spans="1:2" x14ac:dyDescent="0.25">
      <c r="A3726" t="s">
        <v>6983</v>
      </c>
      <c r="B3726" t="s">
        <v>4023</v>
      </c>
    </row>
    <row r="3727" spans="1:2" x14ac:dyDescent="0.25">
      <c r="A3727" t="s">
        <v>6984</v>
      </c>
      <c r="B3727" t="s">
        <v>4025</v>
      </c>
    </row>
    <row r="3728" spans="1:2" x14ac:dyDescent="0.25">
      <c r="A3728" t="s">
        <v>3177</v>
      </c>
      <c r="B3728" t="s">
        <v>3177</v>
      </c>
    </row>
    <row r="3729" spans="1:2" x14ac:dyDescent="0.25">
      <c r="A3729" t="s">
        <v>6985</v>
      </c>
      <c r="B3729" t="s">
        <v>3177</v>
      </c>
    </row>
    <row r="3730" spans="1:2" x14ac:dyDescent="0.25">
      <c r="A3730" t="s">
        <v>2981</v>
      </c>
      <c r="B3730" t="s">
        <v>2981</v>
      </c>
    </row>
    <row r="3731" spans="1:2" x14ac:dyDescent="0.25">
      <c r="A3731" t="s">
        <v>6986</v>
      </c>
      <c r="B3731" t="s">
        <v>2981</v>
      </c>
    </row>
    <row r="3732" spans="1:2" x14ac:dyDescent="0.25">
      <c r="A3732" t="s">
        <v>1680</v>
      </c>
      <c r="B3732" t="s">
        <v>1680</v>
      </c>
    </row>
    <row r="3733" spans="1:2" x14ac:dyDescent="0.25">
      <c r="A3733" t="s">
        <v>6987</v>
      </c>
      <c r="B3733" t="s">
        <v>1680</v>
      </c>
    </row>
    <row r="3734" spans="1:2" x14ac:dyDescent="0.25">
      <c r="A3734" t="s">
        <v>6988</v>
      </c>
      <c r="B3734" t="s">
        <v>4148</v>
      </c>
    </row>
    <row r="3735" spans="1:2" x14ac:dyDescent="0.25">
      <c r="A3735" t="s">
        <v>6989</v>
      </c>
      <c r="B3735" t="s">
        <v>4150</v>
      </c>
    </row>
    <row r="3736" spans="1:2" x14ac:dyDescent="0.25">
      <c r="A3736" t="s">
        <v>6990</v>
      </c>
      <c r="B3736" t="s">
        <v>4152</v>
      </c>
    </row>
    <row r="3737" spans="1:2" x14ac:dyDescent="0.25">
      <c r="A3737" t="s">
        <v>2830</v>
      </c>
      <c r="B3737" t="s">
        <v>2830</v>
      </c>
    </row>
    <row r="3738" spans="1:2" x14ac:dyDescent="0.25">
      <c r="A3738" t="s">
        <v>6991</v>
      </c>
      <c r="B3738" t="s">
        <v>2830</v>
      </c>
    </row>
    <row r="3739" spans="1:2" x14ac:dyDescent="0.25">
      <c r="A3739" t="s">
        <v>6992</v>
      </c>
      <c r="B3739" t="s">
        <v>3178</v>
      </c>
    </row>
    <row r="3740" spans="1:2" x14ac:dyDescent="0.25">
      <c r="A3740" t="s">
        <v>6993</v>
      </c>
      <c r="B3740" t="s">
        <v>4156</v>
      </c>
    </row>
    <row r="3741" spans="1:2" x14ac:dyDescent="0.25">
      <c r="A3741" t="s">
        <v>6994</v>
      </c>
      <c r="B3741" t="s">
        <v>4158</v>
      </c>
    </row>
    <row r="3742" spans="1:2" x14ac:dyDescent="0.25">
      <c r="A3742" t="s">
        <v>6995</v>
      </c>
      <c r="B3742" t="s">
        <v>6996</v>
      </c>
    </row>
    <row r="3743" spans="1:2" x14ac:dyDescent="0.25">
      <c r="A3743" t="s">
        <v>6997</v>
      </c>
      <c r="B3743" t="s">
        <v>6998</v>
      </c>
    </row>
    <row r="3744" spans="1:2" x14ac:dyDescent="0.25">
      <c r="A3744" t="s">
        <v>6999</v>
      </c>
      <c r="B3744" t="s">
        <v>7000</v>
      </c>
    </row>
    <row r="3745" spans="1:2" x14ac:dyDescent="0.25">
      <c r="A3745" t="s">
        <v>7001</v>
      </c>
      <c r="B3745" t="s">
        <v>7002</v>
      </c>
    </row>
    <row r="3746" spans="1:2" x14ac:dyDescent="0.25">
      <c r="A3746" t="s">
        <v>7003</v>
      </c>
      <c r="B3746" t="s">
        <v>7004</v>
      </c>
    </row>
    <row r="3747" spans="1:2" x14ac:dyDescent="0.25">
      <c r="A3747" t="s">
        <v>7005</v>
      </c>
      <c r="B3747" t="s">
        <v>7006</v>
      </c>
    </row>
    <row r="3748" spans="1:2" x14ac:dyDescent="0.25">
      <c r="A3748" t="s">
        <v>7007</v>
      </c>
      <c r="B3748" t="s">
        <v>7008</v>
      </c>
    </row>
    <row r="3749" spans="1:2" x14ac:dyDescent="0.25">
      <c r="A3749" t="s">
        <v>7009</v>
      </c>
      <c r="B3749" t="s">
        <v>7009</v>
      </c>
    </row>
    <row r="3750" spans="1:2" x14ac:dyDescent="0.25">
      <c r="A3750" t="s">
        <v>7010</v>
      </c>
      <c r="B3750" t="s">
        <v>7011</v>
      </c>
    </row>
    <row r="3751" spans="1:2" x14ac:dyDescent="0.25">
      <c r="A3751" t="s">
        <v>7012</v>
      </c>
      <c r="B3751" t="s">
        <v>7012</v>
      </c>
    </row>
    <row r="3752" spans="1:2" x14ac:dyDescent="0.25">
      <c r="A3752" t="s">
        <v>7013</v>
      </c>
      <c r="B3752" t="s">
        <v>7013</v>
      </c>
    </row>
    <row r="3753" spans="1:2" x14ac:dyDescent="0.25">
      <c r="A3753" t="s">
        <v>7014</v>
      </c>
      <c r="B3753" t="s">
        <v>7015</v>
      </c>
    </row>
    <row r="3754" spans="1:2" x14ac:dyDescent="0.25">
      <c r="A3754" t="s">
        <v>7016</v>
      </c>
      <c r="B3754" t="s">
        <v>7017</v>
      </c>
    </row>
    <row r="3755" spans="1:2" x14ac:dyDescent="0.25">
      <c r="A3755" t="s">
        <v>7018</v>
      </c>
      <c r="B3755" t="s">
        <v>7019</v>
      </c>
    </row>
    <row r="3756" spans="1:2" x14ac:dyDescent="0.25">
      <c r="A3756" t="s">
        <v>7020</v>
      </c>
      <c r="B3756" t="s">
        <v>7021</v>
      </c>
    </row>
    <row r="3757" spans="1:2" x14ac:dyDescent="0.25">
      <c r="A3757" t="s">
        <v>121</v>
      </c>
      <c r="B3757" t="s">
        <v>121</v>
      </c>
    </row>
    <row r="3758" spans="1:2" x14ac:dyDescent="0.25">
      <c r="A3758" t="s">
        <v>7022</v>
      </c>
      <c r="B3758" t="s">
        <v>121</v>
      </c>
    </row>
    <row r="3759" spans="1:2" x14ac:dyDescent="0.25">
      <c r="A3759" t="s">
        <v>7023</v>
      </c>
      <c r="B3759" t="s">
        <v>121</v>
      </c>
    </row>
    <row r="3760" spans="1:2" x14ac:dyDescent="0.25">
      <c r="A3760" t="s">
        <v>7024</v>
      </c>
      <c r="B3760" t="s">
        <v>121</v>
      </c>
    </row>
    <row r="3761" spans="1:2" x14ac:dyDescent="0.25">
      <c r="A3761" t="s">
        <v>7025</v>
      </c>
      <c r="B3761" t="s">
        <v>121</v>
      </c>
    </row>
    <row r="3762" spans="1:2" x14ac:dyDescent="0.25">
      <c r="A3762" t="s">
        <v>7026</v>
      </c>
      <c r="B3762" t="s">
        <v>121</v>
      </c>
    </row>
    <row r="3763" spans="1:2" x14ac:dyDescent="0.25">
      <c r="A3763" t="s">
        <v>124</v>
      </c>
      <c r="B3763" t="s">
        <v>124</v>
      </c>
    </row>
    <row r="3764" spans="1:2" x14ac:dyDescent="0.25">
      <c r="A3764" t="s">
        <v>7027</v>
      </c>
      <c r="B3764" t="s">
        <v>124</v>
      </c>
    </row>
    <row r="3765" spans="1:2" x14ac:dyDescent="0.25">
      <c r="A3765" t="s">
        <v>7028</v>
      </c>
      <c r="B3765" t="s">
        <v>124</v>
      </c>
    </row>
    <row r="3766" spans="1:2" x14ac:dyDescent="0.25">
      <c r="A3766" t="s">
        <v>7029</v>
      </c>
      <c r="B3766" t="s">
        <v>124</v>
      </c>
    </row>
    <row r="3767" spans="1:2" x14ac:dyDescent="0.25">
      <c r="A3767" t="s">
        <v>348</v>
      </c>
      <c r="B3767" t="s">
        <v>348</v>
      </c>
    </row>
    <row r="3768" spans="1:2" x14ac:dyDescent="0.25">
      <c r="A3768" t="s">
        <v>7030</v>
      </c>
      <c r="B3768" t="s">
        <v>348</v>
      </c>
    </row>
    <row r="3769" spans="1:2" x14ac:dyDescent="0.25">
      <c r="A3769" t="s">
        <v>7031</v>
      </c>
      <c r="B3769" t="s">
        <v>348</v>
      </c>
    </row>
    <row r="3770" spans="1:2" x14ac:dyDescent="0.25">
      <c r="A3770" t="s">
        <v>126</v>
      </c>
      <c r="B3770" t="s">
        <v>126</v>
      </c>
    </row>
    <row r="3771" spans="1:2" x14ac:dyDescent="0.25">
      <c r="A3771" t="s">
        <v>7032</v>
      </c>
      <c r="B3771" t="s">
        <v>126</v>
      </c>
    </row>
    <row r="3772" spans="1:2" x14ac:dyDescent="0.25">
      <c r="A3772" t="s">
        <v>7033</v>
      </c>
      <c r="B3772" t="s">
        <v>126</v>
      </c>
    </row>
    <row r="3773" spans="1:2" x14ac:dyDescent="0.25">
      <c r="A3773" t="s">
        <v>7034</v>
      </c>
      <c r="B3773" t="s">
        <v>126</v>
      </c>
    </row>
    <row r="3774" spans="1:2" x14ac:dyDescent="0.25">
      <c r="A3774" t="s">
        <v>7035</v>
      </c>
      <c r="B3774" t="s">
        <v>126</v>
      </c>
    </row>
    <row r="3775" spans="1:2" x14ac:dyDescent="0.25">
      <c r="A3775" t="s">
        <v>7036</v>
      </c>
      <c r="B3775" t="s">
        <v>126</v>
      </c>
    </row>
    <row r="3776" spans="1:2" x14ac:dyDescent="0.25">
      <c r="A3776" t="s">
        <v>273</v>
      </c>
      <c r="B3776" t="s">
        <v>273</v>
      </c>
    </row>
    <row r="3777" spans="1:2" x14ac:dyDescent="0.25">
      <c r="A3777" t="s">
        <v>7037</v>
      </c>
      <c r="B3777" t="s">
        <v>273</v>
      </c>
    </row>
    <row r="3778" spans="1:2" x14ac:dyDescent="0.25">
      <c r="A3778" t="s">
        <v>7038</v>
      </c>
      <c r="B3778" t="s">
        <v>273</v>
      </c>
    </row>
    <row r="3779" spans="1:2" x14ac:dyDescent="0.25">
      <c r="A3779" t="s">
        <v>7039</v>
      </c>
      <c r="B3779" t="s">
        <v>273</v>
      </c>
    </row>
    <row r="3780" spans="1:2" x14ac:dyDescent="0.25">
      <c r="A3780" t="s">
        <v>128</v>
      </c>
      <c r="B3780" t="s">
        <v>128</v>
      </c>
    </row>
    <row r="3781" spans="1:2" x14ac:dyDescent="0.25">
      <c r="A3781" t="s">
        <v>7040</v>
      </c>
      <c r="B3781" t="s">
        <v>128</v>
      </c>
    </row>
    <row r="3782" spans="1:2" x14ac:dyDescent="0.25">
      <c r="A3782" t="s">
        <v>7041</v>
      </c>
      <c r="B3782" t="s">
        <v>128</v>
      </c>
    </row>
    <row r="3783" spans="1:2" x14ac:dyDescent="0.25">
      <c r="A3783" t="s">
        <v>7042</v>
      </c>
      <c r="B3783" t="s">
        <v>128</v>
      </c>
    </row>
    <row r="3784" spans="1:2" x14ac:dyDescent="0.25">
      <c r="A3784" t="s">
        <v>7043</v>
      </c>
      <c r="B3784" t="s">
        <v>128</v>
      </c>
    </row>
    <row r="3785" spans="1:2" x14ac:dyDescent="0.25">
      <c r="A3785" t="s">
        <v>7044</v>
      </c>
      <c r="B3785" t="s">
        <v>5209</v>
      </c>
    </row>
    <row r="3786" spans="1:2" x14ac:dyDescent="0.25">
      <c r="A3786" t="s">
        <v>7045</v>
      </c>
      <c r="B3786" t="s">
        <v>5209</v>
      </c>
    </row>
    <row r="3787" spans="1:2" x14ac:dyDescent="0.25">
      <c r="A3787" t="s">
        <v>7046</v>
      </c>
      <c r="B3787" t="s">
        <v>7047</v>
      </c>
    </row>
    <row r="3788" spans="1:2" x14ac:dyDescent="0.25">
      <c r="A3788" t="s">
        <v>7047</v>
      </c>
      <c r="B3788" t="s">
        <v>7047</v>
      </c>
    </row>
    <row r="3789" spans="1:2" x14ac:dyDescent="0.25">
      <c r="A3789" t="s">
        <v>7048</v>
      </c>
      <c r="B3789" t="s">
        <v>2254</v>
      </c>
    </row>
    <row r="3790" spans="1:2" x14ac:dyDescent="0.25">
      <c r="A3790" t="s">
        <v>2254</v>
      </c>
      <c r="B3790" t="s">
        <v>2254</v>
      </c>
    </row>
    <row r="3791" spans="1:2" x14ac:dyDescent="0.25">
      <c r="A3791" t="s">
        <v>7049</v>
      </c>
      <c r="B3791" t="s">
        <v>7050</v>
      </c>
    </row>
    <row r="3792" spans="1:2" x14ac:dyDescent="0.25">
      <c r="A3792" t="s">
        <v>7050</v>
      </c>
      <c r="B3792" t="s">
        <v>7050</v>
      </c>
    </row>
    <row r="3793" spans="1:2" x14ac:dyDescent="0.25">
      <c r="A3793" t="s">
        <v>7051</v>
      </c>
      <c r="B3793" t="s">
        <v>7052</v>
      </c>
    </row>
    <row r="3794" spans="1:2" x14ac:dyDescent="0.25">
      <c r="A3794" t="s">
        <v>7052</v>
      </c>
      <c r="B3794" t="s">
        <v>7052</v>
      </c>
    </row>
    <row r="3795" spans="1:2" x14ac:dyDescent="0.25">
      <c r="A3795" t="s">
        <v>7053</v>
      </c>
      <c r="B3795" t="s">
        <v>7053</v>
      </c>
    </row>
    <row r="3796" spans="1:2" x14ac:dyDescent="0.25">
      <c r="A3796" t="s">
        <v>7054</v>
      </c>
      <c r="B3796" t="s">
        <v>7054</v>
      </c>
    </row>
    <row r="3797" spans="1:2" x14ac:dyDescent="0.25">
      <c r="A3797" t="s">
        <v>7055</v>
      </c>
      <c r="B3797" t="s">
        <v>7055</v>
      </c>
    </row>
    <row r="3798" spans="1:2" x14ac:dyDescent="0.25">
      <c r="A3798" t="s">
        <v>7056</v>
      </c>
      <c r="B3798" t="s">
        <v>7057</v>
      </c>
    </row>
    <row r="3799" spans="1:2" x14ac:dyDescent="0.25">
      <c r="A3799" t="s">
        <v>7057</v>
      </c>
      <c r="B3799" t="s">
        <v>7057</v>
      </c>
    </row>
    <row r="3800" spans="1:2" x14ac:dyDescent="0.25">
      <c r="A3800" t="s">
        <v>7058</v>
      </c>
      <c r="B3800" t="s">
        <v>7059</v>
      </c>
    </row>
    <row r="3801" spans="1:2" x14ac:dyDescent="0.25">
      <c r="A3801" t="s">
        <v>7059</v>
      </c>
      <c r="B3801" t="s">
        <v>7059</v>
      </c>
    </row>
    <row r="3802" spans="1:2" x14ac:dyDescent="0.25">
      <c r="A3802" t="s">
        <v>7060</v>
      </c>
      <c r="B3802" t="s">
        <v>7060</v>
      </c>
    </row>
    <row r="3803" spans="1:2" x14ac:dyDescent="0.25">
      <c r="A3803" t="s">
        <v>7061</v>
      </c>
      <c r="B3803" t="s">
        <v>2255</v>
      </c>
    </row>
    <row r="3804" spans="1:2" x14ac:dyDescent="0.25">
      <c r="A3804" t="s">
        <v>2255</v>
      </c>
      <c r="B3804" t="s">
        <v>2255</v>
      </c>
    </row>
    <row r="3805" spans="1:2" x14ac:dyDescent="0.25">
      <c r="A3805" t="s">
        <v>7062</v>
      </c>
      <c r="B3805" t="s">
        <v>2256</v>
      </c>
    </row>
    <row r="3806" spans="1:2" x14ac:dyDescent="0.25">
      <c r="A3806" t="s">
        <v>2256</v>
      </c>
      <c r="B3806" t="s">
        <v>2256</v>
      </c>
    </row>
    <row r="3807" spans="1:2" x14ac:dyDescent="0.25">
      <c r="A3807" t="s">
        <v>7063</v>
      </c>
      <c r="B3807" t="s">
        <v>3179</v>
      </c>
    </row>
    <row r="3808" spans="1:2" x14ac:dyDescent="0.25">
      <c r="A3808" t="s">
        <v>3179</v>
      </c>
      <c r="B3808" t="s">
        <v>3179</v>
      </c>
    </row>
    <row r="3809" spans="1:2" x14ac:dyDescent="0.25">
      <c r="A3809" t="s">
        <v>7064</v>
      </c>
      <c r="B3809" t="s">
        <v>7064</v>
      </c>
    </row>
    <row r="3810" spans="1:2" x14ac:dyDescent="0.25">
      <c r="A3810" t="s">
        <v>7065</v>
      </c>
      <c r="B3810" t="s">
        <v>7065</v>
      </c>
    </row>
    <row r="3811" spans="1:2" x14ac:dyDescent="0.25">
      <c r="A3811" t="s">
        <v>7066</v>
      </c>
      <c r="B3811" t="s">
        <v>2762</v>
      </c>
    </row>
    <row r="3812" spans="1:2" x14ac:dyDescent="0.25">
      <c r="A3812" t="s">
        <v>2762</v>
      </c>
      <c r="B3812" t="s">
        <v>2762</v>
      </c>
    </row>
    <row r="3813" spans="1:2" x14ac:dyDescent="0.25">
      <c r="A3813" t="s">
        <v>7067</v>
      </c>
      <c r="B3813" t="s">
        <v>5209</v>
      </c>
    </row>
    <row r="3814" spans="1:2" x14ac:dyDescent="0.25">
      <c r="A3814" t="s">
        <v>7068</v>
      </c>
      <c r="B3814" t="s">
        <v>2764</v>
      </c>
    </row>
    <row r="3815" spans="1:2" x14ac:dyDescent="0.25">
      <c r="A3815" t="s">
        <v>2764</v>
      </c>
      <c r="B3815" t="s">
        <v>2764</v>
      </c>
    </row>
    <row r="3816" spans="1:2" x14ac:dyDescent="0.25">
      <c r="A3816" t="s">
        <v>7069</v>
      </c>
      <c r="B3816" t="s">
        <v>3180</v>
      </c>
    </row>
    <row r="3817" spans="1:2" x14ac:dyDescent="0.25">
      <c r="A3817" t="s">
        <v>3180</v>
      </c>
      <c r="B3817" t="s">
        <v>3180</v>
      </c>
    </row>
    <row r="3818" spans="1:2" x14ac:dyDescent="0.25">
      <c r="A3818" t="s">
        <v>7070</v>
      </c>
      <c r="B3818" t="s">
        <v>2257</v>
      </c>
    </row>
    <row r="3819" spans="1:2" x14ac:dyDescent="0.25">
      <c r="A3819" t="s">
        <v>2257</v>
      </c>
      <c r="B3819" t="s">
        <v>2257</v>
      </c>
    </row>
    <row r="3820" spans="1:2" x14ac:dyDescent="0.25">
      <c r="A3820" t="s">
        <v>7071</v>
      </c>
      <c r="B3820" t="s">
        <v>7072</v>
      </c>
    </row>
    <row r="3821" spans="1:2" x14ac:dyDescent="0.25">
      <c r="A3821" t="s">
        <v>7072</v>
      </c>
      <c r="B3821" t="s">
        <v>7072</v>
      </c>
    </row>
    <row r="3822" spans="1:2" x14ac:dyDescent="0.25">
      <c r="A3822" t="s">
        <v>2512</v>
      </c>
      <c r="B3822" t="s">
        <v>2512</v>
      </c>
    </row>
    <row r="3823" spans="1:2" x14ac:dyDescent="0.25">
      <c r="A3823" t="s">
        <v>130</v>
      </c>
      <c r="B3823" t="s">
        <v>130</v>
      </c>
    </row>
    <row r="3824" spans="1:2" x14ac:dyDescent="0.25">
      <c r="A3824" t="s">
        <v>7073</v>
      </c>
      <c r="B3824" t="s">
        <v>4230</v>
      </c>
    </row>
    <row r="3825" spans="1:2" x14ac:dyDescent="0.25">
      <c r="A3825" t="s">
        <v>7074</v>
      </c>
      <c r="B3825" t="s">
        <v>4230</v>
      </c>
    </row>
    <row r="3826" spans="1:2" x14ac:dyDescent="0.25">
      <c r="A3826" t="s">
        <v>7075</v>
      </c>
      <c r="B3826" t="s">
        <v>130</v>
      </c>
    </row>
    <row r="3827" spans="1:2" x14ac:dyDescent="0.25">
      <c r="A3827" t="s">
        <v>7076</v>
      </c>
      <c r="B3827" t="s">
        <v>130</v>
      </c>
    </row>
    <row r="3828" spans="1:2" x14ac:dyDescent="0.25">
      <c r="A3828" t="s">
        <v>7077</v>
      </c>
      <c r="B3828" t="s">
        <v>130</v>
      </c>
    </row>
    <row r="3829" spans="1:2" x14ac:dyDescent="0.25">
      <c r="A3829" t="s">
        <v>7078</v>
      </c>
      <c r="B3829" t="s">
        <v>130</v>
      </c>
    </row>
    <row r="3830" spans="1:2" x14ac:dyDescent="0.25">
      <c r="A3830" t="s">
        <v>3181</v>
      </c>
      <c r="B3830" t="s">
        <v>3181</v>
      </c>
    </row>
    <row r="3831" spans="1:2" x14ac:dyDescent="0.25">
      <c r="A3831" t="s">
        <v>7079</v>
      </c>
      <c r="B3831" t="s">
        <v>3181</v>
      </c>
    </row>
    <row r="3832" spans="1:2" x14ac:dyDescent="0.25">
      <c r="A3832" t="s">
        <v>2766</v>
      </c>
      <c r="B3832" t="s">
        <v>2766</v>
      </c>
    </row>
    <row r="3833" spans="1:2" x14ac:dyDescent="0.25">
      <c r="A3833" t="s">
        <v>7080</v>
      </c>
      <c r="B3833" t="s">
        <v>2766</v>
      </c>
    </row>
    <row r="3834" spans="1:2" x14ac:dyDescent="0.25">
      <c r="A3834" t="s">
        <v>7081</v>
      </c>
      <c r="B3834" t="s">
        <v>2766</v>
      </c>
    </row>
    <row r="3835" spans="1:2" x14ac:dyDescent="0.25">
      <c r="A3835" t="s">
        <v>7082</v>
      </c>
      <c r="B3835" t="s">
        <v>2766</v>
      </c>
    </row>
    <row r="3836" spans="1:2" x14ac:dyDescent="0.25">
      <c r="A3836" t="s">
        <v>133</v>
      </c>
      <c r="B3836" t="s">
        <v>133</v>
      </c>
    </row>
    <row r="3837" spans="1:2" x14ac:dyDescent="0.25">
      <c r="A3837" t="s">
        <v>7083</v>
      </c>
      <c r="B3837" t="s">
        <v>133</v>
      </c>
    </row>
    <row r="3838" spans="1:2" x14ac:dyDescent="0.25">
      <c r="A3838" t="s">
        <v>7084</v>
      </c>
      <c r="B3838" t="s">
        <v>133</v>
      </c>
    </row>
    <row r="3839" spans="1:2" x14ac:dyDescent="0.25">
      <c r="A3839" t="s">
        <v>7085</v>
      </c>
      <c r="B3839" t="s">
        <v>133</v>
      </c>
    </row>
    <row r="3840" spans="1:2" x14ac:dyDescent="0.25">
      <c r="A3840" t="s">
        <v>7086</v>
      </c>
      <c r="B3840" t="s">
        <v>133</v>
      </c>
    </row>
    <row r="3841" spans="1:2" x14ac:dyDescent="0.25">
      <c r="A3841" t="s">
        <v>7087</v>
      </c>
      <c r="B3841" t="s">
        <v>133</v>
      </c>
    </row>
    <row r="3842" spans="1:2" x14ac:dyDescent="0.25">
      <c r="A3842" t="s">
        <v>7088</v>
      </c>
      <c r="B3842" t="s">
        <v>133</v>
      </c>
    </row>
    <row r="3843" spans="1:2" x14ac:dyDescent="0.25">
      <c r="A3843" t="s">
        <v>7089</v>
      </c>
      <c r="B3843" t="s">
        <v>133</v>
      </c>
    </row>
    <row r="3844" spans="1:2" x14ac:dyDescent="0.25">
      <c r="A3844" t="s">
        <v>7090</v>
      </c>
      <c r="B3844" t="s">
        <v>133</v>
      </c>
    </row>
    <row r="3845" spans="1:2" x14ac:dyDescent="0.25">
      <c r="A3845" t="s">
        <v>7091</v>
      </c>
      <c r="B3845" t="s">
        <v>7092</v>
      </c>
    </row>
    <row r="3846" spans="1:2" x14ac:dyDescent="0.25">
      <c r="A3846" t="s">
        <v>7093</v>
      </c>
      <c r="B3846" t="s">
        <v>7094</v>
      </c>
    </row>
    <row r="3847" spans="1:2" x14ac:dyDescent="0.25">
      <c r="A3847" t="s">
        <v>3182</v>
      </c>
      <c r="B3847" t="s">
        <v>3182</v>
      </c>
    </row>
    <row r="3848" spans="1:2" x14ac:dyDescent="0.25">
      <c r="A3848" t="s">
        <v>135</v>
      </c>
      <c r="B3848" t="s">
        <v>135</v>
      </c>
    </row>
    <row r="3849" spans="1:2" x14ac:dyDescent="0.25">
      <c r="A3849" t="s">
        <v>7095</v>
      </c>
      <c r="B3849" t="s">
        <v>7096</v>
      </c>
    </row>
    <row r="3850" spans="1:2" x14ac:dyDescent="0.25">
      <c r="A3850" t="s">
        <v>7097</v>
      </c>
      <c r="B3850" t="s">
        <v>7098</v>
      </c>
    </row>
    <row r="3851" spans="1:2" x14ac:dyDescent="0.25">
      <c r="A3851" t="s">
        <v>7099</v>
      </c>
      <c r="B3851" t="s">
        <v>135</v>
      </c>
    </row>
    <row r="3852" spans="1:2" x14ac:dyDescent="0.25">
      <c r="A3852" t="s">
        <v>7100</v>
      </c>
      <c r="B3852" t="s">
        <v>135</v>
      </c>
    </row>
    <row r="3853" spans="1:2" x14ac:dyDescent="0.25">
      <c r="A3853" t="s">
        <v>7101</v>
      </c>
      <c r="B3853" t="s">
        <v>135</v>
      </c>
    </row>
    <row r="3854" spans="1:2" x14ac:dyDescent="0.25">
      <c r="A3854" t="s">
        <v>7102</v>
      </c>
      <c r="B3854" t="s">
        <v>135</v>
      </c>
    </row>
    <row r="3855" spans="1:2" x14ac:dyDescent="0.25">
      <c r="A3855" t="s">
        <v>7103</v>
      </c>
      <c r="B3855" t="s">
        <v>135</v>
      </c>
    </row>
    <row r="3856" spans="1:2" x14ac:dyDescent="0.25">
      <c r="A3856" t="s">
        <v>3183</v>
      </c>
      <c r="B3856" t="s">
        <v>3183</v>
      </c>
    </row>
    <row r="3857" spans="1:2" x14ac:dyDescent="0.25">
      <c r="A3857" t="s">
        <v>7104</v>
      </c>
      <c r="B3857" t="s">
        <v>3183</v>
      </c>
    </row>
    <row r="3858" spans="1:2" x14ac:dyDescent="0.25">
      <c r="A3858" t="s">
        <v>7105</v>
      </c>
      <c r="B3858" t="s">
        <v>7106</v>
      </c>
    </row>
    <row r="3859" spans="1:2" x14ac:dyDescent="0.25">
      <c r="A3859" t="s">
        <v>7106</v>
      </c>
      <c r="B3859" t="s">
        <v>7106</v>
      </c>
    </row>
    <row r="3860" spans="1:2" x14ac:dyDescent="0.25">
      <c r="A3860" t="s">
        <v>1514</v>
      </c>
      <c r="B3860" t="s">
        <v>1514</v>
      </c>
    </row>
    <row r="3861" spans="1:2" x14ac:dyDescent="0.25">
      <c r="A3861" t="s">
        <v>7107</v>
      </c>
      <c r="B3861" t="s">
        <v>1514</v>
      </c>
    </row>
    <row r="3862" spans="1:2" x14ac:dyDescent="0.25">
      <c r="A3862" t="s">
        <v>7108</v>
      </c>
      <c r="B3862" t="s">
        <v>1514</v>
      </c>
    </row>
    <row r="3863" spans="1:2" x14ac:dyDescent="0.25">
      <c r="A3863" t="s">
        <v>7109</v>
      </c>
      <c r="B3863" t="s">
        <v>1514</v>
      </c>
    </row>
    <row r="3864" spans="1:2" x14ac:dyDescent="0.25">
      <c r="A3864" t="s">
        <v>7110</v>
      </c>
      <c r="B3864" t="s">
        <v>1514</v>
      </c>
    </row>
    <row r="3865" spans="1:2" x14ac:dyDescent="0.25">
      <c r="A3865" t="s">
        <v>137</v>
      </c>
      <c r="B3865" t="s">
        <v>137</v>
      </c>
    </row>
    <row r="3866" spans="1:2" x14ac:dyDescent="0.25">
      <c r="A3866" t="s">
        <v>7111</v>
      </c>
      <c r="B3866" t="s">
        <v>137</v>
      </c>
    </row>
    <row r="3867" spans="1:2" x14ac:dyDescent="0.25">
      <c r="A3867" t="s">
        <v>7112</v>
      </c>
      <c r="B3867" t="s">
        <v>137</v>
      </c>
    </row>
    <row r="3868" spans="1:2" x14ac:dyDescent="0.25">
      <c r="A3868" t="s">
        <v>7113</v>
      </c>
      <c r="B3868" t="s">
        <v>137</v>
      </c>
    </row>
    <row r="3869" spans="1:2" x14ac:dyDescent="0.25">
      <c r="A3869" t="s">
        <v>7114</v>
      </c>
      <c r="B3869" t="s">
        <v>137</v>
      </c>
    </row>
    <row r="3870" spans="1:2" x14ac:dyDescent="0.25">
      <c r="A3870" t="s">
        <v>7115</v>
      </c>
      <c r="B3870" t="s">
        <v>137</v>
      </c>
    </row>
    <row r="3871" spans="1:2" x14ac:dyDescent="0.25">
      <c r="A3871" t="s">
        <v>7116</v>
      </c>
      <c r="B3871" t="s">
        <v>5209</v>
      </c>
    </row>
    <row r="3872" spans="1:2" x14ac:dyDescent="0.25">
      <c r="A3872" t="s">
        <v>7117</v>
      </c>
      <c r="B3872" t="s">
        <v>137</v>
      </c>
    </row>
    <row r="3873" spans="1:2" x14ac:dyDescent="0.25">
      <c r="A3873" t="s">
        <v>7118</v>
      </c>
      <c r="B3873" t="s">
        <v>2258</v>
      </c>
    </row>
    <row r="3874" spans="1:2" x14ac:dyDescent="0.25">
      <c r="A3874" t="s">
        <v>2258</v>
      </c>
      <c r="B3874" t="s">
        <v>2258</v>
      </c>
    </row>
    <row r="3875" spans="1:2" x14ac:dyDescent="0.25">
      <c r="A3875" t="s">
        <v>7119</v>
      </c>
      <c r="B3875" t="s">
        <v>2259</v>
      </c>
    </row>
    <row r="3876" spans="1:2" x14ac:dyDescent="0.25">
      <c r="A3876" t="s">
        <v>2259</v>
      </c>
      <c r="B3876" t="s">
        <v>2259</v>
      </c>
    </row>
    <row r="3877" spans="1:2" x14ac:dyDescent="0.25">
      <c r="A3877" t="s">
        <v>7120</v>
      </c>
      <c r="B3877" t="s">
        <v>7121</v>
      </c>
    </row>
    <row r="3878" spans="1:2" x14ac:dyDescent="0.25">
      <c r="A3878" t="s">
        <v>7122</v>
      </c>
      <c r="B3878" t="s">
        <v>7123</v>
      </c>
    </row>
    <row r="3879" spans="1:2" x14ac:dyDescent="0.25">
      <c r="A3879" t="s">
        <v>7124</v>
      </c>
      <c r="B3879" t="s">
        <v>7125</v>
      </c>
    </row>
    <row r="3880" spans="1:2" x14ac:dyDescent="0.25">
      <c r="A3880" t="s">
        <v>7126</v>
      </c>
      <c r="B3880" t="s">
        <v>7127</v>
      </c>
    </row>
    <row r="3881" spans="1:2" x14ac:dyDescent="0.25">
      <c r="A3881" t="s">
        <v>7128</v>
      </c>
      <c r="B3881" t="s">
        <v>7127</v>
      </c>
    </row>
    <row r="3882" spans="1:2" x14ac:dyDescent="0.25">
      <c r="A3882" t="s">
        <v>7129</v>
      </c>
      <c r="B3882" t="s">
        <v>5209</v>
      </c>
    </row>
    <row r="3883" spans="1:2" x14ac:dyDescent="0.25">
      <c r="A3883" t="s">
        <v>3184</v>
      </c>
      <c r="B3883" t="s">
        <v>3184</v>
      </c>
    </row>
    <row r="3884" spans="1:2" x14ac:dyDescent="0.25">
      <c r="A3884" t="s">
        <v>7130</v>
      </c>
      <c r="B3884" t="s">
        <v>3184</v>
      </c>
    </row>
    <row r="3885" spans="1:2" x14ac:dyDescent="0.25">
      <c r="A3885" t="s">
        <v>7131</v>
      </c>
      <c r="B3885" t="s">
        <v>3184</v>
      </c>
    </row>
    <row r="3886" spans="1:2" x14ac:dyDescent="0.25">
      <c r="A3886" t="s">
        <v>140</v>
      </c>
      <c r="B3886" t="s">
        <v>140</v>
      </c>
    </row>
    <row r="3887" spans="1:2" x14ac:dyDescent="0.25">
      <c r="A3887" t="s">
        <v>7132</v>
      </c>
      <c r="B3887" t="s">
        <v>140</v>
      </c>
    </row>
    <row r="3888" spans="1:2" x14ac:dyDescent="0.25">
      <c r="A3888" t="s">
        <v>7133</v>
      </c>
      <c r="B3888" t="s">
        <v>140</v>
      </c>
    </row>
    <row r="3889" spans="1:2" x14ac:dyDescent="0.25">
      <c r="A3889" t="s">
        <v>7134</v>
      </c>
      <c r="B3889" t="s">
        <v>140</v>
      </c>
    </row>
    <row r="3890" spans="1:2" x14ac:dyDescent="0.25">
      <c r="A3890" t="s">
        <v>1516</v>
      </c>
      <c r="B3890" t="s">
        <v>1516</v>
      </c>
    </row>
    <row r="3891" spans="1:2" x14ac:dyDescent="0.25">
      <c r="A3891" t="s">
        <v>7135</v>
      </c>
      <c r="B3891" t="s">
        <v>7136</v>
      </c>
    </row>
    <row r="3892" spans="1:2" x14ac:dyDescent="0.25">
      <c r="A3892" t="s">
        <v>7137</v>
      </c>
      <c r="B3892" t="s">
        <v>1516</v>
      </c>
    </row>
    <row r="3893" spans="1:2" x14ac:dyDescent="0.25">
      <c r="A3893" t="s">
        <v>2336</v>
      </c>
      <c r="B3893" t="s">
        <v>2336</v>
      </c>
    </row>
    <row r="3894" spans="1:2" x14ac:dyDescent="0.25">
      <c r="A3894" t="s">
        <v>7138</v>
      </c>
      <c r="B3894" t="s">
        <v>2336</v>
      </c>
    </row>
    <row r="3895" spans="1:2" x14ac:dyDescent="0.25">
      <c r="A3895" t="s">
        <v>2768</v>
      </c>
      <c r="B3895" t="s">
        <v>2768</v>
      </c>
    </row>
    <row r="3896" spans="1:2" x14ac:dyDescent="0.25">
      <c r="A3896" t="s">
        <v>2260</v>
      </c>
      <c r="B3896" t="s">
        <v>2260</v>
      </c>
    </row>
    <row r="3897" spans="1:2" x14ac:dyDescent="0.25">
      <c r="A3897" t="s">
        <v>7139</v>
      </c>
      <c r="B3897" t="s">
        <v>2260</v>
      </c>
    </row>
    <row r="3898" spans="1:2" x14ac:dyDescent="0.25">
      <c r="A3898" t="s">
        <v>727</v>
      </c>
      <c r="B3898" t="s">
        <v>727</v>
      </c>
    </row>
    <row r="3899" spans="1:2" x14ac:dyDescent="0.25">
      <c r="A3899" t="s">
        <v>7140</v>
      </c>
      <c r="B3899" t="s">
        <v>727</v>
      </c>
    </row>
    <row r="3900" spans="1:2" x14ac:dyDescent="0.25">
      <c r="A3900" t="s">
        <v>7141</v>
      </c>
      <c r="B3900" t="s">
        <v>727</v>
      </c>
    </row>
    <row r="3901" spans="1:2" x14ac:dyDescent="0.25">
      <c r="A3901" t="s">
        <v>2261</v>
      </c>
      <c r="B3901" t="s">
        <v>2261</v>
      </c>
    </row>
    <row r="3902" spans="1:2" x14ac:dyDescent="0.25">
      <c r="A3902" t="s">
        <v>7142</v>
      </c>
      <c r="B3902" t="s">
        <v>2261</v>
      </c>
    </row>
    <row r="3903" spans="1:2" x14ac:dyDescent="0.25">
      <c r="A3903" t="s">
        <v>2262</v>
      </c>
      <c r="B3903" t="s">
        <v>2262</v>
      </c>
    </row>
    <row r="3904" spans="1:2" x14ac:dyDescent="0.25">
      <c r="A3904" t="s">
        <v>7143</v>
      </c>
      <c r="B3904" t="s">
        <v>2262</v>
      </c>
    </row>
    <row r="3905" spans="1:2" x14ac:dyDescent="0.25">
      <c r="A3905" t="s">
        <v>7144</v>
      </c>
      <c r="B3905" t="s">
        <v>7144</v>
      </c>
    </row>
    <row r="3906" spans="1:2" x14ac:dyDescent="0.25">
      <c r="A3906" t="s">
        <v>2263</v>
      </c>
      <c r="B3906" t="s">
        <v>2263</v>
      </c>
    </row>
    <row r="3907" spans="1:2" x14ac:dyDescent="0.25">
      <c r="A3907" t="s">
        <v>7145</v>
      </c>
      <c r="B3907" t="s">
        <v>2263</v>
      </c>
    </row>
    <row r="3908" spans="1:2" x14ac:dyDescent="0.25">
      <c r="A3908" t="s">
        <v>142</v>
      </c>
      <c r="B3908" t="s">
        <v>142</v>
      </c>
    </row>
    <row r="3909" spans="1:2" x14ac:dyDescent="0.25">
      <c r="A3909" t="s">
        <v>7146</v>
      </c>
      <c r="B3909" t="s">
        <v>4248</v>
      </c>
    </row>
    <row r="3910" spans="1:2" x14ac:dyDescent="0.25">
      <c r="A3910" t="s">
        <v>7147</v>
      </c>
      <c r="B3910" t="s">
        <v>4248</v>
      </c>
    </row>
    <row r="3911" spans="1:2" x14ac:dyDescent="0.25">
      <c r="A3911" t="s">
        <v>7148</v>
      </c>
      <c r="B3911" t="s">
        <v>142</v>
      </c>
    </row>
    <row r="3912" spans="1:2" x14ac:dyDescent="0.25">
      <c r="A3912" t="s">
        <v>7149</v>
      </c>
      <c r="B3912" t="s">
        <v>142</v>
      </c>
    </row>
    <row r="3913" spans="1:2" x14ac:dyDescent="0.25">
      <c r="A3913" t="s">
        <v>7150</v>
      </c>
      <c r="B3913" t="s">
        <v>142</v>
      </c>
    </row>
    <row r="3914" spans="1:2" x14ac:dyDescent="0.25">
      <c r="A3914" t="s">
        <v>7151</v>
      </c>
      <c r="B3914" t="s">
        <v>142</v>
      </c>
    </row>
    <row r="3915" spans="1:2" x14ac:dyDescent="0.25">
      <c r="A3915" t="s">
        <v>2522</v>
      </c>
      <c r="B3915" t="s">
        <v>2522</v>
      </c>
    </row>
    <row r="3916" spans="1:2" x14ac:dyDescent="0.25">
      <c r="A3916" t="s">
        <v>7152</v>
      </c>
      <c r="B3916" t="s">
        <v>2522</v>
      </c>
    </row>
    <row r="3917" spans="1:2" x14ac:dyDescent="0.25">
      <c r="A3917" t="s">
        <v>7153</v>
      </c>
      <c r="B3917" t="s">
        <v>2522</v>
      </c>
    </row>
    <row r="3918" spans="1:2" x14ac:dyDescent="0.25">
      <c r="A3918" t="s">
        <v>3185</v>
      </c>
      <c r="B3918" t="s">
        <v>3185</v>
      </c>
    </row>
    <row r="3919" spans="1:2" x14ac:dyDescent="0.25">
      <c r="A3919" t="s">
        <v>7154</v>
      </c>
      <c r="B3919" t="s">
        <v>3185</v>
      </c>
    </row>
    <row r="3920" spans="1:2" x14ac:dyDescent="0.25">
      <c r="A3920" t="s">
        <v>7155</v>
      </c>
      <c r="B3920" t="s">
        <v>3185</v>
      </c>
    </row>
    <row r="3921" spans="1:2" x14ac:dyDescent="0.25">
      <c r="A3921" t="s">
        <v>2972</v>
      </c>
      <c r="B3921" t="s">
        <v>2972</v>
      </c>
    </row>
    <row r="3922" spans="1:2" x14ac:dyDescent="0.25">
      <c r="A3922" t="s">
        <v>7156</v>
      </c>
      <c r="B3922" t="s">
        <v>2972</v>
      </c>
    </row>
    <row r="3923" spans="1:2" x14ac:dyDescent="0.25">
      <c r="A3923" t="s">
        <v>7157</v>
      </c>
      <c r="B3923" t="s">
        <v>2972</v>
      </c>
    </row>
    <row r="3924" spans="1:2" x14ac:dyDescent="0.25">
      <c r="A3924" t="s">
        <v>7158</v>
      </c>
      <c r="B3924" t="s">
        <v>2972</v>
      </c>
    </row>
    <row r="3925" spans="1:2" x14ac:dyDescent="0.25">
      <c r="A3925" t="s">
        <v>2264</v>
      </c>
      <c r="B3925" t="s">
        <v>2264</v>
      </c>
    </row>
    <row r="3926" spans="1:2" x14ac:dyDescent="0.25">
      <c r="A3926" t="s">
        <v>7159</v>
      </c>
      <c r="B3926" t="s">
        <v>2264</v>
      </c>
    </row>
    <row r="3927" spans="1:2" x14ac:dyDescent="0.25">
      <c r="A3927" t="s">
        <v>7160</v>
      </c>
      <c r="B3927" t="s">
        <v>2264</v>
      </c>
    </row>
    <row r="3928" spans="1:2" x14ac:dyDescent="0.25">
      <c r="A3928" t="s">
        <v>144</v>
      </c>
      <c r="B3928" t="s">
        <v>144</v>
      </c>
    </row>
    <row r="3929" spans="1:2" x14ac:dyDescent="0.25">
      <c r="A3929" t="s">
        <v>7161</v>
      </c>
      <c r="B3929" t="s">
        <v>7162</v>
      </c>
    </row>
    <row r="3930" spans="1:2" x14ac:dyDescent="0.25">
      <c r="A3930" t="s">
        <v>7163</v>
      </c>
      <c r="B3930" t="s">
        <v>144</v>
      </c>
    </row>
    <row r="3931" spans="1:2" x14ac:dyDescent="0.25">
      <c r="A3931" t="s">
        <v>7164</v>
      </c>
      <c r="B3931" t="s">
        <v>144</v>
      </c>
    </row>
    <row r="3932" spans="1:2" x14ac:dyDescent="0.25">
      <c r="A3932" t="s">
        <v>7165</v>
      </c>
      <c r="B3932" t="s">
        <v>144</v>
      </c>
    </row>
    <row r="3933" spans="1:2" x14ac:dyDescent="0.25">
      <c r="A3933" t="s">
        <v>7166</v>
      </c>
      <c r="B3933" t="s">
        <v>144</v>
      </c>
    </row>
    <row r="3934" spans="1:2" x14ac:dyDescent="0.25">
      <c r="A3934" t="s">
        <v>7167</v>
      </c>
      <c r="B3934" t="s">
        <v>144</v>
      </c>
    </row>
    <row r="3935" spans="1:2" x14ac:dyDescent="0.25">
      <c r="A3935" t="s">
        <v>3186</v>
      </c>
      <c r="B3935" t="s">
        <v>3186</v>
      </c>
    </row>
    <row r="3936" spans="1:2" x14ac:dyDescent="0.25">
      <c r="A3936" t="s">
        <v>7168</v>
      </c>
      <c r="B3936" t="s">
        <v>3186</v>
      </c>
    </row>
    <row r="3937" spans="1:2" x14ac:dyDescent="0.25">
      <c r="A3937" t="s">
        <v>1518</v>
      </c>
      <c r="B3937" t="s">
        <v>1518</v>
      </c>
    </row>
    <row r="3938" spans="1:2" x14ac:dyDescent="0.25">
      <c r="A3938" t="s">
        <v>7169</v>
      </c>
      <c r="B3938" t="s">
        <v>1518</v>
      </c>
    </row>
    <row r="3939" spans="1:2" x14ac:dyDescent="0.25">
      <c r="A3939" t="s">
        <v>1521</v>
      </c>
      <c r="B3939" t="s">
        <v>1521</v>
      </c>
    </row>
    <row r="3940" spans="1:2" x14ac:dyDescent="0.25">
      <c r="A3940" t="s">
        <v>7170</v>
      </c>
      <c r="B3940" t="s">
        <v>1521</v>
      </c>
    </row>
    <row r="3941" spans="1:2" x14ac:dyDescent="0.25">
      <c r="A3941" t="s">
        <v>1523</v>
      </c>
      <c r="B3941" t="s">
        <v>1523</v>
      </c>
    </row>
    <row r="3942" spans="1:2" x14ac:dyDescent="0.25">
      <c r="A3942" t="s">
        <v>7171</v>
      </c>
      <c r="B3942" t="s">
        <v>1523</v>
      </c>
    </row>
    <row r="3943" spans="1:2" x14ac:dyDescent="0.25">
      <c r="A3943" t="s">
        <v>1525</v>
      </c>
      <c r="B3943" t="s">
        <v>1525</v>
      </c>
    </row>
    <row r="3944" spans="1:2" x14ac:dyDescent="0.25">
      <c r="A3944" t="s">
        <v>7172</v>
      </c>
      <c r="B3944" t="s">
        <v>1525</v>
      </c>
    </row>
    <row r="3945" spans="1:2" x14ac:dyDescent="0.25">
      <c r="A3945" t="s">
        <v>1527</v>
      </c>
      <c r="B3945" t="s">
        <v>1527</v>
      </c>
    </row>
    <row r="3946" spans="1:2" x14ac:dyDescent="0.25">
      <c r="A3946" t="s">
        <v>7173</v>
      </c>
      <c r="B3946" t="s">
        <v>1527</v>
      </c>
    </row>
    <row r="3947" spans="1:2" x14ac:dyDescent="0.25">
      <c r="A3947" t="s">
        <v>1529</v>
      </c>
      <c r="B3947" t="s">
        <v>1529</v>
      </c>
    </row>
    <row r="3948" spans="1:2" x14ac:dyDescent="0.25">
      <c r="A3948" t="s">
        <v>7174</v>
      </c>
      <c r="B3948" t="s">
        <v>1529</v>
      </c>
    </row>
    <row r="3949" spans="1:2" x14ac:dyDescent="0.25">
      <c r="A3949" t="s">
        <v>1531</v>
      </c>
      <c r="B3949" t="s">
        <v>1531</v>
      </c>
    </row>
    <row r="3950" spans="1:2" x14ac:dyDescent="0.25">
      <c r="A3950" t="s">
        <v>7175</v>
      </c>
      <c r="B3950" t="s">
        <v>1531</v>
      </c>
    </row>
    <row r="3951" spans="1:2" x14ac:dyDescent="0.25">
      <c r="A3951" t="s">
        <v>2770</v>
      </c>
      <c r="B3951" t="s">
        <v>2770</v>
      </c>
    </row>
    <row r="3952" spans="1:2" x14ac:dyDescent="0.25">
      <c r="A3952" t="s">
        <v>7176</v>
      </c>
      <c r="B3952" t="s">
        <v>2770</v>
      </c>
    </row>
    <row r="3953" spans="1:2" x14ac:dyDescent="0.25">
      <c r="A3953" t="s">
        <v>1533</v>
      </c>
      <c r="B3953" t="s">
        <v>1533</v>
      </c>
    </row>
    <row r="3954" spans="1:2" x14ac:dyDescent="0.25">
      <c r="A3954" t="s">
        <v>7177</v>
      </c>
      <c r="B3954" t="s">
        <v>1533</v>
      </c>
    </row>
    <row r="3955" spans="1:2" x14ac:dyDescent="0.25">
      <c r="A3955" t="s">
        <v>3189</v>
      </c>
      <c r="B3955" t="s">
        <v>3189</v>
      </c>
    </row>
    <row r="3956" spans="1:2" x14ac:dyDescent="0.25">
      <c r="A3956" t="s">
        <v>7178</v>
      </c>
      <c r="B3956" t="s">
        <v>3189</v>
      </c>
    </row>
    <row r="3957" spans="1:2" x14ac:dyDescent="0.25">
      <c r="A3957" t="s">
        <v>1535</v>
      </c>
      <c r="B3957" t="s">
        <v>1535</v>
      </c>
    </row>
    <row r="3958" spans="1:2" x14ac:dyDescent="0.25">
      <c r="A3958" t="s">
        <v>7179</v>
      </c>
      <c r="B3958" t="s">
        <v>1535</v>
      </c>
    </row>
    <row r="3959" spans="1:2" x14ac:dyDescent="0.25">
      <c r="A3959" t="s">
        <v>2772</v>
      </c>
      <c r="B3959" t="s">
        <v>2772</v>
      </c>
    </row>
    <row r="3960" spans="1:2" x14ac:dyDescent="0.25">
      <c r="A3960" t="s">
        <v>7180</v>
      </c>
      <c r="B3960" t="s">
        <v>2772</v>
      </c>
    </row>
    <row r="3961" spans="1:2" x14ac:dyDescent="0.25">
      <c r="A3961" t="s">
        <v>1537</v>
      </c>
      <c r="B3961" t="s">
        <v>1537</v>
      </c>
    </row>
    <row r="3962" spans="1:2" x14ac:dyDescent="0.25">
      <c r="A3962" t="s">
        <v>7181</v>
      </c>
      <c r="B3962" t="s">
        <v>1537</v>
      </c>
    </row>
    <row r="3963" spans="1:2" x14ac:dyDescent="0.25">
      <c r="A3963" t="s">
        <v>2774</v>
      </c>
      <c r="B3963" t="s">
        <v>2774</v>
      </c>
    </row>
    <row r="3964" spans="1:2" x14ac:dyDescent="0.25">
      <c r="A3964" t="s">
        <v>7182</v>
      </c>
      <c r="B3964" t="s">
        <v>2774</v>
      </c>
    </row>
    <row r="3965" spans="1:2" x14ac:dyDescent="0.25">
      <c r="A3965" t="s">
        <v>3190</v>
      </c>
      <c r="B3965" t="s">
        <v>3190</v>
      </c>
    </row>
    <row r="3966" spans="1:2" x14ac:dyDescent="0.25">
      <c r="A3966" t="s">
        <v>7183</v>
      </c>
      <c r="B3966" t="s">
        <v>3190</v>
      </c>
    </row>
    <row r="3967" spans="1:2" x14ac:dyDescent="0.25">
      <c r="A3967" t="s">
        <v>1539</v>
      </c>
      <c r="B3967" t="s">
        <v>1539</v>
      </c>
    </row>
    <row r="3968" spans="1:2" x14ac:dyDescent="0.25">
      <c r="A3968" t="s">
        <v>7184</v>
      </c>
      <c r="B3968" t="s">
        <v>1539</v>
      </c>
    </row>
    <row r="3969" spans="1:2" x14ac:dyDescent="0.25">
      <c r="A3969" t="s">
        <v>1541</v>
      </c>
      <c r="B3969" t="s">
        <v>1541</v>
      </c>
    </row>
    <row r="3970" spans="1:2" x14ac:dyDescent="0.25">
      <c r="A3970" t="s">
        <v>7185</v>
      </c>
      <c r="B3970" t="s">
        <v>1541</v>
      </c>
    </row>
    <row r="3971" spans="1:2" x14ac:dyDescent="0.25">
      <c r="A3971" t="s">
        <v>1543</v>
      </c>
      <c r="B3971" t="s">
        <v>1543</v>
      </c>
    </row>
    <row r="3972" spans="1:2" x14ac:dyDescent="0.25">
      <c r="A3972" t="s">
        <v>7186</v>
      </c>
      <c r="B3972" t="s">
        <v>1543</v>
      </c>
    </row>
    <row r="3973" spans="1:2" x14ac:dyDescent="0.25">
      <c r="A3973" t="s">
        <v>2776</v>
      </c>
      <c r="B3973" t="s">
        <v>2776</v>
      </c>
    </row>
    <row r="3974" spans="1:2" x14ac:dyDescent="0.25">
      <c r="A3974" t="s">
        <v>7187</v>
      </c>
      <c r="B3974" t="s">
        <v>2776</v>
      </c>
    </row>
    <row r="3975" spans="1:2" x14ac:dyDescent="0.25">
      <c r="A3975" t="s">
        <v>1545</v>
      </c>
      <c r="B3975" t="s">
        <v>1545</v>
      </c>
    </row>
    <row r="3976" spans="1:2" x14ac:dyDescent="0.25">
      <c r="A3976" t="s">
        <v>7188</v>
      </c>
      <c r="B3976" t="s">
        <v>1545</v>
      </c>
    </row>
    <row r="3977" spans="1:2" x14ac:dyDescent="0.25">
      <c r="A3977" t="s">
        <v>1547</v>
      </c>
      <c r="B3977" t="s">
        <v>1547</v>
      </c>
    </row>
    <row r="3978" spans="1:2" x14ac:dyDescent="0.25">
      <c r="A3978" t="s">
        <v>7189</v>
      </c>
      <c r="B3978" t="s">
        <v>1547</v>
      </c>
    </row>
    <row r="3979" spans="1:2" x14ac:dyDescent="0.25">
      <c r="A3979" t="s">
        <v>2778</v>
      </c>
      <c r="B3979" t="s">
        <v>2778</v>
      </c>
    </row>
    <row r="3980" spans="1:2" x14ac:dyDescent="0.25">
      <c r="A3980" t="s">
        <v>7190</v>
      </c>
      <c r="B3980" t="s">
        <v>2778</v>
      </c>
    </row>
    <row r="3981" spans="1:2" x14ac:dyDescent="0.25">
      <c r="A3981" t="s">
        <v>1549</v>
      </c>
      <c r="B3981" t="s">
        <v>1549</v>
      </c>
    </row>
    <row r="3982" spans="1:2" x14ac:dyDescent="0.25">
      <c r="A3982" t="s">
        <v>7191</v>
      </c>
      <c r="B3982" t="s">
        <v>1549</v>
      </c>
    </row>
    <row r="3983" spans="1:2" x14ac:dyDescent="0.25">
      <c r="A3983" t="s">
        <v>1551</v>
      </c>
      <c r="B3983" t="s">
        <v>1551</v>
      </c>
    </row>
    <row r="3984" spans="1:2" x14ac:dyDescent="0.25">
      <c r="A3984" t="s">
        <v>7192</v>
      </c>
      <c r="B3984" t="s">
        <v>1551</v>
      </c>
    </row>
    <row r="3985" spans="1:2" x14ac:dyDescent="0.25">
      <c r="A3985" t="s">
        <v>1553</v>
      </c>
      <c r="B3985" t="s">
        <v>1553</v>
      </c>
    </row>
    <row r="3986" spans="1:2" x14ac:dyDescent="0.25">
      <c r="A3986" t="s">
        <v>7193</v>
      </c>
      <c r="B3986" t="s">
        <v>1553</v>
      </c>
    </row>
    <row r="3987" spans="1:2" x14ac:dyDescent="0.25">
      <c r="A3987" t="s">
        <v>1555</v>
      </c>
      <c r="B3987" t="s">
        <v>1555</v>
      </c>
    </row>
    <row r="3988" spans="1:2" x14ac:dyDescent="0.25">
      <c r="A3988" t="s">
        <v>7194</v>
      </c>
      <c r="B3988" t="s">
        <v>1555</v>
      </c>
    </row>
    <row r="3989" spans="1:2" x14ac:dyDescent="0.25">
      <c r="A3989" t="s">
        <v>1557</v>
      </c>
      <c r="B3989" t="s">
        <v>1557</v>
      </c>
    </row>
    <row r="3990" spans="1:2" x14ac:dyDescent="0.25">
      <c r="A3990" t="s">
        <v>7195</v>
      </c>
      <c r="B3990" t="s">
        <v>1557</v>
      </c>
    </row>
    <row r="3991" spans="1:2" x14ac:dyDescent="0.25">
      <c r="A3991" t="s">
        <v>1559</v>
      </c>
      <c r="B3991" t="s">
        <v>1559</v>
      </c>
    </row>
    <row r="3992" spans="1:2" x14ac:dyDescent="0.25">
      <c r="A3992" t="s">
        <v>7196</v>
      </c>
      <c r="B3992" t="s">
        <v>1559</v>
      </c>
    </row>
    <row r="3993" spans="1:2" x14ac:dyDescent="0.25">
      <c r="A3993" t="s">
        <v>1561</v>
      </c>
      <c r="B3993" t="s">
        <v>1561</v>
      </c>
    </row>
    <row r="3994" spans="1:2" x14ac:dyDescent="0.25">
      <c r="A3994" t="s">
        <v>7197</v>
      </c>
      <c r="B3994" t="s">
        <v>1561</v>
      </c>
    </row>
    <row r="3995" spans="1:2" x14ac:dyDescent="0.25">
      <c r="A3995" t="s">
        <v>1563</v>
      </c>
      <c r="B3995" t="s">
        <v>1563</v>
      </c>
    </row>
    <row r="3996" spans="1:2" x14ac:dyDescent="0.25">
      <c r="A3996" t="s">
        <v>7198</v>
      </c>
      <c r="B3996" t="s">
        <v>1563</v>
      </c>
    </row>
    <row r="3997" spans="1:2" x14ac:dyDescent="0.25">
      <c r="A3997" t="s">
        <v>1565</v>
      </c>
      <c r="B3997" t="s">
        <v>1565</v>
      </c>
    </row>
    <row r="3998" spans="1:2" x14ac:dyDescent="0.25">
      <c r="A3998" t="s">
        <v>7199</v>
      </c>
      <c r="B3998" t="s">
        <v>1565</v>
      </c>
    </row>
    <row r="3999" spans="1:2" x14ac:dyDescent="0.25">
      <c r="A3999" t="s">
        <v>1567</v>
      </c>
      <c r="B3999" t="s">
        <v>1567</v>
      </c>
    </row>
    <row r="4000" spans="1:2" x14ac:dyDescent="0.25">
      <c r="A4000" t="s">
        <v>7200</v>
      </c>
      <c r="B4000" t="s">
        <v>1567</v>
      </c>
    </row>
    <row r="4001" spans="1:2" x14ac:dyDescent="0.25">
      <c r="A4001" t="s">
        <v>7201</v>
      </c>
      <c r="B4001" t="s">
        <v>5209</v>
      </c>
    </row>
    <row r="4002" spans="1:2" x14ac:dyDescent="0.25">
      <c r="A4002" t="s">
        <v>1569</v>
      </c>
      <c r="B4002" t="s">
        <v>1569</v>
      </c>
    </row>
    <row r="4003" spans="1:2" x14ac:dyDescent="0.25">
      <c r="A4003" t="s">
        <v>7202</v>
      </c>
      <c r="B4003" t="s">
        <v>1569</v>
      </c>
    </row>
    <row r="4004" spans="1:2" x14ac:dyDescent="0.25">
      <c r="A4004" t="s">
        <v>7203</v>
      </c>
      <c r="B4004" t="s">
        <v>1569</v>
      </c>
    </row>
    <row r="4005" spans="1:2" x14ac:dyDescent="0.25">
      <c r="A4005" t="s">
        <v>146</v>
      </c>
      <c r="B4005" t="s">
        <v>146</v>
      </c>
    </row>
    <row r="4006" spans="1:2" x14ac:dyDescent="0.25">
      <c r="A4006" t="s">
        <v>7204</v>
      </c>
      <c r="B4006" t="s">
        <v>146</v>
      </c>
    </row>
    <row r="4007" spans="1:2" x14ac:dyDescent="0.25">
      <c r="A4007" t="s">
        <v>149</v>
      </c>
      <c r="B4007" t="s">
        <v>149</v>
      </c>
    </row>
    <row r="4008" spans="1:2" x14ac:dyDescent="0.25">
      <c r="A4008" t="s">
        <v>7205</v>
      </c>
      <c r="B4008" t="s">
        <v>149</v>
      </c>
    </row>
    <row r="4009" spans="1:2" x14ac:dyDescent="0.25">
      <c r="A4009" t="s">
        <v>7206</v>
      </c>
      <c r="B4009" t="s">
        <v>149</v>
      </c>
    </row>
    <row r="4010" spans="1:2" x14ac:dyDescent="0.25">
      <c r="A4010" t="s">
        <v>1571</v>
      </c>
      <c r="B4010" t="s">
        <v>1571</v>
      </c>
    </row>
    <row r="4011" spans="1:2" x14ac:dyDescent="0.25">
      <c r="A4011" t="s">
        <v>7207</v>
      </c>
      <c r="B4011" t="s">
        <v>1571</v>
      </c>
    </row>
    <row r="4012" spans="1:2" x14ac:dyDescent="0.25">
      <c r="A4012" t="s">
        <v>7208</v>
      </c>
      <c r="B4012" t="s">
        <v>1571</v>
      </c>
    </row>
    <row r="4013" spans="1:2" x14ac:dyDescent="0.25">
      <c r="A4013" t="s">
        <v>7209</v>
      </c>
      <c r="B4013" t="s">
        <v>1571</v>
      </c>
    </row>
    <row r="4014" spans="1:2" x14ac:dyDescent="0.25">
      <c r="A4014" t="s">
        <v>7210</v>
      </c>
      <c r="B4014" t="s">
        <v>1571</v>
      </c>
    </row>
    <row r="4015" spans="1:2" x14ac:dyDescent="0.25">
      <c r="A4015" t="s">
        <v>7211</v>
      </c>
      <c r="B4015" t="s">
        <v>1571</v>
      </c>
    </row>
    <row r="4016" spans="1:2" x14ac:dyDescent="0.25">
      <c r="A4016" t="s">
        <v>7212</v>
      </c>
      <c r="B4016" t="s">
        <v>1571</v>
      </c>
    </row>
    <row r="4017" spans="1:2" x14ac:dyDescent="0.25">
      <c r="A4017" t="s">
        <v>7213</v>
      </c>
      <c r="B4017" t="s">
        <v>1571</v>
      </c>
    </row>
    <row r="4018" spans="1:2" x14ac:dyDescent="0.25">
      <c r="A4018" t="s">
        <v>4270</v>
      </c>
      <c r="B4018" t="s">
        <v>4270</v>
      </c>
    </row>
    <row r="4019" spans="1:2" x14ac:dyDescent="0.25">
      <c r="A4019" t="s">
        <v>7214</v>
      </c>
      <c r="B4019" t="s">
        <v>4270</v>
      </c>
    </row>
    <row r="4020" spans="1:2" x14ac:dyDescent="0.25">
      <c r="A4020" t="s">
        <v>3191</v>
      </c>
      <c r="B4020" t="s">
        <v>3191</v>
      </c>
    </row>
    <row r="4021" spans="1:2" x14ac:dyDescent="0.25">
      <c r="A4021" t="s">
        <v>7215</v>
      </c>
      <c r="B4021" t="s">
        <v>3191</v>
      </c>
    </row>
    <row r="4022" spans="1:2" x14ac:dyDescent="0.25">
      <c r="A4022" t="s">
        <v>7216</v>
      </c>
      <c r="B4022" t="s">
        <v>4273</v>
      </c>
    </row>
    <row r="4023" spans="1:2" x14ac:dyDescent="0.25">
      <c r="A4023" t="s">
        <v>1573</v>
      </c>
      <c r="B4023" t="s">
        <v>1573</v>
      </c>
    </row>
    <row r="4024" spans="1:2" x14ac:dyDescent="0.25">
      <c r="A4024" t="s">
        <v>7217</v>
      </c>
      <c r="B4024" t="s">
        <v>1573</v>
      </c>
    </row>
    <row r="4025" spans="1:2" x14ac:dyDescent="0.25">
      <c r="A4025" t="s">
        <v>2265</v>
      </c>
      <c r="B4025" t="s">
        <v>2265</v>
      </c>
    </row>
    <row r="4026" spans="1:2" x14ac:dyDescent="0.25">
      <c r="A4026" t="s">
        <v>7218</v>
      </c>
      <c r="B4026" t="s">
        <v>2265</v>
      </c>
    </row>
    <row r="4027" spans="1:2" x14ac:dyDescent="0.25">
      <c r="A4027" t="s">
        <v>2266</v>
      </c>
      <c r="B4027" t="s">
        <v>2266</v>
      </c>
    </row>
    <row r="4028" spans="1:2" x14ac:dyDescent="0.25">
      <c r="A4028" t="s">
        <v>7219</v>
      </c>
      <c r="B4028" t="s">
        <v>2266</v>
      </c>
    </row>
    <row r="4029" spans="1:2" x14ac:dyDescent="0.25">
      <c r="A4029" t="s">
        <v>4278</v>
      </c>
      <c r="B4029" t="s">
        <v>4278</v>
      </c>
    </row>
    <row r="4030" spans="1:2" x14ac:dyDescent="0.25">
      <c r="A4030" t="s">
        <v>7220</v>
      </c>
      <c r="B4030" t="s">
        <v>4278</v>
      </c>
    </row>
    <row r="4031" spans="1:2" x14ac:dyDescent="0.25">
      <c r="A4031" t="s">
        <v>4280</v>
      </c>
      <c r="B4031" t="s">
        <v>4280</v>
      </c>
    </row>
    <row r="4032" spans="1:2" x14ac:dyDescent="0.25">
      <c r="A4032" t="s">
        <v>7221</v>
      </c>
      <c r="B4032" t="s">
        <v>4280</v>
      </c>
    </row>
    <row r="4033" spans="1:2" x14ac:dyDescent="0.25">
      <c r="A4033" t="s">
        <v>151</v>
      </c>
      <c r="B4033" t="s">
        <v>151</v>
      </c>
    </row>
    <row r="4034" spans="1:2" x14ac:dyDescent="0.25">
      <c r="A4034" t="s">
        <v>7222</v>
      </c>
      <c r="B4034" t="s">
        <v>151</v>
      </c>
    </row>
    <row r="4035" spans="1:2" x14ac:dyDescent="0.25">
      <c r="A4035" t="s">
        <v>7223</v>
      </c>
      <c r="B4035" t="s">
        <v>151</v>
      </c>
    </row>
    <row r="4036" spans="1:2" x14ac:dyDescent="0.25">
      <c r="A4036" t="s">
        <v>7224</v>
      </c>
      <c r="B4036" t="s">
        <v>151</v>
      </c>
    </row>
    <row r="4037" spans="1:2" x14ac:dyDescent="0.25">
      <c r="A4037" t="s">
        <v>7225</v>
      </c>
      <c r="B4037" t="s">
        <v>151</v>
      </c>
    </row>
    <row r="4038" spans="1:2" x14ac:dyDescent="0.25">
      <c r="A4038" t="s">
        <v>7226</v>
      </c>
      <c r="B4038" t="s">
        <v>151</v>
      </c>
    </row>
    <row r="4039" spans="1:2" x14ac:dyDescent="0.25">
      <c r="A4039" t="s">
        <v>7227</v>
      </c>
      <c r="B4039" t="s">
        <v>151</v>
      </c>
    </row>
    <row r="4040" spans="1:2" x14ac:dyDescent="0.25">
      <c r="A4040" t="s">
        <v>2267</v>
      </c>
      <c r="B4040" t="s">
        <v>2267</v>
      </c>
    </row>
    <row r="4041" spans="1:2" x14ac:dyDescent="0.25">
      <c r="A4041" t="s">
        <v>7228</v>
      </c>
      <c r="B4041" t="s">
        <v>2267</v>
      </c>
    </row>
    <row r="4042" spans="1:2" x14ac:dyDescent="0.25">
      <c r="A4042" t="s">
        <v>7229</v>
      </c>
      <c r="B4042" t="s">
        <v>2267</v>
      </c>
    </row>
    <row r="4043" spans="1:2" x14ac:dyDescent="0.25">
      <c r="A4043" t="s">
        <v>3192</v>
      </c>
      <c r="B4043" t="s">
        <v>3192</v>
      </c>
    </row>
    <row r="4044" spans="1:2" x14ac:dyDescent="0.25">
      <c r="A4044" t="s">
        <v>7230</v>
      </c>
      <c r="B4044" t="s">
        <v>3192</v>
      </c>
    </row>
    <row r="4045" spans="1:2" x14ac:dyDescent="0.25">
      <c r="A4045" t="s">
        <v>2268</v>
      </c>
      <c r="B4045" t="s">
        <v>2268</v>
      </c>
    </row>
    <row r="4046" spans="1:2" x14ac:dyDescent="0.25">
      <c r="A4046" t="s">
        <v>7231</v>
      </c>
      <c r="B4046" t="s">
        <v>2268</v>
      </c>
    </row>
    <row r="4047" spans="1:2" x14ac:dyDescent="0.25">
      <c r="A4047" t="s">
        <v>3193</v>
      </c>
      <c r="B4047" t="s">
        <v>3193</v>
      </c>
    </row>
    <row r="4048" spans="1:2" x14ac:dyDescent="0.25">
      <c r="A4048" t="s">
        <v>7232</v>
      </c>
      <c r="B4048" t="s">
        <v>3193</v>
      </c>
    </row>
    <row r="4049" spans="1:2" x14ac:dyDescent="0.25">
      <c r="A4049" t="s">
        <v>3194</v>
      </c>
      <c r="B4049" t="s">
        <v>3194</v>
      </c>
    </row>
    <row r="4050" spans="1:2" x14ac:dyDescent="0.25">
      <c r="A4050" t="s">
        <v>7233</v>
      </c>
      <c r="B4050" t="s">
        <v>3194</v>
      </c>
    </row>
    <row r="4051" spans="1:2" x14ac:dyDescent="0.25">
      <c r="A4051" t="s">
        <v>3195</v>
      </c>
      <c r="B4051" t="s">
        <v>3195</v>
      </c>
    </row>
    <row r="4052" spans="1:2" x14ac:dyDescent="0.25">
      <c r="A4052" t="s">
        <v>7234</v>
      </c>
      <c r="B4052" t="s">
        <v>3195</v>
      </c>
    </row>
    <row r="4053" spans="1:2" x14ac:dyDescent="0.25">
      <c r="A4053" t="s">
        <v>7235</v>
      </c>
      <c r="B4053" t="s">
        <v>4289</v>
      </c>
    </row>
    <row r="4054" spans="1:2" x14ac:dyDescent="0.25">
      <c r="A4054" t="s">
        <v>1575</v>
      </c>
      <c r="B4054" t="s">
        <v>1575</v>
      </c>
    </row>
    <row r="4055" spans="1:2" x14ac:dyDescent="0.25">
      <c r="A4055" t="s">
        <v>7236</v>
      </c>
      <c r="B4055" t="s">
        <v>1575</v>
      </c>
    </row>
    <row r="4056" spans="1:2" x14ac:dyDescent="0.25">
      <c r="A4056" t="s">
        <v>3196</v>
      </c>
      <c r="B4056" t="s">
        <v>3196</v>
      </c>
    </row>
    <row r="4057" spans="1:2" x14ac:dyDescent="0.25">
      <c r="A4057" t="s">
        <v>7237</v>
      </c>
      <c r="B4057" t="s">
        <v>3196</v>
      </c>
    </row>
    <row r="4058" spans="1:2" x14ac:dyDescent="0.25">
      <c r="A4058" t="s">
        <v>1577</v>
      </c>
      <c r="B4058" t="s">
        <v>1577</v>
      </c>
    </row>
    <row r="4059" spans="1:2" x14ac:dyDescent="0.25">
      <c r="A4059" t="s">
        <v>7238</v>
      </c>
      <c r="B4059" t="s">
        <v>1577</v>
      </c>
    </row>
    <row r="4060" spans="1:2" x14ac:dyDescent="0.25">
      <c r="A4060" t="s">
        <v>7239</v>
      </c>
      <c r="B4060" t="s">
        <v>7240</v>
      </c>
    </row>
    <row r="4061" spans="1:2" x14ac:dyDescent="0.25">
      <c r="A4061" t="s">
        <v>7241</v>
      </c>
      <c r="B4061" t="s">
        <v>7241</v>
      </c>
    </row>
    <row r="4062" spans="1:2" x14ac:dyDescent="0.25">
      <c r="A4062" t="s">
        <v>2989</v>
      </c>
      <c r="B4062" t="s">
        <v>2989</v>
      </c>
    </row>
    <row r="4063" spans="1:2" x14ac:dyDescent="0.25">
      <c r="A4063" t="s">
        <v>7242</v>
      </c>
      <c r="B4063" t="s">
        <v>2989</v>
      </c>
    </row>
    <row r="4064" spans="1:2" x14ac:dyDescent="0.25">
      <c r="A4064" t="s">
        <v>2269</v>
      </c>
      <c r="B4064" t="s">
        <v>2269</v>
      </c>
    </row>
    <row r="4065" spans="1:2" x14ac:dyDescent="0.25">
      <c r="A4065" t="s">
        <v>7243</v>
      </c>
      <c r="B4065" t="s">
        <v>2269</v>
      </c>
    </row>
    <row r="4066" spans="1:2" x14ac:dyDescent="0.25">
      <c r="A4066" t="s">
        <v>7244</v>
      </c>
      <c r="B4066" t="s">
        <v>2269</v>
      </c>
    </row>
    <row r="4067" spans="1:2" x14ac:dyDescent="0.25">
      <c r="A4067" t="s">
        <v>2270</v>
      </c>
      <c r="B4067" t="s">
        <v>2270</v>
      </c>
    </row>
    <row r="4068" spans="1:2" x14ac:dyDescent="0.25">
      <c r="A4068" t="s">
        <v>7245</v>
      </c>
      <c r="B4068" t="s">
        <v>2270</v>
      </c>
    </row>
    <row r="4069" spans="1:2" x14ac:dyDescent="0.25">
      <c r="A4069" t="s">
        <v>7246</v>
      </c>
      <c r="B4069" t="s">
        <v>2270</v>
      </c>
    </row>
    <row r="4070" spans="1:2" x14ac:dyDescent="0.25">
      <c r="A4070" t="s">
        <v>2271</v>
      </c>
      <c r="B4070" t="s">
        <v>2271</v>
      </c>
    </row>
    <row r="4071" spans="1:2" x14ac:dyDescent="0.25">
      <c r="A4071" t="s">
        <v>7247</v>
      </c>
      <c r="B4071" t="s">
        <v>2271</v>
      </c>
    </row>
    <row r="4072" spans="1:2" x14ac:dyDescent="0.25">
      <c r="A4072" t="s">
        <v>7248</v>
      </c>
      <c r="B4072" t="s">
        <v>2271</v>
      </c>
    </row>
    <row r="4073" spans="1:2" x14ac:dyDescent="0.25">
      <c r="A4073" t="s">
        <v>153</v>
      </c>
      <c r="B4073" t="s">
        <v>153</v>
      </c>
    </row>
    <row r="4074" spans="1:2" x14ac:dyDescent="0.25">
      <c r="A4074" t="s">
        <v>7249</v>
      </c>
      <c r="B4074" t="s">
        <v>153</v>
      </c>
    </row>
    <row r="4075" spans="1:2" x14ac:dyDescent="0.25">
      <c r="A4075" t="s">
        <v>7250</v>
      </c>
      <c r="B4075" t="s">
        <v>7251</v>
      </c>
    </row>
    <row r="4076" spans="1:2" x14ac:dyDescent="0.25">
      <c r="A4076" t="s">
        <v>7252</v>
      </c>
      <c r="B4076" t="s">
        <v>7253</v>
      </c>
    </row>
    <row r="4077" spans="1:2" x14ac:dyDescent="0.25">
      <c r="A4077" t="s">
        <v>7254</v>
      </c>
      <c r="B4077" t="s">
        <v>7255</v>
      </c>
    </row>
    <row r="4078" spans="1:2" x14ac:dyDescent="0.25">
      <c r="A4078" t="s">
        <v>7256</v>
      </c>
      <c r="B4078" t="s">
        <v>153</v>
      </c>
    </row>
    <row r="4079" spans="1:2" x14ac:dyDescent="0.25">
      <c r="A4079" t="s">
        <v>7257</v>
      </c>
      <c r="B4079" t="s">
        <v>7258</v>
      </c>
    </row>
    <row r="4080" spans="1:2" x14ac:dyDescent="0.25">
      <c r="A4080" t="s">
        <v>7259</v>
      </c>
      <c r="B4080" t="s">
        <v>153</v>
      </c>
    </row>
    <row r="4081" spans="1:2" x14ac:dyDescent="0.25">
      <c r="A4081" t="s">
        <v>3197</v>
      </c>
      <c r="B4081" t="s">
        <v>3197</v>
      </c>
    </row>
    <row r="4082" spans="1:2" x14ac:dyDescent="0.25">
      <c r="A4082" t="s">
        <v>7260</v>
      </c>
      <c r="B4082" t="s">
        <v>3197</v>
      </c>
    </row>
    <row r="4083" spans="1:2" x14ac:dyDescent="0.25">
      <c r="A4083" t="s">
        <v>2272</v>
      </c>
      <c r="B4083" t="s">
        <v>2272</v>
      </c>
    </row>
    <row r="4084" spans="1:2" x14ac:dyDescent="0.25">
      <c r="A4084" t="s">
        <v>7261</v>
      </c>
      <c r="B4084" t="s">
        <v>2272</v>
      </c>
    </row>
    <row r="4085" spans="1:2" x14ac:dyDescent="0.25">
      <c r="A4085" t="s">
        <v>2273</v>
      </c>
      <c r="B4085" t="s">
        <v>2273</v>
      </c>
    </row>
    <row r="4086" spans="1:2" x14ac:dyDescent="0.25">
      <c r="A4086" t="s">
        <v>7262</v>
      </c>
      <c r="B4086" t="s">
        <v>2273</v>
      </c>
    </row>
    <row r="4087" spans="1:2" x14ac:dyDescent="0.25">
      <c r="A4087" t="s">
        <v>7263</v>
      </c>
      <c r="B4087" t="s">
        <v>7264</v>
      </c>
    </row>
    <row r="4088" spans="1:2" x14ac:dyDescent="0.25">
      <c r="A4088" t="s">
        <v>7265</v>
      </c>
      <c r="B4088" t="s">
        <v>2273</v>
      </c>
    </row>
    <row r="4089" spans="1:2" x14ac:dyDescent="0.25">
      <c r="A4089" t="s">
        <v>1579</v>
      </c>
      <c r="B4089" t="s">
        <v>1579</v>
      </c>
    </row>
    <row r="4090" spans="1:2" x14ac:dyDescent="0.25">
      <c r="A4090" t="s">
        <v>7266</v>
      </c>
      <c r="B4090" t="s">
        <v>1579</v>
      </c>
    </row>
    <row r="4091" spans="1:2" x14ac:dyDescent="0.25">
      <c r="A4091" t="s">
        <v>7267</v>
      </c>
      <c r="B4091" t="s">
        <v>1579</v>
      </c>
    </row>
    <row r="4092" spans="1:2" x14ac:dyDescent="0.25">
      <c r="A4092" t="s">
        <v>7268</v>
      </c>
      <c r="B4092" t="s">
        <v>1579</v>
      </c>
    </row>
    <row r="4093" spans="1:2" x14ac:dyDescent="0.25">
      <c r="A4093" t="s">
        <v>7269</v>
      </c>
      <c r="B4093" t="s">
        <v>1579</v>
      </c>
    </row>
    <row r="4094" spans="1:2" x14ac:dyDescent="0.25">
      <c r="A4094" t="s">
        <v>7270</v>
      </c>
      <c r="B4094" t="s">
        <v>4303</v>
      </c>
    </row>
    <row r="4095" spans="1:2" x14ac:dyDescent="0.25">
      <c r="A4095" t="s">
        <v>2317</v>
      </c>
      <c r="B4095" t="s">
        <v>2317</v>
      </c>
    </row>
    <row r="4096" spans="1:2" x14ac:dyDescent="0.25">
      <c r="A4096" t="s">
        <v>7271</v>
      </c>
      <c r="B4096" t="s">
        <v>2317</v>
      </c>
    </row>
    <row r="4097" spans="1:2" x14ac:dyDescent="0.25">
      <c r="A4097" t="s">
        <v>7272</v>
      </c>
      <c r="B4097" t="s">
        <v>7273</v>
      </c>
    </row>
    <row r="4098" spans="1:2" x14ac:dyDescent="0.25">
      <c r="A4098" t="s">
        <v>7274</v>
      </c>
      <c r="B4098" t="s">
        <v>4306</v>
      </c>
    </row>
    <row r="4099" spans="1:2" x14ac:dyDescent="0.25">
      <c r="A4099" t="s">
        <v>2318</v>
      </c>
      <c r="B4099" t="s">
        <v>2318</v>
      </c>
    </row>
    <row r="4100" spans="1:2" x14ac:dyDescent="0.25">
      <c r="A4100" t="s">
        <v>7275</v>
      </c>
      <c r="B4100" t="s">
        <v>2318</v>
      </c>
    </row>
    <row r="4101" spans="1:2" x14ac:dyDescent="0.25">
      <c r="A4101" t="s">
        <v>7276</v>
      </c>
      <c r="B4101" t="s">
        <v>2318</v>
      </c>
    </row>
    <row r="4102" spans="1:2" x14ac:dyDescent="0.25">
      <c r="A4102" t="s">
        <v>7277</v>
      </c>
      <c r="B4102" t="s">
        <v>2318</v>
      </c>
    </row>
    <row r="4103" spans="1:2" x14ac:dyDescent="0.25">
      <c r="A4103" t="s">
        <v>2319</v>
      </c>
      <c r="B4103" t="s">
        <v>2319</v>
      </c>
    </row>
    <row r="4104" spans="1:2" x14ac:dyDescent="0.25">
      <c r="A4104" t="s">
        <v>7278</v>
      </c>
      <c r="B4104" t="s">
        <v>2319</v>
      </c>
    </row>
    <row r="4105" spans="1:2" x14ac:dyDescent="0.25">
      <c r="A4105" t="s">
        <v>7279</v>
      </c>
      <c r="B4105" t="s">
        <v>2319</v>
      </c>
    </row>
    <row r="4106" spans="1:2" x14ac:dyDescent="0.25">
      <c r="A4106" t="s">
        <v>2320</v>
      </c>
      <c r="B4106" t="s">
        <v>2320</v>
      </c>
    </row>
    <row r="4107" spans="1:2" x14ac:dyDescent="0.25">
      <c r="A4107" t="s">
        <v>7280</v>
      </c>
      <c r="B4107" t="s">
        <v>4311</v>
      </c>
    </row>
    <row r="4108" spans="1:2" x14ac:dyDescent="0.25">
      <c r="A4108" t="s">
        <v>7281</v>
      </c>
      <c r="B4108" t="s">
        <v>4311</v>
      </c>
    </row>
    <row r="4109" spans="1:2" x14ac:dyDescent="0.25">
      <c r="A4109" t="s">
        <v>7282</v>
      </c>
      <c r="B4109" t="s">
        <v>2320</v>
      </c>
    </row>
    <row r="4110" spans="1:2" x14ac:dyDescent="0.25">
      <c r="A4110" t="s">
        <v>7283</v>
      </c>
      <c r="B4110" t="s">
        <v>2320</v>
      </c>
    </row>
    <row r="4111" spans="1:2" x14ac:dyDescent="0.25">
      <c r="A4111" t="s">
        <v>7284</v>
      </c>
      <c r="B4111" t="s">
        <v>4313</v>
      </c>
    </row>
    <row r="4112" spans="1:2" x14ac:dyDescent="0.25">
      <c r="A4112" t="s">
        <v>7285</v>
      </c>
      <c r="B4112" t="s">
        <v>4315</v>
      </c>
    </row>
    <row r="4113" spans="1:2" x14ac:dyDescent="0.25">
      <c r="A4113" t="s">
        <v>2274</v>
      </c>
      <c r="B4113" t="s">
        <v>2274</v>
      </c>
    </row>
    <row r="4114" spans="1:2" x14ac:dyDescent="0.25">
      <c r="A4114" t="s">
        <v>7286</v>
      </c>
      <c r="B4114" t="s">
        <v>2274</v>
      </c>
    </row>
    <row r="4115" spans="1:2" x14ac:dyDescent="0.25">
      <c r="A4115" t="s">
        <v>2321</v>
      </c>
      <c r="B4115" t="s">
        <v>2321</v>
      </c>
    </row>
    <row r="4116" spans="1:2" x14ac:dyDescent="0.25">
      <c r="A4116" t="s">
        <v>7287</v>
      </c>
      <c r="B4116" t="s">
        <v>2321</v>
      </c>
    </row>
    <row r="4117" spans="1:2" x14ac:dyDescent="0.25">
      <c r="A4117" t="s">
        <v>2322</v>
      </c>
      <c r="B4117" t="s">
        <v>2322</v>
      </c>
    </row>
    <row r="4118" spans="1:2" x14ac:dyDescent="0.25">
      <c r="A4118" t="s">
        <v>7288</v>
      </c>
      <c r="B4118" t="s">
        <v>2322</v>
      </c>
    </row>
    <row r="4119" spans="1:2" x14ac:dyDescent="0.25">
      <c r="A4119" t="s">
        <v>7289</v>
      </c>
      <c r="B4119" t="s">
        <v>4320</v>
      </c>
    </row>
    <row r="4120" spans="1:2" x14ac:dyDescent="0.25">
      <c r="A4120" t="s">
        <v>7290</v>
      </c>
      <c r="B4120" t="s">
        <v>7291</v>
      </c>
    </row>
    <row r="4121" spans="1:2" x14ac:dyDescent="0.25">
      <c r="A4121" t="s">
        <v>2323</v>
      </c>
      <c r="B4121" t="s">
        <v>2323</v>
      </c>
    </row>
    <row r="4122" spans="1:2" x14ac:dyDescent="0.25">
      <c r="A4122" t="s">
        <v>7292</v>
      </c>
      <c r="B4122" t="s">
        <v>2323</v>
      </c>
    </row>
    <row r="4123" spans="1:2" x14ac:dyDescent="0.25">
      <c r="A4123" t="s">
        <v>7293</v>
      </c>
      <c r="B4123" t="s">
        <v>7294</v>
      </c>
    </row>
    <row r="4124" spans="1:2" x14ac:dyDescent="0.25">
      <c r="A4124" t="s">
        <v>7295</v>
      </c>
      <c r="B4124" t="s">
        <v>2323</v>
      </c>
    </row>
    <row r="4125" spans="1:2" x14ac:dyDescent="0.25">
      <c r="A4125" t="s">
        <v>271</v>
      </c>
      <c r="B4125" t="s">
        <v>271</v>
      </c>
    </row>
    <row r="4126" spans="1:2" x14ac:dyDescent="0.25">
      <c r="A4126" t="s">
        <v>7296</v>
      </c>
      <c r="B4126" t="s">
        <v>271</v>
      </c>
    </row>
    <row r="4127" spans="1:2" x14ac:dyDescent="0.25">
      <c r="A4127" t="s">
        <v>7297</v>
      </c>
      <c r="B4127" t="s">
        <v>271</v>
      </c>
    </row>
    <row r="4128" spans="1:2" x14ac:dyDescent="0.25">
      <c r="A4128" t="s">
        <v>7298</v>
      </c>
      <c r="B4128" t="s">
        <v>271</v>
      </c>
    </row>
    <row r="4129" spans="1:2" x14ac:dyDescent="0.25">
      <c r="A4129" t="s">
        <v>1659</v>
      </c>
      <c r="B4129" t="s">
        <v>1659</v>
      </c>
    </row>
    <row r="4130" spans="1:2" x14ac:dyDescent="0.25">
      <c r="A4130" t="s">
        <v>7299</v>
      </c>
      <c r="B4130" t="s">
        <v>1659</v>
      </c>
    </row>
    <row r="4131" spans="1:2" x14ac:dyDescent="0.25">
      <c r="A4131" t="s">
        <v>7300</v>
      </c>
      <c r="B4131" t="s">
        <v>1659</v>
      </c>
    </row>
    <row r="4132" spans="1:2" x14ac:dyDescent="0.25">
      <c r="A4132" t="s">
        <v>1661</v>
      </c>
      <c r="B4132" t="s">
        <v>1661</v>
      </c>
    </row>
    <row r="4133" spans="1:2" x14ac:dyDescent="0.25">
      <c r="A4133" t="s">
        <v>7301</v>
      </c>
      <c r="B4133" t="s">
        <v>1661</v>
      </c>
    </row>
    <row r="4134" spans="1:2" x14ac:dyDescent="0.25">
      <c r="A4134" t="s">
        <v>7302</v>
      </c>
      <c r="B4134" t="s">
        <v>1661</v>
      </c>
    </row>
    <row r="4135" spans="1:2" x14ac:dyDescent="0.25">
      <c r="A4135" t="s">
        <v>1663</v>
      </c>
      <c r="B4135" t="s">
        <v>1663</v>
      </c>
    </row>
    <row r="4136" spans="1:2" x14ac:dyDescent="0.25">
      <c r="A4136" t="s">
        <v>7303</v>
      </c>
      <c r="B4136" t="s">
        <v>1663</v>
      </c>
    </row>
    <row r="4137" spans="1:2" x14ac:dyDescent="0.25">
      <c r="A4137" t="s">
        <v>7304</v>
      </c>
      <c r="B4137" t="s">
        <v>1663</v>
      </c>
    </row>
    <row r="4138" spans="1:2" x14ac:dyDescent="0.25">
      <c r="A4138" t="s">
        <v>815</v>
      </c>
      <c r="B4138" t="s">
        <v>815</v>
      </c>
    </row>
    <row r="4139" spans="1:2" x14ac:dyDescent="0.25">
      <c r="A4139" t="s">
        <v>7305</v>
      </c>
      <c r="B4139" t="s">
        <v>815</v>
      </c>
    </row>
    <row r="4140" spans="1:2" x14ac:dyDescent="0.25">
      <c r="A4140" t="s">
        <v>7306</v>
      </c>
      <c r="B4140" t="s">
        <v>815</v>
      </c>
    </row>
    <row r="4141" spans="1:2" x14ac:dyDescent="0.25">
      <c r="A4141" t="s">
        <v>2333</v>
      </c>
      <c r="B4141" t="s">
        <v>2333</v>
      </c>
    </row>
    <row r="4142" spans="1:2" x14ac:dyDescent="0.25">
      <c r="A4142" t="s">
        <v>7307</v>
      </c>
      <c r="B4142" t="s">
        <v>2333</v>
      </c>
    </row>
    <row r="4143" spans="1:2" x14ac:dyDescent="0.25">
      <c r="A4143" t="s">
        <v>7308</v>
      </c>
      <c r="B4143" t="s">
        <v>2333</v>
      </c>
    </row>
    <row r="4144" spans="1:2" x14ac:dyDescent="0.25">
      <c r="A4144" t="s">
        <v>2275</v>
      </c>
      <c r="B4144" t="s">
        <v>2275</v>
      </c>
    </row>
    <row r="4145" spans="1:2" x14ac:dyDescent="0.25">
      <c r="A4145" t="s">
        <v>7309</v>
      </c>
      <c r="B4145" t="s">
        <v>2275</v>
      </c>
    </row>
    <row r="4146" spans="1:2" x14ac:dyDescent="0.25">
      <c r="A4146" t="s">
        <v>2325</v>
      </c>
      <c r="B4146" t="s">
        <v>2325</v>
      </c>
    </row>
    <row r="4147" spans="1:2" x14ac:dyDescent="0.25">
      <c r="A4147" t="s">
        <v>7310</v>
      </c>
      <c r="B4147" t="s">
        <v>2325</v>
      </c>
    </row>
    <row r="4148" spans="1:2" x14ac:dyDescent="0.25">
      <c r="A4148" t="s">
        <v>7311</v>
      </c>
      <c r="B4148" t="s">
        <v>4667</v>
      </c>
    </row>
    <row r="4149" spans="1:2" x14ac:dyDescent="0.25">
      <c r="A4149" t="s">
        <v>7312</v>
      </c>
      <c r="B4149" t="s">
        <v>4665</v>
      </c>
    </row>
    <row r="4150" spans="1:2" x14ac:dyDescent="0.25">
      <c r="A4150" t="s">
        <v>2326</v>
      </c>
      <c r="B4150" t="s">
        <v>2326</v>
      </c>
    </row>
    <row r="4151" spans="1:2" x14ac:dyDescent="0.25">
      <c r="A4151" t="s">
        <v>7313</v>
      </c>
      <c r="B4151" t="s">
        <v>2326</v>
      </c>
    </row>
    <row r="4152" spans="1:2" x14ac:dyDescent="0.25">
      <c r="A4152" t="s">
        <v>7314</v>
      </c>
      <c r="B4152" t="s">
        <v>2326</v>
      </c>
    </row>
    <row r="4153" spans="1:2" x14ac:dyDescent="0.25">
      <c r="A4153" t="s">
        <v>2327</v>
      </c>
      <c r="B4153" t="s">
        <v>2327</v>
      </c>
    </row>
    <row r="4154" spans="1:2" x14ac:dyDescent="0.25">
      <c r="A4154" t="s">
        <v>7315</v>
      </c>
      <c r="B4154" t="s">
        <v>4661</v>
      </c>
    </row>
    <row r="4155" spans="1:2" x14ac:dyDescent="0.25">
      <c r="A4155" t="s">
        <v>7316</v>
      </c>
      <c r="B4155" t="s">
        <v>4661</v>
      </c>
    </row>
    <row r="4156" spans="1:2" x14ac:dyDescent="0.25">
      <c r="A4156" t="s">
        <v>7317</v>
      </c>
      <c r="B4156" t="s">
        <v>2327</v>
      </c>
    </row>
    <row r="4157" spans="1:2" x14ac:dyDescent="0.25">
      <c r="A4157" t="s">
        <v>7318</v>
      </c>
      <c r="B4157" t="s">
        <v>2327</v>
      </c>
    </row>
    <row r="4158" spans="1:2" x14ac:dyDescent="0.25">
      <c r="A4158" t="s">
        <v>7319</v>
      </c>
      <c r="B4158" t="s">
        <v>4943</v>
      </c>
    </row>
    <row r="4159" spans="1:2" x14ac:dyDescent="0.25">
      <c r="A4159" t="s">
        <v>2334</v>
      </c>
      <c r="B4159" t="s">
        <v>2334</v>
      </c>
    </row>
    <row r="4160" spans="1:2" x14ac:dyDescent="0.25">
      <c r="A4160" t="s">
        <v>7320</v>
      </c>
      <c r="B4160" t="s">
        <v>4760</v>
      </c>
    </row>
    <row r="4161" spans="1:2" x14ac:dyDescent="0.25">
      <c r="A4161" t="s">
        <v>7321</v>
      </c>
      <c r="B4161" t="s">
        <v>4760</v>
      </c>
    </row>
    <row r="4162" spans="1:2" x14ac:dyDescent="0.25">
      <c r="A4162" t="s">
        <v>7322</v>
      </c>
      <c r="B4162" t="s">
        <v>2334</v>
      </c>
    </row>
    <row r="4163" spans="1:2" x14ac:dyDescent="0.25">
      <c r="A4163" t="s">
        <v>7323</v>
      </c>
      <c r="B4163" t="s">
        <v>2334</v>
      </c>
    </row>
    <row r="4164" spans="1:2" x14ac:dyDescent="0.25">
      <c r="A4164" t="s">
        <v>2335</v>
      </c>
      <c r="B4164" t="s">
        <v>2335</v>
      </c>
    </row>
    <row r="4165" spans="1:2" x14ac:dyDescent="0.25">
      <c r="A4165" t="s">
        <v>7324</v>
      </c>
      <c r="B4165" t="s">
        <v>2335</v>
      </c>
    </row>
    <row r="4166" spans="1:2" x14ac:dyDescent="0.25">
      <c r="A4166" t="s">
        <v>2337</v>
      </c>
      <c r="B4166" t="s">
        <v>2337</v>
      </c>
    </row>
    <row r="4167" spans="1:2" x14ac:dyDescent="0.25">
      <c r="A4167" t="s">
        <v>7325</v>
      </c>
      <c r="B4167" t="s">
        <v>2337</v>
      </c>
    </row>
    <row r="4168" spans="1:2" x14ac:dyDescent="0.25">
      <c r="A4168" t="s">
        <v>7326</v>
      </c>
      <c r="B4168" t="s">
        <v>2337</v>
      </c>
    </row>
    <row r="4169" spans="1:2" x14ac:dyDescent="0.25">
      <c r="A4169" t="s">
        <v>2338</v>
      </c>
      <c r="B4169" t="s">
        <v>2338</v>
      </c>
    </row>
    <row r="4170" spans="1:2" x14ac:dyDescent="0.25">
      <c r="A4170" t="s">
        <v>7327</v>
      </c>
      <c r="B4170" t="s">
        <v>2338</v>
      </c>
    </row>
    <row r="4171" spans="1:2" x14ac:dyDescent="0.25">
      <c r="A4171" t="s">
        <v>7328</v>
      </c>
      <c r="B4171" t="s">
        <v>2338</v>
      </c>
    </row>
    <row r="4172" spans="1:2" x14ac:dyDescent="0.25">
      <c r="A4172" t="s">
        <v>2190</v>
      </c>
      <c r="B4172" t="s">
        <v>2190</v>
      </c>
    </row>
    <row r="4173" spans="1:2" x14ac:dyDescent="0.25">
      <c r="A4173" t="s">
        <v>7329</v>
      </c>
      <c r="B4173" t="s">
        <v>2190</v>
      </c>
    </row>
    <row r="4174" spans="1:2" x14ac:dyDescent="0.25">
      <c r="A4174" t="s">
        <v>7330</v>
      </c>
      <c r="B4174" t="s">
        <v>2190</v>
      </c>
    </row>
    <row r="4175" spans="1:2" x14ac:dyDescent="0.25">
      <c r="A4175" t="s">
        <v>7331</v>
      </c>
      <c r="B4175" t="s">
        <v>2190</v>
      </c>
    </row>
    <row r="4176" spans="1:2" x14ac:dyDescent="0.25">
      <c r="A4176" t="s">
        <v>3198</v>
      </c>
      <c r="B4176" t="s">
        <v>3198</v>
      </c>
    </row>
    <row r="4177" spans="1:2" x14ac:dyDescent="0.25">
      <c r="A4177" t="s">
        <v>7332</v>
      </c>
      <c r="B4177" t="s">
        <v>3198</v>
      </c>
    </row>
    <row r="4178" spans="1:2" x14ac:dyDescent="0.25">
      <c r="A4178" t="s">
        <v>3199</v>
      </c>
      <c r="B4178" t="s">
        <v>3199</v>
      </c>
    </row>
    <row r="4179" spans="1:2" x14ac:dyDescent="0.25">
      <c r="A4179" t="s">
        <v>7333</v>
      </c>
      <c r="B4179" t="s">
        <v>3199</v>
      </c>
    </row>
    <row r="4180" spans="1:2" x14ac:dyDescent="0.25">
      <c r="A4180" t="s">
        <v>2357</v>
      </c>
      <c r="B4180" t="s">
        <v>2357</v>
      </c>
    </row>
    <row r="4181" spans="1:2" x14ac:dyDescent="0.25">
      <c r="A4181" t="s">
        <v>7334</v>
      </c>
      <c r="B4181" t="s">
        <v>2357</v>
      </c>
    </row>
    <row r="4182" spans="1:2" x14ac:dyDescent="0.25">
      <c r="A4182" t="s">
        <v>7335</v>
      </c>
      <c r="B4182" t="s">
        <v>2357</v>
      </c>
    </row>
    <row r="4183" spans="1:2" x14ac:dyDescent="0.25">
      <c r="A4183" t="s">
        <v>7336</v>
      </c>
      <c r="B4183" t="s">
        <v>2357</v>
      </c>
    </row>
    <row r="4184" spans="1:2" x14ac:dyDescent="0.25">
      <c r="A4184" t="s">
        <v>899</v>
      </c>
      <c r="B4184" t="s">
        <v>899</v>
      </c>
    </row>
    <row r="4185" spans="1:2" x14ac:dyDescent="0.25">
      <c r="A4185" t="s">
        <v>7337</v>
      </c>
      <c r="B4185" t="s">
        <v>899</v>
      </c>
    </row>
    <row r="4186" spans="1:2" x14ac:dyDescent="0.25">
      <c r="A4186" t="s">
        <v>7338</v>
      </c>
      <c r="B4186" t="s">
        <v>7339</v>
      </c>
    </row>
    <row r="4187" spans="1:2" x14ac:dyDescent="0.25">
      <c r="A4187" t="s">
        <v>919</v>
      </c>
      <c r="B4187" t="s">
        <v>919</v>
      </c>
    </row>
    <row r="4188" spans="1:2" x14ac:dyDescent="0.25">
      <c r="A4188" t="s">
        <v>7340</v>
      </c>
      <c r="B4188" t="s">
        <v>919</v>
      </c>
    </row>
    <row r="4189" spans="1:2" x14ac:dyDescent="0.25">
      <c r="A4189" t="s">
        <v>1764</v>
      </c>
      <c r="B4189" t="s">
        <v>1764</v>
      </c>
    </row>
    <row r="4190" spans="1:2" x14ac:dyDescent="0.25">
      <c r="A4190" t="s">
        <v>7341</v>
      </c>
      <c r="B4190" t="s">
        <v>1764</v>
      </c>
    </row>
    <row r="4191" spans="1:2" x14ac:dyDescent="0.25">
      <c r="A4191" t="s">
        <v>7342</v>
      </c>
      <c r="B4191" t="s">
        <v>1764</v>
      </c>
    </row>
    <row r="4192" spans="1:2" x14ac:dyDescent="0.25">
      <c r="A4192" t="s">
        <v>2368</v>
      </c>
      <c r="B4192" t="s">
        <v>2368</v>
      </c>
    </row>
    <row r="4193" spans="1:2" x14ac:dyDescent="0.25">
      <c r="A4193" t="s">
        <v>7343</v>
      </c>
      <c r="B4193" t="s">
        <v>2368</v>
      </c>
    </row>
    <row r="4194" spans="1:2" x14ac:dyDescent="0.25">
      <c r="A4194" t="s">
        <v>7344</v>
      </c>
      <c r="B4194" t="s">
        <v>2368</v>
      </c>
    </row>
    <row r="4195" spans="1:2" x14ac:dyDescent="0.25">
      <c r="A4195" t="s">
        <v>7345</v>
      </c>
      <c r="B4195" t="s">
        <v>2368</v>
      </c>
    </row>
    <row r="4196" spans="1:2" x14ac:dyDescent="0.25">
      <c r="A4196" t="s">
        <v>2369</v>
      </c>
      <c r="B4196" t="s">
        <v>2369</v>
      </c>
    </row>
    <row r="4197" spans="1:2" x14ac:dyDescent="0.25">
      <c r="A4197" t="s">
        <v>7346</v>
      </c>
      <c r="B4197" t="s">
        <v>2369</v>
      </c>
    </row>
    <row r="4198" spans="1:2" x14ac:dyDescent="0.25">
      <c r="A4198" t="s">
        <v>7347</v>
      </c>
      <c r="B4198" t="s">
        <v>2369</v>
      </c>
    </row>
    <row r="4199" spans="1:2" x14ac:dyDescent="0.25">
      <c r="A4199" t="s">
        <v>922</v>
      </c>
      <c r="B4199" t="s">
        <v>922</v>
      </c>
    </row>
    <row r="4200" spans="1:2" x14ac:dyDescent="0.25">
      <c r="A4200" t="s">
        <v>7348</v>
      </c>
      <c r="B4200" t="s">
        <v>922</v>
      </c>
    </row>
    <row r="4201" spans="1:2" x14ac:dyDescent="0.25">
      <c r="A4201" t="s">
        <v>7349</v>
      </c>
      <c r="B4201" t="s">
        <v>922</v>
      </c>
    </row>
    <row r="4202" spans="1:2" x14ac:dyDescent="0.25">
      <c r="A4202" t="s">
        <v>7350</v>
      </c>
      <c r="B4202" t="s">
        <v>922</v>
      </c>
    </row>
    <row r="4203" spans="1:2" x14ac:dyDescent="0.25">
      <c r="A4203" t="s">
        <v>7351</v>
      </c>
      <c r="B4203" t="s">
        <v>922</v>
      </c>
    </row>
    <row r="4204" spans="1:2" x14ac:dyDescent="0.25">
      <c r="A4204" t="s">
        <v>7352</v>
      </c>
      <c r="B4204" t="s">
        <v>7352</v>
      </c>
    </row>
    <row r="4205" spans="1:2" x14ac:dyDescent="0.25">
      <c r="A4205" t="s">
        <v>7353</v>
      </c>
      <c r="B4205" t="s">
        <v>7352</v>
      </c>
    </row>
    <row r="4206" spans="1:2" x14ac:dyDescent="0.25">
      <c r="A4206" t="s">
        <v>2377</v>
      </c>
      <c r="B4206" t="s">
        <v>2377</v>
      </c>
    </row>
    <row r="4207" spans="1:2" x14ac:dyDescent="0.25">
      <c r="A4207" t="s">
        <v>2392</v>
      </c>
      <c r="B4207" t="s">
        <v>2392</v>
      </c>
    </row>
    <row r="4208" spans="1:2" x14ac:dyDescent="0.25">
      <c r="A4208" t="s">
        <v>7354</v>
      </c>
      <c r="B4208" t="s">
        <v>2392</v>
      </c>
    </row>
    <row r="4209" spans="1:2" x14ac:dyDescent="0.25">
      <c r="A4209" t="s">
        <v>2393</v>
      </c>
      <c r="B4209" t="s">
        <v>2393</v>
      </c>
    </row>
    <row r="4210" spans="1:2" x14ac:dyDescent="0.25">
      <c r="A4210" t="s">
        <v>7355</v>
      </c>
      <c r="B4210" t="s">
        <v>2393</v>
      </c>
    </row>
    <row r="4211" spans="1:2" x14ac:dyDescent="0.25">
      <c r="A4211" t="s">
        <v>1021</v>
      </c>
      <c r="B4211" t="s">
        <v>1021</v>
      </c>
    </row>
    <row r="4212" spans="1:2" x14ac:dyDescent="0.25">
      <c r="A4212" t="s">
        <v>2944</v>
      </c>
      <c r="B4212" t="s">
        <v>2944</v>
      </c>
    </row>
    <row r="4213" spans="1:2" x14ac:dyDescent="0.25">
      <c r="A4213" t="s">
        <v>7356</v>
      </c>
      <c r="B4213" t="s">
        <v>2944</v>
      </c>
    </row>
    <row r="4214" spans="1:2" x14ac:dyDescent="0.25">
      <c r="A4214" t="s">
        <v>2406</v>
      </c>
      <c r="B4214" t="s">
        <v>2406</v>
      </c>
    </row>
    <row r="4215" spans="1:2" x14ac:dyDescent="0.25">
      <c r="A4215" t="s">
        <v>7357</v>
      </c>
      <c r="B4215" t="s">
        <v>2406</v>
      </c>
    </row>
    <row r="4216" spans="1:2" x14ac:dyDescent="0.25">
      <c r="A4216" t="s">
        <v>7358</v>
      </c>
      <c r="B4216" t="s">
        <v>2406</v>
      </c>
    </row>
    <row r="4217" spans="1:2" x14ac:dyDescent="0.25">
      <c r="A4217" t="s">
        <v>1027</v>
      </c>
      <c r="B4217" t="s">
        <v>1027</v>
      </c>
    </row>
    <row r="4218" spans="1:2" x14ac:dyDescent="0.25">
      <c r="A4218" t="s">
        <v>1030</v>
      </c>
      <c r="B4218" t="s">
        <v>1030</v>
      </c>
    </row>
    <row r="4219" spans="1:2" x14ac:dyDescent="0.25">
      <c r="A4219" t="s">
        <v>350</v>
      </c>
      <c r="B4219" t="s">
        <v>350</v>
      </c>
    </row>
    <row r="4220" spans="1:2" x14ac:dyDescent="0.25">
      <c r="A4220" t="s">
        <v>7359</v>
      </c>
      <c r="B4220" t="s">
        <v>350</v>
      </c>
    </row>
    <row r="4221" spans="1:2" x14ac:dyDescent="0.25">
      <c r="A4221" t="s">
        <v>7360</v>
      </c>
      <c r="B4221" t="s">
        <v>350</v>
      </c>
    </row>
    <row r="4222" spans="1:2" x14ac:dyDescent="0.25">
      <c r="A4222" t="s">
        <v>7361</v>
      </c>
      <c r="B4222" t="s">
        <v>350</v>
      </c>
    </row>
    <row r="4223" spans="1:2" x14ac:dyDescent="0.25">
      <c r="A4223" t="s">
        <v>1934</v>
      </c>
      <c r="B4223" t="s">
        <v>1934</v>
      </c>
    </row>
    <row r="4224" spans="1:2" x14ac:dyDescent="0.25">
      <c r="A4224" t="s">
        <v>7362</v>
      </c>
      <c r="B4224" t="s">
        <v>1934</v>
      </c>
    </row>
    <row r="4225" spans="1:2" x14ac:dyDescent="0.25">
      <c r="A4225" t="s">
        <v>7363</v>
      </c>
      <c r="B4225" t="s">
        <v>7363</v>
      </c>
    </row>
    <row r="4226" spans="1:2" x14ac:dyDescent="0.25">
      <c r="A4226" t="s">
        <v>7364</v>
      </c>
      <c r="B4226" t="s">
        <v>7363</v>
      </c>
    </row>
    <row r="4227" spans="1:2" x14ac:dyDescent="0.25">
      <c r="A4227" t="s">
        <v>2416</v>
      </c>
      <c r="B4227" t="s">
        <v>2416</v>
      </c>
    </row>
    <row r="4228" spans="1:2" x14ac:dyDescent="0.25">
      <c r="A4228" t="s">
        <v>7365</v>
      </c>
      <c r="B4228" t="s">
        <v>2416</v>
      </c>
    </row>
    <row r="4229" spans="1:2" x14ac:dyDescent="0.25">
      <c r="A4229" t="s">
        <v>7366</v>
      </c>
      <c r="B4229" t="s">
        <v>4326</v>
      </c>
    </row>
    <row r="4230" spans="1:2" x14ac:dyDescent="0.25">
      <c r="A4230" t="s">
        <v>4328</v>
      </c>
      <c r="B4230" t="s">
        <v>4328</v>
      </c>
    </row>
    <row r="4231" spans="1:2" x14ac:dyDescent="0.25">
      <c r="A4231" t="s">
        <v>7367</v>
      </c>
      <c r="B4231" t="s">
        <v>4328</v>
      </c>
    </row>
    <row r="4232" spans="1:2" x14ac:dyDescent="0.25">
      <c r="A4232" t="s">
        <v>7368</v>
      </c>
      <c r="B4232" t="s">
        <v>7368</v>
      </c>
    </row>
    <row r="4233" spans="1:2" x14ac:dyDescent="0.25">
      <c r="A4233" t="s">
        <v>3200</v>
      </c>
      <c r="B4233" t="s">
        <v>3200</v>
      </c>
    </row>
    <row r="4234" spans="1:2" x14ac:dyDescent="0.25">
      <c r="A4234" t="s">
        <v>7369</v>
      </c>
      <c r="B4234" t="s">
        <v>3200</v>
      </c>
    </row>
    <row r="4235" spans="1:2" x14ac:dyDescent="0.25">
      <c r="A4235" t="s">
        <v>7370</v>
      </c>
      <c r="B4235" t="s">
        <v>4331</v>
      </c>
    </row>
    <row r="4236" spans="1:2" x14ac:dyDescent="0.25">
      <c r="A4236" t="s">
        <v>4333</v>
      </c>
      <c r="B4236" t="s">
        <v>4333</v>
      </c>
    </row>
    <row r="4237" spans="1:2" x14ac:dyDescent="0.25">
      <c r="A4237" t="s">
        <v>7371</v>
      </c>
      <c r="B4237" t="s">
        <v>4333</v>
      </c>
    </row>
    <row r="4238" spans="1:2" x14ac:dyDescent="0.25">
      <c r="A4238" t="s">
        <v>4335</v>
      </c>
      <c r="B4238" t="s">
        <v>4335</v>
      </c>
    </row>
    <row r="4239" spans="1:2" x14ac:dyDescent="0.25">
      <c r="A4239" t="s">
        <v>7372</v>
      </c>
      <c r="B4239" t="s">
        <v>4335</v>
      </c>
    </row>
    <row r="4240" spans="1:2" x14ac:dyDescent="0.25">
      <c r="A4240" t="s">
        <v>155</v>
      </c>
      <c r="B4240" t="s">
        <v>155</v>
      </c>
    </row>
    <row r="4241" spans="1:2" x14ac:dyDescent="0.25">
      <c r="A4241" t="s">
        <v>7373</v>
      </c>
      <c r="B4241" t="s">
        <v>155</v>
      </c>
    </row>
    <row r="4242" spans="1:2" x14ac:dyDescent="0.25">
      <c r="A4242" t="s">
        <v>7374</v>
      </c>
      <c r="B4242" t="s">
        <v>155</v>
      </c>
    </row>
    <row r="4243" spans="1:2" x14ac:dyDescent="0.25">
      <c r="A4243" t="s">
        <v>2276</v>
      </c>
      <c r="B4243" t="s">
        <v>2276</v>
      </c>
    </row>
    <row r="4244" spans="1:2" x14ac:dyDescent="0.25">
      <c r="A4244" t="s">
        <v>7375</v>
      </c>
      <c r="B4244" t="s">
        <v>2276</v>
      </c>
    </row>
    <row r="4245" spans="1:2" x14ac:dyDescent="0.25">
      <c r="A4245" t="s">
        <v>3201</v>
      </c>
      <c r="B4245" t="s">
        <v>3201</v>
      </c>
    </row>
    <row r="4246" spans="1:2" x14ac:dyDescent="0.25">
      <c r="A4246" t="s">
        <v>7376</v>
      </c>
      <c r="B4246" t="s">
        <v>3201</v>
      </c>
    </row>
    <row r="4247" spans="1:2" x14ac:dyDescent="0.25">
      <c r="A4247" t="s">
        <v>7377</v>
      </c>
      <c r="B4247" t="s">
        <v>7377</v>
      </c>
    </row>
    <row r="4248" spans="1:2" x14ac:dyDescent="0.25">
      <c r="A4248" t="s">
        <v>7378</v>
      </c>
      <c r="B4248" t="s">
        <v>7377</v>
      </c>
    </row>
    <row r="4249" spans="1:2" x14ac:dyDescent="0.25">
      <c r="A4249" t="s">
        <v>2277</v>
      </c>
      <c r="B4249" t="s">
        <v>2277</v>
      </c>
    </row>
    <row r="4250" spans="1:2" x14ac:dyDescent="0.25">
      <c r="A4250" t="s">
        <v>7379</v>
      </c>
      <c r="B4250" t="s">
        <v>2277</v>
      </c>
    </row>
    <row r="4251" spans="1:2" x14ac:dyDescent="0.25">
      <c r="A4251" t="s">
        <v>7380</v>
      </c>
      <c r="B4251" t="s">
        <v>2277</v>
      </c>
    </row>
    <row r="4252" spans="1:2" x14ac:dyDescent="0.25">
      <c r="A4252" t="s">
        <v>2278</v>
      </c>
      <c r="B4252" t="s">
        <v>2278</v>
      </c>
    </row>
    <row r="4253" spans="1:2" x14ac:dyDescent="0.25">
      <c r="A4253" t="s">
        <v>7381</v>
      </c>
      <c r="B4253" t="s">
        <v>2278</v>
      </c>
    </row>
    <row r="4254" spans="1:2" x14ac:dyDescent="0.25">
      <c r="A4254" t="s">
        <v>7382</v>
      </c>
      <c r="B4254" t="s">
        <v>2278</v>
      </c>
    </row>
    <row r="4255" spans="1:2" x14ac:dyDescent="0.25">
      <c r="A4255" t="s">
        <v>7383</v>
      </c>
      <c r="B4255" t="s">
        <v>7383</v>
      </c>
    </row>
    <row r="4256" spans="1:2" x14ac:dyDescent="0.25">
      <c r="A4256" t="s">
        <v>4343</v>
      </c>
      <c r="B4256" t="s">
        <v>4343</v>
      </c>
    </row>
    <row r="4257" spans="1:2" x14ac:dyDescent="0.25">
      <c r="A4257" t="s">
        <v>7384</v>
      </c>
      <c r="B4257" t="s">
        <v>4343</v>
      </c>
    </row>
    <row r="4258" spans="1:2" x14ac:dyDescent="0.25">
      <c r="A4258" t="s">
        <v>3202</v>
      </c>
      <c r="B4258" t="s">
        <v>3202</v>
      </c>
    </row>
    <row r="4259" spans="1:2" x14ac:dyDescent="0.25">
      <c r="A4259" t="s">
        <v>7385</v>
      </c>
      <c r="B4259" t="s">
        <v>3202</v>
      </c>
    </row>
    <row r="4260" spans="1:2" x14ac:dyDescent="0.25">
      <c r="A4260" t="s">
        <v>2523</v>
      </c>
      <c r="B4260" t="s">
        <v>2523</v>
      </c>
    </row>
    <row r="4261" spans="1:2" x14ac:dyDescent="0.25">
      <c r="A4261" t="s">
        <v>7386</v>
      </c>
      <c r="B4261" t="s">
        <v>2523</v>
      </c>
    </row>
    <row r="4262" spans="1:2" x14ac:dyDescent="0.25">
      <c r="A4262" t="s">
        <v>1581</v>
      </c>
      <c r="B4262" t="s">
        <v>1581</v>
      </c>
    </row>
    <row r="4263" spans="1:2" x14ac:dyDescent="0.25">
      <c r="A4263" t="s">
        <v>7387</v>
      </c>
      <c r="B4263" t="s">
        <v>1581</v>
      </c>
    </row>
    <row r="4264" spans="1:2" x14ac:dyDescent="0.25">
      <c r="A4264" t="s">
        <v>2525</v>
      </c>
      <c r="B4264" t="s">
        <v>2525</v>
      </c>
    </row>
    <row r="4265" spans="1:2" x14ac:dyDescent="0.25">
      <c r="A4265" t="s">
        <v>7388</v>
      </c>
      <c r="B4265" t="s">
        <v>2525</v>
      </c>
    </row>
    <row r="4266" spans="1:2" x14ac:dyDescent="0.25">
      <c r="A4266" t="s">
        <v>2279</v>
      </c>
      <c r="B4266" t="s">
        <v>2279</v>
      </c>
    </row>
    <row r="4267" spans="1:2" x14ac:dyDescent="0.25">
      <c r="A4267" t="s">
        <v>7389</v>
      </c>
      <c r="B4267" t="s">
        <v>2279</v>
      </c>
    </row>
    <row r="4268" spans="1:2" x14ac:dyDescent="0.25">
      <c r="A4268" t="s">
        <v>7390</v>
      </c>
      <c r="B4268" t="s">
        <v>2279</v>
      </c>
    </row>
    <row r="4269" spans="1:2" x14ac:dyDescent="0.25">
      <c r="A4269" t="s">
        <v>7391</v>
      </c>
      <c r="B4269" t="s">
        <v>2279</v>
      </c>
    </row>
    <row r="4270" spans="1:2" x14ac:dyDescent="0.25">
      <c r="A4270" t="s">
        <v>4350</v>
      </c>
      <c r="B4270" t="s">
        <v>4350</v>
      </c>
    </row>
    <row r="4271" spans="1:2" x14ac:dyDescent="0.25">
      <c r="A4271" t="s">
        <v>7392</v>
      </c>
      <c r="B4271" t="s">
        <v>4350</v>
      </c>
    </row>
    <row r="4272" spans="1:2" x14ac:dyDescent="0.25">
      <c r="A4272" t="s">
        <v>2280</v>
      </c>
      <c r="B4272" t="s">
        <v>2280</v>
      </c>
    </row>
    <row r="4273" spans="1:2" x14ac:dyDescent="0.25">
      <c r="A4273" t="s">
        <v>7393</v>
      </c>
      <c r="B4273" t="s">
        <v>2280</v>
      </c>
    </row>
    <row r="4274" spans="1:2" x14ac:dyDescent="0.25">
      <c r="A4274" t="s">
        <v>4353</v>
      </c>
      <c r="B4274" t="s">
        <v>4353</v>
      </c>
    </row>
    <row r="4275" spans="1:2" x14ac:dyDescent="0.25">
      <c r="A4275" t="s">
        <v>7394</v>
      </c>
      <c r="B4275" t="s">
        <v>4353</v>
      </c>
    </row>
    <row r="4276" spans="1:2" x14ac:dyDescent="0.25">
      <c r="A4276" t="s">
        <v>4355</v>
      </c>
      <c r="B4276" t="s">
        <v>4355</v>
      </c>
    </row>
    <row r="4277" spans="1:2" x14ac:dyDescent="0.25">
      <c r="A4277" t="s">
        <v>7395</v>
      </c>
      <c r="B4277" t="s">
        <v>4355</v>
      </c>
    </row>
    <row r="4278" spans="1:2" x14ac:dyDescent="0.25">
      <c r="A4278" t="s">
        <v>4357</v>
      </c>
      <c r="B4278" t="s">
        <v>4357</v>
      </c>
    </row>
    <row r="4279" spans="1:2" x14ac:dyDescent="0.25">
      <c r="A4279" t="s">
        <v>7396</v>
      </c>
      <c r="B4279" t="s">
        <v>4357</v>
      </c>
    </row>
    <row r="4280" spans="1:2" x14ac:dyDescent="0.25">
      <c r="A4280" t="s">
        <v>2281</v>
      </c>
      <c r="B4280" t="s">
        <v>2281</v>
      </c>
    </row>
    <row r="4281" spans="1:2" x14ac:dyDescent="0.25">
      <c r="A4281" t="s">
        <v>7397</v>
      </c>
      <c r="B4281" t="s">
        <v>2281</v>
      </c>
    </row>
    <row r="4282" spans="1:2" x14ac:dyDescent="0.25">
      <c r="A4282" t="s">
        <v>2780</v>
      </c>
      <c r="B4282" t="s">
        <v>2780</v>
      </c>
    </row>
    <row r="4283" spans="1:2" x14ac:dyDescent="0.25">
      <c r="A4283" t="s">
        <v>7398</v>
      </c>
      <c r="B4283" t="s">
        <v>2780</v>
      </c>
    </row>
    <row r="4284" spans="1:2" x14ac:dyDescent="0.25">
      <c r="A4284" t="s">
        <v>2282</v>
      </c>
      <c r="B4284" t="s">
        <v>2282</v>
      </c>
    </row>
    <row r="4285" spans="1:2" x14ac:dyDescent="0.25">
      <c r="A4285" t="s">
        <v>7399</v>
      </c>
      <c r="B4285" t="s">
        <v>2282</v>
      </c>
    </row>
    <row r="4286" spans="1:2" x14ac:dyDescent="0.25">
      <c r="A4286" t="s">
        <v>7400</v>
      </c>
      <c r="B4286" t="s">
        <v>2282</v>
      </c>
    </row>
    <row r="4287" spans="1:2" x14ac:dyDescent="0.25">
      <c r="A4287" t="s">
        <v>7401</v>
      </c>
      <c r="B4287" t="s">
        <v>4364</v>
      </c>
    </row>
    <row r="4288" spans="1:2" x14ac:dyDescent="0.25">
      <c r="A4288" t="s">
        <v>7402</v>
      </c>
      <c r="B4288" t="s">
        <v>4366</v>
      </c>
    </row>
    <row r="4289" spans="1:2" x14ac:dyDescent="0.25">
      <c r="A4289" t="s">
        <v>7403</v>
      </c>
      <c r="B4289" t="s">
        <v>4368</v>
      </c>
    </row>
    <row r="4290" spans="1:2" x14ac:dyDescent="0.25">
      <c r="A4290" t="s">
        <v>7404</v>
      </c>
      <c r="B4290" t="s">
        <v>4362</v>
      </c>
    </row>
    <row r="4291" spans="1:2" x14ac:dyDescent="0.25">
      <c r="A4291" t="s">
        <v>7405</v>
      </c>
      <c r="B4291" t="s">
        <v>4372</v>
      </c>
    </row>
    <row r="4292" spans="1:2" x14ac:dyDescent="0.25">
      <c r="A4292" t="s">
        <v>7406</v>
      </c>
      <c r="B4292" t="s">
        <v>4374</v>
      </c>
    </row>
    <row r="4293" spans="1:2" x14ac:dyDescent="0.25">
      <c r="A4293" t="s">
        <v>7407</v>
      </c>
      <c r="B4293" t="s">
        <v>4376</v>
      </c>
    </row>
    <row r="4294" spans="1:2" x14ac:dyDescent="0.25">
      <c r="A4294" t="s">
        <v>7408</v>
      </c>
      <c r="B4294" t="s">
        <v>4370</v>
      </c>
    </row>
    <row r="4295" spans="1:2" x14ac:dyDescent="0.25">
      <c r="A4295" t="s">
        <v>7409</v>
      </c>
      <c r="B4295" t="s">
        <v>4378</v>
      </c>
    </row>
    <row r="4296" spans="1:2" x14ac:dyDescent="0.25">
      <c r="A4296" t="s">
        <v>7410</v>
      </c>
      <c r="B4296" t="s">
        <v>4382</v>
      </c>
    </row>
    <row r="4297" spans="1:2" x14ac:dyDescent="0.25">
      <c r="A4297" t="s">
        <v>7411</v>
      </c>
      <c r="B4297" t="s">
        <v>4384</v>
      </c>
    </row>
    <row r="4298" spans="1:2" x14ac:dyDescent="0.25">
      <c r="A4298" t="s">
        <v>7412</v>
      </c>
      <c r="B4298" t="s">
        <v>4386</v>
      </c>
    </row>
    <row r="4299" spans="1:2" x14ac:dyDescent="0.25">
      <c r="A4299" t="s">
        <v>7413</v>
      </c>
      <c r="B4299" t="s">
        <v>4380</v>
      </c>
    </row>
    <row r="4300" spans="1:2" x14ac:dyDescent="0.25">
      <c r="A4300" t="s">
        <v>7414</v>
      </c>
      <c r="B4300" t="s">
        <v>2527</v>
      </c>
    </row>
    <row r="4301" spans="1:2" x14ac:dyDescent="0.25">
      <c r="A4301" t="s">
        <v>4389</v>
      </c>
      <c r="B4301" t="s">
        <v>4389</v>
      </c>
    </row>
    <row r="4302" spans="1:2" x14ac:dyDescent="0.25">
      <c r="A4302" t="s">
        <v>7415</v>
      </c>
      <c r="B4302" t="s">
        <v>4389</v>
      </c>
    </row>
    <row r="4303" spans="1:2" x14ac:dyDescent="0.25">
      <c r="A4303" t="s">
        <v>4391</v>
      </c>
      <c r="B4303" t="s">
        <v>4391</v>
      </c>
    </row>
    <row r="4304" spans="1:2" x14ac:dyDescent="0.25">
      <c r="A4304" t="s">
        <v>7416</v>
      </c>
      <c r="B4304" t="s">
        <v>4391</v>
      </c>
    </row>
    <row r="4305" spans="1:2" x14ac:dyDescent="0.25">
      <c r="A4305" t="s">
        <v>157</v>
      </c>
      <c r="B4305" t="s">
        <v>157</v>
      </c>
    </row>
    <row r="4306" spans="1:2" x14ac:dyDescent="0.25">
      <c r="A4306" t="s">
        <v>7417</v>
      </c>
      <c r="B4306" t="s">
        <v>157</v>
      </c>
    </row>
    <row r="4307" spans="1:2" x14ac:dyDescent="0.25">
      <c r="A4307" t="s">
        <v>7418</v>
      </c>
      <c r="B4307" t="s">
        <v>157</v>
      </c>
    </row>
    <row r="4308" spans="1:2" x14ac:dyDescent="0.25">
      <c r="A4308" t="s">
        <v>7419</v>
      </c>
      <c r="B4308" t="s">
        <v>157</v>
      </c>
    </row>
    <row r="4309" spans="1:2" x14ac:dyDescent="0.25">
      <c r="A4309" t="s">
        <v>7420</v>
      </c>
      <c r="B4309" t="s">
        <v>157</v>
      </c>
    </row>
    <row r="4310" spans="1:2" x14ac:dyDescent="0.25">
      <c r="A4310" t="s">
        <v>7421</v>
      </c>
      <c r="B4310" t="s">
        <v>157</v>
      </c>
    </row>
    <row r="4311" spans="1:2" x14ac:dyDescent="0.25">
      <c r="A4311" t="s">
        <v>2283</v>
      </c>
      <c r="B4311" t="s">
        <v>2283</v>
      </c>
    </row>
    <row r="4312" spans="1:2" x14ac:dyDescent="0.25">
      <c r="A4312" t="s">
        <v>7422</v>
      </c>
      <c r="B4312" t="s">
        <v>2283</v>
      </c>
    </row>
    <row r="4313" spans="1:2" x14ac:dyDescent="0.25">
      <c r="A4313" t="s">
        <v>7423</v>
      </c>
      <c r="B4313" t="s">
        <v>7423</v>
      </c>
    </row>
    <row r="4314" spans="1:2" x14ac:dyDescent="0.25">
      <c r="A4314" t="s">
        <v>7424</v>
      </c>
      <c r="B4314" t="s">
        <v>3373</v>
      </c>
    </row>
    <row r="4315" spans="1:2" x14ac:dyDescent="0.25">
      <c r="A4315" t="s">
        <v>7425</v>
      </c>
      <c r="B4315" t="s">
        <v>4396</v>
      </c>
    </row>
    <row r="4316" spans="1:2" x14ac:dyDescent="0.25">
      <c r="A4316" t="s">
        <v>7426</v>
      </c>
      <c r="B4316" t="s">
        <v>4398</v>
      </c>
    </row>
    <row r="4317" spans="1:2" x14ac:dyDescent="0.25">
      <c r="A4317" t="s">
        <v>4400</v>
      </c>
      <c r="B4317" t="s">
        <v>4400</v>
      </c>
    </row>
    <row r="4318" spans="1:2" x14ac:dyDescent="0.25">
      <c r="A4318" t="s">
        <v>7427</v>
      </c>
      <c r="B4318" t="s">
        <v>4400</v>
      </c>
    </row>
    <row r="4319" spans="1:2" x14ac:dyDescent="0.25">
      <c r="A4319" t="s">
        <v>3203</v>
      </c>
      <c r="B4319" t="s">
        <v>3203</v>
      </c>
    </row>
    <row r="4320" spans="1:2" x14ac:dyDescent="0.25">
      <c r="A4320" t="s">
        <v>7428</v>
      </c>
      <c r="B4320" t="s">
        <v>3203</v>
      </c>
    </row>
    <row r="4321" spans="1:2" x14ac:dyDescent="0.25">
      <c r="A4321" t="s">
        <v>2284</v>
      </c>
      <c r="B4321" t="s">
        <v>2284</v>
      </c>
    </row>
    <row r="4322" spans="1:2" x14ac:dyDescent="0.25">
      <c r="A4322" t="s">
        <v>7429</v>
      </c>
      <c r="B4322" t="s">
        <v>2284</v>
      </c>
    </row>
    <row r="4323" spans="1:2" x14ac:dyDescent="0.25">
      <c r="A4323" t="s">
        <v>7430</v>
      </c>
      <c r="B4323" t="s">
        <v>4404</v>
      </c>
    </row>
    <row r="4324" spans="1:2" x14ac:dyDescent="0.25">
      <c r="A4324" t="s">
        <v>7431</v>
      </c>
      <c r="B4324" t="s">
        <v>4406</v>
      </c>
    </row>
    <row r="4325" spans="1:2" x14ac:dyDescent="0.25">
      <c r="A4325" t="s">
        <v>2286</v>
      </c>
      <c r="B4325" t="s">
        <v>2286</v>
      </c>
    </row>
    <row r="4326" spans="1:2" x14ac:dyDescent="0.25">
      <c r="A4326" t="s">
        <v>7432</v>
      </c>
      <c r="B4326" t="s">
        <v>2286</v>
      </c>
    </row>
    <row r="4327" spans="1:2" x14ac:dyDescent="0.25">
      <c r="A4327" t="s">
        <v>3204</v>
      </c>
      <c r="B4327" t="s">
        <v>3204</v>
      </c>
    </row>
    <row r="4328" spans="1:2" x14ac:dyDescent="0.25">
      <c r="A4328" t="s">
        <v>7433</v>
      </c>
      <c r="B4328" t="s">
        <v>3204</v>
      </c>
    </row>
    <row r="4329" spans="1:2" x14ac:dyDescent="0.25">
      <c r="A4329" t="s">
        <v>4410</v>
      </c>
      <c r="B4329" t="s">
        <v>4410</v>
      </c>
    </row>
    <row r="4330" spans="1:2" x14ac:dyDescent="0.25">
      <c r="A4330" t="s">
        <v>4412</v>
      </c>
      <c r="B4330" t="s">
        <v>4412</v>
      </c>
    </row>
    <row r="4331" spans="1:2" x14ac:dyDescent="0.25">
      <c r="A4331" t="s">
        <v>7434</v>
      </c>
      <c r="B4331" t="s">
        <v>4412</v>
      </c>
    </row>
    <row r="4332" spans="1:2" x14ac:dyDescent="0.25">
      <c r="A4332" t="s">
        <v>4414</v>
      </c>
      <c r="B4332" t="s">
        <v>4414</v>
      </c>
    </row>
    <row r="4333" spans="1:2" x14ac:dyDescent="0.25">
      <c r="A4333" t="s">
        <v>7435</v>
      </c>
      <c r="B4333" t="s">
        <v>4414</v>
      </c>
    </row>
    <row r="4334" spans="1:2" x14ac:dyDescent="0.25">
      <c r="A4334" t="s">
        <v>7436</v>
      </c>
      <c r="B4334" t="s">
        <v>7436</v>
      </c>
    </row>
    <row r="4335" spans="1:2" x14ac:dyDescent="0.25">
      <c r="A4335" t="s">
        <v>7437</v>
      </c>
      <c r="B4335" t="s">
        <v>7436</v>
      </c>
    </row>
    <row r="4336" spans="1:2" x14ac:dyDescent="0.25">
      <c r="A4336" t="s">
        <v>4417</v>
      </c>
      <c r="B4336" t="s">
        <v>4417</v>
      </c>
    </row>
    <row r="4337" spans="1:2" x14ac:dyDescent="0.25">
      <c r="A4337" t="s">
        <v>7438</v>
      </c>
      <c r="B4337" t="s">
        <v>4417</v>
      </c>
    </row>
    <row r="4338" spans="1:2" x14ac:dyDescent="0.25">
      <c r="A4338" t="s">
        <v>7439</v>
      </c>
      <c r="B4338" t="s">
        <v>4419</v>
      </c>
    </row>
    <row r="4339" spans="1:2" x14ac:dyDescent="0.25">
      <c r="A4339" t="s">
        <v>1583</v>
      </c>
      <c r="B4339" t="s">
        <v>1583</v>
      </c>
    </row>
    <row r="4340" spans="1:2" x14ac:dyDescent="0.25">
      <c r="A4340" t="s">
        <v>7440</v>
      </c>
      <c r="B4340" t="s">
        <v>1583</v>
      </c>
    </row>
    <row r="4341" spans="1:2" x14ac:dyDescent="0.25">
      <c r="A4341" t="s">
        <v>7441</v>
      </c>
      <c r="B4341" t="s">
        <v>7441</v>
      </c>
    </row>
    <row r="4342" spans="1:2" x14ac:dyDescent="0.25">
      <c r="A4342" t="s">
        <v>2530</v>
      </c>
      <c r="B4342" t="s">
        <v>2530</v>
      </c>
    </row>
    <row r="4343" spans="1:2" x14ac:dyDescent="0.25">
      <c r="A4343" t="s">
        <v>2287</v>
      </c>
      <c r="B4343" t="s">
        <v>2287</v>
      </c>
    </row>
    <row r="4344" spans="1:2" x14ac:dyDescent="0.25">
      <c r="A4344" t="s">
        <v>7442</v>
      </c>
      <c r="B4344" t="s">
        <v>2287</v>
      </c>
    </row>
    <row r="4345" spans="1:2" x14ac:dyDescent="0.25">
      <c r="A4345" t="s">
        <v>7443</v>
      </c>
      <c r="B4345" t="s">
        <v>2287</v>
      </c>
    </row>
    <row r="4346" spans="1:2" x14ac:dyDescent="0.25">
      <c r="A4346" t="s">
        <v>2288</v>
      </c>
      <c r="B4346" t="s">
        <v>2288</v>
      </c>
    </row>
    <row r="4347" spans="1:2" x14ac:dyDescent="0.25">
      <c r="A4347" t="s">
        <v>7444</v>
      </c>
      <c r="B4347" t="s">
        <v>2288</v>
      </c>
    </row>
    <row r="4348" spans="1:2" x14ac:dyDescent="0.25">
      <c r="A4348" t="s">
        <v>7445</v>
      </c>
      <c r="B4348" t="s">
        <v>2288</v>
      </c>
    </row>
    <row r="4349" spans="1:2" x14ac:dyDescent="0.25">
      <c r="A4349" t="s">
        <v>7446</v>
      </c>
      <c r="B4349" t="s">
        <v>2288</v>
      </c>
    </row>
    <row r="4350" spans="1:2" x14ac:dyDescent="0.25">
      <c r="A4350" t="s">
        <v>2289</v>
      </c>
      <c r="B4350" t="s">
        <v>2289</v>
      </c>
    </row>
    <row r="4351" spans="1:2" x14ac:dyDescent="0.25">
      <c r="A4351" t="s">
        <v>7447</v>
      </c>
      <c r="B4351" t="s">
        <v>2289</v>
      </c>
    </row>
    <row r="4352" spans="1:2" x14ac:dyDescent="0.25">
      <c r="A4352" t="s">
        <v>1585</v>
      </c>
      <c r="B4352" t="s">
        <v>1585</v>
      </c>
    </row>
    <row r="4353" spans="1:2" x14ac:dyDescent="0.25">
      <c r="A4353" t="s">
        <v>7448</v>
      </c>
      <c r="B4353" t="s">
        <v>1585</v>
      </c>
    </row>
    <row r="4354" spans="1:2" x14ac:dyDescent="0.25">
      <c r="A4354" t="s">
        <v>1587</v>
      </c>
      <c r="B4354" t="s">
        <v>1587</v>
      </c>
    </row>
    <row r="4355" spans="1:2" x14ac:dyDescent="0.25">
      <c r="A4355" t="s">
        <v>7449</v>
      </c>
      <c r="B4355" t="s">
        <v>1587</v>
      </c>
    </row>
    <row r="4356" spans="1:2" x14ac:dyDescent="0.25">
      <c r="A4356" t="s">
        <v>1589</v>
      </c>
      <c r="B4356" t="s">
        <v>1589</v>
      </c>
    </row>
    <row r="4357" spans="1:2" x14ac:dyDescent="0.25">
      <c r="A4357" t="s">
        <v>7450</v>
      </c>
      <c r="B4357" t="s">
        <v>1589</v>
      </c>
    </row>
    <row r="4358" spans="1:2" x14ac:dyDescent="0.25">
      <c r="A4358" t="s">
        <v>2290</v>
      </c>
      <c r="B4358" t="s">
        <v>2290</v>
      </c>
    </row>
    <row r="4359" spans="1:2" x14ac:dyDescent="0.25">
      <c r="A4359" t="s">
        <v>7451</v>
      </c>
      <c r="B4359" t="s">
        <v>2290</v>
      </c>
    </row>
    <row r="4360" spans="1:2" x14ac:dyDescent="0.25">
      <c r="A4360" t="s">
        <v>7452</v>
      </c>
      <c r="B4360" t="s">
        <v>2290</v>
      </c>
    </row>
    <row r="4361" spans="1:2" x14ac:dyDescent="0.25">
      <c r="A4361" t="s">
        <v>7453</v>
      </c>
      <c r="B4361" t="s">
        <v>2290</v>
      </c>
    </row>
    <row r="4362" spans="1:2" x14ac:dyDescent="0.25">
      <c r="A4362" t="s">
        <v>2291</v>
      </c>
      <c r="B4362" t="s">
        <v>2291</v>
      </c>
    </row>
    <row r="4363" spans="1:2" x14ac:dyDescent="0.25">
      <c r="A4363" t="s">
        <v>7454</v>
      </c>
      <c r="B4363" t="s">
        <v>2291</v>
      </c>
    </row>
    <row r="4364" spans="1:2" x14ac:dyDescent="0.25">
      <c r="A4364" t="s">
        <v>7455</v>
      </c>
      <c r="B4364" t="s">
        <v>2291</v>
      </c>
    </row>
    <row r="4365" spans="1:2" x14ac:dyDescent="0.25">
      <c r="A4365" t="s">
        <v>7456</v>
      </c>
      <c r="B4365" t="s">
        <v>2291</v>
      </c>
    </row>
    <row r="4366" spans="1:2" x14ac:dyDescent="0.25">
      <c r="A4366" t="s">
        <v>7457</v>
      </c>
      <c r="B4366" t="s">
        <v>2291</v>
      </c>
    </row>
    <row r="4367" spans="1:2" x14ac:dyDescent="0.25">
      <c r="A4367" t="s">
        <v>730</v>
      </c>
      <c r="B4367" t="s">
        <v>730</v>
      </c>
    </row>
    <row r="4368" spans="1:2" x14ac:dyDescent="0.25">
      <c r="A4368" t="s">
        <v>7458</v>
      </c>
      <c r="B4368" t="s">
        <v>730</v>
      </c>
    </row>
    <row r="4369" spans="1:2" x14ac:dyDescent="0.25">
      <c r="A4369" t="s">
        <v>7459</v>
      </c>
      <c r="B4369" t="s">
        <v>730</v>
      </c>
    </row>
    <row r="4370" spans="1:2" x14ac:dyDescent="0.25">
      <c r="A4370" t="s">
        <v>2292</v>
      </c>
      <c r="B4370" t="s">
        <v>2292</v>
      </c>
    </row>
    <row r="4371" spans="1:2" x14ac:dyDescent="0.25">
      <c r="A4371" t="s">
        <v>7460</v>
      </c>
      <c r="B4371" t="s">
        <v>2292</v>
      </c>
    </row>
    <row r="4372" spans="1:2" x14ac:dyDescent="0.25">
      <c r="A4372" t="s">
        <v>7461</v>
      </c>
      <c r="B4372" t="s">
        <v>2292</v>
      </c>
    </row>
    <row r="4373" spans="1:2" x14ac:dyDescent="0.25">
      <c r="A4373" t="s">
        <v>2293</v>
      </c>
      <c r="B4373" t="s">
        <v>2293</v>
      </c>
    </row>
    <row r="4374" spans="1:2" x14ac:dyDescent="0.25">
      <c r="A4374" t="s">
        <v>7462</v>
      </c>
      <c r="B4374" t="s">
        <v>2293</v>
      </c>
    </row>
    <row r="4375" spans="1:2" x14ac:dyDescent="0.25">
      <c r="A4375" t="s">
        <v>7463</v>
      </c>
      <c r="B4375" t="s">
        <v>2293</v>
      </c>
    </row>
    <row r="4376" spans="1:2" x14ac:dyDescent="0.25">
      <c r="A4376" t="s">
        <v>159</v>
      </c>
      <c r="B4376" t="s">
        <v>159</v>
      </c>
    </row>
    <row r="4377" spans="1:2" x14ac:dyDescent="0.25">
      <c r="A4377" t="s">
        <v>7464</v>
      </c>
      <c r="B4377" t="s">
        <v>159</v>
      </c>
    </row>
    <row r="4378" spans="1:2" x14ac:dyDescent="0.25">
      <c r="A4378" t="s">
        <v>7465</v>
      </c>
      <c r="B4378" t="s">
        <v>159</v>
      </c>
    </row>
    <row r="4379" spans="1:2" x14ac:dyDescent="0.25">
      <c r="A4379" t="s">
        <v>7466</v>
      </c>
      <c r="B4379" t="s">
        <v>159</v>
      </c>
    </row>
    <row r="4380" spans="1:2" x14ac:dyDescent="0.25">
      <c r="A4380" t="s">
        <v>7467</v>
      </c>
      <c r="B4380" t="s">
        <v>159</v>
      </c>
    </row>
    <row r="4381" spans="1:2" x14ac:dyDescent="0.25">
      <c r="A4381" t="s">
        <v>7468</v>
      </c>
      <c r="B4381" t="s">
        <v>159</v>
      </c>
    </row>
    <row r="4382" spans="1:2" x14ac:dyDescent="0.25">
      <c r="A4382" t="s">
        <v>7469</v>
      </c>
      <c r="B4382" t="s">
        <v>159</v>
      </c>
    </row>
    <row r="4383" spans="1:2" x14ac:dyDescent="0.25">
      <c r="A4383" t="s">
        <v>733</v>
      </c>
      <c r="B4383" t="s">
        <v>733</v>
      </c>
    </row>
    <row r="4384" spans="1:2" x14ac:dyDescent="0.25">
      <c r="A4384" t="s">
        <v>7470</v>
      </c>
      <c r="B4384" t="s">
        <v>733</v>
      </c>
    </row>
    <row r="4385" spans="1:2" x14ac:dyDescent="0.25">
      <c r="A4385" t="s">
        <v>7471</v>
      </c>
      <c r="B4385" t="s">
        <v>733</v>
      </c>
    </row>
    <row r="4386" spans="1:2" x14ac:dyDescent="0.25">
      <c r="A4386" t="s">
        <v>2294</v>
      </c>
      <c r="B4386" t="s">
        <v>2294</v>
      </c>
    </row>
    <row r="4387" spans="1:2" x14ac:dyDescent="0.25">
      <c r="A4387" t="s">
        <v>7472</v>
      </c>
      <c r="B4387" t="s">
        <v>2294</v>
      </c>
    </row>
    <row r="4388" spans="1:2" x14ac:dyDescent="0.25">
      <c r="A4388" t="s">
        <v>7473</v>
      </c>
      <c r="B4388" t="s">
        <v>2294</v>
      </c>
    </row>
    <row r="4389" spans="1:2" x14ac:dyDescent="0.25">
      <c r="A4389" t="s">
        <v>7474</v>
      </c>
      <c r="B4389" t="s">
        <v>2294</v>
      </c>
    </row>
    <row r="4390" spans="1:2" x14ac:dyDescent="0.25">
      <c r="A4390" t="s">
        <v>2295</v>
      </c>
      <c r="B4390" t="s">
        <v>2295</v>
      </c>
    </row>
    <row r="4391" spans="1:2" x14ac:dyDescent="0.25">
      <c r="A4391" t="s">
        <v>7475</v>
      </c>
      <c r="B4391" t="s">
        <v>2295</v>
      </c>
    </row>
    <row r="4392" spans="1:2" x14ac:dyDescent="0.25">
      <c r="A4392" t="s">
        <v>7476</v>
      </c>
      <c r="B4392" t="s">
        <v>7477</v>
      </c>
    </row>
    <row r="4393" spans="1:2" x14ac:dyDescent="0.25">
      <c r="A4393" t="s">
        <v>7478</v>
      </c>
      <c r="B4393" t="s">
        <v>2295</v>
      </c>
    </row>
    <row r="4394" spans="1:2" x14ac:dyDescent="0.25">
      <c r="A4394" t="s">
        <v>7479</v>
      </c>
      <c r="B4394" t="s">
        <v>7480</v>
      </c>
    </row>
    <row r="4395" spans="1:2" x14ac:dyDescent="0.25">
      <c r="A4395" t="s">
        <v>7481</v>
      </c>
      <c r="B4395" t="s">
        <v>7482</v>
      </c>
    </row>
    <row r="4396" spans="1:2" x14ac:dyDescent="0.25">
      <c r="A4396" t="s">
        <v>7483</v>
      </c>
      <c r="B4396" t="s">
        <v>7484</v>
      </c>
    </row>
    <row r="4397" spans="1:2" x14ac:dyDescent="0.25">
      <c r="A4397" t="s">
        <v>7485</v>
      </c>
      <c r="B4397" t="s">
        <v>7486</v>
      </c>
    </row>
    <row r="4398" spans="1:2" x14ac:dyDescent="0.25">
      <c r="A4398" t="s">
        <v>7487</v>
      </c>
      <c r="B4398" t="s">
        <v>7488</v>
      </c>
    </row>
    <row r="4399" spans="1:2" x14ac:dyDescent="0.25">
      <c r="A4399" t="s">
        <v>7489</v>
      </c>
      <c r="B4399" t="s">
        <v>7490</v>
      </c>
    </row>
    <row r="4400" spans="1:2" x14ac:dyDescent="0.25">
      <c r="A4400" t="s">
        <v>7490</v>
      </c>
      <c r="B4400" t="s">
        <v>7490</v>
      </c>
    </row>
    <row r="4401" spans="1:2" x14ac:dyDescent="0.25">
      <c r="A4401" t="s">
        <v>7491</v>
      </c>
      <c r="B4401" t="s">
        <v>7492</v>
      </c>
    </row>
    <row r="4402" spans="1:2" x14ac:dyDescent="0.25">
      <c r="A4402" t="s">
        <v>7492</v>
      </c>
      <c r="B4402" t="s">
        <v>7492</v>
      </c>
    </row>
    <row r="4403" spans="1:2" x14ac:dyDescent="0.25">
      <c r="A4403" t="s">
        <v>7493</v>
      </c>
      <c r="B4403" t="s">
        <v>7494</v>
      </c>
    </row>
    <row r="4404" spans="1:2" x14ac:dyDescent="0.25">
      <c r="A4404" t="s">
        <v>7495</v>
      </c>
      <c r="B4404" t="s">
        <v>7496</v>
      </c>
    </row>
    <row r="4405" spans="1:2" x14ac:dyDescent="0.25">
      <c r="A4405" t="s">
        <v>7497</v>
      </c>
      <c r="B4405" t="s">
        <v>7498</v>
      </c>
    </row>
    <row r="4406" spans="1:2" x14ac:dyDescent="0.25">
      <c r="A4406" t="s">
        <v>7499</v>
      </c>
      <c r="B4406" t="s">
        <v>7500</v>
      </c>
    </row>
    <row r="4407" spans="1:2" x14ac:dyDescent="0.25">
      <c r="A4407" t="s">
        <v>7500</v>
      </c>
      <c r="B4407" t="s">
        <v>7500</v>
      </c>
    </row>
    <row r="4408" spans="1:2" x14ac:dyDescent="0.25">
      <c r="A4408" t="s">
        <v>7501</v>
      </c>
      <c r="B4408" t="s">
        <v>7500</v>
      </c>
    </row>
    <row r="4409" spans="1:2" x14ac:dyDescent="0.25">
      <c r="A4409" t="s">
        <v>7502</v>
      </c>
      <c r="B4409" t="s">
        <v>3205</v>
      </c>
    </row>
    <row r="4410" spans="1:2" x14ac:dyDescent="0.25">
      <c r="A4410" t="s">
        <v>3205</v>
      </c>
      <c r="B4410" t="s">
        <v>3205</v>
      </c>
    </row>
    <row r="4411" spans="1:2" x14ac:dyDescent="0.25">
      <c r="A4411" t="s">
        <v>7503</v>
      </c>
      <c r="B4411" t="s">
        <v>3205</v>
      </c>
    </row>
    <row r="4412" spans="1:2" x14ac:dyDescent="0.25">
      <c r="A4412" t="s">
        <v>7504</v>
      </c>
      <c r="B4412" t="s">
        <v>2296</v>
      </c>
    </row>
    <row r="4413" spans="1:2" x14ac:dyDescent="0.25">
      <c r="A4413" t="s">
        <v>2296</v>
      </c>
      <c r="B4413" t="s">
        <v>2296</v>
      </c>
    </row>
    <row r="4414" spans="1:2" x14ac:dyDescent="0.25">
      <c r="A4414" t="s">
        <v>7505</v>
      </c>
      <c r="B4414" t="s">
        <v>2296</v>
      </c>
    </row>
    <row r="4415" spans="1:2" x14ac:dyDescent="0.25">
      <c r="A4415" t="s">
        <v>7506</v>
      </c>
      <c r="B4415" t="s">
        <v>2782</v>
      </c>
    </row>
    <row r="4416" spans="1:2" x14ac:dyDescent="0.25">
      <c r="A4416" t="s">
        <v>2782</v>
      </c>
      <c r="B4416" t="s">
        <v>2782</v>
      </c>
    </row>
    <row r="4417" spans="1:2" x14ac:dyDescent="0.25">
      <c r="A4417" t="s">
        <v>7507</v>
      </c>
      <c r="B4417" t="s">
        <v>2782</v>
      </c>
    </row>
    <row r="4418" spans="1:2" x14ac:dyDescent="0.25">
      <c r="A4418" t="s">
        <v>7508</v>
      </c>
      <c r="B4418" t="s">
        <v>1591</v>
      </c>
    </row>
    <row r="4419" spans="1:2" x14ac:dyDescent="0.25">
      <c r="A4419" t="s">
        <v>1591</v>
      </c>
      <c r="B4419" t="s">
        <v>1591</v>
      </c>
    </row>
    <row r="4420" spans="1:2" x14ac:dyDescent="0.25">
      <c r="A4420" t="s">
        <v>7509</v>
      </c>
      <c r="B4420" t="s">
        <v>1591</v>
      </c>
    </row>
    <row r="4421" spans="1:2" x14ac:dyDescent="0.25">
      <c r="A4421" t="s">
        <v>7510</v>
      </c>
      <c r="B4421" t="s">
        <v>1594</v>
      </c>
    </row>
    <row r="4422" spans="1:2" x14ac:dyDescent="0.25">
      <c r="A4422" t="s">
        <v>1594</v>
      </c>
      <c r="B4422" t="s">
        <v>1594</v>
      </c>
    </row>
    <row r="4423" spans="1:2" x14ac:dyDescent="0.25">
      <c r="A4423" t="s">
        <v>7511</v>
      </c>
      <c r="B4423" t="s">
        <v>7512</v>
      </c>
    </row>
    <row r="4424" spans="1:2" x14ac:dyDescent="0.25">
      <c r="A4424" t="s">
        <v>7513</v>
      </c>
      <c r="B4424" t="s">
        <v>1594</v>
      </c>
    </row>
    <row r="4425" spans="1:2" x14ac:dyDescent="0.25">
      <c r="A4425" t="s">
        <v>7514</v>
      </c>
      <c r="B4425" t="s">
        <v>3206</v>
      </c>
    </row>
    <row r="4426" spans="1:2" x14ac:dyDescent="0.25">
      <c r="A4426" t="s">
        <v>3206</v>
      </c>
      <c r="B4426" t="s">
        <v>3206</v>
      </c>
    </row>
    <row r="4427" spans="1:2" x14ac:dyDescent="0.25">
      <c r="A4427" t="s">
        <v>7515</v>
      </c>
      <c r="B4427" t="s">
        <v>3206</v>
      </c>
    </row>
    <row r="4428" spans="1:2" x14ac:dyDescent="0.25">
      <c r="A4428" t="s">
        <v>7516</v>
      </c>
      <c r="B4428" t="s">
        <v>7517</v>
      </c>
    </row>
    <row r="4429" spans="1:2" x14ac:dyDescent="0.25">
      <c r="A4429" t="s">
        <v>7517</v>
      </c>
      <c r="B4429" t="s">
        <v>7517</v>
      </c>
    </row>
    <row r="4430" spans="1:2" x14ac:dyDescent="0.25">
      <c r="A4430" t="s">
        <v>7518</v>
      </c>
      <c r="B4430" t="s">
        <v>7517</v>
      </c>
    </row>
    <row r="4431" spans="1:2" x14ac:dyDescent="0.25">
      <c r="A4431" t="s">
        <v>7519</v>
      </c>
      <c r="B4431" t="s">
        <v>1596</v>
      </c>
    </row>
    <row r="4432" spans="1:2" x14ac:dyDescent="0.25">
      <c r="A4432" t="s">
        <v>1596</v>
      </c>
      <c r="B4432" t="s">
        <v>1596</v>
      </c>
    </row>
    <row r="4433" spans="1:2" x14ac:dyDescent="0.25">
      <c r="A4433" t="s">
        <v>7520</v>
      </c>
      <c r="B4433" t="s">
        <v>1596</v>
      </c>
    </row>
    <row r="4434" spans="1:2" x14ac:dyDescent="0.25">
      <c r="A4434" t="s">
        <v>7521</v>
      </c>
      <c r="B4434" t="s">
        <v>1596</v>
      </c>
    </row>
    <row r="4435" spans="1:2" x14ac:dyDescent="0.25">
      <c r="A4435" t="s">
        <v>7522</v>
      </c>
      <c r="B4435" t="s">
        <v>1598</v>
      </c>
    </row>
    <row r="4436" spans="1:2" x14ac:dyDescent="0.25">
      <c r="A4436" t="s">
        <v>1598</v>
      </c>
      <c r="B4436" t="s">
        <v>1598</v>
      </c>
    </row>
    <row r="4437" spans="1:2" x14ac:dyDescent="0.25">
      <c r="A4437" t="s">
        <v>7523</v>
      </c>
      <c r="B4437" t="s">
        <v>1598</v>
      </c>
    </row>
    <row r="4438" spans="1:2" x14ac:dyDescent="0.25">
      <c r="A4438" t="s">
        <v>7524</v>
      </c>
      <c r="B4438" t="s">
        <v>1598</v>
      </c>
    </row>
    <row r="4439" spans="1:2" x14ac:dyDescent="0.25">
      <c r="A4439" t="s">
        <v>7525</v>
      </c>
      <c r="B4439" t="s">
        <v>7526</v>
      </c>
    </row>
    <row r="4440" spans="1:2" x14ac:dyDescent="0.25">
      <c r="A4440" t="s">
        <v>7526</v>
      </c>
      <c r="B4440" t="s">
        <v>7526</v>
      </c>
    </row>
    <row r="4441" spans="1:2" x14ac:dyDescent="0.25">
      <c r="A4441" t="s">
        <v>7527</v>
      </c>
      <c r="B4441" t="s">
        <v>7526</v>
      </c>
    </row>
    <row r="4442" spans="1:2" x14ac:dyDescent="0.25">
      <c r="A4442" t="s">
        <v>7528</v>
      </c>
      <c r="B4442" t="s">
        <v>2297</v>
      </c>
    </row>
    <row r="4443" spans="1:2" x14ac:dyDescent="0.25">
      <c r="A4443" t="s">
        <v>2297</v>
      </c>
      <c r="B4443" t="s">
        <v>2297</v>
      </c>
    </row>
    <row r="4444" spans="1:2" x14ac:dyDescent="0.25">
      <c r="A4444" t="s">
        <v>7529</v>
      </c>
      <c r="B4444" t="s">
        <v>2297</v>
      </c>
    </row>
    <row r="4445" spans="1:2" x14ac:dyDescent="0.25">
      <c r="A4445" t="s">
        <v>7530</v>
      </c>
      <c r="B4445" t="s">
        <v>3207</v>
      </c>
    </row>
    <row r="4446" spans="1:2" x14ac:dyDescent="0.25">
      <c r="A4446" t="s">
        <v>3207</v>
      </c>
      <c r="B4446" t="s">
        <v>3207</v>
      </c>
    </row>
    <row r="4447" spans="1:2" x14ac:dyDescent="0.25">
      <c r="A4447" t="s">
        <v>7531</v>
      </c>
      <c r="B4447" t="s">
        <v>3207</v>
      </c>
    </row>
    <row r="4448" spans="1:2" x14ac:dyDescent="0.25">
      <c r="A4448" t="s">
        <v>7532</v>
      </c>
      <c r="B4448" t="s">
        <v>2298</v>
      </c>
    </row>
    <row r="4449" spans="1:2" x14ac:dyDescent="0.25">
      <c r="A4449" t="s">
        <v>2298</v>
      </c>
      <c r="B4449" t="s">
        <v>2298</v>
      </c>
    </row>
    <row r="4450" spans="1:2" x14ac:dyDescent="0.25">
      <c r="A4450" t="s">
        <v>7533</v>
      </c>
      <c r="B4450" t="s">
        <v>2298</v>
      </c>
    </row>
    <row r="4451" spans="1:2" x14ac:dyDescent="0.25">
      <c r="A4451" t="s">
        <v>7534</v>
      </c>
      <c r="B4451" t="s">
        <v>1600</v>
      </c>
    </row>
    <row r="4452" spans="1:2" x14ac:dyDescent="0.25">
      <c r="A4452" t="s">
        <v>1600</v>
      </c>
      <c r="B4452" t="s">
        <v>1600</v>
      </c>
    </row>
    <row r="4453" spans="1:2" x14ac:dyDescent="0.25">
      <c r="A4453" t="s">
        <v>7535</v>
      </c>
      <c r="B4453" t="s">
        <v>1600</v>
      </c>
    </row>
    <row r="4454" spans="1:2" x14ac:dyDescent="0.25">
      <c r="A4454" t="s">
        <v>7536</v>
      </c>
      <c r="B4454" t="s">
        <v>1602</v>
      </c>
    </row>
    <row r="4455" spans="1:2" x14ac:dyDescent="0.25">
      <c r="A4455" t="s">
        <v>1602</v>
      </c>
      <c r="B4455" t="s">
        <v>1602</v>
      </c>
    </row>
    <row r="4456" spans="1:2" x14ac:dyDescent="0.25">
      <c r="A4456" t="s">
        <v>7537</v>
      </c>
      <c r="B4456" t="s">
        <v>1602</v>
      </c>
    </row>
    <row r="4457" spans="1:2" x14ac:dyDescent="0.25">
      <c r="A4457" t="s">
        <v>7538</v>
      </c>
      <c r="B4457" t="s">
        <v>1604</v>
      </c>
    </row>
    <row r="4458" spans="1:2" x14ac:dyDescent="0.25">
      <c r="A4458" t="s">
        <v>1604</v>
      </c>
      <c r="B4458" t="s">
        <v>1604</v>
      </c>
    </row>
    <row r="4459" spans="1:2" x14ac:dyDescent="0.25">
      <c r="A4459" t="s">
        <v>7539</v>
      </c>
      <c r="B4459" t="s">
        <v>1604</v>
      </c>
    </row>
    <row r="4460" spans="1:2" x14ac:dyDescent="0.25">
      <c r="A4460" t="s">
        <v>7540</v>
      </c>
      <c r="B4460" t="s">
        <v>5209</v>
      </c>
    </row>
    <row r="4461" spans="1:2" x14ac:dyDescent="0.25">
      <c r="A4461" t="s">
        <v>7541</v>
      </c>
      <c r="B4461" t="s">
        <v>7542</v>
      </c>
    </row>
    <row r="4462" spans="1:2" x14ac:dyDescent="0.25">
      <c r="A4462" t="s">
        <v>7543</v>
      </c>
      <c r="B4462" t="s">
        <v>7544</v>
      </c>
    </row>
    <row r="4463" spans="1:2" x14ac:dyDescent="0.25">
      <c r="A4463" t="s">
        <v>2299</v>
      </c>
      <c r="B4463" t="s">
        <v>2299</v>
      </c>
    </row>
    <row r="4464" spans="1:2" x14ac:dyDescent="0.25">
      <c r="A4464" t="s">
        <v>7545</v>
      </c>
      <c r="B4464" t="s">
        <v>2299</v>
      </c>
    </row>
    <row r="4465" spans="1:2" x14ac:dyDescent="0.25">
      <c r="A4465" t="s">
        <v>7546</v>
      </c>
      <c r="B4465" t="s">
        <v>7546</v>
      </c>
    </row>
    <row r="4466" spans="1:2" x14ac:dyDescent="0.25">
      <c r="A4466" t="s">
        <v>3209</v>
      </c>
      <c r="B4466" t="s">
        <v>3209</v>
      </c>
    </row>
    <row r="4467" spans="1:2" x14ac:dyDescent="0.25">
      <c r="A4467" t="s">
        <v>7547</v>
      </c>
      <c r="B4467" t="s">
        <v>3209</v>
      </c>
    </row>
    <row r="4468" spans="1:2" x14ac:dyDescent="0.25">
      <c r="A4468" t="s">
        <v>3210</v>
      </c>
      <c r="B4468" t="s">
        <v>3210</v>
      </c>
    </row>
    <row r="4469" spans="1:2" x14ac:dyDescent="0.25">
      <c r="A4469" t="s">
        <v>7548</v>
      </c>
      <c r="B4469" t="s">
        <v>3210</v>
      </c>
    </row>
    <row r="4470" spans="1:2" x14ac:dyDescent="0.25">
      <c r="A4470" t="s">
        <v>3212</v>
      </c>
      <c r="B4470" t="s">
        <v>3212</v>
      </c>
    </row>
    <row r="4471" spans="1:2" x14ac:dyDescent="0.25">
      <c r="A4471" t="s">
        <v>7549</v>
      </c>
      <c r="B4471" t="s">
        <v>3212</v>
      </c>
    </row>
    <row r="4472" spans="1:2" x14ac:dyDescent="0.25">
      <c r="A4472" t="s">
        <v>7550</v>
      </c>
      <c r="B4472" t="s">
        <v>7551</v>
      </c>
    </row>
    <row r="4473" spans="1:2" x14ac:dyDescent="0.25">
      <c r="A4473" t="s">
        <v>7552</v>
      </c>
      <c r="B4473" t="s">
        <v>7553</v>
      </c>
    </row>
    <row r="4474" spans="1:2" x14ac:dyDescent="0.25">
      <c r="A4474" t="s">
        <v>1606</v>
      </c>
      <c r="B4474" t="s">
        <v>1606</v>
      </c>
    </row>
    <row r="4475" spans="1:2" x14ac:dyDescent="0.25">
      <c r="A4475" t="s">
        <v>7554</v>
      </c>
      <c r="B4475" t="s">
        <v>1606</v>
      </c>
    </row>
    <row r="4476" spans="1:2" x14ac:dyDescent="0.25">
      <c r="A4476" t="s">
        <v>7555</v>
      </c>
      <c r="B4476" t="s">
        <v>1606</v>
      </c>
    </row>
    <row r="4477" spans="1:2" x14ac:dyDescent="0.25">
      <c r="A4477" t="s">
        <v>7556</v>
      </c>
      <c r="B4477" t="s">
        <v>1606</v>
      </c>
    </row>
    <row r="4478" spans="1:2" x14ac:dyDescent="0.25">
      <c r="A4478" t="s">
        <v>7557</v>
      </c>
      <c r="B4478" t="s">
        <v>1606</v>
      </c>
    </row>
    <row r="4479" spans="1:2" x14ac:dyDescent="0.25">
      <c r="A4479" t="s">
        <v>7558</v>
      </c>
      <c r="B4479" t="s">
        <v>1606</v>
      </c>
    </row>
    <row r="4480" spans="1:2" x14ac:dyDescent="0.25">
      <c r="A4480" t="s">
        <v>7559</v>
      </c>
      <c r="B4480" t="s">
        <v>7559</v>
      </c>
    </row>
    <row r="4481" spans="1:2" x14ac:dyDescent="0.25">
      <c r="A4481" t="s">
        <v>2866</v>
      </c>
      <c r="B4481" t="s">
        <v>2866</v>
      </c>
    </row>
    <row r="4482" spans="1:2" x14ac:dyDescent="0.25">
      <c r="A4482" t="s">
        <v>7560</v>
      </c>
      <c r="B4482" t="s">
        <v>2866</v>
      </c>
    </row>
    <row r="4483" spans="1:2" x14ac:dyDescent="0.25">
      <c r="A4483" t="s">
        <v>7561</v>
      </c>
      <c r="B4483" t="s">
        <v>2866</v>
      </c>
    </row>
    <row r="4484" spans="1:2" x14ac:dyDescent="0.25">
      <c r="A4484" t="s">
        <v>7562</v>
      </c>
      <c r="B4484" t="s">
        <v>2866</v>
      </c>
    </row>
    <row r="4485" spans="1:2" x14ac:dyDescent="0.25">
      <c r="A4485" t="s">
        <v>7563</v>
      </c>
      <c r="B4485" t="s">
        <v>2866</v>
      </c>
    </row>
    <row r="4486" spans="1:2" x14ac:dyDescent="0.25">
      <c r="A4486" t="s">
        <v>7564</v>
      </c>
      <c r="B4486" t="s">
        <v>2866</v>
      </c>
    </row>
    <row r="4487" spans="1:2" x14ac:dyDescent="0.25">
      <c r="A4487" t="s">
        <v>7565</v>
      </c>
      <c r="B4487" t="s">
        <v>1606</v>
      </c>
    </row>
    <row r="4488" spans="1:2" x14ac:dyDescent="0.25">
      <c r="A4488" t="s">
        <v>736</v>
      </c>
      <c r="B4488" t="s">
        <v>736</v>
      </c>
    </row>
    <row r="4489" spans="1:2" x14ac:dyDescent="0.25">
      <c r="A4489" t="s">
        <v>7566</v>
      </c>
      <c r="B4489" t="s">
        <v>736</v>
      </c>
    </row>
    <row r="4490" spans="1:2" x14ac:dyDescent="0.25">
      <c r="A4490" t="s">
        <v>7567</v>
      </c>
      <c r="B4490" t="s">
        <v>736</v>
      </c>
    </row>
    <row r="4491" spans="1:2" x14ac:dyDescent="0.25">
      <c r="A4491" t="s">
        <v>7568</v>
      </c>
      <c r="B4491" t="s">
        <v>736</v>
      </c>
    </row>
    <row r="4492" spans="1:2" x14ac:dyDescent="0.25">
      <c r="A4492" t="s">
        <v>7569</v>
      </c>
      <c r="B4492" t="s">
        <v>736</v>
      </c>
    </row>
    <row r="4493" spans="1:2" x14ac:dyDescent="0.25">
      <c r="A4493" t="s">
        <v>7570</v>
      </c>
      <c r="B4493" t="s">
        <v>736</v>
      </c>
    </row>
    <row r="4494" spans="1:2" x14ac:dyDescent="0.25">
      <c r="A4494" t="s">
        <v>1739</v>
      </c>
      <c r="B4494" t="s">
        <v>1739</v>
      </c>
    </row>
    <row r="4495" spans="1:2" x14ac:dyDescent="0.25">
      <c r="A4495" t="s">
        <v>7571</v>
      </c>
      <c r="B4495" t="s">
        <v>1739</v>
      </c>
    </row>
    <row r="4496" spans="1:2" x14ac:dyDescent="0.25">
      <c r="A4496" t="s">
        <v>7572</v>
      </c>
      <c r="B4496" t="s">
        <v>1739</v>
      </c>
    </row>
    <row r="4497" spans="1:2" x14ac:dyDescent="0.25">
      <c r="A4497" t="s">
        <v>7573</v>
      </c>
      <c r="B4497" t="s">
        <v>1739</v>
      </c>
    </row>
    <row r="4498" spans="1:2" x14ac:dyDescent="0.25">
      <c r="A4498" t="s">
        <v>7574</v>
      </c>
      <c r="B4498" t="s">
        <v>1739</v>
      </c>
    </row>
    <row r="4499" spans="1:2" x14ac:dyDescent="0.25">
      <c r="A4499" t="s">
        <v>7575</v>
      </c>
      <c r="B4499" t="s">
        <v>1739</v>
      </c>
    </row>
    <row r="4500" spans="1:2" x14ac:dyDescent="0.25">
      <c r="A4500" t="s">
        <v>7576</v>
      </c>
      <c r="B4500" t="s">
        <v>1739</v>
      </c>
    </row>
    <row r="4501" spans="1:2" x14ac:dyDescent="0.25">
      <c r="A4501" t="s">
        <v>7577</v>
      </c>
      <c r="B4501" t="s">
        <v>1739</v>
      </c>
    </row>
    <row r="4502" spans="1:2" x14ac:dyDescent="0.25">
      <c r="A4502" t="s">
        <v>7578</v>
      </c>
      <c r="B4502" t="s">
        <v>736</v>
      </c>
    </row>
    <row r="4503" spans="1:2" x14ac:dyDescent="0.25">
      <c r="A4503" t="s">
        <v>161</v>
      </c>
      <c r="B4503" t="s">
        <v>161</v>
      </c>
    </row>
    <row r="4504" spans="1:2" x14ac:dyDescent="0.25">
      <c r="A4504" t="s">
        <v>7579</v>
      </c>
      <c r="B4504" t="s">
        <v>161</v>
      </c>
    </row>
    <row r="4505" spans="1:2" x14ac:dyDescent="0.25">
      <c r="A4505" t="s">
        <v>7580</v>
      </c>
      <c r="B4505" t="s">
        <v>161</v>
      </c>
    </row>
    <row r="4506" spans="1:2" x14ac:dyDescent="0.25">
      <c r="A4506" t="s">
        <v>7581</v>
      </c>
      <c r="B4506" t="s">
        <v>161</v>
      </c>
    </row>
    <row r="4507" spans="1:2" x14ac:dyDescent="0.25">
      <c r="A4507" t="s">
        <v>7582</v>
      </c>
      <c r="B4507" t="s">
        <v>161</v>
      </c>
    </row>
    <row r="4508" spans="1:2" x14ac:dyDescent="0.25">
      <c r="A4508" t="s">
        <v>1973</v>
      </c>
      <c r="B4508" t="s">
        <v>1973</v>
      </c>
    </row>
    <row r="4509" spans="1:2" x14ac:dyDescent="0.25">
      <c r="A4509" t="s">
        <v>7583</v>
      </c>
      <c r="B4509" t="s">
        <v>1973</v>
      </c>
    </row>
    <row r="4510" spans="1:2" x14ac:dyDescent="0.25">
      <c r="A4510" t="s">
        <v>7584</v>
      </c>
      <c r="B4510" t="s">
        <v>1973</v>
      </c>
    </row>
    <row r="4511" spans="1:2" x14ac:dyDescent="0.25">
      <c r="A4511" t="s">
        <v>7585</v>
      </c>
      <c r="B4511" t="s">
        <v>1973</v>
      </c>
    </row>
    <row r="4512" spans="1:2" x14ac:dyDescent="0.25">
      <c r="A4512" t="s">
        <v>7586</v>
      </c>
      <c r="B4512" t="s">
        <v>5209</v>
      </c>
    </row>
    <row r="4513" spans="1:2" x14ac:dyDescent="0.25">
      <c r="A4513" t="s">
        <v>7587</v>
      </c>
      <c r="B4513" t="s">
        <v>1973</v>
      </c>
    </row>
    <row r="4514" spans="1:2" x14ac:dyDescent="0.25">
      <c r="A4514" t="s">
        <v>7588</v>
      </c>
      <c r="B4514" t="s">
        <v>1973</v>
      </c>
    </row>
    <row r="4515" spans="1:2" x14ac:dyDescent="0.25">
      <c r="A4515" t="s">
        <v>7589</v>
      </c>
      <c r="B4515" t="s">
        <v>5209</v>
      </c>
    </row>
    <row r="4516" spans="1:2" x14ac:dyDescent="0.25">
      <c r="A4516" t="s">
        <v>3213</v>
      </c>
      <c r="B4516" t="s">
        <v>3213</v>
      </c>
    </row>
    <row r="4517" spans="1:2" x14ac:dyDescent="0.25">
      <c r="A4517" t="s">
        <v>7590</v>
      </c>
      <c r="B4517" t="s">
        <v>3213</v>
      </c>
    </row>
    <row r="4518" spans="1:2" x14ac:dyDescent="0.25">
      <c r="A4518" t="s">
        <v>3214</v>
      </c>
      <c r="B4518" t="s">
        <v>3214</v>
      </c>
    </row>
    <row r="4519" spans="1:2" x14ac:dyDescent="0.25">
      <c r="A4519" t="s">
        <v>3215</v>
      </c>
      <c r="B4519" t="s">
        <v>3215</v>
      </c>
    </row>
    <row r="4520" spans="1:2" x14ac:dyDescent="0.25">
      <c r="A4520" t="s">
        <v>7591</v>
      </c>
      <c r="B4520" t="s">
        <v>3948</v>
      </c>
    </row>
    <row r="4521" spans="1:2" x14ac:dyDescent="0.25">
      <c r="A4521" t="s">
        <v>7592</v>
      </c>
      <c r="B4521" t="s">
        <v>3950</v>
      </c>
    </row>
    <row r="4522" spans="1:2" x14ac:dyDescent="0.25">
      <c r="A4522" t="s">
        <v>7593</v>
      </c>
      <c r="B4522" t="s">
        <v>2532</v>
      </c>
    </row>
    <row r="4523" spans="1:2" x14ac:dyDescent="0.25">
      <c r="A4523" t="s">
        <v>7594</v>
      </c>
      <c r="B4523" t="s">
        <v>3953</v>
      </c>
    </row>
    <row r="4524" spans="1:2" x14ac:dyDescent="0.25">
      <c r="A4524" t="s">
        <v>7595</v>
      </c>
      <c r="B4524" t="s">
        <v>3959</v>
      </c>
    </row>
    <row r="4525" spans="1:2" x14ac:dyDescent="0.25">
      <c r="A4525" t="s">
        <v>7596</v>
      </c>
      <c r="B4525" t="s">
        <v>3216</v>
      </c>
    </row>
    <row r="4526" spans="1:2" x14ac:dyDescent="0.25">
      <c r="A4526" t="s">
        <v>7597</v>
      </c>
      <c r="B4526" t="s">
        <v>2535</v>
      </c>
    </row>
    <row r="4527" spans="1:2" x14ac:dyDescent="0.25">
      <c r="A4527" t="s">
        <v>7598</v>
      </c>
      <c r="B4527" t="s">
        <v>5209</v>
      </c>
    </row>
    <row r="4528" spans="1:2" x14ac:dyDescent="0.25">
      <c r="A4528" t="s">
        <v>7599</v>
      </c>
      <c r="B4528" t="s">
        <v>5209</v>
      </c>
    </row>
    <row r="4529" spans="1:2" x14ac:dyDescent="0.25">
      <c r="A4529" t="s">
        <v>7600</v>
      </c>
      <c r="B4529" t="s">
        <v>7601</v>
      </c>
    </row>
    <row r="4530" spans="1:2" x14ac:dyDescent="0.25">
      <c r="A4530" t="s">
        <v>7602</v>
      </c>
      <c r="B4530" t="s">
        <v>7603</v>
      </c>
    </row>
    <row r="4531" spans="1:2" x14ac:dyDescent="0.25">
      <c r="A4531" t="s">
        <v>7604</v>
      </c>
      <c r="B4531" t="s">
        <v>7605</v>
      </c>
    </row>
    <row r="4532" spans="1:2" x14ac:dyDescent="0.25">
      <c r="A4532" t="s">
        <v>7606</v>
      </c>
      <c r="B4532" t="s">
        <v>5209</v>
      </c>
    </row>
    <row r="4533" spans="1:2" x14ac:dyDescent="0.25">
      <c r="A4533" t="s">
        <v>2822</v>
      </c>
      <c r="B4533" t="s">
        <v>2822</v>
      </c>
    </row>
    <row r="4534" spans="1:2" x14ac:dyDescent="0.25">
      <c r="A4534" t="s">
        <v>7607</v>
      </c>
      <c r="B4534" t="s">
        <v>2822</v>
      </c>
    </row>
    <row r="4535" spans="1:2" x14ac:dyDescent="0.25">
      <c r="A4535" t="s">
        <v>7608</v>
      </c>
      <c r="B4535" t="s">
        <v>2822</v>
      </c>
    </row>
    <row r="4536" spans="1:2" x14ac:dyDescent="0.25">
      <c r="A4536" t="s">
        <v>3391</v>
      </c>
      <c r="B4536" t="s">
        <v>3391</v>
      </c>
    </row>
    <row r="4537" spans="1:2" x14ac:dyDescent="0.25">
      <c r="A4537" t="s">
        <v>7609</v>
      </c>
      <c r="B4537" t="s">
        <v>3391</v>
      </c>
    </row>
    <row r="4538" spans="1:2" x14ac:dyDescent="0.25">
      <c r="A4538" t="s">
        <v>2971</v>
      </c>
      <c r="B4538" t="s">
        <v>2971</v>
      </c>
    </row>
    <row r="4539" spans="1:2" x14ac:dyDescent="0.25">
      <c r="A4539" t="s">
        <v>7610</v>
      </c>
      <c r="B4539" t="s">
        <v>2971</v>
      </c>
    </row>
    <row r="4540" spans="1:2" x14ac:dyDescent="0.25">
      <c r="A4540" t="s">
        <v>7611</v>
      </c>
      <c r="B4540" t="s">
        <v>2971</v>
      </c>
    </row>
    <row r="4541" spans="1:2" x14ac:dyDescent="0.25">
      <c r="A4541" t="s">
        <v>7612</v>
      </c>
      <c r="B4541" t="s">
        <v>2971</v>
      </c>
    </row>
    <row r="4542" spans="1:2" x14ac:dyDescent="0.25">
      <c r="A4542" t="s">
        <v>7613</v>
      </c>
      <c r="B4542" t="s">
        <v>2971</v>
      </c>
    </row>
    <row r="4543" spans="1:2" x14ac:dyDescent="0.25">
      <c r="A4543" t="s">
        <v>2301</v>
      </c>
      <c r="B4543" t="s">
        <v>2301</v>
      </c>
    </row>
    <row r="4544" spans="1:2" x14ac:dyDescent="0.25">
      <c r="A4544" t="s">
        <v>7614</v>
      </c>
      <c r="B4544" t="s">
        <v>2301</v>
      </c>
    </row>
    <row r="4545" spans="1:2" x14ac:dyDescent="0.25">
      <c r="A4545" t="s">
        <v>7615</v>
      </c>
      <c r="B4545" t="s">
        <v>2301</v>
      </c>
    </row>
    <row r="4546" spans="1:2" x14ac:dyDescent="0.25">
      <c r="A4546" t="s">
        <v>7616</v>
      </c>
      <c r="B4546" t="s">
        <v>2301</v>
      </c>
    </row>
    <row r="4547" spans="1:2" x14ac:dyDescent="0.25">
      <c r="A4547" t="s">
        <v>3217</v>
      </c>
      <c r="B4547" t="s">
        <v>3217</v>
      </c>
    </row>
    <row r="4548" spans="1:2" x14ac:dyDescent="0.25">
      <c r="A4548" t="s">
        <v>7617</v>
      </c>
      <c r="B4548" t="s">
        <v>3217</v>
      </c>
    </row>
    <row r="4549" spans="1:2" x14ac:dyDescent="0.25">
      <c r="A4549" t="s">
        <v>1608</v>
      </c>
      <c r="B4549" t="s">
        <v>1608</v>
      </c>
    </row>
    <row r="4550" spans="1:2" x14ac:dyDescent="0.25">
      <c r="A4550" t="s">
        <v>7618</v>
      </c>
      <c r="B4550" t="s">
        <v>1608</v>
      </c>
    </row>
    <row r="4551" spans="1:2" x14ac:dyDescent="0.25">
      <c r="A4551" t="s">
        <v>7619</v>
      </c>
      <c r="B4551" t="s">
        <v>1608</v>
      </c>
    </row>
    <row r="4552" spans="1:2" x14ac:dyDescent="0.25">
      <c r="A4552" t="s">
        <v>7620</v>
      </c>
      <c r="B4552" t="s">
        <v>1608</v>
      </c>
    </row>
    <row r="4553" spans="1:2" x14ac:dyDescent="0.25">
      <c r="A4553" t="s">
        <v>739</v>
      </c>
      <c r="B4553" t="s">
        <v>739</v>
      </c>
    </row>
    <row r="4554" spans="1:2" x14ac:dyDescent="0.25">
      <c r="A4554" t="s">
        <v>7621</v>
      </c>
      <c r="B4554" t="s">
        <v>739</v>
      </c>
    </row>
    <row r="4555" spans="1:2" x14ac:dyDescent="0.25">
      <c r="A4555" t="s">
        <v>7622</v>
      </c>
      <c r="B4555" t="s">
        <v>739</v>
      </c>
    </row>
    <row r="4556" spans="1:2" x14ac:dyDescent="0.25">
      <c r="A4556" t="s">
        <v>7623</v>
      </c>
      <c r="B4556" t="s">
        <v>739</v>
      </c>
    </row>
    <row r="4557" spans="1:2" x14ac:dyDescent="0.25">
      <c r="A4557" t="s">
        <v>2302</v>
      </c>
      <c r="B4557" t="s">
        <v>2302</v>
      </c>
    </row>
    <row r="4558" spans="1:2" x14ac:dyDescent="0.25">
      <c r="A4558" t="s">
        <v>7624</v>
      </c>
      <c r="B4558" t="s">
        <v>2302</v>
      </c>
    </row>
    <row r="4559" spans="1:2" x14ac:dyDescent="0.25">
      <c r="A4559" t="s">
        <v>7625</v>
      </c>
      <c r="B4559" t="s">
        <v>2302</v>
      </c>
    </row>
    <row r="4560" spans="1:2" x14ac:dyDescent="0.25">
      <c r="A4560" t="s">
        <v>7626</v>
      </c>
      <c r="B4560" t="s">
        <v>2302</v>
      </c>
    </row>
    <row r="4561" spans="1:2" x14ac:dyDescent="0.25">
      <c r="A4561" t="s">
        <v>1971</v>
      </c>
      <c r="B4561" t="s">
        <v>1971</v>
      </c>
    </row>
    <row r="4562" spans="1:2" x14ac:dyDescent="0.25">
      <c r="A4562" t="s">
        <v>7627</v>
      </c>
      <c r="B4562" t="s">
        <v>1971</v>
      </c>
    </row>
    <row r="4563" spans="1:2" x14ac:dyDescent="0.25">
      <c r="A4563" t="s">
        <v>7628</v>
      </c>
      <c r="B4563" t="s">
        <v>1971</v>
      </c>
    </row>
    <row r="4564" spans="1:2" x14ac:dyDescent="0.25">
      <c r="A4564" t="s">
        <v>1182</v>
      </c>
      <c r="B4564" t="s">
        <v>1182</v>
      </c>
    </row>
    <row r="4565" spans="1:2" x14ac:dyDescent="0.25">
      <c r="A4565" t="s">
        <v>7629</v>
      </c>
      <c r="B4565" t="s">
        <v>1182</v>
      </c>
    </row>
    <row r="4566" spans="1:2" x14ac:dyDescent="0.25">
      <c r="A4566" t="s">
        <v>7630</v>
      </c>
      <c r="B4566" t="s">
        <v>1182</v>
      </c>
    </row>
    <row r="4567" spans="1:2" x14ac:dyDescent="0.25">
      <c r="A4567" t="s">
        <v>742</v>
      </c>
      <c r="B4567" t="s">
        <v>742</v>
      </c>
    </row>
    <row r="4568" spans="1:2" x14ac:dyDescent="0.25">
      <c r="A4568" t="s">
        <v>7631</v>
      </c>
      <c r="B4568" t="s">
        <v>742</v>
      </c>
    </row>
    <row r="4569" spans="1:2" x14ac:dyDescent="0.25">
      <c r="A4569" t="s">
        <v>7632</v>
      </c>
      <c r="B4569" t="s">
        <v>742</v>
      </c>
    </row>
    <row r="4570" spans="1:2" x14ac:dyDescent="0.25">
      <c r="A4570" t="s">
        <v>7633</v>
      </c>
      <c r="B4570" t="s">
        <v>742</v>
      </c>
    </row>
    <row r="4571" spans="1:2" x14ac:dyDescent="0.25">
      <c r="A4571" t="s">
        <v>7634</v>
      </c>
      <c r="B4571" t="s">
        <v>2714</v>
      </c>
    </row>
    <row r="4572" spans="1:2" x14ac:dyDescent="0.25">
      <c r="A4572" t="s">
        <v>2784</v>
      </c>
      <c r="B4572" t="s">
        <v>2784</v>
      </c>
    </row>
    <row r="4573" spans="1:2" x14ac:dyDescent="0.25">
      <c r="A4573" t="s">
        <v>7635</v>
      </c>
      <c r="B4573" t="s">
        <v>2784</v>
      </c>
    </row>
    <row r="4574" spans="1:2" x14ac:dyDescent="0.25">
      <c r="A4574" t="s">
        <v>7636</v>
      </c>
      <c r="B4574" t="s">
        <v>2784</v>
      </c>
    </row>
    <row r="4575" spans="1:2" x14ac:dyDescent="0.25">
      <c r="A4575" t="s">
        <v>7637</v>
      </c>
      <c r="B4575" t="s">
        <v>2784</v>
      </c>
    </row>
    <row r="4576" spans="1:2" x14ac:dyDescent="0.25">
      <c r="A4576" t="s">
        <v>747</v>
      </c>
      <c r="B4576" t="s">
        <v>747</v>
      </c>
    </row>
    <row r="4577" spans="1:2" x14ac:dyDescent="0.25">
      <c r="A4577" t="s">
        <v>7638</v>
      </c>
      <c r="B4577" t="s">
        <v>747</v>
      </c>
    </row>
    <row r="4578" spans="1:2" x14ac:dyDescent="0.25">
      <c r="A4578" t="s">
        <v>7639</v>
      </c>
      <c r="B4578" t="s">
        <v>747</v>
      </c>
    </row>
    <row r="4579" spans="1:2" x14ac:dyDescent="0.25">
      <c r="A4579" t="s">
        <v>751</v>
      </c>
      <c r="B4579" t="s">
        <v>751</v>
      </c>
    </row>
    <row r="4580" spans="1:2" x14ac:dyDescent="0.25">
      <c r="A4580" t="s">
        <v>7640</v>
      </c>
      <c r="B4580" t="s">
        <v>751</v>
      </c>
    </row>
    <row r="4581" spans="1:2" x14ac:dyDescent="0.25">
      <c r="A4581" t="s">
        <v>7641</v>
      </c>
      <c r="B4581" t="s">
        <v>751</v>
      </c>
    </row>
    <row r="4582" spans="1:2" x14ac:dyDescent="0.25">
      <c r="A4582" t="s">
        <v>7642</v>
      </c>
      <c r="B4582" t="s">
        <v>747</v>
      </c>
    </row>
    <row r="4583" spans="1:2" x14ac:dyDescent="0.25">
      <c r="A4583" t="s">
        <v>1610</v>
      </c>
      <c r="B4583" t="s">
        <v>1610</v>
      </c>
    </row>
    <row r="4584" spans="1:2" x14ac:dyDescent="0.25">
      <c r="A4584" t="s">
        <v>7643</v>
      </c>
      <c r="B4584" t="s">
        <v>1610</v>
      </c>
    </row>
    <row r="4585" spans="1:2" x14ac:dyDescent="0.25">
      <c r="A4585" t="s">
        <v>7644</v>
      </c>
      <c r="B4585" t="s">
        <v>1610</v>
      </c>
    </row>
    <row r="4586" spans="1:2" x14ac:dyDescent="0.25">
      <c r="A4586" t="s">
        <v>7645</v>
      </c>
      <c r="B4586" t="s">
        <v>1610</v>
      </c>
    </row>
    <row r="4587" spans="1:2" x14ac:dyDescent="0.25">
      <c r="A4587" t="s">
        <v>7646</v>
      </c>
      <c r="B4587" t="s">
        <v>1610</v>
      </c>
    </row>
    <row r="4588" spans="1:2" x14ac:dyDescent="0.25">
      <c r="A4588" t="s">
        <v>746</v>
      </c>
      <c r="B4588" t="s">
        <v>746</v>
      </c>
    </row>
    <row r="4589" spans="1:2" x14ac:dyDescent="0.25">
      <c r="A4589" t="s">
        <v>7647</v>
      </c>
      <c r="B4589" t="s">
        <v>7648</v>
      </c>
    </row>
    <row r="4590" spans="1:2" x14ac:dyDescent="0.25">
      <c r="A4590" t="s">
        <v>7649</v>
      </c>
      <c r="B4590" t="s">
        <v>7650</v>
      </c>
    </row>
    <row r="4591" spans="1:2" x14ac:dyDescent="0.25">
      <c r="A4591" t="s">
        <v>7651</v>
      </c>
      <c r="B4591" t="s">
        <v>5209</v>
      </c>
    </row>
    <row r="4592" spans="1:2" x14ac:dyDescent="0.25">
      <c r="A4592" t="s">
        <v>7652</v>
      </c>
      <c r="B4592" t="s">
        <v>1610</v>
      </c>
    </row>
    <row r="4593" spans="1:2" x14ac:dyDescent="0.25">
      <c r="A4593" t="s">
        <v>755</v>
      </c>
      <c r="B4593" t="s">
        <v>755</v>
      </c>
    </row>
    <row r="4594" spans="1:2" x14ac:dyDescent="0.25">
      <c r="A4594" t="s">
        <v>7653</v>
      </c>
      <c r="B4594" t="s">
        <v>755</v>
      </c>
    </row>
    <row r="4595" spans="1:2" x14ac:dyDescent="0.25">
      <c r="A4595" t="s">
        <v>7654</v>
      </c>
      <c r="B4595" t="s">
        <v>755</v>
      </c>
    </row>
    <row r="4596" spans="1:2" x14ac:dyDescent="0.25">
      <c r="A4596" t="s">
        <v>7655</v>
      </c>
      <c r="B4596" t="s">
        <v>755</v>
      </c>
    </row>
    <row r="4597" spans="1:2" x14ac:dyDescent="0.25">
      <c r="A4597" t="s">
        <v>7656</v>
      </c>
      <c r="B4597" t="s">
        <v>755</v>
      </c>
    </row>
    <row r="4598" spans="1:2" x14ac:dyDescent="0.25">
      <c r="A4598" t="s">
        <v>7657</v>
      </c>
      <c r="B4598" t="s">
        <v>755</v>
      </c>
    </row>
    <row r="4599" spans="1:2" x14ac:dyDescent="0.25">
      <c r="A4599" t="s">
        <v>758</v>
      </c>
      <c r="B4599" t="s">
        <v>758</v>
      </c>
    </row>
    <row r="4600" spans="1:2" x14ac:dyDescent="0.25">
      <c r="A4600" t="s">
        <v>7658</v>
      </c>
      <c r="B4600" t="s">
        <v>758</v>
      </c>
    </row>
    <row r="4601" spans="1:2" x14ac:dyDescent="0.25">
      <c r="A4601" t="s">
        <v>7659</v>
      </c>
      <c r="B4601" t="s">
        <v>758</v>
      </c>
    </row>
    <row r="4602" spans="1:2" x14ac:dyDescent="0.25">
      <c r="A4602" t="s">
        <v>761</v>
      </c>
      <c r="B4602" t="s">
        <v>761</v>
      </c>
    </row>
    <row r="4603" spans="1:2" x14ac:dyDescent="0.25">
      <c r="A4603" t="s">
        <v>7660</v>
      </c>
      <c r="B4603" t="s">
        <v>761</v>
      </c>
    </row>
    <row r="4604" spans="1:2" x14ac:dyDescent="0.25">
      <c r="A4604" t="s">
        <v>7661</v>
      </c>
      <c r="B4604" t="s">
        <v>761</v>
      </c>
    </row>
    <row r="4605" spans="1:2" x14ac:dyDescent="0.25">
      <c r="A4605" t="s">
        <v>7662</v>
      </c>
      <c r="B4605" t="s">
        <v>761</v>
      </c>
    </row>
    <row r="4606" spans="1:2" x14ac:dyDescent="0.25">
      <c r="A4606" t="s">
        <v>7663</v>
      </c>
      <c r="B4606" t="s">
        <v>758</v>
      </c>
    </row>
    <row r="4607" spans="1:2" x14ac:dyDescent="0.25">
      <c r="A4607" t="s">
        <v>2537</v>
      </c>
      <c r="B4607" t="s">
        <v>2537</v>
      </c>
    </row>
    <row r="4608" spans="1:2" x14ac:dyDescent="0.25">
      <c r="A4608" t="s">
        <v>7664</v>
      </c>
      <c r="B4608" t="s">
        <v>2537</v>
      </c>
    </row>
    <row r="4609" spans="1:2" x14ac:dyDescent="0.25">
      <c r="A4609" t="s">
        <v>7665</v>
      </c>
      <c r="B4609" t="s">
        <v>2537</v>
      </c>
    </row>
    <row r="4610" spans="1:2" x14ac:dyDescent="0.25">
      <c r="A4610" t="s">
        <v>7666</v>
      </c>
      <c r="B4610" t="s">
        <v>2537</v>
      </c>
    </row>
    <row r="4611" spans="1:2" x14ac:dyDescent="0.25">
      <c r="A4611" t="s">
        <v>1989</v>
      </c>
      <c r="B4611" t="s">
        <v>1989</v>
      </c>
    </row>
    <row r="4612" spans="1:2" x14ac:dyDescent="0.25">
      <c r="A4612" t="s">
        <v>7667</v>
      </c>
      <c r="B4612" t="s">
        <v>7668</v>
      </c>
    </row>
    <row r="4613" spans="1:2" x14ac:dyDescent="0.25">
      <c r="A4613" t="s">
        <v>7669</v>
      </c>
      <c r="B4613" t="s">
        <v>7670</v>
      </c>
    </row>
    <row r="4614" spans="1:2" x14ac:dyDescent="0.25">
      <c r="A4614" t="s">
        <v>7671</v>
      </c>
      <c r="B4614" t="s">
        <v>7672</v>
      </c>
    </row>
    <row r="4615" spans="1:2" x14ac:dyDescent="0.25">
      <c r="A4615" t="s">
        <v>1612</v>
      </c>
      <c r="B4615" t="s">
        <v>1612</v>
      </c>
    </row>
    <row r="4616" spans="1:2" x14ac:dyDescent="0.25">
      <c r="A4616" t="s">
        <v>7673</v>
      </c>
      <c r="B4616" t="s">
        <v>1612</v>
      </c>
    </row>
    <row r="4617" spans="1:2" x14ac:dyDescent="0.25">
      <c r="A4617" t="s">
        <v>7674</v>
      </c>
      <c r="B4617" t="s">
        <v>1612</v>
      </c>
    </row>
    <row r="4618" spans="1:2" x14ac:dyDescent="0.25">
      <c r="A4618" t="s">
        <v>164</v>
      </c>
      <c r="B4618" t="s">
        <v>164</v>
      </c>
    </row>
    <row r="4619" spans="1:2" x14ac:dyDescent="0.25">
      <c r="A4619" t="s">
        <v>7675</v>
      </c>
      <c r="B4619" t="s">
        <v>164</v>
      </c>
    </row>
    <row r="4620" spans="1:2" x14ac:dyDescent="0.25">
      <c r="A4620" t="s">
        <v>7676</v>
      </c>
      <c r="B4620" t="s">
        <v>164</v>
      </c>
    </row>
    <row r="4621" spans="1:2" x14ac:dyDescent="0.25">
      <c r="A4621" t="s">
        <v>7677</v>
      </c>
      <c r="B4621" t="s">
        <v>164</v>
      </c>
    </row>
    <row r="4622" spans="1:2" x14ac:dyDescent="0.25">
      <c r="A4622" t="s">
        <v>764</v>
      </c>
      <c r="B4622" t="s">
        <v>764</v>
      </c>
    </row>
    <row r="4623" spans="1:2" x14ac:dyDescent="0.25">
      <c r="A4623" t="s">
        <v>7678</v>
      </c>
      <c r="B4623" t="s">
        <v>764</v>
      </c>
    </row>
    <row r="4624" spans="1:2" x14ac:dyDescent="0.25">
      <c r="A4624" t="s">
        <v>7679</v>
      </c>
      <c r="B4624" t="s">
        <v>764</v>
      </c>
    </row>
    <row r="4625" spans="1:2" x14ac:dyDescent="0.25">
      <c r="A4625" t="s">
        <v>7680</v>
      </c>
      <c r="B4625" t="s">
        <v>764</v>
      </c>
    </row>
    <row r="4626" spans="1:2" x14ac:dyDescent="0.25">
      <c r="A4626" t="s">
        <v>7681</v>
      </c>
      <c r="B4626" t="s">
        <v>764</v>
      </c>
    </row>
    <row r="4627" spans="1:2" x14ac:dyDescent="0.25">
      <c r="A4627" t="s">
        <v>267</v>
      </c>
      <c r="B4627" t="s">
        <v>267</v>
      </c>
    </row>
    <row r="4628" spans="1:2" x14ac:dyDescent="0.25">
      <c r="A4628" t="s">
        <v>7682</v>
      </c>
      <c r="B4628" t="s">
        <v>267</v>
      </c>
    </row>
    <row r="4629" spans="1:2" x14ac:dyDescent="0.25">
      <c r="A4629" t="s">
        <v>7683</v>
      </c>
      <c r="B4629" t="s">
        <v>267</v>
      </c>
    </row>
    <row r="4630" spans="1:2" x14ac:dyDescent="0.25">
      <c r="A4630" t="s">
        <v>7684</v>
      </c>
      <c r="B4630" t="s">
        <v>267</v>
      </c>
    </row>
    <row r="4631" spans="1:2" x14ac:dyDescent="0.25">
      <c r="A4631" t="s">
        <v>7685</v>
      </c>
      <c r="B4631" t="s">
        <v>267</v>
      </c>
    </row>
    <row r="4632" spans="1:2" x14ac:dyDescent="0.25">
      <c r="A4632" t="s">
        <v>7686</v>
      </c>
      <c r="B4632" t="s">
        <v>267</v>
      </c>
    </row>
    <row r="4633" spans="1:2" x14ac:dyDescent="0.25">
      <c r="A4633" t="s">
        <v>803</v>
      </c>
      <c r="B4633" t="s">
        <v>803</v>
      </c>
    </row>
    <row r="4634" spans="1:2" x14ac:dyDescent="0.25">
      <c r="A4634" t="s">
        <v>7687</v>
      </c>
      <c r="B4634" t="s">
        <v>803</v>
      </c>
    </row>
    <row r="4635" spans="1:2" x14ac:dyDescent="0.25">
      <c r="A4635" t="s">
        <v>7688</v>
      </c>
      <c r="B4635" t="s">
        <v>803</v>
      </c>
    </row>
    <row r="4636" spans="1:2" x14ac:dyDescent="0.25">
      <c r="A4636" t="s">
        <v>7689</v>
      </c>
      <c r="B4636" t="s">
        <v>803</v>
      </c>
    </row>
    <row r="4637" spans="1:2" x14ac:dyDescent="0.25">
      <c r="A4637" t="s">
        <v>806</v>
      </c>
      <c r="B4637" t="s">
        <v>806</v>
      </c>
    </row>
    <row r="4638" spans="1:2" x14ac:dyDescent="0.25">
      <c r="A4638" t="s">
        <v>7690</v>
      </c>
      <c r="B4638" t="s">
        <v>806</v>
      </c>
    </row>
    <row r="4639" spans="1:2" x14ac:dyDescent="0.25">
      <c r="A4639" t="s">
        <v>7691</v>
      </c>
      <c r="B4639" t="s">
        <v>806</v>
      </c>
    </row>
    <row r="4640" spans="1:2" x14ac:dyDescent="0.25">
      <c r="A4640" t="s">
        <v>7692</v>
      </c>
      <c r="B4640" t="s">
        <v>806</v>
      </c>
    </row>
    <row r="4641" spans="1:2" x14ac:dyDescent="0.25">
      <c r="A4641" t="s">
        <v>7693</v>
      </c>
      <c r="B4641" t="s">
        <v>806</v>
      </c>
    </row>
    <row r="4642" spans="1:2" x14ac:dyDescent="0.25">
      <c r="A4642" t="s">
        <v>809</v>
      </c>
      <c r="B4642" t="s">
        <v>809</v>
      </c>
    </row>
    <row r="4643" spans="1:2" x14ac:dyDescent="0.25">
      <c r="A4643" t="s">
        <v>7694</v>
      </c>
      <c r="B4643" t="s">
        <v>809</v>
      </c>
    </row>
    <row r="4644" spans="1:2" x14ac:dyDescent="0.25">
      <c r="A4644" t="s">
        <v>7695</v>
      </c>
      <c r="B4644" t="s">
        <v>809</v>
      </c>
    </row>
    <row r="4645" spans="1:2" x14ac:dyDescent="0.25">
      <c r="A4645" t="s">
        <v>812</v>
      </c>
      <c r="B4645" t="s">
        <v>812</v>
      </c>
    </row>
    <row r="4646" spans="1:2" x14ac:dyDescent="0.25">
      <c r="A4646" t="s">
        <v>7696</v>
      </c>
      <c r="B4646" t="s">
        <v>812</v>
      </c>
    </row>
    <row r="4647" spans="1:2" x14ac:dyDescent="0.25">
      <c r="A4647" t="s">
        <v>7697</v>
      </c>
      <c r="B4647" t="s">
        <v>812</v>
      </c>
    </row>
    <row r="4648" spans="1:2" x14ac:dyDescent="0.25">
      <c r="A4648" t="s">
        <v>7698</v>
      </c>
      <c r="B4648" t="s">
        <v>812</v>
      </c>
    </row>
    <row r="4649" spans="1:2" x14ac:dyDescent="0.25">
      <c r="A4649" t="s">
        <v>7699</v>
      </c>
      <c r="B4649" t="s">
        <v>812</v>
      </c>
    </row>
    <row r="4650" spans="1:2" x14ac:dyDescent="0.25">
      <c r="A4650" t="s">
        <v>269</v>
      </c>
      <c r="B4650" t="s">
        <v>269</v>
      </c>
    </row>
    <row r="4651" spans="1:2" x14ac:dyDescent="0.25">
      <c r="A4651" t="s">
        <v>7700</v>
      </c>
      <c r="B4651" t="s">
        <v>269</v>
      </c>
    </row>
    <row r="4652" spans="1:2" x14ac:dyDescent="0.25">
      <c r="A4652" t="s">
        <v>7701</v>
      </c>
      <c r="B4652" t="s">
        <v>269</v>
      </c>
    </row>
    <row r="4653" spans="1:2" x14ac:dyDescent="0.25">
      <c r="A4653" t="s">
        <v>7702</v>
      </c>
      <c r="B4653" t="s">
        <v>269</v>
      </c>
    </row>
    <row r="4654" spans="1:2" x14ac:dyDescent="0.25">
      <c r="A4654" t="s">
        <v>847</v>
      </c>
      <c r="B4654" t="s">
        <v>847</v>
      </c>
    </row>
    <row r="4655" spans="1:2" x14ac:dyDescent="0.25">
      <c r="A4655" t="s">
        <v>7703</v>
      </c>
      <c r="B4655" t="s">
        <v>847</v>
      </c>
    </row>
    <row r="4656" spans="1:2" x14ac:dyDescent="0.25">
      <c r="A4656" t="s">
        <v>7704</v>
      </c>
      <c r="B4656" t="s">
        <v>847</v>
      </c>
    </row>
    <row r="4657" spans="1:2" x14ac:dyDescent="0.25">
      <c r="A4657" t="s">
        <v>7705</v>
      </c>
      <c r="B4657" t="s">
        <v>847</v>
      </c>
    </row>
    <row r="4658" spans="1:2" x14ac:dyDescent="0.25">
      <c r="A4658" t="s">
        <v>7706</v>
      </c>
      <c r="B4658" t="s">
        <v>847</v>
      </c>
    </row>
    <row r="4659" spans="1:2" x14ac:dyDescent="0.25">
      <c r="A4659" t="s">
        <v>1752</v>
      </c>
      <c r="B4659" t="s">
        <v>1752</v>
      </c>
    </row>
    <row r="4660" spans="1:2" x14ac:dyDescent="0.25">
      <c r="A4660" t="s">
        <v>7707</v>
      </c>
      <c r="B4660" t="s">
        <v>1752</v>
      </c>
    </row>
    <row r="4661" spans="1:2" x14ac:dyDescent="0.25">
      <c r="A4661" t="s">
        <v>7708</v>
      </c>
      <c r="B4661" t="s">
        <v>1752</v>
      </c>
    </row>
    <row r="4662" spans="1:2" x14ac:dyDescent="0.25">
      <c r="A4662" t="s">
        <v>913</v>
      </c>
      <c r="B4662" t="s">
        <v>913</v>
      </c>
    </row>
    <row r="4663" spans="1:2" x14ac:dyDescent="0.25">
      <c r="A4663" t="s">
        <v>7709</v>
      </c>
      <c r="B4663" t="s">
        <v>913</v>
      </c>
    </row>
    <row r="4664" spans="1:2" x14ac:dyDescent="0.25">
      <c r="A4664" t="s">
        <v>7710</v>
      </c>
      <c r="B4664" t="s">
        <v>913</v>
      </c>
    </row>
    <row r="4665" spans="1:2" x14ac:dyDescent="0.25">
      <c r="A4665" t="s">
        <v>1958</v>
      </c>
      <c r="B4665" t="s">
        <v>1958</v>
      </c>
    </row>
    <row r="4666" spans="1:2" x14ac:dyDescent="0.25">
      <c r="A4666" t="s">
        <v>1173</v>
      </c>
      <c r="B4666" t="s">
        <v>1173</v>
      </c>
    </row>
    <row r="4667" spans="1:2" x14ac:dyDescent="0.25">
      <c r="A4667" t="s">
        <v>7711</v>
      </c>
      <c r="B4667" t="s">
        <v>1173</v>
      </c>
    </row>
    <row r="4668" spans="1:2" x14ac:dyDescent="0.25">
      <c r="A4668" t="s">
        <v>1975</v>
      </c>
      <c r="B4668" t="s">
        <v>1975</v>
      </c>
    </row>
    <row r="4669" spans="1:2" x14ac:dyDescent="0.25">
      <c r="A4669" t="s">
        <v>1976</v>
      </c>
      <c r="B4669" t="s">
        <v>1976</v>
      </c>
    </row>
    <row r="4670" spans="1:2" x14ac:dyDescent="0.25">
      <c r="A4670" t="s">
        <v>1187</v>
      </c>
      <c r="B4670" t="s">
        <v>1187</v>
      </c>
    </row>
    <row r="4671" spans="1:2" x14ac:dyDescent="0.25">
      <c r="A4671" t="s">
        <v>2330</v>
      </c>
      <c r="B4671" t="s">
        <v>2330</v>
      </c>
    </row>
    <row r="4672" spans="1:2" x14ac:dyDescent="0.25">
      <c r="A4672" t="s">
        <v>7712</v>
      </c>
      <c r="B4672" t="s">
        <v>2330</v>
      </c>
    </row>
    <row r="4673" spans="1:2" x14ac:dyDescent="0.25">
      <c r="A4673" t="s">
        <v>7713</v>
      </c>
      <c r="B4673" t="s">
        <v>2330</v>
      </c>
    </row>
    <row r="4674" spans="1:2" x14ac:dyDescent="0.25">
      <c r="A4674" t="s">
        <v>7714</v>
      </c>
      <c r="B4674" t="s">
        <v>2330</v>
      </c>
    </row>
    <row r="4675" spans="1:2" x14ac:dyDescent="0.25">
      <c r="A4675" t="s">
        <v>850</v>
      </c>
      <c r="B4675" t="s">
        <v>850</v>
      </c>
    </row>
    <row r="4676" spans="1:2" x14ac:dyDescent="0.25">
      <c r="A4676" t="s">
        <v>7715</v>
      </c>
      <c r="B4676" t="s">
        <v>850</v>
      </c>
    </row>
    <row r="4677" spans="1:2" x14ac:dyDescent="0.25">
      <c r="A4677" t="s">
        <v>7716</v>
      </c>
      <c r="B4677" t="s">
        <v>850</v>
      </c>
    </row>
    <row r="4678" spans="1:2" x14ac:dyDescent="0.25">
      <c r="A4678" t="s">
        <v>7717</v>
      </c>
      <c r="B4678" t="s">
        <v>850</v>
      </c>
    </row>
    <row r="4679" spans="1:2" x14ac:dyDescent="0.25">
      <c r="A4679" t="s">
        <v>7718</v>
      </c>
      <c r="B4679" t="s">
        <v>850</v>
      </c>
    </row>
    <row r="4680" spans="1:2" x14ac:dyDescent="0.25">
      <c r="A4680" t="s">
        <v>7719</v>
      </c>
      <c r="B4680" t="s">
        <v>850</v>
      </c>
    </row>
    <row r="4681" spans="1:2" x14ac:dyDescent="0.25">
      <c r="A4681" t="s">
        <v>7720</v>
      </c>
      <c r="B4681" t="s">
        <v>850</v>
      </c>
    </row>
    <row r="4682" spans="1:2" x14ac:dyDescent="0.25">
      <c r="A4682" t="s">
        <v>1676</v>
      </c>
      <c r="B4682" t="s">
        <v>1676</v>
      </c>
    </row>
    <row r="4683" spans="1:2" x14ac:dyDescent="0.25">
      <c r="A4683" t="s">
        <v>7721</v>
      </c>
      <c r="B4683" t="s">
        <v>1676</v>
      </c>
    </row>
    <row r="4684" spans="1:2" x14ac:dyDescent="0.25">
      <c r="A4684" t="s">
        <v>7722</v>
      </c>
      <c r="B4684" t="s">
        <v>1676</v>
      </c>
    </row>
    <row r="4685" spans="1:2" x14ac:dyDescent="0.25">
      <c r="A4685" t="s">
        <v>7723</v>
      </c>
      <c r="B4685" t="s">
        <v>1676</v>
      </c>
    </row>
    <row r="4686" spans="1:2" x14ac:dyDescent="0.25">
      <c r="A4686" t="s">
        <v>853</v>
      </c>
      <c r="B4686" t="s">
        <v>853</v>
      </c>
    </row>
    <row r="4687" spans="1:2" x14ac:dyDescent="0.25">
      <c r="A4687" t="s">
        <v>7724</v>
      </c>
      <c r="B4687" t="s">
        <v>853</v>
      </c>
    </row>
    <row r="4688" spans="1:2" x14ac:dyDescent="0.25">
      <c r="A4688" t="s">
        <v>7725</v>
      </c>
      <c r="B4688" t="s">
        <v>853</v>
      </c>
    </row>
    <row r="4689" spans="1:2" x14ac:dyDescent="0.25">
      <c r="A4689" t="s">
        <v>7726</v>
      </c>
      <c r="B4689" t="s">
        <v>853</v>
      </c>
    </row>
    <row r="4690" spans="1:2" x14ac:dyDescent="0.25">
      <c r="A4690" t="s">
        <v>7727</v>
      </c>
      <c r="B4690" t="s">
        <v>853</v>
      </c>
    </row>
    <row r="4691" spans="1:2" x14ac:dyDescent="0.25">
      <c r="A4691" t="s">
        <v>1170</v>
      </c>
      <c r="B4691" t="s">
        <v>1170</v>
      </c>
    </row>
    <row r="4692" spans="1:2" x14ac:dyDescent="0.25">
      <c r="A4692" t="s">
        <v>7728</v>
      </c>
      <c r="B4692" t="s">
        <v>1170</v>
      </c>
    </row>
    <row r="4693" spans="1:2" x14ac:dyDescent="0.25">
      <c r="A4693" t="s">
        <v>7729</v>
      </c>
      <c r="B4693" t="s">
        <v>1170</v>
      </c>
    </row>
    <row r="4694" spans="1:2" x14ac:dyDescent="0.25">
      <c r="A4694" t="s">
        <v>167</v>
      </c>
      <c r="B4694" t="s">
        <v>167</v>
      </c>
    </row>
    <row r="4695" spans="1:2" x14ac:dyDescent="0.25">
      <c r="A4695" t="s">
        <v>7730</v>
      </c>
      <c r="B4695" t="s">
        <v>167</v>
      </c>
    </row>
    <row r="4696" spans="1:2" x14ac:dyDescent="0.25">
      <c r="A4696" t="s">
        <v>7731</v>
      </c>
      <c r="B4696" t="s">
        <v>167</v>
      </c>
    </row>
    <row r="4697" spans="1:2" x14ac:dyDescent="0.25">
      <c r="A4697" t="s">
        <v>7732</v>
      </c>
      <c r="B4697" t="s">
        <v>167</v>
      </c>
    </row>
    <row r="4698" spans="1:2" x14ac:dyDescent="0.25">
      <c r="A4698" t="s">
        <v>7733</v>
      </c>
      <c r="B4698" t="s">
        <v>5209</v>
      </c>
    </row>
    <row r="4699" spans="1:2" x14ac:dyDescent="0.25">
      <c r="A4699" t="s">
        <v>2786</v>
      </c>
      <c r="B4699" t="s">
        <v>2786</v>
      </c>
    </row>
    <row r="4700" spans="1:2" x14ac:dyDescent="0.25">
      <c r="A4700" t="s">
        <v>7734</v>
      </c>
      <c r="B4700" t="s">
        <v>2786</v>
      </c>
    </row>
    <row r="4701" spans="1:2" x14ac:dyDescent="0.25">
      <c r="A4701" t="s">
        <v>7735</v>
      </c>
      <c r="B4701" t="s">
        <v>2786</v>
      </c>
    </row>
    <row r="4702" spans="1:2" x14ac:dyDescent="0.25">
      <c r="A4702" t="s">
        <v>7736</v>
      </c>
      <c r="B4702" t="s">
        <v>2786</v>
      </c>
    </row>
    <row r="4703" spans="1:2" x14ac:dyDescent="0.25">
      <c r="A4703" t="s">
        <v>7737</v>
      </c>
      <c r="B4703" t="s">
        <v>167</v>
      </c>
    </row>
    <row r="4704" spans="1:2" x14ac:dyDescent="0.25">
      <c r="A4704" t="s">
        <v>7738</v>
      </c>
      <c r="B4704" t="s">
        <v>7739</v>
      </c>
    </row>
    <row r="4705" spans="1:2" x14ac:dyDescent="0.25">
      <c r="A4705" t="s">
        <v>936</v>
      </c>
      <c r="B4705" t="s">
        <v>936</v>
      </c>
    </row>
    <row r="4706" spans="1:2" x14ac:dyDescent="0.25">
      <c r="A4706" t="s">
        <v>7740</v>
      </c>
      <c r="B4706" t="s">
        <v>936</v>
      </c>
    </row>
    <row r="4707" spans="1:2" x14ac:dyDescent="0.25">
      <c r="A4707" t="s">
        <v>7741</v>
      </c>
      <c r="B4707" t="s">
        <v>936</v>
      </c>
    </row>
    <row r="4708" spans="1:2" x14ac:dyDescent="0.25">
      <c r="A4708" t="s">
        <v>1651</v>
      </c>
      <c r="B4708" t="s">
        <v>1651</v>
      </c>
    </row>
    <row r="4709" spans="1:2" x14ac:dyDescent="0.25">
      <c r="A4709" t="s">
        <v>7742</v>
      </c>
      <c r="B4709" t="s">
        <v>1651</v>
      </c>
    </row>
    <row r="4710" spans="1:2" x14ac:dyDescent="0.25">
      <c r="A4710" t="s">
        <v>7743</v>
      </c>
      <c r="B4710" t="s">
        <v>1651</v>
      </c>
    </row>
    <row r="4711" spans="1:2" x14ac:dyDescent="0.25">
      <c r="A4711" t="s">
        <v>7744</v>
      </c>
      <c r="B4711" t="s">
        <v>1651</v>
      </c>
    </row>
    <row r="4712" spans="1:2" x14ac:dyDescent="0.25">
      <c r="A4712" t="s">
        <v>939</v>
      </c>
      <c r="B4712" t="s">
        <v>939</v>
      </c>
    </row>
    <row r="4713" spans="1:2" x14ac:dyDescent="0.25">
      <c r="A4713" t="s">
        <v>7745</v>
      </c>
      <c r="B4713" t="s">
        <v>939</v>
      </c>
    </row>
    <row r="4714" spans="1:2" x14ac:dyDescent="0.25">
      <c r="A4714" t="s">
        <v>7746</v>
      </c>
      <c r="B4714" t="s">
        <v>939</v>
      </c>
    </row>
    <row r="4715" spans="1:2" x14ac:dyDescent="0.25">
      <c r="A4715" t="s">
        <v>1977</v>
      </c>
      <c r="B4715" t="s">
        <v>1977</v>
      </c>
    </row>
    <row r="4716" spans="1:2" x14ac:dyDescent="0.25">
      <c r="A4716" t="s">
        <v>169</v>
      </c>
      <c r="B4716" t="s">
        <v>169</v>
      </c>
    </row>
    <row r="4717" spans="1:2" x14ac:dyDescent="0.25">
      <c r="A4717" t="s">
        <v>7747</v>
      </c>
      <c r="B4717" t="s">
        <v>169</v>
      </c>
    </row>
    <row r="4718" spans="1:2" x14ac:dyDescent="0.25">
      <c r="A4718" t="s">
        <v>7748</v>
      </c>
      <c r="B4718" t="s">
        <v>169</v>
      </c>
    </row>
    <row r="4719" spans="1:2" x14ac:dyDescent="0.25">
      <c r="A4719" t="s">
        <v>7749</v>
      </c>
      <c r="B4719" t="s">
        <v>169</v>
      </c>
    </row>
    <row r="4720" spans="1:2" x14ac:dyDescent="0.25">
      <c r="A4720" t="s">
        <v>7750</v>
      </c>
      <c r="B4720" t="s">
        <v>169</v>
      </c>
    </row>
    <row r="4721" spans="1:2" x14ac:dyDescent="0.25">
      <c r="A4721" t="s">
        <v>7751</v>
      </c>
      <c r="B4721" t="s">
        <v>5209</v>
      </c>
    </row>
    <row r="4722" spans="1:2" x14ac:dyDescent="0.25">
      <c r="A4722" t="s">
        <v>1653</v>
      </c>
      <c r="B4722" t="s">
        <v>1653</v>
      </c>
    </row>
    <row r="4723" spans="1:2" x14ac:dyDescent="0.25">
      <c r="A4723" t="s">
        <v>7752</v>
      </c>
      <c r="B4723" t="s">
        <v>1653</v>
      </c>
    </row>
    <row r="4724" spans="1:2" x14ac:dyDescent="0.25">
      <c r="A4724" t="s">
        <v>7753</v>
      </c>
      <c r="B4724" t="s">
        <v>1653</v>
      </c>
    </row>
    <row r="4725" spans="1:2" x14ac:dyDescent="0.25">
      <c r="A4725" t="s">
        <v>7754</v>
      </c>
      <c r="B4725" t="s">
        <v>1653</v>
      </c>
    </row>
    <row r="4726" spans="1:2" x14ac:dyDescent="0.25">
      <c r="A4726" t="s">
        <v>7755</v>
      </c>
      <c r="B4726" t="s">
        <v>1653</v>
      </c>
    </row>
    <row r="4727" spans="1:2" x14ac:dyDescent="0.25">
      <c r="A4727" t="s">
        <v>7756</v>
      </c>
      <c r="B4727" t="s">
        <v>1653</v>
      </c>
    </row>
    <row r="4728" spans="1:2" x14ac:dyDescent="0.25">
      <c r="A4728" t="s">
        <v>7757</v>
      </c>
      <c r="B4728" t="s">
        <v>1653</v>
      </c>
    </row>
    <row r="4729" spans="1:2" x14ac:dyDescent="0.25">
      <c r="A4729" t="s">
        <v>7758</v>
      </c>
      <c r="B4729" t="s">
        <v>169</v>
      </c>
    </row>
    <row r="4730" spans="1:2" x14ac:dyDescent="0.25">
      <c r="A4730" t="s">
        <v>1655</v>
      </c>
      <c r="B4730" t="s">
        <v>1655</v>
      </c>
    </row>
    <row r="4731" spans="1:2" x14ac:dyDescent="0.25">
      <c r="A4731" t="s">
        <v>7759</v>
      </c>
      <c r="B4731" t="s">
        <v>1655</v>
      </c>
    </row>
    <row r="4732" spans="1:2" x14ac:dyDescent="0.25">
      <c r="A4732" t="s">
        <v>7760</v>
      </c>
      <c r="B4732" t="s">
        <v>1655</v>
      </c>
    </row>
    <row r="4733" spans="1:2" x14ac:dyDescent="0.25">
      <c r="A4733" t="s">
        <v>7761</v>
      </c>
      <c r="B4733" t="s">
        <v>1655</v>
      </c>
    </row>
    <row r="4734" spans="1:2" x14ac:dyDescent="0.25">
      <c r="A4734" t="s">
        <v>2902</v>
      </c>
      <c r="B4734" t="s">
        <v>2902</v>
      </c>
    </row>
    <row r="4735" spans="1:2" x14ac:dyDescent="0.25">
      <c r="A4735" t="s">
        <v>7762</v>
      </c>
      <c r="B4735" t="s">
        <v>2902</v>
      </c>
    </row>
    <row r="4736" spans="1:2" x14ac:dyDescent="0.25">
      <c r="A4736" t="s">
        <v>7763</v>
      </c>
      <c r="B4736" t="s">
        <v>2902</v>
      </c>
    </row>
    <row r="4737" spans="1:2" x14ac:dyDescent="0.25">
      <c r="A4737" t="s">
        <v>7764</v>
      </c>
      <c r="B4737" t="s">
        <v>2902</v>
      </c>
    </row>
    <row r="4738" spans="1:2" x14ac:dyDescent="0.25">
      <c r="A4738" t="s">
        <v>1657</v>
      </c>
      <c r="B4738" t="s">
        <v>1657</v>
      </c>
    </row>
    <row r="4739" spans="1:2" x14ac:dyDescent="0.25">
      <c r="A4739" t="s">
        <v>7765</v>
      </c>
      <c r="B4739" t="s">
        <v>1657</v>
      </c>
    </row>
    <row r="4740" spans="1:2" x14ac:dyDescent="0.25">
      <c r="A4740" t="s">
        <v>7766</v>
      </c>
      <c r="B4740" t="s">
        <v>1657</v>
      </c>
    </row>
    <row r="4741" spans="1:2" x14ac:dyDescent="0.25">
      <c r="A4741" t="s">
        <v>2538</v>
      </c>
      <c r="B4741" t="s">
        <v>2538</v>
      </c>
    </row>
    <row r="4742" spans="1:2" x14ac:dyDescent="0.25">
      <c r="A4742" t="s">
        <v>7767</v>
      </c>
      <c r="B4742" t="s">
        <v>2538</v>
      </c>
    </row>
    <row r="4743" spans="1:2" x14ac:dyDescent="0.25">
      <c r="A4743" t="s">
        <v>7768</v>
      </c>
      <c r="B4743" t="s">
        <v>2538</v>
      </c>
    </row>
    <row r="4744" spans="1:2" x14ac:dyDescent="0.25">
      <c r="A4744" t="s">
        <v>7769</v>
      </c>
      <c r="B4744" t="s">
        <v>2538</v>
      </c>
    </row>
    <row r="4745" spans="1:2" x14ac:dyDescent="0.25">
      <c r="A4745" t="s">
        <v>2539</v>
      </c>
      <c r="B4745" t="s">
        <v>2539</v>
      </c>
    </row>
    <row r="4746" spans="1:2" x14ac:dyDescent="0.25">
      <c r="A4746" t="s">
        <v>7770</v>
      </c>
      <c r="B4746" t="s">
        <v>2539</v>
      </c>
    </row>
    <row r="4747" spans="1:2" x14ac:dyDescent="0.25">
      <c r="A4747" t="s">
        <v>7771</v>
      </c>
      <c r="B4747" t="s">
        <v>2539</v>
      </c>
    </row>
    <row r="4748" spans="1:2" x14ac:dyDescent="0.25">
      <c r="A4748" t="s">
        <v>7772</v>
      </c>
      <c r="B4748" t="s">
        <v>2539</v>
      </c>
    </row>
    <row r="4749" spans="1:2" x14ac:dyDescent="0.25">
      <c r="A4749" t="s">
        <v>800</v>
      </c>
      <c r="B4749" t="s">
        <v>800</v>
      </c>
    </row>
    <row r="4750" spans="1:2" x14ac:dyDescent="0.25">
      <c r="A4750" t="s">
        <v>7773</v>
      </c>
      <c r="B4750" t="s">
        <v>800</v>
      </c>
    </row>
    <row r="4751" spans="1:2" x14ac:dyDescent="0.25">
      <c r="A4751" t="s">
        <v>7774</v>
      </c>
      <c r="B4751" t="s">
        <v>800</v>
      </c>
    </row>
    <row r="4752" spans="1:2" x14ac:dyDescent="0.25">
      <c r="A4752" t="s">
        <v>7775</v>
      </c>
      <c r="B4752" t="s">
        <v>800</v>
      </c>
    </row>
    <row r="4753" spans="1:2" x14ac:dyDescent="0.25">
      <c r="A4753" t="s">
        <v>171</v>
      </c>
      <c r="B4753" t="s">
        <v>171</v>
      </c>
    </row>
    <row r="4754" spans="1:2" x14ac:dyDescent="0.25">
      <c r="A4754" t="s">
        <v>7776</v>
      </c>
      <c r="B4754" t="s">
        <v>171</v>
      </c>
    </row>
    <row r="4755" spans="1:2" x14ac:dyDescent="0.25">
      <c r="A4755" t="s">
        <v>7777</v>
      </c>
      <c r="B4755" t="s">
        <v>171</v>
      </c>
    </row>
    <row r="4756" spans="1:2" x14ac:dyDescent="0.25">
      <c r="A4756" t="s">
        <v>7778</v>
      </c>
      <c r="B4756" t="s">
        <v>171</v>
      </c>
    </row>
    <row r="4757" spans="1:2" x14ac:dyDescent="0.25">
      <c r="A4757" t="s">
        <v>7779</v>
      </c>
      <c r="B4757" t="s">
        <v>4453</v>
      </c>
    </row>
    <row r="4758" spans="1:2" x14ac:dyDescent="0.25">
      <c r="A4758" t="s">
        <v>7780</v>
      </c>
      <c r="B4758" t="s">
        <v>171</v>
      </c>
    </row>
    <row r="4759" spans="1:2" x14ac:dyDescent="0.25">
      <c r="A4759" t="s">
        <v>767</v>
      </c>
      <c r="B4759" t="s">
        <v>767</v>
      </c>
    </row>
    <row r="4760" spans="1:2" x14ac:dyDescent="0.25">
      <c r="A4760" t="s">
        <v>7781</v>
      </c>
      <c r="B4760" t="s">
        <v>767</v>
      </c>
    </row>
    <row r="4761" spans="1:2" x14ac:dyDescent="0.25">
      <c r="A4761" t="s">
        <v>7782</v>
      </c>
      <c r="B4761" t="s">
        <v>767</v>
      </c>
    </row>
    <row r="4762" spans="1:2" x14ac:dyDescent="0.25">
      <c r="A4762" t="s">
        <v>7783</v>
      </c>
      <c r="B4762" t="s">
        <v>767</v>
      </c>
    </row>
    <row r="4763" spans="1:2" x14ac:dyDescent="0.25">
      <c r="A4763" t="s">
        <v>7784</v>
      </c>
      <c r="B4763" t="s">
        <v>5976</v>
      </c>
    </row>
    <row r="4764" spans="1:2" x14ac:dyDescent="0.25">
      <c r="A4764" t="s">
        <v>7785</v>
      </c>
      <c r="B4764" t="s">
        <v>7786</v>
      </c>
    </row>
    <row r="4765" spans="1:2" x14ac:dyDescent="0.25">
      <c r="A4765" t="s">
        <v>7787</v>
      </c>
      <c r="B4765" t="s">
        <v>7786</v>
      </c>
    </row>
    <row r="4766" spans="1:2" x14ac:dyDescent="0.25">
      <c r="A4766" t="s">
        <v>7788</v>
      </c>
      <c r="B4766" t="s">
        <v>5977</v>
      </c>
    </row>
    <row r="4767" spans="1:2" x14ac:dyDescent="0.25">
      <c r="A4767" t="s">
        <v>7789</v>
      </c>
      <c r="B4767" t="s">
        <v>7786</v>
      </c>
    </row>
    <row r="4768" spans="1:2" x14ac:dyDescent="0.25">
      <c r="A4768" t="s">
        <v>770</v>
      </c>
      <c r="B4768" t="s">
        <v>770</v>
      </c>
    </row>
    <row r="4769" spans="1:2" x14ac:dyDescent="0.25">
      <c r="A4769" t="s">
        <v>7790</v>
      </c>
      <c r="B4769" t="s">
        <v>770</v>
      </c>
    </row>
    <row r="4770" spans="1:2" x14ac:dyDescent="0.25">
      <c r="A4770" t="s">
        <v>7791</v>
      </c>
      <c r="B4770" t="s">
        <v>770</v>
      </c>
    </row>
    <row r="4771" spans="1:2" x14ac:dyDescent="0.25">
      <c r="A4771" t="s">
        <v>7792</v>
      </c>
      <c r="B4771" t="s">
        <v>770</v>
      </c>
    </row>
    <row r="4772" spans="1:2" x14ac:dyDescent="0.25">
      <c r="A4772" t="s">
        <v>7793</v>
      </c>
      <c r="B4772" t="s">
        <v>770</v>
      </c>
    </row>
    <row r="4773" spans="1:2" x14ac:dyDescent="0.25">
      <c r="A4773" t="s">
        <v>1614</v>
      </c>
      <c r="B4773" t="s">
        <v>1614</v>
      </c>
    </row>
    <row r="4774" spans="1:2" x14ac:dyDescent="0.25">
      <c r="A4774" t="s">
        <v>7794</v>
      </c>
      <c r="B4774" t="s">
        <v>1614</v>
      </c>
    </row>
    <row r="4775" spans="1:2" x14ac:dyDescent="0.25">
      <c r="A4775" t="s">
        <v>7795</v>
      </c>
      <c r="B4775" t="s">
        <v>1614</v>
      </c>
    </row>
    <row r="4776" spans="1:2" x14ac:dyDescent="0.25">
      <c r="A4776" t="s">
        <v>1616</v>
      </c>
      <c r="B4776" t="s">
        <v>1616</v>
      </c>
    </row>
    <row r="4777" spans="1:2" x14ac:dyDescent="0.25">
      <c r="A4777" t="s">
        <v>7796</v>
      </c>
      <c r="B4777" t="s">
        <v>1616</v>
      </c>
    </row>
    <row r="4778" spans="1:2" x14ac:dyDescent="0.25">
      <c r="A4778" t="s">
        <v>896</v>
      </c>
      <c r="B4778" t="s">
        <v>896</v>
      </c>
    </row>
    <row r="4779" spans="1:2" x14ac:dyDescent="0.25">
      <c r="A4779" t="s">
        <v>7797</v>
      </c>
      <c r="B4779" t="s">
        <v>896</v>
      </c>
    </row>
    <row r="4780" spans="1:2" x14ac:dyDescent="0.25">
      <c r="A4780" t="s">
        <v>7798</v>
      </c>
      <c r="B4780" t="s">
        <v>896</v>
      </c>
    </row>
    <row r="4781" spans="1:2" x14ac:dyDescent="0.25">
      <c r="A4781" t="s">
        <v>1945</v>
      </c>
      <c r="B4781" t="s">
        <v>1945</v>
      </c>
    </row>
    <row r="4782" spans="1:2" x14ac:dyDescent="0.25">
      <c r="A4782" t="s">
        <v>1872</v>
      </c>
      <c r="B4782" t="s">
        <v>1872</v>
      </c>
    </row>
    <row r="4783" spans="1:2" x14ac:dyDescent="0.25">
      <c r="A4783" t="s">
        <v>1875</v>
      </c>
      <c r="B4783" t="s">
        <v>1875</v>
      </c>
    </row>
    <row r="4784" spans="1:2" x14ac:dyDescent="0.25">
      <c r="A4784" t="s">
        <v>1877</v>
      </c>
      <c r="B4784" t="s">
        <v>1877</v>
      </c>
    </row>
    <row r="4785" spans="1:2" x14ac:dyDescent="0.25">
      <c r="A4785" t="s">
        <v>1879</v>
      </c>
      <c r="B4785" t="s">
        <v>1879</v>
      </c>
    </row>
    <row r="4786" spans="1:2" x14ac:dyDescent="0.25">
      <c r="A4786" t="s">
        <v>1881</v>
      </c>
      <c r="B4786" t="s">
        <v>1881</v>
      </c>
    </row>
    <row r="4787" spans="1:2" x14ac:dyDescent="0.25">
      <c r="A4787" t="s">
        <v>1883</v>
      </c>
      <c r="B4787" t="s">
        <v>1883</v>
      </c>
    </row>
    <row r="4788" spans="1:2" x14ac:dyDescent="0.25">
      <c r="A4788" t="s">
        <v>1885</v>
      </c>
      <c r="B4788" t="s">
        <v>1885</v>
      </c>
    </row>
    <row r="4789" spans="1:2" x14ac:dyDescent="0.25">
      <c r="A4789" t="s">
        <v>1887</v>
      </c>
      <c r="B4789" t="s">
        <v>1887</v>
      </c>
    </row>
    <row r="4790" spans="1:2" x14ac:dyDescent="0.25">
      <c r="A4790" t="s">
        <v>1889</v>
      </c>
      <c r="B4790" t="s">
        <v>1889</v>
      </c>
    </row>
    <row r="4791" spans="1:2" x14ac:dyDescent="0.25">
      <c r="A4791" t="s">
        <v>1891</v>
      </c>
      <c r="B4791" t="s">
        <v>1891</v>
      </c>
    </row>
    <row r="4792" spans="1:2" x14ac:dyDescent="0.25">
      <c r="A4792" t="s">
        <v>1893</v>
      </c>
      <c r="B4792" t="s">
        <v>1893</v>
      </c>
    </row>
    <row r="4793" spans="1:2" x14ac:dyDescent="0.25">
      <c r="A4793" t="s">
        <v>1895</v>
      </c>
      <c r="B4793" t="s">
        <v>1895</v>
      </c>
    </row>
    <row r="4794" spans="1:2" x14ac:dyDescent="0.25">
      <c r="A4794" t="s">
        <v>1897</v>
      </c>
      <c r="B4794" t="s">
        <v>1897</v>
      </c>
    </row>
    <row r="4795" spans="1:2" x14ac:dyDescent="0.25">
      <c r="A4795" t="s">
        <v>2952</v>
      </c>
      <c r="B4795" t="s">
        <v>2952</v>
      </c>
    </row>
    <row r="4796" spans="1:2" x14ac:dyDescent="0.25">
      <c r="A4796" t="s">
        <v>1899</v>
      </c>
      <c r="B4796" t="s">
        <v>1899</v>
      </c>
    </row>
    <row r="4797" spans="1:2" x14ac:dyDescent="0.25">
      <c r="A4797" t="s">
        <v>1901</v>
      </c>
      <c r="B4797" t="s">
        <v>1901</v>
      </c>
    </row>
    <row r="4798" spans="1:2" x14ac:dyDescent="0.25">
      <c r="A4798" t="s">
        <v>1902</v>
      </c>
      <c r="B4798" t="s">
        <v>1902</v>
      </c>
    </row>
    <row r="4799" spans="1:2" x14ac:dyDescent="0.25">
      <c r="A4799" t="s">
        <v>1987</v>
      </c>
      <c r="B4799" t="s">
        <v>1987</v>
      </c>
    </row>
    <row r="4800" spans="1:2" x14ac:dyDescent="0.25">
      <c r="A4800" t="s">
        <v>869</v>
      </c>
      <c r="B4800" t="s">
        <v>5209</v>
      </c>
    </row>
    <row r="4801" spans="1:2" x14ac:dyDescent="0.25">
      <c r="A4801" t="s">
        <v>2826</v>
      </c>
      <c r="B4801" t="s">
        <v>2826</v>
      </c>
    </row>
    <row r="4802" spans="1:2" x14ac:dyDescent="0.25">
      <c r="A4802" t="s">
        <v>7799</v>
      </c>
      <c r="B4802" t="s">
        <v>7800</v>
      </c>
    </row>
    <row r="4803" spans="1:2" x14ac:dyDescent="0.25">
      <c r="A4803" t="s">
        <v>7801</v>
      </c>
      <c r="B4803" t="s">
        <v>7800</v>
      </c>
    </row>
    <row r="4804" spans="1:2" x14ac:dyDescent="0.25">
      <c r="A4804" t="s">
        <v>7802</v>
      </c>
      <c r="B4804" t="s">
        <v>7803</v>
      </c>
    </row>
    <row r="4805" spans="1:2" x14ac:dyDescent="0.25">
      <c r="A4805" t="s">
        <v>7804</v>
      </c>
      <c r="B4805" t="s">
        <v>7803</v>
      </c>
    </row>
    <row r="4806" spans="1:2" x14ac:dyDescent="0.25">
      <c r="A4806" t="s">
        <v>7805</v>
      </c>
      <c r="B4806" t="s">
        <v>4649</v>
      </c>
    </row>
    <row r="4807" spans="1:2" x14ac:dyDescent="0.25">
      <c r="A4807" t="s">
        <v>7806</v>
      </c>
      <c r="B4807" t="s">
        <v>4649</v>
      </c>
    </row>
    <row r="4808" spans="1:2" x14ac:dyDescent="0.25">
      <c r="A4808" t="s">
        <v>7807</v>
      </c>
      <c r="B4808" t="s">
        <v>7808</v>
      </c>
    </row>
    <row r="4809" spans="1:2" x14ac:dyDescent="0.25">
      <c r="A4809" t="s">
        <v>7809</v>
      </c>
      <c r="B4809" t="s">
        <v>7808</v>
      </c>
    </row>
    <row r="4810" spans="1:2" x14ac:dyDescent="0.25">
      <c r="A4810" t="s">
        <v>7810</v>
      </c>
      <c r="B4810" t="s">
        <v>4651</v>
      </c>
    </row>
    <row r="4811" spans="1:2" x14ac:dyDescent="0.25">
      <c r="A4811" t="s">
        <v>7811</v>
      </c>
      <c r="B4811" t="s">
        <v>4651</v>
      </c>
    </row>
    <row r="4812" spans="1:2" x14ac:dyDescent="0.25">
      <c r="A4812" t="s">
        <v>7812</v>
      </c>
      <c r="B4812" t="s">
        <v>7813</v>
      </c>
    </row>
    <row r="4813" spans="1:2" x14ac:dyDescent="0.25">
      <c r="A4813" t="s">
        <v>7814</v>
      </c>
      <c r="B4813" t="s">
        <v>7813</v>
      </c>
    </row>
    <row r="4814" spans="1:2" x14ac:dyDescent="0.25">
      <c r="A4814" t="s">
        <v>7815</v>
      </c>
      <c r="B4814" t="s">
        <v>2826</v>
      </c>
    </row>
    <row r="4815" spans="1:2" x14ac:dyDescent="0.25">
      <c r="A4815" t="s">
        <v>7816</v>
      </c>
      <c r="B4815" t="s">
        <v>4981</v>
      </c>
    </row>
    <row r="4816" spans="1:2" x14ac:dyDescent="0.25">
      <c r="A4816" t="s">
        <v>867</v>
      </c>
      <c r="B4816" t="s">
        <v>867</v>
      </c>
    </row>
    <row r="4817" spans="1:2" x14ac:dyDescent="0.25">
      <c r="A4817" t="s">
        <v>7817</v>
      </c>
      <c r="B4817" t="s">
        <v>867</v>
      </c>
    </row>
    <row r="4818" spans="1:2" x14ac:dyDescent="0.25">
      <c r="A4818" t="s">
        <v>7818</v>
      </c>
      <c r="B4818" t="s">
        <v>867</v>
      </c>
    </row>
    <row r="4819" spans="1:2" x14ac:dyDescent="0.25">
      <c r="A4819" t="s">
        <v>871</v>
      </c>
      <c r="B4819" t="s">
        <v>871</v>
      </c>
    </row>
    <row r="4820" spans="1:2" x14ac:dyDescent="0.25">
      <c r="A4820" t="s">
        <v>7819</v>
      </c>
      <c r="B4820" t="s">
        <v>871</v>
      </c>
    </row>
    <row r="4821" spans="1:2" x14ac:dyDescent="0.25">
      <c r="A4821" t="s">
        <v>7820</v>
      </c>
      <c r="B4821" t="s">
        <v>871</v>
      </c>
    </row>
    <row r="4822" spans="1:2" x14ac:dyDescent="0.25">
      <c r="A4822" t="s">
        <v>874</v>
      </c>
      <c r="B4822" t="s">
        <v>874</v>
      </c>
    </row>
    <row r="4823" spans="1:2" x14ac:dyDescent="0.25">
      <c r="A4823" t="s">
        <v>7821</v>
      </c>
      <c r="B4823" t="s">
        <v>874</v>
      </c>
    </row>
    <row r="4824" spans="1:2" x14ac:dyDescent="0.25">
      <c r="A4824" t="s">
        <v>7822</v>
      </c>
      <c r="B4824" t="s">
        <v>874</v>
      </c>
    </row>
    <row r="4825" spans="1:2" x14ac:dyDescent="0.25">
      <c r="A4825" t="s">
        <v>7823</v>
      </c>
      <c r="B4825" t="s">
        <v>4986</v>
      </c>
    </row>
    <row r="4826" spans="1:2" x14ac:dyDescent="0.25">
      <c r="A4826" t="s">
        <v>877</v>
      </c>
      <c r="B4826" t="s">
        <v>877</v>
      </c>
    </row>
    <row r="4827" spans="1:2" x14ac:dyDescent="0.25">
      <c r="A4827" t="s">
        <v>7824</v>
      </c>
      <c r="B4827" t="s">
        <v>877</v>
      </c>
    </row>
    <row r="4828" spans="1:2" x14ac:dyDescent="0.25">
      <c r="A4828" t="s">
        <v>7825</v>
      </c>
      <c r="B4828" t="s">
        <v>877</v>
      </c>
    </row>
    <row r="4829" spans="1:2" x14ac:dyDescent="0.25">
      <c r="A4829" t="s">
        <v>880</v>
      </c>
      <c r="B4829" t="s">
        <v>880</v>
      </c>
    </row>
    <row r="4830" spans="1:2" x14ac:dyDescent="0.25">
      <c r="A4830" t="s">
        <v>7826</v>
      </c>
      <c r="B4830" t="s">
        <v>880</v>
      </c>
    </row>
    <row r="4831" spans="1:2" x14ac:dyDescent="0.25">
      <c r="A4831" t="s">
        <v>7827</v>
      </c>
      <c r="B4831" t="s">
        <v>880</v>
      </c>
    </row>
    <row r="4832" spans="1:2" x14ac:dyDescent="0.25">
      <c r="A4832" t="s">
        <v>890</v>
      </c>
      <c r="B4832" t="s">
        <v>890</v>
      </c>
    </row>
    <row r="4833" spans="1:2" x14ac:dyDescent="0.25">
      <c r="A4833" t="s">
        <v>7828</v>
      </c>
      <c r="B4833" t="s">
        <v>890</v>
      </c>
    </row>
    <row r="4834" spans="1:2" x14ac:dyDescent="0.25">
      <c r="A4834" t="s">
        <v>7829</v>
      </c>
      <c r="B4834" t="s">
        <v>890</v>
      </c>
    </row>
    <row r="4835" spans="1:2" x14ac:dyDescent="0.25">
      <c r="A4835" t="s">
        <v>7830</v>
      </c>
      <c r="B4835" t="s">
        <v>3218</v>
      </c>
    </row>
    <row r="4836" spans="1:2" x14ac:dyDescent="0.25">
      <c r="A4836" t="s">
        <v>893</v>
      </c>
      <c r="B4836" t="s">
        <v>893</v>
      </c>
    </row>
    <row r="4837" spans="1:2" x14ac:dyDescent="0.25">
      <c r="A4837" t="s">
        <v>7831</v>
      </c>
      <c r="B4837" t="s">
        <v>893</v>
      </c>
    </row>
    <row r="4838" spans="1:2" x14ac:dyDescent="0.25">
      <c r="A4838" t="s">
        <v>7832</v>
      </c>
      <c r="B4838" t="s">
        <v>893</v>
      </c>
    </row>
    <row r="4839" spans="1:2" x14ac:dyDescent="0.25">
      <c r="A4839" t="s">
        <v>902</v>
      </c>
      <c r="B4839" t="s">
        <v>902</v>
      </c>
    </row>
    <row r="4840" spans="1:2" x14ac:dyDescent="0.25">
      <c r="A4840" t="s">
        <v>7833</v>
      </c>
      <c r="B4840" t="s">
        <v>902</v>
      </c>
    </row>
    <row r="4841" spans="1:2" x14ac:dyDescent="0.25">
      <c r="A4841" t="s">
        <v>7834</v>
      </c>
      <c r="B4841" t="s">
        <v>902</v>
      </c>
    </row>
    <row r="4842" spans="1:2" x14ac:dyDescent="0.25">
      <c r="A4842" t="s">
        <v>1018</v>
      </c>
      <c r="B4842" t="s">
        <v>1018</v>
      </c>
    </row>
    <row r="4843" spans="1:2" x14ac:dyDescent="0.25">
      <c r="A4843" t="s">
        <v>7835</v>
      </c>
      <c r="B4843" t="s">
        <v>1018</v>
      </c>
    </row>
    <row r="4844" spans="1:2" x14ac:dyDescent="0.25">
      <c r="A4844" t="s">
        <v>7836</v>
      </c>
      <c r="B4844" t="s">
        <v>7836</v>
      </c>
    </row>
    <row r="4845" spans="1:2" x14ac:dyDescent="0.25">
      <c r="A4845" t="s">
        <v>7837</v>
      </c>
      <c r="B4845" t="s">
        <v>7837</v>
      </c>
    </row>
    <row r="4846" spans="1:2" x14ac:dyDescent="0.25">
      <c r="A4846" t="s">
        <v>7838</v>
      </c>
      <c r="B4846" t="s">
        <v>7838</v>
      </c>
    </row>
    <row r="4847" spans="1:2" x14ac:dyDescent="0.25">
      <c r="A4847" t="s">
        <v>7839</v>
      </c>
      <c r="B4847" t="s">
        <v>7839</v>
      </c>
    </row>
    <row r="4848" spans="1:2" x14ac:dyDescent="0.25">
      <c r="A4848" t="s">
        <v>1618</v>
      </c>
      <c r="B4848" t="s">
        <v>1618</v>
      </c>
    </row>
    <row r="4849" spans="1:2" x14ac:dyDescent="0.25">
      <c r="A4849" t="s">
        <v>7840</v>
      </c>
      <c r="B4849" t="s">
        <v>1618</v>
      </c>
    </row>
    <row r="4850" spans="1:2" x14ac:dyDescent="0.25">
      <c r="A4850" t="s">
        <v>773</v>
      </c>
      <c r="B4850" t="s">
        <v>773</v>
      </c>
    </row>
    <row r="4851" spans="1:2" x14ac:dyDescent="0.25">
      <c r="A4851" t="s">
        <v>7841</v>
      </c>
      <c r="B4851" t="s">
        <v>773</v>
      </c>
    </row>
    <row r="4852" spans="1:2" x14ac:dyDescent="0.25">
      <c r="A4852" t="s">
        <v>7842</v>
      </c>
      <c r="B4852" t="s">
        <v>773</v>
      </c>
    </row>
    <row r="4853" spans="1:2" x14ac:dyDescent="0.25">
      <c r="A4853" t="s">
        <v>7843</v>
      </c>
      <c r="B4853" t="s">
        <v>773</v>
      </c>
    </row>
    <row r="4854" spans="1:2" x14ac:dyDescent="0.25">
      <c r="A4854" t="s">
        <v>776</v>
      </c>
      <c r="B4854" t="s">
        <v>776</v>
      </c>
    </row>
    <row r="4855" spans="1:2" x14ac:dyDescent="0.25">
      <c r="A4855" t="s">
        <v>7844</v>
      </c>
      <c r="B4855" t="s">
        <v>776</v>
      </c>
    </row>
    <row r="4856" spans="1:2" x14ac:dyDescent="0.25">
      <c r="A4856" t="s">
        <v>7845</v>
      </c>
      <c r="B4856" t="s">
        <v>776</v>
      </c>
    </row>
    <row r="4857" spans="1:2" x14ac:dyDescent="0.25">
      <c r="A4857" t="s">
        <v>7846</v>
      </c>
      <c r="B4857" t="s">
        <v>5209</v>
      </c>
    </row>
    <row r="4858" spans="1:2" x14ac:dyDescent="0.25">
      <c r="A4858" t="s">
        <v>7847</v>
      </c>
      <c r="B4858" t="s">
        <v>776</v>
      </c>
    </row>
    <row r="4859" spans="1:2" x14ac:dyDescent="0.25">
      <c r="A4859" t="s">
        <v>7848</v>
      </c>
      <c r="B4859" t="s">
        <v>3219</v>
      </c>
    </row>
    <row r="4860" spans="1:2" x14ac:dyDescent="0.25">
      <c r="A4860" t="s">
        <v>3220</v>
      </c>
      <c r="B4860" t="s">
        <v>3220</v>
      </c>
    </row>
    <row r="4861" spans="1:2" x14ac:dyDescent="0.25">
      <c r="A4861" t="s">
        <v>7849</v>
      </c>
      <c r="B4861" t="s">
        <v>3220</v>
      </c>
    </row>
    <row r="4862" spans="1:2" x14ac:dyDescent="0.25">
      <c r="A4862" t="s">
        <v>1620</v>
      </c>
      <c r="B4862" t="s">
        <v>1620</v>
      </c>
    </row>
    <row r="4863" spans="1:2" x14ac:dyDescent="0.25">
      <c r="A4863" t="s">
        <v>7850</v>
      </c>
      <c r="B4863" t="s">
        <v>1620</v>
      </c>
    </row>
    <row r="4864" spans="1:2" x14ac:dyDescent="0.25">
      <c r="A4864" t="s">
        <v>1621</v>
      </c>
      <c r="B4864" t="s">
        <v>1621</v>
      </c>
    </row>
    <row r="4865" spans="1:2" x14ac:dyDescent="0.25">
      <c r="A4865" t="s">
        <v>7851</v>
      </c>
      <c r="B4865" t="s">
        <v>1621</v>
      </c>
    </row>
    <row r="4866" spans="1:2" x14ac:dyDescent="0.25">
      <c r="A4866" t="s">
        <v>7852</v>
      </c>
      <c r="B4866" t="s">
        <v>4503</v>
      </c>
    </row>
    <row r="4867" spans="1:2" x14ac:dyDescent="0.25">
      <c r="A4867" t="s">
        <v>7853</v>
      </c>
      <c r="B4867" t="s">
        <v>3221</v>
      </c>
    </row>
    <row r="4868" spans="1:2" x14ac:dyDescent="0.25">
      <c r="A4868" t="s">
        <v>280</v>
      </c>
      <c r="B4868" t="s">
        <v>280</v>
      </c>
    </row>
    <row r="4869" spans="1:2" x14ac:dyDescent="0.25">
      <c r="A4869" t="s">
        <v>7854</v>
      </c>
      <c r="B4869" t="s">
        <v>280</v>
      </c>
    </row>
    <row r="4870" spans="1:2" x14ac:dyDescent="0.25">
      <c r="A4870" t="s">
        <v>7855</v>
      </c>
      <c r="B4870" t="s">
        <v>280</v>
      </c>
    </row>
    <row r="4871" spans="1:2" x14ac:dyDescent="0.25">
      <c r="A4871" t="s">
        <v>7856</v>
      </c>
      <c r="B4871" t="s">
        <v>280</v>
      </c>
    </row>
    <row r="4872" spans="1:2" x14ac:dyDescent="0.25">
      <c r="A4872" t="s">
        <v>7857</v>
      </c>
      <c r="B4872" t="s">
        <v>4507</v>
      </c>
    </row>
    <row r="4873" spans="1:2" x14ac:dyDescent="0.25">
      <c r="A4873" t="s">
        <v>7858</v>
      </c>
      <c r="B4873" t="s">
        <v>7859</v>
      </c>
    </row>
    <row r="4874" spans="1:2" x14ac:dyDescent="0.25">
      <c r="A4874" t="s">
        <v>7860</v>
      </c>
      <c r="B4874" t="s">
        <v>3222</v>
      </c>
    </row>
    <row r="4875" spans="1:2" x14ac:dyDescent="0.25">
      <c r="A4875" t="s">
        <v>7861</v>
      </c>
      <c r="B4875" t="s">
        <v>7862</v>
      </c>
    </row>
    <row r="4876" spans="1:2" x14ac:dyDescent="0.25">
      <c r="A4876" t="s">
        <v>7863</v>
      </c>
      <c r="B4876" t="s">
        <v>2540</v>
      </c>
    </row>
    <row r="4877" spans="1:2" x14ac:dyDescent="0.25">
      <c r="A4877" t="s">
        <v>7864</v>
      </c>
      <c r="B4877" t="s">
        <v>2541</v>
      </c>
    </row>
    <row r="4878" spans="1:2" x14ac:dyDescent="0.25">
      <c r="A4878" t="s">
        <v>284</v>
      </c>
      <c r="B4878" t="s">
        <v>284</v>
      </c>
    </row>
    <row r="4879" spans="1:2" x14ac:dyDescent="0.25">
      <c r="A4879" t="s">
        <v>7865</v>
      </c>
      <c r="B4879" t="s">
        <v>284</v>
      </c>
    </row>
    <row r="4880" spans="1:2" x14ac:dyDescent="0.25">
      <c r="A4880" t="s">
        <v>7866</v>
      </c>
      <c r="B4880" t="s">
        <v>284</v>
      </c>
    </row>
    <row r="4881" spans="1:2" x14ac:dyDescent="0.25">
      <c r="A4881" t="s">
        <v>7867</v>
      </c>
      <c r="B4881" t="s">
        <v>4512</v>
      </c>
    </row>
    <row r="4882" spans="1:2" x14ac:dyDescent="0.25">
      <c r="A4882" t="s">
        <v>7868</v>
      </c>
      <c r="B4882" t="s">
        <v>4514</v>
      </c>
    </row>
    <row r="4883" spans="1:2" x14ac:dyDescent="0.25">
      <c r="A4883" t="s">
        <v>286</v>
      </c>
      <c r="B4883" t="s">
        <v>286</v>
      </c>
    </row>
    <row r="4884" spans="1:2" x14ac:dyDescent="0.25">
      <c r="A4884" t="s">
        <v>7869</v>
      </c>
      <c r="B4884" t="s">
        <v>4517</v>
      </c>
    </row>
    <row r="4885" spans="1:2" x14ac:dyDescent="0.25">
      <c r="A4885" t="s">
        <v>7870</v>
      </c>
      <c r="B4885" t="s">
        <v>4517</v>
      </c>
    </row>
    <row r="4886" spans="1:2" x14ac:dyDescent="0.25">
      <c r="A4886" t="s">
        <v>7871</v>
      </c>
      <c r="B4886" t="s">
        <v>286</v>
      </c>
    </row>
    <row r="4887" spans="1:2" x14ac:dyDescent="0.25">
      <c r="A4887" t="s">
        <v>7872</v>
      </c>
      <c r="B4887" t="s">
        <v>286</v>
      </c>
    </row>
    <row r="4888" spans="1:2" x14ac:dyDescent="0.25">
      <c r="A4888" t="s">
        <v>7873</v>
      </c>
      <c r="B4888" t="s">
        <v>286</v>
      </c>
    </row>
    <row r="4889" spans="1:2" x14ac:dyDescent="0.25">
      <c r="A4889" t="s">
        <v>7874</v>
      </c>
      <c r="B4889" t="s">
        <v>4519</v>
      </c>
    </row>
    <row r="4890" spans="1:2" x14ac:dyDescent="0.25">
      <c r="A4890" t="s">
        <v>288</v>
      </c>
      <c r="B4890" t="s">
        <v>288</v>
      </c>
    </row>
    <row r="4891" spans="1:2" x14ac:dyDescent="0.25">
      <c r="A4891" t="s">
        <v>7875</v>
      </c>
      <c r="B4891" t="s">
        <v>288</v>
      </c>
    </row>
    <row r="4892" spans="1:2" x14ac:dyDescent="0.25">
      <c r="A4892" t="s">
        <v>7876</v>
      </c>
      <c r="B4892" t="s">
        <v>288</v>
      </c>
    </row>
    <row r="4893" spans="1:2" x14ac:dyDescent="0.25">
      <c r="A4893" t="s">
        <v>7877</v>
      </c>
      <c r="B4893" t="s">
        <v>288</v>
      </c>
    </row>
    <row r="4894" spans="1:2" x14ac:dyDescent="0.25">
      <c r="A4894" t="s">
        <v>7878</v>
      </c>
      <c r="B4894" t="s">
        <v>288</v>
      </c>
    </row>
    <row r="4895" spans="1:2" x14ac:dyDescent="0.25">
      <c r="A4895" t="s">
        <v>7879</v>
      </c>
      <c r="B4895" t="s">
        <v>288</v>
      </c>
    </row>
    <row r="4896" spans="1:2" x14ac:dyDescent="0.25">
      <c r="A4896" t="s">
        <v>7880</v>
      </c>
      <c r="B4896" t="s">
        <v>4522</v>
      </c>
    </row>
    <row r="4897" spans="1:2" x14ac:dyDescent="0.25">
      <c r="A4897" t="s">
        <v>2543</v>
      </c>
      <c r="B4897" t="s">
        <v>2543</v>
      </c>
    </row>
    <row r="4898" spans="1:2" x14ac:dyDescent="0.25">
      <c r="A4898" t="s">
        <v>7881</v>
      </c>
      <c r="B4898" t="s">
        <v>2543</v>
      </c>
    </row>
    <row r="4899" spans="1:2" x14ac:dyDescent="0.25">
      <c r="A4899" t="s">
        <v>7882</v>
      </c>
      <c r="B4899" t="s">
        <v>3223</v>
      </c>
    </row>
    <row r="4900" spans="1:2" x14ac:dyDescent="0.25">
      <c r="A4900" t="s">
        <v>7883</v>
      </c>
      <c r="B4900" t="s">
        <v>4526</v>
      </c>
    </row>
    <row r="4901" spans="1:2" x14ac:dyDescent="0.25">
      <c r="A4901" t="s">
        <v>7884</v>
      </c>
      <c r="B4901" t="s">
        <v>4528</v>
      </c>
    </row>
    <row r="4902" spans="1:2" x14ac:dyDescent="0.25">
      <c r="A4902" t="s">
        <v>7885</v>
      </c>
      <c r="B4902" t="s">
        <v>4530</v>
      </c>
    </row>
    <row r="4903" spans="1:2" x14ac:dyDescent="0.25">
      <c r="A4903" t="s">
        <v>7886</v>
      </c>
      <c r="B4903" t="s">
        <v>3224</v>
      </c>
    </row>
    <row r="4904" spans="1:2" x14ac:dyDescent="0.25">
      <c r="A4904" t="s">
        <v>7887</v>
      </c>
      <c r="B4904" t="s">
        <v>4533</v>
      </c>
    </row>
    <row r="4905" spans="1:2" x14ac:dyDescent="0.25">
      <c r="A4905" t="s">
        <v>7888</v>
      </c>
      <c r="B4905" t="s">
        <v>3225</v>
      </c>
    </row>
    <row r="4906" spans="1:2" x14ac:dyDescent="0.25">
      <c r="A4906" t="s">
        <v>2332</v>
      </c>
      <c r="B4906" t="s">
        <v>2332</v>
      </c>
    </row>
    <row r="4907" spans="1:2" x14ac:dyDescent="0.25">
      <c r="A4907" t="s">
        <v>7889</v>
      </c>
      <c r="B4907" t="s">
        <v>2332</v>
      </c>
    </row>
    <row r="4908" spans="1:2" x14ac:dyDescent="0.25">
      <c r="A4908" t="s">
        <v>2820</v>
      </c>
      <c r="B4908" t="s">
        <v>2820</v>
      </c>
    </row>
    <row r="4909" spans="1:2" x14ac:dyDescent="0.25">
      <c r="A4909" t="s">
        <v>7890</v>
      </c>
      <c r="B4909" t="s">
        <v>2820</v>
      </c>
    </row>
    <row r="4910" spans="1:2" x14ac:dyDescent="0.25">
      <c r="A4910" t="s">
        <v>7891</v>
      </c>
      <c r="B4910" t="s">
        <v>4538</v>
      </c>
    </row>
    <row r="4911" spans="1:2" x14ac:dyDescent="0.25">
      <c r="A4911" t="s">
        <v>7892</v>
      </c>
      <c r="B4911" t="s">
        <v>4540</v>
      </c>
    </row>
    <row r="4912" spans="1:2" x14ac:dyDescent="0.25">
      <c r="A4912" t="s">
        <v>7893</v>
      </c>
      <c r="B4912" t="s">
        <v>4769</v>
      </c>
    </row>
    <row r="4913" spans="1:2" x14ac:dyDescent="0.25">
      <c r="A4913" t="s">
        <v>3226</v>
      </c>
      <c r="B4913" t="s">
        <v>3226</v>
      </c>
    </row>
    <row r="4914" spans="1:2" x14ac:dyDescent="0.25">
      <c r="A4914" t="s">
        <v>7894</v>
      </c>
      <c r="B4914" t="s">
        <v>3226</v>
      </c>
    </row>
    <row r="4915" spans="1:2" x14ac:dyDescent="0.25">
      <c r="A4915" t="s">
        <v>7895</v>
      </c>
      <c r="B4915" t="s">
        <v>3227</v>
      </c>
    </row>
    <row r="4916" spans="1:2" x14ac:dyDescent="0.25">
      <c r="A4916" t="s">
        <v>333</v>
      </c>
      <c r="B4916" t="s">
        <v>333</v>
      </c>
    </row>
    <row r="4917" spans="1:2" x14ac:dyDescent="0.25">
      <c r="A4917" t="s">
        <v>7896</v>
      </c>
      <c r="B4917" t="s">
        <v>333</v>
      </c>
    </row>
    <row r="4918" spans="1:2" x14ac:dyDescent="0.25">
      <c r="A4918" t="s">
        <v>7897</v>
      </c>
      <c r="B4918" t="s">
        <v>3228</v>
      </c>
    </row>
    <row r="4919" spans="1:2" x14ac:dyDescent="0.25">
      <c r="A4919" t="s">
        <v>7898</v>
      </c>
      <c r="B4919" t="s">
        <v>3229</v>
      </c>
    </row>
    <row r="4920" spans="1:2" x14ac:dyDescent="0.25">
      <c r="A4920" t="s">
        <v>3230</v>
      </c>
      <c r="B4920" t="s">
        <v>3230</v>
      </c>
    </row>
    <row r="4921" spans="1:2" x14ac:dyDescent="0.25">
      <c r="A4921" t="s">
        <v>7899</v>
      </c>
      <c r="B4921" t="s">
        <v>3230</v>
      </c>
    </row>
    <row r="4922" spans="1:2" x14ac:dyDescent="0.25">
      <c r="A4922" t="s">
        <v>2938</v>
      </c>
      <c r="B4922" t="s">
        <v>2938</v>
      </c>
    </row>
    <row r="4923" spans="1:2" x14ac:dyDescent="0.25">
      <c r="A4923" t="s">
        <v>7900</v>
      </c>
      <c r="B4923" t="s">
        <v>2938</v>
      </c>
    </row>
    <row r="4924" spans="1:2" x14ac:dyDescent="0.25">
      <c r="A4924" t="s">
        <v>2399</v>
      </c>
      <c r="B4924" t="s">
        <v>2399</v>
      </c>
    </row>
    <row r="4925" spans="1:2" x14ac:dyDescent="0.25">
      <c r="A4925" t="s">
        <v>7901</v>
      </c>
      <c r="B4925" t="s">
        <v>2399</v>
      </c>
    </row>
    <row r="4926" spans="1:2" x14ac:dyDescent="0.25">
      <c r="A4926" t="s">
        <v>1844</v>
      </c>
      <c r="B4926" t="s">
        <v>1844</v>
      </c>
    </row>
    <row r="4927" spans="1:2" x14ac:dyDescent="0.25">
      <c r="A4927" t="s">
        <v>7902</v>
      </c>
      <c r="B4927" t="s">
        <v>1844</v>
      </c>
    </row>
    <row r="4928" spans="1:2" x14ac:dyDescent="0.25">
      <c r="A4928" t="s">
        <v>1846</v>
      </c>
      <c r="B4928" t="s">
        <v>1846</v>
      </c>
    </row>
    <row r="4929" spans="1:2" x14ac:dyDescent="0.25">
      <c r="A4929" t="s">
        <v>2400</v>
      </c>
      <c r="B4929" t="s">
        <v>2400</v>
      </c>
    </row>
    <row r="4930" spans="1:2" x14ac:dyDescent="0.25">
      <c r="A4930" t="s">
        <v>7903</v>
      </c>
      <c r="B4930" t="s">
        <v>2400</v>
      </c>
    </row>
    <row r="4931" spans="1:2" x14ac:dyDescent="0.25">
      <c r="A4931" t="s">
        <v>2401</v>
      </c>
      <c r="B4931" t="s">
        <v>2401</v>
      </c>
    </row>
    <row r="4932" spans="1:2" x14ac:dyDescent="0.25">
      <c r="A4932" t="s">
        <v>7904</v>
      </c>
      <c r="B4932" t="s">
        <v>2401</v>
      </c>
    </row>
    <row r="4933" spans="1:2" x14ac:dyDescent="0.25">
      <c r="A4933" t="s">
        <v>2402</v>
      </c>
      <c r="B4933" t="s">
        <v>2402</v>
      </c>
    </row>
    <row r="4934" spans="1:2" x14ac:dyDescent="0.25">
      <c r="A4934" t="s">
        <v>7905</v>
      </c>
      <c r="B4934" t="s">
        <v>2402</v>
      </c>
    </row>
    <row r="4935" spans="1:2" x14ac:dyDescent="0.25">
      <c r="A4935" t="s">
        <v>2408</v>
      </c>
      <c r="B4935" t="s">
        <v>2408</v>
      </c>
    </row>
    <row r="4936" spans="1:2" x14ac:dyDescent="0.25">
      <c r="A4936" t="s">
        <v>7906</v>
      </c>
      <c r="B4936" t="s">
        <v>2408</v>
      </c>
    </row>
    <row r="4937" spans="1:2" x14ac:dyDescent="0.25">
      <c r="A4937" t="s">
        <v>7907</v>
      </c>
      <c r="B4937" t="s">
        <v>7908</v>
      </c>
    </row>
    <row r="4938" spans="1:2" x14ac:dyDescent="0.25">
      <c r="A4938" t="s">
        <v>7909</v>
      </c>
      <c r="B4938" t="s">
        <v>7910</v>
      </c>
    </row>
    <row r="4939" spans="1:2" x14ac:dyDescent="0.25">
      <c r="A4939" t="s">
        <v>7911</v>
      </c>
      <c r="B4939" t="s">
        <v>7912</v>
      </c>
    </row>
    <row r="4940" spans="1:2" x14ac:dyDescent="0.25">
      <c r="A4940" t="s">
        <v>7913</v>
      </c>
      <c r="B4940" t="s">
        <v>7914</v>
      </c>
    </row>
    <row r="4941" spans="1:2" x14ac:dyDescent="0.25">
      <c r="A4941" t="s">
        <v>7915</v>
      </c>
      <c r="B4941" t="s">
        <v>7916</v>
      </c>
    </row>
    <row r="4942" spans="1:2" x14ac:dyDescent="0.25">
      <c r="A4942" t="s">
        <v>7917</v>
      </c>
      <c r="B4942" t="s">
        <v>7918</v>
      </c>
    </row>
    <row r="4943" spans="1:2" x14ac:dyDescent="0.25">
      <c r="A4943" t="s">
        <v>7919</v>
      </c>
      <c r="B4943" t="s">
        <v>7920</v>
      </c>
    </row>
    <row r="4944" spans="1:2" x14ac:dyDescent="0.25">
      <c r="A4944" t="s">
        <v>7921</v>
      </c>
      <c r="B4944" t="s">
        <v>7922</v>
      </c>
    </row>
    <row r="4945" spans="1:2" x14ac:dyDescent="0.25">
      <c r="A4945" t="s">
        <v>7923</v>
      </c>
      <c r="B4945" t="s">
        <v>7924</v>
      </c>
    </row>
    <row r="4946" spans="1:2" x14ac:dyDescent="0.25">
      <c r="A4946" t="s">
        <v>7925</v>
      </c>
      <c r="B4946" t="s">
        <v>3231</v>
      </c>
    </row>
    <row r="4947" spans="1:2" x14ac:dyDescent="0.25">
      <c r="A4947" t="s">
        <v>7926</v>
      </c>
      <c r="B4947" t="s">
        <v>3232</v>
      </c>
    </row>
    <row r="4948" spans="1:2" x14ac:dyDescent="0.25">
      <c r="A4948" t="s">
        <v>7927</v>
      </c>
      <c r="B4948" t="s">
        <v>4544</v>
      </c>
    </row>
    <row r="4949" spans="1:2" x14ac:dyDescent="0.25">
      <c r="A4949" t="s">
        <v>7928</v>
      </c>
      <c r="B4949" t="s">
        <v>3233</v>
      </c>
    </row>
    <row r="4950" spans="1:2" x14ac:dyDescent="0.25">
      <c r="A4950" t="s">
        <v>7929</v>
      </c>
      <c r="B4950" t="s">
        <v>3234</v>
      </c>
    </row>
    <row r="4951" spans="1:2" x14ac:dyDescent="0.25">
      <c r="A4951" t="s">
        <v>7930</v>
      </c>
      <c r="B4951" t="s">
        <v>3235</v>
      </c>
    </row>
    <row r="4952" spans="1:2" x14ac:dyDescent="0.25">
      <c r="A4952" t="s">
        <v>7931</v>
      </c>
      <c r="B4952" t="s">
        <v>4549</v>
      </c>
    </row>
    <row r="4953" spans="1:2" x14ac:dyDescent="0.25">
      <c r="A4953" t="s">
        <v>3236</v>
      </c>
      <c r="B4953" t="s">
        <v>3236</v>
      </c>
    </row>
    <row r="4954" spans="1:2" x14ac:dyDescent="0.25">
      <c r="A4954" t="s">
        <v>7932</v>
      </c>
      <c r="B4954" t="s">
        <v>3236</v>
      </c>
    </row>
    <row r="4955" spans="1:2" x14ac:dyDescent="0.25">
      <c r="A4955" t="s">
        <v>7933</v>
      </c>
      <c r="B4955" t="s">
        <v>3237</v>
      </c>
    </row>
    <row r="4956" spans="1:2" x14ac:dyDescent="0.25">
      <c r="A4956" t="s">
        <v>7934</v>
      </c>
      <c r="B4956" t="s">
        <v>3239</v>
      </c>
    </row>
    <row r="4957" spans="1:2" x14ac:dyDescent="0.25">
      <c r="A4957" t="s">
        <v>7935</v>
      </c>
      <c r="B4957" t="s">
        <v>7936</v>
      </c>
    </row>
    <row r="4958" spans="1:2" x14ac:dyDescent="0.25">
      <c r="A4958" t="s">
        <v>7937</v>
      </c>
      <c r="B4958" t="s">
        <v>4555</v>
      </c>
    </row>
    <row r="4959" spans="1:2" x14ac:dyDescent="0.25">
      <c r="A4959" t="s">
        <v>7938</v>
      </c>
      <c r="B4959" t="s">
        <v>3240</v>
      </c>
    </row>
    <row r="4960" spans="1:2" x14ac:dyDescent="0.25">
      <c r="A4960" t="s">
        <v>7939</v>
      </c>
      <c r="B4960" t="s">
        <v>3241</v>
      </c>
    </row>
    <row r="4961" spans="1:2" x14ac:dyDescent="0.25">
      <c r="A4961" t="s">
        <v>7940</v>
      </c>
      <c r="B4961" t="s">
        <v>3242</v>
      </c>
    </row>
    <row r="4962" spans="1:2" x14ac:dyDescent="0.25">
      <c r="A4962" t="s">
        <v>7941</v>
      </c>
      <c r="B4962" t="s">
        <v>4765</v>
      </c>
    </row>
    <row r="4963" spans="1:2" x14ac:dyDescent="0.25">
      <c r="A4963" t="s">
        <v>7942</v>
      </c>
      <c r="B4963" t="s">
        <v>3243</v>
      </c>
    </row>
    <row r="4964" spans="1:2" x14ac:dyDescent="0.25">
      <c r="A4964" t="s">
        <v>3244</v>
      </c>
      <c r="B4964" t="s">
        <v>3244</v>
      </c>
    </row>
    <row r="4965" spans="1:2" x14ac:dyDescent="0.25">
      <c r="A4965" t="s">
        <v>7943</v>
      </c>
      <c r="B4965" t="s">
        <v>3244</v>
      </c>
    </row>
    <row r="4966" spans="1:2" x14ac:dyDescent="0.25">
      <c r="A4966" t="s">
        <v>3245</v>
      </c>
      <c r="B4966" t="s">
        <v>3245</v>
      </c>
    </row>
    <row r="4967" spans="1:2" x14ac:dyDescent="0.25">
      <c r="A4967" t="s">
        <v>7944</v>
      </c>
      <c r="B4967" t="s">
        <v>3245</v>
      </c>
    </row>
    <row r="4968" spans="1:2" x14ac:dyDescent="0.25">
      <c r="A4968" t="s">
        <v>7945</v>
      </c>
      <c r="B4968" t="s">
        <v>3246</v>
      </c>
    </row>
    <row r="4969" spans="1:2" x14ac:dyDescent="0.25">
      <c r="A4969" t="s">
        <v>7946</v>
      </c>
      <c r="B4969" t="s">
        <v>3247</v>
      </c>
    </row>
    <row r="4970" spans="1:2" x14ac:dyDescent="0.25">
      <c r="A4970" t="s">
        <v>7947</v>
      </c>
      <c r="B4970" t="s">
        <v>3248</v>
      </c>
    </row>
    <row r="4971" spans="1:2" x14ac:dyDescent="0.25">
      <c r="A4971" t="s">
        <v>7948</v>
      </c>
      <c r="B4971" t="s">
        <v>3249</v>
      </c>
    </row>
    <row r="4972" spans="1:2" x14ac:dyDescent="0.25">
      <c r="A4972" t="s">
        <v>3250</v>
      </c>
      <c r="B4972" t="s">
        <v>3250</v>
      </c>
    </row>
    <row r="4973" spans="1:2" x14ac:dyDescent="0.25">
      <c r="A4973" t="s">
        <v>7949</v>
      </c>
      <c r="B4973" t="s">
        <v>3250</v>
      </c>
    </row>
    <row r="4974" spans="1:2" x14ac:dyDescent="0.25">
      <c r="A4974" t="s">
        <v>3251</v>
      </c>
      <c r="B4974" t="s">
        <v>3251</v>
      </c>
    </row>
    <row r="4975" spans="1:2" x14ac:dyDescent="0.25">
      <c r="A4975" t="s">
        <v>7950</v>
      </c>
      <c r="B4975" t="s">
        <v>3251</v>
      </c>
    </row>
    <row r="4976" spans="1:2" x14ac:dyDescent="0.25">
      <c r="A4976" t="s">
        <v>7951</v>
      </c>
      <c r="B4976" t="s">
        <v>3252</v>
      </c>
    </row>
    <row r="4977" spans="1:2" x14ac:dyDescent="0.25">
      <c r="A4977" t="s">
        <v>7952</v>
      </c>
      <c r="B4977" t="s">
        <v>5124</v>
      </c>
    </row>
    <row r="4978" spans="1:2" x14ac:dyDescent="0.25">
      <c r="A4978" t="s">
        <v>7953</v>
      </c>
      <c r="B4978" t="s">
        <v>3253</v>
      </c>
    </row>
    <row r="4979" spans="1:2" x14ac:dyDescent="0.25">
      <c r="A4979" t="s">
        <v>7954</v>
      </c>
      <c r="B4979" t="s">
        <v>3254</v>
      </c>
    </row>
    <row r="4980" spans="1:2" x14ac:dyDescent="0.25">
      <c r="A4980" t="s">
        <v>905</v>
      </c>
      <c r="B4980" t="s">
        <v>905</v>
      </c>
    </row>
    <row r="4981" spans="1:2" x14ac:dyDescent="0.25">
      <c r="A4981" t="s">
        <v>7955</v>
      </c>
      <c r="B4981" t="s">
        <v>905</v>
      </c>
    </row>
    <row r="4982" spans="1:2" x14ac:dyDescent="0.25">
      <c r="A4982" t="s">
        <v>3255</v>
      </c>
      <c r="B4982" t="s">
        <v>3255</v>
      </c>
    </row>
    <row r="4983" spans="1:2" x14ac:dyDescent="0.25">
      <c r="A4983" t="s">
        <v>7956</v>
      </c>
      <c r="B4983" t="s">
        <v>3255</v>
      </c>
    </row>
    <row r="4984" spans="1:2" x14ac:dyDescent="0.25">
      <c r="A4984" t="s">
        <v>3256</v>
      </c>
      <c r="B4984" t="s">
        <v>3256</v>
      </c>
    </row>
    <row r="4985" spans="1:2" x14ac:dyDescent="0.25">
      <c r="A4985" t="s">
        <v>7957</v>
      </c>
      <c r="B4985" t="s">
        <v>3256</v>
      </c>
    </row>
    <row r="4986" spans="1:2" x14ac:dyDescent="0.25">
      <c r="A4986" t="s">
        <v>2362</v>
      </c>
      <c r="B4986" t="s">
        <v>2362</v>
      </c>
    </row>
    <row r="4987" spans="1:2" x14ac:dyDescent="0.25">
      <c r="A4987" t="s">
        <v>7958</v>
      </c>
      <c r="B4987" t="s">
        <v>2362</v>
      </c>
    </row>
    <row r="4988" spans="1:2" x14ac:dyDescent="0.25">
      <c r="A4988" t="s">
        <v>7959</v>
      </c>
      <c r="B4988" t="s">
        <v>3257</v>
      </c>
    </row>
    <row r="4989" spans="1:2" x14ac:dyDescent="0.25">
      <c r="A4989" t="s">
        <v>3258</v>
      </c>
      <c r="B4989" t="s">
        <v>3258</v>
      </c>
    </row>
    <row r="4990" spans="1:2" x14ac:dyDescent="0.25">
      <c r="A4990" t="s">
        <v>7960</v>
      </c>
      <c r="B4990" t="s">
        <v>3258</v>
      </c>
    </row>
    <row r="4991" spans="1:2" x14ac:dyDescent="0.25">
      <c r="A4991" t="s">
        <v>7961</v>
      </c>
      <c r="B4991" t="s">
        <v>3259</v>
      </c>
    </row>
    <row r="4992" spans="1:2" x14ac:dyDescent="0.25">
      <c r="A4992" t="s">
        <v>7962</v>
      </c>
      <c r="B4992" t="s">
        <v>3260</v>
      </c>
    </row>
    <row r="4993" spans="1:2" x14ac:dyDescent="0.25">
      <c r="A4993" t="s">
        <v>3261</v>
      </c>
      <c r="B4993" t="s">
        <v>3261</v>
      </c>
    </row>
    <row r="4994" spans="1:2" x14ac:dyDescent="0.25">
      <c r="A4994" t="s">
        <v>7963</v>
      </c>
      <c r="B4994" t="s">
        <v>3261</v>
      </c>
    </row>
    <row r="4995" spans="1:2" x14ac:dyDescent="0.25">
      <c r="A4995" t="s">
        <v>7964</v>
      </c>
      <c r="B4995" t="s">
        <v>5137</v>
      </c>
    </row>
    <row r="4996" spans="1:2" x14ac:dyDescent="0.25">
      <c r="A4996" t="s">
        <v>7965</v>
      </c>
      <c r="B4996" t="s">
        <v>3262</v>
      </c>
    </row>
    <row r="4997" spans="1:2" x14ac:dyDescent="0.25">
      <c r="A4997" t="s">
        <v>1742</v>
      </c>
      <c r="B4997" t="s">
        <v>1742</v>
      </c>
    </row>
    <row r="4998" spans="1:2" x14ac:dyDescent="0.25">
      <c r="A4998" t="s">
        <v>7966</v>
      </c>
      <c r="B4998" t="s">
        <v>1742</v>
      </c>
    </row>
    <row r="4999" spans="1:2" x14ac:dyDescent="0.25">
      <c r="A4999" t="s">
        <v>7967</v>
      </c>
      <c r="B4999" t="s">
        <v>1742</v>
      </c>
    </row>
    <row r="5000" spans="1:2" x14ac:dyDescent="0.25">
      <c r="A5000" t="s">
        <v>2363</v>
      </c>
      <c r="B5000" t="s">
        <v>2363</v>
      </c>
    </row>
    <row r="5001" spans="1:2" x14ac:dyDescent="0.25">
      <c r="A5001" t="s">
        <v>7968</v>
      </c>
      <c r="B5001" t="s">
        <v>2363</v>
      </c>
    </row>
    <row r="5002" spans="1:2" x14ac:dyDescent="0.25">
      <c r="A5002" t="s">
        <v>7969</v>
      </c>
      <c r="B5002" t="s">
        <v>2363</v>
      </c>
    </row>
    <row r="5003" spans="1:2" x14ac:dyDescent="0.25">
      <c r="A5003" t="s">
        <v>7970</v>
      </c>
      <c r="B5003" t="s">
        <v>5142</v>
      </c>
    </row>
    <row r="5004" spans="1:2" x14ac:dyDescent="0.25">
      <c r="A5004" t="s">
        <v>2868</v>
      </c>
      <c r="B5004" t="s">
        <v>2868</v>
      </c>
    </row>
    <row r="5005" spans="1:2" x14ac:dyDescent="0.25">
      <c r="A5005" t="s">
        <v>7971</v>
      </c>
      <c r="B5005" t="s">
        <v>2868</v>
      </c>
    </row>
    <row r="5006" spans="1:2" x14ac:dyDescent="0.25">
      <c r="A5006" t="s">
        <v>7972</v>
      </c>
      <c r="B5006" t="s">
        <v>5145</v>
      </c>
    </row>
    <row r="5007" spans="1:2" x14ac:dyDescent="0.25">
      <c r="A5007" t="s">
        <v>7973</v>
      </c>
      <c r="B5007" t="s">
        <v>3263</v>
      </c>
    </row>
    <row r="5008" spans="1:2" x14ac:dyDescent="0.25">
      <c r="A5008" t="s">
        <v>7974</v>
      </c>
      <c r="B5008" t="s">
        <v>3264</v>
      </c>
    </row>
    <row r="5009" spans="1:2" x14ac:dyDescent="0.25">
      <c r="A5009" t="s">
        <v>7975</v>
      </c>
      <c r="B5009" t="s">
        <v>5149</v>
      </c>
    </row>
    <row r="5010" spans="1:2" x14ac:dyDescent="0.25">
      <c r="A5010" t="s">
        <v>2364</v>
      </c>
      <c r="B5010" t="s">
        <v>2364</v>
      </c>
    </row>
    <row r="5011" spans="1:2" x14ac:dyDescent="0.25">
      <c r="A5011" t="s">
        <v>7976</v>
      </c>
      <c r="B5011" t="s">
        <v>2364</v>
      </c>
    </row>
    <row r="5012" spans="1:2" x14ac:dyDescent="0.25">
      <c r="A5012" t="s">
        <v>7977</v>
      </c>
      <c r="B5012" t="s">
        <v>3265</v>
      </c>
    </row>
    <row r="5013" spans="1:2" x14ac:dyDescent="0.25">
      <c r="A5013" t="s">
        <v>7978</v>
      </c>
      <c r="B5013" t="s">
        <v>5153</v>
      </c>
    </row>
    <row r="5014" spans="1:2" x14ac:dyDescent="0.25">
      <c r="A5014" t="s">
        <v>910</v>
      </c>
      <c r="B5014" t="s">
        <v>910</v>
      </c>
    </row>
    <row r="5015" spans="1:2" x14ac:dyDescent="0.25">
      <c r="A5015" t="s">
        <v>7979</v>
      </c>
      <c r="B5015" t="s">
        <v>910</v>
      </c>
    </row>
    <row r="5016" spans="1:2" x14ac:dyDescent="0.25">
      <c r="A5016" t="s">
        <v>7980</v>
      </c>
      <c r="B5016" t="s">
        <v>3266</v>
      </c>
    </row>
    <row r="5017" spans="1:2" x14ac:dyDescent="0.25">
      <c r="A5017" t="s">
        <v>3267</v>
      </c>
      <c r="B5017" t="s">
        <v>3267</v>
      </c>
    </row>
    <row r="5018" spans="1:2" x14ac:dyDescent="0.25">
      <c r="A5018" t="s">
        <v>7981</v>
      </c>
      <c r="B5018" t="s">
        <v>3267</v>
      </c>
    </row>
    <row r="5019" spans="1:2" x14ac:dyDescent="0.25">
      <c r="A5019" t="s">
        <v>3268</v>
      </c>
      <c r="B5019" t="s">
        <v>3268</v>
      </c>
    </row>
    <row r="5020" spans="1:2" x14ac:dyDescent="0.25">
      <c r="A5020" t="s">
        <v>7982</v>
      </c>
      <c r="B5020" t="s">
        <v>3268</v>
      </c>
    </row>
    <row r="5021" spans="1:2" x14ac:dyDescent="0.25">
      <c r="A5021" t="s">
        <v>3269</v>
      </c>
      <c r="B5021" t="s">
        <v>3269</v>
      </c>
    </row>
    <row r="5022" spans="1:2" x14ac:dyDescent="0.25">
      <c r="A5022" t="s">
        <v>7983</v>
      </c>
      <c r="B5022" t="s">
        <v>3269</v>
      </c>
    </row>
    <row r="5023" spans="1:2" x14ac:dyDescent="0.25">
      <c r="A5023" t="s">
        <v>3270</v>
      </c>
      <c r="B5023" t="s">
        <v>3270</v>
      </c>
    </row>
    <row r="5024" spans="1:2" x14ac:dyDescent="0.25">
      <c r="A5024" t="s">
        <v>7984</v>
      </c>
      <c r="B5024" t="s">
        <v>3270</v>
      </c>
    </row>
    <row r="5025" spans="1:2" x14ac:dyDescent="0.25">
      <c r="A5025" t="s">
        <v>7985</v>
      </c>
      <c r="B5025" t="s">
        <v>5163</v>
      </c>
    </row>
    <row r="5026" spans="1:2" x14ac:dyDescent="0.25">
      <c r="A5026" t="s">
        <v>3271</v>
      </c>
      <c r="B5026" t="s">
        <v>3271</v>
      </c>
    </row>
    <row r="5027" spans="1:2" x14ac:dyDescent="0.25">
      <c r="A5027" t="s">
        <v>7986</v>
      </c>
      <c r="B5027" t="s">
        <v>3271</v>
      </c>
    </row>
    <row r="5028" spans="1:2" x14ac:dyDescent="0.25">
      <c r="A5028" t="s">
        <v>3272</v>
      </c>
      <c r="B5028" t="s">
        <v>3272</v>
      </c>
    </row>
    <row r="5029" spans="1:2" x14ac:dyDescent="0.25">
      <c r="A5029" t="s">
        <v>7987</v>
      </c>
      <c r="B5029" t="s">
        <v>3272</v>
      </c>
    </row>
    <row r="5030" spans="1:2" x14ac:dyDescent="0.25">
      <c r="A5030" t="s">
        <v>3273</v>
      </c>
      <c r="B5030" t="s">
        <v>3273</v>
      </c>
    </row>
    <row r="5031" spans="1:2" x14ac:dyDescent="0.25">
      <c r="A5031" t="s">
        <v>7988</v>
      </c>
      <c r="B5031" t="s">
        <v>3273</v>
      </c>
    </row>
    <row r="5032" spans="1:2" x14ac:dyDescent="0.25">
      <c r="A5032" t="s">
        <v>2870</v>
      </c>
      <c r="B5032" t="s">
        <v>2870</v>
      </c>
    </row>
    <row r="5033" spans="1:2" x14ac:dyDescent="0.25">
      <c r="A5033" t="s">
        <v>7989</v>
      </c>
      <c r="B5033" t="s">
        <v>2870</v>
      </c>
    </row>
    <row r="5034" spans="1:2" x14ac:dyDescent="0.25">
      <c r="A5034" t="s">
        <v>1744</v>
      </c>
      <c r="B5034" t="s">
        <v>1744</v>
      </c>
    </row>
    <row r="5035" spans="1:2" x14ac:dyDescent="0.25">
      <c r="A5035" t="s">
        <v>7990</v>
      </c>
      <c r="B5035" t="s">
        <v>1744</v>
      </c>
    </row>
    <row r="5036" spans="1:2" x14ac:dyDescent="0.25">
      <c r="A5036" t="s">
        <v>1746</v>
      </c>
      <c r="B5036" t="s">
        <v>1746</v>
      </c>
    </row>
    <row r="5037" spans="1:2" x14ac:dyDescent="0.25">
      <c r="A5037" t="s">
        <v>7991</v>
      </c>
      <c r="B5037" t="s">
        <v>1746</v>
      </c>
    </row>
    <row r="5038" spans="1:2" x14ac:dyDescent="0.25">
      <c r="A5038" t="s">
        <v>3274</v>
      </c>
      <c r="B5038" t="s">
        <v>3274</v>
      </c>
    </row>
    <row r="5039" spans="1:2" x14ac:dyDescent="0.25">
      <c r="A5039" t="s">
        <v>7992</v>
      </c>
      <c r="B5039" t="s">
        <v>3274</v>
      </c>
    </row>
    <row r="5040" spans="1:2" x14ac:dyDescent="0.25">
      <c r="A5040" t="s">
        <v>2872</v>
      </c>
      <c r="B5040" t="s">
        <v>2872</v>
      </c>
    </row>
    <row r="5041" spans="1:2" x14ac:dyDescent="0.25">
      <c r="A5041" t="s">
        <v>7993</v>
      </c>
      <c r="B5041" t="s">
        <v>3275</v>
      </c>
    </row>
    <row r="5042" spans="1:2" x14ac:dyDescent="0.25">
      <c r="A5042" t="s">
        <v>3276</v>
      </c>
      <c r="B5042" t="s">
        <v>3276</v>
      </c>
    </row>
    <row r="5043" spans="1:2" x14ac:dyDescent="0.25">
      <c r="A5043" t="s">
        <v>7994</v>
      </c>
      <c r="B5043" t="s">
        <v>3276</v>
      </c>
    </row>
    <row r="5044" spans="1:2" x14ac:dyDescent="0.25">
      <c r="A5044" t="s">
        <v>2874</v>
      </c>
      <c r="B5044" t="s">
        <v>2874</v>
      </c>
    </row>
    <row r="5045" spans="1:2" x14ac:dyDescent="0.25">
      <c r="A5045" t="s">
        <v>7995</v>
      </c>
      <c r="B5045" t="s">
        <v>2874</v>
      </c>
    </row>
    <row r="5046" spans="1:2" x14ac:dyDescent="0.25">
      <c r="A5046" t="s">
        <v>7996</v>
      </c>
      <c r="B5046" t="s">
        <v>5178</v>
      </c>
    </row>
    <row r="5047" spans="1:2" x14ac:dyDescent="0.25">
      <c r="A5047" t="s">
        <v>7997</v>
      </c>
      <c r="B5047" t="s">
        <v>3277</v>
      </c>
    </row>
    <row r="5048" spans="1:2" x14ac:dyDescent="0.25">
      <c r="A5048" t="s">
        <v>7998</v>
      </c>
      <c r="B5048" t="s">
        <v>3278</v>
      </c>
    </row>
    <row r="5049" spans="1:2" x14ac:dyDescent="0.25">
      <c r="A5049" t="s">
        <v>3279</v>
      </c>
      <c r="B5049" t="s">
        <v>3279</v>
      </c>
    </row>
    <row r="5050" spans="1:2" x14ac:dyDescent="0.25">
      <c r="A5050" t="s">
        <v>7999</v>
      </c>
      <c r="B5050" t="s">
        <v>3279</v>
      </c>
    </row>
    <row r="5051" spans="1:2" x14ac:dyDescent="0.25">
      <c r="A5051" t="s">
        <v>8000</v>
      </c>
      <c r="B5051" t="s">
        <v>3280</v>
      </c>
    </row>
    <row r="5052" spans="1:2" x14ac:dyDescent="0.25">
      <c r="A5052" t="s">
        <v>2876</v>
      </c>
      <c r="B5052" t="s">
        <v>2876</v>
      </c>
    </row>
    <row r="5053" spans="1:2" x14ac:dyDescent="0.25">
      <c r="A5053" t="s">
        <v>8001</v>
      </c>
      <c r="B5053" t="s">
        <v>2876</v>
      </c>
    </row>
    <row r="5054" spans="1:2" x14ac:dyDescent="0.25">
      <c r="A5054" t="s">
        <v>3281</v>
      </c>
      <c r="B5054" t="s">
        <v>3281</v>
      </c>
    </row>
    <row r="5055" spans="1:2" x14ac:dyDescent="0.25">
      <c r="A5055" t="s">
        <v>8002</v>
      </c>
      <c r="B5055" t="s">
        <v>3281</v>
      </c>
    </row>
    <row r="5056" spans="1:2" x14ac:dyDescent="0.25">
      <c r="A5056" t="s">
        <v>1748</v>
      </c>
      <c r="B5056" t="s">
        <v>1748</v>
      </c>
    </row>
    <row r="5057" spans="1:2" x14ac:dyDescent="0.25">
      <c r="A5057" t="s">
        <v>8003</v>
      </c>
      <c r="B5057" t="s">
        <v>1748</v>
      </c>
    </row>
    <row r="5058" spans="1:2" x14ac:dyDescent="0.25">
      <c r="A5058" t="s">
        <v>8004</v>
      </c>
      <c r="B5058" t="s">
        <v>3282</v>
      </c>
    </row>
    <row r="5059" spans="1:2" x14ac:dyDescent="0.25">
      <c r="A5059" t="s">
        <v>1750</v>
      </c>
      <c r="B5059" t="s">
        <v>1750</v>
      </c>
    </row>
    <row r="5060" spans="1:2" x14ac:dyDescent="0.25">
      <c r="A5060" t="s">
        <v>8005</v>
      </c>
      <c r="B5060" t="s">
        <v>5189</v>
      </c>
    </row>
    <row r="5061" spans="1:2" x14ac:dyDescent="0.25">
      <c r="A5061" t="s">
        <v>8006</v>
      </c>
      <c r="B5061" t="s">
        <v>3283</v>
      </c>
    </row>
    <row r="5062" spans="1:2" x14ac:dyDescent="0.25">
      <c r="A5062" t="s">
        <v>8007</v>
      </c>
      <c r="B5062" t="s">
        <v>5192</v>
      </c>
    </row>
    <row r="5063" spans="1:2" x14ac:dyDescent="0.25">
      <c r="A5063" t="s">
        <v>2382</v>
      </c>
      <c r="B5063" t="s">
        <v>2382</v>
      </c>
    </row>
    <row r="5064" spans="1:2" x14ac:dyDescent="0.25">
      <c r="A5064" t="s">
        <v>8008</v>
      </c>
      <c r="B5064" t="s">
        <v>2382</v>
      </c>
    </row>
    <row r="5065" spans="1:2" x14ac:dyDescent="0.25">
      <c r="A5065" t="s">
        <v>8009</v>
      </c>
      <c r="B5065" t="s">
        <v>2382</v>
      </c>
    </row>
    <row r="5066" spans="1:2" x14ac:dyDescent="0.25">
      <c r="A5066" t="s">
        <v>2383</v>
      </c>
      <c r="B5066" t="s">
        <v>2383</v>
      </c>
    </row>
    <row r="5067" spans="1:2" x14ac:dyDescent="0.25">
      <c r="A5067" t="s">
        <v>8010</v>
      </c>
      <c r="B5067" t="s">
        <v>2383</v>
      </c>
    </row>
    <row r="5068" spans="1:2" x14ac:dyDescent="0.25">
      <c r="A5068" t="s">
        <v>8011</v>
      </c>
      <c r="B5068" t="s">
        <v>2383</v>
      </c>
    </row>
    <row r="5069" spans="1:2" x14ac:dyDescent="0.25">
      <c r="A5069" t="s">
        <v>8012</v>
      </c>
      <c r="B5069" t="s">
        <v>8013</v>
      </c>
    </row>
    <row r="5070" spans="1:2" x14ac:dyDescent="0.25">
      <c r="A5070" t="s">
        <v>8014</v>
      </c>
      <c r="B5070" t="s">
        <v>3284</v>
      </c>
    </row>
    <row r="5071" spans="1:2" x14ac:dyDescent="0.25">
      <c r="A5071" t="s">
        <v>8015</v>
      </c>
      <c r="B5071" t="s">
        <v>3285</v>
      </c>
    </row>
    <row r="5072" spans="1:2" x14ac:dyDescent="0.25">
      <c r="A5072" t="s">
        <v>1826</v>
      </c>
      <c r="B5072" t="s">
        <v>1826</v>
      </c>
    </row>
    <row r="5073" spans="1:2" x14ac:dyDescent="0.25">
      <c r="A5073" t="s">
        <v>8016</v>
      </c>
      <c r="B5073" t="s">
        <v>1826</v>
      </c>
    </row>
    <row r="5074" spans="1:2" x14ac:dyDescent="0.25">
      <c r="A5074" t="s">
        <v>3287</v>
      </c>
      <c r="B5074" t="s">
        <v>3287</v>
      </c>
    </row>
    <row r="5075" spans="1:2" x14ac:dyDescent="0.25">
      <c r="A5075" t="s">
        <v>8017</v>
      </c>
      <c r="B5075" t="s">
        <v>8018</v>
      </c>
    </row>
    <row r="5076" spans="1:2" x14ac:dyDescent="0.25">
      <c r="A5076" t="s">
        <v>8018</v>
      </c>
      <c r="B5076" t="s">
        <v>8018</v>
      </c>
    </row>
    <row r="5077" spans="1:2" x14ac:dyDescent="0.25">
      <c r="A5077" t="s">
        <v>8019</v>
      </c>
      <c r="B5077" t="s">
        <v>8020</v>
      </c>
    </row>
    <row r="5078" spans="1:2" x14ac:dyDescent="0.25">
      <c r="A5078" t="s">
        <v>8020</v>
      </c>
      <c r="B5078" t="s">
        <v>8020</v>
      </c>
    </row>
    <row r="5079" spans="1:2" x14ac:dyDescent="0.25">
      <c r="A5079" t="s">
        <v>2303</v>
      </c>
      <c r="B5079" t="s">
        <v>2303</v>
      </c>
    </row>
    <row r="5080" spans="1:2" x14ac:dyDescent="0.25">
      <c r="A5080" t="s">
        <v>8021</v>
      </c>
      <c r="B5080" t="s">
        <v>8022</v>
      </c>
    </row>
    <row r="5081" spans="1:2" x14ac:dyDescent="0.25">
      <c r="A5081" t="s">
        <v>2304</v>
      </c>
      <c r="B5081" t="s">
        <v>2304</v>
      </c>
    </row>
    <row r="5082" spans="1:2" x14ac:dyDescent="0.25">
      <c r="A5082" t="s">
        <v>8023</v>
      </c>
      <c r="B5082" t="s">
        <v>2304</v>
      </c>
    </row>
    <row r="5083" spans="1:2" x14ac:dyDescent="0.25">
      <c r="A5083" t="s">
        <v>8024</v>
      </c>
      <c r="B5083" t="s">
        <v>2304</v>
      </c>
    </row>
    <row r="5084" spans="1:2" x14ac:dyDescent="0.25">
      <c r="A5084" t="s">
        <v>8025</v>
      </c>
      <c r="B5084" t="s">
        <v>2544</v>
      </c>
    </row>
    <row r="5085" spans="1:2" x14ac:dyDescent="0.25">
      <c r="A5085" t="s">
        <v>2306</v>
      </c>
      <c r="B5085" t="s">
        <v>2306</v>
      </c>
    </row>
    <row r="5086" spans="1:2" x14ac:dyDescent="0.25">
      <c r="A5086" t="s">
        <v>8026</v>
      </c>
      <c r="B5086" t="s">
        <v>2306</v>
      </c>
    </row>
    <row r="5087" spans="1:2" x14ac:dyDescent="0.25">
      <c r="A5087" t="s">
        <v>8027</v>
      </c>
      <c r="B5087" t="s">
        <v>8028</v>
      </c>
    </row>
    <row r="5088" spans="1:2" x14ac:dyDescent="0.25">
      <c r="A5088" t="s">
        <v>8029</v>
      </c>
      <c r="B5088" t="s">
        <v>5209</v>
      </c>
    </row>
    <row r="5089" spans="1:2" x14ac:dyDescent="0.25">
      <c r="A5089" t="s">
        <v>8030</v>
      </c>
      <c r="B5089" t="s">
        <v>4558</v>
      </c>
    </row>
    <row r="5090" spans="1:2" x14ac:dyDescent="0.25">
      <c r="A5090" t="s">
        <v>173</v>
      </c>
      <c r="B5090" t="s">
        <v>173</v>
      </c>
    </row>
    <row r="5091" spans="1:2" x14ac:dyDescent="0.25">
      <c r="A5091" t="s">
        <v>8031</v>
      </c>
      <c r="B5091" t="s">
        <v>173</v>
      </c>
    </row>
    <row r="5092" spans="1:2" x14ac:dyDescent="0.25">
      <c r="A5092" t="s">
        <v>8032</v>
      </c>
      <c r="B5092" t="s">
        <v>173</v>
      </c>
    </row>
    <row r="5093" spans="1:2" x14ac:dyDescent="0.25">
      <c r="A5093" t="s">
        <v>8033</v>
      </c>
      <c r="B5093" t="s">
        <v>173</v>
      </c>
    </row>
    <row r="5094" spans="1:2" x14ac:dyDescent="0.25">
      <c r="A5094" t="s">
        <v>8034</v>
      </c>
      <c r="B5094" t="s">
        <v>173</v>
      </c>
    </row>
    <row r="5095" spans="1:2" x14ac:dyDescent="0.25">
      <c r="A5095" t="s">
        <v>8035</v>
      </c>
      <c r="B5095" t="s">
        <v>173</v>
      </c>
    </row>
    <row r="5096" spans="1:2" x14ac:dyDescent="0.25">
      <c r="A5096" t="s">
        <v>176</v>
      </c>
      <c r="B5096" t="s">
        <v>176</v>
      </c>
    </row>
    <row r="5097" spans="1:2" x14ac:dyDescent="0.25">
      <c r="A5097" t="s">
        <v>8036</v>
      </c>
      <c r="B5097" t="s">
        <v>176</v>
      </c>
    </row>
    <row r="5098" spans="1:2" x14ac:dyDescent="0.25">
      <c r="A5098" t="s">
        <v>8037</v>
      </c>
      <c r="B5098" t="s">
        <v>176</v>
      </c>
    </row>
    <row r="5099" spans="1:2" x14ac:dyDescent="0.25">
      <c r="A5099" t="s">
        <v>8038</v>
      </c>
      <c r="B5099" t="s">
        <v>176</v>
      </c>
    </row>
    <row r="5100" spans="1:2" x14ac:dyDescent="0.25">
      <c r="A5100" t="s">
        <v>8039</v>
      </c>
      <c r="B5100" t="s">
        <v>8039</v>
      </c>
    </row>
    <row r="5101" spans="1:2" x14ac:dyDescent="0.25">
      <c r="A5101" t="s">
        <v>178</v>
      </c>
      <c r="B5101" t="s">
        <v>178</v>
      </c>
    </row>
    <row r="5102" spans="1:2" x14ac:dyDescent="0.25">
      <c r="A5102" t="s">
        <v>8040</v>
      </c>
      <c r="B5102" t="s">
        <v>4563</v>
      </c>
    </row>
    <row r="5103" spans="1:2" x14ac:dyDescent="0.25">
      <c r="A5103" t="s">
        <v>8041</v>
      </c>
      <c r="B5103" t="s">
        <v>4563</v>
      </c>
    </row>
    <row r="5104" spans="1:2" x14ac:dyDescent="0.25">
      <c r="A5104" t="s">
        <v>8042</v>
      </c>
      <c r="B5104" t="s">
        <v>4563</v>
      </c>
    </row>
    <row r="5105" spans="1:2" x14ac:dyDescent="0.25">
      <c r="A5105" t="s">
        <v>8043</v>
      </c>
      <c r="B5105" t="s">
        <v>178</v>
      </c>
    </row>
    <row r="5106" spans="1:2" x14ac:dyDescent="0.25">
      <c r="A5106" t="s">
        <v>8044</v>
      </c>
      <c r="B5106" t="s">
        <v>178</v>
      </c>
    </row>
    <row r="5107" spans="1:2" x14ac:dyDescent="0.25">
      <c r="A5107" t="s">
        <v>8045</v>
      </c>
      <c r="B5107" t="s">
        <v>178</v>
      </c>
    </row>
    <row r="5108" spans="1:2" x14ac:dyDescent="0.25">
      <c r="A5108" t="s">
        <v>8046</v>
      </c>
      <c r="B5108" t="s">
        <v>178</v>
      </c>
    </row>
    <row r="5109" spans="1:2" x14ac:dyDescent="0.25">
      <c r="A5109" t="s">
        <v>180</v>
      </c>
      <c r="B5109" t="s">
        <v>180</v>
      </c>
    </row>
    <row r="5110" spans="1:2" x14ac:dyDescent="0.25">
      <c r="A5110" t="s">
        <v>8047</v>
      </c>
      <c r="B5110" t="s">
        <v>4566</v>
      </c>
    </row>
    <row r="5111" spans="1:2" x14ac:dyDescent="0.25">
      <c r="A5111" t="s">
        <v>8048</v>
      </c>
      <c r="B5111" t="s">
        <v>4566</v>
      </c>
    </row>
    <row r="5112" spans="1:2" x14ac:dyDescent="0.25">
      <c r="A5112" t="s">
        <v>8049</v>
      </c>
      <c r="B5112" t="s">
        <v>4566</v>
      </c>
    </row>
    <row r="5113" spans="1:2" x14ac:dyDescent="0.25">
      <c r="A5113" t="s">
        <v>8050</v>
      </c>
      <c r="B5113" t="s">
        <v>180</v>
      </c>
    </row>
    <row r="5114" spans="1:2" x14ac:dyDescent="0.25">
      <c r="A5114" t="s">
        <v>8051</v>
      </c>
      <c r="B5114" t="s">
        <v>180</v>
      </c>
    </row>
    <row r="5115" spans="1:2" x14ac:dyDescent="0.25">
      <c r="A5115" t="s">
        <v>8052</v>
      </c>
      <c r="B5115" t="s">
        <v>180</v>
      </c>
    </row>
    <row r="5116" spans="1:2" x14ac:dyDescent="0.25">
      <c r="A5116" t="s">
        <v>8053</v>
      </c>
      <c r="B5116" t="s">
        <v>180</v>
      </c>
    </row>
    <row r="5117" spans="1:2" x14ac:dyDescent="0.25">
      <c r="A5117" t="s">
        <v>8054</v>
      </c>
      <c r="B5117" t="s">
        <v>180</v>
      </c>
    </row>
    <row r="5118" spans="1:2" x14ac:dyDescent="0.25">
      <c r="A5118" t="s">
        <v>4568</v>
      </c>
      <c r="B5118" t="s">
        <v>4568</v>
      </c>
    </row>
    <row r="5119" spans="1:2" x14ac:dyDescent="0.25">
      <c r="A5119" t="s">
        <v>8055</v>
      </c>
      <c r="B5119" t="s">
        <v>4568</v>
      </c>
    </row>
    <row r="5120" spans="1:2" x14ac:dyDescent="0.25">
      <c r="A5120" t="s">
        <v>182</v>
      </c>
      <c r="B5120" t="s">
        <v>182</v>
      </c>
    </row>
    <row r="5121" spans="1:2" x14ac:dyDescent="0.25">
      <c r="A5121" t="s">
        <v>8056</v>
      </c>
      <c r="B5121" t="s">
        <v>182</v>
      </c>
    </row>
    <row r="5122" spans="1:2" x14ac:dyDescent="0.25">
      <c r="A5122" t="s">
        <v>8057</v>
      </c>
      <c r="B5122" t="s">
        <v>182</v>
      </c>
    </row>
    <row r="5123" spans="1:2" x14ac:dyDescent="0.25">
      <c r="A5123" t="s">
        <v>1647</v>
      </c>
      <c r="B5123" t="s">
        <v>1647</v>
      </c>
    </row>
    <row r="5124" spans="1:2" x14ac:dyDescent="0.25">
      <c r="A5124" t="s">
        <v>8058</v>
      </c>
      <c r="B5124" t="s">
        <v>1647</v>
      </c>
    </row>
    <row r="5125" spans="1:2" x14ac:dyDescent="0.25">
      <c r="A5125" t="s">
        <v>8059</v>
      </c>
      <c r="B5125" t="s">
        <v>1647</v>
      </c>
    </row>
    <row r="5126" spans="1:2" x14ac:dyDescent="0.25">
      <c r="A5126" t="s">
        <v>382</v>
      </c>
      <c r="B5126" t="s">
        <v>382</v>
      </c>
    </row>
    <row r="5127" spans="1:2" x14ac:dyDescent="0.25">
      <c r="A5127" t="s">
        <v>8060</v>
      </c>
      <c r="B5127" t="s">
        <v>8061</v>
      </c>
    </row>
    <row r="5128" spans="1:2" x14ac:dyDescent="0.25">
      <c r="A5128" t="s">
        <v>8062</v>
      </c>
      <c r="B5128" t="s">
        <v>382</v>
      </c>
    </row>
    <row r="5129" spans="1:2" x14ac:dyDescent="0.25">
      <c r="A5129" t="s">
        <v>8063</v>
      </c>
      <c r="B5129" t="s">
        <v>5209</v>
      </c>
    </row>
    <row r="5130" spans="1:2" x14ac:dyDescent="0.25">
      <c r="A5130" t="s">
        <v>8064</v>
      </c>
      <c r="B5130" t="s">
        <v>5209</v>
      </c>
    </row>
    <row r="5131" spans="1:2" x14ac:dyDescent="0.25">
      <c r="A5131" t="s">
        <v>8065</v>
      </c>
      <c r="B5131" t="s">
        <v>8065</v>
      </c>
    </row>
    <row r="5132" spans="1:2" x14ac:dyDescent="0.25">
      <c r="A5132" t="s">
        <v>8066</v>
      </c>
      <c r="B5132" t="s">
        <v>8066</v>
      </c>
    </row>
    <row r="5133" spans="1:2" x14ac:dyDescent="0.25">
      <c r="A5133" t="s">
        <v>3382</v>
      </c>
      <c r="B5133" t="s">
        <v>3382</v>
      </c>
    </row>
    <row r="5134" spans="1:2" x14ac:dyDescent="0.25">
      <c r="A5134" t="s">
        <v>8067</v>
      </c>
      <c r="B5134" t="s">
        <v>8067</v>
      </c>
    </row>
    <row r="5135" spans="1:2" x14ac:dyDescent="0.25">
      <c r="A5135" t="s">
        <v>8068</v>
      </c>
      <c r="B5135" t="s">
        <v>8068</v>
      </c>
    </row>
    <row r="5136" spans="1:2" x14ac:dyDescent="0.25">
      <c r="A5136" t="s">
        <v>8069</v>
      </c>
      <c r="B5136" t="s">
        <v>8069</v>
      </c>
    </row>
    <row r="5137" spans="1:2" x14ac:dyDescent="0.25">
      <c r="A5137" t="s">
        <v>8070</v>
      </c>
      <c r="B5137" t="s">
        <v>8070</v>
      </c>
    </row>
    <row r="5138" spans="1:2" x14ac:dyDescent="0.25">
      <c r="A5138" t="s">
        <v>8071</v>
      </c>
      <c r="B5138" t="s">
        <v>8071</v>
      </c>
    </row>
    <row r="5139" spans="1:2" x14ac:dyDescent="0.25">
      <c r="A5139" t="s">
        <v>2723</v>
      </c>
      <c r="B5139" t="s">
        <v>2723</v>
      </c>
    </row>
    <row r="5140" spans="1:2" x14ac:dyDescent="0.25">
      <c r="A5140" t="s">
        <v>8072</v>
      </c>
      <c r="B5140" t="s">
        <v>8073</v>
      </c>
    </row>
    <row r="5141" spans="1:2" x14ac:dyDescent="0.25">
      <c r="A5141" t="s">
        <v>8074</v>
      </c>
      <c r="B5141" t="s">
        <v>8074</v>
      </c>
    </row>
    <row r="5142" spans="1:2" x14ac:dyDescent="0.25">
      <c r="A5142" t="s">
        <v>8075</v>
      </c>
      <c r="B5142" t="s">
        <v>8076</v>
      </c>
    </row>
    <row r="5143" spans="1:2" x14ac:dyDescent="0.25">
      <c r="A5143" t="s">
        <v>8077</v>
      </c>
      <c r="B5143" t="s">
        <v>8078</v>
      </c>
    </row>
    <row r="5144" spans="1:2" x14ac:dyDescent="0.25">
      <c r="A5144" t="s">
        <v>3375</v>
      </c>
      <c r="B5144" t="s">
        <v>3375</v>
      </c>
    </row>
    <row r="5145" spans="1:2" x14ac:dyDescent="0.25">
      <c r="A5145" t="s">
        <v>8079</v>
      </c>
      <c r="B5145" t="s">
        <v>8080</v>
      </c>
    </row>
    <row r="5146" spans="1:2" x14ac:dyDescent="0.25">
      <c r="A5146" t="s">
        <v>3288</v>
      </c>
      <c r="B5146" t="s">
        <v>3288</v>
      </c>
    </row>
    <row r="5147" spans="1:2" x14ac:dyDescent="0.25">
      <c r="A5147" t="s">
        <v>8081</v>
      </c>
      <c r="B5147" t="s">
        <v>3288</v>
      </c>
    </row>
    <row r="5148" spans="1:2" x14ac:dyDescent="0.25">
      <c r="A5148" t="s">
        <v>1622</v>
      </c>
      <c r="B5148" t="s">
        <v>1622</v>
      </c>
    </row>
    <row r="5149" spans="1:2" x14ac:dyDescent="0.25">
      <c r="A5149" t="s">
        <v>8082</v>
      </c>
      <c r="B5149" t="s">
        <v>1622</v>
      </c>
    </row>
    <row r="5150" spans="1:2" x14ac:dyDescent="0.25">
      <c r="A5150" t="s">
        <v>1625</v>
      </c>
      <c r="B5150" t="s">
        <v>1625</v>
      </c>
    </row>
    <row r="5151" spans="1:2" x14ac:dyDescent="0.25">
      <c r="A5151" t="s">
        <v>8083</v>
      </c>
      <c r="B5151" t="s">
        <v>1625</v>
      </c>
    </row>
    <row r="5152" spans="1:2" x14ac:dyDescent="0.25">
      <c r="A5152" t="s">
        <v>2307</v>
      </c>
      <c r="B5152" t="s">
        <v>2307</v>
      </c>
    </row>
    <row r="5153" spans="1:2" x14ac:dyDescent="0.25">
      <c r="A5153" t="s">
        <v>8084</v>
      </c>
      <c r="B5153" t="s">
        <v>2307</v>
      </c>
    </row>
    <row r="5154" spans="1:2" x14ac:dyDescent="0.25">
      <c r="A5154" t="s">
        <v>1627</v>
      </c>
      <c r="B5154" t="s">
        <v>1627</v>
      </c>
    </row>
    <row r="5155" spans="1:2" x14ac:dyDescent="0.25">
      <c r="A5155" t="s">
        <v>8085</v>
      </c>
      <c r="B5155" t="s">
        <v>1627</v>
      </c>
    </row>
    <row r="5156" spans="1:2" x14ac:dyDescent="0.25">
      <c r="A5156" t="s">
        <v>1629</v>
      </c>
      <c r="B5156" t="s">
        <v>1629</v>
      </c>
    </row>
    <row r="5157" spans="1:2" x14ac:dyDescent="0.25">
      <c r="A5157" t="s">
        <v>8086</v>
      </c>
      <c r="B5157" t="s">
        <v>1629</v>
      </c>
    </row>
    <row r="5158" spans="1:2" x14ac:dyDescent="0.25">
      <c r="A5158" t="s">
        <v>3289</v>
      </c>
      <c r="B5158" t="s">
        <v>3289</v>
      </c>
    </row>
    <row r="5159" spans="1:2" x14ac:dyDescent="0.25">
      <c r="A5159" t="s">
        <v>8087</v>
      </c>
      <c r="B5159" t="s">
        <v>3289</v>
      </c>
    </row>
    <row r="5160" spans="1:2" x14ac:dyDescent="0.25">
      <c r="A5160" t="s">
        <v>1631</v>
      </c>
      <c r="B5160" t="s">
        <v>1631</v>
      </c>
    </row>
    <row r="5161" spans="1:2" x14ac:dyDescent="0.25">
      <c r="A5161" t="s">
        <v>8088</v>
      </c>
      <c r="B5161" t="s">
        <v>1631</v>
      </c>
    </row>
    <row r="5162" spans="1:2" x14ac:dyDescent="0.25">
      <c r="A5162" t="s">
        <v>2788</v>
      </c>
      <c r="B5162" t="s">
        <v>2788</v>
      </c>
    </row>
    <row r="5163" spans="1:2" x14ac:dyDescent="0.25">
      <c r="A5163" t="s">
        <v>8089</v>
      </c>
      <c r="B5163" t="s">
        <v>2788</v>
      </c>
    </row>
    <row r="5164" spans="1:2" x14ac:dyDescent="0.25">
      <c r="A5164" t="s">
        <v>4994</v>
      </c>
      <c r="B5164" t="s">
        <v>4994</v>
      </c>
    </row>
    <row r="5165" spans="1:2" x14ac:dyDescent="0.25">
      <c r="A5165" t="s">
        <v>8090</v>
      </c>
      <c r="B5165" t="s">
        <v>4994</v>
      </c>
    </row>
    <row r="5166" spans="1:2" x14ac:dyDescent="0.25">
      <c r="A5166" t="s">
        <v>8091</v>
      </c>
      <c r="B5166" t="s">
        <v>8091</v>
      </c>
    </row>
    <row r="5167" spans="1:2" x14ac:dyDescent="0.25">
      <c r="A5167" t="s">
        <v>3290</v>
      </c>
      <c r="B5167" t="s">
        <v>3290</v>
      </c>
    </row>
    <row r="5168" spans="1:2" x14ac:dyDescent="0.25">
      <c r="A5168" t="s">
        <v>8092</v>
      </c>
      <c r="B5168" t="s">
        <v>3290</v>
      </c>
    </row>
    <row r="5169" spans="1:2" x14ac:dyDescent="0.25">
      <c r="A5169" t="s">
        <v>184</v>
      </c>
      <c r="B5169" t="s">
        <v>184</v>
      </c>
    </row>
    <row r="5170" spans="1:2" x14ac:dyDescent="0.25">
      <c r="A5170" t="s">
        <v>8093</v>
      </c>
      <c r="B5170" t="s">
        <v>184</v>
      </c>
    </row>
    <row r="5171" spans="1:2" x14ac:dyDescent="0.25">
      <c r="A5171" t="s">
        <v>3291</v>
      </c>
      <c r="B5171" t="s">
        <v>3291</v>
      </c>
    </row>
    <row r="5172" spans="1:2" x14ac:dyDescent="0.25">
      <c r="A5172" t="s">
        <v>8094</v>
      </c>
      <c r="B5172" t="s">
        <v>3291</v>
      </c>
    </row>
    <row r="5173" spans="1:2" x14ac:dyDescent="0.25">
      <c r="A5173" t="s">
        <v>3292</v>
      </c>
      <c r="B5173" t="s">
        <v>3292</v>
      </c>
    </row>
    <row r="5174" spans="1:2" x14ac:dyDescent="0.25">
      <c r="A5174" t="s">
        <v>8095</v>
      </c>
      <c r="B5174" t="s">
        <v>3292</v>
      </c>
    </row>
    <row r="5175" spans="1:2" x14ac:dyDescent="0.25">
      <c r="A5175" t="s">
        <v>3293</v>
      </c>
      <c r="B5175" t="s">
        <v>3293</v>
      </c>
    </row>
    <row r="5176" spans="1:2" x14ac:dyDescent="0.25">
      <c r="A5176" t="s">
        <v>8096</v>
      </c>
      <c r="B5176" t="s">
        <v>3293</v>
      </c>
    </row>
    <row r="5177" spans="1:2" x14ac:dyDescent="0.25">
      <c r="A5177" t="s">
        <v>8097</v>
      </c>
      <c r="B5177" t="s">
        <v>184</v>
      </c>
    </row>
    <row r="5178" spans="1:2" x14ac:dyDescent="0.25">
      <c r="A5178" t="s">
        <v>187</v>
      </c>
      <c r="B5178" t="s">
        <v>187</v>
      </c>
    </row>
    <row r="5179" spans="1:2" x14ac:dyDescent="0.25">
      <c r="A5179" t="s">
        <v>8098</v>
      </c>
      <c r="B5179" t="s">
        <v>187</v>
      </c>
    </row>
    <row r="5180" spans="1:2" x14ac:dyDescent="0.25">
      <c r="A5180" t="s">
        <v>8099</v>
      </c>
      <c r="B5180" t="s">
        <v>187</v>
      </c>
    </row>
    <row r="5181" spans="1:2" x14ac:dyDescent="0.25">
      <c r="A5181" t="s">
        <v>189</v>
      </c>
      <c r="B5181" t="s">
        <v>189</v>
      </c>
    </row>
    <row r="5182" spans="1:2" x14ac:dyDescent="0.25">
      <c r="A5182" t="s">
        <v>8100</v>
      </c>
      <c r="B5182" t="s">
        <v>189</v>
      </c>
    </row>
    <row r="5183" spans="1:2" x14ac:dyDescent="0.25">
      <c r="A5183" t="s">
        <v>3294</v>
      </c>
      <c r="B5183" t="s">
        <v>3294</v>
      </c>
    </row>
    <row r="5184" spans="1:2" x14ac:dyDescent="0.25">
      <c r="A5184" t="s">
        <v>2308</v>
      </c>
      <c r="B5184" t="s">
        <v>2308</v>
      </c>
    </row>
    <row r="5185" spans="1:2" x14ac:dyDescent="0.25">
      <c r="A5185" t="s">
        <v>191</v>
      </c>
      <c r="B5185" t="s">
        <v>191</v>
      </c>
    </row>
    <row r="5186" spans="1:2" x14ac:dyDescent="0.25">
      <c r="A5186" t="s">
        <v>8101</v>
      </c>
      <c r="B5186" t="s">
        <v>191</v>
      </c>
    </row>
    <row r="5187" spans="1:2" x14ac:dyDescent="0.25">
      <c r="A5187" t="s">
        <v>8102</v>
      </c>
      <c r="B5187" t="s">
        <v>191</v>
      </c>
    </row>
    <row r="5188" spans="1:2" x14ac:dyDescent="0.25">
      <c r="A5188" t="s">
        <v>8103</v>
      </c>
      <c r="B5188" t="s">
        <v>189</v>
      </c>
    </row>
    <row r="5189" spans="1:2" x14ac:dyDescent="0.25">
      <c r="A5189" t="s">
        <v>193</v>
      </c>
      <c r="B5189" t="s">
        <v>193</v>
      </c>
    </row>
    <row r="5190" spans="1:2" x14ac:dyDescent="0.25">
      <c r="A5190" t="s">
        <v>8104</v>
      </c>
      <c r="B5190" t="s">
        <v>193</v>
      </c>
    </row>
    <row r="5191" spans="1:2" x14ac:dyDescent="0.25">
      <c r="A5191" t="s">
        <v>8105</v>
      </c>
      <c r="B5191" t="s">
        <v>193</v>
      </c>
    </row>
    <row r="5192" spans="1:2" x14ac:dyDescent="0.25">
      <c r="A5192" t="s">
        <v>8106</v>
      </c>
      <c r="B5192" t="s">
        <v>5209</v>
      </c>
    </row>
    <row r="5193" spans="1:2" x14ac:dyDescent="0.25">
      <c r="A5193" t="s">
        <v>8107</v>
      </c>
      <c r="B5193" t="s">
        <v>8107</v>
      </c>
    </row>
    <row r="5194" spans="1:2" x14ac:dyDescent="0.25">
      <c r="A5194" t="s">
        <v>8108</v>
      </c>
      <c r="B5194" t="s">
        <v>8107</v>
      </c>
    </row>
    <row r="5195" spans="1:2" x14ac:dyDescent="0.25">
      <c r="A5195" t="s">
        <v>2790</v>
      </c>
      <c r="B5195" t="s">
        <v>2790</v>
      </c>
    </row>
    <row r="5196" spans="1:2" x14ac:dyDescent="0.25">
      <c r="A5196" t="s">
        <v>8109</v>
      </c>
      <c r="B5196" t="s">
        <v>8110</v>
      </c>
    </row>
    <row r="5197" spans="1:2" x14ac:dyDescent="0.25">
      <c r="A5197" t="s">
        <v>8111</v>
      </c>
      <c r="B5197" t="s">
        <v>8112</v>
      </c>
    </row>
    <row r="5198" spans="1:2" x14ac:dyDescent="0.25">
      <c r="A5198" t="s">
        <v>8113</v>
      </c>
      <c r="B5198" t="s">
        <v>8114</v>
      </c>
    </row>
    <row r="5199" spans="1:2" x14ac:dyDescent="0.25">
      <c r="A5199" t="s">
        <v>8115</v>
      </c>
      <c r="B5199" t="s">
        <v>5209</v>
      </c>
    </row>
    <row r="5200" spans="1:2" x14ac:dyDescent="0.25">
      <c r="A5200" t="s">
        <v>8116</v>
      </c>
      <c r="B5200" t="s">
        <v>5209</v>
      </c>
    </row>
    <row r="5201" spans="1:2" x14ac:dyDescent="0.25">
      <c r="A5201" t="s">
        <v>195</v>
      </c>
      <c r="B5201" t="s">
        <v>195</v>
      </c>
    </row>
    <row r="5202" spans="1:2" x14ac:dyDescent="0.25">
      <c r="A5202" t="s">
        <v>8117</v>
      </c>
      <c r="B5202" t="s">
        <v>195</v>
      </c>
    </row>
    <row r="5203" spans="1:2" x14ac:dyDescent="0.25">
      <c r="A5203" t="s">
        <v>8118</v>
      </c>
      <c r="B5203" t="s">
        <v>195</v>
      </c>
    </row>
    <row r="5204" spans="1:2" x14ac:dyDescent="0.25">
      <c r="A5204" t="s">
        <v>197</v>
      </c>
      <c r="B5204" t="s">
        <v>197</v>
      </c>
    </row>
    <row r="5205" spans="1:2" x14ac:dyDescent="0.25">
      <c r="A5205" t="s">
        <v>8119</v>
      </c>
      <c r="B5205" t="s">
        <v>197</v>
      </c>
    </row>
    <row r="5206" spans="1:2" x14ac:dyDescent="0.25">
      <c r="A5206" t="s">
        <v>8120</v>
      </c>
      <c r="B5206" t="s">
        <v>197</v>
      </c>
    </row>
    <row r="5207" spans="1:2" x14ac:dyDescent="0.25">
      <c r="A5207" t="s">
        <v>8121</v>
      </c>
      <c r="B5207" t="s">
        <v>4837</v>
      </c>
    </row>
    <row r="5208" spans="1:2" x14ac:dyDescent="0.25">
      <c r="A5208" t="s">
        <v>8122</v>
      </c>
      <c r="B5208" t="s">
        <v>4839</v>
      </c>
    </row>
    <row r="5209" spans="1:2" x14ac:dyDescent="0.25">
      <c r="A5209" t="s">
        <v>8123</v>
      </c>
      <c r="B5209" t="s">
        <v>8124</v>
      </c>
    </row>
    <row r="5210" spans="1:2" x14ac:dyDescent="0.25">
      <c r="A5210" t="s">
        <v>8125</v>
      </c>
      <c r="B5210" t="s">
        <v>4841</v>
      </c>
    </row>
    <row r="5211" spans="1:2" x14ac:dyDescent="0.25">
      <c r="A5211" t="s">
        <v>8126</v>
      </c>
      <c r="B5211" t="s">
        <v>4843</v>
      </c>
    </row>
    <row r="5212" spans="1:2" x14ac:dyDescent="0.25">
      <c r="A5212" t="s">
        <v>8127</v>
      </c>
      <c r="B5212" t="s">
        <v>8128</v>
      </c>
    </row>
    <row r="5213" spans="1:2" x14ac:dyDescent="0.25">
      <c r="A5213" t="s">
        <v>8129</v>
      </c>
      <c r="B5213" t="s">
        <v>4849</v>
      </c>
    </row>
    <row r="5214" spans="1:2" x14ac:dyDescent="0.25">
      <c r="A5214" t="s">
        <v>8130</v>
      </c>
      <c r="B5214" t="s">
        <v>4851</v>
      </c>
    </row>
    <row r="5215" spans="1:2" x14ac:dyDescent="0.25">
      <c r="A5215" t="s">
        <v>8131</v>
      </c>
      <c r="B5215" t="s">
        <v>4853</v>
      </c>
    </row>
    <row r="5216" spans="1:2" x14ac:dyDescent="0.25">
      <c r="A5216" t="s">
        <v>8132</v>
      </c>
      <c r="B5216" t="s">
        <v>4855</v>
      </c>
    </row>
    <row r="5217" spans="1:2" x14ac:dyDescent="0.25">
      <c r="A5217" t="s">
        <v>8133</v>
      </c>
      <c r="B5217" t="s">
        <v>4857</v>
      </c>
    </row>
    <row r="5218" spans="1:2" x14ac:dyDescent="0.25">
      <c r="A5218" t="s">
        <v>8134</v>
      </c>
      <c r="B5218" t="s">
        <v>4867</v>
      </c>
    </row>
    <row r="5219" spans="1:2" x14ac:dyDescent="0.25">
      <c r="A5219" t="s">
        <v>8135</v>
      </c>
      <c r="B5219" t="s">
        <v>4871</v>
      </c>
    </row>
    <row r="5220" spans="1:2" x14ac:dyDescent="0.25">
      <c r="A5220" t="s">
        <v>8136</v>
      </c>
      <c r="B5220" t="s">
        <v>4873</v>
      </c>
    </row>
    <row r="5221" spans="1:2" x14ac:dyDescent="0.25">
      <c r="A5221" t="s">
        <v>8137</v>
      </c>
      <c r="B5221" t="s">
        <v>4875</v>
      </c>
    </row>
    <row r="5222" spans="1:2" x14ac:dyDescent="0.25">
      <c r="A5222" t="s">
        <v>2331</v>
      </c>
      <c r="B5222" t="s">
        <v>2331</v>
      </c>
    </row>
    <row r="5223" spans="1:2" x14ac:dyDescent="0.25">
      <c r="A5223" t="s">
        <v>8138</v>
      </c>
      <c r="B5223" t="s">
        <v>2331</v>
      </c>
    </row>
    <row r="5224" spans="1:2" x14ac:dyDescent="0.25">
      <c r="A5224" t="s">
        <v>8139</v>
      </c>
      <c r="B5224" t="s">
        <v>4878</v>
      </c>
    </row>
    <row r="5225" spans="1:2" x14ac:dyDescent="0.25">
      <c r="A5225" t="s">
        <v>8140</v>
      </c>
      <c r="B5225" t="s">
        <v>4878</v>
      </c>
    </row>
    <row r="5226" spans="1:2" x14ac:dyDescent="0.25">
      <c r="A5226" t="s">
        <v>8141</v>
      </c>
      <c r="B5226" t="s">
        <v>4880</v>
      </c>
    </row>
    <row r="5227" spans="1:2" x14ac:dyDescent="0.25">
      <c r="A5227" t="s">
        <v>8142</v>
      </c>
      <c r="B5227" t="s">
        <v>4882</v>
      </c>
    </row>
    <row r="5228" spans="1:2" x14ac:dyDescent="0.25">
      <c r="A5228" t="s">
        <v>8143</v>
      </c>
      <c r="B5228" t="s">
        <v>4884</v>
      </c>
    </row>
    <row r="5229" spans="1:2" x14ac:dyDescent="0.25">
      <c r="A5229" t="s">
        <v>8144</v>
      </c>
      <c r="B5229" t="s">
        <v>4886</v>
      </c>
    </row>
    <row r="5230" spans="1:2" x14ac:dyDescent="0.25">
      <c r="A5230" t="s">
        <v>8145</v>
      </c>
      <c r="B5230" t="s">
        <v>3295</v>
      </c>
    </row>
    <row r="5231" spans="1:2" x14ac:dyDescent="0.25">
      <c r="A5231" t="s">
        <v>8146</v>
      </c>
      <c r="B5231" t="s">
        <v>4889</v>
      </c>
    </row>
    <row r="5232" spans="1:2" x14ac:dyDescent="0.25">
      <c r="A5232" t="s">
        <v>8147</v>
      </c>
      <c r="B5232" t="s">
        <v>4891</v>
      </c>
    </row>
    <row r="5233" spans="1:2" x14ac:dyDescent="0.25">
      <c r="A5233" t="s">
        <v>8148</v>
      </c>
      <c r="B5233" t="s">
        <v>4893</v>
      </c>
    </row>
    <row r="5234" spans="1:2" x14ac:dyDescent="0.25">
      <c r="A5234" t="s">
        <v>8149</v>
      </c>
      <c r="B5234" t="s">
        <v>4895</v>
      </c>
    </row>
    <row r="5235" spans="1:2" x14ac:dyDescent="0.25">
      <c r="A5235" t="s">
        <v>1671</v>
      </c>
      <c r="B5235" t="s">
        <v>1671</v>
      </c>
    </row>
    <row r="5236" spans="1:2" x14ac:dyDescent="0.25">
      <c r="A5236" t="s">
        <v>8150</v>
      </c>
      <c r="B5236" t="s">
        <v>1671</v>
      </c>
    </row>
    <row r="5237" spans="1:2" x14ac:dyDescent="0.25">
      <c r="A5237" t="s">
        <v>8151</v>
      </c>
      <c r="B5237" t="s">
        <v>4897</v>
      </c>
    </row>
    <row r="5238" spans="1:2" x14ac:dyDescent="0.25">
      <c r="A5238" t="s">
        <v>8152</v>
      </c>
      <c r="B5238" t="s">
        <v>4897</v>
      </c>
    </row>
    <row r="5239" spans="1:2" x14ac:dyDescent="0.25">
      <c r="A5239" t="s">
        <v>8153</v>
      </c>
      <c r="B5239" t="s">
        <v>8154</v>
      </c>
    </row>
    <row r="5240" spans="1:2" x14ac:dyDescent="0.25">
      <c r="A5240" t="s">
        <v>8155</v>
      </c>
      <c r="B5240" t="s">
        <v>4901</v>
      </c>
    </row>
    <row r="5241" spans="1:2" x14ac:dyDescent="0.25">
      <c r="A5241" t="s">
        <v>3297</v>
      </c>
      <c r="B5241" t="s">
        <v>3297</v>
      </c>
    </row>
    <row r="5242" spans="1:2" x14ac:dyDescent="0.25">
      <c r="A5242" t="s">
        <v>8156</v>
      </c>
      <c r="B5242" t="s">
        <v>3297</v>
      </c>
    </row>
    <row r="5243" spans="1:2" x14ac:dyDescent="0.25">
      <c r="A5243" t="s">
        <v>8157</v>
      </c>
      <c r="B5243" t="s">
        <v>4904</v>
      </c>
    </row>
    <row r="5244" spans="1:2" x14ac:dyDescent="0.25">
      <c r="A5244" t="s">
        <v>8158</v>
      </c>
      <c r="B5244" t="s">
        <v>4904</v>
      </c>
    </row>
    <row r="5245" spans="1:2" x14ac:dyDescent="0.25">
      <c r="A5245" t="s">
        <v>8159</v>
      </c>
      <c r="B5245" t="s">
        <v>4906</v>
      </c>
    </row>
    <row r="5246" spans="1:2" x14ac:dyDescent="0.25">
      <c r="A5246" t="s">
        <v>8160</v>
      </c>
      <c r="B5246" t="s">
        <v>4906</v>
      </c>
    </row>
    <row r="5247" spans="1:2" x14ac:dyDescent="0.25">
      <c r="A5247" t="s">
        <v>8161</v>
      </c>
      <c r="B5247" t="s">
        <v>4908</v>
      </c>
    </row>
    <row r="5248" spans="1:2" x14ac:dyDescent="0.25">
      <c r="A5248" t="s">
        <v>8162</v>
      </c>
      <c r="B5248" t="s">
        <v>4910</v>
      </c>
    </row>
    <row r="5249" spans="1:2" x14ac:dyDescent="0.25">
      <c r="A5249" t="s">
        <v>3299</v>
      </c>
      <c r="B5249" t="s">
        <v>3299</v>
      </c>
    </row>
    <row r="5250" spans="1:2" x14ac:dyDescent="0.25">
      <c r="A5250" t="s">
        <v>8163</v>
      </c>
      <c r="B5250" t="s">
        <v>4913</v>
      </c>
    </row>
    <row r="5251" spans="1:2" x14ac:dyDescent="0.25">
      <c r="A5251" t="s">
        <v>8164</v>
      </c>
      <c r="B5251" t="s">
        <v>4913</v>
      </c>
    </row>
    <row r="5252" spans="1:2" x14ac:dyDescent="0.25">
      <c r="A5252" t="s">
        <v>8165</v>
      </c>
      <c r="B5252" t="s">
        <v>4915</v>
      </c>
    </row>
    <row r="5253" spans="1:2" x14ac:dyDescent="0.25">
      <c r="A5253" t="s">
        <v>8166</v>
      </c>
      <c r="B5253" t="s">
        <v>4915</v>
      </c>
    </row>
    <row r="5254" spans="1:2" x14ac:dyDescent="0.25">
      <c r="A5254" t="s">
        <v>3300</v>
      </c>
      <c r="B5254" t="s">
        <v>3300</v>
      </c>
    </row>
    <row r="5255" spans="1:2" x14ac:dyDescent="0.25">
      <c r="A5255" t="s">
        <v>8167</v>
      </c>
      <c r="B5255" t="s">
        <v>3300</v>
      </c>
    </row>
    <row r="5256" spans="1:2" x14ac:dyDescent="0.25">
      <c r="A5256" t="s">
        <v>8168</v>
      </c>
      <c r="B5256" t="s">
        <v>8169</v>
      </c>
    </row>
    <row r="5257" spans="1:2" x14ac:dyDescent="0.25">
      <c r="A5257" t="s">
        <v>8170</v>
      </c>
      <c r="B5257" t="s">
        <v>8169</v>
      </c>
    </row>
    <row r="5258" spans="1:2" x14ac:dyDescent="0.25">
      <c r="A5258" t="s">
        <v>8171</v>
      </c>
      <c r="B5258" t="s">
        <v>4918</v>
      </c>
    </row>
    <row r="5259" spans="1:2" x14ac:dyDescent="0.25">
      <c r="A5259" t="s">
        <v>8172</v>
      </c>
      <c r="B5259" t="s">
        <v>4918</v>
      </c>
    </row>
    <row r="5260" spans="1:2" x14ac:dyDescent="0.25">
      <c r="A5260" t="s">
        <v>3301</v>
      </c>
      <c r="B5260" t="s">
        <v>3301</v>
      </c>
    </row>
    <row r="5261" spans="1:2" x14ac:dyDescent="0.25">
      <c r="A5261" t="s">
        <v>8173</v>
      </c>
      <c r="B5261" t="s">
        <v>3301</v>
      </c>
    </row>
    <row r="5262" spans="1:2" x14ac:dyDescent="0.25">
      <c r="A5262" t="s">
        <v>8174</v>
      </c>
      <c r="B5262" t="s">
        <v>4920</v>
      </c>
    </row>
    <row r="5263" spans="1:2" x14ac:dyDescent="0.25">
      <c r="A5263" t="s">
        <v>8175</v>
      </c>
      <c r="B5263" t="s">
        <v>4920</v>
      </c>
    </row>
    <row r="5264" spans="1:2" x14ac:dyDescent="0.25">
      <c r="A5264" t="s">
        <v>8176</v>
      </c>
      <c r="B5264" t="s">
        <v>4922</v>
      </c>
    </row>
    <row r="5265" spans="1:2" x14ac:dyDescent="0.25">
      <c r="A5265" t="s">
        <v>8177</v>
      </c>
      <c r="B5265" t="s">
        <v>4922</v>
      </c>
    </row>
    <row r="5266" spans="1:2" x14ac:dyDescent="0.25">
      <c r="A5266" t="s">
        <v>8178</v>
      </c>
      <c r="B5266" t="s">
        <v>4926</v>
      </c>
    </row>
    <row r="5267" spans="1:2" x14ac:dyDescent="0.25">
      <c r="A5267" t="s">
        <v>8179</v>
      </c>
      <c r="B5267" t="s">
        <v>4932</v>
      </c>
    </row>
    <row r="5268" spans="1:2" x14ac:dyDescent="0.25">
      <c r="A5268" t="s">
        <v>3302</v>
      </c>
      <c r="B5268" t="s">
        <v>3302</v>
      </c>
    </row>
    <row r="5269" spans="1:2" x14ac:dyDescent="0.25">
      <c r="A5269" t="s">
        <v>3303</v>
      </c>
      <c r="B5269" t="s">
        <v>3303</v>
      </c>
    </row>
    <row r="5270" spans="1:2" x14ac:dyDescent="0.25">
      <c r="A5270" t="s">
        <v>3304</v>
      </c>
      <c r="B5270" t="s">
        <v>3304</v>
      </c>
    </row>
    <row r="5271" spans="1:2" x14ac:dyDescent="0.25">
      <c r="A5271" t="s">
        <v>3305</v>
      </c>
      <c r="B5271" t="s">
        <v>3305</v>
      </c>
    </row>
    <row r="5272" spans="1:2" x14ac:dyDescent="0.25">
      <c r="A5272" t="s">
        <v>2412</v>
      </c>
      <c r="B5272" t="s">
        <v>2412</v>
      </c>
    </row>
    <row r="5273" spans="1:2" x14ac:dyDescent="0.25">
      <c r="A5273" t="s">
        <v>8180</v>
      </c>
      <c r="B5273" t="s">
        <v>8181</v>
      </c>
    </row>
    <row r="5274" spans="1:2" x14ac:dyDescent="0.25">
      <c r="A5274" t="s">
        <v>8181</v>
      </c>
      <c r="B5274" t="s">
        <v>8181</v>
      </c>
    </row>
    <row r="5275" spans="1:2" x14ac:dyDescent="0.25">
      <c r="A5275" t="s">
        <v>1808</v>
      </c>
      <c r="B5275" t="s">
        <v>1808</v>
      </c>
    </row>
    <row r="5276" spans="1:2" x14ac:dyDescent="0.25">
      <c r="A5276" t="s">
        <v>8182</v>
      </c>
      <c r="B5276" t="s">
        <v>1808</v>
      </c>
    </row>
    <row r="5277" spans="1:2" x14ac:dyDescent="0.25">
      <c r="A5277" t="s">
        <v>8183</v>
      </c>
      <c r="B5277" t="s">
        <v>1808</v>
      </c>
    </row>
    <row r="5278" spans="1:2" x14ac:dyDescent="0.25">
      <c r="A5278" t="s">
        <v>1810</v>
      </c>
      <c r="B5278" t="s">
        <v>1810</v>
      </c>
    </row>
    <row r="5279" spans="1:2" x14ac:dyDescent="0.25">
      <c r="A5279" t="s">
        <v>8184</v>
      </c>
      <c r="B5279" t="s">
        <v>1810</v>
      </c>
    </row>
    <row r="5280" spans="1:2" x14ac:dyDescent="0.25">
      <c r="A5280" t="s">
        <v>1812</v>
      </c>
      <c r="B5280" t="s">
        <v>1812</v>
      </c>
    </row>
    <row r="5281" spans="1:2" x14ac:dyDescent="0.25">
      <c r="A5281" t="s">
        <v>8185</v>
      </c>
      <c r="B5281" t="s">
        <v>1812</v>
      </c>
    </row>
    <row r="5282" spans="1:2" x14ac:dyDescent="0.25">
      <c r="A5282" t="s">
        <v>8186</v>
      </c>
      <c r="B5282" t="s">
        <v>1812</v>
      </c>
    </row>
    <row r="5283" spans="1:2" x14ac:dyDescent="0.25">
      <c r="A5283" t="s">
        <v>8187</v>
      </c>
      <c r="B5283" t="s">
        <v>3306</v>
      </c>
    </row>
    <row r="5284" spans="1:2" x14ac:dyDescent="0.25">
      <c r="A5284" t="s">
        <v>1804</v>
      </c>
      <c r="B5284" t="s">
        <v>1804</v>
      </c>
    </row>
    <row r="5285" spans="1:2" x14ac:dyDescent="0.25">
      <c r="A5285" t="s">
        <v>8188</v>
      </c>
      <c r="B5285" t="s">
        <v>1804</v>
      </c>
    </row>
    <row r="5286" spans="1:2" x14ac:dyDescent="0.25">
      <c r="A5286" t="s">
        <v>1806</v>
      </c>
      <c r="B5286" t="s">
        <v>1806</v>
      </c>
    </row>
    <row r="5287" spans="1:2" x14ac:dyDescent="0.25">
      <c r="A5287" t="s">
        <v>8189</v>
      </c>
      <c r="B5287" t="s">
        <v>1806</v>
      </c>
    </row>
    <row r="5288" spans="1:2" x14ac:dyDescent="0.25">
      <c r="A5288" t="s">
        <v>2381</v>
      </c>
      <c r="B5288" t="s">
        <v>2381</v>
      </c>
    </row>
    <row r="5289" spans="1:2" x14ac:dyDescent="0.25">
      <c r="A5289" t="s">
        <v>8190</v>
      </c>
      <c r="B5289" t="s">
        <v>2381</v>
      </c>
    </row>
    <row r="5290" spans="1:2" x14ac:dyDescent="0.25">
      <c r="A5290" t="s">
        <v>2904</v>
      </c>
      <c r="B5290" t="s">
        <v>2904</v>
      </c>
    </row>
    <row r="5291" spans="1:2" x14ac:dyDescent="0.25">
      <c r="A5291" t="s">
        <v>8191</v>
      </c>
      <c r="B5291" t="s">
        <v>2904</v>
      </c>
    </row>
    <row r="5292" spans="1:2" x14ac:dyDescent="0.25">
      <c r="A5292" t="s">
        <v>3307</v>
      </c>
      <c r="B5292" t="s">
        <v>3307</v>
      </c>
    </row>
    <row r="5293" spans="1:2" x14ac:dyDescent="0.25">
      <c r="A5293" t="s">
        <v>8192</v>
      </c>
      <c r="B5293" t="s">
        <v>3307</v>
      </c>
    </row>
    <row r="5294" spans="1:2" x14ac:dyDescent="0.25">
      <c r="A5294" t="s">
        <v>1802</v>
      </c>
      <c r="B5294" t="s">
        <v>1802</v>
      </c>
    </row>
    <row r="5295" spans="1:2" x14ac:dyDescent="0.25">
      <c r="A5295" t="s">
        <v>8193</v>
      </c>
      <c r="B5295" t="s">
        <v>1802</v>
      </c>
    </row>
    <row r="5296" spans="1:2" x14ac:dyDescent="0.25">
      <c r="A5296" t="s">
        <v>1798</v>
      </c>
      <c r="B5296" t="s">
        <v>1798</v>
      </c>
    </row>
    <row r="5297" spans="1:2" x14ac:dyDescent="0.25">
      <c r="A5297" t="s">
        <v>8194</v>
      </c>
      <c r="B5297" t="s">
        <v>1798</v>
      </c>
    </row>
    <row r="5298" spans="1:2" x14ac:dyDescent="0.25">
      <c r="A5298" t="s">
        <v>3308</v>
      </c>
      <c r="B5298" t="s">
        <v>3308</v>
      </c>
    </row>
    <row r="5299" spans="1:2" x14ac:dyDescent="0.25">
      <c r="A5299" t="s">
        <v>8195</v>
      </c>
      <c r="B5299" t="s">
        <v>3308</v>
      </c>
    </row>
    <row r="5300" spans="1:2" x14ac:dyDescent="0.25">
      <c r="A5300" t="s">
        <v>8196</v>
      </c>
      <c r="B5300" t="s">
        <v>3308</v>
      </c>
    </row>
    <row r="5301" spans="1:2" x14ac:dyDescent="0.25">
      <c r="A5301" t="s">
        <v>2380</v>
      </c>
      <c r="B5301" t="s">
        <v>2380</v>
      </c>
    </row>
    <row r="5302" spans="1:2" x14ac:dyDescent="0.25">
      <c r="A5302" t="s">
        <v>8197</v>
      </c>
      <c r="B5302" t="s">
        <v>2380</v>
      </c>
    </row>
    <row r="5303" spans="1:2" x14ac:dyDescent="0.25">
      <c r="A5303" t="s">
        <v>8198</v>
      </c>
      <c r="B5303" t="s">
        <v>2380</v>
      </c>
    </row>
    <row r="5304" spans="1:2" x14ac:dyDescent="0.25">
      <c r="A5304" t="s">
        <v>1824</v>
      </c>
      <c r="B5304" t="s">
        <v>1824</v>
      </c>
    </row>
    <row r="5305" spans="1:2" x14ac:dyDescent="0.25">
      <c r="A5305" t="s">
        <v>8199</v>
      </c>
      <c r="B5305" t="s">
        <v>3309</v>
      </c>
    </row>
    <row r="5306" spans="1:2" x14ac:dyDescent="0.25">
      <c r="A5306" t="s">
        <v>8200</v>
      </c>
      <c r="B5306" t="s">
        <v>3309</v>
      </c>
    </row>
    <row r="5307" spans="1:2" x14ac:dyDescent="0.25">
      <c r="A5307" t="s">
        <v>1800</v>
      </c>
      <c r="B5307" t="s">
        <v>1800</v>
      </c>
    </row>
    <row r="5308" spans="1:2" x14ac:dyDescent="0.25">
      <c r="A5308" t="s">
        <v>8201</v>
      </c>
      <c r="B5308" t="s">
        <v>1800</v>
      </c>
    </row>
    <row r="5309" spans="1:2" x14ac:dyDescent="0.25">
      <c r="A5309" t="s">
        <v>8202</v>
      </c>
      <c r="B5309" t="s">
        <v>1800</v>
      </c>
    </row>
    <row r="5310" spans="1:2" x14ac:dyDescent="0.25">
      <c r="A5310" t="s">
        <v>1795</v>
      </c>
      <c r="B5310" t="s">
        <v>1795</v>
      </c>
    </row>
    <row r="5311" spans="1:2" x14ac:dyDescent="0.25">
      <c r="A5311" t="s">
        <v>8203</v>
      </c>
      <c r="B5311" t="s">
        <v>1795</v>
      </c>
    </row>
    <row r="5312" spans="1:2" x14ac:dyDescent="0.25">
      <c r="A5312" t="s">
        <v>8204</v>
      </c>
      <c r="B5312" t="s">
        <v>3310</v>
      </c>
    </row>
    <row r="5313" spans="1:2" x14ac:dyDescent="0.25">
      <c r="A5313" t="s">
        <v>8205</v>
      </c>
      <c r="B5313" t="s">
        <v>8206</v>
      </c>
    </row>
    <row r="5314" spans="1:2" x14ac:dyDescent="0.25">
      <c r="A5314" t="s">
        <v>8207</v>
      </c>
      <c r="B5314" t="s">
        <v>5969</v>
      </c>
    </row>
    <row r="5315" spans="1:2" x14ac:dyDescent="0.25">
      <c r="A5315" t="s">
        <v>8208</v>
      </c>
      <c r="B5315" t="s">
        <v>5209</v>
      </c>
    </row>
    <row r="5316" spans="1:2" x14ac:dyDescent="0.25">
      <c r="A5316" t="s">
        <v>8209</v>
      </c>
      <c r="B5316" t="s">
        <v>8209</v>
      </c>
    </row>
    <row r="5317" spans="1:2" x14ac:dyDescent="0.25">
      <c r="A5317" t="s">
        <v>8210</v>
      </c>
      <c r="B5317" t="s">
        <v>8210</v>
      </c>
    </row>
    <row r="5318" spans="1:2" x14ac:dyDescent="0.25">
      <c r="A5318" t="s">
        <v>8211</v>
      </c>
      <c r="B5318" t="s">
        <v>8211</v>
      </c>
    </row>
    <row r="5319" spans="1:2" x14ac:dyDescent="0.25">
      <c r="A5319" t="s">
        <v>8212</v>
      </c>
      <c r="B5319" t="s">
        <v>1633</v>
      </c>
    </row>
    <row r="5320" spans="1:2" x14ac:dyDescent="0.25">
      <c r="A5320" t="s">
        <v>1633</v>
      </c>
      <c r="B5320" t="s">
        <v>1633</v>
      </c>
    </row>
    <row r="5321" spans="1:2" x14ac:dyDescent="0.25">
      <c r="A5321" t="s">
        <v>8213</v>
      </c>
      <c r="B5321" t="s">
        <v>2792</v>
      </c>
    </row>
    <row r="5322" spans="1:2" x14ac:dyDescent="0.25">
      <c r="A5322" t="s">
        <v>2792</v>
      </c>
      <c r="B5322" t="s">
        <v>2792</v>
      </c>
    </row>
    <row r="5323" spans="1:2" x14ac:dyDescent="0.25">
      <c r="A5323" t="s">
        <v>8214</v>
      </c>
      <c r="B5323" t="s">
        <v>8215</v>
      </c>
    </row>
    <row r="5324" spans="1:2" x14ac:dyDescent="0.25">
      <c r="A5324" t="s">
        <v>8215</v>
      </c>
      <c r="B5324" t="s">
        <v>8215</v>
      </c>
    </row>
    <row r="5325" spans="1:2" x14ac:dyDescent="0.25">
      <c r="A5325" t="s">
        <v>8216</v>
      </c>
      <c r="B5325" t="s">
        <v>3311</v>
      </c>
    </row>
    <row r="5326" spans="1:2" x14ac:dyDescent="0.25">
      <c r="A5326" t="s">
        <v>3311</v>
      </c>
      <c r="B5326" t="s">
        <v>3311</v>
      </c>
    </row>
    <row r="5327" spans="1:2" x14ac:dyDescent="0.25">
      <c r="A5327" t="s">
        <v>8217</v>
      </c>
      <c r="B5327" t="s">
        <v>8218</v>
      </c>
    </row>
    <row r="5328" spans="1:2" x14ac:dyDescent="0.25">
      <c r="A5328" t="s">
        <v>8219</v>
      </c>
      <c r="B5328" t="s">
        <v>3311</v>
      </c>
    </row>
    <row r="5329" spans="1:2" x14ac:dyDescent="0.25">
      <c r="A5329" t="s">
        <v>8220</v>
      </c>
      <c r="B5329" t="s">
        <v>3313</v>
      </c>
    </row>
    <row r="5330" spans="1:2" x14ac:dyDescent="0.25">
      <c r="A5330" t="s">
        <v>3313</v>
      </c>
      <c r="B5330" t="s">
        <v>3313</v>
      </c>
    </row>
    <row r="5331" spans="1:2" x14ac:dyDescent="0.25">
      <c r="A5331" t="s">
        <v>8221</v>
      </c>
      <c r="B5331" t="s">
        <v>3313</v>
      </c>
    </row>
    <row r="5332" spans="1:2" x14ac:dyDescent="0.25">
      <c r="A5332" t="s">
        <v>8222</v>
      </c>
      <c r="B5332" t="s">
        <v>8223</v>
      </c>
    </row>
    <row r="5333" spans="1:2" x14ac:dyDescent="0.25">
      <c r="A5333" t="s">
        <v>8224</v>
      </c>
      <c r="B5333" t="s">
        <v>8225</v>
      </c>
    </row>
    <row r="5334" spans="1:2" x14ac:dyDescent="0.25">
      <c r="A5334" t="s">
        <v>8226</v>
      </c>
      <c r="B5334" t="s">
        <v>8227</v>
      </c>
    </row>
    <row r="5335" spans="1:2" x14ac:dyDescent="0.25">
      <c r="A5335" t="s">
        <v>8228</v>
      </c>
      <c r="B5335" t="s">
        <v>8229</v>
      </c>
    </row>
    <row r="5336" spans="1:2" x14ac:dyDescent="0.25">
      <c r="A5336" t="s">
        <v>8229</v>
      </c>
      <c r="B5336" t="s">
        <v>8229</v>
      </c>
    </row>
    <row r="5337" spans="1:2" x14ac:dyDescent="0.25">
      <c r="A5337" t="s">
        <v>8230</v>
      </c>
      <c r="B5337" t="s">
        <v>8231</v>
      </c>
    </row>
    <row r="5338" spans="1:2" x14ac:dyDescent="0.25">
      <c r="A5338" t="s">
        <v>8232</v>
      </c>
      <c r="B5338" t="s">
        <v>8233</v>
      </c>
    </row>
    <row r="5339" spans="1:2" x14ac:dyDescent="0.25">
      <c r="A5339" t="s">
        <v>8234</v>
      </c>
      <c r="B5339" t="s">
        <v>8235</v>
      </c>
    </row>
    <row r="5340" spans="1:2" x14ac:dyDescent="0.25">
      <c r="A5340" t="s">
        <v>8236</v>
      </c>
      <c r="B5340" t="s">
        <v>8237</v>
      </c>
    </row>
    <row r="5341" spans="1:2" x14ac:dyDescent="0.25">
      <c r="A5341" t="s">
        <v>8238</v>
      </c>
      <c r="B5341" t="s">
        <v>8239</v>
      </c>
    </row>
    <row r="5342" spans="1:2" x14ac:dyDescent="0.25">
      <c r="A5342" t="s">
        <v>8240</v>
      </c>
      <c r="B5342" t="s">
        <v>8241</v>
      </c>
    </row>
    <row r="5343" spans="1:2" x14ac:dyDescent="0.25">
      <c r="A5343" t="s">
        <v>8242</v>
      </c>
      <c r="B5343" t="s">
        <v>8243</v>
      </c>
    </row>
    <row r="5344" spans="1:2" x14ac:dyDescent="0.25">
      <c r="A5344" t="s">
        <v>8244</v>
      </c>
      <c r="B5344" t="s">
        <v>8245</v>
      </c>
    </row>
    <row r="5345" spans="1:2" x14ac:dyDescent="0.25">
      <c r="A5345" t="s">
        <v>8246</v>
      </c>
      <c r="B5345" t="s">
        <v>8246</v>
      </c>
    </row>
    <row r="5346" spans="1:2" x14ac:dyDescent="0.25">
      <c r="A5346" t="s">
        <v>8247</v>
      </c>
      <c r="B5346" t="s">
        <v>8248</v>
      </c>
    </row>
    <row r="5347" spans="1:2" x14ac:dyDescent="0.25">
      <c r="A5347" t="s">
        <v>8249</v>
      </c>
      <c r="B5347" t="s">
        <v>8250</v>
      </c>
    </row>
    <row r="5348" spans="1:2" x14ac:dyDescent="0.25">
      <c r="A5348" t="s">
        <v>8251</v>
      </c>
      <c r="B5348" t="s">
        <v>8252</v>
      </c>
    </row>
    <row r="5349" spans="1:2" x14ac:dyDescent="0.25">
      <c r="A5349" t="s">
        <v>8253</v>
      </c>
      <c r="B5349" t="s">
        <v>8254</v>
      </c>
    </row>
    <row r="5350" spans="1:2" x14ac:dyDescent="0.25">
      <c r="A5350" t="s">
        <v>2309</v>
      </c>
      <c r="B5350" t="s">
        <v>2309</v>
      </c>
    </row>
    <row r="5351" spans="1:2" x14ac:dyDescent="0.25">
      <c r="A5351" t="s">
        <v>8255</v>
      </c>
      <c r="B5351" t="s">
        <v>2309</v>
      </c>
    </row>
    <row r="5352" spans="1:2" x14ac:dyDescent="0.25">
      <c r="A5352" t="s">
        <v>8256</v>
      </c>
      <c r="B5352" t="s">
        <v>2546</v>
      </c>
    </row>
    <row r="5353" spans="1:2" x14ac:dyDescent="0.25">
      <c r="A5353" t="s">
        <v>3314</v>
      </c>
      <c r="B5353" t="s">
        <v>3314</v>
      </c>
    </row>
    <row r="5354" spans="1:2" x14ac:dyDescent="0.25">
      <c r="A5354" t="s">
        <v>8257</v>
      </c>
      <c r="B5354" t="s">
        <v>3314</v>
      </c>
    </row>
    <row r="5355" spans="1:2" x14ac:dyDescent="0.25">
      <c r="A5355" t="s">
        <v>8258</v>
      </c>
      <c r="B5355" t="s">
        <v>2547</v>
      </c>
    </row>
    <row r="5356" spans="1:2" x14ac:dyDescent="0.25">
      <c r="A5356" t="s">
        <v>8259</v>
      </c>
      <c r="B5356" t="s">
        <v>3967</v>
      </c>
    </row>
    <row r="5357" spans="1:2" x14ac:dyDescent="0.25">
      <c r="A5357" t="s">
        <v>8260</v>
      </c>
      <c r="B5357" t="s">
        <v>3315</v>
      </c>
    </row>
    <row r="5358" spans="1:2" x14ac:dyDescent="0.25">
      <c r="A5358" t="s">
        <v>2794</v>
      </c>
      <c r="B5358" t="s">
        <v>2794</v>
      </c>
    </row>
    <row r="5359" spans="1:2" x14ac:dyDescent="0.25">
      <c r="A5359" t="s">
        <v>8261</v>
      </c>
      <c r="B5359" t="s">
        <v>2794</v>
      </c>
    </row>
    <row r="5360" spans="1:2" x14ac:dyDescent="0.25">
      <c r="A5360" t="s">
        <v>1636</v>
      </c>
      <c r="B5360" t="s">
        <v>1636</v>
      </c>
    </row>
    <row r="5361" spans="1:2" x14ac:dyDescent="0.25">
      <c r="A5361" t="s">
        <v>8262</v>
      </c>
      <c r="B5361" t="s">
        <v>1636</v>
      </c>
    </row>
    <row r="5362" spans="1:2" x14ac:dyDescent="0.25">
      <c r="A5362" t="s">
        <v>8263</v>
      </c>
      <c r="B5362" t="s">
        <v>2548</v>
      </c>
    </row>
    <row r="5363" spans="1:2" x14ac:dyDescent="0.25">
      <c r="A5363" t="s">
        <v>8264</v>
      </c>
      <c r="B5363" t="s">
        <v>3316</v>
      </c>
    </row>
    <row r="5364" spans="1:2" x14ac:dyDescent="0.25">
      <c r="A5364" t="s">
        <v>8265</v>
      </c>
      <c r="B5364" t="s">
        <v>2549</v>
      </c>
    </row>
    <row r="5365" spans="1:2" x14ac:dyDescent="0.25">
      <c r="A5365" t="s">
        <v>8266</v>
      </c>
      <c r="B5365" t="s">
        <v>3975</v>
      </c>
    </row>
    <row r="5366" spans="1:2" x14ac:dyDescent="0.25">
      <c r="A5366" t="s">
        <v>8267</v>
      </c>
      <c r="B5366" t="s">
        <v>5209</v>
      </c>
    </row>
    <row r="5367" spans="1:2" x14ac:dyDescent="0.25">
      <c r="A5367" t="s">
        <v>8268</v>
      </c>
      <c r="B5367" t="s">
        <v>3317</v>
      </c>
    </row>
    <row r="5368" spans="1:2" x14ac:dyDescent="0.25">
      <c r="A5368" t="s">
        <v>3317</v>
      </c>
      <c r="B5368" t="s">
        <v>3317</v>
      </c>
    </row>
    <row r="5369" spans="1:2" x14ac:dyDescent="0.25">
      <c r="A5369" t="s">
        <v>8269</v>
      </c>
      <c r="B5369" t="s">
        <v>8270</v>
      </c>
    </row>
    <row r="5370" spans="1:2" x14ac:dyDescent="0.25">
      <c r="A5370" t="s">
        <v>8270</v>
      </c>
      <c r="B5370" t="s">
        <v>8270</v>
      </c>
    </row>
    <row r="5371" spans="1:2" x14ac:dyDescent="0.25">
      <c r="A5371" t="s">
        <v>8271</v>
      </c>
      <c r="B5371" t="s">
        <v>2551</v>
      </c>
    </row>
    <row r="5372" spans="1:2" x14ac:dyDescent="0.25">
      <c r="A5372" t="s">
        <v>8272</v>
      </c>
      <c r="B5372" t="s">
        <v>2796</v>
      </c>
    </row>
    <row r="5373" spans="1:2" x14ac:dyDescent="0.25">
      <c r="A5373" t="s">
        <v>2796</v>
      </c>
      <c r="B5373" t="s">
        <v>2796</v>
      </c>
    </row>
    <row r="5374" spans="1:2" x14ac:dyDescent="0.25">
      <c r="A5374" t="s">
        <v>8273</v>
      </c>
      <c r="B5374" t="s">
        <v>3318</v>
      </c>
    </row>
    <row r="5375" spans="1:2" x14ac:dyDescent="0.25">
      <c r="A5375" t="s">
        <v>3318</v>
      </c>
      <c r="B5375" t="s">
        <v>3318</v>
      </c>
    </row>
    <row r="5376" spans="1:2" x14ac:dyDescent="0.25">
      <c r="A5376" t="s">
        <v>8274</v>
      </c>
      <c r="B5376" t="s">
        <v>8275</v>
      </c>
    </row>
    <row r="5377" spans="1:2" x14ac:dyDescent="0.25">
      <c r="A5377" t="s">
        <v>8275</v>
      </c>
      <c r="B5377" t="s">
        <v>8275</v>
      </c>
    </row>
    <row r="5378" spans="1:2" x14ac:dyDescent="0.25">
      <c r="A5378" t="s">
        <v>8276</v>
      </c>
      <c r="B5378" t="s">
        <v>2553</v>
      </c>
    </row>
    <row r="5379" spans="1:2" x14ac:dyDescent="0.25">
      <c r="A5379" t="s">
        <v>2553</v>
      </c>
      <c r="B5379" t="s">
        <v>2553</v>
      </c>
    </row>
    <row r="5380" spans="1:2" x14ac:dyDescent="0.25">
      <c r="A5380" t="s">
        <v>8277</v>
      </c>
      <c r="B5380" t="s">
        <v>2555</v>
      </c>
    </row>
    <row r="5381" spans="1:2" x14ac:dyDescent="0.25">
      <c r="A5381" t="s">
        <v>2555</v>
      </c>
      <c r="B5381" t="s">
        <v>2555</v>
      </c>
    </row>
    <row r="5382" spans="1:2" x14ac:dyDescent="0.25">
      <c r="A5382" t="s">
        <v>8278</v>
      </c>
      <c r="B5382" t="s">
        <v>8279</v>
      </c>
    </row>
    <row r="5383" spans="1:2" x14ac:dyDescent="0.25">
      <c r="A5383" t="s">
        <v>8280</v>
      </c>
      <c r="B5383" t="s">
        <v>1639</v>
      </c>
    </row>
    <row r="5384" spans="1:2" x14ac:dyDescent="0.25">
      <c r="A5384" t="s">
        <v>1639</v>
      </c>
      <c r="B5384" t="s">
        <v>1639</v>
      </c>
    </row>
    <row r="5385" spans="1:2" x14ac:dyDescent="0.25">
      <c r="A5385" t="s">
        <v>8281</v>
      </c>
      <c r="B5385" t="s">
        <v>3319</v>
      </c>
    </row>
    <row r="5386" spans="1:2" x14ac:dyDescent="0.25">
      <c r="A5386" t="s">
        <v>3319</v>
      </c>
      <c r="B5386" t="s">
        <v>3319</v>
      </c>
    </row>
    <row r="5387" spans="1:2" x14ac:dyDescent="0.25">
      <c r="A5387" t="s">
        <v>8282</v>
      </c>
      <c r="B5387" t="s">
        <v>8283</v>
      </c>
    </row>
    <row r="5388" spans="1:2" x14ac:dyDescent="0.25">
      <c r="A5388" t="s">
        <v>8283</v>
      </c>
      <c r="B5388" t="s">
        <v>8283</v>
      </c>
    </row>
    <row r="5389" spans="1:2" x14ac:dyDescent="0.25">
      <c r="A5389" t="s">
        <v>8284</v>
      </c>
      <c r="B5389" t="s">
        <v>8285</v>
      </c>
    </row>
    <row r="5390" spans="1:2" x14ac:dyDescent="0.25">
      <c r="A5390" t="s">
        <v>8285</v>
      </c>
      <c r="B5390" t="s">
        <v>8285</v>
      </c>
    </row>
    <row r="5391" spans="1:2" x14ac:dyDescent="0.25">
      <c r="A5391" t="s">
        <v>8286</v>
      </c>
      <c r="B5391" t="s">
        <v>1641</v>
      </c>
    </row>
    <row r="5392" spans="1:2" x14ac:dyDescent="0.25">
      <c r="A5392" t="s">
        <v>1641</v>
      </c>
      <c r="B5392" t="s">
        <v>1641</v>
      </c>
    </row>
    <row r="5393" spans="1:2" x14ac:dyDescent="0.25">
      <c r="A5393" t="s">
        <v>8287</v>
      </c>
      <c r="B5393" t="s">
        <v>2557</v>
      </c>
    </row>
    <row r="5394" spans="1:2" x14ac:dyDescent="0.25">
      <c r="A5394" t="s">
        <v>8288</v>
      </c>
      <c r="B5394" t="s">
        <v>3320</v>
      </c>
    </row>
    <row r="5395" spans="1:2" x14ac:dyDescent="0.25">
      <c r="A5395" t="s">
        <v>8289</v>
      </c>
      <c r="B5395" t="s">
        <v>3321</v>
      </c>
    </row>
    <row r="5396" spans="1:2" x14ac:dyDescent="0.25">
      <c r="A5396" t="s">
        <v>8290</v>
      </c>
      <c r="B5396" t="s">
        <v>2559</v>
      </c>
    </row>
    <row r="5397" spans="1:2" x14ac:dyDescent="0.25">
      <c r="A5397" t="s">
        <v>8291</v>
      </c>
      <c r="B5397" t="s">
        <v>4753</v>
      </c>
    </row>
    <row r="5398" spans="1:2" x14ac:dyDescent="0.25">
      <c r="A5398" t="s">
        <v>8292</v>
      </c>
      <c r="B5398" t="s">
        <v>3322</v>
      </c>
    </row>
    <row r="5399" spans="1:2" x14ac:dyDescent="0.25">
      <c r="A5399" t="s">
        <v>8293</v>
      </c>
      <c r="B5399" t="s">
        <v>3323</v>
      </c>
    </row>
    <row r="5400" spans="1:2" x14ac:dyDescent="0.25">
      <c r="A5400" t="s">
        <v>8294</v>
      </c>
      <c r="B5400" t="s">
        <v>3324</v>
      </c>
    </row>
    <row r="5401" spans="1:2" x14ac:dyDescent="0.25">
      <c r="A5401" t="s">
        <v>8295</v>
      </c>
      <c r="B5401" t="s">
        <v>3325</v>
      </c>
    </row>
    <row r="5402" spans="1:2" x14ac:dyDescent="0.25">
      <c r="A5402" t="s">
        <v>8296</v>
      </c>
      <c r="B5402" t="s">
        <v>3327</v>
      </c>
    </row>
    <row r="5403" spans="1:2" x14ac:dyDescent="0.25">
      <c r="A5403" t="s">
        <v>2358</v>
      </c>
      <c r="B5403" t="s">
        <v>2358</v>
      </c>
    </row>
    <row r="5404" spans="1:2" x14ac:dyDescent="0.25">
      <c r="A5404" t="s">
        <v>8297</v>
      </c>
      <c r="B5404" t="s">
        <v>2358</v>
      </c>
    </row>
    <row r="5405" spans="1:2" x14ac:dyDescent="0.25">
      <c r="A5405" t="s">
        <v>3329</v>
      </c>
      <c r="B5405" t="s">
        <v>3329</v>
      </c>
    </row>
    <row r="5406" spans="1:2" x14ac:dyDescent="0.25">
      <c r="A5406" t="s">
        <v>8298</v>
      </c>
      <c r="B5406" t="s">
        <v>3329</v>
      </c>
    </row>
    <row r="5407" spans="1:2" x14ac:dyDescent="0.25">
      <c r="A5407" t="s">
        <v>8299</v>
      </c>
      <c r="B5407" t="s">
        <v>5026</v>
      </c>
    </row>
    <row r="5408" spans="1:2" x14ac:dyDescent="0.25">
      <c r="A5408" t="s">
        <v>8300</v>
      </c>
      <c r="B5408" t="s">
        <v>3330</v>
      </c>
    </row>
    <row r="5409" spans="1:2" x14ac:dyDescent="0.25">
      <c r="A5409" t="s">
        <v>8301</v>
      </c>
      <c r="B5409" t="s">
        <v>3331</v>
      </c>
    </row>
    <row r="5410" spans="1:2" x14ac:dyDescent="0.25">
      <c r="A5410" t="s">
        <v>1722</v>
      </c>
      <c r="B5410" t="s">
        <v>1722</v>
      </c>
    </row>
    <row r="5411" spans="1:2" x14ac:dyDescent="0.25">
      <c r="A5411" t="s">
        <v>8302</v>
      </c>
      <c r="B5411" t="s">
        <v>1722</v>
      </c>
    </row>
    <row r="5412" spans="1:2" x14ac:dyDescent="0.25">
      <c r="A5412" t="s">
        <v>2359</v>
      </c>
      <c r="B5412" t="s">
        <v>2359</v>
      </c>
    </row>
    <row r="5413" spans="1:2" x14ac:dyDescent="0.25">
      <c r="A5413" t="s">
        <v>8303</v>
      </c>
      <c r="B5413" t="s">
        <v>2359</v>
      </c>
    </row>
    <row r="5414" spans="1:2" x14ac:dyDescent="0.25">
      <c r="A5414" t="s">
        <v>3332</v>
      </c>
      <c r="B5414" t="s">
        <v>3332</v>
      </c>
    </row>
    <row r="5415" spans="1:2" x14ac:dyDescent="0.25">
      <c r="A5415" t="s">
        <v>8304</v>
      </c>
      <c r="B5415" t="s">
        <v>3332</v>
      </c>
    </row>
    <row r="5416" spans="1:2" x14ac:dyDescent="0.25">
      <c r="A5416" t="s">
        <v>8305</v>
      </c>
      <c r="B5416" t="s">
        <v>3333</v>
      </c>
    </row>
    <row r="5417" spans="1:2" x14ac:dyDescent="0.25">
      <c r="A5417" t="s">
        <v>3334</v>
      </c>
      <c r="B5417" t="s">
        <v>3334</v>
      </c>
    </row>
    <row r="5418" spans="1:2" x14ac:dyDescent="0.25">
      <c r="A5418" t="s">
        <v>8306</v>
      </c>
      <c r="B5418" t="s">
        <v>3334</v>
      </c>
    </row>
    <row r="5419" spans="1:2" x14ac:dyDescent="0.25">
      <c r="A5419" t="s">
        <v>1725</v>
      </c>
      <c r="B5419" t="s">
        <v>1725</v>
      </c>
    </row>
    <row r="5420" spans="1:2" x14ac:dyDescent="0.25">
      <c r="A5420" t="s">
        <v>8307</v>
      </c>
      <c r="B5420" t="s">
        <v>1725</v>
      </c>
    </row>
    <row r="5421" spans="1:2" x14ac:dyDescent="0.25">
      <c r="A5421" t="s">
        <v>1727</v>
      </c>
      <c r="B5421" t="s">
        <v>1727</v>
      </c>
    </row>
    <row r="5422" spans="1:2" x14ac:dyDescent="0.25">
      <c r="A5422" t="s">
        <v>8308</v>
      </c>
      <c r="B5422" t="s">
        <v>1727</v>
      </c>
    </row>
    <row r="5423" spans="1:2" x14ac:dyDescent="0.25">
      <c r="A5423" t="s">
        <v>1729</v>
      </c>
      <c r="B5423" t="s">
        <v>1729</v>
      </c>
    </row>
    <row r="5424" spans="1:2" x14ac:dyDescent="0.25">
      <c r="A5424" t="s">
        <v>8309</v>
      </c>
      <c r="B5424" t="s">
        <v>1729</v>
      </c>
    </row>
    <row r="5425" spans="1:2" x14ac:dyDescent="0.25">
      <c r="A5425" t="s">
        <v>8310</v>
      </c>
      <c r="B5425" t="s">
        <v>3335</v>
      </c>
    </row>
    <row r="5426" spans="1:2" x14ac:dyDescent="0.25">
      <c r="A5426" t="s">
        <v>8311</v>
      </c>
      <c r="B5426" t="s">
        <v>3336</v>
      </c>
    </row>
    <row r="5427" spans="1:2" x14ac:dyDescent="0.25">
      <c r="A5427" t="s">
        <v>3337</v>
      </c>
      <c r="B5427" t="s">
        <v>3337</v>
      </c>
    </row>
    <row r="5428" spans="1:2" x14ac:dyDescent="0.25">
      <c r="A5428" t="s">
        <v>8312</v>
      </c>
      <c r="B5428" t="s">
        <v>3337</v>
      </c>
    </row>
    <row r="5429" spans="1:2" x14ac:dyDescent="0.25">
      <c r="A5429" t="s">
        <v>3338</v>
      </c>
      <c r="B5429" t="s">
        <v>3338</v>
      </c>
    </row>
    <row r="5430" spans="1:2" x14ac:dyDescent="0.25">
      <c r="A5430" t="s">
        <v>8313</v>
      </c>
      <c r="B5430" t="s">
        <v>3338</v>
      </c>
    </row>
    <row r="5431" spans="1:2" x14ac:dyDescent="0.25">
      <c r="A5431" t="s">
        <v>1731</v>
      </c>
      <c r="B5431" t="s">
        <v>1731</v>
      </c>
    </row>
    <row r="5432" spans="1:2" x14ac:dyDescent="0.25">
      <c r="A5432" t="s">
        <v>8314</v>
      </c>
      <c r="B5432" t="s">
        <v>1731</v>
      </c>
    </row>
    <row r="5433" spans="1:2" x14ac:dyDescent="0.25">
      <c r="A5433" t="s">
        <v>1733</v>
      </c>
      <c r="B5433" t="s">
        <v>1733</v>
      </c>
    </row>
    <row r="5434" spans="1:2" x14ac:dyDescent="0.25">
      <c r="A5434" t="s">
        <v>8315</v>
      </c>
      <c r="B5434" t="s">
        <v>1733</v>
      </c>
    </row>
    <row r="5435" spans="1:2" x14ac:dyDescent="0.25">
      <c r="A5435" t="s">
        <v>8316</v>
      </c>
      <c r="B5435" t="s">
        <v>3339</v>
      </c>
    </row>
    <row r="5436" spans="1:2" x14ac:dyDescent="0.25">
      <c r="A5436" t="s">
        <v>3340</v>
      </c>
      <c r="B5436" t="s">
        <v>3340</v>
      </c>
    </row>
    <row r="5437" spans="1:2" x14ac:dyDescent="0.25">
      <c r="A5437" t="s">
        <v>8317</v>
      </c>
      <c r="B5437" t="s">
        <v>3340</v>
      </c>
    </row>
    <row r="5438" spans="1:2" x14ac:dyDescent="0.25">
      <c r="A5438" t="s">
        <v>3341</v>
      </c>
      <c r="B5438" t="s">
        <v>3341</v>
      </c>
    </row>
    <row r="5439" spans="1:2" x14ac:dyDescent="0.25">
      <c r="A5439" t="s">
        <v>2385</v>
      </c>
      <c r="B5439" t="s">
        <v>2385</v>
      </c>
    </row>
    <row r="5440" spans="1:2" x14ac:dyDescent="0.25">
      <c r="A5440" t="s">
        <v>2386</v>
      </c>
      <c r="B5440" t="s">
        <v>2386</v>
      </c>
    </row>
    <row r="5441" spans="1:2" x14ac:dyDescent="0.25">
      <c r="A5441" t="s">
        <v>3342</v>
      </c>
      <c r="B5441" t="s">
        <v>3342</v>
      </c>
    </row>
    <row r="5442" spans="1:2" x14ac:dyDescent="0.25">
      <c r="A5442" t="s">
        <v>3343</v>
      </c>
      <c r="B5442" t="s">
        <v>3343</v>
      </c>
    </row>
    <row r="5443" spans="1:2" x14ac:dyDescent="0.25">
      <c r="A5443" t="s">
        <v>2387</v>
      </c>
      <c r="B5443" t="s">
        <v>2387</v>
      </c>
    </row>
    <row r="5444" spans="1:2" x14ac:dyDescent="0.25">
      <c r="A5444" t="s">
        <v>2388</v>
      </c>
      <c r="B5444" t="s">
        <v>2388</v>
      </c>
    </row>
    <row r="5445" spans="1:2" x14ac:dyDescent="0.25">
      <c r="A5445" t="s">
        <v>3344</v>
      </c>
      <c r="B5445" t="s">
        <v>3344</v>
      </c>
    </row>
    <row r="5446" spans="1:2" x14ac:dyDescent="0.25">
      <c r="A5446" t="s">
        <v>2389</v>
      </c>
      <c r="B5446" t="s">
        <v>2389</v>
      </c>
    </row>
    <row r="5447" spans="1:2" x14ac:dyDescent="0.25">
      <c r="A5447" t="s">
        <v>2390</v>
      </c>
      <c r="B5447" t="s">
        <v>2390</v>
      </c>
    </row>
    <row r="5448" spans="1:2" x14ac:dyDescent="0.25">
      <c r="A5448" t="s">
        <v>2910</v>
      </c>
      <c r="B5448" t="s">
        <v>2910</v>
      </c>
    </row>
    <row r="5449" spans="1:2" x14ac:dyDescent="0.25">
      <c r="A5449" t="s">
        <v>2912</v>
      </c>
      <c r="B5449" t="s">
        <v>2912</v>
      </c>
    </row>
    <row r="5450" spans="1:2" x14ac:dyDescent="0.25">
      <c r="A5450" t="s">
        <v>948</v>
      </c>
      <c r="B5450" t="s">
        <v>948</v>
      </c>
    </row>
    <row r="5451" spans="1:2" x14ac:dyDescent="0.25">
      <c r="A5451" t="s">
        <v>952</v>
      </c>
      <c r="B5451" t="s">
        <v>952</v>
      </c>
    </row>
    <row r="5452" spans="1:2" x14ac:dyDescent="0.25">
      <c r="A5452" t="s">
        <v>3345</v>
      </c>
      <c r="B5452" t="s">
        <v>3345</v>
      </c>
    </row>
    <row r="5453" spans="1:2" x14ac:dyDescent="0.25">
      <c r="A5453" t="s">
        <v>2914</v>
      </c>
      <c r="B5453" t="s">
        <v>2914</v>
      </c>
    </row>
    <row r="5454" spans="1:2" x14ac:dyDescent="0.25">
      <c r="A5454" t="s">
        <v>2916</v>
      </c>
      <c r="B5454" t="s">
        <v>2916</v>
      </c>
    </row>
    <row r="5455" spans="1:2" x14ac:dyDescent="0.25">
      <c r="A5455" t="s">
        <v>2918</v>
      </c>
      <c r="B5455" t="s">
        <v>2918</v>
      </c>
    </row>
    <row r="5456" spans="1:2" x14ac:dyDescent="0.25">
      <c r="A5456" t="s">
        <v>2920</v>
      </c>
      <c r="B5456" t="s">
        <v>2920</v>
      </c>
    </row>
    <row r="5457" spans="1:2" x14ac:dyDescent="0.25">
      <c r="A5457" t="s">
        <v>1822</v>
      </c>
      <c r="B5457" t="s">
        <v>1822</v>
      </c>
    </row>
    <row r="5458" spans="1:2" x14ac:dyDescent="0.25">
      <c r="A5458" t="s">
        <v>955</v>
      </c>
      <c r="B5458" t="s">
        <v>955</v>
      </c>
    </row>
    <row r="5459" spans="1:2" x14ac:dyDescent="0.25">
      <c r="A5459" t="s">
        <v>958</v>
      </c>
      <c r="B5459" t="s">
        <v>958</v>
      </c>
    </row>
    <row r="5460" spans="1:2" x14ac:dyDescent="0.25">
      <c r="A5460" t="s">
        <v>1952</v>
      </c>
      <c r="B5460" t="s">
        <v>1952</v>
      </c>
    </row>
    <row r="5461" spans="1:2" x14ac:dyDescent="0.25">
      <c r="A5461" t="s">
        <v>8318</v>
      </c>
      <c r="B5461" t="s">
        <v>1952</v>
      </c>
    </row>
    <row r="5462" spans="1:2" x14ac:dyDescent="0.25">
      <c r="A5462" t="s">
        <v>356</v>
      </c>
      <c r="B5462" t="s">
        <v>356</v>
      </c>
    </row>
    <row r="5463" spans="1:2" x14ac:dyDescent="0.25">
      <c r="A5463" t="s">
        <v>360</v>
      </c>
      <c r="B5463" t="s">
        <v>360</v>
      </c>
    </row>
    <row r="5464" spans="1:2" x14ac:dyDescent="0.25">
      <c r="A5464" t="s">
        <v>8319</v>
      </c>
      <c r="B5464" t="s">
        <v>360</v>
      </c>
    </row>
    <row r="5465" spans="1:2" x14ac:dyDescent="0.25">
      <c r="A5465" t="s">
        <v>362</v>
      </c>
      <c r="B5465" t="s">
        <v>362</v>
      </c>
    </row>
    <row r="5466" spans="1:2" x14ac:dyDescent="0.25">
      <c r="A5466" t="s">
        <v>1955</v>
      </c>
      <c r="B5466" t="s">
        <v>1955</v>
      </c>
    </row>
    <row r="5467" spans="1:2" x14ac:dyDescent="0.25">
      <c r="A5467" t="s">
        <v>8320</v>
      </c>
      <c r="B5467" t="s">
        <v>1955</v>
      </c>
    </row>
    <row r="5468" spans="1:2" x14ac:dyDescent="0.25">
      <c r="A5468" t="s">
        <v>2969</v>
      </c>
      <c r="B5468" t="s">
        <v>2969</v>
      </c>
    </row>
    <row r="5469" spans="1:2" x14ac:dyDescent="0.25">
      <c r="A5469" t="s">
        <v>8321</v>
      </c>
      <c r="B5469" t="s">
        <v>2969</v>
      </c>
    </row>
    <row r="5470" spans="1:2" x14ac:dyDescent="0.25">
      <c r="A5470" t="s">
        <v>1123</v>
      </c>
      <c r="B5470" t="s">
        <v>1123</v>
      </c>
    </row>
    <row r="5471" spans="1:2" x14ac:dyDescent="0.25">
      <c r="A5471" t="s">
        <v>8322</v>
      </c>
      <c r="B5471" t="s">
        <v>8323</v>
      </c>
    </row>
    <row r="5472" spans="1:2" x14ac:dyDescent="0.25">
      <c r="A5472" t="s">
        <v>8324</v>
      </c>
      <c r="B5472" t="s">
        <v>8325</v>
      </c>
    </row>
    <row r="5473" spans="1:2" x14ac:dyDescent="0.25">
      <c r="A5473" t="s">
        <v>8326</v>
      </c>
      <c r="B5473" t="s">
        <v>8327</v>
      </c>
    </row>
    <row r="5474" spans="1:2" x14ac:dyDescent="0.25">
      <c r="A5474" t="s">
        <v>8328</v>
      </c>
      <c r="B5474" t="s">
        <v>8329</v>
      </c>
    </row>
    <row r="5475" spans="1:2" x14ac:dyDescent="0.25">
      <c r="A5475" t="s">
        <v>8330</v>
      </c>
      <c r="B5475" t="s">
        <v>5209</v>
      </c>
    </row>
    <row r="5476" spans="1:2" x14ac:dyDescent="0.25">
      <c r="A5476" t="s">
        <v>8331</v>
      </c>
      <c r="B5476" t="s">
        <v>5209</v>
      </c>
    </row>
    <row r="5477" spans="1:2" x14ac:dyDescent="0.25">
      <c r="A5477" t="s">
        <v>8332</v>
      </c>
      <c r="B5477" t="s">
        <v>5209</v>
      </c>
    </row>
    <row r="5478" spans="1:2" x14ac:dyDescent="0.25">
      <c r="A5478" t="s">
        <v>780</v>
      </c>
      <c r="B5478" t="s">
        <v>780</v>
      </c>
    </row>
    <row r="5479" spans="1:2" x14ac:dyDescent="0.25">
      <c r="A5479" t="s">
        <v>8333</v>
      </c>
      <c r="B5479" t="s">
        <v>780</v>
      </c>
    </row>
    <row r="5480" spans="1:2" x14ac:dyDescent="0.25">
      <c r="A5480" t="s">
        <v>8334</v>
      </c>
      <c r="B5480" t="s">
        <v>780</v>
      </c>
    </row>
    <row r="5481" spans="1:2" x14ac:dyDescent="0.25">
      <c r="A5481" t="s">
        <v>8335</v>
      </c>
      <c r="B5481" t="s">
        <v>780</v>
      </c>
    </row>
    <row r="5482" spans="1:2" x14ac:dyDescent="0.25">
      <c r="A5482" t="s">
        <v>785</v>
      </c>
      <c r="B5482" t="s">
        <v>785</v>
      </c>
    </row>
    <row r="5483" spans="1:2" x14ac:dyDescent="0.25">
      <c r="A5483" t="s">
        <v>8336</v>
      </c>
      <c r="B5483" t="s">
        <v>785</v>
      </c>
    </row>
    <row r="5484" spans="1:2" x14ac:dyDescent="0.25">
      <c r="A5484" t="s">
        <v>8337</v>
      </c>
      <c r="B5484" t="s">
        <v>785</v>
      </c>
    </row>
    <row r="5485" spans="1:2" x14ac:dyDescent="0.25">
      <c r="A5485" t="s">
        <v>8338</v>
      </c>
      <c r="B5485" t="s">
        <v>785</v>
      </c>
    </row>
    <row r="5486" spans="1:2" x14ac:dyDescent="0.25">
      <c r="A5486" t="s">
        <v>8339</v>
      </c>
      <c r="B5486" t="s">
        <v>785</v>
      </c>
    </row>
    <row r="5487" spans="1:2" x14ac:dyDescent="0.25">
      <c r="A5487" t="s">
        <v>787</v>
      </c>
      <c r="B5487" t="s">
        <v>787</v>
      </c>
    </row>
    <row r="5488" spans="1:2" x14ac:dyDescent="0.25">
      <c r="A5488" t="s">
        <v>8340</v>
      </c>
      <c r="B5488" t="s">
        <v>787</v>
      </c>
    </row>
    <row r="5489" spans="1:2" x14ac:dyDescent="0.25">
      <c r="A5489" t="s">
        <v>8341</v>
      </c>
      <c r="B5489" t="s">
        <v>787</v>
      </c>
    </row>
    <row r="5490" spans="1:2" x14ac:dyDescent="0.25">
      <c r="A5490" t="s">
        <v>790</v>
      </c>
      <c r="B5490" t="s">
        <v>790</v>
      </c>
    </row>
    <row r="5491" spans="1:2" x14ac:dyDescent="0.25">
      <c r="A5491" t="s">
        <v>8342</v>
      </c>
      <c r="B5491" t="s">
        <v>790</v>
      </c>
    </row>
    <row r="5492" spans="1:2" x14ac:dyDescent="0.25">
      <c r="A5492" t="s">
        <v>8343</v>
      </c>
      <c r="B5492" t="s">
        <v>790</v>
      </c>
    </row>
    <row r="5493" spans="1:2" x14ac:dyDescent="0.25">
      <c r="A5493" t="s">
        <v>1643</v>
      </c>
      <c r="B5493" t="s">
        <v>1643</v>
      </c>
    </row>
    <row r="5494" spans="1:2" x14ac:dyDescent="0.25">
      <c r="A5494" t="s">
        <v>8344</v>
      </c>
      <c r="B5494" t="s">
        <v>1643</v>
      </c>
    </row>
    <row r="5495" spans="1:2" x14ac:dyDescent="0.25">
      <c r="A5495" t="s">
        <v>8345</v>
      </c>
      <c r="B5495" t="s">
        <v>1643</v>
      </c>
    </row>
    <row r="5496" spans="1:2" x14ac:dyDescent="0.25">
      <c r="A5496" t="s">
        <v>792</v>
      </c>
      <c r="B5496" t="s">
        <v>792</v>
      </c>
    </row>
    <row r="5497" spans="1:2" x14ac:dyDescent="0.25">
      <c r="A5497" t="s">
        <v>8346</v>
      </c>
      <c r="B5497" t="s">
        <v>792</v>
      </c>
    </row>
    <row r="5498" spans="1:2" x14ac:dyDescent="0.25">
      <c r="A5498" t="s">
        <v>8347</v>
      </c>
      <c r="B5498" t="s">
        <v>792</v>
      </c>
    </row>
    <row r="5499" spans="1:2" x14ac:dyDescent="0.25">
      <c r="A5499" t="s">
        <v>794</v>
      </c>
      <c r="B5499" t="s">
        <v>794</v>
      </c>
    </row>
    <row r="5500" spans="1:2" x14ac:dyDescent="0.25">
      <c r="A5500" t="s">
        <v>8348</v>
      </c>
      <c r="B5500" t="s">
        <v>794</v>
      </c>
    </row>
    <row r="5501" spans="1:2" x14ac:dyDescent="0.25">
      <c r="A5501" t="s">
        <v>8349</v>
      </c>
      <c r="B5501" t="s">
        <v>794</v>
      </c>
    </row>
    <row r="5502" spans="1:2" x14ac:dyDescent="0.25">
      <c r="A5502" t="s">
        <v>2798</v>
      </c>
      <c r="B5502" t="s">
        <v>2798</v>
      </c>
    </row>
    <row r="5503" spans="1:2" x14ac:dyDescent="0.25">
      <c r="A5503" t="s">
        <v>8350</v>
      </c>
      <c r="B5503" t="s">
        <v>2798</v>
      </c>
    </row>
    <row r="5504" spans="1:2" x14ac:dyDescent="0.25">
      <c r="A5504" t="s">
        <v>8351</v>
      </c>
      <c r="B5504" t="s">
        <v>2798</v>
      </c>
    </row>
    <row r="5505" spans="1:2" x14ac:dyDescent="0.25">
      <c r="A5505" t="s">
        <v>8352</v>
      </c>
      <c r="B5505" t="s">
        <v>5209</v>
      </c>
    </row>
    <row r="5506" spans="1:2" x14ac:dyDescent="0.25">
      <c r="A5506" t="s">
        <v>2577</v>
      </c>
      <c r="B5506" t="s">
        <v>2577</v>
      </c>
    </row>
    <row r="5507" spans="1:2" x14ac:dyDescent="0.25">
      <c r="A5507" t="s">
        <v>2581</v>
      </c>
      <c r="B5507" t="s">
        <v>2581</v>
      </c>
    </row>
    <row r="5508" spans="1:2" x14ac:dyDescent="0.25">
      <c r="A5508" t="s">
        <v>2582</v>
      </c>
      <c r="B5508" t="s">
        <v>2582</v>
      </c>
    </row>
    <row r="5509" spans="1:2" x14ac:dyDescent="0.25">
      <c r="A5509" t="s">
        <v>2587</v>
      </c>
      <c r="B5509" t="s">
        <v>2587</v>
      </c>
    </row>
    <row r="5510" spans="1:2" x14ac:dyDescent="0.25">
      <c r="A5510" t="s">
        <v>2589</v>
      </c>
      <c r="B5510" t="s">
        <v>2589</v>
      </c>
    </row>
    <row r="5511" spans="1:2" x14ac:dyDescent="0.25">
      <c r="A5511" t="s">
        <v>2590</v>
      </c>
      <c r="B5511" t="s">
        <v>2590</v>
      </c>
    </row>
    <row r="5512" spans="1:2" x14ac:dyDescent="0.25">
      <c r="A5512" t="s">
        <v>2591</v>
      </c>
      <c r="B5512" t="s">
        <v>2591</v>
      </c>
    </row>
    <row r="5513" spans="1:2" x14ac:dyDescent="0.25">
      <c r="A5513" t="s">
        <v>2595</v>
      </c>
      <c r="B5513" t="s">
        <v>2595</v>
      </c>
    </row>
    <row r="5514" spans="1:2" x14ac:dyDescent="0.25">
      <c r="A5514" t="s">
        <v>2597</v>
      </c>
      <c r="B5514" t="s">
        <v>2597</v>
      </c>
    </row>
    <row r="5515" spans="1:2" x14ac:dyDescent="0.25">
      <c r="A5515" t="s">
        <v>2598</v>
      </c>
      <c r="B5515" t="s">
        <v>2598</v>
      </c>
    </row>
    <row r="5516" spans="1:2" x14ac:dyDescent="0.25">
      <c r="A5516" t="s">
        <v>2600</v>
      </c>
      <c r="B5516" t="s">
        <v>2600</v>
      </c>
    </row>
    <row r="5517" spans="1:2" x14ac:dyDescent="0.25">
      <c r="A5517" t="s">
        <v>2601</v>
      </c>
      <c r="B5517" t="s">
        <v>2601</v>
      </c>
    </row>
    <row r="5518" spans="1:2" x14ac:dyDescent="0.25">
      <c r="A5518" t="s">
        <v>2602</v>
      </c>
      <c r="B5518" t="s">
        <v>2602</v>
      </c>
    </row>
    <row r="5519" spans="1:2" x14ac:dyDescent="0.25">
      <c r="A5519" t="s">
        <v>2604</v>
      </c>
      <c r="B5519" t="s">
        <v>2604</v>
      </c>
    </row>
    <row r="5520" spans="1:2" x14ac:dyDescent="0.25">
      <c r="A5520" t="s">
        <v>2605</v>
      </c>
      <c r="B5520" t="s">
        <v>2605</v>
      </c>
    </row>
    <row r="5521" spans="1:2" x14ac:dyDescent="0.25">
      <c r="A5521" t="s">
        <v>2606</v>
      </c>
      <c r="B5521" t="s">
        <v>2606</v>
      </c>
    </row>
    <row r="5522" spans="1:2" x14ac:dyDescent="0.25">
      <c r="A5522" t="s">
        <v>2608</v>
      </c>
      <c r="B5522" t="s">
        <v>2608</v>
      </c>
    </row>
    <row r="5523" spans="1:2" x14ac:dyDescent="0.25">
      <c r="A5523" t="s">
        <v>2609</v>
      </c>
      <c r="B5523" t="s">
        <v>2609</v>
      </c>
    </row>
    <row r="5524" spans="1:2" x14ac:dyDescent="0.25">
      <c r="A5524" t="s">
        <v>2613</v>
      </c>
      <c r="B5524" t="s">
        <v>2613</v>
      </c>
    </row>
    <row r="5525" spans="1:2" x14ac:dyDescent="0.25">
      <c r="A5525" t="s">
        <v>2618</v>
      </c>
      <c r="B5525" t="s">
        <v>2618</v>
      </c>
    </row>
    <row r="5526" spans="1:2" x14ac:dyDescent="0.25">
      <c r="A5526" t="s">
        <v>2621</v>
      </c>
      <c r="B5526" t="s">
        <v>2621</v>
      </c>
    </row>
    <row r="5527" spans="1:2" x14ac:dyDescent="0.25">
      <c r="A5527" t="s">
        <v>2623</v>
      </c>
      <c r="B5527" t="s">
        <v>2623</v>
      </c>
    </row>
    <row r="5528" spans="1:2" x14ac:dyDescent="0.25">
      <c r="A5528" t="s">
        <v>2627</v>
      </c>
      <c r="B5528" t="s">
        <v>2627</v>
      </c>
    </row>
    <row r="5529" spans="1:2" x14ac:dyDescent="0.25">
      <c r="A5529" t="s">
        <v>2629</v>
      </c>
      <c r="B5529" t="s">
        <v>2629</v>
      </c>
    </row>
    <row r="5530" spans="1:2" x14ac:dyDescent="0.25">
      <c r="A5530" t="s">
        <v>2630</v>
      </c>
      <c r="B5530" t="s">
        <v>2630</v>
      </c>
    </row>
    <row r="5531" spans="1:2" x14ac:dyDescent="0.25">
      <c r="A5531" t="s">
        <v>2631</v>
      </c>
      <c r="B5531" t="s">
        <v>2631</v>
      </c>
    </row>
    <row r="5532" spans="1:2" x14ac:dyDescent="0.25">
      <c r="A5532" t="s">
        <v>2632</v>
      </c>
      <c r="B5532" t="s">
        <v>2632</v>
      </c>
    </row>
    <row r="5533" spans="1:2" x14ac:dyDescent="0.25">
      <c r="A5533" t="s">
        <v>2634</v>
      </c>
      <c r="B5533" t="s">
        <v>2634</v>
      </c>
    </row>
    <row r="5534" spans="1:2" x14ac:dyDescent="0.25">
      <c r="A5534" t="s">
        <v>2635</v>
      </c>
      <c r="B5534" t="s">
        <v>2635</v>
      </c>
    </row>
    <row r="5535" spans="1:2" x14ac:dyDescent="0.25">
      <c r="A5535" t="s">
        <v>2638</v>
      </c>
      <c r="B5535" t="s">
        <v>2638</v>
      </c>
    </row>
    <row r="5536" spans="1:2" x14ac:dyDescent="0.25">
      <c r="A5536" t="s">
        <v>2639</v>
      </c>
      <c r="B5536" t="s">
        <v>2639</v>
      </c>
    </row>
    <row r="5537" spans="1:2" x14ac:dyDescent="0.25">
      <c r="A5537" t="s">
        <v>2640</v>
      </c>
      <c r="B5537" t="s">
        <v>2640</v>
      </c>
    </row>
    <row r="5538" spans="1:2" x14ac:dyDescent="0.25">
      <c r="A5538" t="s">
        <v>2642</v>
      </c>
      <c r="B5538" t="s">
        <v>2642</v>
      </c>
    </row>
    <row r="5539" spans="1:2" x14ac:dyDescent="0.25">
      <c r="A5539" t="s">
        <v>2644</v>
      </c>
      <c r="B5539" t="s">
        <v>2644</v>
      </c>
    </row>
    <row r="5540" spans="1:2" x14ac:dyDescent="0.25">
      <c r="A5540" t="s">
        <v>2648</v>
      </c>
      <c r="B5540" t="s">
        <v>2648</v>
      </c>
    </row>
    <row r="5541" spans="1:2" x14ac:dyDescent="0.25">
      <c r="A5541" t="s">
        <v>2649</v>
      </c>
      <c r="B5541" t="s">
        <v>2649</v>
      </c>
    </row>
    <row r="5542" spans="1:2" x14ac:dyDescent="0.25">
      <c r="A5542" t="s">
        <v>2650</v>
      </c>
      <c r="B5542" t="s">
        <v>2650</v>
      </c>
    </row>
    <row r="5543" spans="1:2" x14ac:dyDescent="0.25">
      <c r="A5543" t="s">
        <v>8353</v>
      </c>
      <c r="B5543" t="s">
        <v>2651</v>
      </c>
    </row>
    <row r="5544" spans="1:2" x14ac:dyDescent="0.25">
      <c r="A5544" t="s">
        <v>8354</v>
      </c>
      <c r="B5544" t="s">
        <v>2652</v>
      </c>
    </row>
    <row r="5545" spans="1:2" x14ac:dyDescent="0.25">
      <c r="A5545" t="s">
        <v>8355</v>
      </c>
      <c r="B5545" t="s">
        <v>2653</v>
      </c>
    </row>
    <row r="5546" spans="1:2" x14ac:dyDescent="0.25">
      <c r="A5546" t="s">
        <v>2654</v>
      </c>
      <c r="B5546" t="s">
        <v>2654</v>
      </c>
    </row>
    <row r="5547" spans="1:2" x14ac:dyDescent="0.25">
      <c r="A5547" t="s">
        <v>2655</v>
      </c>
      <c r="B5547" t="s">
        <v>2655</v>
      </c>
    </row>
    <row r="5548" spans="1:2" x14ac:dyDescent="0.25">
      <c r="A5548" t="s">
        <v>2659</v>
      </c>
      <c r="B5548" t="s">
        <v>2659</v>
      </c>
    </row>
    <row r="5549" spans="1:2" x14ac:dyDescent="0.25">
      <c r="A5549" t="s">
        <v>2661</v>
      </c>
      <c r="B5549" t="s">
        <v>2661</v>
      </c>
    </row>
    <row r="5550" spans="1:2" x14ac:dyDescent="0.25">
      <c r="A5550" t="s">
        <v>8356</v>
      </c>
      <c r="B5550" t="s">
        <v>2661</v>
      </c>
    </row>
    <row r="5551" spans="1:2" x14ac:dyDescent="0.25">
      <c r="A5551" t="s">
        <v>2664</v>
      </c>
      <c r="B5551" t="s">
        <v>2664</v>
      </c>
    </row>
    <row r="5552" spans="1:2" x14ac:dyDescent="0.25">
      <c r="A5552" t="s">
        <v>8357</v>
      </c>
      <c r="B5552" t="s">
        <v>2664</v>
      </c>
    </row>
    <row r="5553" spans="1:2" x14ac:dyDescent="0.25">
      <c r="A5553" t="s">
        <v>8358</v>
      </c>
      <c r="B5553" t="s">
        <v>2666</v>
      </c>
    </row>
    <row r="5554" spans="1:2" x14ac:dyDescent="0.25">
      <c r="A5554" t="s">
        <v>2668</v>
      </c>
      <c r="B5554" t="s">
        <v>2668</v>
      </c>
    </row>
    <row r="5555" spans="1:2" x14ac:dyDescent="0.25">
      <c r="A5555" t="s">
        <v>2669</v>
      </c>
      <c r="B5555" t="s">
        <v>2669</v>
      </c>
    </row>
    <row r="5556" spans="1:2" x14ac:dyDescent="0.25">
      <c r="A5556" t="s">
        <v>2670</v>
      </c>
      <c r="B5556" t="s">
        <v>2670</v>
      </c>
    </row>
    <row r="5557" spans="1:2" x14ac:dyDescent="0.25">
      <c r="A5557" t="s">
        <v>2671</v>
      </c>
      <c r="B5557" t="s">
        <v>2671</v>
      </c>
    </row>
    <row r="5558" spans="1:2" x14ac:dyDescent="0.25">
      <c r="A5558" t="s">
        <v>8359</v>
      </c>
      <c r="B5558" t="s">
        <v>2671</v>
      </c>
    </row>
    <row r="5559" spans="1:2" x14ac:dyDescent="0.25">
      <c r="A5559" t="s">
        <v>8360</v>
      </c>
      <c r="B5559" t="s">
        <v>2672</v>
      </c>
    </row>
    <row r="5560" spans="1:2" x14ac:dyDescent="0.25">
      <c r="A5560" t="s">
        <v>2674</v>
      </c>
      <c r="B5560" t="s">
        <v>2674</v>
      </c>
    </row>
    <row r="5561" spans="1:2" x14ac:dyDescent="0.25">
      <c r="A5561" t="s">
        <v>2677</v>
      </c>
      <c r="B5561" t="s">
        <v>2677</v>
      </c>
    </row>
    <row r="5562" spans="1:2" x14ac:dyDescent="0.25">
      <c r="A5562" t="s">
        <v>2678</v>
      </c>
      <c r="B5562" t="s">
        <v>2678</v>
      </c>
    </row>
    <row r="5563" spans="1:2" x14ac:dyDescent="0.25">
      <c r="A5563" t="s">
        <v>8361</v>
      </c>
      <c r="B5563" t="s">
        <v>2678</v>
      </c>
    </row>
    <row r="5564" spans="1:2" x14ac:dyDescent="0.25">
      <c r="A5564" t="s">
        <v>2679</v>
      </c>
      <c r="B5564" t="s">
        <v>2679</v>
      </c>
    </row>
    <row r="5565" spans="1:2" x14ac:dyDescent="0.25">
      <c r="A5565" t="s">
        <v>8362</v>
      </c>
      <c r="B5565" t="s">
        <v>2679</v>
      </c>
    </row>
    <row r="5566" spans="1:2" x14ac:dyDescent="0.25">
      <c r="A5566" t="s">
        <v>2681</v>
      </c>
      <c r="B5566" t="s">
        <v>2681</v>
      </c>
    </row>
    <row r="5567" spans="1:2" x14ac:dyDescent="0.25">
      <c r="A5567" t="s">
        <v>2682</v>
      </c>
      <c r="B5567" t="s">
        <v>2682</v>
      </c>
    </row>
    <row r="5568" spans="1:2" x14ac:dyDescent="0.25">
      <c r="A5568" t="s">
        <v>8363</v>
      </c>
      <c r="B5568" t="s">
        <v>2682</v>
      </c>
    </row>
    <row r="5569" spans="1:2" x14ac:dyDescent="0.25">
      <c r="A5569" t="s">
        <v>2683</v>
      </c>
      <c r="B5569" t="s">
        <v>2683</v>
      </c>
    </row>
    <row r="5570" spans="1:2" x14ac:dyDescent="0.25">
      <c r="A5570" t="s">
        <v>8364</v>
      </c>
      <c r="B5570" t="s">
        <v>2683</v>
      </c>
    </row>
    <row r="5571" spans="1:2" x14ac:dyDescent="0.25">
      <c r="A5571" t="s">
        <v>2684</v>
      </c>
      <c r="B5571" t="s">
        <v>2684</v>
      </c>
    </row>
    <row r="5572" spans="1:2" x14ac:dyDescent="0.25">
      <c r="A5572" t="s">
        <v>8365</v>
      </c>
      <c r="B5572" t="s">
        <v>2684</v>
      </c>
    </row>
    <row r="5573" spans="1:2" x14ac:dyDescent="0.25">
      <c r="A5573" t="s">
        <v>8366</v>
      </c>
      <c r="B5573" t="s">
        <v>2685</v>
      </c>
    </row>
    <row r="5574" spans="1:2" x14ac:dyDescent="0.25">
      <c r="A5574" t="s">
        <v>2688</v>
      </c>
      <c r="B5574" t="s">
        <v>2688</v>
      </c>
    </row>
    <row r="5575" spans="1:2" x14ac:dyDescent="0.25">
      <c r="A5575" t="s">
        <v>8367</v>
      </c>
      <c r="B5575" t="s">
        <v>2688</v>
      </c>
    </row>
    <row r="5576" spans="1:2" x14ac:dyDescent="0.25">
      <c r="A5576" t="s">
        <v>2690</v>
      </c>
      <c r="B5576" t="s">
        <v>2690</v>
      </c>
    </row>
    <row r="5577" spans="1:2" x14ac:dyDescent="0.25">
      <c r="A5577" t="s">
        <v>2691</v>
      </c>
      <c r="B5577" t="s">
        <v>2691</v>
      </c>
    </row>
    <row r="5578" spans="1:2" x14ac:dyDescent="0.25">
      <c r="A5578" t="s">
        <v>3349</v>
      </c>
      <c r="B5578" t="s">
        <v>3349</v>
      </c>
    </row>
    <row r="5579" spans="1:2" x14ac:dyDescent="0.25">
      <c r="A5579" t="s">
        <v>8368</v>
      </c>
      <c r="B5579" t="s">
        <v>3349</v>
      </c>
    </row>
    <row r="5580" spans="1:2" x14ac:dyDescent="0.25">
      <c r="A5580" t="s">
        <v>8369</v>
      </c>
      <c r="B5580" t="s">
        <v>8369</v>
      </c>
    </row>
    <row r="5581" spans="1:2" x14ac:dyDescent="0.25">
      <c r="A5581" t="s">
        <v>199</v>
      </c>
      <c r="B5581" t="s">
        <v>199</v>
      </c>
    </row>
    <row r="5582" spans="1:2" x14ac:dyDescent="0.25">
      <c r="A5582" t="s">
        <v>8370</v>
      </c>
      <c r="B5582" t="s">
        <v>199</v>
      </c>
    </row>
    <row r="5583" spans="1:2" x14ac:dyDescent="0.25">
      <c r="A5583" t="s">
        <v>8371</v>
      </c>
      <c r="B5583" t="s">
        <v>199</v>
      </c>
    </row>
    <row r="5584" spans="1:2" x14ac:dyDescent="0.25">
      <c r="A5584" t="s">
        <v>374</v>
      </c>
      <c r="B5584" t="s">
        <v>374</v>
      </c>
    </row>
    <row r="5585" spans="1:2" x14ac:dyDescent="0.25">
      <c r="A5585" t="s">
        <v>202</v>
      </c>
      <c r="B5585" t="s">
        <v>202</v>
      </c>
    </row>
    <row r="5586" spans="1:2" x14ac:dyDescent="0.25">
      <c r="A5586" t="s">
        <v>8372</v>
      </c>
      <c r="B5586" t="s">
        <v>202</v>
      </c>
    </row>
    <row r="5587" spans="1:2" x14ac:dyDescent="0.25">
      <c r="A5587" t="s">
        <v>8373</v>
      </c>
      <c r="B5587" t="s">
        <v>202</v>
      </c>
    </row>
    <row r="5588" spans="1:2" x14ac:dyDescent="0.25">
      <c r="A5588" t="s">
        <v>8374</v>
      </c>
      <c r="B5588" t="s">
        <v>202</v>
      </c>
    </row>
    <row r="5589" spans="1:2" x14ac:dyDescent="0.25">
      <c r="A5589" t="s">
        <v>8375</v>
      </c>
      <c r="B5589" t="s">
        <v>202</v>
      </c>
    </row>
    <row r="5590" spans="1:2" x14ac:dyDescent="0.25">
      <c r="A5590" t="s">
        <v>8376</v>
      </c>
      <c r="B5590" t="s">
        <v>202</v>
      </c>
    </row>
    <row r="5591" spans="1:2" x14ac:dyDescent="0.25">
      <c r="A5591" t="s">
        <v>204</v>
      </c>
      <c r="B5591" t="s">
        <v>204</v>
      </c>
    </row>
    <row r="5592" spans="1:2" x14ac:dyDescent="0.25">
      <c r="A5592" t="s">
        <v>8377</v>
      </c>
      <c r="B5592" t="s">
        <v>204</v>
      </c>
    </row>
    <row r="5593" spans="1:2" x14ac:dyDescent="0.25">
      <c r="A5593" t="s">
        <v>8378</v>
      </c>
      <c r="B5593" t="s">
        <v>204</v>
      </c>
    </row>
    <row r="5594" spans="1:2" x14ac:dyDescent="0.25">
      <c r="A5594" t="s">
        <v>8379</v>
      </c>
      <c r="B5594" t="s">
        <v>204</v>
      </c>
    </row>
    <row r="5595" spans="1:2" x14ac:dyDescent="0.25">
      <c r="A5595" t="s">
        <v>8380</v>
      </c>
      <c r="B5595" t="s">
        <v>204</v>
      </c>
    </row>
    <row r="5596" spans="1:2" x14ac:dyDescent="0.25">
      <c r="A5596" t="s">
        <v>8381</v>
      </c>
      <c r="B5596" t="s">
        <v>204</v>
      </c>
    </row>
    <row r="5597" spans="1:2" x14ac:dyDescent="0.25">
      <c r="A5597" t="s">
        <v>8382</v>
      </c>
      <c r="B5597" t="s">
        <v>204</v>
      </c>
    </row>
    <row r="5598" spans="1:2" x14ac:dyDescent="0.25">
      <c r="A5598" t="s">
        <v>2800</v>
      </c>
      <c r="B5598" t="s">
        <v>2800</v>
      </c>
    </row>
    <row r="5599" spans="1:2" x14ac:dyDescent="0.25">
      <c r="A5599" t="s">
        <v>8383</v>
      </c>
      <c r="B5599" t="s">
        <v>2800</v>
      </c>
    </row>
    <row r="5600" spans="1:2" x14ac:dyDescent="0.25">
      <c r="A5600" t="s">
        <v>8384</v>
      </c>
      <c r="B5600" t="s">
        <v>2800</v>
      </c>
    </row>
    <row r="5601" spans="1:2" x14ac:dyDescent="0.25">
      <c r="A5601" t="s">
        <v>206</v>
      </c>
      <c r="B5601" t="s">
        <v>206</v>
      </c>
    </row>
    <row r="5602" spans="1:2" x14ac:dyDescent="0.25">
      <c r="A5602" t="s">
        <v>8385</v>
      </c>
      <c r="B5602" t="s">
        <v>206</v>
      </c>
    </row>
    <row r="5603" spans="1:2" x14ac:dyDescent="0.25">
      <c r="A5603" t="s">
        <v>8386</v>
      </c>
      <c r="B5603" t="s">
        <v>206</v>
      </c>
    </row>
    <row r="5604" spans="1:2" x14ac:dyDescent="0.25">
      <c r="A5604" t="s">
        <v>8387</v>
      </c>
      <c r="B5604" t="s">
        <v>206</v>
      </c>
    </row>
    <row r="5605" spans="1:2" x14ac:dyDescent="0.25">
      <c r="A5605" t="s">
        <v>8388</v>
      </c>
      <c r="B5605" t="s">
        <v>206</v>
      </c>
    </row>
    <row r="5606" spans="1:2" x14ac:dyDescent="0.25">
      <c r="A5606" t="s">
        <v>8389</v>
      </c>
      <c r="B5606" t="s">
        <v>5209</v>
      </c>
    </row>
    <row r="5607" spans="1:2" x14ac:dyDescent="0.25">
      <c r="A5607" t="s">
        <v>208</v>
      </c>
      <c r="B5607" t="s">
        <v>208</v>
      </c>
    </row>
    <row r="5608" spans="1:2" x14ac:dyDescent="0.25">
      <c r="A5608" t="s">
        <v>8390</v>
      </c>
      <c r="B5608" t="s">
        <v>208</v>
      </c>
    </row>
    <row r="5609" spans="1:2" x14ac:dyDescent="0.25">
      <c r="A5609" t="s">
        <v>8391</v>
      </c>
      <c r="B5609" t="s">
        <v>208</v>
      </c>
    </row>
    <row r="5610" spans="1:2" x14ac:dyDescent="0.25">
      <c r="A5610" t="s">
        <v>8392</v>
      </c>
      <c r="B5610" t="s">
        <v>208</v>
      </c>
    </row>
    <row r="5611" spans="1:2" x14ac:dyDescent="0.25">
      <c r="A5611" t="s">
        <v>8393</v>
      </c>
      <c r="B5611" t="s">
        <v>208</v>
      </c>
    </row>
    <row r="5612" spans="1:2" x14ac:dyDescent="0.25">
      <c r="A5612" t="s">
        <v>210</v>
      </c>
      <c r="B5612" t="s">
        <v>210</v>
      </c>
    </row>
    <row r="5613" spans="1:2" x14ac:dyDescent="0.25">
      <c r="A5613" t="s">
        <v>8394</v>
      </c>
      <c r="B5613" t="s">
        <v>210</v>
      </c>
    </row>
    <row r="5614" spans="1:2" x14ac:dyDescent="0.25">
      <c r="A5614" t="s">
        <v>8395</v>
      </c>
      <c r="B5614" t="s">
        <v>210</v>
      </c>
    </row>
    <row r="5615" spans="1:2" x14ac:dyDescent="0.25">
      <c r="A5615" t="s">
        <v>8396</v>
      </c>
      <c r="B5615" t="s">
        <v>199</v>
      </c>
    </row>
    <row r="5616" spans="1:2" x14ac:dyDescent="0.25">
      <c r="A5616" t="s">
        <v>212</v>
      </c>
      <c r="B5616" t="s">
        <v>212</v>
      </c>
    </row>
    <row r="5617" spans="1:2" x14ac:dyDescent="0.25">
      <c r="A5617" t="s">
        <v>8397</v>
      </c>
      <c r="B5617" t="s">
        <v>212</v>
      </c>
    </row>
    <row r="5618" spans="1:2" x14ac:dyDescent="0.25">
      <c r="A5618" t="s">
        <v>8398</v>
      </c>
      <c r="B5618" t="s">
        <v>212</v>
      </c>
    </row>
    <row r="5619" spans="1:2" x14ac:dyDescent="0.25">
      <c r="A5619" t="s">
        <v>8399</v>
      </c>
      <c r="B5619" t="s">
        <v>212</v>
      </c>
    </row>
    <row r="5620" spans="1:2" x14ac:dyDescent="0.25">
      <c r="A5620" t="s">
        <v>214</v>
      </c>
      <c r="B5620" t="s">
        <v>214</v>
      </c>
    </row>
    <row r="5621" spans="1:2" x14ac:dyDescent="0.25">
      <c r="A5621" t="s">
        <v>8400</v>
      </c>
      <c r="B5621" t="s">
        <v>214</v>
      </c>
    </row>
    <row r="5622" spans="1:2" x14ac:dyDescent="0.25">
      <c r="A5622" t="s">
        <v>8401</v>
      </c>
      <c r="B5622" t="s">
        <v>214</v>
      </c>
    </row>
    <row r="5623" spans="1:2" x14ac:dyDescent="0.25">
      <c r="A5623" t="s">
        <v>8402</v>
      </c>
      <c r="B5623" t="s">
        <v>214</v>
      </c>
    </row>
    <row r="5624" spans="1:2" x14ac:dyDescent="0.25">
      <c r="A5624" t="s">
        <v>8403</v>
      </c>
      <c r="B5624" t="s">
        <v>214</v>
      </c>
    </row>
    <row r="5625" spans="1:2" x14ac:dyDescent="0.25">
      <c r="A5625" t="s">
        <v>8404</v>
      </c>
      <c r="B5625" t="s">
        <v>214</v>
      </c>
    </row>
    <row r="5626" spans="1:2" x14ac:dyDescent="0.25">
      <c r="A5626" t="s">
        <v>216</v>
      </c>
      <c r="B5626" t="s">
        <v>216</v>
      </c>
    </row>
    <row r="5627" spans="1:2" x14ac:dyDescent="0.25">
      <c r="A5627" t="s">
        <v>8405</v>
      </c>
      <c r="B5627" t="s">
        <v>216</v>
      </c>
    </row>
    <row r="5628" spans="1:2" x14ac:dyDescent="0.25">
      <c r="A5628" t="s">
        <v>8406</v>
      </c>
      <c r="B5628" t="s">
        <v>216</v>
      </c>
    </row>
    <row r="5629" spans="1:2" x14ac:dyDescent="0.25">
      <c r="A5629" t="s">
        <v>8407</v>
      </c>
      <c r="B5629" t="s">
        <v>216</v>
      </c>
    </row>
    <row r="5630" spans="1:2" x14ac:dyDescent="0.25">
      <c r="A5630" t="s">
        <v>364</v>
      </c>
      <c r="B5630" t="s">
        <v>364</v>
      </c>
    </row>
    <row r="5631" spans="1:2" x14ac:dyDescent="0.25">
      <c r="A5631" t="s">
        <v>8408</v>
      </c>
      <c r="B5631" t="s">
        <v>364</v>
      </c>
    </row>
    <row r="5632" spans="1:2" x14ac:dyDescent="0.25">
      <c r="A5632" t="s">
        <v>8409</v>
      </c>
      <c r="B5632" t="s">
        <v>364</v>
      </c>
    </row>
    <row r="5633" spans="1:2" x14ac:dyDescent="0.25">
      <c r="A5633" t="s">
        <v>8410</v>
      </c>
      <c r="B5633" t="s">
        <v>364</v>
      </c>
    </row>
    <row r="5634" spans="1:2" x14ac:dyDescent="0.25">
      <c r="A5634" t="s">
        <v>218</v>
      </c>
      <c r="B5634" t="s">
        <v>218</v>
      </c>
    </row>
    <row r="5635" spans="1:2" x14ac:dyDescent="0.25">
      <c r="A5635" t="s">
        <v>8411</v>
      </c>
      <c r="B5635" t="s">
        <v>218</v>
      </c>
    </row>
    <row r="5636" spans="1:2" x14ac:dyDescent="0.25">
      <c r="A5636" t="s">
        <v>8412</v>
      </c>
      <c r="B5636" t="s">
        <v>218</v>
      </c>
    </row>
    <row r="5637" spans="1:2" x14ac:dyDescent="0.25">
      <c r="A5637" t="s">
        <v>8413</v>
      </c>
      <c r="B5637" t="s">
        <v>218</v>
      </c>
    </row>
    <row r="5638" spans="1:2" x14ac:dyDescent="0.25">
      <c r="A5638" t="s">
        <v>220</v>
      </c>
      <c r="B5638" t="s">
        <v>220</v>
      </c>
    </row>
    <row r="5639" spans="1:2" x14ac:dyDescent="0.25">
      <c r="A5639" t="s">
        <v>8414</v>
      </c>
      <c r="B5639" t="s">
        <v>220</v>
      </c>
    </row>
    <row r="5640" spans="1:2" x14ac:dyDescent="0.25">
      <c r="A5640" t="s">
        <v>8415</v>
      </c>
      <c r="B5640" t="s">
        <v>220</v>
      </c>
    </row>
    <row r="5641" spans="1:2" x14ac:dyDescent="0.25">
      <c r="A5641" t="s">
        <v>8416</v>
      </c>
      <c r="B5641" t="s">
        <v>220</v>
      </c>
    </row>
    <row r="5642" spans="1:2" x14ac:dyDescent="0.25">
      <c r="A5642" t="s">
        <v>222</v>
      </c>
      <c r="B5642" t="s">
        <v>222</v>
      </c>
    </row>
    <row r="5643" spans="1:2" x14ac:dyDescent="0.25">
      <c r="A5643" t="s">
        <v>8417</v>
      </c>
      <c r="B5643" t="s">
        <v>222</v>
      </c>
    </row>
    <row r="5644" spans="1:2" x14ac:dyDescent="0.25">
      <c r="A5644" t="s">
        <v>8418</v>
      </c>
      <c r="B5644" t="s">
        <v>222</v>
      </c>
    </row>
    <row r="5645" spans="1:2" x14ac:dyDescent="0.25">
      <c r="A5645" t="s">
        <v>8419</v>
      </c>
      <c r="B5645" t="s">
        <v>222</v>
      </c>
    </row>
    <row r="5646" spans="1:2" x14ac:dyDescent="0.25">
      <c r="A5646" t="s">
        <v>8420</v>
      </c>
      <c r="B5646" t="s">
        <v>222</v>
      </c>
    </row>
    <row r="5647" spans="1:2" x14ac:dyDescent="0.25">
      <c r="A5647" t="s">
        <v>8421</v>
      </c>
      <c r="B5647" t="s">
        <v>222</v>
      </c>
    </row>
    <row r="5648" spans="1:2" x14ac:dyDescent="0.25">
      <c r="A5648" t="s">
        <v>2310</v>
      </c>
      <c r="B5648" t="s">
        <v>2310</v>
      </c>
    </row>
    <row r="5649" spans="1:2" x14ac:dyDescent="0.25">
      <c r="A5649" t="s">
        <v>8422</v>
      </c>
      <c r="B5649" t="s">
        <v>2310</v>
      </c>
    </row>
    <row r="5650" spans="1:2" x14ac:dyDescent="0.25">
      <c r="A5650" t="s">
        <v>8423</v>
      </c>
      <c r="B5650" t="s">
        <v>212</v>
      </c>
    </row>
    <row r="5651" spans="1:2" x14ac:dyDescent="0.25">
      <c r="A5651" t="s">
        <v>2562</v>
      </c>
      <c r="B5651" t="s">
        <v>2562</v>
      </c>
    </row>
    <row r="5652" spans="1:2" x14ac:dyDescent="0.25">
      <c r="A5652" t="s">
        <v>8424</v>
      </c>
      <c r="B5652" t="s">
        <v>8424</v>
      </c>
    </row>
    <row r="5653" spans="1:2" x14ac:dyDescent="0.25">
      <c r="A5653" t="s">
        <v>8425</v>
      </c>
      <c r="B5653" t="s">
        <v>8425</v>
      </c>
    </row>
    <row r="5654" spans="1:2" x14ac:dyDescent="0.25">
      <c r="A5654" t="s">
        <v>224</v>
      </c>
      <c r="B5654" t="s">
        <v>224</v>
      </c>
    </row>
    <row r="5655" spans="1:2" x14ac:dyDescent="0.25">
      <c r="A5655" t="s">
        <v>8426</v>
      </c>
      <c r="B5655" t="s">
        <v>224</v>
      </c>
    </row>
    <row r="5656" spans="1:2" x14ac:dyDescent="0.25">
      <c r="A5656" t="s">
        <v>8427</v>
      </c>
      <c r="B5656" t="s">
        <v>224</v>
      </c>
    </row>
    <row r="5657" spans="1:2" x14ac:dyDescent="0.25">
      <c r="A5657" t="s">
        <v>8428</v>
      </c>
      <c r="B5657" t="s">
        <v>224</v>
      </c>
    </row>
    <row r="5658" spans="1:2" x14ac:dyDescent="0.25">
      <c r="A5658" t="s">
        <v>8429</v>
      </c>
      <c r="B5658" t="s">
        <v>224</v>
      </c>
    </row>
    <row r="5659" spans="1:2" x14ac:dyDescent="0.25">
      <c r="A5659" t="s">
        <v>8430</v>
      </c>
      <c r="B5659" t="s">
        <v>224</v>
      </c>
    </row>
    <row r="5660" spans="1:2" x14ac:dyDescent="0.25">
      <c r="A5660" t="s">
        <v>8431</v>
      </c>
      <c r="B5660" t="s">
        <v>8431</v>
      </c>
    </row>
    <row r="5661" spans="1:2" x14ac:dyDescent="0.25">
      <c r="A5661" t="s">
        <v>8432</v>
      </c>
      <c r="B5661" t="s">
        <v>8432</v>
      </c>
    </row>
    <row r="5662" spans="1:2" x14ac:dyDescent="0.25">
      <c r="A5662" t="s">
        <v>226</v>
      </c>
      <c r="B5662" t="s">
        <v>226</v>
      </c>
    </row>
    <row r="5663" spans="1:2" x14ac:dyDescent="0.25">
      <c r="A5663" t="s">
        <v>8433</v>
      </c>
      <c r="B5663" t="s">
        <v>226</v>
      </c>
    </row>
    <row r="5664" spans="1:2" x14ac:dyDescent="0.25">
      <c r="A5664" t="s">
        <v>8434</v>
      </c>
      <c r="B5664" t="s">
        <v>226</v>
      </c>
    </row>
    <row r="5665" spans="1:2" x14ac:dyDescent="0.25">
      <c r="A5665" t="s">
        <v>8435</v>
      </c>
      <c r="B5665" t="s">
        <v>226</v>
      </c>
    </row>
    <row r="5666" spans="1:2" x14ac:dyDescent="0.25">
      <c r="A5666" t="s">
        <v>8436</v>
      </c>
      <c r="B5666" t="s">
        <v>226</v>
      </c>
    </row>
    <row r="5667" spans="1:2" x14ac:dyDescent="0.25">
      <c r="A5667" t="s">
        <v>8437</v>
      </c>
      <c r="B5667" t="s">
        <v>8437</v>
      </c>
    </row>
    <row r="5668" spans="1:2" x14ac:dyDescent="0.25">
      <c r="A5668" t="s">
        <v>8438</v>
      </c>
      <c r="B5668" t="s">
        <v>8438</v>
      </c>
    </row>
    <row r="5669" spans="1:2" x14ac:dyDescent="0.25">
      <c r="A5669" t="s">
        <v>228</v>
      </c>
      <c r="B5669" t="s">
        <v>228</v>
      </c>
    </row>
    <row r="5670" spans="1:2" x14ac:dyDescent="0.25">
      <c r="A5670" t="s">
        <v>8439</v>
      </c>
      <c r="B5670" t="s">
        <v>228</v>
      </c>
    </row>
    <row r="5671" spans="1:2" x14ac:dyDescent="0.25">
      <c r="A5671" t="s">
        <v>8440</v>
      </c>
      <c r="B5671" t="s">
        <v>228</v>
      </c>
    </row>
    <row r="5672" spans="1:2" x14ac:dyDescent="0.25">
      <c r="A5672" t="s">
        <v>5521</v>
      </c>
      <c r="B5672" t="s">
        <v>5521</v>
      </c>
    </row>
    <row r="5673" spans="1:2" x14ac:dyDescent="0.25">
      <c r="A5673" t="s">
        <v>8441</v>
      </c>
      <c r="B5673" t="s">
        <v>8441</v>
      </c>
    </row>
    <row r="5674" spans="1:2" x14ac:dyDescent="0.25">
      <c r="A5674" t="s">
        <v>8442</v>
      </c>
      <c r="B5674" t="s">
        <v>8442</v>
      </c>
    </row>
    <row r="5675" spans="1:2" x14ac:dyDescent="0.25">
      <c r="A5675" t="s">
        <v>797</v>
      </c>
      <c r="B5675" t="s">
        <v>797</v>
      </c>
    </row>
    <row r="5676" spans="1:2" x14ac:dyDescent="0.25">
      <c r="A5676" t="s">
        <v>8443</v>
      </c>
      <c r="B5676" t="s">
        <v>797</v>
      </c>
    </row>
    <row r="5677" spans="1:2" x14ac:dyDescent="0.25">
      <c r="A5677" t="s">
        <v>8444</v>
      </c>
      <c r="B5677" t="s">
        <v>797</v>
      </c>
    </row>
    <row r="5678" spans="1:2" x14ac:dyDescent="0.25">
      <c r="A5678" t="s">
        <v>8445</v>
      </c>
      <c r="B5678" t="s">
        <v>797</v>
      </c>
    </row>
    <row r="5679" spans="1:2" x14ac:dyDescent="0.25">
      <c r="A5679" t="s">
        <v>8446</v>
      </c>
      <c r="B5679" t="s">
        <v>8446</v>
      </c>
    </row>
    <row r="5680" spans="1:2" x14ac:dyDescent="0.25">
      <c r="A5680" t="s">
        <v>8447</v>
      </c>
      <c r="B5680" t="s">
        <v>8447</v>
      </c>
    </row>
    <row r="5681" spans="1:2" x14ac:dyDescent="0.25">
      <c r="A5681" t="s">
        <v>2311</v>
      </c>
      <c r="B5681" t="s">
        <v>2311</v>
      </c>
    </row>
    <row r="5682" spans="1:2" x14ac:dyDescent="0.25">
      <c r="A5682" t="s">
        <v>8448</v>
      </c>
      <c r="B5682" t="s">
        <v>2311</v>
      </c>
    </row>
    <row r="5683" spans="1:2" x14ac:dyDescent="0.25">
      <c r="A5683" t="s">
        <v>2802</v>
      </c>
      <c r="B5683" t="s">
        <v>2802</v>
      </c>
    </row>
    <row r="5684" spans="1:2" x14ac:dyDescent="0.25">
      <c r="A5684" t="s">
        <v>8449</v>
      </c>
      <c r="B5684" t="s">
        <v>2802</v>
      </c>
    </row>
    <row r="5685" spans="1:2" x14ac:dyDescent="0.25">
      <c r="A5685" t="s">
        <v>8450</v>
      </c>
      <c r="B5685" t="s">
        <v>2802</v>
      </c>
    </row>
    <row r="5686" spans="1:2" x14ac:dyDescent="0.25">
      <c r="A5686" t="s">
        <v>3350</v>
      </c>
      <c r="B5686" t="s">
        <v>3350</v>
      </c>
    </row>
    <row r="5687" spans="1:2" x14ac:dyDescent="0.25">
      <c r="A5687" t="s">
        <v>8451</v>
      </c>
      <c r="B5687" t="s">
        <v>3350</v>
      </c>
    </row>
    <row r="5688" spans="1:2" x14ac:dyDescent="0.25">
      <c r="A5688" t="s">
        <v>8452</v>
      </c>
      <c r="B5688" t="s">
        <v>3350</v>
      </c>
    </row>
    <row r="5689" spans="1:2" x14ac:dyDescent="0.25">
      <c r="A5689" t="s">
        <v>8453</v>
      </c>
      <c r="B5689" t="s">
        <v>3350</v>
      </c>
    </row>
    <row r="5690" spans="1:2" x14ac:dyDescent="0.25">
      <c r="A5690" t="s">
        <v>8454</v>
      </c>
      <c r="B5690" t="s">
        <v>3350</v>
      </c>
    </row>
    <row r="5691" spans="1:2" x14ac:dyDescent="0.25">
      <c r="A5691" t="s">
        <v>2312</v>
      </c>
      <c r="B5691" t="s">
        <v>2312</v>
      </c>
    </row>
    <row r="5692" spans="1:2" x14ac:dyDescent="0.25">
      <c r="A5692" t="s">
        <v>8455</v>
      </c>
      <c r="B5692" t="s">
        <v>2312</v>
      </c>
    </row>
    <row r="5693" spans="1:2" x14ac:dyDescent="0.25">
      <c r="A5693" t="s">
        <v>8456</v>
      </c>
      <c r="B5693" t="s">
        <v>2312</v>
      </c>
    </row>
    <row r="5694" spans="1:2" x14ac:dyDescent="0.25">
      <c r="A5694" t="s">
        <v>2804</v>
      </c>
      <c r="B5694" t="s">
        <v>2804</v>
      </c>
    </row>
    <row r="5695" spans="1:2" x14ac:dyDescent="0.25">
      <c r="A5695" t="s">
        <v>8457</v>
      </c>
      <c r="B5695" t="s">
        <v>2804</v>
      </c>
    </row>
    <row r="5696" spans="1:2" x14ac:dyDescent="0.25">
      <c r="A5696" t="s">
        <v>8458</v>
      </c>
      <c r="B5696" t="s">
        <v>2804</v>
      </c>
    </row>
    <row r="5697" spans="1:2" x14ac:dyDescent="0.25">
      <c r="A5697" t="s">
        <v>8459</v>
      </c>
      <c r="B5697" t="s">
        <v>3351</v>
      </c>
    </row>
    <row r="5698" spans="1:2" x14ac:dyDescent="0.25">
      <c r="A5698" t="s">
        <v>3351</v>
      </c>
      <c r="B5698" t="s">
        <v>3351</v>
      </c>
    </row>
    <row r="5699" spans="1:2" x14ac:dyDescent="0.25">
      <c r="A5699" t="s">
        <v>8460</v>
      </c>
      <c r="B5699" t="s">
        <v>3353</v>
      </c>
    </row>
    <row r="5700" spans="1:2" x14ac:dyDescent="0.25">
      <c r="A5700" t="s">
        <v>3353</v>
      </c>
      <c r="B5700" t="s">
        <v>3353</v>
      </c>
    </row>
    <row r="5701" spans="1:2" x14ac:dyDescent="0.25">
      <c r="A5701" t="s">
        <v>8461</v>
      </c>
      <c r="B5701" t="s">
        <v>3354</v>
      </c>
    </row>
    <row r="5702" spans="1:2" x14ac:dyDescent="0.25">
      <c r="A5702" t="s">
        <v>3354</v>
      </c>
      <c r="B5702" t="s">
        <v>3354</v>
      </c>
    </row>
    <row r="5703" spans="1:2" x14ac:dyDescent="0.25">
      <c r="A5703" t="s">
        <v>8462</v>
      </c>
      <c r="B5703" t="s">
        <v>8463</v>
      </c>
    </row>
    <row r="5704" spans="1:2" x14ac:dyDescent="0.25">
      <c r="A5704" t="s">
        <v>8463</v>
      </c>
      <c r="B5704" t="s">
        <v>8463</v>
      </c>
    </row>
    <row r="5705" spans="1:2" x14ac:dyDescent="0.25">
      <c r="A5705" t="s">
        <v>8464</v>
      </c>
      <c r="B5705" t="s">
        <v>3355</v>
      </c>
    </row>
    <row r="5706" spans="1:2" x14ac:dyDescent="0.25">
      <c r="A5706" t="s">
        <v>3355</v>
      </c>
      <c r="B5706" t="s">
        <v>3355</v>
      </c>
    </row>
    <row r="5707" spans="1:2" x14ac:dyDescent="0.25">
      <c r="A5707" t="s">
        <v>8465</v>
      </c>
      <c r="B5707" t="s">
        <v>3356</v>
      </c>
    </row>
    <row r="5708" spans="1:2" x14ac:dyDescent="0.25">
      <c r="A5708" t="s">
        <v>3356</v>
      </c>
      <c r="B5708" t="s">
        <v>3356</v>
      </c>
    </row>
    <row r="5709" spans="1:2" x14ac:dyDescent="0.25">
      <c r="A5709" t="s">
        <v>8466</v>
      </c>
      <c r="B5709" t="s">
        <v>3357</v>
      </c>
    </row>
    <row r="5710" spans="1:2" x14ac:dyDescent="0.25">
      <c r="A5710" t="s">
        <v>3357</v>
      </c>
      <c r="B5710" t="s">
        <v>3357</v>
      </c>
    </row>
    <row r="5711" spans="1:2" x14ac:dyDescent="0.25">
      <c r="A5711" t="s">
        <v>8467</v>
      </c>
      <c r="B5711" t="s">
        <v>3358</v>
      </c>
    </row>
    <row r="5712" spans="1:2" x14ac:dyDescent="0.25">
      <c r="A5712" t="s">
        <v>3358</v>
      </c>
      <c r="B5712" t="s">
        <v>3358</v>
      </c>
    </row>
    <row r="5713" spans="1:2" x14ac:dyDescent="0.25">
      <c r="A5713" t="s">
        <v>8468</v>
      </c>
      <c r="B5713" t="s">
        <v>3359</v>
      </c>
    </row>
    <row r="5714" spans="1:2" x14ac:dyDescent="0.25">
      <c r="A5714" t="s">
        <v>3359</v>
      </c>
      <c r="B5714" t="s">
        <v>3359</v>
      </c>
    </row>
    <row r="5715" spans="1:2" x14ac:dyDescent="0.25">
      <c r="A5715" t="s">
        <v>3360</v>
      </c>
      <c r="B5715" t="s">
        <v>3360</v>
      </c>
    </row>
    <row r="5716" spans="1:2" x14ac:dyDescent="0.25">
      <c r="A5716" t="s">
        <v>8469</v>
      </c>
      <c r="B5716" t="s">
        <v>3360</v>
      </c>
    </row>
    <row r="5717" spans="1:2" x14ac:dyDescent="0.25">
      <c r="A5717" t="s">
        <v>230</v>
      </c>
      <c r="B5717" t="s">
        <v>230</v>
      </c>
    </row>
    <row r="5718" spans="1:2" x14ac:dyDescent="0.25">
      <c r="A5718" t="s">
        <v>8470</v>
      </c>
      <c r="B5718" t="s">
        <v>230</v>
      </c>
    </row>
    <row r="5719" spans="1:2" x14ac:dyDescent="0.25">
      <c r="A5719" t="s">
        <v>8471</v>
      </c>
      <c r="B5719" t="s">
        <v>230</v>
      </c>
    </row>
    <row r="5720" spans="1:2" x14ac:dyDescent="0.25">
      <c r="A5720" t="s">
        <v>233</v>
      </c>
      <c r="B5720" t="s">
        <v>233</v>
      </c>
    </row>
    <row r="5721" spans="1:2" x14ac:dyDescent="0.25">
      <c r="A5721" t="s">
        <v>8472</v>
      </c>
      <c r="B5721" t="s">
        <v>233</v>
      </c>
    </row>
    <row r="5722" spans="1:2" x14ac:dyDescent="0.25">
      <c r="A5722" t="s">
        <v>8473</v>
      </c>
      <c r="B5722" t="s">
        <v>233</v>
      </c>
    </row>
    <row r="5723" spans="1:2" x14ac:dyDescent="0.25">
      <c r="A5723" t="s">
        <v>235</v>
      </c>
      <c r="B5723" t="s">
        <v>235</v>
      </c>
    </row>
    <row r="5724" spans="1:2" x14ac:dyDescent="0.25">
      <c r="A5724" t="s">
        <v>8474</v>
      </c>
      <c r="B5724" t="s">
        <v>235</v>
      </c>
    </row>
    <row r="5725" spans="1:2" x14ac:dyDescent="0.25">
      <c r="A5725" t="s">
        <v>8475</v>
      </c>
      <c r="B5725" t="s">
        <v>235</v>
      </c>
    </row>
    <row r="5726" spans="1:2" x14ac:dyDescent="0.25">
      <c r="A5726" t="s">
        <v>237</v>
      </c>
      <c r="B5726" t="s">
        <v>237</v>
      </c>
    </row>
    <row r="5727" spans="1:2" x14ac:dyDescent="0.25">
      <c r="A5727" t="s">
        <v>8476</v>
      </c>
      <c r="B5727" t="s">
        <v>237</v>
      </c>
    </row>
    <row r="5728" spans="1:2" x14ac:dyDescent="0.25">
      <c r="A5728" t="s">
        <v>8477</v>
      </c>
      <c r="B5728" t="s">
        <v>237</v>
      </c>
    </row>
    <row r="5729" spans="1:2" x14ac:dyDescent="0.25">
      <c r="A5729" t="s">
        <v>239</v>
      </c>
      <c r="B5729" t="s">
        <v>239</v>
      </c>
    </row>
    <row r="5730" spans="1:2" x14ac:dyDescent="0.25">
      <c r="A5730" t="s">
        <v>8478</v>
      </c>
      <c r="B5730" t="s">
        <v>239</v>
      </c>
    </row>
    <row r="5731" spans="1:2" x14ac:dyDescent="0.25">
      <c r="A5731" t="s">
        <v>8479</v>
      </c>
      <c r="B5731" t="s">
        <v>239</v>
      </c>
    </row>
    <row r="5732" spans="1:2" x14ac:dyDescent="0.25">
      <c r="A5732" t="s">
        <v>241</v>
      </c>
      <c r="B5732" t="s">
        <v>241</v>
      </c>
    </row>
    <row r="5733" spans="1:2" x14ac:dyDescent="0.25">
      <c r="A5733" t="s">
        <v>8480</v>
      </c>
      <c r="B5733" t="s">
        <v>241</v>
      </c>
    </row>
    <row r="5734" spans="1:2" x14ac:dyDescent="0.25">
      <c r="A5734" t="s">
        <v>8481</v>
      </c>
      <c r="B5734" t="s">
        <v>241</v>
      </c>
    </row>
    <row r="5735" spans="1:2" x14ac:dyDescent="0.25">
      <c r="A5735" t="s">
        <v>243</v>
      </c>
      <c r="B5735" t="s">
        <v>243</v>
      </c>
    </row>
    <row r="5736" spans="1:2" x14ac:dyDescent="0.25">
      <c r="A5736" t="s">
        <v>8482</v>
      </c>
      <c r="B5736" t="s">
        <v>243</v>
      </c>
    </row>
    <row r="5737" spans="1:2" x14ac:dyDescent="0.25">
      <c r="A5737" t="s">
        <v>8483</v>
      </c>
      <c r="B5737" t="s">
        <v>243</v>
      </c>
    </row>
    <row r="5738" spans="1:2" x14ac:dyDescent="0.25">
      <c r="A5738" t="s">
        <v>8484</v>
      </c>
      <c r="B5738" t="s">
        <v>243</v>
      </c>
    </row>
    <row r="5739" spans="1:2" x14ac:dyDescent="0.25">
      <c r="A5739" t="s">
        <v>8485</v>
      </c>
      <c r="B5739" t="s">
        <v>243</v>
      </c>
    </row>
    <row r="5740" spans="1:2" x14ac:dyDescent="0.25">
      <c r="A5740" t="s">
        <v>245</v>
      </c>
      <c r="B5740" t="s">
        <v>245</v>
      </c>
    </row>
    <row r="5741" spans="1:2" x14ac:dyDescent="0.25">
      <c r="A5741" t="s">
        <v>8486</v>
      </c>
      <c r="B5741" t="s">
        <v>245</v>
      </c>
    </row>
    <row r="5742" spans="1:2" x14ac:dyDescent="0.25">
      <c r="A5742" t="s">
        <v>8487</v>
      </c>
      <c r="B5742" t="s">
        <v>245</v>
      </c>
    </row>
    <row r="5743" spans="1:2" x14ac:dyDescent="0.25">
      <c r="A5743" t="s">
        <v>8488</v>
      </c>
      <c r="B5743" t="s">
        <v>245</v>
      </c>
    </row>
    <row r="5744" spans="1:2" x14ac:dyDescent="0.25">
      <c r="A5744" t="s">
        <v>247</v>
      </c>
      <c r="B5744" t="s">
        <v>247</v>
      </c>
    </row>
    <row r="5745" spans="1:2" x14ac:dyDescent="0.25">
      <c r="A5745" t="s">
        <v>8489</v>
      </c>
      <c r="B5745" t="s">
        <v>247</v>
      </c>
    </row>
    <row r="5746" spans="1:2" x14ac:dyDescent="0.25">
      <c r="A5746" t="s">
        <v>8490</v>
      </c>
      <c r="B5746" t="s">
        <v>247</v>
      </c>
    </row>
    <row r="5747" spans="1:2" x14ac:dyDescent="0.25">
      <c r="A5747" t="s">
        <v>249</v>
      </c>
      <c r="B5747" t="s">
        <v>249</v>
      </c>
    </row>
    <row r="5748" spans="1:2" x14ac:dyDescent="0.25">
      <c r="A5748" t="s">
        <v>8491</v>
      </c>
      <c r="B5748" t="s">
        <v>249</v>
      </c>
    </row>
    <row r="5749" spans="1:2" x14ac:dyDescent="0.25">
      <c r="A5749" t="s">
        <v>8492</v>
      </c>
      <c r="B5749" t="s">
        <v>249</v>
      </c>
    </row>
    <row r="5750" spans="1:2" x14ac:dyDescent="0.25">
      <c r="A5750" t="s">
        <v>251</v>
      </c>
      <c r="B5750" t="s">
        <v>251</v>
      </c>
    </row>
    <row r="5751" spans="1:2" x14ac:dyDescent="0.25">
      <c r="A5751" t="s">
        <v>8493</v>
      </c>
      <c r="B5751" t="s">
        <v>251</v>
      </c>
    </row>
    <row r="5752" spans="1:2" x14ac:dyDescent="0.25">
      <c r="A5752" t="s">
        <v>8494</v>
      </c>
      <c r="B5752" t="s">
        <v>251</v>
      </c>
    </row>
    <row r="5753" spans="1:2" x14ac:dyDescent="0.25">
      <c r="A5753" t="s">
        <v>253</v>
      </c>
      <c r="B5753" t="s">
        <v>253</v>
      </c>
    </row>
    <row r="5754" spans="1:2" x14ac:dyDescent="0.25">
      <c r="A5754" t="s">
        <v>8495</v>
      </c>
      <c r="B5754" t="s">
        <v>253</v>
      </c>
    </row>
    <row r="5755" spans="1:2" x14ac:dyDescent="0.25">
      <c r="A5755" t="s">
        <v>8496</v>
      </c>
      <c r="B5755" t="s">
        <v>253</v>
      </c>
    </row>
    <row r="5756" spans="1:2" x14ac:dyDescent="0.25">
      <c r="A5756" t="s">
        <v>255</v>
      </c>
      <c r="B5756" t="s">
        <v>255</v>
      </c>
    </row>
    <row r="5757" spans="1:2" x14ac:dyDescent="0.25">
      <c r="A5757" t="s">
        <v>8497</v>
      </c>
      <c r="B5757" t="s">
        <v>255</v>
      </c>
    </row>
    <row r="5758" spans="1:2" x14ac:dyDescent="0.25">
      <c r="A5758" t="s">
        <v>8498</v>
      </c>
      <c r="B5758" t="s">
        <v>255</v>
      </c>
    </row>
    <row r="5759" spans="1:2" x14ac:dyDescent="0.25">
      <c r="A5759" t="s">
        <v>8499</v>
      </c>
      <c r="B5759" t="s">
        <v>3361</v>
      </c>
    </row>
    <row r="5760" spans="1:2" x14ac:dyDescent="0.25">
      <c r="A5760" t="s">
        <v>8500</v>
      </c>
      <c r="B5760" t="s">
        <v>4629</v>
      </c>
    </row>
    <row r="5761" spans="1:2" x14ac:dyDescent="0.25">
      <c r="A5761" t="s">
        <v>2313</v>
      </c>
      <c r="B5761" t="s">
        <v>2313</v>
      </c>
    </row>
    <row r="5762" spans="1:2" x14ac:dyDescent="0.25">
      <c r="A5762" t="s">
        <v>8501</v>
      </c>
      <c r="B5762" t="s">
        <v>2313</v>
      </c>
    </row>
    <row r="5763" spans="1:2" x14ac:dyDescent="0.25">
      <c r="A5763" t="s">
        <v>4632</v>
      </c>
      <c r="B5763" t="s">
        <v>4632</v>
      </c>
    </row>
    <row r="5764" spans="1:2" x14ac:dyDescent="0.25">
      <c r="A5764" t="s">
        <v>8502</v>
      </c>
      <c r="B5764" t="s">
        <v>4632</v>
      </c>
    </row>
    <row r="5765" spans="1:2" x14ac:dyDescent="0.25">
      <c r="A5765" t="s">
        <v>2806</v>
      </c>
      <c r="B5765" t="s">
        <v>2806</v>
      </c>
    </row>
    <row r="5766" spans="1:2" x14ac:dyDescent="0.25">
      <c r="A5766" t="s">
        <v>8503</v>
      </c>
      <c r="B5766" t="s">
        <v>2806</v>
      </c>
    </row>
    <row r="5767" spans="1:2" x14ac:dyDescent="0.25">
      <c r="A5767" t="s">
        <v>8504</v>
      </c>
      <c r="B5767" t="s">
        <v>2195</v>
      </c>
    </row>
    <row r="5768" spans="1:2" x14ac:dyDescent="0.25">
      <c r="A5768" t="s">
        <v>257</v>
      </c>
      <c r="B5768" t="s">
        <v>257</v>
      </c>
    </row>
    <row r="5769" spans="1:2" x14ac:dyDescent="0.25">
      <c r="A5769" t="s">
        <v>8505</v>
      </c>
      <c r="B5769" t="s">
        <v>257</v>
      </c>
    </row>
    <row r="5770" spans="1:2" x14ac:dyDescent="0.25">
      <c r="A5770" t="s">
        <v>8506</v>
      </c>
      <c r="B5770" t="s">
        <v>257</v>
      </c>
    </row>
    <row r="5771" spans="1:2" x14ac:dyDescent="0.25">
      <c r="A5771" t="s">
        <v>259</v>
      </c>
      <c r="B5771" t="s">
        <v>259</v>
      </c>
    </row>
    <row r="5772" spans="1:2" x14ac:dyDescent="0.25">
      <c r="A5772" t="s">
        <v>8507</v>
      </c>
      <c r="B5772" t="s">
        <v>259</v>
      </c>
    </row>
    <row r="5773" spans="1:2" x14ac:dyDescent="0.25">
      <c r="A5773" t="s">
        <v>8508</v>
      </c>
      <c r="B5773" t="s">
        <v>259</v>
      </c>
    </row>
    <row r="5774" spans="1:2" x14ac:dyDescent="0.25">
      <c r="A5774" t="s">
        <v>3362</v>
      </c>
      <c r="B5774" t="s">
        <v>3362</v>
      </c>
    </row>
    <row r="5775" spans="1:2" x14ac:dyDescent="0.25">
      <c r="A5775" t="s">
        <v>8509</v>
      </c>
      <c r="B5775" t="s">
        <v>3362</v>
      </c>
    </row>
    <row r="5776" spans="1:2" x14ac:dyDescent="0.25">
      <c r="A5776" t="s">
        <v>2808</v>
      </c>
      <c r="B5776" t="s">
        <v>2808</v>
      </c>
    </row>
    <row r="5777" spans="1:2" x14ac:dyDescent="0.25">
      <c r="A5777" t="s">
        <v>8510</v>
      </c>
      <c r="B5777" t="s">
        <v>2808</v>
      </c>
    </row>
    <row r="5778" spans="1:2" x14ac:dyDescent="0.25">
      <c r="A5778" t="s">
        <v>8511</v>
      </c>
      <c r="B5778" t="s">
        <v>5201</v>
      </c>
    </row>
    <row r="5779" spans="1:2" x14ac:dyDescent="0.25">
      <c r="A5779" t="s">
        <v>3363</v>
      </c>
      <c r="B5779" t="s">
        <v>3363</v>
      </c>
    </row>
    <row r="5780" spans="1:2" x14ac:dyDescent="0.25">
      <c r="A5780" t="s">
        <v>8512</v>
      </c>
      <c r="B5780" t="s">
        <v>3363</v>
      </c>
    </row>
    <row r="5781" spans="1:2" x14ac:dyDescent="0.25">
      <c r="A5781" t="s">
        <v>8513</v>
      </c>
      <c r="B5781" t="s">
        <v>3364</v>
      </c>
    </row>
    <row r="5782" spans="1:2" x14ac:dyDescent="0.25">
      <c r="A5782" t="s">
        <v>8514</v>
      </c>
      <c r="B5782" t="s">
        <v>3365</v>
      </c>
    </row>
    <row r="5783" spans="1:2" x14ac:dyDescent="0.25">
      <c r="A5783" t="s">
        <v>8515</v>
      </c>
      <c r="B5783" t="s">
        <v>2193</v>
      </c>
    </row>
    <row r="5784" spans="1:2" x14ac:dyDescent="0.25">
      <c r="A5784" t="s">
        <v>2197</v>
      </c>
      <c r="B5784" t="s">
        <v>2197</v>
      </c>
    </row>
    <row r="5785" spans="1:2" x14ac:dyDescent="0.25">
      <c r="A5785" t="s">
        <v>8516</v>
      </c>
      <c r="B5785" t="s">
        <v>2197</v>
      </c>
    </row>
    <row r="5786" spans="1:2" x14ac:dyDescent="0.25">
      <c r="A5786" t="s">
        <v>2574</v>
      </c>
      <c r="B5786" t="s">
        <v>2574</v>
      </c>
    </row>
    <row r="5787" spans="1:2" x14ac:dyDescent="0.25">
      <c r="A5787" t="s">
        <v>8517</v>
      </c>
      <c r="B5787" t="s">
        <v>2574</v>
      </c>
    </row>
    <row r="5788" spans="1:2" x14ac:dyDescent="0.25">
      <c r="A5788" t="s">
        <v>2575</v>
      </c>
      <c r="B5788" t="s">
        <v>2575</v>
      </c>
    </row>
    <row r="5789" spans="1:2" x14ac:dyDescent="0.25">
      <c r="A5789" t="s">
        <v>8518</v>
      </c>
      <c r="B5789" t="s">
        <v>2575</v>
      </c>
    </row>
    <row r="5790" spans="1:2" x14ac:dyDescent="0.25">
      <c r="A5790" t="s">
        <v>8519</v>
      </c>
      <c r="B5790" t="s">
        <v>4644</v>
      </c>
    </row>
    <row r="5791" spans="1:2" x14ac:dyDescent="0.25">
      <c r="A5791" t="s">
        <v>8520</v>
      </c>
      <c r="B5791" t="s">
        <v>8520</v>
      </c>
    </row>
    <row r="5792" spans="1:2" x14ac:dyDescent="0.25">
      <c r="A5792" t="s">
        <v>8521</v>
      </c>
      <c r="B5792" t="s">
        <v>8522</v>
      </c>
    </row>
    <row r="5793" spans="1:2" x14ac:dyDescent="0.25">
      <c r="A5793" t="s">
        <v>8523</v>
      </c>
      <c r="B5793" t="s">
        <v>4646</v>
      </c>
    </row>
    <row r="5794" spans="1:2" x14ac:dyDescent="0.25">
      <c r="A5794" t="s">
        <v>2810</v>
      </c>
      <c r="B5794" t="s">
        <v>2810</v>
      </c>
    </row>
    <row r="5795" spans="1:2" x14ac:dyDescent="0.25">
      <c r="A5795" t="s">
        <v>8524</v>
      </c>
      <c r="B5795" t="s">
        <v>2810</v>
      </c>
    </row>
    <row r="5796" spans="1:2" x14ac:dyDescent="0.25">
      <c r="A5796" t="s">
        <v>8525</v>
      </c>
      <c r="B5796" t="s">
        <v>8525</v>
      </c>
    </row>
    <row r="5797" spans="1:2" x14ac:dyDescent="0.25">
      <c r="A5797" t="s">
        <v>8526</v>
      </c>
      <c r="B5797" t="s">
        <v>2810</v>
      </c>
    </row>
    <row r="5798" spans="1:2" x14ac:dyDescent="0.25">
      <c r="A5798" t="s">
        <v>2812</v>
      </c>
      <c r="B5798" t="s">
        <v>2812</v>
      </c>
    </row>
    <row r="5799" spans="1:2" x14ac:dyDescent="0.25">
      <c r="A5799" t="s">
        <v>8527</v>
      </c>
      <c r="B5799" t="s">
        <v>2812</v>
      </c>
    </row>
    <row r="5800" spans="1:2" x14ac:dyDescent="0.25">
      <c r="A5800" t="s">
        <v>8528</v>
      </c>
      <c r="B5800" t="s">
        <v>2812</v>
      </c>
    </row>
    <row r="5801" spans="1:2" x14ac:dyDescent="0.25">
      <c r="A5801" t="s">
        <v>8529</v>
      </c>
      <c r="B5801" t="s">
        <v>2812</v>
      </c>
    </row>
    <row r="5802" spans="1:2" x14ac:dyDescent="0.25">
      <c r="A5802" t="s">
        <v>8530</v>
      </c>
      <c r="B5802" t="s">
        <v>2812</v>
      </c>
    </row>
    <row r="5803" spans="1:2" x14ac:dyDescent="0.25">
      <c r="A5803" t="s">
        <v>261</v>
      </c>
      <c r="B5803" t="s">
        <v>261</v>
      </c>
    </row>
    <row r="5804" spans="1:2" x14ac:dyDescent="0.25">
      <c r="A5804" t="s">
        <v>8531</v>
      </c>
      <c r="B5804" t="s">
        <v>261</v>
      </c>
    </row>
    <row r="5805" spans="1:2" x14ac:dyDescent="0.25">
      <c r="A5805" t="s">
        <v>8532</v>
      </c>
      <c r="B5805" t="s">
        <v>261</v>
      </c>
    </row>
    <row r="5806" spans="1:2" x14ac:dyDescent="0.25">
      <c r="A5806" t="s">
        <v>8533</v>
      </c>
      <c r="B5806" t="s">
        <v>261</v>
      </c>
    </row>
    <row r="5807" spans="1:2" x14ac:dyDescent="0.25">
      <c r="A5807" t="s">
        <v>8534</v>
      </c>
      <c r="B5807" t="s">
        <v>261</v>
      </c>
    </row>
    <row r="5808" spans="1:2" x14ac:dyDescent="0.25">
      <c r="A5808" t="s">
        <v>263</v>
      </c>
      <c r="B5808" t="s">
        <v>263</v>
      </c>
    </row>
    <row r="5809" spans="1:2" x14ac:dyDescent="0.25">
      <c r="A5809" t="s">
        <v>8535</v>
      </c>
      <c r="B5809" t="s">
        <v>263</v>
      </c>
    </row>
    <row r="5810" spans="1:2" x14ac:dyDescent="0.25">
      <c r="A5810" t="s">
        <v>8536</v>
      </c>
      <c r="B5810" t="s">
        <v>263</v>
      </c>
    </row>
    <row r="5811" spans="1:2" x14ac:dyDescent="0.25">
      <c r="A5811" t="s">
        <v>8537</v>
      </c>
      <c r="B5811" t="s">
        <v>263</v>
      </c>
    </row>
    <row r="5812" spans="1:2" x14ac:dyDescent="0.25">
      <c r="A5812" t="s">
        <v>8538</v>
      </c>
      <c r="B5812" t="s">
        <v>263</v>
      </c>
    </row>
    <row r="5813" spans="1:2" x14ac:dyDescent="0.25">
      <c r="A5813" t="s">
        <v>8539</v>
      </c>
      <c r="B5813" t="s">
        <v>3386</v>
      </c>
    </row>
    <row r="5814" spans="1:2" x14ac:dyDescent="0.25">
      <c r="A5814" t="s">
        <v>8540</v>
      </c>
      <c r="B5814" t="s">
        <v>3386</v>
      </c>
    </row>
    <row r="5815" spans="1:2" x14ac:dyDescent="0.25">
      <c r="A5815" t="s">
        <v>8541</v>
      </c>
      <c r="B5815" t="s">
        <v>3386</v>
      </c>
    </row>
    <row r="5816" spans="1:2" x14ac:dyDescent="0.25">
      <c r="A5816" t="s">
        <v>8542</v>
      </c>
      <c r="B5816" t="s">
        <v>263</v>
      </c>
    </row>
    <row r="5817" spans="1:2" x14ac:dyDescent="0.25">
      <c r="A5817" t="s">
        <v>265</v>
      </c>
      <c r="B5817" t="s">
        <v>265</v>
      </c>
    </row>
    <row r="5818" spans="1:2" x14ac:dyDescent="0.25">
      <c r="A5818" t="s">
        <v>8543</v>
      </c>
      <c r="B5818" t="s">
        <v>265</v>
      </c>
    </row>
    <row r="5819" spans="1:2" x14ac:dyDescent="0.25">
      <c r="A5819" t="s">
        <v>8544</v>
      </c>
      <c r="B5819" t="s">
        <v>265</v>
      </c>
    </row>
    <row r="5820" spans="1:2" x14ac:dyDescent="0.25">
      <c r="A5820" t="s">
        <v>8545</v>
      </c>
      <c r="B5820" t="s">
        <v>265</v>
      </c>
    </row>
    <row r="5821" spans="1:2" x14ac:dyDescent="0.25">
      <c r="A5821" t="s">
        <v>352</v>
      </c>
      <c r="B5821" t="s">
        <v>352</v>
      </c>
    </row>
    <row r="5822" spans="1:2" x14ac:dyDescent="0.25">
      <c r="A5822" t="s">
        <v>8546</v>
      </c>
      <c r="B5822" t="s">
        <v>352</v>
      </c>
    </row>
    <row r="5823" spans="1:2" x14ac:dyDescent="0.25">
      <c r="A5823" t="s">
        <v>8547</v>
      </c>
      <c r="B5823" t="s">
        <v>352</v>
      </c>
    </row>
    <row r="5824" spans="1:2" x14ac:dyDescent="0.25">
      <c r="A5824" t="s">
        <v>8548</v>
      </c>
      <c r="B5824" t="s">
        <v>5209</v>
      </c>
    </row>
    <row r="5825" spans="1:2" x14ac:dyDescent="0.25">
      <c r="A5825" t="s">
        <v>8549</v>
      </c>
      <c r="B5825" t="s">
        <v>352</v>
      </c>
    </row>
    <row r="5826" spans="1:2" x14ac:dyDescent="0.25">
      <c r="A5826" t="s">
        <v>8550</v>
      </c>
      <c r="B5826" t="s">
        <v>5209</v>
      </c>
    </row>
    <row r="5827" spans="1:2" x14ac:dyDescent="0.25">
      <c r="A5827" t="s">
        <v>8551</v>
      </c>
      <c r="B5827" t="s">
        <v>263</v>
      </c>
    </row>
    <row r="5828" spans="1:2" x14ac:dyDescent="0.25">
      <c r="A5828" t="s">
        <v>8552</v>
      </c>
      <c r="B5828" t="s">
        <v>8552</v>
      </c>
    </row>
    <row r="5829" spans="1:2" x14ac:dyDescent="0.25">
      <c r="A5829" t="s">
        <v>3389</v>
      </c>
      <c r="B5829" t="s">
        <v>3389</v>
      </c>
    </row>
    <row r="5830" spans="1:2" x14ac:dyDescent="0.25">
      <c r="A5830" t="s">
        <v>2314</v>
      </c>
      <c r="B5830" t="s">
        <v>2314</v>
      </c>
    </row>
    <row r="5831" spans="1:2" x14ac:dyDescent="0.25">
      <c r="A5831" t="s">
        <v>8553</v>
      </c>
      <c r="B5831" t="s">
        <v>2314</v>
      </c>
    </row>
    <row r="5832" spans="1:2" x14ac:dyDescent="0.25">
      <c r="A5832" t="s">
        <v>8554</v>
      </c>
      <c r="B5832" t="s">
        <v>2314</v>
      </c>
    </row>
    <row r="5833" spans="1:2" x14ac:dyDescent="0.25">
      <c r="A5833" t="s">
        <v>8555</v>
      </c>
      <c r="B5833" t="s">
        <v>2314</v>
      </c>
    </row>
    <row r="5834" spans="1:2" x14ac:dyDescent="0.25">
      <c r="A5834" t="s">
        <v>8556</v>
      </c>
      <c r="B5834" t="s">
        <v>261</v>
      </c>
    </row>
    <row r="5835" spans="1:2" x14ac:dyDescent="0.25">
      <c r="A5835" t="s">
        <v>2315</v>
      </c>
      <c r="B5835" t="s">
        <v>2315</v>
      </c>
    </row>
    <row r="5836" spans="1:2" x14ac:dyDescent="0.25">
      <c r="A5836" t="s">
        <v>8557</v>
      </c>
      <c r="B5836" t="s">
        <v>2315</v>
      </c>
    </row>
    <row r="5837" spans="1:2" x14ac:dyDescent="0.25">
      <c r="A5837" t="s">
        <v>8558</v>
      </c>
      <c r="B5837" t="s">
        <v>8559</v>
      </c>
    </row>
    <row r="5838" spans="1:2" x14ac:dyDescent="0.25">
      <c r="A5838" t="s">
        <v>8560</v>
      </c>
      <c r="B5838" t="s">
        <v>2315</v>
      </c>
    </row>
    <row r="5839" spans="1:2" x14ac:dyDescent="0.25">
      <c r="A5839" t="s">
        <v>8561</v>
      </c>
      <c r="B5839" t="s">
        <v>3938</v>
      </c>
    </row>
    <row r="5840" spans="1:2" x14ac:dyDescent="0.25">
      <c r="A5840" t="s">
        <v>8562</v>
      </c>
      <c r="B5840" t="s">
        <v>3367</v>
      </c>
    </row>
    <row r="5841" spans="1:2" x14ac:dyDescent="0.25">
      <c r="A5841" t="s">
        <v>2373</v>
      </c>
      <c r="B5841" t="s">
        <v>2373</v>
      </c>
    </row>
    <row r="5842" spans="1:2" x14ac:dyDescent="0.25">
      <c r="A5842" t="s">
        <v>8563</v>
      </c>
      <c r="B5842" t="s">
        <v>2373</v>
      </c>
    </row>
    <row r="5843" spans="1:2" x14ac:dyDescent="0.25">
      <c r="A5843" t="s">
        <v>8564</v>
      </c>
      <c r="B5843" t="s">
        <v>5209</v>
      </c>
    </row>
    <row r="5844" spans="1:2" x14ac:dyDescent="0.25">
      <c r="A5844" t="s">
        <v>1645</v>
      </c>
      <c r="B5844" t="s">
        <v>1645</v>
      </c>
    </row>
    <row r="5845" spans="1:2" x14ac:dyDescent="0.25">
      <c r="A5845" t="s">
        <v>8565</v>
      </c>
      <c r="B5845" t="s">
        <v>1645</v>
      </c>
    </row>
    <row r="5846" spans="1:2" x14ac:dyDescent="0.25">
      <c r="A5846" t="s">
        <v>8566</v>
      </c>
      <c r="B5846" t="s">
        <v>1645</v>
      </c>
    </row>
    <row r="5847" spans="1:2" x14ac:dyDescent="0.25">
      <c r="A5847" t="s">
        <v>8567</v>
      </c>
      <c r="B5847" t="s">
        <v>1645</v>
      </c>
    </row>
    <row r="5848" spans="1:2" x14ac:dyDescent="0.25">
      <c r="A5848" t="s">
        <v>8568</v>
      </c>
      <c r="B5848" t="s">
        <v>3943</v>
      </c>
    </row>
    <row r="5849" spans="1:2" x14ac:dyDescent="0.25">
      <c r="A5849" t="s">
        <v>2316</v>
      </c>
      <c r="B5849" t="s">
        <v>2316</v>
      </c>
    </row>
    <row r="5850" spans="1:2" x14ac:dyDescent="0.25">
      <c r="A5850" t="s">
        <v>8569</v>
      </c>
      <c r="B5850" t="s">
        <v>2316</v>
      </c>
    </row>
    <row r="5851" spans="1:2" x14ac:dyDescent="0.25">
      <c r="A5851" t="s">
        <v>8570</v>
      </c>
      <c r="B5851" t="s">
        <v>2316</v>
      </c>
    </row>
    <row r="5852" spans="1:2" x14ac:dyDescent="0.25">
      <c r="A5852" t="s">
        <v>8571</v>
      </c>
      <c r="B5852" t="s">
        <v>2316</v>
      </c>
    </row>
    <row r="5853" spans="1:2" x14ac:dyDescent="0.25">
      <c r="A5853" t="s">
        <v>8572</v>
      </c>
      <c r="B5853" t="s">
        <v>2316</v>
      </c>
    </row>
    <row r="5854" spans="1:2" x14ac:dyDescent="0.25">
      <c r="A5854" t="s">
        <v>3368</v>
      </c>
      <c r="B5854" t="s">
        <v>3368</v>
      </c>
    </row>
    <row r="5855" spans="1:2" x14ac:dyDescent="0.25">
      <c r="A5855" t="s">
        <v>2372</v>
      </c>
      <c r="B5855" t="s">
        <v>2372</v>
      </c>
    </row>
    <row r="5856" spans="1:2" x14ac:dyDescent="0.25">
      <c r="A5856" t="s">
        <v>8573</v>
      </c>
      <c r="B5856" t="s">
        <v>2372</v>
      </c>
    </row>
    <row r="5857" spans="1:2" x14ac:dyDescent="0.25">
      <c r="A5857" t="s">
        <v>8574</v>
      </c>
      <c r="B5857" t="s">
        <v>2372</v>
      </c>
    </row>
    <row r="5858" spans="1:2" x14ac:dyDescent="0.25">
      <c r="A5858" t="s">
        <v>8575</v>
      </c>
      <c r="B5858" t="s">
        <v>3948</v>
      </c>
    </row>
    <row r="5859" spans="1:2" x14ac:dyDescent="0.25">
      <c r="A5859" t="s">
        <v>8576</v>
      </c>
      <c r="B5859" t="s">
        <v>3950</v>
      </c>
    </row>
    <row r="5860" spans="1:2" x14ac:dyDescent="0.25">
      <c r="A5860" t="s">
        <v>8577</v>
      </c>
      <c r="B5860" t="s">
        <v>3953</v>
      </c>
    </row>
    <row r="5861" spans="1:2" x14ac:dyDescent="0.25">
      <c r="A5861" t="s">
        <v>8578</v>
      </c>
      <c r="B5861" t="s">
        <v>3955</v>
      </c>
    </row>
    <row r="5862" spans="1:2" x14ac:dyDescent="0.25">
      <c r="A5862" t="s">
        <v>8579</v>
      </c>
      <c r="B5862" t="s">
        <v>3957</v>
      </c>
    </row>
    <row r="5863" spans="1:2" x14ac:dyDescent="0.25">
      <c r="A5863" t="s">
        <v>8580</v>
      </c>
      <c r="B5863" t="s">
        <v>3959</v>
      </c>
    </row>
    <row r="5864" spans="1:2" x14ac:dyDescent="0.25">
      <c r="A5864" t="s">
        <v>8581</v>
      </c>
      <c r="B5864" t="s">
        <v>3264</v>
      </c>
    </row>
    <row r="5865" spans="1:2" x14ac:dyDescent="0.25">
      <c r="A5865" t="s">
        <v>8582</v>
      </c>
      <c r="B5865" t="s">
        <v>2981</v>
      </c>
    </row>
    <row r="5866" spans="1:2" x14ac:dyDescent="0.25">
      <c r="A5866" t="s">
        <v>8583</v>
      </c>
      <c r="B5866" t="s">
        <v>4152</v>
      </c>
    </row>
    <row r="5867" spans="1:2" x14ac:dyDescent="0.25">
      <c r="A5867" t="s">
        <v>8584</v>
      </c>
      <c r="B5867" t="s">
        <v>3380</v>
      </c>
    </row>
    <row r="5868" spans="1:2" x14ac:dyDescent="0.25">
      <c r="A5868" t="s">
        <v>8585</v>
      </c>
      <c r="B5868" t="s">
        <v>8586</v>
      </c>
    </row>
    <row r="5869" spans="1:2" x14ac:dyDescent="0.25">
      <c r="A5869" t="s">
        <v>8587</v>
      </c>
      <c r="B5869" t="s">
        <v>2439</v>
      </c>
    </row>
    <row r="5870" spans="1:2" x14ac:dyDescent="0.25">
      <c r="A5870" t="s">
        <v>8588</v>
      </c>
      <c r="B5870" t="s">
        <v>2445</v>
      </c>
    </row>
    <row r="5871" spans="1:2" x14ac:dyDescent="0.25">
      <c r="A5871" t="s">
        <v>8589</v>
      </c>
      <c r="B5871" t="s">
        <v>4009</v>
      </c>
    </row>
    <row r="5872" spans="1:2" x14ac:dyDescent="0.25">
      <c r="A5872" t="s">
        <v>8590</v>
      </c>
      <c r="B5872" t="s">
        <v>4011</v>
      </c>
    </row>
    <row r="5873" spans="1:2" x14ac:dyDescent="0.25">
      <c r="A5873" t="s">
        <v>8591</v>
      </c>
      <c r="B5873" t="s">
        <v>4036</v>
      </c>
    </row>
    <row r="5874" spans="1:2" x14ac:dyDescent="0.25">
      <c r="A5874" t="s">
        <v>8592</v>
      </c>
      <c r="B5874" t="s">
        <v>4038</v>
      </c>
    </row>
    <row r="5875" spans="1:2" x14ac:dyDescent="0.25">
      <c r="A5875" t="s">
        <v>8593</v>
      </c>
      <c r="B5875" t="s">
        <v>4046</v>
      </c>
    </row>
    <row r="5876" spans="1:2" x14ac:dyDescent="0.25">
      <c r="A5876" t="s">
        <v>8594</v>
      </c>
      <c r="B5876" t="s">
        <v>4048</v>
      </c>
    </row>
    <row r="5877" spans="1:2" x14ac:dyDescent="0.25">
      <c r="A5877" t="s">
        <v>8595</v>
      </c>
      <c r="B5877" t="s">
        <v>4050</v>
      </c>
    </row>
    <row r="5878" spans="1:2" x14ac:dyDescent="0.25">
      <c r="A5878" t="s">
        <v>8596</v>
      </c>
      <c r="B5878" t="s">
        <v>4057</v>
      </c>
    </row>
    <row r="5879" spans="1:2" x14ac:dyDescent="0.25">
      <c r="A5879" t="s">
        <v>8597</v>
      </c>
      <c r="B5879" t="s">
        <v>4059</v>
      </c>
    </row>
    <row r="5880" spans="1:2" x14ac:dyDescent="0.25">
      <c r="A5880" t="s">
        <v>8598</v>
      </c>
      <c r="B5880" t="s">
        <v>4061</v>
      </c>
    </row>
    <row r="5881" spans="1:2" x14ac:dyDescent="0.25">
      <c r="A5881" t="s">
        <v>8599</v>
      </c>
      <c r="B5881" t="s">
        <v>3228</v>
      </c>
    </row>
    <row r="5882" spans="1:2" x14ac:dyDescent="0.25">
      <c r="A5882" t="s">
        <v>8600</v>
      </c>
      <c r="B5882" t="s">
        <v>3229</v>
      </c>
    </row>
    <row r="5883" spans="1:2" x14ac:dyDescent="0.25">
      <c r="A5883" t="s">
        <v>8601</v>
      </c>
      <c r="B5883" t="s">
        <v>2430</v>
      </c>
    </row>
    <row r="5884" spans="1:2" x14ac:dyDescent="0.25">
      <c r="A5884" t="s">
        <v>8602</v>
      </c>
      <c r="B5884" t="s">
        <v>5722</v>
      </c>
    </row>
    <row r="5885" spans="1:2" x14ac:dyDescent="0.25">
      <c r="A5885" t="s">
        <v>8603</v>
      </c>
      <c r="B5885" t="s">
        <v>4075</v>
      </c>
    </row>
    <row r="5886" spans="1:2" x14ac:dyDescent="0.25">
      <c r="A5886" t="s">
        <v>8604</v>
      </c>
      <c r="B5886" t="s">
        <v>4089</v>
      </c>
    </row>
    <row r="5887" spans="1:2" x14ac:dyDescent="0.25">
      <c r="A5887" t="s">
        <v>8605</v>
      </c>
      <c r="B5887" t="s">
        <v>4173</v>
      </c>
    </row>
    <row r="5888" spans="1:2" x14ac:dyDescent="0.25">
      <c r="A5888" t="s">
        <v>8606</v>
      </c>
      <c r="B5888" t="s">
        <v>5199</v>
      </c>
    </row>
    <row r="5889" spans="1:2" x14ac:dyDescent="0.25">
      <c r="A5889" t="s">
        <v>8607</v>
      </c>
      <c r="B5889" t="s">
        <v>4825</v>
      </c>
    </row>
    <row r="5890" spans="1:2" x14ac:dyDescent="0.25">
      <c r="A5890" t="s">
        <v>8608</v>
      </c>
      <c r="B5890" t="s">
        <v>3218</v>
      </c>
    </row>
    <row r="5891" spans="1:2" x14ac:dyDescent="0.25">
      <c r="A5891" t="s">
        <v>8609</v>
      </c>
      <c r="B5891" t="s">
        <v>3933</v>
      </c>
    </row>
    <row r="5892" spans="1:2" x14ac:dyDescent="0.25">
      <c r="A5892" t="s">
        <v>8610</v>
      </c>
      <c r="B5892" t="s">
        <v>4270</v>
      </c>
    </row>
    <row r="5893" spans="1:2" x14ac:dyDescent="0.25">
      <c r="A5893" t="s">
        <v>8611</v>
      </c>
      <c r="B5893" t="s">
        <v>4306</v>
      </c>
    </row>
    <row r="5894" spans="1:2" x14ac:dyDescent="0.25">
      <c r="A5894" t="s">
        <v>8612</v>
      </c>
      <c r="B5894" t="s">
        <v>2320</v>
      </c>
    </row>
    <row r="5895" spans="1:2" x14ac:dyDescent="0.25">
      <c r="A5895" t="s">
        <v>8613</v>
      </c>
      <c r="B5895" t="s">
        <v>4313</v>
      </c>
    </row>
    <row r="5896" spans="1:2" x14ac:dyDescent="0.25">
      <c r="A5896" t="s">
        <v>8614</v>
      </c>
      <c r="B5896" t="s">
        <v>4315</v>
      </c>
    </row>
    <row r="5897" spans="1:2" x14ac:dyDescent="0.25">
      <c r="A5897" t="s">
        <v>8615</v>
      </c>
      <c r="B5897" t="s">
        <v>4320</v>
      </c>
    </row>
    <row r="5898" spans="1:2" x14ac:dyDescent="0.25">
      <c r="A5898" t="s">
        <v>8616</v>
      </c>
      <c r="B5898" t="s">
        <v>4771</v>
      </c>
    </row>
    <row r="5899" spans="1:2" x14ac:dyDescent="0.25">
      <c r="A5899" t="s">
        <v>8617</v>
      </c>
      <c r="B5899" t="s">
        <v>3163</v>
      </c>
    </row>
    <row r="5900" spans="1:2" x14ac:dyDescent="0.25">
      <c r="A5900" t="s">
        <v>8618</v>
      </c>
      <c r="B5900" t="s">
        <v>3366</v>
      </c>
    </row>
    <row r="5901" spans="1:2" x14ac:dyDescent="0.25">
      <c r="A5901" t="s">
        <v>8619</v>
      </c>
      <c r="B5901" t="s">
        <v>3943</v>
      </c>
    </row>
    <row r="5902" spans="1:2" x14ac:dyDescent="0.25">
      <c r="A5902" t="s">
        <v>8620</v>
      </c>
      <c r="B5902" t="s">
        <v>4328</v>
      </c>
    </row>
    <row r="5903" spans="1:2" x14ac:dyDescent="0.25">
      <c r="A5903" t="s">
        <v>8621</v>
      </c>
      <c r="B5903" t="s">
        <v>4333</v>
      </c>
    </row>
    <row r="5904" spans="1:2" x14ac:dyDescent="0.25">
      <c r="A5904" t="s">
        <v>8622</v>
      </c>
      <c r="B5904" t="s">
        <v>4335</v>
      </c>
    </row>
    <row r="5905" spans="1:2" x14ac:dyDescent="0.25">
      <c r="A5905" t="s">
        <v>8623</v>
      </c>
      <c r="B5905" t="s">
        <v>4389</v>
      </c>
    </row>
    <row r="5906" spans="1:2" x14ac:dyDescent="0.25">
      <c r="A5906" t="s">
        <v>8624</v>
      </c>
      <c r="B5906" t="s">
        <v>3373</v>
      </c>
    </row>
    <row r="5907" spans="1:2" x14ac:dyDescent="0.25">
      <c r="A5907" t="s">
        <v>8625</v>
      </c>
      <c r="B5907" t="s">
        <v>4396</v>
      </c>
    </row>
    <row r="5908" spans="1:2" x14ac:dyDescent="0.25">
      <c r="A5908" t="s">
        <v>8626</v>
      </c>
      <c r="B5908" t="s">
        <v>4398</v>
      </c>
    </row>
    <row r="5909" spans="1:2" x14ac:dyDescent="0.25">
      <c r="A5909" t="s">
        <v>8627</v>
      </c>
      <c r="B5909" t="s">
        <v>8628</v>
      </c>
    </row>
    <row r="5910" spans="1:2" x14ac:dyDescent="0.25">
      <c r="A5910" t="s">
        <v>8629</v>
      </c>
      <c r="B5910" t="s">
        <v>4032</v>
      </c>
    </row>
    <row r="5911" spans="1:2" x14ac:dyDescent="0.25">
      <c r="A5911" t="s">
        <v>8630</v>
      </c>
      <c r="B5911" t="s">
        <v>4042</v>
      </c>
    </row>
    <row r="5912" spans="1:2" x14ac:dyDescent="0.25">
      <c r="A5912" t="s">
        <v>8631</v>
      </c>
      <c r="B5912" t="s">
        <v>4044</v>
      </c>
    </row>
    <row r="5913" spans="1:2" x14ac:dyDescent="0.25">
      <c r="A5913" t="s">
        <v>8632</v>
      </c>
      <c r="B5913" t="s">
        <v>3368</v>
      </c>
    </row>
    <row r="5914" spans="1:2" x14ac:dyDescent="0.25">
      <c r="A5914" t="s">
        <v>8633</v>
      </c>
      <c r="B5914" t="s">
        <v>4071</v>
      </c>
    </row>
    <row r="5915" spans="1:2" x14ac:dyDescent="0.25">
      <c r="A5915" t="s">
        <v>8634</v>
      </c>
      <c r="B5915" t="s">
        <v>4078</v>
      </c>
    </row>
    <row r="5916" spans="1:2" x14ac:dyDescent="0.25">
      <c r="A5916" t="s">
        <v>8635</v>
      </c>
      <c r="B5916" t="s">
        <v>4055</v>
      </c>
    </row>
    <row r="5917" spans="1:2" x14ac:dyDescent="0.25">
      <c r="A5917" t="s">
        <v>8636</v>
      </c>
      <c r="B5917" t="s">
        <v>3208</v>
      </c>
    </row>
    <row r="5918" spans="1:2" x14ac:dyDescent="0.25">
      <c r="A5918" t="s">
        <v>8637</v>
      </c>
      <c r="B5918" t="s">
        <v>4448</v>
      </c>
    </row>
    <row r="5919" spans="1:2" x14ac:dyDescent="0.25">
      <c r="A5919" t="s">
        <v>8638</v>
      </c>
      <c r="B5919" t="s">
        <v>4503</v>
      </c>
    </row>
    <row r="5920" spans="1:2" x14ac:dyDescent="0.25">
      <c r="A5920" t="s">
        <v>8639</v>
      </c>
      <c r="B5920" t="s">
        <v>4512</v>
      </c>
    </row>
    <row r="5921" spans="1:2" x14ac:dyDescent="0.25">
      <c r="A5921" t="s">
        <v>8640</v>
      </c>
      <c r="B5921" t="s">
        <v>4514</v>
      </c>
    </row>
    <row r="5922" spans="1:2" x14ac:dyDescent="0.25">
      <c r="A5922" t="s">
        <v>8641</v>
      </c>
      <c r="B5922" t="s">
        <v>3286</v>
      </c>
    </row>
    <row r="5923" spans="1:2" x14ac:dyDescent="0.25">
      <c r="A5923" t="s">
        <v>8642</v>
      </c>
      <c r="B5923" t="s">
        <v>4733</v>
      </c>
    </row>
    <row r="5924" spans="1:2" x14ac:dyDescent="0.25">
      <c r="A5924" t="s">
        <v>8643</v>
      </c>
      <c r="B5924" t="s">
        <v>3118</v>
      </c>
    </row>
    <row r="5925" spans="1:2" x14ac:dyDescent="0.25">
      <c r="A5925" t="s">
        <v>8644</v>
      </c>
      <c r="B5925" t="s">
        <v>4738</v>
      </c>
    </row>
    <row r="5926" spans="1:2" x14ac:dyDescent="0.25">
      <c r="A5926" t="s">
        <v>8645</v>
      </c>
      <c r="B5926" t="s">
        <v>3119</v>
      </c>
    </row>
    <row r="5927" spans="1:2" x14ac:dyDescent="0.25">
      <c r="A5927" t="s">
        <v>8646</v>
      </c>
      <c r="B5927" t="s">
        <v>8647</v>
      </c>
    </row>
    <row r="5928" spans="1:2" x14ac:dyDescent="0.25">
      <c r="A5928" t="s">
        <v>8648</v>
      </c>
      <c r="B5928" t="s">
        <v>3342</v>
      </c>
    </row>
    <row r="5929" spans="1:2" x14ac:dyDescent="0.25">
      <c r="A5929" t="s">
        <v>8649</v>
      </c>
      <c r="B5929" t="s">
        <v>3341</v>
      </c>
    </row>
    <row r="5930" spans="1:2" x14ac:dyDescent="0.25">
      <c r="A5930" t="s">
        <v>8650</v>
      </c>
      <c r="B5930" t="s">
        <v>2195</v>
      </c>
    </row>
    <row r="5931" spans="1:2" x14ac:dyDescent="0.25">
      <c r="A5931" t="s">
        <v>8651</v>
      </c>
      <c r="B5931" t="s">
        <v>3364</v>
      </c>
    </row>
    <row r="5932" spans="1:2" x14ac:dyDescent="0.25">
      <c r="A5932" t="s">
        <v>8652</v>
      </c>
      <c r="B5932" t="s">
        <v>4220</v>
      </c>
    </row>
    <row r="5933" spans="1:2" x14ac:dyDescent="0.25">
      <c r="A5933" t="s">
        <v>8653</v>
      </c>
      <c r="B5933" t="s">
        <v>2278</v>
      </c>
    </row>
    <row r="5934" spans="1:2" x14ac:dyDescent="0.25">
      <c r="A5934" t="s">
        <v>8654</v>
      </c>
      <c r="B5934" t="s">
        <v>4736</v>
      </c>
    </row>
    <row r="5935" spans="1:2" x14ac:dyDescent="0.25">
      <c r="A5935" t="s">
        <v>8655</v>
      </c>
      <c r="B5935" t="s">
        <v>3093</v>
      </c>
    </row>
    <row r="5936" spans="1:2" x14ac:dyDescent="0.25">
      <c r="A5936" t="s">
        <v>8656</v>
      </c>
      <c r="B5936" t="s">
        <v>3160</v>
      </c>
    </row>
    <row r="5937" spans="1:2" x14ac:dyDescent="0.25">
      <c r="A5937" t="s">
        <v>8657</v>
      </c>
      <c r="B5937" t="s">
        <v>4343</v>
      </c>
    </row>
    <row r="5938" spans="1:2" x14ac:dyDescent="0.25">
      <c r="A5938" t="s">
        <v>8658</v>
      </c>
      <c r="B5938" t="s">
        <v>4350</v>
      </c>
    </row>
    <row r="5939" spans="1:2" x14ac:dyDescent="0.25">
      <c r="A5939" t="s">
        <v>8659</v>
      </c>
      <c r="B5939" t="s">
        <v>4665</v>
      </c>
    </row>
    <row r="5940" spans="1:2" x14ac:dyDescent="0.25">
      <c r="A5940" t="s">
        <v>8660</v>
      </c>
      <c r="B5940" t="s">
        <v>4665</v>
      </c>
    </row>
    <row r="5941" spans="1:2" x14ac:dyDescent="0.25">
      <c r="A5941" t="s">
        <v>8661</v>
      </c>
      <c r="B5941" t="s">
        <v>2327</v>
      </c>
    </row>
    <row r="5942" spans="1:2" x14ac:dyDescent="0.25">
      <c r="A5942" t="s">
        <v>8662</v>
      </c>
      <c r="B5942" t="s">
        <v>3335</v>
      </c>
    </row>
    <row r="5943" spans="1:2" x14ac:dyDescent="0.25">
      <c r="A5943" t="s">
        <v>8663</v>
      </c>
      <c r="B5943" t="s">
        <v>4184</v>
      </c>
    </row>
    <row r="5944" spans="1:2" x14ac:dyDescent="0.25">
      <c r="A5944" t="s">
        <v>8664</v>
      </c>
      <c r="B5944" t="s">
        <v>4362</v>
      </c>
    </row>
    <row r="5945" spans="1:2" x14ac:dyDescent="0.25">
      <c r="A5945" t="s">
        <v>8665</v>
      </c>
      <c r="B5945" t="s">
        <v>4362</v>
      </c>
    </row>
    <row r="5946" spans="1:2" x14ac:dyDescent="0.25">
      <c r="A5946" t="s">
        <v>8666</v>
      </c>
      <c r="B5946" t="s">
        <v>4362</v>
      </c>
    </row>
    <row r="5947" spans="1:2" x14ac:dyDescent="0.25">
      <c r="A5947" t="s">
        <v>8667</v>
      </c>
      <c r="B5947" t="s">
        <v>4362</v>
      </c>
    </row>
    <row r="5948" spans="1:2" x14ac:dyDescent="0.25">
      <c r="A5948" t="s">
        <v>8668</v>
      </c>
      <c r="B5948" t="s">
        <v>4370</v>
      </c>
    </row>
    <row r="5949" spans="1:2" x14ac:dyDescent="0.25">
      <c r="A5949" t="s">
        <v>8669</v>
      </c>
      <c r="B5949" t="s">
        <v>4370</v>
      </c>
    </row>
    <row r="5950" spans="1:2" x14ac:dyDescent="0.25">
      <c r="A5950" t="s">
        <v>8670</v>
      </c>
      <c r="B5950" t="s">
        <v>4370</v>
      </c>
    </row>
    <row r="5951" spans="1:2" x14ac:dyDescent="0.25">
      <c r="A5951" t="s">
        <v>8671</v>
      </c>
      <c r="B5951" t="s">
        <v>4370</v>
      </c>
    </row>
    <row r="5952" spans="1:2" x14ac:dyDescent="0.25">
      <c r="A5952" t="s">
        <v>8672</v>
      </c>
      <c r="B5952" t="s">
        <v>4378</v>
      </c>
    </row>
    <row r="5953" spans="1:2" x14ac:dyDescent="0.25">
      <c r="A5953" t="s">
        <v>8673</v>
      </c>
      <c r="B5953" t="s">
        <v>4380</v>
      </c>
    </row>
    <row r="5954" spans="1:2" x14ac:dyDescent="0.25">
      <c r="A5954" t="s">
        <v>8674</v>
      </c>
      <c r="B5954" t="s">
        <v>4380</v>
      </c>
    </row>
    <row r="5955" spans="1:2" x14ac:dyDescent="0.25">
      <c r="A5955" t="s">
        <v>8675</v>
      </c>
      <c r="B5955" t="s">
        <v>4380</v>
      </c>
    </row>
    <row r="5956" spans="1:2" x14ac:dyDescent="0.25">
      <c r="A5956" t="s">
        <v>8676</v>
      </c>
      <c r="B5956" t="s">
        <v>4380</v>
      </c>
    </row>
    <row r="5957" spans="1:2" x14ac:dyDescent="0.25">
      <c r="A5957" t="s">
        <v>8677</v>
      </c>
      <c r="B5957" t="s">
        <v>4404</v>
      </c>
    </row>
    <row r="5958" spans="1:2" x14ac:dyDescent="0.25">
      <c r="A5958" t="s">
        <v>8678</v>
      </c>
      <c r="B5958" t="s">
        <v>4773</v>
      </c>
    </row>
    <row r="5959" spans="1:2" x14ac:dyDescent="0.25">
      <c r="A5959" t="s">
        <v>8679</v>
      </c>
      <c r="B5959" t="s">
        <v>4773</v>
      </c>
    </row>
    <row r="5960" spans="1:2" x14ac:dyDescent="0.25">
      <c r="A5960" t="s">
        <v>8680</v>
      </c>
      <c r="B5960" t="s">
        <v>4778</v>
      </c>
    </row>
    <row r="5961" spans="1:2" x14ac:dyDescent="0.25">
      <c r="A5961" t="s">
        <v>8681</v>
      </c>
      <c r="B5961" t="s">
        <v>4780</v>
      </c>
    </row>
    <row r="5962" spans="1:2" x14ac:dyDescent="0.25">
      <c r="A5962" t="s">
        <v>8682</v>
      </c>
      <c r="B5962" t="s">
        <v>4769</v>
      </c>
    </row>
    <row r="5963" spans="1:2" x14ac:dyDescent="0.25">
      <c r="A5963" t="s">
        <v>8683</v>
      </c>
      <c r="B5963" t="s">
        <v>4798</v>
      </c>
    </row>
    <row r="5964" spans="1:2" x14ac:dyDescent="0.25">
      <c r="A5964" t="s">
        <v>8684</v>
      </c>
      <c r="B5964" t="s">
        <v>4798</v>
      </c>
    </row>
    <row r="5965" spans="1:2" x14ac:dyDescent="0.25">
      <c r="A5965" t="s">
        <v>8685</v>
      </c>
      <c r="B5965" t="s">
        <v>4802</v>
      </c>
    </row>
    <row r="5966" spans="1:2" x14ac:dyDescent="0.25">
      <c r="A5966" t="s">
        <v>8686</v>
      </c>
      <c r="B5966" t="s">
        <v>4809</v>
      </c>
    </row>
    <row r="5967" spans="1:2" x14ac:dyDescent="0.25">
      <c r="A5967" t="s">
        <v>8687</v>
      </c>
      <c r="B5967" t="s">
        <v>4811</v>
      </c>
    </row>
    <row r="5968" spans="1:2" x14ac:dyDescent="0.25">
      <c r="A5968" t="s">
        <v>8688</v>
      </c>
      <c r="B5968" t="s">
        <v>4813</v>
      </c>
    </row>
    <row r="5969" spans="1:2" x14ac:dyDescent="0.25">
      <c r="A5969" t="s">
        <v>8689</v>
      </c>
      <c r="B5969" t="s">
        <v>4815</v>
      </c>
    </row>
    <row r="5970" spans="1:2" x14ac:dyDescent="0.25">
      <c r="A5970" t="s">
        <v>8690</v>
      </c>
      <c r="B5970" t="s">
        <v>4817</v>
      </c>
    </row>
    <row r="5971" spans="1:2" x14ac:dyDescent="0.25">
      <c r="A5971" t="s">
        <v>8691</v>
      </c>
      <c r="B5971" t="s">
        <v>4817</v>
      </c>
    </row>
    <row r="5972" spans="1:2" x14ac:dyDescent="0.25">
      <c r="A5972" t="s">
        <v>8692</v>
      </c>
      <c r="B5972" t="s">
        <v>4827</v>
      </c>
    </row>
    <row r="5973" spans="1:2" x14ac:dyDescent="0.25">
      <c r="A5973" t="s">
        <v>8693</v>
      </c>
      <c r="B5973" t="s">
        <v>3326</v>
      </c>
    </row>
    <row r="5974" spans="1:2" x14ac:dyDescent="0.25">
      <c r="A5974" t="s">
        <v>8694</v>
      </c>
      <c r="B5974" t="s">
        <v>3327</v>
      </c>
    </row>
    <row r="5975" spans="1:2" x14ac:dyDescent="0.25">
      <c r="A5975" t="s">
        <v>8695</v>
      </c>
      <c r="B5975" t="s">
        <v>4943</v>
      </c>
    </row>
    <row r="5976" spans="1:2" x14ac:dyDescent="0.25">
      <c r="A5976" t="s">
        <v>8696</v>
      </c>
      <c r="B5976" t="s">
        <v>3328</v>
      </c>
    </row>
    <row r="5977" spans="1:2" x14ac:dyDescent="0.25">
      <c r="A5977" t="s">
        <v>8697</v>
      </c>
      <c r="B5977" t="s">
        <v>5089</v>
      </c>
    </row>
    <row r="5978" spans="1:2" x14ac:dyDescent="0.25">
      <c r="A5978" t="s">
        <v>8698</v>
      </c>
      <c r="B5978" t="s">
        <v>3321</v>
      </c>
    </row>
    <row r="5979" spans="1:2" x14ac:dyDescent="0.25">
      <c r="A5979" t="s">
        <v>8699</v>
      </c>
      <c r="B5979" t="s">
        <v>3365</v>
      </c>
    </row>
    <row r="5980" spans="1:2" x14ac:dyDescent="0.25">
      <c r="A5980" t="s">
        <v>8700</v>
      </c>
      <c r="B5980" t="s">
        <v>3323</v>
      </c>
    </row>
    <row r="5981" spans="1:2" x14ac:dyDescent="0.25">
      <c r="A5981" t="s">
        <v>8701</v>
      </c>
      <c r="B5981" t="s">
        <v>3322</v>
      </c>
    </row>
    <row r="5982" spans="1:2" x14ac:dyDescent="0.25">
      <c r="A5982" t="s">
        <v>8702</v>
      </c>
      <c r="B5982" t="s">
        <v>5163</v>
      </c>
    </row>
    <row r="5983" spans="1:2" x14ac:dyDescent="0.25">
      <c r="A5983" t="s">
        <v>8703</v>
      </c>
      <c r="B5983" t="s">
        <v>3238</v>
      </c>
    </row>
    <row r="5984" spans="1:2" x14ac:dyDescent="0.25">
      <c r="A5984" t="s">
        <v>8704</v>
      </c>
      <c r="B5984" t="s">
        <v>3331</v>
      </c>
    </row>
    <row r="5985" spans="1:2" x14ac:dyDescent="0.25">
      <c r="A5985" t="s">
        <v>8705</v>
      </c>
      <c r="B5985" t="s">
        <v>3333</v>
      </c>
    </row>
    <row r="5986" spans="1:2" x14ac:dyDescent="0.25">
      <c r="A5986" t="s">
        <v>2558</v>
      </c>
      <c r="B5986" t="s">
        <v>2557</v>
      </c>
    </row>
    <row r="5987" spans="1:2" x14ac:dyDescent="0.25">
      <c r="A5987" t="s">
        <v>8706</v>
      </c>
      <c r="B5987" t="s">
        <v>3320</v>
      </c>
    </row>
    <row r="5988" spans="1:2" x14ac:dyDescent="0.25">
      <c r="A5988" t="s">
        <v>8707</v>
      </c>
      <c r="B5988" t="s">
        <v>2826</v>
      </c>
    </row>
    <row r="5989" spans="1:2" x14ac:dyDescent="0.25">
      <c r="A5989" t="s">
        <v>8708</v>
      </c>
      <c r="B5989" t="s">
        <v>3343</v>
      </c>
    </row>
    <row r="5990" spans="1:2" x14ac:dyDescent="0.25">
      <c r="A5990" t="s">
        <v>8709</v>
      </c>
      <c r="B5990" t="s">
        <v>3227</v>
      </c>
    </row>
    <row r="5991" spans="1:2" x14ac:dyDescent="0.25">
      <c r="A5991" t="s">
        <v>8710</v>
      </c>
      <c r="B5991" t="s">
        <v>794</v>
      </c>
    </row>
    <row r="5992" spans="1:2" x14ac:dyDescent="0.25">
      <c r="A5992" t="s">
        <v>8711</v>
      </c>
      <c r="B5992" t="s">
        <v>3336</v>
      </c>
    </row>
    <row r="5993" spans="1:2" x14ac:dyDescent="0.25">
      <c r="A5993" t="s">
        <v>8712</v>
      </c>
      <c r="B5993" t="s">
        <v>5124</v>
      </c>
    </row>
    <row r="5994" spans="1:2" x14ac:dyDescent="0.25">
      <c r="A5994" t="s">
        <v>8713</v>
      </c>
      <c r="B5994" t="s">
        <v>5149</v>
      </c>
    </row>
    <row r="5995" spans="1:2" x14ac:dyDescent="0.25">
      <c r="A5995" t="s">
        <v>8714</v>
      </c>
      <c r="B5995" t="s">
        <v>3266</v>
      </c>
    </row>
    <row r="5996" spans="1:2" x14ac:dyDescent="0.25">
      <c r="A5996" t="s">
        <v>8715</v>
      </c>
      <c r="B5996" t="s">
        <v>3262</v>
      </c>
    </row>
    <row r="5997" spans="1:2" x14ac:dyDescent="0.25">
      <c r="A5997" t="s">
        <v>8716</v>
      </c>
      <c r="B5997" t="s">
        <v>3257</v>
      </c>
    </row>
    <row r="5998" spans="1:2" x14ac:dyDescent="0.25">
      <c r="A5998" t="s">
        <v>8717</v>
      </c>
      <c r="B5998" t="s">
        <v>5145</v>
      </c>
    </row>
    <row r="5999" spans="1:2" x14ac:dyDescent="0.25">
      <c r="A5999" t="s">
        <v>8718</v>
      </c>
      <c r="B5999" t="s">
        <v>3263</v>
      </c>
    </row>
    <row r="6000" spans="1:2" x14ac:dyDescent="0.25">
      <c r="A6000" t="s">
        <v>8719</v>
      </c>
      <c r="B6000" t="s">
        <v>3259</v>
      </c>
    </row>
    <row r="6001" spans="1:2" x14ac:dyDescent="0.25">
      <c r="A6001" t="s">
        <v>8720</v>
      </c>
      <c r="B6001" t="s">
        <v>5137</v>
      </c>
    </row>
    <row r="6002" spans="1:2" x14ac:dyDescent="0.25">
      <c r="A6002" t="s">
        <v>8721</v>
      </c>
      <c r="B6002" t="s">
        <v>5201</v>
      </c>
    </row>
    <row r="6003" spans="1:2" x14ac:dyDescent="0.25">
      <c r="A6003" t="s">
        <v>8722</v>
      </c>
      <c r="B6003" t="s">
        <v>5160</v>
      </c>
    </row>
    <row r="6004" spans="1:2" x14ac:dyDescent="0.25">
      <c r="A6004" t="s">
        <v>8723</v>
      </c>
      <c r="B6004" t="s">
        <v>5176</v>
      </c>
    </row>
    <row r="6005" spans="1:2" x14ac:dyDescent="0.25">
      <c r="A6005" t="s">
        <v>1519</v>
      </c>
      <c r="B6005" t="s">
        <v>1518</v>
      </c>
    </row>
    <row r="6006" spans="1:2" x14ac:dyDescent="0.25">
      <c r="A6006" t="s">
        <v>1522</v>
      </c>
      <c r="B6006" t="s">
        <v>1521</v>
      </c>
    </row>
    <row r="6007" spans="1:2" x14ac:dyDescent="0.25">
      <c r="A6007" t="s">
        <v>1524</v>
      </c>
      <c r="B6007" t="s">
        <v>1523</v>
      </c>
    </row>
    <row r="6008" spans="1:2" x14ac:dyDescent="0.25">
      <c r="A6008" t="s">
        <v>1526</v>
      </c>
      <c r="B6008" t="s">
        <v>1525</v>
      </c>
    </row>
    <row r="6009" spans="1:2" x14ac:dyDescent="0.25">
      <c r="A6009" t="s">
        <v>1528</v>
      </c>
      <c r="B6009" t="s">
        <v>1527</v>
      </c>
    </row>
    <row r="6010" spans="1:2" x14ac:dyDescent="0.25">
      <c r="A6010" t="s">
        <v>1530</v>
      </c>
      <c r="B6010" t="s">
        <v>1529</v>
      </c>
    </row>
    <row r="6011" spans="1:2" x14ac:dyDescent="0.25">
      <c r="A6011" t="s">
        <v>1532</v>
      </c>
      <c r="B6011" t="s">
        <v>1531</v>
      </c>
    </row>
    <row r="6012" spans="1:2" x14ac:dyDescent="0.25">
      <c r="A6012" t="s">
        <v>2771</v>
      </c>
      <c r="B6012" t="s">
        <v>2770</v>
      </c>
    </row>
    <row r="6013" spans="1:2" x14ac:dyDescent="0.25">
      <c r="A6013" t="s">
        <v>1534</v>
      </c>
      <c r="B6013" t="s">
        <v>1533</v>
      </c>
    </row>
    <row r="6014" spans="1:2" x14ac:dyDescent="0.25">
      <c r="A6014" t="s">
        <v>1536</v>
      </c>
      <c r="B6014" t="s">
        <v>1535</v>
      </c>
    </row>
    <row r="6015" spans="1:2" x14ac:dyDescent="0.25">
      <c r="A6015" t="s">
        <v>2773</v>
      </c>
      <c r="B6015" t="s">
        <v>2772</v>
      </c>
    </row>
    <row r="6016" spans="1:2" x14ac:dyDescent="0.25">
      <c r="A6016" t="s">
        <v>1538</v>
      </c>
      <c r="B6016" t="s">
        <v>1537</v>
      </c>
    </row>
    <row r="6017" spans="1:2" x14ac:dyDescent="0.25">
      <c r="A6017" t="s">
        <v>2775</v>
      </c>
      <c r="B6017" t="s">
        <v>2774</v>
      </c>
    </row>
    <row r="6018" spans="1:2" x14ac:dyDescent="0.25">
      <c r="A6018" t="s">
        <v>1540</v>
      </c>
      <c r="B6018" t="s">
        <v>1539</v>
      </c>
    </row>
    <row r="6019" spans="1:2" x14ac:dyDescent="0.25">
      <c r="A6019" t="s">
        <v>1542</v>
      </c>
      <c r="B6019" t="s">
        <v>1541</v>
      </c>
    </row>
    <row r="6020" spans="1:2" x14ac:dyDescent="0.25">
      <c r="A6020" t="s">
        <v>1544</v>
      </c>
      <c r="B6020" t="s">
        <v>1543</v>
      </c>
    </row>
    <row r="6021" spans="1:2" x14ac:dyDescent="0.25">
      <c r="A6021" t="s">
        <v>2777</v>
      </c>
      <c r="B6021" t="s">
        <v>2776</v>
      </c>
    </row>
    <row r="6022" spans="1:2" x14ac:dyDescent="0.25">
      <c r="A6022" t="s">
        <v>1546</v>
      </c>
      <c r="B6022" t="s">
        <v>1545</v>
      </c>
    </row>
    <row r="6023" spans="1:2" x14ac:dyDescent="0.25">
      <c r="A6023" t="s">
        <v>1548</v>
      </c>
      <c r="B6023" t="s">
        <v>1547</v>
      </c>
    </row>
    <row r="6024" spans="1:2" x14ac:dyDescent="0.25">
      <c r="A6024" t="s">
        <v>2779</v>
      </c>
      <c r="B6024" t="s">
        <v>2778</v>
      </c>
    </row>
    <row r="6025" spans="1:2" x14ac:dyDescent="0.25">
      <c r="A6025" t="s">
        <v>1550</v>
      </c>
      <c r="B6025" t="s">
        <v>1549</v>
      </c>
    </row>
    <row r="6026" spans="1:2" x14ac:dyDescent="0.25">
      <c r="A6026" t="s">
        <v>1552</v>
      </c>
      <c r="B6026" t="s">
        <v>1551</v>
      </c>
    </row>
    <row r="6027" spans="1:2" x14ac:dyDescent="0.25">
      <c r="A6027" t="s">
        <v>1554</v>
      </c>
      <c r="B6027" t="s">
        <v>1553</v>
      </c>
    </row>
    <row r="6028" spans="1:2" x14ac:dyDescent="0.25">
      <c r="A6028" t="s">
        <v>1556</v>
      </c>
      <c r="B6028" t="s">
        <v>1555</v>
      </c>
    </row>
    <row r="6029" spans="1:2" x14ac:dyDescent="0.25">
      <c r="A6029" t="s">
        <v>1558</v>
      </c>
      <c r="B6029" t="s">
        <v>1557</v>
      </c>
    </row>
    <row r="6030" spans="1:2" x14ac:dyDescent="0.25">
      <c r="A6030" t="s">
        <v>1560</v>
      </c>
      <c r="B6030" t="s">
        <v>1559</v>
      </c>
    </row>
    <row r="6031" spans="1:2" x14ac:dyDescent="0.25">
      <c r="A6031" t="s">
        <v>1562</v>
      </c>
      <c r="B6031" t="s">
        <v>1561</v>
      </c>
    </row>
    <row r="6032" spans="1:2" x14ac:dyDescent="0.25">
      <c r="A6032" t="s">
        <v>1564</v>
      </c>
      <c r="B6032" t="s">
        <v>1563</v>
      </c>
    </row>
    <row r="6033" spans="1:2" x14ac:dyDescent="0.25">
      <c r="A6033" t="s">
        <v>1566</v>
      </c>
      <c r="B6033" t="s">
        <v>1565</v>
      </c>
    </row>
    <row r="6034" spans="1:2" x14ac:dyDescent="0.25">
      <c r="A6034" t="s">
        <v>1568</v>
      </c>
      <c r="B6034" t="s">
        <v>1567</v>
      </c>
    </row>
    <row r="6035" spans="1:2" x14ac:dyDescent="0.25">
      <c r="A6035" t="s">
        <v>8724</v>
      </c>
      <c r="B6035" t="s">
        <v>3205</v>
      </c>
    </row>
    <row r="6036" spans="1:2" x14ac:dyDescent="0.25">
      <c r="A6036" t="s">
        <v>8725</v>
      </c>
      <c r="B6036" t="s">
        <v>3206</v>
      </c>
    </row>
    <row r="6037" spans="1:2" x14ac:dyDescent="0.25">
      <c r="A6037" t="s">
        <v>8726</v>
      </c>
      <c r="B6037" t="s">
        <v>7517</v>
      </c>
    </row>
    <row r="6038" spans="1:2" x14ac:dyDescent="0.25">
      <c r="A6038" t="s">
        <v>2469</v>
      </c>
      <c r="B6038" t="s">
        <v>2468</v>
      </c>
    </row>
    <row r="6039" spans="1:2" x14ac:dyDescent="0.25">
      <c r="A6039" t="s">
        <v>2471</v>
      </c>
      <c r="B6039" t="s">
        <v>2470</v>
      </c>
    </row>
    <row r="6040" spans="1:2" x14ac:dyDescent="0.25">
      <c r="A6040" t="s">
        <v>2473</v>
      </c>
      <c r="B6040" t="s">
        <v>2472</v>
      </c>
    </row>
    <row r="6041" spans="1:2" x14ac:dyDescent="0.25">
      <c r="A6041" t="s">
        <v>2485</v>
      </c>
      <c r="B6041" t="s">
        <v>2484</v>
      </c>
    </row>
    <row r="6042" spans="1:2" x14ac:dyDescent="0.25">
      <c r="A6042" t="s">
        <v>2488</v>
      </c>
      <c r="B6042" t="s">
        <v>2487</v>
      </c>
    </row>
    <row r="6043" spans="1:2" x14ac:dyDescent="0.25">
      <c r="A6043" t="s">
        <v>8727</v>
      </c>
      <c r="B6043" t="s">
        <v>3317</v>
      </c>
    </row>
    <row r="6044" spans="1:2" x14ac:dyDescent="0.25">
      <c r="A6044" t="s">
        <v>8728</v>
      </c>
      <c r="B6044" t="s">
        <v>8270</v>
      </c>
    </row>
    <row r="6045" spans="1:2" x14ac:dyDescent="0.25">
      <c r="A6045" t="s">
        <v>2552</v>
      </c>
      <c r="B6045" t="s">
        <v>2551</v>
      </c>
    </row>
    <row r="6046" spans="1:2" x14ac:dyDescent="0.25">
      <c r="A6046" t="s">
        <v>2554</v>
      </c>
      <c r="B6046" t="s">
        <v>2553</v>
      </c>
    </row>
    <row r="6047" spans="1:2" x14ac:dyDescent="0.25">
      <c r="A6047" t="s">
        <v>2556</v>
      </c>
      <c r="B6047" t="s">
        <v>2555</v>
      </c>
    </row>
    <row r="6048" spans="1:2" x14ac:dyDescent="0.25">
      <c r="A6048" t="s">
        <v>8729</v>
      </c>
      <c r="B6048" t="s">
        <v>8283</v>
      </c>
    </row>
    <row r="6049" spans="1:2" x14ac:dyDescent="0.25">
      <c r="A6049" t="s">
        <v>8730</v>
      </c>
      <c r="B6049" t="s">
        <v>6118</v>
      </c>
    </row>
    <row r="6050" spans="1:2" x14ac:dyDescent="0.25">
      <c r="A6050" t="s">
        <v>8731</v>
      </c>
      <c r="B6050" t="s">
        <v>3084</v>
      </c>
    </row>
    <row r="6051" spans="1:2" x14ac:dyDescent="0.25">
      <c r="A6051" t="s">
        <v>2475</v>
      </c>
      <c r="B6051" t="s">
        <v>2474</v>
      </c>
    </row>
    <row r="6052" spans="1:2" x14ac:dyDescent="0.25">
      <c r="A6052" t="s">
        <v>8732</v>
      </c>
      <c r="B6052" t="s">
        <v>6128</v>
      </c>
    </row>
    <row r="6053" spans="1:2" x14ac:dyDescent="0.25">
      <c r="A6053" t="s">
        <v>8733</v>
      </c>
      <c r="B6053" t="s">
        <v>3223</v>
      </c>
    </row>
    <row r="6054" spans="1:2" x14ac:dyDescent="0.25">
      <c r="A6054" t="s">
        <v>2490</v>
      </c>
      <c r="B6054" t="s">
        <v>2489</v>
      </c>
    </row>
    <row r="6055" spans="1:2" x14ac:dyDescent="0.25">
      <c r="A6055" t="s">
        <v>2492</v>
      </c>
      <c r="B6055" t="s">
        <v>2491</v>
      </c>
    </row>
    <row r="6056" spans="1:2" x14ac:dyDescent="0.25">
      <c r="A6056" t="s">
        <v>8734</v>
      </c>
      <c r="B6056" t="s">
        <v>3156</v>
      </c>
    </row>
    <row r="6057" spans="1:2" x14ac:dyDescent="0.25">
      <c r="A6057" t="s">
        <v>2494</v>
      </c>
      <c r="B6057" t="s">
        <v>2493</v>
      </c>
    </row>
    <row r="6058" spans="1:2" x14ac:dyDescent="0.25">
      <c r="A6058" t="s">
        <v>2496</v>
      </c>
      <c r="B6058" t="s">
        <v>2495</v>
      </c>
    </row>
    <row r="6059" spans="1:2" x14ac:dyDescent="0.25">
      <c r="A6059" t="s">
        <v>2498</v>
      </c>
      <c r="B6059" t="s">
        <v>2497</v>
      </c>
    </row>
    <row r="6060" spans="1:2" x14ac:dyDescent="0.25">
      <c r="A6060" t="s">
        <v>2500</v>
      </c>
      <c r="B6060" t="s">
        <v>2499</v>
      </c>
    </row>
    <row r="6061" spans="1:2" x14ac:dyDescent="0.25">
      <c r="A6061" t="s">
        <v>2502</v>
      </c>
      <c r="B6061" t="s">
        <v>2501</v>
      </c>
    </row>
    <row r="6062" spans="1:2" x14ac:dyDescent="0.25">
      <c r="A6062" t="s">
        <v>2504</v>
      </c>
      <c r="B6062" t="s">
        <v>2503</v>
      </c>
    </row>
    <row r="6063" spans="1:2" x14ac:dyDescent="0.25">
      <c r="A6063" t="s">
        <v>2507</v>
      </c>
      <c r="B6063" t="s">
        <v>2506</v>
      </c>
    </row>
    <row r="6064" spans="1:2" x14ac:dyDescent="0.25">
      <c r="A6064" t="s">
        <v>8735</v>
      </c>
      <c r="B6064" t="s">
        <v>3123</v>
      </c>
    </row>
    <row r="6065" spans="1:2" x14ac:dyDescent="0.25">
      <c r="A6065" t="s">
        <v>8736</v>
      </c>
      <c r="B6065" t="s">
        <v>6804</v>
      </c>
    </row>
    <row r="6066" spans="1:2" x14ac:dyDescent="0.25">
      <c r="A6066" t="s">
        <v>2467</v>
      </c>
      <c r="B6066" t="s">
        <v>2466</v>
      </c>
    </row>
    <row r="6067" spans="1:2" x14ac:dyDescent="0.25">
      <c r="A6067" t="s">
        <v>2446</v>
      </c>
      <c r="B6067" t="s">
        <v>2445</v>
      </c>
    </row>
    <row r="6068" spans="1:2" x14ac:dyDescent="0.25">
      <c r="A6068" t="s">
        <v>8737</v>
      </c>
      <c r="B6068" t="s">
        <v>6069</v>
      </c>
    </row>
    <row r="6069" spans="1:2" x14ac:dyDescent="0.25">
      <c r="A6069" t="s">
        <v>8738</v>
      </c>
      <c r="B6069" t="s">
        <v>3081</v>
      </c>
    </row>
    <row r="6070" spans="1:2" x14ac:dyDescent="0.25">
      <c r="A6070" t="s">
        <v>8739</v>
      </c>
      <c r="B6070" t="s">
        <v>3225</v>
      </c>
    </row>
    <row r="6071" spans="1:2" x14ac:dyDescent="0.25">
      <c r="A6071" t="s">
        <v>2463</v>
      </c>
      <c r="B6071" t="s">
        <v>2462</v>
      </c>
    </row>
    <row r="6072" spans="1:2" x14ac:dyDescent="0.25">
      <c r="A6072" t="s">
        <v>8740</v>
      </c>
      <c r="B6072" t="s">
        <v>6083</v>
      </c>
    </row>
    <row r="6073" spans="1:2" x14ac:dyDescent="0.25">
      <c r="A6073" t="s">
        <v>8741</v>
      </c>
      <c r="B6073" t="s">
        <v>3221</v>
      </c>
    </row>
    <row r="6074" spans="1:2" x14ac:dyDescent="0.25">
      <c r="A6074" t="s">
        <v>8742</v>
      </c>
      <c r="B6074" t="s">
        <v>7047</v>
      </c>
    </row>
    <row r="6075" spans="1:2" x14ac:dyDescent="0.25">
      <c r="A6075" t="s">
        <v>8743</v>
      </c>
      <c r="B6075" t="s">
        <v>3180</v>
      </c>
    </row>
    <row r="6076" spans="1:2" x14ac:dyDescent="0.25">
      <c r="A6076" t="s">
        <v>2513</v>
      </c>
      <c r="B6076" t="s">
        <v>2512</v>
      </c>
    </row>
    <row r="6077" spans="1:2" x14ac:dyDescent="0.25">
      <c r="A6077" t="s">
        <v>8744</v>
      </c>
      <c r="B6077" t="s">
        <v>3061</v>
      </c>
    </row>
    <row r="6078" spans="1:2" x14ac:dyDescent="0.25">
      <c r="A6078" t="s">
        <v>8745</v>
      </c>
      <c r="B6078" t="s">
        <v>8746</v>
      </c>
    </row>
    <row r="6079" spans="1:2" x14ac:dyDescent="0.25">
      <c r="A6079" t="s">
        <v>8747</v>
      </c>
      <c r="B6079" t="s">
        <v>3289</v>
      </c>
    </row>
    <row r="6080" spans="1:2" x14ac:dyDescent="0.25">
      <c r="A6080" t="s">
        <v>8748</v>
      </c>
      <c r="B6080" t="s">
        <v>4837</v>
      </c>
    </row>
    <row r="6081" spans="1:2" x14ac:dyDescent="0.25">
      <c r="A6081" t="s">
        <v>8749</v>
      </c>
      <c r="B6081" t="s">
        <v>3294</v>
      </c>
    </row>
    <row r="6082" spans="1:2" x14ac:dyDescent="0.25">
      <c r="A6082" t="s">
        <v>8750</v>
      </c>
      <c r="B6082" t="s">
        <v>8525</v>
      </c>
    </row>
    <row r="6083" spans="1:2" x14ac:dyDescent="0.25">
      <c r="A6083" t="s">
        <v>8751</v>
      </c>
      <c r="B6083" t="s">
        <v>5868</v>
      </c>
    </row>
    <row r="6084" spans="1:2" x14ac:dyDescent="0.25">
      <c r="A6084" t="s">
        <v>2444</v>
      </c>
      <c r="B6084" t="s">
        <v>2443</v>
      </c>
    </row>
    <row r="6085" spans="1:2" x14ac:dyDescent="0.25">
      <c r="A6085" t="s">
        <v>8752</v>
      </c>
      <c r="B6085" t="s">
        <v>4804</v>
      </c>
    </row>
    <row r="6086" spans="1:2" x14ac:dyDescent="0.25">
      <c r="A6086" t="s">
        <v>8753</v>
      </c>
      <c r="B6086" t="s">
        <v>8754</v>
      </c>
    </row>
    <row r="6087" spans="1:2" x14ac:dyDescent="0.25">
      <c r="A6087" t="s">
        <v>8755</v>
      </c>
      <c r="B6087" t="s">
        <v>4526</v>
      </c>
    </row>
    <row r="6088" spans="1:2" x14ac:dyDescent="0.25">
      <c r="A6088" t="s">
        <v>8756</v>
      </c>
      <c r="B6088" t="s">
        <v>4841</v>
      </c>
    </row>
    <row r="6089" spans="1:2" x14ac:dyDescent="0.25">
      <c r="A6089" t="s">
        <v>8757</v>
      </c>
      <c r="B6089" t="s">
        <v>4507</v>
      </c>
    </row>
    <row r="6090" spans="1:2" x14ac:dyDescent="0.25">
      <c r="A6090" t="s">
        <v>8758</v>
      </c>
      <c r="B6090" t="s">
        <v>3275</v>
      </c>
    </row>
    <row r="6091" spans="1:2" x14ac:dyDescent="0.25">
      <c r="A6091" t="s">
        <v>8759</v>
      </c>
      <c r="B6091" t="s">
        <v>3295</v>
      </c>
    </row>
    <row r="6092" spans="1:2" x14ac:dyDescent="0.25">
      <c r="A6092" t="s">
        <v>8760</v>
      </c>
      <c r="B6092" t="s">
        <v>8761</v>
      </c>
    </row>
    <row r="6093" spans="1:2" x14ac:dyDescent="0.25">
      <c r="A6093" t="s">
        <v>8762</v>
      </c>
      <c r="B6093" t="s">
        <v>3222</v>
      </c>
    </row>
    <row r="6094" spans="1:2" x14ac:dyDescent="0.25">
      <c r="A6094" t="s">
        <v>8763</v>
      </c>
      <c r="B6094" t="s">
        <v>2540</v>
      </c>
    </row>
    <row r="6095" spans="1:2" x14ac:dyDescent="0.25">
      <c r="A6095" t="s">
        <v>8764</v>
      </c>
      <c r="B6095" t="s">
        <v>3096</v>
      </c>
    </row>
    <row r="6096" spans="1:2" x14ac:dyDescent="0.25">
      <c r="A6096" t="s">
        <v>8765</v>
      </c>
      <c r="B6096" t="s">
        <v>4882</v>
      </c>
    </row>
    <row r="6097" spans="1:2" x14ac:dyDescent="0.25">
      <c r="A6097" t="s">
        <v>8766</v>
      </c>
      <c r="B6097" t="s">
        <v>4783</v>
      </c>
    </row>
    <row r="6098" spans="1:2" x14ac:dyDescent="0.25">
      <c r="A6098" t="s">
        <v>8767</v>
      </c>
      <c r="B6098" t="s">
        <v>8768</v>
      </c>
    </row>
    <row r="6099" spans="1:2" x14ac:dyDescent="0.25">
      <c r="A6099" t="s">
        <v>8769</v>
      </c>
      <c r="B6099" t="s">
        <v>3158</v>
      </c>
    </row>
    <row r="6100" spans="1:2" x14ac:dyDescent="0.25">
      <c r="A6100" t="s">
        <v>8770</v>
      </c>
      <c r="B6100" t="s">
        <v>8771</v>
      </c>
    </row>
    <row r="6101" spans="1:2" x14ac:dyDescent="0.25">
      <c r="A6101" t="s">
        <v>8772</v>
      </c>
      <c r="B6101" t="s">
        <v>4693</v>
      </c>
    </row>
    <row r="6102" spans="1:2" x14ac:dyDescent="0.25">
      <c r="A6102" t="s">
        <v>8773</v>
      </c>
      <c r="B6102" t="s">
        <v>3136</v>
      </c>
    </row>
    <row r="6103" spans="1:2" x14ac:dyDescent="0.25">
      <c r="A6103" t="s">
        <v>8774</v>
      </c>
      <c r="B6103" t="s">
        <v>3086</v>
      </c>
    </row>
    <row r="6104" spans="1:2" x14ac:dyDescent="0.25">
      <c r="A6104" t="s">
        <v>8775</v>
      </c>
      <c r="B6104" t="s">
        <v>4519</v>
      </c>
    </row>
    <row r="6105" spans="1:2" x14ac:dyDescent="0.25">
      <c r="A6105" t="s">
        <v>8776</v>
      </c>
      <c r="B6105" t="s">
        <v>3224</v>
      </c>
    </row>
    <row r="6106" spans="1:2" x14ac:dyDescent="0.25">
      <c r="A6106" t="s">
        <v>8777</v>
      </c>
      <c r="B6106" t="s">
        <v>8778</v>
      </c>
    </row>
    <row r="6107" spans="1:2" x14ac:dyDescent="0.25">
      <c r="A6107" t="s">
        <v>8779</v>
      </c>
      <c r="B6107" t="s">
        <v>4629</v>
      </c>
    </row>
    <row r="6108" spans="1:2" x14ac:dyDescent="0.25">
      <c r="A6108" t="s">
        <v>2194</v>
      </c>
      <c r="B6108" t="s">
        <v>2193</v>
      </c>
    </row>
    <row r="6109" spans="1:2" x14ac:dyDescent="0.25">
      <c r="A6109" t="s">
        <v>2453</v>
      </c>
      <c r="B6109" t="s">
        <v>2452</v>
      </c>
    </row>
    <row r="6110" spans="1:2" x14ac:dyDescent="0.25">
      <c r="A6110" t="s">
        <v>8780</v>
      </c>
      <c r="B6110" t="s">
        <v>3082</v>
      </c>
    </row>
    <row r="6111" spans="1:2" x14ac:dyDescent="0.25">
      <c r="A6111" t="s">
        <v>8781</v>
      </c>
      <c r="B6111" t="s">
        <v>4068</v>
      </c>
    </row>
    <row r="6112" spans="1:2" x14ac:dyDescent="0.25">
      <c r="A6112" t="s">
        <v>2563</v>
      </c>
      <c r="B6112" t="s">
        <v>2562</v>
      </c>
    </row>
    <row r="6113" spans="1:2" x14ac:dyDescent="0.25">
      <c r="A6113" t="s">
        <v>8782</v>
      </c>
      <c r="B6113" t="s">
        <v>8229</v>
      </c>
    </row>
    <row r="6114" spans="1:2" x14ac:dyDescent="0.25">
      <c r="A6114" t="s">
        <v>8783</v>
      </c>
      <c r="B6114" t="s">
        <v>4924</v>
      </c>
    </row>
    <row r="6115" spans="1:2" x14ac:dyDescent="0.25">
      <c r="A6115" t="s">
        <v>8784</v>
      </c>
      <c r="B6115" t="s">
        <v>2543</v>
      </c>
    </row>
    <row r="6116" spans="1:2" x14ac:dyDescent="0.25">
      <c r="A6116" t="s">
        <v>8785</v>
      </c>
      <c r="B6116" t="s">
        <v>2505</v>
      </c>
    </row>
    <row r="6117" spans="1:2" x14ac:dyDescent="0.25">
      <c r="A6117" t="s">
        <v>8786</v>
      </c>
      <c r="B6117" t="s">
        <v>4928</v>
      </c>
    </row>
    <row r="6118" spans="1:2" x14ac:dyDescent="0.25">
      <c r="A6118" t="s">
        <v>2510</v>
      </c>
      <c r="B6118" t="s">
        <v>2509</v>
      </c>
    </row>
    <row r="6119" spans="1:2" x14ac:dyDescent="0.25">
      <c r="A6119" t="s">
        <v>8787</v>
      </c>
      <c r="B6119" t="s">
        <v>8788</v>
      </c>
    </row>
    <row r="6120" spans="1:2" x14ac:dyDescent="0.25">
      <c r="A6120" t="s">
        <v>8789</v>
      </c>
      <c r="B6120" t="s">
        <v>8431</v>
      </c>
    </row>
    <row r="6121" spans="1:2" x14ac:dyDescent="0.25">
      <c r="A6121" t="s">
        <v>8790</v>
      </c>
      <c r="B6121" t="s">
        <v>3249</v>
      </c>
    </row>
    <row r="6122" spans="1:2" x14ac:dyDescent="0.25">
      <c r="A6122" t="s">
        <v>8791</v>
      </c>
      <c r="B6122" t="s">
        <v>2483</v>
      </c>
    </row>
    <row r="6123" spans="1:2" x14ac:dyDescent="0.25">
      <c r="A6123" t="s">
        <v>2980</v>
      </c>
      <c r="B6123" t="s">
        <v>2979</v>
      </c>
    </row>
    <row r="6124" spans="1:2" x14ac:dyDescent="0.25">
      <c r="A6124" t="s">
        <v>8792</v>
      </c>
      <c r="B6124" t="s">
        <v>3316</v>
      </c>
    </row>
    <row r="6125" spans="1:2" x14ac:dyDescent="0.25">
      <c r="A6125" t="s">
        <v>8793</v>
      </c>
      <c r="B6125" t="s">
        <v>3192</v>
      </c>
    </row>
    <row r="6126" spans="1:2" x14ac:dyDescent="0.25">
      <c r="A6126" t="s">
        <v>8794</v>
      </c>
      <c r="B6126" t="s">
        <v>8795</v>
      </c>
    </row>
    <row r="6127" spans="1:2" x14ac:dyDescent="0.25">
      <c r="A6127" t="s">
        <v>8796</v>
      </c>
      <c r="B6127" t="s">
        <v>8797</v>
      </c>
    </row>
    <row r="6128" spans="1:2" x14ac:dyDescent="0.25">
      <c r="A6128" t="s">
        <v>8798</v>
      </c>
      <c r="B6128" t="s">
        <v>4222</v>
      </c>
    </row>
    <row r="6129" spans="1:2" x14ac:dyDescent="0.25">
      <c r="A6129" t="s">
        <v>2456</v>
      </c>
      <c r="B6129" t="s">
        <v>2455</v>
      </c>
    </row>
    <row r="6130" spans="1:2" x14ac:dyDescent="0.25">
      <c r="A6130" t="s">
        <v>8799</v>
      </c>
      <c r="B6130" t="s">
        <v>3216</v>
      </c>
    </row>
    <row r="6131" spans="1:2" x14ac:dyDescent="0.25">
      <c r="A6131" t="s">
        <v>8800</v>
      </c>
      <c r="B6131" t="s">
        <v>3071</v>
      </c>
    </row>
    <row r="6132" spans="1:2" x14ac:dyDescent="0.25">
      <c r="A6132" t="s">
        <v>8801</v>
      </c>
      <c r="B6132" t="s">
        <v>2546</v>
      </c>
    </row>
    <row r="6133" spans="1:2" x14ac:dyDescent="0.25">
      <c r="A6133" t="s">
        <v>8802</v>
      </c>
      <c r="B6133" t="s">
        <v>2547</v>
      </c>
    </row>
    <row r="6134" spans="1:2" x14ac:dyDescent="0.25">
      <c r="A6134" t="s">
        <v>8803</v>
      </c>
      <c r="B6134" t="s">
        <v>2548</v>
      </c>
    </row>
    <row r="6135" spans="1:2" x14ac:dyDescent="0.25">
      <c r="A6135" t="s">
        <v>8804</v>
      </c>
      <c r="B6135" t="s">
        <v>3975</v>
      </c>
    </row>
    <row r="6136" spans="1:2" x14ac:dyDescent="0.25">
      <c r="A6136" t="s">
        <v>8805</v>
      </c>
      <c r="B6136" t="s">
        <v>4013</v>
      </c>
    </row>
    <row r="6137" spans="1:2" x14ac:dyDescent="0.25">
      <c r="A6137" t="s">
        <v>8806</v>
      </c>
      <c r="B6137" t="s">
        <v>3339</v>
      </c>
    </row>
    <row r="6138" spans="1:2" x14ac:dyDescent="0.25">
      <c r="A6138" t="s">
        <v>8807</v>
      </c>
      <c r="B6138" t="s">
        <v>4025</v>
      </c>
    </row>
    <row r="6139" spans="1:2" x14ac:dyDescent="0.25">
      <c r="A6139" t="s">
        <v>8808</v>
      </c>
      <c r="B6139" t="s">
        <v>4081</v>
      </c>
    </row>
    <row r="6140" spans="1:2" x14ac:dyDescent="0.25">
      <c r="A6140" t="s">
        <v>8809</v>
      </c>
      <c r="B6140" t="s">
        <v>4084</v>
      </c>
    </row>
    <row r="6141" spans="1:2" x14ac:dyDescent="0.25">
      <c r="A6141" t="s">
        <v>8810</v>
      </c>
      <c r="B6141" t="s">
        <v>3083</v>
      </c>
    </row>
    <row r="6142" spans="1:2" x14ac:dyDescent="0.25">
      <c r="A6142" t="s">
        <v>2461</v>
      </c>
      <c r="B6142" t="s">
        <v>2460</v>
      </c>
    </row>
    <row r="6143" spans="1:2" x14ac:dyDescent="0.25">
      <c r="A6143" t="s">
        <v>8811</v>
      </c>
      <c r="B6143" t="s">
        <v>3315</v>
      </c>
    </row>
    <row r="6144" spans="1:2" x14ac:dyDescent="0.25">
      <c r="A6144" t="s">
        <v>8812</v>
      </c>
      <c r="B6144" t="s">
        <v>3075</v>
      </c>
    </row>
    <row r="6145" spans="1:2" x14ac:dyDescent="0.25">
      <c r="A6145" t="s">
        <v>8813</v>
      </c>
      <c r="B6145" t="s">
        <v>4087</v>
      </c>
    </row>
    <row r="6146" spans="1:2" x14ac:dyDescent="0.25">
      <c r="A6146" t="s">
        <v>8814</v>
      </c>
      <c r="B6146" t="s">
        <v>4091</v>
      </c>
    </row>
    <row r="6147" spans="1:2" x14ac:dyDescent="0.25">
      <c r="A6147" t="s">
        <v>8815</v>
      </c>
      <c r="B6147" t="s">
        <v>3076</v>
      </c>
    </row>
    <row r="6148" spans="1:2" x14ac:dyDescent="0.25">
      <c r="A6148" t="s">
        <v>8816</v>
      </c>
      <c r="B6148" t="s">
        <v>3296</v>
      </c>
    </row>
    <row r="6149" spans="1:2" x14ac:dyDescent="0.25">
      <c r="A6149" t="s">
        <v>8817</v>
      </c>
      <c r="B6149" t="s">
        <v>4406</v>
      </c>
    </row>
    <row r="6150" spans="1:2" x14ac:dyDescent="0.25">
      <c r="A6150" t="s">
        <v>8818</v>
      </c>
      <c r="B6150" t="s">
        <v>8819</v>
      </c>
    </row>
    <row r="6151" spans="1:2" x14ac:dyDescent="0.25">
      <c r="A6151" t="s">
        <v>8820</v>
      </c>
      <c r="B6151" t="s">
        <v>2527</v>
      </c>
    </row>
    <row r="6152" spans="1:2" x14ac:dyDescent="0.25">
      <c r="A6152" t="s">
        <v>8821</v>
      </c>
      <c r="B6152" t="s">
        <v>4326</v>
      </c>
    </row>
    <row r="6153" spans="1:2" x14ac:dyDescent="0.25">
      <c r="A6153" t="s">
        <v>2433</v>
      </c>
      <c r="B6153" t="s">
        <v>2432</v>
      </c>
    </row>
    <row r="6154" spans="1:2" x14ac:dyDescent="0.25">
      <c r="A6154" t="s">
        <v>8822</v>
      </c>
      <c r="B6154" t="s">
        <v>4331</v>
      </c>
    </row>
    <row r="6155" spans="1:2" x14ac:dyDescent="0.25">
      <c r="A6155" t="s">
        <v>2524</v>
      </c>
      <c r="B6155" t="s">
        <v>2523</v>
      </c>
    </row>
    <row r="6156" spans="1:2" x14ac:dyDescent="0.25">
      <c r="A6156" t="s">
        <v>2526</v>
      </c>
      <c r="B6156" t="s">
        <v>2525</v>
      </c>
    </row>
    <row r="6157" spans="1:2" x14ac:dyDescent="0.25">
      <c r="A6157" t="s">
        <v>8823</v>
      </c>
      <c r="B6157" t="s">
        <v>4280</v>
      </c>
    </row>
    <row r="6158" spans="1:2" x14ac:dyDescent="0.25">
      <c r="A6158" t="s">
        <v>8824</v>
      </c>
      <c r="B6158" t="s">
        <v>3186</v>
      </c>
    </row>
    <row r="6159" spans="1:2" x14ac:dyDescent="0.25">
      <c r="A6159" t="s">
        <v>8825</v>
      </c>
      <c r="B6159" t="s">
        <v>4558</v>
      </c>
    </row>
    <row r="6160" spans="1:2" x14ac:dyDescent="0.25">
      <c r="A6160" t="s">
        <v>8826</v>
      </c>
      <c r="B6160" t="s">
        <v>2559</v>
      </c>
    </row>
    <row r="6161" spans="1:2" x14ac:dyDescent="0.25">
      <c r="A6161" t="s">
        <v>8827</v>
      </c>
      <c r="B6161" t="s">
        <v>3209</v>
      </c>
    </row>
    <row r="6162" spans="1:2" x14ac:dyDescent="0.25">
      <c r="A6162" t="s">
        <v>2436</v>
      </c>
      <c r="B6162" t="s">
        <v>2435</v>
      </c>
    </row>
    <row r="6163" spans="1:2" x14ac:dyDescent="0.25">
      <c r="A6163" t="s">
        <v>2450</v>
      </c>
      <c r="B6163" t="s">
        <v>2449</v>
      </c>
    </row>
    <row r="6164" spans="1:2" x14ac:dyDescent="0.25">
      <c r="A6164" t="s">
        <v>8828</v>
      </c>
      <c r="B6164" t="s">
        <v>3191</v>
      </c>
    </row>
    <row r="6165" spans="1:2" x14ac:dyDescent="0.25">
      <c r="A6165" t="s">
        <v>2533</v>
      </c>
      <c r="B6165" t="s">
        <v>2532</v>
      </c>
    </row>
    <row r="6166" spans="1:2" x14ac:dyDescent="0.25">
      <c r="A6166" t="s">
        <v>2536</v>
      </c>
      <c r="B6166" t="s">
        <v>2535</v>
      </c>
    </row>
    <row r="6167" spans="1:2" x14ac:dyDescent="0.25">
      <c r="A6167" t="s">
        <v>2550</v>
      </c>
      <c r="B6167" t="s">
        <v>2549</v>
      </c>
    </row>
    <row r="6168" spans="1:2" x14ac:dyDescent="0.25">
      <c r="A6168" t="s">
        <v>8829</v>
      </c>
      <c r="B6168" t="s">
        <v>4964</v>
      </c>
    </row>
    <row r="6169" spans="1:2" x14ac:dyDescent="0.25">
      <c r="A6169" t="s">
        <v>2529</v>
      </c>
      <c r="B6169" t="s">
        <v>2528</v>
      </c>
    </row>
    <row r="6170" spans="1:2" x14ac:dyDescent="0.25">
      <c r="A6170" t="s">
        <v>2545</v>
      </c>
      <c r="B6170" t="s">
        <v>2544</v>
      </c>
    </row>
    <row r="6171" spans="1:2" x14ac:dyDescent="0.25">
      <c r="A6171" t="s">
        <v>8830</v>
      </c>
      <c r="B6171" t="s">
        <v>3183</v>
      </c>
    </row>
    <row r="6172" spans="1:2" x14ac:dyDescent="0.25">
      <c r="A6172" t="s">
        <v>2458</v>
      </c>
      <c r="B6172" t="s">
        <v>2457</v>
      </c>
    </row>
    <row r="6173" spans="1:2" x14ac:dyDescent="0.25">
      <c r="A6173" t="s">
        <v>2567</v>
      </c>
      <c r="B6173" t="s">
        <v>2566</v>
      </c>
    </row>
    <row r="6174" spans="1:2" x14ac:dyDescent="0.25">
      <c r="A6174" t="s">
        <v>2569</v>
      </c>
      <c r="B6174" t="s">
        <v>2568</v>
      </c>
    </row>
    <row r="6175" spans="1:2" x14ac:dyDescent="0.25">
      <c r="A6175" t="s">
        <v>2571</v>
      </c>
      <c r="B6175" t="s">
        <v>2570</v>
      </c>
    </row>
    <row r="6176" spans="1:2" x14ac:dyDescent="0.25">
      <c r="A6176" t="s">
        <v>2573</v>
      </c>
      <c r="B6176" t="s">
        <v>2572</v>
      </c>
    </row>
    <row r="6177" spans="1:2" x14ac:dyDescent="0.25">
      <c r="A6177" t="s">
        <v>2478</v>
      </c>
      <c r="B6177" t="s">
        <v>2477</v>
      </c>
    </row>
    <row r="6178" spans="1:2" x14ac:dyDescent="0.25">
      <c r="A6178" t="s">
        <v>8831</v>
      </c>
      <c r="B6178" t="s">
        <v>3254</v>
      </c>
    </row>
    <row r="6179" spans="1:2" x14ac:dyDescent="0.25">
      <c r="A6179" t="s">
        <v>8832</v>
      </c>
      <c r="B6179" t="s">
        <v>3309</v>
      </c>
    </row>
    <row r="6180" spans="1:2" x14ac:dyDescent="0.25">
      <c r="A6180" t="s">
        <v>8833</v>
      </c>
      <c r="B6180" t="s">
        <v>4555</v>
      </c>
    </row>
    <row r="6181" spans="1:2" x14ac:dyDescent="0.25">
      <c r="A6181" t="s">
        <v>8834</v>
      </c>
      <c r="B6181" t="s">
        <v>3310</v>
      </c>
    </row>
    <row r="6182" spans="1:2" x14ac:dyDescent="0.25">
      <c r="A6182" t="s">
        <v>8835</v>
      </c>
      <c r="B6182" t="s">
        <v>4785</v>
      </c>
    </row>
    <row r="6183" spans="1:2" x14ac:dyDescent="0.25">
      <c r="A6183" t="s">
        <v>8836</v>
      </c>
      <c r="B6183" t="s">
        <v>3291</v>
      </c>
    </row>
    <row r="6184" spans="1:2" x14ac:dyDescent="0.25">
      <c r="A6184" t="s">
        <v>8837</v>
      </c>
      <c r="B6184" t="s">
        <v>4981</v>
      </c>
    </row>
    <row r="6185" spans="1:2" x14ac:dyDescent="0.25">
      <c r="A6185" t="s">
        <v>8838</v>
      </c>
      <c r="B6185" t="s">
        <v>4538</v>
      </c>
    </row>
    <row r="6186" spans="1:2" x14ac:dyDescent="0.25">
      <c r="A6186" t="s">
        <v>8839</v>
      </c>
      <c r="B6186" t="s">
        <v>3298</v>
      </c>
    </row>
    <row r="6187" spans="1:2" x14ac:dyDescent="0.25">
      <c r="A6187" t="s">
        <v>8840</v>
      </c>
      <c r="B6187" t="s">
        <v>4986</v>
      </c>
    </row>
    <row r="6188" spans="1:2" x14ac:dyDescent="0.25">
      <c r="A6188" t="s">
        <v>8841</v>
      </c>
      <c r="B6188" t="s">
        <v>3253</v>
      </c>
    </row>
    <row r="6189" spans="1:2" x14ac:dyDescent="0.25">
      <c r="A6189" t="s">
        <v>8842</v>
      </c>
      <c r="B6189" t="s">
        <v>3248</v>
      </c>
    </row>
    <row r="6190" spans="1:2" x14ac:dyDescent="0.25">
      <c r="A6190" t="s">
        <v>8843</v>
      </c>
      <c r="B6190" t="s">
        <v>3252</v>
      </c>
    </row>
    <row r="6191" spans="1:2" x14ac:dyDescent="0.25">
      <c r="A6191" t="s">
        <v>8844</v>
      </c>
      <c r="B6191" t="s">
        <v>4871</v>
      </c>
    </row>
    <row r="6192" spans="1:2" x14ac:dyDescent="0.25">
      <c r="A6192" t="s">
        <v>8845</v>
      </c>
      <c r="B6192" t="s">
        <v>3265</v>
      </c>
    </row>
    <row r="6193" spans="1:2" x14ac:dyDescent="0.25">
      <c r="A6193" t="s">
        <v>8846</v>
      </c>
      <c r="B6193" t="s">
        <v>3280</v>
      </c>
    </row>
    <row r="6194" spans="1:2" x14ac:dyDescent="0.25">
      <c r="A6194" t="s">
        <v>8847</v>
      </c>
      <c r="B6194" t="s">
        <v>3330</v>
      </c>
    </row>
    <row r="6195" spans="1:2" x14ac:dyDescent="0.25">
      <c r="A6195" t="s">
        <v>8848</v>
      </c>
      <c r="B6195" t="s">
        <v>3284</v>
      </c>
    </row>
    <row r="6196" spans="1:2" x14ac:dyDescent="0.25">
      <c r="A6196" t="s">
        <v>8849</v>
      </c>
      <c r="B6196" t="s">
        <v>8850</v>
      </c>
    </row>
    <row r="6197" spans="1:2" x14ac:dyDescent="0.25">
      <c r="A6197" t="s">
        <v>8851</v>
      </c>
      <c r="B6197" t="s">
        <v>3068</v>
      </c>
    </row>
    <row r="6198" spans="1:2" x14ac:dyDescent="0.25">
      <c r="A6198" t="s">
        <v>8852</v>
      </c>
      <c r="B6198" t="s">
        <v>4821</v>
      </c>
    </row>
    <row r="6199" spans="1:2" x14ac:dyDescent="0.25">
      <c r="A6199" t="s">
        <v>8853</v>
      </c>
      <c r="B6199" t="s">
        <v>4823</v>
      </c>
    </row>
    <row r="6200" spans="1:2" x14ac:dyDescent="0.25">
      <c r="A6200" t="s">
        <v>8854</v>
      </c>
      <c r="B6200" t="s">
        <v>8855</v>
      </c>
    </row>
    <row r="6201" spans="1:2" x14ac:dyDescent="0.25">
      <c r="A6201" t="s">
        <v>8856</v>
      </c>
      <c r="B6201" t="s">
        <v>3282</v>
      </c>
    </row>
    <row r="6202" spans="1:2" x14ac:dyDescent="0.25">
      <c r="A6202" t="s">
        <v>8857</v>
      </c>
      <c r="B6202" t="s">
        <v>3145</v>
      </c>
    </row>
    <row r="6203" spans="1:2" x14ac:dyDescent="0.25">
      <c r="A6203" t="s">
        <v>8858</v>
      </c>
      <c r="B6203" t="s">
        <v>3090</v>
      </c>
    </row>
    <row r="6204" spans="1:2" x14ac:dyDescent="0.25">
      <c r="A6204" t="s">
        <v>8859</v>
      </c>
      <c r="B6204" t="s">
        <v>3278</v>
      </c>
    </row>
    <row r="6205" spans="1:2" x14ac:dyDescent="0.25">
      <c r="A6205" t="s">
        <v>8860</v>
      </c>
      <c r="B6205" t="s">
        <v>3303</v>
      </c>
    </row>
    <row r="6206" spans="1:2" x14ac:dyDescent="0.25">
      <c r="A6206" t="s">
        <v>8861</v>
      </c>
      <c r="B6206" t="s">
        <v>3304</v>
      </c>
    </row>
    <row r="6207" spans="1:2" x14ac:dyDescent="0.25">
      <c r="A6207" t="s">
        <v>8862</v>
      </c>
      <c r="B6207" t="s">
        <v>7000</v>
      </c>
    </row>
    <row r="6208" spans="1:2" x14ac:dyDescent="0.25">
      <c r="A6208" t="s">
        <v>8863</v>
      </c>
      <c r="B6208" t="s">
        <v>3305</v>
      </c>
    </row>
    <row r="6209" spans="1:2" x14ac:dyDescent="0.25">
      <c r="A6209" t="s">
        <v>8864</v>
      </c>
      <c r="B6209" t="s">
        <v>7002</v>
      </c>
    </row>
    <row r="6210" spans="1:2" x14ac:dyDescent="0.25">
      <c r="A6210" t="s">
        <v>8865</v>
      </c>
      <c r="B6210" t="s">
        <v>4829</v>
      </c>
    </row>
    <row r="6211" spans="1:2" x14ac:dyDescent="0.25">
      <c r="A6211" t="s">
        <v>8866</v>
      </c>
      <c r="B6211" t="s">
        <v>4899</v>
      </c>
    </row>
    <row r="6212" spans="1:2" x14ac:dyDescent="0.25">
      <c r="A6212" t="s">
        <v>8867</v>
      </c>
      <c r="B6212" t="s">
        <v>8868</v>
      </c>
    </row>
    <row r="6213" spans="1:2" x14ac:dyDescent="0.25">
      <c r="A6213" t="s">
        <v>8869</v>
      </c>
      <c r="B6213" t="s">
        <v>3242</v>
      </c>
    </row>
    <row r="6214" spans="1:2" x14ac:dyDescent="0.25">
      <c r="A6214" t="s">
        <v>8870</v>
      </c>
      <c r="B6214" t="s">
        <v>4765</v>
      </c>
    </row>
    <row r="6215" spans="1:2" x14ac:dyDescent="0.25">
      <c r="A6215" t="s">
        <v>8871</v>
      </c>
      <c r="B6215" t="s">
        <v>3243</v>
      </c>
    </row>
    <row r="6216" spans="1:2" x14ac:dyDescent="0.25">
      <c r="A6216" t="s">
        <v>8872</v>
      </c>
      <c r="B6216" t="s">
        <v>4969</v>
      </c>
    </row>
    <row r="6217" spans="1:2" x14ac:dyDescent="0.25">
      <c r="A6217" t="s">
        <v>8873</v>
      </c>
      <c r="B6217" t="s">
        <v>3232</v>
      </c>
    </row>
    <row r="6218" spans="1:2" x14ac:dyDescent="0.25">
      <c r="A6218" t="s">
        <v>8874</v>
      </c>
      <c r="B6218" t="s">
        <v>4544</v>
      </c>
    </row>
    <row r="6219" spans="1:2" x14ac:dyDescent="0.25">
      <c r="A6219" t="s">
        <v>8875</v>
      </c>
      <c r="B6219" t="s">
        <v>3235</v>
      </c>
    </row>
    <row r="6220" spans="1:2" x14ac:dyDescent="0.25">
      <c r="A6220" t="s">
        <v>8876</v>
      </c>
      <c r="B6220" t="s">
        <v>4790</v>
      </c>
    </row>
    <row r="6221" spans="1:2" x14ac:dyDescent="0.25">
      <c r="A6221" t="s">
        <v>8877</v>
      </c>
      <c r="B6221" t="s">
        <v>3302</v>
      </c>
    </row>
    <row r="6222" spans="1:2" x14ac:dyDescent="0.25">
      <c r="A6222" t="s">
        <v>8878</v>
      </c>
      <c r="B6222" t="s">
        <v>4792</v>
      </c>
    </row>
    <row r="6223" spans="1:2" x14ac:dyDescent="0.25">
      <c r="A6223" t="s">
        <v>8879</v>
      </c>
      <c r="B6223" t="s">
        <v>3103</v>
      </c>
    </row>
    <row r="6224" spans="1:2" x14ac:dyDescent="0.25">
      <c r="A6224" t="s">
        <v>8880</v>
      </c>
      <c r="B6224" t="s">
        <v>3104</v>
      </c>
    </row>
    <row r="6225" spans="1:2" x14ac:dyDescent="0.25">
      <c r="A6225" t="s">
        <v>8881</v>
      </c>
      <c r="B6225" t="s">
        <v>5106</v>
      </c>
    </row>
    <row r="6226" spans="1:2" x14ac:dyDescent="0.25">
      <c r="A6226" t="s">
        <v>8882</v>
      </c>
      <c r="B6226" t="s">
        <v>3175</v>
      </c>
    </row>
    <row r="6227" spans="1:2" x14ac:dyDescent="0.25">
      <c r="A6227" t="s">
        <v>8883</v>
      </c>
      <c r="B6227" t="s">
        <v>3246</v>
      </c>
    </row>
    <row r="6228" spans="1:2" x14ac:dyDescent="0.25">
      <c r="A6228" t="s">
        <v>8884</v>
      </c>
      <c r="B6228" t="s">
        <v>3247</v>
      </c>
    </row>
    <row r="6229" spans="1:2" x14ac:dyDescent="0.25">
      <c r="A6229" t="s">
        <v>8885</v>
      </c>
      <c r="B6229" t="s">
        <v>3097</v>
      </c>
    </row>
    <row r="6230" spans="1:2" x14ac:dyDescent="0.25">
      <c r="A6230" t="s">
        <v>8886</v>
      </c>
      <c r="B6230" t="s">
        <v>3231</v>
      </c>
    </row>
    <row r="6231" spans="1:2" x14ac:dyDescent="0.25">
      <c r="A6231" t="s">
        <v>8887</v>
      </c>
      <c r="B6231" t="s">
        <v>3239</v>
      </c>
    </row>
    <row r="6232" spans="1:2" x14ac:dyDescent="0.25">
      <c r="A6232" t="s">
        <v>8888</v>
      </c>
      <c r="B6232" t="s">
        <v>3240</v>
      </c>
    </row>
    <row r="6233" spans="1:2" x14ac:dyDescent="0.25">
      <c r="A6233" t="s">
        <v>8889</v>
      </c>
      <c r="B6233" t="s">
        <v>4177</v>
      </c>
    </row>
    <row r="6234" spans="1:2" x14ac:dyDescent="0.25">
      <c r="A6234" t="s">
        <v>8890</v>
      </c>
      <c r="B6234" t="s">
        <v>3237</v>
      </c>
    </row>
    <row r="6235" spans="1:2" x14ac:dyDescent="0.25">
      <c r="A6235" t="s">
        <v>8891</v>
      </c>
      <c r="B6235" t="s">
        <v>4787</v>
      </c>
    </row>
    <row r="6236" spans="1:2" x14ac:dyDescent="0.25">
      <c r="A6236" t="s">
        <v>8892</v>
      </c>
      <c r="B6236" t="s">
        <v>4180</v>
      </c>
    </row>
    <row r="6237" spans="1:2" x14ac:dyDescent="0.25">
      <c r="A6237" t="s">
        <v>8893</v>
      </c>
      <c r="B6237" t="s">
        <v>4794</v>
      </c>
    </row>
    <row r="6238" spans="1:2" x14ac:dyDescent="0.25">
      <c r="A6238" t="s">
        <v>8894</v>
      </c>
      <c r="B6238" t="s">
        <v>3241</v>
      </c>
    </row>
    <row r="6239" spans="1:2" x14ac:dyDescent="0.25">
      <c r="A6239" t="s">
        <v>8895</v>
      </c>
      <c r="B6239" t="s">
        <v>3234</v>
      </c>
    </row>
    <row r="6240" spans="1:2" x14ac:dyDescent="0.25">
      <c r="A6240" t="s">
        <v>8896</v>
      </c>
      <c r="B6240" t="s">
        <v>4549</v>
      </c>
    </row>
    <row r="6241" spans="1:2" x14ac:dyDescent="0.25">
      <c r="A6241" t="s">
        <v>8897</v>
      </c>
      <c r="B6241" t="s">
        <v>4150</v>
      </c>
    </row>
    <row r="6242" spans="1:2" x14ac:dyDescent="0.25">
      <c r="A6242" t="s">
        <v>8898</v>
      </c>
      <c r="B6242" t="s">
        <v>4158</v>
      </c>
    </row>
    <row r="6243" spans="1:2" x14ac:dyDescent="0.25">
      <c r="A6243" t="s">
        <v>8899</v>
      </c>
      <c r="B6243" t="s">
        <v>4148</v>
      </c>
    </row>
    <row r="6244" spans="1:2" x14ac:dyDescent="0.25">
      <c r="A6244" t="s">
        <v>8900</v>
      </c>
      <c r="B6244" t="s">
        <v>5095</v>
      </c>
    </row>
    <row r="6245" spans="1:2" x14ac:dyDescent="0.25">
      <c r="A6245" t="s">
        <v>8901</v>
      </c>
      <c r="B6245" t="s">
        <v>3098</v>
      </c>
    </row>
    <row r="6246" spans="1:2" x14ac:dyDescent="0.25">
      <c r="A6246" t="s">
        <v>8902</v>
      </c>
      <c r="B6246" t="s">
        <v>3099</v>
      </c>
    </row>
    <row r="6247" spans="1:2" x14ac:dyDescent="0.25">
      <c r="A6247" t="s">
        <v>8903</v>
      </c>
      <c r="B6247" t="s">
        <v>3101</v>
      </c>
    </row>
    <row r="6248" spans="1:2" x14ac:dyDescent="0.25">
      <c r="A6248" t="s">
        <v>8904</v>
      </c>
      <c r="B6248" t="s">
        <v>3102</v>
      </c>
    </row>
    <row r="6249" spans="1:2" x14ac:dyDescent="0.25">
      <c r="A6249" t="s">
        <v>8905</v>
      </c>
      <c r="B6249" t="s">
        <v>4419</v>
      </c>
    </row>
    <row r="6250" spans="1:2" x14ac:dyDescent="0.25">
      <c r="A6250" t="s">
        <v>8906</v>
      </c>
      <c r="B6250" t="s">
        <v>3277</v>
      </c>
    </row>
    <row r="6251" spans="1:2" x14ac:dyDescent="0.25">
      <c r="A6251" t="s">
        <v>8907</v>
      </c>
      <c r="B6251" t="s">
        <v>6998</v>
      </c>
    </row>
    <row r="6252" spans="1:2" x14ac:dyDescent="0.25">
      <c r="A6252" t="s">
        <v>8908</v>
      </c>
      <c r="B6252" t="s">
        <v>5026</v>
      </c>
    </row>
    <row r="6253" spans="1:2" x14ac:dyDescent="0.25">
      <c r="A6253" t="s">
        <v>8909</v>
      </c>
      <c r="B6253" t="s">
        <v>4533</v>
      </c>
    </row>
    <row r="6254" spans="1:2" x14ac:dyDescent="0.25">
      <c r="A6254" t="s">
        <v>8910</v>
      </c>
      <c r="B6254" t="s">
        <v>3203</v>
      </c>
    </row>
    <row r="6255" spans="1:2" x14ac:dyDescent="0.25">
      <c r="A6255" t="s">
        <v>8911</v>
      </c>
      <c r="B6255" t="s">
        <v>5189</v>
      </c>
    </row>
    <row r="6256" spans="1:2" x14ac:dyDescent="0.25">
      <c r="A6256" t="s">
        <v>8912</v>
      </c>
      <c r="B6256" t="s">
        <v>3283</v>
      </c>
    </row>
    <row r="6257" spans="1:2" x14ac:dyDescent="0.25">
      <c r="A6257" t="s">
        <v>8913</v>
      </c>
      <c r="B6257" t="s">
        <v>4956</v>
      </c>
    </row>
    <row r="6258" spans="1:2" x14ac:dyDescent="0.25">
      <c r="A6258" t="s">
        <v>8914</v>
      </c>
      <c r="B6258" t="s">
        <v>4971</v>
      </c>
    </row>
    <row r="6259" spans="1:2" x14ac:dyDescent="0.25">
      <c r="A6259" t="s">
        <v>8915</v>
      </c>
      <c r="B6259" t="s">
        <v>4973</v>
      </c>
    </row>
    <row r="6260" spans="1:2" x14ac:dyDescent="0.25">
      <c r="A6260" t="s">
        <v>8916</v>
      </c>
      <c r="B6260" t="s">
        <v>2736</v>
      </c>
    </row>
    <row r="6261" spans="1:2" x14ac:dyDescent="0.25">
      <c r="A6261" t="s">
        <v>8917</v>
      </c>
      <c r="B6261" t="s">
        <v>4726</v>
      </c>
    </row>
    <row r="6262" spans="1:2" x14ac:dyDescent="0.25">
      <c r="A6262" t="s">
        <v>8918</v>
      </c>
      <c r="B6262" t="s">
        <v>4175</v>
      </c>
    </row>
    <row r="6263" spans="1:2" x14ac:dyDescent="0.25">
      <c r="A6263" t="s">
        <v>8919</v>
      </c>
      <c r="B6263" t="s">
        <v>4391</v>
      </c>
    </row>
    <row r="6264" spans="1:2" x14ac:dyDescent="0.25">
      <c r="A6264" t="s">
        <v>8920</v>
      </c>
      <c r="B6264" t="s">
        <v>3292</v>
      </c>
    </row>
    <row r="6265" spans="1:2" x14ac:dyDescent="0.25">
      <c r="A6265" t="s">
        <v>8921</v>
      </c>
      <c r="B6265" t="s">
        <v>5178</v>
      </c>
    </row>
    <row r="6266" spans="1:2" x14ac:dyDescent="0.25">
      <c r="A6266" t="s">
        <v>8922</v>
      </c>
      <c r="B6266" t="s">
        <v>4030</v>
      </c>
    </row>
    <row r="6267" spans="1:2" x14ac:dyDescent="0.25">
      <c r="A6267" t="s">
        <v>8923</v>
      </c>
      <c r="B6267" t="s">
        <v>5192</v>
      </c>
    </row>
    <row r="6268" spans="1:2" x14ac:dyDescent="0.25">
      <c r="A6268" t="s">
        <v>8924</v>
      </c>
      <c r="B6268" t="s">
        <v>4028</v>
      </c>
    </row>
    <row r="6269" spans="1:2" x14ac:dyDescent="0.25">
      <c r="A6269" t="s">
        <v>8925</v>
      </c>
      <c r="B6269" t="s">
        <v>4040</v>
      </c>
    </row>
    <row r="6270" spans="1:2" x14ac:dyDescent="0.25">
      <c r="A6270" t="s">
        <v>8926</v>
      </c>
      <c r="B6270" t="s">
        <v>4053</v>
      </c>
    </row>
    <row r="6271" spans="1:2" x14ac:dyDescent="0.25">
      <c r="A6271" t="s">
        <v>8927</v>
      </c>
      <c r="B6271" t="s">
        <v>4796</v>
      </c>
    </row>
    <row r="6272" spans="1:2" x14ac:dyDescent="0.25">
      <c r="A6272" t="s">
        <v>8928</v>
      </c>
      <c r="B6272" t="s">
        <v>6996</v>
      </c>
    </row>
    <row r="6273" spans="1:2" x14ac:dyDescent="0.25">
      <c r="A6273" t="s">
        <v>8929</v>
      </c>
      <c r="B6273" t="s">
        <v>4540</v>
      </c>
    </row>
    <row r="6274" spans="1:2" x14ac:dyDescent="0.25">
      <c r="A6274" t="s">
        <v>8930</v>
      </c>
      <c r="B6274" t="s">
        <v>4528</v>
      </c>
    </row>
    <row r="6275" spans="1:2" x14ac:dyDescent="0.25">
      <c r="A6275" t="s">
        <v>8931</v>
      </c>
      <c r="B6275" t="s">
        <v>4741</v>
      </c>
    </row>
    <row r="6276" spans="1:2" x14ac:dyDescent="0.25">
      <c r="A6276" t="s">
        <v>8932</v>
      </c>
      <c r="B6276" t="s">
        <v>4530</v>
      </c>
    </row>
    <row r="6277" spans="1:2" x14ac:dyDescent="0.25">
      <c r="A6277" t="s">
        <v>8933</v>
      </c>
      <c r="B6277" t="s">
        <v>4303</v>
      </c>
    </row>
    <row r="6278" spans="1:2" x14ac:dyDescent="0.25">
      <c r="A6278" t="s">
        <v>8934</v>
      </c>
      <c r="B6278" t="s">
        <v>3361</v>
      </c>
    </row>
    <row r="6279" spans="1:2" x14ac:dyDescent="0.25">
      <c r="A6279" t="s">
        <v>8935</v>
      </c>
      <c r="B6279" t="s">
        <v>4632</v>
      </c>
    </row>
    <row r="6280" spans="1:2" x14ac:dyDescent="0.25">
      <c r="A6280" t="s">
        <v>8936</v>
      </c>
      <c r="B6280" t="s">
        <v>3360</v>
      </c>
    </row>
    <row r="6281" spans="1:2" x14ac:dyDescent="0.25">
      <c r="A6281" t="s">
        <v>8937</v>
      </c>
      <c r="B6281" t="s">
        <v>4144</v>
      </c>
    </row>
    <row r="6282" spans="1:2" x14ac:dyDescent="0.25">
      <c r="A6282" t="s">
        <v>8938</v>
      </c>
      <c r="B6282" t="s">
        <v>5066</v>
      </c>
    </row>
    <row r="6283" spans="1:2" x14ac:dyDescent="0.25">
      <c r="A6283" t="s">
        <v>8939</v>
      </c>
      <c r="B6283" t="s">
        <v>3092</v>
      </c>
    </row>
    <row r="6284" spans="1:2" x14ac:dyDescent="0.25">
      <c r="A6284" t="s">
        <v>8940</v>
      </c>
      <c r="B6284" t="s">
        <v>376</v>
      </c>
    </row>
    <row r="6285" spans="1:2" x14ac:dyDescent="0.25">
      <c r="A6285" t="s">
        <v>8941</v>
      </c>
      <c r="B6285" t="s">
        <v>3062</v>
      </c>
    </row>
    <row r="6286" spans="1:2" x14ac:dyDescent="0.25">
      <c r="A6286" t="s">
        <v>8942</v>
      </c>
      <c r="B6286" t="s">
        <v>3938</v>
      </c>
    </row>
    <row r="6287" spans="1:2" x14ac:dyDescent="0.25">
      <c r="A6287" t="s">
        <v>8943</v>
      </c>
      <c r="B6287" t="s">
        <v>4104</v>
      </c>
    </row>
    <row r="6288" spans="1:2" x14ac:dyDescent="0.25">
      <c r="A6288" t="s">
        <v>8944</v>
      </c>
      <c r="B6288" t="s">
        <v>6234</v>
      </c>
    </row>
    <row r="6289" spans="1:2" x14ac:dyDescent="0.25">
      <c r="A6289" t="s">
        <v>8945</v>
      </c>
      <c r="B6289" t="s">
        <v>6234</v>
      </c>
    </row>
    <row r="6290" spans="1:2" x14ac:dyDescent="0.25">
      <c r="A6290" t="s">
        <v>8946</v>
      </c>
      <c r="B6290" t="s">
        <v>3155</v>
      </c>
    </row>
    <row r="6291" spans="1:2" x14ac:dyDescent="0.25">
      <c r="A6291" t="s">
        <v>8947</v>
      </c>
      <c r="B6291" t="s">
        <v>4134</v>
      </c>
    </row>
    <row r="6292" spans="1:2" x14ac:dyDescent="0.25">
      <c r="A6292" t="s">
        <v>8948</v>
      </c>
      <c r="B6292" t="s">
        <v>3028</v>
      </c>
    </row>
    <row r="6293" spans="1:2" x14ac:dyDescent="0.25">
      <c r="A6293" t="s">
        <v>8949</v>
      </c>
      <c r="B6293" t="s">
        <v>8949</v>
      </c>
    </row>
    <row r="6294" spans="1:2" x14ac:dyDescent="0.25">
      <c r="A6294" t="s">
        <v>8950</v>
      </c>
      <c r="B6294" t="s">
        <v>2480</v>
      </c>
    </row>
    <row r="6295" spans="1:2" x14ac:dyDescent="0.25">
      <c r="A6295" t="s">
        <v>8951</v>
      </c>
      <c r="B6295" t="s">
        <v>3142</v>
      </c>
    </row>
    <row r="6296" spans="1:2" x14ac:dyDescent="0.25">
      <c r="A6296" t="s">
        <v>8952</v>
      </c>
      <c r="B6296" t="s">
        <v>3095</v>
      </c>
    </row>
    <row r="6297" spans="1:2" x14ac:dyDescent="0.25">
      <c r="A6297" t="s">
        <v>8953</v>
      </c>
      <c r="B6297" t="s">
        <v>3306</v>
      </c>
    </row>
    <row r="6298" spans="1:2" x14ac:dyDescent="0.25">
      <c r="A6298" t="s">
        <v>8954</v>
      </c>
      <c r="B6298" t="s">
        <v>5153</v>
      </c>
    </row>
    <row r="6299" spans="1:2" x14ac:dyDescent="0.25">
      <c r="A6299" t="s">
        <v>8955</v>
      </c>
      <c r="B6299" t="s">
        <v>2508</v>
      </c>
    </row>
    <row r="6300" spans="1:2" x14ac:dyDescent="0.25">
      <c r="A6300" t="s">
        <v>8956</v>
      </c>
      <c r="B6300" t="s">
        <v>1985</v>
      </c>
    </row>
    <row r="6301" spans="1:2" x14ac:dyDescent="0.25">
      <c r="A6301" t="s">
        <v>8957</v>
      </c>
      <c r="B6301" t="s">
        <v>3150</v>
      </c>
    </row>
    <row r="6302" spans="1:2" x14ac:dyDescent="0.25">
      <c r="A6302" t="s">
        <v>8958</v>
      </c>
      <c r="B6302" t="s">
        <v>1997</v>
      </c>
    </row>
    <row r="6303" spans="1:2" x14ac:dyDescent="0.25">
      <c r="A6303" t="s">
        <v>2986</v>
      </c>
      <c r="B6303" t="s">
        <v>2985</v>
      </c>
    </row>
    <row r="6304" spans="1:2" x14ac:dyDescent="0.25">
      <c r="A6304" t="s">
        <v>8959</v>
      </c>
      <c r="B6304" t="s">
        <v>4023</v>
      </c>
    </row>
    <row r="6305" spans="1:2" x14ac:dyDescent="0.25">
      <c r="A6305" t="s">
        <v>8960</v>
      </c>
      <c r="B6305" t="s">
        <v>5142</v>
      </c>
    </row>
    <row r="6306" spans="1:2" x14ac:dyDescent="0.25">
      <c r="A6306" t="s">
        <v>8961</v>
      </c>
      <c r="B6306" t="s">
        <v>3176</v>
      </c>
    </row>
    <row r="6307" spans="1:2" x14ac:dyDescent="0.25">
      <c r="A6307" t="s">
        <v>8962</v>
      </c>
      <c r="B6307" t="s">
        <v>3178</v>
      </c>
    </row>
    <row r="6308" spans="1:2" x14ac:dyDescent="0.25">
      <c r="A6308" t="s">
        <v>8963</v>
      </c>
      <c r="B6308" t="s">
        <v>3152</v>
      </c>
    </row>
    <row r="6309" spans="1:2" x14ac:dyDescent="0.25">
      <c r="A6309" t="s">
        <v>8964</v>
      </c>
      <c r="B6309" t="s">
        <v>8964</v>
      </c>
    </row>
    <row r="6310" spans="1:2" x14ac:dyDescent="0.25">
      <c r="A6310" t="s">
        <v>8965</v>
      </c>
      <c r="B6310" t="s">
        <v>3367</v>
      </c>
    </row>
    <row r="6311" spans="1:2" x14ac:dyDescent="0.25">
      <c r="A6311" t="s">
        <v>8966</v>
      </c>
      <c r="B6311" t="s">
        <v>4111</v>
      </c>
    </row>
    <row r="6312" spans="1:2" x14ac:dyDescent="0.25">
      <c r="A6312" t="s">
        <v>379</v>
      </c>
      <c r="B6312" t="s">
        <v>378</v>
      </c>
    </row>
    <row r="6313" spans="1:2" x14ac:dyDescent="0.25">
      <c r="A6313" t="s">
        <v>1112</v>
      </c>
      <c r="B6313" t="s">
        <v>6602</v>
      </c>
    </row>
    <row r="6314" spans="1:2" x14ac:dyDescent="0.25">
      <c r="A6314" t="s">
        <v>1180</v>
      </c>
      <c r="B6314" t="s">
        <v>6604</v>
      </c>
    </row>
    <row r="6315" spans="1:2" x14ac:dyDescent="0.25">
      <c r="A6315" t="s">
        <v>8967</v>
      </c>
      <c r="B6315" t="s">
        <v>3128</v>
      </c>
    </row>
    <row r="6316" spans="1:2" x14ac:dyDescent="0.25">
      <c r="A6316" t="s">
        <v>8968</v>
      </c>
      <c r="B6316" t="s">
        <v>3129</v>
      </c>
    </row>
    <row r="6317" spans="1:2" x14ac:dyDescent="0.25">
      <c r="A6317" t="s">
        <v>8969</v>
      </c>
      <c r="B6317" t="s">
        <v>8970</v>
      </c>
    </row>
    <row r="6318" spans="1:2" x14ac:dyDescent="0.25">
      <c r="A6318" t="s">
        <v>8971</v>
      </c>
      <c r="B6318" t="s">
        <v>8206</v>
      </c>
    </row>
    <row r="6319" spans="1:2" x14ac:dyDescent="0.25">
      <c r="A6319" t="s">
        <v>8972</v>
      </c>
      <c r="B6319" t="s">
        <v>3217</v>
      </c>
    </row>
    <row r="6320" spans="1:2" x14ac:dyDescent="0.25">
      <c r="A6320" t="s">
        <v>8973</v>
      </c>
      <c r="B6320" t="s">
        <v>2714</v>
      </c>
    </row>
    <row r="6321" spans="1:2" x14ac:dyDescent="0.25">
      <c r="A6321" t="s">
        <v>8974</v>
      </c>
      <c r="B6321" t="s">
        <v>3126</v>
      </c>
    </row>
    <row r="6322" spans="1:2" x14ac:dyDescent="0.25">
      <c r="A6322" t="s">
        <v>8975</v>
      </c>
      <c r="B6322" t="s">
        <v>3105</v>
      </c>
    </row>
    <row r="6323" spans="1:2" x14ac:dyDescent="0.25">
      <c r="A6323" t="s">
        <v>385</v>
      </c>
      <c r="B6323" t="s">
        <v>384</v>
      </c>
    </row>
    <row r="6324" spans="1:2" x14ac:dyDescent="0.25">
      <c r="A6324" t="s">
        <v>388</v>
      </c>
      <c r="B6324" t="s">
        <v>387</v>
      </c>
    </row>
    <row r="6325" spans="1:2" x14ac:dyDescent="0.25">
      <c r="A6325" t="s">
        <v>2000</v>
      </c>
      <c r="B6325" t="s">
        <v>1999</v>
      </c>
    </row>
    <row r="6326" spans="1:2" x14ac:dyDescent="0.25">
      <c r="A6326" t="s">
        <v>390</v>
      </c>
      <c r="B6326" t="s">
        <v>389</v>
      </c>
    </row>
    <row r="6327" spans="1:2" x14ac:dyDescent="0.25">
      <c r="A6327" t="s">
        <v>392</v>
      </c>
      <c r="B6327" t="s">
        <v>391</v>
      </c>
    </row>
    <row r="6328" spans="1:2" x14ac:dyDescent="0.25">
      <c r="A6328" t="s">
        <v>394</v>
      </c>
      <c r="B6328" t="s">
        <v>393</v>
      </c>
    </row>
    <row r="6329" spans="1:2" x14ac:dyDescent="0.25">
      <c r="A6329" t="s">
        <v>396</v>
      </c>
      <c r="B6329" t="s">
        <v>395</v>
      </c>
    </row>
    <row r="6330" spans="1:2" x14ac:dyDescent="0.25">
      <c r="A6330" t="s">
        <v>398</v>
      </c>
      <c r="B6330" t="s">
        <v>397</v>
      </c>
    </row>
    <row r="6331" spans="1:2" x14ac:dyDescent="0.25">
      <c r="A6331" t="s">
        <v>400</v>
      </c>
      <c r="B6331" t="s">
        <v>399</v>
      </c>
    </row>
    <row r="6332" spans="1:2" x14ac:dyDescent="0.25">
      <c r="A6332" t="s">
        <v>402</v>
      </c>
      <c r="B6332" t="s">
        <v>401</v>
      </c>
    </row>
    <row r="6333" spans="1:2" x14ac:dyDescent="0.25">
      <c r="A6333" t="s">
        <v>2002</v>
      </c>
      <c r="B6333" t="s">
        <v>2001</v>
      </c>
    </row>
    <row r="6334" spans="1:2" x14ac:dyDescent="0.25">
      <c r="A6334" t="s">
        <v>2004</v>
      </c>
      <c r="B6334" t="s">
        <v>2003</v>
      </c>
    </row>
    <row r="6335" spans="1:2" x14ac:dyDescent="0.25">
      <c r="A6335" t="s">
        <v>2006</v>
      </c>
      <c r="B6335" t="s">
        <v>2005</v>
      </c>
    </row>
    <row r="6336" spans="1:2" x14ac:dyDescent="0.25">
      <c r="A6336" t="s">
        <v>2008</v>
      </c>
      <c r="B6336" t="s">
        <v>2007</v>
      </c>
    </row>
    <row r="6337" spans="1:2" x14ac:dyDescent="0.25">
      <c r="A6337" t="s">
        <v>2010</v>
      </c>
      <c r="B6337" t="s">
        <v>2009</v>
      </c>
    </row>
    <row r="6338" spans="1:2" x14ac:dyDescent="0.25">
      <c r="A6338" t="s">
        <v>1201</v>
      </c>
      <c r="B6338" t="s">
        <v>1200</v>
      </c>
    </row>
    <row r="6339" spans="1:2" x14ac:dyDescent="0.25">
      <c r="A6339" t="s">
        <v>1204</v>
      </c>
      <c r="B6339" t="s">
        <v>1203</v>
      </c>
    </row>
    <row r="6340" spans="1:2" x14ac:dyDescent="0.25">
      <c r="A6340" t="s">
        <v>2012</v>
      </c>
      <c r="B6340" t="s">
        <v>2011</v>
      </c>
    </row>
    <row r="6341" spans="1:2" x14ac:dyDescent="0.25">
      <c r="A6341" t="s">
        <v>2014</v>
      </c>
      <c r="B6341" t="s">
        <v>2013</v>
      </c>
    </row>
    <row r="6342" spans="1:2" x14ac:dyDescent="0.25">
      <c r="A6342" t="s">
        <v>2016</v>
      </c>
      <c r="B6342" t="s">
        <v>2015</v>
      </c>
    </row>
    <row r="6343" spans="1:2" x14ac:dyDescent="0.25">
      <c r="A6343" t="s">
        <v>2018</v>
      </c>
      <c r="B6343" t="s">
        <v>2017</v>
      </c>
    </row>
    <row r="6344" spans="1:2" x14ac:dyDescent="0.25">
      <c r="A6344" t="s">
        <v>2020</v>
      </c>
      <c r="B6344" t="s">
        <v>2019</v>
      </c>
    </row>
    <row r="6345" spans="1:2" x14ac:dyDescent="0.25">
      <c r="A6345" t="s">
        <v>2022</v>
      </c>
      <c r="B6345" t="s">
        <v>2021</v>
      </c>
    </row>
    <row r="6346" spans="1:2" x14ac:dyDescent="0.25">
      <c r="A6346" t="s">
        <v>2024</v>
      </c>
      <c r="B6346" t="s">
        <v>2023</v>
      </c>
    </row>
    <row r="6347" spans="1:2" x14ac:dyDescent="0.25">
      <c r="A6347" t="s">
        <v>2026</v>
      </c>
      <c r="B6347" t="s">
        <v>2025</v>
      </c>
    </row>
    <row r="6348" spans="1:2" x14ac:dyDescent="0.25">
      <c r="A6348" t="s">
        <v>2028</v>
      </c>
      <c r="B6348" t="s">
        <v>2027</v>
      </c>
    </row>
    <row r="6349" spans="1:2" x14ac:dyDescent="0.25">
      <c r="A6349" t="s">
        <v>2030</v>
      </c>
      <c r="B6349" t="s">
        <v>2029</v>
      </c>
    </row>
    <row r="6350" spans="1:2" x14ac:dyDescent="0.25">
      <c r="A6350" t="s">
        <v>404</v>
      </c>
      <c r="B6350" t="s">
        <v>403</v>
      </c>
    </row>
    <row r="6351" spans="1:2" x14ac:dyDescent="0.25">
      <c r="A6351" t="s">
        <v>8976</v>
      </c>
      <c r="B6351" t="s">
        <v>3219</v>
      </c>
    </row>
    <row r="6352" spans="1:2" x14ac:dyDescent="0.25">
      <c r="A6352" t="s">
        <v>8977</v>
      </c>
      <c r="B6352" t="s">
        <v>4102</v>
      </c>
    </row>
    <row r="6353" spans="1:2" x14ac:dyDescent="0.25">
      <c r="A6353" t="s">
        <v>407</v>
      </c>
      <c r="B6353" t="s">
        <v>407</v>
      </c>
    </row>
    <row r="6354" spans="1:2" x14ac:dyDescent="0.25">
      <c r="A6354" t="s">
        <v>409</v>
      </c>
      <c r="B6354" t="s">
        <v>409</v>
      </c>
    </row>
    <row r="6355" spans="1:2" x14ac:dyDescent="0.25">
      <c r="A6355" t="s">
        <v>411</v>
      </c>
      <c r="B6355" t="s">
        <v>411</v>
      </c>
    </row>
    <row r="6356" spans="1:2" x14ac:dyDescent="0.25">
      <c r="A6356" t="s">
        <v>8978</v>
      </c>
      <c r="B6356" t="s">
        <v>4934</v>
      </c>
    </row>
    <row r="6357" spans="1:2" x14ac:dyDescent="0.25">
      <c r="A6357" t="s">
        <v>8979</v>
      </c>
      <c r="B6357" t="s">
        <v>4934</v>
      </c>
    </row>
    <row r="6358" spans="1:2" x14ac:dyDescent="0.25">
      <c r="A6358" t="s">
        <v>8980</v>
      </c>
      <c r="B6358" t="s">
        <v>4934</v>
      </c>
    </row>
    <row r="6359" spans="1:2" x14ac:dyDescent="0.25">
      <c r="A6359" t="s">
        <v>6094</v>
      </c>
      <c r="B6359" t="s">
        <v>6094</v>
      </c>
    </row>
    <row r="6360" spans="1:2" x14ac:dyDescent="0.25">
      <c r="A6360" t="s">
        <v>6112</v>
      </c>
      <c r="B6360" t="s">
        <v>6112</v>
      </c>
    </row>
    <row r="6361" spans="1:2" x14ac:dyDescent="0.25">
      <c r="A6361" t="s">
        <v>8981</v>
      </c>
      <c r="B6361" t="s">
        <v>4034</v>
      </c>
    </row>
    <row r="6362" spans="1:2" x14ac:dyDescent="0.25">
      <c r="A6362" t="s">
        <v>8982</v>
      </c>
      <c r="B6362" t="s">
        <v>4780</v>
      </c>
    </row>
    <row r="6363" spans="1:2" x14ac:dyDescent="0.25">
      <c r="A6363" t="s">
        <v>8983</v>
      </c>
      <c r="B6363" t="s">
        <v>4811</v>
      </c>
    </row>
    <row r="6364" spans="1:2" x14ac:dyDescent="0.25">
      <c r="A6364" t="s">
        <v>3127</v>
      </c>
      <c r="B6364" t="s">
        <v>3127</v>
      </c>
    </row>
    <row r="6365" spans="1:2" x14ac:dyDescent="0.25">
      <c r="A6365" t="s">
        <v>8984</v>
      </c>
      <c r="B6365" t="s">
        <v>4673</v>
      </c>
    </row>
    <row r="6366" spans="1:2" x14ac:dyDescent="0.25">
      <c r="A6366" t="s">
        <v>8985</v>
      </c>
      <c r="B6366" t="s">
        <v>4673</v>
      </c>
    </row>
    <row r="6367" spans="1:2" x14ac:dyDescent="0.25">
      <c r="A6367" t="s">
        <v>8986</v>
      </c>
      <c r="B6367" t="s">
        <v>8986</v>
      </c>
    </row>
    <row r="6368" spans="1:2" x14ac:dyDescent="0.25">
      <c r="A6368" t="s">
        <v>8987</v>
      </c>
      <c r="B6368" t="s">
        <v>8987</v>
      </c>
    </row>
    <row r="6369" spans="1:2" x14ac:dyDescent="0.25">
      <c r="A6369" t="s">
        <v>2031</v>
      </c>
      <c r="B6369" t="s">
        <v>2031</v>
      </c>
    </row>
    <row r="6370" spans="1:2" x14ac:dyDescent="0.25">
      <c r="A6370" t="s">
        <v>2034</v>
      </c>
      <c r="B6370" t="s">
        <v>2034</v>
      </c>
    </row>
    <row r="6371" spans="1:2" x14ac:dyDescent="0.25">
      <c r="A6371" t="s">
        <v>8988</v>
      </c>
      <c r="B6371" t="s">
        <v>8989</v>
      </c>
    </row>
    <row r="6372" spans="1:2" x14ac:dyDescent="0.25">
      <c r="A6372" t="s">
        <v>8990</v>
      </c>
      <c r="B6372" t="s">
        <v>8990</v>
      </c>
    </row>
    <row r="6373" spans="1:2" x14ac:dyDescent="0.25">
      <c r="A6373" t="s">
        <v>8991</v>
      </c>
      <c r="B6373" t="s">
        <v>111</v>
      </c>
    </row>
    <row r="6374" spans="1:2" x14ac:dyDescent="0.25">
      <c r="A6374" t="s">
        <v>8992</v>
      </c>
      <c r="B6374" t="s">
        <v>8992</v>
      </c>
    </row>
    <row r="6375" spans="1:2" x14ac:dyDescent="0.25">
      <c r="A6375" t="s">
        <v>8993</v>
      </c>
      <c r="B6375" t="s">
        <v>4011</v>
      </c>
    </row>
    <row r="6376" spans="1:2" x14ac:dyDescent="0.25">
      <c r="A6376" t="s">
        <v>7092</v>
      </c>
      <c r="B6376" t="s">
        <v>7092</v>
      </c>
    </row>
    <row r="6377" spans="1:2" x14ac:dyDescent="0.25">
      <c r="A6377" t="s">
        <v>3187</v>
      </c>
      <c r="B6377" t="s">
        <v>3187</v>
      </c>
    </row>
    <row r="6378" spans="1:2" x14ac:dyDescent="0.25">
      <c r="A6378" t="s">
        <v>8994</v>
      </c>
      <c r="B6378" t="s">
        <v>3188</v>
      </c>
    </row>
    <row r="6379" spans="1:2" x14ac:dyDescent="0.25">
      <c r="A6379" t="s">
        <v>8995</v>
      </c>
      <c r="B6379" t="s">
        <v>8996</v>
      </c>
    </row>
    <row r="6380" spans="1:2" x14ac:dyDescent="0.25">
      <c r="A6380" t="s">
        <v>8997</v>
      </c>
      <c r="B6380" t="s">
        <v>4378</v>
      </c>
    </row>
    <row r="6381" spans="1:2" x14ac:dyDescent="0.25">
      <c r="A6381" t="s">
        <v>8998</v>
      </c>
      <c r="B6381" t="s">
        <v>4410</v>
      </c>
    </row>
    <row r="6382" spans="1:2" x14ac:dyDescent="0.25">
      <c r="A6382" t="s">
        <v>8999</v>
      </c>
      <c r="B6382" t="s">
        <v>7500</v>
      </c>
    </row>
    <row r="6383" spans="1:2" x14ac:dyDescent="0.25">
      <c r="A6383" t="s">
        <v>9000</v>
      </c>
      <c r="B6383" t="s">
        <v>3205</v>
      </c>
    </row>
    <row r="6384" spans="1:2" x14ac:dyDescent="0.25">
      <c r="A6384" t="s">
        <v>9001</v>
      </c>
      <c r="B6384" t="s">
        <v>2296</v>
      </c>
    </row>
    <row r="6385" spans="1:2" x14ac:dyDescent="0.25">
      <c r="A6385" t="s">
        <v>9002</v>
      </c>
      <c r="B6385" t="s">
        <v>2782</v>
      </c>
    </row>
    <row r="6386" spans="1:2" x14ac:dyDescent="0.25">
      <c r="A6386" t="s">
        <v>9003</v>
      </c>
      <c r="B6386" t="s">
        <v>1591</v>
      </c>
    </row>
    <row r="6387" spans="1:2" x14ac:dyDescent="0.25">
      <c r="A6387" t="s">
        <v>9004</v>
      </c>
      <c r="B6387" t="s">
        <v>3206</v>
      </c>
    </row>
    <row r="6388" spans="1:2" x14ac:dyDescent="0.25">
      <c r="A6388" t="s">
        <v>9005</v>
      </c>
      <c r="B6388" t="s">
        <v>7517</v>
      </c>
    </row>
    <row r="6389" spans="1:2" x14ac:dyDescent="0.25">
      <c r="A6389" t="s">
        <v>9006</v>
      </c>
      <c r="B6389" t="s">
        <v>1596</v>
      </c>
    </row>
    <row r="6390" spans="1:2" x14ac:dyDescent="0.25">
      <c r="A6390" t="s">
        <v>9007</v>
      </c>
      <c r="B6390" t="s">
        <v>1596</v>
      </c>
    </row>
    <row r="6391" spans="1:2" x14ac:dyDescent="0.25">
      <c r="A6391" t="s">
        <v>9008</v>
      </c>
      <c r="B6391" t="s">
        <v>1598</v>
      </c>
    </row>
    <row r="6392" spans="1:2" x14ac:dyDescent="0.25">
      <c r="A6392" t="s">
        <v>9009</v>
      </c>
      <c r="B6392" t="s">
        <v>1598</v>
      </c>
    </row>
    <row r="6393" spans="1:2" x14ac:dyDescent="0.25">
      <c r="A6393" t="s">
        <v>9010</v>
      </c>
      <c r="B6393" t="s">
        <v>9010</v>
      </c>
    </row>
    <row r="6394" spans="1:2" x14ac:dyDescent="0.25">
      <c r="A6394" t="s">
        <v>9011</v>
      </c>
      <c r="B6394" t="s">
        <v>7526</v>
      </c>
    </row>
    <row r="6395" spans="1:2" x14ac:dyDescent="0.25">
      <c r="A6395" t="s">
        <v>9012</v>
      </c>
      <c r="B6395" t="s">
        <v>2297</v>
      </c>
    </row>
    <row r="6396" spans="1:2" x14ac:dyDescent="0.25">
      <c r="A6396" t="s">
        <v>9013</v>
      </c>
      <c r="B6396" t="s">
        <v>3207</v>
      </c>
    </row>
    <row r="6397" spans="1:2" x14ac:dyDescent="0.25">
      <c r="A6397" t="s">
        <v>9014</v>
      </c>
      <c r="B6397" t="s">
        <v>2298</v>
      </c>
    </row>
    <row r="6398" spans="1:2" x14ac:dyDescent="0.25">
      <c r="A6398" t="s">
        <v>9015</v>
      </c>
      <c r="B6398" t="s">
        <v>1600</v>
      </c>
    </row>
    <row r="6399" spans="1:2" x14ac:dyDescent="0.25">
      <c r="A6399" t="s">
        <v>9016</v>
      </c>
      <c r="B6399" t="s">
        <v>1602</v>
      </c>
    </row>
    <row r="6400" spans="1:2" x14ac:dyDescent="0.25">
      <c r="A6400" t="s">
        <v>9017</v>
      </c>
      <c r="B6400" t="s">
        <v>1604</v>
      </c>
    </row>
    <row r="6401" spans="1:2" x14ac:dyDescent="0.25">
      <c r="A6401" t="s">
        <v>1991</v>
      </c>
      <c r="B6401" t="s">
        <v>1991</v>
      </c>
    </row>
    <row r="6402" spans="1:2" x14ac:dyDescent="0.25">
      <c r="A6402" t="s">
        <v>1992</v>
      </c>
      <c r="B6402" t="s">
        <v>1992</v>
      </c>
    </row>
    <row r="6403" spans="1:2" x14ac:dyDescent="0.25">
      <c r="A6403" t="s">
        <v>9018</v>
      </c>
      <c r="B6403" t="s">
        <v>4451</v>
      </c>
    </row>
    <row r="6404" spans="1:2" x14ac:dyDescent="0.25">
      <c r="A6404" t="s">
        <v>9019</v>
      </c>
      <c r="B6404" t="s">
        <v>9019</v>
      </c>
    </row>
    <row r="6405" spans="1:2" x14ac:dyDescent="0.25">
      <c r="A6405" t="s">
        <v>9020</v>
      </c>
      <c r="B6405" t="s">
        <v>3223</v>
      </c>
    </row>
    <row r="6406" spans="1:2" x14ac:dyDescent="0.25">
      <c r="A6406" t="s">
        <v>9021</v>
      </c>
      <c r="B6406" t="s">
        <v>9021</v>
      </c>
    </row>
    <row r="6407" spans="1:2" x14ac:dyDescent="0.25">
      <c r="A6407" t="s">
        <v>9022</v>
      </c>
      <c r="B6407" t="s">
        <v>4837</v>
      </c>
    </row>
    <row r="6408" spans="1:2" x14ac:dyDescent="0.25">
      <c r="A6408" t="s">
        <v>9023</v>
      </c>
      <c r="B6408" t="s">
        <v>4841</v>
      </c>
    </row>
    <row r="6409" spans="1:2" x14ac:dyDescent="0.25">
      <c r="A6409" t="s">
        <v>9024</v>
      </c>
      <c r="B6409" t="s">
        <v>4841</v>
      </c>
    </row>
    <row r="6410" spans="1:2" x14ac:dyDescent="0.25">
      <c r="A6410" t="s">
        <v>9025</v>
      </c>
      <c r="B6410" t="s">
        <v>9026</v>
      </c>
    </row>
    <row r="6411" spans="1:2" x14ac:dyDescent="0.25">
      <c r="A6411" t="s">
        <v>9027</v>
      </c>
      <c r="B6411" t="s">
        <v>9026</v>
      </c>
    </row>
    <row r="6412" spans="1:2" x14ac:dyDescent="0.25">
      <c r="A6412" t="s">
        <v>9028</v>
      </c>
      <c r="B6412" t="s">
        <v>4859</v>
      </c>
    </row>
    <row r="6413" spans="1:2" x14ac:dyDescent="0.25">
      <c r="A6413" t="s">
        <v>9029</v>
      </c>
      <c r="B6413" t="s">
        <v>4859</v>
      </c>
    </row>
    <row r="6414" spans="1:2" x14ac:dyDescent="0.25">
      <c r="A6414" t="s">
        <v>9030</v>
      </c>
      <c r="B6414" t="s">
        <v>4863</v>
      </c>
    </row>
    <row r="6415" spans="1:2" x14ac:dyDescent="0.25">
      <c r="A6415" t="s">
        <v>9031</v>
      </c>
      <c r="B6415" t="s">
        <v>4863</v>
      </c>
    </row>
    <row r="6416" spans="1:2" x14ac:dyDescent="0.25">
      <c r="A6416" t="s">
        <v>9032</v>
      </c>
      <c r="B6416" t="s">
        <v>4863</v>
      </c>
    </row>
    <row r="6417" spans="1:2" x14ac:dyDescent="0.25">
      <c r="A6417" t="s">
        <v>9033</v>
      </c>
      <c r="B6417" t="s">
        <v>2331</v>
      </c>
    </row>
    <row r="6418" spans="1:2" x14ac:dyDescent="0.25">
      <c r="A6418" t="s">
        <v>9034</v>
      </c>
      <c r="B6418" t="s">
        <v>4928</v>
      </c>
    </row>
    <row r="6419" spans="1:2" x14ac:dyDescent="0.25">
      <c r="A6419" t="s">
        <v>9035</v>
      </c>
      <c r="B6419" t="s">
        <v>3313</v>
      </c>
    </row>
    <row r="6420" spans="1:2" x14ac:dyDescent="0.25">
      <c r="A6420" t="s">
        <v>8223</v>
      </c>
      <c r="B6420" t="s">
        <v>8223</v>
      </c>
    </row>
    <row r="6421" spans="1:2" x14ac:dyDescent="0.25">
      <c r="A6421" t="s">
        <v>8227</v>
      </c>
      <c r="B6421" t="s">
        <v>8227</v>
      </c>
    </row>
    <row r="6422" spans="1:2" x14ac:dyDescent="0.25">
      <c r="A6422" t="s">
        <v>8237</v>
      </c>
      <c r="B6422" t="s">
        <v>8237</v>
      </c>
    </row>
    <row r="6423" spans="1:2" x14ac:dyDescent="0.25">
      <c r="A6423" t="s">
        <v>9036</v>
      </c>
      <c r="B6423" t="s">
        <v>9036</v>
      </c>
    </row>
    <row r="6424" spans="1:2" x14ac:dyDescent="0.25">
      <c r="A6424" t="s">
        <v>9037</v>
      </c>
      <c r="B6424" t="s">
        <v>9037</v>
      </c>
    </row>
    <row r="6425" spans="1:2" x14ac:dyDescent="0.25">
      <c r="A6425" t="s">
        <v>9038</v>
      </c>
      <c r="B6425" t="s">
        <v>9038</v>
      </c>
    </row>
    <row r="6426" spans="1:2" x14ac:dyDescent="0.25">
      <c r="A6426" t="s">
        <v>9039</v>
      </c>
      <c r="B6426" t="s">
        <v>9039</v>
      </c>
    </row>
    <row r="6427" spans="1:2" x14ac:dyDescent="0.25">
      <c r="A6427" t="s">
        <v>9040</v>
      </c>
      <c r="B6427" t="s">
        <v>9040</v>
      </c>
    </row>
    <row r="6428" spans="1:2" x14ac:dyDescent="0.25">
      <c r="A6428" t="s">
        <v>405</v>
      </c>
      <c r="B6428" t="s">
        <v>405</v>
      </c>
    </row>
    <row r="6429" spans="1:2" x14ac:dyDescent="0.25">
      <c r="A6429" t="s">
        <v>9041</v>
      </c>
      <c r="B6429" t="s">
        <v>9042</v>
      </c>
    </row>
    <row r="6430" spans="1:2" x14ac:dyDescent="0.25">
      <c r="A6430" t="s">
        <v>9043</v>
      </c>
      <c r="B6430" t="s">
        <v>9044</v>
      </c>
    </row>
    <row r="6431" spans="1:2" x14ac:dyDescent="0.25">
      <c r="A6431" t="s">
        <v>9045</v>
      </c>
      <c r="B6431" t="s">
        <v>4160</v>
      </c>
    </row>
    <row r="6432" spans="1:2" x14ac:dyDescent="0.25">
      <c r="A6432" t="s">
        <v>9046</v>
      </c>
      <c r="B6432" t="s">
        <v>4162</v>
      </c>
    </row>
    <row r="6433" spans="1:2" x14ac:dyDescent="0.25">
      <c r="A6433" t="s">
        <v>9047</v>
      </c>
      <c r="B6433" t="s">
        <v>4164</v>
      </c>
    </row>
    <row r="6434" spans="1:2" x14ac:dyDescent="0.25">
      <c r="A6434" t="s">
        <v>9048</v>
      </c>
      <c r="B6434" t="s">
        <v>4166</v>
      </c>
    </row>
    <row r="6435" spans="1:2" x14ac:dyDescent="0.25">
      <c r="A6435" t="s">
        <v>9049</v>
      </c>
      <c r="B6435" t="s">
        <v>4168</v>
      </c>
    </row>
    <row r="6436" spans="1:2" x14ac:dyDescent="0.25">
      <c r="A6436" t="s">
        <v>9050</v>
      </c>
      <c r="B6436" t="s">
        <v>4170</v>
      </c>
    </row>
    <row r="6437" spans="1:2" x14ac:dyDescent="0.25">
      <c r="A6437" t="s">
        <v>3948</v>
      </c>
      <c r="B6437" t="s">
        <v>3948</v>
      </c>
    </row>
    <row r="6438" spans="1:2" x14ac:dyDescent="0.25">
      <c r="A6438" t="s">
        <v>3950</v>
      </c>
      <c r="B6438" t="s">
        <v>3950</v>
      </c>
    </row>
    <row r="6439" spans="1:2" x14ac:dyDescent="0.25">
      <c r="A6439" t="s">
        <v>3953</v>
      </c>
      <c r="B6439" t="s">
        <v>3953</v>
      </c>
    </row>
    <row r="6440" spans="1:2" x14ac:dyDescent="0.25">
      <c r="A6440" t="s">
        <v>3955</v>
      </c>
      <c r="B6440" t="s">
        <v>3955</v>
      </c>
    </row>
    <row r="6441" spans="1:2" x14ac:dyDescent="0.25">
      <c r="A6441" t="s">
        <v>3957</v>
      </c>
      <c r="B6441" t="s">
        <v>3957</v>
      </c>
    </row>
    <row r="6442" spans="1:2" x14ac:dyDescent="0.25">
      <c r="A6442" t="s">
        <v>3959</v>
      </c>
      <c r="B6442" t="s">
        <v>3959</v>
      </c>
    </row>
    <row r="6443" spans="1:2" x14ac:dyDescent="0.25">
      <c r="A6443" t="s">
        <v>3264</v>
      </c>
      <c r="B6443" t="s">
        <v>3264</v>
      </c>
    </row>
    <row r="6444" spans="1:2" x14ac:dyDescent="0.25">
      <c r="A6444" t="s">
        <v>4152</v>
      </c>
      <c r="B6444" t="s">
        <v>4152</v>
      </c>
    </row>
    <row r="6445" spans="1:2" x14ac:dyDescent="0.25">
      <c r="A6445" t="s">
        <v>3380</v>
      </c>
      <c r="B6445" t="s">
        <v>3380</v>
      </c>
    </row>
    <row r="6446" spans="1:2" x14ac:dyDescent="0.25">
      <c r="A6446" t="s">
        <v>8586</v>
      </c>
      <c r="B6446" t="s">
        <v>8586</v>
      </c>
    </row>
    <row r="6447" spans="1:2" x14ac:dyDescent="0.25">
      <c r="A6447" t="s">
        <v>4009</v>
      </c>
      <c r="B6447" t="s">
        <v>4009</v>
      </c>
    </row>
    <row r="6448" spans="1:2" x14ac:dyDescent="0.25">
      <c r="A6448" t="s">
        <v>4036</v>
      </c>
      <c r="B6448" t="s">
        <v>4036</v>
      </c>
    </row>
    <row r="6449" spans="1:2" x14ac:dyDescent="0.25">
      <c r="A6449" t="s">
        <v>4038</v>
      </c>
      <c r="B6449" t="s">
        <v>4038</v>
      </c>
    </row>
    <row r="6450" spans="1:2" x14ac:dyDescent="0.25">
      <c r="A6450" t="s">
        <v>4046</v>
      </c>
      <c r="B6450" t="s">
        <v>4046</v>
      </c>
    </row>
    <row r="6451" spans="1:2" x14ac:dyDescent="0.25">
      <c r="A6451" t="s">
        <v>4048</v>
      </c>
      <c r="B6451" t="s">
        <v>4048</v>
      </c>
    </row>
    <row r="6452" spans="1:2" x14ac:dyDescent="0.25">
      <c r="A6452" t="s">
        <v>4050</v>
      </c>
      <c r="B6452" t="s">
        <v>4050</v>
      </c>
    </row>
    <row r="6453" spans="1:2" x14ac:dyDescent="0.25">
      <c r="A6453" t="s">
        <v>4057</v>
      </c>
      <c r="B6453" t="s">
        <v>4057</v>
      </c>
    </row>
    <row r="6454" spans="1:2" x14ac:dyDescent="0.25">
      <c r="A6454" t="s">
        <v>4059</v>
      </c>
      <c r="B6454" t="s">
        <v>4059</v>
      </c>
    </row>
    <row r="6455" spans="1:2" x14ac:dyDescent="0.25">
      <c r="A6455" t="s">
        <v>4061</v>
      </c>
      <c r="B6455" t="s">
        <v>4061</v>
      </c>
    </row>
    <row r="6456" spans="1:2" x14ac:dyDescent="0.25">
      <c r="A6456" t="s">
        <v>3228</v>
      </c>
      <c r="B6456" t="s">
        <v>3228</v>
      </c>
    </row>
    <row r="6457" spans="1:2" x14ac:dyDescent="0.25">
      <c r="A6457" t="s">
        <v>3229</v>
      </c>
      <c r="B6457" t="s">
        <v>3229</v>
      </c>
    </row>
    <row r="6458" spans="1:2" x14ac:dyDescent="0.25">
      <c r="A6458" t="s">
        <v>2430</v>
      </c>
      <c r="B6458" t="s">
        <v>2430</v>
      </c>
    </row>
    <row r="6459" spans="1:2" x14ac:dyDescent="0.25">
      <c r="A6459" t="s">
        <v>5722</v>
      </c>
      <c r="B6459" t="s">
        <v>5722</v>
      </c>
    </row>
    <row r="6460" spans="1:2" x14ac:dyDescent="0.25">
      <c r="A6460" t="s">
        <v>4075</v>
      </c>
      <c r="B6460" t="s">
        <v>4075</v>
      </c>
    </row>
    <row r="6461" spans="1:2" x14ac:dyDescent="0.25">
      <c r="A6461" t="s">
        <v>4089</v>
      </c>
      <c r="B6461" t="s">
        <v>4089</v>
      </c>
    </row>
    <row r="6462" spans="1:2" x14ac:dyDescent="0.25">
      <c r="A6462" t="s">
        <v>4173</v>
      </c>
      <c r="B6462" t="s">
        <v>4173</v>
      </c>
    </row>
    <row r="6463" spans="1:2" x14ac:dyDescent="0.25">
      <c r="A6463" t="s">
        <v>5199</v>
      </c>
      <c r="B6463" t="s">
        <v>5199</v>
      </c>
    </row>
    <row r="6464" spans="1:2" x14ac:dyDescent="0.25">
      <c r="A6464" t="s">
        <v>4825</v>
      </c>
      <c r="B6464" t="s">
        <v>4825</v>
      </c>
    </row>
    <row r="6465" spans="1:2" x14ac:dyDescent="0.25">
      <c r="A6465" t="s">
        <v>3218</v>
      </c>
      <c r="B6465" t="s">
        <v>3218</v>
      </c>
    </row>
    <row r="6466" spans="1:2" x14ac:dyDescent="0.25">
      <c r="A6466" t="s">
        <v>3933</v>
      </c>
      <c r="B6466" t="s">
        <v>3933</v>
      </c>
    </row>
    <row r="6467" spans="1:2" x14ac:dyDescent="0.25">
      <c r="A6467" t="s">
        <v>4306</v>
      </c>
      <c r="B6467" t="s">
        <v>4306</v>
      </c>
    </row>
    <row r="6468" spans="1:2" x14ac:dyDescent="0.25">
      <c r="A6468" t="s">
        <v>4313</v>
      </c>
      <c r="B6468" t="s">
        <v>4313</v>
      </c>
    </row>
    <row r="6469" spans="1:2" x14ac:dyDescent="0.25">
      <c r="A6469" t="s">
        <v>4315</v>
      </c>
      <c r="B6469" t="s">
        <v>4315</v>
      </c>
    </row>
    <row r="6470" spans="1:2" x14ac:dyDescent="0.25">
      <c r="A6470" t="s">
        <v>4320</v>
      </c>
      <c r="B6470" t="s">
        <v>4320</v>
      </c>
    </row>
    <row r="6471" spans="1:2" x14ac:dyDescent="0.25">
      <c r="A6471" t="s">
        <v>4771</v>
      </c>
      <c r="B6471" t="s">
        <v>4771</v>
      </c>
    </row>
    <row r="6472" spans="1:2" x14ac:dyDescent="0.25">
      <c r="A6472" t="s">
        <v>3163</v>
      </c>
      <c r="B6472" t="s">
        <v>3163</v>
      </c>
    </row>
    <row r="6473" spans="1:2" x14ac:dyDescent="0.25">
      <c r="A6473" t="s">
        <v>3366</v>
      </c>
      <c r="B6473" t="s">
        <v>3366</v>
      </c>
    </row>
    <row r="6474" spans="1:2" x14ac:dyDescent="0.25">
      <c r="A6474" t="s">
        <v>3943</v>
      </c>
      <c r="B6474" t="s">
        <v>3943</v>
      </c>
    </row>
    <row r="6475" spans="1:2" x14ac:dyDescent="0.25">
      <c r="A6475" t="s">
        <v>3373</v>
      </c>
      <c r="B6475" t="s">
        <v>3373</v>
      </c>
    </row>
    <row r="6476" spans="1:2" x14ac:dyDescent="0.25">
      <c r="A6476" t="s">
        <v>4396</v>
      </c>
      <c r="B6476" t="s">
        <v>4396</v>
      </c>
    </row>
    <row r="6477" spans="1:2" x14ac:dyDescent="0.25">
      <c r="A6477" t="s">
        <v>4398</v>
      </c>
      <c r="B6477" t="s">
        <v>4398</v>
      </c>
    </row>
    <row r="6478" spans="1:2" x14ac:dyDescent="0.25">
      <c r="A6478" t="s">
        <v>8628</v>
      </c>
      <c r="B6478" t="s">
        <v>8628</v>
      </c>
    </row>
    <row r="6479" spans="1:2" x14ac:dyDescent="0.25">
      <c r="A6479" t="s">
        <v>4032</v>
      </c>
      <c r="B6479" t="s">
        <v>4032</v>
      </c>
    </row>
    <row r="6480" spans="1:2" x14ac:dyDescent="0.25">
      <c r="A6480" t="s">
        <v>4042</v>
      </c>
      <c r="B6480" t="s">
        <v>4042</v>
      </c>
    </row>
    <row r="6481" spans="1:2" x14ac:dyDescent="0.25">
      <c r="A6481" t="s">
        <v>4071</v>
      </c>
      <c r="B6481" t="s">
        <v>4071</v>
      </c>
    </row>
    <row r="6482" spans="1:2" x14ac:dyDescent="0.25">
      <c r="A6482" t="s">
        <v>4078</v>
      </c>
      <c r="B6482" t="s">
        <v>4078</v>
      </c>
    </row>
    <row r="6483" spans="1:2" x14ac:dyDescent="0.25">
      <c r="A6483" t="s">
        <v>4055</v>
      </c>
      <c r="B6483" t="s">
        <v>4055</v>
      </c>
    </row>
    <row r="6484" spans="1:2" x14ac:dyDescent="0.25">
      <c r="A6484" t="s">
        <v>3208</v>
      </c>
      <c r="B6484" t="s">
        <v>3208</v>
      </c>
    </row>
    <row r="6485" spans="1:2" x14ac:dyDescent="0.25">
      <c r="A6485" t="s">
        <v>4448</v>
      </c>
      <c r="B6485" t="s">
        <v>4448</v>
      </c>
    </row>
    <row r="6486" spans="1:2" x14ac:dyDescent="0.25">
      <c r="A6486" t="s">
        <v>4503</v>
      </c>
      <c r="B6486" t="s">
        <v>4503</v>
      </c>
    </row>
    <row r="6487" spans="1:2" x14ac:dyDescent="0.25">
      <c r="A6487" t="s">
        <v>4512</v>
      </c>
      <c r="B6487" t="s">
        <v>4512</v>
      </c>
    </row>
    <row r="6488" spans="1:2" x14ac:dyDescent="0.25">
      <c r="A6488" t="s">
        <v>4514</v>
      </c>
      <c r="B6488" t="s">
        <v>4514</v>
      </c>
    </row>
    <row r="6489" spans="1:2" x14ac:dyDescent="0.25">
      <c r="A6489" t="s">
        <v>3286</v>
      </c>
      <c r="B6489" t="s">
        <v>3286</v>
      </c>
    </row>
    <row r="6490" spans="1:2" x14ac:dyDescent="0.25">
      <c r="A6490" t="s">
        <v>4733</v>
      </c>
      <c r="B6490" t="s">
        <v>4733</v>
      </c>
    </row>
    <row r="6491" spans="1:2" x14ac:dyDescent="0.25">
      <c r="A6491" t="s">
        <v>3118</v>
      </c>
      <c r="B6491" t="s">
        <v>3118</v>
      </c>
    </row>
    <row r="6492" spans="1:2" x14ac:dyDescent="0.25">
      <c r="A6492" t="s">
        <v>4738</v>
      </c>
      <c r="B6492" t="s">
        <v>4738</v>
      </c>
    </row>
    <row r="6493" spans="1:2" x14ac:dyDescent="0.25">
      <c r="A6493" t="s">
        <v>3119</v>
      </c>
      <c r="B6493" t="s">
        <v>3119</v>
      </c>
    </row>
    <row r="6494" spans="1:2" x14ac:dyDescent="0.25">
      <c r="A6494" t="s">
        <v>8647</v>
      </c>
      <c r="B6494" t="s">
        <v>8647</v>
      </c>
    </row>
    <row r="6495" spans="1:2" x14ac:dyDescent="0.25">
      <c r="A6495" t="s">
        <v>2195</v>
      </c>
      <c r="B6495" t="s">
        <v>2195</v>
      </c>
    </row>
    <row r="6496" spans="1:2" x14ac:dyDescent="0.25">
      <c r="A6496" t="s">
        <v>3364</v>
      </c>
      <c r="B6496" t="s">
        <v>3364</v>
      </c>
    </row>
    <row r="6497" spans="1:2" x14ac:dyDescent="0.25">
      <c r="A6497" t="s">
        <v>4220</v>
      </c>
      <c r="B6497" t="s">
        <v>4220</v>
      </c>
    </row>
    <row r="6498" spans="1:2" x14ac:dyDescent="0.25">
      <c r="A6498" t="s">
        <v>4736</v>
      </c>
      <c r="B6498" t="s">
        <v>4736</v>
      </c>
    </row>
    <row r="6499" spans="1:2" x14ac:dyDescent="0.25">
      <c r="A6499" t="s">
        <v>3093</v>
      </c>
      <c r="B6499" t="s">
        <v>3093</v>
      </c>
    </row>
    <row r="6500" spans="1:2" x14ac:dyDescent="0.25">
      <c r="A6500" t="s">
        <v>3160</v>
      </c>
      <c r="B6500" t="s">
        <v>3160</v>
      </c>
    </row>
    <row r="6501" spans="1:2" x14ac:dyDescent="0.25">
      <c r="A6501" t="s">
        <v>3335</v>
      </c>
      <c r="B6501" t="s">
        <v>3335</v>
      </c>
    </row>
    <row r="6502" spans="1:2" x14ac:dyDescent="0.25">
      <c r="A6502" t="s">
        <v>4184</v>
      </c>
      <c r="B6502" t="s">
        <v>4184</v>
      </c>
    </row>
    <row r="6503" spans="1:2" x14ac:dyDescent="0.25">
      <c r="A6503" t="s">
        <v>4404</v>
      </c>
      <c r="B6503" t="s">
        <v>4404</v>
      </c>
    </row>
    <row r="6504" spans="1:2" x14ac:dyDescent="0.25">
      <c r="A6504" t="s">
        <v>4778</v>
      </c>
      <c r="B6504" t="s">
        <v>4778</v>
      </c>
    </row>
    <row r="6505" spans="1:2" x14ac:dyDescent="0.25">
      <c r="A6505" t="s">
        <v>4769</v>
      </c>
      <c r="B6505" t="s">
        <v>4769</v>
      </c>
    </row>
    <row r="6506" spans="1:2" x14ac:dyDescent="0.25">
      <c r="A6506" t="s">
        <v>4802</v>
      </c>
      <c r="B6506" t="s">
        <v>4802</v>
      </c>
    </row>
    <row r="6507" spans="1:2" x14ac:dyDescent="0.25">
      <c r="A6507" t="s">
        <v>4809</v>
      </c>
      <c r="B6507" t="s">
        <v>4809</v>
      </c>
    </row>
    <row r="6508" spans="1:2" x14ac:dyDescent="0.25">
      <c r="A6508" t="s">
        <v>4813</v>
      </c>
      <c r="B6508" t="s">
        <v>4813</v>
      </c>
    </row>
    <row r="6509" spans="1:2" x14ac:dyDescent="0.25">
      <c r="A6509" t="s">
        <v>4815</v>
      </c>
      <c r="B6509" t="s">
        <v>4815</v>
      </c>
    </row>
    <row r="6510" spans="1:2" x14ac:dyDescent="0.25">
      <c r="A6510" t="s">
        <v>4827</v>
      </c>
      <c r="B6510" t="s">
        <v>4827</v>
      </c>
    </row>
    <row r="6511" spans="1:2" x14ac:dyDescent="0.25">
      <c r="A6511" t="s">
        <v>3326</v>
      </c>
      <c r="B6511" t="s">
        <v>3326</v>
      </c>
    </row>
    <row r="6512" spans="1:2" x14ac:dyDescent="0.25">
      <c r="A6512" t="s">
        <v>3327</v>
      </c>
      <c r="B6512" t="s">
        <v>3327</v>
      </c>
    </row>
    <row r="6513" spans="1:2" x14ac:dyDescent="0.25">
      <c r="A6513" t="s">
        <v>4943</v>
      </c>
      <c r="B6513" t="s">
        <v>4943</v>
      </c>
    </row>
    <row r="6514" spans="1:2" x14ac:dyDescent="0.25">
      <c r="A6514" t="s">
        <v>3328</v>
      </c>
      <c r="B6514" t="s">
        <v>3328</v>
      </c>
    </row>
    <row r="6515" spans="1:2" x14ac:dyDescent="0.25">
      <c r="A6515" t="s">
        <v>5089</v>
      </c>
      <c r="B6515" t="s">
        <v>5089</v>
      </c>
    </row>
    <row r="6516" spans="1:2" x14ac:dyDescent="0.25">
      <c r="A6516" t="s">
        <v>3321</v>
      </c>
      <c r="B6516" t="s">
        <v>3321</v>
      </c>
    </row>
    <row r="6517" spans="1:2" x14ac:dyDescent="0.25">
      <c r="A6517" t="s">
        <v>3365</v>
      </c>
      <c r="B6517" t="s">
        <v>3365</v>
      </c>
    </row>
    <row r="6518" spans="1:2" x14ac:dyDescent="0.25">
      <c r="A6518" t="s">
        <v>3323</v>
      </c>
      <c r="B6518" t="s">
        <v>3323</v>
      </c>
    </row>
    <row r="6519" spans="1:2" x14ac:dyDescent="0.25">
      <c r="A6519" t="s">
        <v>3322</v>
      </c>
      <c r="B6519" t="s">
        <v>3322</v>
      </c>
    </row>
    <row r="6520" spans="1:2" x14ac:dyDescent="0.25">
      <c r="A6520" t="s">
        <v>5163</v>
      </c>
      <c r="B6520" t="s">
        <v>5163</v>
      </c>
    </row>
    <row r="6521" spans="1:2" x14ac:dyDescent="0.25">
      <c r="A6521" t="s">
        <v>3238</v>
      </c>
      <c r="B6521" t="s">
        <v>3238</v>
      </c>
    </row>
    <row r="6522" spans="1:2" x14ac:dyDescent="0.25">
      <c r="A6522" t="s">
        <v>3331</v>
      </c>
      <c r="B6522" t="s">
        <v>3331</v>
      </c>
    </row>
    <row r="6523" spans="1:2" x14ac:dyDescent="0.25">
      <c r="A6523" t="s">
        <v>3333</v>
      </c>
      <c r="B6523" t="s">
        <v>3333</v>
      </c>
    </row>
    <row r="6524" spans="1:2" x14ac:dyDescent="0.25">
      <c r="A6524" t="s">
        <v>2557</v>
      </c>
      <c r="B6524" t="s">
        <v>2557</v>
      </c>
    </row>
    <row r="6525" spans="1:2" x14ac:dyDescent="0.25">
      <c r="A6525" t="s">
        <v>3320</v>
      </c>
      <c r="B6525" t="s">
        <v>3320</v>
      </c>
    </row>
    <row r="6526" spans="1:2" x14ac:dyDescent="0.25">
      <c r="A6526" t="s">
        <v>3227</v>
      </c>
      <c r="B6526" t="s">
        <v>3227</v>
      </c>
    </row>
    <row r="6527" spans="1:2" x14ac:dyDescent="0.25">
      <c r="A6527" t="s">
        <v>3336</v>
      </c>
      <c r="B6527" t="s">
        <v>3336</v>
      </c>
    </row>
    <row r="6528" spans="1:2" x14ac:dyDescent="0.25">
      <c r="A6528" t="s">
        <v>5124</v>
      </c>
      <c r="B6528" t="s">
        <v>5124</v>
      </c>
    </row>
    <row r="6529" spans="1:2" x14ac:dyDescent="0.25">
      <c r="A6529" t="s">
        <v>5149</v>
      </c>
      <c r="B6529" t="s">
        <v>5149</v>
      </c>
    </row>
    <row r="6530" spans="1:2" x14ac:dyDescent="0.25">
      <c r="A6530" t="s">
        <v>3266</v>
      </c>
      <c r="B6530" t="s">
        <v>3266</v>
      </c>
    </row>
    <row r="6531" spans="1:2" x14ac:dyDescent="0.25">
      <c r="A6531" t="s">
        <v>3262</v>
      </c>
      <c r="B6531" t="s">
        <v>3262</v>
      </c>
    </row>
    <row r="6532" spans="1:2" x14ac:dyDescent="0.25">
      <c r="A6532" t="s">
        <v>3257</v>
      </c>
      <c r="B6532" t="s">
        <v>3257</v>
      </c>
    </row>
    <row r="6533" spans="1:2" x14ac:dyDescent="0.25">
      <c r="A6533" t="s">
        <v>5145</v>
      </c>
      <c r="B6533" t="s">
        <v>5145</v>
      </c>
    </row>
    <row r="6534" spans="1:2" x14ac:dyDescent="0.25">
      <c r="A6534" t="s">
        <v>3263</v>
      </c>
      <c r="B6534" t="s">
        <v>3263</v>
      </c>
    </row>
    <row r="6535" spans="1:2" x14ac:dyDescent="0.25">
      <c r="A6535" t="s">
        <v>3259</v>
      </c>
      <c r="B6535" t="s">
        <v>3259</v>
      </c>
    </row>
    <row r="6536" spans="1:2" x14ac:dyDescent="0.25">
      <c r="A6536" t="s">
        <v>5137</v>
      </c>
      <c r="B6536" t="s">
        <v>5137</v>
      </c>
    </row>
    <row r="6537" spans="1:2" x14ac:dyDescent="0.25">
      <c r="A6537" t="s">
        <v>5201</v>
      </c>
      <c r="B6537" t="s">
        <v>5201</v>
      </c>
    </row>
    <row r="6538" spans="1:2" x14ac:dyDescent="0.25">
      <c r="A6538" t="s">
        <v>5160</v>
      </c>
      <c r="B6538" t="s">
        <v>5160</v>
      </c>
    </row>
    <row r="6539" spans="1:2" x14ac:dyDescent="0.25">
      <c r="A6539" t="s">
        <v>5176</v>
      </c>
      <c r="B6539" t="s">
        <v>5176</v>
      </c>
    </row>
    <row r="6540" spans="1:2" x14ac:dyDescent="0.25">
      <c r="A6540" t="s">
        <v>2468</v>
      </c>
      <c r="B6540" t="s">
        <v>2468</v>
      </c>
    </row>
    <row r="6541" spans="1:2" x14ac:dyDescent="0.25">
      <c r="A6541" t="s">
        <v>2470</v>
      </c>
      <c r="B6541" t="s">
        <v>2470</v>
      </c>
    </row>
    <row r="6542" spans="1:2" x14ac:dyDescent="0.25">
      <c r="A6542" t="s">
        <v>2472</v>
      </c>
      <c r="B6542" t="s">
        <v>2472</v>
      </c>
    </row>
    <row r="6543" spans="1:2" x14ac:dyDescent="0.25">
      <c r="A6543" t="s">
        <v>2484</v>
      </c>
      <c r="B6543" t="s">
        <v>2484</v>
      </c>
    </row>
    <row r="6544" spans="1:2" x14ac:dyDescent="0.25">
      <c r="A6544" t="s">
        <v>2487</v>
      </c>
      <c r="B6544" t="s">
        <v>2487</v>
      </c>
    </row>
    <row r="6545" spans="1:2" x14ac:dyDescent="0.25">
      <c r="A6545" t="s">
        <v>2551</v>
      </c>
      <c r="B6545" t="s">
        <v>2551</v>
      </c>
    </row>
    <row r="6546" spans="1:2" x14ac:dyDescent="0.25">
      <c r="A6546" t="s">
        <v>2489</v>
      </c>
      <c r="B6546" t="s">
        <v>2489</v>
      </c>
    </row>
    <row r="6547" spans="1:2" x14ac:dyDescent="0.25">
      <c r="A6547" t="s">
        <v>2491</v>
      </c>
      <c r="B6547" t="s">
        <v>2491</v>
      </c>
    </row>
    <row r="6548" spans="1:2" x14ac:dyDescent="0.25">
      <c r="A6548" t="s">
        <v>2493</v>
      </c>
      <c r="B6548" t="s">
        <v>2493</v>
      </c>
    </row>
    <row r="6549" spans="1:2" x14ac:dyDescent="0.25">
      <c r="A6549" t="s">
        <v>2495</v>
      </c>
      <c r="B6549" t="s">
        <v>2495</v>
      </c>
    </row>
    <row r="6550" spans="1:2" x14ac:dyDescent="0.25">
      <c r="A6550" t="s">
        <v>2497</v>
      </c>
      <c r="B6550" t="s">
        <v>2497</v>
      </c>
    </row>
    <row r="6551" spans="1:2" x14ac:dyDescent="0.25">
      <c r="A6551" t="s">
        <v>2499</v>
      </c>
      <c r="B6551" t="s">
        <v>2499</v>
      </c>
    </row>
    <row r="6552" spans="1:2" x14ac:dyDescent="0.25">
      <c r="A6552" t="s">
        <v>2501</v>
      </c>
      <c r="B6552" t="s">
        <v>2501</v>
      </c>
    </row>
    <row r="6553" spans="1:2" x14ac:dyDescent="0.25">
      <c r="A6553" t="s">
        <v>2503</v>
      </c>
      <c r="B6553" t="s">
        <v>2503</v>
      </c>
    </row>
    <row r="6554" spans="1:2" x14ac:dyDescent="0.25">
      <c r="A6554" t="s">
        <v>2506</v>
      </c>
      <c r="B6554" t="s">
        <v>2506</v>
      </c>
    </row>
    <row r="6555" spans="1:2" x14ac:dyDescent="0.25">
      <c r="A6555" t="s">
        <v>3225</v>
      </c>
      <c r="B6555" t="s">
        <v>3225</v>
      </c>
    </row>
    <row r="6556" spans="1:2" x14ac:dyDescent="0.25">
      <c r="A6556" t="s">
        <v>3221</v>
      </c>
      <c r="B6556" t="s">
        <v>3221</v>
      </c>
    </row>
    <row r="6557" spans="1:2" x14ac:dyDescent="0.25">
      <c r="A6557" t="s">
        <v>3061</v>
      </c>
      <c r="B6557" t="s">
        <v>3061</v>
      </c>
    </row>
    <row r="6558" spans="1:2" x14ac:dyDescent="0.25">
      <c r="A6558" t="s">
        <v>8746</v>
      </c>
      <c r="B6558" t="s">
        <v>8746</v>
      </c>
    </row>
    <row r="6559" spans="1:2" x14ac:dyDescent="0.25">
      <c r="A6559" t="s">
        <v>2443</v>
      </c>
      <c r="B6559" t="s">
        <v>2443</v>
      </c>
    </row>
    <row r="6560" spans="1:2" x14ac:dyDescent="0.25">
      <c r="A6560" t="s">
        <v>4804</v>
      </c>
      <c r="B6560" t="s">
        <v>4804</v>
      </c>
    </row>
    <row r="6561" spans="1:2" x14ac:dyDescent="0.25">
      <c r="A6561" t="s">
        <v>8754</v>
      </c>
      <c r="B6561" t="s">
        <v>8754</v>
      </c>
    </row>
    <row r="6562" spans="1:2" x14ac:dyDescent="0.25">
      <c r="A6562" t="s">
        <v>4526</v>
      </c>
      <c r="B6562" t="s">
        <v>4526</v>
      </c>
    </row>
    <row r="6563" spans="1:2" x14ac:dyDescent="0.25">
      <c r="A6563" t="s">
        <v>4507</v>
      </c>
      <c r="B6563" t="s">
        <v>4507</v>
      </c>
    </row>
    <row r="6564" spans="1:2" x14ac:dyDescent="0.25">
      <c r="A6564" t="s">
        <v>3275</v>
      </c>
      <c r="B6564" t="s">
        <v>3275</v>
      </c>
    </row>
    <row r="6565" spans="1:2" x14ac:dyDescent="0.25">
      <c r="A6565" t="s">
        <v>3295</v>
      </c>
      <c r="B6565" t="s">
        <v>3295</v>
      </c>
    </row>
    <row r="6566" spans="1:2" x14ac:dyDescent="0.25">
      <c r="A6566" t="s">
        <v>8761</v>
      </c>
      <c r="B6566" t="s">
        <v>8761</v>
      </c>
    </row>
    <row r="6567" spans="1:2" x14ac:dyDescent="0.25">
      <c r="A6567" t="s">
        <v>3222</v>
      </c>
      <c r="B6567" t="s">
        <v>3222</v>
      </c>
    </row>
    <row r="6568" spans="1:2" x14ac:dyDescent="0.25">
      <c r="A6568" t="s">
        <v>2540</v>
      </c>
      <c r="B6568" t="s">
        <v>2540</v>
      </c>
    </row>
    <row r="6569" spans="1:2" x14ac:dyDescent="0.25">
      <c r="A6569" t="s">
        <v>3096</v>
      </c>
      <c r="B6569" t="s">
        <v>3096</v>
      </c>
    </row>
    <row r="6570" spans="1:2" x14ac:dyDescent="0.25">
      <c r="A6570" t="s">
        <v>4882</v>
      </c>
      <c r="B6570" t="s">
        <v>4882</v>
      </c>
    </row>
    <row r="6571" spans="1:2" x14ac:dyDescent="0.25">
      <c r="A6571" t="s">
        <v>4783</v>
      </c>
      <c r="B6571" t="s">
        <v>4783</v>
      </c>
    </row>
    <row r="6572" spans="1:2" x14ac:dyDescent="0.25">
      <c r="A6572" t="s">
        <v>8768</v>
      </c>
      <c r="B6572" t="s">
        <v>8768</v>
      </c>
    </row>
    <row r="6573" spans="1:2" x14ac:dyDescent="0.25">
      <c r="A6573" t="s">
        <v>3158</v>
      </c>
      <c r="B6573" t="s">
        <v>3158</v>
      </c>
    </row>
    <row r="6574" spans="1:2" x14ac:dyDescent="0.25">
      <c r="A6574" t="s">
        <v>8771</v>
      </c>
      <c r="B6574" t="s">
        <v>8771</v>
      </c>
    </row>
    <row r="6575" spans="1:2" x14ac:dyDescent="0.25">
      <c r="A6575" t="s">
        <v>4693</v>
      </c>
      <c r="B6575" t="s">
        <v>4693</v>
      </c>
    </row>
    <row r="6576" spans="1:2" x14ac:dyDescent="0.25">
      <c r="A6576" t="s">
        <v>3136</v>
      </c>
      <c r="B6576" t="s">
        <v>3136</v>
      </c>
    </row>
    <row r="6577" spans="1:2" x14ac:dyDescent="0.25">
      <c r="A6577" t="s">
        <v>3086</v>
      </c>
      <c r="B6577" t="s">
        <v>3086</v>
      </c>
    </row>
    <row r="6578" spans="1:2" x14ac:dyDescent="0.25">
      <c r="A6578" t="s">
        <v>4519</v>
      </c>
      <c r="B6578" t="s">
        <v>4519</v>
      </c>
    </row>
    <row r="6579" spans="1:2" x14ac:dyDescent="0.25">
      <c r="A6579" t="s">
        <v>3224</v>
      </c>
      <c r="B6579" t="s">
        <v>3224</v>
      </c>
    </row>
    <row r="6580" spans="1:2" x14ac:dyDescent="0.25">
      <c r="A6580" t="s">
        <v>8778</v>
      </c>
      <c r="B6580" t="s">
        <v>8778</v>
      </c>
    </row>
    <row r="6581" spans="1:2" x14ac:dyDescent="0.25">
      <c r="A6581" t="s">
        <v>4629</v>
      </c>
      <c r="B6581" t="s">
        <v>4629</v>
      </c>
    </row>
    <row r="6582" spans="1:2" x14ac:dyDescent="0.25">
      <c r="A6582" t="s">
        <v>2193</v>
      </c>
      <c r="B6582" t="s">
        <v>2193</v>
      </c>
    </row>
    <row r="6583" spans="1:2" x14ac:dyDescent="0.25">
      <c r="A6583" t="s">
        <v>2452</v>
      </c>
      <c r="B6583" t="s">
        <v>2452</v>
      </c>
    </row>
    <row r="6584" spans="1:2" x14ac:dyDescent="0.25">
      <c r="A6584" t="s">
        <v>4068</v>
      </c>
      <c r="B6584" t="s">
        <v>4068</v>
      </c>
    </row>
    <row r="6585" spans="1:2" x14ac:dyDescent="0.25">
      <c r="A6585" t="s">
        <v>4924</v>
      </c>
      <c r="B6585" t="s">
        <v>4924</v>
      </c>
    </row>
    <row r="6586" spans="1:2" x14ac:dyDescent="0.25">
      <c r="A6586" t="s">
        <v>2509</v>
      </c>
      <c r="B6586" t="s">
        <v>2509</v>
      </c>
    </row>
    <row r="6587" spans="1:2" x14ac:dyDescent="0.25">
      <c r="A6587" t="s">
        <v>8788</v>
      </c>
      <c r="B6587" t="s">
        <v>8788</v>
      </c>
    </row>
    <row r="6588" spans="1:2" x14ac:dyDescent="0.25">
      <c r="A6588" t="s">
        <v>3249</v>
      </c>
      <c r="B6588" t="s">
        <v>3249</v>
      </c>
    </row>
    <row r="6589" spans="1:2" x14ac:dyDescent="0.25">
      <c r="A6589" t="s">
        <v>3316</v>
      </c>
      <c r="B6589" t="s">
        <v>3316</v>
      </c>
    </row>
    <row r="6590" spans="1:2" x14ac:dyDescent="0.25">
      <c r="A6590" t="s">
        <v>8795</v>
      </c>
      <c r="B6590" t="s">
        <v>8795</v>
      </c>
    </row>
    <row r="6591" spans="1:2" x14ac:dyDescent="0.25">
      <c r="A6591" t="s">
        <v>8797</v>
      </c>
      <c r="B6591" t="s">
        <v>8797</v>
      </c>
    </row>
    <row r="6592" spans="1:2" x14ac:dyDescent="0.25">
      <c r="A6592" t="s">
        <v>4222</v>
      </c>
      <c r="B6592" t="s">
        <v>4222</v>
      </c>
    </row>
    <row r="6593" spans="1:2" x14ac:dyDescent="0.25">
      <c r="A6593" t="s">
        <v>2455</v>
      </c>
      <c r="B6593" t="s">
        <v>2455</v>
      </c>
    </row>
    <row r="6594" spans="1:2" x14ac:dyDescent="0.25">
      <c r="A6594" t="s">
        <v>3216</v>
      </c>
      <c r="B6594" t="s">
        <v>3216</v>
      </c>
    </row>
    <row r="6595" spans="1:2" x14ac:dyDescent="0.25">
      <c r="A6595" t="s">
        <v>2546</v>
      </c>
      <c r="B6595" t="s">
        <v>2546</v>
      </c>
    </row>
    <row r="6596" spans="1:2" x14ac:dyDescent="0.25">
      <c r="A6596" t="s">
        <v>2547</v>
      </c>
      <c r="B6596" t="s">
        <v>2547</v>
      </c>
    </row>
    <row r="6597" spans="1:2" x14ac:dyDescent="0.25">
      <c r="A6597" t="s">
        <v>2548</v>
      </c>
      <c r="B6597" t="s">
        <v>2548</v>
      </c>
    </row>
    <row r="6598" spans="1:2" x14ac:dyDescent="0.25">
      <c r="A6598" t="s">
        <v>3975</v>
      </c>
      <c r="B6598" t="s">
        <v>3975</v>
      </c>
    </row>
    <row r="6599" spans="1:2" x14ac:dyDescent="0.25">
      <c r="A6599" t="s">
        <v>4013</v>
      </c>
      <c r="B6599" t="s">
        <v>4013</v>
      </c>
    </row>
    <row r="6600" spans="1:2" x14ac:dyDescent="0.25">
      <c r="A6600" t="s">
        <v>3339</v>
      </c>
      <c r="B6600" t="s">
        <v>3339</v>
      </c>
    </row>
    <row r="6601" spans="1:2" x14ac:dyDescent="0.25">
      <c r="A6601" t="s">
        <v>4025</v>
      </c>
      <c r="B6601" t="s">
        <v>4025</v>
      </c>
    </row>
    <row r="6602" spans="1:2" x14ac:dyDescent="0.25">
      <c r="A6602" t="s">
        <v>4081</v>
      </c>
      <c r="B6602" t="s">
        <v>4081</v>
      </c>
    </row>
    <row r="6603" spans="1:2" x14ac:dyDescent="0.25">
      <c r="A6603" t="s">
        <v>4084</v>
      </c>
      <c r="B6603" t="s">
        <v>4084</v>
      </c>
    </row>
    <row r="6604" spans="1:2" x14ac:dyDescent="0.25">
      <c r="A6604" t="s">
        <v>2460</v>
      </c>
      <c r="B6604" t="s">
        <v>2460</v>
      </c>
    </row>
    <row r="6605" spans="1:2" x14ac:dyDescent="0.25">
      <c r="A6605" t="s">
        <v>3315</v>
      </c>
      <c r="B6605" t="s">
        <v>3315</v>
      </c>
    </row>
    <row r="6606" spans="1:2" x14ac:dyDescent="0.25">
      <c r="A6606" t="s">
        <v>3075</v>
      </c>
      <c r="B6606" t="s">
        <v>3075</v>
      </c>
    </row>
    <row r="6607" spans="1:2" x14ac:dyDescent="0.25">
      <c r="A6607" t="s">
        <v>4087</v>
      </c>
      <c r="B6607" t="s">
        <v>4087</v>
      </c>
    </row>
    <row r="6608" spans="1:2" x14ac:dyDescent="0.25">
      <c r="A6608" t="s">
        <v>4091</v>
      </c>
      <c r="B6608" t="s">
        <v>4091</v>
      </c>
    </row>
    <row r="6609" spans="1:2" x14ac:dyDescent="0.25">
      <c r="A6609" t="s">
        <v>3076</v>
      </c>
      <c r="B6609" t="s">
        <v>3076</v>
      </c>
    </row>
    <row r="6610" spans="1:2" x14ac:dyDescent="0.25">
      <c r="A6610" t="s">
        <v>3296</v>
      </c>
      <c r="B6610" t="s">
        <v>3296</v>
      </c>
    </row>
    <row r="6611" spans="1:2" x14ac:dyDescent="0.25">
      <c r="A6611" t="s">
        <v>4406</v>
      </c>
      <c r="B6611" t="s">
        <v>4406</v>
      </c>
    </row>
    <row r="6612" spans="1:2" x14ac:dyDescent="0.25">
      <c r="A6612" t="s">
        <v>8819</v>
      </c>
      <c r="B6612" t="s">
        <v>8819</v>
      </c>
    </row>
    <row r="6613" spans="1:2" x14ac:dyDescent="0.25">
      <c r="A6613" t="s">
        <v>2527</v>
      </c>
      <c r="B6613" t="s">
        <v>2527</v>
      </c>
    </row>
    <row r="6614" spans="1:2" x14ac:dyDescent="0.25">
      <c r="A6614" t="s">
        <v>4326</v>
      </c>
      <c r="B6614" t="s">
        <v>4326</v>
      </c>
    </row>
    <row r="6615" spans="1:2" x14ac:dyDescent="0.25">
      <c r="A6615" t="s">
        <v>4331</v>
      </c>
      <c r="B6615" t="s">
        <v>4331</v>
      </c>
    </row>
    <row r="6616" spans="1:2" x14ac:dyDescent="0.25">
      <c r="A6616" t="s">
        <v>4558</v>
      </c>
      <c r="B6616" t="s">
        <v>4558</v>
      </c>
    </row>
    <row r="6617" spans="1:2" x14ac:dyDescent="0.25">
      <c r="A6617" t="s">
        <v>2559</v>
      </c>
      <c r="B6617" t="s">
        <v>2559</v>
      </c>
    </row>
    <row r="6618" spans="1:2" x14ac:dyDescent="0.25">
      <c r="A6618" t="s">
        <v>2435</v>
      </c>
      <c r="B6618" t="s">
        <v>2435</v>
      </c>
    </row>
    <row r="6619" spans="1:2" x14ac:dyDescent="0.25">
      <c r="A6619" t="s">
        <v>2449</v>
      </c>
      <c r="B6619" t="s">
        <v>2449</v>
      </c>
    </row>
    <row r="6620" spans="1:2" x14ac:dyDescent="0.25">
      <c r="A6620" t="s">
        <v>2532</v>
      </c>
      <c r="B6620" t="s">
        <v>2532</v>
      </c>
    </row>
    <row r="6621" spans="1:2" x14ac:dyDescent="0.25">
      <c r="A6621" t="s">
        <v>2535</v>
      </c>
      <c r="B6621" t="s">
        <v>2535</v>
      </c>
    </row>
    <row r="6622" spans="1:2" x14ac:dyDescent="0.25">
      <c r="A6622" t="s">
        <v>2549</v>
      </c>
      <c r="B6622" t="s">
        <v>2549</v>
      </c>
    </row>
    <row r="6623" spans="1:2" x14ac:dyDescent="0.25">
      <c r="A6623" t="s">
        <v>4964</v>
      </c>
      <c r="B6623" t="s">
        <v>4964</v>
      </c>
    </row>
    <row r="6624" spans="1:2" x14ac:dyDescent="0.25">
      <c r="A6624" t="s">
        <v>2528</v>
      </c>
      <c r="B6624" t="s">
        <v>2528</v>
      </c>
    </row>
    <row r="6625" spans="1:2" x14ac:dyDescent="0.25">
      <c r="A6625" t="s">
        <v>2544</v>
      </c>
      <c r="B6625" t="s">
        <v>2544</v>
      </c>
    </row>
    <row r="6626" spans="1:2" x14ac:dyDescent="0.25">
      <c r="A6626" t="s">
        <v>2457</v>
      </c>
      <c r="B6626" t="s">
        <v>2457</v>
      </c>
    </row>
    <row r="6627" spans="1:2" x14ac:dyDescent="0.25">
      <c r="A6627" t="s">
        <v>2566</v>
      </c>
      <c r="B6627" t="s">
        <v>2566</v>
      </c>
    </row>
    <row r="6628" spans="1:2" x14ac:dyDescent="0.25">
      <c r="A6628" t="s">
        <v>2568</v>
      </c>
      <c r="B6628" t="s">
        <v>2568</v>
      </c>
    </row>
    <row r="6629" spans="1:2" x14ac:dyDescent="0.25">
      <c r="A6629" t="s">
        <v>2570</v>
      </c>
      <c r="B6629" t="s">
        <v>2570</v>
      </c>
    </row>
    <row r="6630" spans="1:2" x14ac:dyDescent="0.25">
      <c r="A6630" t="s">
        <v>2572</v>
      </c>
      <c r="B6630" t="s">
        <v>2572</v>
      </c>
    </row>
    <row r="6631" spans="1:2" x14ac:dyDescent="0.25">
      <c r="A6631" t="s">
        <v>3254</v>
      </c>
      <c r="B6631" t="s">
        <v>3254</v>
      </c>
    </row>
    <row r="6632" spans="1:2" x14ac:dyDescent="0.25">
      <c r="A6632" t="s">
        <v>3309</v>
      </c>
      <c r="B6632" t="s">
        <v>3309</v>
      </c>
    </row>
    <row r="6633" spans="1:2" x14ac:dyDescent="0.25">
      <c r="A6633" t="s">
        <v>4555</v>
      </c>
      <c r="B6633" t="s">
        <v>4555</v>
      </c>
    </row>
    <row r="6634" spans="1:2" x14ac:dyDescent="0.25">
      <c r="A6634" t="s">
        <v>3310</v>
      </c>
      <c r="B6634" t="s">
        <v>3310</v>
      </c>
    </row>
    <row r="6635" spans="1:2" x14ac:dyDescent="0.25">
      <c r="A6635" t="s">
        <v>4785</v>
      </c>
      <c r="B6635" t="s">
        <v>4785</v>
      </c>
    </row>
    <row r="6636" spans="1:2" x14ac:dyDescent="0.25">
      <c r="A6636" t="s">
        <v>4981</v>
      </c>
      <c r="B6636" t="s">
        <v>4981</v>
      </c>
    </row>
    <row r="6637" spans="1:2" x14ac:dyDescent="0.25">
      <c r="A6637" t="s">
        <v>4538</v>
      </c>
      <c r="B6637" t="s">
        <v>4538</v>
      </c>
    </row>
    <row r="6638" spans="1:2" x14ac:dyDescent="0.25">
      <c r="A6638" t="s">
        <v>3298</v>
      </c>
      <c r="B6638" t="s">
        <v>3298</v>
      </c>
    </row>
    <row r="6639" spans="1:2" x14ac:dyDescent="0.25">
      <c r="A6639" t="s">
        <v>4986</v>
      </c>
      <c r="B6639" t="s">
        <v>4986</v>
      </c>
    </row>
    <row r="6640" spans="1:2" x14ac:dyDescent="0.25">
      <c r="A6640" t="s">
        <v>3253</v>
      </c>
      <c r="B6640" t="s">
        <v>3253</v>
      </c>
    </row>
    <row r="6641" spans="1:2" x14ac:dyDescent="0.25">
      <c r="A6641" t="s">
        <v>3248</v>
      </c>
      <c r="B6641" t="s">
        <v>3248</v>
      </c>
    </row>
    <row r="6642" spans="1:2" x14ac:dyDescent="0.25">
      <c r="A6642" t="s">
        <v>3252</v>
      </c>
      <c r="B6642" t="s">
        <v>3252</v>
      </c>
    </row>
    <row r="6643" spans="1:2" x14ac:dyDescent="0.25">
      <c r="A6643" t="s">
        <v>4871</v>
      </c>
      <c r="B6643" t="s">
        <v>4871</v>
      </c>
    </row>
    <row r="6644" spans="1:2" x14ac:dyDescent="0.25">
      <c r="A6644" t="s">
        <v>3265</v>
      </c>
      <c r="B6644" t="s">
        <v>3265</v>
      </c>
    </row>
    <row r="6645" spans="1:2" x14ac:dyDescent="0.25">
      <c r="A6645" t="s">
        <v>3280</v>
      </c>
      <c r="B6645" t="s">
        <v>3280</v>
      </c>
    </row>
    <row r="6646" spans="1:2" x14ac:dyDescent="0.25">
      <c r="A6646" t="s">
        <v>3330</v>
      </c>
      <c r="B6646" t="s">
        <v>3330</v>
      </c>
    </row>
    <row r="6647" spans="1:2" x14ac:dyDescent="0.25">
      <c r="A6647" t="s">
        <v>3284</v>
      </c>
      <c r="B6647" t="s">
        <v>3284</v>
      </c>
    </row>
    <row r="6648" spans="1:2" x14ac:dyDescent="0.25">
      <c r="A6648" t="s">
        <v>8850</v>
      </c>
      <c r="B6648" t="s">
        <v>8850</v>
      </c>
    </row>
    <row r="6649" spans="1:2" x14ac:dyDescent="0.25">
      <c r="A6649" t="s">
        <v>3068</v>
      </c>
      <c r="B6649" t="s">
        <v>3068</v>
      </c>
    </row>
    <row r="6650" spans="1:2" x14ac:dyDescent="0.25">
      <c r="A6650" t="s">
        <v>4821</v>
      </c>
      <c r="B6650" t="s">
        <v>4821</v>
      </c>
    </row>
    <row r="6651" spans="1:2" x14ac:dyDescent="0.25">
      <c r="A6651" t="s">
        <v>4823</v>
      </c>
      <c r="B6651" t="s">
        <v>4823</v>
      </c>
    </row>
    <row r="6652" spans="1:2" x14ac:dyDescent="0.25">
      <c r="A6652" t="s">
        <v>8855</v>
      </c>
      <c r="B6652" t="s">
        <v>8855</v>
      </c>
    </row>
    <row r="6653" spans="1:2" x14ac:dyDescent="0.25">
      <c r="A6653" t="s">
        <v>3282</v>
      </c>
      <c r="B6653" t="s">
        <v>3282</v>
      </c>
    </row>
    <row r="6654" spans="1:2" x14ac:dyDescent="0.25">
      <c r="A6654" t="s">
        <v>3145</v>
      </c>
      <c r="B6654" t="s">
        <v>3145</v>
      </c>
    </row>
    <row r="6655" spans="1:2" x14ac:dyDescent="0.25">
      <c r="A6655" t="s">
        <v>3278</v>
      </c>
      <c r="B6655" t="s">
        <v>3278</v>
      </c>
    </row>
    <row r="6656" spans="1:2" x14ac:dyDescent="0.25">
      <c r="A6656" t="s">
        <v>7000</v>
      </c>
      <c r="B6656" t="s">
        <v>7000</v>
      </c>
    </row>
    <row r="6657" spans="1:2" x14ac:dyDescent="0.25">
      <c r="A6657" t="s">
        <v>7002</v>
      </c>
      <c r="B6657" t="s">
        <v>7002</v>
      </c>
    </row>
    <row r="6658" spans="1:2" x14ac:dyDescent="0.25">
      <c r="A6658" t="s">
        <v>4829</v>
      </c>
      <c r="B6658" t="s">
        <v>4829</v>
      </c>
    </row>
    <row r="6659" spans="1:2" x14ac:dyDescent="0.25">
      <c r="A6659" t="s">
        <v>4899</v>
      </c>
      <c r="B6659" t="s">
        <v>4899</v>
      </c>
    </row>
    <row r="6660" spans="1:2" x14ac:dyDescent="0.25">
      <c r="A6660" t="s">
        <v>3242</v>
      </c>
      <c r="B6660" t="s">
        <v>3242</v>
      </c>
    </row>
    <row r="6661" spans="1:2" x14ac:dyDescent="0.25">
      <c r="A6661" t="s">
        <v>4765</v>
      </c>
      <c r="B6661" t="s">
        <v>4765</v>
      </c>
    </row>
    <row r="6662" spans="1:2" x14ac:dyDescent="0.25">
      <c r="A6662" t="s">
        <v>3243</v>
      </c>
      <c r="B6662" t="s">
        <v>3243</v>
      </c>
    </row>
    <row r="6663" spans="1:2" x14ac:dyDescent="0.25">
      <c r="A6663" t="s">
        <v>4969</v>
      </c>
      <c r="B6663" t="s">
        <v>4969</v>
      </c>
    </row>
    <row r="6664" spans="1:2" x14ac:dyDescent="0.25">
      <c r="A6664" t="s">
        <v>3232</v>
      </c>
      <c r="B6664" t="s">
        <v>3232</v>
      </c>
    </row>
    <row r="6665" spans="1:2" x14ac:dyDescent="0.25">
      <c r="A6665" t="s">
        <v>4544</v>
      </c>
      <c r="B6665" t="s">
        <v>4544</v>
      </c>
    </row>
    <row r="6666" spans="1:2" x14ac:dyDescent="0.25">
      <c r="A6666" t="s">
        <v>3235</v>
      </c>
      <c r="B6666" t="s">
        <v>3235</v>
      </c>
    </row>
    <row r="6667" spans="1:2" x14ac:dyDescent="0.25">
      <c r="A6667" t="s">
        <v>4790</v>
      </c>
      <c r="B6667" t="s">
        <v>4790</v>
      </c>
    </row>
    <row r="6668" spans="1:2" x14ac:dyDescent="0.25">
      <c r="A6668" t="s">
        <v>4792</v>
      </c>
      <c r="B6668" t="s">
        <v>4792</v>
      </c>
    </row>
    <row r="6669" spans="1:2" x14ac:dyDescent="0.25">
      <c r="A6669" t="s">
        <v>3103</v>
      </c>
      <c r="B6669" t="s">
        <v>3103</v>
      </c>
    </row>
    <row r="6670" spans="1:2" x14ac:dyDescent="0.25">
      <c r="A6670" t="s">
        <v>3104</v>
      </c>
      <c r="B6670" t="s">
        <v>3104</v>
      </c>
    </row>
    <row r="6671" spans="1:2" x14ac:dyDescent="0.25">
      <c r="A6671" t="s">
        <v>5106</v>
      </c>
      <c r="B6671" t="s">
        <v>5106</v>
      </c>
    </row>
    <row r="6672" spans="1:2" x14ac:dyDescent="0.25">
      <c r="A6672" t="s">
        <v>3175</v>
      </c>
      <c r="B6672" t="s">
        <v>3175</v>
      </c>
    </row>
    <row r="6673" spans="1:2" x14ac:dyDescent="0.25">
      <c r="A6673" t="s">
        <v>3246</v>
      </c>
      <c r="B6673" t="s">
        <v>3246</v>
      </c>
    </row>
    <row r="6674" spans="1:2" x14ac:dyDescent="0.25">
      <c r="A6674" t="s">
        <v>3247</v>
      </c>
      <c r="B6674" t="s">
        <v>3247</v>
      </c>
    </row>
    <row r="6675" spans="1:2" x14ac:dyDescent="0.25">
      <c r="A6675" t="s">
        <v>3097</v>
      </c>
      <c r="B6675" t="s">
        <v>3097</v>
      </c>
    </row>
    <row r="6676" spans="1:2" x14ac:dyDescent="0.25">
      <c r="A6676" t="s">
        <v>3231</v>
      </c>
      <c r="B6676" t="s">
        <v>3231</v>
      </c>
    </row>
    <row r="6677" spans="1:2" x14ac:dyDescent="0.25">
      <c r="A6677" t="s">
        <v>3239</v>
      </c>
      <c r="B6677" t="s">
        <v>3239</v>
      </c>
    </row>
    <row r="6678" spans="1:2" x14ac:dyDescent="0.25">
      <c r="A6678" t="s">
        <v>3240</v>
      </c>
      <c r="B6678" t="s">
        <v>3240</v>
      </c>
    </row>
    <row r="6679" spans="1:2" x14ac:dyDescent="0.25">
      <c r="A6679" t="s">
        <v>4177</v>
      </c>
      <c r="B6679" t="s">
        <v>4177</v>
      </c>
    </row>
    <row r="6680" spans="1:2" x14ac:dyDescent="0.25">
      <c r="A6680" t="s">
        <v>3237</v>
      </c>
      <c r="B6680" t="s">
        <v>3237</v>
      </c>
    </row>
    <row r="6681" spans="1:2" x14ac:dyDescent="0.25">
      <c r="A6681" t="s">
        <v>4787</v>
      </c>
      <c r="B6681" t="s">
        <v>4787</v>
      </c>
    </row>
    <row r="6682" spans="1:2" x14ac:dyDescent="0.25">
      <c r="A6682" t="s">
        <v>4180</v>
      </c>
      <c r="B6682" t="s">
        <v>4180</v>
      </c>
    </row>
    <row r="6683" spans="1:2" x14ac:dyDescent="0.25">
      <c r="A6683" t="s">
        <v>4794</v>
      </c>
      <c r="B6683" t="s">
        <v>4794</v>
      </c>
    </row>
    <row r="6684" spans="1:2" x14ac:dyDescent="0.25">
      <c r="A6684" t="s">
        <v>3241</v>
      </c>
      <c r="B6684" t="s">
        <v>3241</v>
      </c>
    </row>
    <row r="6685" spans="1:2" x14ac:dyDescent="0.25">
      <c r="A6685" t="s">
        <v>3234</v>
      </c>
      <c r="B6685" t="s">
        <v>3234</v>
      </c>
    </row>
    <row r="6686" spans="1:2" x14ac:dyDescent="0.25">
      <c r="A6686" t="s">
        <v>4549</v>
      </c>
      <c r="B6686" t="s">
        <v>4549</v>
      </c>
    </row>
    <row r="6687" spans="1:2" x14ac:dyDescent="0.25">
      <c r="A6687" t="s">
        <v>4150</v>
      </c>
      <c r="B6687" t="s">
        <v>4150</v>
      </c>
    </row>
    <row r="6688" spans="1:2" x14ac:dyDescent="0.25">
      <c r="A6688" t="s">
        <v>4158</v>
      </c>
      <c r="B6688" t="s">
        <v>4158</v>
      </c>
    </row>
    <row r="6689" spans="1:2" x14ac:dyDescent="0.25">
      <c r="A6689" t="s">
        <v>4148</v>
      </c>
      <c r="B6689" t="s">
        <v>4148</v>
      </c>
    </row>
    <row r="6690" spans="1:2" x14ac:dyDescent="0.25">
      <c r="A6690" t="s">
        <v>5095</v>
      </c>
      <c r="B6690" t="s">
        <v>5095</v>
      </c>
    </row>
    <row r="6691" spans="1:2" x14ac:dyDescent="0.25">
      <c r="A6691" t="s">
        <v>3098</v>
      </c>
      <c r="B6691" t="s">
        <v>3098</v>
      </c>
    </row>
    <row r="6692" spans="1:2" x14ac:dyDescent="0.25">
      <c r="A6692" t="s">
        <v>3099</v>
      </c>
      <c r="B6692" t="s">
        <v>3099</v>
      </c>
    </row>
    <row r="6693" spans="1:2" x14ac:dyDescent="0.25">
      <c r="A6693" t="s">
        <v>3101</v>
      </c>
      <c r="B6693" t="s">
        <v>3101</v>
      </c>
    </row>
    <row r="6694" spans="1:2" x14ac:dyDescent="0.25">
      <c r="A6694" t="s">
        <v>3102</v>
      </c>
      <c r="B6694" t="s">
        <v>3102</v>
      </c>
    </row>
    <row r="6695" spans="1:2" x14ac:dyDescent="0.25">
      <c r="A6695" t="s">
        <v>4419</v>
      </c>
      <c r="B6695" t="s">
        <v>4419</v>
      </c>
    </row>
    <row r="6696" spans="1:2" x14ac:dyDescent="0.25">
      <c r="A6696" t="s">
        <v>3277</v>
      </c>
      <c r="B6696" t="s">
        <v>3277</v>
      </c>
    </row>
    <row r="6697" spans="1:2" x14ac:dyDescent="0.25">
      <c r="A6697" t="s">
        <v>6998</v>
      </c>
      <c r="B6697" t="s">
        <v>6998</v>
      </c>
    </row>
    <row r="6698" spans="1:2" x14ac:dyDescent="0.25">
      <c r="A6698" t="s">
        <v>5026</v>
      </c>
      <c r="B6698" t="s">
        <v>5026</v>
      </c>
    </row>
    <row r="6699" spans="1:2" x14ac:dyDescent="0.25">
      <c r="A6699" t="s">
        <v>4533</v>
      </c>
      <c r="B6699" t="s">
        <v>4533</v>
      </c>
    </row>
    <row r="6700" spans="1:2" x14ac:dyDescent="0.25">
      <c r="A6700" t="s">
        <v>5189</v>
      </c>
      <c r="B6700" t="s">
        <v>5189</v>
      </c>
    </row>
    <row r="6701" spans="1:2" x14ac:dyDescent="0.25">
      <c r="A6701" t="s">
        <v>3283</v>
      </c>
      <c r="B6701" t="s">
        <v>3283</v>
      </c>
    </row>
    <row r="6702" spans="1:2" x14ac:dyDescent="0.25">
      <c r="A6702" t="s">
        <v>4956</v>
      </c>
      <c r="B6702" t="s">
        <v>4956</v>
      </c>
    </row>
    <row r="6703" spans="1:2" x14ac:dyDescent="0.25">
      <c r="A6703" t="s">
        <v>4971</v>
      </c>
      <c r="B6703" t="s">
        <v>4971</v>
      </c>
    </row>
    <row r="6704" spans="1:2" x14ac:dyDescent="0.25">
      <c r="A6704" t="s">
        <v>4973</v>
      </c>
      <c r="B6704" t="s">
        <v>4973</v>
      </c>
    </row>
    <row r="6705" spans="1:2" x14ac:dyDescent="0.25">
      <c r="A6705" t="s">
        <v>2736</v>
      </c>
      <c r="B6705" t="s">
        <v>2736</v>
      </c>
    </row>
    <row r="6706" spans="1:2" x14ac:dyDescent="0.25">
      <c r="A6706" t="s">
        <v>4726</v>
      </c>
      <c r="B6706" t="s">
        <v>4726</v>
      </c>
    </row>
    <row r="6707" spans="1:2" x14ac:dyDescent="0.25">
      <c r="A6707" t="s">
        <v>4175</v>
      </c>
      <c r="B6707" t="s">
        <v>4175</v>
      </c>
    </row>
    <row r="6708" spans="1:2" x14ac:dyDescent="0.25">
      <c r="A6708" t="s">
        <v>5178</v>
      </c>
      <c r="B6708" t="s">
        <v>5178</v>
      </c>
    </row>
    <row r="6709" spans="1:2" x14ac:dyDescent="0.25">
      <c r="A6709" t="s">
        <v>4030</v>
      </c>
      <c r="B6709" t="s">
        <v>4030</v>
      </c>
    </row>
    <row r="6710" spans="1:2" x14ac:dyDescent="0.25">
      <c r="A6710" t="s">
        <v>5192</v>
      </c>
      <c r="B6710" t="s">
        <v>5192</v>
      </c>
    </row>
    <row r="6711" spans="1:2" x14ac:dyDescent="0.25">
      <c r="A6711" t="s">
        <v>4796</v>
      </c>
      <c r="B6711" t="s">
        <v>4796</v>
      </c>
    </row>
    <row r="6712" spans="1:2" x14ac:dyDescent="0.25">
      <c r="A6712" t="s">
        <v>6996</v>
      </c>
      <c r="B6712" t="s">
        <v>6996</v>
      </c>
    </row>
    <row r="6713" spans="1:2" x14ac:dyDescent="0.25">
      <c r="A6713" t="s">
        <v>4540</v>
      </c>
      <c r="B6713" t="s">
        <v>4540</v>
      </c>
    </row>
    <row r="6714" spans="1:2" x14ac:dyDescent="0.25">
      <c r="A6714" t="s">
        <v>4528</v>
      </c>
      <c r="B6714" t="s">
        <v>4528</v>
      </c>
    </row>
    <row r="6715" spans="1:2" x14ac:dyDescent="0.25">
      <c r="A6715" t="s">
        <v>4741</v>
      </c>
      <c r="B6715" t="s">
        <v>4741</v>
      </c>
    </row>
    <row r="6716" spans="1:2" x14ac:dyDescent="0.25">
      <c r="A6716" t="s">
        <v>4530</v>
      </c>
      <c r="B6716" t="s">
        <v>4530</v>
      </c>
    </row>
    <row r="6717" spans="1:2" x14ac:dyDescent="0.25">
      <c r="A6717" t="s">
        <v>4303</v>
      </c>
      <c r="B6717" t="s">
        <v>4303</v>
      </c>
    </row>
    <row r="6718" spans="1:2" x14ac:dyDescent="0.25">
      <c r="A6718" t="s">
        <v>3361</v>
      </c>
      <c r="B6718" t="s">
        <v>3361</v>
      </c>
    </row>
    <row r="6719" spans="1:2" x14ac:dyDescent="0.25">
      <c r="A6719" t="s">
        <v>4144</v>
      </c>
      <c r="B6719" t="s">
        <v>4144</v>
      </c>
    </row>
    <row r="6720" spans="1:2" x14ac:dyDescent="0.25">
      <c r="A6720" t="s">
        <v>5066</v>
      </c>
      <c r="B6720" t="s">
        <v>5066</v>
      </c>
    </row>
    <row r="6721" spans="1:2" x14ac:dyDescent="0.25">
      <c r="A6721" t="s">
        <v>3938</v>
      </c>
      <c r="B6721" t="s">
        <v>3938</v>
      </c>
    </row>
    <row r="6722" spans="1:2" x14ac:dyDescent="0.25">
      <c r="A6722" t="s">
        <v>4104</v>
      </c>
      <c r="B6722" t="s">
        <v>4104</v>
      </c>
    </row>
    <row r="6723" spans="1:2" x14ac:dyDescent="0.25">
      <c r="A6723" t="s">
        <v>4134</v>
      </c>
      <c r="B6723" t="s">
        <v>4134</v>
      </c>
    </row>
    <row r="6724" spans="1:2" x14ac:dyDescent="0.25">
      <c r="A6724" t="s">
        <v>2480</v>
      </c>
      <c r="B6724" t="s">
        <v>2480</v>
      </c>
    </row>
    <row r="6725" spans="1:2" x14ac:dyDescent="0.25">
      <c r="A6725" t="s">
        <v>3142</v>
      </c>
      <c r="B6725" t="s">
        <v>3142</v>
      </c>
    </row>
    <row r="6726" spans="1:2" x14ac:dyDescent="0.25">
      <c r="A6726" t="s">
        <v>3095</v>
      </c>
      <c r="B6726" t="s">
        <v>3095</v>
      </c>
    </row>
    <row r="6727" spans="1:2" x14ac:dyDescent="0.25">
      <c r="A6727" t="s">
        <v>3306</v>
      </c>
      <c r="B6727" t="s">
        <v>3306</v>
      </c>
    </row>
    <row r="6728" spans="1:2" x14ac:dyDescent="0.25">
      <c r="A6728" t="s">
        <v>5153</v>
      </c>
      <c r="B6728" t="s">
        <v>5153</v>
      </c>
    </row>
    <row r="6729" spans="1:2" x14ac:dyDescent="0.25">
      <c r="A6729" t="s">
        <v>2508</v>
      </c>
      <c r="B6729" t="s">
        <v>2508</v>
      </c>
    </row>
    <row r="6730" spans="1:2" x14ac:dyDescent="0.25">
      <c r="A6730" t="s">
        <v>3150</v>
      </c>
      <c r="B6730" t="s">
        <v>3150</v>
      </c>
    </row>
    <row r="6731" spans="1:2" x14ac:dyDescent="0.25">
      <c r="A6731" t="s">
        <v>1997</v>
      </c>
      <c r="B6731" t="s">
        <v>1997</v>
      </c>
    </row>
    <row r="6732" spans="1:2" x14ac:dyDescent="0.25">
      <c r="A6732" t="s">
        <v>2985</v>
      </c>
      <c r="B6732" t="s">
        <v>2985</v>
      </c>
    </row>
    <row r="6733" spans="1:2" x14ac:dyDescent="0.25">
      <c r="A6733" t="s">
        <v>4023</v>
      </c>
      <c r="B6733" t="s">
        <v>4023</v>
      </c>
    </row>
    <row r="6734" spans="1:2" x14ac:dyDescent="0.25">
      <c r="A6734" t="s">
        <v>5142</v>
      </c>
      <c r="B6734" t="s">
        <v>5142</v>
      </c>
    </row>
    <row r="6735" spans="1:2" x14ac:dyDescent="0.25">
      <c r="A6735" t="s">
        <v>3176</v>
      </c>
      <c r="B6735" t="s">
        <v>3176</v>
      </c>
    </row>
    <row r="6736" spans="1:2" x14ac:dyDescent="0.25">
      <c r="A6736" t="s">
        <v>3178</v>
      </c>
      <c r="B6736" t="s">
        <v>3178</v>
      </c>
    </row>
    <row r="6737" spans="1:2" x14ac:dyDescent="0.25">
      <c r="A6737" t="s">
        <v>3152</v>
      </c>
      <c r="B6737" t="s">
        <v>3152</v>
      </c>
    </row>
    <row r="6738" spans="1:2" x14ac:dyDescent="0.25">
      <c r="A6738" t="s">
        <v>3367</v>
      </c>
      <c r="B6738" t="s">
        <v>3367</v>
      </c>
    </row>
    <row r="6739" spans="1:2" x14ac:dyDescent="0.25">
      <c r="A6739" t="s">
        <v>4111</v>
      </c>
      <c r="B6739" t="s">
        <v>4111</v>
      </c>
    </row>
    <row r="6740" spans="1:2" x14ac:dyDescent="0.25">
      <c r="A6740" t="s">
        <v>6602</v>
      </c>
      <c r="B6740" t="s">
        <v>6602</v>
      </c>
    </row>
    <row r="6741" spans="1:2" x14ac:dyDescent="0.25">
      <c r="A6741" t="s">
        <v>6604</v>
      </c>
      <c r="B6741" t="s">
        <v>6604</v>
      </c>
    </row>
    <row r="6742" spans="1:2" x14ac:dyDescent="0.25">
      <c r="A6742" t="s">
        <v>8970</v>
      </c>
      <c r="B6742" t="s">
        <v>8970</v>
      </c>
    </row>
    <row r="6743" spans="1:2" x14ac:dyDescent="0.25">
      <c r="A6743" t="s">
        <v>8206</v>
      </c>
      <c r="B6743" t="s">
        <v>8206</v>
      </c>
    </row>
    <row r="6744" spans="1:2" x14ac:dyDescent="0.25">
      <c r="A6744" t="s">
        <v>2714</v>
      </c>
      <c r="B6744" t="s">
        <v>2714</v>
      </c>
    </row>
    <row r="6745" spans="1:2" x14ac:dyDescent="0.25">
      <c r="A6745" t="s">
        <v>3105</v>
      </c>
      <c r="B6745" t="s">
        <v>3105</v>
      </c>
    </row>
    <row r="6746" spans="1:2" x14ac:dyDescent="0.25">
      <c r="A6746" t="s">
        <v>384</v>
      </c>
      <c r="B6746" t="s">
        <v>384</v>
      </c>
    </row>
    <row r="6747" spans="1:2" x14ac:dyDescent="0.25">
      <c r="A6747" t="s">
        <v>387</v>
      </c>
      <c r="B6747" t="s">
        <v>387</v>
      </c>
    </row>
    <row r="6748" spans="1:2" x14ac:dyDescent="0.25">
      <c r="A6748" t="s">
        <v>1999</v>
      </c>
      <c r="B6748" t="s">
        <v>1999</v>
      </c>
    </row>
    <row r="6749" spans="1:2" x14ac:dyDescent="0.25">
      <c r="A6749" t="s">
        <v>389</v>
      </c>
      <c r="B6749" t="s">
        <v>389</v>
      </c>
    </row>
    <row r="6750" spans="1:2" x14ac:dyDescent="0.25">
      <c r="A6750" t="s">
        <v>391</v>
      </c>
      <c r="B6750" t="s">
        <v>391</v>
      </c>
    </row>
    <row r="6751" spans="1:2" x14ac:dyDescent="0.25">
      <c r="A6751" t="s">
        <v>393</v>
      </c>
      <c r="B6751" t="s">
        <v>393</v>
      </c>
    </row>
    <row r="6752" spans="1:2" x14ac:dyDescent="0.25">
      <c r="A6752" t="s">
        <v>395</v>
      </c>
      <c r="B6752" t="s">
        <v>395</v>
      </c>
    </row>
    <row r="6753" spans="1:2" x14ac:dyDescent="0.25">
      <c r="A6753" t="s">
        <v>397</v>
      </c>
      <c r="B6753" t="s">
        <v>397</v>
      </c>
    </row>
    <row r="6754" spans="1:2" x14ac:dyDescent="0.25">
      <c r="A6754" t="s">
        <v>399</v>
      </c>
      <c r="B6754" t="s">
        <v>399</v>
      </c>
    </row>
    <row r="6755" spans="1:2" x14ac:dyDescent="0.25">
      <c r="A6755" t="s">
        <v>401</v>
      </c>
      <c r="B6755" t="s">
        <v>401</v>
      </c>
    </row>
    <row r="6756" spans="1:2" x14ac:dyDescent="0.25">
      <c r="A6756" t="s">
        <v>2001</v>
      </c>
      <c r="B6756" t="s">
        <v>2001</v>
      </c>
    </row>
    <row r="6757" spans="1:2" x14ac:dyDescent="0.25">
      <c r="A6757" t="s">
        <v>2003</v>
      </c>
      <c r="B6757" t="s">
        <v>2003</v>
      </c>
    </row>
    <row r="6758" spans="1:2" x14ac:dyDescent="0.25">
      <c r="A6758" t="s">
        <v>2005</v>
      </c>
      <c r="B6758" t="s">
        <v>2005</v>
      </c>
    </row>
    <row r="6759" spans="1:2" x14ac:dyDescent="0.25">
      <c r="A6759" t="s">
        <v>2007</v>
      </c>
      <c r="B6759" t="s">
        <v>2007</v>
      </c>
    </row>
    <row r="6760" spans="1:2" x14ac:dyDescent="0.25">
      <c r="A6760" t="s">
        <v>2009</v>
      </c>
      <c r="B6760" t="s">
        <v>2009</v>
      </c>
    </row>
    <row r="6761" spans="1:2" x14ac:dyDescent="0.25">
      <c r="A6761" t="s">
        <v>1200</v>
      </c>
      <c r="B6761" t="s">
        <v>1200</v>
      </c>
    </row>
    <row r="6762" spans="1:2" x14ac:dyDescent="0.25">
      <c r="A6762" t="s">
        <v>1203</v>
      </c>
      <c r="B6762" t="s">
        <v>1203</v>
      </c>
    </row>
    <row r="6763" spans="1:2" x14ac:dyDescent="0.25">
      <c r="A6763" t="s">
        <v>2011</v>
      </c>
      <c r="B6763" t="s">
        <v>2011</v>
      </c>
    </row>
    <row r="6764" spans="1:2" x14ac:dyDescent="0.25">
      <c r="A6764" t="s">
        <v>2013</v>
      </c>
      <c r="B6764" t="s">
        <v>2013</v>
      </c>
    </row>
    <row r="6765" spans="1:2" x14ac:dyDescent="0.25">
      <c r="A6765" t="s">
        <v>2015</v>
      </c>
      <c r="B6765" t="s">
        <v>2015</v>
      </c>
    </row>
    <row r="6766" spans="1:2" x14ac:dyDescent="0.25">
      <c r="A6766" t="s">
        <v>2017</v>
      </c>
      <c r="B6766" t="s">
        <v>2017</v>
      </c>
    </row>
    <row r="6767" spans="1:2" x14ac:dyDescent="0.25">
      <c r="A6767" t="s">
        <v>2019</v>
      </c>
      <c r="B6767" t="s">
        <v>2019</v>
      </c>
    </row>
    <row r="6768" spans="1:2" x14ac:dyDescent="0.25">
      <c r="A6768" t="s">
        <v>2021</v>
      </c>
      <c r="B6768" t="s">
        <v>2021</v>
      </c>
    </row>
    <row r="6769" spans="1:2" x14ac:dyDescent="0.25">
      <c r="A6769" t="s">
        <v>2023</v>
      </c>
      <c r="B6769" t="s">
        <v>2023</v>
      </c>
    </row>
    <row r="6770" spans="1:2" x14ac:dyDescent="0.25">
      <c r="A6770" t="s">
        <v>2025</v>
      </c>
      <c r="B6770" t="s">
        <v>2025</v>
      </c>
    </row>
    <row r="6771" spans="1:2" x14ac:dyDescent="0.25">
      <c r="A6771" t="s">
        <v>2027</v>
      </c>
      <c r="B6771" t="s">
        <v>2027</v>
      </c>
    </row>
    <row r="6772" spans="1:2" x14ac:dyDescent="0.25">
      <c r="A6772" t="s">
        <v>2029</v>
      </c>
      <c r="B6772" t="s">
        <v>2029</v>
      </c>
    </row>
    <row r="6773" spans="1:2" x14ac:dyDescent="0.25">
      <c r="A6773" t="s">
        <v>403</v>
      </c>
      <c r="B6773" t="s">
        <v>403</v>
      </c>
    </row>
    <row r="6774" spans="1:2" x14ac:dyDescent="0.25">
      <c r="A6774" t="s">
        <v>3219</v>
      </c>
      <c r="B6774" t="s">
        <v>3219</v>
      </c>
    </row>
    <row r="6775" spans="1:2" x14ac:dyDescent="0.25">
      <c r="A6775" t="s">
        <v>4102</v>
      </c>
      <c r="B6775" t="s">
        <v>4102</v>
      </c>
    </row>
    <row r="6776" spans="1:2" x14ac:dyDescent="0.25">
      <c r="A6776" t="s">
        <v>4034</v>
      </c>
      <c r="B6776" t="s">
        <v>4034</v>
      </c>
    </row>
    <row r="6777" spans="1:2" x14ac:dyDescent="0.25">
      <c r="A6777" t="s">
        <v>8989</v>
      </c>
      <c r="B6777" t="s">
        <v>8989</v>
      </c>
    </row>
    <row r="6778" spans="1:2" x14ac:dyDescent="0.25">
      <c r="A6778" t="s">
        <v>3188</v>
      </c>
      <c r="B6778" t="s">
        <v>3188</v>
      </c>
    </row>
    <row r="6779" spans="1:2" x14ac:dyDescent="0.25">
      <c r="A6779" t="s">
        <v>8996</v>
      </c>
      <c r="B6779" t="s">
        <v>8996</v>
      </c>
    </row>
    <row r="6780" spans="1:2" x14ac:dyDescent="0.25">
      <c r="A6780" t="s">
        <v>4451</v>
      </c>
      <c r="B6780" t="s">
        <v>4451</v>
      </c>
    </row>
    <row r="6781" spans="1:2" x14ac:dyDescent="0.25">
      <c r="A6781" t="s">
        <v>9042</v>
      </c>
      <c r="B6781" t="s">
        <v>9042</v>
      </c>
    </row>
    <row r="6782" spans="1:2" x14ac:dyDescent="0.25">
      <c r="A6782" t="s">
        <v>9044</v>
      </c>
      <c r="B6782" t="s">
        <v>9044</v>
      </c>
    </row>
    <row r="6783" spans="1:2" x14ac:dyDescent="0.25">
      <c r="A6783" t="s">
        <v>4160</v>
      </c>
      <c r="B6783" t="s">
        <v>4160</v>
      </c>
    </row>
    <row r="6784" spans="1:2" x14ac:dyDescent="0.25">
      <c r="A6784" t="s">
        <v>4162</v>
      </c>
      <c r="B6784" t="s">
        <v>4162</v>
      </c>
    </row>
    <row r="6785" spans="1:2" x14ac:dyDescent="0.25">
      <c r="A6785" t="s">
        <v>4164</v>
      </c>
      <c r="B6785" t="s">
        <v>4164</v>
      </c>
    </row>
    <row r="6786" spans="1:2" x14ac:dyDescent="0.25">
      <c r="A6786" t="s">
        <v>4166</v>
      </c>
      <c r="B6786" t="s">
        <v>4166</v>
      </c>
    </row>
    <row r="6787" spans="1:2" x14ac:dyDescent="0.25">
      <c r="A6787" t="s">
        <v>4168</v>
      </c>
      <c r="B6787" t="s">
        <v>4168</v>
      </c>
    </row>
    <row r="6788" spans="1:2" x14ac:dyDescent="0.25">
      <c r="A6788" t="s">
        <v>4170</v>
      </c>
      <c r="B6788" t="s">
        <v>4170</v>
      </c>
    </row>
    <row r="6789" spans="1:2" x14ac:dyDescent="0.25">
      <c r="A6789" t="s">
        <v>2441</v>
      </c>
      <c r="B6789" t="s">
        <v>2441</v>
      </c>
    </row>
    <row r="6790" spans="1:2" x14ac:dyDescent="0.25">
      <c r="A6790" t="s">
        <v>2445</v>
      </c>
      <c r="B6790" t="s">
        <v>2445</v>
      </c>
    </row>
    <row r="6791" spans="1:2" x14ac:dyDescent="0.25">
      <c r="A6791" t="s">
        <v>2447</v>
      </c>
      <c r="B6791" t="s">
        <v>2447</v>
      </c>
    </row>
    <row r="6792" spans="1:2" x14ac:dyDescent="0.25">
      <c r="A6792" t="s">
        <v>2481</v>
      </c>
      <c r="B6792" t="s">
        <v>2481</v>
      </c>
    </row>
    <row r="6793" spans="1:2" x14ac:dyDescent="0.25">
      <c r="A6793" t="s">
        <v>2514</v>
      </c>
      <c r="B6793" t="s">
        <v>2514</v>
      </c>
    </row>
    <row r="6794" spans="1:2" x14ac:dyDescent="0.25">
      <c r="A6794" t="s">
        <v>2516</v>
      </c>
      <c r="B6794" t="s">
        <v>2516</v>
      </c>
    </row>
    <row r="6795" spans="1:2" x14ac:dyDescent="0.25">
      <c r="A6795" t="s">
        <v>2518</v>
      </c>
      <c r="B6795" t="s">
        <v>2518</v>
      </c>
    </row>
    <row r="6796" spans="1:2" x14ac:dyDescent="0.25">
      <c r="A6796" t="s">
        <v>2520</v>
      </c>
      <c r="B6796" t="s">
        <v>2520</v>
      </c>
    </row>
    <row r="6797" spans="1:2" x14ac:dyDescent="0.25">
      <c r="A6797" t="s">
        <v>2560</v>
      </c>
      <c r="B6797" t="s">
        <v>2560</v>
      </c>
    </row>
    <row r="6798" spans="1:2" x14ac:dyDescent="0.25">
      <c r="A6798" t="s">
        <v>2564</v>
      </c>
      <c r="B6798" t="s">
        <v>2564</v>
      </c>
    </row>
    <row r="6799" spans="1:2" x14ac:dyDescent="0.25">
      <c r="A6799" t="s">
        <v>2596</v>
      </c>
      <c r="B6799" t="s">
        <v>2596</v>
      </c>
    </row>
    <row r="6800" spans="1:2" x14ac:dyDescent="0.25">
      <c r="A6800" t="s">
        <v>2622</v>
      </c>
      <c r="B6800" t="s">
        <v>2622</v>
      </c>
    </row>
    <row r="6801" spans="1:2" x14ac:dyDescent="0.25">
      <c r="A6801" t="s">
        <v>2633</v>
      </c>
      <c r="B6801" t="s">
        <v>2633</v>
      </c>
    </row>
    <row r="6802" spans="1:2" x14ac:dyDescent="0.25">
      <c r="A6802" t="s">
        <v>2643</v>
      </c>
      <c r="B6802" t="s">
        <v>2643</v>
      </c>
    </row>
    <row r="6803" spans="1:2" x14ac:dyDescent="0.25">
      <c r="A6803" t="s">
        <v>2645</v>
      </c>
      <c r="B6803" t="s">
        <v>2645</v>
      </c>
    </row>
    <row r="6804" spans="1:2" x14ac:dyDescent="0.25">
      <c r="A6804" t="s">
        <v>2651</v>
      </c>
      <c r="B6804" t="s">
        <v>2651</v>
      </c>
    </row>
    <row r="6805" spans="1:2" x14ac:dyDescent="0.25">
      <c r="A6805" t="s">
        <v>2652</v>
      </c>
      <c r="B6805" t="s">
        <v>2652</v>
      </c>
    </row>
    <row r="6806" spans="1:2" x14ac:dyDescent="0.25">
      <c r="A6806" t="s">
        <v>2653</v>
      </c>
      <c r="B6806" t="s">
        <v>2653</v>
      </c>
    </row>
    <row r="6807" spans="1:2" x14ac:dyDescent="0.25">
      <c r="A6807" t="s">
        <v>2666</v>
      </c>
      <c r="B6807" t="s">
        <v>2666</v>
      </c>
    </row>
    <row r="6808" spans="1:2" x14ac:dyDescent="0.25">
      <c r="A6808" t="s">
        <v>2672</v>
      </c>
      <c r="B6808" t="s">
        <v>2672</v>
      </c>
    </row>
    <row r="6809" spans="1:2" x14ac:dyDescent="0.25">
      <c r="A6809" t="s">
        <v>2685</v>
      </c>
      <c r="B6809" t="s">
        <v>2685</v>
      </c>
    </row>
    <row r="6810" spans="1:2" x14ac:dyDescent="0.25">
      <c r="A6810" t="s">
        <v>2687</v>
      </c>
      <c r="B6810" t="s">
        <v>2687</v>
      </c>
    </row>
    <row r="6811" spans="1:2" x14ac:dyDescent="0.25">
      <c r="A6811" t="s">
        <v>2692</v>
      </c>
      <c r="B6811" t="s">
        <v>2692</v>
      </c>
    </row>
    <row r="6812" spans="1:2" x14ac:dyDescent="0.25">
      <c r="A6812" t="s">
        <v>2686</v>
      </c>
      <c r="B6812" t="s">
        <v>2686</v>
      </c>
    </row>
    <row r="6813" spans="1:2" x14ac:dyDescent="0.25">
      <c r="A6813" t="s">
        <v>2579</v>
      </c>
      <c r="B6813" t="s">
        <v>2579</v>
      </c>
    </row>
    <row r="6814" spans="1:2" x14ac:dyDescent="0.25">
      <c r="A6814" t="s">
        <v>2667</v>
      </c>
      <c r="B6814" t="s">
        <v>2667</v>
      </c>
    </row>
    <row r="6815" spans="1:2" x14ac:dyDescent="0.25">
      <c r="A6815" t="s">
        <v>2680</v>
      </c>
      <c r="B6815" t="s">
        <v>2680</v>
      </c>
    </row>
    <row r="6816" spans="1:2" x14ac:dyDescent="0.25">
      <c r="A6816" t="s">
        <v>2624</v>
      </c>
      <c r="B6816" t="s">
        <v>2624</v>
      </c>
    </row>
    <row r="6817" spans="1:2" x14ac:dyDescent="0.25">
      <c r="A6817" t="s">
        <v>2611</v>
      </c>
      <c r="B6817" t="s">
        <v>2611</v>
      </c>
    </row>
    <row r="6818" spans="1:2" x14ac:dyDescent="0.25">
      <c r="A6818" t="s">
        <v>2603</v>
      </c>
      <c r="B6818" t="s">
        <v>2603</v>
      </c>
    </row>
    <row r="6819" spans="1:2" x14ac:dyDescent="0.25">
      <c r="A6819" t="s">
        <v>2615</v>
      </c>
      <c r="B6819" t="s">
        <v>2615</v>
      </c>
    </row>
    <row r="6820" spans="1:2" x14ac:dyDescent="0.25">
      <c r="A6820" t="s">
        <v>2616</v>
      </c>
      <c r="B6820" t="s">
        <v>2616</v>
      </c>
    </row>
    <row r="6821" spans="1:2" x14ac:dyDescent="0.25">
      <c r="A6821" t="s">
        <v>2610</v>
      </c>
      <c r="B6821" t="s">
        <v>2610</v>
      </c>
    </row>
    <row r="6822" spans="1:2" x14ac:dyDescent="0.25">
      <c r="A6822" t="s">
        <v>2612</v>
      </c>
      <c r="B6822" t="s">
        <v>2612</v>
      </c>
    </row>
    <row r="6823" spans="1:2" x14ac:dyDescent="0.25">
      <c r="A6823" t="s">
        <v>2614</v>
      </c>
      <c r="B6823" t="s">
        <v>2614</v>
      </c>
    </row>
    <row r="6824" spans="1:2" x14ac:dyDescent="0.25">
      <c r="A6824" t="s">
        <v>2647</v>
      </c>
      <c r="B6824" t="s">
        <v>2647</v>
      </c>
    </row>
    <row r="6825" spans="1:2" x14ac:dyDescent="0.25">
      <c r="A6825" t="s">
        <v>2620</v>
      </c>
      <c r="B6825" t="s">
        <v>2620</v>
      </c>
    </row>
    <row r="6826" spans="1:2" x14ac:dyDescent="0.25">
      <c r="A6826" t="s">
        <v>2578</v>
      </c>
      <c r="B6826" t="s">
        <v>2578</v>
      </c>
    </row>
    <row r="6827" spans="1:2" x14ac:dyDescent="0.25">
      <c r="A6827" t="s">
        <v>2646</v>
      </c>
      <c r="B6827" t="s">
        <v>2646</v>
      </c>
    </row>
    <row r="6828" spans="1:2" x14ac:dyDescent="0.25">
      <c r="A6828" t="s">
        <v>2660</v>
      </c>
      <c r="B6828" t="s">
        <v>2660</v>
      </c>
    </row>
    <row r="6829" spans="1:2" x14ac:dyDescent="0.25">
      <c r="A6829" t="s">
        <v>2607</v>
      </c>
      <c r="B6829" t="s">
        <v>2607</v>
      </c>
    </row>
    <row r="6830" spans="1:2" x14ac:dyDescent="0.25">
      <c r="A6830" t="s">
        <v>2599</v>
      </c>
      <c r="B6830" t="s">
        <v>2599</v>
      </c>
    </row>
    <row r="6831" spans="1:2" x14ac:dyDescent="0.25">
      <c r="A6831" t="s">
        <v>2656</v>
      </c>
      <c r="B6831" t="s">
        <v>2656</v>
      </c>
    </row>
    <row r="6832" spans="1:2" x14ac:dyDescent="0.25">
      <c r="A6832" t="s">
        <v>2658</v>
      </c>
      <c r="B6832" t="s">
        <v>2658</v>
      </c>
    </row>
    <row r="6833" spans="1:2" x14ac:dyDescent="0.25">
      <c r="A6833" t="s">
        <v>2626</v>
      </c>
      <c r="B6833" t="s">
        <v>2626</v>
      </c>
    </row>
    <row r="6834" spans="1:2" x14ac:dyDescent="0.25">
      <c r="A6834" t="s">
        <v>2576</v>
      </c>
      <c r="B6834" t="s">
        <v>2576</v>
      </c>
    </row>
    <row r="6835" spans="1:2" x14ac:dyDescent="0.25">
      <c r="A6835" t="s">
        <v>2584</v>
      </c>
      <c r="B6835" t="s">
        <v>2584</v>
      </c>
    </row>
    <row r="6836" spans="1:2" x14ac:dyDescent="0.25">
      <c r="A6836" t="s">
        <v>2693</v>
      </c>
      <c r="B6836" t="s">
        <v>2693</v>
      </c>
    </row>
    <row r="6837" spans="1:2" x14ac:dyDescent="0.25">
      <c r="A6837" t="s">
        <v>2676</v>
      </c>
      <c r="B6837" t="s">
        <v>2676</v>
      </c>
    </row>
    <row r="6838" spans="1:2" x14ac:dyDescent="0.25">
      <c r="A6838" t="s">
        <v>2657</v>
      </c>
      <c r="B6838" t="s">
        <v>2657</v>
      </c>
    </row>
    <row r="6839" spans="1:2" x14ac:dyDescent="0.25">
      <c r="A6839" t="s">
        <v>2588</v>
      </c>
      <c r="B6839" t="s">
        <v>2588</v>
      </c>
    </row>
    <row r="6840" spans="1:2" x14ac:dyDescent="0.25">
      <c r="A6840" t="s">
        <v>2625</v>
      </c>
      <c r="B6840" t="s">
        <v>2625</v>
      </c>
    </row>
    <row r="6841" spans="1:2" x14ac:dyDescent="0.25">
      <c r="A6841" t="s">
        <v>2593</v>
      </c>
      <c r="B6841" t="s">
        <v>2593</v>
      </c>
    </row>
    <row r="6842" spans="1:2" x14ac:dyDescent="0.25">
      <c r="A6842" t="s">
        <v>2594</v>
      </c>
      <c r="B6842" t="s">
        <v>2594</v>
      </c>
    </row>
    <row r="6843" spans="1:2" x14ac:dyDescent="0.25">
      <c r="A6843" t="s">
        <v>2637</v>
      </c>
      <c r="B6843" t="s">
        <v>2637</v>
      </c>
    </row>
    <row r="6844" spans="1:2" x14ac:dyDescent="0.25">
      <c r="A6844" t="s">
        <v>2636</v>
      </c>
      <c r="B6844" t="s">
        <v>2636</v>
      </c>
    </row>
    <row r="6845" spans="1:2" x14ac:dyDescent="0.25">
      <c r="A6845" t="s">
        <v>2585</v>
      </c>
      <c r="B6845" t="s">
        <v>2585</v>
      </c>
    </row>
    <row r="6846" spans="1:2" x14ac:dyDescent="0.25">
      <c r="A6846" t="s">
        <v>2586</v>
      </c>
      <c r="B6846" t="s">
        <v>2586</v>
      </c>
    </row>
    <row r="6847" spans="1:2" x14ac:dyDescent="0.25">
      <c r="A6847" t="s">
        <v>2583</v>
      </c>
      <c r="B6847" t="s">
        <v>2583</v>
      </c>
    </row>
    <row r="6848" spans="1:2" x14ac:dyDescent="0.25">
      <c r="A6848" t="s">
        <v>2641</v>
      </c>
      <c r="B6848" t="s">
        <v>2641</v>
      </c>
    </row>
    <row r="6849" spans="1:2" x14ac:dyDescent="0.25">
      <c r="A6849" t="s">
        <v>2673</v>
      </c>
      <c r="B6849" t="s">
        <v>2673</v>
      </c>
    </row>
    <row r="6850" spans="1:2" x14ac:dyDescent="0.25">
      <c r="A6850" t="s">
        <v>2541</v>
      </c>
      <c r="B6850" t="s">
        <v>2541</v>
      </c>
    </row>
    <row r="6851" spans="1:2" x14ac:dyDescent="0.25">
      <c r="A6851" t="s">
        <v>2561</v>
      </c>
      <c r="B6851" t="s">
        <v>9051</v>
      </c>
    </row>
    <row r="6852" spans="1:2" x14ac:dyDescent="0.25">
      <c r="A6852" t="s">
        <v>2565</v>
      </c>
      <c r="B6852" t="s">
        <v>2564</v>
      </c>
    </row>
    <row r="6853" spans="1:2" x14ac:dyDescent="0.25">
      <c r="A6853" t="s">
        <v>9052</v>
      </c>
      <c r="B6853" t="s">
        <v>2538</v>
      </c>
    </row>
    <row r="6854" spans="1:2" x14ac:dyDescent="0.25">
      <c r="A6854" t="s">
        <v>9053</v>
      </c>
      <c r="B6854" t="s">
        <v>1653</v>
      </c>
    </row>
    <row r="6855" spans="1:2" x14ac:dyDescent="0.25">
      <c r="A6855" t="s">
        <v>9054</v>
      </c>
      <c r="B6855" t="s">
        <v>1750</v>
      </c>
    </row>
    <row r="6856" spans="1:2" x14ac:dyDescent="0.25">
      <c r="A6856" t="s">
        <v>9055</v>
      </c>
      <c r="B6856" t="s">
        <v>2544</v>
      </c>
    </row>
    <row r="6857" spans="1:2" x14ac:dyDescent="0.25">
      <c r="A6857" t="s">
        <v>2542</v>
      </c>
      <c r="B6857" t="s">
        <v>2541</v>
      </c>
    </row>
    <row r="6858" spans="1:2" x14ac:dyDescent="0.25">
      <c r="A6858" t="s">
        <v>2871</v>
      </c>
      <c r="B6858" t="s">
        <v>2870</v>
      </c>
    </row>
    <row r="6859" spans="1:2" x14ac:dyDescent="0.25">
      <c r="A6859" t="s">
        <v>2825</v>
      </c>
      <c r="B6859" t="s">
        <v>2824</v>
      </c>
    </row>
    <row r="6860" spans="1:2" x14ac:dyDescent="0.25">
      <c r="A6860" t="s">
        <v>2861</v>
      </c>
      <c r="B6860" t="s">
        <v>2860</v>
      </c>
    </row>
    <row r="6861" spans="1:2" x14ac:dyDescent="0.25">
      <c r="A6861" t="s">
        <v>2843</v>
      </c>
      <c r="B6861" t="s">
        <v>2842</v>
      </c>
    </row>
    <row r="6862" spans="1:2" x14ac:dyDescent="0.25">
      <c r="A6862" t="s">
        <v>9056</v>
      </c>
      <c r="B6862" t="s">
        <v>2294</v>
      </c>
    </row>
    <row r="6863" spans="1:2" x14ac:dyDescent="0.25">
      <c r="A6863" t="s">
        <v>949</v>
      </c>
      <c r="B6863" t="s">
        <v>948</v>
      </c>
    </row>
    <row r="6864" spans="1:2" x14ac:dyDescent="0.25">
      <c r="A6864" t="s">
        <v>287</v>
      </c>
      <c r="B6864" t="s">
        <v>286</v>
      </c>
    </row>
    <row r="6865" spans="1:2" x14ac:dyDescent="0.25">
      <c r="A6865" t="s">
        <v>2863</v>
      </c>
      <c r="B6865" t="s">
        <v>2862</v>
      </c>
    </row>
    <row r="6866" spans="1:2" x14ac:dyDescent="0.25">
      <c r="A6866" t="s">
        <v>2745</v>
      </c>
      <c r="B6866" t="s">
        <v>2744</v>
      </c>
    </row>
    <row r="6867" spans="1:2" x14ac:dyDescent="0.25">
      <c r="A6867" t="s">
        <v>9057</v>
      </c>
      <c r="B6867" t="s">
        <v>2274</v>
      </c>
    </row>
    <row r="6868" spans="1:2" x14ac:dyDescent="0.25">
      <c r="A6868" t="s">
        <v>9058</v>
      </c>
      <c r="B6868" t="s">
        <v>2355</v>
      </c>
    </row>
    <row r="6869" spans="1:2" x14ac:dyDescent="0.25">
      <c r="A6869" t="s">
        <v>9059</v>
      </c>
      <c r="B6869" t="s">
        <v>1744</v>
      </c>
    </row>
    <row r="6870" spans="1:2" x14ac:dyDescent="0.25">
      <c r="A6870" t="s">
        <v>1619</v>
      </c>
      <c r="B6870" t="s">
        <v>1618</v>
      </c>
    </row>
    <row r="6871" spans="1:2" x14ac:dyDescent="0.25">
      <c r="A6871" t="s">
        <v>2789</v>
      </c>
      <c r="B6871" t="s">
        <v>2788</v>
      </c>
    </row>
    <row r="6872" spans="1:2" x14ac:dyDescent="0.25">
      <c r="A6872" t="s">
        <v>2531</v>
      </c>
      <c r="B6872" t="s">
        <v>2530</v>
      </c>
    </row>
    <row r="6873" spans="1:2" x14ac:dyDescent="0.25">
      <c r="A6873" t="s">
        <v>1738</v>
      </c>
      <c r="B6873" t="s">
        <v>1737</v>
      </c>
    </row>
    <row r="6874" spans="1:2" x14ac:dyDescent="0.25">
      <c r="A6874" t="s">
        <v>734</v>
      </c>
      <c r="B6874" t="s">
        <v>733</v>
      </c>
    </row>
    <row r="6875" spans="1:2" x14ac:dyDescent="0.25">
      <c r="A6875" t="s">
        <v>1693</v>
      </c>
      <c r="B6875" t="s">
        <v>1692</v>
      </c>
    </row>
    <row r="6876" spans="1:2" x14ac:dyDescent="0.25">
      <c r="A6876" t="s">
        <v>1695</v>
      </c>
      <c r="B6876" t="s">
        <v>1694</v>
      </c>
    </row>
    <row r="6877" spans="1:2" x14ac:dyDescent="0.25">
      <c r="A6877" t="s">
        <v>1855</v>
      </c>
      <c r="B6877" t="s">
        <v>1854</v>
      </c>
    </row>
    <row r="6878" spans="1:2" x14ac:dyDescent="0.25">
      <c r="A6878" t="s">
        <v>1034</v>
      </c>
      <c r="B6878" t="s">
        <v>1033</v>
      </c>
    </row>
    <row r="6879" spans="1:2" x14ac:dyDescent="0.25">
      <c r="A6879" t="s">
        <v>1986</v>
      </c>
      <c r="B6879" t="s">
        <v>1985</v>
      </c>
    </row>
    <row r="6880" spans="1:2" x14ac:dyDescent="0.25">
      <c r="A6880" t="s">
        <v>1709</v>
      </c>
      <c r="B6880" t="s">
        <v>1708</v>
      </c>
    </row>
    <row r="6881" spans="1:2" x14ac:dyDescent="0.25">
      <c r="A6881" t="s">
        <v>1650</v>
      </c>
      <c r="B6881" t="s">
        <v>1649</v>
      </c>
    </row>
    <row r="6882" spans="1:2" x14ac:dyDescent="0.25">
      <c r="A6882" t="s">
        <v>1815</v>
      </c>
      <c r="B6882" t="s">
        <v>1814</v>
      </c>
    </row>
    <row r="6883" spans="1:2" x14ac:dyDescent="0.25">
      <c r="A6883" t="s">
        <v>959</v>
      </c>
      <c r="B6883" t="s">
        <v>958</v>
      </c>
    </row>
    <row r="6884" spans="1:2" x14ac:dyDescent="0.25">
      <c r="A6884" t="s">
        <v>81</v>
      </c>
      <c r="B6884" t="s">
        <v>80</v>
      </c>
    </row>
    <row r="6885" spans="1:2" x14ac:dyDescent="0.25">
      <c r="A6885" t="s">
        <v>9060</v>
      </c>
      <c r="B6885" t="s">
        <v>407</v>
      </c>
    </row>
    <row r="6886" spans="1:2" x14ac:dyDescent="0.25">
      <c r="A6886" t="s">
        <v>412</v>
      </c>
      <c r="B6886" t="s">
        <v>411</v>
      </c>
    </row>
    <row r="6887" spans="1:2" x14ac:dyDescent="0.25">
      <c r="A6887" t="s">
        <v>410</v>
      </c>
      <c r="B6887" t="s">
        <v>409</v>
      </c>
    </row>
    <row r="6888" spans="1:2" x14ac:dyDescent="0.25">
      <c r="A6888" t="s">
        <v>9061</v>
      </c>
      <c r="B6888" t="s">
        <v>1465</v>
      </c>
    </row>
    <row r="6889" spans="1:2" x14ac:dyDescent="0.25">
      <c r="A6889" t="s">
        <v>9062</v>
      </c>
      <c r="B6889" t="s">
        <v>3155</v>
      </c>
    </row>
    <row r="6890" spans="1:2" x14ac:dyDescent="0.25">
      <c r="A6890" t="s">
        <v>9063</v>
      </c>
      <c r="B6890" t="s">
        <v>3208</v>
      </c>
    </row>
    <row r="6891" spans="1:2" x14ac:dyDescent="0.25">
      <c r="A6891" t="s">
        <v>9064</v>
      </c>
      <c r="B6891" t="s">
        <v>3296</v>
      </c>
    </row>
    <row r="6892" spans="1:2" x14ac:dyDescent="0.25">
      <c r="A6892" t="s">
        <v>9065</v>
      </c>
      <c r="B6892" t="s">
        <v>3366</v>
      </c>
    </row>
    <row r="6893" spans="1:2" x14ac:dyDescent="0.25">
      <c r="A6893" t="s">
        <v>9066</v>
      </c>
      <c r="B6893" t="s">
        <v>3368</v>
      </c>
    </row>
    <row r="6894" spans="1:2" x14ac:dyDescent="0.25">
      <c r="A6894" t="s">
        <v>9067</v>
      </c>
      <c r="B6894" t="s">
        <v>2328</v>
      </c>
    </row>
    <row r="6895" spans="1:2" x14ac:dyDescent="0.25">
      <c r="A6895" t="s">
        <v>9068</v>
      </c>
      <c r="B6895" t="s">
        <v>3298</v>
      </c>
    </row>
    <row r="6896" spans="1:2" x14ac:dyDescent="0.25">
      <c r="A6896" t="s">
        <v>9069</v>
      </c>
      <c r="B6896" t="s">
        <v>3299</v>
      </c>
    </row>
    <row r="6897" spans="1:2" x14ac:dyDescent="0.25">
      <c r="A6897" t="s">
        <v>9070</v>
      </c>
      <c r="B6897" t="s">
        <v>3238</v>
      </c>
    </row>
    <row r="6898" spans="1:2" x14ac:dyDescent="0.25">
      <c r="A6898" t="s">
        <v>9071</v>
      </c>
      <c r="B6898" t="s">
        <v>3087</v>
      </c>
    </row>
    <row r="6899" spans="1:2" x14ac:dyDescent="0.25">
      <c r="A6899" t="s">
        <v>9072</v>
      </c>
      <c r="B6899" t="s">
        <v>3088</v>
      </c>
    </row>
    <row r="6900" spans="1:2" x14ac:dyDescent="0.25">
      <c r="A6900" t="s">
        <v>9073</v>
      </c>
      <c r="B6900" t="s">
        <v>2836</v>
      </c>
    </row>
    <row r="6901" spans="1:2" x14ac:dyDescent="0.25">
      <c r="A6901" t="s">
        <v>9074</v>
      </c>
      <c r="B6901" t="s">
        <v>1690</v>
      </c>
    </row>
    <row r="6902" spans="1:2" x14ac:dyDescent="0.25">
      <c r="A6902" t="s">
        <v>9075</v>
      </c>
      <c r="B6902" t="s">
        <v>1694</v>
      </c>
    </row>
    <row r="6903" spans="1:2" x14ac:dyDescent="0.25">
      <c r="A6903" t="s">
        <v>9076</v>
      </c>
      <c r="B6903" t="s">
        <v>2838</v>
      </c>
    </row>
    <row r="6904" spans="1:2" x14ac:dyDescent="0.25">
      <c r="A6904" t="s">
        <v>9077</v>
      </c>
      <c r="B6904" t="s">
        <v>860</v>
      </c>
    </row>
    <row r="6905" spans="1:2" x14ac:dyDescent="0.25">
      <c r="A6905" t="s">
        <v>9078</v>
      </c>
      <c r="B6905" t="s">
        <v>3326</v>
      </c>
    </row>
    <row r="6906" spans="1:2" x14ac:dyDescent="0.25">
      <c r="A6906" t="s">
        <v>9079</v>
      </c>
      <c r="B6906" t="s">
        <v>3328</v>
      </c>
    </row>
    <row r="6907" spans="1:2" x14ac:dyDescent="0.25">
      <c r="A6907" t="s">
        <v>9080</v>
      </c>
      <c r="B6907" t="s">
        <v>2361</v>
      </c>
    </row>
    <row r="6908" spans="1:2" x14ac:dyDescent="0.25">
      <c r="A6908" t="s">
        <v>9081</v>
      </c>
      <c r="B6908" t="s">
        <v>2872</v>
      </c>
    </row>
    <row r="6909" spans="1:2" x14ac:dyDescent="0.25">
      <c r="A6909" t="s">
        <v>9082</v>
      </c>
      <c r="B6909" t="s">
        <v>2373</v>
      </c>
    </row>
    <row r="6910" spans="1:2" x14ac:dyDescent="0.25">
      <c r="A6910" t="s">
        <v>9083</v>
      </c>
      <c r="B6910" t="s">
        <v>925</v>
      </c>
    </row>
    <row r="6911" spans="1:2" x14ac:dyDescent="0.25">
      <c r="A6911" t="s">
        <v>9084</v>
      </c>
      <c r="B6911" t="s">
        <v>1778</v>
      </c>
    </row>
    <row r="6912" spans="1:2" x14ac:dyDescent="0.25">
      <c r="A6912" t="s">
        <v>9085</v>
      </c>
      <c r="B6912" t="s">
        <v>1800</v>
      </c>
    </row>
    <row r="6913" spans="1:2" x14ac:dyDescent="0.25">
      <c r="A6913" t="s">
        <v>9086</v>
      </c>
      <c r="B6913" t="s">
        <v>1193</v>
      </c>
    </row>
    <row r="6914" spans="1:2" x14ac:dyDescent="0.25">
      <c r="A6914" t="s">
        <v>9087</v>
      </c>
      <c r="B6914" t="s">
        <v>1197</v>
      </c>
    </row>
    <row r="6915" spans="1:2" x14ac:dyDescent="0.25">
      <c r="A6915" t="s">
        <v>9088</v>
      </c>
      <c r="B6915" t="s">
        <v>1105</v>
      </c>
    </row>
    <row r="6916" spans="1:2" x14ac:dyDescent="0.25">
      <c r="A6916" t="s">
        <v>9089</v>
      </c>
      <c r="B6916" t="s">
        <v>841</v>
      </c>
    </row>
    <row r="6917" spans="1:2" x14ac:dyDescent="0.25">
      <c r="A6917" t="s">
        <v>2665</v>
      </c>
      <c r="B6917" t="s">
        <v>2665</v>
      </c>
    </row>
    <row r="6918" spans="1:2" x14ac:dyDescent="0.25">
      <c r="A6918" t="s">
        <v>9090</v>
      </c>
      <c r="B6918" t="s">
        <v>8586</v>
      </c>
    </row>
    <row r="6919" spans="1:2" x14ac:dyDescent="0.25">
      <c r="A6919" t="s">
        <v>9091</v>
      </c>
      <c r="B6919" t="s">
        <v>3380</v>
      </c>
    </row>
    <row r="6920" spans="1:2" x14ac:dyDescent="0.25">
      <c r="A6920" t="s">
        <v>9092</v>
      </c>
      <c r="B6920" t="s">
        <v>2347</v>
      </c>
    </row>
    <row r="6921" spans="1:2" x14ac:dyDescent="0.25">
      <c r="A6921" t="s">
        <v>9093</v>
      </c>
      <c r="B6921" t="s">
        <v>5722</v>
      </c>
    </row>
    <row r="6922" spans="1:2" x14ac:dyDescent="0.25">
      <c r="A6922" t="s">
        <v>2521</v>
      </c>
      <c r="B6922" t="s">
        <v>2520</v>
      </c>
    </row>
    <row r="6923" spans="1:2" x14ac:dyDescent="0.25">
      <c r="A6923" t="s">
        <v>9094</v>
      </c>
      <c r="B6923" t="s">
        <v>1014</v>
      </c>
    </row>
    <row r="6924" spans="1:2" x14ac:dyDescent="0.25">
      <c r="A6924" t="s">
        <v>9095</v>
      </c>
      <c r="B6924" t="s">
        <v>1739</v>
      </c>
    </row>
    <row r="6925" spans="1:2" x14ac:dyDescent="0.25">
      <c r="A6925" t="s">
        <v>9096</v>
      </c>
      <c r="B6925" t="s">
        <v>5764</v>
      </c>
    </row>
    <row r="6926" spans="1:2" x14ac:dyDescent="0.25">
      <c r="A6926" t="s">
        <v>2689</v>
      </c>
      <c r="B6926" t="s">
        <v>2689</v>
      </c>
    </row>
    <row r="6927" spans="1:2" x14ac:dyDescent="0.25">
      <c r="A6927" t="s">
        <v>9097</v>
      </c>
      <c r="B6927" t="s">
        <v>767</v>
      </c>
    </row>
    <row r="6928" spans="1:2" x14ac:dyDescent="0.25">
      <c r="A6928" t="s">
        <v>9098</v>
      </c>
      <c r="B6928" t="s">
        <v>1657</v>
      </c>
    </row>
    <row r="6929" spans="1:2" x14ac:dyDescent="0.25">
      <c r="A6929" t="s">
        <v>9099</v>
      </c>
      <c r="B6929" t="s">
        <v>407</v>
      </c>
    </row>
    <row r="6930" spans="1:2" x14ac:dyDescent="0.25">
      <c r="A6930" t="s">
        <v>9100</v>
      </c>
      <c r="B6930" t="s">
        <v>409</v>
      </c>
    </row>
    <row r="6931" spans="1:2" x14ac:dyDescent="0.25">
      <c r="A6931" t="s">
        <v>2801</v>
      </c>
      <c r="B6931" t="s">
        <v>2800</v>
      </c>
    </row>
    <row r="6932" spans="1:2" x14ac:dyDescent="0.25">
      <c r="A6932" t="s">
        <v>9101</v>
      </c>
      <c r="B6932" t="s">
        <v>2031</v>
      </c>
    </row>
    <row r="6933" spans="1:2" x14ac:dyDescent="0.25">
      <c r="A6933" t="s">
        <v>2035</v>
      </c>
      <c r="B6933" t="s">
        <v>2034</v>
      </c>
    </row>
    <row r="6934" spans="1:2" x14ac:dyDescent="0.25">
      <c r="A6934" t="s">
        <v>406</v>
      </c>
      <c r="B6934" t="s">
        <v>405</v>
      </c>
    </row>
    <row r="6935" spans="1:2" x14ac:dyDescent="0.25">
      <c r="A6935" t="s">
        <v>9102</v>
      </c>
      <c r="B6935" t="s">
        <v>1206</v>
      </c>
    </row>
    <row r="6936" spans="1:2" x14ac:dyDescent="0.25">
      <c r="A6936" t="s">
        <v>1211</v>
      </c>
      <c r="B6936" t="s">
        <v>1210</v>
      </c>
    </row>
    <row r="6937" spans="1:2" x14ac:dyDescent="0.25">
      <c r="A6937" t="s">
        <v>1215</v>
      </c>
      <c r="B6937" t="s">
        <v>1214</v>
      </c>
    </row>
    <row r="6938" spans="1:2" x14ac:dyDescent="0.25">
      <c r="A6938" t="s">
        <v>1220</v>
      </c>
      <c r="B6938" t="s">
        <v>1219</v>
      </c>
    </row>
    <row r="6939" spans="1:2" x14ac:dyDescent="0.25">
      <c r="A6939" t="s">
        <v>9103</v>
      </c>
      <c r="B6939" t="s">
        <v>2037</v>
      </c>
    </row>
    <row r="6940" spans="1:2" x14ac:dyDescent="0.25">
      <c r="A6940" t="s">
        <v>2040</v>
      </c>
      <c r="B6940" t="s">
        <v>2040</v>
      </c>
    </row>
    <row r="6941" spans="1:2" x14ac:dyDescent="0.25">
      <c r="A6941" t="s">
        <v>2041</v>
      </c>
      <c r="B6941" t="s">
        <v>2041</v>
      </c>
    </row>
    <row r="6942" spans="1:2" x14ac:dyDescent="0.25">
      <c r="A6942" t="s">
        <v>1223</v>
      </c>
      <c r="B6942" t="s">
        <v>1223</v>
      </c>
    </row>
    <row r="6943" spans="1:2" x14ac:dyDescent="0.25">
      <c r="A6943" t="s">
        <v>1227</v>
      </c>
      <c r="B6943" t="s">
        <v>1227</v>
      </c>
    </row>
    <row r="6944" spans="1:2" x14ac:dyDescent="0.25">
      <c r="A6944" t="s">
        <v>1231</v>
      </c>
      <c r="B6944" t="s">
        <v>1231</v>
      </c>
    </row>
    <row r="6945" spans="1:2" x14ac:dyDescent="0.25">
      <c r="A6945" t="s">
        <v>1235</v>
      </c>
      <c r="B6945" t="s">
        <v>1235</v>
      </c>
    </row>
    <row r="6946" spans="1:2" x14ac:dyDescent="0.25">
      <c r="A6946" t="s">
        <v>1239</v>
      </c>
      <c r="B6946" t="s">
        <v>1239</v>
      </c>
    </row>
    <row r="6947" spans="1:2" x14ac:dyDescent="0.25">
      <c r="A6947" t="s">
        <v>1243</v>
      </c>
      <c r="B6947" t="s">
        <v>1243</v>
      </c>
    </row>
    <row r="6948" spans="1:2" x14ac:dyDescent="0.25">
      <c r="A6948" t="s">
        <v>2042</v>
      </c>
      <c r="B6948" t="s">
        <v>2042</v>
      </c>
    </row>
    <row r="6949" spans="1:2" x14ac:dyDescent="0.25">
      <c r="A6949" t="s">
        <v>1247</v>
      </c>
      <c r="B6949" t="s">
        <v>1247</v>
      </c>
    </row>
    <row r="6950" spans="1:2" x14ac:dyDescent="0.25">
      <c r="A6950" t="s">
        <v>1250</v>
      </c>
      <c r="B6950" t="s">
        <v>1250</v>
      </c>
    </row>
    <row r="6951" spans="1:2" x14ac:dyDescent="0.25">
      <c r="A6951" t="s">
        <v>1254</v>
      </c>
      <c r="B6951" t="s">
        <v>1254</v>
      </c>
    </row>
    <row r="6952" spans="1:2" x14ac:dyDescent="0.25">
      <c r="A6952" t="s">
        <v>2044</v>
      </c>
      <c r="B6952" t="s">
        <v>2044</v>
      </c>
    </row>
    <row r="6953" spans="1:2" x14ac:dyDescent="0.25">
      <c r="A6953" t="s">
        <v>2048</v>
      </c>
      <c r="B6953" t="s">
        <v>2048</v>
      </c>
    </row>
    <row r="6954" spans="1:2" x14ac:dyDescent="0.25">
      <c r="A6954" t="s">
        <v>2051</v>
      </c>
      <c r="B6954" t="s">
        <v>2051</v>
      </c>
    </row>
    <row r="6955" spans="1:2" x14ac:dyDescent="0.25">
      <c r="A6955" t="s">
        <v>1258</v>
      </c>
      <c r="B6955" t="s">
        <v>1258</v>
      </c>
    </row>
    <row r="6956" spans="1:2" x14ac:dyDescent="0.25">
      <c r="A6956" t="s">
        <v>1262</v>
      </c>
      <c r="B6956" t="s">
        <v>1262</v>
      </c>
    </row>
    <row r="6957" spans="1:2" x14ac:dyDescent="0.25">
      <c r="A6957" t="s">
        <v>2054</v>
      </c>
      <c r="B6957" t="s">
        <v>2054</v>
      </c>
    </row>
    <row r="6958" spans="1:2" x14ac:dyDescent="0.25">
      <c r="A6958" t="s">
        <v>2057</v>
      </c>
      <c r="B6958" t="s">
        <v>2057</v>
      </c>
    </row>
    <row r="6959" spans="1:2" x14ac:dyDescent="0.25">
      <c r="A6959" t="s">
        <v>2060</v>
      </c>
      <c r="B6959" t="s">
        <v>2060</v>
      </c>
    </row>
    <row r="6960" spans="1:2" x14ac:dyDescent="0.25">
      <c r="A6960" t="s">
        <v>413</v>
      </c>
      <c r="B6960" t="s">
        <v>413</v>
      </c>
    </row>
    <row r="6961" spans="1:2" x14ac:dyDescent="0.25">
      <c r="A6961" t="s">
        <v>415</v>
      </c>
      <c r="B6961" t="s">
        <v>415</v>
      </c>
    </row>
    <row r="6962" spans="1:2" x14ac:dyDescent="0.25">
      <c r="A6962" t="s">
        <v>417</v>
      </c>
      <c r="B6962" t="s">
        <v>417</v>
      </c>
    </row>
    <row r="6963" spans="1:2" x14ac:dyDescent="0.25">
      <c r="A6963" t="s">
        <v>419</v>
      </c>
      <c r="B6963" t="s">
        <v>419</v>
      </c>
    </row>
    <row r="6964" spans="1:2" x14ac:dyDescent="0.25">
      <c r="A6964" t="s">
        <v>421</v>
      </c>
      <c r="B6964" t="s">
        <v>421</v>
      </c>
    </row>
    <row r="6965" spans="1:2" x14ac:dyDescent="0.25">
      <c r="A6965" t="s">
        <v>423</v>
      </c>
      <c r="B6965" t="s">
        <v>423</v>
      </c>
    </row>
    <row r="6966" spans="1:2" x14ac:dyDescent="0.25">
      <c r="A6966" t="s">
        <v>425</v>
      </c>
      <c r="B6966" t="s">
        <v>425</v>
      </c>
    </row>
    <row r="6967" spans="1:2" x14ac:dyDescent="0.25">
      <c r="A6967" t="s">
        <v>427</v>
      </c>
      <c r="B6967" t="s">
        <v>427</v>
      </c>
    </row>
    <row r="6968" spans="1:2" x14ac:dyDescent="0.25">
      <c r="A6968" t="s">
        <v>429</v>
      </c>
      <c r="B6968" t="s">
        <v>429</v>
      </c>
    </row>
    <row r="6969" spans="1:2" x14ac:dyDescent="0.25">
      <c r="A6969" t="s">
        <v>717</v>
      </c>
      <c r="B6969" t="s">
        <v>716</v>
      </c>
    </row>
    <row r="6970" spans="1:2" x14ac:dyDescent="0.25">
      <c r="A6970" t="s">
        <v>160</v>
      </c>
      <c r="B6970" t="s">
        <v>159</v>
      </c>
    </row>
    <row r="6971" spans="1:2" x14ac:dyDescent="0.25">
      <c r="A6971" t="s">
        <v>9104</v>
      </c>
      <c r="B6971" t="s">
        <v>2294</v>
      </c>
    </row>
    <row r="6972" spans="1:2" x14ac:dyDescent="0.25">
      <c r="A6972" t="s">
        <v>165</v>
      </c>
      <c r="B6972" t="s">
        <v>164</v>
      </c>
    </row>
    <row r="6973" spans="1:2" x14ac:dyDescent="0.25">
      <c r="A6973" t="s">
        <v>9105</v>
      </c>
      <c r="B6973" t="s">
        <v>785</v>
      </c>
    </row>
    <row r="6974" spans="1:2" x14ac:dyDescent="0.25">
      <c r="A6974" t="s">
        <v>9106</v>
      </c>
      <c r="B6974" t="s">
        <v>787</v>
      </c>
    </row>
    <row r="6975" spans="1:2" x14ac:dyDescent="0.25">
      <c r="A6975" t="s">
        <v>9107</v>
      </c>
      <c r="B6975" t="s">
        <v>790</v>
      </c>
    </row>
    <row r="6976" spans="1:2" x14ac:dyDescent="0.25">
      <c r="A6976" t="s">
        <v>9108</v>
      </c>
      <c r="B6976" t="s">
        <v>1643</v>
      </c>
    </row>
    <row r="6977" spans="1:2" x14ac:dyDescent="0.25">
      <c r="A6977" t="s">
        <v>9109</v>
      </c>
      <c r="B6977" t="s">
        <v>792</v>
      </c>
    </row>
    <row r="6978" spans="1:2" x14ac:dyDescent="0.25">
      <c r="A6978" t="s">
        <v>2799</v>
      </c>
      <c r="B6978" t="s">
        <v>2798</v>
      </c>
    </row>
    <row r="6979" spans="1:2" x14ac:dyDescent="0.25">
      <c r="A6979" t="s">
        <v>9110</v>
      </c>
      <c r="B6979" t="s">
        <v>809</v>
      </c>
    </row>
    <row r="6980" spans="1:2" x14ac:dyDescent="0.25">
      <c r="A6980" t="s">
        <v>2827</v>
      </c>
      <c r="B6980" t="s">
        <v>2826</v>
      </c>
    </row>
    <row r="6981" spans="1:2" x14ac:dyDescent="0.25">
      <c r="A6981" t="s">
        <v>872</v>
      </c>
      <c r="B6981" t="s">
        <v>871</v>
      </c>
    </row>
    <row r="6982" spans="1:2" x14ac:dyDescent="0.25">
      <c r="A6982" t="s">
        <v>9111</v>
      </c>
      <c r="B6982" t="s">
        <v>874</v>
      </c>
    </row>
    <row r="6983" spans="1:2" x14ac:dyDescent="0.25">
      <c r="A6983" t="s">
        <v>881</v>
      </c>
      <c r="B6983" t="s">
        <v>880</v>
      </c>
    </row>
    <row r="6984" spans="1:2" x14ac:dyDescent="0.25">
      <c r="A6984" t="s">
        <v>314</v>
      </c>
      <c r="B6984" t="s">
        <v>313</v>
      </c>
    </row>
    <row r="6985" spans="1:2" x14ac:dyDescent="0.25">
      <c r="A6985" t="s">
        <v>318</v>
      </c>
      <c r="B6985" t="s">
        <v>317</v>
      </c>
    </row>
    <row r="6986" spans="1:2" x14ac:dyDescent="0.25">
      <c r="A6986" t="s">
        <v>320</v>
      </c>
      <c r="B6986" t="s">
        <v>319</v>
      </c>
    </row>
    <row r="6987" spans="1:2" x14ac:dyDescent="0.25">
      <c r="A6987" t="s">
        <v>900</v>
      </c>
      <c r="B6987" t="s">
        <v>899</v>
      </c>
    </row>
    <row r="6988" spans="1:2" x14ac:dyDescent="0.25">
      <c r="A6988" t="s">
        <v>1751</v>
      </c>
      <c r="B6988" t="s">
        <v>1750</v>
      </c>
    </row>
    <row r="6989" spans="1:2" x14ac:dyDescent="0.25">
      <c r="A6989" t="s">
        <v>9112</v>
      </c>
      <c r="B6989" t="s">
        <v>325</v>
      </c>
    </row>
    <row r="6990" spans="1:2" x14ac:dyDescent="0.25">
      <c r="A6990" t="s">
        <v>1809</v>
      </c>
      <c r="B6990" t="s">
        <v>1808</v>
      </c>
    </row>
    <row r="6991" spans="1:2" x14ac:dyDescent="0.25">
      <c r="A6991" t="s">
        <v>1825</v>
      </c>
      <c r="B6991" t="s">
        <v>1824</v>
      </c>
    </row>
    <row r="6992" spans="1:2" x14ac:dyDescent="0.25">
      <c r="A6992" t="s">
        <v>1841</v>
      </c>
      <c r="B6992" t="s">
        <v>1840</v>
      </c>
    </row>
    <row r="6993" spans="1:2" x14ac:dyDescent="0.25">
      <c r="A6993" t="s">
        <v>9113</v>
      </c>
      <c r="B6993" t="s">
        <v>1848</v>
      </c>
    </row>
    <row r="6994" spans="1:2" x14ac:dyDescent="0.25">
      <c r="A6994" t="s">
        <v>2062</v>
      </c>
      <c r="B6994" t="s">
        <v>2062</v>
      </c>
    </row>
    <row r="6995" spans="1:2" x14ac:dyDescent="0.25">
      <c r="A6995" t="s">
        <v>2065</v>
      </c>
      <c r="B6995" t="s">
        <v>2065</v>
      </c>
    </row>
    <row r="6996" spans="1:2" x14ac:dyDescent="0.25">
      <c r="A6996" t="s">
        <v>2068</v>
      </c>
      <c r="B6996" t="s">
        <v>2068</v>
      </c>
    </row>
    <row r="6997" spans="1:2" x14ac:dyDescent="0.25">
      <c r="A6997" t="s">
        <v>9114</v>
      </c>
      <c r="B6997" t="s">
        <v>411</v>
      </c>
    </row>
    <row r="6998" spans="1:2" x14ac:dyDescent="0.25">
      <c r="A6998" t="s">
        <v>9115</v>
      </c>
      <c r="B6998" t="s">
        <v>9116</v>
      </c>
    </row>
    <row r="6999" spans="1:2" x14ac:dyDescent="0.25">
      <c r="A6999" t="s">
        <v>9117</v>
      </c>
      <c r="B6999" t="s">
        <v>9118</v>
      </c>
    </row>
    <row r="7000" spans="1:2" x14ac:dyDescent="0.25">
      <c r="A7000" t="s">
        <v>9119</v>
      </c>
      <c r="B7000" t="s">
        <v>9120</v>
      </c>
    </row>
    <row r="7001" spans="1:2" x14ac:dyDescent="0.25">
      <c r="A7001" t="s">
        <v>9121</v>
      </c>
      <c r="B7001" t="s">
        <v>325</v>
      </c>
    </row>
    <row r="7002" spans="1:2" x14ac:dyDescent="0.25">
      <c r="A7002" t="s">
        <v>9122</v>
      </c>
      <c r="B7002" t="s">
        <v>331</v>
      </c>
    </row>
    <row r="7003" spans="1:2" x14ac:dyDescent="0.25">
      <c r="A7003" t="s">
        <v>9123</v>
      </c>
      <c r="B7003" t="s">
        <v>2890</v>
      </c>
    </row>
    <row r="7004" spans="1:2" x14ac:dyDescent="0.25">
      <c r="A7004" t="s">
        <v>9124</v>
      </c>
      <c r="B7004" t="s">
        <v>335</v>
      </c>
    </row>
    <row r="7005" spans="1:2" x14ac:dyDescent="0.25">
      <c r="A7005" t="s">
        <v>9125</v>
      </c>
      <c r="B7005" t="s">
        <v>931</v>
      </c>
    </row>
    <row r="7006" spans="1:2" x14ac:dyDescent="0.25">
      <c r="A7006" t="s">
        <v>9126</v>
      </c>
      <c r="B7006" t="s">
        <v>1206</v>
      </c>
    </row>
    <row r="7007" spans="1:2" x14ac:dyDescent="0.25">
      <c r="A7007" t="s">
        <v>9127</v>
      </c>
      <c r="B7007" t="s">
        <v>115</v>
      </c>
    </row>
    <row r="7008" spans="1:2" x14ac:dyDescent="0.25">
      <c r="A7008" t="s">
        <v>9128</v>
      </c>
      <c r="B7008" t="s">
        <v>1506</v>
      </c>
    </row>
    <row r="7009" spans="1:2" x14ac:dyDescent="0.25">
      <c r="A7009" t="s">
        <v>9129</v>
      </c>
      <c r="B7009" t="s">
        <v>319</v>
      </c>
    </row>
    <row r="7010" spans="1:2" x14ac:dyDescent="0.25">
      <c r="A7010" t="s">
        <v>9130</v>
      </c>
      <c r="B7010" t="s">
        <v>4230</v>
      </c>
    </row>
    <row r="7011" spans="1:2" x14ac:dyDescent="0.25">
      <c r="A7011" t="s">
        <v>9131</v>
      </c>
      <c r="B7011" t="s">
        <v>4230</v>
      </c>
    </row>
    <row r="7012" spans="1:2" x14ac:dyDescent="0.25">
      <c r="A7012" t="s">
        <v>9132</v>
      </c>
      <c r="B7012" t="s">
        <v>130</v>
      </c>
    </row>
    <row r="7013" spans="1:2" x14ac:dyDescent="0.25">
      <c r="A7013" t="s">
        <v>9133</v>
      </c>
      <c r="B7013" t="s">
        <v>1973</v>
      </c>
    </row>
    <row r="7014" spans="1:2" x14ac:dyDescent="0.25">
      <c r="A7014" t="s">
        <v>9134</v>
      </c>
      <c r="B7014" t="s">
        <v>1989</v>
      </c>
    </row>
    <row r="7015" spans="1:2" x14ac:dyDescent="0.25">
      <c r="A7015" t="s">
        <v>9135</v>
      </c>
      <c r="B7015" t="s">
        <v>1655</v>
      </c>
    </row>
    <row r="7016" spans="1:2" x14ac:dyDescent="0.25">
      <c r="A7016" t="s">
        <v>9136</v>
      </c>
      <c r="B7016" t="s">
        <v>176</v>
      </c>
    </row>
    <row r="7017" spans="1:2" x14ac:dyDescent="0.25">
      <c r="A7017" t="s">
        <v>9137</v>
      </c>
      <c r="B7017" t="s">
        <v>780</v>
      </c>
    </row>
    <row r="7018" spans="1:2" x14ac:dyDescent="0.25">
      <c r="A7018" t="s">
        <v>9138</v>
      </c>
      <c r="B7018" t="s">
        <v>787</v>
      </c>
    </row>
    <row r="7019" spans="1:2" x14ac:dyDescent="0.25">
      <c r="A7019" t="s">
        <v>2580</v>
      </c>
      <c r="B7019" t="s">
        <v>2580</v>
      </c>
    </row>
    <row r="7020" spans="1:2" x14ac:dyDescent="0.25">
      <c r="A7020" t="s">
        <v>2695</v>
      </c>
      <c r="B7020" t="s">
        <v>2695</v>
      </c>
    </row>
    <row r="7021" spans="1:2" x14ac:dyDescent="0.25">
      <c r="A7021" t="s">
        <v>2663</v>
      </c>
      <c r="B7021" t="s">
        <v>2663</v>
      </c>
    </row>
    <row r="7022" spans="1:2" x14ac:dyDescent="0.25">
      <c r="A7022" t="s">
        <v>9139</v>
      </c>
      <c r="B7022" t="s">
        <v>243</v>
      </c>
    </row>
    <row r="7023" spans="1:2" x14ac:dyDescent="0.25">
      <c r="A7023" t="s">
        <v>9140</v>
      </c>
      <c r="B7023" t="s">
        <v>265</v>
      </c>
    </row>
    <row r="7024" spans="1:2" x14ac:dyDescent="0.25">
      <c r="A7024" t="s">
        <v>9141</v>
      </c>
      <c r="B7024" t="s">
        <v>1645</v>
      </c>
    </row>
    <row r="7025" spans="1:2" x14ac:dyDescent="0.25">
      <c r="A7025" t="s">
        <v>9142</v>
      </c>
      <c r="B7025" t="s">
        <v>2372</v>
      </c>
    </row>
    <row r="7026" spans="1:2" x14ac:dyDescent="0.25">
      <c r="A7026" t="s">
        <v>9143</v>
      </c>
      <c r="B7026" t="s">
        <v>1206</v>
      </c>
    </row>
    <row r="7027" spans="1:2" x14ac:dyDescent="0.25">
      <c r="A7027" t="s">
        <v>9144</v>
      </c>
      <c r="B7027" t="s">
        <v>1955</v>
      </c>
    </row>
    <row r="7028" spans="1:2" x14ac:dyDescent="0.25">
      <c r="A7028" t="s">
        <v>9145</v>
      </c>
      <c r="B7028" t="s">
        <v>376</v>
      </c>
    </row>
    <row r="7029" spans="1:2" x14ac:dyDescent="0.25">
      <c r="A7029" t="s">
        <v>2945</v>
      </c>
      <c r="B7029" t="s">
        <v>2944</v>
      </c>
    </row>
    <row r="7030" spans="1:2" x14ac:dyDescent="0.25">
      <c r="A7030" t="s">
        <v>9146</v>
      </c>
      <c r="B7030" t="s">
        <v>1848</v>
      </c>
    </row>
    <row r="7031" spans="1:2" x14ac:dyDescent="0.25">
      <c r="A7031" t="s">
        <v>1194</v>
      </c>
      <c r="B7031" t="s">
        <v>1193</v>
      </c>
    </row>
    <row r="7032" spans="1:2" x14ac:dyDescent="0.25">
      <c r="A7032" t="s">
        <v>2038</v>
      </c>
      <c r="B7032" t="s">
        <v>2037</v>
      </c>
    </row>
    <row r="7033" spans="1:2" x14ac:dyDescent="0.25">
      <c r="A7033" t="s">
        <v>1224</v>
      </c>
      <c r="B7033" t="s">
        <v>1223</v>
      </c>
    </row>
    <row r="7034" spans="1:2" x14ac:dyDescent="0.25">
      <c r="A7034" t="s">
        <v>1228</v>
      </c>
      <c r="B7034" t="s">
        <v>1227</v>
      </c>
    </row>
    <row r="7035" spans="1:2" x14ac:dyDescent="0.25">
      <c r="A7035" t="s">
        <v>431</v>
      </c>
      <c r="B7035" t="s">
        <v>431</v>
      </c>
    </row>
    <row r="7036" spans="1:2" x14ac:dyDescent="0.25">
      <c r="A7036" t="s">
        <v>9147</v>
      </c>
      <c r="B7036" t="s">
        <v>376</v>
      </c>
    </row>
    <row r="7037" spans="1:2" x14ac:dyDescent="0.25">
      <c r="A7037" t="s">
        <v>9148</v>
      </c>
      <c r="B7037" t="s">
        <v>376</v>
      </c>
    </row>
    <row r="7038" spans="1:2" x14ac:dyDescent="0.25">
      <c r="A7038" t="s">
        <v>9149</v>
      </c>
      <c r="B7038" t="s">
        <v>380</v>
      </c>
    </row>
    <row r="7039" spans="1:2" x14ac:dyDescent="0.25">
      <c r="A7039" t="s">
        <v>9150</v>
      </c>
      <c r="B7039" t="s">
        <v>407</v>
      </c>
    </row>
    <row r="7040" spans="1:2" x14ac:dyDescent="0.25">
      <c r="A7040" t="s">
        <v>9151</v>
      </c>
      <c r="B7040" t="s">
        <v>411</v>
      </c>
    </row>
    <row r="7041" spans="1:2" x14ac:dyDescent="0.25">
      <c r="A7041" t="s">
        <v>9152</v>
      </c>
      <c r="B7041" t="s">
        <v>998</v>
      </c>
    </row>
    <row r="7042" spans="1:2" x14ac:dyDescent="0.25">
      <c r="A7042" t="s">
        <v>9153</v>
      </c>
      <c r="B7042" t="s">
        <v>9154</v>
      </c>
    </row>
    <row r="7043" spans="1:2" x14ac:dyDescent="0.25">
      <c r="A7043" t="s">
        <v>9155</v>
      </c>
      <c r="B7043" t="s">
        <v>1754</v>
      </c>
    </row>
    <row r="7044" spans="1:2" x14ac:dyDescent="0.25">
      <c r="A7044" t="s">
        <v>9156</v>
      </c>
      <c r="B7044" t="s">
        <v>2884</v>
      </c>
    </row>
    <row r="7045" spans="1:2" x14ac:dyDescent="0.25">
      <c r="A7045" t="s">
        <v>9157</v>
      </c>
      <c r="B7045" t="s">
        <v>2906</v>
      </c>
    </row>
    <row r="7046" spans="1:2" x14ac:dyDescent="0.25">
      <c r="A7046" t="s">
        <v>9158</v>
      </c>
      <c r="B7046" t="s">
        <v>2908</v>
      </c>
    </row>
    <row r="7047" spans="1:2" x14ac:dyDescent="0.25">
      <c r="A7047" t="s">
        <v>9159</v>
      </c>
      <c r="B7047" t="s">
        <v>1915</v>
      </c>
    </row>
    <row r="7048" spans="1:2" x14ac:dyDescent="0.25">
      <c r="A7048" t="s">
        <v>9160</v>
      </c>
      <c r="B7048" t="s">
        <v>1084</v>
      </c>
    </row>
    <row r="7049" spans="1:2" x14ac:dyDescent="0.25">
      <c r="A7049" t="s">
        <v>9161</v>
      </c>
      <c r="B7049" t="s">
        <v>1959</v>
      </c>
    </row>
    <row r="7050" spans="1:2" x14ac:dyDescent="0.25">
      <c r="A7050" t="s">
        <v>9162</v>
      </c>
      <c r="B7050" t="s">
        <v>2031</v>
      </c>
    </row>
    <row r="7051" spans="1:2" x14ac:dyDescent="0.25">
      <c r="A7051" t="s">
        <v>9163</v>
      </c>
      <c r="B7051" t="s">
        <v>1206</v>
      </c>
    </row>
    <row r="7052" spans="1:2" x14ac:dyDescent="0.25">
      <c r="A7052" t="s">
        <v>9164</v>
      </c>
      <c r="B7052" t="s">
        <v>1214</v>
      </c>
    </row>
    <row r="7053" spans="1:2" x14ac:dyDescent="0.25">
      <c r="A7053" t="s">
        <v>9165</v>
      </c>
      <c r="B7053" t="s">
        <v>290</v>
      </c>
    </row>
    <row r="7054" spans="1:2" x14ac:dyDescent="0.25">
      <c r="A7054" t="s">
        <v>9166</v>
      </c>
      <c r="B7054" t="s">
        <v>4195</v>
      </c>
    </row>
    <row r="7055" spans="1:2" x14ac:dyDescent="0.25">
      <c r="A7055" t="s">
        <v>9167</v>
      </c>
      <c r="B7055" t="s">
        <v>294</v>
      </c>
    </row>
    <row r="7056" spans="1:2" x14ac:dyDescent="0.25">
      <c r="A7056" t="s">
        <v>9168</v>
      </c>
      <c r="B7056" t="s">
        <v>297</v>
      </c>
    </row>
    <row r="7057" spans="1:2" x14ac:dyDescent="0.25">
      <c r="A7057" t="s">
        <v>9169</v>
      </c>
      <c r="B7057" t="s">
        <v>4248</v>
      </c>
    </row>
    <row r="7058" spans="1:2" x14ac:dyDescent="0.25">
      <c r="A7058" t="s">
        <v>9170</v>
      </c>
      <c r="B7058" t="s">
        <v>1676</v>
      </c>
    </row>
    <row r="7059" spans="1:2" x14ac:dyDescent="0.25">
      <c r="A7059" t="s">
        <v>9171</v>
      </c>
      <c r="B7059" t="s">
        <v>356</v>
      </c>
    </row>
    <row r="7060" spans="1:2" x14ac:dyDescent="0.25">
      <c r="A7060" t="s">
        <v>9172</v>
      </c>
      <c r="B7060" t="s">
        <v>785</v>
      </c>
    </row>
    <row r="7061" spans="1:2" x14ac:dyDescent="0.25">
      <c r="A7061" t="s">
        <v>9173</v>
      </c>
      <c r="B7061" t="s">
        <v>787</v>
      </c>
    </row>
    <row r="7062" spans="1:2" x14ac:dyDescent="0.25">
      <c r="A7062" t="s">
        <v>9174</v>
      </c>
      <c r="B7062" t="s">
        <v>1643</v>
      </c>
    </row>
    <row r="7063" spans="1:2" x14ac:dyDescent="0.25">
      <c r="A7063" t="s">
        <v>2697</v>
      </c>
      <c r="B7063" t="s">
        <v>2697</v>
      </c>
    </row>
    <row r="7064" spans="1:2" x14ac:dyDescent="0.25">
      <c r="A7064" t="s">
        <v>2696</v>
      </c>
      <c r="B7064" t="s">
        <v>2696</v>
      </c>
    </row>
    <row r="7065" spans="1:2" x14ac:dyDescent="0.25">
      <c r="A7065" t="s">
        <v>9175</v>
      </c>
      <c r="B7065" t="s">
        <v>245</v>
      </c>
    </row>
    <row r="7066" spans="1:2" x14ac:dyDescent="0.25">
      <c r="A7066" t="s">
        <v>9176</v>
      </c>
      <c r="B7066" t="s">
        <v>249</v>
      </c>
    </row>
    <row r="7067" spans="1:2" x14ac:dyDescent="0.25">
      <c r="A7067" t="s">
        <v>9177</v>
      </c>
      <c r="B7067" t="s">
        <v>265</v>
      </c>
    </row>
    <row r="7068" spans="1:2" x14ac:dyDescent="0.25">
      <c r="A7068" t="s">
        <v>9178</v>
      </c>
      <c r="B7068" t="s">
        <v>352</v>
      </c>
    </row>
    <row r="7069" spans="1:2" x14ac:dyDescent="0.25">
      <c r="A7069" t="s">
        <v>9179</v>
      </c>
      <c r="B7069" t="s">
        <v>58</v>
      </c>
    </row>
    <row r="7070" spans="1:2" x14ac:dyDescent="0.25">
      <c r="A7070" t="s">
        <v>9180</v>
      </c>
      <c r="B7070" t="s">
        <v>64</v>
      </c>
    </row>
    <row r="7071" spans="1:2" x14ac:dyDescent="0.25">
      <c r="A7071" t="s">
        <v>9181</v>
      </c>
      <c r="B7071" t="s">
        <v>409</v>
      </c>
    </row>
    <row r="7072" spans="1:2" x14ac:dyDescent="0.25">
      <c r="A7072" t="s">
        <v>9182</v>
      </c>
      <c r="B7072" t="s">
        <v>9183</v>
      </c>
    </row>
    <row r="7073" spans="1:2" x14ac:dyDescent="0.25">
      <c r="A7073" t="s">
        <v>9184</v>
      </c>
      <c r="B7073" t="s">
        <v>9185</v>
      </c>
    </row>
    <row r="7074" spans="1:2" x14ac:dyDescent="0.25">
      <c r="A7074" t="s">
        <v>9186</v>
      </c>
      <c r="B7074" t="s">
        <v>9187</v>
      </c>
    </row>
    <row r="7075" spans="1:2" x14ac:dyDescent="0.25">
      <c r="A7075" t="s">
        <v>9188</v>
      </c>
      <c r="B7075" t="s">
        <v>2431</v>
      </c>
    </row>
    <row r="7076" spans="1:2" x14ac:dyDescent="0.25">
      <c r="A7076" t="s">
        <v>9189</v>
      </c>
      <c r="B7076" t="s">
        <v>2429</v>
      </c>
    </row>
    <row r="7077" spans="1:2" x14ac:dyDescent="0.25">
      <c r="A7077" t="s">
        <v>9190</v>
      </c>
      <c r="B7077" t="s">
        <v>2430</v>
      </c>
    </row>
    <row r="7078" spans="1:2" x14ac:dyDescent="0.25">
      <c r="A7078" t="s">
        <v>9191</v>
      </c>
      <c r="B7078" t="s">
        <v>325</v>
      </c>
    </row>
    <row r="7079" spans="1:2" x14ac:dyDescent="0.25">
      <c r="A7079" t="s">
        <v>9192</v>
      </c>
      <c r="B7079" t="s">
        <v>338</v>
      </c>
    </row>
    <row r="7080" spans="1:2" x14ac:dyDescent="0.25">
      <c r="A7080" t="s">
        <v>9193</v>
      </c>
      <c r="B7080" t="s">
        <v>342</v>
      </c>
    </row>
    <row r="7081" spans="1:2" x14ac:dyDescent="0.25">
      <c r="A7081" t="s">
        <v>9194</v>
      </c>
      <c r="B7081" t="s">
        <v>1117</v>
      </c>
    </row>
    <row r="7082" spans="1:2" x14ac:dyDescent="0.25">
      <c r="A7082" t="s">
        <v>9195</v>
      </c>
      <c r="B7082" t="s">
        <v>1139</v>
      </c>
    </row>
    <row r="7083" spans="1:2" x14ac:dyDescent="0.25">
      <c r="A7083" t="s">
        <v>9196</v>
      </c>
      <c r="B7083" t="s">
        <v>275</v>
      </c>
    </row>
    <row r="7084" spans="1:2" x14ac:dyDescent="0.25">
      <c r="A7084" t="s">
        <v>9197</v>
      </c>
      <c r="B7084" t="s">
        <v>273</v>
      </c>
    </row>
    <row r="7085" spans="1:2" x14ac:dyDescent="0.25">
      <c r="A7085" t="s">
        <v>9198</v>
      </c>
      <c r="B7085" t="s">
        <v>1653</v>
      </c>
    </row>
    <row r="7086" spans="1:2" x14ac:dyDescent="0.25">
      <c r="A7086" t="s">
        <v>9199</v>
      </c>
      <c r="B7086" t="s">
        <v>4566</v>
      </c>
    </row>
    <row r="7087" spans="1:2" x14ac:dyDescent="0.25">
      <c r="A7087" t="s">
        <v>2720</v>
      </c>
      <c r="B7087" t="s">
        <v>2720</v>
      </c>
    </row>
    <row r="7088" spans="1:2" x14ac:dyDescent="0.25">
      <c r="A7088" t="s">
        <v>9200</v>
      </c>
      <c r="B7088" t="s">
        <v>790</v>
      </c>
    </row>
    <row r="7089" spans="1:2" x14ac:dyDescent="0.25">
      <c r="A7089" t="s">
        <v>9201</v>
      </c>
      <c r="B7089" t="s">
        <v>794</v>
      </c>
    </row>
    <row r="7090" spans="1:2" x14ac:dyDescent="0.25">
      <c r="A7090" t="s">
        <v>2662</v>
      </c>
      <c r="B7090" t="s">
        <v>2662</v>
      </c>
    </row>
    <row r="7091" spans="1:2" x14ac:dyDescent="0.25">
      <c r="A7091" t="s">
        <v>2675</v>
      </c>
      <c r="B7091" t="s">
        <v>2675</v>
      </c>
    </row>
    <row r="7092" spans="1:2" x14ac:dyDescent="0.25">
      <c r="A7092" t="s">
        <v>9202</v>
      </c>
      <c r="B7092" t="s">
        <v>204</v>
      </c>
    </row>
    <row r="7093" spans="1:2" x14ac:dyDescent="0.25">
      <c r="A7093" t="s">
        <v>9203</v>
      </c>
      <c r="B7093" t="s">
        <v>352</v>
      </c>
    </row>
    <row r="7094" spans="1:2" x14ac:dyDescent="0.25">
      <c r="A7094" t="s">
        <v>9204</v>
      </c>
      <c r="B7094" t="s">
        <v>1645</v>
      </c>
    </row>
    <row r="7095" spans="1:2" x14ac:dyDescent="0.25">
      <c r="A7095" t="s">
        <v>9205</v>
      </c>
      <c r="B7095" t="s">
        <v>76</v>
      </c>
    </row>
    <row r="7096" spans="1:2" x14ac:dyDescent="0.25">
      <c r="A7096" t="s">
        <v>9206</v>
      </c>
      <c r="B7096" t="s">
        <v>821</v>
      </c>
    </row>
    <row r="7097" spans="1:2" x14ac:dyDescent="0.25">
      <c r="A7097" t="s">
        <v>9207</v>
      </c>
      <c r="B7097" t="s">
        <v>883</v>
      </c>
    </row>
    <row r="7098" spans="1:2" x14ac:dyDescent="0.25">
      <c r="A7098" t="s">
        <v>9208</v>
      </c>
      <c r="B7098" t="s">
        <v>2479</v>
      </c>
    </row>
    <row r="7099" spans="1:2" x14ac:dyDescent="0.25">
      <c r="A7099" t="s">
        <v>9209</v>
      </c>
      <c r="B7099" t="s">
        <v>2698</v>
      </c>
    </row>
    <row r="7100" spans="1:2" x14ac:dyDescent="0.25">
      <c r="A7100" t="s">
        <v>9210</v>
      </c>
      <c r="B7100" t="s">
        <v>825</v>
      </c>
    </row>
    <row r="7101" spans="1:2" x14ac:dyDescent="0.25">
      <c r="A7101" t="s">
        <v>9211</v>
      </c>
      <c r="B7101" t="s">
        <v>1708</v>
      </c>
    </row>
    <row r="7102" spans="1:2" x14ac:dyDescent="0.25">
      <c r="A7102" t="s">
        <v>9212</v>
      </c>
      <c r="B7102" t="s">
        <v>1667</v>
      </c>
    </row>
    <row r="7103" spans="1:2" x14ac:dyDescent="0.25">
      <c r="A7103" t="s">
        <v>9213</v>
      </c>
      <c r="B7103" t="s">
        <v>1758</v>
      </c>
    </row>
    <row r="7104" spans="1:2" x14ac:dyDescent="0.25">
      <c r="A7104" t="s">
        <v>9214</v>
      </c>
      <c r="B7104" t="s">
        <v>2367</v>
      </c>
    </row>
    <row r="7105" spans="1:2" x14ac:dyDescent="0.25">
      <c r="A7105" t="s">
        <v>9215</v>
      </c>
      <c r="B7105" t="s">
        <v>2882</v>
      </c>
    </row>
    <row r="7106" spans="1:2" x14ac:dyDescent="0.25">
      <c r="A7106" t="s">
        <v>9216</v>
      </c>
      <c r="B7106" t="s">
        <v>2886</v>
      </c>
    </row>
    <row r="7107" spans="1:2" x14ac:dyDescent="0.25">
      <c r="A7107" t="s">
        <v>9217</v>
      </c>
      <c r="B7107" t="s">
        <v>2378</v>
      </c>
    </row>
    <row r="7108" spans="1:2" x14ac:dyDescent="0.25">
      <c r="A7108" t="s">
        <v>9218</v>
      </c>
      <c r="B7108" t="s">
        <v>2379</v>
      </c>
    </row>
    <row r="7109" spans="1:2" x14ac:dyDescent="0.25">
      <c r="A7109" t="s">
        <v>9219</v>
      </c>
      <c r="B7109" t="s">
        <v>3126</v>
      </c>
    </row>
    <row r="7110" spans="1:2" x14ac:dyDescent="0.25">
      <c r="A7110" t="s">
        <v>9220</v>
      </c>
      <c r="B7110" t="s">
        <v>856</v>
      </c>
    </row>
    <row r="7111" spans="1:2" x14ac:dyDescent="0.25">
      <c r="A7111" t="s">
        <v>9221</v>
      </c>
      <c r="B7111" t="s">
        <v>2347</v>
      </c>
    </row>
    <row r="7112" spans="1:2" x14ac:dyDescent="0.25">
      <c r="A7112" t="s">
        <v>9222</v>
      </c>
      <c r="B7112" t="s">
        <v>2348</v>
      </c>
    </row>
    <row r="7113" spans="1:2" x14ac:dyDescent="0.25">
      <c r="A7113" t="s">
        <v>9223</v>
      </c>
      <c r="B7113" t="s">
        <v>1700</v>
      </c>
    </row>
    <row r="7114" spans="1:2" x14ac:dyDescent="0.25">
      <c r="A7114" t="s">
        <v>9224</v>
      </c>
      <c r="B7114" t="s">
        <v>2349</v>
      </c>
    </row>
    <row r="7115" spans="1:2" x14ac:dyDescent="0.25">
      <c r="A7115" t="s">
        <v>9225</v>
      </c>
      <c r="B7115" t="s">
        <v>121</v>
      </c>
    </row>
    <row r="7116" spans="1:2" x14ac:dyDescent="0.25">
      <c r="A7116" t="s">
        <v>9226</v>
      </c>
      <c r="B7116" t="s">
        <v>124</v>
      </c>
    </row>
    <row r="7117" spans="1:2" x14ac:dyDescent="0.25">
      <c r="A7117" t="s">
        <v>9227</v>
      </c>
      <c r="B7117" t="s">
        <v>128</v>
      </c>
    </row>
    <row r="7118" spans="1:2" x14ac:dyDescent="0.25">
      <c r="A7118" t="s">
        <v>9228</v>
      </c>
      <c r="B7118" t="s">
        <v>135</v>
      </c>
    </row>
    <row r="7119" spans="1:2" x14ac:dyDescent="0.25">
      <c r="A7119" t="s">
        <v>9229</v>
      </c>
      <c r="B7119" t="s">
        <v>140</v>
      </c>
    </row>
    <row r="7120" spans="1:2" x14ac:dyDescent="0.25">
      <c r="A7120" t="s">
        <v>9230</v>
      </c>
      <c r="B7120" t="s">
        <v>1569</v>
      </c>
    </row>
    <row r="7121" spans="1:2" x14ac:dyDescent="0.25">
      <c r="A7121" t="s">
        <v>9231</v>
      </c>
      <c r="B7121" t="s">
        <v>146</v>
      </c>
    </row>
    <row r="7122" spans="1:2" x14ac:dyDescent="0.25">
      <c r="A7122" t="s">
        <v>9232</v>
      </c>
      <c r="B7122" t="s">
        <v>149</v>
      </c>
    </row>
    <row r="7123" spans="1:2" x14ac:dyDescent="0.25">
      <c r="A7123" t="s">
        <v>9233</v>
      </c>
      <c r="B7123" t="s">
        <v>155</v>
      </c>
    </row>
    <row r="7124" spans="1:2" x14ac:dyDescent="0.25">
      <c r="A7124" t="s">
        <v>9234</v>
      </c>
      <c r="B7124" t="s">
        <v>2291</v>
      </c>
    </row>
    <row r="7125" spans="1:2" x14ac:dyDescent="0.25">
      <c r="A7125" t="s">
        <v>9235</v>
      </c>
      <c r="B7125" t="s">
        <v>1608</v>
      </c>
    </row>
    <row r="7126" spans="1:2" x14ac:dyDescent="0.25">
      <c r="A7126" t="s">
        <v>9236</v>
      </c>
      <c r="B7126" t="s">
        <v>747</v>
      </c>
    </row>
    <row r="7127" spans="1:2" x14ac:dyDescent="0.25">
      <c r="A7127" t="s">
        <v>9237</v>
      </c>
      <c r="B7127" t="s">
        <v>761</v>
      </c>
    </row>
    <row r="7128" spans="1:2" x14ac:dyDescent="0.25">
      <c r="A7128" t="s">
        <v>9238</v>
      </c>
      <c r="B7128" t="s">
        <v>764</v>
      </c>
    </row>
    <row r="7129" spans="1:2" x14ac:dyDescent="0.25">
      <c r="A7129" t="s">
        <v>9239</v>
      </c>
      <c r="B7129" t="s">
        <v>267</v>
      </c>
    </row>
    <row r="7130" spans="1:2" x14ac:dyDescent="0.25">
      <c r="A7130" t="s">
        <v>9240</v>
      </c>
      <c r="B7130" t="s">
        <v>803</v>
      </c>
    </row>
    <row r="7131" spans="1:2" x14ac:dyDescent="0.25">
      <c r="A7131" t="s">
        <v>9241</v>
      </c>
      <c r="B7131" t="s">
        <v>812</v>
      </c>
    </row>
    <row r="7132" spans="1:2" x14ac:dyDescent="0.25">
      <c r="A7132" t="s">
        <v>9242</v>
      </c>
      <c r="B7132" t="s">
        <v>184</v>
      </c>
    </row>
    <row r="7133" spans="1:2" x14ac:dyDescent="0.25">
      <c r="A7133" t="s">
        <v>9243</v>
      </c>
      <c r="B7133" t="s">
        <v>210</v>
      </c>
    </row>
    <row r="7134" spans="1:2" x14ac:dyDescent="0.25">
      <c r="A7134" t="s">
        <v>9244</v>
      </c>
      <c r="B7134" t="s">
        <v>2802</v>
      </c>
    </row>
    <row r="7135" spans="1:2" x14ac:dyDescent="0.25">
      <c r="A7135" t="s">
        <v>9245</v>
      </c>
      <c r="B7135" t="s">
        <v>3350</v>
      </c>
    </row>
    <row r="7136" spans="1:2" x14ac:dyDescent="0.25">
      <c r="A7136" t="s">
        <v>9246</v>
      </c>
      <c r="B7136" t="s">
        <v>2312</v>
      </c>
    </row>
    <row r="7137" spans="1:2" x14ac:dyDescent="0.25">
      <c r="A7137" t="s">
        <v>9247</v>
      </c>
      <c r="B7137" t="s">
        <v>249</v>
      </c>
    </row>
    <row r="7138" spans="1:2" x14ac:dyDescent="0.25">
      <c r="A7138" t="s">
        <v>9248</v>
      </c>
      <c r="B7138" t="s">
        <v>253</v>
      </c>
    </row>
    <row r="7139" spans="1:2" x14ac:dyDescent="0.25">
      <c r="A7139" t="s">
        <v>9249</v>
      </c>
      <c r="B7139" t="s">
        <v>255</v>
      </c>
    </row>
    <row r="7140" spans="1:2" x14ac:dyDescent="0.25">
      <c r="A7140" t="s">
        <v>9250</v>
      </c>
      <c r="B7140" t="s">
        <v>2812</v>
      </c>
    </row>
    <row r="7141" spans="1:2" x14ac:dyDescent="0.25">
      <c r="A7141" t="s">
        <v>9251</v>
      </c>
      <c r="B7141" t="s">
        <v>2316</v>
      </c>
    </row>
    <row r="7142" spans="1:2" x14ac:dyDescent="0.25">
      <c r="A7142" t="s">
        <v>9252</v>
      </c>
      <c r="B7142" t="s">
        <v>2330</v>
      </c>
    </row>
    <row r="7143" spans="1:2" x14ac:dyDescent="0.25">
      <c r="A7143" t="s">
        <v>9253</v>
      </c>
      <c r="B7143" t="s">
        <v>736</v>
      </c>
    </row>
    <row r="7144" spans="1:2" x14ac:dyDescent="0.25">
      <c r="A7144" t="s">
        <v>9254</v>
      </c>
      <c r="B7144" t="s">
        <v>985</v>
      </c>
    </row>
    <row r="7145" spans="1:2" x14ac:dyDescent="0.25">
      <c r="A7145" t="s">
        <v>9255</v>
      </c>
      <c r="B7145" t="s">
        <v>2719</v>
      </c>
    </row>
    <row r="7146" spans="1:2" x14ac:dyDescent="0.25">
      <c r="A7146" t="s">
        <v>9256</v>
      </c>
      <c r="B7146" t="s">
        <v>3152</v>
      </c>
    </row>
    <row r="7147" spans="1:2" x14ac:dyDescent="0.25">
      <c r="A7147" t="s">
        <v>9257</v>
      </c>
      <c r="B7147" t="s">
        <v>52</v>
      </c>
    </row>
    <row r="7148" spans="1:2" x14ac:dyDescent="0.25">
      <c r="A7148" t="s">
        <v>9258</v>
      </c>
      <c r="B7148" t="s">
        <v>2324</v>
      </c>
    </row>
    <row r="7149" spans="1:2" x14ac:dyDescent="0.25">
      <c r="A7149" t="s">
        <v>9259</v>
      </c>
      <c r="B7149" t="s">
        <v>1766</v>
      </c>
    </row>
    <row r="7150" spans="1:2" x14ac:dyDescent="0.25">
      <c r="A7150" t="s">
        <v>9260</v>
      </c>
      <c r="B7150" t="s">
        <v>1606</v>
      </c>
    </row>
    <row r="7151" spans="1:2" x14ac:dyDescent="0.25">
      <c r="A7151" t="s">
        <v>9261</v>
      </c>
      <c r="B7151" t="s">
        <v>1760</v>
      </c>
    </row>
    <row r="7152" spans="1:2" x14ac:dyDescent="0.25">
      <c r="A7152" t="s">
        <v>9262</v>
      </c>
      <c r="B7152" t="s">
        <v>1762</v>
      </c>
    </row>
    <row r="7153" spans="1:2" x14ac:dyDescent="0.25">
      <c r="A7153" t="s">
        <v>9263</v>
      </c>
      <c r="B7153" t="s">
        <v>2311</v>
      </c>
    </row>
    <row r="7154" spans="1:2" x14ac:dyDescent="0.25">
      <c r="A7154" t="s">
        <v>9264</v>
      </c>
      <c r="B7154" t="s">
        <v>2890</v>
      </c>
    </row>
    <row r="7155" spans="1:2" x14ac:dyDescent="0.25">
      <c r="A7155" t="s">
        <v>9265</v>
      </c>
      <c r="B7155" t="s">
        <v>761</v>
      </c>
    </row>
    <row r="7156" spans="1:2" x14ac:dyDescent="0.25">
      <c r="A7156" t="s">
        <v>418</v>
      </c>
      <c r="B7156" t="s">
        <v>417</v>
      </c>
    </row>
    <row r="7157" spans="1:2" x14ac:dyDescent="0.25">
      <c r="A7157" t="s">
        <v>1248</v>
      </c>
      <c r="B7157" t="s">
        <v>1247</v>
      </c>
    </row>
    <row r="7158" spans="1:2" x14ac:dyDescent="0.25">
      <c r="A7158" t="s">
        <v>9266</v>
      </c>
      <c r="B7158" t="s">
        <v>2034</v>
      </c>
    </row>
    <row r="7159" spans="1:2" x14ac:dyDescent="0.25">
      <c r="A7159" t="s">
        <v>9267</v>
      </c>
      <c r="B7159" t="s">
        <v>121</v>
      </c>
    </row>
    <row r="7160" spans="1:2" x14ac:dyDescent="0.25">
      <c r="A7160" t="s">
        <v>9268</v>
      </c>
      <c r="B7160" t="s">
        <v>1223</v>
      </c>
    </row>
    <row r="7161" spans="1:2" x14ac:dyDescent="0.25">
      <c r="A7161" t="s">
        <v>9269</v>
      </c>
      <c r="B7161" t="s">
        <v>1571</v>
      </c>
    </row>
    <row r="7162" spans="1:2" x14ac:dyDescent="0.25">
      <c r="A7162" t="s">
        <v>9270</v>
      </c>
      <c r="B7162" t="s">
        <v>9271</v>
      </c>
    </row>
    <row r="7163" spans="1:2" x14ac:dyDescent="0.25">
      <c r="A7163" t="s">
        <v>9272</v>
      </c>
      <c r="B7163" t="s">
        <v>9272</v>
      </c>
    </row>
    <row r="7164" spans="1:2" x14ac:dyDescent="0.25">
      <c r="A7164" t="s">
        <v>9273</v>
      </c>
      <c r="B7164" t="s">
        <v>1219</v>
      </c>
    </row>
    <row r="7165" spans="1:2" x14ac:dyDescent="0.25">
      <c r="A7165" t="s">
        <v>9274</v>
      </c>
      <c r="B7165" t="s">
        <v>1219</v>
      </c>
    </row>
    <row r="7166" spans="1:2" x14ac:dyDescent="0.25">
      <c r="A7166" t="s">
        <v>9275</v>
      </c>
      <c r="B7166" t="s">
        <v>2037</v>
      </c>
    </row>
    <row r="7167" spans="1:2" x14ac:dyDescent="0.25">
      <c r="A7167" t="s">
        <v>9276</v>
      </c>
      <c r="B7167" t="s">
        <v>2037</v>
      </c>
    </row>
    <row r="7168" spans="1:2" x14ac:dyDescent="0.25">
      <c r="A7168" t="s">
        <v>9277</v>
      </c>
      <c r="B7168" t="s">
        <v>1907</v>
      </c>
    </row>
    <row r="7169" spans="1:2" x14ac:dyDescent="0.25">
      <c r="A7169" t="s">
        <v>9278</v>
      </c>
      <c r="B7169" t="s">
        <v>9279</v>
      </c>
    </row>
    <row r="7170" spans="1:2" x14ac:dyDescent="0.25">
      <c r="A7170" t="s">
        <v>9280</v>
      </c>
      <c r="B7170" t="s">
        <v>790</v>
      </c>
    </row>
    <row r="7171" spans="1:2" x14ac:dyDescent="0.25">
      <c r="A7171" t="s">
        <v>9281</v>
      </c>
      <c r="B7171" t="s">
        <v>785</v>
      </c>
    </row>
    <row r="7172" spans="1:2" x14ac:dyDescent="0.25">
      <c r="A7172" t="s">
        <v>9282</v>
      </c>
      <c r="B7172" t="s">
        <v>945</v>
      </c>
    </row>
    <row r="7173" spans="1:2" x14ac:dyDescent="0.25">
      <c r="A7173" t="s">
        <v>9283</v>
      </c>
      <c r="B7173" t="s">
        <v>4248</v>
      </c>
    </row>
    <row r="7174" spans="1:2" x14ac:dyDescent="0.25">
      <c r="A7174" t="s">
        <v>9284</v>
      </c>
      <c r="B7174" t="s">
        <v>1818</v>
      </c>
    </row>
    <row r="7175" spans="1:2" x14ac:dyDescent="0.25">
      <c r="A7175" t="s">
        <v>9285</v>
      </c>
      <c r="B7175" t="s">
        <v>1816</v>
      </c>
    </row>
    <row r="7176" spans="1:2" x14ac:dyDescent="0.25">
      <c r="A7176" t="s">
        <v>9286</v>
      </c>
      <c r="B7176" t="s">
        <v>1814</v>
      </c>
    </row>
    <row r="7177" spans="1:2" x14ac:dyDescent="0.25">
      <c r="A7177" t="s">
        <v>9287</v>
      </c>
      <c r="B7177" t="s">
        <v>1674</v>
      </c>
    </row>
    <row r="7178" spans="1:2" x14ac:dyDescent="0.25">
      <c r="A7178" t="s">
        <v>9288</v>
      </c>
      <c r="B7178" t="s">
        <v>1941</v>
      </c>
    </row>
    <row r="7179" spans="1:2" x14ac:dyDescent="0.25">
      <c r="A7179" t="s">
        <v>9289</v>
      </c>
      <c r="B7179" t="s">
        <v>1943</v>
      </c>
    </row>
    <row r="7180" spans="1:2" x14ac:dyDescent="0.25">
      <c r="A7180" t="s">
        <v>9290</v>
      </c>
      <c r="B7180" t="s">
        <v>368</v>
      </c>
    </row>
    <row r="7181" spans="1:2" x14ac:dyDescent="0.25">
      <c r="A7181" t="s">
        <v>9291</v>
      </c>
      <c r="B7181" t="s">
        <v>706</v>
      </c>
    </row>
    <row r="7182" spans="1:2" x14ac:dyDescent="0.25">
      <c r="A7182" t="s">
        <v>9292</v>
      </c>
      <c r="B7182" t="s">
        <v>374</v>
      </c>
    </row>
    <row r="7183" spans="1:2" x14ac:dyDescent="0.25">
      <c r="A7183" t="s">
        <v>9293</v>
      </c>
      <c r="B7183" t="s">
        <v>72</v>
      </c>
    </row>
    <row r="7184" spans="1:2" x14ac:dyDescent="0.25">
      <c r="A7184" t="s">
        <v>9294</v>
      </c>
      <c r="B7184" t="s">
        <v>1227</v>
      </c>
    </row>
    <row r="7185" spans="1:2" x14ac:dyDescent="0.25">
      <c r="A7185" t="s">
        <v>9295</v>
      </c>
      <c r="B7185" t="s">
        <v>1227</v>
      </c>
    </row>
    <row r="7186" spans="1:2" x14ac:dyDescent="0.25">
      <c r="A7186" t="s">
        <v>9296</v>
      </c>
      <c r="B7186" t="s">
        <v>1223</v>
      </c>
    </row>
    <row r="7187" spans="1:2" x14ac:dyDescent="0.25">
      <c r="A7187" t="s">
        <v>9297</v>
      </c>
      <c r="B7187" t="s">
        <v>307</v>
      </c>
    </row>
    <row r="7188" spans="1:2" x14ac:dyDescent="0.25">
      <c r="A7188" t="s">
        <v>9298</v>
      </c>
      <c r="B7188" t="s">
        <v>1081</v>
      </c>
    </row>
    <row r="7189" spans="1:2" x14ac:dyDescent="0.25">
      <c r="A7189" t="s">
        <v>9299</v>
      </c>
      <c r="B7189" t="s">
        <v>417</v>
      </c>
    </row>
    <row r="7190" spans="1:2" x14ac:dyDescent="0.25">
      <c r="A7190" t="s">
        <v>9300</v>
      </c>
      <c r="B7190" t="s">
        <v>429</v>
      </c>
    </row>
    <row r="7191" spans="1:2" x14ac:dyDescent="0.25">
      <c r="A7191" t="s">
        <v>9301</v>
      </c>
      <c r="B7191" t="s">
        <v>1247</v>
      </c>
    </row>
    <row r="7192" spans="1:2" x14ac:dyDescent="0.25">
      <c r="A7192" t="s">
        <v>9302</v>
      </c>
      <c r="B7192" t="s">
        <v>1247</v>
      </c>
    </row>
    <row r="7193" spans="1:2" x14ac:dyDescent="0.25">
      <c r="A7193" t="s">
        <v>9303</v>
      </c>
      <c r="B7193" t="s">
        <v>415</v>
      </c>
    </row>
    <row r="7194" spans="1:2" x14ac:dyDescent="0.25">
      <c r="A7194" t="s">
        <v>9304</v>
      </c>
      <c r="B7194" t="s">
        <v>413</v>
      </c>
    </row>
    <row r="7195" spans="1:2" x14ac:dyDescent="0.25">
      <c r="A7195" t="s">
        <v>9305</v>
      </c>
      <c r="B7195" t="s">
        <v>338</v>
      </c>
    </row>
    <row r="7196" spans="1:2" x14ac:dyDescent="0.25">
      <c r="A7196" t="s">
        <v>9306</v>
      </c>
      <c r="B7196" t="s">
        <v>2031</v>
      </c>
    </row>
    <row r="7197" spans="1:2" x14ac:dyDescent="0.25">
      <c r="A7197" t="s">
        <v>9307</v>
      </c>
      <c r="B7197" t="s">
        <v>1708</v>
      </c>
    </row>
    <row r="7198" spans="1:2" x14ac:dyDescent="0.25">
      <c r="A7198" t="s">
        <v>9308</v>
      </c>
      <c r="B7198" t="s">
        <v>9309</v>
      </c>
    </row>
    <row r="7199" spans="1:2" x14ac:dyDescent="0.25">
      <c r="A7199" t="s">
        <v>9310</v>
      </c>
      <c r="B7199" t="s">
        <v>195</v>
      </c>
    </row>
    <row r="7200" spans="1:2" x14ac:dyDescent="0.25">
      <c r="A7200" t="s">
        <v>9311</v>
      </c>
      <c r="B7200" t="s">
        <v>197</v>
      </c>
    </row>
    <row r="7201" spans="1:2" x14ac:dyDescent="0.25">
      <c r="A7201" t="s">
        <v>9312</v>
      </c>
      <c r="B7201" t="s">
        <v>1130</v>
      </c>
    </row>
    <row r="7202" spans="1:2" x14ac:dyDescent="0.25">
      <c r="A7202" t="s">
        <v>9313</v>
      </c>
      <c r="B7202" t="s">
        <v>792</v>
      </c>
    </row>
    <row r="7203" spans="1:2" x14ac:dyDescent="0.25">
      <c r="A7203" t="s">
        <v>9314</v>
      </c>
      <c r="B7203" t="s">
        <v>792</v>
      </c>
    </row>
    <row r="7204" spans="1:2" x14ac:dyDescent="0.25">
      <c r="A7204" t="s">
        <v>9315</v>
      </c>
      <c r="B7204" t="s">
        <v>2060</v>
      </c>
    </row>
    <row r="7205" spans="1:2" x14ac:dyDescent="0.25">
      <c r="A7205" t="s">
        <v>9316</v>
      </c>
      <c r="B7205" t="s">
        <v>2060</v>
      </c>
    </row>
    <row r="7206" spans="1:2" x14ac:dyDescent="0.25">
      <c r="A7206" t="s">
        <v>9317</v>
      </c>
      <c r="B7206" t="s">
        <v>913</v>
      </c>
    </row>
    <row r="7207" spans="1:2" x14ac:dyDescent="0.25">
      <c r="A7207" t="s">
        <v>9318</v>
      </c>
      <c r="B7207" t="s">
        <v>342</v>
      </c>
    </row>
    <row r="7208" spans="1:2" x14ac:dyDescent="0.25">
      <c r="A7208" t="s">
        <v>9319</v>
      </c>
      <c r="B7208" t="s">
        <v>1978</v>
      </c>
    </row>
    <row r="7209" spans="1:2" x14ac:dyDescent="0.25">
      <c r="A7209" t="s">
        <v>9320</v>
      </c>
      <c r="B7209" t="s">
        <v>1850</v>
      </c>
    </row>
    <row r="7210" spans="1:2" x14ac:dyDescent="0.25">
      <c r="A7210" t="s">
        <v>9321</v>
      </c>
      <c r="B7210" t="s">
        <v>1850</v>
      </c>
    </row>
    <row r="7211" spans="1:2" x14ac:dyDescent="0.25">
      <c r="A7211" t="s">
        <v>9322</v>
      </c>
      <c r="B7211" t="s">
        <v>356</v>
      </c>
    </row>
    <row r="7212" spans="1:2" x14ac:dyDescent="0.25">
      <c r="A7212" t="s">
        <v>9323</v>
      </c>
      <c r="B7212" t="s">
        <v>1068</v>
      </c>
    </row>
    <row r="7213" spans="1:2" x14ac:dyDescent="0.25">
      <c r="A7213" t="s">
        <v>9324</v>
      </c>
      <c r="B7213" t="s">
        <v>1952</v>
      </c>
    </row>
    <row r="7214" spans="1:2" x14ac:dyDescent="0.25">
      <c r="A7214" t="s">
        <v>9325</v>
      </c>
      <c r="B7214" t="s">
        <v>1045</v>
      </c>
    </row>
    <row r="7215" spans="1:2" x14ac:dyDescent="0.25">
      <c r="A7215" t="s">
        <v>9326</v>
      </c>
      <c r="B7215" t="s">
        <v>1739</v>
      </c>
    </row>
    <row r="7216" spans="1:2" x14ac:dyDescent="0.25">
      <c r="A7216" t="s">
        <v>9327</v>
      </c>
      <c r="B7216" t="s">
        <v>1973</v>
      </c>
    </row>
    <row r="7217" spans="1:2" x14ac:dyDescent="0.25">
      <c r="A7217" t="s">
        <v>9328</v>
      </c>
      <c r="B7217" t="s">
        <v>1973</v>
      </c>
    </row>
    <row r="7218" spans="1:2" x14ac:dyDescent="0.25">
      <c r="A7218" t="s">
        <v>9329</v>
      </c>
      <c r="B7218" t="s">
        <v>1653</v>
      </c>
    </row>
    <row r="7219" spans="1:2" x14ac:dyDescent="0.25">
      <c r="A7219" t="s">
        <v>9330</v>
      </c>
      <c r="B7219" t="s">
        <v>182</v>
      </c>
    </row>
    <row r="7220" spans="1:2" x14ac:dyDescent="0.25">
      <c r="A7220" t="s">
        <v>9331</v>
      </c>
      <c r="B7220" t="s">
        <v>1643</v>
      </c>
    </row>
    <row r="7221" spans="1:2" x14ac:dyDescent="0.25">
      <c r="A7221" t="s">
        <v>2713</v>
      </c>
      <c r="B7221" t="s">
        <v>2713</v>
      </c>
    </row>
    <row r="7222" spans="1:2" x14ac:dyDescent="0.25">
      <c r="A7222" t="s">
        <v>2459</v>
      </c>
      <c r="B7222" t="s">
        <v>2459</v>
      </c>
    </row>
    <row r="7223" spans="1:2" x14ac:dyDescent="0.25">
      <c r="A7223" t="s">
        <v>2705</v>
      </c>
      <c r="B7223" t="s">
        <v>2705</v>
      </c>
    </row>
    <row r="7224" spans="1:2" x14ac:dyDescent="0.25">
      <c r="A7224" t="s">
        <v>2702</v>
      </c>
      <c r="B7224" t="s">
        <v>2702</v>
      </c>
    </row>
    <row r="7225" spans="1:2" x14ac:dyDescent="0.25">
      <c r="A7225" t="s">
        <v>2592</v>
      </c>
      <c r="B7225" t="s">
        <v>2592</v>
      </c>
    </row>
    <row r="7226" spans="1:2" x14ac:dyDescent="0.25">
      <c r="A7226" t="s">
        <v>2701</v>
      </c>
      <c r="B7226" t="s">
        <v>2701</v>
      </c>
    </row>
    <row r="7227" spans="1:2" x14ac:dyDescent="0.25">
      <c r="A7227" t="s">
        <v>2706</v>
      </c>
      <c r="B7227" t="s">
        <v>2706</v>
      </c>
    </row>
    <row r="7228" spans="1:2" x14ac:dyDescent="0.25">
      <c r="A7228" t="s">
        <v>2707</v>
      </c>
      <c r="B7228" t="s">
        <v>2707</v>
      </c>
    </row>
    <row r="7229" spans="1:2" x14ac:dyDescent="0.25">
      <c r="A7229" t="s">
        <v>2708</v>
      </c>
      <c r="B7229" t="s">
        <v>2708</v>
      </c>
    </row>
    <row r="7230" spans="1:2" x14ac:dyDescent="0.25">
      <c r="A7230" t="s">
        <v>2709</v>
      </c>
      <c r="B7230" t="s">
        <v>2709</v>
      </c>
    </row>
    <row r="7231" spans="1:2" x14ac:dyDescent="0.25">
      <c r="A7231" t="s">
        <v>2617</v>
      </c>
      <c r="B7231" t="s">
        <v>2617</v>
      </c>
    </row>
    <row r="7232" spans="1:2" x14ac:dyDescent="0.25">
      <c r="A7232" t="s">
        <v>2619</v>
      </c>
      <c r="B7232" t="s">
        <v>2619</v>
      </c>
    </row>
    <row r="7233" spans="1:2" x14ac:dyDescent="0.25">
      <c r="A7233" t="s">
        <v>2700</v>
      </c>
      <c r="B7233" t="s">
        <v>2700</v>
      </c>
    </row>
    <row r="7234" spans="1:2" x14ac:dyDescent="0.25">
      <c r="A7234" t="s">
        <v>2710</v>
      </c>
      <c r="B7234" t="s">
        <v>2710</v>
      </c>
    </row>
    <row r="7235" spans="1:2" x14ac:dyDescent="0.25">
      <c r="A7235" t="s">
        <v>2711</v>
      </c>
      <c r="B7235" t="s">
        <v>2711</v>
      </c>
    </row>
    <row r="7236" spans="1:2" x14ac:dyDescent="0.25">
      <c r="A7236" t="s">
        <v>2628</v>
      </c>
      <c r="B7236" t="s">
        <v>2628</v>
      </c>
    </row>
    <row r="7237" spans="1:2" x14ac:dyDescent="0.25">
      <c r="A7237" t="s">
        <v>2699</v>
      </c>
      <c r="B7237" t="s">
        <v>2699</v>
      </c>
    </row>
    <row r="7238" spans="1:2" x14ac:dyDescent="0.25">
      <c r="A7238" t="s">
        <v>2704</v>
      </c>
      <c r="B7238" t="s">
        <v>2704</v>
      </c>
    </row>
    <row r="7239" spans="1:2" x14ac:dyDescent="0.25">
      <c r="A7239" t="s">
        <v>2712</v>
      </c>
      <c r="B7239" t="s">
        <v>2712</v>
      </c>
    </row>
    <row r="7240" spans="1:2" x14ac:dyDescent="0.25">
      <c r="A7240" t="s">
        <v>2703</v>
      </c>
      <c r="B7240" t="s">
        <v>2703</v>
      </c>
    </row>
    <row r="7241" spans="1:2" x14ac:dyDescent="0.25">
      <c r="A7241" t="s">
        <v>2715</v>
      </c>
      <c r="B7241" t="s">
        <v>2715</v>
      </c>
    </row>
    <row r="7242" spans="1:2" x14ac:dyDescent="0.25">
      <c r="A7242" t="s">
        <v>2716</v>
      </c>
      <c r="B7242" t="s">
        <v>2716</v>
      </c>
    </row>
    <row r="7243" spans="1:2" x14ac:dyDescent="0.25">
      <c r="A7243" t="s">
        <v>2717</v>
      </c>
      <c r="B7243" t="s">
        <v>2717</v>
      </c>
    </row>
    <row r="7244" spans="1:2" x14ac:dyDescent="0.25">
      <c r="A7244" t="s">
        <v>2718</v>
      </c>
      <c r="B7244" t="s">
        <v>2718</v>
      </c>
    </row>
    <row r="7245" spans="1:2" x14ac:dyDescent="0.25">
      <c r="A7245" t="s">
        <v>9332</v>
      </c>
      <c r="B7245" t="s">
        <v>9333</v>
      </c>
    </row>
    <row r="7246" spans="1:2" x14ac:dyDescent="0.25">
      <c r="A7246" t="s">
        <v>9334</v>
      </c>
      <c r="B7246" t="s">
        <v>9333</v>
      </c>
    </row>
    <row r="7247" spans="1:2" x14ac:dyDescent="0.25">
      <c r="A7247" t="s">
        <v>9335</v>
      </c>
      <c r="B7247" t="s">
        <v>9333</v>
      </c>
    </row>
    <row r="7248" spans="1:2" x14ac:dyDescent="0.25">
      <c r="A7248" t="s">
        <v>9336</v>
      </c>
      <c r="B7248" t="s">
        <v>9337</v>
      </c>
    </row>
    <row r="7249" spans="1:2" x14ac:dyDescent="0.25">
      <c r="A7249" t="s">
        <v>9338</v>
      </c>
      <c r="B7249" t="s">
        <v>1227</v>
      </c>
    </row>
    <row r="7250" spans="1:2" x14ac:dyDescent="0.25">
      <c r="A7250" t="s">
        <v>9339</v>
      </c>
      <c r="B7250" t="s">
        <v>235</v>
      </c>
    </row>
    <row r="7251" spans="1:2" x14ac:dyDescent="0.25">
      <c r="A7251" t="s">
        <v>9340</v>
      </c>
      <c r="B7251" t="s">
        <v>2808</v>
      </c>
    </row>
    <row r="7252" spans="1:2" x14ac:dyDescent="0.25">
      <c r="A7252" t="s">
        <v>9341</v>
      </c>
      <c r="B7252" t="s">
        <v>164</v>
      </c>
    </row>
    <row r="7253" spans="1:2" x14ac:dyDescent="0.25">
      <c r="A7253" t="s">
        <v>9342</v>
      </c>
      <c r="B7253" t="s">
        <v>180</v>
      </c>
    </row>
    <row r="7254" spans="1:2" x14ac:dyDescent="0.25">
      <c r="A7254" t="s">
        <v>9343</v>
      </c>
      <c r="B7254" t="s">
        <v>257</v>
      </c>
    </row>
    <row r="7255" spans="1:2" x14ac:dyDescent="0.25">
      <c r="A7255" t="s">
        <v>9344</v>
      </c>
      <c r="B7255" t="s">
        <v>9333</v>
      </c>
    </row>
    <row r="7256" spans="1:2" x14ac:dyDescent="0.25">
      <c r="A7256" t="s">
        <v>9345</v>
      </c>
      <c r="B7256" t="s">
        <v>9346</v>
      </c>
    </row>
    <row r="7257" spans="1:2" x14ac:dyDescent="0.25">
      <c r="A7257" t="s">
        <v>9347</v>
      </c>
      <c r="B7257" t="s">
        <v>5835</v>
      </c>
    </row>
    <row r="7258" spans="1:2" x14ac:dyDescent="0.25">
      <c r="A7258" t="s">
        <v>9348</v>
      </c>
      <c r="B7258" t="s">
        <v>80</v>
      </c>
    </row>
    <row r="7259" spans="1:2" x14ac:dyDescent="0.25">
      <c r="A7259" t="s">
        <v>9349</v>
      </c>
      <c r="B7259" t="s">
        <v>52</v>
      </c>
    </row>
    <row r="7260" spans="1:2" x14ac:dyDescent="0.25">
      <c r="A7260" t="s">
        <v>9350</v>
      </c>
      <c r="B7260" t="s">
        <v>5837</v>
      </c>
    </row>
    <row r="7261" spans="1:2" x14ac:dyDescent="0.25">
      <c r="A7261" t="s">
        <v>9351</v>
      </c>
      <c r="B7261" t="s">
        <v>415</v>
      </c>
    </row>
    <row r="7262" spans="1:2" x14ac:dyDescent="0.25">
      <c r="A7262" t="s">
        <v>9352</v>
      </c>
      <c r="B7262" t="s">
        <v>1024</v>
      </c>
    </row>
    <row r="7263" spans="1:2" x14ac:dyDescent="0.25">
      <c r="A7263" t="s">
        <v>9353</v>
      </c>
      <c r="B7263" t="s">
        <v>1145</v>
      </c>
    </row>
    <row r="7264" spans="1:2" x14ac:dyDescent="0.25">
      <c r="A7264" t="s">
        <v>1214</v>
      </c>
      <c r="B7264" t="s">
        <v>1214</v>
      </c>
    </row>
    <row r="7265" spans="1:2" x14ac:dyDescent="0.25">
      <c r="A7265" t="s">
        <v>9354</v>
      </c>
      <c r="B7265" t="s">
        <v>9355</v>
      </c>
    </row>
    <row r="7266" spans="1:2" x14ac:dyDescent="0.25">
      <c r="A7266" t="s">
        <v>9356</v>
      </c>
      <c r="B7266" t="s">
        <v>9357</v>
      </c>
    </row>
    <row r="7267" spans="1:2" x14ac:dyDescent="0.25">
      <c r="A7267" t="s">
        <v>9358</v>
      </c>
      <c r="B7267" t="s">
        <v>9359</v>
      </c>
    </row>
    <row r="7268" spans="1:2" x14ac:dyDescent="0.25">
      <c r="A7268" t="s">
        <v>9360</v>
      </c>
      <c r="B7268" t="s">
        <v>9359</v>
      </c>
    </row>
    <row r="7269" spans="1:2" x14ac:dyDescent="0.25">
      <c r="A7269" t="s">
        <v>9361</v>
      </c>
      <c r="B7269" t="s">
        <v>9362</v>
      </c>
    </row>
    <row r="7270" spans="1:2" x14ac:dyDescent="0.25">
      <c r="A7270" t="s">
        <v>9363</v>
      </c>
      <c r="B7270" t="s">
        <v>9364</v>
      </c>
    </row>
    <row r="7271" spans="1:2" x14ac:dyDescent="0.25">
      <c r="A7271" t="s">
        <v>9365</v>
      </c>
      <c r="B7271" t="s">
        <v>9366</v>
      </c>
    </row>
    <row r="7272" spans="1:2" x14ac:dyDescent="0.25">
      <c r="A7272" t="s">
        <v>9367</v>
      </c>
      <c r="B7272" t="s">
        <v>164</v>
      </c>
    </row>
    <row r="7273" spans="1:2" x14ac:dyDescent="0.25">
      <c r="A7273" t="s">
        <v>9368</v>
      </c>
      <c r="B7273" t="s">
        <v>226</v>
      </c>
    </row>
    <row r="7274" spans="1:2" x14ac:dyDescent="0.25">
      <c r="A7274" t="s">
        <v>9369</v>
      </c>
      <c r="B7274" t="s">
        <v>233</v>
      </c>
    </row>
    <row r="7275" spans="1:2" x14ac:dyDescent="0.25">
      <c r="A7275" t="s">
        <v>9370</v>
      </c>
      <c r="B7275" t="s">
        <v>9371</v>
      </c>
    </row>
    <row r="7276" spans="1:2" x14ac:dyDescent="0.25">
      <c r="A7276" t="s">
        <v>9372</v>
      </c>
      <c r="B7276" t="s">
        <v>9373</v>
      </c>
    </row>
    <row r="7277" spans="1:2" x14ac:dyDescent="0.25">
      <c r="A7277" t="s">
        <v>9374</v>
      </c>
      <c r="B7277" t="s">
        <v>376</v>
      </c>
    </row>
    <row r="7278" spans="1:2" x14ac:dyDescent="0.25">
      <c r="A7278" t="s">
        <v>9375</v>
      </c>
      <c r="B7278" t="s">
        <v>74</v>
      </c>
    </row>
    <row r="7279" spans="1:2" x14ac:dyDescent="0.25">
      <c r="A7279" t="s">
        <v>9376</v>
      </c>
      <c r="B7279" t="s">
        <v>405</v>
      </c>
    </row>
    <row r="7280" spans="1:2" x14ac:dyDescent="0.25">
      <c r="A7280" t="s">
        <v>9377</v>
      </c>
      <c r="B7280" t="s">
        <v>245</v>
      </c>
    </row>
    <row r="7281" spans="1:2" x14ac:dyDescent="0.25">
      <c r="A7281" t="s">
        <v>9378</v>
      </c>
      <c r="B7281" t="s">
        <v>9364</v>
      </c>
    </row>
    <row r="7282" spans="1:2" x14ac:dyDescent="0.25">
      <c r="A7282" t="s">
        <v>9379</v>
      </c>
      <c r="B7282" t="s">
        <v>354</v>
      </c>
    </row>
    <row r="7283" spans="1:2" x14ac:dyDescent="0.25">
      <c r="A7283" t="s">
        <v>9380</v>
      </c>
      <c r="B7283" t="s">
        <v>9381</v>
      </c>
    </row>
    <row r="7284" spans="1:2" x14ac:dyDescent="0.25">
      <c r="A7284" t="s">
        <v>9382</v>
      </c>
      <c r="B7284" t="s">
        <v>113</v>
      </c>
    </row>
    <row r="7285" spans="1:2" x14ac:dyDescent="0.25">
      <c r="A7285" t="s">
        <v>9383</v>
      </c>
      <c r="B7285" t="s">
        <v>255</v>
      </c>
    </row>
    <row r="7286" spans="1:2" x14ac:dyDescent="0.25">
      <c r="A7286" t="s">
        <v>9384</v>
      </c>
      <c r="B7286" t="s">
        <v>1952</v>
      </c>
    </row>
    <row r="7287" spans="1:2" x14ac:dyDescent="0.25">
      <c r="A7287" t="s">
        <v>9385</v>
      </c>
      <c r="B7287" t="s">
        <v>243</v>
      </c>
    </row>
    <row r="7288" spans="1:2" x14ac:dyDescent="0.25">
      <c r="A7288" t="s">
        <v>9386</v>
      </c>
      <c r="B7288" t="s">
        <v>9364</v>
      </c>
    </row>
    <row r="7289" spans="1:2" x14ac:dyDescent="0.25">
      <c r="A7289" t="s">
        <v>9387</v>
      </c>
      <c r="B7289" t="s">
        <v>309</v>
      </c>
    </row>
    <row r="7290" spans="1:2" x14ac:dyDescent="0.25">
      <c r="A7290" t="s">
        <v>9388</v>
      </c>
      <c r="B7290" t="s">
        <v>89</v>
      </c>
    </row>
    <row r="7291" spans="1:2" x14ac:dyDescent="0.25">
      <c r="A7291" t="s">
        <v>9389</v>
      </c>
      <c r="B7291" t="s">
        <v>417</v>
      </c>
    </row>
    <row r="7292" spans="1:2" x14ac:dyDescent="0.25">
      <c r="A7292" t="s">
        <v>9390</v>
      </c>
      <c r="B7292" t="s">
        <v>335</v>
      </c>
    </row>
    <row r="7293" spans="1:2" x14ac:dyDescent="0.25">
      <c r="A7293" t="s">
        <v>9391</v>
      </c>
      <c r="B7293" t="s">
        <v>335</v>
      </c>
    </row>
    <row r="7294" spans="1:2" x14ac:dyDescent="0.25">
      <c r="A7294" t="s">
        <v>9392</v>
      </c>
      <c r="B7294" t="s">
        <v>1848</v>
      </c>
    </row>
    <row r="7295" spans="1:2" x14ac:dyDescent="0.25">
      <c r="A7295" t="s">
        <v>9393</v>
      </c>
      <c r="B7295" t="s">
        <v>1922</v>
      </c>
    </row>
    <row r="7296" spans="1:2" x14ac:dyDescent="0.25">
      <c r="A7296" t="s">
        <v>9394</v>
      </c>
      <c r="B7296" t="s">
        <v>1078</v>
      </c>
    </row>
    <row r="7297" spans="1:2" x14ac:dyDescent="0.25">
      <c r="A7297" t="s">
        <v>9395</v>
      </c>
      <c r="B7297" t="s">
        <v>1090</v>
      </c>
    </row>
    <row r="7298" spans="1:2" x14ac:dyDescent="0.25">
      <c r="A7298" t="s">
        <v>9396</v>
      </c>
      <c r="B7298" t="s">
        <v>1108</v>
      </c>
    </row>
    <row r="7299" spans="1:2" x14ac:dyDescent="0.25">
      <c r="A7299" t="s">
        <v>9397</v>
      </c>
      <c r="B7299" t="s">
        <v>1127</v>
      </c>
    </row>
    <row r="7300" spans="1:2" x14ac:dyDescent="0.25">
      <c r="A7300" t="s">
        <v>9398</v>
      </c>
      <c r="B7300" t="s">
        <v>1154</v>
      </c>
    </row>
    <row r="7301" spans="1:2" x14ac:dyDescent="0.25">
      <c r="A7301" t="s">
        <v>9399</v>
      </c>
      <c r="B7301" t="s">
        <v>1961</v>
      </c>
    </row>
    <row r="7302" spans="1:2" x14ac:dyDescent="0.25">
      <c r="A7302" t="s">
        <v>9400</v>
      </c>
      <c r="B7302" t="s">
        <v>1961</v>
      </c>
    </row>
    <row r="7303" spans="1:2" x14ac:dyDescent="0.25">
      <c r="A7303" t="s">
        <v>9401</v>
      </c>
      <c r="B7303" t="s">
        <v>1961</v>
      </c>
    </row>
    <row r="7304" spans="1:2" x14ac:dyDescent="0.25">
      <c r="A7304" t="s">
        <v>9402</v>
      </c>
      <c r="B7304" t="s">
        <v>1210</v>
      </c>
    </row>
    <row r="7305" spans="1:2" x14ac:dyDescent="0.25">
      <c r="A7305" t="s">
        <v>9403</v>
      </c>
      <c r="B7305" t="s">
        <v>1214</v>
      </c>
    </row>
    <row r="7306" spans="1:2" x14ac:dyDescent="0.25">
      <c r="A7306" t="s">
        <v>9404</v>
      </c>
      <c r="B7306" t="s">
        <v>9405</v>
      </c>
    </row>
    <row r="7307" spans="1:2" x14ac:dyDescent="0.25">
      <c r="A7307" t="s">
        <v>9406</v>
      </c>
      <c r="B7307" t="s">
        <v>4204</v>
      </c>
    </row>
    <row r="7308" spans="1:2" x14ac:dyDescent="0.25">
      <c r="A7308" t="s">
        <v>9407</v>
      </c>
      <c r="B7308" t="s">
        <v>1973</v>
      </c>
    </row>
    <row r="7309" spans="1:2" x14ac:dyDescent="0.25">
      <c r="A7309" t="s">
        <v>9408</v>
      </c>
      <c r="B7309" t="s">
        <v>1653</v>
      </c>
    </row>
    <row r="7310" spans="1:2" x14ac:dyDescent="0.25">
      <c r="A7310" t="s">
        <v>9409</v>
      </c>
      <c r="B7310" t="s">
        <v>187</v>
      </c>
    </row>
    <row r="7311" spans="1:2" x14ac:dyDescent="0.25">
      <c r="A7311" t="s">
        <v>9410</v>
      </c>
      <c r="B7311" t="s">
        <v>197</v>
      </c>
    </row>
    <row r="7312" spans="1:2" x14ac:dyDescent="0.25">
      <c r="A7312" t="s">
        <v>9411</v>
      </c>
      <c r="B7312" t="s">
        <v>360</v>
      </c>
    </row>
    <row r="7313" spans="1:2" x14ac:dyDescent="0.25">
      <c r="A7313" t="s">
        <v>9412</v>
      </c>
      <c r="B7313" t="s">
        <v>362</v>
      </c>
    </row>
    <row r="7314" spans="1:2" x14ac:dyDescent="0.25">
      <c r="A7314" t="s">
        <v>9413</v>
      </c>
      <c r="B7314" t="s">
        <v>230</v>
      </c>
    </row>
    <row r="7315" spans="1:2" x14ac:dyDescent="0.25">
      <c r="A7315" t="s">
        <v>9414</v>
      </c>
      <c r="B7315" t="s">
        <v>247</v>
      </c>
    </row>
    <row r="7316" spans="1:2" x14ac:dyDescent="0.25">
      <c r="A7316" t="s">
        <v>9415</v>
      </c>
      <c r="B7316" t="s">
        <v>251</v>
      </c>
    </row>
    <row r="7317" spans="1:2" x14ac:dyDescent="0.25">
      <c r="A7317" t="s">
        <v>9416</v>
      </c>
      <c r="B7317" t="s">
        <v>253</v>
      </c>
    </row>
    <row r="7318" spans="1:2" x14ac:dyDescent="0.25">
      <c r="A7318" t="s">
        <v>9417</v>
      </c>
      <c r="B7318" t="s">
        <v>1151</v>
      </c>
    </row>
    <row r="7319" spans="1:2" x14ac:dyDescent="0.25">
      <c r="A7319" t="s">
        <v>9418</v>
      </c>
      <c r="B7319" t="s">
        <v>1647</v>
      </c>
    </row>
    <row r="7320" spans="1:2" x14ac:dyDescent="0.25">
      <c r="A7320" t="s">
        <v>9419</v>
      </c>
      <c r="B7320" t="s">
        <v>1167</v>
      </c>
    </row>
    <row r="7321" spans="1:2" x14ac:dyDescent="0.25">
      <c r="A7321" t="s">
        <v>9420</v>
      </c>
      <c r="B7321" t="s">
        <v>1167</v>
      </c>
    </row>
    <row r="7322" spans="1:2" x14ac:dyDescent="0.25">
      <c r="A7322" t="s">
        <v>9421</v>
      </c>
      <c r="B7322" t="s">
        <v>182</v>
      </c>
    </row>
    <row r="7323" spans="1:2" x14ac:dyDescent="0.25">
      <c r="A7323" t="s">
        <v>9422</v>
      </c>
      <c r="B7323" t="s">
        <v>362</v>
      </c>
    </row>
    <row r="7324" spans="1:2" x14ac:dyDescent="0.25">
      <c r="A7324" t="s">
        <v>9423</v>
      </c>
      <c r="B7324" t="s">
        <v>153</v>
      </c>
    </row>
    <row r="7325" spans="1:2" x14ac:dyDescent="0.25">
      <c r="A7325" t="s">
        <v>9424</v>
      </c>
      <c r="B7325" t="s">
        <v>115</v>
      </c>
    </row>
    <row r="7326" spans="1:2" x14ac:dyDescent="0.25">
      <c r="A7326" t="s">
        <v>9425</v>
      </c>
      <c r="B7326" t="s">
        <v>7672</v>
      </c>
    </row>
    <row r="7327" spans="1:2" x14ac:dyDescent="0.25">
      <c r="A7327" t="s">
        <v>9426</v>
      </c>
      <c r="B7327" t="s">
        <v>335</v>
      </c>
    </row>
    <row r="7328" spans="1:2" x14ac:dyDescent="0.25">
      <c r="A7328" t="s">
        <v>9427</v>
      </c>
      <c r="B7328" t="s">
        <v>792</v>
      </c>
    </row>
    <row r="7329" spans="1:2" x14ac:dyDescent="0.25">
      <c r="A7329" t="s">
        <v>9428</v>
      </c>
      <c r="B7329" t="s">
        <v>265</v>
      </c>
    </row>
    <row r="7330" spans="1:2" x14ac:dyDescent="0.25">
      <c r="A7330" t="s">
        <v>9429</v>
      </c>
      <c r="B7330" t="s">
        <v>142</v>
      </c>
    </row>
    <row r="7331" spans="1:2" x14ac:dyDescent="0.25">
      <c r="A7331" t="s">
        <v>9430</v>
      </c>
      <c r="B7331" t="s">
        <v>1139</v>
      </c>
    </row>
    <row r="7332" spans="1:2" x14ac:dyDescent="0.25">
      <c r="A7332" t="s">
        <v>9431</v>
      </c>
      <c r="B7332" t="s">
        <v>64</v>
      </c>
    </row>
    <row r="7333" spans="1:2" x14ac:dyDescent="0.25">
      <c r="A7333" t="s">
        <v>9432</v>
      </c>
      <c r="B7333" t="s">
        <v>1114</v>
      </c>
    </row>
    <row r="7334" spans="1:2" x14ac:dyDescent="0.25">
      <c r="A7334" t="s">
        <v>9433</v>
      </c>
      <c r="B7334" t="s">
        <v>137</v>
      </c>
    </row>
    <row r="7335" spans="1:2" x14ac:dyDescent="0.25">
      <c r="A7335" t="s">
        <v>9434</v>
      </c>
      <c r="B7335" t="s">
        <v>708</v>
      </c>
    </row>
    <row r="7336" spans="1:2" x14ac:dyDescent="0.25">
      <c r="A7336" t="s">
        <v>9435</v>
      </c>
      <c r="B7336" t="s">
        <v>720</v>
      </c>
    </row>
    <row r="7337" spans="1:2" x14ac:dyDescent="0.25">
      <c r="A7337" t="s">
        <v>9436</v>
      </c>
      <c r="B7337" t="s">
        <v>327</v>
      </c>
    </row>
    <row r="7338" spans="1:2" x14ac:dyDescent="0.25">
      <c r="A7338" t="s">
        <v>9437</v>
      </c>
      <c r="B7338" t="s">
        <v>727</v>
      </c>
    </row>
    <row r="7339" spans="1:2" x14ac:dyDescent="0.25">
      <c r="A7339" t="s">
        <v>9438</v>
      </c>
      <c r="B7339" t="s">
        <v>372</v>
      </c>
    </row>
    <row r="7340" spans="1:2" x14ac:dyDescent="0.25">
      <c r="A7340" t="s">
        <v>9439</v>
      </c>
      <c r="B7340" t="s">
        <v>1739</v>
      </c>
    </row>
    <row r="7341" spans="1:2" x14ac:dyDescent="0.25">
      <c r="A7341" t="s">
        <v>9440</v>
      </c>
      <c r="B7341" t="s">
        <v>1243</v>
      </c>
    </row>
    <row r="7342" spans="1:2" x14ac:dyDescent="0.25">
      <c r="A7342" t="s">
        <v>9441</v>
      </c>
      <c r="B7342" t="s">
        <v>144</v>
      </c>
    </row>
    <row r="7343" spans="1:2" x14ac:dyDescent="0.25">
      <c r="A7343" t="s">
        <v>9442</v>
      </c>
      <c r="B7343" t="s">
        <v>431</v>
      </c>
    </row>
    <row r="7344" spans="1:2" x14ac:dyDescent="0.25">
      <c r="A7344" t="s">
        <v>9443</v>
      </c>
      <c r="B7344" t="s">
        <v>360</v>
      </c>
    </row>
    <row r="7345" spans="1:2" x14ac:dyDescent="0.25">
      <c r="A7345" t="s">
        <v>9444</v>
      </c>
      <c r="B7345" t="s">
        <v>362</v>
      </c>
    </row>
    <row r="7346" spans="1:2" x14ac:dyDescent="0.25">
      <c r="A7346" t="s">
        <v>2037</v>
      </c>
      <c r="B7346" t="s">
        <v>2037</v>
      </c>
    </row>
    <row r="7347" spans="1:2" x14ac:dyDescent="0.25">
      <c r="A7347" t="s">
        <v>9445</v>
      </c>
      <c r="B7347" t="s">
        <v>259</v>
      </c>
    </row>
    <row r="7348" spans="1:2" x14ac:dyDescent="0.25">
      <c r="A7348" t="s">
        <v>9446</v>
      </c>
      <c r="B7348" t="s">
        <v>267</v>
      </c>
    </row>
    <row r="7349" spans="1:2" x14ac:dyDescent="0.25">
      <c r="A7349" t="s">
        <v>9447</v>
      </c>
      <c r="B7349" t="s">
        <v>931</v>
      </c>
    </row>
    <row r="7350" spans="1:2" x14ac:dyDescent="0.25">
      <c r="A7350" t="s">
        <v>9448</v>
      </c>
      <c r="B7350" t="s">
        <v>319</v>
      </c>
    </row>
    <row r="7351" spans="1:2" x14ac:dyDescent="0.25">
      <c r="A7351" t="s">
        <v>9449</v>
      </c>
      <c r="B7351" t="s">
        <v>1971</v>
      </c>
    </row>
    <row r="7352" spans="1:2" x14ac:dyDescent="0.25">
      <c r="A7352" t="s">
        <v>9450</v>
      </c>
      <c r="B7352" t="s">
        <v>1768</v>
      </c>
    </row>
    <row r="7353" spans="1:2" x14ac:dyDescent="0.25">
      <c r="A7353" t="s">
        <v>9451</v>
      </c>
      <c r="B7353" t="s">
        <v>1772</v>
      </c>
    </row>
    <row r="7354" spans="1:2" x14ac:dyDescent="0.25">
      <c r="A7354" t="s">
        <v>9452</v>
      </c>
      <c r="B7354" t="s">
        <v>325</v>
      </c>
    </row>
    <row r="7355" spans="1:2" x14ac:dyDescent="0.25">
      <c r="A7355" t="s">
        <v>9453</v>
      </c>
      <c r="B7355" t="s">
        <v>329</v>
      </c>
    </row>
    <row r="7356" spans="1:2" x14ac:dyDescent="0.25">
      <c r="A7356" t="s">
        <v>9454</v>
      </c>
      <c r="B7356" t="s">
        <v>1770</v>
      </c>
    </row>
    <row r="7357" spans="1:2" x14ac:dyDescent="0.25">
      <c r="A7357" t="s">
        <v>9455</v>
      </c>
      <c r="B7357" t="s">
        <v>72</v>
      </c>
    </row>
    <row r="7358" spans="1:2" x14ac:dyDescent="0.25">
      <c r="A7358" t="s">
        <v>9456</v>
      </c>
      <c r="B7358" t="s">
        <v>704</v>
      </c>
    </row>
    <row r="7359" spans="1:2" x14ac:dyDescent="0.25">
      <c r="A7359" t="s">
        <v>9457</v>
      </c>
      <c r="B7359" t="s">
        <v>329</v>
      </c>
    </row>
    <row r="7360" spans="1:2" x14ac:dyDescent="0.25">
      <c r="A7360" t="s">
        <v>9458</v>
      </c>
      <c r="B7360" t="s">
        <v>2992</v>
      </c>
    </row>
    <row r="7361" spans="1:2" x14ac:dyDescent="0.25">
      <c r="A7361" t="s">
        <v>9459</v>
      </c>
      <c r="B7361" t="s">
        <v>2992</v>
      </c>
    </row>
    <row r="7362" spans="1:2" x14ac:dyDescent="0.25">
      <c r="A7362" t="s">
        <v>9460</v>
      </c>
      <c r="B7362" t="s">
        <v>1776</v>
      </c>
    </row>
    <row r="7363" spans="1:2" x14ac:dyDescent="0.25">
      <c r="A7363" t="s">
        <v>9461</v>
      </c>
      <c r="B7363" t="s">
        <v>327</v>
      </c>
    </row>
    <row r="7364" spans="1:2" x14ac:dyDescent="0.25">
      <c r="A7364" t="s">
        <v>9462</v>
      </c>
      <c r="B7364" t="s">
        <v>323</v>
      </c>
    </row>
    <row r="7365" spans="1:2" x14ac:dyDescent="0.25">
      <c r="A7365" t="s">
        <v>9463</v>
      </c>
      <c r="B7365" t="s">
        <v>1989</v>
      </c>
    </row>
    <row r="7366" spans="1:2" x14ac:dyDescent="0.25">
      <c r="A7366" t="s">
        <v>9464</v>
      </c>
      <c r="B7366" t="s">
        <v>841</v>
      </c>
    </row>
    <row r="7367" spans="1:2" x14ac:dyDescent="0.25">
      <c r="A7367" t="s">
        <v>9465</v>
      </c>
      <c r="B7367" t="s">
        <v>794</v>
      </c>
    </row>
    <row r="7368" spans="1:2" x14ac:dyDescent="0.25">
      <c r="A7368" t="s">
        <v>9466</v>
      </c>
      <c r="B7368" t="s">
        <v>340</v>
      </c>
    </row>
    <row r="7369" spans="1:2" x14ac:dyDescent="0.25">
      <c r="A7369" t="s">
        <v>9467</v>
      </c>
      <c r="B7369" t="s">
        <v>2042</v>
      </c>
    </row>
    <row r="7370" spans="1:2" x14ac:dyDescent="0.25">
      <c r="A7370" t="s">
        <v>9468</v>
      </c>
      <c r="B7370" t="s">
        <v>1239</v>
      </c>
    </row>
    <row r="7371" spans="1:2" x14ac:dyDescent="0.25">
      <c r="A7371" t="s">
        <v>9469</v>
      </c>
      <c r="B7371" t="s">
        <v>1848</v>
      </c>
    </row>
    <row r="7372" spans="1:2" x14ac:dyDescent="0.25">
      <c r="A7372" t="s">
        <v>9470</v>
      </c>
      <c r="B7372" t="s">
        <v>1210</v>
      </c>
    </row>
    <row r="7373" spans="1:2" x14ac:dyDescent="0.25">
      <c r="A7373" t="s">
        <v>9471</v>
      </c>
      <c r="B7373" t="s">
        <v>1907</v>
      </c>
    </row>
    <row r="7374" spans="1:2" x14ac:dyDescent="0.25">
      <c r="A7374" t="s">
        <v>9472</v>
      </c>
      <c r="B7374" t="s">
        <v>1774</v>
      </c>
    </row>
    <row r="7375" spans="1:2" x14ac:dyDescent="0.25">
      <c r="A7375" t="s">
        <v>9473</v>
      </c>
      <c r="B7375" t="s">
        <v>787</v>
      </c>
    </row>
    <row r="7376" spans="1:2" x14ac:dyDescent="0.25">
      <c r="A7376" t="s">
        <v>9474</v>
      </c>
      <c r="B7376" t="s">
        <v>838</v>
      </c>
    </row>
    <row r="7377" spans="1:2" x14ac:dyDescent="0.25">
      <c r="A7377" t="s">
        <v>9475</v>
      </c>
      <c r="B7377" t="s">
        <v>1074</v>
      </c>
    </row>
    <row r="7378" spans="1:2" x14ac:dyDescent="0.25">
      <c r="A7378" t="s">
        <v>9476</v>
      </c>
      <c r="B7378" t="s">
        <v>850</v>
      </c>
    </row>
    <row r="7379" spans="1:2" x14ac:dyDescent="0.25">
      <c r="A7379" t="s">
        <v>9477</v>
      </c>
      <c r="B7379" t="s">
        <v>1235</v>
      </c>
    </row>
    <row r="7380" spans="1:2" x14ac:dyDescent="0.25">
      <c r="A7380" t="s">
        <v>9478</v>
      </c>
      <c r="B7380" t="s">
        <v>146</v>
      </c>
    </row>
    <row r="7381" spans="1:2" x14ac:dyDescent="0.25">
      <c r="A7381" t="s">
        <v>9479</v>
      </c>
      <c r="B7381" t="s">
        <v>149</v>
      </c>
    </row>
    <row r="7382" spans="1:2" x14ac:dyDescent="0.25">
      <c r="A7382" t="s">
        <v>9480</v>
      </c>
      <c r="B7382" t="s">
        <v>1014</v>
      </c>
    </row>
    <row r="7383" spans="1:2" x14ac:dyDescent="0.25">
      <c r="A7383" t="s">
        <v>9481</v>
      </c>
      <c r="B7383" t="s">
        <v>135</v>
      </c>
    </row>
    <row r="7384" spans="1:2" x14ac:dyDescent="0.25">
      <c r="A7384" t="s">
        <v>9482</v>
      </c>
      <c r="B7384" t="s">
        <v>1964</v>
      </c>
    </row>
    <row r="7385" spans="1:2" x14ac:dyDescent="0.25">
      <c r="A7385" t="s">
        <v>9483</v>
      </c>
      <c r="B7385" t="s">
        <v>311</v>
      </c>
    </row>
    <row r="7386" spans="1:2" x14ac:dyDescent="0.25">
      <c r="A7386" t="s">
        <v>9484</v>
      </c>
      <c r="B7386" t="s">
        <v>9485</v>
      </c>
    </row>
    <row r="7387" spans="1:2" x14ac:dyDescent="0.25">
      <c r="A7387" t="s">
        <v>9486</v>
      </c>
      <c r="B7387" t="s">
        <v>331</v>
      </c>
    </row>
    <row r="7388" spans="1:2" x14ac:dyDescent="0.25">
      <c r="A7388" t="s">
        <v>9487</v>
      </c>
      <c r="B7388" t="s">
        <v>1676</v>
      </c>
    </row>
    <row r="7389" spans="1:2" x14ac:dyDescent="0.25">
      <c r="A7389" t="s">
        <v>9488</v>
      </c>
      <c r="B7389" t="s">
        <v>1569</v>
      </c>
    </row>
    <row r="7390" spans="1:2" x14ac:dyDescent="0.25">
      <c r="A7390" t="s">
        <v>9489</v>
      </c>
      <c r="B7390" t="s">
        <v>1157</v>
      </c>
    </row>
    <row r="7391" spans="1:2" x14ac:dyDescent="0.25">
      <c r="A7391" t="s">
        <v>9490</v>
      </c>
      <c r="B7391" t="s">
        <v>9491</v>
      </c>
    </row>
    <row r="7392" spans="1:2" x14ac:dyDescent="0.25">
      <c r="A7392" t="s">
        <v>9492</v>
      </c>
      <c r="B7392" t="s">
        <v>818</v>
      </c>
    </row>
    <row r="7393" spans="1:2" x14ac:dyDescent="0.25">
      <c r="A7393" t="s">
        <v>9493</v>
      </c>
      <c r="B7393" t="s">
        <v>1074</v>
      </c>
    </row>
    <row r="7394" spans="1:2" x14ac:dyDescent="0.25">
      <c r="A7394" t="s">
        <v>9494</v>
      </c>
      <c r="B7394" t="s">
        <v>9495</v>
      </c>
    </row>
    <row r="7395" spans="1:2" x14ac:dyDescent="0.25">
      <c r="A7395" t="s">
        <v>9496</v>
      </c>
      <c r="B7395" t="s">
        <v>415</v>
      </c>
    </row>
    <row r="7396" spans="1:2" x14ac:dyDescent="0.25">
      <c r="A7396" t="s">
        <v>9497</v>
      </c>
      <c r="B7396" t="s">
        <v>1214</v>
      </c>
    </row>
    <row r="7397" spans="1:2" x14ac:dyDescent="0.25">
      <c r="A7397" t="s">
        <v>1210</v>
      </c>
      <c r="B7397" t="s">
        <v>1210</v>
      </c>
    </row>
    <row r="7398" spans="1:2" x14ac:dyDescent="0.25">
      <c r="A7398" t="s">
        <v>9498</v>
      </c>
      <c r="B7398" t="s">
        <v>2031</v>
      </c>
    </row>
    <row r="7399" spans="1:2" x14ac:dyDescent="0.25">
      <c r="A7399" t="s">
        <v>9499</v>
      </c>
      <c r="B7399" t="s">
        <v>2034</v>
      </c>
    </row>
    <row r="7400" spans="1:2" x14ac:dyDescent="0.25">
      <c r="A7400" t="s">
        <v>9500</v>
      </c>
      <c r="B7400" t="s">
        <v>1206</v>
      </c>
    </row>
    <row r="7401" spans="1:2" x14ac:dyDescent="0.25">
      <c r="A7401" t="s">
        <v>1206</v>
      </c>
      <c r="B7401" t="s">
        <v>1206</v>
      </c>
    </row>
    <row r="7402" spans="1:2" x14ac:dyDescent="0.25">
      <c r="A7402" t="s">
        <v>9501</v>
      </c>
      <c r="B7402" t="s">
        <v>9357</v>
      </c>
    </row>
    <row r="7403" spans="1:2" x14ac:dyDescent="0.25">
      <c r="A7403" t="s">
        <v>9502</v>
      </c>
      <c r="B7403" t="s">
        <v>1959</v>
      </c>
    </row>
    <row r="7404" spans="1:2" x14ac:dyDescent="0.25">
      <c r="A7404" t="s">
        <v>9503</v>
      </c>
      <c r="B7404" t="s">
        <v>2972</v>
      </c>
    </row>
    <row r="7405" spans="1:2" x14ac:dyDescent="0.25">
      <c r="A7405" t="s">
        <v>9504</v>
      </c>
      <c r="B7405" t="s">
        <v>1959</v>
      </c>
    </row>
    <row r="7406" spans="1:2" x14ac:dyDescent="0.25">
      <c r="A7406" t="s">
        <v>9505</v>
      </c>
      <c r="B7406" t="s">
        <v>1978</v>
      </c>
    </row>
    <row r="7407" spans="1:2" x14ac:dyDescent="0.25">
      <c r="A7407" t="s">
        <v>9506</v>
      </c>
      <c r="B7407" t="s">
        <v>9507</v>
      </c>
    </row>
    <row r="7408" spans="1:2" x14ac:dyDescent="0.25">
      <c r="A7408" t="s">
        <v>9508</v>
      </c>
      <c r="B7408" t="s">
        <v>707</v>
      </c>
    </row>
    <row r="7409" spans="1:2" x14ac:dyDescent="0.25">
      <c r="A7409" t="s">
        <v>2075</v>
      </c>
      <c r="B7409" t="s">
        <v>2075</v>
      </c>
    </row>
    <row r="7410" spans="1:2" x14ac:dyDescent="0.25">
      <c r="A7410" t="s">
        <v>2078</v>
      </c>
      <c r="B7410" t="s">
        <v>2078</v>
      </c>
    </row>
    <row r="7411" spans="1:2" x14ac:dyDescent="0.25">
      <c r="A7411" t="s">
        <v>2080</v>
      </c>
      <c r="B7411" t="s">
        <v>2080</v>
      </c>
    </row>
    <row r="7412" spans="1:2" x14ac:dyDescent="0.25">
      <c r="A7412" t="s">
        <v>2082</v>
      </c>
      <c r="B7412" t="s">
        <v>2082</v>
      </c>
    </row>
    <row r="7413" spans="1:2" x14ac:dyDescent="0.25">
      <c r="A7413" t="s">
        <v>9509</v>
      </c>
      <c r="B7413" t="s">
        <v>417</v>
      </c>
    </row>
    <row r="7414" spans="1:2" x14ac:dyDescent="0.25">
      <c r="A7414" t="s">
        <v>9510</v>
      </c>
      <c r="B7414" t="s">
        <v>411</v>
      </c>
    </row>
    <row r="7415" spans="1:2" x14ac:dyDescent="0.25">
      <c r="A7415" t="s">
        <v>9511</v>
      </c>
      <c r="B7415" t="s">
        <v>2934</v>
      </c>
    </row>
    <row r="7416" spans="1:2" x14ac:dyDescent="0.25">
      <c r="A7416" t="s">
        <v>9512</v>
      </c>
      <c r="B7416" t="s">
        <v>1840</v>
      </c>
    </row>
    <row r="7417" spans="1:2" x14ac:dyDescent="0.25">
      <c r="A7417" t="s">
        <v>9513</v>
      </c>
      <c r="B7417" t="s">
        <v>1842</v>
      </c>
    </row>
    <row r="7418" spans="1:2" x14ac:dyDescent="0.25">
      <c r="A7418" t="s">
        <v>9514</v>
      </c>
      <c r="B7418" t="s">
        <v>2936</v>
      </c>
    </row>
    <row r="7419" spans="1:2" x14ac:dyDescent="0.25">
      <c r="A7419" t="s">
        <v>9515</v>
      </c>
      <c r="B7419" t="s">
        <v>1087</v>
      </c>
    </row>
    <row r="7420" spans="1:2" x14ac:dyDescent="0.25">
      <c r="A7420" t="s">
        <v>9516</v>
      </c>
      <c r="B7420" t="s">
        <v>1090</v>
      </c>
    </row>
    <row r="7421" spans="1:2" x14ac:dyDescent="0.25">
      <c r="A7421" t="s">
        <v>9517</v>
      </c>
      <c r="B7421" t="s">
        <v>1130</v>
      </c>
    </row>
    <row r="7422" spans="1:2" x14ac:dyDescent="0.25">
      <c r="A7422" t="s">
        <v>9518</v>
      </c>
      <c r="B7422" t="s">
        <v>1148</v>
      </c>
    </row>
    <row r="7423" spans="1:2" x14ac:dyDescent="0.25">
      <c r="A7423" t="s">
        <v>2071</v>
      </c>
      <c r="B7423" t="s">
        <v>2071</v>
      </c>
    </row>
    <row r="7424" spans="1:2" x14ac:dyDescent="0.25">
      <c r="A7424" t="s">
        <v>1266</v>
      </c>
      <c r="B7424" t="s">
        <v>1266</v>
      </c>
    </row>
    <row r="7425" spans="1:2" x14ac:dyDescent="0.25">
      <c r="A7425" t="s">
        <v>1269</v>
      </c>
      <c r="B7425" t="s">
        <v>1269</v>
      </c>
    </row>
    <row r="7426" spans="1:2" x14ac:dyDescent="0.25">
      <c r="A7426" t="s">
        <v>1272</v>
      </c>
      <c r="B7426" t="s">
        <v>1272</v>
      </c>
    </row>
    <row r="7427" spans="1:2" x14ac:dyDescent="0.25">
      <c r="A7427" t="s">
        <v>9519</v>
      </c>
      <c r="B7427" t="s">
        <v>838</v>
      </c>
    </row>
    <row r="7428" spans="1:2" x14ac:dyDescent="0.25">
      <c r="A7428" t="s">
        <v>9520</v>
      </c>
      <c r="B7428" t="s">
        <v>841</v>
      </c>
    </row>
    <row r="7429" spans="1:2" x14ac:dyDescent="0.25">
      <c r="A7429" t="s">
        <v>9521</v>
      </c>
      <c r="B7429" t="s">
        <v>844</v>
      </c>
    </row>
    <row r="7430" spans="1:2" x14ac:dyDescent="0.25">
      <c r="A7430" t="s">
        <v>9522</v>
      </c>
      <c r="B7430" t="s">
        <v>4199</v>
      </c>
    </row>
    <row r="7431" spans="1:2" x14ac:dyDescent="0.25">
      <c r="A7431" t="s">
        <v>9523</v>
      </c>
      <c r="B7431" t="s">
        <v>4201</v>
      </c>
    </row>
    <row r="7432" spans="1:2" x14ac:dyDescent="0.25">
      <c r="A7432" t="s">
        <v>9524</v>
      </c>
      <c r="B7432" t="s">
        <v>9525</v>
      </c>
    </row>
    <row r="7433" spans="1:2" x14ac:dyDescent="0.25">
      <c r="A7433" t="s">
        <v>9526</v>
      </c>
      <c r="B7433" t="s">
        <v>9527</v>
      </c>
    </row>
    <row r="7434" spans="1:2" x14ac:dyDescent="0.25">
      <c r="A7434" t="s">
        <v>9528</v>
      </c>
      <c r="B7434" t="s">
        <v>9529</v>
      </c>
    </row>
    <row r="7435" spans="1:2" x14ac:dyDescent="0.25">
      <c r="A7435" t="s">
        <v>9530</v>
      </c>
      <c r="B7435" t="s">
        <v>140</v>
      </c>
    </row>
    <row r="7436" spans="1:2" x14ac:dyDescent="0.25">
      <c r="A7436" t="s">
        <v>9531</v>
      </c>
      <c r="B7436" t="s">
        <v>922</v>
      </c>
    </row>
    <row r="7437" spans="1:2" x14ac:dyDescent="0.25">
      <c r="A7437" t="s">
        <v>9532</v>
      </c>
      <c r="B7437" t="s">
        <v>161</v>
      </c>
    </row>
    <row r="7438" spans="1:2" x14ac:dyDescent="0.25">
      <c r="A7438" t="s">
        <v>9533</v>
      </c>
      <c r="B7438" t="s">
        <v>1971</v>
      </c>
    </row>
    <row r="7439" spans="1:2" x14ac:dyDescent="0.25">
      <c r="A7439" t="s">
        <v>9534</v>
      </c>
      <c r="B7439" t="s">
        <v>742</v>
      </c>
    </row>
    <row r="7440" spans="1:2" x14ac:dyDescent="0.25">
      <c r="A7440" t="s">
        <v>439</v>
      </c>
      <c r="B7440" t="s">
        <v>439</v>
      </c>
    </row>
    <row r="7441" spans="1:2" x14ac:dyDescent="0.25">
      <c r="A7441" t="s">
        <v>9535</v>
      </c>
      <c r="B7441" t="s">
        <v>4563</v>
      </c>
    </row>
    <row r="7442" spans="1:2" x14ac:dyDescent="0.25">
      <c r="A7442" t="s">
        <v>9536</v>
      </c>
      <c r="B7442" t="s">
        <v>189</v>
      </c>
    </row>
    <row r="7443" spans="1:2" x14ac:dyDescent="0.25">
      <c r="A7443" t="s">
        <v>9537</v>
      </c>
      <c r="B7443" t="s">
        <v>191</v>
      </c>
    </row>
    <row r="7444" spans="1:2" x14ac:dyDescent="0.25">
      <c r="A7444" t="s">
        <v>9538</v>
      </c>
      <c r="B7444" t="s">
        <v>193</v>
      </c>
    </row>
    <row r="7445" spans="1:2" x14ac:dyDescent="0.25">
      <c r="A7445" t="s">
        <v>9539</v>
      </c>
      <c r="B7445" t="s">
        <v>780</v>
      </c>
    </row>
    <row r="7446" spans="1:2" x14ac:dyDescent="0.25">
      <c r="A7446" t="s">
        <v>9540</v>
      </c>
      <c r="B7446" t="s">
        <v>794</v>
      </c>
    </row>
    <row r="7447" spans="1:2" x14ac:dyDescent="0.25">
      <c r="A7447" t="s">
        <v>9541</v>
      </c>
      <c r="B7447" t="s">
        <v>9371</v>
      </c>
    </row>
    <row r="7448" spans="1:2" x14ac:dyDescent="0.25">
      <c r="A7448" t="s">
        <v>9542</v>
      </c>
      <c r="B7448" t="s">
        <v>247</v>
      </c>
    </row>
    <row r="7449" spans="1:2" x14ac:dyDescent="0.25">
      <c r="A7449" t="s">
        <v>9543</v>
      </c>
      <c r="B7449" t="s">
        <v>263</v>
      </c>
    </row>
    <row r="7450" spans="1:2" x14ac:dyDescent="0.25">
      <c r="A7450" t="s">
        <v>9544</v>
      </c>
      <c r="B7450" t="s">
        <v>265</v>
      </c>
    </row>
    <row r="7451" spans="1:2" x14ac:dyDescent="0.25">
      <c r="A7451" t="s">
        <v>9545</v>
      </c>
      <c r="B7451" t="s">
        <v>87</v>
      </c>
    </row>
    <row r="7452" spans="1:2" x14ac:dyDescent="0.25">
      <c r="A7452" t="s">
        <v>9546</v>
      </c>
      <c r="B7452" t="s">
        <v>1863</v>
      </c>
    </row>
    <row r="7453" spans="1:2" x14ac:dyDescent="0.25">
      <c r="A7453" t="s">
        <v>9547</v>
      </c>
      <c r="B7453" t="s">
        <v>265</v>
      </c>
    </row>
    <row r="7454" spans="1:2" x14ac:dyDescent="0.25">
      <c r="A7454" t="s">
        <v>9548</v>
      </c>
      <c r="B7454" t="s">
        <v>153</v>
      </c>
    </row>
    <row r="7455" spans="1:2" x14ac:dyDescent="0.25">
      <c r="A7455" t="s">
        <v>9549</v>
      </c>
      <c r="B7455" t="s">
        <v>2798</v>
      </c>
    </row>
    <row r="7456" spans="1:2" x14ac:dyDescent="0.25">
      <c r="A7456" t="s">
        <v>9550</v>
      </c>
      <c r="B7456" t="s">
        <v>263</v>
      </c>
    </row>
    <row r="7457" spans="1:2" x14ac:dyDescent="0.25">
      <c r="A7457" t="s">
        <v>9551</v>
      </c>
      <c r="B7457" t="s">
        <v>9552</v>
      </c>
    </row>
    <row r="7458" spans="1:2" x14ac:dyDescent="0.25">
      <c r="A7458" t="s">
        <v>9553</v>
      </c>
      <c r="B7458" t="s">
        <v>210</v>
      </c>
    </row>
    <row r="7459" spans="1:2" x14ac:dyDescent="0.25">
      <c r="A7459" t="s">
        <v>9554</v>
      </c>
      <c r="B7459" t="s">
        <v>9555</v>
      </c>
    </row>
    <row r="7460" spans="1:2" x14ac:dyDescent="0.25">
      <c r="A7460" t="s">
        <v>9556</v>
      </c>
      <c r="B7460" t="s">
        <v>9557</v>
      </c>
    </row>
    <row r="7461" spans="1:2" x14ac:dyDescent="0.25">
      <c r="A7461" t="s">
        <v>9558</v>
      </c>
      <c r="B7461" t="s">
        <v>167</v>
      </c>
    </row>
    <row r="7462" spans="1:2" x14ac:dyDescent="0.25">
      <c r="A7462" t="s">
        <v>9559</v>
      </c>
      <c r="B7462" t="s">
        <v>9559</v>
      </c>
    </row>
    <row r="7463" spans="1:2" x14ac:dyDescent="0.25">
      <c r="A7463" t="s">
        <v>9560</v>
      </c>
      <c r="B7463" t="s">
        <v>9560</v>
      </c>
    </row>
    <row r="7464" spans="1:2" x14ac:dyDescent="0.25">
      <c r="A7464" t="s">
        <v>9561</v>
      </c>
      <c r="B7464" t="s">
        <v>1266</v>
      </c>
    </row>
    <row r="7465" spans="1:2" x14ac:dyDescent="0.25">
      <c r="A7465" t="s">
        <v>9562</v>
      </c>
      <c r="B7465" t="s">
        <v>1272</v>
      </c>
    </row>
    <row r="7466" spans="1:2" x14ac:dyDescent="0.25">
      <c r="A7466" t="s">
        <v>9563</v>
      </c>
      <c r="B7466" t="s">
        <v>1269</v>
      </c>
    </row>
    <row r="7467" spans="1:2" x14ac:dyDescent="0.25">
      <c r="A7467" t="s">
        <v>9564</v>
      </c>
      <c r="B7467" t="s">
        <v>299</v>
      </c>
    </row>
    <row r="7468" spans="1:2" x14ac:dyDescent="0.25">
      <c r="A7468" t="s">
        <v>9565</v>
      </c>
      <c r="B7468" t="s">
        <v>9559</v>
      </c>
    </row>
    <row r="7469" spans="1:2" x14ac:dyDescent="0.25">
      <c r="A7469" t="s">
        <v>9566</v>
      </c>
      <c r="B7469" t="s">
        <v>9560</v>
      </c>
    </row>
    <row r="7470" spans="1:2" x14ac:dyDescent="0.25">
      <c r="A7470" t="s">
        <v>9567</v>
      </c>
      <c r="B7470" t="s">
        <v>9568</v>
      </c>
    </row>
    <row r="7471" spans="1:2" x14ac:dyDescent="0.25">
      <c r="A7471" t="s">
        <v>9569</v>
      </c>
      <c r="B7471" t="s">
        <v>995</v>
      </c>
    </row>
    <row r="7472" spans="1:2" x14ac:dyDescent="0.25">
      <c r="A7472" t="s">
        <v>9570</v>
      </c>
      <c r="B7472" t="s">
        <v>206</v>
      </c>
    </row>
    <row r="7473" spans="1:2" x14ac:dyDescent="0.25">
      <c r="A7473" t="s">
        <v>9571</v>
      </c>
      <c r="B7473" t="s">
        <v>216</v>
      </c>
    </row>
    <row r="7474" spans="1:2" x14ac:dyDescent="0.25">
      <c r="A7474" t="s">
        <v>9572</v>
      </c>
      <c r="B7474" t="s">
        <v>214</v>
      </c>
    </row>
    <row r="7475" spans="1:2" x14ac:dyDescent="0.25">
      <c r="A7475" t="s">
        <v>9573</v>
      </c>
      <c r="B7475" t="s">
        <v>1866</v>
      </c>
    </row>
    <row r="7476" spans="1:2" x14ac:dyDescent="0.25">
      <c r="A7476" t="s">
        <v>9574</v>
      </c>
      <c r="B7476" t="s">
        <v>52</v>
      </c>
    </row>
    <row r="7477" spans="1:2" x14ac:dyDescent="0.25">
      <c r="A7477" t="s">
        <v>9575</v>
      </c>
      <c r="B7477" t="s">
        <v>58</v>
      </c>
    </row>
    <row r="7478" spans="1:2" x14ac:dyDescent="0.25">
      <c r="A7478" t="s">
        <v>9576</v>
      </c>
      <c r="B7478" t="s">
        <v>60</v>
      </c>
    </row>
    <row r="7479" spans="1:2" x14ac:dyDescent="0.25">
      <c r="A7479" t="s">
        <v>9577</v>
      </c>
      <c r="B7479" t="s">
        <v>72</v>
      </c>
    </row>
    <row r="7480" spans="1:2" x14ac:dyDescent="0.25">
      <c r="A7480" t="s">
        <v>9578</v>
      </c>
      <c r="B7480" t="s">
        <v>299</v>
      </c>
    </row>
    <row r="7481" spans="1:2" x14ac:dyDescent="0.25">
      <c r="A7481" t="s">
        <v>9579</v>
      </c>
      <c r="B7481" t="s">
        <v>1985</v>
      </c>
    </row>
    <row r="7482" spans="1:2" x14ac:dyDescent="0.25">
      <c r="A7482" t="s">
        <v>9580</v>
      </c>
      <c r="B7482" t="s">
        <v>2483</v>
      </c>
    </row>
    <row r="7483" spans="1:2" x14ac:dyDescent="0.25">
      <c r="A7483" t="s">
        <v>9581</v>
      </c>
      <c r="B7483" t="s">
        <v>137</v>
      </c>
    </row>
    <row r="7484" spans="1:2" x14ac:dyDescent="0.25">
      <c r="A7484" t="s">
        <v>9582</v>
      </c>
      <c r="B7484" t="s">
        <v>144</v>
      </c>
    </row>
    <row r="7485" spans="1:2" x14ac:dyDescent="0.25">
      <c r="A7485" t="s">
        <v>9583</v>
      </c>
      <c r="B7485" t="s">
        <v>153</v>
      </c>
    </row>
    <row r="7486" spans="1:2" x14ac:dyDescent="0.25">
      <c r="A7486" t="s">
        <v>9584</v>
      </c>
      <c r="B7486" t="s">
        <v>157</v>
      </c>
    </row>
    <row r="7487" spans="1:2" x14ac:dyDescent="0.25">
      <c r="A7487" t="s">
        <v>9585</v>
      </c>
      <c r="B7487" t="s">
        <v>1606</v>
      </c>
    </row>
    <row r="7488" spans="1:2" x14ac:dyDescent="0.25">
      <c r="A7488" t="s">
        <v>9586</v>
      </c>
      <c r="B7488" t="s">
        <v>736</v>
      </c>
    </row>
    <row r="7489" spans="1:2" x14ac:dyDescent="0.25">
      <c r="A7489" t="s">
        <v>9587</v>
      </c>
      <c r="B7489" t="s">
        <v>2822</v>
      </c>
    </row>
    <row r="7490" spans="1:2" x14ac:dyDescent="0.25">
      <c r="A7490" t="s">
        <v>9588</v>
      </c>
      <c r="B7490" t="s">
        <v>167</v>
      </c>
    </row>
    <row r="7491" spans="1:2" x14ac:dyDescent="0.25">
      <c r="A7491" t="s">
        <v>9589</v>
      </c>
      <c r="B7491" t="s">
        <v>169</v>
      </c>
    </row>
    <row r="7492" spans="1:2" x14ac:dyDescent="0.25">
      <c r="A7492" t="s">
        <v>9590</v>
      </c>
      <c r="B7492" t="s">
        <v>2826</v>
      </c>
    </row>
    <row r="7493" spans="1:2" x14ac:dyDescent="0.25">
      <c r="A7493" t="s">
        <v>9591</v>
      </c>
      <c r="B7493" t="s">
        <v>178</v>
      </c>
    </row>
    <row r="7494" spans="1:2" x14ac:dyDescent="0.25">
      <c r="A7494" t="s">
        <v>9592</v>
      </c>
      <c r="B7494" t="s">
        <v>180</v>
      </c>
    </row>
    <row r="7495" spans="1:2" x14ac:dyDescent="0.25">
      <c r="A7495" t="s">
        <v>9593</v>
      </c>
      <c r="B7495" t="s">
        <v>193</v>
      </c>
    </row>
    <row r="7496" spans="1:2" x14ac:dyDescent="0.25">
      <c r="A7496" t="s">
        <v>9594</v>
      </c>
      <c r="B7496" t="s">
        <v>1806</v>
      </c>
    </row>
    <row r="7497" spans="1:2" x14ac:dyDescent="0.25">
      <c r="A7497" t="s">
        <v>9595</v>
      </c>
      <c r="B7497" t="s">
        <v>3307</v>
      </c>
    </row>
    <row r="7498" spans="1:2" x14ac:dyDescent="0.25">
      <c r="A7498" t="s">
        <v>9596</v>
      </c>
      <c r="B7498" t="s">
        <v>199</v>
      </c>
    </row>
    <row r="7499" spans="1:2" x14ac:dyDescent="0.25">
      <c r="A7499" t="s">
        <v>9597</v>
      </c>
      <c r="B7499" t="s">
        <v>202</v>
      </c>
    </row>
    <row r="7500" spans="1:2" x14ac:dyDescent="0.25">
      <c r="A7500" t="s">
        <v>9598</v>
      </c>
      <c r="B7500" t="s">
        <v>206</v>
      </c>
    </row>
    <row r="7501" spans="1:2" x14ac:dyDescent="0.25">
      <c r="A7501" t="s">
        <v>9599</v>
      </c>
      <c r="B7501" t="s">
        <v>206</v>
      </c>
    </row>
    <row r="7502" spans="1:2" x14ac:dyDescent="0.25">
      <c r="A7502" t="s">
        <v>9600</v>
      </c>
      <c r="B7502" t="s">
        <v>208</v>
      </c>
    </row>
    <row r="7503" spans="1:2" x14ac:dyDescent="0.25">
      <c r="A7503" t="s">
        <v>9601</v>
      </c>
      <c r="B7503" t="s">
        <v>216</v>
      </c>
    </row>
    <row r="7504" spans="1:2" x14ac:dyDescent="0.25">
      <c r="A7504" t="s">
        <v>9602</v>
      </c>
      <c r="B7504" t="s">
        <v>3350</v>
      </c>
    </row>
    <row r="7505" spans="1:2" x14ac:dyDescent="0.25">
      <c r="A7505" t="s">
        <v>9603</v>
      </c>
      <c r="B7505" t="s">
        <v>243</v>
      </c>
    </row>
    <row r="7506" spans="1:2" x14ac:dyDescent="0.25">
      <c r="A7506" t="s">
        <v>9604</v>
      </c>
      <c r="B7506" t="s">
        <v>263</v>
      </c>
    </row>
    <row r="7507" spans="1:2" x14ac:dyDescent="0.25">
      <c r="A7507" t="s">
        <v>9605</v>
      </c>
      <c r="B7507" t="s">
        <v>2075</v>
      </c>
    </row>
    <row r="7508" spans="1:2" x14ac:dyDescent="0.25">
      <c r="A7508" t="s">
        <v>9606</v>
      </c>
      <c r="B7508" t="s">
        <v>2078</v>
      </c>
    </row>
    <row r="7509" spans="1:2" x14ac:dyDescent="0.25">
      <c r="A7509" t="s">
        <v>9607</v>
      </c>
      <c r="B7509" t="s">
        <v>2080</v>
      </c>
    </row>
    <row r="7510" spans="1:2" x14ac:dyDescent="0.25">
      <c r="A7510" t="s">
        <v>2429</v>
      </c>
      <c r="B7510" t="s">
        <v>2429</v>
      </c>
    </row>
    <row r="7511" spans="1:2" x14ac:dyDescent="0.25">
      <c r="A7511" t="s">
        <v>9608</v>
      </c>
      <c r="B7511" t="s">
        <v>3123</v>
      </c>
    </row>
    <row r="7512" spans="1:2" x14ac:dyDescent="0.25">
      <c r="A7512" t="s">
        <v>9609</v>
      </c>
      <c r="B7512" t="s">
        <v>338</v>
      </c>
    </row>
    <row r="7513" spans="1:2" x14ac:dyDescent="0.25">
      <c r="A7513" t="s">
        <v>9610</v>
      </c>
      <c r="B7513" t="s">
        <v>3128</v>
      </c>
    </row>
    <row r="7514" spans="1:2" x14ac:dyDescent="0.25">
      <c r="A7514" t="s">
        <v>9611</v>
      </c>
      <c r="B7514" t="s">
        <v>3129</v>
      </c>
    </row>
    <row r="7515" spans="1:2" x14ac:dyDescent="0.25">
      <c r="A7515" t="s">
        <v>9612</v>
      </c>
      <c r="B7515" t="s">
        <v>1167</v>
      </c>
    </row>
    <row r="7516" spans="1:2" x14ac:dyDescent="0.25">
      <c r="A7516" t="s">
        <v>9613</v>
      </c>
      <c r="B7516" t="s">
        <v>1206</v>
      </c>
    </row>
    <row r="7517" spans="1:2" x14ac:dyDescent="0.25">
      <c r="A7517" t="s">
        <v>9614</v>
      </c>
      <c r="B7517" t="s">
        <v>2073</v>
      </c>
    </row>
    <row r="7518" spans="1:2" x14ac:dyDescent="0.25">
      <c r="A7518" t="s">
        <v>9615</v>
      </c>
      <c r="B7518" t="s">
        <v>378</v>
      </c>
    </row>
    <row r="7519" spans="1:2" x14ac:dyDescent="0.25">
      <c r="A7519" t="s">
        <v>9616</v>
      </c>
      <c r="B7519" t="s">
        <v>1687</v>
      </c>
    </row>
    <row r="7520" spans="1:2" x14ac:dyDescent="0.25">
      <c r="A7520" t="s">
        <v>9617</v>
      </c>
      <c r="B7520" t="s">
        <v>439</v>
      </c>
    </row>
    <row r="7521" spans="1:2" x14ac:dyDescent="0.25">
      <c r="A7521" t="s">
        <v>428</v>
      </c>
      <c r="B7521" t="s">
        <v>427</v>
      </c>
    </row>
    <row r="7522" spans="1:2" x14ac:dyDescent="0.25">
      <c r="A7522" t="s">
        <v>432</v>
      </c>
      <c r="B7522" t="s">
        <v>431</v>
      </c>
    </row>
    <row r="7523" spans="1:2" x14ac:dyDescent="0.25">
      <c r="A7523" t="s">
        <v>2072</v>
      </c>
      <c r="B7523" t="s">
        <v>2071</v>
      </c>
    </row>
    <row r="7524" spans="1:2" x14ac:dyDescent="0.25">
      <c r="A7524" t="s">
        <v>9618</v>
      </c>
      <c r="B7524" t="s">
        <v>335</v>
      </c>
    </row>
    <row r="7525" spans="1:2" x14ac:dyDescent="0.25">
      <c r="A7525" t="s">
        <v>9619</v>
      </c>
      <c r="B7525" t="s">
        <v>1836</v>
      </c>
    </row>
    <row r="7526" spans="1:2" x14ac:dyDescent="0.25">
      <c r="A7526" t="s">
        <v>9620</v>
      </c>
      <c r="B7526" t="s">
        <v>1838</v>
      </c>
    </row>
    <row r="7527" spans="1:2" x14ac:dyDescent="0.25">
      <c r="A7527" t="s">
        <v>9621</v>
      </c>
      <c r="B7527" t="s">
        <v>992</v>
      </c>
    </row>
    <row r="7528" spans="1:2" x14ac:dyDescent="0.25">
      <c r="A7528" t="s">
        <v>9622</v>
      </c>
      <c r="B7528" t="s">
        <v>1932</v>
      </c>
    </row>
    <row r="7529" spans="1:2" x14ac:dyDescent="0.25">
      <c r="A7529" t="s">
        <v>9623</v>
      </c>
      <c r="B7529" t="s">
        <v>1130</v>
      </c>
    </row>
    <row r="7530" spans="1:2" x14ac:dyDescent="0.25">
      <c r="A7530" t="s">
        <v>9624</v>
      </c>
      <c r="B7530" t="s">
        <v>1206</v>
      </c>
    </row>
    <row r="7531" spans="1:2" x14ac:dyDescent="0.25">
      <c r="A7531" t="s">
        <v>9625</v>
      </c>
      <c r="B7531" t="s">
        <v>1235</v>
      </c>
    </row>
    <row r="7532" spans="1:2" x14ac:dyDescent="0.25">
      <c r="A7532" t="s">
        <v>9626</v>
      </c>
      <c r="B7532" t="s">
        <v>2071</v>
      </c>
    </row>
    <row r="7533" spans="1:2" x14ac:dyDescent="0.25">
      <c r="A7533" t="s">
        <v>2073</v>
      </c>
      <c r="B7533" t="s">
        <v>2073</v>
      </c>
    </row>
    <row r="7534" spans="1:2" x14ac:dyDescent="0.25">
      <c r="A7534" t="s">
        <v>9627</v>
      </c>
      <c r="B7534" t="s">
        <v>1492</v>
      </c>
    </row>
    <row r="7535" spans="1:2" x14ac:dyDescent="0.25">
      <c r="A7535" t="s">
        <v>9628</v>
      </c>
      <c r="B7535" t="s">
        <v>720</v>
      </c>
    </row>
    <row r="7536" spans="1:2" x14ac:dyDescent="0.25">
      <c r="A7536" t="s">
        <v>9629</v>
      </c>
      <c r="B7536" t="s">
        <v>1506</v>
      </c>
    </row>
    <row r="7537" spans="1:2" x14ac:dyDescent="0.25">
      <c r="A7537" t="s">
        <v>9630</v>
      </c>
      <c r="B7537" t="s">
        <v>1941</v>
      </c>
    </row>
    <row r="7538" spans="1:2" x14ac:dyDescent="0.25">
      <c r="A7538" t="s">
        <v>9631</v>
      </c>
      <c r="B7538" t="s">
        <v>727</v>
      </c>
    </row>
    <row r="7539" spans="1:2" x14ac:dyDescent="0.25">
      <c r="A7539" t="s">
        <v>9632</v>
      </c>
      <c r="B7539" t="s">
        <v>1173</v>
      </c>
    </row>
    <row r="7540" spans="1:2" x14ac:dyDescent="0.25">
      <c r="A7540" t="s">
        <v>9633</v>
      </c>
      <c r="B7540" t="s">
        <v>1676</v>
      </c>
    </row>
    <row r="7541" spans="1:2" x14ac:dyDescent="0.25">
      <c r="A7541" t="s">
        <v>9634</v>
      </c>
      <c r="B7541" t="s">
        <v>767</v>
      </c>
    </row>
    <row r="7542" spans="1:2" x14ac:dyDescent="0.25">
      <c r="A7542" t="s">
        <v>433</v>
      </c>
      <c r="B7542" t="s">
        <v>433</v>
      </c>
    </row>
    <row r="7543" spans="1:2" x14ac:dyDescent="0.25">
      <c r="A7543" t="s">
        <v>9635</v>
      </c>
      <c r="B7543" t="s">
        <v>433</v>
      </c>
    </row>
    <row r="7544" spans="1:2" x14ac:dyDescent="0.25">
      <c r="A7544" t="s">
        <v>9636</v>
      </c>
      <c r="B7544" t="s">
        <v>439</v>
      </c>
    </row>
    <row r="7545" spans="1:2" x14ac:dyDescent="0.25">
      <c r="A7545" t="s">
        <v>9637</v>
      </c>
      <c r="B7545" t="s">
        <v>284</v>
      </c>
    </row>
    <row r="7546" spans="1:2" x14ac:dyDescent="0.25">
      <c r="A7546" t="s">
        <v>9638</v>
      </c>
      <c r="B7546" t="s">
        <v>333</v>
      </c>
    </row>
    <row r="7547" spans="1:2" x14ac:dyDescent="0.25">
      <c r="A7547" t="s">
        <v>9639</v>
      </c>
      <c r="B7547" t="s">
        <v>176</v>
      </c>
    </row>
    <row r="7548" spans="1:2" x14ac:dyDescent="0.25">
      <c r="A7548" t="s">
        <v>9640</v>
      </c>
      <c r="B7548" t="s">
        <v>1952</v>
      </c>
    </row>
    <row r="7549" spans="1:2" x14ac:dyDescent="0.25">
      <c r="A7549" t="s">
        <v>9641</v>
      </c>
      <c r="B7549" t="s">
        <v>360</v>
      </c>
    </row>
    <row r="7550" spans="1:2" x14ac:dyDescent="0.25">
      <c r="A7550" t="s">
        <v>9642</v>
      </c>
      <c r="B7550" t="s">
        <v>362</v>
      </c>
    </row>
    <row r="7551" spans="1:2" x14ac:dyDescent="0.25">
      <c r="A7551" t="s">
        <v>9643</v>
      </c>
      <c r="B7551" t="s">
        <v>362</v>
      </c>
    </row>
    <row r="7552" spans="1:2" x14ac:dyDescent="0.25">
      <c r="A7552" t="s">
        <v>9644</v>
      </c>
      <c r="B7552" t="s">
        <v>780</v>
      </c>
    </row>
    <row r="7553" spans="1:2" x14ac:dyDescent="0.25">
      <c r="A7553" t="s">
        <v>9645</v>
      </c>
      <c r="B7553" t="s">
        <v>199</v>
      </c>
    </row>
    <row r="7554" spans="1:2" x14ac:dyDescent="0.25">
      <c r="A7554" t="s">
        <v>9646</v>
      </c>
      <c r="B7554" t="s">
        <v>218</v>
      </c>
    </row>
    <row r="7555" spans="1:2" x14ac:dyDescent="0.25">
      <c r="A7555" t="s">
        <v>9647</v>
      </c>
      <c r="B7555" t="s">
        <v>2810</v>
      </c>
    </row>
    <row r="7556" spans="1:2" x14ac:dyDescent="0.25">
      <c r="A7556" t="s">
        <v>9648</v>
      </c>
      <c r="B7556" t="s">
        <v>352</v>
      </c>
    </row>
    <row r="7557" spans="1:2" x14ac:dyDescent="0.25">
      <c r="A7557" t="s">
        <v>9649</v>
      </c>
      <c r="B7557" t="s">
        <v>439</v>
      </c>
    </row>
    <row r="7558" spans="1:2" x14ac:dyDescent="0.25">
      <c r="A7558" t="s">
        <v>9650</v>
      </c>
      <c r="B7558" t="s">
        <v>208</v>
      </c>
    </row>
    <row r="7559" spans="1:2" x14ac:dyDescent="0.25">
      <c r="A7559" t="s">
        <v>9651</v>
      </c>
      <c r="B7559" t="s">
        <v>1932</v>
      </c>
    </row>
    <row r="7560" spans="1:2" x14ac:dyDescent="0.25">
      <c r="A7560" t="s">
        <v>9652</v>
      </c>
      <c r="B7560" t="s">
        <v>9653</v>
      </c>
    </row>
    <row r="7561" spans="1:2" x14ac:dyDescent="0.25">
      <c r="A7561" t="s">
        <v>9654</v>
      </c>
      <c r="B7561" t="s">
        <v>9655</v>
      </c>
    </row>
    <row r="7562" spans="1:2" x14ac:dyDescent="0.25">
      <c r="A7562" t="s">
        <v>9656</v>
      </c>
      <c r="B7562" t="s">
        <v>9653</v>
      </c>
    </row>
    <row r="7563" spans="1:2" x14ac:dyDescent="0.25">
      <c r="A7563" t="s">
        <v>9657</v>
      </c>
      <c r="B7563" t="s">
        <v>433</v>
      </c>
    </row>
    <row r="7564" spans="1:2" x14ac:dyDescent="0.25">
      <c r="A7564" t="s">
        <v>9658</v>
      </c>
      <c r="B7564" t="s">
        <v>433</v>
      </c>
    </row>
    <row r="7565" spans="1:2" x14ac:dyDescent="0.25">
      <c r="A7565" t="s">
        <v>9659</v>
      </c>
      <c r="B7565" t="s">
        <v>9660</v>
      </c>
    </row>
    <row r="7566" spans="1:2" x14ac:dyDescent="0.25">
      <c r="A7566" t="s">
        <v>9661</v>
      </c>
      <c r="B7566" t="s">
        <v>169</v>
      </c>
    </row>
    <row r="7567" spans="1:2" x14ac:dyDescent="0.25">
      <c r="A7567" t="s">
        <v>9662</v>
      </c>
      <c r="B7567" t="s">
        <v>985</v>
      </c>
    </row>
    <row r="7568" spans="1:2" x14ac:dyDescent="0.25">
      <c r="A7568" t="s">
        <v>9663</v>
      </c>
      <c r="B7568" t="s">
        <v>1989</v>
      </c>
    </row>
    <row r="7569" spans="1:2" x14ac:dyDescent="0.25">
      <c r="A7569" t="s">
        <v>9664</v>
      </c>
      <c r="B7569" t="s">
        <v>9665</v>
      </c>
    </row>
    <row r="7570" spans="1:2" x14ac:dyDescent="0.25">
      <c r="A7570" t="s">
        <v>9666</v>
      </c>
      <c r="B7570" t="s">
        <v>376</v>
      </c>
    </row>
    <row r="7571" spans="1:2" x14ac:dyDescent="0.25">
      <c r="A7571" t="s">
        <v>9667</v>
      </c>
      <c r="B7571" t="s">
        <v>376</v>
      </c>
    </row>
    <row r="7572" spans="1:2" x14ac:dyDescent="0.25">
      <c r="A7572" t="s">
        <v>9668</v>
      </c>
      <c r="B7572" t="s">
        <v>376</v>
      </c>
    </row>
    <row r="7573" spans="1:2" x14ac:dyDescent="0.25">
      <c r="A7573" t="s">
        <v>9669</v>
      </c>
      <c r="B7573" t="s">
        <v>376</v>
      </c>
    </row>
    <row r="7574" spans="1:2" x14ac:dyDescent="0.25">
      <c r="A7574" t="s">
        <v>9670</v>
      </c>
      <c r="B7574" t="s">
        <v>1971</v>
      </c>
    </row>
    <row r="7575" spans="1:2" x14ac:dyDescent="0.25">
      <c r="A7575" t="s">
        <v>9671</v>
      </c>
      <c r="B7575" t="s">
        <v>2082</v>
      </c>
    </row>
    <row r="7576" spans="1:2" x14ac:dyDescent="0.25">
      <c r="A7576" t="s">
        <v>2069</v>
      </c>
      <c r="B7576" t="s">
        <v>2069</v>
      </c>
    </row>
    <row r="7577" spans="1:2" x14ac:dyDescent="0.25">
      <c r="A7577" t="s">
        <v>9672</v>
      </c>
      <c r="B7577" t="s">
        <v>1071</v>
      </c>
    </row>
    <row r="7578" spans="1:2" x14ac:dyDescent="0.25">
      <c r="A7578" t="s">
        <v>9673</v>
      </c>
      <c r="B7578" t="s">
        <v>1170</v>
      </c>
    </row>
    <row r="7579" spans="1:2" x14ac:dyDescent="0.25">
      <c r="A7579" t="s">
        <v>2111</v>
      </c>
      <c r="B7579" t="s">
        <v>2111</v>
      </c>
    </row>
    <row r="7580" spans="1:2" x14ac:dyDescent="0.25">
      <c r="A7580" t="s">
        <v>2109</v>
      </c>
      <c r="B7580" t="s">
        <v>2109</v>
      </c>
    </row>
    <row r="7581" spans="1:2" x14ac:dyDescent="0.25">
      <c r="A7581" t="s">
        <v>2103</v>
      </c>
      <c r="B7581" t="s">
        <v>2103</v>
      </c>
    </row>
    <row r="7582" spans="1:2" x14ac:dyDescent="0.25">
      <c r="A7582" t="s">
        <v>2105</v>
      </c>
      <c r="B7582" t="s">
        <v>2105</v>
      </c>
    </row>
    <row r="7583" spans="1:2" x14ac:dyDescent="0.25">
      <c r="A7583" t="s">
        <v>2113</v>
      </c>
      <c r="B7583" t="s">
        <v>2113</v>
      </c>
    </row>
    <row r="7584" spans="1:2" x14ac:dyDescent="0.25">
      <c r="A7584" t="s">
        <v>2107</v>
      </c>
      <c r="B7584" t="s">
        <v>2107</v>
      </c>
    </row>
    <row r="7585" spans="1:2" x14ac:dyDescent="0.25">
      <c r="A7585" t="s">
        <v>2994</v>
      </c>
      <c r="B7585" t="s">
        <v>2994</v>
      </c>
    </row>
    <row r="7586" spans="1:2" x14ac:dyDescent="0.25">
      <c r="A7586" t="s">
        <v>2093</v>
      </c>
      <c r="B7586" t="s">
        <v>2093</v>
      </c>
    </row>
    <row r="7587" spans="1:2" x14ac:dyDescent="0.25">
      <c r="A7587" t="s">
        <v>2091</v>
      </c>
      <c r="B7587" t="s">
        <v>2091</v>
      </c>
    </row>
    <row r="7588" spans="1:2" x14ac:dyDescent="0.25">
      <c r="A7588" t="s">
        <v>2089</v>
      </c>
      <c r="B7588" t="s">
        <v>2089</v>
      </c>
    </row>
    <row r="7589" spans="1:2" x14ac:dyDescent="0.25">
      <c r="A7589" t="s">
        <v>2087</v>
      </c>
      <c r="B7589" t="s">
        <v>2087</v>
      </c>
    </row>
    <row r="7590" spans="1:2" x14ac:dyDescent="0.25">
      <c r="A7590" t="s">
        <v>9674</v>
      </c>
      <c r="B7590" t="s">
        <v>427</v>
      </c>
    </row>
    <row r="7591" spans="1:2" x14ac:dyDescent="0.25">
      <c r="A7591" t="s">
        <v>9675</v>
      </c>
      <c r="B7591" t="s">
        <v>425</v>
      </c>
    </row>
    <row r="7592" spans="1:2" x14ac:dyDescent="0.25">
      <c r="A7592" t="s">
        <v>9676</v>
      </c>
      <c r="B7592" t="s">
        <v>423</v>
      </c>
    </row>
    <row r="7593" spans="1:2" x14ac:dyDescent="0.25">
      <c r="A7593" t="s">
        <v>9677</v>
      </c>
      <c r="B7593" t="s">
        <v>419</v>
      </c>
    </row>
    <row r="7594" spans="1:2" x14ac:dyDescent="0.25">
      <c r="A7594" t="s">
        <v>9678</v>
      </c>
      <c r="B7594" t="s">
        <v>169</v>
      </c>
    </row>
    <row r="7595" spans="1:2" x14ac:dyDescent="0.25">
      <c r="A7595" t="s">
        <v>9679</v>
      </c>
      <c r="B7595" t="s">
        <v>130</v>
      </c>
    </row>
    <row r="7596" spans="1:2" x14ac:dyDescent="0.25">
      <c r="A7596" t="s">
        <v>9680</v>
      </c>
      <c r="B7596" t="s">
        <v>421</v>
      </c>
    </row>
    <row r="7597" spans="1:2" x14ac:dyDescent="0.25">
      <c r="A7597" t="s">
        <v>9681</v>
      </c>
      <c r="B7597" t="s">
        <v>902</v>
      </c>
    </row>
    <row r="7598" spans="1:2" x14ac:dyDescent="0.25">
      <c r="A7598" t="s">
        <v>9682</v>
      </c>
      <c r="B7598" t="s">
        <v>1223</v>
      </c>
    </row>
    <row r="7599" spans="1:2" x14ac:dyDescent="0.25">
      <c r="A7599" t="s">
        <v>9683</v>
      </c>
      <c r="B7599" t="s">
        <v>1643</v>
      </c>
    </row>
    <row r="7600" spans="1:2" x14ac:dyDescent="0.25">
      <c r="A7600" t="s">
        <v>9684</v>
      </c>
      <c r="B7600" t="s">
        <v>1151</v>
      </c>
    </row>
    <row r="7601" spans="1:2" x14ac:dyDescent="0.25">
      <c r="A7601" t="s">
        <v>9685</v>
      </c>
      <c r="B7601" t="s">
        <v>1148</v>
      </c>
    </row>
    <row r="7602" spans="1:2" x14ac:dyDescent="0.25">
      <c r="A7602" t="s">
        <v>9686</v>
      </c>
      <c r="B7602" t="s">
        <v>1145</v>
      </c>
    </row>
    <row r="7603" spans="1:2" x14ac:dyDescent="0.25">
      <c r="A7603" t="s">
        <v>9687</v>
      </c>
      <c r="B7603" t="s">
        <v>1848</v>
      </c>
    </row>
    <row r="7604" spans="1:2" x14ac:dyDescent="0.25">
      <c r="A7604" t="s">
        <v>9688</v>
      </c>
      <c r="B7604" t="s">
        <v>1024</v>
      </c>
    </row>
    <row r="7605" spans="1:2" x14ac:dyDescent="0.25">
      <c r="A7605" t="s">
        <v>9689</v>
      </c>
      <c r="B7605" t="s">
        <v>844</v>
      </c>
    </row>
    <row r="7606" spans="1:2" x14ac:dyDescent="0.25">
      <c r="A7606" t="s">
        <v>9690</v>
      </c>
      <c r="B7606" t="s">
        <v>9691</v>
      </c>
    </row>
    <row r="7607" spans="1:2" x14ac:dyDescent="0.25">
      <c r="A7607" t="s">
        <v>9692</v>
      </c>
      <c r="B7607" t="s">
        <v>9693</v>
      </c>
    </row>
    <row r="7608" spans="1:2" x14ac:dyDescent="0.25">
      <c r="A7608" t="s">
        <v>2084</v>
      </c>
      <c r="B7608" t="s">
        <v>2084</v>
      </c>
    </row>
    <row r="7609" spans="1:2" x14ac:dyDescent="0.25">
      <c r="A7609" t="s">
        <v>9694</v>
      </c>
      <c r="B7609" t="s">
        <v>2084</v>
      </c>
    </row>
    <row r="7610" spans="1:2" x14ac:dyDescent="0.25">
      <c r="A7610" t="s">
        <v>9695</v>
      </c>
      <c r="B7610" t="s">
        <v>2084</v>
      </c>
    </row>
    <row r="7611" spans="1:2" x14ac:dyDescent="0.25">
      <c r="A7611" t="s">
        <v>9696</v>
      </c>
      <c r="B7611" t="s">
        <v>2084</v>
      </c>
    </row>
    <row r="7612" spans="1:2" x14ac:dyDescent="0.25">
      <c r="A7612" t="s">
        <v>9697</v>
      </c>
      <c r="B7612" t="s">
        <v>9366</v>
      </c>
    </row>
    <row r="7613" spans="1:2" x14ac:dyDescent="0.25">
      <c r="A7613" t="s">
        <v>9698</v>
      </c>
      <c r="B7613" t="s">
        <v>1108</v>
      </c>
    </row>
    <row r="7614" spans="1:2" x14ac:dyDescent="0.25">
      <c r="A7614" t="s">
        <v>9699</v>
      </c>
      <c r="B7614" t="s">
        <v>730</v>
      </c>
    </row>
    <row r="7615" spans="1:2" x14ac:dyDescent="0.25">
      <c r="A7615" t="s">
        <v>9700</v>
      </c>
      <c r="B7615" t="s">
        <v>159</v>
      </c>
    </row>
    <row r="7616" spans="1:2" x14ac:dyDescent="0.25">
      <c r="A7616" t="s">
        <v>435</v>
      </c>
      <c r="B7616" t="s">
        <v>435</v>
      </c>
    </row>
    <row r="7617" spans="1:2" x14ac:dyDescent="0.25">
      <c r="A7617" t="s">
        <v>437</v>
      </c>
      <c r="B7617" t="s">
        <v>437</v>
      </c>
    </row>
    <row r="7618" spans="1:2" x14ac:dyDescent="0.25">
      <c r="A7618" t="s">
        <v>9701</v>
      </c>
      <c r="B7618" t="s">
        <v>9702</v>
      </c>
    </row>
    <row r="7619" spans="1:2" x14ac:dyDescent="0.25">
      <c r="A7619" t="s">
        <v>9703</v>
      </c>
      <c r="B7619" t="s">
        <v>346</v>
      </c>
    </row>
    <row r="7620" spans="1:2" x14ac:dyDescent="0.25">
      <c r="A7620" t="s">
        <v>9704</v>
      </c>
      <c r="B7620" t="s">
        <v>1074</v>
      </c>
    </row>
    <row r="7621" spans="1:2" x14ac:dyDescent="0.25">
      <c r="A7621" t="s">
        <v>9705</v>
      </c>
      <c r="B7621" t="s">
        <v>4206</v>
      </c>
    </row>
    <row r="7622" spans="1:2" x14ac:dyDescent="0.25">
      <c r="A7622" t="s">
        <v>9706</v>
      </c>
      <c r="B7622" t="s">
        <v>716</v>
      </c>
    </row>
    <row r="7623" spans="1:2" x14ac:dyDescent="0.25">
      <c r="A7623" t="s">
        <v>9707</v>
      </c>
      <c r="B7623" t="s">
        <v>730</v>
      </c>
    </row>
    <row r="7624" spans="1:2" x14ac:dyDescent="0.25">
      <c r="A7624" t="s">
        <v>9708</v>
      </c>
      <c r="B7624" t="s">
        <v>173</v>
      </c>
    </row>
    <row r="7625" spans="1:2" x14ac:dyDescent="0.25">
      <c r="A7625" t="s">
        <v>9709</v>
      </c>
      <c r="B7625" t="s">
        <v>2826</v>
      </c>
    </row>
    <row r="7626" spans="1:2" x14ac:dyDescent="0.25">
      <c r="A7626" t="s">
        <v>9710</v>
      </c>
      <c r="B7626" t="s">
        <v>9711</v>
      </c>
    </row>
    <row r="7627" spans="1:2" x14ac:dyDescent="0.25">
      <c r="A7627" t="s">
        <v>9712</v>
      </c>
      <c r="B7627" t="s">
        <v>97</v>
      </c>
    </row>
    <row r="7628" spans="1:2" x14ac:dyDescent="0.25">
      <c r="A7628" t="s">
        <v>9713</v>
      </c>
      <c r="B7628" t="s">
        <v>431</v>
      </c>
    </row>
    <row r="7629" spans="1:2" x14ac:dyDescent="0.25">
      <c r="A7629" t="s">
        <v>9714</v>
      </c>
      <c r="B7629" t="s">
        <v>431</v>
      </c>
    </row>
    <row r="7630" spans="1:2" x14ac:dyDescent="0.25">
      <c r="A7630" t="s">
        <v>9715</v>
      </c>
      <c r="B7630" t="s">
        <v>1272</v>
      </c>
    </row>
    <row r="7631" spans="1:2" x14ac:dyDescent="0.25">
      <c r="A7631" t="s">
        <v>9716</v>
      </c>
      <c r="B7631" t="s">
        <v>9366</v>
      </c>
    </row>
    <row r="7632" spans="1:2" x14ac:dyDescent="0.25">
      <c r="A7632" t="s">
        <v>466</v>
      </c>
      <c r="B7632" t="s">
        <v>466</v>
      </c>
    </row>
    <row r="7633" spans="1:2" x14ac:dyDescent="0.25">
      <c r="A7633" t="s">
        <v>468</v>
      </c>
      <c r="B7633" t="s">
        <v>468</v>
      </c>
    </row>
    <row r="7634" spans="1:2" x14ac:dyDescent="0.25">
      <c r="A7634" t="s">
        <v>2157</v>
      </c>
      <c r="B7634" t="s">
        <v>2157</v>
      </c>
    </row>
    <row r="7635" spans="1:2" x14ac:dyDescent="0.25">
      <c r="A7635" t="s">
        <v>1304</v>
      </c>
      <c r="B7635" t="s">
        <v>1304</v>
      </c>
    </row>
    <row r="7636" spans="1:2" x14ac:dyDescent="0.25">
      <c r="A7636" t="s">
        <v>2161</v>
      </c>
      <c r="B7636" t="s">
        <v>2161</v>
      </c>
    </row>
    <row r="7637" spans="1:2" x14ac:dyDescent="0.25">
      <c r="A7637" t="s">
        <v>2129</v>
      </c>
      <c r="B7637" t="s">
        <v>2129</v>
      </c>
    </row>
    <row r="7638" spans="1:2" x14ac:dyDescent="0.25">
      <c r="A7638" t="s">
        <v>9717</v>
      </c>
      <c r="B7638" t="s">
        <v>709</v>
      </c>
    </row>
    <row r="7639" spans="1:2" x14ac:dyDescent="0.25">
      <c r="A7639" t="s">
        <v>9718</v>
      </c>
      <c r="B7639" t="s">
        <v>407</v>
      </c>
    </row>
    <row r="7640" spans="1:2" x14ac:dyDescent="0.25">
      <c r="A7640" t="s">
        <v>9719</v>
      </c>
      <c r="B7640" t="s">
        <v>1227</v>
      </c>
    </row>
    <row r="7641" spans="1:2" x14ac:dyDescent="0.25">
      <c r="A7641" t="s">
        <v>448</v>
      </c>
      <c r="B7641" t="s">
        <v>448</v>
      </c>
    </row>
    <row r="7642" spans="1:2" x14ac:dyDescent="0.25">
      <c r="A7642" t="s">
        <v>450</v>
      </c>
      <c r="B7642" t="s">
        <v>450</v>
      </c>
    </row>
    <row r="7643" spans="1:2" x14ac:dyDescent="0.25">
      <c r="A7643" t="s">
        <v>452</v>
      </c>
      <c r="B7643" t="s">
        <v>452</v>
      </c>
    </row>
    <row r="7644" spans="1:2" x14ac:dyDescent="0.25">
      <c r="A7644" t="s">
        <v>454</v>
      </c>
      <c r="B7644" t="s">
        <v>454</v>
      </c>
    </row>
    <row r="7645" spans="1:2" x14ac:dyDescent="0.25">
      <c r="A7645" t="s">
        <v>456</v>
      </c>
      <c r="B7645" t="s">
        <v>456</v>
      </c>
    </row>
    <row r="7646" spans="1:2" x14ac:dyDescent="0.25">
      <c r="A7646" t="s">
        <v>9720</v>
      </c>
      <c r="B7646" t="s">
        <v>2826</v>
      </c>
    </row>
    <row r="7647" spans="1:2" x14ac:dyDescent="0.25">
      <c r="A7647" t="s">
        <v>9721</v>
      </c>
      <c r="B7647" t="s">
        <v>2826</v>
      </c>
    </row>
    <row r="7648" spans="1:2" x14ac:dyDescent="0.25">
      <c r="A7648" t="s">
        <v>9722</v>
      </c>
      <c r="B7648" t="s">
        <v>2826</v>
      </c>
    </row>
    <row r="7649" spans="1:2" x14ac:dyDescent="0.25">
      <c r="A7649" t="s">
        <v>9723</v>
      </c>
      <c r="B7649" t="s">
        <v>376</v>
      </c>
    </row>
    <row r="7650" spans="1:2" x14ac:dyDescent="0.25">
      <c r="A7650" t="s">
        <v>9724</v>
      </c>
      <c r="B7650" t="s">
        <v>376</v>
      </c>
    </row>
    <row r="7651" spans="1:2" x14ac:dyDescent="0.25">
      <c r="A7651" t="s">
        <v>9725</v>
      </c>
      <c r="B7651" t="s">
        <v>376</v>
      </c>
    </row>
    <row r="7652" spans="1:2" x14ac:dyDescent="0.25">
      <c r="A7652" t="s">
        <v>9726</v>
      </c>
      <c r="B7652" t="s">
        <v>376</v>
      </c>
    </row>
    <row r="7653" spans="1:2" x14ac:dyDescent="0.25">
      <c r="A7653" t="s">
        <v>9727</v>
      </c>
      <c r="B7653" t="s">
        <v>1989</v>
      </c>
    </row>
    <row r="7654" spans="1:2" x14ac:dyDescent="0.25">
      <c r="A7654" t="s">
        <v>9728</v>
      </c>
      <c r="B7654" t="s">
        <v>169</v>
      </c>
    </row>
    <row r="7655" spans="1:2" x14ac:dyDescent="0.25">
      <c r="A7655" t="s">
        <v>9729</v>
      </c>
      <c r="B7655" t="s">
        <v>356</v>
      </c>
    </row>
    <row r="7656" spans="1:2" x14ac:dyDescent="0.25">
      <c r="A7656" t="s">
        <v>9730</v>
      </c>
      <c r="B7656" t="s">
        <v>411</v>
      </c>
    </row>
    <row r="7657" spans="1:2" x14ac:dyDescent="0.25">
      <c r="A7657" t="s">
        <v>2155</v>
      </c>
      <c r="B7657" t="s">
        <v>2155</v>
      </c>
    </row>
    <row r="7658" spans="1:2" x14ac:dyDescent="0.25">
      <c r="A7658" t="s">
        <v>2147</v>
      </c>
      <c r="B7658" t="s">
        <v>2147</v>
      </c>
    </row>
    <row r="7659" spans="1:2" x14ac:dyDescent="0.25">
      <c r="A7659" t="s">
        <v>9731</v>
      </c>
      <c r="B7659" t="s">
        <v>409</v>
      </c>
    </row>
    <row r="7660" spans="1:2" x14ac:dyDescent="0.25">
      <c r="A7660" t="s">
        <v>9732</v>
      </c>
      <c r="B7660" t="s">
        <v>9357</v>
      </c>
    </row>
    <row r="7661" spans="1:2" x14ac:dyDescent="0.25">
      <c r="A7661" t="s">
        <v>1318</v>
      </c>
      <c r="B7661" t="s">
        <v>1318</v>
      </c>
    </row>
    <row r="7662" spans="1:2" x14ac:dyDescent="0.25">
      <c r="A7662" t="s">
        <v>1298</v>
      </c>
      <c r="B7662" t="s">
        <v>1298</v>
      </c>
    </row>
    <row r="7663" spans="1:2" x14ac:dyDescent="0.25">
      <c r="A7663" t="s">
        <v>9733</v>
      </c>
      <c r="B7663" t="s">
        <v>370</v>
      </c>
    </row>
    <row r="7664" spans="1:2" x14ac:dyDescent="0.25">
      <c r="A7664" t="s">
        <v>9734</v>
      </c>
      <c r="B7664" t="s">
        <v>350</v>
      </c>
    </row>
    <row r="7665" spans="1:2" x14ac:dyDescent="0.25">
      <c r="A7665" t="s">
        <v>9735</v>
      </c>
      <c r="B7665" t="s">
        <v>1833</v>
      </c>
    </row>
    <row r="7666" spans="1:2" x14ac:dyDescent="0.25">
      <c r="A7666" t="s">
        <v>9736</v>
      </c>
      <c r="B7666" t="s">
        <v>407</v>
      </c>
    </row>
    <row r="7667" spans="1:2" x14ac:dyDescent="0.25">
      <c r="A7667" t="s">
        <v>9737</v>
      </c>
      <c r="B7667" t="s">
        <v>376</v>
      </c>
    </row>
    <row r="7668" spans="1:2" x14ac:dyDescent="0.25">
      <c r="A7668" t="s">
        <v>2133</v>
      </c>
      <c r="B7668" t="s">
        <v>2133</v>
      </c>
    </row>
    <row r="7669" spans="1:2" x14ac:dyDescent="0.25">
      <c r="A7669" t="s">
        <v>2143</v>
      </c>
      <c r="B7669" t="s">
        <v>2143</v>
      </c>
    </row>
    <row r="7670" spans="1:2" x14ac:dyDescent="0.25">
      <c r="A7670" t="s">
        <v>9738</v>
      </c>
      <c r="B7670" t="s">
        <v>9739</v>
      </c>
    </row>
    <row r="7671" spans="1:2" x14ac:dyDescent="0.25">
      <c r="A7671" t="s">
        <v>9740</v>
      </c>
      <c r="B7671" t="s">
        <v>1210</v>
      </c>
    </row>
    <row r="7672" spans="1:2" x14ac:dyDescent="0.25">
      <c r="A7672" t="s">
        <v>9741</v>
      </c>
      <c r="B7672" t="s">
        <v>2037</v>
      </c>
    </row>
    <row r="7673" spans="1:2" x14ac:dyDescent="0.25">
      <c r="A7673" t="s">
        <v>9742</v>
      </c>
      <c r="B7673" t="s">
        <v>1074</v>
      </c>
    </row>
    <row r="7674" spans="1:2" x14ac:dyDescent="0.25">
      <c r="A7674" t="s">
        <v>1288</v>
      </c>
      <c r="B7674" t="s">
        <v>1288</v>
      </c>
    </row>
    <row r="7675" spans="1:2" x14ac:dyDescent="0.25">
      <c r="A7675" t="s">
        <v>2163</v>
      </c>
      <c r="B7675" t="s">
        <v>2163</v>
      </c>
    </row>
    <row r="7676" spans="1:2" x14ac:dyDescent="0.25">
      <c r="A7676" t="s">
        <v>9743</v>
      </c>
      <c r="B7676" t="s">
        <v>366</v>
      </c>
    </row>
    <row r="7677" spans="1:2" x14ac:dyDescent="0.25">
      <c r="A7677" t="s">
        <v>9744</v>
      </c>
      <c r="B7677" t="s">
        <v>1063</v>
      </c>
    </row>
    <row r="7678" spans="1:2" x14ac:dyDescent="0.25">
      <c r="A7678" t="s">
        <v>9745</v>
      </c>
      <c r="B7678" t="s">
        <v>9337</v>
      </c>
    </row>
    <row r="7679" spans="1:2" x14ac:dyDescent="0.25">
      <c r="A7679" t="s">
        <v>442</v>
      </c>
      <c r="B7679" t="s">
        <v>442</v>
      </c>
    </row>
    <row r="7680" spans="1:2" x14ac:dyDescent="0.25">
      <c r="A7680" t="s">
        <v>9746</v>
      </c>
      <c r="B7680" t="s">
        <v>9747</v>
      </c>
    </row>
    <row r="7681" spans="1:2" x14ac:dyDescent="0.25">
      <c r="A7681" t="s">
        <v>9748</v>
      </c>
      <c r="B7681" t="s">
        <v>409</v>
      </c>
    </row>
    <row r="7682" spans="1:2" x14ac:dyDescent="0.25">
      <c r="A7682" t="s">
        <v>2151</v>
      </c>
      <c r="B7682" t="s">
        <v>2151</v>
      </c>
    </row>
    <row r="7683" spans="1:2" x14ac:dyDescent="0.25">
      <c r="A7683" t="s">
        <v>9749</v>
      </c>
      <c r="B7683" t="s">
        <v>376</v>
      </c>
    </row>
    <row r="7684" spans="1:2" x14ac:dyDescent="0.25">
      <c r="A7684" t="s">
        <v>9750</v>
      </c>
      <c r="B7684" t="s">
        <v>431</v>
      </c>
    </row>
    <row r="7685" spans="1:2" x14ac:dyDescent="0.25">
      <c r="A7685" t="s">
        <v>9751</v>
      </c>
      <c r="B7685" t="s">
        <v>417</v>
      </c>
    </row>
    <row r="7686" spans="1:2" x14ac:dyDescent="0.25">
      <c r="A7686" t="s">
        <v>9752</v>
      </c>
      <c r="B7686" t="s">
        <v>415</v>
      </c>
    </row>
    <row r="7687" spans="1:2" x14ac:dyDescent="0.25">
      <c r="A7687" t="s">
        <v>9753</v>
      </c>
      <c r="B7687" t="s">
        <v>7800</v>
      </c>
    </row>
    <row r="7688" spans="1:2" x14ac:dyDescent="0.25">
      <c r="A7688" t="s">
        <v>9754</v>
      </c>
      <c r="B7688" t="s">
        <v>9755</v>
      </c>
    </row>
    <row r="7689" spans="1:2" x14ac:dyDescent="0.25">
      <c r="A7689" t="s">
        <v>9756</v>
      </c>
      <c r="B7689" t="s">
        <v>9357</v>
      </c>
    </row>
    <row r="7690" spans="1:2" x14ac:dyDescent="0.25">
      <c r="A7690" t="s">
        <v>9757</v>
      </c>
      <c r="B7690" t="s">
        <v>9758</v>
      </c>
    </row>
    <row r="7691" spans="1:2" x14ac:dyDescent="0.25">
      <c r="A7691" t="s">
        <v>9759</v>
      </c>
      <c r="B7691" t="s">
        <v>9760</v>
      </c>
    </row>
    <row r="7692" spans="1:2" x14ac:dyDescent="0.25">
      <c r="A7692" t="s">
        <v>9761</v>
      </c>
      <c r="B7692" t="s">
        <v>9762</v>
      </c>
    </row>
    <row r="7693" spans="1:2" x14ac:dyDescent="0.25">
      <c r="A7693" t="s">
        <v>9763</v>
      </c>
      <c r="B7693" t="s">
        <v>263</v>
      </c>
    </row>
    <row r="7694" spans="1:2" x14ac:dyDescent="0.25">
      <c r="A7694" t="s">
        <v>9764</v>
      </c>
      <c r="B7694" t="s">
        <v>9765</v>
      </c>
    </row>
    <row r="7695" spans="1:2" x14ac:dyDescent="0.25">
      <c r="A7695" t="s">
        <v>9766</v>
      </c>
      <c r="B7695" t="s">
        <v>9767</v>
      </c>
    </row>
    <row r="7696" spans="1:2" x14ac:dyDescent="0.25">
      <c r="A7696" t="s">
        <v>9768</v>
      </c>
      <c r="B7696" t="s">
        <v>9769</v>
      </c>
    </row>
    <row r="7697" spans="1:2" x14ac:dyDescent="0.25">
      <c r="A7697" t="s">
        <v>9770</v>
      </c>
      <c r="B7697" t="s">
        <v>9771</v>
      </c>
    </row>
    <row r="7698" spans="1:2" x14ac:dyDescent="0.25">
      <c r="A7698" t="s">
        <v>9772</v>
      </c>
      <c r="B7698" t="s">
        <v>9773</v>
      </c>
    </row>
    <row r="7699" spans="1:2" x14ac:dyDescent="0.25">
      <c r="A7699" t="s">
        <v>9774</v>
      </c>
      <c r="B7699" t="s">
        <v>9775</v>
      </c>
    </row>
    <row r="7700" spans="1:2" x14ac:dyDescent="0.25">
      <c r="A7700" t="s">
        <v>9776</v>
      </c>
      <c r="B7700" t="s">
        <v>9777</v>
      </c>
    </row>
    <row r="7701" spans="1:2" x14ac:dyDescent="0.25">
      <c r="A7701" t="s">
        <v>9778</v>
      </c>
      <c r="B7701" t="s">
        <v>9779</v>
      </c>
    </row>
    <row r="7702" spans="1:2" x14ac:dyDescent="0.25">
      <c r="A7702" t="s">
        <v>9780</v>
      </c>
      <c r="B7702" t="s">
        <v>9781</v>
      </c>
    </row>
    <row r="7703" spans="1:2" x14ac:dyDescent="0.25">
      <c r="A7703" t="s">
        <v>9782</v>
      </c>
      <c r="B7703" t="s">
        <v>9783</v>
      </c>
    </row>
    <row r="7704" spans="1:2" x14ac:dyDescent="0.25">
      <c r="A7704" t="s">
        <v>9784</v>
      </c>
      <c r="B7704" t="s">
        <v>9785</v>
      </c>
    </row>
    <row r="7705" spans="1:2" x14ac:dyDescent="0.25">
      <c r="A7705" t="s">
        <v>9786</v>
      </c>
      <c r="B7705" t="s">
        <v>9787</v>
      </c>
    </row>
    <row r="7706" spans="1:2" x14ac:dyDescent="0.25">
      <c r="A7706" t="s">
        <v>9788</v>
      </c>
      <c r="B7706" t="s">
        <v>9789</v>
      </c>
    </row>
    <row r="7707" spans="1:2" x14ac:dyDescent="0.25">
      <c r="A7707" t="s">
        <v>9790</v>
      </c>
      <c r="B7707" t="s">
        <v>9791</v>
      </c>
    </row>
    <row r="7708" spans="1:2" x14ac:dyDescent="0.25">
      <c r="A7708" t="s">
        <v>9792</v>
      </c>
      <c r="B7708" t="s">
        <v>9793</v>
      </c>
    </row>
    <row r="7709" spans="1:2" x14ac:dyDescent="0.25">
      <c r="A7709" t="s">
        <v>9794</v>
      </c>
      <c r="B7709" t="s">
        <v>9795</v>
      </c>
    </row>
    <row r="7710" spans="1:2" x14ac:dyDescent="0.25">
      <c r="A7710" t="s">
        <v>9796</v>
      </c>
      <c r="B7710" t="s">
        <v>9797</v>
      </c>
    </row>
    <row r="7711" spans="1:2" x14ac:dyDescent="0.25">
      <c r="A7711" t="s">
        <v>9798</v>
      </c>
      <c r="B7711" t="s">
        <v>9799</v>
      </c>
    </row>
    <row r="7712" spans="1:2" x14ac:dyDescent="0.25">
      <c r="A7712" t="s">
        <v>9800</v>
      </c>
      <c r="B7712" t="s">
        <v>9801</v>
      </c>
    </row>
    <row r="7713" spans="1:2" x14ac:dyDescent="0.25">
      <c r="A7713" t="s">
        <v>9802</v>
      </c>
      <c r="B7713" t="s">
        <v>9803</v>
      </c>
    </row>
    <row r="7714" spans="1:2" x14ac:dyDescent="0.25">
      <c r="A7714" t="s">
        <v>9804</v>
      </c>
      <c r="B7714" t="s">
        <v>9805</v>
      </c>
    </row>
    <row r="7715" spans="1:2" x14ac:dyDescent="0.25">
      <c r="A7715" t="s">
        <v>9806</v>
      </c>
      <c r="B7715" t="s">
        <v>9807</v>
      </c>
    </row>
    <row r="7716" spans="1:2" x14ac:dyDescent="0.25">
      <c r="A7716" t="s">
        <v>2145</v>
      </c>
      <c r="B7716" t="s">
        <v>2145</v>
      </c>
    </row>
    <row r="7717" spans="1:2" x14ac:dyDescent="0.25">
      <c r="A7717" t="s">
        <v>2159</v>
      </c>
      <c r="B7717" t="s">
        <v>2159</v>
      </c>
    </row>
    <row r="7718" spans="1:2" x14ac:dyDescent="0.25">
      <c r="A7718" t="s">
        <v>1307</v>
      </c>
      <c r="B7718" t="s">
        <v>1307</v>
      </c>
    </row>
    <row r="7719" spans="1:2" x14ac:dyDescent="0.25">
      <c r="A7719" t="s">
        <v>2165</v>
      </c>
      <c r="B7719" t="s">
        <v>2165</v>
      </c>
    </row>
    <row r="7720" spans="1:2" x14ac:dyDescent="0.25">
      <c r="A7720" t="s">
        <v>1301</v>
      </c>
      <c r="B7720" t="s">
        <v>1301</v>
      </c>
    </row>
    <row r="7721" spans="1:2" x14ac:dyDescent="0.25">
      <c r="A7721" t="s">
        <v>2141</v>
      </c>
      <c r="B7721" t="s">
        <v>2141</v>
      </c>
    </row>
    <row r="7722" spans="1:2" x14ac:dyDescent="0.25">
      <c r="A7722" t="s">
        <v>9808</v>
      </c>
      <c r="B7722" t="s">
        <v>1123</v>
      </c>
    </row>
    <row r="7723" spans="1:2" x14ac:dyDescent="0.25">
      <c r="A7723" t="s">
        <v>9809</v>
      </c>
      <c r="B7723" t="s">
        <v>1955</v>
      </c>
    </row>
    <row r="7724" spans="1:2" x14ac:dyDescent="0.25">
      <c r="A7724" t="s">
        <v>438</v>
      </c>
      <c r="B7724" t="s">
        <v>437</v>
      </c>
    </row>
    <row r="7725" spans="1:2" x14ac:dyDescent="0.25">
      <c r="A7725" t="s">
        <v>9810</v>
      </c>
      <c r="B7725" t="s">
        <v>1314</v>
      </c>
    </row>
    <row r="7726" spans="1:2" x14ac:dyDescent="0.25">
      <c r="A7726" t="s">
        <v>1314</v>
      </c>
      <c r="B7726" t="s">
        <v>1314</v>
      </c>
    </row>
    <row r="7727" spans="1:2" x14ac:dyDescent="0.25">
      <c r="A7727" t="s">
        <v>9811</v>
      </c>
      <c r="B7727" t="s">
        <v>84</v>
      </c>
    </row>
    <row r="7728" spans="1:2" x14ac:dyDescent="0.25">
      <c r="A7728" t="s">
        <v>2139</v>
      </c>
      <c r="B7728" t="s">
        <v>2139</v>
      </c>
    </row>
    <row r="7729" spans="1:2" x14ac:dyDescent="0.25">
      <c r="A7729" t="s">
        <v>9812</v>
      </c>
      <c r="B7729" t="s">
        <v>1508</v>
      </c>
    </row>
    <row r="7730" spans="1:2" x14ac:dyDescent="0.25">
      <c r="A7730" t="s">
        <v>9813</v>
      </c>
      <c r="B7730" t="s">
        <v>723</v>
      </c>
    </row>
    <row r="7731" spans="1:2" x14ac:dyDescent="0.25">
      <c r="A7731" t="s">
        <v>9814</v>
      </c>
      <c r="B7731" t="s">
        <v>9815</v>
      </c>
    </row>
    <row r="7732" spans="1:2" x14ac:dyDescent="0.25">
      <c r="A7732" t="s">
        <v>9816</v>
      </c>
      <c r="B7732" t="s">
        <v>442</v>
      </c>
    </row>
    <row r="7733" spans="1:2" x14ac:dyDescent="0.25">
      <c r="A7733" t="s">
        <v>9817</v>
      </c>
      <c r="B7733" t="s">
        <v>376</v>
      </c>
    </row>
    <row r="7734" spans="1:2" x14ac:dyDescent="0.25">
      <c r="A7734" t="s">
        <v>9818</v>
      </c>
      <c r="B7734" t="s">
        <v>9819</v>
      </c>
    </row>
    <row r="7735" spans="1:2" x14ac:dyDescent="0.25">
      <c r="A7735" t="s">
        <v>9820</v>
      </c>
      <c r="B7735" t="s">
        <v>468</v>
      </c>
    </row>
    <row r="7736" spans="1:2" x14ac:dyDescent="0.25">
      <c r="A7736" t="s">
        <v>9821</v>
      </c>
      <c r="B7736" t="s">
        <v>456</v>
      </c>
    </row>
    <row r="7737" spans="1:2" x14ac:dyDescent="0.25">
      <c r="A7737" t="s">
        <v>9822</v>
      </c>
      <c r="B7737" t="s">
        <v>452</v>
      </c>
    </row>
    <row r="7738" spans="1:2" x14ac:dyDescent="0.25">
      <c r="A7738" t="s">
        <v>9823</v>
      </c>
      <c r="B7738" t="s">
        <v>448</v>
      </c>
    </row>
    <row r="7739" spans="1:2" x14ac:dyDescent="0.25">
      <c r="A7739" t="s">
        <v>9824</v>
      </c>
      <c r="B7739" t="s">
        <v>454</v>
      </c>
    </row>
    <row r="7740" spans="1:2" x14ac:dyDescent="0.25">
      <c r="A7740" t="s">
        <v>9825</v>
      </c>
      <c r="B7740" t="s">
        <v>450</v>
      </c>
    </row>
    <row r="7741" spans="1:2" x14ac:dyDescent="0.25">
      <c r="A7741" t="s">
        <v>2131</v>
      </c>
      <c r="B7741" t="s">
        <v>2131</v>
      </c>
    </row>
    <row r="7742" spans="1:2" x14ac:dyDescent="0.25">
      <c r="A7742" t="s">
        <v>2127</v>
      </c>
      <c r="B7742" t="s">
        <v>2127</v>
      </c>
    </row>
    <row r="7743" spans="1:2" x14ac:dyDescent="0.25">
      <c r="A7743" t="s">
        <v>9826</v>
      </c>
      <c r="B7743" t="s">
        <v>1508</v>
      </c>
    </row>
    <row r="7744" spans="1:2" x14ac:dyDescent="0.25">
      <c r="A7744" t="s">
        <v>9827</v>
      </c>
      <c r="B7744" t="s">
        <v>466</v>
      </c>
    </row>
    <row r="7745" spans="1:2" x14ac:dyDescent="0.25">
      <c r="A7745" t="s">
        <v>9828</v>
      </c>
      <c r="B7745" t="s">
        <v>301</v>
      </c>
    </row>
    <row r="7746" spans="1:2" x14ac:dyDescent="0.25">
      <c r="A7746" t="s">
        <v>2135</v>
      </c>
      <c r="B7746" t="s">
        <v>2135</v>
      </c>
    </row>
    <row r="7747" spans="1:2" x14ac:dyDescent="0.25">
      <c r="A7747" t="s">
        <v>9829</v>
      </c>
      <c r="B7747" t="s">
        <v>111</v>
      </c>
    </row>
    <row r="7748" spans="1:2" x14ac:dyDescent="0.25">
      <c r="A7748" t="s">
        <v>9830</v>
      </c>
      <c r="B7748" t="s">
        <v>1833</v>
      </c>
    </row>
    <row r="7749" spans="1:2" x14ac:dyDescent="0.25">
      <c r="A7749" t="s">
        <v>9831</v>
      </c>
      <c r="B7749" t="s">
        <v>706</v>
      </c>
    </row>
    <row r="7750" spans="1:2" x14ac:dyDescent="0.25">
      <c r="A7750" t="s">
        <v>1275</v>
      </c>
      <c r="B7750" t="s">
        <v>1275</v>
      </c>
    </row>
    <row r="7751" spans="1:2" x14ac:dyDescent="0.25">
      <c r="A7751" t="s">
        <v>1295</v>
      </c>
      <c r="B7751" t="s">
        <v>1295</v>
      </c>
    </row>
    <row r="7752" spans="1:2" x14ac:dyDescent="0.25">
      <c r="A7752" t="s">
        <v>9832</v>
      </c>
      <c r="B7752" t="s">
        <v>723</v>
      </c>
    </row>
    <row r="7753" spans="1:2" x14ac:dyDescent="0.25">
      <c r="A7753" t="s">
        <v>1278</v>
      </c>
      <c r="B7753" t="s">
        <v>1278</v>
      </c>
    </row>
    <row r="7754" spans="1:2" x14ac:dyDescent="0.25">
      <c r="A7754" t="s">
        <v>1281</v>
      </c>
      <c r="B7754" t="s">
        <v>1281</v>
      </c>
    </row>
    <row r="7755" spans="1:2" x14ac:dyDescent="0.25">
      <c r="A7755" t="s">
        <v>9833</v>
      </c>
      <c r="B7755" t="s">
        <v>690</v>
      </c>
    </row>
    <row r="7756" spans="1:2" x14ac:dyDescent="0.25">
      <c r="A7756" t="s">
        <v>9834</v>
      </c>
      <c r="B7756" t="s">
        <v>1754</v>
      </c>
    </row>
    <row r="7757" spans="1:2" x14ac:dyDescent="0.25">
      <c r="A7757" t="s">
        <v>1218</v>
      </c>
      <c r="B7757" t="s">
        <v>1218</v>
      </c>
    </row>
    <row r="7758" spans="1:2" x14ac:dyDescent="0.25">
      <c r="A7758" t="s">
        <v>9835</v>
      </c>
      <c r="B7758" t="s">
        <v>1833</v>
      </c>
    </row>
    <row r="7759" spans="1:2" x14ac:dyDescent="0.25">
      <c r="A7759" t="s">
        <v>2726</v>
      </c>
      <c r="B7759" t="s">
        <v>2726</v>
      </c>
    </row>
    <row r="7760" spans="1:2" x14ac:dyDescent="0.25">
      <c r="A7760" t="s">
        <v>2727</v>
      </c>
      <c r="B7760" t="s">
        <v>2727</v>
      </c>
    </row>
    <row r="7761" spans="1:2" x14ac:dyDescent="0.25">
      <c r="A7761" t="s">
        <v>9836</v>
      </c>
      <c r="B7761" t="s">
        <v>303</v>
      </c>
    </row>
    <row r="7762" spans="1:2" x14ac:dyDescent="0.25">
      <c r="A7762" t="s">
        <v>430</v>
      </c>
      <c r="B7762" t="s">
        <v>429</v>
      </c>
    </row>
    <row r="7763" spans="1:2" x14ac:dyDescent="0.25">
      <c r="A7763" t="s">
        <v>9837</v>
      </c>
      <c r="B7763" t="s">
        <v>2048</v>
      </c>
    </row>
    <row r="7764" spans="1:2" x14ac:dyDescent="0.25">
      <c r="A7764" t="s">
        <v>9838</v>
      </c>
      <c r="B7764" t="s">
        <v>1250</v>
      </c>
    </row>
    <row r="7765" spans="1:2" x14ac:dyDescent="0.25">
      <c r="A7765" t="s">
        <v>88</v>
      </c>
      <c r="B7765" t="s">
        <v>87</v>
      </c>
    </row>
    <row r="7766" spans="1:2" x14ac:dyDescent="0.25">
      <c r="A7766" t="s">
        <v>9839</v>
      </c>
      <c r="B7766" t="s">
        <v>1254</v>
      </c>
    </row>
    <row r="7767" spans="1:2" x14ac:dyDescent="0.25">
      <c r="A7767" t="s">
        <v>1615</v>
      </c>
      <c r="B7767" t="s">
        <v>1614</v>
      </c>
    </row>
    <row r="7768" spans="1:2" x14ac:dyDescent="0.25">
      <c r="A7768" t="s">
        <v>9840</v>
      </c>
      <c r="B7768" t="s">
        <v>68</v>
      </c>
    </row>
    <row r="7769" spans="1:2" x14ac:dyDescent="0.25">
      <c r="A7769" t="s">
        <v>9841</v>
      </c>
      <c r="B7769" t="s">
        <v>9841</v>
      </c>
    </row>
    <row r="7770" spans="1:2" x14ac:dyDescent="0.25">
      <c r="A7770" t="s">
        <v>9842</v>
      </c>
      <c r="B7770" t="s">
        <v>9842</v>
      </c>
    </row>
    <row r="7771" spans="1:2" x14ac:dyDescent="0.25">
      <c r="A7771" t="s">
        <v>9843</v>
      </c>
      <c r="B7771" t="s">
        <v>9843</v>
      </c>
    </row>
    <row r="7772" spans="1:2" x14ac:dyDescent="0.25">
      <c r="A7772" t="s">
        <v>9844</v>
      </c>
      <c r="B7772" t="s">
        <v>9844</v>
      </c>
    </row>
    <row r="7773" spans="1:2" x14ac:dyDescent="0.25">
      <c r="A7773" t="s">
        <v>9845</v>
      </c>
      <c r="B7773" t="s">
        <v>9845</v>
      </c>
    </row>
    <row r="7774" spans="1:2" x14ac:dyDescent="0.25">
      <c r="A7774" t="s">
        <v>9846</v>
      </c>
      <c r="B7774" t="s">
        <v>9846</v>
      </c>
    </row>
    <row r="7775" spans="1:2" x14ac:dyDescent="0.25">
      <c r="A7775" t="s">
        <v>9847</v>
      </c>
      <c r="B7775" t="s">
        <v>9847</v>
      </c>
    </row>
    <row r="7776" spans="1:2" x14ac:dyDescent="0.25">
      <c r="A7776" t="s">
        <v>9848</v>
      </c>
      <c r="B7776" t="s">
        <v>9848</v>
      </c>
    </row>
    <row r="7777" spans="1:2" x14ac:dyDescent="0.25">
      <c r="A7777" t="s">
        <v>9849</v>
      </c>
      <c r="B7777" t="s">
        <v>9849</v>
      </c>
    </row>
    <row r="7778" spans="1:2" x14ac:dyDescent="0.25">
      <c r="A7778" t="s">
        <v>9850</v>
      </c>
      <c r="B7778" t="s">
        <v>9850</v>
      </c>
    </row>
    <row r="7779" spans="1:2" x14ac:dyDescent="0.25">
      <c r="A7779" t="s">
        <v>9851</v>
      </c>
      <c r="B7779" t="s">
        <v>9851</v>
      </c>
    </row>
    <row r="7780" spans="1:2" x14ac:dyDescent="0.25">
      <c r="A7780" t="s">
        <v>9852</v>
      </c>
      <c r="B7780" t="s">
        <v>9852</v>
      </c>
    </row>
    <row r="7781" spans="1:2" x14ac:dyDescent="0.25">
      <c r="A7781" t="s">
        <v>9853</v>
      </c>
      <c r="B7781" t="s">
        <v>9853</v>
      </c>
    </row>
    <row r="7782" spans="1:2" x14ac:dyDescent="0.25">
      <c r="A7782" t="s">
        <v>9854</v>
      </c>
      <c r="B7782" t="s">
        <v>9854</v>
      </c>
    </row>
    <row r="7783" spans="1:2" x14ac:dyDescent="0.25">
      <c r="A7783" t="s">
        <v>9855</v>
      </c>
      <c r="B7783" t="s">
        <v>9855</v>
      </c>
    </row>
    <row r="7784" spans="1:2" x14ac:dyDescent="0.25">
      <c r="A7784" t="s">
        <v>9856</v>
      </c>
      <c r="B7784" t="s">
        <v>9856</v>
      </c>
    </row>
    <row r="7785" spans="1:2" x14ac:dyDescent="0.25">
      <c r="A7785" t="s">
        <v>9857</v>
      </c>
      <c r="B7785" t="s">
        <v>9857</v>
      </c>
    </row>
    <row r="7786" spans="1:2" x14ac:dyDescent="0.25">
      <c r="A7786" t="s">
        <v>9858</v>
      </c>
      <c r="B7786" t="s">
        <v>9858</v>
      </c>
    </row>
    <row r="7787" spans="1:2" x14ac:dyDescent="0.25">
      <c r="A7787" t="s">
        <v>408</v>
      </c>
      <c r="B7787" t="s">
        <v>407</v>
      </c>
    </row>
    <row r="7788" spans="1:2" x14ac:dyDescent="0.25">
      <c r="A7788" t="s">
        <v>1834</v>
      </c>
      <c r="B7788" t="s">
        <v>1833</v>
      </c>
    </row>
    <row r="7789" spans="1:2" x14ac:dyDescent="0.25">
      <c r="A7789" t="s">
        <v>9859</v>
      </c>
      <c r="B7789" t="s">
        <v>9860</v>
      </c>
    </row>
    <row r="7790" spans="1:2" x14ac:dyDescent="0.25">
      <c r="A7790" t="s">
        <v>9861</v>
      </c>
      <c r="B7790" t="s">
        <v>331</v>
      </c>
    </row>
    <row r="7791" spans="1:2" x14ac:dyDescent="0.25">
      <c r="A7791" t="s">
        <v>9862</v>
      </c>
      <c r="B7791" t="s">
        <v>1760</v>
      </c>
    </row>
    <row r="7792" spans="1:2" x14ac:dyDescent="0.25">
      <c r="A7792" t="s">
        <v>9863</v>
      </c>
      <c r="B7792" t="s">
        <v>1130</v>
      </c>
    </row>
    <row r="7793" spans="1:2" x14ac:dyDescent="0.25">
      <c r="A7793" t="s">
        <v>9864</v>
      </c>
      <c r="B7793" t="s">
        <v>6623</v>
      </c>
    </row>
    <row r="7794" spans="1:2" x14ac:dyDescent="0.25">
      <c r="A7794" t="s">
        <v>9865</v>
      </c>
      <c r="B7794" t="s">
        <v>1151</v>
      </c>
    </row>
    <row r="7795" spans="1:2" x14ac:dyDescent="0.25">
      <c r="A7795" t="s">
        <v>9866</v>
      </c>
      <c r="B7795" t="s">
        <v>86</v>
      </c>
    </row>
    <row r="7796" spans="1:2" x14ac:dyDescent="0.25">
      <c r="A7796" t="s">
        <v>9867</v>
      </c>
      <c r="B7796" t="s">
        <v>2406</v>
      </c>
    </row>
    <row r="7797" spans="1:2" x14ac:dyDescent="0.25">
      <c r="A7797" t="s">
        <v>9868</v>
      </c>
      <c r="B7797" t="s">
        <v>1739</v>
      </c>
    </row>
    <row r="7798" spans="1:2" x14ac:dyDescent="0.25">
      <c r="A7798" t="s">
        <v>9869</v>
      </c>
      <c r="B7798" t="s">
        <v>2723</v>
      </c>
    </row>
    <row r="7799" spans="1:2" x14ac:dyDescent="0.25">
      <c r="A7799" t="s">
        <v>3381</v>
      </c>
      <c r="B7799" t="s">
        <v>2723</v>
      </c>
    </row>
    <row r="7800" spans="1:2" x14ac:dyDescent="0.25">
      <c r="A7800" t="s">
        <v>3383</v>
      </c>
      <c r="B7800" t="s">
        <v>2723</v>
      </c>
    </row>
    <row r="7801" spans="1:2" x14ac:dyDescent="0.25">
      <c r="A7801" t="s">
        <v>2728</v>
      </c>
      <c r="B7801" t="s">
        <v>2728</v>
      </c>
    </row>
    <row r="7802" spans="1:2" x14ac:dyDescent="0.25">
      <c r="A7802" t="s">
        <v>2724</v>
      </c>
      <c r="B7802" t="s">
        <v>2724</v>
      </c>
    </row>
    <row r="7803" spans="1:2" x14ac:dyDescent="0.25">
      <c r="A7803" t="s">
        <v>2725</v>
      </c>
      <c r="B7803" t="s">
        <v>2725</v>
      </c>
    </row>
    <row r="7804" spans="1:2" x14ac:dyDescent="0.25">
      <c r="A7804" t="s">
        <v>2729</v>
      </c>
      <c r="B7804" t="s">
        <v>2729</v>
      </c>
    </row>
    <row r="7805" spans="1:2" x14ac:dyDescent="0.25">
      <c r="A7805" t="s">
        <v>9870</v>
      </c>
      <c r="B7805" t="s">
        <v>360</v>
      </c>
    </row>
    <row r="7806" spans="1:2" x14ac:dyDescent="0.25">
      <c r="A7806" t="s">
        <v>9871</v>
      </c>
      <c r="B7806" t="s">
        <v>1278</v>
      </c>
    </row>
    <row r="7807" spans="1:2" x14ac:dyDescent="0.25">
      <c r="A7807" t="s">
        <v>9872</v>
      </c>
      <c r="B7807" t="s">
        <v>360</v>
      </c>
    </row>
    <row r="7808" spans="1:2" x14ac:dyDescent="0.25">
      <c r="A7808" t="s">
        <v>9873</v>
      </c>
      <c r="B7808" t="s">
        <v>1206</v>
      </c>
    </row>
    <row r="7809" spans="1:2" x14ac:dyDescent="0.25">
      <c r="A7809" t="s">
        <v>9874</v>
      </c>
      <c r="B7809" t="s">
        <v>1275</v>
      </c>
    </row>
    <row r="7810" spans="1:2" x14ac:dyDescent="0.25">
      <c r="A7810" t="s">
        <v>9875</v>
      </c>
      <c r="B7810" t="s">
        <v>1281</v>
      </c>
    </row>
    <row r="7811" spans="1:2" x14ac:dyDescent="0.25">
      <c r="A7811" t="s">
        <v>9876</v>
      </c>
      <c r="B7811" t="s">
        <v>362</v>
      </c>
    </row>
    <row r="7812" spans="1:2" x14ac:dyDescent="0.25">
      <c r="A7812" t="s">
        <v>9877</v>
      </c>
      <c r="B7812" t="s">
        <v>362</v>
      </c>
    </row>
    <row r="7813" spans="1:2" x14ac:dyDescent="0.25">
      <c r="A7813" t="s">
        <v>9878</v>
      </c>
      <c r="B7813" t="s">
        <v>9879</v>
      </c>
    </row>
    <row r="7814" spans="1:2" x14ac:dyDescent="0.25">
      <c r="A7814" t="s">
        <v>9880</v>
      </c>
      <c r="B7814" t="s">
        <v>1218</v>
      </c>
    </row>
    <row r="7815" spans="1:2" x14ac:dyDescent="0.25">
      <c r="A7815" t="s">
        <v>9881</v>
      </c>
      <c r="B7815" t="s">
        <v>9882</v>
      </c>
    </row>
    <row r="7816" spans="1:2" x14ac:dyDescent="0.25">
      <c r="A7816" t="s">
        <v>9883</v>
      </c>
      <c r="B7816" t="s">
        <v>988</v>
      </c>
    </row>
    <row r="7817" spans="1:2" x14ac:dyDescent="0.25">
      <c r="A7817" t="s">
        <v>9884</v>
      </c>
      <c r="B7817" t="s">
        <v>9885</v>
      </c>
    </row>
    <row r="7818" spans="1:2" x14ac:dyDescent="0.25">
      <c r="A7818" t="s">
        <v>9886</v>
      </c>
      <c r="B7818" t="s">
        <v>9887</v>
      </c>
    </row>
    <row r="7819" spans="1:2" x14ac:dyDescent="0.25">
      <c r="A7819" t="s">
        <v>9888</v>
      </c>
      <c r="B7819" t="s">
        <v>1571</v>
      </c>
    </row>
    <row r="7820" spans="1:2" x14ac:dyDescent="0.25">
      <c r="A7820" t="s">
        <v>9889</v>
      </c>
      <c r="B7820" t="s">
        <v>62</v>
      </c>
    </row>
    <row r="7821" spans="1:2" x14ac:dyDescent="0.25">
      <c r="A7821" t="s">
        <v>9890</v>
      </c>
      <c r="B7821" t="s">
        <v>356</v>
      </c>
    </row>
    <row r="7822" spans="1:2" x14ac:dyDescent="0.25">
      <c r="A7822" t="s">
        <v>9891</v>
      </c>
      <c r="B7822" t="s">
        <v>1219</v>
      </c>
    </row>
    <row r="7823" spans="1:2" x14ac:dyDescent="0.25">
      <c r="A7823" t="s">
        <v>9892</v>
      </c>
      <c r="B7823" t="s">
        <v>210</v>
      </c>
    </row>
    <row r="7824" spans="1:2" x14ac:dyDescent="0.25">
      <c r="A7824" t="s">
        <v>2173</v>
      </c>
      <c r="B7824" t="s">
        <v>2173</v>
      </c>
    </row>
    <row r="7825" spans="1:2" x14ac:dyDescent="0.25">
      <c r="A7825" t="s">
        <v>9893</v>
      </c>
      <c r="B7825" t="s">
        <v>78</v>
      </c>
    </row>
    <row r="7826" spans="1:2" x14ac:dyDescent="0.25">
      <c r="A7826" t="s">
        <v>9894</v>
      </c>
      <c r="B7826" t="s">
        <v>9895</v>
      </c>
    </row>
    <row r="7827" spans="1:2" x14ac:dyDescent="0.25">
      <c r="A7827" t="s">
        <v>9896</v>
      </c>
      <c r="B7827" t="s">
        <v>157</v>
      </c>
    </row>
    <row r="7828" spans="1:2" x14ac:dyDescent="0.25">
      <c r="A7828" t="s">
        <v>9897</v>
      </c>
      <c r="B7828" t="s">
        <v>1496</v>
      </c>
    </row>
    <row r="7829" spans="1:2" x14ac:dyDescent="0.25">
      <c r="A7829" t="s">
        <v>9898</v>
      </c>
      <c r="B7829" t="s">
        <v>9655</v>
      </c>
    </row>
    <row r="7830" spans="1:2" x14ac:dyDescent="0.25">
      <c r="A7830" t="s">
        <v>9899</v>
      </c>
      <c r="B7830" t="s">
        <v>121</v>
      </c>
    </row>
    <row r="7831" spans="1:2" x14ac:dyDescent="0.25">
      <c r="A7831" t="s">
        <v>9900</v>
      </c>
      <c r="B7831" t="s">
        <v>1105</v>
      </c>
    </row>
    <row r="7832" spans="1:2" x14ac:dyDescent="0.25">
      <c r="A7832" t="s">
        <v>9901</v>
      </c>
      <c r="B7832" t="s">
        <v>1310</v>
      </c>
    </row>
    <row r="7833" spans="1:2" x14ac:dyDescent="0.25">
      <c r="A7833" t="s">
        <v>9902</v>
      </c>
      <c r="B7833" t="s">
        <v>9711</v>
      </c>
    </row>
    <row r="7834" spans="1:2" x14ac:dyDescent="0.25">
      <c r="A7834" t="s">
        <v>9903</v>
      </c>
      <c r="B7834" t="s">
        <v>9655</v>
      </c>
    </row>
    <row r="7835" spans="1:2" x14ac:dyDescent="0.25">
      <c r="A7835" t="s">
        <v>9904</v>
      </c>
      <c r="B7835" t="s">
        <v>9653</v>
      </c>
    </row>
    <row r="7836" spans="1:2" x14ac:dyDescent="0.25">
      <c r="A7836" t="s">
        <v>9905</v>
      </c>
      <c r="B7836" t="s">
        <v>9655</v>
      </c>
    </row>
    <row r="7837" spans="1:2" x14ac:dyDescent="0.25">
      <c r="A7837" t="s">
        <v>9906</v>
      </c>
      <c r="B7837" t="s">
        <v>9653</v>
      </c>
    </row>
    <row r="7838" spans="1:2" x14ac:dyDescent="0.25">
      <c r="A7838" t="s">
        <v>9907</v>
      </c>
      <c r="B7838" t="s">
        <v>1310</v>
      </c>
    </row>
    <row r="7839" spans="1:2" x14ac:dyDescent="0.25">
      <c r="A7839" t="s">
        <v>9908</v>
      </c>
      <c r="B7839" t="s">
        <v>9346</v>
      </c>
    </row>
    <row r="7840" spans="1:2" x14ac:dyDescent="0.25">
      <c r="A7840" t="s">
        <v>9909</v>
      </c>
      <c r="B7840" t="s">
        <v>9660</v>
      </c>
    </row>
    <row r="7841" spans="1:2" x14ac:dyDescent="0.25">
      <c r="A7841" t="s">
        <v>9910</v>
      </c>
      <c r="B7841" t="s">
        <v>9359</v>
      </c>
    </row>
    <row r="7842" spans="1:2" x14ac:dyDescent="0.25">
      <c r="A7842" t="s">
        <v>9911</v>
      </c>
      <c r="B7842" t="s">
        <v>9362</v>
      </c>
    </row>
    <row r="7843" spans="1:2" x14ac:dyDescent="0.25">
      <c r="A7843" t="s">
        <v>9912</v>
      </c>
      <c r="B7843" t="s">
        <v>9355</v>
      </c>
    </row>
    <row r="7844" spans="1:2" x14ac:dyDescent="0.25">
      <c r="A7844" t="s">
        <v>9913</v>
      </c>
      <c r="B7844" t="s">
        <v>155</v>
      </c>
    </row>
    <row r="7845" spans="1:2" x14ac:dyDescent="0.25">
      <c r="A7845" t="s">
        <v>1492</v>
      </c>
      <c r="B7845" t="s">
        <v>1492</v>
      </c>
    </row>
    <row r="7846" spans="1:2" x14ac:dyDescent="0.25">
      <c r="A7846" t="s">
        <v>9914</v>
      </c>
      <c r="B7846" t="s">
        <v>9653</v>
      </c>
    </row>
    <row r="7847" spans="1:2" x14ac:dyDescent="0.25">
      <c r="A7847" t="s">
        <v>9915</v>
      </c>
      <c r="B7847" t="s">
        <v>9653</v>
      </c>
    </row>
    <row r="7848" spans="1:2" x14ac:dyDescent="0.25">
      <c r="A7848" t="s">
        <v>2056</v>
      </c>
      <c r="B7848" t="s">
        <v>2056</v>
      </c>
    </row>
    <row r="7849" spans="1:2" x14ac:dyDescent="0.25">
      <c r="A7849" t="s">
        <v>1330</v>
      </c>
      <c r="B7849" t="s">
        <v>1330</v>
      </c>
    </row>
    <row r="7850" spans="1:2" x14ac:dyDescent="0.25">
      <c r="A7850" t="s">
        <v>1327</v>
      </c>
      <c r="B7850" t="s">
        <v>1327</v>
      </c>
    </row>
    <row r="7851" spans="1:2" x14ac:dyDescent="0.25">
      <c r="A7851" t="s">
        <v>1324</v>
      </c>
      <c r="B7851" t="s">
        <v>1324</v>
      </c>
    </row>
    <row r="7852" spans="1:2" x14ac:dyDescent="0.25">
      <c r="A7852" t="s">
        <v>9916</v>
      </c>
      <c r="B7852" t="s">
        <v>1754</v>
      </c>
    </row>
    <row r="7853" spans="1:2" x14ac:dyDescent="0.25">
      <c r="A7853" t="s">
        <v>9917</v>
      </c>
      <c r="B7853" t="s">
        <v>78</v>
      </c>
    </row>
    <row r="7854" spans="1:2" x14ac:dyDescent="0.25">
      <c r="A7854" t="s">
        <v>9918</v>
      </c>
      <c r="B7854" t="s">
        <v>1333</v>
      </c>
    </row>
    <row r="7855" spans="1:2" x14ac:dyDescent="0.25">
      <c r="A7855" t="s">
        <v>9919</v>
      </c>
      <c r="B7855" t="s">
        <v>2171</v>
      </c>
    </row>
    <row r="7856" spans="1:2" x14ac:dyDescent="0.25">
      <c r="A7856" t="s">
        <v>9920</v>
      </c>
      <c r="B7856" t="s">
        <v>2173</v>
      </c>
    </row>
    <row r="7857" spans="1:2" x14ac:dyDescent="0.25">
      <c r="A7857" t="s">
        <v>9921</v>
      </c>
      <c r="B7857" t="s">
        <v>776</v>
      </c>
    </row>
    <row r="7858" spans="1:2" x14ac:dyDescent="0.25">
      <c r="A7858" t="s">
        <v>9922</v>
      </c>
      <c r="B7858" t="s">
        <v>74</v>
      </c>
    </row>
    <row r="7859" spans="1:2" x14ac:dyDescent="0.25">
      <c r="A7859" t="s">
        <v>3371</v>
      </c>
      <c r="B7859" t="s">
        <v>3371</v>
      </c>
    </row>
    <row r="7860" spans="1:2" x14ac:dyDescent="0.25">
      <c r="A7860" t="s">
        <v>3372</v>
      </c>
      <c r="B7860" t="s">
        <v>3372</v>
      </c>
    </row>
    <row r="7861" spans="1:2" x14ac:dyDescent="0.25">
      <c r="A7861" t="s">
        <v>2733</v>
      </c>
      <c r="B7861" t="s">
        <v>2733</v>
      </c>
    </row>
    <row r="7862" spans="1:2" x14ac:dyDescent="0.25">
      <c r="A7862" t="s">
        <v>2734</v>
      </c>
      <c r="B7862" t="s">
        <v>2734</v>
      </c>
    </row>
    <row r="7863" spans="1:2" x14ac:dyDescent="0.25">
      <c r="A7863" t="s">
        <v>2169</v>
      </c>
      <c r="B7863" t="s">
        <v>2169</v>
      </c>
    </row>
    <row r="7864" spans="1:2" x14ac:dyDescent="0.25">
      <c r="A7864" t="s">
        <v>9923</v>
      </c>
      <c r="B7864" t="s">
        <v>841</v>
      </c>
    </row>
    <row r="7865" spans="1:2" x14ac:dyDescent="0.25">
      <c r="A7865" t="s">
        <v>9924</v>
      </c>
      <c r="B7865" t="s">
        <v>1756</v>
      </c>
    </row>
    <row r="7866" spans="1:2" x14ac:dyDescent="0.25">
      <c r="A7866" t="s">
        <v>9925</v>
      </c>
      <c r="B7866" t="s">
        <v>9405</v>
      </c>
    </row>
    <row r="7867" spans="1:2" x14ac:dyDescent="0.25">
      <c r="A7867" t="s">
        <v>9926</v>
      </c>
      <c r="B7867" t="s">
        <v>108</v>
      </c>
    </row>
    <row r="7868" spans="1:2" x14ac:dyDescent="0.25">
      <c r="A7868" t="s">
        <v>9927</v>
      </c>
      <c r="B7868" t="s">
        <v>9366</v>
      </c>
    </row>
    <row r="7869" spans="1:2" x14ac:dyDescent="0.25">
      <c r="A7869" t="s">
        <v>9928</v>
      </c>
      <c r="B7869" t="s">
        <v>877</v>
      </c>
    </row>
    <row r="7870" spans="1:2" x14ac:dyDescent="0.25">
      <c r="A7870" t="s">
        <v>9929</v>
      </c>
      <c r="B7870" t="s">
        <v>880</v>
      </c>
    </row>
    <row r="7871" spans="1:2" x14ac:dyDescent="0.25">
      <c r="A7871" t="s">
        <v>9930</v>
      </c>
      <c r="B7871" t="s">
        <v>893</v>
      </c>
    </row>
    <row r="7872" spans="1:2" x14ac:dyDescent="0.25">
      <c r="A7872" t="s">
        <v>9931</v>
      </c>
      <c r="B7872" t="s">
        <v>9885</v>
      </c>
    </row>
    <row r="7873" spans="1:2" x14ac:dyDescent="0.25">
      <c r="A7873" t="s">
        <v>9932</v>
      </c>
      <c r="B7873" t="s">
        <v>890</v>
      </c>
    </row>
    <row r="7874" spans="1:2" x14ac:dyDescent="0.25">
      <c r="A7874" t="s">
        <v>9933</v>
      </c>
      <c r="B7874" t="s">
        <v>902</v>
      </c>
    </row>
    <row r="7875" spans="1:2" x14ac:dyDescent="0.25">
      <c r="A7875" t="s">
        <v>9934</v>
      </c>
      <c r="B7875" t="s">
        <v>716</v>
      </c>
    </row>
    <row r="7876" spans="1:2" x14ac:dyDescent="0.25">
      <c r="A7876" t="s">
        <v>9935</v>
      </c>
      <c r="B7876" t="s">
        <v>111</v>
      </c>
    </row>
    <row r="7877" spans="1:2" x14ac:dyDescent="0.25">
      <c r="A7877" t="s">
        <v>9936</v>
      </c>
      <c r="B7877" t="s">
        <v>251</v>
      </c>
    </row>
    <row r="7878" spans="1:2" x14ac:dyDescent="0.25">
      <c r="A7878" t="s">
        <v>9937</v>
      </c>
      <c r="B7878" t="s">
        <v>733</v>
      </c>
    </row>
    <row r="7879" spans="1:2" x14ac:dyDescent="0.25">
      <c r="A7879" t="s">
        <v>2735</v>
      </c>
      <c r="B7879" t="s">
        <v>2735</v>
      </c>
    </row>
    <row r="7880" spans="1:2" x14ac:dyDescent="0.25">
      <c r="A7880" t="s">
        <v>9938</v>
      </c>
      <c r="B7880" t="s">
        <v>315</v>
      </c>
    </row>
    <row r="7881" spans="1:2" x14ac:dyDescent="0.25">
      <c r="A7881" t="s">
        <v>9939</v>
      </c>
      <c r="B7881" t="s">
        <v>1324</v>
      </c>
    </row>
    <row r="7882" spans="1:2" x14ac:dyDescent="0.25">
      <c r="A7882" t="s">
        <v>9940</v>
      </c>
      <c r="B7882" t="s">
        <v>1330</v>
      </c>
    </row>
    <row r="7883" spans="1:2" x14ac:dyDescent="0.25">
      <c r="A7883" t="s">
        <v>9941</v>
      </c>
      <c r="B7883" t="s">
        <v>317</v>
      </c>
    </row>
    <row r="7884" spans="1:2" x14ac:dyDescent="0.25">
      <c r="A7884" t="s">
        <v>9942</v>
      </c>
      <c r="B7884" t="s">
        <v>199</v>
      </c>
    </row>
    <row r="7885" spans="1:2" x14ac:dyDescent="0.25">
      <c r="A7885" t="s">
        <v>9943</v>
      </c>
      <c r="B7885" t="s">
        <v>319</v>
      </c>
    </row>
    <row r="7886" spans="1:2" x14ac:dyDescent="0.25">
      <c r="A7886" t="s">
        <v>9944</v>
      </c>
      <c r="B7886" t="s">
        <v>313</v>
      </c>
    </row>
    <row r="7887" spans="1:2" x14ac:dyDescent="0.25">
      <c r="A7887" t="s">
        <v>9945</v>
      </c>
      <c r="B7887" t="s">
        <v>319</v>
      </c>
    </row>
    <row r="7888" spans="1:2" x14ac:dyDescent="0.25">
      <c r="A7888" t="s">
        <v>9946</v>
      </c>
      <c r="B7888" t="s">
        <v>9947</v>
      </c>
    </row>
    <row r="7889" spans="1:2" x14ac:dyDescent="0.25">
      <c r="A7889" t="s">
        <v>9948</v>
      </c>
      <c r="B7889" t="s">
        <v>173</v>
      </c>
    </row>
    <row r="7890" spans="1:2" x14ac:dyDescent="0.25">
      <c r="A7890" t="s">
        <v>9949</v>
      </c>
      <c r="B7890" t="s">
        <v>1310</v>
      </c>
    </row>
    <row r="7891" spans="1:2" x14ac:dyDescent="0.25">
      <c r="A7891" t="s">
        <v>9950</v>
      </c>
      <c r="B7891" t="s">
        <v>1327</v>
      </c>
    </row>
    <row r="7892" spans="1:2" x14ac:dyDescent="0.25">
      <c r="A7892" t="s">
        <v>9951</v>
      </c>
      <c r="B7892" t="s">
        <v>340</v>
      </c>
    </row>
    <row r="7893" spans="1:2" x14ac:dyDescent="0.25">
      <c r="A7893" t="s">
        <v>1333</v>
      </c>
      <c r="B7893" t="s">
        <v>1333</v>
      </c>
    </row>
    <row r="7894" spans="1:2" x14ac:dyDescent="0.25">
      <c r="A7894" t="s">
        <v>2171</v>
      </c>
      <c r="B7894" t="s">
        <v>2171</v>
      </c>
    </row>
    <row r="7895" spans="1:2" x14ac:dyDescent="0.25">
      <c r="A7895" t="s">
        <v>440</v>
      </c>
      <c r="B7895" s="6" t="s">
        <v>439</v>
      </c>
    </row>
    <row r="7896" spans="1:2" x14ac:dyDescent="0.25">
      <c r="A7896" t="s">
        <v>436</v>
      </c>
      <c r="B7896" s="6" t="s">
        <v>435</v>
      </c>
    </row>
    <row r="7897" spans="1:2" x14ac:dyDescent="0.25">
      <c r="A7897" s="6" t="s">
        <v>2032</v>
      </c>
      <c r="B7897" s="6" t="s">
        <v>2031</v>
      </c>
    </row>
    <row r="7898" spans="1:2" x14ac:dyDescent="0.25">
      <c r="A7898" s="6" t="s">
        <v>1775</v>
      </c>
      <c r="B7898" s="6" t="s">
        <v>1774</v>
      </c>
    </row>
    <row r="7899" spans="1:2" x14ac:dyDescent="0.25">
      <c r="A7899" s="6" t="s">
        <v>2285</v>
      </c>
      <c r="B7899" s="6" t="s">
        <v>2284</v>
      </c>
    </row>
    <row r="7900" spans="1:2" x14ac:dyDescent="0.25">
      <c r="A7900" s="6" t="s">
        <v>946</v>
      </c>
      <c r="B7900" s="6" t="s">
        <v>945</v>
      </c>
    </row>
    <row r="7901" spans="1:2" x14ac:dyDescent="0.25">
      <c r="A7901" s="6" t="s">
        <v>2180</v>
      </c>
      <c r="B7901" s="6" t="s">
        <v>2179</v>
      </c>
    </row>
    <row r="7902" spans="1:2" x14ac:dyDescent="0.25">
      <c r="A7902" t="s">
        <v>9952</v>
      </c>
      <c r="B7902" t="s">
        <v>429</v>
      </c>
    </row>
    <row r="7903" spans="1:2" x14ac:dyDescent="0.25">
      <c r="A7903" t="s">
        <v>9953</v>
      </c>
      <c r="B7903" t="s">
        <v>323</v>
      </c>
    </row>
    <row r="7904" spans="1:2" x14ac:dyDescent="0.25">
      <c r="A7904" t="s">
        <v>444</v>
      </c>
      <c r="B7904" t="s">
        <v>444</v>
      </c>
    </row>
    <row r="7905" spans="1:2" x14ac:dyDescent="0.25">
      <c r="A7905" t="s">
        <v>9954</v>
      </c>
      <c r="B7905" t="s">
        <v>1018</v>
      </c>
    </row>
    <row r="7906" spans="1:2" x14ac:dyDescent="0.25">
      <c r="A7906" t="s">
        <v>9955</v>
      </c>
      <c r="B7906" t="s">
        <v>867</v>
      </c>
    </row>
    <row r="7907" spans="1:2" x14ac:dyDescent="0.25">
      <c r="A7907" t="s">
        <v>9956</v>
      </c>
      <c r="B7907" t="s">
        <v>871</v>
      </c>
    </row>
    <row r="7908" spans="1:2" x14ac:dyDescent="0.25">
      <c r="A7908" t="s">
        <v>9957</v>
      </c>
      <c r="B7908" t="s">
        <v>874</v>
      </c>
    </row>
    <row r="7909" spans="1:2" x14ac:dyDescent="0.25">
      <c r="A7909" t="s">
        <v>2179</v>
      </c>
      <c r="B7909" t="s">
        <v>2179</v>
      </c>
    </row>
    <row r="7910" spans="1:2" x14ac:dyDescent="0.25">
      <c r="A7910" t="s">
        <v>9958</v>
      </c>
      <c r="B7910" t="s">
        <v>2179</v>
      </c>
    </row>
    <row r="7911" spans="1:2" x14ac:dyDescent="0.25">
      <c r="A7911" t="s">
        <v>9959</v>
      </c>
      <c r="B7911" t="s">
        <v>9960</v>
      </c>
    </row>
    <row r="7912" spans="1:2" x14ac:dyDescent="0.25">
      <c r="A7912" t="s">
        <v>9961</v>
      </c>
      <c r="B7912" t="s">
        <v>9962</v>
      </c>
    </row>
    <row r="7913" spans="1:2" x14ac:dyDescent="0.25">
      <c r="A7913" t="s">
        <v>9963</v>
      </c>
      <c r="B7913" t="s">
        <v>456</v>
      </c>
    </row>
    <row r="7914" spans="1:2" x14ac:dyDescent="0.25">
      <c r="A7914" t="s">
        <v>1219</v>
      </c>
      <c r="B7914" t="s">
        <v>1219</v>
      </c>
    </row>
    <row r="7915" spans="1:2" x14ac:dyDescent="0.25">
      <c r="A7915" t="s">
        <v>463</v>
      </c>
      <c r="B7915" t="s">
        <v>462</v>
      </c>
    </row>
    <row r="7916" spans="1:2" x14ac:dyDescent="0.25">
      <c r="A7916" t="s">
        <v>471</v>
      </c>
      <c r="B7916" t="s">
        <v>470</v>
      </c>
    </row>
    <row r="7917" spans="1:2" x14ac:dyDescent="0.25">
      <c r="A7917" t="s">
        <v>9964</v>
      </c>
      <c r="B7917" t="s">
        <v>1324</v>
      </c>
    </row>
    <row r="7918" spans="1:2" x14ac:dyDescent="0.25">
      <c r="A7918" t="s">
        <v>9965</v>
      </c>
      <c r="B7918" t="s">
        <v>1327</v>
      </c>
    </row>
    <row r="7919" spans="1:2" x14ac:dyDescent="0.25">
      <c r="A7919" t="s">
        <v>9966</v>
      </c>
      <c r="B7919" t="s">
        <v>1330</v>
      </c>
    </row>
    <row r="7920" spans="1:2" x14ac:dyDescent="0.25">
      <c r="A7920" t="s">
        <v>1371</v>
      </c>
      <c r="B7920" t="s">
        <v>1371</v>
      </c>
    </row>
    <row r="7921" spans="1:2" x14ac:dyDescent="0.25">
      <c r="A7921" t="s">
        <v>1367</v>
      </c>
      <c r="B7921" t="s">
        <v>1367</v>
      </c>
    </row>
    <row r="7922" spans="1:2" x14ac:dyDescent="0.25">
      <c r="A7922" t="s">
        <v>9967</v>
      </c>
      <c r="B7922" t="s">
        <v>9968</v>
      </c>
    </row>
    <row r="7923" spans="1:2" x14ac:dyDescent="0.25">
      <c r="A7923" t="s">
        <v>1359</v>
      </c>
      <c r="B7923" t="s">
        <v>1359</v>
      </c>
    </row>
    <row r="7924" spans="1:2" x14ac:dyDescent="0.25">
      <c r="A7924" t="s">
        <v>9969</v>
      </c>
      <c r="B7924" t="s">
        <v>354</v>
      </c>
    </row>
    <row r="7925" spans="1:2" x14ac:dyDescent="0.25">
      <c r="A7925" t="s">
        <v>1357</v>
      </c>
      <c r="B7925" t="s">
        <v>1356</v>
      </c>
    </row>
    <row r="7926" spans="1:2" x14ac:dyDescent="0.25">
      <c r="A7926" t="s">
        <v>2178</v>
      </c>
      <c r="B7926" t="s">
        <v>2177</v>
      </c>
    </row>
    <row r="7927" spans="1:2" x14ac:dyDescent="0.25">
      <c r="A7927" t="s">
        <v>1338</v>
      </c>
      <c r="B7927" t="s">
        <v>1337</v>
      </c>
    </row>
    <row r="7928" spans="1:2" x14ac:dyDescent="0.25">
      <c r="A7928" t="s">
        <v>1337</v>
      </c>
      <c r="B7928" t="s">
        <v>1337</v>
      </c>
    </row>
    <row r="7929" spans="1:2" x14ac:dyDescent="0.25">
      <c r="A7929" t="s">
        <v>2177</v>
      </c>
      <c r="B7929" t="s">
        <v>2177</v>
      </c>
    </row>
    <row r="7930" spans="1:2" x14ac:dyDescent="0.25">
      <c r="A7930" t="s">
        <v>1356</v>
      </c>
      <c r="B7930" t="s">
        <v>1356</v>
      </c>
    </row>
    <row r="7931" spans="1:2" x14ac:dyDescent="0.25">
      <c r="A7931" t="s">
        <v>1363</v>
      </c>
      <c r="B7931" t="s">
        <v>1363</v>
      </c>
    </row>
    <row r="7932" spans="1:2" x14ac:dyDescent="0.25">
      <c r="A7932" t="s">
        <v>9557</v>
      </c>
      <c r="B7932" t="s">
        <v>9557</v>
      </c>
    </row>
    <row r="7933" spans="1:2" x14ac:dyDescent="0.25">
      <c r="A7933" t="s">
        <v>1310</v>
      </c>
      <c r="B7933" t="s">
        <v>1310</v>
      </c>
    </row>
    <row r="7934" spans="1:2" x14ac:dyDescent="0.25">
      <c r="A7934" t="s">
        <v>9970</v>
      </c>
      <c r="B7934" t="s">
        <v>9971</v>
      </c>
    </row>
    <row r="7935" spans="1:2" x14ac:dyDescent="0.25">
      <c r="A7935" t="s">
        <v>2153</v>
      </c>
      <c r="B7935" t="s">
        <v>2153</v>
      </c>
    </row>
    <row r="7936" spans="1:2" x14ac:dyDescent="0.25">
      <c r="A7936" t="s">
        <v>2149</v>
      </c>
      <c r="B7936" t="s">
        <v>2149</v>
      </c>
    </row>
    <row r="7937" spans="1:2" x14ac:dyDescent="0.25">
      <c r="A7937" t="s">
        <v>2115</v>
      </c>
      <c r="B7937" t="s">
        <v>2115</v>
      </c>
    </row>
    <row r="7938" spans="1:2" x14ac:dyDescent="0.25">
      <c r="A7938" t="s">
        <v>2121</v>
      </c>
      <c r="B7938" t="s">
        <v>2121</v>
      </c>
    </row>
    <row r="7939" spans="1:2" x14ac:dyDescent="0.25">
      <c r="A7939" t="s">
        <v>9972</v>
      </c>
      <c r="B7939" t="s">
        <v>9973</v>
      </c>
    </row>
    <row r="7940" spans="1:2" x14ac:dyDescent="0.25">
      <c r="A7940" t="s">
        <v>9974</v>
      </c>
      <c r="B7940" t="s">
        <v>9364</v>
      </c>
    </row>
    <row r="7941" spans="1:2" x14ac:dyDescent="0.25">
      <c r="A7941" t="s">
        <v>9975</v>
      </c>
      <c r="B7941" t="s">
        <v>9976</v>
      </c>
    </row>
    <row r="7942" spans="1:2" x14ac:dyDescent="0.25">
      <c r="A7942" t="s">
        <v>9977</v>
      </c>
      <c r="B7942" t="s">
        <v>9978</v>
      </c>
    </row>
    <row r="7943" spans="1:2" x14ac:dyDescent="0.25">
      <c r="A7943" t="s">
        <v>9979</v>
      </c>
      <c r="B7943" t="s">
        <v>9980</v>
      </c>
    </row>
    <row r="7944" spans="1:2" x14ac:dyDescent="0.25">
      <c r="A7944" t="s">
        <v>9981</v>
      </c>
      <c r="B7944" t="s">
        <v>9982</v>
      </c>
    </row>
    <row r="7945" spans="1:2" x14ac:dyDescent="0.25">
      <c r="A7945" t="s">
        <v>9983</v>
      </c>
      <c r="B7945" t="s">
        <v>9984</v>
      </c>
    </row>
    <row r="7946" spans="1:2" x14ac:dyDescent="0.25">
      <c r="A7946" t="s">
        <v>9985</v>
      </c>
      <c r="B7946" t="s">
        <v>9986</v>
      </c>
    </row>
    <row r="7947" spans="1:2" x14ac:dyDescent="0.25">
      <c r="A7947" t="s">
        <v>9987</v>
      </c>
      <c r="B7947" t="s">
        <v>9988</v>
      </c>
    </row>
    <row r="7948" spans="1:2" x14ac:dyDescent="0.25">
      <c r="A7948" t="s">
        <v>9989</v>
      </c>
      <c r="B7948" t="s">
        <v>9990</v>
      </c>
    </row>
    <row r="7949" spans="1:2" x14ac:dyDescent="0.25">
      <c r="A7949" t="s">
        <v>9991</v>
      </c>
      <c r="B7949" t="s">
        <v>9992</v>
      </c>
    </row>
    <row r="7950" spans="1:2" x14ac:dyDescent="0.25">
      <c r="A7950" t="s">
        <v>9993</v>
      </c>
      <c r="B7950" t="s">
        <v>74</v>
      </c>
    </row>
    <row r="7951" spans="1:2" x14ac:dyDescent="0.25">
      <c r="A7951" t="s">
        <v>9994</v>
      </c>
      <c r="B7951" t="s">
        <v>9995</v>
      </c>
    </row>
    <row r="7952" spans="1:2" x14ac:dyDescent="0.25">
      <c r="A7952" t="s">
        <v>9996</v>
      </c>
      <c r="B7952" t="s">
        <v>9997</v>
      </c>
    </row>
    <row r="7953" spans="1:2" x14ac:dyDescent="0.25">
      <c r="A7953" t="s">
        <v>9998</v>
      </c>
      <c r="B7953" t="s">
        <v>1768</v>
      </c>
    </row>
    <row r="7954" spans="1:2" x14ac:dyDescent="0.25">
      <c r="A7954" t="s">
        <v>9999</v>
      </c>
      <c r="B7954" t="s">
        <v>1770</v>
      </c>
    </row>
    <row r="7955" spans="1:2" x14ac:dyDescent="0.25">
      <c r="A7955" t="s">
        <v>10000</v>
      </c>
      <c r="B7955" t="s">
        <v>1772</v>
      </c>
    </row>
    <row r="7956" spans="1:2" x14ac:dyDescent="0.25">
      <c r="A7956" t="s">
        <v>10001</v>
      </c>
      <c r="B7956" t="s">
        <v>1776</v>
      </c>
    </row>
    <row r="7957" spans="1:2" x14ac:dyDescent="0.25">
      <c r="A7957" t="s">
        <v>10002</v>
      </c>
      <c r="B7957" t="s">
        <v>1160</v>
      </c>
    </row>
    <row r="7958" spans="1:2" x14ac:dyDescent="0.25">
      <c r="A7958" t="s">
        <v>10003</v>
      </c>
      <c r="B7958" t="s">
        <v>1167</v>
      </c>
    </row>
    <row r="7959" spans="1:2" x14ac:dyDescent="0.25">
      <c r="A7959" t="s">
        <v>3385</v>
      </c>
      <c r="B7959" t="s">
        <v>3385</v>
      </c>
    </row>
    <row r="7960" spans="1:2" x14ac:dyDescent="0.25">
      <c r="A7960" t="s">
        <v>10004</v>
      </c>
      <c r="B7960" t="s">
        <v>1514</v>
      </c>
    </row>
    <row r="7961" spans="1:2" x14ac:dyDescent="0.25">
      <c r="A7961" t="s">
        <v>10005</v>
      </c>
      <c r="B7961" t="s">
        <v>10006</v>
      </c>
    </row>
    <row r="7962" spans="1:2" x14ac:dyDescent="0.25">
      <c r="A7962" t="s">
        <v>10007</v>
      </c>
      <c r="B7962" t="s">
        <v>10008</v>
      </c>
    </row>
    <row r="7963" spans="1:2" x14ac:dyDescent="0.25">
      <c r="A7963" t="s">
        <v>10009</v>
      </c>
      <c r="B7963" t="s">
        <v>10010</v>
      </c>
    </row>
    <row r="7964" spans="1:2" x14ac:dyDescent="0.25">
      <c r="A7964" t="s">
        <v>10011</v>
      </c>
      <c r="B7964" t="s">
        <v>727</v>
      </c>
    </row>
    <row r="7965" spans="1:2" x14ac:dyDescent="0.25">
      <c r="A7965" t="s">
        <v>10012</v>
      </c>
      <c r="B7965" t="s">
        <v>10013</v>
      </c>
    </row>
    <row r="7966" spans="1:2" x14ac:dyDescent="0.25">
      <c r="A7966" t="s">
        <v>10014</v>
      </c>
      <c r="B7966" t="s">
        <v>10015</v>
      </c>
    </row>
    <row r="7967" spans="1:2" x14ac:dyDescent="0.25">
      <c r="A7967" t="s">
        <v>10016</v>
      </c>
      <c r="B7967" t="s">
        <v>742</v>
      </c>
    </row>
    <row r="7968" spans="1:2" x14ac:dyDescent="0.25">
      <c r="A7968" t="s">
        <v>10017</v>
      </c>
      <c r="B7968" t="s">
        <v>171</v>
      </c>
    </row>
    <row r="7969" spans="1:2" x14ac:dyDescent="0.25">
      <c r="A7969" t="s">
        <v>10018</v>
      </c>
      <c r="B7969" t="s">
        <v>770</v>
      </c>
    </row>
    <row r="7970" spans="1:2" x14ac:dyDescent="0.25">
      <c r="A7970" t="s">
        <v>10019</v>
      </c>
      <c r="B7970" t="s">
        <v>867</v>
      </c>
    </row>
    <row r="7971" spans="1:2" x14ac:dyDescent="0.25">
      <c r="A7971" t="s">
        <v>10020</v>
      </c>
      <c r="B7971" t="s">
        <v>871</v>
      </c>
    </row>
    <row r="7972" spans="1:2" x14ac:dyDescent="0.25">
      <c r="A7972" t="s">
        <v>10021</v>
      </c>
      <c r="B7972" t="s">
        <v>874</v>
      </c>
    </row>
    <row r="7973" spans="1:2" x14ac:dyDescent="0.25">
      <c r="A7973" t="s">
        <v>10022</v>
      </c>
      <c r="B7973" t="s">
        <v>877</v>
      </c>
    </row>
    <row r="7974" spans="1:2" x14ac:dyDescent="0.25">
      <c r="A7974" t="s">
        <v>10023</v>
      </c>
      <c r="B7974" t="s">
        <v>880</v>
      </c>
    </row>
    <row r="7975" spans="1:2" x14ac:dyDescent="0.25">
      <c r="A7975" t="s">
        <v>10024</v>
      </c>
      <c r="B7975" t="s">
        <v>890</v>
      </c>
    </row>
    <row r="7976" spans="1:2" x14ac:dyDescent="0.25">
      <c r="A7976" t="s">
        <v>10025</v>
      </c>
      <c r="B7976" t="s">
        <v>893</v>
      </c>
    </row>
    <row r="7977" spans="1:2" x14ac:dyDescent="0.25">
      <c r="A7977" t="s">
        <v>10026</v>
      </c>
      <c r="B7977" t="s">
        <v>902</v>
      </c>
    </row>
    <row r="7978" spans="1:2" x14ac:dyDescent="0.25">
      <c r="A7978" t="s">
        <v>10027</v>
      </c>
      <c r="B7978" t="s">
        <v>1018</v>
      </c>
    </row>
    <row r="7979" spans="1:2" x14ac:dyDescent="0.25">
      <c r="A7979" t="s">
        <v>10028</v>
      </c>
      <c r="B7979" t="s">
        <v>1742</v>
      </c>
    </row>
    <row r="7980" spans="1:2" x14ac:dyDescent="0.25">
      <c r="A7980" t="s">
        <v>10029</v>
      </c>
      <c r="B7980" t="s">
        <v>202</v>
      </c>
    </row>
    <row r="7981" spans="1:2" x14ac:dyDescent="0.25">
      <c r="A7981" t="s">
        <v>2183</v>
      </c>
      <c r="B7981" t="s">
        <v>2183</v>
      </c>
    </row>
    <row r="7982" spans="1:2" x14ac:dyDescent="0.25">
      <c r="A7982" t="s">
        <v>2185</v>
      </c>
      <c r="B7982" t="s">
        <v>2185</v>
      </c>
    </row>
    <row r="7983" spans="1:2" x14ac:dyDescent="0.25">
      <c r="A7983" t="s">
        <v>475</v>
      </c>
      <c r="B7983" t="s">
        <v>475</v>
      </c>
    </row>
    <row r="7984" spans="1:2" x14ac:dyDescent="0.25">
      <c r="A7984" t="s">
        <v>10030</v>
      </c>
      <c r="B7984" t="s">
        <v>2384</v>
      </c>
    </row>
    <row r="7985" spans="1:2" x14ac:dyDescent="0.25">
      <c r="A7985" t="s">
        <v>10031</v>
      </c>
      <c r="B7985" t="s">
        <v>9357</v>
      </c>
    </row>
    <row r="7986" spans="1:2" x14ac:dyDescent="0.25">
      <c r="A7986" t="s">
        <v>10032</v>
      </c>
      <c r="B7986" t="s">
        <v>9355</v>
      </c>
    </row>
    <row r="7987" spans="1:2" x14ac:dyDescent="0.25">
      <c r="A7987" t="s">
        <v>10033</v>
      </c>
      <c r="B7987" t="s">
        <v>10034</v>
      </c>
    </row>
    <row r="7988" spans="1:2" x14ac:dyDescent="0.25">
      <c r="A7988" t="s">
        <v>10035</v>
      </c>
      <c r="B7988" t="s">
        <v>10036</v>
      </c>
    </row>
    <row r="7989" spans="1:2" x14ac:dyDescent="0.25">
      <c r="A7989" t="s">
        <v>10037</v>
      </c>
      <c r="B7989" t="s">
        <v>10038</v>
      </c>
    </row>
    <row r="7990" spans="1:2" x14ac:dyDescent="0.25">
      <c r="A7990" t="s">
        <v>10039</v>
      </c>
      <c r="B7990" t="s">
        <v>10040</v>
      </c>
    </row>
    <row r="7991" spans="1:2" x14ac:dyDescent="0.25">
      <c r="A7991" t="s">
        <v>10041</v>
      </c>
      <c r="B7991" t="s">
        <v>10042</v>
      </c>
    </row>
    <row r="7992" spans="1:2" x14ac:dyDescent="0.25">
      <c r="A7992" t="s">
        <v>10043</v>
      </c>
      <c r="B7992" t="s">
        <v>10044</v>
      </c>
    </row>
    <row r="7993" spans="1:2" x14ac:dyDescent="0.25">
      <c r="A7993" t="s">
        <v>10045</v>
      </c>
      <c r="B7993" t="s">
        <v>10046</v>
      </c>
    </row>
    <row r="7994" spans="1:2" x14ac:dyDescent="0.25">
      <c r="A7994" t="s">
        <v>10047</v>
      </c>
      <c r="B7994" t="s">
        <v>10048</v>
      </c>
    </row>
    <row r="7995" spans="1:2" x14ac:dyDescent="0.25">
      <c r="A7995" t="s">
        <v>10049</v>
      </c>
      <c r="B7995" t="s">
        <v>10050</v>
      </c>
    </row>
    <row r="7996" spans="1:2" x14ac:dyDescent="0.25">
      <c r="A7996" t="s">
        <v>10051</v>
      </c>
      <c r="B7996" t="s">
        <v>10052</v>
      </c>
    </row>
    <row r="7997" spans="1:2" x14ac:dyDescent="0.25">
      <c r="A7997" t="s">
        <v>10053</v>
      </c>
      <c r="B7997" t="s">
        <v>10054</v>
      </c>
    </row>
    <row r="7998" spans="1:2" x14ac:dyDescent="0.25">
      <c r="A7998" t="s">
        <v>10055</v>
      </c>
      <c r="B7998" t="s">
        <v>10056</v>
      </c>
    </row>
    <row r="7999" spans="1:2" x14ac:dyDescent="0.25">
      <c r="A7999" t="s">
        <v>10057</v>
      </c>
      <c r="B7999" t="s">
        <v>4311</v>
      </c>
    </row>
    <row r="8000" spans="1:2" x14ac:dyDescent="0.25">
      <c r="A8000" t="s">
        <v>10058</v>
      </c>
      <c r="B8000" t="s">
        <v>2190</v>
      </c>
    </row>
    <row r="8001" spans="1:2" x14ac:dyDescent="0.25">
      <c r="A8001" t="s">
        <v>10059</v>
      </c>
      <c r="B8001" t="s">
        <v>2357</v>
      </c>
    </row>
    <row r="8002" spans="1:2" x14ac:dyDescent="0.25">
      <c r="A8002" t="s">
        <v>10060</v>
      </c>
      <c r="B8002" t="s">
        <v>2294</v>
      </c>
    </row>
    <row r="8003" spans="1:2" x14ac:dyDescent="0.25">
      <c r="A8003" t="s">
        <v>10061</v>
      </c>
      <c r="B8003" t="s">
        <v>1752</v>
      </c>
    </row>
    <row r="8004" spans="1:2" x14ac:dyDescent="0.25">
      <c r="A8004" t="s">
        <v>10062</v>
      </c>
      <c r="B8004" t="s">
        <v>773</v>
      </c>
    </row>
    <row r="8005" spans="1:2" x14ac:dyDescent="0.25">
      <c r="A8005" t="s">
        <v>10063</v>
      </c>
      <c r="B8005" t="s">
        <v>2363</v>
      </c>
    </row>
    <row r="8006" spans="1:2" x14ac:dyDescent="0.25">
      <c r="A8006" t="s">
        <v>10064</v>
      </c>
      <c r="B8006" t="s">
        <v>2382</v>
      </c>
    </row>
    <row r="8007" spans="1:2" x14ac:dyDescent="0.25">
      <c r="A8007" t="s">
        <v>10065</v>
      </c>
      <c r="B8007" t="s">
        <v>2383</v>
      </c>
    </row>
    <row r="8008" spans="1:2" x14ac:dyDescent="0.25">
      <c r="A8008" t="s">
        <v>10066</v>
      </c>
      <c r="B8008" t="s">
        <v>1952</v>
      </c>
    </row>
    <row r="8009" spans="1:2" x14ac:dyDescent="0.25">
      <c r="A8009" t="s">
        <v>10067</v>
      </c>
      <c r="B8009" t="s">
        <v>1952</v>
      </c>
    </row>
    <row r="8010" spans="1:2" x14ac:dyDescent="0.25">
      <c r="A8010" t="s">
        <v>10068</v>
      </c>
      <c r="B8010" t="s">
        <v>1952</v>
      </c>
    </row>
    <row r="8011" spans="1:2" x14ac:dyDescent="0.25">
      <c r="A8011" t="s">
        <v>10069</v>
      </c>
      <c r="B8011" t="s">
        <v>1952</v>
      </c>
    </row>
    <row r="8012" spans="1:2" x14ac:dyDescent="0.25">
      <c r="A8012" t="s">
        <v>10070</v>
      </c>
      <c r="B8012" t="s">
        <v>360</v>
      </c>
    </row>
    <row r="8013" spans="1:2" x14ac:dyDescent="0.25">
      <c r="A8013" t="s">
        <v>2181</v>
      </c>
      <c r="B8013" t="s">
        <v>2181</v>
      </c>
    </row>
    <row r="8014" spans="1:2" x14ac:dyDescent="0.25">
      <c r="A8014" t="s">
        <v>10071</v>
      </c>
      <c r="B8014" t="s">
        <v>10071</v>
      </c>
    </row>
    <row r="8015" spans="1:2" x14ac:dyDescent="0.25">
      <c r="A8015" t="s">
        <v>10072</v>
      </c>
      <c r="B8015" t="s">
        <v>10073</v>
      </c>
    </row>
    <row r="8016" spans="1:2" x14ac:dyDescent="0.25">
      <c r="A8016" t="s">
        <v>10074</v>
      </c>
      <c r="B8016" t="s">
        <v>10074</v>
      </c>
    </row>
    <row r="8017" spans="1:2" x14ac:dyDescent="0.25">
      <c r="A8017" t="s">
        <v>10075</v>
      </c>
      <c r="B8017" t="s">
        <v>10075</v>
      </c>
    </row>
    <row r="8018" spans="1:2" x14ac:dyDescent="0.25">
      <c r="A8018" t="s">
        <v>10076</v>
      </c>
      <c r="B8018" t="s">
        <v>10076</v>
      </c>
    </row>
    <row r="8019" spans="1:2" x14ac:dyDescent="0.25">
      <c r="A8019" t="s">
        <v>10077</v>
      </c>
      <c r="B8019" t="s">
        <v>10077</v>
      </c>
    </row>
    <row r="8020" spans="1:2" x14ac:dyDescent="0.25">
      <c r="A8020" t="s">
        <v>10078</v>
      </c>
      <c r="B8020" t="s">
        <v>10078</v>
      </c>
    </row>
    <row r="8021" spans="1:2" x14ac:dyDescent="0.25">
      <c r="A8021" t="s">
        <v>10079</v>
      </c>
      <c r="B8021" t="s">
        <v>10079</v>
      </c>
    </row>
    <row r="8022" spans="1:2" x14ac:dyDescent="0.25">
      <c r="A8022" t="s">
        <v>10080</v>
      </c>
      <c r="B8022" t="s">
        <v>10080</v>
      </c>
    </row>
    <row r="8023" spans="1:2" x14ac:dyDescent="0.25">
      <c r="A8023" t="s">
        <v>10081</v>
      </c>
      <c r="B8023" t="s">
        <v>10082</v>
      </c>
    </row>
    <row r="8024" spans="1:2" x14ac:dyDescent="0.25">
      <c r="A8024" t="s">
        <v>10083</v>
      </c>
      <c r="B8024" t="s">
        <v>10084</v>
      </c>
    </row>
    <row r="8025" spans="1:2" x14ac:dyDescent="0.25">
      <c r="A8025" t="s">
        <v>10085</v>
      </c>
      <c r="B8025" t="s">
        <v>10085</v>
      </c>
    </row>
    <row r="8026" spans="1:2" x14ac:dyDescent="0.25">
      <c r="A8026" t="s">
        <v>10086</v>
      </c>
      <c r="B8026" t="s">
        <v>10087</v>
      </c>
    </row>
    <row r="8027" spans="1:2" x14ac:dyDescent="0.25">
      <c r="A8027" t="s">
        <v>10088</v>
      </c>
      <c r="B8027" t="s">
        <v>10089</v>
      </c>
    </row>
    <row r="8028" spans="1:2" x14ac:dyDescent="0.25">
      <c r="A8028" t="s">
        <v>10090</v>
      </c>
      <c r="B8028" t="s">
        <v>10091</v>
      </c>
    </row>
    <row r="8029" spans="1:2" x14ac:dyDescent="0.25">
      <c r="A8029" t="s">
        <v>10092</v>
      </c>
      <c r="B8029" t="s">
        <v>10093</v>
      </c>
    </row>
    <row r="8030" spans="1:2" x14ac:dyDescent="0.25">
      <c r="A8030" t="s">
        <v>10094</v>
      </c>
      <c r="B8030" t="s">
        <v>10094</v>
      </c>
    </row>
    <row r="8031" spans="1:2" x14ac:dyDescent="0.25">
      <c r="A8031" t="s">
        <v>10095</v>
      </c>
      <c r="B8031" t="s">
        <v>10096</v>
      </c>
    </row>
    <row r="8032" spans="1:2" x14ac:dyDescent="0.25">
      <c r="A8032" t="s">
        <v>10097</v>
      </c>
      <c r="B8032" t="s">
        <v>10098</v>
      </c>
    </row>
    <row r="8033" spans="1:2" x14ac:dyDescent="0.25">
      <c r="A8033" t="s">
        <v>10099</v>
      </c>
      <c r="B8033" t="s">
        <v>10099</v>
      </c>
    </row>
    <row r="8034" spans="1:2" x14ac:dyDescent="0.25">
      <c r="A8034" t="s">
        <v>10100</v>
      </c>
      <c r="B8034" t="s">
        <v>10101</v>
      </c>
    </row>
    <row r="8035" spans="1:2" x14ac:dyDescent="0.25">
      <c r="A8035" t="s">
        <v>10102</v>
      </c>
      <c r="B8035" t="s">
        <v>10103</v>
      </c>
    </row>
    <row r="8036" spans="1:2" x14ac:dyDescent="0.25">
      <c r="A8036" t="s">
        <v>10104</v>
      </c>
      <c r="B8036" t="s">
        <v>10105</v>
      </c>
    </row>
    <row r="8037" spans="1:2" x14ac:dyDescent="0.25">
      <c r="A8037" t="s">
        <v>10106</v>
      </c>
      <c r="B8037" t="s">
        <v>10107</v>
      </c>
    </row>
    <row r="8038" spans="1:2" x14ac:dyDescent="0.25">
      <c r="A8038" t="s">
        <v>10108</v>
      </c>
      <c r="B8038" t="s">
        <v>10109</v>
      </c>
    </row>
    <row r="8039" spans="1:2" x14ac:dyDescent="0.25">
      <c r="A8039" t="s">
        <v>10110</v>
      </c>
      <c r="B8039" t="s">
        <v>10111</v>
      </c>
    </row>
    <row r="8040" spans="1:2" x14ac:dyDescent="0.25">
      <c r="A8040" t="s">
        <v>10112</v>
      </c>
      <c r="B8040" t="s">
        <v>10113</v>
      </c>
    </row>
    <row r="8041" spans="1:2" x14ac:dyDescent="0.25">
      <c r="A8041" t="s">
        <v>10114</v>
      </c>
      <c r="B8041" t="s">
        <v>10115</v>
      </c>
    </row>
    <row r="8042" spans="1:2" x14ac:dyDescent="0.25">
      <c r="A8042" t="s">
        <v>10116</v>
      </c>
      <c r="B8042" t="s">
        <v>10117</v>
      </c>
    </row>
    <row r="8043" spans="1:2" x14ac:dyDescent="0.25">
      <c r="A8043" t="s">
        <v>10118</v>
      </c>
      <c r="B8043" t="s">
        <v>10119</v>
      </c>
    </row>
    <row r="8044" spans="1:2" x14ac:dyDescent="0.25">
      <c r="A8044" t="s">
        <v>10120</v>
      </c>
      <c r="B8044" t="s">
        <v>10121</v>
      </c>
    </row>
    <row r="8045" spans="1:2" x14ac:dyDescent="0.25">
      <c r="A8045" t="s">
        <v>10122</v>
      </c>
      <c r="B8045" t="s">
        <v>10123</v>
      </c>
    </row>
    <row r="8046" spans="1:2" x14ac:dyDescent="0.25">
      <c r="A8046" t="s">
        <v>10124</v>
      </c>
      <c r="B8046" t="s">
        <v>10125</v>
      </c>
    </row>
    <row r="8047" spans="1:2" x14ac:dyDescent="0.25">
      <c r="A8047" t="s">
        <v>10126</v>
      </c>
      <c r="B8047" t="s">
        <v>10127</v>
      </c>
    </row>
    <row r="8048" spans="1:2" x14ac:dyDescent="0.25">
      <c r="A8048" t="s">
        <v>10128</v>
      </c>
      <c r="B8048" t="s">
        <v>10129</v>
      </c>
    </row>
    <row r="8049" spans="1:2" x14ac:dyDescent="0.25">
      <c r="A8049" t="s">
        <v>10130</v>
      </c>
      <c r="B8049" t="s">
        <v>10131</v>
      </c>
    </row>
    <row r="8050" spans="1:2" x14ac:dyDescent="0.25">
      <c r="A8050" t="s">
        <v>10132</v>
      </c>
      <c r="B8050" t="s">
        <v>10133</v>
      </c>
    </row>
    <row r="8051" spans="1:2" x14ac:dyDescent="0.25">
      <c r="A8051" t="s">
        <v>10134</v>
      </c>
      <c r="B8051" t="s">
        <v>10135</v>
      </c>
    </row>
    <row r="8052" spans="1:2" x14ac:dyDescent="0.25">
      <c r="A8052" t="s">
        <v>10136</v>
      </c>
      <c r="B8052" t="s">
        <v>10136</v>
      </c>
    </row>
    <row r="8053" spans="1:2" x14ac:dyDescent="0.25">
      <c r="A8053" t="s">
        <v>10137</v>
      </c>
      <c r="B8053" t="s">
        <v>10137</v>
      </c>
    </row>
    <row r="8054" spans="1:2" x14ac:dyDescent="0.25">
      <c r="A8054" t="s">
        <v>10138</v>
      </c>
      <c r="B8054" t="s">
        <v>10139</v>
      </c>
    </row>
    <row r="8055" spans="1:2" x14ac:dyDescent="0.25">
      <c r="A8055" t="s">
        <v>10140</v>
      </c>
      <c r="B8055" t="s">
        <v>10140</v>
      </c>
    </row>
    <row r="8056" spans="1:2" x14ac:dyDescent="0.25">
      <c r="A8056" t="s">
        <v>10141</v>
      </c>
      <c r="B8056" t="s">
        <v>10141</v>
      </c>
    </row>
    <row r="8057" spans="1:2" x14ac:dyDescent="0.25">
      <c r="A8057" t="s">
        <v>10142</v>
      </c>
      <c r="B8057" t="s">
        <v>10142</v>
      </c>
    </row>
    <row r="8058" spans="1:2" x14ac:dyDescent="0.25">
      <c r="A8058" t="s">
        <v>10143</v>
      </c>
      <c r="B8058" t="s">
        <v>10143</v>
      </c>
    </row>
    <row r="8059" spans="1:2" x14ac:dyDescent="0.25">
      <c r="A8059" t="s">
        <v>10144</v>
      </c>
      <c r="B8059" t="s">
        <v>10144</v>
      </c>
    </row>
    <row r="8060" spans="1:2" x14ac:dyDescent="0.25">
      <c r="A8060" t="s">
        <v>10145</v>
      </c>
      <c r="B8060" t="s">
        <v>10145</v>
      </c>
    </row>
    <row r="8061" spans="1:2" x14ac:dyDescent="0.25">
      <c r="A8061" t="s">
        <v>10146</v>
      </c>
      <c r="B8061" t="s">
        <v>10146</v>
      </c>
    </row>
    <row r="8062" spans="1:2" x14ac:dyDescent="0.25">
      <c r="A8062" t="s">
        <v>10147</v>
      </c>
      <c r="B8062" t="s">
        <v>10147</v>
      </c>
    </row>
    <row r="8063" spans="1:2" x14ac:dyDescent="0.25">
      <c r="A8063" t="s">
        <v>10148</v>
      </c>
      <c r="B8063" t="s">
        <v>10148</v>
      </c>
    </row>
    <row r="8064" spans="1:2" x14ac:dyDescent="0.25">
      <c r="A8064" t="s">
        <v>10149</v>
      </c>
      <c r="B8064" t="s">
        <v>10149</v>
      </c>
    </row>
    <row r="8065" spans="1:2" x14ac:dyDescent="0.25">
      <c r="A8065" t="s">
        <v>10150</v>
      </c>
      <c r="B8065" t="s">
        <v>10150</v>
      </c>
    </row>
    <row r="8066" spans="1:2" x14ac:dyDescent="0.25">
      <c r="A8066" t="s">
        <v>10151</v>
      </c>
      <c r="B8066" t="s">
        <v>10152</v>
      </c>
    </row>
    <row r="8067" spans="1:2" x14ac:dyDescent="0.25">
      <c r="A8067" t="s">
        <v>10153</v>
      </c>
      <c r="B8067" t="s">
        <v>10153</v>
      </c>
    </row>
    <row r="8068" spans="1:2" x14ac:dyDescent="0.25">
      <c r="A8068" t="s">
        <v>10154</v>
      </c>
      <c r="B8068" t="s">
        <v>10155</v>
      </c>
    </row>
    <row r="8069" spans="1:2" x14ac:dyDescent="0.25">
      <c r="A8069" t="s">
        <v>10156</v>
      </c>
      <c r="B8069" t="s">
        <v>10156</v>
      </c>
    </row>
    <row r="8070" spans="1:2" x14ac:dyDescent="0.25">
      <c r="A8070" t="s">
        <v>10157</v>
      </c>
      <c r="B8070" t="s">
        <v>10157</v>
      </c>
    </row>
    <row r="8071" spans="1:2" x14ac:dyDescent="0.25">
      <c r="A8071" t="s">
        <v>10158</v>
      </c>
      <c r="B8071" t="s">
        <v>10158</v>
      </c>
    </row>
    <row r="8072" spans="1:2" x14ac:dyDescent="0.25">
      <c r="A8072" t="s">
        <v>10159</v>
      </c>
      <c r="B8072" t="s">
        <v>10159</v>
      </c>
    </row>
    <row r="8073" spans="1:2" x14ac:dyDescent="0.25">
      <c r="A8073" t="s">
        <v>10160</v>
      </c>
      <c r="B8073" t="s">
        <v>1959</v>
      </c>
    </row>
    <row r="8074" spans="1:2" x14ac:dyDescent="0.25">
      <c r="A8074" t="s">
        <v>10161</v>
      </c>
      <c r="B8074" t="s">
        <v>1059</v>
      </c>
    </row>
    <row r="8075" spans="1:2" x14ac:dyDescent="0.25">
      <c r="A8075" t="s">
        <v>10162</v>
      </c>
      <c r="B8075" t="s">
        <v>1059</v>
      </c>
    </row>
    <row r="8076" spans="1:2" x14ac:dyDescent="0.25">
      <c r="A8076" t="s">
        <v>10163</v>
      </c>
      <c r="B8076" t="s">
        <v>419</v>
      </c>
    </row>
    <row r="8077" spans="1:2" x14ac:dyDescent="0.25">
      <c r="A8077" t="s">
        <v>10164</v>
      </c>
      <c r="B8077" t="s">
        <v>2056</v>
      </c>
    </row>
    <row r="8078" spans="1:2" x14ac:dyDescent="0.25">
      <c r="A8078" t="s">
        <v>10165</v>
      </c>
      <c r="B8078" t="s">
        <v>10166</v>
      </c>
    </row>
    <row r="8079" spans="1:2" x14ac:dyDescent="0.25">
      <c r="A8079" t="s">
        <v>10167</v>
      </c>
      <c r="B8079" t="s">
        <v>2084</v>
      </c>
    </row>
    <row r="8080" spans="1:2" x14ac:dyDescent="0.25">
      <c r="A8080" t="s">
        <v>2738</v>
      </c>
      <c r="B8080" t="s">
        <v>2738</v>
      </c>
    </row>
    <row r="8081" spans="1:2" x14ac:dyDescent="0.25">
      <c r="A8081" t="s">
        <v>10168</v>
      </c>
      <c r="B8081" t="s">
        <v>335</v>
      </c>
    </row>
    <row r="8082" spans="1:2" x14ac:dyDescent="0.25">
      <c r="A8082" t="s">
        <v>10169</v>
      </c>
      <c r="B8082" t="s">
        <v>376</v>
      </c>
    </row>
    <row r="8083" spans="1:2" x14ac:dyDescent="0.25">
      <c r="A8083" t="s">
        <v>10170</v>
      </c>
      <c r="B8083" t="s">
        <v>9355</v>
      </c>
    </row>
    <row r="8084" spans="1:2" x14ac:dyDescent="0.25">
      <c r="A8084" t="s">
        <v>10171</v>
      </c>
      <c r="B8084" t="s">
        <v>376</v>
      </c>
    </row>
    <row r="8085" spans="1:2" x14ac:dyDescent="0.25">
      <c r="A8085" t="s">
        <v>2737</v>
      </c>
      <c r="B8085" t="s">
        <v>2737</v>
      </c>
    </row>
    <row r="8086" spans="1:2" x14ac:dyDescent="0.25">
      <c r="A8086" t="s">
        <v>10172</v>
      </c>
      <c r="B8086" t="s">
        <v>376</v>
      </c>
    </row>
    <row r="8087" spans="1:2" x14ac:dyDescent="0.25">
      <c r="A8087" t="s">
        <v>5764</v>
      </c>
      <c r="B8087" t="s">
        <v>5764</v>
      </c>
    </row>
    <row r="8088" spans="1:2" x14ac:dyDescent="0.25">
      <c r="A8088" t="s">
        <v>5772</v>
      </c>
      <c r="B8088" t="s">
        <v>5772</v>
      </c>
    </row>
    <row r="8089" spans="1:2" x14ac:dyDescent="0.25">
      <c r="A8089" t="s">
        <v>9507</v>
      </c>
      <c r="B8089" t="s">
        <v>9507</v>
      </c>
    </row>
    <row r="8090" spans="1:2" x14ac:dyDescent="0.25">
      <c r="A8090" t="s">
        <v>5835</v>
      </c>
      <c r="B8090" t="s">
        <v>5835</v>
      </c>
    </row>
    <row r="8091" spans="1:2" x14ac:dyDescent="0.25">
      <c r="A8091" t="s">
        <v>5837</v>
      </c>
      <c r="B8091" t="s">
        <v>5837</v>
      </c>
    </row>
    <row r="8092" spans="1:2" x14ac:dyDescent="0.25">
      <c r="A8092" t="s">
        <v>5872</v>
      </c>
      <c r="B8092" t="s">
        <v>5872</v>
      </c>
    </row>
    <row r="8093" spans="1:2" x14ac:dyDescent="0.25">
      <c r="A8093" t="s">
        <v>4807</v>
      </c>
      <c r="B8093" t="s">
        <v>4807</v>
      </c>
    </row>
    <row r="8094" spans="1:2" x14ac:dyDescent="0.25">
      <c r="A8094" t="s">
        <v>9995</v>
      </c>
      <c r="B8094" t="s">
        <v>9995</v>
      </c>
    </row>
    <row r="8095" spans="1:2" x14ac:dyDescent="0.25">
      <c r="A8095" t="s">
        <v>9309</v>
      </c>
      <c r="B8095" t="s">
        <v>9309</v>
      </c>
    </row>
    <row r="8096" spans="1:2" x14ac:dyDescent="0.25">
      <c r="A8096" t="s">
        <v>9978</v>
      </c>
      <c r="B8096" t="s">
        <v>9978</v>
      </c>
    </row>
    <row r="8097" spans="1:2" x14ac:dyDescent="0.25">
      <c r="A8097" t="s">
        <v>9976</v>
      </c>
      <c r="B8097" t="s">
        <v>9976</v>
      </c>
    </row>
    <row r="8098" spans="1:2" x14ac:dyDescent="0.25">
      <c r="A8098" t="s">
        <v>9997</v>
      </c>
      <c r="B8098" t="s">
        <v>9997</v>
      </c>
    </row>
    <row r="8099" spans="1:2" x14ac:dyDescent="0.25">
      <c r="A8099" t="s">
        <v>9116</v>
      </c>
      <c r="B8099" t="s">
        <v>9116</v>
      </c>
    </row>
    <row r="8100" spans="1:2" x14ac:dyDescent="0.25">
      <c r="A8100" t="s">
        <v>9183</v>
      </c>
      <c r="B8100" t="s">
        <v>9183</v>
      </c>
    </row>
    <row r="8101" spans="1:2" x14ac:dyDescent="0.25">
      <c r="A8101" t="s">
        <v>9185</v>
      </c>
      <c r="B8101" t="s">
        <v>9185</v>
      </c>
    </row>
    <row r="8102" spans="1:2" x14ac:dyDescent="0.25">
      <c r="A8102" t="s">
        <v>9118</v>
      </c>
      <c r="B8102" t="s">
        <v>9118</v>
      </c>
    </row>
    <row r="8103" spans="1:2" x14ac:dyDescent="0.25">
      <c r="A8103" t="s">
        <v>9992</v>
      </c>
      <c r="B8103" t="s">
        <v>9992</v>
      </c>
    </row>
    <row r="8104" spans="1:2" x14ac:dyDescent="0.25">
      <c r="A8104" t="s">
        <v>9120</v>
      </c>
      <c r="B8104" t="s">
        <v>9120</v>
      </c>
    </row>
    <row r="8105" spans="1:2" x14ac:dyDescent="0.25">
      <c r="A8105" t="s">
        <v>9990</v>
      </c>
      <c r="B8105" t="s">
        <v>9990</v>
      </c>
    </row>
    <row r="8106" spans="1:2" x14ac:dyDescent="0.25">
      <c r="A8106" t="s">
        <v>9279</v>
      </c>
      <c r="B8106" t="s">
        <v>9279</v>
      </c>
    </row>
    <row r="8107" spans="1:2" x14ac:dyDescent="0.25">
      <c r="A8107" t="s">
        <v>10173</v>
      </c>
      <c r="B8107" t="s">
        <v>10173</v>
      </c>
    </row>
    <row r="8108" spans="1:2" x14ac:dyDescent="0.25">
      <c r="A8108" t="s">
        <v>9988</v>
      </c>
      <c r="B8108" t="s">
        <v>9988</v>
      </c>
    </row>
    <row r="8109" spans="1:2" x14ac:dyDescent="0.25">
      <c r="A8109" t="s">
        <v>9860</v>
      </c>
      <c r="B8109" t="s">
        <v>9860</v>
      </c>
    </row>
    <row r="8110" spans="1:2" x14ac:dyDescent="0.25">
      <c r="A8110" t="s">
        <v>9973</v>
      </c>
      <c r="B8110" t="s">
        <v>9973</v>
      </c>
    </row>
    <row r="8111" spans="1:2" x14ac:dyDescent="0.25">
      <c r="A8111" t="s">
        <v>9986</v>
      </c>
      <c r="B8111" t="s">
        <v>9986</v>
      </c>
    </row>
    <row r="8112" spans="1:2" x14ac:dyDescent="0.25">
      <c r="A8112" t="s">
        <v>9154</v>
      </c>
      <c r="B8112" t="s">
        <v>9154</v>
      </c>
    </row>
    <row r="8113" spans="1:2" x14ac:dyDescent="0.25">
      <c r="A8113" t="s">
        <v>9971</v>
      </c>
      <c r="B8113" t="s">
        <v>9971</v>
      </c>
    </row>
    <row r="8114" spans="1:2" x14ac:dyDescent="0.25">
      <c r="A8114" t="s">
        <v>9984</v>
      </c>
      <c r="B8114" t="s">
        <v>9984</v>
      </c>
    </row>
    <row r="8115" spans="1:2" x14ac:dyDescent="0.25">
      <c r="A8115" t="s">
        <v>9982</v>
      </c>
      <c r="B8115" t="s">
        <v>9982</v>
      </c>
    </row>
    <row r="8116" spans="1:2" x14ac:dyDescent="0.25">
      <c r="A8116" t="s">
        <v>9187</v>
      </c>
      <c r="B8116" t="s">
        <v>9187</v>
      </c>
    </row>
    <row r="8117" spans="1:2" x14ac:dyDescent="0.25">
      <c r="A8117" t="s">
        <v>9960</v>
      </c>
      <c r="B8117" t="s">
        <v>9960</v>
      </c>
    </row>
    <row r="8118" spans="1:2" x14ac:dyDescent="0.25">
      <c r="A8118" t="s">
        <v>9962</v>
      </c>
      <c r="B8118" t="s">
        <v>9962</v>
      </c>
    </row>
    <row r="8119" spans="1:2" x14ac:dyDescent="0.25">
      <c r="A8119" t="s">
        <v>9887</v>
      </c>
      <c r="B8119" t="s">
        <v>9887</v>
      </c>
    </row>
    <row r="8120" spans="1:2" x14ac:dyDescent="0.25">
      <c r="A8120" t="s">
        <v>9491</v>
      </c>
      <c r="B8120" t="s">
        <v>9491</v>
      </c>
    </row>
    <row r="8121" spans="1:2" x14ac:dyDescent="0.25">
      <c r="A8121" t="s">
        <v>4696</v>
      </c>
      <c r="B8121" t="s">
        <v>4696</v>
      </c>
    </row>
    <row r="8122" spans="1:2" x14ac:dyDescent="0.25">
      <c r="A8122" t="s">
        <v>4707</v>
      </c>
      <c r="B8122" t="s">
        <v>4707</v>
      </c>
    </row>
    <row r="8123" spans="1:2" x14ac:dyDescent="0.25">
      <c r="A8123" t="s">
        <v>9337</v>
      </c>
      <c r="B8123" t="s">
        <v>9337</v>
      </c>
    </row>
    <row r="8124" spans="1:2" x14ac:dyDescent="0.25">
      <c r="A8124" t="s">
        <v>9660</v>
      </c>
      <c r="B8124" t="s">
        <v>9660</v>
      </c>
    </row>
    <row r="8125" spans="1:2" x14ac:dyDescent="0.25">
      <c r="A8125" t="s">
        <v>9355</v>
      </c>
      <c r="B8125" t="s">
        <v>9355</v>
      </c>
    </row>
    <row r="8126" spans="1:2" x14ac:dyDescent="0.25">
      <c r="A8126" t="s">
        <v>9711</v>
      </c>
      <c r="B8126" t="s">
        <v>9711</v>
      </c>
    </row>
    <row r="8127" spans="1:2" x14ac:dyDescent="0.25">
      <c r="A8127" t="s">
        <v>9357</v>
      </c>
      <c r="B8127" t="s">
        <v>9357</v>
      </c>
    </row>
    <row r="8128" spans="1:2" x14ac:dyDescent="0.25">
      <c r="A8128" t="s">
        <v>9359</v>
      </c>
      <c r="B8128" t="s">
        <v>9359</v>
      </c>
    </row>
    <row r="8129" spans="1:2" x14ac:dyDescent="0.25">
      <c r="A8129" t="s">
        <v>9362</v>
      </c>
      <c r="B8129" t="s">
        <v>9362</v>
      </c>
    </row>
    <row r="8130" spans="1:2" x14ac:dyDescent="0.25">
      <c r="A8130" t="s">
        <v>9346</v>
      </c>
      <c r="B8130" t="s">
        <v>9346</v>
      </c>
    </row>
    <row r="8131" spans="1:2" x14ac:dyDescent="0.25">
      <c r="A8131" t="s">
        <v>9405</v>
      </c>
      <c r="B8131" t="s">
        <v>9405</v>
      </c>
    </row>
    <row r="8132" spans="1:2" x14ac:dyDescent="0.25">
      <c r="A8132" t="s">
        <v>9364</v>
      </c>
      <c r="B8132" t="s">
        <v>9364</v>
      </c>
    </row>
    <row r="8133" spans="1:2" x14ac:dyDescent="0.25">
      <c r="A8133" t="s">
        <v>9366</v>
      </c>
      <c r="B8133" t="s">
        <v>9366</v>
      </c>
    </row>
    <row r="8134" spans="1:2" x14ac:dyDescent="0.25">
      <c r="A8134" t="s">
        <v>9815</v>
      </c>
      <c r="B8134" t="s">
        <v>9815</v>
      </c>
    </row>
    <row r="8135" spans="1:2" x14ac:dyDescent="0.25">
      <c r="A8135" t="s">
        <v>4195</v>
      </c>
      <c r="B8135" t="s">
        <v>4195</v>
      </c>
    </row>
    <row r="8136" spans="1:2" x14ac:dyDescent="0.25">
      <c r="A8136" t="s">
        <v>4201</v>
      </c>
      <c r="B8136" t="s">
        <v>4201</v>
      </c>
    </row>
    <row r="8137" spans="1:2" x14ac:dyDescent="0.25">
      <c r="A8137" t="s">
        <v>9485</v>
      </c>
      <c r="B8137" t="s">
        <v>9485</v>
      </c>
    </row>
    <row r="8138" spans="1:2" x14ac:dyDescent="0.25">
      <c r="A8138" t="s">
        <v>9525</v>
      </c>
      <c r="B8138" t="s">
        <v>9525</v>
      </c>
    </row>
    <row r="8139" spans="1:2" x14ac:dyDescent="0.25">
      <c r="A8139" t="s">
        <v>9527</v>
      </c>
      <c r="B8139" t="s">
        <v>9527</v>
      </c>
    </row>
    <row r="8140" spans="1:2" x14ac:dyDescent="0.25">
      <c r="A8140" t="s">
        <v>9529</v>
      </c>
      <c r="B8140" t="s">
        <v>9529</v>
      </c>
    </row>
    <row r="8141" spans="1:2" x14ac:dyDescent="0.25">
      <c r="A8141" t="s">
        <v>4230</v>
      </c>
      <c r="B8141" t="s">
        <v>4230</v>
      </c>
    </row>
    <row r="8142" spans="1:2" x14ac:dyDescent="0.25">
      <c r="A8142" t="s">
        <v>7096</v>
      </c>
      <c r="B8142" t="s">
        <v>7096</v>
      </c>
    </row>
    <row r="8143" spans="1:2" x14ac:dyDescent="0.25">
      <c r="A8143" t="s">
        <v>10034</v>
      </c>
      <c r="B8143" t="s">
        <v>10034</v>
      </c>
    </row>
    <row r="8144" spans="1:2" x14ac:dyDescent="0.25">
      <c r="A8144" t="s">
        <v>7098</v>
      </c>
      <c r="B8144" t="s">
        <v>7098</v>
      </c>
    </row>
    <row r="8145" spans="1:2" x14ac:dyDescent="0.25">
      <c r="A8145" t="s">
        <v>10036</v>
      </c>
      <c r="B8145" t="s">
        <v>10036</v>
      </c>
    </row>
    <row r="8146" spans="1:2" x14ac:dyDescent="0.25">
      <c r="A8146" t="s">
        <v>10038</v>
      </c>
      <c r="B8146" t="s">
        <v>10038</v>
      </c>
    </row>
    <row r="8147" spans="1:2" x14ac:dyDescent="0.25">
      <c r="A8147" t="s">
        <v>7121</v>
      </c>
      <c r="B8147" t="s">
        <v>7121</v>
      </c>
    </row>
    <row r="8148" spans="1:2" x14ac:dyDescent="0.25">
      <c r="A8148" t="s">
        <v>7123</v>
      </c>
      <c r="B8148" t="s">
        <v>7123</v>
      </c>
    </row>
    <row r="8149" spans="1:2" x14ac:dyDescent="0.25">
      <c r="A8149" t="s">
        <v>7125</v>
      </c>
      <c r="B8149" t="s">
        <v>7125</v>
      </c>
    </row>
    <row r="8150" spans="1:2" x14ac:dyDescent="0.25">
      <c r="A8150" t="s">
        <v>7127</v>
      </c>
      <c r="B8150" t="s">
        <v>7127</v>
      </c>
    </row>
    <row r="8151" spans="1:2" x14ac:dyDescent="0.25">
      <c r="A8151" t="s">
        <v>7136</v>
      </c>
      <c r="B8151" t="s">
        <v>7136</v>
      </c>
    </row>
    <row r="8152" spans="1:2" x14ac:dyDescent="0.25">
      <c r="A8152" t="s">
        <v>10006</v>
      </c>
      <c r="B8152" t="s">
        <v>10006</v>
      </c>
    </row>
    <row r="8153" spans="1:2" x14ac:dyDescent="0.25">
      <c r="A8153" t="s">
        <v>10008</v>
      </c>
      <c r="B8153" t="s">
        <v>10008</v>
      </c>
    </row>
    <row r="8154" spans="1:2" x14ac:dyDescent="0.25">
      <c r="A8154" t="s">
        <v>10010</v>
      </c>
      <c r="B8154" t="s">
        <v>10010</v>
      </c>
    </row>
    <row r="8155" spans="1:2" x14ac:dyDescent="0.25">
      <c r="A8155" t="s">
        <v>4248</v>
      </c>
      <c r="B8155" t="s">
        <v>4248</v>
      </c>
    </row>
    <row r="8156" spans="1:2" x14ac:dyDescent="0.25">
      <c r="A8156" t="s">
        <v>10013</v>
      </c>
      <c r="B8156" t="s">
        <v>10013</v>
      </c>
    </row>
    <row r="8157" spans="1:2" x14ac:dyDescent="0.25">
      <c r="A8157" t="s">
        <v>10046</v>
      </c>
      <c r="B8157" t="s">
        <v>10046</v>
      </c>
    </row>
    <row r="8158" spans="1:2" x14ac:dyDescent="0.25">
      <c r="A8158" t="s">
        <v>7162</v>
      </c>
      <c r="B8158" t="s">
        <v>7162</v>
      </c>
    </row>
    <row r="8159" spans="1:2" x14ac:dyDescent="0.25">
      <c r="A8159" t="s">
        <v>10015</v>
      </c>
      <c r="B8159" t="s">
        <v>10015</v>
      </c>
    </row>
    <row r="8160" spans="1:2" x14ac:dyDescent="0.25">
      <c r="A8160" t="s">
        <v>7648</v>
      </c>
      <c r="B8160" t="s">
        <v>7648</v>
      </c>
    </row>
    <row r="8161" spans="1:2" x14ac:dyDescent="0.25">
      <c r="A8161" t="s">
        <v>7650</v>
      </c>
      <c r="B8161" t="s">
        <v>7650</v>
      </c>
    </row>
    <row r="8162" spans="1:2" x14ac:dyDescent="0.25">
      <c r="A8162" t="s">
        <v>7668</v>
      </c>
      <c r="B8162" t="s">
        <v>7668</v>
      </c>
    </row>
    <row r="8163" spans="1:2" x14ac:dyDescent="0.25">
      <c r="A8163" t="s">
        <v>7670</v>
      </c>
      <c r="B8163" t="s">
        <v>7670</v>
      </c>
    </row>
    <row r="8164" spans="1:2" x14ac:dyDescent="0.25">
      <c r="A8164" t="s">
        <v>7672</v>
      </c>
      <c r="B8164" t="s">
        <v>7672</v>
      </c>
    </row>
    <row r="8165" spans="1:2" x14ac:dyDescent="0.25">
      <c r="A8165" t="s">
        <v>9885</v>
      </c>
      <c r="B8165" t="s">
        <v>9885</v>
      </c>
    </row>
    <row r="8166" spans="1:2" x14ac:dyDescent="0.25">
      <c r="A8166" t="s">
        <v>9947</v>
      </c>
      <c r="B8166" t="s">
        <v>9947</v>
      </c>
    </row>
    <row r="8167" spans="1:2" x14ac:dyDescent="0.25">
      <c r="A8167" t="s">
        <v>9882</v>
      </c>
      <c r="B8167" t="s">
        <v>9882</v>
      </c>
    </row>
    <row r="8168" spans="1:2" x14ac:dyDescent="0.25">
      <c r="A8168" t="s">
        <v>9879</v>
      </c>
      <c r="B8168" t="s">
        <v>9879</v>
      </c>
    </row>
    <row r="8169" spans="1:2" x14ac:dyDescent="0.25">
      <c r="A8169" t="s">
        <v>7786</v>
      </c>
      <c r="B8169" t="s">
        <v>7786</v>
      </c>
    </row>
    <row r="8170" spans="1:2" x14ac:dyDescent="0.25">
      <c r="A8170" t="s">
        <v>9653</v>
      </c>
      <c r="B8170" t="s">
        <v>9653</v>
      </c>
    </row>
    <row r="8171" spans="1:2" x14ac:dyDescent="0.25">
      <c r="A8171" t="s">
        <v>9655</v>
      </c>
      <c r="B8171" t="s">
        <v>9655</v>
      </c>
    </row>
    <row r="8172" spans="1:2" x14ac:dyDescent="0.25">
      <c r="A8172" t="s">
        <v>7800</v>
      </c>
      <c r="B8172" t="s">
        <v>7800</v>
      </c>
    </row>
    <row r="8173" spans="1:2" x14ac:dyDescent="0.25">
      <c r="A8173" t="s">
        <v>7803</v>
      </c>
      <c r="B8173" t="s">
        <v>7803</v>
      </c>
    </row>
    <row r="8174" spans="1:2" x14ac:dyDescent="0.25">
      <c r="A8174" t="s">
        <v>9755</v>
      </c>
      <c r="B8174" t="s">
        <v>9755</v>
      </c>
    </row>
    <row r="8175" spans="1:2" x14ac:dyDescent="0.25">
      <c r="A8175" t="s">
        <v>4649</v>
      </c>
      <c r="B8175" t="s">
        <v>4649</v>
      </c>
    </row>
    <row r="8176" spans="1:2" x14ac:dyDescent="0.25">
      <c r="A8176" t="s">
        <v>7808</v>
      </c>
      <c r="B8176" t="s">
        <v>7808</v>
      </c>
    </row>
    <row r="8177" spans="1:2" x14ac:dyDescent="0.25">
      <c r="A8177" t="s">
        <v>4651</v>
      </c>
      <c r="B8177" t="s">
        <v>4651</v>
      </c>
    </row>
    <row r="8178" spans="1:2" x14ac:dyDescent="0.25">
      <c r="A8178" t="s">
        <v>9805</v>
      </c>
      <c r="B8178" t="s">
        <v>9805</v>
      </c>
    </row>
    <row r="8179" spans="1:2" x14ac:dyDescent="0.25">
      <c r="A8179" t="s">
        <v>7813</v>
      </c>
      <c r="B8179" t="s">
        <v>7813</v>
      </c>
    </row>
    <row r="8180" spans="1:2" x14ac:dyDescent="0.25">
      <c r="A8180" t="s">
        <v>9807</v>
      </c>
      <c r="B8180" t="s">
        <v>9807</v>
      </c>
    </row>
    <row r="8181" spans="1:2" x14ac:dyDescent="0.25">
      <c r="A8181" t="s">
        <v>4563</v>
      </c>
      <c r="B8181" t="s">
        <v>4563</v>
      </c>
    </row>
    <row r="8182" spans="1:2" x14ac:dyDescent="0.25">
      <c r="A8182" t="s">
        <v>4566</v>
      </c>
      <c r="B8182" t="s">
        <v>4566</v>
      </c>
    </row>
    <row r="8183" spans="1:2" x14ac:dyDescent="0.25">
      <c r="A8183" t="s">
        <v>9495</v>
      </c>
      <c r="B8183" t="s">
        <v>9495</v>
      </c>
    </row>
    <row r="8184" spans="1:2" x14ac:dyDescent="0.25">
      <c r="A8184" t="s">
        <v>4897</v>
      </c>
      <c r="B8184" t="s">
        <v>4897</v>
      </c>
    </row>
    <row r="8185" spans="1:2" x14ac:dyDescent="0.25">
      <c r="A8185" t="s">
        <v>9371</v>
      </c>
      <c r="B8185" t="s">
        <v>9371</v>
      </c>
    </row>
    <row r="8186" spans="1:2" x14ac:dyDescent="0.25">
      <c r="A8186" t="s">
        <v>9381</v>
      </c>
      <c r="B8186" t="s">
        <v>9381</v>
      </c>
    </row>
    <row r="8187" spans="1:2" x14ac:dyDescent="0.25">
      <c r="A8187" t="s">
        <v>9373</v>
      </c>
      <c r="B8187" t="s">
        <v>9373</v>
      </c>
    </row>
    <row r="8188" spans="1:2" x14ac:dyDescent="0.25">
      <c r="A8188" t="s">
        <v>9333</v>
      </c>
      <c r="B8188" t="s">
        <v>9333</v>
      </c>
    </row>
    <row r="8189" spans="1:2" x14ac:dyDescent="0.25">
      <c r="A8189" t="s">
        <v>3386</v>
      </c>
      <c r="B8189" t="s">
        <v>3386</v>
      </c>
    </row>
    <row r="8190" spans="1:2" x14ac:dyDescent="0.25">
      <c r="A8190" t="s">
        <v>8559</v>
      </c>
      <c r="B8190" t="s">
        <v>8559</v>
      </c>
    </row>
    <row r="8191" spans="1:2" x14ac:dyDescent="0.25">
      <c r="A8191" t="s">
        <v>10174</v>
      </c>
      <c r="B8191" t="s">
        <v>10166</v>
      </c>
    </row>
    <row r="8192" spans="1:2" x14ac:dyDescent="0.25">
      <c r="A8192" t="s">
        <v>2739</v>
      </c>
      <c r="B8192" t="s">
        <v>2739</v>
      </c>
    </row>
    <row r="8193" spans="1:2" x14ac:dyDescent="0.25">
      <c r="A8193" t="s">
        <v>2740</v>
      </c>
      <c r="B8193" t="s">
        <v>2740</v>
      </c>
    </row>
    <row r="8194" spans="1:2" x14ac:dyDescent="0.25">
      <c r="A8194" t="s">
        <v>10175</v>
      </c>
      <c r="B8194" t="s">
        <v>419</v>
      </c>
    </row>
    <row r="8195" spans="1:2" x14ac:dyDescent="0.25">
      <c r="A8195" t="s">
        <v>10176</v>
      </c>
      <c r="B8195" t="s">
        <v>10177</v>
      </c>
    </row>
    <row r="8196" spans="1:2" x14ac:dyDescent="0.25">
      <c r="A8196" t="s">
        <v>10178</v>
      </c>
      <c r="B8196" t="s">
        <v>1367</v>
      </c>
    </row>
    <row r="8197" spans="1:2" x14ac:dyDescent="0.25">
      <c r="A8197" t="s">
        <v>10179</v>
      </c>
      <c r="B8197" t="s">
        <v>1371</v>
      </c>
    </row>
    <row r="8198" spans="1:2" x14ac:dyDescent="0.25">
      <c r="A8198" t="s">
        <v>10180</v>
      </c>
      <c r="B8198" t="s">
        <v>1356</v>
      </c>
    </row>
    <row r="8199" spans="1:2" x14ac:dyDescent="0.25">
      <c r="A8199" t="s">
        <v>10181</v>
      </c>
      <c r="B8199" t="s">
        <v>1187</v>
      </c>
    </row>
    <row r="8200" spans="1:2" x14ac:dyDescent="0.25">
      <c r="A8200" t="s">
        <v>10182</v>
      </c>
      <c r="B8200" t="s">
        <v>2057</v>
      </c>
    </row>
    <row r="8201" spans="1:2" x14ac:dyDescent="0.25">
      <c r="A8201" t="s">
        <v>10183</v>
      </c>
      <c r="B8201" t="s">
        <v>2068</v>
      </c>
    </row>
    <row r="8202" spans="1:2" x14ac:dyDescent="0.25">
      <c r="A8202" t="s">
        <v>10184</v>
      </c>
      <c r="B8202" t="s">
        <v>2051</v>
      </c>
    </row>
    <row r="8203" spans="1:2" x14ac:dyDescent="0.25">
      <c r="A8203" t="s">
        <v>10185</v>
      </c>
      <c r="B8203" t="s">
        <v>2048</v>
      </c>
    </row>
    <row r="8204" spans="1:2" x14ac:dyDescent="0.25">
      <c r="A8204" t="s">
        <v>10186</v>
      </c>
      <c r="B8204" t="s">
        <v>1258</v>
      </c>
    </row>
    <row r="8205" spans="1:2" x14ac:dyDescent="0.25">
      <c r="A8205" t="s">
        <v>10187</v>
      </c>
      <c r="B8205" t="s">
        <v>435</v>
      </c>
    </row>
    <row r="8206" spans="1:2" x14ac:dyDescent="0.25">
      <c r="A8206" t="s">
        <v>10188</v>
      </c>
      <c r="B8206" t="s">
        <v>1899</v>
      </c>
    </row>
    <row r="8207" spans="1:2" x14ac:dyDescent="0.25">
      <c r="A8207" t="s">
        <v>10189</v>
      </c>
      <c r="B8207" t="s">
        <v>2183</v>
      </c>
    </row>
    <row r="8208" spans="1:2" x14ac:dyDescent="0.25">
      <c r="A8208" t="s">
        <v>10190</v>
      </c>
      <c r="B8208" t="s">
        <v>2177</v>
      </c>
    </row>
    <row r="8209" spans="1:2" x14ac:dyDescent="0.25">
      <c r="A8209" t="s">
        <v>10191</v>
      </c>
      <c r="B8209" t="s">
        <v>228</v>
      </c>
    </row>
    <row r="8210" spans="1:2" x14ac:dyDescent="0.25">
      <c r="A8210" t="s">
        <v>728</v>
      </c>
      <c r="B8210" t="s">
        <v>727</v>
      </c>
    </row>
    <row r="8211" spans="1:2" x14ac:dyDescent="0.25">
      <c r="A8211" t="s">
        <v>10192</v>
      </c>
      <c r="B8211" t="s">
        <v>2181</v>
      </c>
    </row>
    <row r="8212" spans="1:2" x14ac:dyDescent="0.25">
      <c r="A8212" s="7" t="s">
        <v>10193</v>
      </c>
      <c r="B8212" t="s">
        <v>1167</v>
      </c>
    </row>
    <row r="8213" spans="1:2" x14ac:dyDescent="0.25">
      <c r="A8213" t="s">
        <v>10194</v>
      </c>
      <c r="B8213" t="s">
        <v>151</v>
      </c>
    </row>
    <row r="8214" spans="1:2" x14ac:dyDescent="0.25">
      <c r="A8214" t="s">
        <v>10195</v>
      </c>
      <c r="B8214" t="s">
        <v>159</v>
      </c>
    </row>
    <row r="8215" spans="1:2" x14ac:dyDescent="0.25">
      <c r="A8215" t="s">
        <v>10196</v>
      </c>
      <c r="B8215" t="s">
        <v>180</v>
      </c>
    </row>
    <row r="8216" spans="1:2" x14ac:dyDescent="0.25">
      <c r="A8216" t="s">
        <v>10197</v>
      </c>
      <c r="B8216" t="s">
        <v>187</v>
      </c>
    </row>
    <row r="8217" spans="1:2" x14ac:dyDescent="0.25">
      <c r="A8217" t="s">
        <v>10198</v>
      </c>
      <c r="B8217" t="s">
        <v>1337</v>
      </c>
    </row>
    <row r="8218" spans="1:2" x14ac:dyDescent="0.25">
      <c r="A8218" t="s">
        <v>10199</v>
      </c>
      <c r="B8218" t="s">
        <v>212</v>
      </c>
    </row>
    <row r="8219" spans="1:2" x14ac:dyDescent="0.25">
      <c r="A8219" t="s">
        <v>10200</v>
      </c>
      <c r="B8219" t="s">
        <v>9653</v>
      </c>
    </row>
    <row r="8220" spans="1:2" x14ac:dyDescent="0.25">
      <c r="A8220" t="s">
        <v>10201</v>
      </c>
      <c r="B8220" t="s">
        <v>1973</v>
      </c>
    </row>
    <row r="8221" spans="1:2" x14ac:dyDescent="0.25">
      <c r="A8221" t="s">
        <v>2191</v>
      </c>
      <c r="B8221" t="s">
        <v>2191</v>
      </c>
    </row>
    <row r="8222" spans="1:2" x14ac:dyDescent="0.25">
      <c r="A8222" t="s">
        <v>10202</v>
      </c>
      <c r="B8222" t="s">
        <v>1223</v>
      </c>
    </row>
    <row r="8223" spans="1:2" x14ac:dyDescent="0.25">
      <c r="A8223" t="s">
        <v>10203</v>
      </c>
      <c r="B8223" t="s">
        <v>1227</v>
      </c>
    </row>
    <row r="8224" spans="1:2" x14ac:dyDescent="0.25">
      <c r="A8224" t="s">
        <v>10204</v>
      </c>
      <c r="B8224" t="s">
        <v>1227</v>
      </c>
    </row>
    <row r="8225" spans="1:2" x14ac:dyDescent="0.25">
      <c r="A8225" t="s">
        <v>10205</v>
      </c>
      <c r="B8225" t="s">
        <v>1231</v>
      </c>
    </row>
    <row r="8226" spans="1:2" x14ac:dyDescent="0.25">
      <c r="A8226" t="s">
        <v>10206</v>
      </c>
      <c r="B8226" t="s">
        <v>1359</v>
      </c>
    </row>
    <row r="8227" spans="1:2" x14ac:dyDescent="0.25">
      <c r="A8227" t="s">
        <v>10207</v>
      </c>
      <c r="B8227" t="s">
        <v>352</v>
      </c>
    </row>
    <row r="8228" spans="1:2" x14ac:dyDescent="0.25">
      <c r="A8228" t="s">
        <v>10208</v>
      </c>
      <c r="B8228" t="s">
        <v>419</v>
      </c>
    </row>
    <row r="8229" spans="1:2" x14ac:dyDescent="0.25">
      <c r="A8229" t="s">
        <v>10209</v>
      </c>
      <c r="B8229" t="s">
        <v>423</v>
      </c>
    </row>
    <row r="8230" spans="1:2" x14ac:dyDescent="0.25">
      <c r="A8230" t="s">
        <v>10210</v>
      </c>
      <c r="B8230" t="s">
        <v>2084</v>
      </c>
    </row>
    <row r="8231" spans="1:2" x14ac:dyDescent="0.25">
      <c r="A8231" t="s">
        <v>10211</v>
      </c>
      <c r="B8231" t="s">
        <v>2191</v>
      </c>
    </row>
    <row r="8232" spans="1:2" x14ac:dyDescent="0.25">
      <c r="A8232" t="s">
        <v>10212</v>
      </c>
      <c r="B8232" t="s">
        <v>9568</v>
      </c>
    </row>
    <row r="8233" spans="1:2" x14ac:dyDescent="0.25">
      <c r="A8233" t="s">
        <v>10213</v>
      </c>
      <c r="B8233" t="s">
        <v>421</v>
      </c>
    </row>
    <row r="8234" spans="1:2" x14ac:dyDescent="0.25">
      <c r="A8234" t="s">
        <v>10214</v>
      </c>
      <c r="B8234" t="s">
        <v>425</v>
      </c>
    </row>
    <row r="8235" spans="1:2" x14ac:dyDescent="0.25">
      <c r="A8235" t="s">
        <v>10215</v>
      </c>
      <c r="B8235" t="s">
        <v>9552</v>
      </c>
    </row>
    <row r="8236" spans="1:2" x14ac:dyDescent="0.25">
      <c r="A8236" t="s">
        <v>10216</v>
      </c>
      <c r="B8236" t="s">
        <v>9560</v>
      </c>
    </row>
    <row r="8237" spans="1:2" x14ac:dyDescent="0.25">
      <c r="A8237" t="s">
        <v>10217</v>
      </c>
      <c r="B8237" t="s">
        <v>9555</v>
      </c>
    </row>
    <row r="8238" spans="1:2" x14ac:dyDescent="0.25">
      <c r="A8238" t="s">
        <v>10218</v>
      </c>
      <c r="B8238" t="s">
        <v>9559</v>
      </c>
    </row>
    <row r="8239" spans="1:2" x14ac:dyDescent="0.25">
      <c r="A8239" t="s">
        <v>10219</v>
      </c>
      <c r="B8239" t="s">
        <v>9557</v>
      </c>
    </row>
    <row r="8240" spans="1:2" x14ac:dyDescent="0.25">
      <c r="A8240" t="s">
        <v>10220</v>
      </c>
      <c r="B8240" t="s">
        <v>1231</v>
      </c>
    </row>
    <row r="8241" spans="1:2" x14ac:dyDescent="0.25">
      <c r="A8241" t="s">
        <v>10221</v>
      </c>
      <c r="B8241" t="s">
        <v>1223</v>
      </c>
    </row>
    <row r="8242" spans="1:2" x14ac:dyDescent="0.25">
      <c r="A8242" t="s">
        <v>10222</v>
      </c>
      <c r="B8242" t="s">
        <v>1314</v>
      </c>
    </row>
    <row r="8243" spans="1:2" x14ac:dyDescent="0.25">
      <c r="A8243" t="s">
        <v>10223</v>
      </c>
      <c r="B8243" t="s">
        <v>1363</v>
      </c>
    </row>
    <row r="8244" spans="1:2" x14ac:dyDescent="0.25">
      <c r="A8244" t="s">
        <v>10224</v>
      </c>
      <c r="B8244" t="s">
        <v>280</v>
      </c>
    </row>
    <row r="8245" spans="1:2" x14ac:dyDescent="0.25">
      <c r="A8245" t="s">
        <v>10225</v>
      </c>
      <c r="B8245" t="s">
        <v>333</v>
      </c>
    </row>
    <row r="8246" spans="1:2" x14ac:dyDescent="0.25">
      <c r="A8246" t="s">
        <v>10226</v>
      </c>
      <c r="B8246" t="s">
        <v>113</v>
      </c>
    </row>
    <row r="8247" spans="1:2" x14ac:dyDescent="0.25">
      <c r="A8247" t="s">
        <v>10227</v>
      </c>
      <c r="B8247" t="s">
        <v>146</v>
      </c>
    </row>
    <row r="8248" spans="1:2" x14ac:dyDescent="0.25">
      <c r="A8248" t="s">
        <v>10228</v>
      </c>
      <c r="B8248" t="s">
        <v>60</v>
      </c>
    </row>
    <row r="8249" spans="1:2" x14ac:dyDescent="0.25">
      <c r="A8249" t="s">
        <v>10229</v>
      </c>
      <c r="B8249" t="s">
        <v>76</v>
      </c>
    </row>
    <row r="8250" spans="1:2" x14ac:dyDescent="0.25">
      <c r="A8250" t="s">
        <v>10230</v>
      </c>
      <c r="B8250" t="s">
        <v>135</v>
      </c>
    </row>
    <row r="8251" spans="1:2" x14ac:dyDescent="0.25">
      <c r="A8251" t="s">
        <v>10231</v>
      </c>
      <c r="B8251" t="s">
        <v>135</v>
      </c>
    </row>
    <row r="8252" spans="1:2" x14ac:dyDescent="0.25">
      <c r="A8252" t="s">
        <v>10232</v>
      </c>
      <c r="B8252" t="s">
        <v>142</v>
      </c>
    </row>
    <row r="8253" spans="1:2" x14ac:dyDescent="0.25">
      <c r="A8253" t="s">
        <v>10233</v>
      </c>
      <c r="B8253" t="s">
        <v>142</v>
      </c>
    </row>
    <row r="8254" spans="1:2" x14ac:dyDescent="0.25">
      <c r="A8254" t="s">
        <v>10234</v>
      </c>
      <c r="B8254" t="s">
        <v>144</v>
      </c>
    </row>
    <row r="8255" spans="1:2" x14ac:dyDescent="0.25">
      <c r="A8255" t="s">
        <v>10235</v>
      </c>
      <c r="B8255" t="s">
        <v>144</v>
      </c>
    </row>
    <row r="8256" spans="1:2" x14ac:dyDescent="0.25">
      <c r="A8256" t="s">
        <v>10236</v>
      </c>
      <c r="B8256" t="s">
        <v>187</v>
      </c>
    </row>
    <row r="8257" spans="1:2" x14ac:dyDescent="0.25">
      <c r="A8257" t="s">
        <v>10237</v>
      </c>
      <c r="B8257" t="s">
        <v>206</v>
      </c>
    </row>
    <row r="8258" spans="1:2" x14ac:dyDescent="0.25">
      <c r="A8258" t="s">
        <v>10238</v>
      </c>
      <c r="B8258" t="s">
        <v>212</v>
      </c>
    </row>
    <row r="8259" spans="1:2" x14ac:dyDescent="0.25">
      <c r="A8259" t="s">
        <v>10239</v>
      </c>
      <c r="B8259" t="s">
        <v>220</v>
      </c>
    </row>
    <row r="8260" spans="1:2" x14ac:dyDescent="0.25">
      <c r="A8260" t="s">
        <v>10240</v>
      </c>
      <c r="B8260" t="s">
        <v>263</v>
      </c>
    </row>
    <row r="8261" spans="1:2" x14ac:dyDescent="0.25">
      <c r="A8261" t="s">
        <v>10241</v>
      </c>
      <c r="B8261" t="s">
        <v>263</v>
      </c>
    </row>
    <row r="8262" spans="1:2" x14ac:dyDescent="0.25">
      <c r="A8262" t="s">
        <v>10242</v>
      </c>
      <c r="B8262" t="s">
        <v>263</v>
      </c>
    </row>
    <row r="8263" spans="1:2" x14ac:dyDescent="0.25">
      <c r="A8263" t="s">
        <v>10243</v>
      </c>
      <c r="B8263" t="s">
        <v>263</v>
      </c>
    </row>
    <row r="8264" spans="1:2" x14ac:dyDescent="0.25">
      <c r="A8264" t="s">
        <v>10244</v>
      </c>
      <c r="B8264" t="s">
        <v>265</v>
      </c>
    </row>
    <row r="8265" spans="1:2" x14ac:dyDescent="0.25">
      <c r="A8265" t="s">
        <v>10245</v>
      </c>
      <c r="B8265" t="s">
        <v>265</v>
      </c>
    </row>
    <row r="8266" spans="1:2" x14ac:dyDescent="0.25">
      <c r="A8266" t="s">
        <v>10246</v>
      </c>
      <c r="B8266" t="s">
        <v>284</v>
      </c>
    </row>
    <row r="8267" spans="1:2" x14ac:dyDescent="0.25">
      <c r="A8267" t="s">
        <v>10247</v>
      </c>
      <c r="B8267" t="s">
        <v>288</v>
      </c>
    </row>
    <row r="8268" spans="1:2" x14ac:dyDescent="0.25">
      <c r="A8268" t="s">
        <v>10248</v>
      </c>
      <c r="B8268" t="s">
        <v>290</v>
      </c>
    </row>
    <row r="8269" spans="1:2" x14ac:dyDescent="0.25">
      <c r="A8269" t="s">
        <v>10249</v>
      </c>
      <c r="B8269" t="s">
        <v>867</v>
      </c>
    </row>
    <row r="8270" spans="1:2" x14ac:dyDescent="0.25">
      <c r="A8270" t="s">
        <v>10250</v>
      </c>
      <c r="B8270" t="s">
        <v>874</v>
      </c>
    </row>
    <row r="8271" spans="1:2" x14ac:dyDescent="0.25">
      <c r="A8271" t="s">
        <v>10251</v>
      </c>
      <c r="B8271" t="s">
        <v>877</v>
      </c>
    </row>
    <row r="8272" spans="1:2" x14ac:dyDescent="0.25">
      <c r="A8272" t="s">
        <v>10252</v>
      </c>
      <c r="B8272" t="s">
        <v>313</v>
      </c>
    </row>
    <row r="8273" spans="1:2" x14ac:dyDescent="0.25">
      <c r="A8273" t="s">
        <v>10253</v>
      </c>
      <c r="B8273" t="s">
        <v>317</v>
      </c>
    </row>
    <row r="8274" spans="1:2" x14ac:dyDescent="0.25">
      <c r="A8274" t="s">
        <v>10254</v>
      </c>
      <c r="B8274" t="s">
        <v>319</v>
      </c>
    </row>
    <row r="8275" spans="1:2" x14ac:dyDescent="0.25">
      <c r="A8275" t="s">
        <v>10255</v>
      </c>
      <c r="B8275" t="s">
        <v>323</v>
      </c>
    </row>
    <row r="8276" spans="1:2" x14ac:dyDescent="0.25">
      <c r="A8276" t="s">
        <v>10256</v>
      </c>
      <c r="B8276" t="s">
        <v>331</v>
      </c>
    </row>
    <row r="8277" spans="1:2" x14ac:dyDescent="0.25">
      <c r="A8277" t="s">
        <v>10257</v>
      </c>
      <c r="B8277" t="s">
        <v>931</v>
      </c>
    </row>
    <row r="8278" spans="1:2" x14ac:dyDescent="0.25">
      <c r="A8278" t="s">
        <v>10258</v>
      </c>
      <c r="B8278" t="s">
        <v>1830</v>
      </c>
    </row>
    <row r="8279" spans="1:2" x14ac:dyDescent="0.25">
      <c r="A8279" t="s">
        <v>10259</v>
      </c>
      <c r="B8279" t="s">
        <v>988</v>
      </c>
    </row>
    <row r="8280" spans="1:2" x14ac:dyDescent="0.25">
      <c r="A8280" t="s">
        <v>10260</v>
      </c>
      <c r="B8280" t="s">
        <v>1833</v>
      </c>
    </row>
    <row r="8281" spans="1:2" x14ac:dyDescent="0.25">
      <c r="A8281" t="s">
        <v>10261</v>
      </c>
      <c r="B8281" t="s">
        <v>1042</v>
      </c>
    </row>
    <row r="8282" spans="1:2" x14ac:dyDescent="0.25">
      <c r="A8282" t="s">
        <v>10262</v>
      </c>
      <c r="B8282" t="s">
        <v>1059</v>
      </c>
    </row>
    <row r="8283" spans="1:2" x14ac:dyDescent="0.25">
      <c r="A8283" t="s">
        <v>10263</v>
      </c>
      <c r="B8283" t="s">
        <v>1105</v>
      </c>
    </row>
    <row r="8284" spans="1:2" x14ac:dyDescent="0.25">
      <c r="A8284" t="s">
        <v>10264</v>
      </c>
      <c r="B8284" t="s">
        <v>354</v>
      </c>
    </row>
    <row r="8285" spans="1:2" x14ac:dyDescent="0.25">
      <c r="A8285" t="s">
        <v>10265</v>
      </c>
      <c r="B8285" t="s">
        <v>356</v>
      </c>
    </row>
    <row r="8286" spans="1:2" x14ac:dyDescent="0.25">
      <c r="A8286" t="s">
        <v>10266</v>
      </c>
      <c r="B8286" t="s">
        <v>1959</v>
      </c>
    </row>
    <row r="8287" spans="1:2" x14ac:dyDescent="0.25">
      <c r="A8287" t="s">
        <v>10267</v>
      </c>
      <c r="B8287" t="s">
        <v>1157</v>
      </c>
    </row>
    <row r="8288" spans="1:2" x14ac:dyDescent="0.25">
      <c r="A8288" t="s">
        <v>10268</v>
      </c>
      <c r="B8288" t="s">
        <v>1973</v>
      </c>
    </row>
    <row r="8289" spans="1:2" x14ac:dyDescent="0.25">
      <c r="A8289" t="s">
        <v>10269</v>
      </c>
      <c r="B8289" t="s">
        <v>378</v>
      </c>
    </row>
    <row r="8290" spans="1:2" x14ac:dyDescent="0.25">
      <c r="A8290" t="s">
        <v>10270</v>
      </c>
      <c r="B8290" t="s">
        <v>2031</v>
      </c>
    </row>
    <row r="8291" spans="1:2" x14ac:dyDescent="0.25">
      <c r="A8291" t="s">
        <v>10271</v>
      </c>
      <c r="B8291" t="s">
        <v>1206</v>
      </c>
    </row>
    <row r="8292" spans="1:2" x14ac:dyDescent="0.25">
      <c r="A8292" t="s">
        <v>10272</v>
      </c>
      <c r="B8292" t="s">
        <v>1210</v>
      </c>
    </row>
    <row r="8293" spans="1:2" x14ac:dyDescent="0.25">
      <c r="A8293" t="s">
        <v>10273</v>
      </c>
      <c r="B8293" t="s">
        <v>2069</v>
      </c>
    </row>
    <row r="8294" spans="1:2" x14ac:dyDescent="0.25">
      <c r="A8294" t="s">
        <v>10274</v>
      </c>
      <c r="B8294" t="s">
        <v>2071</v>
      </c>
    </row>
    <row r="8295" spans="1:2" x14ac:dyDescent="0.25">
      <c r="A8295" t="s">
        <v>10275</v>
      </c>
      <c r="B8295" t="s">
        <v>442</v>
      </c>
    </row>
    <row r="8296" spans="1:2" x14ac:dyDescent="0.25">
      <c r="A8296" t="s">
        <v>10276</v>
      </c>
      <c r="B8296" t="s">
        <v>2075</v>
      </c>
    </row>
    <row r="8297" spans="1:2" x14ac:dyDescent="0.25">
      <c r="A8297" t="s">
        <v>10277</v>
      </c>
      <c r="B8297" t="s">
        <v>2078</v>
      </c>
    </row>
    <row r="8298" spans="1:2" x14ac:dyDescent="0.25">
      <c r="A8298" t="s">
        <v>10278</v>
      </c>
      <c r="B8298" t="s">
        <v>2080</v>
      </c>
    </row>
    <row r="8299" spans="1:2" x14ac:dyDescent="0.25">
      <c r="A8299" t="s">
        <v>10279</v>
      </c>
      <c r="B8299" t="s">
        <v>444</v>
      </c>
    </row>
    <row r="8300" spans="1:2" x14ac:dyDescent="0.25">
      <c r="A8300" t="s">
        <v>10280</v>
      </c>
      <c r="B8300" t="s">
        <v>2084</v>
      </c>
    </row>
    <row r="8301" spans="1:2" x14ac:dyDescent="0.25">
      <c r="A8301" t="s">
        <v>446</v>
      </c>
      <c r="B8301" t="s">
        <v>446</v>
      </c>
    </row>
    <row r="8302" spans="1:2" x14ac:dyDescent="0.25">
      <c r="A8302" t="s">
        <v>10281</v>
      </c>
      <c r="B8302" t="s">
        <v>450</v>
      </c>
    </row>
    <row r="8303" spans="1:2" x14ac:dyDescent="0.25">
      <c r="A8303" t="s">
        <v>10282</v>
      </c>
      <c r="B8303" t="s">
        <v>452</v>
      </c>
    </row>
    <row r="8304" spans="1:2" x14ac:dyDescent="0.25">
      <c r="A8304" t="s">
        <v>10283</v>
      </c>
      <c r="B8304" t="s">
        <v>456</v>
      </c>
    </row>
    <row r="8305" spans="1:2" x14ac:dyDescent="0.25">
      <c r="A8305" t="s">
        <v>10284</v>
      </c>
      <c r="B8305" t="s">
        <v>456</v>
      </c>
    </row>
    <row r="8306" spans="1:2" x14ac:dyDescent="0.25">
      <c r="A8306" t="s">
        <v>458</v>
      </c>
      <c r="B8306" t="s">
        <v>458</v>
      </c>
    </row>
    <row r="8307" spans="1:2" x14ac:dyDescent="0.25">
      <c r="A8307" t="s">
        <v>460</v>
      </c>
      <c r="B8307" t="s">
        <v>460</v>
      </c>
    </row>
    <row r="8308" spans="1:2" x14ac:dyDescent="0.25">
      <c r="A8308" t="s">
        <v>462</v>
      </c>
      <c r="B8308" t="s">
        <v>462</v>
      </c>
    </row>
    <row r="8309" spans="1:2" x14ac:dyDescent="0.25">
      <c r="A8309" t="s">
        <v>464</v>
      </c>
      <c r="B8309" t="s">
        <v>464</v>
      </c>
    </row>
    <row r="8310" spans="1:2" x14ac:dyDescent="0.25">
      <c r="A8310" t="s">
        <v>470</v>
      </c>
      <c r="B8310" t="s">
        <v>470</v>
      </c>
    </row>
    <row r="8311" spans="1:2" x14ac:dyDescent="0.25">
      <c r="A8311" t="s">
        <v>10285</v>
      </c>
      <c r="B8311" t="s">
        <v>2056</v>
      </c>
    </row>
    <row r="8312" spans="1:2" x14ac:dyDescent="0.25">
      <c r="A8312" t="s">
        <v>10286</v>
      </c>
      <c r="B8312" t="s">
        <v>1324</v>
      </c>
    </row>
    <row r="8313" spans="1:2" x14ac:dyDescent="0.25">
      <c r="A8313" t="s">
        <v>10287</v>
      </c>
      <c r="B8313" t="s">
        <v>1327</v>
      </c>
    </row>
    <row r="8314" spans="1:2" x14ac:dyDescent="0.25">
      <c r="A8314" t="s">
        <v>10288</v>
      </c>
      <c r="B8314" t="s">
        <v>1330</v>
      </c>
    </row>
    <row r="8315" spans="1:2" x14ac:dyDescent="0.25">
      <c r="A8315" t="s">
        <v>473</v>
      </c>
      <c r="B8315" t="s">
        <v>473</v>
      </c>
    </row>
    <row r="8316" spans="1:2" x14ac:dyDescent="0.25">
      <c r="A8316" t="s">
        <v>2175</v>
      </c>
      <c r="B8316" t="s">
        <v>2175</v>
      </c>
    </row>
    <row r="8317" spans="1:2" x14ac:dyDescent="0.25">
      <c r="A8317" t="s">
        <v>2176</v>
      </c>
      <c r="B8317" t="s">
        <v>2176</v>
      </c>
    </row>
    <row r="8318" spans="1:2" x14ac:dyDescent="0.25">
      <c r="A8318" t="s">
        <v>474</v>
      </c>
      <c r="B8318" t="s">
        <v>474</v>
      </c>
    </row>
    <row r="8319" spans="1:2" x14ac:dyDescent="0.25">
      <c r="A8319" t="s">
        <v>1340</v>
      </c>
      <c r="B8319" t="s">
        <v>1340</v>
      </c>
    </row>
    <row r="8320" spans="1:2" x14ac:dyDescent="0.25">
      <c r="A8320" t="s">
        <v>1344</v>
      </c>
      <c r="B8320" t="s">
        <v>1344</v>
      </c>
    </row>
    <row r="8321" spans="1:2" x14ac:dyDescent="0.25">
      <c r="A8321" t="s">
        <v>1348</v>
      </c>
      <c r="B8321" t="s">
        <v>1348</v>
      </c>
    </row>
    <row r="8322" spans="1:2" x14ac:dyDescent="0.25">
      <c r="A8322" t="s">
        <v>1352</v>
      </c>
      <c r="B8322" t="s">
        <v>1352</v>
      </c>
    </row>
    <row r="8323" spans="1:2" x14ac:dyDescent="0.25">
      <c r="A8323" t="s">
        <v>10289</v>
      </c>
      <c r="B8323" t="s">
        <v>1356</v>
      </c>
    </row>
    <row r="8324" spans="1:2" x14ac:dyDescent="0.25">
      <c r="A8324" t="s">
        <v>10290</v>
      </c>
      <c r="B8324" t="s">
        <v>1356</v>
      </c>
    </row>
    <row r="8325" spans="1:2" x14ac:dyDescent="0.25">
      <c r="A8325" t="s">
        <v>10291</v>
      </c>
      <c r="B8325" t="s">
        <v>1359</v>
      </c>
    </row>
    <row r="8326" spans="1:2" x14ac:dyDescent="0.25">
      <c r="A8326" t="s">
        <v>10292</v>
      </c>
      <c r="B8326" t="s">
        <v>1363</v>
      </c>
    </row>
    <row r="8327" spans="1:2" x14ac:dyDescent="0.25">
      <c r="A8327" t="s">
        <v>10293</v>
      </c>
      <c r="B8327" t="s">
        <v>1367</v>
      </c>
    </row>
    <row r="8328" spans="1:2" x14ac:dyDescent="0.25">
      <c r="A8328" t="s">
        <v>10294</v>
      </c>
      <c r="B8328" t="s">
        <v>1371</v>
      </c>
    </row>
    <row r="8329" spans="1:2" x14ac:dyDescent="0.25">
      <c r="A8329" t="s">
        <v>10295</v>
      </c>
      <c r="B8329" t="s">
        <v>1964</v>
      </c>
    </row>
    <row r="8330" spans="1:2" x14ac:dyDescent="0.25">
      <c r="A8330" t="s">
        <v>10296</v>
      </c>
      <c r="B8330" t="s">
        <v>2034</v>
      </c>
    </row>
    <row r="8331" spans="1:2" x14ac:dyDescent="0.25">
      <c r="A8331" t="s">
        <v>10297</v>
      </c>
      <c r="B8331" t="s">
        <v>1219</v>
      </c>
    </row>
    <row r="8332" spans="1:2" x14ac:dyDescent="0.25">
      <c r="A8332" t="s">
        <v>10298</v>
      </c>
      <c r="B8332" t="s">
        <v>1266</v>
      </c>
    </row>
    <row r="8333" spans="1:2" x14ac:dyDescent="0.25">
      <c r="A8333" t="s">
        <v>10299</v>
      </c>
      <c r="B8333" t="s">
        <v>325</v>
      </c>
    </row>
    <row r="8334" spans="1:2" x14ac:dyDescent="0.25">
      <c r="A8334" t="s">
        <v>10300</v>
      </c>
      <c r="B8334" t="s">
        <v>325</v>
      </c>
    </row>
    <row r="8335" spans="1:2" x14ac:dyDescent="0.25">
      <c r="A8335" t="s">
        <v>10301</v>
      </c>
      <c r="B8335" t="s">
        <v>87</v>
      </c>
    </row>
    <row r="8336" spans="1:2" x14ac:dyDescent="0.25">
      <c r="A8336" t="s">
        <v>10302</v>
      </c>
      <c r="B8336" t="s">
        <v>10303</v>
      </c>
    </row>
    <row r="8337" spans="1:2" x14ac:dyDescent="0.25">
      <c r="A8337" t="s">
        <v>10304</v>
      </c>
      <c r="B8337" t="s">
        <v>4201</v>
      </c>
    </row>
    <row r="8338" spans="1:2" x14ac:dyDescent="0.25">
      <c r="A8338" t="s">
        <v>10305</v>
      </c>
      <c r="B8338" t="s">
        <v>111</v>
      </c>
    </row>
    <row r="8339" spans="1:2" x14ac:dyDescent="0.25">
      <c r="A8339" t="s">
        <v>10306</v>
      </c>
      <c r="B8339" t="s">
        <v>356</v>
      </c>
    </row>
    <row r="8340" spans="1:2" x14ac:dyDescent="0.25">
      <c r="A8340" t="s">
        <v>10307</v>
      </c>
      <c r="B8340" t="s">
        <v>10307</v>
      </c>
    </row>
    <row r="8341" spans="1:2" x14ac:dyDescent="0.25">
      <c r="A8341" t="s">
        <v>10308</v>
      </c>
      <c r="B8341" t="s">
        <v>10308</v>
      </c>
    </row>
    <row r="8342" spans="1:2" x14ac:dyDescent="0.25">
      <c r="A8342" t="s">
        <v>10309</v>
      </c>
      <c r="B8342" t="s">
        <v>10309</v>
      </c>
    </row>
    <row r="8343" spans="1:2" x14ac:dyDescent="0.25">
      <c r="A8343" t="s">
        <v>10310</v>
      </c>
      <c r="B8343" t="s">
        <v>10310</v>
      </c>
    </row>
    <row r="8344" spans="1:2" x14ac:dyDescent="0.25">
      <c r="A8344" t="s">
        <v>10166</v>
      </c>
      <c r="B8344" t="s">
        <v>10166</v>
      </c>
    </row>
    <row r="8345" spans="1:2" x14ac:dyDescent="0.25">
      <c r="A8345" t="s">
        <v>10311</v>
      </c>
      <c r="B8345" t="s">
        <v>9346</v>
      </c>
    </row>
    <row r="8346" spans="1:2" x14ac:dyDescent="0.25">
      <c r="A8346" t="s">
        <v>10312</v>
      </c>
      <c r="B8346" t="s">
        <v>9357</v>
      </c>
    </row>
    <row r="8347" spans="1:2" x14ac:dyDescent="0.25">
      <c r="A8347" t="s">
        <v>10313</v>
      </c>
      <c r="B8347" t="s">
        <v>9337</v>
      </c>
    </row>
    <row r="8348" spans="1:2" x14ac:dyDescent="0.25">
      <c r="A8348" t="s">
        <v>2995</v>
      </c>
      <c r="B8348" t="s">
        <v>2995</v>
      </c>
    </row>
    <row r="8349" spans="1:2" x14ac:dyDescent="0.25">
      <c r="A8349" t="s">
        <v>10314</v>
      </c>
      <c r="B8349" t="s">
        <v>356</v>
      </c>
    </row>
    <row r="8350" spans="1:2" x14ac:dyDescent="0.25">
      <c r="A8350" t="s">
        <v>10315</v>
      </c>
      <c r="B8350" t="s">
        <v>1206</v>
      </c>
    </row>
    <row r="8351" spans="1:2" x14ac:dyDescent="0.25">
      <c r="A8351" t="s">
        <v>10316</v>
      </c>
      <c r="B8351" t="s">
        <v>104</v>
      </c>
    </row>
    <row r="8352" spans="1:2" x14ac:dyDescent="0.25">
      <c r="A8352" t="s">
        <v>10317</v>
      </c>
      <c r="B8352" t="s">
        <v>113</v>
      </c>
    </row>
    <row r="8353" spans="1:2" x14ac:dyDescent="0.25">
      <c r="A8353" t="s">
        <v>10318</v>
      </c>
      <c r="B8353" t="s">
        <v>243</v>
      </c>
    </row>
    <row r="8354" spans="1:2" x14ac:dyDescent="0.25">
      <c r="A8354" t="s">
        <v>10319</v>
      </c>
      <c r="B8354" t="s">
        <v>9739</v>
      </c>
    </row>
    <row r="8355" spans="1:2" x14ac:dyDescent="0.25">
      <c r="A8355" t="s">
        <v>10320</v>
      </c>
      <c r="B8355" t="s">
        <v>9767</v>
      </c>
    </row>
    <row r="8356" spans="1:2" x14ac:dyDescent="0.25">
      <c r="A8356" t="s">
        <v>10321</v>
      </c>
      <c r="B8356" t="s">
        <v>9801</v>
      </c>
    </row>
    <row r="8357" spans="1:2" x14ac:dyDescent="0.25">
      <c r="A8357" t="s">
        <v>422</v>
      </c>
      <c r="B8357" t="s">
        <v>421</v>
      </c>
    </row>
    <row r="8358" spans="1:2" x14ac:dyDescent="0.25">
      <c r="A8358" t="s">
        <v>10322</v>
      </c>
      <c r="B8358" t="s">
        <v>4195</v>
      </c>
    </row>
    <row r="8359" spans="1:2" x14ac:dyDescent="0.25">
      <c r="A8359" t="s">
        <v>10323</v>
      </c>
      <c r="B8359" t="s">
        <v>113</v>
      </c>
    </row>
    <row r="8360" spans="1:2" x14ac:dyDescent="0.25">
      <c r="A8360" t="s">
        <v>10324</v>
      </c>
      <c r="B8360" t="s">
        <v>4199</v>
      </c>
    </row>
    <row r="8361" spans="1:2" x14ac:dyDescent="0.25">
      <c r="A8361" t="s">
        <v>10325</v>
      </c>
      <c r="B8361" t="s">
        <v>4204</v>
      </c>
    </row>
    <row r="8362" spans="1:2" x14ac:dyDescent="0.25">
      <c r="A8362" t="s">
        <v>10326</v>
      </c>
      <c r="B8362" t="s">
        <v>4206</v>
      </c>
    </row>
    <row r="8363" spans="1:2" x14ac:dyDescent="0.25">
      <c r="A8363" t="s">
        <v>10327</v>
      </c>
      <c r="B8363" t="s">
        <v>115</v>
      </c>
    </row>
    <row r="8364" spans="1:2" x14ac:dyDescent="0.25">
      <c r="A8364" t="s">
        <v>10328</v>
      </c>
      <c r="B8364" t="s">
        <v>720</v>
      </c>
    </row>
    <row r="8365" spans="1:2" x14ac:dyDescent="0.25">
      <c r="A8365" t="s">
        <v>10329</v>
      </c>
      <c r="B8365" t="s">
        <v>2183</v>
      </c>
    </row>
    <row r="8366" spans="1:2" x14ac:dyDescent="0.25">
      <c r="A8366" t="s">
        <v>10330</v>
      </c>
      <c r="B8366" t="s">
        <v>1506</v>
      </c>
    </row>
    <row r="8367" spans="1:2" x14ac:dyDescent="0.25">
      <c r="A8367" t="s">
        <v>10331</v>
      </c>
      <c r="B8367" t="s">
        <v>108</v>
      </c>
    </row>
    <row r="8368" spans="1:2" x14ac:dyDescent="0.25">
      <c r="A8368" t="s">
        <v>10332</v>
      </c>
      <c r="B8368" t="s">
        <v>825</v>
      </c>
    </row>
    <row r="8369" spans="1:2" x14ac:dyDescent="0.25">
      <c r="A8369" t="s">
        <v>10333</v>
      </c>
      <c r="B8369" t="s">
        <v>4943</v>
      </c>
    </row>
    <row r="8370" spans="1:2" x14ac:dyDescent="0.25">
      <c r="A8370" t="s">
        <v>10334</v>
      </c>
      <c r="B8370" t="s">
        <v>2075</v>
      </c>
    </row>
    <row r="8371" spans="1:2" x14ac:dyDescent="0.25">
      <c r="A8371" t="s">
        <v>10335</v>
      </c>
      <c r="B8371" t="s">
        <v>2075</v>
      </c>
    </row>
    <row r="8372" spans="1:2" x14ac:dyDescent="0.25">
      <c r="A8372" t="s">
        <v>10336</v>
      </c>
      <c r="B8372" t="s">
        <v>2075</v>
      </c>
    </row>
    <row r="8373" spans="1:2" x14ac:dyDescent="0.25">
      <c r="A8373" t="s">
        <v>10337</v>
      </c>
      <c r="B8373" t="s">
        <v>2078</v>
      </c>
    </row>
    <row r="8374" spans="1:2" x14ac:dyDescent="0.25">
      <c r="A8374" t="s">
        <v>10338</v>
      </c>
      <c r="B8374" t="s">
        <v>2078</v>
      </c>
    </row>
    <row r="8375" spans="1:2" x14ac:dyDescent="0.25">
      <c r="A8375" t="s">
        <v>10339</v>
      </c>
      <c r="B8375" t="s">
        <v>2078</v>
      </c>
    </row>
    <row r="8376" spans="1:2" x14ac:dyDescent="0.25">
      <c r="A8376" t="s">
        <v>10340</v>
      </c>
      <c r="B8376" t="s">
        <v>2080</v>
      </c>
    </row>
    <row r="8377" spans="1:2" x14ac:dyDescent="0.25">
      <c r="A8377" t="s">
        <v>10341</v>
      </c>
      <c r="B8377" t="s">
        <v>2080</v>
      </c>
    </row>
    <row r="8378" spans="1:2" x14ac:dyDescent="0.25">
      <c r="A8378" t="s">
        <v>10342</v>
      </c>
      <c r="B8378" t="s">
        <v>2080</v>
      </c>
    </row>
    <row r="8379" spans="1:2" x14ac:dyDescent="0.25">
      <c r="A8379" t="s">
        <v>10343</v>
      </c>
      <c r="B8379" t="s">
        <v>2082</v>
      </c>
    </row>
    <row r="8380" spans="1:2" x14ac:dyDescent="0.25">
      <c r="A8380" t="s">
        <v>10344</v>
      </c>
      <c r="B8380" t="s">
        <v>2082</v>
      </c>
    </row>
    <row r="8381" spans="1:2" x14ac:dyDescent="0.25">
      <c r="A8381" t="s">
        <v>10345</v>
      </c>
      <c r="B8381" t="s">
        <v>2082</v>
      </c>
    </row>
    <row r="8382" spans="1:2" x14ac:dyDescent="0.25">
      <c r="A8382" t="s">
        <v>10346</v>
      </c>
      <c r="B8382" t="s">
        <v>818</v>
      </c>
    </row>
    <row r="8383" spans="1:2" x14ac:dyDescent="0.25">
      <c r="A8383" t="s">
        <v>10347</v>
      </c>
      <c r="B8383" t="s">
        <v>1760</v>
      </c>
    </row>
    <row r="8384" spans="1:2" x14ac:dyDescent="0.25">
      <c r="A8384" t="s">
        <v>10348</v>
      </c>
      <c r="B8384" t="s">
        <v>2886</v>
      </c>
    </row>
    <row r="8385" spans="1:2" x14ac:dyDescent="0.25">
      <c r="A8385" t="s">
        <v>10349</v>
      </c>
      <c r="B8385" t="s">
        <v>985</v>
      </c>
    </row>
    <row r="8386" spans="1:2" x14ac:dyDescent="0.25">
      <c r="A8386" t="s">
        <v>10350</v>
      </c>
      <c r="B8386" t="s">
        <v>338</v>
      </c>
    </row>
    <row r="8387" spans="1:2" x14ac:dyDescent="0.25">
      <c r="A8387" t="s">
        <v>10351</v>
      </c>
      <c r="B8387" t="s">
        <v>1848</v>
      </c>
    </row>
    <row r="8388" spans="1:2" x14ac:dyDescent="0.25">
      <c r="A8388" t="s">
        <v>10352</v>
      </c>
      <c r="B8388" t="s">
        <v>1081</v>
      </c>
    </row>
    <row r="8389" spans="1:2" x14ac:dyDescent="0.25">
      <c r="A8389" t="s">
        <v>10353</v>
      </c>
      <c r="B8389" t="s">
        <v>1145</v>
      </c>
    </row>
    <row r="8390" spans="1:2" x14ac:dyDescent="0.25">
      <c r="A8390" t="s">
        <v>10354</v>
      </c>
      <c r="B8390" t="s">
        <v>1148</v>
      </c>
    </row>
    <row r="8391" spans="1:2" x14ac:dyDescent="0.25">
      <c r="A8391" t="s">
        <v>10355</v>
      </c>
      <c r="B8391" t="s">
        <v>1160</v>
      </c>
    </row>
    <row r="8392" spans="1:2" x14ac:dyDescent="0.25">
      <c r="A8392" t="s">
        <v>10356</v>
      </c>
      <c r="B8392" t="s">
        <v>1223</v>
      </c>
    </row>
    <row r="8393" spans="1:2" x14ac:dyDescent="0.25">
      <c r="A8393" t="s">
        <v>10357</v>
      </c>
      <c r="B8393" t="s">
        <v>10358</v>
      </c>
    </row>
    <row r="8394" spans="1:2" x14ac:dyDescent="0.25">
      <c r="A8394" t="s">
        <v>10359</v>
      </c>
      <c r="B8394" t="s">
        <v>10360</v>
      </c>
    </row>
    <row r="8395" spans="1:2" x14ac:dyDescent="0.25">
      <c r="A8395" t="s">
        <v>10361</v>
      </c>
      <c r="B8395" t="s">
        <v>10362</v>
      </c>
    </row>
    <row r="8396" spans="1:2" x14ac:dyDescent="0.25">
      <c r="A8396" t="s">
        <v>10363</v>
      </c>
      <c r="B8396" t="s">
        <v>10364</v>
      </c>
    </row>
    <row r="8397" spans="1:2" x14ac:dyDescent="0.25">
      <c r="A8397" t="s">
        <v>10365</v>
      </c>
      <c r="B8397" t="s">
        <v>10366</v>
      </c>
    </row>
    <row r="8398" spans="1:2" x14ac:dyDescent="0.25">
      <c r="A8398" t="s">
        <v>10367</v>
      </c>
      <c r="B8398" t="s">
        <v>10368</v>
      </c>
    </row>
    <row r="8399" spans="1:2" x14ac:dyDescent="0.25">
      <c r="A8399" t="s">
        <v>10369</v>
      </c>
      <c r="B8399" t="s">
        <v>9783</v>
      </c>
    </row>
    <row r="8400" spans="1:2" x14ac:dyDescent="0.25">
      <c r="A8400" t="s">
        <v>10370</v>
      </c>
      <c r="B8400" t="s">
        <v>10371</v>
      </c>
    </row>
    <row r="8401" spans="1:2" x14ac:dyDescent="0.25">
      <c r="A8401" t="s">
        <v>10372</v>
      </c>
      <c r="B8401" t="s">
        <v>9801</v>
      </c>
    </row>
    <row r="8402" spans="1:2" x14ac:dyDescent="0.25">
      <c r="A8402" t="s">
        <v>10373</v>
      </c>
      <c r="B8402" t="s">
        <v>10374</v>
      </c>
    </row>
    <row r="8403" spans="1:2" x14ac:dyDescent="0.25">
      <c r="A8403" t="s">
        <v>10375</v>
      </c>
      <c r="B8403" t="s">
        <v>1324</v>
      </c>
    </row>
    <row r="8404" spans="1:2" x14ac:dyDescent="0.25">
      <c r="A8404" t="s">
        <v>10376</v>
      </c>
      <c r="B8404" t="s">
        <v>1327</v>
      </c>
    </row>
    <row r="8405" spans="1:2" x14ac:dyDescent="0.25">
      <c r="A8405" t="s">
        <v>10377</v>
      </c>
      <c r="B8405" t="s">
        <v>1330</v>
      </c>
    </row>
    <row r="8406" spans="1:2" x14ac:dyDescent="0.25">
      <c r="A8406" t="s">
        <v>10378</v>
      </c>
      <c r="B8406" t="s">
        <v>844</v>
      </c>
    </row>
    <row r="8407" spans="1:2" x14ac:dyDescent="0.25">
      <c r="A8407" t="s">
        <v>10379</v>
      </c>
      <c r="B8407" t="s">
        <v>2391</v>
      </c>
    </row>
    <row r="8408" spans="1:2" x14ac:dyDescent="0.25">
      <c r="A8408" t="s">
        <v>10380</v>
      </c>
      <c r="B8408" t="s">
        <v>988</v>
      </c>
    </row>
    <row r="8409" spans="1:2" x14ac:dyDescent="0.25">
      <c r="A8409" t="s">
        <v>10381</v>
      </c>
      <c r="B8409" t="s">
        <v>340</v>
      </c>
    </row>
    <row r="8410" spans="1:2" x14ac:dyDescent="0.25">
      <c r="A8410" t="s">
        <v>10382</v>
      </c>
      <c r="B8410" t="s">
        <v>1059</v>
      </c>
    </row>
    <row r="8411" spans="1:2" x14ac:dyDescent="0.25">
      <c r="A8411" t="s">
        <v>10383</v>
      </c>
      <c r="B8411" t="s">
        <v>1114</v>
      </c>
    </row>
    <row r="8412" spans="1:2" x14ac:dyDescent="0.25">
      <c r="A8412" t="s">
        <v>10384</v>
      </c>
      <c r="B8412" t="s">
        <v>1130</v>
      </c>
    </row>
    <row r="8413" spans="1:2" x14ac:dyDescent="0.25">
      <c r="A8413" t="s">
        <v>10385</v>
      </c>
      <c r="B8413" t="s">
        <v>1136</v>
      </c>
    </row>
    <row r="8414" spans="1:2" x14ac:dyDescent="0.25">
      <c r="A8414" t="s">
        <v>10386</v>
      </c>
      <c r="B8414" t="s">
        <v>1959</v>
      </c>
    </row>
    <row r="8415" spans="1:2" x14ac:dyDescent="0.25">
      <c r="A8415" t="s">
        <v>10387</v>
      </c>
      <c r="B8415" t="s">
        <v>1964</v>
      </c>
    </row>
    <row r="8416" spans="1:2" x14ac:dyDescent="0.25">
      <c r="A8416" t="s">
        <v>10388</v>
      </c>
      <c r="B8416" t="s">
        <v>2031</v>
      </c>
    </row>
    <row r="8417" spans="1:2" x14ac:dyDescent="0.25">
      <c r="A8417" t="s">
        <v>10389</v>
      </c>
      <c r="B8417" t="s">
        <v>2034</v>
      </c>
    </row>
    <row r="8418" spans="1:2" x14ac:dyDescent="0.25">
      <c r="A8418" t="s">
        <v>10390</v>
      </c>
      <c r="B8418" t="s">
        <v>1247</v>
      </c>
    </row>
    <row r="8419" spans="1:2" x14ac:dyDescent="0.25">
      <c r="A8419" t="s">
        <v>10391</v>
      </c>
      <c r="B8419" t="s">
        <v>9691</v>
      </c>
    </row>
    <row r="8420" spans="1:2" x14ac:dyDescent="0.25">
      <c r="A8420" t="s">
        <v>10392</v>
      </c>
      <c r="B8420" t="s">
        <v>9760</v>
      </c>
    </row>
    <row r="8421" spans="1:2" x14ac:dyDescent="0.25">
      <c r="A8421" t="s">
        <v>10393</v>
      </c>
      <c r="B8421" t="s">
        <v>9747</v>
      </c>
    </row>
    <row r="8422" spans="1:2" x14ac:dyDescent="0.25">
      <c r="A8422" t="s">
        <v>10394</v>
      </c>
      <c r="B8422" t="s">
        <v>9762</v>
      </c>
    </row>
    <row r="8423" spans="1:2" x14ac:dyDescent="0.25">
      <c r="A8423" t="s">
        <v>10395</v>
      </c>
      <c r="B8423" t="s">
        <v>9819</v>
      </c>
    </row>
    <row r="8424" spans="1:2" x14ac:dyDescent="0.25">
      <c r="A8424" t="s">
        <v>10396</v>
      </c>
      <c r="B8424" t="s">
        <v>9777</v>
      </c>
    </row>
    <row r="8425" spans="1:2" x14ac:dyDescent="0.25">
      <c r="A8425" t="s">
        <v>10397</v>
      </c>
      <c r="B8425" t="s">
        <v>9779</v>
      </c>
    </row>
    <row r="8426" spans="1:2" x14ac:dyDescent="0.25">
      <c r="A8426" t="s">
        <v>10398</v>
      </c>
      <c r="B8426" t="s">
        <v>9797</v>
      </c>
    </row>
    <row r="8427" spans="1:2" x14ac:dyDescent="0.25">
      <c r="A8427" t="s">
        <v>10399</v>
      </c>
      <c r="B8427" t="s">
        <v>9758</v>
      </c>
    </row>
    <row r="8428" spans="1:2" x14ac:dyDescent="0.25">
      <c r="A8428" t="s">
        <v>10400</v>
      </c>
      <c r="B8428" t="s">
        <v>9793</v>
      </c>
    </row>
    <row r="8429" spans="1:2" x14ac:dyDescent="0.25">
      <c r="A8429" t="s">
        <v>10401</v>
      </c>
      <c r="B8429" t="s">
        <v>1941</v>
      </c>
    </row>
    <row r="8430" spans="1:2" x14ac:dyDescent="0.25">
      <c r="A8430" t="s">
        <v>10402</v>
      </c>
      <c r="B8430" t="s">
        <v>1943</v>
      </c>
    </row>
    <row r="8431" spans="1:2" x14ac:dyDescent="0.25">
      <c r="A8431" t="s">
        <v>10403</v>
      </c>
      <c r="B8431" t="s">
        <v>2060</v>
      </c>
    </row>
    <row r="8432" spans="1:2" x14ac:dyDescent="0.25">
      <c r="A8432" t="s">
        <v>10404</v>
      </c>
      <c r="B8432" t="s">
        <v>1955</v>
      </c>
    </row>
    <row r="8433" spans="1:2" x14ac:dyDescent="0.25">
      <c r="A8433" t="s">
        <v>1292</v>
      </c>
      <c r="B8433" t="s">
        <v>1292</v>
      </c>
    </row>
    <row r="8434" spans="1:2" x14ac:dyDescent="0.25">
      <c r="A8434" t="s">
        <v>2992</v>
      </c>
      <c r="B8434" t="s">
        <v>2992</v>
      </c>
    </row>
    <row r="8435" spans="1:2" x14ac:dyDescent="0.25">
      <c r="A8435" t="s">
        <v>10405</v>
      </c>
      <c r="B8435" t="s">
        <v>2370</v>
      </c>
    </row>
    <row r="8436" spans="1:2" x14ac:dyDescent="0.25">
      <c r="A8436" t="s">
        <v>10406</v>
      </c>
      <c r="B8436" t="s">
        <v>2722</v>
      </c>
    </row>
    <row r="8437" spans="1:2" x14ac:dyDescent="0.25">
      <c r="A8437" t="s">
        <v>10407</v>
      </c>
      <c r="B8437" t="s">
        <v>2048</v>
      </c>
    </row>
    <row r="8438" spans="1:2" x14ac:dyDescent="0.25">
      <c r="A8438" t="s">
        <v>2996</v>
      </c>
      <c r="B8438" t="s">
        <v>2996</v>
      </c>
    </row>
    <row r="8439" spans="1:2" x14ac:dyDescent="0.25">
      <c r="A8439" t="s">
        <v>10408</v>
      </c>
      <c r="B8439" t="s">
        <v>348</v>
      </c>
    </row>
    <row r="8440" spans="1:2" x14ac:dyDescent="0.25">
      <c r="A8440" t="s">
        <v>10409</v>
      </c>
      <c r="B8440" t="s">
        <v>2802</v>
      </c>
    </row>
    <row r="8441" spans="1:2" x14ac:dyDescent="0.25">
      <c r="A8441" t="s">
        <v>10410</v>
      </c>
      <c r="B8441" t="s">
        <v>2880</v>
      </c>
    </row>
    <row r="8442" spans="1:2" x14ac:dyDescent="0.25">
      <c r="A8442" t="s">
        <v>10411</v>
      </c>
      <c r="B8442" t="s">
        <v>2538</v>
      </c>
    </row>
    <row r="8443" spans="1:2" x14ac:dyDescent="0.25">
      <c r="A8443" t="s">
        <v>10412</v>
      </c>
      <c r="B8443" t="s">
        <v>770</v>
      </c>
    </row>
    <row r="8444" spans="1:2" x14ac:dyDescent="0.25">
      <c r="A8444" t="s">
        <v>10413</v>
      </c>
      <c r="B8444" t="s">
        <v>2786</v>
      </c>
    </row>
    <row r="8445" spans="1:2" x14ac:dyDescent="0.25">
      <c r="A8445" t="s">
        <v>10414</v>
      </c>
      <c r="B8445" t="s">
        <v>2902</v>
      </c>
    </row>
    <row r="8446" spans="1:2" x14ac:dyDescent="0.25">
      <c r="A8446" t="s">
        <v>10415</v>
      </c>
      <c r="B8446" t="s">
        <v>3184</v>
      </c>
    </row>
    <row r="8447" spans="1:2" x14ac:dyDescent="0.25">
      <c r="A8447" t="s">
        <v>10416</v>
      </c>
      <c r="B8447" t="s">
        <v>3065</v>
      </c>
    </row>
    <row r="8448" spans="1:2" x14ac:dyDescent="0.25">
      <c r="A8448" t="s">
        <v>10417</v>
      </c>
      <c r="B8448" t="s">
        <v>2804</v>
      </c>
    </row>
    <row r="8449" spans="1:2" x14ac:dyDescent="0.25">
      <c r="A8449" t="s">
        <v>10418</v>
      </c>
      <c r="B8449" t="s">
        <v>3110</v>
      </c>
    </row>
    <row r="8450" spans="1:2" x14ac:dyDescent="0.25">
      <c r="A8450" t="s">
        <v>10419</v>
      </c>
      <c r="B8450" t="s">
        <v>1706</v>
      </c>
    </row>
    <row r="8451" spans="1:2" x14ac:dyDescent="0.25">
      <c r="A8451" t="s">
        <v>10420</v>
      </c>
      <c r="B8451" t="s">
        <v>2846</v>
      </c>
    </row>
    <row r="8452" spans="1:2" x14ac:dyDescent="0.25">
      <c r="A8452" t="s">
        <v>10421</v>
      </c>
      <c r="B8452" t="s">
        <v>3108</v>
      </c>
    </row>
    <row r="8453" spans="1:2" x14ac:dyDescent="0.25">
      <c r="A8453" t="s">
        <v>10422</v>
      </c>
      <c r="B8453" t="s">
        <v>1579</v>
      </c>
    </row>
    <row r="8454" spans="1:2" x14ac:dyDescent="0.25">
      <c r="A8454" t="s">
        <v>10423</v>
      </c>
      <c r="B8454" t="s">
        <v>171</v>
      </c>
    </row>
    <row r="8455" spans="1:2" x14ac:dyDescent="0.25">
      <c r="A8455" t="s">
        <v>10424</v>
      </c>
      <c r="B8455" t="s">
        <v>2284</v>
      </c>
    </row>
    <row r="8456" spans="1:2" x14ac:dyDescent="0.25">
      <c r="A8456" t="s">
        <v>10425</v>
      </c>
      <c r="B8456" t="s">
        <v>2539</v>
      </c>
    </row>
    <row r="8457" spans="1:2" x14ac:dyDescent="0.25">
      <c r="A8457" t="s">
        <v>10426</v>
      </c>
      <c r="B8457" t="s">
        <v>1651</v>
      </c>
    </row>
    <row r="8458" spans="1:2" x14ac:dyDescent="0.25">
      <c r="A8458" t="s">
        <v>10427</v>
      </c>
      <c r="B8458" t="s">
        <v>2522</v>
      </c>
    </row>
    <row r="8459" spans="1:2" x14ac:dyDescent="0.25">
      <c r="A8459" t="s">
        <v>10428</v>
      </c>
      <c r="B8459" t="s">
        <v>1698</v>
      </c>
    </row>
    <row r="8460" spans="1:2" x14ac:dyDescent="0.25">
      <c r="A8460" t="s">
        <v>10429</v>
      </c>
      <c r="B8460" t="s">
        <v>9495</v>
      </c>
    </row>
    <row r="8461" spans="1:2" x14ac:dyDescent="0.25">
      <c r="A8461" t="s">
        <v>10430</v>
      </c>
      <c r="B8461" t="s">
        <v>3091</v>
      </c>
    </row>
    <row r="8462" spans="1:2" x14ac:dyDescent="0.25">
      <c r="A8462" t="s">
        <v>10431</v>
      </c>
      <c r="B8462" t="s">
        <v>233</v>
      </c>
    </row>
    <row r="8463" spans="1:2" x14ac:dyDescent="0.25">
      <c r="A8463" t="s">
        <v>10432</v>
      </c>
      <c r="B8463" t="s">
        <v>1024</v>
      </c>
    </row>
    <row r="8464" spans="1:2" x14ac:dyDescent="0.25">
      <c r="A8464" t="s">
        <v>10433</v>
      </c>
      <c r="B8464" t="s">
        <v>1657</v>
      </c>
    </row>
    <row r="8465" spans="1:2" x14ac:dyDescent="0.25">
      <c r="A8465" t="s">
        <v>10434</v>
      </c>
      <c r="B8465" t="s">
        <v>2816</v>
      </c>
    </row>
    <row r="8466" spans="1:2" x14ac:dyDescent="0.25">
      <c r="A8466" t="s">
        <v>10435</v>
      </c>
      <c r="B8466" t="s">
        <v>1655</v>
      </c>
    </row>
    <row r="8467" spans="1:2" x14ac:dyDescent="0.25">
      <c r="A8467" t="s">
        <v>10436</v>
      </c>
      <c r="B8467" t="s">
        <v>758</v>
      </c>
    </row>
    <row r="8468" spans="1:2" x14ac:dyDescent="0.25">
      <c r="A8468" t="s">
        <v>10437</v>
      </c>
      <c r="B8468" t="s">
        <v>3185</v>
      </c>
    </row>
    <row r="8469" spans="1:2" x14ac:dyDescent="0.25">
      <c r="A8469" t="s">
        <v>10438</v>
      </c>
      <c r="B8469" t="s">
        <v>844</v>
      </c>
    </row>
    <row r="8470" spans="1:2" x14ac:dyDescent="0.25">
      <c r="A8470" t="s">
        <v>10439</v>
      </c>
      <c r="B8470" t="s">
        <v>1696</v>
      </c>
    </row>
    <row r="8471" spans="1:2" x14ac:dyDescent="0.25">
      <c r="A8471" t="s">
        <v>10440</v>
      </c>
      <c r="B8471" t="s">
        <v>853</v>
      </c>
    </row>
    <row r="8472" spans="1:2" x14ac:dyDescent="0.25">
      <c r="A8472" t="s">
        <v>10441</v>
      </c>
      <c r="B8472" t="s">
        <v>809</v>
      </c>
    </row>
    <row r="8473" spans="1:2" x14ac:dyDescent="0.25">
      <c r="A8473" t="s">
        <v>10442</v>
      </c>
      <c r="B8473" t="s">
        <v>2800</v>
      </c>
    </row>
    <row r="8474" spans="1:2" x14ac:dyDescent="0.25">
      <c r="A8474" t="s">
        <v>10443</v>
      </c>
      <c r="B8474" t="s">
        <v>2312</v>
      </c>
    </row>
    <row r="8475" spans="1:2" x14ac:dyDescent="0.25">
      <c r="A8475" t="s">
        <v>10444</v>
      </c>
      <c r="B8475" t="s">
        <v>4111</v>
      </c>
    </row>
    <row r="8476" spans="1:2" x14ac:dyDescent="0.25">
      <c r="A8476" t="s">
        <v>10445</v>
      </c>
      <c r="B8476" t="s">
        <v>2250</v>
      </c>
    </row>
    <row r="8477" spans="1:2" x14ac:dyDescent="0.25">
      <c r="A8477" t="s">
        <v>10446</v>
      </c>
      <c r="B8477" t="s">
        <v>2291</v>
      </c>
    </row>
    <row r="8478" spans="1:2" x14ac:dyDescent="0.25">
      <c r="A8478" t="s">
        <v>10447</v>
      </c>
      <c r="B8478" t="s">
        <v>850</v>
      </c>
    </row>
    <row r="8479" spans="1:2" x14ac:dyDescent="0.25">
      <c r="A8479" t="s">
        <v>10448</v>
      </c>
      <c r="B8479" t="s">
        <v>142</v>
      </c>
    </row>
    <row r="8480" spans="1:2" x14ac:dyDescent="0.25">
      <c r="A8480" t="s">
        <v>10449</v>
      </c>
      <c r="B8480" t="s">
        <v>1682</v>
      </c>
    </row>
    <row r="8481" spans="1:2" x14ac:dyDescent="0.25">
      <c r="A8481" t="s">
        <v>10450</v>
      </c>
      <c r="B8481" t="s">
        <v>2282</v>
      </c>
    </row>
    <row r="8482" spans="1:2" x14ac:dyDescent="0.25">
      <c r="A8482" t="s">
        <v>10451</v>
      </c>
      <c r="B8482" t="s">
        <v>202</v>
      </c>
    </row>
    <row r="8483" spans="1:2" x14ac:dyDescent="0.25">
      <c r="A8483" t="s">
        <v>10452</v>
      </c>
      <c r="B8483" t="s">
        <v>113</v>
      </c>
    </row>
    <row r="8484" spans="1:2" x14ac:dyDescent="0.25">
      <c r="A8484" t="s">
        <v>10453</v>
      </c>
      <c r="B8484" t="s">
        <v>290</v>
      </c>
    </row>
    <row r="8485" spans="1:2" x14ac:dyDescent="0.25">
      <c r="A8485" t="s">
        <v>3004</v>
      </c>
      <c r="B8485" t="s">
        <v>3004</v>
      </c>
    </row>
    <row r="8486" spans="1:2" x14ac:dyDescent="0.25">
      <c r="A8486" t="s">
        <v>10454</v>
      </c>
      <c r="B8486" t="s">
        <v>723</v>
      </c>
    </row>
    <row r="8487" spans="1:2" x14ac:dyDescent="0.25">
      <c r="A8487" t="s">
        <v>10455</v>
      </c>
      <c r="B8487" t="s">
        <v>271</v>
      </c>
    </row>
    <row r="8488" spans="1:2" x14ac:dyDescent="0.25">
      <c r="A8488" t="s">
        <v>10456</v>
      </c>
      <c r="B8488" t="s">
        <v>1934</v>
      </c>
    </row>
    <row r="8489" spans="1:2" x14ac:dyDescent="0.25">
      <c r="A8489" t="s">
        <v>10457</v>
      </c>
      <c r="B8489" t="s">
        <v>155</v>
      </c>
    </row>
    <row r="8490" spans="1:2" x14ac:dyDescent="0.25">
      <c r="A8490" t="s">
        <v>10458</v>
      </c>
      <c r="B8490" t="s">
        <v>10458</v>
      </c>
    </row>
    <row r="8491" spans="1:2" x14ac:dyDescent="0.25">
      <c r="A8491" t="s">
        <v>10459</v>
      </c>
      <c r="B8491" t="s">
        <v>10460</v>
      </c>
    </row>
    <row r="8492" spans="1:2" x14ac:dyDescent="0.25">
      <c r="A8492" t="s">
        <v>10461</v>
      </c>
      <c r="B8492" t="s">
        <v>10462</v>
      </c>
    </row>
    <row r="8493" spans="1:2" x14ac:dyDescent="0.25">
      <c r="A8493" t="s">
        <v>10463</v>
      </c>
      <c r="B8493" t="s">
        <v>10464</v>
      </c>
    </row>
    <row r="8494" spans="1:2" x14ac:dyDescent="0.25">
      <c r="A8494" t="s">
        <v>10465</v>
      </c>
      <c r="B8494" t="s">
        <v>10466</v>
      </c>
    </row>
    <row r="8495" spans="1:2" x14ac:dyDescent="0.25">
      <c r="A8495" t="s">
        <v>10467</v>
      </c>
      <c r="B8495" t="s">
        <v>10468</v>
      </c>
    </row>
    <row r="8496" spans="1:2" x14ac:dyDescent="0.25">
      <c r="A8496" t="s">
        <v>10469</v>
      </c>
      <c r="B8496" t="s">
        <v>10470</v>
      </c>
    </row>
    <row r="8497" spans="1:2" x14ac:dyDescent="0.25">
      <c r="A8497" t="s">
        <v>10471</v>
      </c>
      <c r="B8497" t="s">
        <v>10470</v>
      </c>
    </row>
    <row r="8498" spans="1:2" x14ac:dyDescent="0.25">
      <c r="A8498" t="s">
        <v>10472</v>
      </c>
      <c r="B8498" t="s">
        <v>10111</v>
      </c>
    </row>
    <row r="8499" spans="1:2" x14ac:dyDescent="0.25">
      <c r="A8499" t="s">
        <v>10473</v>
      </c>
      <c r="B8499" t="s">
        <v>10474</v>
      </c>
    </row>
    <row r="8500" spans="1:2" x14ac:dyDescent="0.25">
      <c r="A8500" t="s">
        <v>10475</v>
      </c>
      <c r="B8500" t="s">
        <v>10476</v>
      </c>
    </row>
    <row r="8501" spans="1:2" x14ac:dyDescent="0.25">
      <c r="A8501" t="s">
        <v>10477</v>
      </c>
      <c r="B8501" t="s">
        <v>10478</v>
      </c>
    </row>
    <row r="8502" spans="1:2" x14ac:dyDescent="0.25">
      <c r="A8502" t="s">
        <v>10479</v>
      </c>
      <c r="B8502" t="s">
        <v>10480</v>
      </c>
    </row>
    <row r="8503" spans="1:2" x14ac:dyDescent="0.25">
      <c r="A8503" t="s">
        <v>10481</v>
      </c>
      <c r="B8503" t="s">
        <v>10481</v>
      </c>
    </row>
    <row r="8504" spans="1:2" x14ac:dyDescent="0.25">
      <c r="A8504" t="s">
        <v>10482</v>
      </c>
      <c r="B8504" t="s">
        <v>10483</v>
      </c>
    </row>
    <row r="8505" spans="1:2" x14ac:dyDescent="0.25">
      <c r="A8505" t="s">
        <v>10484</v>
      </c>
      <c r="B8505" t="s">
        <v>10484</v>
      </c>
    </row>
    <row r="8506" spans="1:2" x14ac:dyDescent="0.25">
      <c r="A8506" t="s">
        <v>2095</v>
      </c>
      <c r="B8506" t="s">
        <v>2095</v>
      </c>
    </row>
    <row r="8507" spans="1:2" x14ac:dyDescent="0.25">
      <c r="A8507" t="s">
        <v>2097</v>
      </c>
      <c r="B8507" t="s">
        <v>2097</v>
      </c>
    </row>
    <row r="8508" spans="1:2" x14ac:dyDescent="0.25">
      <c r="A8508" t="s">
        <v>2101</v>
      </c>
      <c r="B8508" t="s">
        <v>2101</v>
      </c>
    </row>
    <row r="8509" spans="1:2" x14ac:dyDescent="0.25">
      <c r="A8509" t="s">
        <v>2119</v>
      </c>
      <c r="B8509" t="s">
        <v>2119</v>
      </c>
    </row>
    <row r="8510" spans="1:2" x14ac:dyDescent="0.25">
      <c r="A8510" t="s">
        <v>2137</v>
      </c>
      <c r="B8510" t="s">
        <v>2137</v>
      </c>
    </row>
    <row r="8511" spans="1:2" x14ac:dyDescent="0.25">
      <c r="A8511" t="s">
        <v>2099</v>
      </c>
      <c r="B8511" t="s">
        <v>2099</v>
      </c>
    </row>
    <row r="8512" spans="1:2" x14ac:dyDescent="0.25">
      <c r="A8512" t="s">
        <v>2117</v>
      </c>
      <c r="B8512" t="s">
        <v>2117</v>
      </c>
    </row>
    <row r="8513" spans="1:2" x14ac:dyDescent="0.25">
      <c r="A8513" t="s">
        <v>2123</v>
      </c>
      <c r="B8513" t="s">
        <v>2123</v>
      </c>
    </row>
    <row r="8514" spans="1:2" x14ac:dyDescent="0.25">
      <c r="A8514" t="s">
        <v>2125</v>
      </c>
      <c r="B8514" t="s">
        <v>2125</v>
      </c>
    </row>
    <row r="8515" spans="1:2" x14ac:dyDescent="0.25">
      <c r="A8515" t="s">
        <v>10485</v>
      </c>
      <c r="B8515" t="s">
        <v>10485</v>
      </c>
    </row>
    <row r="8516" spans="1:2" x14ac:dyDescent="0.25">
      <c r="A8516" t="s">
        <v>3001</v>
      </c>
      <c r="B8516" t="s">
        <v>3001</v>
      </c>
    </row>
    <row r="8517" spans="1:2" x14ac:dyDescent="0.25">
      <c r="A8517" t="s">
        <v>10486</v>
      </c>
      <c r="B8517" t="s">
        <v>121</v>
      </c>
    </row>
    <row r="8518" spans="1:2" x14ac:dyDescent="0.25">
      <c r="A8518" t="s">
        <v>3002</v>
      </c>
      <c r="B8518" t="s">
        <v>3002</v>
      </c>
    </row>
    <row r="8519" spans="1:2" x14ac:dyDescent="0.25">
      <c r="A8519" t="s">
        <v>10487</v>
      </c>
      <c r="B8519" t="s">
        <v>10485</v>
      </c>
    </row>
    <row r="8520" spans="1:2" x14ac:dyDescent="0.25">
      <c r="A8520" t="s">
        <v>1251</v>
      </c>
      <c r="B8520" t="s">
        <v>1250</v>
      </c>
    </row>
    <row r="8521" spans="1:2" x14ac:dyDescent="0.25">
      <c r="A8521" t="s">
        <v>2998</v>
      </c>
      <c r="B8521" t="s">
        <v>2998</v>
      </c>
    </row>
    <row r="8522" spans="1:2" x14ac:dyDescent="0.25">
      <c r="A8522" t="s">
        <v>2045</v>
      </c>
      <c r="B8522" t="s">
        <v>2044</v>
      </c>
    </row>
    <row r="8523" spans="1:2" x14ac:dyDescent="0.25">
      <c r="A8523" t="s">
        <v>2049</v>
      </c>
      <c r="B8523" t="s">
        <v>2048</v>
      </c>
    </row>
    <row r="8524" spans="1:2" x14ac:dyDescent="0.25">
      <c r="A8524" t="s">
        <v>10488</v>
      </c>
      <c r="B8524" t="s">
        <v>1239</v>
      </c>
    </row>
    <row r="8525" spans="1:2" x14ac:dyDescent="0.25">
      <c r="A8525" t="s">
        <v>10489</v>
      </c>
      <c r="B8525" t="s">
        <v>1235</v>
      </c>
    </row>
    <row r="8526" spans="1:2" x14ac:dyDescent="0.25">
      <c r="A8526" t="s">
        <v>10490</v>
      </c>
      <c r="B8526" t="s">
        <v>1269</v>
      </c>
    </row>
    <row r="8527" spans="1:2" x14ac:dyDescent="0.25">
      <c r="A8527" t="s">
        <v>491</v>
      </c>
      <c r="B8527" t="s">
        <v>490</v>
      </c>
    </row>
    <row r="8528" spans="1:2" x14ac:dyDescent="0.25">
      <c r="A8528" t="s">
        <v>487</v>
      </c>
      <c r="B8528" t="s">
        <v>486</v>
      </c>
    </row>
    <row r="8529" spans="1:2" x14ac:dyDescent="0.25">
      <c r="A8529" t="s">
        <v>481</v>
      </c>
      <c r="B8529" t="s">
        <v>480</v>
      </c>
    </row>
    <row r="8530" spans="1:2" x14ac:dyDescent="0.25">
      <c r="A8530" t="s">
        <v>485</v>
      </c>
      <c r="B8530" t="s">
        <v>484</v>
      </c>
    </row>
    <row r="8531" spans="1:2" x14ac:dyDescent="0.25">
      <c r="A8531" t="s">
        <v>489</v>
      </c>
      <c r="B8531" t="s">
        <v>488</v>
      </c>
    </row>
    <row r="8532" spans="1:2" x14ac:dyDescent="0.25">
      <c r="A8532" t="s">
        <v>1406</v>
      </c>
      <c r="B8532" t="s">
        <v>1405</v>
      </c>
    </row>
    <row r="8533" spans="1:2" x14ac:dyDescent="0.25">
      <c r="A8533" t="s">
        <v>1409</v>
      </c>
      <c r="B8533" t="s">
        <v>1408</v>
      </c>
    </row>
    <row r="8534" spans="1:2" x14ac:dyDescent="0.25">
      <c r="A8534" t="s">
        <v>2202</v>
      </c>
      <c r="B8534" t="s">
        <v>2201</v>
      </c>
    </row>
    <row r="8535" spans="1:2" x14ac:dyDescent="0.25">
      <c r="A8535" t="s">
        <v>2204</v>
      </c>
      <c r="B8535" t="s">
        <v>2203</v>
      </c>
    </row>
    <row r="8536" spans="1:2" x14ac:dyDescent="0.25">
      <c r="A8536" t="s">
        <v>1415</v>
      </c>
      <c r="B8536" t="s">
        <v>1414</v>
      </c>
    </row>
    <row r="8537" spans="1:2" x14ac:dyDescent="0.25">
      <c r="A8537" t="s">
        <v>1412</v>
      </c>
      <c r="B8537" t="s">
        <v>1411</v>
      </c>
    </row>
    <row r="8538" spans="1:2" x14ac:dyDescent="0.25">
      <c r="A8538" t="s">
        <v>2200</v>
      </c>
      <c r="B8538" t="s">
        <v>2199</v>
      </c>
    </row>
    <row r="8539" spans="1:2" x14ac:dyDescent="0.25">
      <c r="A8539" t="s">
        <v>10491</v>
      </c>
      <c r="B8539" t="s">
        <v>1340</v>
      </c>
    </row>
    <row r="8540" spans="1:2" x14ac:dyDescent="0.25">
      <c r="A8540" t="s">
        <v>1376</v>
      </c>
      <c r="B8540" t="s">
        <v>1375</v>
      </c>
    </row>
    <row r="8541" spans="1:2" x14ac:dyDescent="0.25">
      <c r="A8541" t="s">
        <v>1380</v>
      </c>
      <c r="B8541" t="s">
        <v>1379</v>
      </c>
    </row>
    <row r="8542" spans="1:2" x14ac:dyDescent="0.25">
      <c r="A8542" t="s">
        <v>1345</v>
      </c>
      <c r="B8542" t="s">
        <v>1344</v>
      </c>
    </row>
    <row r="8543" spans="1:2" x14ac:dyDescent="0.25">
      <c r="A8543" t="s">
        <v>1349</v>
      </c>
      <c r="B8543" t="s">
        <v>1348</v>
      </c>
    </row>
    <row r="8544" spans="1:2" x14ac:dyDescent="0.25">
      <c r="A8544" t="s">
        <v>1390</v>
      </c>
      <c r="B8544" t="s">
        <v>1389</v>
      </c>
    </row>
    <row r="8545" spans="1:2" x14ac:dyDescent="0.25">
      <c r="A8545" t="s">
        <v>483</v>
      </c>
      <c r="B8545" t="s">
        <v>482</v>
      </c>
    </row>
    <row r="8546" spans="1:2" x14ac:dyDescent="0.25">
      <c r="A8546" t="s">
        <v>1383</v>
      </c>
      <c r="B8546" t="s">
        <v>935</v>
      </c>
    </row>
    <row r="8547" spans="1:2" x14ac:dyDescent="0.25">
      <c r="A8547" t="s">
        <v>1386</v>
      </c>
      <c r="B8547" t="s">
        <v>1067</v>
      </c>
    </row>
    <row r="8548" spans="1:2" x14ac:dyDescent="0.25">
      <c r="A8548" t="s">
        <v>974</v>
      </c>
      <c r="B8548" t="s">
        <v>973</v>
      </c>
    </row>
    <row r="8549" spans="1:2" x14ac:dyDescent="0.25">
      <c r="A8549" t="s">
        <v>416</v>
      </c>
      <c r="B8549" t="s">
        <v>415</v>
      </c>
    </row>
    <row r="8550" spans="1:2" x14ac:dyDescent="0.25">
      <c r="A8550" t="s">
        <v>10492</v>
      </c>
      <c r="B8550" t="s">
        <v>9187</v>
      </c>
    </row>
    <row r="8551" spans="1:2" x14ac:dyDescent="0.25">
      <c r="A8551" t="s">
        <v>1389</v>
      </c>
      <c r="B8551" t="s">
        <v>1389</v>
      </c>
    </row>
    <row r="8552" spans="1:2" x14ac:dyDescent="0.25">
      <c r="A8552" t="s">
        <v>10493</v>
      </c>
      <c r="B8552" t="s">
        <v>10494</v>
      </c>
    </row>
    <row r="8553" spans="1:2" x14ac:dyDescent="0.25">
      <c r="A8553" t="s">
        <v>10495</v>
      </c>
      <c r="B8553" t="s">
        <v>2073</v>
      </c>
    </row>
    <row r="8554" spans="1:2" x14ac:dyDescent="0.25">
      <c r="A8554" t="s">
        <v>935</v>
      </c>
      <c r="B8554" t="s">
        <v>935</v>
      </c>
    </row>
    <row r="8555" spans="1:2" x14ac:dyDescent="0.25">
      <c r="A8555" t="s">
        <v>1067</v>
      </c>
      <c r="B8555" t="s">
        <v>1067</v>
      </c>
    </row>
    <row r="8556" spans="1:2" x14ac:dyDescent="0.25">
      <c r="A8556" t="s">
        <v>1393</v>
      </c>
      <c r="B8556" t="s">
        <v>1393</v>
      </c>
    </row>
    <row r="8557" spans="1:2" x14ac:dyDescent="0.25">
      <c r="A8557" t="s">
        <v>1397</v>
      </c>
      <c r="B8557" t="s">
        <v>1397</v>
      </c>
    </row>
    <row r="8558" spans="1:2" x14ac:dyDescent="0.25">
      <c r="A8558" t="s">
        <v>1375</v>
      </c>
      <c r="B8558" t="s">
        <v>1375</v>
      </c>
    </row>
    <row r="8559" spans="1:2" x14ac:dyDescent="0.25">
      <c r="A8559" t="s">
        <v>1379</v>
      </c>
      <c r="B8559" t="s">
        <v>1379</v>
      </c>
    </row>
    <row r="8560" spans="1:2" x14ac:dyDescent="0.25">
      <c r="A8560" t="s">
        <v>482</v>
      </c>
      <c r="B8560" t="s">
        <v>482</v>
      </c>
    </row>
    <row r="8561" spans="1:2" x14ac:dyDescent="0.25">
      <c r="A8561" t="s">
        <v>10496</v>
      </c>
      <c r="B8561" t="s">
        <v>10497</v>
      </c>
    </row>
    <row r="8562" spans="1:2" x14ac:dyDescent="0.25">
      <c r="A8562" t="s">
        <v>480</v>
      </c>
      <c r="B8562" t="s">
        <v>480</v>
      </c>
    </row>
    <row r="8563" spans="1:2" x14ac:dyDescent="0.25">
      <c r="A8563" t="s">
        <v>10498</v>
      </c>
      <c r="B8563" t="s">
        <v>1348</v>
      </c>
    </row>
    <row r="8564" spans="1:2" x14ac:dyDescent="0.25">
      <c r="A8564" t="s">
        <v>10499</v>
      </c>
      <c r="B8564" t="s">
        <v>1344</v>
      </c>
    </row>
    <row r="8565" spans="1:2" x14ac:dyDescent="0.25">
      <c r="A8565" t="s">
        <v>10500</v>
      </c>
      <c r="B8565" t="s">
        <v>1340</v>
      </c>
    </row>
    <row r="8566" spans="1:2" x14ac:dyDescent="0.25">
      <c r="A8566" t="s">
        <v>488</v>
      </c>
      <c r="B8566" t="s">
        <v>488</v>
      </c>
    </row>
    <row r="8567" spans="1:2" x14ac:dyDescent="0.25">
      <c r="A8567" t="s">
        <v>10501</v>
      </c>
      <c r="B8567" t="s">
        <v>1676</v>
      </c>
    </row>
    <row r="8568" spans="1:2" x14ac:dyDescent="0.25">
      <c r="A8568" t="s">
        <v>10502</v>
      </c>
      <c r="B8568" t="s">
        <v>480</v>
      </c>
    </row>
    <row r="8569" spans="1:2" x14ac:dyDescent="0.25">
      <c r="A8569" t="s">
        <v>10503</v>
      </c>
      <c r="B8569" t="s">
        <v>486</v>
      </c>
    </row>
    <row r="8570" spans="1:2" x14ac:dyDescent="0.25">
      <c r="A8570" t="s">
        <v>10504</v>
      </c>
      <c r="B8570" t="s">
        <v>1352</v>
      </c>
    </row>
    <row r="8571" spans="1:2" x14ac:dyDescent="0.25">
      <c r="A8571" t="s">
        <v>10505</v>
      </c>
      <c r="B8571" t="s">
        <v>935</v>
      </c>
    </row>
    <row r="8572" spans="1:2" x14ac:dyDescent="0.25">
      <c r="A8572" t="s">
        <v>10506</v>
      </c>
      <c r="B8572" t="s">
        <v>1389</v>
      </c>
    </row>
    <row r="8573" spans="1:2" x14ac:dyDescent="0.25">
      <c r="A8573" t="s">
        <v>10507</v>
      </c>
      <c r="B8573" t="s">
        <v>1397</v>
      </c>
    </row>
    <row r="8574" spans="1:2" x14ac:dyDescent="0.25">
      <c r="A8574" t="s">
        <v>10508</v>
      </c>
      <c r="B8574" t="s">
        <v>488</v>
      </c>
    </row>
    <row r="8575" spans="1:2" x14ac:dyDescent="0.25">
      <c r="A8575" t="s">
        <v>10509</v>
      </c>
      <c r="B8575" t="s">
        <v>1985</v>
      </c>
    </row>
    <row r="8576" spans="1:2" x14ac:dyDescent="0.25">
      <c r="A8576" t="s">
        <v>10510</v>
      </c>
      <c r="B8576" t="s">
        <v>323</v>
      </c>
    </row>
    <row r="8577" spans="1:2" x14ac:dyDescent="0.25">
      <c r="A8577" t="s">
        <v>10511</v>
      </c>
      <c r="B8577" t="s">
        <v>444</v>
      </c>
    </row>
    <row r="8578" spans="1:2" x14ac:dyDescent="0.25">
      <c r="A8578" t="s">
        <v>10512</v>
      </c>
      <c r="B8578" t="s">
        <v>806</v>
      </c>
    </row>
    <row r="8579" spans="1:2" x14ac:dyDescent="0.25">
      <c r="A8579" t="s">
        <v>10513</v>
      </c>
      <c r="B8579" t="s">
        <v>797</v>
      </c>
    </row>
    <row r="8580" spans="1:2" x14ac:dyDescent="0.25">
      <c r="A8580" t="s">
        <v>10514</v>
      </c>
      <c r="B8580" t="s">
        <v>482</v>
      </c>
    </row>
    <row r="8581" spans="1:2" x14ac:dyDescent="0.25">
      <c r="A8581" t="s">
        <v>10515</v>
      </c>
      <c r="B8581" t="s">
        <v>484</v>
      </c>
    </row>
    <row r="8582" spans="1:2" x14ac:dyDescent="0.25">
      <c r="A8582" t="s">
        <v>10516</v>
      </c>
      <c r="B8582" t="s">
        <v>490</v>
      </c>
    </row>
    <row r="8583" spans="1:2" x14ac:dyDescent="0.25">
      <c r="A8583" t="s">
        <v>10517</v>
      </c>
      <c r="B8583" t="s">
        <v>1393</v>
      </c>
    </row>
    <row r="8584" spans="1:2" x14ac:dyDescent="0.25">
      <c r="A8584" t="s">
        <v>10518</v>
      </c>
      <c r="B8584" t="s">
        <v>1067</v>
      </c>
    </row>
    <row r="8585" spans="1:2" x14ac:dyDescent="0.25">
      <c r="A8585" t="s">
        <v>10519</v>
      </c>
      <c r="B8585" t="s">
        <v>1379</v>
      </c>
    </row>
    <row r="8586" spans="1:2" x14ac:dyDescent="0.25">
      <c r="A8586" t="s">
        <v>10520</v>
      </c>
      <c r="B8586" t="s">
        <v>1375</v>
      </c>
    </row>
    <row r="8587" spans="1:2" x14ac:dyDescent="0.25">
      <c r="A8587" t="s">
        <v>10521</v>
      </c>
      <c r="B8587" t="s">
        <v>1348</v>
      </c>
    </row>
    <row r="8588" spans="1:2" x14ac:dyDescent="0.25">
      <c r="A8588" t="s">
        <v>10522</v>
      </c>
      <c r="B8588" t="s">
        <v>1344</v>
      </c>
    </row>
    <row r="8589" spans="1:2" x14ac:dyDescent="0.25">
      <c r="A8589" t="s">
        <v>10523</v>
      </c>
      <c r="B8589" t="s">
        <v>1272</v>
      </c>
    </row>
    <row r="8590" spans="1:2" x14ac:dyDescent="0.25">
      <c r="A8590" t="s">
        <v>10524</v>
      </c>
      <c r="B8590" t="s">
        <v>456</v>
      </c>
    </row>
    <row r="8591" spans="1:2" x14ac:dyDescent="0.25">
      <c r="A8591" t="s">
        <v>486</v>
      </c>
      <c r="B8591" t="s">
        <v>486</v>
      </c>
    </row>
    <row r="8592" spans="1:2" x14ac:dyDescent="0.25">
      <c r="A8592" t="s">
        <v>10525</v>
      </c>
      <c r="B8592" t="s">
        <v>1397</v>
      </c>
    </row>
    <row r="8593" spans="1:2" x14ac:dyDescent="0.25">
      <c r="A8593" t="s">
        <v>10526</v>
      </c>
      <c r="B8593" t="s">
        <v>429</v>
      </c>
    </row>
    <row r="8594" spans="1:2" x14ac:dyDescent="0.25">
      <c r="A8594" t="s">
        <v>312</v>
      </c>
      <c r="B8594" t="s">
        <v>311</v>
      </c>
    </row>
    <row r="8595" spans="1:2" x14ac:dyDescent="0.25">
      <c r="A8595" t="s">
        <v>490</v>
      </c>
      <c r="B8595" t="s">
        <v>490</v>
      </c>
    </row>
    <row r="8596" spans="1:2" x14ac:dyDescent="0.25">
      <c r="A8596" t="s">
        <v>10527</v>
      </c>
      <c r="B8596" t="s">
        <v>10528</v>
      </c>
    </row>
    <row r="8597" spans="1:2" x14ac:dyDescent="0.25">
      <c r="A8597" t="s">
        <v>10529</v>
      </c>
      <c r="B8597" t="s">
        <v>419</v>
      </c>
    </row>
    <row r="8598" spans="1:2" x14ac:dyDescent="0.25">
      <c r="A8598" t="s">
        <v>2199</v>
      </c>
      <c r="B8598" t="s">
        <v>2199</v>
      </c>
    </row>
    <row r="8599" spans="1:2" x14ac:dyDescent="0.25">
      <c r="A8599" t="s">
        <v>10530</v>
      </c>
      <c r="B8599" t="s">
        <v>1375</v>
      </c>
    </row>
    <row r="8600" spans="1:2" x14ac:dyDescent="0.25">
      <c r="A8600" t="s">
        <v>1405</v>
      </c>
      <c r="B8600" t="s">
        <v>1405</v>
      </c>
    </row>
    <row r="8601" spans="1:2" x14ac:dyDescent="0.25">
      <c r="A8601" t="s">
        <v>2201</v>
      </c>
      <c r="B8601" t="s">
        <v>2201</v>
      </c>
    </row>
    <row r="8602" spans="1:2" x14ac:dyDescent="0.25">
      <c r="A8602" t="s">
        <v>10531</v>
      </c>
      <c r="B8602" t="s">
        <v>1340</v>
      </c>
    </row>
    <row r="8603" spans="1:2" x14ac:dyDescent="0.25">
      <c r="A8603" t="s">
        <v>484</v>
      </c>
      <c r="B8603" t="s">
        <v>484</v>
      </c>
    </row>
    <row r="8604" spans="1:2" x14ac:dyDescent="0.25">
      <c r="A8604" t="s">
        <v>10532</v>
      </c>
      <c r="B8604" t="s">
        <v>9183</v>
      </c>
    </row>
    <row r="8605" spans="1:2" x14ac:dyDescent="0.25">
      <c r="A8605" t="s">
        <v>10533</v>
      </c>
      <c r="B8605" t="s">
        <v>9185</v>
      </c>
    </row>
    <row r="8606" spans="1:2" x14ac:dyDescent="0.25">
      <c r="A8606" t="s">
        <v>10534</v>
      </c>
      <c r="B8606" t="s">
        <v>9118</v>
      </c>
    </row>
    <row r="8607" spans="1:2" x14ac:dyDescent="0.25">
      <c r="A8607" t="s">
        <v>10535</v>
      </c>
      <c r="B8607" t="s">
        <v>9992</v>
      </c>
    </row>
    <row r="8608" spans="1:2" x14ac:dyDescent="0.25">
      <c r="A8608" t="s">
        <v>10536</v>
      </c>
      <c r="B8608" t="s">
        <v>9990</v>
      </c>
    </row>
    <row r="8609" spans="1:2" x14ac:dyDescent="0.25">
      <c r="A8609" t="s">
        <v>10537</v>
      </c>
      <c r="B8609" t="s">
        <v>10173</v>
      </c>
    </row>
    <row r="8610" spans="1:2" x14ac:dyDescent="0.25">
      <c r="A8610" t="s">
        <v>10538</v>
      </c>
      <c r="B8610" t="s">
        <v>9988</v>
      </c>
    </row>
    <row r="8611" spans="1:2" x14ac:dyDescent="0.25">
      <c r="A8611" t="s">
        <v>10539</v>
      </c>
      <c r="B8611" t="s">
        <v>9860</v>
      </c>
    </row>
    <row r="8612" spans="1:2" x14ac:dyDescent="0.25">
      <c r="A8612" t="s">
        <v>10540</v>
      </c>
      <c r="B8612" t="s">
        <v>9973</v>
      </c>
    </row>
    <row r="8613" spans="1:2" x14ac:dyDescent="0.25">
      <c r="A8613" t="s">
        <v>10541</v>
      </c>
      <c r="B8613" t="s">
        <v>9986</v>
      </c>
    </row>
    <row r="8614" spans="1:2" x14ac:dyDescent="0.25">
      <c r="A8614" t="s">
        <v>10542</v>
      </c>
      <c r="B8614" t="s">
        <v>9154</v>
      </c>
    </row>
    <row r="8615" spans="1:2" x14ac:dyDescent="0.25">
      <c r="A8615" t="s">
        <v>10543</v>
      </c>
      <c r="B8615" t="s">
        <v>9971</v>
      </c>
    </row>
    <row r="8616" spans="1:2" x14ac:dyDescent="0.25">
      <c r="A8616" t="s">
        <v>10544</v>
      </c>
      <c r="B8616" t="s">
        <v>10545</v>
      </c>
    </row>
    <row r="8617" spans="1:2" x14ac:dyDescent="0.25">
      <c r="A8617" t="s">
        <v>10546</v>
      </c>
      <c r="B8617" t="s">
        <v>10547</v>
      </c>
    </row>
    <row r="8618" spans="1:2" x14ac:dyDescent="0.25">
      <c r="A8618" t="s">
        <v>1408</v>
      </c>
      <c r="B8618" t="s">
        <v>1408</v>
      </c>
    </row>
    <row r="8619" spans="1:2" x14ac:dyDescent="0.25">
      <c r="A8619" t="s">
        <v>1411</v>
      </c>
      <c r="B8619" t="s">
        <v>1411</v>
      </c>
    </row>
    <row r="8620" spans="1:2" x14ac:dyDescent="0.25">
      <c r="A8620" t="s">
        <v>1414</v>
      </c>
      <c r="B8620" t="s">
        <v>1414</v>
      </c>
    </row>
    <row r="8621" spans="1:2" x14ac:dyDescent="0.25">
      <c r="A8621" t="s">
        <v>2203</v>
      </c>
      <c r="B8621" t="s">
        <v>2203</v>
      </c>
    </row>
    <row r="8622" spans="1:2" x14ac:dyDescent="0.25">
      <c r="A8622" t="s">
        <v>10548</v>
      </c>
      <c r="B8622" t="s">
        <v>477</v>
      </c>
    </row>
    <row r="8623" spans="1:2" x14ac:dyDescent="0.25">
      <c r="A8623" t="s">
        <v>10549</v>
      </c>
      <c r="B8623" t="s">
        <v>9120</v>
      </c>
    </row>
    <row r="8624" spans="1:2" x14ac:dyDescent="0.25">
      <c r="A8624" t="s">
        <v>10550</v>
      </c>
      <c r="B8624" t="s">
        <v>1340</v>
      </c>
    </row>
    <row r="8625" spans="1:2" x14ac:dyDescent="0.25">
      <c r="A8625" t="s">
        <v>10551</v>
      </c>
      <c r="B8625" t="s">
        <v>1170</v>
      </c>
    </row>
    <row r="8626" spans="1:2" x14ac:dyDescent="0.25">
      <c r="A8626" t="s">
        <v>10552</v>
      </c>
      <c r="B8626" t="s">
        <v>1971</v>
      </c>
    </row>
    <row r="8627" spans="1:2" x14ac:dyDescent="0.25">
      <c r="A8627" t="s">
        <v>10553</v>
      </c>
      <c r="B8627" t="s">
        <v>419</v>
      </c>
    </row>
    <row r="8628" spans="1:2" x14ac:dyDescent="0.25">
      <c r="A8628" t="s">
        <v>10554</v>
      </c>
      <c r="B8628" t="s">
        <v>423</v>
      </c>
    </row>
    <row r="8629" spans="1:2" x14ac:dyDescent="0.25">
      <c r="A8629" t="s">
        <v>10555</v>
      </c>
      <c r="B8629" t="s">
        <v>6069</v>
      </c>
    </row>
    <row r="8630" spans="1:2" x14ac:dyDescent="0.25">
      <c r="A8630" t="s">
        <v>10556</v>
      </c>
      <c r="B8630" t="s">
        <v>2249</v>
      </c>
    </row>
    <row r="8631" spans="1:2" x14ac:dyDescent="0.25">
      <c r="A8631" t="s">
        <v>10557</v>
      </c>
      <c r="B8631" t="s">
        <v>3081</v>
      </c>
    </row>
    <row r="8632" spans="1:2" x14ac:dyDescent="0.25">
      <c r="A8632" t="s">
        <v>10558</v>
      </c>
      <c r="B8632" t="s">
        <v>2746</v>
      </c>
    </row>
    <row r="8633" spans="1:2" x14ac:dyDescent="0.25">
      <c r="A8633" t="s">
        <v>10559</v>
      </c>
      <c r="B8633" t="s">
        <v>4028</v>
      </c>
    </row>
    <row r="8634" spans="1:2" x14ac:dyDescent="0.25">
      <c r="A8634" t="s">
        <v>10560</v>
      </c>
      <c r="B8634" t="s">
        <v>4040</v>
      </c>
    </row>
    <row r="8635" spans="1:2" x14ac:dyDescent="0.25">
      <c r="A8635" t="s">
        <v>10561</v>
      </c>
      <c r="B8635" t="s">
        <v>3085</v>
      </c>
    </row>
    <row r="8636" spans="1:2" x14ac:dyDescent="0.25">
      <c r="A8636" t="s">
        <v>10562</v>
      </c>
      <c r="B8636" t="s">
        <v>4053</v>
      </c>
    </row>
    <row r="8637" spans="1:2" x14ac:dyDescent="0.25">
      <c r="A8637" t="s">
        <v>10563</v>
      </c>
      <c r="B8637" t="s">
        <v>104</v>
      </c>
    </row>
    <row r="8638" spans="1:2" x14ac:dyDescent="0.25">
      <c r="A8638" t="s">
        <v>10564</v>
      </c>
      <c r="B8638" t="s">
        <v>6234</v>
      </c>
    </row>
    <row r="8639" spans="1:2" x14ac:dyDescent="0.25">
      <c r="A8639" t="s">
        <v>10565</v>
      </c>
      <c r="B8639" t="s">
        <v>1702</v>
      </c>
    </row>
    <row r="8640" spans="1:2" x14ac:dyDescent="0.25">
      <c r="A8640" t="s">
        <v>10566</v>
      </c>
      <c r="B8640" t="s">
        <v>2694</v>
      </c>
    </row>
    <row r="8641" spans="1:2" x14ac:dyDescent="0.25">
      <c r="A8641" t="s">
        <v>10567</v>
      </c>
      <c r="B8641" t="s">
        <v>3109</v>
      </c>
    </row>
    <row r="8642" spans="1:2" x14ac:dyDescent="0.25">
      <c r="A8642" t="s">
        <v>10568</v>
      </c>
      <c r="B8642" t="s">
        <v>2946</v>
      </c>
    </row>
    <row r="8643" spans="1:2" x14ac:dyDescent="0.25">
      <c r="A8643" t="s">
        <v>10569</v>
      </c>
      <c r="B8643" t="s">
        <v>2987</v>
      </c>
    </row>
    <row r="8644" spans="1:2" x14ac:dyDescent="0.25">
      <c r="A8644" t="s">
        <v>10570</v>
      </c>
      <c r="B8644" t="s">
        <v>1502</v>
      </c>
    </row>
    <row r="8645" spans="1:2" x14ac:dyDescent="0.25">
      <c r="A8645" t="s">
        <v>10571</v>
      </c>
      <c r="B8645" t="s">
        <v>2264</v>
      </c>
    </row>
    <row r="8646" spans="1:2" x14ac:dyDescent="0.25">
      <c r="A8646" t="s">
        <v>10572</v>
      </c>
      <c r="B8646" t="s">
        <v>2299</v>
      </c>
    </row>
    <row r="8647" spans="1:2" x14ac:dyDescent="0.25">
      <c r="A8647" t="s">
        <v>10573</v>
      </c>
      <c r="B8647" t="s">
        <v>2822</v>
      </c>
    </row>
    <row r="8648" spans="1:2" x14ac:dyDescent="0.25">
      <c r="A8648" t="s">
        <v>10574</v>
      </c>
      <c r="B8648" t="s">
        <v>2302</v>
      </c>
    </row>
    <row r="8649" spans="1:2" x14ac:dyDescent="0.25">
      <c r="A8649" t="s">
        <v>10575</v>
      </c>
      <c r="B8649" t="s">
        <v>742</v>
      </c>
    </row>
    <row r="8650" spans="1:2" x14ac:dyDescent="0.25">
      <c r="A8650" t="s">
        <v>10576</v>
      </c>
      <c r="B8650" t="s">
        <v>1610</v>
      </c>
    </row>
    <row r="8651" spans="1:2" x14ac:dyDescent="0.25">
      <c r="A8651" t="s">
        <v>10577</v>
      </c>
      <c r="B8651" t="s">
        <v>2537</v>
      </c>
    </row>
    <row r="8652" spans="1:2" x14ac:dyDescent="0.25">
      <c r="A8652" t="s">
        <v>10578</v>
      </c>
      <c r="B8652" t="s">
        <v>1612</v>
      </c>
    </row>
    <row r="8653" spans="1:2" x14ac:dyDescent="0.25">
      <c r="A8653" t="s">
        <v>10579</v>
      </c>
      <c r="B8653" t="s">
        <v>936</v>
      </c>
    </row>
    <row r="8654" spans="1:2" x14ac:dyDescent="0.25">
      <c r="A8654" t="s">
        <v>10580</v>
      </c>
      <c r="B8654" t="s">
        <v>939</v>
      </c>
    </row>
    <row r="8655" spans="1:2" x14ac:dyDescent="0.25">
      <c r="A8655" t="s">
        <v>10581</v>
      </c>
      <c r="B8655" t="s">
        <v>470</v>
      </c>
    </row>
    <row r="8656" spans="1:2" x14ac:dyDescent="0.25">
      <c r="A8656" t="s">
        <v>3003</v>
      </c>
      <c r="B8656" t="s">
        <v>3003</v>
      </c>
    </row>
    <row r="8657" spans="1:2" x14ac:dyDescent="0.25">
      <c r="A8657" t="s">
        <v>10582</v>
      </c>
      <c r="B8657" t="s">
        <v>435</v>
      </c>
    </row>
    <row r="8658" spans="1:2" x14ac:dyDescent="0.25">
      <c r="A8658" t="s">
        <v>10583</v>
      </c>
      <c r="B8658" t="s">
        <v>821</v>
      </c>
    </row>
    <row r="8659" spans="1:2" x14ac:dyDescent="0.25">
      <c r="A8659" t="s">
        <v>10584</v>
      </c>
      <c r="B8659" t="s">
        <v>155</v>
      </c>
    </row>
    <row r="8660" spans="1:2" x14ac:dyDescent="0.25">
      <c r="A8660" t="s">
        <v>10585</v>
      </c>
      <c r="B8660" t="s">
        <v>10586</v>
      </c>
    </row>
    <row r="8661" spans="1:2" x14ac:dyDescent="0.25">
      <c r="A8661" t="s">
        <v>1321</v>
      </c>
      <c r="B8661" t="s">
        <v>1218</v>
      </c>
    </row>
    <row r="8662" spans="1:2" x14ac:dyDescent="0.25">
      <c r="A8662" t="s">
        <v>10587</v>
      </c>
      <c r="B8662" t="s">
        <v>10588</v>
      </c>
    </row>
    <row r="8663" spans="1:2" x14ac:dyDescent="0.25">
      <c r="A8663" t="s">
        <v>10589</v>
      </c>
      <c r="B8663" t="s">
        <v>10590</v>
      </c>
    </row>
    <row r="8664" spans="1:2" x14ac:dyDescent="0.25">
      <c r="A8664" t="s">
        <v>10591</v>
      </c>
      <c r="B8664" t="s">
        <v>1193</v>
      </c>
    </row>
    <row r="8665" spans="1:2" x14ac:dyDescent="0.25">
      <c r="A8665" t="s">
        <v>10592</v>
      </c>
      <c r="B8665" t="s">
        <v>9337</v>
      </c>
    </row>
    <row r="8666" spans="1:2" x14ac:dyDescent="0.25">
      <c r="A8666" t="s">
        <v>10593</v>
      </c>
      <c r="B8666" t="s">
        <v>149</v>
      </c>
    </row>
    <row r="8667" spans="1:2" x14ac:dyDescent="0.25">
      <c r="A8667" t="s">
        <v>10594</v>
      </c>
      <c r="B8667" t="s">
        <v>214</v>
      </c>
    </row>
    <row r="8668" spans="1:2" x14ac:dyDescent="0.25">
      <c r="A8668" t="s">
        <v>10595</v>
      </c>
      <c r="B8668" t="s">
        <v>218</v>
      </c>
    </row>
    <row r="8669" spans="1:2" x14ac:dyDescent="0.25">
      <c r="A8669" t="s">
        <v>10596</v>
      </c>
      <c r="B8669" t="s">
        <v>220</v>
      </c>
    </row>
    <row r="8670" spans="1:2" x14ac:dyDescent="0.25">
      <c r="A8670" t="s">
        <v>10597</v>
      </c>
      <c r="B8670" t="s">
        <v>222</v>
      </c>
    </row>
    <row r="8671" spans="1:2" x14ac:dyDescent="0.25">
      <c r="A8671" t="s">
        <v>10598</v>
      </c>
      <c r="B8671" t="s">
        <v>230</v>
      </c>
    </row>
    <row r="8672" spans="1:2" x14ac:dyDescent="0.25">
      <c r="A8672" t="s">
        <v>10599</v>
      </c>
      <c r="B8672" t="s">
        <v>237</v>
      </c>
    </row>
    <row r="8673" spans="1:2" x14ac:dyDescent="0.25">
      <c r="A8673" t="s">
        <v>10600</v>
      </c>
      <c r="B8673" t="s">
        <v>239</v>
      </c>
    </row>
    <row r="8674" spans="1:2" x14ac:dyDescent="0.25">
      <c r="A8674" t="s">
        <v>10601</v>
      </c>
      <c r="B8674" t="s">
        <v>241</v>
      </c>
    </row>
    <row r="8675" spans="1:2" x14ac:dyDescent="0.25">
      <c r="A8675" t="s">
        <v>10602</v>
      </c>
      <c r="B8675" t="s">
        <v>10602</v>
      </c>
    </row>
    <row r="8676" spans="1:2" x14ac:dyDescent="0.25">
      <c r="A8676" t="s">
        <v>10603</v>
      </c>
      <c r="B8676" t="s">
        <v>10603</v>
      </c>
    </row>
    <row r="8677" spans="1:2" x14ac:dyDescent="0.25">
      <c r="A8677" t="s">
        <v>10604</v>
      </c>
      <c r="B8677" t="s">
        <v>10604</v>
      </c>
    </row>
    <row r="8678" spans="1:2" x14ac:dyDescent="0.25">
      <c r="A8678" t="s">
        <v>10605</v>
      </c>
      <c r="B8678" t="s">
        <v>10605</v>
      </c>
    </row>
    <row r="8679" spans="1:2" x14ac:dyDescent="0.25">
      <c r="A8679" t="s">
        <v>10606</v>
      </c>
      <c r="B8679" t="s">
        <v>10607</v>
      </c>
    </row>
    <row r="8680" spans="1:2" x14ac:dyDescent="0.25">
      <c r="A8680" t="s">
        <v>10608</v>
      </c>
      <c r="B8680" t="s">
        <v>10607</v>
      </c>
    </row>
    <row r="8681" spans="1:2" x14ac:dyDescent="0.25">
      <c r="A8681" t="s">
        <v>10609</v>
      </c>
      <c r="B8681" t="s">
        <v>10609</v>
      </c>
    </row>
    <row r="8682" spans="1:2" x14ac:dyDescent="0.25">
      <c r="A8682" t="s">
        <v>10610</v>
      </c>
      <c r="B8682" t="s">
        <v>10610</v>
      </c>
    </row>
    <row r="8683" spans="1:2" x14ac:dyDescent="0.25">
      <c r="A8683" t="s">
        <v>10611</v>
      </c>
      <c r="B8683" t="s">
        <v>10612</v>
      </c>
    </row>
    <row r="8684" spans="1:2" x14ac:dyDescent="0.25">
      <c r="A8684" t="s">
        <v>10613</v>
      </c>
      <c r="B8684" t="s">
        <v>10613</v>
      </c>
    </row>
    <row r="8685" spans="1:2" x14ac:dyDescent="0.25">
      <c r="A8685" t="s">
        <v>10614</v>
      </c>
      <c r="B8685" t="s">
        <v>10614</v>
      </c>
    </row>
    <row r="8686" spans="1:2" x14ac:dyDescent="0.25">
      <c r="A8686" t="s">
        <v>10615</v>
      </c>
      <c r="B8686" t="s">
        <v>10615</v>
      </c>
    </row>
    <row r="8687" spans="1:2" x14ac:dyDescent="0.25">
      <c r="A8687" t="s">
        <v>10616</v>
      </c>
      <c r="B8687" t="s">
        <v>10616</v>
      </c>
    </row>
    <row r="8688" spans="1:2" x14ac:dyDescent="0.25">
      <c r="A8688" t="s">
        <v>10617</v>
      </c>
      <c r="B8688" t="s">
        <v>10617</v>
      </c>
    </row>
    <row r="8689" spans="1:2" x14ac:dyDescent="0.25">
      <c r="A8689" t="s">
        <v>10618</v>
      </c>
      <c r="B8689" t="s">
        <v>10618</v>
      </c>
    </row>
    <row r="8690" spans="1:2" x14ac:dyDescent="0.25">
      <c r="A8690" t="s">
        <v>10619</v>
      </c>
      <c r="B8690" t="s">
        <v>10619</v>
      </c>
    </row>
    <row r="8691" spans="1:2" x14ac:dyDescent="0.25">
      <c r="A8691" t="s">
        <v>10620</v>
      </c>
      <c r="B8691" t="s">
        <v>10620</v>
      </c>
    </row>
    <row r="8692" spans="1:2" x14ac:dyDescent="0.25">
      <c r="A8692" t="s">
        <v>10621</v>
      </c>
      <c r="B8692" t="s">
        <v>10621</v>
      </c>
    </row>
    <row r="8693" spans="1:2" x14ac:dyDescent="0.25">
      <c r="A8693" t="s">
        <v>10622</v>
      </c>
      <c r="B8693" t="s">
        <v>10622</v>
      </c>
    </row>
    <row r="8694" spans="1:2" x14ac:dyDescent="0.25">
      <c r="A8694" t="s">
        <v>10623</v>
      </c>
      <c r="B8694" t="s">
        <v>1833</v>
      </c>
    </row>
    <row r="8695" spans="1:2" x14ac:dyDescent="0.25">
      <c r="A8695" t="s">
        <v>10624</v>
      </c>
      <c r="B8695" t="s">
        <v>1218</v>
      </c>
    </row>
    <row r="8696" spans="1:2" x14ac:dyDescent="0.25">
      <c r="A8696" t="s">
        <v>10625</v>
      </c>
      <c r="B8696" t="s">
        <v>9337</v>
      </c>
    </row>
    <row r="8697" spans="1:2" x14ac:dyDescent="0.25">
      <c r="A8697" t="s">
        <v>10626</v>
      </c>
      <c r="B8697" t="s">
        <v>10626</v>
      </c>
    </row>
    <row r="8698" spans="1:2" x14ac:dyDescent="0.25">
      <c r="A8698" t="s">
        <v>10627</v>
      </c>
      <c r="B8698" t="s">
        <v>10627</v>
      </c>
    </row>
    <row r="8699" spans="1:2" x14ac:dyDescent="0.25">
      <c r="A8699" t="s">
        <v>10628</v>
      </c>
      <c r="B8699" t="s">
        <v>10628</v>
      </c>
    </row>
    <row r="8700" spans="1:2" x14ac:dyDescent="0.25">
      <c r="A8700" t="s">
        <v>10629</v>
      </c>
      <c r="B8700" t="s">
        <v>10629</v>
      </c>
    </row>
    <row r="8701" spans="1:2" x14ac:dyDescent="0.25">
      <c r="A8701" t="s">
        <v>10630</v>
      </c>
      <c r="B8701" t="s">
        <v>10630</v>
      </c>
    </row>
    <row r="8702" spans="1:2" x14ac:dyDescent="0.25">
      <c r="A8702" t="s">
        <v>10631</v>
      </c>
      <c r="B8702" t="s">
        <v>10631</v>
      </c>
    </row>
    <row r="8703" spans="1:2" x14ac:dyDescent="0.25">
      <c r="A8703" t="s">
        <v>10632</v>
      </c>
      <c r="B8703" t="s">
        <v>10632</v>
      </c>
    </row>
    <row r="8704" spans="1:2" x14ac:dyDescent="0.25">
      <c r="A8704" t="s">
        <v>10633</v>
      </c>
      <c r="B8704" t="s">
        <v>10633</v>
      </c>
    </row>
    <row r="8705" spans="1:2" x14ac:dyDescent="0.25">
      <c r="A8705" t="s">
        <v>10634</v>
      </c>
      <c r="B8705" t="s">
        <v>10634</v>
      </c>
    </row>
    <row r="8706" spans="1:2" x14ac:dyDescent="0.25">
      <c r="A8706" t="s">
        <v>10635</v>
      </c>
      <c r="B8706" t="s">
        <v>10635</v>
      </c>
    </row>
    <row r="8707" spans="1:2" x14ac:dyDescent="0.25">
      <c r="A8707" t="s">
        <v>10636</v>
      </c>
      <c r="B8707" t="s">
        <v>10636</v>
      </c>
    </row>
    <row r="8708" spans="1:2" x14ac:dyDescent="0.25">
      <c r="A8708" t="s">
        <v>10637</v>
      </c>
      <c r="B8708" t="s">
        <v>10637</v>
      </c>
    </row>
    <row r="8709" spans="1:2" x14ac:dyDescent="0.25">
      <c r="A8709" t="s">
        <v>10638</v>
      </c>
      <c r="B8709" t="s">
        <v>10638</v>
      </c>
    </row>
    <row r="8710" spans="1:2" x14ac:dyDescent="0.25">
      <c r="A8710" t="s">
        <v>10639</v>
      </c>
      <c r="B8710" t="s">
        <v>10639</v>
      </c>
    </row>
    <row r="8711" spans="1:2" x14ac:dyDescent="0.25">
      <c r="A8711" t="s">
        <v>10640</v>
      </c>
      <c r="B8711" t="s">
        <v>10640</v>
      </c>
    </row>
    <row r="8712" spans="1:2" x14ac:dyDescent="0.25">
      <c r="A8712" t="s">
        <v>10641</v>
      </c>
      <c r="B8712" t="s">
        <v>10641</v>
      </c>
    </row>
    <row r="8713" spans="1:2" x14ac:dyDescent="0.25">
      <c r="A8713" t="s">
        <v>10642</v>
      </c>
      <c r="B8713" t="s">
        <v>10642</v>
      </c>
    </row>
    <row r="8714" spans="1:2" x14ac:dyDescent="0.25">
      <c r="A8714" t="s">
        <v>10643</v>
      </c>
      <c r="B8714" t="s">
        <v>10643</v>
      </c>
    </row>
    <row r="8715" spans="1:2" x14ac:dyDescent="0.25">
      <c r="A8715" t="s">
        <v>10644</v>
      </c>
      <c r="B8715" t="s">
        <v>10644</v>
      </c>
    </row>
    <row r="8716" spans="1:2" x14ac:dyDescent="0.25">
      <c r="A8716" t="s">
        <v>10645</v>
      </c>
      <c r="B8716" t="s">
        <v>10645</v>
      </c>
    </row>
    <row r="8717" spans="1:2" x14ac:dyDescent="0.25">
      <c r="A8717" t="s">
        <v>10646</v>
      </c>
      <c r="B8717" t="s">
        <v>10646</v>
      </c>
    </row>
    <row r="8718" spans="1:2" x14ac:dyDescent="0.25">
      <c r="A8718" t="s">
        <v>10647</v>
      </c>
      <c r="B8718" t="s">
        <v>10647</v>
      </c>
    </row>
    <row r="8719" spans="1:2" x14ac:dyDescent="0.25">
      <c r="A8719" t="s">
        <v>10648</v>
      </c>
      <c r="B8719" t="s">
        <v>421</v>
      </c>
    </row>
    <row r="8720" spans="1:2" x14ac:dyDescent="0.25">
      <c r="A8720" t="s">
        <v>1284</v>
      </c>
      <c r="B8720" t="s">
        <v>1284</v>
      </c>
    </row>
    <row r="8721" spans="1:2" x14ac:dyDescent="0.25">
      <c r="A8721" t="s">
        <v>10649</v>
      </c>
      <c r="B8721" t="s">
        <v>10649</v>
      </c>
    </row>
    <row r="8722" spans="1:2" x14ac:dyDescent="0.25">
      <c r="A8722" t="s">
        <v>10650</v>
      </c>
      <c r="B8722" t="s">
        <v>10650</v>
      </c>
    </row>
    <row r="8723" spans="1:2" x14ac:dyDescent="0.25">
      <c r="A8723" t="s">
        <v>10651</v>
      </c>
      <c r="B8723" t="s">
        <v>10651</v>
      </c>
    </row>
    <row r="8724" spans="1:2" x14ac:dyDescent="0.25">
      <c r="A8724" t="s">
        <v>10652</v>
      </c>
      <c r="B8724" t="s">
        <v>10652</v>
      </c>
    </row>
    <row r="8725" spans="1:2" x14ac:dyDescent="0.25">
      <c r="A8725" t="s">
        <v>10653</v>
      </c>
      <c r="B8725" t="s">
        <v>10653</v>
      </c>
    </row>
    <row r="8726" spans="1:2" x14ac:dyDescent="0.25">
      <c r="A8726" t="s">
        <v>10654</v>
      </c>
      <c r="B8726" t="s">
        <v>10654</v>
      </c>
    </row>
    <row r="8727" spans="1:2" x14ac:dyDescent="0.25">
      <c r="A8727" t="s">
        <v>10655</v>
      </c>
      <c r="B8727" t="s">
        <v>10655</v>
      </c>
    </row>
    <row r="8728" spans="1:2" x14ac:dyDescent="0.25">
      <c r="A8728" t="s">
        <v>3005</v>
      </c>
      <c r="B8728" t="s">
        <v>3005</v>
      </c>
    </row>
    <row r="8729" spans="1:2" x14ac:dyDescent="0.25">
      <c r="A8729" t="s">
        <v>10656</v>
      </c>
      <c r="B8729" t="s">
        <v>10657</v>
      </c>
    </row>
    <row r="8730" spans="1:2" x14ac:dyDescent="0.25">
      <c r="A8730" t="s">
        <v>10658</v>
      </c>
      <c r="B8730" t="s">
        <v>10659</v>
      </c>
    </row>
    <row r="8731" spans="1:2" x14ac:dyDescent="0.25">
      <c r="A8731" t="s">
        <v>10660</v>
      </c>
      <c r="B8731" t="s">
        <v>10661</v>
      </c>
    </row>
    <row r="8732" spans="1:2" x14ac:dyDescent="0.25">
      <c r="A8732" t="s">
        <v>10662</v>
      </c>
      <c r="B8732" t="s">
        <v>10661</v>
      </c>
    </row>
    <row r="8733" spans="1:2" x14ac:dyDescent="0.25">
      <c r="A8733" t="s">
        <v>10663</v>
      </c>
      <c r="B8733" t="s">
        <v>10664</v>
      </c>
    </row>
    <row r="8734" spans="1:2" x14ac:dyDescent="0.25">
      <c r="A8734" t="s">
        <v>10665</v>
      </c>
      <c r="B8734" t="s">
        <v>10666</v>
      </c>
    </row>
    <row r="8735" spans="1:2" x14ac:dyDescent="0.25">
      <c r="A8735" t="s">
        <v>10667</v>
      </c>
      <c r="B8735" t="s">
        <v>10668</v>
      </c>
    </row>
    <row r="8736" spans="1:2" x14ac:dyDescent="0.25">
      <c r="A8736" t="s">
        <v>10669</v>
      </c>
      <c r="B8736" t="s">
        <v>10670</v>
      </c>
    </row>
    <row r="8737" spans="1:2" x14ac:dyDescent="0.25">
      <c r="A8737" t="s">
        <v>3006</v>
      </c>
      <c r="B8737" t="s">
        <v>3006</v>
      </c>
    </row>
    <row r="8738" spans="1:2" x14ac:dyDescent="0.25">
      <c r="A8738" t="s">
        <v>10671</v>
      </c>
      <c r="B8738" t="s">
        <v>10672</v>
      </c>
    </row>
    <row r="8739" spans="1:2" x14ac:dyDescent="0.25">
      <c r="A8739" t="s">
        <v>3376</v>
      </c>
      <c r="B8739" t="s">
        <v>3376</v>
      </c>
    </row>
    <row r="8740" spans="1:2" x14ac:dyDescent="0.25">
      <c r="A8740" t="s">
        <v>3007</v>
      </c>
      <c r="B8740" t="s">
        <v>3007</v>
      </c>
    </row>
    <row r="8741" spans="1:2" x14ac:dyDescent="0.25">
      <c r="A8741" t="s">
        <v>1417</v>
      </c>
      <c r="B8741" t="s">
        <v>1417</v>
      </c>
    </row>
    <row r="8742" spans="1:2" x14ac:dyDescent="0.25">
      <c r="A8742" t="s">
        <v>461</v>
      </c>
      <c r="B8742" t="s">
        <v>460</v>
      </c>
    </row>
    <row r="8743" spans="1:2" x14ac:dyDescent="0.25">
      <c r="A8743" t="s">
        <v>10673</v>
      </c>
      <c r="B8743" t="s">
        <v>360</v>
      </c>
    </row>
    <row r="8744" spans="1:2" x14ac:dyDescent="0.25">
      <c r="A8744" t="s">
        <v>10674</v>
      </c>
      <c r="B8744" t="s">
        <v>89</v>
      </c>
    </row>
    <row r="8745" spans="1:2" x14ac:dyDescent="0.25">
      <c r="A8745" t="s">
        <v>10675</v>
      </c>
      <c r="B8745" t="s">
        <v>1739</v>
      </c>
    </row>
    <row r="8746" spans="1:2" x14ac:dyDescent="0.25">
      <c r="A8746" t="s">
        <v>1574</v>
      </c>
      <c r="B8746" t="s">
        <v>1573</v>
      </c>
    </row>
    <row r="8747" spans="1:2" x14ac:dyDescent="0.25">
      <c r="A8747" t="s">
        <v>1418</v>
      </c>
      <c r="B8747" t="s">
        <v>1417</v>
      </c>
    </row>
    <row r="8748" spans="1:2" x14ac:dyDescent="0.25">
      <c r="A8748" t="s">
        <v>493</v>
      </c>
      <c r="B8748" t="s">
        <v>492</v>
      </c>
    </row>
    <row r="8749" spans="1:2" x14ac:dyDescent="0.25">
      <c r="A8749" t="s">
        <v>495</v>
      </c>
      <c r="B8749" t="s">
        <v>494</v>
      </c>
    </row>
    <row r="8750" spans="1:2" x14ac:dyDescent="0.25">
      <c r="A8750" t="s">
        <v>3009</v>
      </c>
      <c r="B8750" t="s">
        <v>3009</v>
      </c>
    </row>
    <row r="8751" spans="1:2" x14ac:dyDescent="0.25">
      <c r="A8751" t="s">
        <v>10676</v>
      </c>
      <c r="B8751" t="s">
        <v>1606</v>
      </c>
    </row>
    <row r="8752" spans="1:2" x14ac:dyDescent="0.25">
      <c r="A8752" t="s">
        <v>494</v>
      </c>
      <c r="B8752" t="s">
        <v>494</v>
      </c>
    </row>
    <row r="8753" spans="1:2" x14ac:dyDescent="0.25">
      <c r="A8753" t="s">
        <v>3010</v>
      </c>
      <c r="B8753" t="s">
        <v>3010</v>
      </c>
    </row>
    <row r="8754" spans="1:2" x14ac:dyDescent="0.25">
      <c r="A8754" t="s">
        <v>10677</v>
      </c>
      <c r="B8754" t="s">
        <v>10678</v>
      </c>
    </row>
    <row r="8755" spans="1:2" x14ac:dyDescent="0.25">
      <c r="A8755" t="s">
        <v>10679</v>
      </c>
      <c r="B8755" t="s">
        <v>10680</v>
      </c>
    </row>
    <row r="8756" spans="1:2" x14ac:dyDescent="0.25">
      <c r="A8756" t="s">
        <v>10681</v>
      </c>
      <c r="B8756" t="s">
        <v>9653</v>
      </c>
    </row>
    <row r="8757" spans="1:2" x14ac:dyDescent="0.25">
      <c r="A8757" t="s">
        <v>10682</v>
      </c>
      <c r="B8757" t="s">
        <v>736</v>
      </c>
    </row>
    <row r="8758" spans="1:2" x14ac:dyDescent="0.25">
      <c r="A8758" t="s">
        <v>10683</v>
      </c>
      <c r="B8758" t="s">
        <v>1417</v>
      </c>
    </row>
    <row r="8759" spans="1:2" x14ac:dyDescent="0.25">
      <c r="A8759" t="s">
        <v>10684</v>
      </c>
      <c r="B8759" t="s">
        <v>494</v>
      </c>
    </row>
    <row r="8760" spans="1:2" x14ac:dyDescent="0.25">
      <c r="A8760" t="s">
        <v>10685</v>
      </c>
      <c r="B8760" t="s">
        <v>492</v>
      </c>
    </row>
    <row r="8761" spans="1:2" x14ac:dyDescent="0.25">
      <c r="A8761" t="s">
        <v>492</v>
      </c>
      <c r="B8761" t="s">
        <v>492</v>
      </c>
    </row>
    <row r="8762" spans="1:2" x14ac:dyDescent="0.25">
      <c r="A8762" t="s">
        <v>10686</v>
      </c>
      <c r="B8762" t="s">
        <v>716</v>
      </c>
    </row>
    <row r="8763" spans="1:2" x14ac:dyDescent="0.25">
      <c r="A8763" t="s">
        <v>10687</v>
      </c>
      <c r="B8763" t="s">
        <v>115</v>
      </c>
    </row>
    <row r="8764" spans="1:2" x14ac:dyDescent="0.25">
      <c r="A8764" t="s">
        <v>10688</v>
      </c>
      <c r="B8764" t="s">
        <v>99</v>
      </c>
    </row>
    <row r="8765" spans="1:2" x14ac:dyDescent="0.25">
      <c r="A8765" t="s">
        <v>10689</v>
      </c>
      <c r="B8765" t="s">
        <v>10690</v>
      </c>
    </row>
    <row r="8766" spans="1:2" x14ac:dyDescent="0.25">
      <c r="A8766" t="s">
        <v>10691</v>
      </c>
      <c r="B8766" t="s">
        <v>1231</v>
      </c>
    </row>
    <row r="8767" spans="1:2" x14ac:dyDescent="0.25">
      <c r="A8767" t="s">
        <v>10692</v>
      </c>
      <c r="B8767" t="s">
        <v>2056</v>
      </c>
    </row>
    <row r="8768" spans="1:2" x14ac:dyDescent="0.25">
      <c r="A8768" t="s">
        <v>10693</v>
      </c>
      <c r="B8768" t="s">
        <v>333</v>
      </c>
    </row>
    <row r="8769" spans="1:2" x14ac:dyDescent="0.25">
      <c r="A8769" t="s">
        <v>10694</v>
      </c>
      <c r="B8769" t="s">
        <v>9362</v>
      </c>
    </row>
    <row r="8770" spans="1:2" x14ac:dyDescent="0.25">
      <c r="A8770" t="s">
        <v>10695</v>
      </c>
      <c r="B8770" t="s">
        <v>9346</v>
      </c>
    </row>
    <row r="8771" spans="1:2" x14ac:dyDescent="0.25">
      <c r="A8771" t="s">
        <v>1425</v>
      </c>
      <c r="B8771" t="s">
        <v>1425</v>
      </c>
    </row>
    <row r="8772" spans="1:2" x14ac:dyDescent="0.25">
      <c r="A8772" t="s">
        <v>10696</v>
      </c>
      <c r="B8772" t="s">
        <v>151</v>
      </c>
    </row>
    <row r="8773" spans="1:2" x14ac:dyDescent="0.25">
      <c r="A8773" t="s">
        <v>3011</v>
      </c>
      <c r="B8773" t="s">
        <v>3011</v>
      </c>
    </row>
    <row r="8774" spans="1:2" x14ac:dyDescent="0.25">
      <c r="A8774" t="s">
        <v>10697</v>
      </c>
      <c r="B8774" t="s">
        <v>528</v>
      </c>
    </row>
    <row r="8775" spans="1:2" x14ac:dyDescent="0.25">
      <c r="A8775" t="s">
        <v>10698</v>
      </c>
      <c r="B8775" t="s">
        <v>9357</v>
      </c>
    </row>
    <row r="8776" spans="1:2" x14ac:dyDescent="0.25">
      <c r="A8776" t="s">
        <v>10699</v>
      </c>
      <c r="B8776" t="s">
        <v>10700</v>
      </c>
    </row>
    <row r="8777" spans="1:2" x14ac:dyDescent="0.25">
      <c r="A8777" t="s">
        <v>10701</v>
      </c>
      <c r="B8777" t="s">
        <v>117</v>
      </c>
    </row>
    <row r="8778" spans="1:2" x14ac:dyDescent="0.25">
      <c r="A8778" t="s">
        <v>10702</v>
      </c>
      <c r="B8778" t="s">
        <v>210</v>
      </c>
    </row>
    <row r="8779" spans="1:2" x14ac:dyDescent="0.25">
      <c r="A8779" t="s">
        <v>10703</v>
      </c>
      <c r="B8779" t="s">
        <v>1739</v>
      </c>
    </row>
    <row r="8780" spans="1:2" x14ac:dyDescent="0.25">
      <c r="A8780" t="s">
        <v>10704</v>
      </c>
      <c r="B8780" t="s">
        <v>423</v>
      </c>
    </row>
    <row r="8781" spans="1:2" x14ac:dyDescent="0.25">
      <c r="A8781" t="s">
        <v>10705</v>
      </c>
      <c r="B8781" t="s">
        <v>9552</v>
      </c>
    </row>
    <row r="8782" spans="1:2" x14ac:dyDescent="0.25">
      <c r="A8782" t="s">
        <v>10706</v>
      </c>
      <c r="B8782" t="s">
        <v>9559</v>
      </c>
    </row>
    <row r="8783" spans="1:2" x14ac:dyDescent="0.25">
      <c r="A8783" t="s">
        <v>10707</v>
      </c>
      <c r="B8783" t="s">
        <v>9555</v>
      </c>
    </row>
    <row r="8784" spans="1:2" x14ac:dyDescent="0.25">
      <c r="A8784" t="s">
        <v>10708</v>
      </c>
      <c r="B8784" t="s">
        <v>421</v>
      </c>
    </row>
    <row r="8785" spans="1:2" x14ac:dyDescent="0.25">
      <c r="A8785" t="s">
        <v>10709</v>
      </c>
      <c r="B8785" t="s">
        <v>9568</v>
      </c>
    </row>
    <row r="8786" spans="1:2" x14ac:dyDescent="0.25">
      <c r="A8786" t="s">
        <v>10710</v>
      </c>
      <c r="B8786" t="s">
        <v>9560</v>
      </c>
    </row>
    <row r="8787" spans="1:2" x14ac:dyDescent="0.25">
      <c r="A8787" t="s">
        <v>10711</v>
      </c>
      <c r="B8787" t="s">
        <v>9557</v>
      </c>
    </row>
    <row r="8788" spans="1:2" x14ac:dyDescent="0.25">
      <c r="A8788" t="s">
        <v>10712</v>
      </c>
      <c r="B8788" t="s">
        <v>1425</v>
      </c>
    </row>
    <row r="8789" spans="1:2" x14ac:dyDescent="0.25">
      <c r="A8789" t="s">
        <v>10713</v>
      </c>
      <c r="B8789" t="s">
        <v>10714</v>
      </c>
    </row>
    <row r="8790" spans="1:2" x14ac:dyDescent="0.25">
      <c r="A8790" t="s">
        <v>10715</v>
      </c>
      <c r="B8790" t="s">
        <v>9337</v>
      </c>
    </row>
    <row r="8791" spans="1:2" x14ac:dyDescent="0.25">
      <c r="A8791" t="s">
        <v>10716</v>
      </c>
      <c r="B8791" t="s">
        <v>9337</v>
      </c>
    </row>
    <row r="8792" spans="1:2" x14ac:dyDescent="0.25">
      <c r="A8792" t="s">
        <v>10717</v>
      </c>
      <c r="B8792" t="s">
        <v>1367</v>
      </c>
    </row>
    <row r="8793" spans="1:2" x14ac:dyDescent="0.25">
      <c r="A8793" t="s">
        <v>10718</v>
      </c>
      <c r="B8793" t="s">
        <v>1367</v>
      </c>
    </row>
    <row r="8794" spans="1:2" x14ac:dyDescent="0.25">
      <c r="A8794" t="s">
        <v>10719</v>
      </c>
      <c r="B8794" t="s">
        <v>1833</v>
      </c>
    </row>
    <row r="8795" spans="1:2" x14ac:dyDescent="0.25">
      <c r="A8795" t="s">
        <v>10720</v>
      </c>
      <c r="B8795" t="s">
        <v>10721</v>
      </c>
    </row>
    <row r="8796" spans="1:2" x14ac:dyDescent="0.25">
      <c r="A8796" t="s">
        <v>10722</v>
      </c>
      <c r="B8796" t="s">
        <v>10723</v>
      </c>
    </row>
    <row r="8797" spans="1:2" x14ac:dyDescent="0.25">
      <c r="A8797" t="s">
        <v>10724</v>
      </c>
      <c r="B8797" t="s">
        <v>226</v>
      </c>
    </row>
    <row r="8798" spans="1:2" x14ac:dyDescent="0.25">
      <c r="A8798" t="s">
        <v>10725</v>
      </c>
      <c r="B8798" t="s">
        <v>10726</v>
      </c>
    </row>
    <row r="8799" spans="1:2" x14ac:dyDescent="0.25">
      <c r="A8799" t="s">
        <v>10727</v>
      </c>
      <c r="B8799" t="s">
        <v>9560</v>
      </c>
    </row>
    <row r="8800" spans="1:2" x14ac:dyDescent="0.25">
      <c r="A8800" t="s">
        <v>10728</v>
      </c>
      <c r="B8800" s="7" t="s">
        <v>1210</v>
      </c>
    </row>
    <row r="8801" spans="1:2" x14ac:dyDescent="0.25">
      <c r="A8801" t="s">
        <v>3012</v>
      </c>
      <c r="B8801" t="s">
        <v>3012</v>
      </c>
    </row>
    <row r="8802" spans="1:2" x14ac:dyDescent="0.25">
      <c r="A8802" t="s">
        <v>3013</v>
      </c>
      <c r="B8802" t="s">
        <v>3013</v>
      </c>
    </row>
    <row r="8803" spans="1:2" x14ac:dyDescent="0.25">
      <c r="A8803" t="s">
        <v>10729</v>
      </c>
      <c r="B8803" t="s">
        <v>9405</v>
      </c>
    </row>
    <row r="8804" spans="1:2" x14ac:dyDescent="0.25">
      <c r="A8804" t="s">
        <v>10730</v>
      </c>
      <c r="B8804" t="s">
        <v>4209</v>
      </c>
    </row>
    <row r="8805" spans="1:2" x14ac:dyDescent="0.25">
      <c r="A8805" t="s">
        <v>10731</v>
      </c>
      <c r="B8805" t="s">
        <v>271</v>
      </c>
    </row>
    <row r="8806" spans="1:2" x14ac:dyDescent="0.25">
      <c r="A8806" t="s">
        <v>10732</v>
      </c>
      <c r="B8806" t="s">
        <v>1587</v>
      </c>
    </row>
    <row r="8807" spans="1:2" x14ac:dyDescent="0.25">
      <c r="A8807" t="s">
        <v>10733</v>
      </c>
      <c r="B8807" t="s">
        <v>294</v>
      </c>
    </row>
    <row r="8808" spans="1:2" x14ac:dyDescent="0.25">
      <c r="A8808" t="s">
        <v>10734</v>
      </c>
      <c r="B8808" t="s">
        <v>95</v>
      </c>
    </row>
    <row r="8809" spans="1:2" x14ac:dyDescent="0.25">
      <c r="A8809" t="s">
        <v>10735</v>
      </c>
      <c r="B8809" t="s">
        <v>97</v>
      </c>
    </row>
    <row r="8810" spans="1:2" x14ac:dyDescent="0.25">
      <c r="A8810" t="s">
        <v>10736</v>
      </c>
      <c r="B8810" t="s">
        <v>10737</v>
      </c>
    </row>
    <row r="8811" spans="1:2" x14ac:dyDescent="0.25">
      <c r="A8811" t="s">
        <v>10738</v>
      </c>
      <c r="B8811" t="s">
        <v>1078</v>
      </c>
    </row>
    <row r="8812" spans="1:2" x14ac:dyDescent="0.25">
      <c r="A8812" t="s">
        <v>2188</v>
      </c>
      <c r="B8812" t="s">
        <v>2187</v>
      </c>
    </row>
    <row r="8813" spans="1:2" x14ac:dyDescent="0.25">
      <c r="A8813" t="s">
        <v>10739</v>
      </c>
      <c r="B8813" t="s">
        <v>117</v>
      </c>
    </row>
    <row r="8814" spans="1:2" x14ac:dyDescent="0.25">
      <c r="A8814" t="s">
        <v>1426</v>
      </c>
      <c r="B8814" t="s">
        <v>1425</v>
      </c>
    </row>
    <row r="8815" spans="1:2" x14ac:dyDescent="0.25">
      <c r="A8815" t="s">
        <v>10740</v>
      </c>
      <c r="B8815" t="s">
        <v>1973</v>
      </c>
    </row>
    <row r="8816" spans="1:2" x14ac:dyDescent="0.25">
      <c r="A8816" t="s">
        <v>10741</v>
      </c>
      <c r="B8816" t="s">
        <v>10742</v>
      </c>
    </row>
    <row r="8817" spans="1:2" x14ac:dyDescent="0.25">
      <c r="A8817" t="s">
        <v>3014</v>
      </c>
      <c r="B8817" t="s">
        <v>3014</v>
      </c>
    </row>
    <row r="8818" spans="1:2" x14ac:dyDescent="0.25">
      <c r="A8818" t="s">
        <v>10743</v>
      </c>
      <c r="B8818" t="s">
        <v>10714</v>
      </c>
    </row>
    <row r="8819" spans="1:2" x14ac:dyDescent="0.25">
      <c r="A8819" t="s">
        <v>1255</v>
      </c>
      <c r="B8819" t="s">
        <v>1254</v>
      </c>
    </row>
    <row r="8820" spans="1:2" x14ac:dyDescent="0.25">
      <c r="A8820" t="s">
        <v>2999</v>
      </c>
      <c r="B8820" t="s">
        <v>2999</v>
      </c>
    </row>
    <row r="8821" spans="1:2" x14ac:dyDescent="0.25">
      <c r="A8821" t="s">
        <v>2052</v>
      </c>
      <c r="B8821" t="s">
        <v>2051</v>
      </c>
    </row>
    <row r="8822" spans="1:2" x14ac:dyDescent="0.25">
      <c r="A8822" t="s">
        <v>10744</v>
      </c>
      <c r="B8822" t="s">
        <v>1063</v>
      </c>
    </row>
    <row r="8823" spans="1:2" x14ac:dyDescent="0.25">
      <c r="A8823" t="s">
        <v>9555</v>
      </c>
      <c r="B8823" t="s">
        <v>9555</v>
      </c>
    </row>
    <row r="8824" spans="1:2" x14ac:dyDescent="0.25">
      <c r="A8824" t="s">
        <v>10745</v>
      </c>
      <c r="B8824" t="s">
        <v>1262</v>
      </c>
    </row>
    <row r="8825" spans="1:2" x14ac:dyDescent="0.25">
      <c r="A8825" t="s">
        <v>10746</v>
      </c>
      <c r="B8825" t="s">
        <v>9655</v>
      </c>
    </row>
    <row r="8826" spans="1:2" x14ac:dyDescent="0.25">
      <c r="A8826" t="s">
        <v>10747</v>
      </c>
      <c r="B8826" t="s">
        <v>1210</v>
      </c>
    </row>
    <row r="8827" spans="1:2" x14ac:dyDescent="0.25">
      <c r="A8827" t="s">
        <v>10748</v>
      </c>
      <c r="B8827" t="s">
        <v>707</v>
      </c>
    </row>
    <row r="8828" spans="1:2" x14ac:dyDescent="0.25">
      <c r="A8828" t="s">
        <v>10749</v>
      </c>
      <c r="B8828" t="s">
        <v>433</v>
      </c>
    </row>
    <row r="8829" spans="1:2" x14ac:dyDescent="0.25">
      <c r="A8829" t="s">
        <v>10750</v>
      </c>
      <c r="B8829" t="s">
        <v>431</v>
      </c>
    </row>
    <row r="8830" spans="1:2" x14ac:dyDescent="0.25">
      <c r="A8830" t="s">
        <v>10751</v>
      </c>
      <c r="B8830" t="s">
        <v>708</v>
      </c>
    </row>
    <row r="8831" spans="1:2" x14ac:dyDescent="0.25">
      <c r="A8831" t="s">
        <v>10752</v>
      </c>
      <c r="B8831" t="s">
        <v>9655</v>
      </c>
    </row>
    <row r="8832" spans="1:2" x14ac:dyDescent="0.25">
      <c r="A8832" t="s">
        <v>10753</v>
      </c>
      <c r="B8832" t="s">
        <v>10754</v>
      </c>
    </row>
    <row r="8833" spans="1:2" x14ac:dyDescent="0.25">
      <c r="A8833" t="s">
        <v>3015</v>
      </c>
      <c r="B8833" t="s">
        <v>3015</v>
      </c>
    </row>
    <row r="8834" spans="1:2" x14ac:dyDescent="0.25">
      <c r="A8834" t="s">
        <v>10755</v>
      </c>
      <c r="B8834" t="s">
        <v>9362</v>
      </c>
    </row>
    <row r="8835" spans="1:2" x14ac:dyDescent="0.25">
      <c r="A8835" t="s">
        <v>10756</v>
      </c>
      <c r="B8835" t="s">
        <v>10757</v>
      </c>
    </row>
    <row r="8836" spans="1:2" x14ac:dyDescent="0.25">
      <c r="A8836" t="s">
        <v>10758</v>
      </c>
      <c r="B8836" t="s">
        <v>10759</v>
      </c>
    </row>
    <row r="8837" spans="1:2" x14ac:dyDescent="0.25">
      <c r="A8837" t="s">
        <v>10760</v>
      </c>
      <c r="B8837" t="s">
        <v>2187</v>
      </c>
    </row>
    <row r="8838" spans="1:2" x14ac:dyDescent="0.25">
      <c r="A8838" t="s">
        <v>10761</v>
      </c>
      <c r="B8838" t="s">
        <v>1127</v>
      </c>
    </row>
    <row r="8839" spans="1:2" x14ac:dyDescent="0.25">
      <c r="A8839" t="s">
        <v>10762</v>
      </c>
      <c r="B8839" t="s">
        <v>9653</v>
      </c>
    </row>
    <row r="8840" spans="1:2" x14ac:dyDescent="0.25">
      <c r="A8840" t="s">
        <v>10763</v>
      </c>
      <c r="B8840" t="s">
        <v>362</v>
      </c>
    </row>
    <row r="8841" spans="1:2" x14ac:dyDescent="0.25">
      <c r="A8841" t="s">
        <v>10764</v>
      </c>
      <c r="B8841" t="s">
        <v>1314</v>
      </c>
    </row>
    <row r="8842" spans="1:2" x14ac:dyDescent="0.25">
      <c r="A8842" t="s">
        <v>3016</v>
      </c>
      <c r="B8842" t="s">
        <v>3016</v>
      </c>
    </row>
    <row r="8843" spans="1:2" x14ac:dyDescent="0.25">
      <c r="A8843" t="s">
        <v>3017</v>
      </c>
      <c r="B8843" t="s">
        <v>3017</v>
      </c>
    </row>
    <row r="8844" spans="1:2" x14ac:dyDescent="0.25">
      <c r="A8844" t="s">
        <v>434</v>
      </c>
      <c r="B8844" t="s">
        <v>433</v>
      </c>
    </row>
    <row r="8845" spans="1:2" x14ac:dyDescent="0.25">
      <c r="A8845" t="s">
        <v>1315</v>
      </c>
      <c r="B8845" t="s">
        <v>1314</v>
      </c>
    </row>
    <row r="8846" spans="1:2" x14ac:dyDescent="0.25">
      <c r="A8846" t="s">
        <v>10765</v>
      </c>
      <c r="B8846" t="s">
        <v>931</v>
      </c>
    </row>
    <row r="8847" spans="1:2" x14ac:dyDescent="0.25">
      <c r="A8847" t="s">
        <v>10766</v>
      </c>
      <c r="B8847" t="s">
        <v>1052</v>
      </c>
    </row>
    <row r="8848" spans="1:2" x14ac:dyDescent="0.25">
      <c r="A8848" t="s">
        <v>10767</v>
      </c>
      <c r="B8848" t="s">
        <v>10768</v>
      </c>
    </row>
    <row r="8849" spans="1:2" x14ac:dyDescent="0.25">
      <c r="A8849" t="s">
        <v>10769</v>
      </c>
      <c r="B8849" t="s">
        <v>10770</v>
      </c>
    </row>
    <row r="8850" spans="1:2" x14ac:dyDescent="0.25">
      <c r="A8850" t="s">
        <v>10771</v>
      </c>
      <c r="B8850" t="s">
        <v>10772</v>
      </c>
    </row>
    <row r="8851" spans="1:2" x14ac:dyDescent="0.25">
      <c r="A8851" t="s">
        <v>10773</v>
      </c>
      <c r="B8851" t="s">
        <v>10774</v>
      </c>
    </row>
    <row r="8852" spans="1:2" x14ac:dyDescent="0.25">
      <c r="A8852" t="s">
        <v>10775</v>
      </c>
      <c r="B8852" t="s">
        <v>10776</v>
      </c>
    </row>
    <row r="8853" spans="1:2" x14ac:dyDescent="0.25">
      <c r="A8853" t="s">
        <v>10777</v>
      </c>
      <c r="B8853" t="s">
        <v>10778</v>
      </c>
    </row>
    <row r="8854" spans="1:2" x14ac:dyDescent="0.25">
      <c r="A8854" t="s">
        <v>10779</v>
      </c>
      <c r="B8854" t="s">
        <v>10780</v>
      </c>
    </row>
    <row r="8855" spans="1:2" x14ac:dyDescent="0.25">
      <c r="A8855" t="s">
        <v>10781</v>
      </c>
      <c r="B8855" t="s">
        <v>10782</v>
      </c>
    </row>
    <row r="8856" spans="1:2" x14ac:dyDescent="0.25">
      <c r="A8856" t="s">
        <v>10783</v>
      </c>
      <c r="B8856" t="s">
        <v>10784</v>
      </c>
    </row>
    <row r="8857" spans="1:2" x14ac:dyDescent="0.25">
      <c r="A8857" t="s">
        <v>10785</v>
      </c>
      <c r="B8857" t="s">
        <v>10786</v>
      </c>
    </row>
    <row r="8858" spans="1:2" x14ac:dyDescent="0.25">
      <c r="A8858" t="s">
        <v>10787</v>
      </c>
      <c r="B8858" t="s">
        <v>10788</v>
      </c>
    </row>
    <row r="8859" spans="1:2" x14ac:dyDescent="0.25">
      <c r="A8859" t="s">
        <v>10789</v>
      </c>
      <c r="B8859" t="s">
        <v>10790</v>
      </c>
    </row>
    <row r="8860" spans="1:2" x14ac:dyDescent="0.25">
      <c r="A8860" t="s">
        <v>10791</v>
      </c>
      <c r="B8860" t="s">
        <v>10792</v>
      </c>
    </row>
    <row r="8861" spans="1:2" x14ac:dyDescent="0.25">
      <c r="A8861" t="s">
        <v>10793</v>
      </c>
      <c r="B8861" t="s">
        <v>10794</v>
      </c>
    </row>
    <row r="8862" spans="1:2" x14ac:dyDescent="0.25">
      <c r="A8862" t="s">
        <v>10795</v>
      </c>
      <c r="B8862" t="s">
        <v>10796</v>
      </c>
    </row>
    <row r="8863" spans="1:2" x14ac:dyDescent="0.25">
      <c r="A8863" t="s">
        <v>10797</v>
      </c>
      <c r="B8863" t="s">
        <v>10798</v>
      </c>
    </row>
    <row r="8864" spans="1:2" x14ac:dyDescent="0.25">
      <c r="A8864" t="s">
        <v>10799</v>
      </c>
      <c r="B8864" t="s">
        <v>10800</v>
      </c>
    </row>
    <row r="8865" spans="1:2" x14ac:dyDescent="0.25">
      <c r="A8865" t="s">
        <v>10801</v>
      </c>
      <c r="B8865" t="s">
        <v>10802</v>
      </c>
    </row>
    <row r="8866" spans="1:2" x14ac:dyDescent="0.25">
      <c r="A8866" t="s">
        <v>10803</v>
      </c>
      <c r="B8866" t="s">
        <v>10804</v>
      </c>
    </row>
    <row r="8867" spans="1:2" x14ac:dyDescent="0.25">
      <c r="A8867" t="s">
        <v>10805</v>
      </c>
      <c r="B8867" t="s">
        <v>10806</v>
      </c>
    </row>
    <row r="8868" spans="1:2" x14ac:dyDescent="0.25">
      <c r="A8868" t="s">
        <v>10807</v>
      </c>
      <c r="B8868" t="s">
        <v>10808</v>
      </c>
    </row>
    <row r="8869" spans="1:2" x14ac:dyDescent="0.25">
      <c r="A8869" t="s">
        <v>10809</v>
      </c>
      <c r="B8869" t="s">
        <v>10810</v>
      </c>
    </row>
    <row r="8870" spans="1:2" x14ac:dyDescent="0.25">
      <c r="A8870" t="s">
        <v>10811</v>
      </c>
      <c r="B8870" t="s">
        <v>10812</v>
      </c>
    </row>
    <row r="8871" spans="1:2" x14ac:dyDescent="0.25">
      <c r="A8871" t="s">
        <v>10813</v>
      </c>
      <c r="B8871" t="s">
        <v>10814</v>
      </c>
    </row>
    <row r="8872" spans="1:2" x14ac:dyDescent="0.25">
      <c r="A8872" t="s">
        <v>10815</v>
      </c>
      <c r="B8872" t="s">
        <v>10816</v>
      </c>
    </row>
    <row r="8873" spans="1:2" x14ac:dyDescent="0.25">
      <c r="A8873" t="s">
        <v>10817</v>
      </c>
      <c r="B8873" t="s">
        <v>10818</v>
      </c>
    </row>
    <row r="8874" spans="1:2" x14ac:dyDescent="0.25">
      <c r="A8874" t="s">
        <v>10819</v>
      </c>
      <c r="B8874" t="s">
        <v>10820</v>
      </c>
    </row>
    <row r="8875" spans="1:2" x14ac:dyDescent="0.25">
      <c r="A8875" t="s">
        <v>9568</v>
      </c>
      <c r="B8875" t="s">
        <v>9568</v>
      </c>
    </row>
    <row r="8876" spans="1:2" x14ac:dyDescent="0.25">
      <c r="A8876" t="s">
        <v>3019</v>
      </c>
      <c r="B8876" t="s">
        <v>3019</v>
      </c>
    </row>
    <row r="8877" spans="1:2" x14ac:dyDescent="0.25">
      <c r="A8877" t="s">
        <v>10821</v>
      </c>
      <c r="B8877" t="s">
        <v>10822</v>
      </c>
    </row>
    <row r="8878" spans="1:2" x14ac:dyDescent="0.25">
      <c r="A8878" t="s">
        <v>10823</v>
      </c>
      <c r="B8878" t="s">
        <v>10824</v>
      </c>
    </row>
    <row r="8879" spans="1:2" x14ac:dyDescent="0.25">
      <c r="A8879" t="s">
        <v>10825</v>
      </c>
      <c r="B8879" t="s">
        <v>1071</v>
      </c>
    </row>
    <row r="8880" spans="1:2" x14ac:dyDescent="0.25">
      <c r="A8880" t="s">
        <v>10826</v>
      </c>
      <c r="B8880" t="s">
        <v>1928</v>
      </c>
    </row>
    <row r="8881" spans="1:2" x14ac:dyDescent="0.25">
      <c r="A8881" t="s">
        <v>10827</v>
      </c>
      <c r="B8881" t="s">
        <v>433</v>
      </c>
    </row>
    <row r="8882" spans="1:2" x14ac:dyDescent="0.25">
      <c r="A8882" t="s">
        <v>10828</v>
      </c>
      <c r="B8882" t="s">
        <v>249</v>
      </c>
    </row>
    <row r="8883" spans="1:2" x14ac:dyDescent="0.25">
      <c r="A8883" t="s">
        <v>10829</v>
      </c>
      <c r="B8883" t="s">
        <v>512</v>
      </c>
    </row>
    <row r="8884" spans="1:2" x14ac:dyDescent="0.25">
      <c r="A8884" t="s">
        <v>10830</v>
      </c>
      <c r="B8884" t="s">
        <v>847</v>
      </c>
    </row>
    <row r="8885" spans="1:2" x14ac:dyDescent="0.25">
      <c r="A8885" t="s">
        <v>10831</v>
      </c>
      <c r="B8885" t="s">
        <v>1587</v>
      </c>
    </row>
    <row r="8886" spans="1:2" x14ac:dyDescent="0.25">
      <c r="A8886" t="s">
        <v>10832</v>
      </c>
      <c r="B8886" t="s">
        <v>1587</v>
      </c>
    </row>
    <row r="8887" spans="1:2" x14ac:dyDescent="0.25">
      <c r="A8887" t="s">
        <v>518</v>
      </c>
      <c r="B8887" t="s">
        <v>518</v>
      </c>
    </row>
    <row r="8888" spans="1:2" x14ac:dyDescent="0.25">
      <c r="A8888" t="s">
        <v>520</v>
      </c>
      <c r="B8888" t="s">
        <v>520</v>
      </c>
    </row>
    <row r="8889" spans="1:2" x14ac:dyDescent="0.25">
      <c r="A8889" t="s">
        <v>10833</v>
      </c>
      <c r="B8889" t="s">
        <v>10834</v>
      </c>
    </row>
    <row r="8890" spans="1:2" x14ac:dyDescent="0.25">
      <c r="A8890" t="s">
        <v>10835</v>
      </c>
      <c r="B8890" t="s">
        <v>10836</v>
      </c>
    </row>
    <row r="8891" spans="1:2" x14ac:dyDescent="0.25">
      <c r="A8891" t="s">
        <v>10837</v>
      </c>
      <c r="B8891" t="s">
        <v>10838</v>
      </c>
    </row>
    <row r="8892" spans="1:2" x14ac:dyDescent="0.25">
      <c r="A8892" t="s">
        <v>10839</v>
      </c>
      <c r="B8892" t="s">
        <v>10840</v>
      </c>
    </row>
    <row r="8893" spans="1:2" x14ac:dyDescent="0.25">
      <c r="A8893" t="s">
        <v>532</v>
      </c>
      <c r="B8893" t="s">
        <v>532</v>
      </c>
    </row>
    <row r="8894" spans="1:2" x14ac:dyDescent="0.25">
      <c r="A8894" t="s">
        <v>10841</v>
      </c>
      <c r="B8894" t="s">
        <v>530</v>
      </c>
    </row>
    <row r="8895" spans="1:2" x14ac:dyDescent="0.25">
      <c r="A8895" t="s">
        <v>10842</v>
      </c>
      <c r="B8895" t="s">
        <v>1445</v>
      </c>
    </row>
    <row r="8896" spans="1:2" x14ac:dyDescent="0.25">
      <c r="A8896" t="s">
        <v>1445</v>
      </c>
      <c r="B8896" t="s">
        <v>1445</v>
      </c>
    </row>
    <row r="8897" spans="1:2" x14ac:dyDescent="0.25">
      <c r="A8897" t="s">
        <v>10843</v>
      </c>
      <c r="B8897" t="s">
        <v>1421</v>
      </c>
    </row>
    <row r="8898" spans="1:2" x14ac:dyDescent="0.25">
      <c r="A8898" t="s">
        <v>1466</v>
      </c>
      <c r="B8898" t="s">
        <v>1465</v>
      </c>
    </row>
    <row r="8899" spans="1:2" x14ac:dyDescent="0.25">
      <c r="A8899" t="s">
        <v>10844</v>
      </c>
      <c r="B8899" t="s">
        <v>117</v>
      </c>
    </row>
    <row r="8900" spans="1:2" x14ac:dyDescent="0.25">
      <c r="A8900" t="s">
        <v>118</v>
      </c>
      <c r="B8900" t="s">
        <v>117</v>
      </c>
    </row>
    <row r="8901" spans="1:2" x14ac:dyDescent="0.25">
      <c r="A8901" t="s">
        <v>10845</v>
      </c>
      <c r="B8901" t="s">
        <v>503</v>
      </c>
    </row>
    <row r="8902" spans="1:2" x14ac:dyDescent="0.25">
      <c r="A8902" t="s">
        <v>497</v>
      </c>
      <c r="B8902" t="s">
        <v>496</v>
      </c>
    </row>
    <row r="8903" spans="1:2" x14ac:dyDescent="0.25">
      <c r="A8903" t="s">
        <v>10846</v>
      </c>
      <c r="B8903" t="s">
        <v>3028</v>
      </c>
    </row>
    <row r="8904" spans="1:2" x14ac:dyDescent="0.25">
      <c r="A8904" t="s">
        <v>10847</v>
      </c>
      <c r="B8904" t="s">
        <v>3004</v>
      </c>
    </row>
    <row r="8905" spans="1:2" x14ac:dyDescent="0.25">
      <c r="A8905" t="s">
        <v>10848</v>
      </c>
      <c r="B8905" t="s">
        <v>3054</v>
      </c>
    </row>
    <row r="8906" spans="1:2" x14ac:dyDescent="0.25">
      <c r="A8906" t="s">
        <v>513</v>
      </c>
      <c r="B8906" t="s">
        <v>512</v>
      </c>
    </row>
    <row r="8907" spans="1:2" x14ac:dyDescent="0.25">
      <c r="A8907" t="s">
        <v>1470</v>
      </c>
      <c r="B8907" t="s">
        <v>1469</v>
      </c>
    </row>
    <row r="8908" spans="1:2" x14ac:dyDescent="0.25">
      <c r="A8908" t="s">
        <v>531</v>
      </c>
      <c r="B8908" t="s">
        <v>530</v>
      </c>
    </row>
    <row r="8909" spans="1:2" x14ac:dyDescent="0.25">
      <c r="A8909" t="s">
        <v>533</v>
      </c>
      <c r="B8909" t="s">
        <v>532</v>
      </c>
    </row>
    <row r="8910" spans="1:2" x14ac:dyDescent="0.25">
      <c r="A8910" t="s">
        <v>500</v>
      </c>
      <c r="B8910" t="s">
        <v>499</v>
      </c>
    </row>
    <row r="8911" spans="1:2" x14ac:dyDescent="0.25">
      <c r="A8911" t="s">
        <v>2205</v>
      </c>
      <c r="B8911" t="s">
        <v>2047</v>
      </c>
    </row>
    <row r="8912" spans="1:2" x14ac:dyDescent="0.25">
      <c r="A8912" t="s">
        <v>510</v>
      </c>
      <c r="B8912" t="s">
        <v>509</v>
      </c>
    </row>
    <row r="8913" spans="1:2" x14ac:dyDescent="0.25">
      <c r="A8913" t="s">
        <v>10849</v>
      </c>
      <c r="B8913" t="s">
        <v>1457</v>
      </c>
    </row>
    <row r="8914" spans="1:2" x14ac:dyDescent="0.25">
      <c r="A8914" t="s">
        <v>10850</v>
      </c>
      <c r="B8914" t="s">
        <v>518</v>
      </c>
    </row>
    <row r="8915" spans="1:2" x14ac:dyDescent="0.25">
      <c r="A8915" t="s">
        <v>10851</v>
      </c>
      <c r="B8915" t="s">
        <v>407</v>
      </c>
    </row>
    <row r="8916" spans="1:2" x14ac:dyDescent="0.25">
      <c r="A8916" t="s">
        <v>10852</v>
      </c>
      <c r="B8916" t="s">
        <v>409</v>
      </c>
    </row>
    <row r="8917" spans="1:2" x14ac:dyDescent="0.25">
      <c r="A8917" t="s">
        <v>10853</v>
      </c>
      <c r="B8917" t="s">
        <v>9357</v>
      </c>
    </row>
    <row r="8918" spans="1:2" x14ac:dyDescent="0.25">
      <c r="A8918" t="s">
        <v>10854</v>
      </c>
      <c r="B8918" t="s">
        <v>9337</v>
      </c>
    </row>
    <row r="8919" spans="1:2" x14ac:dyDescent="0.25">
      <c r="A8919" t="s">
        <v>10855</v>
      </c>
      <c r="B8919" t="s">
        <v>9355</v>
      </c>
    </row>
    <row r="8920" spans="1:2" x14ac:dyDescent="0.25">
      <c r="A8920" t="s">
        <v>10856</v>
      </c>
      <c r="B8920" t="s">
        <v>9405</v>
      </c>
    </row>
    <row r="8921" spans="1:2" x14ac:dyDescent="0.25">
      <c r="A8921" t="s">
        <v>10857</v>
      </c>
      <c r="B8921" t="s">
        <v>9362</v>
      </c>
    </row>
    <row r="8922" spans="1:2" x14ac:dyDescent="0.25">
      <c r="A8922" t="s">
        <v>10858</v>
      </c>
      <c r="B8922" t="s">
        <v>9366</v>
      </c>
    </row>
    <row r="8923" spans="1:2" x14ac:dyDescent="0.25">
      <c r="A8923" t="s">
        <v>10859</v>
      </c>
      <c r="B8923" t="s">
        <v>241</v>
      </c>
    </row>
    <row r="8924" spans="1:2" x14ac:dyDescent="0.25">
      <c r="A8924" t="s">
        <v>10860</v>
      </c>
      <c r="B8924" t="s">
        <v>237</v>
      </c>
    </row>
    <row r="8925" spans="1:2" x14ac:dyDescent="0.25">
      <c r="A8925" t="s">
        <v>10861</v>
      </c>
      <c r="B8925" t="s">
        <v>239</v>
      </c>
    </row>
    <row r="8926" spans="1:2" x14ac:dyDescent="0.25">
      <c r="A8926" t="s">
        <v>10862</v>
      </c>
      <c r="B8926" t="s">
        <v>214</v>
      </c>
    </row>
    <row r="8927" spans="1:2" x14ac:dyDescent="0.25">
      <c r="A8927" t="s">
        <v>10863</v>
      </c>
      <c r="B8927" t="s">
        <v>218</v>
      </c>
    </row>
    <row r="8928" spans="1:2" x14ac:dyDescent="0.25">
      <c r="A8928" t="s">
        <v>10864</v>
      </c>
      <c r="B8928" t="s">
        <v>222</v>
      </c>
    </row>
    <row r="8929" spans="1:2" x14ac:dyDescent="0.25">
      <c r="A8929" t="s">
        <v>10865</v>
      </c>
      <c r="B8929" t="s">
        <v>220</v>
      </c>
    </row>
    <row r="8930" spans="1:2" x14ac:dyDescent="0.25">
      <c r="A8930" t="s">
        <v>10866</v>
      </c>
      <c r="B8930" t="s">
        <v>716</v>
      </c>
    </row>
    <row r="8931" spans="1:2" x14ac:dyDescent="0.25">
      <c r="A8931" t="s">
        <v>10867</v>
      </c>
      <c r="B8931" t="s">
        <v>712</v>
      </c>
    </row>
    <row r="8932" spans="1:2" x14ac:dyDescent="0.25">
      <c r="A8932" t="s">
        <v>10868</v>
      </c>
      <c r="B8932" t="s">
        <v>853</v>
      </c>
    </row>
    <row r="8933" spans="1:2" x14ac:dyDescent="0.25">
      <c r="A8933" t="s">
        <v>10869</v>
      </c>
      <c r="B8933" t="s">
        <v>210</v>
      </c>
    </row>
    <row r="8934" spans="1:2" x14ac:dyDescent="0.25">
      <c r="A8934" t="s">
        <v>10870</v>
      </c>
      <c r="B8934" t="s">
        <v>153</v>
      </c>
    </row>
    <row r="8935" spans="1:2" x14ac:dyDescent="0.25">
      <c r="A8935" t="s">
        <v>10871</v>
      </c>
      <c r="B8935" t="s">
        <v>271</v>
      </c>
    </row>
    <row r="8936" spans="1:2" x14ac:dyDescent="0.25">
      <c r="A8936" t="s">
        <v>10872</v>
      </c>
      <c r="B8936" t="s">
        <v>1587</v>
      </c>
    </row>
    <row r="8937" spans="1:2" x14ac:dyDescent="0.25">
      <c r="A8937" t="s">
        <v>10873</v>
      </c>
      <c r="B8937" t="s">
        <v>294</v>
      </c>
    </row>
    <row r="8938" spans="1:2" x14ac:dyDescent="0.25">
      <c r="A8938" t="s">
        <v>10874</v>
      </c>
      <c r="B8938" t="s">
        <v>99</v>
      </c>
    </row>
    <row r="8939" spans="1:2" x14ac:dyDescent="0.25">
      <c r="A8939" t="s">
        <v>10875</v>
      </c>
      <c r="B8939" t="s">
        <v>95</v>
      </c>
    </row>
    <row r="8940" spans="1:2" x14ac:dyDescent="0.25">
      <c r="A8940" t="s">
        <v>10876</v>
      </c>
      <c r="B8940" t="s">
        <v>97</v>
      </c>
    </row>
    <row r="8941" spans="1:2" x14ac:dyDescent="0.25">
      <c r="A8941" t="s">
        <v>10877</v>
      </c>
      <c r="B8941" t="s">
        <v>486</v>
      </c>
    </row>
    <row r="8942" spans="1:2" x14ac:dyDescent="0.25">
      <c r="A8942" t="s">
        <v>10878</v>
      </c>
      <c r="B8942" t="s">
        <v>528</v>
      </c>
    </row>
    <row r="8943" spans="1:2" x14ac:dyDescent="0.25">
      <c r="A8943" t="s">
        <v>10879</v>
      </c>
      <c r="B8943" t="s">
        <v>1589</v>
      </c>
    </row>
    <row r="8944" spans="1:2" x14ac:dyDescent="0.25">
      <c r="A8944" t="s">
        <v>10880</v>
      </c>
      <c r="B8944" t="s">
        <v>704</v>
      </c>
    </row>
    <row r="8945" spans="1:2" x14ac:dyDescent="0.25">
      <c r="A8945" t="s">
        <v>10881</v>
      </c>
      <c r="B8945" t="s">
        <v>706</v>
      </c>
    </row>
    <row r="8946" spans="1:2" x14ac:dyDescent="0.25">
      <c r="A8946" t="s">
        <v>10882</v>
      </c>
      <c r="B8946" t="s">
        <v>709</v>
      </c>
    </row>
    <row r="8947" spans="1:2" x14ac:dyDescent="0.25">
      <c r="A8947" t="s">
        <v>10883</v>
      </c>
      <c r="B8947" t="s">
        <v>372</v>
      </c>
    </row>
    <row r="8948" spans="1:2" x14ac:dyDescent="0.25">
      <c r="A8948" t="s">
        <v>10884</v>
      </c>
      <c r="B8948" t="s">
        <v>366</v>
      </c>
    </row>
    <row r="8949" spans="1:2" x14ac:dyDescent="0.25">
      <c r="A8949" t="s">
        <v>10885</v>
      </c>
      <c r="B8949" t="s">
        <v>368</v>
      </c>
    </row>
    <row r="8950" spans="1:2" x14ac:dyDescent="0.25">
      <c r="A8950" t="s">
        <v>10886</v>
      </c>
      <c r="B8950" t="s">
        <v>10887</v>
      </c>
    </row>
    <row r="8951" spans="1:2" x14ac:dyDescent="0.25">
      <c r="A8951" t="s">
        <v>10888</v>
      </c>
      <c r="B8951" t="s">
        <v>10889</v>
      </c>
    </row>
    <row r="8952" spans="1:2" x14ac:dyDescent="0.25">
      <c r="A8952" t="s">
        <v>1469</v>
      </c>
      <c r="B8952" t="s">
        <v>1469</v>
      </c>
    </row>
    <row r="8953" spans="1:2" x14ac:dyDescent="0.25">
      <c r="A8953" t="s">
        <v>10890</v>
      </c>
      <c r="B8953" t="s">
        <v>151</v>
      </c>
    </row>
    <row r="8954" spans="1:2" x14ac:dyDescent="0.25">
      <c r="A8954" t="s">
        <v>10891</v>
      </c>
      <c r="B8954" t="s">
        <v>10892</v>
      </c>
    </row>
    <row r="8955" spans="1:2" x14ac:dyDescent="0.25">
      <c r="A8955" t="s">
        <v>10893</v>
      </c>
      <c r="B8955" t="s">
        <v>10894</v>
      </c>
    </row>
    <row r="8956" spans="1:2" x14ac:dyDescent="0.25">
      <c r="A8956" t="s">
        <v>10895</v>
      </c>
      <c r="B8956" t="s">
        <v>1453</v>
      </c>
    </row>
    <row r="8957" spans="1:2" x14ac:dyDescent="0.25">
      <c r="A8957" t="s">
        <v>530</v>
      </c>
      <c r="B8957" t="s">
        <v>530</v>
      </c>
    </row>
    <row r="8958" spans="1:2" x14ac:dyDescent="0.25">
      <c r="A8958" t="s">
        <v>10896</v>
      </c>
      <c r="B8958" t="s">
        <v>532</v>
      </c>
    </row>
    <row r="8959" spans="1:2" x14ac:dyDescent="0.25">
      <c r="A8959" t="s">
        <v>1457</v>
      </c>
      <c r="B8959" t="s">
        <v>1457</v>
      </c>
    </row>
    <row r="8960" spans="1:2" x14ac:dyDescent="0.25">
      <c r="A8960" t="s">
        <v>10897</v>
      </c>
      <c r="B8960" t="s">
        <v>509</v>
      </c>
    </row>
    <row r="8961" spans="1:2" x14ac:dyDescent="0.25">
      <c r="A8961" t="s">
        <v>10898</v>
      </c>
      <c r="B8961" t="s">
        <v>10899</v>
      </c>
    </row>
    <row r="8962" spans="1:2" x14ac:dyDescent="0.25">
      <c r="A8962" t="s">
        <v>10900</v>
      </c>
      <c r="B8962" t="s">
        <v>507</v>
      </c>
    </row>
    <row r="8963" spans="1:2" x14ac:dyDescent="0.25">
      <c r="A8963" t="s">
        <v>10901</v>
      </c>
      <c r="B8963" t="s">
        <v>505</v>
      </c>
    </row>
    <row r="8964" spans="1:2" x14ac:dyDescent="0.25">
      <c r="A8964" t="s">
        <v>10902</v>
      </c>
      <c r="B8964" t="s">
        <v>501</v>
      </c>
    </row>
    <row r="8965" spans="1:2" x14ac:dyDescent="0.25">
      <c r="A8965" t="s">
        <v>168</v>
      </c>
      <c r="B8965" t="s">
        <v>167</v>
      </c>
    </row>
    <row r="8966" spans="1:2" x14ac:dyDescent="0.25">
      <c r="A8966" t="s">
        <v>170</v>
      </c>
      <c r="B8966" t="s">
        <v>169</v>
      </c>
    </row>
    <row r="8967" spans="1:2" x14ac:dyDescent="0.25">
      <c r="A8967" t="s">
        <v>1353</v>
      </c>
      <c r="B8967" t="s">
        <v>1352</v>
      </c>
    </row>
    <row r="8968" spans="1:2" x14ac:dyDescent="0.25">
      <c r="A8968" t="s">
        <v>1870</v>
      </c>
      <c r="B8968" t="s">
        <v>1869</v>
      </c>
    </row>
    <row r="8969" spans="1:2" x14ac:dyDescent="0.25">
      <c r="A8969" t="s">
        <v>521</v>
      </c>
      <c r="B8969" t="s">
        <v>520</v>
      </c>
    </row>
    <row r="8970" spans="1:2" x14ac:dyDescent="0.25">
      <c r="A8970" t="s">
        <v>10903</v>
      </c>
      <c r="B8970" t="s">
        <v>1453</v>
      </c>
    </row>
    <row r="8971" spans="1:2" x14ac:dyDescent="0.25">
      <c r="A8971" t="s">
        <v>10904</v>
      </c>
      <c r="B8971" t="s">
        <v>806</v>
      </c>
    </row>
    <row r="8972" spans="1:2" x14ac:dyDescent="0.25">
      <c r="A8972" t="s">
        <v>10905</v>
      </c>
      <c r="B8972" t="s">
        <v>1445</v>
      </c>
    </row>
    <row r="8973" spans="1:2" x14ac:dyDescent="0.25">
      <c r="A8973" t="s">
        <v>512</v>
      </c>
      <c r="B8973" t="s">
        <v>512</v>
      </c>
    </row>
    <row r="8974" spans="1:2" x14ac:dyDescent="0.25">
      <c r="A8974" t="s">
        <v>3020</v>
      </c>
      <c r="B8974" t="s">
        <v>3020</v>
      </c>
    </row>
    <row r="8975" spans="1:2" x14ac:dyDescent="0.25">
      <c r="A8975" t="s">
        <v>10906</v>
      </c>
      <c r="B8975" t="s">
        <v>10907</v>
      </c>
    </row>
    <row r="8976" spans="1:2" x14ac:dyDescent="0.25">
      <c r="A8976" t="s">
        <v>10908</v>
      </c>
      <c r="B8976" t="s">
        <v>1445</v>
      </c>
    </row>
    <row r="8977" spans="1:2" x14ac:dyDescent="0.25">
      <c r="A8977" t="s">
        <v>10909</v>
      </c>
      <c r="B8977" t="s">
        <v>448</v>
      </c>
    </row>
    <row r="8978" spans="1:2" x14ac:dyDescent="0.25">
      <c r="A8978" t="s">
        <v>10910</v>
      </c>
      <c r="B8978" t="s">
        <v>452</v>
      </c>
    </row>
    <row r="8979" spans="1:2" x14ac:dyDescent="0.25">
      <c r="A8979" t="s">
        <v>10911</v>
      </c>
      <c r="B8979" t="s">
        <v>1453</v>
      </c>
    </row>
    <row r="8980" spans="1:2" x14ac:dyDescent="0.25">
      <c r="A8980" t="s">
        <v>1453</v>
      </c>
      <c r="B8980" t="s">
        <v>1453</v>
      </c>
    </row>
    <row r="8981" spans="1:2" x14ac:dyDescent="0.25">
      <c r="A8981" t="s">
        <v>509</v>
      </c>
      <c r="B8981" t="s">
        <v>509</v>
      </c>
    </row>
    <row r="8982" spans="1:2" x14ac:dyDescent="0.25">
      <c r="A8982" t="s">
        <v>10912</v>
      </c>
      <c r="B8982" t="s">
        <v>2060</v>
      </c>
    </row>
    <row r="8983" spans="1:2" x14ac:dyDescent="0.25">
      <c r="A8983" t="s">
        <v>10913</v>
      </c>
      <c r="B8983" t="s">
        <v>2928</v>
      </c>
    </row>
    <row r="8984" spans="1:2" x14ac:dyDescent="0.25">
      <c r="A8984" t="s">
        <v>3021</v>
      </c>
      <c r="B8984" t="s">
        <v>3021</v>
      </c>
    </row>
    <row r="8985" spans="1:2" x14ac:dyDescent="0.25">
      <c r="A8985" t="s">
        <v>10914</v>
      </c>
      <c r="B8985" t="s">
        <v>189</v>
      </c>
    </row>
    <row r="8986" spans="1:2" x14ac:dyDescent="0.25">
      <c r="A8986" t="s">
        <v>10915</v>
      </c>
      <c r="B8986" t="s">
        <v>454</v>
      </c>
    </row>
    <row r="8987" spans="1:2" x14ac:dyDescent="0.25">
      <c r="A8987" t="s">
        <v>10916</v>
      </c>
      <c r="B8987" t="s">
        <v>1457</v>
      </c>
    </row>
    <row r="8988" spans="1:2" x14ac:dyDescent="0.25">
      <c r="A8988" t="s">
        <v>10917</v>
      </c>
      <c r="B8988" t="s">
        <v>431</v>
      </c>
    </row>
    <row r="8989" spans="1:2" x14ac:dyDescent="0.25">
      <c r="A8989" t="s">
        <v>10918</v>
      </c>
      <c r="B8989" t="s">
        <v>10919</v>
      </c>
    </row>
    <row r="8990" spans="1:2" x14ac:dyDescent="0.25">
      <c r="A8990" t="s">
        <v>10920</v>
      </c>
      <c r="B8990" t="s">
        <v>10919</v>
      </c>
    </row>
    <row r="8991" spans="1:2" x14ac:dyDescent="0.25">
      <c r="A8991" t="s">
        <v>10921</v>
      </c>
      <c r="B8991" t="s">
        <v>346</v>
      </c>
    </row>
    <row r="8992" spans="1:2" x14ac:dyDescent="0.25">
      <c r="A8992" t="s">
        <v>10922</v>
      </c>
      <c r="B8992" t="s">
        <v>10923</v>
      </c>
    </row>
    <row r="8993" spans="1:2" x14ac:dyDescent="0.25">
      <c r="A8993" t="s">
        <v>10924</v>
      </c>
      <c r="B8993" t="s">
        <v>10925</v>
      </c>
    </row>
    <row r="8994" spans="1:2" x14ac:dyDescent="0.25">
      <c r="A8994" t="s">
        <v>10926</v>
      </c>
      <c r="B8994" t="s">
        <v>10927</v>
      </c>
    </row>
    <row r="8995" spans="1:2" x14ac:dyDescent="0.25">
      <c r="A8995" t="s">
        <v>10928</v>
      </c>
      <c r="B8995" t="s">
        <v>1465</v>
      </c>
    </row>
    <row r="8996" spans="1:2" x14ac:dyDescent="0.25">
      <c r="A8996" t="s">
        <v>10929</v>
      </c>
      <c r="B8996" t="s">
        <v>370</v>
      </c>
    </row>
    <row r="8997" spans="1:2" x14ac:dyDescent="0.25">
      <c r="A8997" t="s">
        <v>10930</v>
      </c>
      <c r="B8997" t="s">
        <v>10931</v>
      </c>
    </row>
    <row r="8998" spans="1:2" x14ac:dyDescent="0.25">
      <c r="A8998" t="s">
        <v>10932</v>
      </c>
      <c r="B8998" t="s">
        <v>10933</v>
      </c>
    </row>
    <row r="8999" spans="1:2" x14ac:dyDescent="0.25">
      <c r="A8999" t="s">
        <v>10934</v>
      </c>
      <c r="B8999" t="s">
        <v>10935</v>
      </c>
    </row>
    <row r="9000" spans="1:2" x14ac:dyDescent="0.25">
      <c r="A9000" t="s">
        <v>10936</v>
      </c>
      <c r="B9000" t="s">
        <v>10937</v>
      </c>
    </row>
    <row r="9001" spans="1:2" x14ac:dyDescent="0.25">
      <c r="A9001" t="s">
        <v>10938</v>
      </c>
      <c r="B9001" t="s">
        <v>10939</v>
      </c>
    </row>
    <row r="9002" spans="1:2" x14ac:dyDescent="0.25">
      <c r="A9002" t="s">
        <v>10940</v>
      </c>
      <c r="B9002" t="s">
        <v>10923</v>
      </c>
    </row>
    <row r="9003" spans="1:2" x14ac:dyDescent="0.25">
      <c r="A9003" t="s">
        <v>10941</v>
      </c>
      <c r="B9003" t="s">
        <v>10942</v>
      </c>
    </row>
    <row r="9004" spans="1:2" x14ac:dyDescent="0.25">
      <c r="A9004" t="s">
        <v>10943</v>
      </c>
      <c r="B9004" t="s">
        <v>1457</v>
      </c>
    </row>
    <row r="9005" spans="1:2" x14ac:dyDescent="0.25">
      <c r="A9005" t="s">
        <v>10944</v>
      </c>
      <c r="B9005" t="s">
        <v>10942</v>
      </c>
    </row>
    <row r="9006" spans="1:2" x14ac:dyDescent="0.25">
      <c r="A9006" t="s">
        <v>10945</v>
      </c>
      <c r="B9006" t="s">
        <v>1469</v>
      </c>
    </row>
    <row r="9007" spans="1:2" x14ac:dyDescent="0.25">
      <c r="A9007" t="s">
        <v>10946</v>
      </c>
      <c r="B9007" t="s">
        <v>10933</v>
      </c>
    </row>
    <row r="9008" spans="1:2" x14ac:dyDescent="0.25">
      <c r="A9008" t="s">
        <v>10947</v>
      </c>
      <c r="B9008" t="s">
        <v>1846</v>
      </c>
    </row>
    <row r="9009" spans="1:2" x14ac:dyDescent="0.25">
      <c r="A9009" t="s">
        <v>1670</v>
      </c>
      <c r="B9009" t="s">
        <v>1669</v>
      </c>
    </row>
    <row r="9010" spans="1:2" x14ac:dyDescent="0.25">
      <c r="A9010" t="s">
        <v>1900</v>
      </c>
      <c r="B9010" t="s">
        <v>1899</v>
      </c>
    </row>
    <row r="9011" spans="1:2" x14ac:dyDescent="0.25">
      <c r="A9011" t="s">
        <v>1882</v>
      </c>
      <c r="B9011" t="s">
        <v>1881</v>
      </c>
    </row>
    <row r="9012" spans="1:2" x14ac:dyDescent="0.25">
      <c r="A9012" t="s">
        <v>1880</v>
      </c>
      <c r="B9012" t="s">
        <v>1879</v>
      </c>
    </row>
    <row r="9013" spans="1:2" x14ac:dyDescent="0.25">
      <c r="A9013" t="s">
        <v>1884</v>
      </c>
      <c r="B9013" t="s">
        <v>1883</v>
      </c>
    </row>
    <row r="9014" spans="1:2" x14ac:dyDescent="0.25">
      <c r="A9014" t="s">
        <v>1894</v>
      </c>
      <c r="B9014" t="s">
        <v>1893</v>
      </c>
    </row>
    <row r="9015" spans="1:2" x14ac:dyDescent="0.25">
      <c r="A9015" t="s">
        <v>1873</v>
      </c>
      <c r="B9015" t="s">
        <v>1872</v>
      </c>
    </row>
    <row r="9016" spans="1:2" x14ac:dyDescent="0.25">
      <c r="A9016" t="s">
        <v>1886</v>
      </c>
      <c r="B9016" t="s">
        <v>1885</v>
      </c>
    </row>
    <row r="9017" spans="1:2" x14ac:dyDescent="0.25">
      <c r="A9017" t="s">
        <v>1769</v>
      </c>
      <c r="B9017" t="s">
        <v>1768</v>
      </c>
    </row>
    <row r="9018" spans="1:2" x14ac:dyDescent="0.25">
      <c r="A9018" t="s">
        <v>1888</v>
      </c>
      <c r="B9018" t="s">
        <v>1887</v>
      </c>
    </row>
    <row r="9019" spans="1:2" x14ac:dyDescent="0.25">
      <c r="A9019" t="s">
        <v>1771</v>
      </c>
      <c r="B9019" t="s">
        <v>1770</v>
      </c>
    </row>
    <row r="9020" spans="1:2" x14ac:dyDescent="0.25">
      <c r="A9020" t="s">
        <v>793</v>
      </c>
      <c r="B9020" t="s">
        <v>792</v>
      </c>
    </row>
    <row r="9021" spans="1:2" x14ac:dyDescent="0.25">
      <c r="A9021" t="s">
        <v>788</v>
      </c>
      <c r="B9021" t="s">
        <v>787</v>
      </c>
    </row>
    <row r="9022" spans="1:2" x14ac:dyDescent="0.25">
      <c r="A9022" t="s">
        <v>786</v>
      </c>
      <c r="B9022" t="s">
        <v>785</v>
      </c>
    </row>
    <row r="9023" spans="1:2" x14ac:dyDescent="0.25">
      <c r="A9023" t="s">
        <v>791</v>
      </c>
      <c r="B9023" t="s">
        <v>790</v>
      </c>
    </row>
    <row r="9024" spans="1:2" x14ac:dyDescent="0.25">
      <c r="A9024" t="s">
        <v>1849</v>
      </c>
      <c r="B9024" t="s">
        <v>1848</v>
      </c>
    </row>
    <row r="9025" spans="1:2" x14ac:dyDescent="0.25">
      <c r="A9025" t="s">
        <v>2066</v>
      </c>
      <c r="B9025" t="s">
        <v>2065</v>
      </c>
    </row>
    <row r="9026" spans="1:2" x14ac:dyDescent="0.25">
      <c r="A9026" t="s">
        <v>781</v>
      </c>
      <c r="B9026" t="s">
        <v>780</v>
      </c>
    </row>
    <row r="9027" spans="1:2" x14ac:dyDescent="0.25">
      <c r="A9027" t="s">
        <v>10948</v>
      </c>
      <c r="B9027" t="s">
        <v>794</v>
      </c>
    </row>
    <row r="9028" spans="1:2" x14ac:dyDescent="0.25">
      <c r="A9028" t="s">
        <v>1876</v>
      </c>
      <c r="B9028" t="s">
        <v>10949</v>
      </c>
    </row>
    <row r="9029" spans="1:2" x14ac:dyDescent="0.25">
      <c r="A9029" t="s">
        <v>1960</v>
      </c>
      <c r="B9029" t="s">
        <v>1959</v>
      </c>
    </row>
    <row r="9030" spans="1:2" x14ac:dyDescent="0.25">
      <c r="A9030" t="s">
        <v>1773</v>
      </c>
      <c r="B9030" t="s">
        <v>1772</v>
      </c>
    </row>
    <row r="9031" spans="1:2" x14ac:dyDescent="0.25">
      <c r="A9031" t="s">
        <v>1644</v>
      </c>
      <c r="B9031" t="s">
        <v>1643</v>
      </c>
    </row>
    <row r="9032" spans="1:2" x14ac:dyDescent="0.25">
      <c r="A9032" t="s">
        <v>1857</v>
      </c>
      <c r="B9032" t="s">
        <v>1856</v>
      </c>
    </row>
    <row r="9033" spans="1:2" x14ac:dyDescent="0.25">
      <c r="A9033" t="s">
        <v>1898</v>
      </c>
      <c r="B9033" t="s">
        <v>10950</v>
      </c>
    </row>
    <row r="9034" spans="1:2" x14ac:dyDescent="0.25">
      <c r="A9034" t="s">
        <v>1109</v>
      </c>
      <c r="B9034" t="s">
        <v>1108</v>
      </c>
    </row>
    <row r="9035" spans="1:2" x14ac:dyDescent="0.25">
      <c r="A9035" t="s">
        <v>10951</v>
      </c>
      <c r="B9035" t="s">
        <v>1948</v>
      </c>
    </row>
    <row r="9036" spans="1:2" x14ac:dyDescent="0.25">
      <c r="A9036" t="s">
        <v>10952</v>
      </c>
      <c r="B9036" t="s">
        <v>10953</v>
      </c>
    </row>
    <row r="9037" spans="1:2" x14ac:dyDescent="0.25">
      <c r="A9037" t="s">
        <v>2081</v>
      </c>
      <c r="B9037" t="s">
        <v>2080</v>
      </c>
    </row>
    <row r="9038" spans="1:2" x14ac:dyDescent="0.25">
      <c r="A9038" t="s">
        <v>449</v>
      </c>
      <c r="B9038" t="s">
        <v>448</v>
      </c>
    </row>
    <row r="9039" spans="1:2" x14ac:dyDescent="0.25">
      <c r="A9039" t="s">
        <v>845</v>
      </c>
      <c r="B9039" t="s">
        <v>844</v>
      </c>
    </row>
    <row r="9040" spans="1:2" x14ac:dyDescent="0.25">
      <c r="A9040" t="s">
        <v>10954</v>
      </c>
      <c r="B9040" t="s">
        <v>1024</v>
      </c>
    </row>
    <row r="9041" spans="1:2" x14ac:dyDescent="0.25">
      <c r="A9041" t="s">
        <v>10955</v>
      </c>
      <c r="B9041" t="s">
        <v>10956</v>
      </c>
    </row>
    <row r="9042" spans="1:2" x14ac:dyDescent="0.25">
      <c r="A9042" t="s">
        <v>1845</v>
      </c>
      <c r="B9042" t="s">
        <v>1844</v>
      </c>
    </row>
    <row r="9043" spans="1:2" x14ac:dyDescent="0.25">
      <c r="A9043" t="s">
        <v>246</v>
      </c>
      <c r="B9043" t="s">
        <v>245</v>
      </c>
    </row>
    <row r="9044" spans="1:2" x14ac:dyDescent="0.25">
      <c r="A9044" t="s">
        <v>10957</v>
      </c>
      <c r="B9044" t="s">
        <v>10958</v>
      </c>
    </row>
    <row r="9045" spans="1:2" x14ac:dyDescent="0.25">
      <c r="A9045" t="s">
        <v>1675</v>
      </c>
      <c r="B9045" t="s">
        <v>1674</v>
      </c>
    </row>
    <row r="9046" spans="1:2" x14ac:dyDescent="0.25">
      <c r="A9046" t="s">
        <v>10959</v>
      </c>
      <c r="B9046" t="s">
        <v>1682</v>
      </c>
    </row>
    <row r="9047" spans="1:2" x14ac:dyDescent="0.25">
      <c r="A9047" t="s">
        <v>519</v>
      </c>
      <c r="B9047" t="s">
        <v>518</v>
      </c>
    </row>
    <row r="9048" spans="1:2" x14ac:dyDescent="0.25">
      <c r="A9048" t="s">
        <v>10960</v>
      </c>
      <c r="B9048" t="s">
        <v>10961</v>
      </c>
    </row>
    <row r="9049" spans="1:2" x14ac:dyDescent="0.25">
      <c r="A9049" t="s">
        <v>3022</v>
      </c>
      <c r="B9049" t="s">
        <v>3022</v>
      </c>
    </row>
    <row r="9050" spans="1:2" x14ac:dyDescent="0.25">
      <c r="A9050" t="s">
        <v>10962</v>
      </c>
      <c r="B9050" t="s">
        <v>518</v>
      </c>
    </row>
    <row r="9051" spans="1:2" x14ac:dyDescent="0.25">
      <c r="A9051" t="s">
        <v>10963</v>
      </c>
      <c r="B9051" t="s">
        <v>1469</v>
      </c>
    </row>
    <row r="9052" spans="1:2" x14ac:dyDescent="0.25">
      <c r="A9052" t="s">
        <v>10964</v>
      </c>
      <c r="B9052" t="s">
        <v>532</v>
      </c>
    </row>
    <row r="9053" spans="1:2" x14ac:dyDescent="0.25">
      <c r="A9053" t="s">
        <v>10965</v>
      </c>
      <c r="B9053" t="s">
        <v>530</v>
      </c>
    </row>
    <row r="9054" spans="1:2" x14ac:dyDescent="0.25">
      <c r="A9054" t="s">
        <v>10966</v>
      </c>
      <c r="B9054" t="s">
        <v>10937</v>
      </c>
    </row>
    <row r="9055" spans="1:2" x14ac:dyDescent="0.25">
      <c r="A9055" t="s">
        <v>10967</v>
      </c>
      <c r="B9055" t="s">
        <v>509</v>
      </c>
    </row>
    <row r="9056" spans="1:2" x14ac:dyDescent="0.25">
      <c r="A9056" t="s">
        <v>10968</v>
      </c>
      <c r="B9056" t="s">
        <v>245</v>
      </c>
    </row>
    <row r="9057" spans="1:2" x14ac:dyDescent="0.25">
      <c r="A9057" t="s">
        <v>10969</v>
      </c>
      <c r="B9057" t="s">
        <v>10969</v>
      </c>
    </row>
    <row r="9058" spans="1:2" x14ac:dyDescent="0.25">
      <c r="A9058" t="s">
        <v>10970</v>
      </c>
      <c r="B9058" t="s">
        <v>249</v>
      </c>
    </row>
    <row r="9059" spans="1:2" x14ac:dyDescent="0.25">
      <c r="A9059" t="s">
        <v>10971</v>
      </c>
      <c r="B9059" t="s">
        <v>4204</v>
      </c>
    </row>
    <row r="9060" spans="1:2" x14ac:dyDescent="0.25">
      <c r="A9060" t="s">
        <v>10972</v>
      </c>
      <c r="B9060" t="s">
        <v>10360</v>
      </c>
    </row>
    <row r="9061" spans="1:2" x14ac:dyDescent="0.25">
      <c r="A9061" t="s">
        <v>10973</v>
      </c>
      <c r="B9061" t="s">
        <v>10177</v>
      </c>
    </row>
    <row r="9062" spans="1:2" x14ac:dyDescent="0.25">
      <c r="A9062" t="s">
        <v>10974</v>
      </c>
      <c r="B9062" t="s">
        <v>10362</v>
      </c>
    </row>
    <row r="9063" spans="1:2" x14ac:dyDescent="0.25">
      <c r="A9063" t="s">
        <v>10975</v>
      </c>
      <c r="B9063" t="s">
        <v>10364</v>
      </c>
    </row>
    <row r="9064" spans="1:2" x14ac:dyDescent="0.25">
      <c r="A9064" t="s">
        <v>10976</v>
      </c>
      <c r="B9064" t="s">
        <v>9773</v>
      </c>
    </row>
    <row r="9065" spans="1:2" x14ac:dyDescent="0.25">
      <c r="A9065" t="s">
        <v>10977</v>
      </c>
      <c r="B9065" t="s">
        <v>10303</v>
      </c>
    </row>
    <row r="9066" spans="1:2" x14ac:dyDescent="0.25">
      <c r="A9066" t="s">
        <v>2993</v>
      </c>
      <c r="B9066" t="s">
        <v>2993</v>
      </c>
    </row>
    <row r="9067" spans="1:2" x14ac:dyDescent="0.25">
      <c r="A9067" t="s">
        <v>1788</v>
      </c>
      <c r="B9067" t="s">
        <v>10978</v>
      </c>
    </row>
    <row r="9068" spans="1:2" x14ac:dyDescent="0.25">
      <c r="A9068" t="s">
        <v>10979</v>
      </c>
      <c r="B9068" t="s">
        <v>10979</v>
      </c>
    </row>
    <row r="9069" spans="1:2" x14ac:dyDescent="0.25">
      <c r="A9069" t="s">
        <v>10980</v>
      </c>
      <c r="B9069" t="s">
        <v>10981</v>
      </c>
    </row>
    <row r="9070" spans="1:2" x14ac:dyDescent="0.25">
      <c r="A9070" t="s">
        <v>10982</v>
      </c>
      <c r="B9070" t="s">
        <v>228</v>
      </c>
    </row>
    <row r="9071" spans="1:2" x14ac:dyDescent="0.25">
      <c r="A9071" t="s">
        <v>10983</v>
      </c>
      <c r="B9071" t="s">
        <v>1465</v>
      </c>
    </row>
    <row r="9072" spans="1:2" x14ac:dyDescent="0.25">
      <c r="A9072" t="s">
        <v>2128</v>
      </c>
      <c r="B9072" t="s">
        <v>2127</v>
      </c>
    </row>
    <row r="9073" spans="1:2" x14ac:dyDescent="0.25">
      <c r="A9073" t="s">
        <v>10984</v>
      </c>
      <c r="B9073" t="s">
        <v>3069</v>
      </c>
    </row>
    <row r="9074" spans="1:2" x14ac:dyDescent="0.25">
      <c r="A9074" t="s">
        <v>2061</v>
      </c>
      <c r="B9074" t="s">
        <v>2060</v>
      </c>
    </row>
    <row r="9075" spans="1:2" x14ac:dyDescent="0.25">
      <c r="A9075" t="s">
        <v>10985</v>
      </c>
      <c r="B9075" t="s">
        <v>520</v>
      </c>
    </row>
    <row r="9076" spans="1:2" x14ac:dyDescent="0.25">
      <c r="A9076" t="s">
        <v>10986</v>
      </c>
      <c r="B9076" t="s">
        <v>1866</v>
      </c>
    </row>
    <row r="9077" spans="1:2" x14ac:dyDescent="0.25">
      <c r="A9077" t="s">
        <v>10987</v>
      </c>
      <c r="B9077" t="s">
        <v>10933</v>
      </c>
    </row>
    <row r="9078" spans="1:2" x14ac:dyDescent="0.25">
      <c r="A9078" t="s">
        <v>10988</v>
      </c>
      <c r="B9078" t="s">
        <v>1445</v>
      </c>
    </row>
    <row r="9079" spans="1:2" x14ac:dyDescent="0.25">
      <c r="A9079" t="s">
        <v>10989</v>
      </c>
      <c r="B9079" t="s">
        <v>1453</v>
      </c>
    </row>
    <row r="9080" spans="1:2" x14ac:dyDescent="0.25">
      <c r="A9080" t="s">
        <v>10990</v>
      </c>
      <c r="B9080" t="s">
        <v>10931</v>
      </c>
    </row>
    <row r="9081" spans="1:2" x14ac:dyDescent="0.25">
      <c r="A9081" t="s">
        <v>10991</v>
      </c>
      <c r="B9081" t="s">
        <v>10935</v>
      </c>
    </row>
    <row r="9082" spans="1:2" x14ac:dyDescent="0.25">
      <c r="A9082" t="s">
        <v>10992</v>
      </c>
      <c r="B9082" t="s">
        <v>10919</v>
      </c>
    </row>
    <row r="9083" spans="1:2" x14ac:dyDescent="0.25">
      <c r="A9083" t="s">
        <v>10993</v>
      </c>
      <c r="B9083" t="s">
        <v>1114</v>
      </c>
    </row>
    <row r="9084" spans="1:2" x14ac:dyDescent="0.25">
      <c r="A9084" t="s">
        <v>3023</v>
      </c>
      <c r="B9084" t="s">
        <v>3023</v>
      </c>
    </row>
    <row r="9085" spans="1:2" x14ac:dyDescent="0.25">
      <c r="A9085" t="s">
        <v>3024</v>
      </c>
      <c r="B9085" t="s">
        <v>3024</v>
      </c>
    </row>
    <row r="9086" spans="1:2" x14ac:dyDescent="0.25">
      <c r="A9086" t="s">
        <v>192</v>
      </c>
      <c r="B9086" t="s">
        <v>191</v>
      </c>
    </row>
    <row r="9087" spans="1:2" x14ac:dyDescent="0.25">
      <c r="A9087" t="s">
        <v>10994</v>
      </c>
      <c r="B9087" t="s">
        <v>896</v>
      </c>
    </row>
    <row r="9088" spans="1:2" x14ac:dyDescent="0.25">
      <c r="A9088" t="s">
        <v>196</v>
      </c>
      <c r="B9088" t="s">
        <v>195</v>
      </c>
    </row>
    <row r="9089" spans="1:2" x14ac:dyDescent="0.25">
      <c r="A9089" t="s">
        <v>174</v>
      </c>
      <c r="B9089" t="s">
        <v>173</v>
      </c>
    </row>
    <row r="9090" spans="1:2" x14ac:dyDescent="0.25">
      <c r="A9090" t="s">
        <v>183</v>
      </c>
      <c r="B9090" t="s">
        <v>182</v>
      </c>
    </row>
    <row r="9091" spans="1:2" x14ac:dyDescent="0.25">
      <c r="A9091" t="s">
        <v>10995</v>
      </c>
      <c r="B9091" t="s">
        <v>815</v>
      </c>
    </row>
    <row r="9092" spans="1:2" x14ac:dyDescent="0.25">
      <c r="A9092" t="s">
        <v>10996</v>
      </c>
      <c r="B9092" t="s">
        <v>1663</v>
      </c>
    </row>
    <row r="9093" spans="1:2" x14ac:dyDescent="0.25">
      <c r="A9093" t="s">
        <v>156</v>
      </c>
      <c r="B9093" t="s">
        <v>155</v>
      </c>
    </row>
    <row r="9094" spans="1:2" x14ac:dyDescent="0.25">
      <c r="A9094" t="s">
        <v>10997</v>
      </c>
      <c r="B9094" t="s">
        <v>325</v>
      </c>
    </row>
    <row r="9095" spans="1:2" x14ac:dyDescent="0.25">
      <c r="A9095" t="s">
        <v>285</v>
      </c>
      <c r="B9095" t="s">
        <v>284</v>
      </c>
    </row>
    <row r="9096" spans="1:2" x14ac:dyDescent="0.25">
      <c r="A9096" t="s">
        <v>10998</v>
      </c>
      <c r="B9096" t="s">
        <v>1421</v>
      </c>
    </row>
    <row r="9097" spans="1:2" x14ac:dyDescent="0.25">
      <c r="A9097" t="s">
        <v>502</v>
      </c>
      <c r="B9097" t="s">
        <v>501</v>
      </c>
    </row>
    <row r="9098" spans="1:2" x14ac:dyDescent="0.25">
      <c r="A9098" t="s">
        <v>504</v>
      </c>
      <c r="B9098" t="s">
        <v>503</v>
      </c>
    </row>
    <row r="9099" spans="1:2" x14ac:dyDescent="0.25">
      <c r="A9099" t="s">
        <v>506</v>
      </c>
      <c r="B9099" t="s">
        <v>505</v>
      </c>
    </row>
    <row r="9100" spans="1:2" x14ac:dyDescent="0.25">
      <c r="A9100" t="s">
        <v>10999</v>
      </c>
      <c r="B9100" t="s">
        <v>507</v>
      </c>
    </row>
    <row r="9101" spans="1:2" x14ac:dyDescent="0.25">
      <c r="A9101" t="s">
        <v>1699</v>
      </c>
      <c r="B9101" t="s">
        <v>1698</v>
      </c>
    </row>
    <row r="9102" spans="1:2" x14ac:dyDescent="0.25">
      <c r="A9102" t="s">
        <v>1270</v>
      </c>
      <c r="B9102" t="s">
        <v>1269</v>
      </c>
    </row>
    <row r="9103" spans="1:2" x14ac:dyDescent="0.25">
      <c r="A9103" t="s">
        <v>1777</v>
      </c>
      <c r="B9103" t="s">
        <v>1776</v>
      </c>
    </row>
    <row r="9104" spans="1:2" x14ac:dyDescent="0.25">
      <c r="A9104" t="s">
        <v>11000</v>
      </c>
      <c r="B9104" t="s">
        <v>10939</v>
      </c>
    </row>
    <row r="9105" spans="1:2" x14ac:dyDescent="0.25">
      <c r="A9105" t="s">
        <v>11001</v>
      </c>
      <c r="B9105" t="s">
        <v>818</v>
      </c>
    </row>
    <row r="9106" spans="1:2" x14ac:dyDescent="0.25">
      <c r="A9106" t="s">
        <v>11002</v>
      </c>
      <c r="B9106" t="s">
        <v>503</v>
      </c>
    </row>
    <row r="9107" spans="1:2" x14ac:dyDescent="0.25">
      <c r="A9107" t="s">
        <v>11003</v>
      </c>
      <c r="B9107" t="s">
        <v>1421</v>
      </c>
    </row>
    <row r="9108" spans="1:2" x14ac:dyDescent="0.25">
      <c r="A9108" t="s">
        <v>11004</v>
      </c>
      <c r="B9108" t="s">
        <v>108</v>
      </c>
    </row>
    <row r="9109" spans="1:2" x14ac:dyDescent="0.25">
      <c r="A9109" t="s">
        <v>11005</v>
      </c>
      <c r="B9109" t="s">
        <v>10927</v>
      </c>
    </row>
    <row r="9110" spans="1:2" x14ac:dyDescent="0.25">
      <c r="A9110" t="s">
        <v>499</v>
      </c>
      <c r="B9110" t="s">
        <v>499</v>
      </c>
    </row>
    <row r="9111" spans="1:2" x14ac:dyDescent="0.25">
      <c r="A9111" t="s">
        <v>906</v>
      </c>
      <c r="B9111" t="s">
        <v>905</v>
      </c>
    </row>
    <row r="9112" spans="1:2" x14ac:dyDescent="0.25">
      <c r="A9112" t="s">
        <v>911</v>
      </c>
      <c r="B9112" t="s">
        <v>910</v>
      </c>
    </row>
    <row r="9113" spans="1:2" x14ac:dyDescent="0.25">
      <c r="A9113" t="s">
        <v>1646</v>
      </c>
      <c r="B9113" t="s">
        <v>1645</v>
      </c>
    </row>
    <row r="9114" spans="1:2" x14ac:dyDescent="0.25">
      <c r="A9114" t="s">
        <v>1121</v>
      </c>
      <c r="B9114" t="s">
        <v>1120</v>
      </c>
    </row>
    <row r="9115" spans="1:2" x14ac:dyDescent="0.25">
      <c r="A9115" t="s">
        <v>1134</v>
      </c>
      <c r="B9115" t="s">
        <v>1133</v>
      </c>
    </row>
    <row r="9116" spans="1:2" x14ac:dyDescent="0.25">
      <c r="A9116" t="s">
        <v>1115</v>
      </c>
      <c r="B9116" t="s">
        <v>1114</v>
      </c>
    </row>
    <row r="9117" spans="1:2" x14ac:dyDescent="0.25">
      <c r="A9117" t="s">
        <v>1137</v>
      </c>
      <c r="B9117" t="s">
        <v>1136</v>
      </c>
    </row>
    <row r="9118" spans="1:2" x14ac:dyDescent="0.25">
      <c r="A9118" t="s">
        <v>1131</v>
      </c>
      <c r="B9118" t="s">
        <v>1130</v>
      </c>
    </row>
    <row r="9119" spans="1:2" x14ac:dyDescent="0.25">
      <c r="A9119" t="s">
        <v>11006</v>
      </c>
      <c r="B9119" t="s">
        <v>2538</v>
      </c>
    </row>
    <row r="9120" spans="1:2" x14ac:dyDescent="0.25">
      <c r="A9120" t="s">
        <v>1296</v>
      </c>
      <c r="B9120" t="s">
        <v>1295</v>
      </c>
    </row>
    <row r="9121" spans="1:2" x14ac:dyDescent="0.25">
      <c r="A9121" t="s">
        <v>1308</v>
      </c>
      <c r="B9121" t="s">
        <v>1307</v>
      </c>
    </row>
    <row r="9122" spans="1:2" x14ac:dyDescent="0.25">
      <c r="A9122" t="s">
        <v>11007</v>
      </c>
      <c r="B9122" t="s">
        <v>2722</v>
      </c>
    </row>
    <row r="9123" spans="1:2" x14ac:dyDescent="0.25">
      <c r="A9123" t="s">
        <v>11008</v>
      </c>
      <c r="B9123" t="s">
        <v>1445</v>
      </c>
    </row>
    <row r="9124" spans="1:2" x14ac:dyDescent="0.25">
      <c r="A9124" t="s">
        <v>1429</v>
      </c>
      <c r="B9124" t="s">
        <v>1429</v>
      </c>
    </row>
    <row r="9125" spans="1:2" x14ac:dyDescent="0.25">
      <c r="A9125" t="s">
        <v>1461</v>
      </c>
      <c r="B9125" t="s">
        <v>1461</v>
      </c>
    </row>
    <row r="9126" spans="1:2" x14ac:dyDescent="0.25">
      <c r="A9126" t="s">
        <v>11009</v>
      </c>
      <c r="B9126" t="s">
        <v>1461</v>
      </c>
    </row>
    <row r="9127" spans="1:2" x14ac:dyDescent="0.25">
      <c r="A9127" t="s">
        <v>11010</v>
      </c>
      <c r="B9127" t="s">
        <v>1052</v>
      </c>
    </row>
    <row r="9128" spans="1:2" x14ac:dyDescent="0.25">
      <c r="A9128" t="s">
        <v>11011</v>
      </c>
      <c r="B9128" t="s">
        <v>1170</v>
      </c>
    </row>
    <row r="9129" spans="1:2" x14ac:dyDescent="0.25">
      <c r="A9129" t="s">
        <v>11012</v>
      </c>
      <c r="B9129" t="s">
        <v>1235</v>
      </c>
    </row>
    <row r="9130" spans="1:2" x14ac:dyDescent="0.25">
      <c r="A9130" t="s">
        <v>11013</v>
      </c>
      <c r="B9130" t="s">
        <v>182</v>
      </c>
    </row>
    <row r="9131" spans="1:2" x14ac:dyDescent="0.25">
      <c r="A9131" t="s">
        <v>11014</v>
      </c>
      <c r="B9131" t="s">
        <v>9366</v>
      </c>
    </row>
    <row r="9132" spans="1:2" x14ac:dyDescent="0.25">
      <c r="A9132" t="s">
        <v>11015</v>
      </c>
      <c r="B9132" t="s">
        <v>10931</v>
      </c>
    </row>
    <row r="9133" spans="1:2" x14ac:dyDescent="0.25">
      <c r="A9133" t="s">
        <v>11016</v>
      </c>
      <c r="B9133" t="s">
        <v>10935</v>
      </c>
    </row>
    <row r="9134" spans="1:2" x14ac:dyDescent="0.25">
      <c r="A9134" t="s">
        <v>11017</v>
      </c>
      <c r="B9134" t="s">
        <v>10939</v>
      </c>
    </row>
    <row r="9135" spans="1:2" x14ac:dyDescent="0.25">
      <c r="A9135" t="s">
        <v>11018</v>
      </c>
      <c r="B9135" t="s">
        <v>10925</v>
      </c>
    </row>
    <row r="9136" spans="1:2" x14ac:dyDescent="0.25">
      <c r="A9136" t="s">
        <v>11019</v>
      </c>
      <c r="B9136" t="s">
        <v>450</v>
      </c>
    </row>
    <row r="9137" spans="1:2" x14ac:dyDescent="0.25">
      <c r="A9137" t="s">
        <v>11020</v>
      </c>
      <c r="B9137" t="s">
        <v>11021</v>
      </c>
    </row>
    <row r="9138" spans="1:2" x14ac:dyDescent="0.25">
      <c r="A9138" t="s">
        <v>11022</v>
      </c>
      <c r="B9138" t="s">
        <v>11023</v>
      </c>
    </row>
    <row r="9139" spans="1:2" x14ac:dyDescent="0.25">
      <c r="A9139" t="s">
        <v>11024</v>
      </c>
      <c r="B9139" t="s">
        <v>11025</v>
      </c>
    </row>
    <row r="9140" spans="1:2" x14ac:dyDescent="0.25">
      <c r="A9140" t="s">
        <v>11026</v>
      </c>
      <c r="B9140" t="s">
        <v>11027</v>
      </c>
    </row>
    <row r="9141" spans="1:2" x14ac:dyDescent="0.25">
      <c r="A9141" t="s">
        <v>11028</v>
      </c>
      <c r="B9141" t="s">
        <v>11029</v>
      </c>
    </row>
    <row r="9142" spans="1:2" x14ac:dyDescent="0.25">
      <c r="A9142" t="s">
        <v>11030</v>
      </c>
      <c r="B9142" t="s">
        <v>11031</v>
      </c>
    </row>
    <row r="9143" spans="1:2" x14ac:dyDescent="0.25">
      <c r="A9143" t="s">
        <v>11032</v>
      </c>
      <c r="B9143" t="s">
        <v>11033</v>
      </c>
    </row>
    <row r="9144" spans="1:2" x14ac:dyDescent="0.25">
      <c r="A9144" t="s">
        <v>11034</v>
      </c>
      <c r="B9144" t="s">
        <v>11035</v>
      </c>
    </row>
    <row r="9145" spans="1:2" x14ac:dyDescent="0.25">
      <c r="A9145" t="s">
        <v>11036</v>
      </c>
      <c r="B9145" t="s">
        <v>11037</v>
      </c>
    </row>
    <row r="9146" spans="1:2" x14ac:dyDescent="0.25">
      <c r="A9146" t="s">
        <v>11038</v>
      </c>
      <c r="B9146" t="s">
        <v>11039</v>
      </c>
    </row>
    <row r="9147" spans="1:2" x14ac:dyDescent="0.25">
      <c r="A9147" t="s">
        <v>11040</v>
      </c>
      <c r="B9147" t="s">
        <v>108</v>
      </c>
    </row>
    <row r="9148" spans="1:2" x14ac:dyDescent="0.25">
      <c r="A9148" t="s">
        <v>11041</v>
      </c>
      <c r="B9148" t="s">
        <v>1445</v>
      </c>
    </row>
    <row r="9149" spans="1:2" x14ac:dyDescent="0.25">
      <c r="A9149" t="s">
        <v>11042</v>
      </c>
      <c r="B9149" t="s">
        <v>78</v>
      </c>
    </row>
    <row r="9150" spans="1:2" x14ac:dyDescent="0.25">
      <c r="A9150" t="s">
        <v>11043</v>
      </c>
      <c r="B9150" t="s">
        <v>261</v>
      </c>
    </row>
    <row r="9151" spans="1:2" x14ac:dyDescent="0.25">
      <c r="A9151" t="s">
        <v>11044</v>
      </c>
      <c r="B9151" t="s">
        <v>11045</v>
      </c>
    </row>
    <row r="9152" spans="1:2" x14ac:dyDescent="0.25">
      <c r="A9152" t="s">
        <v>11046</v>
      </c>
      <c r="B9152" t="s">
        <v>11047</v>
      </c>
    </row>
    <row r="9153" spans="1:2" x14ac:dyDescent="0.25">
      <c r="A9153" t="s">
        <v>11048</v>
      </c>
      <c r="B9153" t="s">
        <v>11049</v>
      </c>
    </row>
    <row r="9154" spans="1:2" x14ac:dyDescent="0.25">
      <c r="A9154" t="s">
        <v>11050</v>
      </c>
      <c r="B9154" t="s">
        <v>11051</v>
      </c>
    </row>
    <row r="9155" spans="1:2" x14ac:dyDescent="0.25">
      <c r="A9155" t="s">
        <v>11052</v>
      </c>
      <c r="B9155" t="s">
        <v>11053</v>
      </c>
    </row>
    <row r="9156" spans="1:2" x14ac:dyDescent="0.25">
      <c r="A9156" t="s">
        <v>11054</v>
      </c>
      <c r="B9156" t="s">
        <v>11055</v>
      </c>
    </row>
    <row r="9157" spans="1:2" x14ac:dyDescent="0.25">
      <c r="A9157" t="s">
        <v>443</v>
      </c>
      <c r="B9157" t="s">
        <v>442</v>
      </c>
    </row>
    <row r="9158" spans="1:2" x14ac:dyDescent="0.25">
      <c r="A9158" t="s">
        <v>515</v>
      </c>
      <c r="B9158" t="s">
        <v>514</v>
      </c>
    </row>
    <row r="9159" spans="1:2" x14ac:dyDescent="0.25">
      <c r="A9159" t="s">
        <v>143</v>
      </c>
      <c r="B9159" t="s">
        <v>142</v>
      </c>
    </row>
    <row r="9160" spans="1:2" x14ac:dyDescent="0.25">
      <c r="A9160" t="s">
        <v>1434</v>
      </c>
      <c r="B9160" t="s">
        <v>1433</v>
      </c>
    </row>
    <row r="9161" spans="1:2" x14ac:dyDescent="0.25">
      <c r="A9161" t="s">
        <v>1442</v>
      </c>
      <c r="B9161" t="s">
        <v>1441</v>
      </c>
    </row>
    <row r="9162" spans="1:2" x14ac:dyDescent="0.25">
      <c r="A9162" t="s">
        <v>1462</v>
      </c>
      <c r="B9162" t="s">
        <v>1461</v>
      </c>
    </row>
    <row r="9163" spans="1:2" x14ac:dyDescent="0.25">
      <c r="A9163" t="s">
        <v>496</v>
      </c>
      <c r="B9163" t="s">
        <v>496</v>
      </c>
    </row>
    <row r="9164" spans="1:2" x14ac:dyDescent="0.25">
      <c r="A9164" t="s">
        <v>11056</v>
      </c>
      <c r="B9164" t="s">
        <v>11057</v>
      </c>
    </row>
    <row r="9165" spans="1:2" x14ac:dyDescent="0.25">
      <c r="A9165" t="s">
        <v>11058</v>
      </c>
      <c r="B9165" t="s">
        <v>1461</v>
      </c>
    </row>
    <row r="9166" spans="1:2" x14ac:dyDescent="0.25">
      <c r="A9166" t="s">
        <v>514</v>
      </c>
      <c r="B9166" t="s">
        <v>514</v>
      </c>
    </row>
    <row r="9167" spans="1:2" x14ac:dyDescent="0.25">
      <c r="A9167" t="s">
        <v>11059</v>
      </c>
      <c r="B9167" t="s">
        <v>11060</v>
      </c>
    </row>
    <row r="9168" spans="1:2" x14ac:dyDescent="0.25">
      <c r="A9168" t="s">
        <v>11061</v>
      </c>
      <c r="B9168" t="s">
        <v>243</v>
      </c>
    </row>
    <row r="9169" spans="1:2" x14ac:dyDescent="0.25">
      <c r="A9169" t="s">
        <v>11062</v>
      </c>
      <c r="B9169" t="s">
        <v>1182</v>
      </c>
    </row>
    <row r="9170" spans="1:2" x14ac:dyDescent="0.25">
      <c r="A9170" t="s">
        <v>11063</v>
      </c>
      <c r="B9170" t="s">
        <v>1445</v>
      </c>
    </row>
    <row r="9171" spans="1:2" x14ac:dyDescent="0.25">
      <c r="A9171" t="s">
        <v>11064</v>
      </c>
      <c r="B9171" t="s">
        <v>10942</v>
      </c>
    </row>
    <row r="9172" spans="1:2" x14ac:dyDescent="0.25">
      <c r="A9172" t="s">
        <v>11065</v>
      </c>
      <c r="B9172" t="s">
        <v>10923</v>
      </c>
    </row>
    <row r="9173" spans="1:2" x14ac:dyDescent="0.25">
      <c r="A9173" t="s">
        <v>11066</v>
      </c>
      <c r="B9173" t="s">
        <v>10937</v>
      </c>
    </row>
    <row r="9174" spans="1:2" x14ac:dyDescent="0.25">
      <c r="A9174" t="s">
        <v>11067</v>
      </c>
      <c r="B9174" t="s">
        <v>10927</v>
      </c>
    </row>
    <row r="9175" spans="1:2" x14ac:dyDescent="0.25">
      <c r="A9175" t="s">
        <v>11068</v>
      </c>
      <c r="B9175" t="s">
        <v>10925</v>
      </c>
    </row>
    <row r="9176" spans="1:2" x14ac:dyDescent="0.25">
      <c r="A9176" t="s">
        <v>11069</v>
      </c>
      <c r="B9176" t="s">
        <v>11070</v>
      </c>
    </row>
    <row r="9177" spans="1:2" x14ac:dyDescent="0.25">
      <c r="A9177" t="s">
        <v>11071</v>
      </c>
      <c r="B9177" t="s">
        <v>11071</v>
      </c>
    </row>
    <row r="9178" spans="1:2" x14ac:dyDescent="0.25">
      <c r="A9178" t="s">
        <v>11072</v>
      </c>
      <c r="B9178" t="s">
        <v>11072</v>
      </c>
    </row>
    <row r="9179" spans="1:2" x14ac:dyDescent="0.25">
      <c r="A9179" t="s">
        <v>11073</v>
      </c>
      <c r="B9179" t="s">
        <v>11073</v>
      </c>
    </row>
    <row r="9180" spans="1:2" x14ac:dyDescent="0.25">
      <c r="A9180" t="s">
        <v>11074</v>
      </c>
      <c r="B9180" t="s">
        <v>1052</v>
      </c>
    </row>
    <row r="9181" spans="1:2" x14ac:dyDescent="0.25">
      <c r="A9181" t="s">
        <v>11075</v>
      </c>
      <c r="B9181" t="s">
        <v>1170</v>
      </c>
    </row>
    <row r="9182" spans="1:2" x14ac:dyDescent="0.25">
      <c r="A9182" t="s">
        <v>11076</v>
      </c>
      <c r="B9182" t="s">
        <v>1182</v>
      </c>
    </row>
    <row r="9183" spans="1:2" x14ac:dyDescent="0.25">
      <c r="A9183" t="s">
        <v>11077</v>
      </c>
      <c r="B9183" t="s">
        <v>11078</v>
      </c>
    </row>
    <row r="9184" spans="1:2" x14ac:dyDescent="0.25">
      <c r="A9184" t="s">
        <v>1325</v>
      </c>
      <c r="B9184" t="s">
        <v>1324</v>
      </c>
    </row>
    <row r="9185" spans="1:2" x14ac:dyDescent="0.25">
      <c r="A9185" t="s">
        <v>476</v>
      </c>
      <c r="B9185" t="s">
        <v>475</v>
      </c>
    </row>
    <row r="9186" spans="1:2" x14ac:dyDescent="0.25">
      <c r="A9186" t="s">
        <v>1450</v>
      </c>
      <c r="B9186" t="s">
        <v>1449</v>
      </c>
    </row>
    <row r="9187" spans="1:2" x14ac:dyDescent="0.25">
      <c r="A9187" t="s">
        <v>3025</v>
      </c>
      <c r="B9187" t="s">
        <v>3025</v>
      </c>
    </row>
    <row r="9188" spans="1:2" x14ac:dyDescent="0.25">
      <c r="A9188" t="s">
        <v>3026</v>
      </c>
      <c r="B9188" t="s">
        <v>3026</v>
      </c>
    </row>
    <row r="9189" spans="1:2" x14ac:dyDescent="0.25">
      <c r="A9189" t="s">
        <v>1449</v>
      </c>
      <c r="B9189" t="s">
        <v>1449</v>
      </c>
    </row>
    <row r="9190" spans="1:2" x14ac:dyDescent="0.25">
      <c r="A9190" t="s">
        <v>11079</v>
      </c>
      <c r="B9190" t="s">
        <v>11080</v>
      </c>
    </row>
    <row r="9191" spans="1:2" x14ac:dyDescent="0.25">
      <c r="A9191" t="s">
        <v>11081</v>
      </c>
      <c r="B9191" t="s">
        <v>1193</v>
      </c>
    </row>
    <row r="9192" spans="1:2" x14ac:dyDescent="0.25">
      <c r="A9192" t="s">
        <v>11082</v>
      </c>
      <c r="B9192" t="s">
        <v>494</v>
      </c>
    </row>
    <row r="9193" spans="1:2" x14ac:dyDescent="0.25">
      <c r="A9193" t="s">
        <v>11083</v>
      </c>
      <c r="B9193" t="s">
        <v>1397</v>
      </c>
    </row>
    <row r="9194" spans="1:2" x14ac:dyDescent="0.25">
      <c r="A9194" t="s">
        <v>11084</v>
      </c>
      <c r="B9194" t="s">
        <v>1461</v>
      </c>
    </row>
    <row r="9195" spans="1:2" x14ac:dyDescent="0.25">
      <c r="A9195" t="s">
        <v>11085</v>
      </c>
      <c r="B9195" t="s">
        <v>1397</v>
      </c>
    </row>
    <row r="9196" spans="1:2" x14ac:dyDescent="0.25">
      <c r="A9196" t="s">
        <v>1437</v>
      </c>
      <c r="B9196" t="s">
        <v>1437</v>
      </c>
    </row>
    <row r="9197" spans="1:2" x14ac:dyDescent="0.25">
      <c r="A9197" t="s">
        <v>11086</v>
      </c>
      <c r="B9197" t="s">
        <v>11057</v>
      </c>
    </row>
    <row r="9198" spans="1:2" x14ac:dyDescent="0.25">
      <c r="A9198" t="s">
        <v>11087</v>
      </c>
      <c r="B9198" t="s">
        <v>11060</v>
      </c>
    </row>
    <row r="9199" spans="1:2" x14ac:dyDescent="0.25">
      <c r="A9199" t="s">
        <v>11088</v>
      </c>
      <c r="B9199" t="s">
        <v>11089</v>
      </c>
    </row>
    <row r="9200" spans="1:2" x14ac:dyDescent="0.25">
      <c r="A9200" t="s">
        <v>11090</v>
      </c>
      <c r="B9200" t="s">
        <v>121</v>
      </c>
    </row>
    <row r="9201" spans="1:2" x14ac:dyDescent="0.25">
      <c r="A9201" t="s">
        <v>1430</v>
      </c>
      <c r="B9201" t="s">
        <v>1429</v>
      </c>
    </row>
    <row r="9202" spans="1:2" x14ac:dyDescent="0.25">
      <c r="A9202" t="s">
        <v>1438</v>
      </c>
      <c r="B9202" t="s">
        <v>1437</v>
      </c>
    </row>
    <row r="9203" spans="1:2" x14ac:dyDescent="0.25">
      <c r="A9203" t="s">
        <v>1398</v>
      </c>
      <c r="B9203" t="s">
        <v>1397</v>
      </c>
    </row>
    <row r="9204" spans="1:2" x14ac:dyDescent="0.25">
      <c r="A9204" t="s">
        <v>527</v>
      </c>
      <c r="B9204" t="s">
        <v>526</v>
      </c>
    </row>
    <row r="9205" spans="1:2" x14ac:dyDescent="0.25">
      <c r="A9205" t="s">
        <v>420</v>
      </c>
      <c r="B9205" t="s">
        <v>419</v>
      </c>
    </row>
    <row r="9206" spans="1:2" x14ac:dyDescent="0.25">
      <c r="A9206" t="s">
        <v>424</v>
      </c>
      <c r="B9206" t="s">
        <v>423</v>
      </c>
    </row>
    <row r="9207" spans="1:2" x14ac:dyDescent="0.25">
      <c r="A9207" t="s">
        <v>11091</v>
      </c>
      <c r="B9207" t="s">
        <v>1108</v>
      </c>
    </row>
    <row r="9208" spans="1:2" x14ac:dyDescent="0.25">
      <c r="A9208" t="s">
        <v>3029</v>
      </c>
      <c r="B9208" t="s">
        <v>3029</v>
      </c>
    </row>
    <row r="9209" spans="1:2" x14ac:dyDescent="0.25">
      <c r="A9209" t="s">
        <v>11092</v>
      </c>
      <c r="B9209" t="s">
        <v>1014</v>
      </c>
    </row>
    <row r="9210" spans="1:2" x14ac:dyDescent="0.25">
      <c r="A9210" t="s">
        <v>11093</v>
      </c>
      <c r="B9210" t="s">
        <v>1449</v>
      </c>
    </row>
    <row r="9211" spans="1:2" x14ac:dyDescent="0.25">
      <c r="A9211" t="s">
        <v>11094</v>
      </c>
      <c r="B9211" t="s">
        <v>360</v>
      </c>
    </row>
    <row r="9212" spans="1:2" x14ac:dyDescent="0.25">
      <c r="A9212" t="s">
        <v>478</v>
      </c>
      <c r="B9212" t="s">
        <v>477</v>
      </c>
    </row>
    <row r="9213" spans="1:2" x14ac:dyDescent="0.25">
      <c r="A9213" t="s">
        <v>11095</v>
      </c>
      <c r="B9213" t="s">
        <v>1946</v>
      </c>
    </row>
    <row r="9214" spans="1:2" x14ac:dyDescent="0.25">
      <c r="A9214" t="s">
        <v>11096</v>
      </c>
      <c r="B9214" t="s">
        <v>821</v>
      </c>
    </row>
    <row r="9215" spans="1:2" x14ac:dyDescent="0.25">
      <c r="A9215" t="s">
        <v>11097</v>
      </c>
      <c r="B9215" t="s">
        <v>419</v>
      </c>
    </row>
    <row r="9216" spans="1:2" x14ac:dyDescent="0.25">
      <c r="A9216" t="s">
        <v>11098</v>
      </c>
      <c r="B9216" t="s">
        <v>1042</v>
      </c>
    </row>
    <row r="9217" spans="1:2" x14ac:dyDescent="0.25">
      <c r="A9217" t="s">
        <v>11099</v>
      </c>
      <c r="B9217" t="s">
        <v>60</v>
      </c>
    </row>
    <row r="9218" spans="1:2" x14ac:dyDescent="0.25">
      <c r="A9218" t="s">
        <v>11100</v>
      </c>
      <c r="B9218" t="s">
        <v>1739</v>
      </c>
    </row>
    <row r="9219" spans="1:2" x14ac:dyDescent="0.25">
      <c r="A9219" t="s">
        <v>11101</v>
      </c>
      <c r="B9219" t="s">
        <v>1005</v>
      </c>
    </row>
    <row r="9220" spans="1:2" x14ac:dyDescent="0.25">
      <c r="A9220" t="s">
        <v>11102</v>
      </c>
      <c r="B9220" t="s">
        <v>501</v>
      </c>
    </row>
    <row r="9221" spans="1:2" x14ac:dyDescent="0.25">
      <c r="A9221" t="s">
        <v>11103</v>
      </c>
      <c r="B9221" t="s">
        <v>1005</v>
      </c>
    </row>
    <row r="9222" spans="1:2" x14ac:dyDescent="0.25">
      <c r="A9222" t="s">
        <v>11104</v>
      </c>
      <c r="B9222" t="s">
        <v>1429</v>
      </c>
    </row>
    <row r="9223" spans="1:2" x14ac:dyDescent="0.25">
      <c r="A9223" t="s">
        <v>11105</v>
      </c>
      <c r="B9223" t="s">
        <v>514</v>
      </c>
    </row>
    <row r="9224" spans="1:2" x14ac:dyDescent="0.25">
      <c r="A9224" t="s">
        <v>11106</v>
      </c>
      <c r="B9224" t="s">
        <v>176</v>
      </c>
    </row>
    <row r="9225" spans="1:2" x14ac:dyDescent="0.25">
      <c r="A9225" t="s">
        <v>11107</v>
      </c>
      <c r="B9225" t="s">
        <v>11107</v>
      </c>
    </row>
    <row r="9226" spans="1:2" x14ac:dyDescent="0.25">
      <c r="A9226" t="s">
        <v>11108</v>
      </c>
      <c r="B9226" t="s">
        <v>577</v>
      </c>
    </row>
    <row r="9227" spans="1:2" x14ac:dyDescent="0.25">
      <c r="A9227" t="s">
        <v>11109</v>
      </c>
      <c r="B9227" t="s">
        <v>11110</v>
      </c>
    </row>
    <row r="9228" spans="1:2" x14ac:dyDescent="0.25">
      <c r="A9228" t="s">
        <v>11111</v>
      </c>
      <c r="B9228" t="s">
        <v>580</v>
      </c>
    </row>
    <row r="9229" spans="1:2" x14ac:dyDescent="0.25">
      <c r="A9229" t="s">
        <v>11112</v>
      </c>
      <c r="B9229" t="s">
        <v>580</v>
      </c>
    </row>
    <row r="9230" spans="1:2" x14ac:dyDescent="0.25">
      <c r="A9230" t="s">
        <v>11113</v>
      </c>
      <c r="B9230" t="s">
        <v>579</v>
      </c>
    </row>
    <row r="9231" spans="1:2" x14ac:dyDescent="0.25">
      <c r="A9231" t="s">
        <v>11114</v>
      </c>
      <c r="B9231" t="s">
        <v>579</v>
      </c>
    </row>
    <row r="9232" spans="1:2" x14ac:dyDescent="0.25">
      <c r="A9232" t="s">
        <v>11115</v>
      </c>
      <c r="B9232" t="s">
        <v>577</v>
      </c>
    </row>
    <row r="9233" spans="1:2" x14ac:dyDescent="0.25">
      <c r="A9233" t="s">
        <v>11116</v>
      </c>
      <c r="B9233" t="s">
        <v>189</v>
      </c>
    </row>
    <row r="9234" spans="1:2" x14ac:dyDescent="0.25">
      <c r="A9234" t="s">
        <v>11117</v>
      </c>
      <c r="B9234" t="s">
        <v>716</v>
      </c>
    </row>
    <row r="9235" spans="1:2" x14ac:dyDescent="0.25">
      <c r="A9235" t="s">
        <v>11118</v>
      </c>
      <c r="B9235" t="s">
        <v>1449</v>
      </c>
    </row>
    <row r="9236" spans="1:2" x14ac:dyDescent="0.25">
      <c r="A9236" t="s">
        <v>11119</v>
      </c>
      <c r="B9236" t="s">
        <v>140</v>
      </c>
    </row>
    <row r="9237" spans="1:2" x14ac:dyDescent="0.25">
      <c r="A9237" t="s">
        <v>11120</v>
      </c>
      <c r="B9237" t="s">
        <v>526</v>
      </c>
    </row>
    <row r="9238" spans="1:2" x14ac:dyDescent="0.25">
      <c r="A9238" t="s">
        <v>11121</v>
      </c>
      <c r="B9238" t="s">
        <v>189</v>
      </c>
    </row>
    <row r="9239" spans="1:2" x14ac:dyDescent="0.25">
      <c r="A9239" t="s">
        <v>11122</v>
      </c>
      <c r="B9239" t="s">
        <v>1014</v>
      </c>
    </row>
    <row r="9240" spans="1:2" x14ac:dyDescent="0.25">
      <c r="A9240" t="s">
        <v>11123</v>
      </c>
      <c r="B9240" t="s">
        <v>11124</v>
      </c>
    </row>
    <row r="9241" spans="1:2" x14ac:dyDescent="0.25">
      <c r="A9241" t="s">
        <v>11125</v>
      </c>
      <c r="B9241" t="s">
        <v>11126</v>
      </c>
    </row>
    <row r="9242" spans="1:2" x14ac:dyDescent="0.25">
      <c r="A9242" t="s">
        <v>3030</v>
      </c>
      <c r="B9242" t="s">
        <v>3030</v>
      </c>
    </row>
    <row r="9243" spans="1:2" x14ac:dyDescent="0.25">
      <c r="A9243" t="s">
        <v>3031</v>
      </c>
      <c r="B9243" t="s">
        <v>3031</v>
      </c>
    </row>
    <row r="9244" spans="1:2" x14ac:dyDescent="0.25">
      <c r="A9244" t="s">
        <v>11127</v>
      </c>
      <c r="B9244" t="s">
        <v>11078</v>
      </c>
    </row>
    <row r="9245" spans="1:2" x14ac:dyDescent="0.25">
      <c r="A9245" t="s">
        <v>11128</v>
      </c>
      <c r="B9245" t="s">
        <v>297</v>
      </c>
    </row>
    <row r="9246" spans="1:2" x14ac:dyDescent="0.25">
      <c r="A9246" t="s">
        <v>11129</v>
      </c>
      <c r="B9246" t="s">
        <v>323</v>
      </c>
    </row>
    <row r="9247" spans="1:2" x14ac:dyDescent="0.25">
      <c r="A9247" t="s">
        <v>11130</v>
      </c>
      <c r="B9247" t="s">
        <v>2034</v>
      </c>
    </row>
    <row r="9248" spans="1:2" x14ac:dyDescent="0.25">
      <c r="A9248" t="s">
        <v>11131</v>
      </c>
      <c r="B9248" t="s">
        <v>423</v>
      </c>
    </row>
    <row r="9249" spans="1:2" x14ac:dyDescent="0.25">
      <c r="A9249" t="s">
        <v>11132</v>
      </c>
      <c r="B9249" t="s">
        <v>1310</v>
      </c>
    </row>
    <row r="9250" spans="1:2" x14ac:dyDescent="0.25">
      <c r="A9250" t="s">
        <v>11133</v>
      </c>
      <c r="B9250" t="s">
        <v>425</v>
      </c>
    </row>
    <row r="9251" spans="1:2" x14ac:dyDescent="0.25">
      <c r="A9251" t="s">
        <v>11134</v>
      </c>
      <c r="B9251" t="s">
        <v>423</v>
      </c>
    </row>
    <row r="9252" spans="1:2" x14ac:dyDescent="0.25">
      <c r="A9252" t="s">
        <v>11135</v>
      </c>
      <c r="B9252" t="s">
        <v>419</v>
      </c>
    </row>
    <row r="9253" spans="1:2" x14ac:dyDescent="0.25">
      <c r="A9253" t="s">
        <v>11136</v>
      </c>
      <c r="B9253" t="s">
        <v>419</v>
      </c>
    </row>
    <row r="9254" spans="1:2" x14ac:dyDescent="0.25">
      <c r="A9254" t="s">
        <v>11137</v>
      </c>
      <c r="B9254" t="s">
        <v>419</v>
      </c>
    </row>
    <row r="9255" spans="1:2" x14ac:dyDescent="0.25">
      <c r="A9255" t="s">
        <v>11138</v>
      </c>
      <c r="B9255" t="s">
        <v>423</v>
      </c>
    </row>
    <row r="9256" spans="1:2" x14ac:dyDescent="0.25">
      <c r="A9256" t="s">
        <v>11139</v>
      </c>
      <c r="B9256" t="s">
        <v>530</v>
      </c>
    </row>
    <row r="9257" spans="1:2" x14ac:dyDescent="0.25">
      <c r="A9257" t="s">
        <v>11140</v>
      </c>
      <c r="B9257" t="s">
        <v>532</v>
      </c>
    </row>
    <row r="9258" spans="1:2" x14ac:dyDescent="0.25">
      <c r="A9258" t="s">
        <v>11141</v>
      </c>
      <c r="B9258" t="s">
        <v>530</v>
      </c>
    </row>
    <row r="9259" spans="1:2" x14ac:dyDescent="0.25">
      <c r="A9259" t="s">
        <v>11142</v>
      </c>
      <c r="B9259" t="s">
        <v>532</v>
      </c>
    </row>
    <row r="9260" spans="1:2" x14ac:dyDescent="0.25">
      <c r="A9260" t="s">
        <v>11143</v>
      </c>
      <c r="B9260" t="s">
        <v>360</v>
      </c>
    </row>
    <row r="9261" spans="1:2" x14ac:dyDescent="0.25">
      <c r="A9261" t="s">
        <v>11144</v>
      </c>
      <c r="B9261" t="s">
        <v>360</v>
      </c>
    </row>
    <row r="9262" spans="1:2" x14ac:dyDescent="0.25">
      <c r="A9262" t="s">
        <v>11145</v>
      </c>
      <c r="B9262" t="s">
        <v>360</v>
      </c>
    </row>
    <row r="9263" spans="1:2" x14ac:dyDescent="0.25">
      <c r="A9263" t="s">
        <v>11146</v>
      </c>
      <c r="B9263" t="s">
        <v>9552</v>
      </c>
    </row>
    <row r="9264" spans="1:2" x14ac:dyDescent="0.25">
      <c r="A9264" t="s">
        <v>11147</v>
      </c>
      <c r="B9264" t="s">
        <v>9555</v>
      </c>
    </row>
    <row r="9265" spans="1:2" x14ac:dyDescent="0.25">
      <c r="A9265" t="s">
        <v>11148</v>
      </c>
      <c r="B9265" t="s">
        <v>9568</v>
      </c>
    </row>
    <row r="9266" spans="1:2" x14ac:dyDescent="0.25">
      <c r="A9266" t="s">
        <v>11149</v>
      </c>
      <c r="B9266" t="s">
        <v>9560</v>
      </c>
    </row>
    <row r="9267" spans="1:2" x14ac:dyDescent="0.25">
      <c r="A9267" t="s">
        <v>11150</v>
      </c>
      <c r="B9267" t="s">
        <v>425</v>
      </c>
    </row>
    <row r="9268" spans="1:2" x14ac:dyDescent="0.25">
      <c r="A9268" t="s">
        <v>11151</v>
      </c>
      <c r="B9268" t="s">
        <v>9552</v>
      </c>
    </row>
    <row r="9269" spans="1:2" x14ac:dyDescent="0.25">
      <c r="A9269" t="s">
        <v>11152</v>
      </c>
      <c r="B9269" t="s">
        <v>2084</v>
      </c>
    </row>
    <row r="9270" spans="1:2" x14ac:dyDescent="0.25">
      <c r="A9270" t="s">
        <v>11153</v>
      </c>
      <c r="B9270" t="s">
        <v>2084</v>
      </c>
    </row>
    <row r="9271" spans="1:2" x14ac:dyDescent="0.25">
      <c r="A9271" t="s">
        <v>11154</v>
      </c>
      <c r="B9271" t="s">
        <v>1417</v>
      </c>
    </row>
    <row r="9272" spans="1:2" x14ac:dyDescent="0.25">
      <c r="A9272" t="s">
        <v>11155</v>
      </c>
      <c r="B9272" t="s">
        <v>1393</v>
      </c>
    </row>
    <row r="9273" spans="1:2" x14ac:dyDescent="0.25">
      <c r="A9273" t="s">
        <v>11156</v>
      </c>
      <c r="B9273" t="s">
        <v>1866</v>
      </c>
    </row>
    <row r="9274" spans="1:2" x14ac:dyDescent="0.25">
      <c r="A9274" t="s">
        <v>11157</v>
      </c>
      <c r="B9274" t="s">
        <v>431</v>
      </c>
    </row>
    <row r="9275" spans="1:2" x14ac:dyDescent="0.25">
      <c r="A9275" t="s">
        <v>11158</v>
      </c>
      <c r="B9275" t="s">
        <v>532</v>
      </c>
    </row>
    <row r="9276" spans="1:2" x14ac:dyDescent="0.25">
      <c r="A9276" t="s">
        <v>11159</v>
      </c>
      <c r="B9276" t="s">
        <v>530</v>
      </c>
    </row>
    <row r="9277" spans="1:2" x14ac:dyDescent="0.25">
      <c r="A9277" t="s">
        <v>11160</v>
      </c>
      <c r="B9277" t="s">
        <v>526</v>
      </c>
    </row>
    <row r="9278" spans="1:2" x14ac:dyDescent="0.25">
      <c r="A9278" t="s">
        <v>11161</v>
      </c>
      <c r="B9278" t="s">
        <v>1123</v>
      </c>
    </row>
    <row r="9279" spans="1:2" x14ac:dyDescent="0.25">
      <c r="A9279" t="s">
        <v>11162</v>
      </c>
      <c r="B9279" t="s">
        <v>1955</v>
      </c>
    </row>
    <row r="9280" spans="1:2" x14ac:dyDescent="0.25">
      <c r="A9280" t="s">
        <v>11163</v>
      </c>
      <c r="B9280" t="s">
        <v>362</v>
      </c>
    </row>
    <row r="9281" spans="1:2" x14ac:dyDescent="0.25">
      <c r="A9281" t="s">
        <v>11164</v>
      </c>
      <c r="B9281" t="s">
        <v>360</v>
      </c>
    </row>
    <row r="9282" spans="1:2" x14ac:dyDescent="0.25">
      <c r="A9282" t="s">
        <v>11165</v>
      </c>
      <c r="B9282" t="s">
        <v>360</v>
      </c>
    </row>
    <row r="9283" spans="1:2" x14ac:dyDescent="0.25">
      <c r="A9283" t="s">
        <v>11166</v>
      </c>
      <c r="B9283" t="s">
        <v>356</v>
      </c>
    </row>
    <row r="9284" spans="1:2" x14ac:dyDescent="0.25">
      <c r="A9284" t="s">
        <v>11167</v>
      </c>
      <c r="B9284" t="s">
        <v>1310</v>
      </c>
    </row>
    <row r="9285" spans="1:2" x14ac:dyDescent="0.25">
      <c r="A9285" t="s">
        <v>11168</v>
      </c>
      <c r="B9285" t="s">
        <v>427</v>
      </c>
    </row>
    <row r="9286" spans="1:2" x14ac:dyDescent="0.25">
      <c r="A9286" t="s">
        <v>11169</v>
      </c>
      <c r="B9286" t="s">
        <v>425</v>
      </c>
    </row>
    <row r="9287" spans="1:2" x14ac:dyDescent="0.25">
      <c r="A9287" t="s">
        <v>11170</v>
      </c>
      <c r="B9287" t="s">
        <v>423</v>
      </c>
    </row>
    <row r="9288" spans="1:2" x14ac:dyDescent="0.25">
      <c r="A9288" t="s">
        <v>11171</v>
      </c>
      <c r="B9288" t="s">
        <v>423</v>
      </c>
    </row>
    <row r="9289" spans="1:2" x14ac:dyDescent="0.25">
      <c r="A9289" t="s">
        <v>11172</v>
      </c>
      <c r="B9289" t="s">
        <v>9552</v>
      </c>
    </row>
    <row r="9290" spans="1:2" x14ac:dyDescent="0.25">
      <c r="A9290" t="s">
        <v>11173</v>
      </c>
      <c r="B9290" t="s">
        <v>9559</v>
      </c>
    </row>
    <row r="9291" spans="1:2" x14ac:dyDescent="0.25">
      <c r="A9291" t="s">
        <v>11174</v>
      </c>
      <c r="B9291" t="s">
        <v>9555</v>
      </c>
    </row>
    <row r="9292" spans="1:2" x14ac:dyDescent="0.25">
      <c r="A9292" t="s">
        <v>11175</v>
      </c>
      <c r="B9292" t="s">
        <v>421</v>
      </c>
    </row>
    <row r="9293" spans="1:2" x14ac:dyDescent="0.25">
      <c r="A9293" t="s">
        <v>11176</v>
      </c>
      <c r="B9293" t="s">
        <v>421</v>
      </c>
    </row>
    <row r="9294" spans="1:2" x14ac:dyDescent="0.25">
      <c r="A9294" t="s">
        <v>11177</v>
      </c>
      <c r="B9294" t="s">
        <v>9568</v>
      </c>
    </row>
    <row r="9295" spans="1:2" x14ac:dyDescent="0.25">
      <c r="A9295" t="s">
        <v>11178</v>
      </c>
      <c r="B9295" t="s">
        <v>9560</v>
      </c>
    </row>
    <row r="9296" spans="1:2" x14ac:dyDescent="0.25">
      <c r="A9296" t="s">
        <v>11179</v>
      </c>
      <c r="B9296" t="s">
        <v>9557</v>
      </c>
    </row>
    <row r="9297" spans="1:2" x14ac:dyDescent="0.25">
      <c r="A9297" t="s">
        <v>11180</v>
      </c>
      <c r="B9297" t="s">
        <v>577</v>
      </c>
    </row>
    <row r="9298" spans="1:2" x14ac:dyDescent="0.25">
      <c r="A9298" t="s">
        <v>11181</v>
      </c>
      <c r="B9298" t="s">
        <v>484</v>
      </c>
    </row>
    <row r="9299" spans="1:2" x14ac:dyDescent="0.25">
      <c r="A9299" t="s">
        <v>11182</v>
      </c>
      <c r="B9299" t="s">
        <v>1059</v>
      </c>
    </row>
    <row r="9300" spans="1:2" x14ac:dyDescent="0.25">
      <c r="A9300" t="s">
        <v>11183</v>
      </c>
      <c r="B9300" t="s">
        <v>151</v>
      </c>
    </row>
    <row r="9301" spans="1:2" x14ac:dyDescent="0.25">
      <c r="A9301" t="s">
        <v>11184</v>
      </c>
      <c r="B9301" t="s">
        <v>9357</v>
      </c>
    </row>
    <row r="9302" spans="1:2" x14ac:dyDescent="0.25">
      <c r="A9302" t="s">
        <v>11185</v>
      </c>
      <c r="B9302" t="s">
        <v>9355</v>
      </c>
    </row>
    <row r="9303" spans="1:2" x14ac:dyDescent="0.25">
      <c r="A9303" t="s">
        <v>11186</v>
      </c>
      <c r="B9303" t="s">
        <v>9405</v>
      </c>
    </row>
    <row r="9304" spans="1:2" x14ac:dyDescent="0.25">
      <c r="A9304" t="s">
        <v>11187</v>
      </c>
      <c r="B9304" t="s">
        <v>9362</v>
      </c>
    </row>
    <row r="9305" spans="1:2" x14ac:dyDescent="0.25">
      <c r="A9305" t="s">
        <v>11188</v>
      </c>
      <c r="B9305" t="s">
        <v>9366</v>
      </c>
    </row>
    <row r="9306" spans="1:2" x14ac:dyDescent="0.25">
      <c r="A9306" t="s">
        <v>11189</v>
      </c>
      <c r="B9306" t="s">
        <v>11190</v>
      </c>
    </row>
    <row r="9307" spans="1:2" x14ac:dyDescent="0.25">
      <c r="A9307" t="s">
        <v>11191</v>
      </c>
      <c r="B9307" t="s">
        <v>11192</v>
      </c>
    </row>
    <row r="9308" spans="1:2" x14ac:dyDescent="0.25">
      <c r="A9308" t="s">
        <v>11193</v>
      </c>
      <c r="B9308" t="s">
        <v>11194</v>
      </c>
    </row>
    <row r="9309" spans="1:2" x14ac:dyDescent="0.25">
      <c r="A9309" t="s">
        <v>11195</v>
      </c>
      <c r="B9309" t="s">
        <v>1005</v>
      </c>
    </row>
    <row r="9310" spans="1:2" x14ac:dyDescent="0.25">
      <c r="A9310" t="s">
        <v>11196</v>
      </c>
      <c r="B9310" t="s">
        <v>787</v>
      </c>
    </row>
    <row r="9311" spans="1:2" x14ac:dyDescent="0.25">
      <c r="A9311" t="s">
        <v>11197</v>
      </c>
      <c r="B9311" t="s">
        <v>11198</v>
      </c>
    </row>
    <row r="9312" spans="1:2" x14ac:dyDescent="0.25">
      <c r="A9312" t="s">
        <v>11199</v>
      </c>
      <c r="B9312" t="s">
        <v>11200</v>
      </c>
    </row>
    <row r="9313" spans="1:2" x14ac:dyDescent="0.25">
      <c r="A9313" t="s">
        <v>11201</v>
      </c>
      <c r="B9313" t="s">
        <v>275</v>
      </c>
    </row>
    <row r="9314" spans="1:2" x14ac:dyDescent="0.25">
      <c r="A9314" t="s">
        <v>11202</v>
      </c>
      <c r="B9314" t="s">
        <v>1014</v>
      </c>
    </row>
    <row r="9315" spans="1:2" x14ac:dyDescent="0.25">
      <c r="A9315" t="s">
        <v>526</v>
      </c>
      <c r="B9315" t="s">
        <v>526</v>
      </c>
    </row>
    <row r="9316" spans="1:2" x14ac:dyDescent="0.25">
      <c r="A9316" t="s">
        <v>11203</v>
      </c>
      <c r="B9316" t="s">
        <v>1117</v>
      </c>
    </row>
    <row r="9317" spans="1:2" x14ac:dyDescent="0.25">
      <c r="A9317" t="s">
        <v>11204</v>
      </c>
      <c r="B9317" t="s">
        <v>1959</v>
      </c>
    </row>
    <row r="9318" spans="1:2" x14ac:dyDescent="0.25">
      <c r="A9318" t="s">
        <v>11205</v>
      </c>
      <c r="B9318" t="s">
        <v>1154</v>
      </c>
    </row>
    <row r="9319" spans="1:2" x14ac:dyDescent="0.25">
      <c r="A9319" t="s">
        <v>11206</v>
      </c>
      <c r="B9319" t="s">
        <v>1081</v>
      </c>
    </row>
    <row r="9320" spans="1:2" x14ac:dyDescent="0.25">
      <c r="A9320" t="s">
        <v>11207</v>
      </c>
      <c r="B9320" t="s">
        <v>1465</v>
      </c>
    </row>
    <row r="9321" spans="1:2" x14ac:dyDescent="0.25">
      <c r="A9321" t="s">
        <v>11208</v>
      </c>
      <c r="B9321" t="s">
        <v>1612</v>
      </c>
    </row>
    <row r="9322" spans="1:2" x14ac:dyDescent="0.25">
      <c r="A9322" t="s">
        <v>11209</v>
      </c>
      <c r="B9322" t="s">
        <v>1469</v>
      </c>
    </row>
    <row r="9323" spans="1:2" x14ac:dyDescent="0.25">
      <c r="A9323" t="s">
        <v>11210</v>
      </c>
      <c r="B9323" t="s">
        <v>427</v>
      </c>
    </row>
    <row r="9324" spans="1:2" x14ac:dyDescent="0.25">
      <c r="A9324" t="s">
        <v>11211</v>
      </c>
      <c r="B9324" t="s">
        <v>9557</v>
      </c>
    </row>
    <row r="9325" spans="1:2" x14ac:dyDescent="0.25">
      <c r="A9325" t="s">
        <v>11212</v>
      </c>
      <c r="B9325" t="s">
        <v>720</v>
      </c>
    </row>
    <row r="9326" spans="1:2" x14ac:dyDescent="0.25">
      <c r="A9326" t="s">
        <v>11213</v>
      </c>
      <c r="B9326" t="s">
        <v>421</v>
      </c>
    </row>
    <row r="9327" spans="1:2" x14ac:dyDescent="0.25">
      <c r="A9327" t="s">
        <v>11214</v>
      </c>
      <c r="B9327" t="s">
        <v>360</v>
      </c>
    </row>
    <row r="9328" spans="1:2" x14ac:dyDescent="0.25">
      <c r="A9328" t="s">
        <v>11215</v>
      </c>
      <c r="B9328" t="s">
        <v>9559</v>
      </c>
    </row>
    <row r="9329" spans="1:2" x14ac:dyDescent="0.25">
      <c r="A9329" t="s">
        <v>11216</v>
      </c>
      <c r="B9329" t="s">
        <v>9559</v>
      </c>
    </row>
    <row r="9330" spans="1:2" x14ac:dyDescent="0.25">
      <c r="A9330" t="s">
        <v>11217</v>
      </c>
      <c r="B9330" t="s">
        <v>9568</v>
      </c>
    </row>
    <row r="9331" spans="1:2" x14ac:dyDescent="0.25">
      <c r="A9331" t="s">
        <v>11218</v>
      </c>
      <c r="B9331" t="s">
        <v>9557</v>
      </c>
    </row>
    <row r="9332" spans="1:2" x14ac:dyDescent="0.25">
      <c r="A9332" t="s">
        <v>11219</v>
      </c>
      <c r="B9332" t="s">
        <v>442</v>
      </c>
    </row>
    <row r="9333" spans="1:2" x14ac:dyDescent="0.25">
      <c r="A9333" t="s">
        <v>11220</v>
      </c>
      <c r="B9333" t="s">
        <v>2084</v>
      </c>
    </row>
    <row r="9334" spans="1:2" x14ac:dyDescent="0.25">
      <c r="A9334" t="s">
        <v>11221</v>
      </c>
      <c r="B9334" t="s">
        <v>1367</v>
      </c>
    </row>
    <row r="9335" spans="1:2" x14ac:dyDescent="0.25">
      <c r="A9335" t="s">
        <v>11222</v>
      </c>
      <c r="B9335" t="s">
        <v>1379</v>
      </c>
    </row>
    <row r="9336" spans="1:2" x14ac:dyDescent="0.25">
      <c r="A9336" t="s">
        <v>11223</v>
      </c>
      <c r="B9336" t="s">
        <v>11223</v>
      </c>
    </row>
    <row r="9337" spans="1:2" x14ac:dyDescent="0.25">
      <c r="A9337" t="s">
        <v>11224</v>
      </c>
      <c r="B9337" t="s">
        <v>2084</v>
      </c>
    </row>
    <row r="9338" spans="1:2" x14ac:dyDescent="0.25">
      <c r="A9338" t="s">
        <v>11225</v>
      </c>
      <c r="B9338" t="s">
        <v>2084</v>
      </c>
    </row>
    <row r="9339" spans="1:2" x14ac:dyDescent="0.25">
      <c r="A9339" t="s">
        <v>11226</v>
      </c>
      <c r="B9339" t="s">
        <v>9691</v>
      </c>
    </row>
    <row r="9340" spans="1:2" x14ac:dyDescent="0.25">
      <c r="A9340" t="s">
        <v>11227</v>
      </c>
      <c r="B9340" t="s">
        <v>9693</v>
      </c>
    </row>
    <row r="9341" spans="1:2" x14ac:dyDescent="0.25">
      <c r="A9341" t="s">
        <v>11228</v>
      </c>
      <c r="B9341" t="s">
        <v>11229</v>
      </c>
    </row>
    <row r="9342" spans="1:2" x14ac:dyDescent="0.25">
      <c r="A9342" t="s">
        <v>11230</v>
      </c>
      <c r="B9342" t="s">
        <v>11231</v>
      </c>
    </row>
    <row r="9343" spans="1:2" x14ac:dyDescent="0.25">
      <c r="A9343" t="s">
        <v>11232</v>
      </c>
      <c r="B9343" t="s">
        <v>1223</v>
      </c>
    </row>
    <row r="9344" spans="1:2" x14ac:dyDescent="0.25">
      <c r="A9344" t="s">
        <v>11233</v>
      </c>
      <c r="B9344" t="s">
        <v>450</v>
      </c>
    </row>
    <row r="9345" spans="1:2" x14ac:dyDescent="0.25">
      <c r="A9345" t="s">
        <v>11234</v>
      </c>
      <c r="B9345" t="s">
        <v>1449</v>
      </c>
    </row>
    <row r="9346" spans="1:2" x14ac:dyDescent="0.25">
      <c r="A9346" t="s">
        <v>11235</v>
      </c>
      <c r="B9346" t="s">
        <v>423</v>
      </c>
    </row>
    <row r="9347" spans="1:2" x14ac:dyDescent="0.25">
      <c r="A9347" t="s">
        <v>11236</v>
      </c>
      <c r="B9347" t="s">
        <v>9559</v>
      </c>
    </row>
    <row r="9348" spans="1:2" x14ac:dyDescent="0.25">
      <c r="A9348" t="s">
        <v>11237</v>
      </c>
      <c r="B9348" t="s">
        <v>9555</v>
      </c>
    </row>
    <row r="9349" spans="1:2" x14ac:dyDescent="0.25">
      <c r="A9349" t="s">
        <v>11238</v>
      </c>
      <c r="B9349" t="s">
        <v>9568</v>
      </c>
    </row>
    <row r="9350" spans="1:2" x14ac:dyDescent="0.25">
      <c r="A9350" t="s">
        <v>11239</v>
      </c>
      <c r="B9350" t="s">
        <v>9552</v>
      </c>
    </row>
    <row r="9351" spans="1:2" x14ac:dyDescent="0.25">
      <c r="A9351" t="s">
        <v>11240</v>
      </c>
      <c r="B9351" t="s">
        <v>1371</v>
      </c>
    </row>
    <row r="9352" spans="1:2" x14ac:dyDescent="0.25">
      <c r="A9352" t="s">
        <v>11241</v>
      </c>
      <c r="B9352" t="s">
        <v>1445</v>
      </c>
    </row>
    <row r="9353" spans="1:2" x14ac:dyDescent="0.25">
      <c r="A9353" t="s">
        <v>11242</v>
      </c>
      <c r="B9353" t="s">
        <v>9557</v>
      </c>
    </row>
    <row r="9354" spans="1:2" x14ac:dyDescent="0.25">
      <c r="A9354" t="s">
        <v>11243</v>
      </c>
      <c r="B9354" t="s">
        <v>421</v>
      </c>
    </row>
    <row r="9355" spans="1:2" x14ac:dyDescent="0.25">
      <c r="A9355" t="s">
        <v>11244</v>
      </c>
      <c r="B9355" t="s">
        <v>1863</v>
      </c>
    </row>
    <row r="9356" spans="1:2" x14ac:dyDescent="0.25">
      <c r="A9356" t="s">
        <v>11245</v>
      </c>
      <c r="B9356" t="s">
        <v>425</v>
      </c>
    </row>
    <row r="9357" spans="1:2" x14ac:dyDescent="0.25">
      <c r="A9357" t="s">
        <v>11246</v>
      </c>
      <c r="B9357" t="s">
        <v>11247</v>
      </c>
    </row>
    <row r="9358" spans="1:2" x14ac:dyDescent="0.25">
      <c r="A9358" t="s">
        <v>11248</v>
      </c>
      <c r="B9358" t="s">
        <v>421</v>
      </c>
    </row>
    <row r="9359" spans="1:2" x14ac:dyDescent="0.25">
      <c r="A9359" t="s">
        <v>11249</v>
      </c>
      <c r="B9359" t="s">
        <v>9560</v>
      </c>
    </row>
    <row r="9360" spans="1:2" x14ac:dyDescent="0.25">
      <c r="A9360" t="s">
        <v>11250</v>
      </c>
      <c r="B9360" t="s">
        <v>419</v>
      </c>
    </row>
    <row r="9361" spans="1:2" x14ac:dyDescent="0.25">
      <c r="A9361" t="s">
        <v>11251</v>
      </c>
      <c r="B9361" t="s">
        <v>362</v>
      </c>
    </row>
    <row r="9362" spans="1:2" x14ac:dyDescent="0.25">
      <c r="A9362" t="s">
        <v>11252</v>
      </c>
      <c r="B9362" t="s">
        <v>290</v>
      </c>
    </row>
    <row r="9363" spans="1:2" x14ac:dyDescent="0.25">
      <c r="A9363" t="s">
        <v>11253</v>
      </c>
      <c r="B9363" t="s">
        <v>176</v>
      </c>
    </row>
    <row r="9364" spans="1:2" x14ac:dyDescent="0.25">
      <c r="A9364" t="s">
        <v>11254</v>
      </c>
      <c r="B9364" t="s">
        <v>362</v>
      </c>
    </row>
    <row r="9365" spans="1:2" x14ac:dyDescent="0.25">
      <c r="A9365" t="s">
        <v>11255</v>
      </c>
      <c r="B9365" t="s">
        <v>427</v>
      </c>
    </row>
    <row r="9366" spans="1:2" x14ac:dyDescent="0.25">
      <c r="A9366" t="s">
        <v>11256</v>
      </c>
      <c r="B9366" t="s">
        <v>9653</v>
      </c>
    </row>
    <row r="9367" spans="1:2" x14ac:dyDescent="0.25">
      <c r="A9367" t="s">
        <v>11257</v>
      </c>
      <c r="B9367" t="s">
        <v>421</v>
      </c>
    </row>
    <row r="9368" spans="1:2" x14ac:dyDescent="0.25">
      <c r="A9368" t="s">
        <v>11258</v>
      </c>
      <c r="B9368" t="s">
        <v>9560</v>
      </c>
    </row>
    <row r="9369" spans="1:2" x14ac:dyDescent="0.25">
      <c r="A9369" t="s">
        <v>11259</v>
      </c>
      <c r="B9369" t="s">
        <v>362</v>
      </c>
    </row>
    <row r="9370" spans="1:2" x14ac:dyDescent="0.25">
      <c r="A9370" t="s">
        <v>298</v>
      </c>
      <c r="B9370" t="s">
        <v>297</v>
      </c>
    </row>
    <row r="9371" spans="1:2" x14ac:dyDescent="0.25">
      <c r="A9371" t="s">
        <v>324</v>
      </c>
      <c r="B9371" t="s">
        <v>323</v>
      </c>
    </row>
    <row r="9372" spans="1:2" x14ac:dyDescent="0.25">
      <c r="A9372" t="s">
        <v>2997</v>
      </c>
      <c r="B9372" t="s">
        <v>2997</v>
      </c>
    </row>
    <row r="9373" spans="1:2" x14ac:dyDescent="0.25">
      <c r="A9373" t="s">
        <v>11260</v>
      </c>
      <c r="B9373" t="s">
        <v>261</v>
      </c>
    </row>
    <row r="9374" spans="1:2" x14ac:dyDescent="0.25">
      <c r="A9374" t="s">
        <v>11261</v>
      </c>
      <c r="B9374" t="s">
        <v>477</v>
      </c>
    </row>
    <row r="9375" spans="1:2" x14ac:dyDescent="0.25">
      <c r="A9375" t="s">
        <v>11262</v>
      </c>
      <c r="B9375" t="s">
        <v>117</v>
      </c>
    </row>
    <row r="9376" spans="1:2" x14ac:dyDescent="0.25">
      <c r="A9376" t="s">
        <v>11263</v>
      </c>
      <c r="B9376" t="s">
        <v>1193</v>
      </c>
    </row>
    <row r="9377" spans="1:2" x14ac:dyDescent="0.25">
      <c r="A9377" t="s">
        <v>3032</v>
      </c>
      <c r="B9377" t="s">
        <v>3032</v>
      </c>
    </row>
    <row r="9378" spans="1:2" x14ac:dyDescent="0.25">
      <c r="A9378" t="s">
        <v>11264</v>
      </c>
      <c r="B9378" t="s">
        <v>2042</v>
      </c>
    </row>
    <row r="9379" spans="1:2" x14ac:dyDescent="0.25">
      <c r="A9379" t="s">
        <v>11265</v>
      </c>
      <c r="B9379" t="s">
        <v>421</v>
      </c>
    </row>
    <row r="9380" spans="1:2" x14ac:dyDescent="0.25">
      <c r="A9380" t="s">
        <v>11266</v>
      </c>
      <c r="B9380" t="s">
        <v>9555</v>
      </c>
    </row>
    <row r="9381" spans="1:2" x14ac:dyDescent="0.25">
      <c r="A9381" t="s">
        <v>11267</v>
      </c>
      <c r="B9381" t="s">
        <v>1074</v>
      </c>
    </row>
    <row r="9382" spans="1:2" x14ac:dyDescent="0.25">
      <c r="A9382" t="s">
        <v>11268</v>
      </c>
      <c r="B9382" t="s">
        <v>10528</v>
      </c>
    </row>
    <row r="9383" spans="1:2" x14ac:dyDescent="0.25">
      <c r="A9383" t="s">
        <v>11269</v>
      </c>
      <c r="B9383" t="s">
        <v>115</v>
      </c>
    </row>
    <row r="9384" spans="1:2" x14ac:dyDescent="0.25">
      <c r="A9384" t="s">
        <v>11270</v>
      </c>
      <c r="B9384" t="s">
        <v>720</v>
      </c>
    </row>
    <row r="9385" spans="1:2" x14ac:dyDescent="0.25">
      <c r="A9385" t="s">
        <v>11271</v>
      </c>
      <c r="B9385" t="s">
        <v>243</v>
      </c>
    </row>
    <row r="9386" spans="1:2" x14ac:dyDescent="0.25">
      <c r="A9386" t="s">
        <v>11272</v>
      </c>
      <c r="B9386" t="s">
        <v>1506</v>
      </c>
    </row>
    <row r="9387" spans="1:2" x14ac:dyDescent="0.25">
      <c r="A9387" t="s">
        <v>11273</v>
      </c>
      <c r="B9387" t="s">
        <v>746</v>
      </c>
    </row>
    <row r="9388" spans="1:2" x14ac:dyDescent="0.25">
      <c r="A9388" t="s">
        <v>11274</v>
      </c>
      <c r="B9388" t="s">
        <v>1389</v>
      </c>
    </row>
    <row r="9389" spans="1:2" x14ac:dyDescent="0.25">
      <c r="A9389" t="s">
        <v>11275</v>
      </c>
      <c r="B9389" t="s">
        <v>1014</v>
      </c>
    </row>
    <row r="9390" spans="1:2" x14ac:dyDescent="0.25">
      <c r="A9390" t="s">
        <v>11276</v>
      </c>
      <c r="B9390" t="s">
        <v>11060</v>
      </c>
    </row>
    <row r="9391" spans="1:2" x14ac:dyDescent="0.25">
      <c r="A9391" t="s">
        <v>11277</v>
      </c>
      <c r="B9391" t="s">
        <v>11057</v>
      </c>
    </row>
    <row r="9392" spans="1:2" x14ac:dyDescent="0.25">
      <c r="A9392" t="s">
        <v>11278</v>
      </c>
      <c r="B9392" t="s">
        <v>11078</v>
      </c>
    </row>
    <row r="9393" spans="1:2" x14ac:dyDescent="0.25">
      <c r="A9393" t="s">
        <v>11279</v>
      </c>
      <c r="B9393" t="s">
        <v>526</v>
      </c>
    </row>
    <row r="9394" spans="1:2" x14ac:dyDescent="0.25">
      <c r="A9394" t="s">
        <v>11280</v>
      </c>
      <c r="B9394" t="s">
        <v>261</v>
      </c>
    </row>
    <row r="9395" spans="1:2" x14ac:dyDescent="0.25">
      <c r="A9395" t="s">
        <v>3033</v>
      </c>
      <c r="B9395" t="s">
        <v>3033</v>
      </c>
    </row>
    <row r="9396" spans="1:2" x14ac:dyDescent="0.25">
      <c r="A9396" t="s">
        <v>11281</v>
      </c>
      <c r="B9396" t="s">
        <v>151</v>
      </c>
    </row>
    <row r="9397" spans="1:2" x14ac:dyDescent="0.25">
      <c r="A9397" t="s">
        <v>11282</v>
      </c>
      <c r="B9397" t="s">
        <v>1687</v>
      </c>
    </row>
    <row r="9398" spans="1:2" x14ac:dyDescent="0.25">
      <c r="A9398" t="s">
        <v>11283</v>
      </c>
      <c r="B9398" t="s">
        <v>797</v>
      </c>
    </row>
    <row r="9399" spans="1:2" x14ac:dyDescent="0.25">
      <c r="A9399" t="s">
        <v>11284</v>
      </c>
      <c r="B9399" t="s">
        <v>11285</v>
      </c>
    </row>
    <row r="9400" spans="1:2" x14ac:dyDescent="0.25">
      <c r="A9400" t="s">
        <v>11286</v>
      </c>
      <c r="B9400" t="s">
        <v>11287</v>
      </c>
    </row>
    <row r="9401" spans="1:2" x14ac:dyDescent="0.25">
      <c r="A9401" t="s">
        <v>11288</v>
      </c>
      <c r="B9401" t="s">
        <v>11289</v>
      </c>
    </row>
    <row r="9402" spans="1:2" x14ac:dyDescent="0.25">
      <c r="A9402" t="s">
        <v>11290</v>
      </c>
      <c r="B9402" t="s">
        <v>11291</v>
      </c>
    </row>
    <row r="9403" spans="1:2" x14ac:dyDescent="0.25">
      <c r="A9403" t="s">
        <v>11292</v>
      </c>
      <c r="B9403" t="s">
        <v>11293</v>
      </c>
    </row>
    <row r="9404" spans="1:2" x14ac:dyDescent="0.25">
      <c r="A9404" t="s">
        <v>11294</v>
      </c>
      <c r="B9404" t="s">
        <v>11295</v>
      </c>
    </row>
    <row r="9405" spans="1:2" x14ac:dyDescent="0.25">
      <c r="A9405" t="s">
        <v>11296</v>
      </c>
      <c r="B9405" t="s">
        <v>11297</v>
      </c>
    </row>
    <row r="9406" spans="1:2" x14ac:dyDescent="0.25">
      <c r="A9406" t="s">
        <v>11298</v>
      </c>
      <c r="B9406" t="s">
        <v>11299</v>
      </c>
    </row>
    <row r="9407" spans="1:2" x14ac:dyDescent="0.25">
      <c r="A9407" t="s">
        <v>11300</v>
      </c>
      <c r="B9407" t="s">
        <v>11301</v>
      </c>
    </row>
    <row r="9408" spans="1:2" x14ac:dyDescent="0.25">
      <c r="A9408" t="s">
        <v>11302</v>
      </c>
      <c r="B9408" t="s">
        <v>11303</v>
      </c>
    </row>
    <row r="9409" spans="1:2" x14ac:dyDescent="0.25">
      <c r="A9409" t="s">
        <v>11304</v>
      </c>
      <c r="B9409" t="s">
        <v>11305</v>
      </c>
    </row>
    <row r="9410" spans="1:2" x14ac:dyDescent="0.25">
      <c r="A9410" t="s">
        <v>11306</v>
      </c>
      <c r="B9410" t="s">
        <v>11307</v>
      </c>
    </row>
    <row r="9411" spans="1:2" x14ac:dyDescent="0.25">
      <c r="A9411" t="s">
        <v>11308</v>
      </c>
      <c r="B9411" t="s">
        <v>11309</v>
      </c>
    </row>
    <row r="9412" spans="1:2" x14ac:dyDescent="0.25">
      <c r="A9412" t="s">
        <v>11310</v>
      </c>
      <c r="B9412" t="s">
        <v>11311</v>
      </c>
    </row>
    <row r="9413" spans="1:2" x14ac:dyDescent="0.25">
      <c r="A9413" t="s">
        <v>11312</v>
      </c>
      <c r="B9413" t="s">
        <v>11313</v>
      </c>
    </row>
    <row r="9414" spans="1:2" x14ac:dyDescent="0.25">
      <c r="A9414" t="s">
        <v>11314</v>
      </c>
      <c r="B9414" t="s">
        <v>11315</v>
      </c>
    </row>
    <row r="9415" spans="1:2" x14ac:dyDescent="0.25">
      <c r="A9415" t="s">
        <v>11316</v>
      </c>
      <c r="B9415" t="s">
        <v>11317</v>
      </c>
    </row>
    <row r="9416" spans="1:2" x14ac:dyDescent="0.25">
      <c r="A9416" t="s">
        <v>11318</v>
      </c>
      <c r="B9416" t="s">
        <v>11319</v>
      </c>
    </row>
    <row r="9417" spans="1:2" x14ac:dyDescent="0.25">
      <c r="A9417" t="s">
        <v>11320</v>
      </c>
      <c r="B9417" t="s">
        <v>11321</v>
      </c>
    </row>
    <row r="9418" spans="1:2" x14ac:dyDescent="0.25">
      <c r="A9418" t="s">
        <v>11322</v>
      </c>
      <c r="B9418" t="s">
        <v>1622</v>
      </c>
    </row>
    <row r="9419" spans="1:2" x14ac:dyDescent="0.25">
      <c r="A9419" t="s">
        <v>11323</v>
      </c>
      <c r="B9419" t="s">
        <v>9183</v>
      </c>
    </row>
    <row r="9420" spans="1:2" x14ac:dyDescent="0.25">
      <c r="A9420" t="s">
        <v>11324</v>
      </c>
      <c r="B9420" t="s">
        <v>11325</v>
      </c>
    </row>
    <row r="9421" spans="1:2" x14ac:dyDescent="0.25">
      <c r="A9421" t="s">
        <v>11326</v>
      </c>
      <c r="B9421" t="s">
        <v>1631</v>
      </c>
    </row>
    <row r="9422" spans="1:2" x14ac:dyDescent="0.25">
      <c r="A9422" t="s">
        <v>11327</v>
      </c>
      <c r="B9422" t="s">
        <v>1627</v>
      </c>
    </row>
    <row r="9423" spans="1:2" x14ac:dyDescent="0.25">
      <c r="A9423" t="s">
        <v>11328</v>
      </c>
      <c r="B9423" t="s">
        <v>1629</v>
      </c>
    </row>
    <row r="9424" spans="1:2" x14ac:dyDescent="0.25">
      <c r="A9424" t="s">
        <v>11329</v>
      </c>
      <c r="B9424" t="s">
        <v>1625</v>
      </c>
    </row>
    <row r="9425" spans="1:2" x14ac:dyDescent="0.25">
      <c r="A9425" t="s">
        <v>11330</v>
      </c>
      <c r="B9425" t="s">
        <v>1518</v>
      </c>
    </row>
    <row r="9426" spans="1:2" x14ac:dyDescent="0.25">
      <c r="A9426" t="s">
        <v>11331</v>
      </c>
      <c r="B9426" t="s">
        <v>1545</v>
      </c>
    </row>
    <row r="9427" spans="1:2" x14ac:dyDescent="0.25">
      <c r="A9427" t="s">
        <v>11332</v>
      </c>
      <c r="B9427" t="s">
        <v>1551</v>
      </c>
    </row>
    <row r="9428" spans="1:2" x14ac:dyDescent="0.25">
      <c r="A9428" t="s">
        <v>11333</v>
      </c>
      <c r="B9428" t="s">
        <v>1553</v>
      </c>
    </row>
    <row r="9429" spans="1:2" x14ac:dyDescent="0.25">
      <c r="A9429" t="s">
        <v>11334</v>
      </c>
      <c r="B9429" t="s">
        <v>1543</v>
      </c>
    </row>
    <row r="9430" spans="1:2" x14ac:dyDescent="0.25">
      <c r="A9430" t="s">
        <v>11335</v>
      </c>
      <c r="B9430" t="s">
        <v>1529</v>
      </c>
    </row>
    <row r="9431" spans="1:2" x14ac:dyDescent="0.25">
      <c r="A9431" t="s">
        <v>11336</v>
      </c>
      <c r="B9431" t="s">
        <v>1537</v>
      </c>
    </row>
    <row r="9432" spans="1:2" x14ac:dyDescent="0.25">
      <c r="A9432" t="s">
        <v>11337</v>
      </c>
      <c r="B9432" t="s">
        <v>1561</v>
      </c>
    </row>
    <row r="9433" spans="1:2" x14ac:dyDescent="0.25">
      <c r="A9433" t="s">
        <v>11338</v>
      </c>
      <c r="B9433" t="s">
        <v>1533</v>
      </c>
    </row>
    <row r="9434" spans="1:2" x14ac:dyDescent="0.25">
      <c r="A9434" t="s">
        <v>11339</v>
      </c>
      <c r="B9434" t="s">
        <v>1557</v>
      </c>
    </row>
    <row r="9435" spans="1:2" x14ac:dyDescent="0.25">
      <c r="A9435" t="s">
        <v>11340</v>
      </c>
      <c r="B9435" t="s">
        <v>1521</v>
      </c>
    </row>
    <row r="9436" spans="1:2" x14ac:dyDescent="0.25">
      <c r="A9436" t="s">
        <v>11341</v>
      </c>
      <c r="B9436" t="s">
        <v>1555</v>
      </c>
    </row>
    <row r="9437" spans="1:2" x14ac:dyDescent="0.25">
      <c r="A9437" t="s">
        <v>11342</v>
      </c>
      <c r="B9437" t="s">
        <v>1539</v>
      </c>
    </row>
    <row r="9438" spans="1:2" x14ac:dyDescent="0.25">
      <c r="A9438" t="s">
        <v>11343</v>
      </c>
      <c r="B9438" t="s">
        <v>1527</v>
      </c>
    </row>
    <row r="9439" spans="1:2" x14ac:dyDescent="0.25">
      <c r="A9439" t="s">
        <v>11344</v>
      </c>
      <c r="B9439" t="s">
        <v>1559</v>
      </c>
    </row>
    <row r="9440" spans="1:2" x14ac:dyDescent="0.25">
      <c r="A9440" t="s">
        <v>11345</v>
      </c>
      <c r="B9440" t="s">
        <v>1525</v>
      </c>
    </row>
    <row r="9441" spans="1:2" x14ac:dyDescent="0.25">
      <c r="A9441" t="s">
        <v>11346</v>
      </c>
      <c r="B9441" t="s">
        <v>1531</v>
      </c>
    </row>
    <row r="9442" spans="1:2" x14ac:dyDescent="0.25">
      <c r="A9442" t="s">
        <v>11347</v>
      </c>
      <c r="B9442" t="s">
        <v>1535</v>
      </c>
    </row>
    <row r="9443" spans="1:2" x14ac:dyDescent="0.25">
      <c r="A9443" t="s">
        <v>11348</v>
      </c>
      <c r="B9443" t="s">
        <v>1523</v>
      </c>
    </row>
    <row r="9444" spans="1:2" x14ac:dyDescent="0.25">
      <c r="A9444" t="s">
        <v>11349</v>
      </c>
      <c r="B9444" t="s">
        <v>1549</v>
      </c>
    </row>
    <row r="9445" spans="1:2" x14ac:dyDescent="0.25">
      <c r="A9445" t="s">
        <v>11350</v>
      </c>
      <c r="B9445" t="s">
        <v>1547</v>
      </c>
    </row>
    <row r="9446" spans="1:2" x14ac:dyDescent="0.25">
      <c r="A9446" t="s">
        <v>3034</v>
      </c>
      <c r="B9446" t="s">
        <v>3034</v>
      </c>
    </row>
    <row r="9447" spans="1:2" x14ac:dyDescent="0.25">
      <c r="A9447" t="s">
        <v>11351</v>
      </c>
      <c r="B9447" t="s">
        <v>935</v>
      </c>
    </row>
    <row r="9448" spans="1:2" x14ac:dyDescent="0.25">
      <c r="A9448" t="s">
        <v>11352</v>
      </c>
      <c r="B9448" t="s">
        <v>556</v>
      </c>
    </row>
    <row r="9449" spans="1:2" x14ac:dyDescent="0.25">
      <c r="A9449" t="s">
        <v>11353</v>
      </c>
      <c r="B9449" t="s">
        <v>1449</v>
      </c>
    </row>
    <row r="9450" spans="1:2" x14ac:dyDescent="0.25">
      <c r="A9450" t="s">
        <v>11354</v>
      </c>
      <c r="B9450" t="s">
        <v>935</v>
      </c>
    </row>
    <row r="9451" spans="1:2" x14ac:dyDescent="0.25">
      <c r="A9451" t="s">
        <v>11355</v>
      </c>
      <c r="B9451" t="s">
        <v>1461</v>
      </c>
    </row>
    <row r="9452" spans="1:2" x14ac:dyDescent="0.25">
      <c r="A9452" t="s">
        <v>11356</v>
      </c>
      <c r="B9452" t="s">
        <v>11356</v>
      </c>
    </row>
    <row r="9453" spans="1:2" x14ac:dyDescent="0.25">
      <c r="A9453" t="s">
        <v>556</v>
      </c>
      <c r="B9453" t="s">
        <v>556</v>
      </c>
    </row>
    <row r="9454" spans="1:2" x14ac:dyDescent="0.25">
      <c r="A9454" t="s">
        <v>9783</v>
      </c>
      <c r="B9454" t="s">
        <v>9783</v>
      </c>
    </row>
    <row r="9455" spans="1:2" x14ac:dyDescent="0.25">
      <c r="A9455" t="s">
        <v>9767</v>
      </c>
      <c r="B9455" t="s">
        <v>9767</v>
      </c>
    </row>
    <row r="9456" spans="1:2" x14ac:dyDescent="0.25">
      <c r="A9456" t="s">
        <v>1998</v>
      </c>
      <c r="B9456" t="s">
        <v>1997</v>
      </c>
    </row>
    <row r="9457" spans="1:2" x14ac:dyDescent="0.25">
      <c r="A9457" t="s">
        <v>1947</v>
      </c>
      <c r="B9457" t="s">
        <v>1946</v>
      </c>
    </row>
    <row r="9458" spans="1:2" x14ac:dyDescent="0.25">
      <c r="A9458" t="s">
        <v>996</v>
      </c>
      <c r="B9458" t="s">
        <v>995</v>
      </c>
    </row>
    <row r="9459" spans="1:2" x14ac:dyDescent="0.25">
      <c r="A9459" t="s">
        <v>2074</v>
      </c>
      <c r="B9459" t="s">
        <v>2073</v>
      </c>
    </row>
    <row r="9460" spans="1:2" x14ac:dyDescent="0.25">
      <c r="A9460" t="s">
        <v>11357</v>
      </c>
      <c r="B9460" t="s">
        <v>2508</v>
      </c>
    </row>
    <row r="9461" spans="1:2" x14ac:dyDescent="0.25">
      <c r="A9461" t="s">
        <v>304</v>
      </c>
      <c r="B9461" t="s">
        <v>303</v>
      </c>
    </row>
    <row r="9462" spans="1:2" x14ac:dyDescent="0.25">
      <c r="A9462" t="s">
        <v>11358</v>
      </c>
      <c r="B9462" t="s">
        <v>1235</v>
      </c>
    </row>
    <row r="9463" spans="1:2" x14ac:dyDescent="0.25">
      <c r="A9463" t="s">
        <v>11359</v>
      </c>
      <c r="B9463" t="s">
        <v>1453</v>
      </c>
    </row>
    <row r="9464" spans="1:2" x14ac:dyDescent="0.25">
      <c r="A9464" t="s">
        <v>11360</v>
      </c>
      <c r="B9464" t="s">
        <v>1445</v>
      </c>
    </row>
    <row r="9465" spans="1:2" x14ac:dyDescent="0.25">
      <c r="A9465" t="s">
        <v>11361</v>
      </c>
      <c r="B9465" t="s">
        <v>1130</v>
      </c>
    </row>
    <row r="9466" spans="1:2" x14ac:dyDescent="0.25">
      <c r="A9466" t="s">
        <v>11362</v>
      </c>
      <c r="B9466" t="s">
        <v>1102</v>
      </c>
    </row>
    <row r="9467" spans="1:2" x14ac:dyDescent="0.25">
      <c r="A9467" t="s">
        <v>897</v>
      </c>
      <c r="B9467" t="s">
        <v>896</v>
      </c>
    </row>
    <row r="9468" spans="1:2" x14ac:dyDescent="0.25">
      <c r="A9468" t="s">
        <v>807</v>
      </c>
      <c r="B9468" t="s">
        <v>806</v>
      </c>
    </row>
    <row r="9469" spans="1:2" x14ac:dyDescent="0.25">
      <c r="A9469" t="s">
        <v>848</v>
      </c>
      <c r="B9469" t="s">
        <v>847</v>
      </c>
    </row>
    <row r="9470" spans="1:2" x14ac:dyDescent="0.25">
      <c r="A9470" t="s">
        <v>914</v>
      </c>
      <c r="B9470" t="s">
        <v>913</v>
      </c>
    </row>
    <row r="9471" spans="1:2" x14ac:dyDescent="0.25">
      <c r="A9471" t="s">
        <v>810</v>
      </c>
      <c r="B9471" t="s">
        <v>809</v>
      </c>
    </row>
    <row r="9472" spans="1:2" x14ac:dyDescent="0.25">
      <c r="A9472" t="s">
        <v>1341</v>
      </c>
      <c r="B9472" t="s">
        <v>1340</v>
      </c>
    </row>
    <row r="9473" spans="1:2" x14ac:dyDescent="0.25">
      <c r="A9473" t="s">
        <v>1458</v>
      </c>
      <c r="B9473" t="s">
        <v>1457</v>
      </c>
    </row>
    <row r="9474" spans="1:2" x14ac:dyDescent="0.25">
      <c r="A9474" t="s">
        <v>1473</v>
      </c>
      <c r="B9474" t="s">
        <v>1472</v>
      </c>
    </row>
    <row r="9475" spans="1:2" x14ac:dyDescent="0.25">
      <c r="A9475" t="s">
        <v>2186</v>
      </c>
      <c r="B9475" t="s">
        <v>2185</v>
      </c>
    </row>
    <row r="9476" spans="1:2" x14ac:dyDescent="0.25">
      <c r="A9476" t="s">
        <v>2063</v>
      </c>
      <c r="B9476" t="s">
        <v>2062</v>
      </c>
    </row>
    <row r="9477" spans="1:2" x14ac:dyDescent="0.25">
      <c r="A9477" t="s">
        <v>1664</v>
      </c>
      <c r="B9477" t="s">
        <v>1663</v>
      </c>
    </row>
    <row r="9478" spans="1:2" x14ac:dyDescent="0.25">
      <c r="A9478" t="s">
        <v>816</v>
      </c>
      <c r="B9478" t="s">
        <v>815</v>
      </c>
    </row>
    <row r="9479" spans="1:2" x14ac:dyDescent="0.25">
      <c r="A9479" t="s">
        <v>2079</v>
      </c>
      <c r="B9479" t="s">
        <v>2078</v>
      </c>
    </row>
    <row r="9480" spans="1:2" x14ac:dyDescent="0.25">
      <c r="A9480" t="s">
        <v>1273</v>
      </c>
      <c r="B9480" t="s">
        <v>1272</v>
      </c>
    </row>
    <row r="9481" spans="1:2" x14ac:dyDescent="0.25">
      <c r="A9481" t="s">
        <v>2076</v>
      </c>
      <c r="B9481" t="s">
        <v>2075</v>
      </c>
    </row>
    <row r="9482" spans="1:2" x14ac:dyDescent="0.25">
      <c r="A9482" t="s">
        <v>2196</v>
      </c>
      <c r="B9482" t="s">
        <v>2195</v>
      </c>
    </row>
    <row r="9483" spans="1:2" x14ac:dyDescent="0.25">
      <c r="A9483" t="s">
        <v>1422</v>
      </c>
      <c r="B9483" t="s">
        <v>1421</v>
      </c>
    </row>
    <row r="9484" spans="1:2" x14ac:dyDescent="0.25">
      <c r="A9484" t="s">
        <v>508</v>
      </c>
      <c r="B9484" t="s">
        <v>507</v>
      </c>
    </row>
    <row r="9485" spans="1:2" x14ac:dyDescent="0.25">
      <c r="A9485" t="s">
        <v>11363</v>
      </c>
      <c r="B9485" t="s">
        <v>439</v>
      </c>
    </row>
    <row r="9486" spans="1:2" x14ac:dyDescent="0.25">
      <c r="A9486" t="s">
        <v>11364</v>
      </c>
      <c r="B9486" t="s">
        <v>797</v>
      </c>
    </row>
    <row r="9487" spans="1:2" x14ac:dyDescent="0.25">
      <c r="A9487" t="s">
        <v>11365</v>
      </c>
      <c r="B9487" t="s">
        <v>350</v>
      </c>
    </row>
    <row r="9488" spans="1:2" x14ac:dyDescent="0.25">
      <c r="A9488" t="s">
        <v>11366</v>
      </c>
      <c r="B9488" t="s">
        <v>362</v>
      </c>
    </row>
    <row r="9489" spans="1:2" x14ac:dyDescent="0.25">
      <c r="A9489" t="s">
        <v>11367</v>
      </c>
      <c r="B9489" t="s">
        <v>1472</v>
      </c>
    </row>
    <row r="9490" spans="1:2" x14ac:dyDescent="0.25">
      <c r="A9490" t="s">
        <v>11368</v>
      </c>
      <c r="B9490" t="s">
        <v>1243</v>
      </c>
    </row>
    <row r="9491" spans="1:2" x14ac:dyDescent="0.25">
      <c r="A9491" t="s">
        <v>11369</v>
      </c>
      <c r="B9491" t="s">
        <v>526</v>
      </c>
    </row>
    <row r="9492" spans="1:2" x14ac:dyDescent="0.25">
      <c r="A9492" t="s">
        <v>11370</v>
      </c>
      <c r="B9492" t="s">
        <v>356</v>
      </c>
    </row>
    <row r="9493" spans="1:2" x14ac:dyDescent="0.25">
      <c r="A9493" t="s">
        <v>11371</v>
      </c>
      <c r="B9493" t="s">
        <v>356</v>
      </c>
    </row>
    <row r="9494" spans="1:2" x14ac:dyDescent="0.25">
      <c r="A9494" t="s">
        <v>11372</v>
      </c>
      <c r="B9494" t="s">
        <v>1472</v>
      </c>
    </row>
    <row r="9495" spans="1:2" x14ac:dyDescent="0.25">
      <c r="A9495" t="s">
        <v>11373</v>
      </c>
      <c r="B9495" t="s">
        <v>1472</v>
      </c>
    </row>
    <row r="9496" spans="1:2" x14ac:dyDescent="0.25">
      <c r="A9496" t="s">
        <v>11374</v>
      </c>
      <c r="B9496" t="s">
        <v>11375</v>
      </c>
    </row>
    <row r="9497" spans="1:2" x14ac:dyDescent="0.25">
      <c r="A9497" t="s">
        <v>11376</v>
      </c>
      <c r="B9497" t="s">
        <v>376</v>
      </c>
    </row>
    <row r="9498" spans="1:2" x14ac:dyDescent="0.25">
      <c r="A9498" t="s">
        <v>11377</v>
      </c>
      <c r="B9498" t="s">
        <v>187</v>
      </c>
    </row>
    <row r="9499" spans="1:2" x14ac:dyDescent="0.25">
      <c r="A9499" t="s">
        <v>1472</v>
      </c>
      <c r="B9499" t="s">
        <v>1472</v>
      </c>
    </row>
    <row r="9500" spans="1:2" x14ac:dyDescent="0.25">
      <c r="A9500" t="s">
        <v>11378</v>
      </c>
      <c r="B9500" t="s">
        <v>11379</v>
      </c>
    </row>
    <row r="9501" spans="1:2" x14ac:dyDescent="0.25">
      <c r="A9501" t="s">
        <v>11380</v>
      </c>
      <c r="B9501" t="s">
        <v>2042</v>
      </c>
    </row>
    <row r="9502" spans="1:2" x14ac:dyDescent="0.25">
      <c r="A9502" t="s">
        <v>11381</v>
      </c>
      <c r="B9502" t="s">
        <v>249</v>
      </c>
    </row>
    <row r="9503" spans="1:2" x14ac:dyDescent="0.25">
      <c r="A9503" t="s">
        <v>11382</v>
      </c>
      <c r="B9503" t="s">
        <v>249</v>
      </c>
    </row>
    <row r="9504" spans="1:2" x14ac:dyDescent="0.25">
      <c r="A9504" t="s">
        <v>11383</v>
      </c>
      <c r="B9504" t="s">
        <v>97</v>
      </c>
    </row>
    <row r="9505" spans="1:2" x14ac:dyDescent="0.25">
      <c r="A9505" t="s">
        <v>11384</v>
      </c>
      <c r="B9505" t="s">
        <v>80</v>
      </c>
    </row>
    <row r="9506" spans="1:2" x14ac:dyDescent="0.25">
      <c r="A9506" t="s">
        <v>11385</v>
      </c>
      <c r="B9506" t="s">
        <v>87</v>
      </c>
    </row>
    <row r="9507" spans="1:2" x14ac:dyDescent="0.25">
      <c r="A9507" t="s">
        <v>11386</v>
      </c>
      <c r="B9507" t="s">
        <v>113</v>
      </c>
    </row>
    <row r="9508" spans="1:2" x14ac:dyDescent="0.25">
      <c r="A9508" t="s">
        <v>11387</v>
      </c>
      <c r="B9508" t="s">
        <v>9485</v>
      </c>
    </row>
    <row r="9509" spans="1:2" x14ac:dyDescent="0.25">
      <c r="A9509" t="s">
        <v>11388</v>
      </c>
      <c r="B9509" t="s">
        <v>78</v>
      </c>
    </row>
    <row r="9510" spans="1:2" x14ac:dyDescent="0.25">
      <c r="A9510" t="s">
        <v>11389</v>
      </c>
      <c r="B9510" t="s">
        <v>133</v>
      </c>
    </row>
    <row r="9511" spans="1:2" x14ac:dyDescent="0.25">
      <c r="A9511" t="s">
        <v>11390</v>
      </c>
      <c r="B9511" t="s">
        <v>135</v>
      </c>
    </row>
    <row r="9512" spans="1:2" x14ac:dyDescent="0.25">
      <c r="A9512" t="s">
        <v>11391</v>
      </c>
      <c r="B9512" t="s">
        <v>137</v>
      </c>
    </row>
    <row r="9513" spans="1:2" x14ac:dyDescent="0.25">
      <c r="A9513" t="s">
        <v>11392</v>
      </c>
      <c r="B9513" t="s">
        <v>144</v>
      </c>
    </row>
    <row r="9514" spans="1:2" x14ac:dyDescent="0.25">
      <c r="A9514" t="s">
        <v>3035</v>
      </c>
      <c r="B9514" t="s">
        <v>3035</v>
      </c>
    </row>
    <row r="9515" spans="1:2" x14ac:dyDescent="0.25">
      <c r="A9515" t="s">
        <v>3036</v>
      </c>
      <c r="B9515" t="s">
        <v>3036</v>
      </c>
    </row>
    <row r="9516" spans="1:2" x14ac:dyDescent="0.25">
      <c r="A9516" t="s">
        <v>577</v>
      </c>
      <c r="B9516" t="s">
        <v>577</v>
      </c>
    </row>
    <row r="9517" spans="1:2" x14ac:dyDescent="0.25">
      <c r="A9517" t="s">
        <v>579</v>
      </c>
      <c r="B9517" t="s">
        <v>579</v>
      </c>
    </row>
    <row r="9518" spans="1:2" x14ac:dyDescent="0.25">
      <c r="A9518" t="s">
        <v>580</v>
      </c>
      <c r="B9518" t="s">
        <v>580</v>
      </c>
    </row>
    <row r="9519" spans="1:2" x14ac:dyDescent="0.25">
      <c r="A9519" t="s">
        <v>11393</v>
      </c>
      <c r="B9519" t="s">
        <v>1375</v>
      </c>
    </row>
    <row r="9520" spans="1:2" x14ac:dyDescent="0.25">
      <c r="A9520" t="s">
        <v>11394</v>
      </c>
      <c r="B9520" t="s">
        <v>1397</v>
      </c>
    </row>
    <row r="9521" spans="1:2" x14ac:dyDescent="0.25">
      <c r="A9521" t="s">
        <v>11395</v>
      </c>
      <c r="B9521" t="s">
        <v>550</v>
      </c>
    </row>
    <row r="9522" spans="1:2" x14ac:dyDescent="0.25">
      <c r="A9522" t="s">
        <v>11396</v>
      </c>
      <c r="B9522" t="s">
        <v>564</v>
      </c>
    </row>
    <row r="9523" spans="1:2" x14ac:dyDescent="0.25">
      <c r="A9523" t="s">
        <v>11397</v>
      </c>
      <c r="B9523" t="s">
        <v>566</v>
      </c>
    </row>
    <row r="9524" spans="1:2" x14ac:dyDescent="0.25">
      <c r="A9524" t="s">
        <v>11398</v>
      </c>
      <c r="B9524" t="s">
        <v>11399</v>
      </c>
    </row>
    <row r="9525" spans="1:2" x14ac:dyDescent="0.25">
      <c r="A9525" t="s">
        <v>11400</v>
      </c>
      <c r="B9525" t="s">
        <v>108</v>
      </c>
    </row>
    <row r="9526" spans="1:2" x14ac:dyDescent="0.25">
      <c r="A9526" t="s">
        <v>11401</v>
      </c>
      <c r="B9526" t="s">
        <v>1472</v>
      </c>
    </row>
    <row r="9527" spans="1:2" x14ac:dyDescent="0.25">
      <c r="A9527" t="s">
        <v>11402</v>
      </c>
      <c r="B9527" t="s">
        <v>89</v>
      </c>
    </row>
    <row r="9528" spans="1:2" x14ac:dyDescent="0.25">
      <c r="A9528" t="s">
        <v>11403</v>
      </c>
      <c r="B9528" t="s">
        <v>1425</v>
      </c>
    </row>
    <row r="9529" spans="1:2" x14ac:dyDescent="0.25">
      <c r="A9529" t="s">
        <v>11404</v>
      </c>
      <c r="B9529" t="s">
        <v>346</v>
      </c>
    </row>
    <row r="9530" spans="1:2" x14ac:dyDescent="0.25">
      <c r="A9530" t="s">
        <v>11405</v>
      </c>
      <c r="B9530" t="s">
        <v>413</v>
      </c>
    </row>
    <row r="9531" spans="1:2" x14ac:dyDescent="0.25">
      <c r="A9531" t="s">
        <v>11406</v>
      </c>
      <c r="B9531" t="s">
        <v>556</v>
      </c>
    </row>
    <row r="9532" spans="1:2" x14ac:dyDescent="0.25">
      <c r="A9532" t="s">
        <v>11407</v>
      </c>
      <c r="B9532" t="s">
        <v>552</v>
      </c>
    </row>
    <row r="9533" spans="1:2" x14ac:dyDescent="0.25">
      <c r="A9533" t="s">
        <v>11408</v>
      </c>
      <c r="B9533" t="s">
        <v>558</v>
      </c>
    </row>
    <row r="9534" spans="1:2" x14ac:dyDescent="0.25">
      <c r="A9534" t="s">
        <v>11409</v>
      </c>
      <c r="B9534" t="s">
        <v>1476</v>
      </c>
    </row>
    <row r="9535" spans="1:2" x14ac:dyDescent="0.25">
      <c r="A9535" t="s">
        <v>11410</v>
      </c>
      <c r="B9535" t="s">
        <v>1480</v>
      </c>
    </row>
    <row r="9536" spans="1:2" x14ac:dyDescent="0.25">
      <c r="A9536" t="s">
        <v>11411</v>
      </c>
      <c r="B9536" t="s">
        <v>1484</v>
      </c>
    </row>
    <row r="9537" spans="1:2" x14ac:dyDescent="0.25">
      <c r="A9537" t="s">
        <v>11412</v>
      </c>
      <c r="B9537" t="s">
        <v>560</v>
      </c>
    </row>
    <row r="9538" spans="1:2" x14ac:dyDescent="0.25">
      <c r="A9538" t="s">
        <v>11413</v>
      </c>
      <c r="B9538" t="s">
        <v>1397</v>
      </c>
    </row>
    <row r="9539" spans="1:2" x14ac:dyDescent="0.25">
      <c r="A9539" t="s">
        <v>11414</v>
      </c>
      <c r="B9539" t="s">
        <v>9653</v>
      </c>
    </row>
    <row r="9540" spans="1:2" x14ac:dyDescent="0.25">
      <c r="A9540" t="s">
        <v>11415</v>
      </c>
      <c r="B9540" t="s">
        <v>9655</v>
      </c>
    </row>
    <row r="9541" spans="1:2" x14ac:dyDescent="0.25">
      <c r="A9541" t="s">
        <v>11416</v>
      </c>
      <c r="B9541" t="s">
        <v>554</v>
      </c>
    </row>
    <row r="9542" spans="1:2" x14ac:dyDescent="0.25">
      <c r="A9542" t="s">
        <v>11417</v>
      </c>
      <c r="B9542" t="s">
        <v>534</v>
      </c>
    </row>
    <row r="9543" spans="1:2" x14ac:dyDescent="0.25">
      <c r="A9543" t="s">
        <v>11418</v>
      </c>
      <c r="B9543" t="s">
        <v>536</v>
      </c>
    </row>
    <row r="9544" spans="1:2" x14ac:dyDescent="0.25">
      <c r="A9544" t="s">
        <v>11419</v>
      </c>
      <c r="B9544" t="s">
        <v>538</v>
      </c>
    </row>
    <row r="9545" spans="1:2" x14ac:dyDescent="0.25">
      <c r="A9545" t="s">
        <v>1476</v>
      </c>
      <c r="B9545" t="s">
        <v>1476</v>
      </c>
    </row>
    <row r="9546" spans="1:2" x14ac:dyDescent="0.25">
      <c r="A9546" t="s">
        <v>11420</v>
      </c>
      <c r="B9546" t="s">
        <v>988</v>
      </c>
    </row>
    <row r="9547" spans="1:2" x14ac:dyDescent="0.25">
      <c r="A9547" t="s">
        <v>11421</v>
      </c>
      <c r="B9547" t="s">
        <v>425</v>
      </c>
    </row>
    <row r="9548" spans="1:2" x14ac:dyDescent="0.25">
      <c r="A9548" t="s">
        <v>552</v>
      </c>
      <c r="B9548" t="s">
        <v>552</v>
      </c>
    </row>
    <row r="9549" spans="1:2" x14ac:dyDescent="0.25">
      <c r="A9549" t="s">
        <v>11422</v>
      </c>
      <c r="B9549" t="s">
        <v>723</v>
      </c>
    </row>
    <row r="9550" spans="1:2" x14ac:dyDescent="0.25">
      <c r="A9550" t="s">
        <v>1488</v>
      </c>
      <c r="B9550" t="s">
        <v>1488</v>
      </c>
    </row>
    <row r="9551" spans="1:2" x14ac:dyDescent="0.25">
      <c r="A9551" t="s">
        <v>11423</v>
      </c>
      <c r="B9551" t="s">
        <v>560</v>
      </c>
    </row>
    <row r="9552" spans="1:2" x14ac:dyDescent="0.25">
      <c r="A9552" t="s">
        <v>560</v>
      </c>
      <c r="B9552" t="s">
        <v>560</v>
      </c>
    </row>
    <row r="9553" spans="1:2" x14ac:dyDescent="0.25">
      <c r="A9553" t="s">
        <v>334</v>
      </c>
      <c r="B9553" t="s">
        <v>333</v>
      </c>
    </row>
    <row r="9554" spans="1:2" x14ac:dyDescent="0.25">
      <c r="A9554" t="s">
        <v>1481</v>
      </c>
      <c r="B9554" t="s">
        <v>1480</v>
      </c>
    </row>
    <row r="9555" spans="1:2" x14ac:dyDescent="0.25">
      <c r="A9555" t="s">
        <v>565</v>
      </c>
      <c r="B9555" t="s">
        <v>564</v>
      </c>
    </row>
    <row r="9556" spans="1:2" x14ac:dyDescent="0.25">
      <c r="A9556" t="s">
        <v>567</v>
      </c>
      <c r="B9556" t="s">
        <v>566</v>
      </c>
    </row>
    <row r="9557" spans="1:2" x14ac:dyDescent="0.25">
      <c r="A9557" t="s">
        <v>11424</v>
      </c>
      <c r="B9557" t="s">
        <v>689</v>
      </c>
    </row>
    <row r="9558" spans="1:2" x14ac:dyDescent="0.25">
      <c r="A9558" t="s">
        <v>11425</v>
      </c>
      <c r="B9558" t="s">
        <v>1488</v>
      </c>
    </row>
    <row r="9559" spans="1:2" x14ac:dyDescent="0.25">
      <c r="A9559" t="s">
        <v>11426</v>
      </c>
      <c r="B9559" t="s">
        <v>199</v>
      </c>
    </row>
    <row r="9560" spans="1:2" x14ac:dyDescent="0.25">
      <c r="A9560" t="s">
        <v>11427</v>
      </c>
      <c r="B9560" t="s">
        <v>435</v>
      </c>
    </row>
    <row r="9561" spans="1:2" x14ac:dyDescent="0.25">
      <c r="A9561" t="s">
        <v>11428</v>
      </c>
      <c r="B9561" t="s">
        <v>425</v>
      </c>
    </row>
    <row r="9562" spans="1:2" x14ac:dyDescent="0.25">
      <c r="A9562" t="s">
        <v>11429</v>
      </c>
      <c r="B9562" t="s">
        <v>1869</v>
      </c>
    </row>
    <row r="9563" spans="1:2" x14ac:dyDescent="0.25">
      <c r="A9563" t="s">
        <v>564</v>
      </c>
      <c r="B9563" t="s">
        <v>564</v>
      </c>
    </row>
    <row r="9564" spans="1:2" x14ac:dyDescent="0.25">
      <c r="A9564" t="s">
        <v>566</v>
      </c>
      <c r="B9564" t="s">
        <v>566</v>
      </c>
    </row>
    <row r="9565" spans="1:2" x14ac:dyDescent="0.25">
      <c r="A9565" t="s">
        <v>550</v>
      </c>
      <c r="B9565" t="s">
        <v>550</v>
      </c>
    </row>
    <row r="9566" spans="1:2" x14ac:dyDescent="0.25">
      <c r="A9566" t="s">
        <v>558</v>
      </c>
      <c r="B9566" t="s">
        <v>558</v>
      </c>
    </row>
    <row r="9567" spans="1:2" x14ac:dyDescent="0.25">
      <c r="A9567" t="s">
        <v>11430</v>
      </c>
      <c r="B9567" t="s">
        <v>368</v>
      </c>
    </row>
    <row r="9568" spans="1:2" x14ac:dyDescent="0.25">
      <c r="A9568" t="s">
        <v>11431</v>
      </c>
      <c r="B9568" t="s">
        <v>1445</v>
      </c>
    </row>
    <row r="9569" spans="1:2" x14ac:dyDescent="0.25">
      <c r="A9569" t="s">
        <v>1484</v>
      </c>
      <c r="B9569" t="s">
        <v>1484</v>
      </c>
    </row>
    <row r="9570" spans="1:2" x14ac:dyDescent="0.25">
      <c r="A9570" t="s">
        <v>11432</v>
      </c>
      <c r="B9570" t="s">
        <v>1476</v>
      </c>
    </row>
    <row r="9571" spans="1:2" x14ac:dyDescent="0.25">
      <c r="A9571" t="s">
        <v>536</v>
      </c>
      <c r="B9571" t="s">
        <v>536</v>
      </c>
    </row>
    <row r="9572" spans="1:2" x14ac:dyDescent="0.25">
      <c r="A9572" t="s">
        <v>538</v>
      </c>
      <c r="B9572" t="s">
        <v>538</v>
      </c>
    </row>
    <row r="9573" spans="1:2" x14ac:dyDescent="0.25">
      <c r="A9573" t="s">
        <v>11433</v>
      </c>
      <c r="B9573" t="s">
        <v>689</v>
      </c>
    </row>
    <row r="9574" spans="1:2" x14ac:dyDescent="0.25">
      <c r="A9574" t="s">
        <v>11434</v>
      </c>
      <c r="B9574" t="s">
        <v>1223</v>
      </c>
    </row>
    <row r="9575" spans="1:2" x14ac:dyDescent="0.25">
      <c r="A9575" t="s">
        <v>11435</v>
      </c>
      <c r="B9575" t="s">
        <v>230</v>
      </c>
    </row>
    <row r="9576" spans="1:2" x14ac:dyDescent="0.25">
      <c r="A9576" t="s">
        <v>534</v>
      </c>
      <c r="B9576" t="s">
        <v>534</v>
      </c>
    </row>
    <row r="9577" spans="1:2" x14ac:dyDescent="0.25">
      <c r="A9577" t="s">
        <v>11436</v>
      </c>
      <c r="B9577" t="s">
        <v>9885</v>
      </c>
    </row>
    <row r="9578" spans="1:2" x14ac:dyDescent="0.25">
      <c r="A9578" t="s">
        <v>539</v>
      </c>
      <c r="B9578" t="s">
        <v>538</v>
      </c>
    </row>
    <row r="9579" spans="1:2" x14ac:dyDescent="0.25">
      <c r="A9579" t="s">
        <v>537</v>
      </c>
      <c r="B9579" t="s">
        <v>536</v>
      </c>
    </row>
    <row r="9580" spans="1:2" x14ac:dyDescent="0.25">
      <c r="A9580" t="s">
        <v>535</v>
      </c>
      <c r="B9580" t="s">
        <v>534</v>
      </c>
    </row>
    <row r="9581" spans="1:2" x14ac:dyDescent="0.25">
      <c r="A9581" t="s">
        <v>1477</v>
      </c>
      <c r="B9581" t="s">
        <v>1476</v>
      </c>
    </row>
    <row r="9582" spans="1:2" x14ac:dyDescent="0.25">
      <c r="A9582" t="s">
        <v>1489</v>
      </c>
      <c r="B9582" t="s">
        <v>1488</v>
      </c>
    </row>
    <row r="9583" spans="1:2" x14ac:dyDescent="0.25">
      <c r="A9583" t="s">
        <v>559</v>
      </c>
      <c r="B9583" t="s">
        <v>558</v>
      </c>
    </row>
    <row r="9584" spans="1:2" x14ac:dyDescent="0.25">
      <c r="A9584" t="s">
        <v>551</v>
      </c>
      <c r="B9584" t="s">
        <v>550</v>
      </c>
    </row>
    <row r="9585" spans="1:2" x14ac:dyDescent="0.25">
      <c r="A9585" t="s">
        <v>555</v>
      </c>
      <c r="B9585" t="s">
        <v>554</v>
      </c>
    </row>
    <row r="9586" spans="1:2" x14ac:dyDescent="0.25">
      <c r="A9586" t="s">
        <v>1485</v>
      </c>
      <c r="B9586" t="s">
        <v>1484</v>
      </c>
    </row>
    <row r="9587" spans="1:2" x14ac:dyDescent="0.25">
      <c r="A9587" t="s">
        <v>11437</v>
      </c>
      <c r="B9587" t="s">
        <v>11438</v>
      </c>
    </row>
    <row r="9588" spans="1:2" x14ac:dyDescent="0.25">
      <c r="A9588" t="s">
        <v>11439</v>
      </c>
      <c r="B9588" t="s">
        <v>11440</v>
      </c>
    </row>
    <row r="9589" spans="1:2" x14ac:dyDescent="0.25">
      <c r="A9589" t="s">
        <v>11441</v>
      </c>
      <c r="B9589" t="s">
        <v>9882</v>
      </c>
    </row>
    <row r="9590" spans="1:2" x14ac:dyDescent="0.25">
      <c r="A9590" t="s">
        <v>11442</v>
      </c>
      <c r="B9590" t="s">
        <v>9879</v>
      </c>
    </row>
    <row r="9591" spans="1:2" x14ac:dyDescent="0.25">
      <c r="A9591" t="s">
        <v>11443</v>
      </c>
      <c r="B9591" t="s">
        <v>11444</v>
      </c>
    </row>
    <row r="9592" spans="1:2" x14ac:dyDescent="0.25">
      <c r="A9592" t="s">
        <v>11445</v>
      </c>
      <c r="B9592" t="s">
        <v>1508</v>
      </c>
    </row>
    <row r="9593" spans="1:2" x14ac:dyDescent="0.25">
      <c r="A9593" t="s">
        <v>11446</v>
      </c>
      <c r="B9593" t="s">
        <v>534</v>
      </c>
    </row>
    <row r="9594" spans="1:2" x14ac:dyDescent="0.25">
      <c r="A9594" t="s">
        <v>11447</v>
      </c>
      <c r="B9594" t="s">
        <v>536</v>
      </c>
    </row>
    <row r="9595" spans="1:2" x14ac:dyDescent="0.25">
      <c r="A9595" t="s">
        <v>554</v>
      </c>
      <c r="B9595" t="s">
        <v>554</v>
      </c>
    </row>
    <row r="9596" spans="1:2" x14ac:dyDescent="0.25">
      <c r="A9596" t="s">
        <v>1480</v>
      </c>
      <c r="B9596" t="s">
        <v>1480</v>
      </c>
    </row>
    <row r="9597" spans="1:2" x14ac:dyDescent="0.25">
      <c r="A9597" t="s">
        <v>3394</v>
      </c>
      <c r="B9597" t="s">
        <v>3394</v>
      </c>
    </row>
    <row r="9598" spans="1:2" x14ac:dyDescent="0.25">
      <c r="A9598" t="s">
        <v>11448</v>
      </c>
      <c r="B9598" t="s">
        <v>11449</v>
      </c>
    </row>
    <row r="9599" spans="1:2" x14ac:dyDescent="0.25">
      <c r="A9599" t="s">
        <v>11450</v>
      </c>
      <c r="B9599" t="s">
        <v>1379</v>
      </c>
    </row>
    <row r="9600" spans="1:2" x14ac:dyDescent="0.25">
      <c r="A9600" t="s">
        <v>11451</v>
      </c>
      <c r="B9600" t="s">
        <v>1472</v>
      </c>
    </row>
    <row r="9601" spans="1:2" x14ac:dyDescent="0.25">
      <c r="A9601" t="s">
        <v>11452</v>
      </c>
      <c r="B9601" t="s">
        <v>164</v>
      </c>
    </row>
    <row r="9602" spans="1:2" x14ac:dyDescent="0.25">
      <c r="A9602" t="s">
        <v>3038</v>
      </c>
      <c r="B9602" t="s">
        <v>3038</v>
      </c>
    </row>
    <row r="9603" spans="1:2" x14ac:dyDescent="0.25">
      <c r="A9603" t="s">
        <v>11453</v>
      </c>
      <c r="B9603" t="s">
        <v>11454</v>
      </c>
    </row>
    <row r="9604" spans="1:2" x14ac:dyDescent="0.25">
      <c r="A9604" t="s">
        <v>1757</v>
      </c>
      <c r="B9604" t="s">
        <v>1756</v>
      </c>
    </row>
    <row r="9605" spans="1:2" x14ac:dyDescent="0.25">
      <c r="A9605" t="s">
        <v>11455</v>
      </c>
      <c r="B9605" t="s">
        <v>271</v>
      </c>
    </row>
    <row r="9606" spans="1:2" x14ac:dyDescent="0.25">
      <c r="A9606" t="s">
        <v>1454</v>
      </c>
      <c r="B9606" t="s">
        <v>1453</v>
      </c>
    </row>
    <row r="9607" spans="1:2" x14ac:dyDescent="0.25">
      <c r="A9607" t="s">
        <v>561</v>
      </c>
      <c r="B9607" t="s">
        <v>560</v>
      </c>
    </row>
    <row r="9608" spans="1:2" x14ac:dyDescent="0.25">
      <c r="A9608" t="s">
        <v>326</v>
      </c>
      <c r="B9608" t="s">
        <v>325</v>
      </c>
    </row>
    <row r="9609" spans="1:2" x14ac:dyDescent="0.25">
      <c r="A9609" t="s">
        <v>11456</v>
      </c>
      <c r="B9609" t="s">
        <v>560</v>
      </c>
    </row>
    <row r="9610" spans="1:2" x14ac:dyDescent="0.25">
      <c r="A9610" t="s">
        <v>11457</v>
      </c>
      <c r="B9610" t="s">
        <v>1453</v>
      </c>
    </row>
    <row r="9611" spans="1:2" x14ac:dyDescent="0.25">
      <c r="A9611" t="s">
        <v>1394</v>
      </c>
      <c r="B9611" t="s">
        <v>1393</v>
      </c>
    </row>
    <row r="9612" spans="1:2" x14ac:dyDescent="0.25">
      <c r="A9612" t="s">
        <v>1446</v>
      </c>
      <c r="B9612" t="s">
        <v>1445</v>
      </c>
    </row>
    <row r="9613" spans="1:2" x14ac:dyDescent="0.25">
      <c r="A9613" t="s">
        <v>557</v>
      </c>
      <c r="B9613" t="s">
        <v>556</v>
      </c>
    </row>
    <row r="9614" spans="1:2" x14ac:dyDescent="0.25">
      <c r="A9614" t="s">
        <v>553</v>
      </c>
      <c r="B9614" t="s">
        <v>552</v>
      </c>
    </row>
    <row r="9615" spans="1:2" x14ac:dyDescent="0.25">
      <c r="A9615" t="s">
        <v>11458</v>
      </c>
      <c r="B9615" t="s">
        <v>689</v>
      </c>
    </row>
    <row r="9616" spans="1:2" x14ac:dyDescent="0.25">
      <c r="A9616" t="s">
        <v>11459</v>
      </c>
      <c r="B9616" t="s">
        <v>11460</v>
      </c>
    </row>
    <row r="9617" spans="1:2" x14ac:dyDescent="0.25">
      <c r="A9617" t="s">
        <v>3039</v>
      </c>
      <c r="B9617" t="s">
        <v>3039</v>
      </c>
    </row>
    <row r="9618" spans="1:2" x14ac:dyDescent="0.25">
      <c r="A9618" t="s">
        <v>3040</v>
      </c>
      <c r="B9618" t="s">
        <v>3040</v>
      </c>
    </row>
    <row r="9619" spans="1:2" x14ac:dyDescent="0.25">
      <c r="A9619" t="s">
        <v>3346</v>
      </c>
      <c r="B9619" t="s">
        <v>3346</v>
      </c>
    </row>
    <row r="9620" spans="1:2" x14ac:dyDescent="0.25">
      <c r="A9620" t="s">
        <v>11461</v>
      </c>
      <c r="B9620" t="s">
        <v>433</v>
      </c>
    </row>
    <row r="9621" spans="1:2" x14ac:dyDescent="0.25">
      <c r="A9621" t="s">
        <v>11462</v>
      </c>
      <c r="B9621" t="s">
        <v>1379</v>
      </c>
    </row>
    <row r="9622" spans="1:2" x14ac:dyDescent="0.25">
      <c r="A9622" t="s">
        <v>11463</v>
      </c>
      <c r="B9622" t="s">
        <v>1379</v>
      </c>
    </row>
    <row r="9623" spans="1:2" x14ac:dyDescent="0.25">
      <c r="A9623" t="s">
        <v>11464</v>
      </c>
      <c r="B9623" t="s">
        <v>514</v>
      </c>
    </row>
    <row r="9624" spans="1:2" x14ac:dyDescent="0.25">
      <c r="A9624" t="s">
        <v>562</v>
      </c>
      <c r="B9624" t="s">
        <v>562</v>
      </c>
    </row>
    <row r="9625" spans="1:2" x14ac:dyDescent="0.25">
      <c r="A9625" t="s">
        <v>11465</v>
      </c>
      <c r="B9625" t="s">
        <v>562</v>
      </c>
    </row>
    <row r="9626" spans="1:2" x14ac:dyDescent="0.25">
      <c r="A9626" t="s">
        <v>11466</v>
      </c>
      <c r="B9626" t="s">
        <v>547</v>
      </c>
    </row>
    <row r="9627" spans="1:2" x14ac:dyDescent="0.25">
      <c r="A9627" t="s">
        <v>11467</v>
      </c>
      <c r="B9627" t="s">
        <v>544</v>
      </c>
    </row>
    <row r="9628" spans="1:2" x14ac:dyDescent="0.25">
      <c r="A9628" t="s">
        <v>11468</v>
      </c>
      <c r="B9628" t="s">
        <v>548</v>
      </c>
    </row>
    <row r="9629" spans="1:2" x14ac:dyDescent="0.25">
      <c r="A9629" t="s">
        <v>11469</v>
      </c>
      <c r="B9629" t="s">
        <v>546</v>
      </c>
    </row>
    <row r="9630" spans="1:2" x14ac:dyDescent="0.25">
      <c r="A9630" t="s">
        <v>11470</v>
      </c>
      <c r="B9630" t="s">
        <v>543</v>
      </c>
    </row>
    <row r="9631" spans="1:2" x14ac:dyDescent="0.25">
      <c r="A9631" t="s">
        <v>11471</v>
      </c>
      <c r="B9631" t="s">
        <v>542</v>
      </c>
    </row>
    <row r="9632" spans="1:2" x14ac:dyDescent="0.25">
      <c r="A9632" t="s">
        <v>11472</v>
      </c>
      <c r="B9632" t="s">
        <v>545</v>
      </c>
    </row>
    <row r="9633" spans="1:2" x14ac:dyDescent="0.25">
      <c r="A9633" t="s">
        <v>11473</v>
      </c>
      <c r="B9633" t="s">
        <v>562</v>
      </c>
    </row>
    <row r="9634" spans="1:2" x14ac:dyDescent="0.25">
      <c r="A9634" t="s">
        <v>11474</v>
      </c>
      <c r="B9634" t="s">
        <v>524</v>
      </c>
    </row>
    <row r="9635" spans="1:2" x14ac:dyDescent="0.25">
      <c r="A9635" t="s">
        <v>11475</v>
      </c>
      <c r="B9635" t="s">
        <v>525</v>
      </c>
    </row>
    <row r="9636" spans="1:2" x14ac:dyDescent="0.25">
      <c r="A9636" t="s">
        <v>11476</v>
      </c>
      <c r="B9636" t="s">
        <v>121</v>
      </c>
    </row>
    <row r="9637" spans="1:2" x14ac:dyDescent="0.25">
      <c r="A9637" t="s">
        <v>11477</v>
      </c>
      <c r="B9637" t="s">
        <v>562</v>
      </c>
    </row>
    <row r="9638" spans="1:2" x14ac:dyDescent="0.25">
      <c r="A9638" t="s">
        <v>11478</v>
      </c>
      <c r="B9638" t="s">
        <v>11479</v>
      </c>
    </row>
    <row r="9639" spans="1:2" x14ac:dyDescent="0.25">
      <c r="A9639" t="s">
        <v>11480</v>
      </c>
      <c r="B9639" t="s">
        <v>525</v>
      </c>
    </row>
    <row r="9640" spans="1:2" x14ac:dyDescent="0.25">
      <c r="A9640" t="s">
        <v>11481</v>
      </c>
      <c r="B9640" t="s">
        <v>11482</v>
      </c>
    </row>
    <row r="9641" spans="1:2" x14ac:dyDescent="0.25">
      <c r="A9641" t="s">
        <v>11483</v>
      </c>
      <c r="B9641" t="s">
        <v>11484</v>
      </c>
    </row>
    <row r="9642" spans="1:2" x14ac:dyDescent="0.25">
      <c r="A9642" t="s">
        <v>11485</v>
      </c>
      <c r="B9642" t="s">
        <v>11486</v>
      </c>
    </row>
    <row r="9643" spans="1:2" x14ac:dyDescent="0.25">
      <c r="A9643" t="s">
        <v>11487</v>
      </c>
      <c r="B9643" t="s">
        <v>11488</v>
      </c>
    </row>
    <row r="9644" spans="1:2" x14ac:dyDescent="0.25">
      <c r="A9644" t="s">
        <v>11489</v>
      </c>
      <c r="B9644" t="s">
        <v>11490</v>
      </c>
    </row>
    <row r="9645" spans="1:2" x14ac:dyDescent="0.25">
      <c r="A9645" t="s">
        <v>11491</v>
      </c>
      <c r="B9645" t="s">
        <v>11492</v>
      </c>
    </row>
    <row r="9646" spans="1:2" x14ac:dyDescent="0.25">
      <c r="A9646" t="s">
        <v>11493</v>
      </c>
      <c r="B9646" t="s">
        <v>11494</v>
      </c>
    </row>
    <row r="9647" spans="1:2" x14ac:dyDescent="0.25">
      <c r="A9647" t="s">
        <v>11495</v>
      </c>
      <c r="B9647" t="s">
        <v>460</v>
      </c>
    </row>
    <row r="9648" spans="1:2" x14ac:dyDescent="0.25">
      <c r="A9648" t="s">
        <v>3041</v>
      </c>
      <c r="B9648" t="s">
        <v>3041</v>
      </c>
    </row>
    <row r="9649" spans="1:2" x14ac:dyDescent="0.25">
      <c r="A9649" t="s">
        <v>11496</v>
      </c>
      <c r="B9649" t="s">
        <v>11497</v>
      </c>
    </row>
    <row r="9650" spans="1:2" x14ac:dyDescent="0.25">
      <c r="A9650" t="s">
        <v>11498</v>
      </c>
      <c r="B9650" t="s">
        <v>11499</v>
      </c>
    </row>
    <row r="9651" spans="1:2" x14ac:dyDescent="0.25">
      <c r="A9651" t="s">
        <v>11500</v>
      </c>
      <c r="B9651" t="s">
        <v>11501</v>
      </c>
    </row>
    <row r="9652" spans="1:2" x14ac:dyDescent="0.25">
      <c r="A9652" t="s">
        <v>11502</v>
      </c>
      <c r="B9652" t="s">
        <v>11503</v>
      </c>
    </row>
    <row r="9653" spans="1:2" x14ac:dyDescent="0.25">
      <c r="A9653" t="s">
        <v>11504</v>
      </c>
      <c r="B9653" t="s">
        <v>11505</v>
      </c>
    </row>
    <row r="9654" spans="1:2" x14ac:dyDescent="0.25">
      <c r="A9654" t="s">
        <v>11506</v>
      </c>
      <c r="B9654" t="s">
        <v>11501</v>
      </c>
    </row>
    <row r="9655" spans="1:2" x14ac:dyDescent="0.25">
      <c r="A9655" t="s">
        <v>11507</v>
      </c>
      <c r="B9655" t="s">
        <v>11503</v>
      </c>
    </row>
    <row r="9656" spans="1:2" x14ac:dyDescent="0.25">
      <c r="A9656" t="s">
        <v>11508</v>
      </c>
      <c r="B9656" t="s">
        <v>11509</v>
      </c>
    </row>
    <row r="9657" spans="1:2" x14ac:dyDescent="0.25">
      <c r="A9657" t="s">
        <v>11510</v>
      </c>
      <c r="B9657" t="s">
        <v>919</v>
      </c>
    </row>
    <row r="9658" spans="1:2" x14ac:dyDescent="0.25">
      <c r="A9658" t="s">
        <v>11511</v>
      </c>
      <c r="B9658" t="s">
        <v>1071</v>
      </c>
    </row>
    <row r="9659" spans="1:2" x14ac:dyDescent="0.25">
      <c r="A9659" t="s">
        <v>11512</v>
      </c>
      <c r="B9659" t="s">
        <v>464</v>
      </c>
    </row>
    <row r="9660" spans="1:2" x14ac:dyDescent="0.25">
      <c r="A9660" t="s">
        <v>11513</v>
      </c>
      <c r="B9660" t="s">
        <v>11514</v>
      </c>
    </row>
    <row r="9661" spans="1:2" x14ac:dyDescent="0.25">
      <c r="A9661" t="s">
        <v>11515</v>
      </c>
      <c r="B9661" t="s">
        <v>11516</v>
      </c>
    </row>
    <row r="9662" spans="1:2" x14ac:dyDescent="0.25">
      <c r="A9662" t="s">
        <v>11517</v>
      </c>
      <c r="B9662" t="s">
        <v>11505</v>
      </c>
    </row>
    <row r="9663" spans="1:2" x14ac:dyDescent="0.25">
      <c r="A9663" t="s">
        <v>11518</v>
      </c>
      <c r="B9663" t="s">
        <v>11516</v>
      </c>
    </row>
    <row r="9664" spans="1:2" x14ac:dyDescent="0.25">
      <c r="A9664" t="s">
        <v>11519</v>
      </c>
      <c r="B9664" t="s">
        <v>11499</v>
      </c>
    </row>
    <row r="9665" spans="1:2" x14ac:dyDescent="0.25">
      <c r="A9665" t="s">
        <v>11520</v>
      </c>
      <c r="B9665" t="s">
        <v>1239</v>
      </c>
    </row>
    <row r="9666" spans="1:2" x14ac:dyDescent="0.25">
      <c r="A9666" t="s">
        <v>3042</v>
      </c>
      <c r="B9666" t="s">
        <v>3042</v>
      </c>
    </row>
    <row r="9667" spans="1:2" x14ac:dyDescent="0.25">
      <c r="A9667" t="s">
        <v>11521</v>
      </c>
      <c r="B9667" t="s">
        <v>89</v>
      </c>
    </row>
    <row r="9668" spans="1:2" x14ac:dyDescent="0.25">
      <c r="A9668" t="s">
        <v>11522</v>
      </c>
      <c r="B9668" t="s">
        <v>97</v>
      </c>
    </row>
    <row r="9669" spans="1:2" x14ac:dyDescent="0.25">
      <c r="A9669" t="s">
        <v>11523</v>
      </c>
      <c r="B9669" t="s">
        <v>11505</v>
      </c>
    </row>
    <row r="9670" spans="1:2" x14ac:dyDescent="0.25">
      <c r="A9670" t="s">
        <v>11524</v>
      </c>
      <c r="B9670" t="s">
        <v>935</v>
      </c>
    </row>
    <row r="9671" spans="1:2" x14ac:dyDescent="0.25">
      <c r="A9671" t="s">
        <v>11525</v>
      </c>
      <c r="B9671" t="s">
        <v>523</v>
      </c>
    </row>
    <row r="9672" spans="1:2" x14ac:dyDescent="0.25">
      <c r="A9672" t="s">
        <v>11526</v>
      </c>
      <c r="B9672" t="s">
        <v>11527</v>
      </c>
    </row>
    <row r="9673" spans="1:2" x14ac:dyDescent="0.25">
      <c r="A9673" t="s">
        <v>11528</v>
      </c>
      <c r="B9673" t="s">
        <v>11482</v>
      </c>
    </row>
    <row r="9674" spans="1:2" x14ac:dyDescent="0.25">
      <c r="A9674" t="s">
        <v>11529</v>
      </c>
      <c r="B9674" t="s">
        <v>11484</v>
      </c>
    </row>
    <row r="9675" spans="1:2" x14ac:dyDescent="0.25">
      <c r="A9675" t="s">
        <v>11530</v>
      </c>
      <c r="B9675" t="s">
        <v>11479</v>
      </c>
    </row>
    <row r="9676" spans="1:2" x14ac:dyDescent="0.25">
      <c r="A9676" t="s">
        <v>11531</v>
      </c>
      <c r="B9676" t="s">
        <v>11490</v>
      </c>
    </row>
    <row r="9677" spans="1:2" x14ac:dyDescent="0.25">
      <c r="A9677" t="s">
        <v>11532</v>
      </c>
      <c r="B9677" t="s">
        <v>11533</v>
      </c>
    </row>
    <row r="9678" spans="1:2" x14ac:dyDescent="0.25">
      <c r="A9678" t="s">
        <v>11534</v>
      </c>
      <c r="B9678" t="s">
        <v>11535</v>
      </c>
    </row>
    <row r="9679" spans="1:2" x14ac:dyDescent="0.25">
      <c r="A9679" t="s">
        <v>11536</v>
      </c>
      <c r="B9679" t="s">
        <v>11516</v>
      </c>
    </row>
    <row r="9680" spans="1:2" x14ac:dyDescent="0.25">
      <c r="A9680" t="s">
        <v>11537</v>
      </c>
      <c r="B9680" t="s">
        <v>11538</v>
      </c>
    </row>
    <row r="9681" spans="1:2" x14ac:dyDescent="0.25">
      <c r="A9681" t="s">
        <v>11539</v>
      </c>
      <c r="B9681" t="s">
        <v>11505</v>
      </c>
    </row>
    <row r="9682" spans="1:2" x14ac:dyDescent="0.25">
      <c r="A9682" t="s">
        <v>11540</v>
      </c>
      <c r="B9682" t="s">
        <v>11503</v>
      </c>
    </row>
    <row r="9683" spans="1:2" x14ac:dyDescent="0.25">
      <c r="A9683" t="s">
        <v>11541</v>
      </c>
      <c r="B9683" t="s">
        <v>11542</v>
      </c>
    </row>
    <row r="9684" spans="1:2" x14ac:dyDescent="0.25">
      <c r="A9684" t="s">
        <v>11543</v>
      </c>
      <c r="B9684" t="s">
        <v>11544</v>
      </c>
    </row>
    <row r="9685" spans="1:2" x14ac:dyDescent="0.25">
      <c r="A9685" t="s">
        <v>11545</v>
      </c>
      <c r="B9685" t="s">
        <v>11546</v>
      </c>
    </row>
    <row r="9686" spans="1:2" x14ac:dyDescent="0.25">
      <c r="A9686" t="s">
        <v>11547</v>
      </c>
      <c r="B9686" t="s">
        <v>11505</v>
      </c>
    </row>
    <row r="9687" spans="1:2" x14ac:dyDescent="0.25">
      <c r="A9687" t="s">
        <v>11548</v>
      </c>
      <c r="B9687" t="s">
        <v>11549</v>
      </c>
    </row>
    <row r="9688" spans="1:2" x14ac:dyDescent="0.25">
      <c r="A9688" t="s">
        <v>11550</v>
      </c>
      <c r="B9688" t="s">
        <v>11501</v>
      </c>
    </row>
    <row r="9689" spans="1:2" x14ac:dyDescent="0.25">
      <c r="A9689" t="s">
        <v>11551</v>
      </c>
      <c r="B9689" t="s">
        <v>11552</v>
      </c>
    </row>
    <row r="9690" spans="1:2" x14ac:dyDescent="0.25">
      <c r="A9690" t="s">
        <v>11553</v>
      </c>
      <c r="B9690" t="s">
        <v>11503</v>
      </c>
    </row>
    <row r="9691" spans="1:2" x14ac:dyDescent="0.25">
      <c r="A9691" t="s">
        <v>11554</v>
      </c>
      <c r="B9691" t="s">
        <v>11509</v>
      </c>
    </row>
    <row r="9692" spans="1:2" x14ac:dyDescent="0.25">
      <c r="A9692" t="s">
        <v>11555</v>
      </c>
      <c r="B9692" t="s">
        <v>11499</v>
      </c>
    </row>
    <row r="9693" spans="1:2" x14ac:dyDescent="0.25">
      <c r="A9693" t="s">
        <v>11556</v>
      </c>
      <c r="B9693" t="s">
        <v>11557</v>
      </c>
    </row>
    <row r="9694" spans="1:2" x14ac:dyDescent="0.25">
      <c r="A9694" t="s">
        <v>11558</v>
      </c>
      <c r="B9694" t="s">
        <v>11516</v>
      </c>
    </row>
    <row r="9695" spans="1:2" x14ac:dyDescent="0.25">
      <c r="A9695" t="s">
        <v>523</v>
      </c>
      <c r="B9695" t="s">
        <v>523</v>
      </c>
    </row>
    <row r="9696" spans="1:2" x14ac:dyDescent="0.25">
      <c r="A9696" t="s">
        <v>11559</v>
      </c>
      <c r="B9696" t="s">
        <v>11546</v>
      </c>
    </row>
    <row r="9697" spans="1:2" x14ac:dyDescent="0.25">
      <c r="A9697" t="s">
        <v>11560</v>
      </c>
      <c r="B9697" t="s">
        <v>11561</v>
      </c>
    </row>
    <row r="9698" spans="1:2" x14ac:dyDescent="0.25">
      <c r="A9698" t="s">
        <v>11562</v>
      </c>
      <c r="B9698" t="s">
        <v>11544</v>
      </c>
    </row>
    <row r="9699" spans="1:2" x14ac:dyDescent="0.25">
      <c r="A9699" t="s">
        <v>11563</v>
      </c>
      <c r="B9699" t="s">
        <v>11564</v>
      </c>
    </row>
    <row r="9700" spans="1:2" x14ac:dyDescent="0.25">
      <c r="A9700" t="s">
        <v>11565</v>
      </c>
      <c r="B9700" t="s">
        <v>11566</v>
      </c>
    </row>
    <row r="9701" spans="1:2" x14ac:dyDescent="0.25">
      <c r="A9701" t="s">
        <v>11567</v>
      </c>
      <c r="B9701" s="9" t="s">
        <v>550</v>
      </c>
    </row>
    <row r="9702" spans="1:2" x14ac:dyDescent="0.25">
      <c r="A9702" t="s">
        <v>3043</v>
      </c>
      <c r="B9702" t="s">
        <v>3043</v>
      </c>
    </row>
    <row r="9703" spans="1:2" x14ac:dyDescent="0.25">
      <c r="A9703" t="s">
        <v>11568</v>
      </c>
      <c r="B9703" t="s">
        <v>11569</v>
      </c>
    </row>
    <row r="9704" spans="1:2" x14ac:dyDescent="0.25">
      <c r="A9704" t="s">
        <v>11570</v>
      </c>
      <c r="B9704" t="s">
        <v>11571</v>
      </c>
    </row>
    <row r="9705" spans="1:2" x14ac:dyDescent="0.25">
      <c r="A9705" t="s">
        <v>11572</v>
      </c>
      <c r="B9705" t="s">
        <v>11564</v>
      </c>
    </row>
    <row r="9706" spans="1:2" x14ac:dyDescent="0.25">
      <c r="A9706" t="s">
        <v>11573</v>
      </c>
      <c r="B9706" t="s">
        <v>11574</v>
      </c>
    </row>
    <row r="9707" spans="1:2" x14ac:dyDescent="0.25">
      <c r="A9707" t="s">
        <v>11575</v>
      </c>
      <c r="B9707" t="s">
        <v>11576</v>
      </c>
    </row>
    <row r="9708" spans="1:2" x14ac:dyDescent="0.25">
      <c r="A9708" t="s">
        <v>11577</v>
      </c>
      <c r="B9708" t="s">
        <v>550</v>
      </c>
    </row>
    <row r="9709" spans="1:2" x14ac:dyDescent="0.25">
      <c r="A9709" t="s">
        <v>3044</v>
      </c>
      <c r="B9709" t="s">
        <v>3044</v>
      </c>
    </row>
    <row r="9710" spans="1:2" x14ac:dyDescent="0.25">
      <c r="A9710" t="s">
        <v>11578</v>
      </c>
      <c r="B9710" t="s">
        <v>11571</v>
      </c>
    </row>
    <row r="9711" spans="1:2" x14ac:dyDescent="0.25">
      <c r="A9711" t="s">
        <v>524</v>
      </c>
      <c r="B9711" t="s">
        <v>524</v>
      </c>
    </row>
    <row r="9712" spans="1:2" x14ac:dyDescent="0.25">
      <c r="A9712" t="s">
        <v>11579</v>
      </c>
      <c r="B9712" t="s">
        <v>11580</v>
      </c>
    </row>
    <row r="9713" spans="1:2" x14ac:dyDescent="0.25">
      <c r="A9713" t="s">
        <v>11581</v>
      </c>
      <c r="B9713" t="s">
        <v>11582</v>
      </c>
    </row>
    <row r="9714" spans="1:2" x14ac:dyDescent="0.25">
      <c r="A9714" t="s">
        <v>11583</v>
      </c>
      <c r="B9714" t="s">
        <v>11501</v>
      </c>
    </row>
    <row r="9715" spans="1:2" x14ac:dyDescent="0.25">
      <c r="A9715" t="s">
        <v>11584</v>
      </c>
      <c r="B9715" t="s">
        <v>11546</v>
      </c>
    </row>
    <row r="9716" spans="1:2" x14ac:dyDescent="0.25">
      <c r="A9716" t="s">
        <v>11585</v>
      </c>
      <c r="B9716" t="s">
        <v>11486</v>
      </c>
    </row>
    <row r="9717" spans="1:2" x14ac:dyDescent="0.25">
      <c r="A9717" t="s">
        <v>11586</v>
      </c>
      <c r="B9717" t="s">
        <v>413</v>
      </c>
    </row>
    <row r="9718" spans="1:2" x14ac:dyDescent="0.25">
      <c r="A9718" t="s">
        <v>11587</v>
      </c>
      <c r="B9718" t="s">
        <v>421</v>
      </c>
    </row>
    <row r="9719" spans="1:2" x14ac:dyDescent="0.25">
      <c r="A9719" t="s">
        <v>11588</v>
      </c>
      <c r="B9719" t="s">
        <v>9560</v>
      </c>
    </row>
    <row r="9720" spans="1:2" x14ac:dyDescent="0.25">
      <c r="A9720" t="s">
        <v>11589</v>
      </c>
      <c r="B9720" t="s">
        <v>9552</v>
      </c>
    </row>
    <row r="9721" spans="1:2" x14ac:dyDescent="0.25">
      <c r="A9721" t="s">
        <v>11590</v>
      </c>
      <c r="B9721" t="s">
        <v>9557</v>
      </c>
    </row>
    <row r="9722" spans="1:2" x14ac:dyDescent="0.25">
      <c r="A9722" t="s">
        <v>11591</v>
      </c>
      <c r="B9722" t="s">
        <v>11505</v>
      </c>
    </row>
    <row r="9723" spans="1:2" x14ac:dyDescent="0.25">
      <c r="A9723" t="s">
        <v>11592</v>
      </c>
      <c r="B9723" t="s">
        <v>11574</v>
      </c>
    </row>
    <row r="9724" spans="1:2" x14ac:dyDescent="0.25">
      <c r="A9724" t="s">
        <v>11593</v>
      </c>
      <c r="B9724" t="s">
        <v>11546</v>
      </c>
    </row>
    <row r="9725" spans="1:2" x14ac:dyDescent="0.25">
      <c r="A9725" t="s">
        <v>11594</v>
      </c>
      <c r="B9725" t="s">
        <v>11561</v>
      </c>
    </row>
    <row r="9726" spans="1:2" x14ac:dyDescent="0.25">
      <c r="A9726" t="s">
        <v>11595</v>
      </c>
      <c r="B9726" t="s">
        <v>11569</v>
      </c>
    </row>
    <row r="9727" spans="1:2" x14ac:dyDescent="0.25">
      <c r="A9727" t="s">
        <v>11596</v>
      </c>
      <c r="B9727" t="s">
        <v>11564</v>
      </c>
    </row>
    <row r="9728" spans="1:2" x14ac:dyDescent="0.25">
      <c r="A9728" t="s">
        <v>11597</v>
      </c>
      <c r="B9728" t="s">
        <v>11574</v>
      </c>
    </row>
    <row r="9729" spans="1:2" x14ac:dyDescent="0.25">
      <c r="A9729" t="s">
        <v>11598</v>
      </c>
      <c r="B9729" t="s">
        <v>11544</v>
      </c>
    </row>
    <row r="9730" spans="1:2" x14ac:dyDescent="0.25">
      <c r="A9730" t="s">
        <v>11599</v>
      </c>
      <c r="B9730" t="s">
        <v>11503</v>
      </c>
    </row>
    <row r="9731" spans="1:2" x14ac:dyDescent="0.25">
      <c r="A9731" t="s">
        <v>11600</v>
      </c>
      <c r="B9731" t="s">
        <v>11516</v>
      </c>
    </row>
    <row r="9732" spans="1:2" x14ac:dyDescent="0.25">
      <c r="A9732" t="s">
        <v>11601</v>
      </c>
      <c r="B9732" t="s">
        <v>11571</v>
      </c>
    </row>
    <row r="9733" spans="1:2" x14ac:dyDescent="0.25">
      <c r="A9733" t="s">
        <v>11602</v>
      </c>
      <c r="B9733" t="s">
        <v>11569</v>
      </c>
    </row>
    <row r="9734" spans="1:2" x14ac:dyDescent="0.25">
      <c r="A9734" t="s">
        <v>11603</v>
      </c>
      <c r="B9734" t="s">
        <v>11549</v>
      </c>
    </row>
    <row r="9735" spans="1:2" x14ac:dyDescent="0.25">
      <c r="A9735" t="s">
        <v>11604</v>
      </c>
      <c r="B9735" t="s">
        <v>11499</v>
      </c>
    </row>
    <row r="9736" spans="1:2" x14ac:dyDescent="0.25">
      <c r="A9736" t="s">
        <v>11605</v>
      </c>
      <c r="B9736" t="s">
        <v>11542</v>
      </c>
    </row>
    <row r="9737" spans="1:2" x14ac:dyDescent="0.25">
      <c r="A9737" t="s">
        <v>11606</v>
      </c>
      <c r="B9737" t="s">
        <v>11509</v>
      </c>
    </row>
    <row r="9738" spans="1:2" x14ac:dyDescent="0.25">
      <c r="A9738" t="s">
        <v>11607</v>
      </c>
      <c r="B9738" t="s">
        <v>11552</v>
      </c>
    </row>
    <row r="9739" spans="1:2" x14ac:dyDescent="0.25">
      <c r="A9739" t="s">
        <v>11608</v>
      </c>
      <c r="B9739" t="s">
        <v>11557</v>
      </c>
    </row>
    <row r="9740" spans="1:2" x14ac:dyDescent="0.25">
      <c r="A9740" t="s">
        <v>11609</v>
      </c>
      <c r="B9740" t="s">
        <v>11610</v>
      </c>
    </row>
    <row r="9741" spans="1:2" x14ac:dyDescent="0.25">
      <c r="A9741" t="s">
        <v>11611</v>
      </c>
      <c r="B9741" t="s">
        <v>11580</v>
      </c>
    </row>
    <row r="9742" spans="1:2" x14ac:dyDescent="0.25">
      <c r="A9742" t="s">
        <v>11612</v>
      </c>
      <c r="B9742" t="s">
        <v>11610</v>
      </c>
    </row>
    <row r="9743" spans="1:2" x14ac:dyDescent="0.25">
      <c r="A9743" t="s">
        <v>11613</v>
      </c>
      <c r="B9743" t="s">
        <v>11561</v>
      </c>
    </row>
    <row r="9744" spans="1:2" x14ac:dyDescent="0.25">
      <c r="A9744" t="s">
        <v>11614</v>
      </c>
      <c r="B9744" t="s">
        <v>11501</v>
      </c>
    </row>
    <row r="9745" spans="1:2" x14ac:dyDescent="0.25">
      <c r="A9745" t="s">
        <v>11615</v>
      </c>
      <c r="B9745" t="s">
        <v>11538</v>
      </c>
    </row>
    <row r="9746" spans="1:2" x14ac:dyDescent="0.25">
      <c r="A9746" t="s">
        <v>11616</v>
      </c>
      <c r="B9746" t="s">
        <v>11482</v>
      </c>
    </row>
    <row r="9747" spans="1:2" x14ac:dyDescent="0.25">
      <c r="A9747" t="s">
        <v>11617</v>
      </c>
      <c r="B9747" t="s">
        <v>11479</v>
      </c>
    </row>
    <row r="9748" spans="1:2" x14ac:dyDescent="0.25">
      <c r="A9748" t="s">
        <v>11618</v>
      </c>
      <c r="B9748" t="s">
        <v>11533</v>
      </c>
    </row>
    <row r="9749" spans="1:2" x14ac:dyDescent="0.25">
      <c r="A9749" t="s">
        <v>11619</v>
      </c>
      <c r="B9749" t="s">
        <v>11484</v>
      </c>
    </row>
    <row r="9750" spans="1:2" x14ac:dyDescent="0.25">
      <c r="A9750" t="s">
        <v>11620</v>
      </c>
      <c r="B9750" t="s">
        <v>11490</v>
      </c>
    </row>
    <row r="9751" spans="1:2" x14ac:dyDescent="0.25">
      <c r="A9751" t="s">
        <v>11621</v>
      </c>
      <c r="B9751" t="s">
        <v>11494</v>
      </c>
    </row>
    <row r="9752" spans="1:2" x14ac:dyDescent="0.25">
      <c r="A9752" t="s">
        <v>11622</v>
      </c>
      <c r="B9752" t="s">
        <v>11486</v>
      </c>
    </row>
    <row r="9753" spans="1:2" x14ac:dyDescent="0.25">
      <c r="A9753" t="s">
        <v>11623</v>
      </c>
      <c r="B9753" t="s">
        <v>11486</v>
      </c>
    </row>
    <row r="9754" spans="1:2" x14ac:dyDescent="0.25">
      <c r="A9754" t="s">
        <v>11624</v>
      </c>
      <c r="B9754" t="s">
        <v>11494</v>
      </c>
    </row>
    <row r="9755" spans="1:2" x14ac:dyDescent="0.25">
      <c r="A9755" t="s">
        <v>11625</v>
      </c>
      <c r="B9755" t="s">
        <v>11488</v>
      </c>
    </row>
    <row r="9756" spans="1:2" x14ac:dyDescent="0.25">
      <c r="A9756" t="s">
        <v>11626</v>
      </c>
      <c r="B9756" t="s">
        <v>11488</v>
      </c>
    </row>
    <row r="9757" spans="1:2" x14ac:dyDescent="0.25">
      <c r="A9757" t="s">
        <v>11627</v>
      </c>
      <c r="B9757" t="s">
        <v>11492</v>
      </c>
    </row>
    <row r="9758" spans="1:2" x14ac:dyDescent="0.25">
      <c r="A9758" t="s">
        <v>11628</v>
      </c>
      <c r="B9758" t="s">
        <v>11492</v>
      </c>
    </row>
    <row r="9759" spans="1:2" x14ac:dyDescent="0.25">
      <c r="A9759" t="s">
        <v>11629</v>
      </c>
      <c r="B9759" t="s">
        <v>11527</v>
      </c>
    </row>
    <row r="9760" spans="1:2" x14ac:dyDescent="0.25">
      <c r="A9760" t="s">
        <v>525</v>
      </c>
      <c r="B9760" t="s">
        <v>525</v>
      </c>
    </row>
    <row r="9761" spans="1:2" x14ac:dyDescent="0.25">
      <c r="A9761" t="s">
        <v>11630</v>
      </c>
      <c r="B9761" t="s">
        <v>524</v>
      </c>
    </row>
    <row r="9762" spans="1:2" x14ac:dyDescent="0.25">
      <c r="A9762" t="s">
        <v>11631</v>
      </c>
      <c r="B9762" t="s">
        <v>104</v>
      </c>
    </row>
    <row r="9763" spans="1:2" x14ac:dyDescent="0.25">
      <c r="A9763" t="s">
        <v>11632</v>
      </c>
      <c r="B9763" t="s">
        <v>486</v>
      </c>
    </row>
    <row r="9764" spans="1:2" x14ac:dyDescent="0.25">
      <c r="A9764" t="s">
        <v>11633</v>
      </c>
      <c r="B9764" t="s">
        <v>297</v>
      </c>
    </row>
    <row r="9765" spans="1:2" x14ac:dyDescent="0.25">
      <c r="A9765" t="s">
        <v>11634</v>
      </c>
      <c r="B9765" t="s">
        <v>104</v>
      </c>
    </row>
    <row r="9766" spans="1:2" x14ac:dyDescent="0.25">
      <c r="A9766" t="s">
        <v>11635</v>
      </c>
      <c r="B9766" t="s">
        <v>124</v>
      </c>
    </row>
    <row r="9767" spans="1:2" x14ac:dyDescent="0.25">
      <c r="A9767" t="s">
        <v>11636</v>
      </c>
      <c r="B9767" t="s">
        <v>550</v>
      </c>
    </row>
    <row r="9768" spans="1:2" x14ac:dyDescent="0.25">
      <c r="A9768" t="s">
        <v>11637</v>
      </c>
      <c r="B9768" t="s">
        <v>988</v>
      </c>
    </row>
    <row r="9769" spans="1:2" x14ac:dyDescent="0.25">
      <c r="A9769" t="s">
        <v>11638</v>
      </c>
      <c r="B9769" t="s">
        <v>1352</v>
      </c>
    </row>
    <row r="9770" spans="1:2" x14ac:dyDescent="0.25">
      <c r="A9770" t="s">
        <v>11639</v>
      </c>
      <c r="B9770" t="s">
        <v>1389</v>
      </c>
    </row>
    <row r="9771" spans="1:2" x14ac:dyDescent="0.25">
      <c r="A9771" t="s">
        <v>11640</v>
      </c>
      <c r="B9771" t="s">
        <v>1393</v>
      </c>
    </row>
    <row r="9772" spans="1:2" x14ac:dyDescent="0.25">
      <c r="A9772" t="s">
        <v>11641</v>
      </c>
      <c r="B9772" t="s">
        <v>1397</v>
      </c>
    </row>
    <row r="9773" spans="1:2" x14ac:dyDescent="0.25">
      <c r="A9773" t="s">
        <v>11642</v>
      </c>
      <c r="B9773" t="s">
        <v>419</v>
      </c>
    </row>
    <row r="9774" spans="1:2" x14ac:dyDescent="0.25">
      <c r="A9774" t="s">
        <v>11643</v>
      </c>
      <c r="B9774" t="s">
        <v>199</v>
      </c>
    </row>
    <row r="9775" spans="1:2" x14ac:dyDescent="0.25">
      <c r="A9775" t="s">
        <v>11644</v>
      </c>
      <c r="B9775" t="s">
        <v>550</v>
      </c>
    </row>
    <row r="9776" spans="1:2" x14ac:dyDescent="0.25">
      <c r="A9776" t="s">
        <v>3045</v>
      </c>
      <c r="B9776" t="s">
        <v>3045</v>
      </c>
    </row>
    <row r="9777" spans="1:2" x14ac:dyDescent="0.25">
      <c r="A9777" t="s">
        <v>11645</v>
      </c>
      <c r="B9777" t="s">
        <v>1687</v>
      </c>
    </row>
    <row r="9778" spans="1:2" x14ac:dyDescent="0.25">
      <c r="A9778" t="s">
        <v>11646</v>
      </c>
      <c r="B9778" t="s">
        <v>1445</v>
      </c>
    </row>
    <row r="9779" spans="1:2" x14ac:dyDescent="0.25">
      <c r="A9779" t="s">
        <v>11647</v>
      </c>
      <c r="B9779" t="s">
        <v>776</v>
      </c>
    </row>
    <row r="9780" spans="1:2" x14ac:dyDescent="0.25">
      <c r="A9780" t="s">
        <v>11648</v>
      </c>
      <c r="B9780" t="s">
        <v>9559</v>
      </c>
    </row>
    <row r="9781" spans="1:2" x14ac:dyDescent="0.25">
      <c r="A9781" t="s">
        <v>11649</v>
      </c>
      <c r="B9781" t="s">
        <v>9552</v>
      </c>
    </row>
    <row r="9782" spans="1:2" x14ac:dyDescent="0.25">
      <c r="A9782" t="s">
        <v>11650</v>
      </c>
      <c r="B9782" t="s">
        <v>419</v>
      </c>
    </row>
    <row r="9783" spans="1:2" x14ac:dyDescent="0.25">
      <c r="A9783" t="s">
        <v>3046</v>
      </c>
      <c r="B9783" t="s">
        <v>3046</v>
      </c>
    </row>
    <row r="9784" spans="1:2" x14ac:dyDescent="0.25">
      <c r="A9784" t="s">
        <v>445</v>
      </c>
      <c r="B9784" t="s">
        <v>444</v>
      </c>
    </row>
    <row r="9785" spans="1:2" x14ac:dyDescent="0.25">
      <c r="A9785" t="s">
        <v>11651</v>
      </c>
      <c r="B9785" t="s">
        <v>9559</v>
      </c>
    </row>
    <row r="9786" spans="1:2" x14ac:dyDescent="0.25">
      <c r="A9786" t="s">
        <v>11652</v>
      </c>
      <c r="B9786" t="s">
        <v>9552</v>
      </c>
    </row>
    <row r="9787" spans="1:2" x14ac:dyDescent="0.25">
      <c r="A9787" t="s">
        <v>11653</v>
      </c>
      <c r="B9787" t="s">
        <v>512</v>
      </c>
    </row>
    <row r="9788" spans="1:2" x14ac:dyDescent="0.25">
      <c r="A9788" t="s">
        <v>11654</v>
      </c>
      <c r="B9788" t="s">
        <v>1472</v>
      </c>
    </row>
    <row r="9789" spans="1:2" x14ac:dyDescent="0.25">
      <c r="A9789" t="s">
        <v>11655</v>
      </c>
      <c r="B9789" t="s">
        <v>10935</v>
      </c>
    </row>
    <row r="9790" spans="1:2" x14ac:dyDescent="0.25">
      <c r="A9790" t="s">
        <v>11656</v>
      </c>
      <c r="B9790" t="s">
        <v>11657</v>
      </c>
    </row>
    <row r="9791" spans="1:2" x14ac:dyDescent="0.25">
      <c r="A9791" t="s">
        <v>3056</v>
      </c>
      <c r="B9791" t="s">
        <v>3056</v>
      </c>
    </row>
    <row r="9792" spans="1:2" x14ac:dyDescent="0.25">
      <c r="A9792" t="s">
        <v>11658</v>
      </c>
      <c r="B9792" t="s">
        <v>492</v>
      </c>
    </row>
    <row r="9793" spans="1:2" x14ac:dyDescent="0.25">
      <c r="A9793" t="s">
        <v>572</v>
      </c>
      <c r="B9793" t="s">
        <v>572</v>
      </c>
    </row>
    <row r="9794" spans="1:2" x14ac:dyDescent="0.25">
      <c r="A9794" t="s">
        <v>11659</v>
      </c>
      <c r="B9794" t="s">
        <v>354</v>
      </c>
    </row>
    <row r="9795" spans="1:2" x14ac:dyDescent="0.25">
      <c r="A9795" t="s">
        <v>11660</v>
      </c>
      <c r="B9795" t="s">
        <v>569</v>
      </c>
    </row>
    <row r="9796" spans="1:2" x14ac:dyDescent="0.25">
      <c r="A9796" t="s">
        <v>11661</v>
      </c>
      <c r="B9796" t="s">
        <v>549</v>
      </c>
    </row>
    <row r="9797" spans="1:2" x14ac:dyDescent="0.25">
      <c r="A9797" t="s">
        <v>3047</v>
      </c>
      <c r="B9797" t="s">
        <v>3047</v>
      </c>
    </row>
    <row r="9798" spans="1:2" x14ac:dyDescent="0.25">
      <c r="A9798" t="s">
        <v>3048</v>
      </c>
      <c r="B9798" t="s">
        <v>3048</v>
      </c>
    </row>
    <row r="9799" spans="1:2" x14ac:dyDescent="0.25">
      <c r="A9799" t="s">
        <v>11662</v>
      </c>
      <c r="B9799" t="s">
        <v>1363</v>
      </c>
    </row>
    <row r="9800" spans="1:2" x14ac:dyDescent="0.25">
      <c r="A9800" t="s">
        <v>11663</v>
      </c>
      <c r="B9800" t="s">
        <v>1367</v>
      </c>
    </row>
    <row r="9801" spans="1:2" x14ac:dyDescent="0.25">
      <c r="A9801" t="s">
        <v>11664</v>
      </c>
      <c r="B9801" t="s">
        <v>1457</v>
      </c>
    </row>
    <row r="9802" spans="1:2" x14ac:dyDescent="0.25">
      <c r="A9802" t="s">
        <v>3395</v>
      </c>
      <c r="B9802" t="s">
        <v>3395</v>
      </c>
    </row>
    <row r="9803" spans="1:2" x14ac:dyDescent="0.25">
      <c r="A9803" t="s">
        <v>574</v>
      </c>
      <c r="B9803" t="s">
        <v>574</v>
      </c>
    </row>
    <row r="9804" spans="1:2" x14ac:dyDescent="0.25">
      <c r="A9804" t="s">
        <v>11665</v>
      </c>
      <c r="B9804" t="s">
        <v>585</v>
      </c>
    </row>
    <row r="9805" spans="1:2" x14ac:dyDescent="0.25">
      <c r="A9805" t="s">
        <v>11666</v>
      </c>
      <c r="B9805" t="s">
        <v>568</v>
      </c>
    </row>
    <row r="9806" spans="1:2" x14ac:dyDescent="0.25">
      <c r="A9806" t="s">
        <v>11667</v>
      </c>
      <c r="B9806" t="s">
        <v>1193</v>
      </c>
    </row>
    <row r="9807" spans="1:2" x14ac:dyDescent="0.25">
      <c r="A9807" t="s">
        <v>11668</v>
      </c>
      <c r="B9807" t="s">
        <v>1227</v>
      </c>
    </row>
    <row r="9808" spans="1:2" x14ac:dyDescent="0.25">
      <c r="A9808" t="s">
        <v>11669</v>
      </c>
      <c r="B9808" t="s">
        <v>360</v>
      </c>
    </row>
    <row r="9809" spans="1:2" x14ac:dyDescent="0.25">
      <c r="A9809" t="s">
        <v>3049</v>
      </c>
      <c r="B9809" t="s">
        <v>3049</v>
      </c>
    </row>
    <row r="9810" spans="1:2" x14ac:dyDescent="0.25">
      <c r="A9810" t="s">
        <v>3050</v>
      </c>
      <c r="B9810" t="s">
        <v>3050</v>
      </c>
    </row>
    <row r="9811" spans="1:2" x14ac:dyDescent="0.25">
      <c r="A9811" t="s">
        <v>11670</v>
      </c>
      <c r="B9811" t="s">
        <v>550</v>
      </c>
    </row>
    <row r="9812" spans="1:2" x14ac:dyDescent="0.25">
      <c r="A9812" t="s">
        <v>11671</v>
      </c>
      <c r="B9812" t="s">
        <v>574</v>
      </c>
    </row>
    <row r="9813" spans="1:2" x14ac:dyDescent="0.25">
      <c r="A9813" t="s">
        <v>11672</v>
      </c>
      <c r="B9813" t="s">
        <v>572</v>
      </c>
    </row>
    <row r="9814" spans="1:2" x14ac:dyDescent="0.25">
      <c r="A9814" t="s">
        <v>11673</v>
      </c>
      <c r="B9814" t="s">
        <v>569</v>
      </c>
    </row>
    <row r="9815" spans="1:2" x14ac:dyDescent="0.25">
      <c r="A9815" t="s">
        <v>11674</v>
      </c>
      <c r="B9815" t="s">
        <v>193</v>
      </c>
    </row>
    <row r="9816" spans="1:2" x14ac:dyDescent="0.25">
      <c r="A9816" t="s">
        <v>11675</v>
      </c>
      <c r="B9816" t="s">
        <v>1663</v>
      </c>
    </row>
    <row r="9817" spans="1:2" x14ac:dyDescent="0.25">
      <c r="A9817" t="s">
        <v>11676</v>
      </c>
      <c r="B9817" t="s">
        <v>570</v>
      </c>
    </row>
    <row r="9818" spans="1:2" x14ac:dyDescent="0.25">
      <c r="A9818" t="s">
        <v>569</v>
      </c>
      <c r="B9818" t="s">
        <v>569</v>
      </c>
    </row>
    <row r="9819" spans="1:2" x14ac:dyDescent="0.25">
      <c r="A9819" t="s">
        <v>11677</v>
      </c>
      <c r="B9819" t="s">
        <v>569</v>
      </c>
    </row>
    <row r="9820" spans="1:2" x14ac:dyDescent="0.25">
      <c r="A9820" t="s">
        <v>11678</v>
      </c>
      <c r="B9820" t="s">
        <v>1324</v>
      </c>
    </row>
    <row r="9821" spans="1:2" x14ac:dyDescent="0.25">
      <c r="A9821" t="s">
        <v>11679</v>
      </c>
      <c r="B9821" t="s">
        <v>568</v>
      </c>
    </row>
    <row r="9822" spans="1:2" x14ac:dyDescent="0.25">
      <c r="A9822" t="s">
        <v>11680</v>
      </c>
      <c r="B9822" t="s">
        <v>480</v>
      </c>
    </row>
    <row r="9823" spans="1:2" x14ac:dyDescent="0.25">
      <c r="A9823" t="s">
        <v>11681</v>
      </c>
      <c r="B9823" t="s">
        <v>413</v>
      </c>
    </row>
    <row r="9824" spans="1:2" x14ac:dyDescent="0.25">
      <c r="A9824" t="s">
        <v>570</v>
      </c>
      <c r="B9824" t="s">
        <v>570</v>
      </c>
    </row>
    <row r="9825" spans="1:2" x14ac:dyDescent="0.25">
      <c r="A9825" t="s">
        <v>11682</v>
      </c>
      <c r="B9825" t="s">
        <v>569</v>
      </c>
    </row>
    <row r="9826" spans="1:2" x14ac:dyDescent="0.25">
      <c r="A9826" t="s">
        <v>11683</v>
      </c>
      <c r="B9826" t="s">
        <v>569</v>
      </c>
    </row>
    <row r="9827" spans="1:2" x14ac:dyDescent="0.25">
      <c r="A9827" t="s">
        <v>585</v>
      </c>
      <c r="B9827" t="s">
        <v>585</v>
      </c>
    </row>
    <row r="9828" spans="1:2" x14ac:dyDescent="0.25">
      <c r="A9828" t="s">
        <v>11684</v>
      </c>
      <c r="B9828" t="s">
        <v>10933</v>
      </c>
    </row>
    <row r="9829" spans="1:2" x14ac:dyDescent="0.25">
      <c r="A9829" t="s">
        <v>11685</v>
      </c>
      <c r="B9829" t="s">
        <v>11686</v>
      </c>
    </row>
    <row r="9830" spans="1:2" x14ac:dyDescent="0.25">
      <c r="A9830" t="s">
        <v>549</v>
      </c>
      <c r="B9830" t="s">
        <v>549</v>
      </c>
    </row>
    <row r="9831" spans="1:2" x14ac:dyDescent="0.25">
      <c r="A9831" t="s">
        <v>11687</v>
      </c>
      <c r="B9831" t="s">
        <v>216</v>
      </c>
    </row>
    <row r="9832" spans="1:2" x14ac:dyDescent="0.25">
      <c r="A9832" t="s">
        <v>11688</v>
      </c>
      <c r="B9832" t="s">
        <v>176</v>
      </c>
    </row>
    <row r="9833" spans="1:2" x14ac:dyDescent="0.25">
      <c r="A9833" t="s">
        <v>11689</v>
      </c>
      <c r="B9833" t="s">
        <v>10939</v>
      </c>
    </row>
    <row r="9834" spans="1:2" x14ac:dyDescent="0.25">
      <c r="A9834" t="s">
        <v>11690</v>
      </c>
      <c r="B9834" t="s">
        <v>10935</v>
      </c>
    </row>
    <row r="9835" spans="1:2" x14ac:dyDescent="0.25">
      <c r="A9835" t="s">
        <v>11691</v>
      </c>
      <c r="B9835" t="s">
        <v>10935</v>
      </c>
    </row>
    <row r="9836" spans="1:2" x14ac:dyDescent="0.25">
      <c r="A9836" t="s">
        <v>11692</v>
      </c>
      <c r="B9836" t="s">
        <v>10933</v>
      </c>
    </row>
    <row r="9837" spans="1:2" x14ac:dyDescent="0.25">
      <c r="A9837" t="s">
        <v>11693</v>
      </c>
      <c r="B9837" t="s">
        <v>10939</v>
      </c>
    </row>
    <row r="9838" spans="1:2" x14ac:dyDescent="0.25">
      <c r="A9838" t="s">
        <v>11694</v>
      </c>
      <c r="B9838" t="s">
        <v>84</v>
      </c>
    </row>
    <row r="9839" spans="1:2" x14ac:dyDescent="0.25">
      <c r="A9839" t="s">
        <v>11695</v>
      </c>
      <c r="B9839" t="s">
        <v>1457</v>
      </c>
    </row>
    <row r="9840" spans="1:2" x14ac:dyDescent="0.25">
      <c r="A9840" t="s">
        <v>3051</v>
      </c>
      <c r="B9840" t="s">
        <v>3051</v>
      </c>
    </row>
    <row r="9841" spans="1:2" x14ac:dyDescent="0.25">
      <c r="A9841" t="s">
        <v>11696</v>
      </c>
      <c r="B9841" t="s">
        <v>568</v>
      </c>
    </row>
    <row r="9842" spans="1:2" x14ac:dyDescent="0.25">
      <c r="A9842" t="s">
        <v>11697</v>
      </c>
      <c r="B9842" t="s">
        <v>572</v>
      </c>
    </row>
    <row r="9843" spans="1:2" x14ac:dyDescent="0.25">
      <c r="A9843" t="s">
        <v>11698</v>
      </c>
      <c r="B9843" t="s">
        <v>574</v>
      </c>
    </row>
    <row r="9844" spans="1:2" x14ac:dyDescent="0.25">
      <c r="A9844" t="s">
        <v>11699</v>
      </c>
      <c r="B9844" t="s">
        <v>523</v>
      </c>
    </row>
    <row r="9845" spans="1:2" x14ac:dyDescent="0.25">
      <c r="A9845" t="s">
        <v>11700</v>
      </c>
      <c r="B9845" t="s">
        <v>1344</v>
      </c>
    </row>
    <row r="9846" spans="1:2" x14ac:dyDescent="0.25">
      <c r="A9846" t="s">
        <v>11701</v>
      </c>
      <c r="B9846" t="s">
        <v>549</v>
      </c>
    </row>
    <row r="9847" spans="1:2" x14ac:dyDescent="0.25">
      <c r="A9847" t="s">
        <v>11702</v>
      </c>
      <c r="B9847" t="s">
        <v>570</v>
      </c>
    </row>
    <row r="9848" spans="1:2" x14ac:dyDescent="0.25">
      <c r="A9848" t="s">
        <v>11703</v>
      </c>
      <c r="B9848" t="s">
        <v>1157</v>
      </c>
    </row>
    <row r="9849" spans="1:2" x14ac:dyDescent="0.25">
      <c r="A9849" t="s">
        <v>11704</v>
      </c>
      <c r="B9849" t="s">
        <v>585</v>
      </c>
    </row>
    <row r="9850" spans="1:2" x14ac:dyDescent="0.25">
      <c r="A9850" t="s">
        <v>11705</v>
      </c>
      <c r="B9850" t="s">
        <v>841</v>
      </c>
    </row>
    <row r="9851" spans="1:2" x14ac:dyDescent="0.25">
      <c r="A9851" t="s">
        <v>11706</v>
      </c>
      <c r="B9851" t="s">
        <v>704</v>
      </c>
    </row>
    <row r="9852" spans="1:2" x14ac:dyDescent="0.25">
      <c r="A9852" t="s">
        <v>11707</v>
      </c>
      <c r="B9852" t="s">
        <v>157</v>
      </c>
    </row>
    <row r="9853" spans="1:2" x14ac:dyDescent="0.25">
      <c r="A9853" t="s">
        <v>11708</v>
      </c>
      <c r="B9853" t="s">
        <v>1330</v>
      </c>
    </row>
    <row r="9854" spans="1:2" x14ac:dyDescent="0.25">
      <c r="A9854" t="s">
        <v>11709</v>
      </c>
      <c r="B9854" t="s">
        <v>569</v>
      </c>
    </row>
    <row r="9855" spans="1:2" x14ac:dyDescent="0.25">
      <c r="A9855" t="s">
        <v>11710</v>
      </c>
      <c r="B9855" t="s">
        <v>569</v>
      </c>
    </row>
    <row r="9856" spans="1:2" x14ac:dyDescent="0.25">
      <c r="A9856" t="s">
        <v>11711</v>
      </c>
      <c r="B9856" t="s">
        <v>570</v>
      </c>
    </row>
    <row r="9857" spans="1:2" x14ac:dyDescent="0.25">
      <c r="A9857" t="s">
        <v>11712</v>
      </c>
      <c r="B9857" t="s">
        <v>572</v>
      </c>
    </row>
    <row r="9858" spans="1:2" x14ac:dyDescent="0.25">
      <c r="A9858" t="s">
        <v>11713</v>
      </c>
      <c r="B9858" t="s">
        <v>574</v>
      </c>
    </row>
    <row r="9859" spans="1:2" x14ac:dyDescent="0.25">
      <c r="A9859" t="s">
        <v>3052</v>
      </c>
      <c r="B9859" t="s">
        <v>3052</v>
      </c>
    </row>
    <row r="9860" spans="1:2" x14ac:dyDescent="0.25">
      <c r="A9860" t="s">
        <v>3053</v>
      </c>
      <c r="B9860" t="s">
        <v>3053</v>
      </c>
    </row>
    <row r="9861" spans="1:2" x14ac:dyDescent="0.25">
      <c r="A9861" t="s">
        <v>11714</v>
      </c>
      <c r="B9861" t="s">
        <v>11715</v>
      </c>
    </row>
    <row r="9862" spans="1:2" x14ac:dyDescent="0.25">
      <c r="A9862" t="s">
        <v>11716</v>
      </c>
      <c r="B9862" t="s">
        <v>11715</v>
      </c>
    </row>
    <row r="9863" spans="1:2" x14ac:dyDescent="0.25">
      <c r="A9863" t="s">
        <v>11717</v>
      </c>
      <c r="B9863" t="s">
        <v>11715</v>
      </c>
    </row>
    <row r="9864" spans="1:2" x14ac:dyDescent="0.25">
      <c r="A9864" t="s">
        <v>11718</v>
      </c>
      <c r="B9864" t="s">
        <v>11719</v>
      </c>
    </row>
    <row r="9865" spans="1:2" x14ac:dyDescent="0.25">
      <c r="A9865" t="s">
        <v>568</v>
      </c>
      <c r="B9865" t="s">
        <v>568</v>
      </c>
    </row>
    <row r="9866" spans="1:2" x14ac:dyDescent="0.25">
      <c r="A9866" t="s">
        <v>3055</v>
      </c>
      <c r="B9866" t="s">
        <v>3055</v>
      </c>
    </row>
    <row r="9867" spans="1:2" x14ac:dyDescent="0.25">
      <c r="A9867" t="s">
        <v>11720</v>
      </c>
      <c r="B9867" t="s">
        <v>348</v>
      </c>
    </row>
    <row r="9868" spans="1:2" x14ac:dyDescent="0.25">
      <c r="A9868" t="s">
        <v>11721</v>
      </c>
      <c r="B9868" t="s">
        <v>249</v>
      </c>
    </row>
    <row r="9869" spans="1:2" x14ac:dyDescent="0.25">
      <c r="A9869" t="s">
        <v>11722</v>
      </c>
      <c r="B9869" t="s">
        <v>11723</v>
      </c>
    </row>
    <row r="9870" spans="1:2" x14ac:dyDescent="0.25">
      <c r="A9870" t="s">
        <v>11723</v>
      </c>
      <c r="B9870" t="s">
        <v>11723</v>
      </c>
    </row>
    <row r="9871" spans="1:2" x14ac:dyDescent="0.25">
      <c r="A9871" t="s">
        <v>11724</v>
      </c>
      <c r="B9871" t="s">
        <v>1375</v>
      </c>
    </row>
    <row r="9872" spans="1:2" x14ac:dyDescent="0.25">
      <c r="A9872" t="s">
        <v>11725</v>
      </c>
      <c r="B9872" t="s">
        <v>1449</v>
      </c>
    </row>
    <row r="9873" spans="1:2" x14ac:dyDescent="0.25">
      <c r="A9873" t="s">
        <v>11726</v>
      </c>
      <c r="B9873" t="s">
        <v>1445</v>
      </c>
    </row>
    <row r="9874" spans="1:2" x14ac:dyDescent="0.25">
      <c r="A9874" t="s">
        <v>453</v>
      </c>
      <c r="B9874" t="s">
        <v>452</v>
      </c>
    </row>
    <row r="9875" spans="1:2" x14ac:dyDescent="0.25">
      <c r="A9875" t="s">
        <v>11727</v>
      </c>
      <c r="B9875" t="s">
        <v>709</v>
      </c>
    </row>
    <row r="9876" spans="1:2" x14ac:dyDescent="0.25">
      <c r="A9876" t="s">
        <v>11728</v>
      </c>
      <c r="B9876" t="s">
        <v>362</v>
      </c>
    </row>
    <row r="9877" spans="1:2" x14ac:dyDescent="0.25">
      <c r="A9877" t="s">
        <v>11729</v>
      </c>
      <c r="B9877" t="s">
        <v>11730</v>
      </c>
    </row>
    <row r="9878" spans="1:2" x14ac:dyDescent="0.25">
      <c r="A9878" t="s">
        <v>11730</v>
      </c>
      <c r="B9878" t="s">
        <v>11730</v>
      </c>
    </row>
    <row r="9879" spans="1:2" x14ac:dyDescent="0.25">
      <c r="A9879" t="s">
        <v>11731</v>
      </c>
      <c r="B9879" t="s">
        <v>182</v>
      </c>
    </row>
    <row r="9880" spans="1:2" x14ac:dyDescent="0.25">
      <c r="A9880" t="s">
        <v>11732</v>
      </c>
      <c r="B9880" t="s">
        <v>191</v>
      </c>
    </row>
    <row r="9881" spans="1:2" x14ac:dyDescent="0.25">
      <c r="A9881" t="s">
        <v>11733</v>
      </c>
      <c r="B9881" t="s">
        <v>11516</v>
      </c>
    </row>
    <row r="9882" spans="1:2" x14ac:dyDescent="0.25">
      <c r="A9882" t="s">
        <v>11734</v>
      </c>
      <c r="B9882" t="s">
        <v>11735</v>
      </c>
    </row>
    <row r="9883" spans="1:2" x14ac:dyDescent="0.25">
      <c r="A9883" t="s">
        <v>11736</v>
      </c>
      <c r="B9883" t="s">
        <v>11737</v>
      </c>
    </row>
    <row r="9884" spans="1:2" x14ac:dyDescent="0.25">
      <c r="A9884" t="s">
        <v>11738</v>
      </c>
      <c r="B9884" t="s">
        <v>11737</v>
      </c>
    </row>
    <row r="9885" spans="1:2" x14ac:dyDescent="0.25">
      <c r="A9885" t="s">
        <v>11739</v>
      </c>
      <c r="B9885" t="s">
        <v>11740</v>
      </c>
    </row>
    <row r="9886" spans="1:2" x14ac:dyDescent="0.25">
      <c r="A9886" t="s">
        <v>11741</v>
      </c>
      <c r="B9886" t="s">
        <v>509</v>
      </c>
    </row>
    <row r="9887" spans="1:2" x14ac:dyDescent="0.25">
      <c r="A9887" t="s">
        <v>11737</v>
      </c>
      <c r="B9887" t="s">
        <v>11737</v>
      </c>
    </row>
    <row r="9888" spans="1:2" x14ac:dyDescent="0.25">
      <c r="A9888" t="s">
        <v>11740</v>
      </c>
      <c r="B9888" t="s">
        <v>11740</v>
      </c>
    </row>
    <row r="9889" spans="1:2" x14ac:dyDescent="0.25">
      <c r="A9889" t="s">
        <v>11742</v>
      </c>
      <c r="B9889" t="s">
        <v>425</v>
      </c>
    </row>
    <row r="9890" spans="1:2" x14ac:dyDescent="0.25">
      <c r="A9890" t="s">
        <v>11743</v>
      </c>
      <c r="B9890" t="s">
        <v>62</v>
      </c>
    </row>
    <row r="9891" spans="1:2" x14ac:dyDescent="0.25">
      <c r="A9891" t="s">
        <v>3057</v>
      </c>
      <c r="B9891" t="s">
        <v>3057</v>
      </c>
    </row>
    <row r="9892" spans="1:2" x14ac:dyDescent="0.25">
      <c r="A9892" t="s">
        <v>11744</v>
      </c>
      <c r="B9892" t="s">
        <v>89</v>
      </c>
    </row>
    <row r="9893" spans="1:2" x14ac:dyDescent="0.25">
      <c r="A9893" t="s">
        <v>11745</v>
      </c>
      <c r="B9893" t="s">
        <v>509</v>
      </c>
    </row>
    <row r="9894" spans="1:2" x14ac:dyDescent="0.25">
      <c r="A9894" t="s">
        <v>11746</v>
      </c>
      <c r="B9894" t="s">
        <v>374</v>
      </c>
    </row>
    <row r="9895" spans="1:2" x14ac:dyDescent="0.25">
      <c r="A9895" t="s">
        <v>11747</v>
      </c>
      <c r="B9895" t="s">
        <v>598</v>
      </c>
    </row>
    <row r="9896" spans="1:2" x14ac:dyDescent="0.25">
      <c r="A9896" t="s">
        <v>11748</v>
      </c>
      <c r="B9896" t="s">
        <v>454</v>
      </c>
    </row>
    <row r="9897" spans="1:2" x14ac:dyDescent="0.25">
      <c r="A9897" t="s">
        <v>11749</v>
      </c>
      <c r="B9897" t="s">
        <v>586</v>
      </c>
    </row>
    <row r="9898" spans="1:2" x14ac:dyDescent="0.25">
      <c r="A9898" t="s">
        <v>11750</v>
      </c>
      <c r="B9898" t="s">
        <v>630</v>
      </c>
    </row>
    <row r="9899" spans="1:2" x14ac:dyDescent="0.25">
      <c r="A9899" t="s">
        <v>11751</v>
      </c>
      <c r="B9899" t="s">
        <v>598</v>
      </c>
    </row>
    <row r="9900" spans="1:2" x14ac:dyDescent="0.25">
      <c r="A9900" t="s">
        <v>11752</v>
      </c>
      <c r="B9900" t="s">
        <v>602</v>
      </c>
    </row>
    <row r="9901" spans="1:2" x14ac:dyDescent="0.25">
      <c r="A9901" t="s">
        <v>11753</v>
      </c>
      <c r="B9901" t="s">
        <v>620</v>
      </c>
    </row>
    <row r="9902" spans="1:2" x14ac:dyDescent="0.25">
      <c r="A9902" t="s">
        <v>11754</v>
      </c>
      <c r="B9902" t="s">
        <v>628</v>
      </c>
    </row>
    <row r="9903" spans="1:2" x14ac:dyDescent="0.25">
      <c r="A9903" t="s">
        <v>11755</v>
      </c>
      <c r="B9903" t="s">
        <v>630</v>
      </c>
    </row>
    <row r="9904" spans="1:2" x14ac:dyDescent="0.25">
      <c r="A9904" t="s">
        <v>11756</v>
      </c>
      <c r="B9904" t="s">
        <v>632</v>
      </c>
    </row>
    <row r="9905" spans="1:2" x14ac:dyDescent="0.25">
      <c r="A9905" t="s">
        <v>11757</v>
      </c>
      <c r="B9905" t="s">
        <v>633</v>
      </c>
    </row>
    <row r="9906" spans="1:2" x14ac:dyDescent="0.25">
      <c r="A9906" t="s">
        <v>3058</v>
      </c>
      <c r="B9906" t="s">
        <v>3058</v>
      </c>
    </row>
    <row r="9907" spans="1:2" x14ac:dyDescent="0.25">
      <c r="A9907" t="s">
        <v>11758</v>
      </c>
      <c r="B9907" t="s">
        <v>360</v>
      </c>
    </row>
    <row r="9908" spans="1:2" x14ac:dyDescent="0.25">
      <c r="A9908" t="s">
        <v>11759</v>
      </c>
      <c r="B9908" t="s">
        <v>66</v>
      </c>
    </row>
    <row r="9909" spans="1:2" x14ac:dyDescent="0.25">
      <c r="A9909" t="s">
        <v>11760</v>
      </c>
      <c r="B9909" t="s">
        <v>97</v>
      </c>
    </row>
    <row r="9910" spans="1:2" x14ac:dyDescent="0.25">
      <c r="A9910" t="s">
        <v>586</v>
      </c>
      <c r="B9910" t="s">
        <v>586</v>
      </c>
    </row>
    <row r="9911" spans="1:2" x14ac:dyDescent="0.25">
      <c r="A9911" t="s">
        <v>11761</v>
      </c>
      <c r="B9911" t="s">
        <v>602</v>
      </c>
    </row>
    <row r="9912" spans="1:2" x14ac:dyDescent="0.25">
      <c r="A9912" t="s">
        <v>11762</v>
      </c>
      <c r="B9912" t="s">
        <v>421</v>
      </c>
    </row>
    <row r="9913" spans="1:2" x14ac:dyDescent="0.25">
      <c r="A9913" t="s">
        <v>11763</v>
      </c>
      <c r="B9913" t="s">
        <v>210</v>
      </c>
    </row>
    <row r="9914" spans="1:2" x14ac:dyDescent="0.25">
      <c r="A9914" t="s">
        <v>11764</v>
      </c>
      <c r="B9914" t="s">
        <v>1193</v>
      </c>
    </row>
    <row r="9915" spans="1:2" x14ac:dyDescent="0.25">
      <c r="A9915" t="s">
        <v>630</v>
      </c>
      <c r="B9915" t="s">
        <v>630</v>
      </c>
    </row>
    <row r="9916" spans="1:2" x14ac:dyDescent="0.25">
      <c r="A9916" s="7" t="s">
        <v>11765</v>
      </c>
      <c r="B9916" s="7" t="s">
        <v>299</v>
      </c>
    </row>
    <row r="9917" spans="1:2" x14ac:dyDescent="0.25">
      <c r="A9917" t="s">
        <v>11766</v>
      </c>
      <c r="B9917" t="s">
        <v>427</v>
      </c>
    </row>
    <row r="9918" spans="1:2" x14ac:dyDescent="0.25">
      <c r="A9918" t="s">
        <v>11767</v>
      </c>
      <c r="B9918" t="s">
        <v>503</v>
      </c>
    </row>
    <row r="9919" spans="1:2" x14ac:dyDescent="0.25">
      <c r="A9919" t="s">
        <v>11768</v>
      </c>
      <c r="B9919" t="s">
        <v>425</v>
      </c>
    </row>
    <row r="9920" spans="1:2" x14ac:dyDescent="0.25">
      <c r="A9920" t="s">
        <v>3059</v>
      </c>
      <c r="B9920" t="s">
        <v>3059</v>
      </c>
    </row>
    <row r="9921" spans="1:2" x14ac:dyDescent="0.25">
      <c r="A9921" t="s">
        <v>632</v>
      </c>
      <c r="B9921" t="s">
        <v>632</v>
      </c>
    </row>
    <row r="9922" spans="1:2" x14ac:dyDescent="0.25">
      <c r="A9922" t="s">
        <v>11769</v>
      </c>
      <c r="B9922" t="s">
        <v>605</v>
      </c>
    </row>
    <row r="9923" spans="1:2" x14ac:dyDescent="0.25">
      <c r="A9923" t="s">
        <v>11770</v>
      </c>
      <c r="B9923" t="s">
        <v>224</v>
      </c>
    </row>
    <row r="9924" spans="1:2" x14ac:dyDescent="0.25">
      <c r="A9924" t="s">
        <v>11771</v>
      </c>
      <c r="B9924" t="s">
        <v>580</v>
      </c>
    </row>
    <row r="9925" spans="1:2" x14ac:dyDescent="0.25">
      <c r="A9925" t="s">
        <v>11772</v>
      </c>
      <c r="B9925" t="s">
        <v>427</v>
      </c>
    </row>
    <row r="9926" spans="1:2" x14ac:dyDescent="0.25">
      <c r="A9926" t="s">
        <v>11773</v>
      </c>
      <c r="B9926" t="s">
        <v>452</v>
      </c>
    </row>
    <row r="9927" spans="1:2" x14ac:dyDescent="0.25">
      <c r="A9927" t="s">
        <v>11774</v>
      </c>
      <c r="B9927" t="s">
        <v>582</v>
      </c>
    </row>
    <row r="9928" spans="1:2" x14ac:dyDescent="0.25">
      <c r="A9928" t="s">
        <v>11775</v>
      </c>
      <c r="B9928" t="s">
        <v>584</v>
      </c>
    </row>
    <row r="9929" spans="1:2" x14ac:dyDescent="0.25">
      <c r="A9929" t="s">
        <v>11776</v>
      </c>
      <c r="B9929" t="s">
        <v>1344</v>
      </c>
    </row>
    <row r="9930" spans="1:2" x14ac:dyDescent="0.25">
      <c r="A9930" t="s">
        <v>11777</v>
      </c>
      <c r="B9930" t="s">
        <v>1348</v>
      </c>
    </row>
    <row r="9931" spans="1:2" x14ac:dyDescent="0.25">
      <c r="A9931" t="s">
        <v>11778</v>
      </c>
      <c r="B9931" t="s">
        <v>140</v>
      </c>
    </row>
    <row r="9932" spans="1:2" x14ac:dyDescent="0.25">
      <c r="A9932" t="s">
        <v>11779</v>
      </c>
      <c r="B9932" t="s">
        <v>372</v>
      </c>
    </row>
    <row r="9933" spans="1:2" x14ac:dyDescent="0.25">
      <c r="A9933" t="s">
        <v>11780</v>
      </c>
      <c r="B9933" t="s">
        <v>366</v>
      </c>
    </row>
    <row r="9934" spans="1:2" x14ac:dyDescent="0.25">
      <c r="A9934" t="s">
        <v>11781</v>
      </c>
      <c r="B9934" t="s">
        <v>488</v>
      </c>
    </row>
    <row r="9935" spans="1:2" x14ac:dyDescent="0.25">
      <c r="A9935" t="s">
        <v>11782</v>
      </c>
      <c r="B9935" t="s">
        <v>484</v>
      </c>
    </row>
    <row r="9936" spans="1:2" x14ac:dyDescent="0.25">
      <c r="A9936" t="s">
        <v>11783</v>
      </c>
      <c r="B9936" t="s">
        <v>87</v>
      </c>
    </row>
    <row r="9937" spans="1:2" x14ac:dyDescent="0.25">
      <c r="A9937" t="s">
        <v>11784</v>
      </c>
      <c r="B9937" t="s">
        <v>97</v>
      </c>
    </row>
    <row r="9938" spans="1:2" x14ac:dyDescent="0.25">
      <c r="A9938" t="s">
        <v>11785</v>
      </c>
      <c r="B9938" t="s">
        <v>99</v>
      </c>
    </row>
    <row r="9939" spans="1:2" x14ac:dyDescent="0.25">
      <c r="A9939" t="s">
        <v>11786</v>
      </c>
      <c r="B9939" t="s">
        <v>998</v>
      </c>
    </row>
    <row r="9940" spans="1:2" x14ac:dyDescent="0.25">
      <c r="A9940" t="s">
        <v>11787</v>
      </c>
      <c r="B9940" t="s">
        <v>11787</v>
      </c>
    </row>
    <row r="9941" spans="1:2" x14ac:dyDescent="0.25">
      <c r="A9941" t="s">
        <v>11788</v>
      </c>
      <c r="B9941" t="s">
        <v>979</v>
      </c>
    </row>
    <row r="9942" spans="1:2" x14ac:dyDescent="0.25">
      <c r="A9942" t="s">
        <v>11789</v>
      </c>
      <c r="B9942" t="s">
        <v>982</v>
      </c>
    </row>
    <row r="9943" spans="1:2" x14ac:dyDescent="0.25">
      <c r="A9943" t="s">
        <v>11790</v>
      </c>
      <c r="B9943" t="s">
        <v>111</v>
      </c>
    </row>
    <row r="9944" spans="1:2" x14ac:dyDescent="0.25">
      <c r="A9944" t="s">
        <v>11791</v>
      </c>
      <c r="B9944" t="s">
        <v>115</v>
      </c>
    </row>
    <row r="9945" spans="1:2" x14ac:dyDescent="0.25">
      <c r="A9945" t="s">
        <v>11792</v>
      </c>
      <c r="B9945" t="s">
        <v>518</v>
      </c>
    </row>
    <row r="9946" spans="1:2" x14ac:dyDescent="0.25">
      <c r="A9946" t="s">
        <v>11793</v>
      </c>
      <c r="B9946" t="s">
        <v>520</v>
      </c>
    </row>
    <row r="9947" spans="1:2" x14ac:dyDescent="0.25">
      <c r="A9947" t="s">
        <v>11794</v>
      </c>
      <c r="B9947" t="s">
        <v>550</v>
      </c>
    </row>
    <row r="9948" spans="1:2" x14ac:dyDescent="0.25">
      <c r="A9948" t="s">
        <v>11795</v>
      </c>
      <c r="B9948" t="s">
        <v>556</v>
      </c>
    </row>
    <row r="9949" spans="1:2" x14ac:dyDescent="0.25">
      <c r="A9949" t="s">
        <v>11796</v>
      </c>
      <c r="B9949" t="s">
        <v>925</v>
      </c>
    </row>
    <row r="9950" spans="1:2" x14ac:dyDescent="0.25">
      <c r="A9950" t="s">
        <v>11797</v>
      </c>
      <c r="B9950" t="s">
        <v>1780</v>
      </c>
    </row>
    <row r="9951" spans="1:2" x14ac:dyDescent="0.25">
      <c r="A9951" t="s">
        <v>11798</v>
      </c>
      <c r="B9951" t="s">
        <v>815</v>
      </c>
    </row>
    <row r="9952" spans="1:2" x14ac:dyDescent="0.25">
      <c r="A9952" t="s">
        <v>11799</v>
      </c>
      <c r="B9952" t="s">
        <v>10497</v>
      </c>
    </row>
    <row r="9953" spans="1:2" x14ac:dyDescent="0.25">
      <c r="A9953" t="s">
        <v>11800</v>
      </c>
      <c r="B9953" t="s">
        <v>10545</v>
      </c>
    </row>
    <row r="9954" spans="1:2" x14ac:dyDescent="0.25">
      <c r="A9954" t="s">
        <v>11801</v>
      </c>
      <c r="B9954" t="s">
        <v>10547</v>
      </c>
    </row>
    <row r="9955" spans="1:2" x14ac:dyDescent="0.25">
      <c r="A9955" t="s">
        <v>11802</v>
      </c>
      <c r="B9955" t="s">
        <v>288</v>
      </c>
    </row>
    <row r="9956" spans="1:2" x14ac:dyDescent="0.25">
      <c r="A9956" t="s">
        <v>11803</v>
      </c>
      <c r="B9956" t="s">
        <v>195</v>
      </c>
    </row>
    <row r="9957" spans="1:2" x14ac:dyDescent="0.25">
      <c r="A9957" t="s">
        <v>11804</v>
      </c>
      <c r="B9957" t="s">
        <v>11805</v>
      </c>
    </row>
    <row r="9958" spans="1:2" x14ac:dyDescent="0.25">
      <c r="A9958" t="s">
        <v>11806</v>
      </c>
      <c r="B9958" t="s">
        <v>790</v>
      </c>
    </row>
    <row r="9959" spans="1:2" x14ac:dyDescent="0.25">
      <c r="A9959" t="s">
        <v>11807</v>
      </c>
      <c r="B9959" t="s">
        <v>11808</v>
      </c>
    </row>
    <row r="9960" spans="1:2" x14ac:dyDescent="0.25">
      <c r="A9960" t="s">
        <v>11809</v>
      </c>
      <c r="B9960" t="s">
        <v>11810</v>
      </c>
    </row>
    <row r="9961" spans="1:2" x14ac:dyDescent="0.25">
      <c r="A9961" t="s">
        <v>11811</v>
      </c>
      <c r="B9961" t="s">
        <v>11812</v>
      </c>
    </row>
    <row r="9962" spans="1:2" x14ac:dyDescent="0.25">
      <c r="A9962" t="s">
        <v>11813</v>
      </c>
      <c r="B9962" t="s">
        <v>11814</v>
      </c>
    </row>
    <row r="9963" spans="1:2" x14ac:dyDescent="0.25">
      <c r="A9963" t="s">
        <v>11815</v>
      </c>
      <c r="B9963" t="s">
        <v>11816</v>
      </c>
    </row>
    <row r="9964" spans="1:2" x14ac:dyDescent="0.25">
      <c r="A9964" t="s">
        <v>11817</v>
      </c>
      <c r="B9964" t="s">
        <v>11818</v>
      </c>
    </row>
    <row r="9965" spans="1:2" x14ac:dyDescent="0.25">
      <c r="A9965" t="s">
        <v>11819</v>
      </c>
      <c r="B9965" t="s">
        <v>11820</v>
      </c>
    </row>
    <row r="9966" spans="1:2" x14ac:dyDescent="0.25">
      <c r="A9966" t="s">
        <v>11821</v>
      </c>
      <c r="B9966" t="s">
        <v>247</v>
      </c>
    </row>
    <row r="9967" spans="1:2" x14ac:dyDescent="0.25">
      <c r="A9967" t="s">
        <v>11822</v>
      </c>
      <c r="B9967" t="s">
        <v>251</v>
      </c>
    </row>
    <row r="9968" spans="1:2" x14ac:dyDescent="0.25">
      <c r="A9968" t="s">
        <v>11823</v>
      </c>
      <c r="B9968" t="s">
        <v>253</v>
      </c>
    </row>
    <row r="9969" spans="1:2" x14ac:dyDescent="0.25">
      <c r="A9969" t="s">
        <v>11824</v>
      </c>
      <c r="B9969" t="s">
        <v>255</v>
      </c>
    </row>
    <row r="9970" spans="1:2" x14ac:dyDescent="0.25">
      <c r="A9970" t="s">
        <v>11825</v>
      </c>
      <c r="B9970" t="s">
        <v>261</v>
      </c>
    </row>
    <row r="9971" spans="1:2" x14ac:dyDescent="0.25">
      <c r="A9971" t="s">
        <v>11826</v>
      </c>
      <c r="B9971" t="s">
        <v>218</v>
      </c>
    </row>
    <row r="9972" spans="1:2" x14ac:dyDescent="0.25">
      <c r="A9972" t="s">
        <v>11827</v>
      </c>
      <c r="B9972" t="s">
        <v>376</v>
      </c>
    </row>
    <row r="9973" spans="1:2" x14ac:dyDescent="0.25">
      <c r="A9973" t="s">
        <v>11828</v>
      </c>
      <c r="B9973" t="s">
        <v>708</v>
      </c>
    </row>
    <row r="9974" spans="1:2" x14ac:dyDescent="0.25">
      <c r="A9974" t="s">
        <v>11829</v>
      </c>
      <c r="B9974" t="s">
        <v>707</v>
      </c>
    </row>
    <row r="9975" spans="1:2" x14ac:dyDescent="0.25">
      <c r="A9975" t="s">
        <v>11830</v>
      </c>
      <c r="B9975" t="s">
        <v>93</v>
      </c>
    </row>
    <row r="9976" spans="1:2" x14ac:dyDescent="0.25">
      <c r="A9976" t="s">
        <v>11831</v>
      </c>
      <c r="B9976" t="s">
        <v>95</v>
      </c>
    </row>
    <row r="9977" spans="1:2" x14ac:dyDescent="0.25">
      <c r="A9977" t="s">
        <v>11832</v>
      </c>
      <c r="B9977" t="s">
        <v>346</v>
      </c>
    </row>
    <row r="9978" spans="1:2" x14ac:dyDescent="0.25">
      <c r="A9978" t="s">
        <v>11833</v>
      </c>
      <c r="B9978" t="s">
        <v>99</v>
      </c>
    </row>
    <row r="9979" spans="1:2" x14ac:dyDescent="0.25">
      <c r="A9979" t="s">
        <v>11834</v>
      </c>
      <c r="B9979" t="s">
        <v>998</v>
      </c>
    </row>
    <row r="9980" spans="1:2" x14ac:dyDescent="0.25">
      <c r="A9980" t="s">
        <v>11835</v>
      </c>
      <c r="B9980" t="s">
        <v>1506</v>
      </c>
    </row>
    <row r="9981" spans="1:2" x14ac:dyDescent="0.25">
      <c r="A9981" t="s">
        <v>11836</v>
      </c>
      <c r="B9981" t="s">
        <v>1784</v>
      </c>
    </row>
    <row r="9982" spans="1:2" x14ac:dyDescent="0.25">
      <c r="A9982" t="s">
        <v>11837</v>
      </c>
      <c r="B9982" t="s">
        <v>11837</v>
      </c>
    </row>
    <row r="9983" spans="1:2" x14ac:dyDescent="0.25">
      <c r="A9983" t="s">
        <v>11838</v>
      </c>
      <c r="B9983" t="s">
        <v>133</v>
      </c>
    </row>
    <row r="9984" spans="1:2" x14ac:dyDescent="0.25">
      <c r="A9984" t="s">
        <v>11839</v>
      </c>
      <c r="B9984" t="s">
        <v>2265</v>
      </c>
    </row>
    <row r="9985" spans="1:2" x14ac:dyDescent="0.25">
      <c r="A9985" t="s">
        <v>11840</v>
      </c>
      <c r="B9985" t="s">
        <v>2266</v>
      </c>
    </row>
    <row r="9986" spans="1:2" x14ac:dyDescent="0.25">
      <c r="A9986" t="s">
        <v>11841</v>
      </c>
      <c r="B9986" t="s">
        <v>2989</v>
      </c>
    </row>
    <row r="9987" spans="1:2" x14ac:dyDescent="0.25">
      <c r="A9987" t="s">
        <v>11842</v>
      </c>
      <c r="B9987" t="s">
        <v>153</v>
      </c>
    </row>
    <row r="9988" spans="1:2" x14ac:dyDescent="0.25">
      <c r="A9988" t="s">
        <v>11843</v>
      </c>
      <c r="B9988" t="s">
        <v>2318</v>
      </c>
    </row>
    <row r="9989" spans="1:2" x14ac:dyDescent="0.25">
      <c r="A9989" t="s">
        <v>11844</v>
      </c>
      <c r="B9989" t="s">
        <v>2319</v>
      </c>
    </row>
    <row r="9990" spans="1:2" x14ac:dyDescent="0.25">
      <c r="A9990" t="s">
        <v>11845</v>
      </c>
      <c r="B9990" t="s">
        <v>2320</v>
      </c>
    </row>
    <row r="9991" spans="1:2" x14ac:dyDescent="0.25">
      <c r="A9991" t="s">
        <v>11846</v>
      </c>
      <c r="B9991" t="s">
        <v>2279</v>
      </c>
    </row>
    <row r="9992" spans="1:2" x14ac:dyDescent="0.25">
      <c r="A9992" t="s">
        <v>11847</v>
      </c>
      <c r="B9992" t="s">
        <v>11726</v>
      </c>
    </row>
    <row r="9993" spans="1:2" x14ac:dyDescent="0.25">
      <c r="A9993" t="s">
        <v>11848</v>
      </c>
      <c r="B9993" t="s">
        <v>11849</v>
      </c>
    </row>
    <row r="9994" spans="1:2" x14ac:dyDescent="0.25">
      <c r="A9994" t="s">
        <v>11850</v>
      </c>
      <c r="B9994" t="s">
        <v>11850</v>
      </c>
    </row>
    <row r="9995" spans="1:2" x14ac:dyDescent="0.25">
      <c r="A9995" t="s">
        <v>11851</v>
      </c>
      <c r="B9995" t="s">
        <v>11851</v>
      </c>
    </row>
    <row r="9996" spans="1:2" x14ac:dyDescent="0.25">
      <c r="A9996" t="s">
        <v>11852</v>
      </c>
      <c r="B9996" t="s">
        <v>11853</v>
      </c>
    </row>
    <row r="9997" spans="1:2" x14ac:dyDescent="0.25">
      <c r="A9997" t="s">
        <v>11854</v>
      </c>
      <c r="B9997" t="s">
        <v>5905</v>
      </c>
    </row>
    <row r="9998" spans="1:2" x14ac:dyDescent="0.25">
      <c r="A9998" t="s">
        <v>11855</v>
      </c>
      <c r="B9998" t="s">
        <v>11855</v>
      </c>
    </row>
    <row r="9999" spans="1:2" x14ac:dyDescent="0.25">
      <c r="A9999" t="s">
        <v>11856</v>
      </c>
      <c r="B9999" t="s">
        <v>11857</v>
      </c>
    </row>
    <row r="10000" spans="1:2" x14ac:dyDescent="0.25">
      <c r="A10000" t="s">
        <v>11858</v>
      </c>
      <c r="B10000" t="s">
        <v>11858</v>
      </c>
    </row>
    <row r="10001" spans="1:2" x14ac:dyDescent="0.25">
      <c r="A10001" t="s">
        <v>11859</v>
      </c>
      <c r="B10001" t="s">
        <v>11859</v>
      </c>
    </row>
    <row r="10002" spans="1:2" x14ac:dyDescent="0.25">
      <c r="A10002" t="s">
        <v>11860</v>
      </c>
      <c r="B10002" t="s">
        <v>11860</v>
      </c>
    </row>
    <row r="10003" spans="1:2" x14ac:dyDescent="0.25">
      <c r="A10003" t="s">
        <v>11861</v>
      </c>
      <c r="B10003" t="s">
        <v>11726</v>
      </c>
    </row>
    <row r="10004" spans="1:2" x14ac:dyDescent="0.25">
      <c r="A10004" t="s">
        <v>11862</v>
      </c>
      <c r="B10004" t="s">
        <v>11863</v>
      </c>
    </row>
    <row r="10005" spans="1:2" x14ac:dyDescent="0.25">
      <c r="A10005" t="s">
        <v>11864</v>
      </c>
      <c r="B10005" t="s">
        <v>11865</v>
      </c>
    </row>
    <row r="10006" spans="1:2" x14ac:dyDescent="0.25">
      <c r="A10006" t="s">
        <v>11866</v>
      </c>
      <c r="B10006" t="s">
        <v>11866</v>
      </c>
    </row>
    <row r="10007" spans="1:2" x14ac:dyDescent="0.25">
      <c r="A10007" t="s">
        <v>11867</v>
      </c>
      <c r="B10007" t="s">
        <v>10470</v>
      </c>
    </row>
    <row r="10008" spans="1:2" x14ac:dyDescent="0.25">
      <c r="A10008" t="s">
        <v>11868</v>
      </c>
      <c r="B10008" t="s">
        <v>11868</v>
      </c>
    </row>
    <row r="10009" spans="1:2" x14ac:dyDescent="0.25">
      <c r="A10009" t="s">
        <v>11869</v>
      </c>
      <c r="B10009" t="s">
        <v>11869</v>
      </c>
    </row>
    <row r="10010" spans="1:2" x14ac:dyDescent="0.25">
      <c r="A10010" t="s">
        <v>11870</v>
      </c>
      <c r="B10010" t="s">
        <v>11870</v>
      </c>
    </row>
    <row r="10011" spans="1:2" x14ac:dyDescent="0.25">
      <c r="A10011" t="s">
        <v>11871</v>
      </c>
      <c r="B10011" t="s">
        <v>11872</v>
      </c>
    </row>
    <row r="10012" spans="1:2" x14ac:dyDescent="0.25">
      <c r="A10012" t="s">
        <v>11873</v>
      </c>
      <c r="B10012" t="s">
        <v>11873</v>
      </c>
    </row>
    <row r="10013" spans="1:2" x14ac:dyDescent="0.25">
      <c r="A10013" t="s">
        <v>11874</v>
      </c>
      <c r="B10013" t="s">
        <v>11874</v>
      </c>
    </row>
    <row r="10014" spans="1:2" x14ac:dyDescent="0.25">
      <c r="A10014" t="s">
        <v>11875</v>
      </c>
      <c r="B10014" t="s">
        <v>11876</v>
      </c>
    </row>
    <row r="10015" spans="1:2" x14ac:dyDescent="0.25">
      <c r="A10015" t="s">
        <v>11877</v>
      </c>
      <c r="B10015" t="s">
        <v>11877</v>
      </c>
    </row>
    <row r="10016" spans="1:2" x14ac:dyDescent="0.25">
      <c r="A10016" t="s">
        <v>11878</v>
      </c>
      <c r="B10016" t="s">
        <v>11878</v>
      </c>
    </row>
    <row r="10017" spans="1:2" x14ac:dyDescent="0.25">
      <c r="A10017" t="s">
        <v>11879</v>
      </c>
      <c r="B10017" t="s">
        <v>11880</v>
      </c>
    </row>
    <row r="10018" spans="1:2" x14ac:dyDescent="0.25">
      <c r="A10018" t="s">
        <v>11881</v>
      </c>
      <c r="B10018" t="s">
        <v>11882</v>
      </c>
    </row>
    <row r="10019" spans="1:2" x14ac:dyDescent="0.25">
      <c r="A10019" t="s">
        <v>11883</v>
      </c>
      <c r="B10019" t="s">
        <v>11884</v>
      </c>
    </row>
    <row r="10020" spans="1:2" x14ac:dyDescent="0.25">
      <c r="A10020" t="s">
        <v>11885</v>
      </c>
      <c r="B10020" t="s">
        <v>11886</v>
      </c>
    </row>
    <row r="10021" spans="1:2" x14ac:dyDescent="0.25">
      <c r="A10021" t="s">
        <v>11887</v>
      </c>
      <c r="B10021" t="s">
        <v>11887</v>
      </c>
    </row>
    <row r="10022" spans="1:2" x14ac:dyDescent="0.25">
      <c r="A10022" t="s">
        <v>11888</v>
      </c>
      <c r="B10022" t="s">
        <v>11888</v>
      </c>
    </row>
    <row r="10023" spans="1:2" x14ac:dyDescent="0.25">
      <c r="A10023" t="s">
        <v>11889</v>
      </c>
      <c r="B10023" t="s">
        <v>11889</v>
      </c>
    </row>
    <row r="10024" spans="1:2" x14ac:dyDescent="0.25">
      <c r="A10024" t="s">
        <v>11890</v>
      </c>
      <c r="B10024" t="s">
        <v>11890</v>
      </c>
    </row>
    <row r="10025" spans="1:2" x14ac:dyDescent="0.25">
      <c r="A10025" t="s">
        <v>11891</v>
      </c>
      <c r="B10025" t="s">
        <v>11891</v>
      </c>
    </row>
    <row r="10026" spans="1:2" x14ac:dyDescent="0.25">
      <c r="A10026" t="s">
        <v>11892</v>
      </c>
      <c r="B10026" t="s">
        <v>11892</v>
      </c>
    </row>
    <row r="10027" spans="1:2" x14ac:dyDescent="0.25">
      <c r="A10027" t="s">
        <v>11893</v>
      </c>
      <c r="B10027" t="s">
        <v>11893</v>
      </c>
    </row>
    <row r="10028" spans="1:2" x14ac:dyDescent="0.25">
      <c r="A10028" t="s">
        <v>11894</v>
      </c>
      <c r="B10028" t="s">
        <v>11894</v>
      </c>
    </row>
    <row r="10029" spans="1:2" x14ac:dyDescent="0.25">
      <c r="A10029" t="s">
        <v>11895</v>
      </c>
      <c r="B10029" t="s">
        <v>11895</v>
      </c>
    </row>
    <row r="10030" spans="1:2" x14ac:dyDescent="0.25">
      <c r="A10030" t="s">
        <v>11896</v>
      </c>
      <c r="B10030" t="s">
        <v>11896</v>
      </c>
    </row>
    <row r="10031" spans="1:2" x14ac:dyDescent="0.25">
      <c r="A10031" t="s">
        <v>11897</v>
      </c>
      <c r="B10031" t="s">
        <v>11897</v>
      </c>
    </row>
    <row r="10032" spans="1:2" x14ac:dyDescent="0.25">
      <c r="A10032" t="s">
        <v>11898</v>
      </c>
      <c r="B10032" t="s">
        <v>11898</v>
      </c>
    </row>
    <row r="10033" spans="1:2" x14ac:dyDescent="0.25">
      <c r="A10033" t="s">
        <v>11899</v>
      </c>
      <c r="B10033" t="s">
        <v>11900</v>
      </c>
    </row>
    <row r="10034" spans="1:2" x14ac:dyDescent="0.25">
      <c r="A10034" t="s">
        <v>11901</v>
      </c>
      <c r="B10034" t="s">
        <v>11901</v>
      </c>
    </row>
    <row r="10035" spans="1:2" x14ac:dyDescent="0.25">
      <c r="A10035" t="s">
        <v>11902</v>
      </c>
      <c r="B10035" t="s">
        <v>11902</v>
      </c>
    </row>
    <row r="10036" spans="1:2" x14ac:dyDescent="0.25">
      <c r="A10036" t="s">
        <v>11903</v>
      </c>
      <c r="B10036" t="s">
        <v>11903</v>
      </c>
    </row>
    <row r="10037" spans="1:2" x14ac:dyDescent="0.25">
      <c r="A10037" t="s">
        <v>11904</v>
      </c>
      <c r="B10037" t="s">
        <v>11904</v>
      </c>
    </row>
    <row r="10038" spans="1:2" x14ac:dyDescent="0.25">
      <c r="A10038" t="s">
        <v>11905</v>
      </c>
      <c r="B10038" t="s">
        <v>985</v>
      </c>
    </row>
    <row r="10039" spans="1:2" x14ac:dyDescent="0.25">
      <c r="A10039" t="s">
        <v>11906</v>
      </c>
      <c r="B10039" t="s">
        <v>1830</v>
      </c>
    </row>
    <row r="10040" spans="1:2" x14ac:dyDescent="0.25">
      <c r="A10040" t="s">
        <v>11907</v>
      </c>
      <c r="B10040" t="s">
        <v>988</v>
      </c>
    </row>
    <row r="10041" spans="1:2" x14ac:dyDescent="0.25">
      <c r="A10041" t="s">
        <v>11908</v>
      </c>
      <c r="B10041" t="s">
        <v>988</v>
      </c>
    </row>
    <row r="10042" spans="1:2" x14ac:dyDescent="0.25">
      <c r="A10042" t="s">
        <v>11909</v>
      </c>
      <c r="B10042" t="s">
        <v>992</v>
      </c>
    </row>
    <row r="10043" spans="1:2" x14ac:dyDescent="0.25">
      <c r="A10043" t="s">
        <v>11910</v>
      </c>
      <c r="B10043" t="s">
        <v>995</v>
      </c>
    </row>
    <row r="10044" spans="1:2" x14ac:dyDescent="0.25">
      <c r="A10044" t="s">
        <v>11911</v>
      </c>
      <c r="B10044" t="s">
        <v>1068</v>
      </c>
    </row>
    <row r="10045" spans="1:2" x14ac:dyDescent="0.25">
      <c r="A10045" t="s">
        <v>11912</v>
      </c>
      <c r="B10045" t="s">
        <v>1074</v>
      </c>
    </row>
    <row r="10046" spans="1:2" x14ac:dyDescent="0.25">
      <c r="A10046" t="s">
        <v>11913</v>
      </c>
      <c r="B10046" t="s">
        <v>1227</v>
      </c>
    </row>
    <row r="10047" spans="1:2" x14ac:dyDescent="0.25">
      <c r="A10047" t="s">
        <v>11914</v>
      </c>
      <c r="B10047" t="s">
        <v>1227</v>
      </c>
    </row>
    <row r="10048" spans="1:2" x14ac:dyDescent="0.25">
      <c r="A10048" t="s">
        <v>11915</v>
      </c>
      <c r="B10048" t="s">
        <v>1327</v>
      </c>
    </row>
    <row r="10049" spans="1:2" x14ac:dyDescent="0.25">
      <c r="A10049" t="s">
        <v>11916</v>
      </c>
      <c r="B10049" t="s">
        <v>1337</v>
      </c>
    </row>
    <row r="10050" spans="1:2" x14ac:dyDescent="0.25">
      <c r="A10050" t="s">
        <v>11917</v>
      </c>
      <c r="B10050" t="s">
        <v>1367</v>
      </c>
    </row>
    <row r="10051" spans="1:2" x14ac:dyDescent="0.25">
      <c r="A10051" t="s">
        <v>11918</v>
      </c>
      <c r="B10051" t="s">
        <v>1367</v>
      </c>
    </row>
    <row r="10052" spans="1:2" x14ac:dyDescent="0.25">
      <c r="A10052" t="s">
        <v>11919</v>
      </c>
      <c r="B10052" t="s">
        <v>1389</v>
      </c>
    </row>
    <row r="10053" spans="1:2" x14ac:dyDescent="0.25">
      <c r="A10053" t="s">
        <v>11920</v>
      </c>
      <c r="B10053" t="s">
        <v>1389</v>
      </c>
    </row>
    <row r="10054" spans="1:2" x14ac:dyDescent="0.25">
      <c r="A10054" t="s">
        <v>11921</v>
      </c>
      <c r="B10054" t="s">
        <v>1393</v>
      </c>
    </row>
    <row r="10055" spans="1:2" x14ac:dyDescent="0.25">
      <c r="A10055" t="s">
        <v>11922</v>
      </c>
      <c r="B10055" t="s">
        <v>275</v>
      </c>
    </row>
    <row r="10056" spans="1:2" x14ac:dyDescent="0.25">
      <c r="A10056" t="s">
        <v>11923</v>
      </c>
      <c r="B10056" t="s">
        <v>509</v>
      </c>
    </row>
    <row r="10057" spans="1:2" x14ac:dyDescent="0.25">
      <c r="A10057" t="s">
        <v>11924</v>
      </c>
      <c r="B10057" t="s">
        <v>512</v>
      </c>
    </row>
    <row r="10058" spans="1:2" x14ac:dyDescent="0.25">
      <c r="A10058" t="s">
        <v>11925</v>
      </c>
      <c r="B10058" t="s">
        <v>1480</v>
      </c>
    </row>
    <row r="10059" spans="1:2" x14ac:dyDescent="0.25">
      <c r="A10059" t="s">
        <v>11926</v>
      </c>
      <c r="B10059" t="s">
        <v>1480</v>
      </c>
    </row>
    <row r="10060" spans="1:2" x14ac:dyDescent="0.25">
      <c r="A10060" t="s">
        <v>11927</v>
      </c>
      <c r="B10060" t="s">
        <v>1484</v>
      </c>
    </row>
    <row r="10061" spans="1:2" x14ac:dyDescent="0.25">
      <c r="A10061" t="s">
        <v>11928</v>
      </c>
      <c r="B10061" t="s">
        <v>1484</v>
      </c>
    </row>
    <row r="10062" spans="1:2" x14ac:dyDescent="0.25">
      <c r="A10062" t="s">
        <v>11929</v>
      </c>
      <c r="B10062" t="s">
        <v>1488</v>
      </c>
    </row>
    <row r="10063" spans="1:2" x14ac:dyDescent="0.25">
      <c r="A10063" t="s">
        <v>11930</v>
      </c>
      <c r="B10063" t="s">
        <v>1488</v>
      </c>
    </row>
    <row r="10064" spans="1:2" x14ac:dyDescent="0.25">
      <c r="A10064" t="s">
        <v>598</v>
      </c>
      <c r="B10064" t="s">
        <v>598</v>
      </c>
    </row>
    <row r="10065" spans="1:2" x14ac:dyDescent="0.25">
      <c r="A10065" t="s">
        <v>11931</v>
      </c>
      <c r="B10065" t="s">
        <v>632</v>
      </c>
    </row>
    <row r="10066" spans="1:2" x14ac:dyDescent="0.25">
      <c r="A10066" t="s">
        <v>11932</v>
      </c>
      <c r="B10066" t="s">
        <v>1223</v>
      </c>
    </row>
    <row r="10067" spans="1:2" x14ac:dyDescent="0.25">
      <c r="A10067" t="s">
        <v>11933</v>
      </c>
      <c r="B10067" t="s">
        <v>1231</v>
      </c>
    </row>
    <row r="10068" spans="1:2" x14ac:dyDescent="0.25">
      <c r="A10068" t="s">
        <v>11934</v>
      </c>
      <c r="B10068" t="s">
        <v>844</v>
      </c>
    </row>
    <row r="10069" spans="1:2" x14ac:dyDescent="0.25">
      <c r="A10069" t="s">
        <v>11935</v>
      </c>
      <c r="B10069" t="s">
        <v>844</v>
      </c>
    </row>
    <row r="10070" spans="1:2" x14ac:dyDescent="0.25">
      <c r="A10070" t="s">
        <v>11936</v>
      </c>
      <c r="B10070" t="s">
        <v>844</v>
      </c>
    </row>
    <row r="10071" spans="1:2" x14ac:dyDescent="0.25">
      <c r="A10071" t="s">
        <v>11937</v>
      </c>
      <c r="B10071" t="s">
        <v>844</v>
      </c>
    </row>
    <row r="10072" spans="1:2" x14ac:dyDescent="0.25">
      <c r="A10072" t="s">
        <v>11938</v>
      </c>
      <c r="B10072" t="s">
        <v>11939</v>
      </c>
    </row>
    <row r="10073" spans="1:2" x14ac:dyDescent="0.25">
      <c r="A10073" t="s">
        <v>11940</v>
      </c>
      <c r="B10073" t="s">
        <v>11941</v>
      </c>
    </row>
    <row r="10074" spans="1:2" x14ac:dyDescent="0.25">
      <c r="A10074" t="s">
        <v>11942</v>
      </c>
      <c r="B10074" t="s">
        <v>11943</v>
      </c>
    </row>
    <row r="10075" spans="1:2" x14ac:dyDescent="0.25">
      <c r="A10075" t="s">
        <v>11944</v>
      </c>
      <c r="B10075" t="s">
        <v>11944</v>
      </c>
    </row>
    <row r="10076" spans="1:2" x14ac:dyDescent="0.25">
      <c r="A10076" t="s">
        <v>11945</v>
      </c>
      <c r="B10076" t="s">
        <v>11946</v>
      </c>
    </row>
    <row r="10077" spans="1:2" x14ac:dyDescent="0.25">
      <c r="A10077" t="s">
        <v>11947</v>
      </c>
      <c r="B10077" t="s">
        <v>11948</v>
      </c>
    </row>
    <row r="10078" spans="1:2" x14ac:dyDescent="0.25">
      <c r="A10078" t="s">
        <v>11949</v>
      </c>
      <c r="B10078" t="s">
        <v>11950</v>
      </c>
    </row>
    <row r="10079" spans="1:2" x14ac:dyDescent="0.25">
      <c r="A10079" t="s">
        <v>11951</v>
      </c>
      <c r="B10079" t="s">
        <v>11952</v>
      </c>
    </row>
    <row r="10080" spans="1:2" x14ac:dyDescent="0.25">
      <c r="A10080" t="s">
        <v>11953</v>
      </c>
      <c r="B10080" t="s">
        <v>9560</v>
      </c>
    </row>
    <row r="10081" spans="1:2" x14ac:dyDescent="0.25">
      <c r="A10081" t="s">
        <v>11954</v>
      </c>
      <c r="B10081" t="s">
        <v>421</v>
      </c>
    </row>
    <row r="10082" spans="1:2" x14ac:dyDescent="0.25">
      <c r="A10082" t="s">
        <v>11955</v>
      </c>
      <c r="B10082" t="s">
        <v>9559</v>
      </c>
    </row>
    <row r="10083" spans="1:2" x14ac:dyDescent="0.25">
      <c r="A10083" t="s">
        <v>11956</v>
      </c>
      <c r="B10083" t="s">
        <v>425</v>
      </c>
    </row>
    <row r="10084" spans="1:2" x14ac:dyDescent="0.25">
      <c r="A10084" t="s">
        <v>11957</v>
      </c>
      <c r="B10084" t="s">
        <v>1310</v>
      </c>
    </row>
    <row r="10085" spans="1:2" x14ac:dyDescent="0.25">
      <c r="A10085" t="s">
        <v>11958</v>
      </c>
      <c r="B10085" t="s">
        <v>356</v>
      </c>
    </row>
    <row r="10086" spans="1:2" x14ac:dyDescent="0.25">
      <c r="A10086" t="s">
        <v>11959</v>
      </c>
      <c r="B10086" t="s">
        <v>360</v>
      </c>
    </row>
    <row r="10087" spans="1:2" x14ac:dyDescent="0.25">
      <c r="A10087" t="s">
        <v>11960</v>
      </c>
      <c r="B10087" t="s">
        <v>523</v>
      </c>
    </row>
    <row r="10088" spans="1:2" x14ac:dyDescent="0.25">
      <c r="A10088" t="s">
        <v>11961</v>
      </c>
      <c r="B10088" t="s">
        <v>11509</v>
      </c>
    </row>
    <row r="10089" spans="1:2" x14ac:dyDescent="0.25">
      <c r="A10089" t="s">
        <v>11962</v>
      </c>
      <c r="B10089" t="s">
        <v>524</v>
      </c>
    </row>
    <row r="10090" spans="1:2" x14ac:dyDescent="0.25">
      <c r="A10090" t="s">
        <v>11963</v>
      </c>
      <c r="B10090" t="s">
        <v>11542</v>
      </c>
    </row>
    <row r="10091" spans="1:2" x14ac:dyDescent="0.25">
      <c r="A10091" t="s">
        <v>11964</v>
      </c>
      <c r="B10091" t="s">
        <v>525</v>
      </c>
    </row>
    <row r="10092" spans="1:2" x14ac:dyDescent="0.25">
      <c r="A10092" s="13" t="s">
        <v>11965</v>
      </c>
      <c r="B10092" s="13" t="s">
        <v>11618</v>
      </c>
    </row>
    <row r="10093" spans="1:2" x14ac:dyDescent="0.25">
      <c r="A10093" s="13" t="s">
        <v>11966</v>
      </c>
      <c r="B10093" s="13" t="s">
        <v>11628</v>
      </c>
    </row>
    <row r="10094" spans="1:2" x14ac:dyDescent="0.25">
      <c r="A10094" t="s">
        <v>11967</v>
      </c>
      <c r="B10094" t="s">
        <v>530</v>
      </c>
    </row>
    <row r="10095" spans="1:2" x14ac:dyDescent="0.25">
      <c r="A10095" t="s">
        <v>11968</v>
      </c>
      <c r="B10095" t="s">
        <v>549</v>
      </c>
    </row>
    <row r="10096" spans="1:2" x14ac:dyDescent="0.25">
      <c r="A10096" t="s">
        <v>11969</v>
      </c>
      <c r="B10096" t="s">
        <v>9557</v>
      </c>
    </row>
    <row r="10097" spans="1:2" x14ac:dyDescent="0.25">
      <c r="A10097" t="s">
        <v>11970</v>
      </c>
      <c r="B10097" t="s">
        <v>9568</v>
      </c>
    </row>
    <row r="10098" spans="1:2" x14ac:dyDescent="0.25">
      <c r="A10098" t="s">
        <v>11971</v>
      </c>
      <c r="B10098" t="s">
        <v>9555</v>
      </c>
    </row>
    <row r="10099" spans="1:2" x14ac:dyDescent="0.25">
      <c r="A10099" t="s">
        <v>11972</v>
      </c>
      <c r="B10099" t="s">
        <v>9552</v>
      </c>
    </row>
    <row r="10100" spans="1:2" x14ac:dyDescent="0.25">
      <c r="A10100" t="s">
        <v>11973</v>
      </c>
      <c r="B10100" t="s">
        <v>427</v>
      </c>
    </row>
    <row r="10101" spans="1:2" x14ac:dyDescent="0.25">
      <c r="A10101" t="s">
        <v>11974</v>
      </c>
      <c r="B10101" t="s">
        <v>11557</v>
      </c>
    </row>
    <row r="10102" spans="1:2" x14ac:dyDescent="0.25">
      <c r="A10102" t="s">
        <v>11975</v>
      </c>
      <c r="B10102" t="s">
        <v>11549</v>
      </c>
    </row>
    <row r="10103" spans="1:2" x14ac:dyDescent="0.25">
      <c r="A10103" t="s">
        <v>11976</v>
      </c>
      <c r="B10103" t="s">
        <v>11538</v>
      </c>
    </row>
    <row r="10104" spans="1:2" x14ac:dyDescent="0.25">
      <c r="A10104" t="s">
        <v>11977</v>
      </c>
      <c r="B10104" t="s">
        <v>11552</v>
      </c>
    </row>
    <row r="10105" spans="1:2" x14ac:dyDescent="0.25">
      <c r="A10105" t="s">
        <v>11978</v>
      </c>
      <c r="B10105" t="s">
        <v>11499</v>
      </c>
    </row>
    <row r="10106" spans="1:2" x14ac:dyDescent="0.25">
      <c r="A10106" t="s">
        <v>11979</v>
      </c>
      <c r="B10106" t="s">
        <v>11501</v>
      </c>
    </row>
    <row r="10107" spans="1:2" x14ac:dyDescent="0.25">
      <c r="A10107" t="s">
        <v>11980</v>
      </c>
      <c r="B10107" t="s">
        <v>11557</v>
      </c>
    </row>
    <row r="10108" spans="1:2" x14ac:dyDescent="0.25">
      <c r="A10108" t="s">
        <v>11981</v>
      </c>
      <c r="B10108" t="s">
        <v>11982</v>
      </c>
    </row>
    <row r="10109" spans="1:2" x14ac:dyDescent="0.25">
      <c r="A10109" t="s">
        <v>11983</v>
      </c>
      <c r="B10109" t="s">
        <v>11490</v>
      </c>
    </row>
    <row r="10110" spans="1:2" x14ac:dyDescent="0.25">
      <c r="A10110" t="s">
        <v>11984</v>
      </c>
      <c r="B10110" t="s">
        <v>11484</v>
      </c>
    </row>
    <row r="10111" spans="1:2" x14ac:dyDescent="0.25">
      <c r="A10111" t="s">
        <v>11985</v>
      </c>
      <c r="B10111" t="s">
        <v>11482</v>
      </c>
    </row>
    <row r="10112" spans="1:2" x14ac:dyDescent="0.25">
      <c r="A10112" t="s">
        <v>11986</v>
      </c>
      <c r="B10112" t="s">
        <v>11527</v>
      </c>
    </row>
    <row r="10113" spans="1:2" x14ac:dyDescent="0.25">
      <c r="A10113" t="s">
        <v>11987</v>
      </c>
      <c r="B10113" t="s">
        <v>11494</v>
      </c>
    </row>
    <row r="10114" spans="1:2" x14ac:dyDescent="0.25">
      <c r="A10114" t="s">
        <v>11988</v>
      </c>
      <c r="B10114" t="s">
        <v>11479</v>
      </c>
    </row>
    <row r="10115" spans="1:2" x14ac:dyDescent="0.25">
      <c r="A10115" t="s">
        <v>11989</v>
      </c>
      <c r="B10115" t="s">
        <v>11486</v>
      </c>
    </row>
    <row r="10116" spans="1:2" x14ac:dyDescent="0.25">
      <c r="A10116" t="s">
        <v>11990</v>
      </c>
      <c r="B10116" t="s">
        <v>11488</v>
      </c>
    </row>
    <row r="10117" spans="1:2" x14ac:dyDescent="0.25">
      <c r="A10117" t="s">
        <v>11991</v>
      </c>
      <c r="B10117" t="s">
        <v>9560</v>
      </c>
    </row>
    <row r="10118" spans="1:2" x14ac:dyDescent="0.25">
      <c r="A10118" t="s">
        <v>11992</v>
      </c>
      <c r="B10118" t="s">
        <v>9559</v>
      </c>
    </row>
    <row r="10119" spans="1:2" x14ac:dyDescent="0.25">
      <c r="A10119" t="s">
        <v>11993</v>
      </c>
      <c r="B10119" t="s">
        <v>11994</v>
      </c>
    </row>
    <row r="10120" spans="1:2" x14ac:dyDescent="0.25">
      <c r="A10120" t="s">
        <v>11995</v>
      </c>
      <c r="B10120" t="s">
        <v>11996</v>
      </c>
    </row>
    <row r="10121" spans="1:2" x14ac:dyDescent="0.25">
      <c r="A10121" t="s">
        <v>11997</v>
      </c>
      <c r="B10121" t="s">
        <v>11998</v>
      </c>
    </row>
    <row r="10122" spans="1:2" x14ac:dyDescent="0.25">
      <c r="A10122" t="s">
        <v>11999</v>
      </c>
      <c r="B10122" t="s">
        <v>12000</v>
      </c>
    </row>
    <row r="10123" spans="1:2" x14ac:dyDescent="0.25">
      <c r="A10123" t="s">
        <v>12001</v>
      </c>
      <c r="B10123" t="s">
        <v>12002</v>
      </c>
    </row>
    <row r="10124" spans="1:2" x14ac:dyDescent="0.25">
      <c r="A10124" t="s">
        <v>12003</v>
      </c>
      <c r="B10124" t="s">
        <v>1127</v>
      </c>
    </row>
    <row r="10125" spans="1:2" x14ac:dyDescent="0.25">
      <c r="A10125" t="s">
        <v>12004</v>
      </c>
      <c r="B10125" t="s">
        <v>356</v>
      </c>
    </row>
    <row r="10126" spans="1:2" x14ac:dyDescent="0.25">
      <c r="A10126" t="s">
        <v>12005</v>
      </c>
      <c r="B10126" t="s">
        <v>360</v>
      </c>
    </row>
    <row r="10127" spans="1:2" x14ac:dyDescent="0.25">
      <c r="A10127" t="s">
        <v>12006</v>
      </c>
      <c r="B10127" t="s">
        <v>362</v>
      </c>
    </row>
    <row r="10128" spans="1:2" x14ac:dyDescent="0.25">
      <c r="A10128" t="s">
        <v>12007</v>
      </c>
      <c r="B10128" t="s">
        <v>1123</v>
      </c>
    </row>
    <row r="10129" spans="1:2" x14ac:dyDescent="0.25">
      <c r="A10129" t="s">
        <v>12008</v>
      </c>
      <c r="B10129" t="s">
        <v>530</v>
      </c>
    </row>
    <row r="10130" spans="1:2" x14ac:dyDescent="0.25">
      <c r="A10130" t="s">
        <v>12009</v>
      </c>
      <c r="B10130" t="s">
        <v>532</v>
      </c>
    </row>
    <row r="10131" spans="1:2" x14ac:dyDescent="0.25">
      <c r="A10131" t="s">
        <v>12010</v>
      </c>
      <c r="B10131" t="s">
        <v>1310</v>
      </c>
    </row>
    <row r="10132" spans="1:2" x14ac:dyDescent="0.25">
      <c r="A10132" t="s">
        <v>12011</v>
      </c>
      <c r="B10132" t="s">
        <v>1310</v>
      </c>
    </row>
    <row r="10133" spans="1:2" x14ac:dyDescent="0.25">
      <c r="A10133" t="s">
        <v>12012</v>
      </c>
      <c r="B10133" t="s">
        <v>10714</v>
      </c>
    </row>
    <row r="10134" spans="1:2" x14ac:dyDescent="0.25">
      <c r="A10134" t="s">
        <v>12013</v>
      </c>
      <c r="B10134" t="s">
        <v>10714</v>
      </c>
    </row>
    <row r="10135" spans="1:2" x14ac:dyDescent="0.25">
      <c r="A10135" t="s">
        <v>12014</v>
      </c>
      <c r="B10135" t="s">
        <v>1955</v>
      </c>
    </row>
    <row r="10136" spans="1:2" x14ac:dyDescent="0.25">
      <c r="A10136" t="s">
        <v>12015</v>
      </c>
      <c r="B10136" t="s">
        <v>1606</v>
      </c>
    </row>
    <row r="10137" spans="1:2" x14ac:dyDescent="0.25">
      <c r="A10137" t="s">
        <v>12016</v>
      </c>
      <c r="B10137" t="s">
        <v>12017</v>
      </c>
    </row>
    <row r="10138" spans="1:2" x14ac:dyDescent="0.25">
      <c r="A10138" t="s">
        <v>12018</v>
      </c>
      <c r="B10138" t="s">
        <v>12018</v>
      </c>
    </row>
    <row r="10139" spans="1:2" x14ac:dyDescent="0.25">
      <c r="A10139" t="s">
        <v>12019</v>
      </c>
      <c r="B10139" t="s">
        <v>12019</v>
      </c>
    </row>
    <row r="10140" spans="1:2" x14ac:dyDescent="0.25">
      <c r="A10140" t="s">
        <v>12020</v>
      </c>
      <c r="B10140" t="s">
        <v>12020</v>
      </c>
    </row>
    <row r="10141" spans="1:2" x14ac:dyDescent="0.25">
      <c r="A10141" t="s">
        <v>12021</v>
      </c>
      <c r="B10141" t="s">
        <v>12021</v>
      </c>
    </row>
    <row r="10142" spans="1:2" x14ac:dyDescent="0.25">
      <c r="A10142" t="s">
        <v>12022</v>
      </c>
      <c r="B10142" t="s">
        <v>1145</v>
      </c>
    </row>
    <row r="10143" spans="1:2" x14ac:dyDescent="0.25">
      <c r="A10143" t="s">
        <v>12023</v>
      </c>
      <c r="B10143" t="s">
        <v>1190</v>
      </c>
    </row>
    <row r="10144" spans="1:2" x14ac:dyDescent="0.25">
      <c r="A10144" t="s">
        <v>12024</v>
      </c>
      <c r="B10144" t="s">
        <v>1160</v>
      </c>
    </row>
    <row r="10145" spans="1:2" x14ac:dyDescent="0.25">
      <c r="A10145" t="s">
        <v>12025</v>
      </c>
      <c r="B10145" t="s">
        <v>635</v>
      </c>
    </row>
    <row r="10146" spans="1:2" x14ac:dyDescent="0.25">
      <c r="A10146" t="s">
        <v>12026</v>
      </c>
      <c r="B10146" t="s">
        <v>581</v>
      </c>
    </row>
    <row r="10147" spans="1:2" x14ac:dyDescent="0.25">
      <c r="A10147" t="s">
        <v>12027</v>
      </c>
      <c r="B10147" t="s">
        <v>484</v>
      </c>
    </row>
    <row r="10148" spans="1:2" x14ac:dyDescent="0.25">
      <c r="A10148" t="s">
        <v>12028</v>
      </c>
      <c r="B10148" t="s">
        <v>582</v>
      </c>
    </row>
    <row r="10149" spans="1:2" x14ac:dyDescent="0.25">
      <c r="A10149" t="s">
        <v>12029</v>
      </c>
      <c r="B10149" t="s">
        <v>584</v>
      </c>
    </row>
    <row r="10150" spans="1:2" x14ac:dyDescent="0.25">
      <c r="A10150" t="s">
        <v>12030</v>
      </c>
      <c r="B10150" t="s">
        <v>632</v>
      </c>
    </row>
    <row r="10151" spans="1:2" x14ac:dyDescent="0.25">
      <c r="A10151" t="s">
        <v>12031</v>
      </c>
      <c r="B10151" t="s">
        <v>1231</v>
      </c>
    </row>
    <row r="10152" spans="1:2" x14ac:dyDescent="0.25">
      <c r="A10152" t="s">
        <v>12032</v>
      </c>
      <c r="B10152" t="s">
        <v>628</v>
      </c>
    </row>
    <row r="10153" spans="1:2" x14ac:dyDescent="0.25">
      <c r="A10153" t="s">
        <v>12033</v>
      </c>
      <c r="B10153" t="s">
        <v>602</v>
      </c>
    </row>
    <row r="10154" spans="1:2" x14ac:dyDescent="0.25">
      <c r="A10154" t="s">
        <v>12034</v>
      </c>
      <c r="B10154" t="s">
        <v>633</v>
      </c>
    </row>
    <row r="10155" spans="1:2" x14ac:dyDescent="0.25">
      <c r="A10155" t="s">
        <v>12035</v>
      </c>
      <c r="B10155" t="s">
        <v>655</v>
      </c>
    </row>
    <row r="10156" spans="1:2" x14ac:dyDescent="0.25">
      <c r="A10156" t="s">
        <v>12036</v>
      </c>
      <c r="B10156" t="s">
        <v>652</v>
      </c>
    </row>
    <row r="10157" spans="1:2" x14ac:dyDescent="0.25">
      <c r="A10157" t="s">
        <v>12037</v>
      </c>
      <c r="B10157" t="s">
        <v>591</v>
      </c>
    </row>
    <row r="10158" spans="1:2" x14ac:dyDescent="0.25">
      <c r="A10158" t="s">
        <v>12038</v>
      </c>
      <c r="B10158" t="s">
        <v>592</v>
      </c>
    </row>
    <row r="10159" spans="1:2" x14ac:dyDescent="0.25">
      <c r="A10159" t="s">
        <v>633</v>
      </c>
      <c r="B10159" t="s">
        <v>633</v>
      </c>
    </row>
    <row r="10160" spans="1:2" x14ac:dyDescent="0.25">
      <c r="A10160" t="s">
        <v>12039</v>
      </c>
      <c r="B10160" t="s">
        <v>1535</v>
      </c>
    </row>
    <row r="10161" spans="1:2" x14ac:dyDescent="0.25">
      <c r="A10161" t="s">
        <v>12040</v>
      </c>
      <c r="B10161" t="s">
        <v>1575</v>
      </c>
    </row>
    <row r="10162" spans="1:2" x14ac:dyDescent="0.25">
      <c r="A10162" s="7" t="s">
        <v>12041</v>
      </c>
      <c r="B10162" t="s">
        <v>586</v>
      </c>
    </row>
    <row r="10163" spans="1:2" x14ac:dyDescent="0.25">
      <c r="A10163" t="s">
        <v>12042</v>
      </c>
      <c r="B10163" t="s">
        <v>598</v>
      </c>
    </row>
    <row r="10164" spans="1:2" x14ac:dyDescent="0.25">
      <c r="A10164" t="s">
        <v>12043</v>
      </c>
      <c r="B10164" t="s">
        <v>630</v>
      </c>
    </row>
    <row r="10165" spans="1:2" x14ac:dyDescent="0.25">
      <c r="A10165" t="s">
        <v>12044</v>
      </c>
      <c r="B10165" t="s">
        <v>602</v>
      </c>
    </row>
    <row r="10166" spans="1:2" x14ac:dyDescent="0.25">
      <c r="A10166" t="s">
        <v>3060</v>
      </c>
      <c r="B10166" t="s">
        <v>3060</v>
      </c>
    </row>
    <row r="10167" spans="1:2" x14ac:dyDescent="0.25">
      <c r="A10167" t="s">
        <v>640</v>
      </c>
      <c r="B10167" t="s">
        <v>640</v>
      </c>
    </row>
    <row r="10168" spans="1:2" x14ac:dyDescent="0.25">
      <c r="A10168" t="s">
        <v>653</v>
      </c>
      <c r="B10168" t="s">
        <v>653</v>
      </c>
    </row>
    <row r="10169" spans="1:2" x14ac:dyDescent="0.25">
      <c r="A10169" t="s">
        <v>12045</v>
      </c>
      <c r="B10169" t="s">
        <v>1445</v>
      </c>
    </row>
    <row r="10170" spans="1:2" x14ac:dyDescent="0.25">
      <c r="A10170" t="s">
        <v>581</v>
      </c>
      <c r="B10170" t="s">
        <v>581</v>
      </c>
    </row>
    <row r="10171" spans="1:2" x14ac:dyDescent="0.25">
      <c r="A10171" t="s">
        <v>12046</v>
      </c>
      <c r="B10171" t="s">
        <v>581</v>
      </c>
    </row>
    <row r="10172" spans="1:2" x14ac:dyDescent="0.25">
      <c r="A10172" t="s">
        <v>652</v>
      </c>
      <c r="B10172" t="s">
        <v>652</v>
      </c>
    </row>
    <row r="10173" spans="1:2" x14ac:dyDescent="0.25">
      <c r="A10173" t="s">
        <v>628</v>
      </c>
      <c r="B10173" t="s">
        <v>628</v>
      </c>
    </row>
    <row r="10174" spans="1:2" x14ac:dyDescent="0.25">
      <c r="A10174" t="s">
        <v>12047</v>
      </c>
      <c r="B10174" t="s">
        <v>12048</v>
      </c>
    </row>
    <row r="10175" spans="1:2" x14ac:dyDescent="0.25">
      <c r="A10175" t="s">
        <v>12048</v>
      </c>
      <c r="B10175" t="s">
        <v>12048</v>
      </c>
    </row>
    <row r="10176" spans="1:2" x14ac:dyDescent="0.25">
      <c r="A10176" t="s">
        <v>12049</v>
      </c>
      <c r="B10176" t="s">
        <v>1421</v>
      </c>
    </row>
    <row r="10177" spans="1:2" x14ac:dyDescent="0.25">
      <c r="A10177" t="s">
        <v>12050</v>
      </c>
      <c r="B10177" s="7" t="s">
        <v>329</v>
      </c>
    </row>
    <row r="10178" spans="1:2" x14ac:dyDescent="0.25">
      <c r="A10178" t="s">
        <v>12051</v>
      </c>
      <c r="B10178" s="7" t="s">
        <v>151</v>
      </c>
    </row>
    <row r="10179" spans="1:2" x14ac:dyDescent="0.25">
      <c r="A10179" t="s">
        <v>12052</v>
      </c>
      <c r="B10179" s="7" t="s">
        <v>167</v>
      </c>
    </row>
    <row r="10180" spans="1:2" x14ac:dyDescent="0.25">
      <c r="A10180" t="s">
        <v>12053</v>
      </c>
      <c r="B10180" s="7" t="s">
        <v>429</v>
      </c>
    </row>
    <row r="10181" spans="1:2" x14ac:dyDescent="0.25">
      <c r="A10181" t="s">
        <v>12054</v>
      </c>
      <c r="B10181" s="7" t="s">
        <v>265</v>
      </c>
    </row>
    <row r="10182" spans="1:2" x14ac:dyDescent="0.25">
      <c r="A10182" t="s">
        <v>12055</v>
      </c>
      <c r="B10182" s="7" t="s">
        <v>121</v>
      </c>
    </row>
    <row r="10183" spans="1:2" x14ac:dyDescent="0.25">
      <c r="A10183" t="s">
        <v>12056</v>
      </c>
      <c r="B10183" t="s">
        <v>137</v>
      </c>
    </row>
    <row r="10184" spans="1:2" x14ac:dyDescent="0.25">
      <c r="A10184" t="s">
        <v>12057</v>
      </c>
      <c r="B10184" s="7" t="s">
        <v>60</v>
      </c>
    </row>
    <row r="10185" spans="1:2" x14ac:dyDescent="0.25">
      <c r="A10185" t="s">
        <v>12058</v>
      </c>
      <c r="B10185" t="s">
        <v>1866</v>
      </c>
    </row>
    <row r="10186" spans="1:2" x14ac:dyDescent="0.25">
      <c r="A10186" t="s">
        <v>12059</v>
      </c>
      <c r="B10186" s="7" t="s">
        <v>218</v>
      </c>
    </row>
    <row r="10187" spans="1:2" x14ac:dyDescent="0.25">
      <c r="A10187" t="s">
        <v>12060</v>
      </c>
      <c r="B10187" t="s">
        <v>199</v>
      </c>
    </row>
    <row r="10188" spans="1:2" x14ac:dyDescent="0.25">
      <c r="A10188" t="s">
        <v>12061</v>
      </c>
      <c r="B10188" s="7" t="s">
        <v>157</v>
      </c>
    </row>
    <row r="10189" spans="1:2" x14ac:dyDescent="0.25">
      <c r="A10189" t="s">
        <v>12062</v>
      </c>
      <c r="B10189" t="s">
        <v>1653</v>
      </c>
    </row>
    <row r="10190" spans="1:2" x14ac:dyDescent="0.25">
      <c r="A10190" t="s">
        <v>12063</v>
      </c>
      <c r="B10190" s="7" t="s">
        <v>133</v>
      </c>
    </row>
    <row r="10191" spans="1:2" x14ac:dyDescent="0.25">
      <c r="A10191" t="s">
        <v>12064</v>
      </c>
      <c r="B10191" t="s">
        <v>2798</v>
      </c>
    </row>
    <row r="10192" spans="1:2" x14ac:dyDescent="0.25">
      <c r="A10192" t="s">
        <v>12065</v>
      </c>
      <c r="B10192" t="s">
        <v>9364</v>
      </c>
    </row>
    <row r="10193" spans="1:2" x14ac:dyDescent="0.25">
      <c r="A10193" t="s">
        <v>12066</v>
      </c>
      <c r="B10193" t="s">
        <v>592</v>
      </c>
    </row>
    <row r="10194" spans="1:2" x14ac:dyDescent="0.25">
      <c r="A10194" t="s">
        <v>12067</v>
      </c>
      <c r="B10194" t="s">
        <v>12068</v>
      </c>
    </row>
    <row r="10195" spans="1:2" x14ac:dyDescent="0.25">
      <c r="A10195" t="s">
        <v>12069</v>
      </c>
      <c r="B10195" t="s">
        <v>12070</v>
      </c>
    </row>
    <row r="10196" spans="1:2" x14ac:dyDescent="0.25">
      <c r="A10196" t="s">
        <v>12071</v>
      </c>
      <c r="B10196" t="s">
        <v>651</v>
      </c>
    </row>
    <row r="10197" spans="1:2" x14ac:dyDescent="0.25">
      <c r="A10197" t="s">
        <v>12072</v>
      </c>
      <c r="B10197" s="7" t="s">
        <v>151</v>
      </c>
    </row>
    <row r="10198" spans="1:2" x14ac:dyDescent="0.25">
      <c r="A10198" t="s">
        <v>12073</v>
      </c>
      <c r="B10198" s="7" t="s">
        <v>151</v>
      </c>
    </row>
    <row r="10199" spans="1:2" x14ac:dyDescent="0.25">
      <c r="A10199" t="s">
        <v>12074</v>
      </c>
      <c r="B10199" s="7" t="s">
        <v>115</v>
      </c>
    </row>
    <row r="10200" spans="1:2" x14ac:dyDescent="0.25">
      <c r="A10200" t="s">
        <v>12075</v>
      </c>
      <c r="B10200" s="7" t="s">
        <v>151</v>
      </c>
    </row>
    <row r="10201" spans="1:2" x14ac:dyDescent="0.25">
      <c r="A10201" t="s">
        <v>12076</v>
      </c>
      <c r="B10201" s="7" t="s">
        <v>151</v>
      </c>
    </row>
    <row r="10202" spans="1:2" x14ac:dyDescent="0.25">
      <c r="A10202" t="s">
        <v>12077</v>
      </c>
      <c r="B10202" s="7" t="s">
        <v>468</v>
      </c>
    </row>
    <row r="10203" spans="1:2" x14ac:dyDescent="0.25">
      <c r="A10203" t="s">
        <v>12078</v>
      </c>
      <c r="B10203" t="s">
        <v>2798</v>
      </c>
    </row>
    <row r="10204" spans="1:2" x14ac:dyDescent="0.25">
      <c r="A10204" t="s">
        <v>12079</v>
      </c>
      <c r="B10204" s="7" t="s">
        <v>182</v>
      </c>
    </row>
    <row r="10205" spans="1:2" x14ac:dyDescent="0.25">
      <c r="A10205" t="s">
        <v>3396</v>
      </c>
      <c r="B10205" t="s">
        <v>3396</v>
      </c>
    </row>
    <row r="10206" spans="1:2" x14ac:dyDescent="0.25">
      <c r="A10206" t="s">
        <v>3397</v>
      </c>
      <c r="B10206" t="s">
        <v>3397</v>
      </c>
    </row>
    <row r="10207" spans="1:2" x14ac:dyDescent="0.25">
      <c r="A10207" t="s">
        <v>12080</v>
      </c>
      <c r="B10207" s="7" t="s">
        <v>151</v>
      </c>
    </row>
    <row r="10208" spans="1:2" x14ac:dyDescent="0.25">
      <c r="A10208" t="s">
        <v>12081</v>
      </c>
      <c r="B10208" s="7" t="s">
        <v>151</v>
      </c>
    </row>
    <row r="10209" spans="1:2" x14ac:dyDescent="0.25">
      <c r="A10209" t="s">
        <v>12082</v>
      </c>
      <c r="B10209" s="7" t="s">
        <v>271</v>
      </c>
    </row>
    <row r="10210" spans="1:2" x14ac:dyDescent="0.25">
      <c r="A10210" t="s">
        <v>12083</v>
      </c>
      <c r="B10210" s="7" t="s">
        <v>214</v>
      </c>
    </row>
    <row r="10211" spans="1:2" x14ac:dyDescent="0.25">
      <c r="A10211" t="s">
        <v>12084</v>
      </c>
      <c r="B10211" s="7" t="s">
        <v>263</v>
      </c>
    </row>
    <row r="10212" spans="1:2" x14ac:dyDescent="0.25">
      <c r="A10212" t="s">
        <v>12085</v>
      </c>
      <c r="B10212" s="7" t="s">
        <v>335</v>
      </c>
    </row>
    <row r="10213" spans="1:2" x14ac:dyDescent="0.25">
      <c r="A10213" t="s">
        <v>12086</v>
      </c>
      <c r="B10213" t="s">
        <v>1243</v>
      </c>
    </row>
    <row r="10214" spans="1:2" x14ac:dyDescent="0.25">
      <c r="A10214" t="s">
        <v>12087</v>
      </c>
      <c r="B10214" t="s">
        <v>632</v>
      </c>
    </row>
    <row r="10215" spans="1:2" x14ac:dyDescent="0.25">
      <c r="A10215" t="s">
        <v>12088</v>
      </c>
      <c r="B10215" t="s">
        <v>818</v>
      </c>
    </row>
    <row r="10216" spans="1:2" x14ac:dyDescent="0.25">
      <c r="A10216" t="s">
        <v>12089</v>
      </c>
      <c r="B10216" t="s">
        <v>1173</v>
      </c>
    </row>
    <row r="10217" spans="1:2" x14ac:dyDescent="0.25">
      <c r="A10217" t="s">
        <v>12090</v>
      </c>
      <c r="B10217" t="s">
        <v>1187</v>
      </c>
    </row>
    <row r="10218" spans="1:2" x14ac:dyDescent="0.25">
      <c r="A10218" t="s">
        <v>12091</v>
      </c>
      <c r="B10218" t="s">
        <v>1030</v>
      </c>
    </row>
    <row r="10219" spans="1:2" x14ac:dyDescent="0.25">
      <c r="A10219" t="s">
        <v>12092</v>
      </c>
      <c r="B10219" t="s">
        <v>1151</v>
      </c>
    </row>
    <row r="10220" spans="1:2" x14ac:dyDescent="0.25">
      <c r="A10220" t="s">
        <v>12093</v>
      </c>
      <c r="B10220" t="s">
        <v>1123</v>
      </c>
    </row>
    <row r="10221" spans="1:2" x14ac:dyDescent="0.25">
      <c r="A10221" t="s">
        <v>12094</v>
      </c>
      <c r="B10221" t="s">
        <v>838</v>
      </c>
    </row>
    <row r="10222" spans="1:2" x14ac:dyDescent="0.25">
      <c r="A10222" t="s">
        <v>12095</v>
      </c>
      <c r="B10222" t="s">
        <v>633</v>
      </c>
    </row>
    <row r="10223" spans="1:2" x14ac:dyDescent="0.25">
      <c r="A10223" t="s">
        <v>634</v>
      </c>
      <c r="B10223" t="s">
        <v>634</v>
      </c>
    </row>
    <row r="10224" spans="1:2" x14ac:dyDescent="0.25">
      <c r="A10224" t="s">
        <v>12096</v>
      </c>
      <c r="B10224" t="s">
        <v>646</v>
      </c>
    </row>
    <row r="10225" spans="1:2" x14ac:dyDescent="0.25">
      <c r="A10225" t="s">
        <v>12097</v>
      </c>
      <c r="B10225" t="s">
        <v>647</v>
      </c>
    </row>
    <row r="10226" spans="1:2" x14ac:dyDescent="0.25">
      <c r="A10226" t="s">
        <v>12098</v>
      </c>
      <c r="B10226" t="s">
        <v>648</v>
      </c>
    </row>
    <row r="10227" spans="1:2" x14ac:dyDescent="0.25">
      <c r="A10227" t="s">
        <v>12099</v>
      </c>
      <c r="B10227" t="s">
        <v>649</v>
      </c>
    </row>
    <row r="10228" spans="1:2" x14ac:dyDescent="0.25">
      <c r="A10228" t="s">
        <v>12100</v>
      </c>
      <c r="B10228" s="7" t="s">
        <v>115</v>
      </c>
    </row>
    <row r="10229" spans="1:2" x14ac:dyDescent="0.25">
      <c r="A10229" t="s">
        <v>12101</v>
      </c>
      <c r="B10229" s="7" t="s">
        <v>151</v>
      </c>
    </row>
    <row r="10230" spans="1:2" x14ac:dyDescent="0.25">
      <c r="A10230" t="s">
        <v>12102</v>
      </c>
      <c r="B10230" s="7" t="s">
        <v>466</v>
      </c>
    </row>
    <row r="10231" spans="1:2" x14ac:dyDescent="0.25">
      <c r="A10231" t="s">
        <v>12103</v>
      </c>
      <c r="B10231" s="7" t="s">
        <v>468</v>
      </c>
    </row>
    <row r="10232" spans="1:2" x14ac:dyDescent="0.25">
      <c r="A10232" t="s">
        <v>12104</v>
      </c>
      <c r="B10232" t="s">
        <v>581</v>
      </c>
    </row>
    <row r="10233" spans="1:2" x14ac:dyDescent="0.25">
      <c r="A10233" t="s">
        <v>12105</v>
      </c>
      <c r="B10233" t="s">
        <v>617</v>
      </c>
    </row>
    <row r="10234" spans="1:2" x14ac:dyDescent="0.25">
      <c r="A10234" t="s">
        <v>624</v>
      </c>
      <c r="B10234" t="s">
        <v>624</v>
      </c>
    </row>
    <row r="10235" spans="1:2" x14ac:dyDescent="0.25">
      <c r="A10235" t="s">
        <v>12106</v>
      </c>
      <c r="B10235" s="7" t="s">
        <v>104</v>
      </c>
    </row>
    <row r="10236" spans="1:2" x14ac:dyDescent="0.25">
      <c r="A10236" t="s">
        <v>12107</v>
      </c>
      <c r="B10236" s="7" t="s">
        <v>284</v>
      </c>
    </row>
    <row r="10237" spans="1:2" x14ac:dyDescent="0.25">
      <c r="A10237" t="s">
        <v>12108</v>
      </c>
      <c r="B10237" t="s">
        <v>581</v>
      </c>
    </row>
    <row r="10238" spans="1:2" x14ac:dyDescent="0.25">
      <c r="A10238" t="s">
        <v>12109</v>
      </c>
      <c r="B10238" t="s">
        <v>624</v>
      </c>
    </row>
    <row r="10239" spans="1:2" x14ac:dyDescent="0.25">
      <c r="A10239" t="s">
        <v>12110</v>
      </c>
      <c r="B10239" t="s">
        <v>625</v>
      </c>
    </row>
    <row r="10240" spans="1:2" x14ac:dyDescent="0.25">
      <c r="A10240" t="s">
        <v>12111</v>
      </c>
      <c r="B10240" t="s">
        <v>626</v>
      </c>
    </row>
    <row r="10241" spans="1:2" x14ac:dyDescent="0.25">
      <c r="A10241" t="s">
        <v>12112</v>
      </c>
      <c r="B10241" t="s">
        <v>627</v>
      </c>
    </row>
    <row r="10242" spans="1:2" x14ac:dyDescent="0.25">
      <c r="A10242" t="s">
        <v>12113</v>
      </c>
      <c r="B10242" t="s">
        <v>634</v>
      </c>
    </row>
    <row r="10243" spans="1:2" x14ac:dyDescent="0.25">
      <c r="A10243" t="s">
        <v>12114</v>
      </c>
      <c r="B10243" t="s">
        <v>635</v>
      </c>
    </row>
    <row r="10244" spans="1:2" x14ac:dyDescent="0.25">
      <c r="A10244" t="s">
        <v>12115</v>
      </c>
      <c r="B10244" t="s">
        <v>640</v>
      </c>
    </row>
    <row r="10245" spans="1:2" x14ac:dyDescent="0.25">
      <c r="A10245" t="s">
        <v>12116</v>
      </c>
      <c r="B10245" t="s">
        <v>651</v>
      </c>
    </row>
    <row r="10246" spans="1:2" x14ac:dyDescent="0.25">
      <c r="A10246" t="s">
        <v>12117</v>
      </c>
      <c r="B10246" t="s">
        <v>652</v>
      </c>
    </row>
    <row r="10247" spans="1:2" x14ac:dyDescent="0.25">
      <c r="A10247" t="s">
        <v>12118</v>
      </c>
      <c r="B10247" t="s">
        <v>654</v>
      </c>
    </row>
    <row r="10248" spans="1:2" x14ac:dyDescent="0.25">
      <c r="A10248" t="s">
        <v>12119</v>
      </c>
      <c r="B10248" t="s">
        <v>655</v>
      </c>
    </row>
    <row r="10249" spans="1:2" x14ac:dyDescent="0.25">
      <c r="A10249" t="s">
        <v>12120</v>
      </c>
      <c r="B10249" t="s">
        <v>656</v>
      </c>
    </row>
    <row r="10250" spans="1:2" x14ac:dyDescent="0.25">
      <c r="A10250" t="s">
        <v>12121</v>
      </c>
      <c r="B10250" t="s">
        <v>657</v>
      </c>
    </row>
    <row r="10251" spans="1:2" x14ac:dyDescent="0.25">
      <c r="A10251" t="s">
        <v>12122</v>
      </c>
      <c r="B10251" t="s">
        <v>12105</v>
      </c>
    </row>
    <row r="10252" spans="1:2" x14ac:dyDescent="0.25">
      <c r="A10252" t="s">
        <v>12123</v>
      </c>
      <c r="B10252" t="s">
        <v>218</v>
      </c>
    </row>
    <row r="10253" spans="1:2" x14ac:dyDescent="0.25">
      <c r="A10253" t="s">
        <v>12124</v>
      </c>
      <c r="B10253" t="s">
        <v>12125</v>
      </c>
    </row>
    <row r="10254" spans="1:2" x14ac:dyDescent="0.25">
      <c r="A10254" t="s">
        <v>12126</v>
      </c>
      <c r="B10254" t="s">
        <v>591</v>
      </c>
    </row>
    <row r="10255" spans="1:2" x14ac:dyDescent="0.25">
      <c r="A10255" t="s">
        <v>12127</v>
      </c>
      <c r="B10255" t="s">
        <v>592</v>
      </c>
    </row>
    <row r="10256" spans="1:2" x14ac:dyDescent="0.25">
      <c r="A10256" t="s">
        <v>12128</v>
      </c>
      <c r="B10256" t="s">
        <v>629</v>
      </c>
    </row>
    <row r="10257" spans="1:2" x14ac:dyDescent="0.25">
      <c r="A10257" t="s">
        <v>12129</v>
      </c>
      <c r="B10257" t="s">
        <v>641</v>
      </c>
    </row>
    <row r="10258" spans="1:2" x14ac:dyDescent="0.25">
      <c r="A10258" t="s">
        <v>12130</v>
      </c>
      <c r="B10258" t="s">
        <v>642</v>
      </c>
    </row>
    <row r="10259" spans="1:2" x14ac:dyDescent="0.25">
      <c r="A10259" t="s">
        <v>12131</v>
      </c>
      <c r="B10259" t="s">
        <v>644</v>
      </c>
    </row>
    <row r="10260" spans="1:2" x14ac:dyDescent="0.25">
      <c r="A10260" t="s">
        <v>12132</v>
      </c>
      <c r="B10260" t="s">
        <v>988</v>
      </c>
    </row>
    <row r="10261" spans="1:2" x14ac:dyDescent="0.25">
      <c r="A10261" t="s">
        <v>12133</v>
      </c>
      <c r="B10261" t="s">
        <v>640</v>
      </c>
    </row>
    <row r="10262" spans="1:2" x14ac:dyDescent="0.25">
      <c r="A10262" t="s">
        <v>12134</v>
      </c>
      <c r="B10262" s="7" t="s">
        <v>325</v>
      </c>
    </row>
    <row r="10263" spans="1:2" x14ac:dyDescent="0.25">
      <c r="A10263" t="s">
        <v>2721</v>
      </c>
      <c r="B10263" t="s">
        <v>2721</v>
      </c>
    </row>
    <row r="10264" spans="1:2" x14ac:dyDescent="0.25">
      <c r="A10264" t="s">
        <v>12135</v>
      </c>
      <c r="B10264" s="7" t="s">
        <v>169</v>
      </c>
    </row>
    <row r="10265" spans="1:2" x14ac:dyDescent="0.25">
      <c r="A10265" t="s">
        <v>12136</v>
      </c>
      <c r="B10265" t="s">
        <v>821</v>
      </c>
    </row>
    <row r="10266" spans="1:2" x14ac:dyDescent="0.25">
      <c r="A10266" t="s">
        <v>12137</v>
      </c>
      <c r="B10266" t="s">
        <v>657</v>
      </c>
    </row>
    <row r="10267" spans="1:2" x14ac:dyDescent="0.25">
      <c r="A10267" t="s">
        <v>12138</v>
      </c>
      <c r="B10267" t="s">
        <v>605</v>
      </c>
    </row>
    <row r="10268" spans="1:2" x14ac:dyDescent="0.25">
      <c r="A10268" t="s">
        <v>12139</v>
      </c>
      <c r="B10268" t="s">
        <v>640</v>
      </c>
    </row>
    <row r="10269" spans="1:2" x14ac:dyDescent="0.25">
      <c r="A10269" t="s">
        <v>12140</v>
      </c>
      <c r="B10269" t="s">
        <v>656</v>
      </c>
    </row>
    <row r="10270" spans="1:2" x14ac:dyDescent="0.25">
      <c r="A10270" t="s">
        <v>12141</v>
      </c>
      <c r="B10270" t="s">
        <v>653</v>
      </c>
    </row>
    <row r="10271" spans="1:2" x14ac:dyDescent="0.25">
      <c r="A10271" t="s">
        <v>12142</v>
      </c>
      <c r="B10271" t="s">
        <v>654</v>
      </c>
    </row>
    <row r="10272" spans="1:2" x14ac:dyDescent="0.25">
      <c r="A10272" t="s">
        <v>12143</v>
      </c>
      <c r="B10272" t="s">
        <v>12144</v>
      </c>
    </row>
    <row r="10273" spans="1:2" x14ac:dyDescent="0.25">
      <c r="A10273" t="s">
        <v>12145</v>
      </c>
      <c r="B10273" s="7" t="s">
        <v>74</v>
      </c>
    </row>
    <row r="10274" spans="1:2" x14ac:dyDescent="0.25">
      <c r="A10274" t="s">
        <v>12146</v>
      </c>
      <c r="B10274" s="7" t="s">
        <v>74</v>
      </c>
    </row>
    <row r="10275" spans="1:2" x14ac:dyDescent="0.25">
      <c r="A10275" t="s">
        <v>12147</v>
      </c>
      <c r="B10275" s="7" t="s">
        <v>329</v>
      </c>
    </row>
    <row r="10276" spans="1:2" x14ac:dyDescent="0.25">
      <c r="A10276" t="s">
        <v>12148</v>
      </c>
      <c r="B10276" s="7" t="s">
        <v>335</v>
      </c>
    </row>
    <row r="10277" spans="1:2" x14ac:dyDescent="0.25">
      <c r="A10277" t="s">
        <v>12149</v>
      </c>
      <c r="B10277" s="7" t="s">
        <v>151</v>
      </c>
    </row>
    <row r="10278" spans="1:2" x14ac:dyDescent="0.25">
      <c r="A10278" t="s">
        <v>12150</v>
      </c>
      <c r="B10278" s="7" t="s">
        <v>151</v>
      </c>
    </row>
    <row r="10279" spans="1:2" x14ac:dyDescent="0.25">
      <c r="A10279" t="s">
        <v>12151</v>
      </c>
      <c r="B10279" t="s">
        <v>628</v>
      </c>
    </row>
    <row r="10280" spans="1:2" x14ac:dyDescent="0.25">
      <c r="A10280" t="s">
        <v>12152</v>
      </c>
      <c r="B10280" t="s">
        <v>652</v>
      </c>
    </row>
    <row r="10281" spans="1:2" x14ac:dyDescent="0.25">
      <c r="A10281" t="s">
        <v>584</v>
      </c>
      <c r="B10281" t="s">
        <v>584</v>
      </c>
    </row>
    <row r="10282" spans="1:2" x14ac:dyDescent="0.25">
      <c r="A10282" t="s">
        <v>582</v>
      </c>
      <c r="B10282" t="s">
        <v>582</v>
      </c>
    </row>
    <row r="10283" spans="1:2" x14ac:dyDescent="0.25">
      <c r="A10283" t="s">
        <v>12153</v>
      </c>
      <c r="B10283" t="s">
        <v>644</v>
      </c>
    </row>
    <row r="10284" spans="1:2" x14ac:dyDescent="0.25">
      <c r="A10284" t="s">
        <v>12154</v>
      </c>
      <c r="B10284" t="s">
        <v>641</v>
      </c>
    </row>
    <row r="10285" spans="1:2" x14ac:dyDescent="0.25">
      <c r="A10285" t="s">
        <v>12155</v>
      </c>
      <c r="B10285" t="s">
        <v>651</v>
      </c>
    </row>
    <row r="10286" spans="1:2" x14ac:dyDescent="0.25">
      <c r="A10286" t="s">
        <v>12156</v>
      </c>
      <c r="B10286" t="s">
        <v>617</v>
      </c>
    </row>
    <row r="10287" spans="1:2" x14ac:dyDescent="0.25">
      <c r="A10287" t="s">
        <v>12157</v>
      </c>
      <c r="B10287" t="s">
        <v>1059</v>
      </c>
    </row>
    <row r="10288" spans="1:2" x14ac:dyDescent="0.25">
      <c r="A10288" t="s">
        <v>12158</v>
      </c>
      <c r="B10288" t="s">
        <v>642</v>
      </c>
    </row>
    <row r="10289" spans="1:2" x14ac:dyDescent="0.25">
      <c r="A10289" t="s">
        <v>12159</v>
      </c>
      <c r="B10289" t="s">
        <v>629</v>
      </c>
    </row>
    <row r="10290" spans="1:2" x14ac:dyDescent="0.25">
      <c r="A10290" t="s">
        <v>12160</v>
      </c>
      <c r="B10290" s="7" t="s">
        <v>480</v>
      </c>
    </row>
    <row r="10291" spans="1:2" x14ac:dyDescent="0.25">
      <c r="A10291" t="s">
        <v>12161</v>
      </c>
      <c r="B10291" s="7" t="s">
        <v>480</v>
      </c>
    </row>
    <row r="10292" spans="1:2" x14ac:dyDescent="0.25">
      <c r="A10292" t="s">
        <v>12162</v>
      </c>
      <c r="B10292" t="s">
        <v>609</v>
      </c>
    </row>
    <row r="10293" spans="1:2" x14ac:dyDescent="0.25">
      <c r="A10293" t="s">
        <v>12163</v>
      </c>
      <c r="B10293" t="s">
        <v>622</v>
      </c>
    </row>
    <row r="10294" spans="1:2" x14ac:dyDescent="0.25">
      <c r="A10294" t="s">
        <v>12164</v>
      </c>
      <c r="B10294" t="s">
        <v>653</v>
      </c>
    </row>
    <row r="10295" spans="1:2" x14ac:dyDescent="0.25">
      <c r="A10295" t="s">
        <v>12165</v>
      </c>
      <c r="B10295" t="s">
        <v>617</v>
      </c>
    </row>
    <row r="10296" spans="1:2" x14ac:dyDescent="0.25">
      <c r="A10296" t="s">
        <v>617</v>
      </c>
      <c r="B10296" t="s">
        <v>617</v>
      </c>
    </row>
    <row r="10297" spans="1:2" x14ac:dyDescent="0.25">
      <c r="A10297" t="s">
        <v>12166</v>
      </c>
      <c r="B10297" t="s">
        <v>582</v>
      </c>
    </row>
    <row r="10298" spans="1:2" x14ac:dyDescent="0.25">
      <c r="A10298" t="s">
        <v>12167</v>
      </c>
      <c r="B10298" s="7" t="s">
        <v>151</v>
      </c>
    </row>
    <row r="10299" spans="1:2" x14ac:dyDescent="0.25">
      <c r="A10299" t="s">
        <v>12168</v>
      </c>
      <c r="B10299" t="s">
        <v>653</v>
      </c>
    </row>
    <row r="10300" spans="1:2" x14ac:dyDescent="0.25">
      <c r="A10300" t="s">
        <v>12169</v>
      </c>
      <c r="B10300" t="s">
        <v>653</v>
      </c>
    </row>
    <row r="10301" spans="1:2" x14ac:dyDescent="0.25">
      <c r="A10301" t="s">
        <v>12170</v>
      </c>
      <c r="B10301" t="s">
        <v>433</v>
      </c>
    </row>
    <row r="10302" spans="1:2" x14ac:dyDescent="0.25">
      <c r="A10302" t="s">
        <v>12171</v>
      </c>
      <c r="B10302" t="s">
        <v>435</v>
      </c>
    </row>
    <row r="10303" spans="1:2" x14ac:dyDescent="0.25">
      <c r="A10303" t="s">
        <v>12172</v>
      </c>
      <c r="B10303" t="s">
        <v>435</v>
      </c>
    </row>
    <row r="10304" spans="1:2" x14ac:dyDescent="0.25">
      <c r="A10304" t="s">
        <v>505</v>
      </c>
      <c r="B10304" t="s">
        <v>505</v>
      </c>
    </row>
    <row r="10305" spans="1:2" x14ac:dyDescent="0.25">
      <c r="A10305" t="s">
        <v>12173</v>
      </c>
      <c r="B10305" t="s">
        <v>507</v>
      </c>
    </row>
    <row r="10306" spans="1:2" x14ac:dyDescent="0.25">
      <c r="A10306" t="s">
        <v>3400</v>
      </c>
      <c r="B10306" t="s">
        <v>3400</v>
      </c>
    </row>
    <row r="10307" spans="1:2" x14ac:dyDescent="0.25">
      <c r="A10307" t="s">
        <v>3401</v>
      </c>
      <c r="B10307" t="s">
        <v>3401</v>
      </c>
    </row>
    <row r="10308" spans="1:2" x14ac:dyDescent="0.25">
      <c r="A10308" t="s">
        <v>12174</v>
      </c>
      <c r="B10308" t="s">
        <v>501</v>
      </c>
    </row>
    <row r="10309" spans="1:2" x14ac:dyDescent="0.25">
      <c r="A10309" t="s">
        <v>12175</v>
      </c>
      <c r="B10309" t="s">
        <v>10366</v>
      </c>
    </row>
    <row r="10310" spans="1:2" x14ac:dyDescent="0.25">
      <c r="A10310" t="s">
        <v>12176</v>
      </c>
      <c r="B10310" t="s">
        <v>458</v>
      </c>
    </row>
    <row r="10311" spans="1:2" x14ac:dyDescent="0.25">
      <c r="A10311" t="s">
        <v>12177</v>
      </c>
      <c r="B10311" t="s">
        <v>462</v>
      </c>
    </row>
    <row r="10312" spans="1:2" x14ac:dyDescent="0.25">
      <c r="A10312" t="s">
        <v>602</v>
      </c>
      <c r="B10312" t="s">
        <v>602</v>
      </c>
    </row>
    <row r="10313" spans="1:2" x14ac:dyDescent="0.25">
      <c r="A10313" t="s">
        <v>12178</v>
      </c>
      <c r="B10313" s="7" t="s">
        <v>439</v>
      </c>
    </row>
    <row r="10314" spans="1:2" x14ac:dyDescent="0.25">
      <c r="A10314" t="s">
        <v>12179</v>
      </c>
      <c r="B10314" s="7" t="s">
        <v>151</v>
      </c>
    </row>
    <row r="10315" spans="1:2" x14ac:dyDescent="0.25">
      <c r="A10315" t="s">
        <v>12180</v>
      </c>
      <c r="B10315" s="7" t="s">
        <v>151</v>
      </c>
    </row>
    <row r="10316" spans="1:2" x14ac:dyDescent="0.25">
      <c r="A10316" t="s">
        <v>670</v>
      </c>
      <c r="B10316" t="s">
        <v>670</v>
      </c>
    </row>
    <row r="10317" spans="1:2" x14ac:dyDescent="0.25">
      <c r="A10317" t="s">
        <v>668</v>
      </c>
      <c r="B10317" t="s">
        <v>668</v>
      </c>
    </row>
    <row r="10318" spans="1:2" x14ac:dyDescent="0.25">
      <c r="A10318" t="s">
        <v>651</v>
      </c>
      <c r="B10318" t="s">
        <v>651</v>
      </c>
    </row>
    <row r="10319" spans="1:2" x14ac:dyDescent="0.25">
      <c r="A10319" t="s">
        <v>12181</v>
      </c>
      <c r="B10319" t="s">
        <v>634</v>
      </c>
    </row>
    <row r="10320" spans="1:2" x14ac:dyDescent="0.25">
      <c r="A10320" t="s">
        <v>625</v>
      </c>
      <c r="B10320" t="s">
        <v>625</v>
      </c>
    </row>
    <row r="10321" spans="1:2" x14ac:dyDescent="0.25">
      <c r="A10321" t="s">
        <v>12182</v>
      </c>
      <c r="B10321" t="s">
        <v>624</v>
      </c>
    </row>
    <row r="10322" spans="1:2" x14ac:dyDescent="0.25">
      <c r="A10322" t="s">
        <v>12183</v>
      </c>
      <c r="B10322" t="s">
        <v>12184</v>
      </c>
    </row>
    <row r="10323" spans="1:2" x14ac:dyDescent="0.25">
      <c r="A10323" t="s">
        <v>12185</v>
      </c>
      <c r="B10323" t="s">
        <v>670</v>
      </c>
    </row>
    <row r="10324" spans="1:2" x14ac:dyDescent="0.25">
      <c r="A10324" t="s">
        <v>12186</v>
      </c>
      <c r="B10324" t="s">
        <v>672</v>
      </c>
    </row>
    <row r="10325" spans="1:2" x14ac:dyDescent="0.25">
      <c r="A10325" t="s">
        <v>12187</v>
      </c>
      <c r="B10325" t="s">
        <v>671</v>
      </c>
    </row>
    <row r="10326" spans="1:2" x14ac:dyDescent="0.25">
      <c r="A10326" t="s">
        <v>12188</v>
      </c>
      <c r="B10326" t="s">
        <v>673</v>
      </c>
    </row>
    <row r="10327" spans="1:2" x14ac:dyDescent="0.25">
      <c r="A10327" t="s">
        <v>669</v>
      </c>
      <c r="B10327" t="s">
        <v>669</v>
      </c>
    </row>
    <row r="10328" spans="1:2" x14ac:dyDescent="0.25">
      <c r="A10328" t="s">
        <v>671</v>
      </c>
      <c r="B10328" t="s">
        <v>671</v>
      </c>
    </row>
    <row r="10329" spans="1:2" x14ac:dyDescent="0.25">
      <c r="A10329" t="s">
        <v>12189</v>
      </c>
      <c r="B10329" t="s">
        <v>625</v>
      </c>
    </row>
    <row r="10330" spans="1:2" x14ac:dyDescent="0.25">
      <c r="A10330" t="s">
        <v>12190</v>
      </c>
      <c r="B10330" t="s">
        <v>653</v>
      </c>
    </row>
    <row r="10331" spans="1:2" x14ac:dyDescent="0.25">
      <c r="A10331" t="s">
        <v>12191</v>
      </c>
      <c r="B10331" t="s">
        <v>668</v>
      </c>
    </row>
    <row r="10332" spans="1:2" x14ac:dyDescent="0.25">
      <c r="A10332" t="s">
        <v>12192</v>
      </c>
      <c r="B10332" t="s">
        <v>669</v>
      </c>
    </row>
    <row r="10333" spans="1:2" x14ac:dyDescent="0.25">
      <c r="A10333" t="s">
        <v>12193</v>
      </c>
      <c r="B10333" t="s">
        <v>670</v>
      </c>
    </row>
    <row r="10334" spans="1:2" x14ac:dyDescent="0.25">
      <c r="A10334" t="s">
        <v>12194</v>
      </c>
      <c r="B10334" t="s">
        <v>671</v>
      </c>
    </row>
    <row r="10335" spans="1:2" x14ac:dyDescent="0.25">
      <c r="A10335" t="s">
        <v>12195</v>
      </c>
      <c r="B10335" t="s">
        <v>672</v>
      </c>
    </row>
    <row r="10336" spans="1:2" x14ac:dyDescent="0.25">
      <c r="A10336" t="s">
        <v>12196</v>
      </c>
      <c r="B10336" t="s">
        <v>673</v>
      </c>
    </row>
    <row r="10337" spans="1:2" x14ac:dyDescent="0.25">
      <c r="A10337" t="s">
        <v>12197</v>
      </c>
      <c r="B10337" t="s">
        <v>610</v>
      </c>
    </row>
    <row r="10338" spans="1:2" x14ac:dyDescent="0.25">
      <c r="A10338" t="s">
        <v>12198</v>
      </c>
      <c r="B10338" t="s">
        <v>610</v>
      </c>
    </row>
    <row r="10339" spans="1:2" x14ac:dyDescent="0.25">
      <c r="A10339" t="s">
        <v>12199</v>
      </c>
      <c r="B10339" t="s">
        <v>623</v>
      </c>
    </row>
    <row r="10340" spans="1:2" x14ac:dyDescent="0.25">
      <c r="A10340" t="s">
        <v>635</v>
      </c>
      <c r="B10340" t="s">
        <v>635</v>
      </c>
    </row>
    <row r="10341" spans="1:2" x14ac:dyDescent="0.25">
      <c r="A10341" t="s">
        <v>626</v>
      </c>
      <c r="B10341" t="s">
        <v>626</v>
      </c>
    </row>
    <row r="10342" spans="1:2" x14ac:dyDescent="0.25">
      <c r="A10342" t="s">
        <v>631</v>
      </c>
      <c r="B10342" t="s">
        <v>631</v>
      </c>
    </row>
    <row r="10343" spans="1:2" x14ac:dyDescent="0.25">
      <c r="A10343" t="s">
        <v>12200</v>
      </c>
      <c r="B10343" t="s">
        <v>9655</v>
      </c>
    </row>
    <row r="10344" spans="1:2" x14ac:dyDescent="0.25">
      <c r="A10344" t="s">
        <v>12201</v>
      </c>
      <c r="B10344" s="7" t="s">
        <v>468</v>
      </c>
    </row>
    <row r="10345" spans="1:2" x14ac:dyDescent="0.25">
      <c r="A10345" t="s">
        <v>12202</v>
      </c>
      <c r="B10345" s="7" t="s">
        <v>468</v>
      </c>
    </row>
    <row r="10346" spans="1:2" x14ac:dyDescent="0.25">
      <c r="A10346" s="14" t="s">
        <v>655</v>
      </c>
      <c r="B10346" s="14" t="s">
        <v>655</v>
      </c>
    </row>
    <row r="10347" spans="1:2" x14ac:dyDescent="0.25">
      <c r="A10347" t="s">
        <v>12203</v>
      </c>
      <c r="B10347" s="7" t="s">
        <v>153</v>
      </c>
    </row>
    <row r="10348" spans="1:2" x14ac:dyDescent="0.25">
      <c r="A10348" t="s">
        <v>12204</v>
      </c>
      <c r="B10348" t="s">
        <v>621</v>
      </c>
    </row>
    <row r="10349" spans="1:2" x14ac:dyDescent="0.25">
      <c r="A10349" t="s">
        <v>673</v>
      </c>
      <c r="B10349" t="s">
        <v>673</v>
      </c>
    </row>
    <row r="10350" spans="1:2" x14ac:dyDescent="0.25">
      <c r="A10350" t="s">
        <v>12205</v>
      </c>
      <c r="B10350" t="s">
        <v>121</v>
      </c>
    </row>
    <row r="10351" spans="1:2" x14ac:dyDescent="0.25">
      <c r="A10351" t="s">
        <v>656</v>
      </c>
      <c r="B10351" t="s">
        <v>656</v>
      </c>
    </row>
    <row r="10352" spans="1:2" x14ac:dyDescent="0.25">
      <c r="A10352" t="s">
        <v>12206</v>
      </c>
      <c r="B10352" t="s">
        <v>603</v>
      </c>
    </row>
    <row r="10353" spans="1:2" x14ac:dyDescent="0.25">
      <c r="A10353" t="s">
        <v>672</v>
      </c>
      <c r="B10353" t="s">
        <v>672</v>
      </c>
    </row>
    <row r="10354" spans="1:2" x14ac:dyDescent="0.25">
      <c r="A10354" t="s">
        <v>12207</v>
      </c>
      <c r="B10354" t="s">
        <v>655</v>
      </c>
    </row>
    <row r="10355" spans="1:2" x14ac:dyDescent="0.25">
      <c r="A10355" t="s">
        <v>604</v>
      </c>
      <c r="B10355" t="s">
        <v>604</v>
      </c>
    </row>
    <row r="10356" spans="1:2" x14ac:dyDescent="0.25">
      <c r="A10356" t="s">
        <v>12208</v>
      </c>
      <c r="B10356" s="7" t="s">
        <v>335</v>
      </c>
    </row>
    <row r="10357" spans="1:2" x14ac:dyDescent="0.25">
      <c r="A10357" t="s">
        <v>12209</v>
      </c>
      <c r="B10357" s="7" t="s">
        <v>275</v>
      </c>
    </row>
    <row r="10358" spans="1:2" x14ac:dyDescent="0.25">
      <c r="A10358" t="s">
        <v>12210</v>
      </c>
      <c r="B10358" t="s">
        <v>645</v>
      </c>
    </row>
    <row r="10359" spans="1:2" x14ac:dyDescent="0.25">
      <c r="A10359" t="s">
        <v>12211</v>
      </c>
      <c r="B10359" t="s">
        <v>650</v>
      </c>
    </row>
    <row r="10360" spans="1:2" x14ac:dyDescent="0.25">
      <c r="A10360" t="s">
        <v>12212</v>
      </c>
      <c r="B10360" t="s">
        <v>641</v>
      </c>
    </row>
    <row r="10361" spans="1:2" x14ac:dyDescent="0.25">
      <c r="A10361" t="s">
        <v>12213</v>
      </c>
      <c r="B10361" t="s">
        <v>494</v>
      </c>
    </row>
    <row r="10362" spans="1:2" x14ac:dyDescent="0.25">
      <c r="A10362" t="s">
        <v>654</v>
      </c>
      <c r="B10362" t="s">
        <v>654</v>
      </c>
    </row>
    <row r="10363" spans="1:2" x14ac:dyDescent="0.25">
      <c r="A10363" t="s">
        <v>603</v>
      </c>
      <c r="B10363" t="s">
        <v>603</v>
      </c>
    </row>
    <row r="10364" spans="1:2" x14ac:dyDescent="0.25">
      <c r="A10364" t="s">
        <v>12214</v>
      </c>
      <c r="B10364" s="7" t="s">
        <v>10935</v>
      </c>
    </row>
    <row r="10365" spans="1:2" x14ac:dyDescent="0.25">
      <c r="A10365" t="s">
        <v>12215</v>
      </c>
      <c r="B10365" t="s">
        <v>413</v>
      </c>
    </row>
    <row r="10366" spans="1:2" x14ac:dyDescent="0.25">
      <c r="A10366" t="s">
        <v>12216</v>
      </c>
      <c r="B10366" t="s">
        <v>644</v>
      </c>
    </row>
    <row r="10367" spans="1:2" x14ac:dyDescent="0.25">
      <c r="A10367" t="s">
        <v>12217</v>
      </c>
      <c r="B10367" t="s">
        <v>631</v>
      </c>
    </row>
    <row r="10368" spans="1:2" x14ac:dyDescent="0.25">
      <c r="A10368" t="s">
        <v>12218</v>
      </c>
      <c r="B10368" t="s">
        <v>647</v>
      </c>
    </row>
    <row r="10369" spans="1:2" x14ac:dyDescent="0.25">
      <c r="A10369" t="s">
        <v>12219</v>
      </c>
      <c r="B10369" t="s">
        <v>646</v>
      </c>
    </row>
    <row r="10370" spans="1:2" x14ac:dyDescent="0.25">
      <c r="A10370" t="s">
        <v>12220</v>
      </c>
      <c r="B10370" t="s">
        <v>348</v>
      </c>
    </row>
    <row r="10371" spans="1:2" x14ac:dyDescent="0.25">
      <c r="A10371" t="s">
        <v>12221</v>
      </c>
      <c r="B10371" t="s">
        <v>273</v>
      </c>
    </row>
    <row r="10372" spans="1:2" x14ac:dyDescent="0.25">
      <c r="A10372" t="s">
        <v>12222</v>
      </c>
      <c r="B10372" t="s">
        <v>2377</v>
      </c>
    </row>
    <row r="10373" spans="1:2" x14ac:dyDescent="0.25">
      <c r="A10373" t="s">
        <v>455</v>
      </c>
      <c r="B10373" t="s">
        <v>454</v>
      </c>
    </row>
    <row r="10374" spans="1:2" x14ac:dyDescent="0.25">
      <c r="A10374" t="s">
        <v>2170</v>
      </c>
      <c r="B10374" t="s">
        <v>2169</v>
      </c>
    </row>
    <row r="10375" spans="1:2" x14ac:dyDescent="0.25">
      <c r="A10375" t="s">
        <v>451</v>
      </c>
      <c r="B10375" t="s">
        <v>450</v>
      </c>
    </row>
    <row r="10376" spans="1:2" x14ac:dyDescent="0.25">
      <c r="A10376" t="s">
        <v>457</v>
      </c>
      <c r="B10376" t="s">
        <v>456</v>
      </c>
    </row>
    <row r="10377" spans="1:2" x14ac:dyDescent="0.25">
      <c r="A10377" t="s">
        <v>469</v>
      </c>
      <c r="B10377" t="s">
        <v>468</v>
      </c>
    </row>
    <row r="10378" spans="1:2" x14ac:dyDescent="0.25">
      <c r="A10378" t="s">
        <v>894</v>
      </c>
      <c r="B10378" t="s">
        <v>893</v>
      </c>
    </row>
    <row r="10379" spans="1:2" x14ac:dyDescent="0.25">
      <c r="A10379" t="s">
        <v>1279</v>
      </c>
      <c r="B10379" t="s">
        <v>1278</v>
      </c>
    </row>
    <row r="10380" spans="1:2" x14ac:dyDescent="0.25">
      <c r="A10380" t="s">
        <v>1282</v>
      </c>
      <c r="B10380" t="s">
        <v>1281</v>
      </c>
    </row>
    <row r="10381" spans="1:2" x14ac:dyDescent="0.25">
      <c r="A10381" t="s">
        <v>2118</v>
      </c>
      <c r="B10381" t="s">
        <v>2117</v>
      </c>
    </row>
    <row r="10382" spans="1:2" x14ac:dyDescent="0.25">
      <c r="A10382" t="s">
        <v>2126</v>
      </c>
      <c r="B10382" t="s">
        <v>2125</v>
      </c>
    </row>
    <row r="10383" spans="1:2" x14ac:dyDescent="0.25">
      <c r="A10383" t="s">
        <v>12223</v>
      </c>
      <c r="B10383" t="s">
        <v>1102</v>
      </c>
    </row>
    <row r="10384" spans="1:2" x14ac:dyDescent="0.25">
      <c r="A10384" t="s">
        <v>2138</v>
      </c>
      <c r="B10384" t="s">
        <v>2137</v>
      </c>
    </row>
    <row r="10385" spans="1:2" x14ac:dyDescent="0.25">
      <c r="A10385" t="s">
        <v>12224</v>
      </c>
      <c r="B10385" t="s">
        <v>812</v>
      </c>
    </row>
    <row r="10386" spans="1:2" x14ac:dyDescent="0.25">
      <c r="A10386" t="s">
        <v>2120</v>
      </c>
      <c r="B10386" t="s">
        <v>2119</v>
      </c>
    </row>
    <row r="10387" spans="1:2" x14ac:dyDescent="0.25">
      <c r="A10387" t="s">
        <v>12225</v>
      </c>
      <c r="B10387" t="s">
        <v>1337</v>
      </c>
    </row>
    <row r="10388" spans="1:2" x14ac:dyDescent="0.25">
      <c r="A10388" t="s">
        <v>12226</v>
      </c>
      <c r="B10388" t="s">
        <v>913</v>
      </c>
    </row>
    <row r="10389" spans="1:2" x14ac:dyDescent="0.25">
      <c r="A10389" t="s">
        <v>12227</v>
      </c>
      <c r="B10389" t="s">
        <v>1494</v>
      </c>
    </row>
    <row r="10390" spans="1:2" x14ac:dyDescent="0.25">
      <c r="A10390" t="s">
        <v>12228</v>
      </c>
      <c r="B10390" t="s">
        <v>2506</v>
      </c>
    </row>
    <row r="10391" spans="1:2" x14ac:dyDescent="0.25">
      <c r="A10391" t="s">
        <v>12229</v>
      </c>
      <c r="B10391" t="s">
        <v>1105</v>
      </c>
    </row>
    <row r="10392" spans="1:2" x14ac:dyDescent="0.25">
      <c r="A10392" t="s">
        <v>2130</v>
      </c>
      <c r="B10392" t="s">
        <v>2129</v>
      </c>
    </row>
    <row r="10393" spans="1:2" x14ac:dyDescent="0.25">
      <c r="A10393" t="s">
        <v>1259</v>
      </c>
      <c r="B10393" t="s">
        <v>1258</v>
      </c>
    </row>
    <row r="10394" spans="1:2" x14ac:dyDescent="0.25">
      <c r="A10394" t="s">
        <v>2116</v>
      </c>
      <c r="B10394" t="s">
        <v>2115</v>
      </c>
    </row>
    <row r="10395" spans="1:2" x14ac:dyDescent="0.25">
      <c r="A10395" t="s">
        <v>1263</v>
      </c>
      <c r="B10395" t="s">
        <v>1262</v>
      </c>
    </row>
    <row r="10396" spans="1:2" x14ac:dyDescent="0.25">
      <c r="A10396" t="s">
        <v>2055</v>
      </c>
      <c r="B10396" t="s">
        <v>2054</v>
      </c>
    </row>
    <row r="10397" spans="1:2" x14ac:dyDescent="0.25">
      <c r="A10397" t="s">
        <v>2058</v>
      </c>
      <c r="B10397" t="s">
        <v>2057</v>
      </c>
    </row>
    <row r="10398" spans="1:2" x14ac:dyDescent="0.25">
      <c r="A10398" t="s">
        <v>459</v>
      </c>
      <c r="B10398" t="s">
        <v>458</v>
      </c>
    </row>
    <row r="10399" spans="1:2" x14ac:dyDescent="0.25">
      <c r="A10399" t="s">
        <v>465</v>
      </c>
      <c r="B10399" t="s">
        <v>464</v>
      </c>
    </row>
    <row r="10400" spans="1:2" x14ac:dyDescent="0.25">
      <c r="A10400" t="s">
        <v>2166</v>
      </c>
      <c r="B10400" t="s">
        <v>2165</v>
      </c>
    </row>
    <row r="10401" spans="1:2" x14ac:dyDescent="0.25">
      <c r="A10401" t="s">
        <v>12230</v>
      </c>
      <c r="B10401" t="s">
        <v>847</v>
      </c>
    </row>
    <row r="10402" spans="1:2" x14ac:dyDescent="0.25">
      <c r="A10402" t="s">
        <v>12231</v>
      </c>
      <c r="B10402" t="s">
        <v>2908</v>
      </c>
    </row>
    <row r="10403" spans="1:2" x14ac:dyDescent="0.25">
      <c r="A10403" t="s">
        <v>12232</v>
      </c>
      <c r="B10403" t="s">
        <v>806</v>
      </c>
    </row>
    <row r="10404" spans="1:2" x14ac:dyDescent="0.25">
      <c r="A10404" t="s">
        <v>12233</v>
      </c>
      <c r="B10404" t="s">
        <v>809</v>
      </c>
    </row>
    <row r="10405" spans="1:2" x14ac:dyDescent="0.25">
      <c r="A10405" t="s">
        <v>2142</v>
      </c>
      <c r="B10405" t="s">
        <v>2141</v>
      </c>
    </row>
    <row r="10406" spans="1:2" x14ac:dyDescent="0.25">
      <c r="A10406" t="s">
        <v>1847</v>
      </c>
      <c r="B10406" t="s">
        <v>1846</v>
      </c>
    </row>
    <row r="10407" spans="1:2" x14ac:dyDescent="0.25">
      <c r="A10407" t="s">
        <v>2150</v>
      </c>
      <c r="B10407" t="s">
        <v>2149</v>
      </c>
    </row>
    <row r="10408" spans="1:2" x14ac:dyDescent="0.25">
      <c r="A10408" t="s">
        <v>2146</v>
      </c>
      <c r="B10408" t="s">
        <v>2145</v>
      </c>
    </row>
    <row r="10409" spans="1:2" x14ac:dyDescent="0.25">
      <c r="A10409" t="s">
        <v>2134</v>
      </c>
      <c r="B10409" t="s">
        <v>2133</v>
      </c>
    </row>
    <row r="10410" spans="1:2" x14ac:dyDescent="0.25">
      <c r="A10410" t="s">
        <v>2122</v>
      </c>
      <c r="B10410" t="s">
        <v>2121</v>
      </c>
    </row>
    <row r="10411" spans="1:2" x14ac:dyDescent="0.25">
      <c r="A10411" t="s">
        <v>12234</v>
      </c>
      <c r="B10411" t="s">
        <v>2840</v>
      </c>
    </row>
    <row r="10412" spans="1:2" x14ac:dyDescent="0.25">
      <c r="A10412" t="s">
        <v>2124</v>
      </c>
      <c r="B10412" t="s">
        <v>2123</v>
      </c>
    </row>
    <row r="10413" spans="1:2" x14ac:dyDescent="0.25">
      <c r="A10413" t="s">
        <v>2148</v>
      </c>
      <c r="B10413" t="s">
        <v>2147</v>
      </c>
    </row>
    <row r="10414" spans="1:2" x14ac:dyDescent="0.25">
      <c r="A10414" t="s">
        <v>2152</v>
      </c>
      <c r="B10414" t="s">
        <v>2151</v>
      </c>
    </row>
    <row r="10415" spans="1:2" x14ac:dyDescent="0.25">
      <c r="A10415" t="s">
        <v>1025</v>
      </c>
      <c r="B10415" t="s">
        <v>1024</v>
      </c>
    </row>
    <row r="10416" spans="1:2" x14ac:dyDescent="0.25">
      <c r="A10416" t="s">
        <v>1779</v>
      </c>
      <c r="B10416" t="s">
        <v>1778</v>
      </c>
    </row>
    <row r="10417" spans="1:2" x14ac:dyDescent="0.25">
      <c r="A10417" t="s">
        <v>1505</v>
      </c>
      <c r="B10417" t="s">
        <v>1504</v>
      </c>
    </row>
    <row r="10418" spans="1:2" x14ac:dyDescent="0.25">
      <c r="A10418" t="s">
        <v>1837</v>
      </c>
      <c r="B10418" t="s">
        <v>1836</v>
      </c>
    </row>
    <row r="10419" spans="1:2" x14ac:dyDescent="0.25">
      <c r="A10419" t="s">
        <v>12235</v>
      </c>
      <c r="B10419" t="s">
        <v>955</v>
      </c>
    </row>
    <row r="10420" spans="1:2" x14ac:dyDescent="0.25">
      <c r="A10420" t="s">
        <v>1402</v>
      </c>
      <c r="B10420" t="s">
        <v>1401</v>
      </c>
    </row>
    <row r="10421" spans="1:2" x14ac:dyDescent="0.25">
      <c r="A10421" t="s">
        <v>2092</v>
      </c>
      <c r="B10421" t="s">
        <v>2091</v>
      </c>
    </row>
    <row r="10422" spans="1:2" x14ac:dyDescent="0.25">
      <c r="A10422" t="s">
        <v>2098</v>
      </c>
      <c r="B10422" t="s">
        <v>2097</v>
      </c>
    </row>
    <row r="10423" spans="1:2" x14ac:dyDescent="0.25">
      <c r="A10423" t="s">
        <v>2158</v>
      </c>
      <c r="B10423" t="s">
        <v>2157</v>
      </c>
    </row>
    <row r="10424" spans="1:2" x14ac:dyDescent="0.25">
      <c r="A10424" t="s">
        <v>2114</v>
      </c>
      <c r="B10424" t="s">
        <v>2113</v>
      </c>
    </row>
    <row r="10425" spans="1:2" x14ac:dyDescent="0.25">
      <c r="A10425" t="s">
        <v>12236</v>
      </c>
      <c r="B10425" t="s">
        <v>867</v>
      </c>
    </row>
    <row r="10426" spans="1:2" x14ac:dyDescent="0.25">
      <c r="A10426" t="s">
        <v>2136</v>
      </c>
      <c r="B10426" t="s">
        <v>2135</v>
      </c>
    </row>
    <row r="10427" spans="1:2" x14ac:dyDescent="0.25">
      <c r="A10427" t="s">
        <v>2102</v>
      </c>
      <c r="B10427" t="s">
        <v>2101</v>
      </c>
    </row>
    <row r="10428" spans="1:2" x14ac:dyDescent="0.25">
      <c r="A10428" t="s">
        <v>1293</v>
      </c>
      <c r="B10428" t="s">
        <v>1292</v>
      </c>
    </row>
    <row r="10429" spans="1:2" x14ac:dyDescent="0.25">
      <c r="A10429" t="s">
        <v>2144</v>
      </c>
      <c r="B10429" t="s">
        <v>2143</v>
      </c>
    </row>
    <row r="10430" spans="1:2" x14ac:dyDescent="0.25">
      <c r="A10430" t="s">
        <v>2162</v>
      </c>
      <c r="B10430" t="s">
        <v>2161</v>
      </c>
    </row>
    <row r="10431" spans="1:2" x14ac:dyDescent="0.25">
      <c r="A10431" t="s">
        <v>12237</v>
      </c>
      <c r="B10431" t="s">
        <v>803</v>
      </c>
    </row>
    <row r="10432" spans="1:2" x14ac:dyDescent="0.25">
      <c r="A10432" t="s">
        <v>12238</v>
      </c>
      <c r="B10432" t="s">
        <v>720</v>
      </c>
    </row>
    <row r="10433" spans="1:2" x14ac:dyDescent="0.25">
      <c r="A10433" t="s">
        <v>12239</v>
      </c>
      <c r="B10433" t="s">
        <v>2762</v>
      </c>
    </row>
    <row r="10434" spans="1:2" x14ac:dyDescent="0.25">
      <c r="A10434" t="s">
        <v>12240</v>
      </c>
      <c r="B10434" t="s">
        <v>2499</v>
      </c>
    </row>
    <row r="10435" spans="1:2" x14ac:dyDescent="0.25">
      <c r="A10435" t="s">
        <v>12241</v>
      </c>
      <c r="B10435" t="s">
        <v>2501</v>
      </c>
    </row>
    <row r="10436" spans="1:2" x14ac:dyDescent="0.25">
      <c r="A10436" t="s">
        <v>12242</v>
      </c>
      <c r="B10436" t="s">
        <v>2503</v>
      </c>
    </row>
    <row r="10437" spans="1:2" x14ac:dyDescent="0.25">
      <c r="A10437" t="s">
        <v>112</v>
      </c>
      <c r="B10437" t="s">
        <v>111</v>
      </c>
    </row>
    <row r="10438" spans="1:2" x14ac:dyDescent="0.25">
      <c r="A10438" t="s">
        <v>12243</v>
      </c>
      <c r="B10438" t="s">
        <v>716</v>
      </c>
    </row>
    <row r="10439" spans="1:2" x14ac:dyDescent="0.25">
      <c r="A10439" t="s">
        <v>2088</v>
      </c>
      <c r="B10439" t="s">
        <v>2087</v>
      </c>
    </row>
    <row r="10440" spans="1:2" x14ac:dyDescent="0.25">
      <c r="A10440" t="s">
        <v>2164</v>
      </c>
      <c r="B10440" t="s">
        <v>2163</v>
      </c>
    </row>
    <row r="10441" spans="1:2" x14ac:dyDescent="0.25">
      <c r="A10441" t="s">
        <v>2156</v>
      </c>
      <c r="B10441" t="s">
        <v>2155</v>
      </c>
    </row>
    <row r="10442" spans="1:2" x14ac:dyDescent="0.25">
      <c r="A10442" t="s">
        <v>12244</v>
      </c>
      <c r="B10442" t="s">
        <v>871</v>
      </c>
    </row>
    <row r="10443" spans="1:2" x14ac:dyDescent="0.25">
      <c r="A10443" t="s">
        <v>12245</v>
      </c>
      <c r="B10443" t="s">
        <v>730</v>
      </c>
    </row>
    <row r="10444" spans="1:2" x14ac:dyDescent="0.25">
      <c r="A10444" t="s">
        <v>2132</v>
      </c>
      <c r="B10444" t="s">
        <v>2131</v>
      </c>
    </row>
    <row r="10445" spans="1:2" x14ac:dyDescent="0.25">
      <c r="A10445" t="s">
        <v>1949</v>
      </c>
      <c r="B10445" t="s">
        <v>1948</v>
      </c>
    </row>
    <row r="10446" spans="1:2" x14ac:dyDescent="0.25">
      <c r="A10446" t="s">
        <v>2154</v>
      </c>
      <c r="B10446" t="s">
        <v>2153</v>
      </c>
    </row>
    <row r="10447" spans="1:2" x14ac:dyDescent="0.25">
      <c r="A10447" t="s">
        <v>12246</v>
      </c>
      <c r="B10447" t="s">
        <v>874</v>
      </c>
    </row>
    <row r="10448" spans="1:2" x14ac:dyDescent="0.25">
      <c r="A10448" t="s">
        <v>1302</v>
      </c>
      <c r="B10448" t="s">
        <v>1301</v>
      </c>
    </row>
    <row r="10449" spans="1:2" x14ac:dyDescent="0.25">
      <c r="A10449" t="s">
        <v>12247</v>
      </c>
      <c r="B10449" t="s">
        <v>1408</v>
      </c>
    </row>
    <row r="10450" spans="1:2" x14ac:dyDescent="0.25">
      <c r="A10450" t="s">
        <v>2160</v>
      </c>
      <c r="B10450" t="s">
        <v>2159</v>
      </c>
    </row>
    <row r="10451" spans="1:2" x14ac:dyDescent="0.25">
      <c r="A10451" t="s">
        <v>2140</v>
      </c>
      <c r="B10451" t="s">
        <v>2139</v>
      </c>
    </row>
    <row r="10452" spans="1:2" x14ac:dyDescent="0.25">
      <c r="A10452" t="s">
        <v>1745</v>
      </c>
      <c r="B10452" t="s">
        <v>1744</v>
      </c>
    </row>
    <row r="10453" spans="1:2" x14ac:dyDescent="0.25">
      <c r="A10453" t="s">
        <v>962</v>
      </c>
      <c r="B10453" t="s">
        <v>961</v>
      </c>
    </row>
    <row r="10454" spans="1:2" x14ac:dyDescent="0.25">
      <c r="A10454" t="s">
        <v>12248</v>
      </c>
      <c r="B10454" t="s">
        <v>1356</v>
      </c>
    </row>
    <row r="10455" spans="1:2" x14ac:dyDescent="0.25">
      <c r="A10455" t="s">
        <v>1289</v>
      </c>
      <c r="B10455" t="s">
        <v>1288</v>
      </c>
    </row>
    <row r="10456" spans="1:2" x14ac:dyDescent="0.25">
      <c r="A10456" t="s">
        <v>1572</v>
      </c>
      <c r="B10456" t="s">
        <v>1571</v>
      </c>
    </row>
    <row r="10457" spans="1:2" x14ac:dyDescent="0.25">
      <c r="A10457" t="s">
        <v>1683</v>
      </c>
      <c r="B10457" t="s">
        <v>1682</v>
      </c>
    </row>
    <row r="10458" spans="1:2" x14ac:dyDescent="0.25">
      <c r="A10458" t="s">
        <v>12249</v>
      </c>
      <c r="B10458" t="s">
        <v>880</v>
      </c>
    </row>
    <row r="10459" spans="1:2" x14ac:dyDescent="0.25">
      <c r="A10459" t="s">
        <v>965</v>
      </c>
      <c r="B10459" t="s">
        <v>964</v>
      </c>
    </row>
    <row r="10460" spans="1:2" x14ac:dyDescent="0.25">
      <c r="A10460" t="s">
        <v>12250</v>
      </c>
      <c r="B10460" t="s">
        <v>877</v>
      </c>
    </row>
    <row r="10461" spans="1:2" x14ac:dyDescent="0.25">
      <c r="A10461" t="s">
        <v>2104</v>
      </c>
      <c r="B10461" t="s">
        <v>2103</v>
      </c>
    </row>
    <row r="10462" spans="1:2" x14ac:dyDescent="0.25">
      <c r="A10462" t="s">
        <v>2112</v>
      </c>
      <c r="B10462" t="s">
        <v>2111</v>
      </c>
    </row>
    <row r="10463" spans="1:2" x14ac:dyDescent="0.25">
      <c r="A10463" t="s">
        <v>2094</v>
      </c>
      <c r="B10463" t="s">
        <v>2093</v>
      </c>
    </row>
    <row r="10464" spans="1:2" x14ac:dyDescent="0.25">
      <c r="A10464" t="s">
        <v>2096</v>
      </c>
      <c r="B10464" t="s">
        <v>2095</v>
      </c>
    </row>
    <row r="10465" spans="1:2" x14ac:dyDescent="0.25">
      <c r="A10465" t="s">
        <v>2090</v>
      </c>
      <c r="B10465" t="s">
        <v>2089</v>
      </c>
    </row>
    <row r="10466" spans="1:2" x14ac:dyDescent="0.25">
      <c r="A10466" t="s">
        <v>2106</v>
      </c>
      <c r="B10466" t="s">
        <v>2105</v>
      </c>
    </row>
    <row r="10467" spans="1:2" x14ac:dyDescent="0.25">
      <c r="A10467" t="s">
        <v>2100</v>
      </c>
      <c r="B10467" t="s">
        <v>2099</v>
      </c>
    </row>
    <row r="10468" spans="1:2" x14ac:dyDescent="0.25">
      <c r="A10468" t="s">
        <v>2110</v>
      </c>
      <c r="B10468" t="s">
        <v>2109</v>
      </c>
    </row>
    <row r="10469" spans="1:2" x14ac:dyDescent="0.25">
      <c r="A10469" t="s">
        <v>2108</v>
      </c>
      <c r="B10469" t="s">
        <v>2107</v>
      </c>
    </row>
    <row r="10470" spans="1:2" x14ac:dyDescent="0.25">
      <c r="A10470" t="s">
        <v>1743</v>
      </c>
      <c r="B10470" t="s">
        <v>1742</v>
      </c>
    </row>
    <row r="10471" spans="1:2" x14ac:dyDescent="0.25">
      <c r="A10471" t="s">
        <v>12251</v>
      </c>
      <c r="B10471" t="s">
        <v>4753</v>
      </c>
    </row>
    <row r="10472" spans="1:2" x14ac:dyDescent="0.25">
      <c r="A10472" t="s">
        <v>12252</v>
      </c>
      <c r="B10472" t="s">
        <v>1275</v>
      </c>
    </row>
    <row r="10473" spans="1:2" x14ac:dyDescent="0.25">
      <c r="A10473" t="s">
        <v>12253</v>
      </c>
      <c r="B10473" t="s">
        <v>764</v>
      </c>
    </row>
    <row r="10474" spans="1:2" x14ac:dyDescent="0.25">
      <c r="A10474" t="s">
        <v>795</v>
      </c>
      <c r="B10474" t="s">
        <v>794</v>
      </c>
    </row>
    <row r="10475" spans="1:2" x14ac:dyDescent="0.25">
      <c r="A10475" t="s">
        <v>1360</v>
      </c>
      <c r="B10475" t="s">
        <v>1359</v>
      </c>
    </row>
    <row r="10476" spans="1:2" x14ac:dyDescent="0.25">
      <c r="A10476" t="s">
        <v>2887</v>
      </c>
      <c r="B10476" t="s">
        <v>2886</v>
      </c>
    </row>
    <row r="10477" spans="1:2" x14ac:dyDescent="0.25">
      <c r="A10477" t="s">
        <v>1368</v>
      </c>
      <c r="B10477" t="s">
        <v>1367</v>
      </c>
    </row>
    <row r="10478" spans="1:2" x14ac:dyDescent="0.25">
      <c r="A10478" t="s">
        <v>12254</v>
      </c>
      <c r="B10478" t="s">
        <v>635</v>
      </c>
    </row>
    <row r="10479" spans="1:2" x14ac:dyDescent="0.25">
      <c r="A10479" t="s">
        <v>426</v>
      </c>
      <c r="B10479" t="s">
        <v>425</v>
      </c>
    </row>
    <row r="10480" spans="1:2" x14ac:dyDescent="0.25">
      <c r="A10480" t="s">
        <v>69</v>
      </c>
      <c r="B10480" t="s">
        <v>68</v>
      </c>
    </row>
    <row r="10481" spans="1:2" x14ac:dyDescent="0.25">
      <c r="A10481" t="s">
        <v>2184</v>
      </c>
      <c r="B10481" t="s">
        <v>2183</v>
      </c>
    </row>
    <row r="10482" spans="1:2" x14ac:dyDescent="0.25">
      <c r="A10482" t="s">
        <v>1372</v>
      </c>
      <c r="B10482" t="s">
        <v>1371</v>
      </c>
    </row>
    <row r="10483" spans="1:2" x14ac:dyDescent="0.25">
      <c r="A10483" t="s">
        <v>1240</v>
      </c>
      <c r="B10483" t="s">
        <v>1239</v>
      </c>
    </row>
    <row r="10484" spans="1:2" x14ac:dyDescent="0.25">
      <c r="A10484" t="s">
        <v>1244</v>
      </c>
      <c r="B10484" t="s">
        <v>1243</v>
      </c>
    </row>
    <row r="10485" spans="1:2" x14ac:dyDescent="0.25">
      <c r="A10485" t="s">
        <v>1236</v>
      </c>
      <c r="B10485" t="s">
        <v>1235</v>
      </c>
    </row>
    <row r="10486" spans="1:2" x14ac:dyDescent="0.25">
      <c r="A10486" t="s">
        <v>2085</v>
      </c>
      <c r="B10486" t="s">
        <v>2084</v>
      </c>
    </row>
    <row r="10487" spans="1:2" x14ac:dyDescent="0.25">
      <c r="A10487" t="s">
        <v>2083</v>
      </c>
      <c r="B10487" t="s">
        <v>2082</v>
      </c>
    </row>
    <row r="10488" spans="1:2" x14ac:dyDescent="0.25">
      <c r="A10488" t="s">
        <v>2192</v>
      </c>
      <c r="B10488" t="s">
        <v>2191</v>
      </c>
    </row>
    <row r="10489" spans="1:2" x14ac:dyDescent="0.25">
      <c r="A10489" t="s">
        <v>12255</v>
      </c>
      <c r="B10489" t="s">
        <v>620</v>
      </c>
    </row>
    <row r="10490" spans="1:2" x14ac:dyDescent="0.25">
      <c r="A10490" t="s">
        <v>2043</v>
      </c>
      <c r="B10490" t="s">
        <v>2042</v>
      </c>
    </row>
    <row r="10491" spans="1:2" x14ac:dyDescent="0.25">
      <c r="A10491" t="s">
        <v>12256</v>
      </c>
      <c r="B10491" t="s">
        <v>503</v>
      </c>
    </row>
    <row r="10492" spans="1:2" x14ac:dyDescent="0.25">
      <c r="A10492" t="s">
        <v>1364</v>
      </c>
      <c r="B10492" t="s">
        <v>1363</v>
      </c>
    </row>
    <row r="10493" spans="1:2" x14ac:dyDescent="0.25">
      <c r="A10493" t="s">
        <v>98</v>
      </c>
      <c r="B10493" t="s">
        <v>97</v>
      </c>
    </row>
    <row r="10494" spans="1:2" x14ac:dyDescent="0.25">
      <c r="A10494" t="s">
        <v>1207</v>
      </c>
      <c r="B10494" t="s">
        <v>1206</v>
      </c>
    </row>
    <row r="10495" spans="1:2" x14ac:dyDescent="0.25">
      <c r="A10495" t="s">
        <v>12257</v>
      </c>
      <c r="B10495" t="s">
        <v>627</v>
      </c>
    </row>
    <row r="10496" spans="1:2" x14ac:dyDescent="0.25">
      <c r="A10496" t="s">
        <v>1328</v>
      </c>
      <c r="B10496" t="s">
        <v>1327</v>
      </c>
    </row>
    <row r="10497" spans="1:2" x14ac:dyDescent="0.25">
      <c r="A10497" t="s">
        <v>1867</v>
      </c>
      <c r="B10497" t="s">
        <v>1866</v>
      </c>
    </row>
    <row r="10498" spans="1:2" x14ac:dyDescent="0.25">
      <c r="A10498" t="s">
        <v>1817</v>
      </c>
      <c r="B10498" t="s">
        <v>1816</v>
      </c>
    </row>
    <row r="10499" spans="1:2" x14ac:dyDescent="0.25">
      <c r="A10499" t="s">
        <v>1022</v>
      </c>
      <c r="B10499" t="s">
        <v>1021</v>
      </c>
    </row>
    <row r="10500" spans="1:2" x14ac:dyDescent="0.25">
      <c r="A10500" t="s">
        <v>1819</v>
      </c>
      <c r="B10500" t="s">
        <v>1818</v>
      </c>
    </row>
    <row r="10501" spans="1:2" x14ac:dyDescent="0.25">
      <c r="A10501" t="s">
        <v>1305</v>
      </c>
      <c r="B10501" t="s">
        <v>1304</v>
      </c>
    </row>
    <row r="10502" spans="1:2" x14ac:dyDescent="0.25">
      <c r="A10502" t="s">
        <v>1299</v>
      </c>
      <c r="B10502" t="s">
        <v>1298</v>
      </c>
    </row>
    <row r="10503" spans="1:2" x14ac:dyDescent="0.25">
      <c r="A10503" t="s">
        <v>1319</v>
      </c>
      <c r="B10503" t="s">
        <v>1318</v>
      </c>
    </row>
    <row r="10504" spans="1:2" x14ac:dyDescent="0.25">
      <c r="A10504" t="s">
        <v>983</v>
      </c>
      <c r="B10504" t="s">
        <v>982</v>
      </c>
    </row>
    <row r="10505" spans="1:2" x14ac:dyDescent="0.25">
      <c r="A10505" t="s">
        <v>1334</v>
      </c>
      <c r="B10505" t="s">
        <v>1333</v>
      </c>
    </row>
    <row r="10506" spans="1:2" x14ac:dyDescent="0.25">
      <c r="A10506" t="s">
        <v>12258</v>
      </c>
      <c r="B10506" t="s">
        <v>624</v>
      </c>
    </row>
    <row r="10507" spans="1:2" x14ac:dyDescent="0.25">
      <c r="A10507" t="s">
        <v>2172</v>
      </c>
      <c r="B10507" t="s">
        <v>2171</v>
      </c>
    </row>
    <row r="10508" spans="1:2" x14ac:dyDescent="0.25">
      <c r="A10508" t="s">
        <v>2174</v>
      </c>
      <c r="B10508" t="s">
        <v>2173</v>
      </c>
    </row>
    <row r="10509" spans="1:2" x14ac:dyDescent="0.25">
      <c r="A10509" t="s">
        <v>12259</v>
      </c>
      <c r="B10509" t="s">
        <v>625</v>
      </c>
    </row>
    <row r="10510" spans="1:2" x14ac:dyDescent="0.25">
      <c r="A10510" t="s">
        <v>2070</v>
      </c>
      <c r="B10510" t="s">
        <v>2069</v>
      </c>
    </row>
    <row r="10511" spans="1:2" x14ac:dyDescent="0.25">
      <c r="A10511" t="s">
        <v>1331</v>
      </c>
      <c r="B10511" t="s">
        <v>1330</v>
      </c>
    </row>
    <row r="10512" spans="1:2" x14ac:dyDescent="0.25">
      <c r="A10512" t="s">
        <v>467</v>
      </c>
      <c r="B10512" t="s">
        <v>466</v>
      </c>
    </row>
    <row r="10513" spans="1:2" x14ac:dyDescent="0.25">
      <c r="A10513" t="s">
        <v>2167</v>
      </c>
      <c r="B10513" t="s">
        <v>2056</v>
      </c>
    </row>
    <row r="10514" spans="1:2" x14ac:dyDescent="0.25">
      <c r="A10514" t="s">
        <v>1311</v>
      </c>
      <c r="B10514" t="s">
        <v>1310</v>
      </c>
    </row>
    <row r="10515" spans="1:2" x14ac:dyDescent="0.25">
      <c r="A10515" t="s">
        <v>12260</v>
      </c>
      <c r="B10515" t="s">
        <v>626</v>
      </c>
    </row>
    <row r="10516" spans="1:2" x14ac:dyDescent="0.25">
      <c r="A10516" t="s">
        <v>447</v>
      </c>
      <c r="B10516" t="s">
        <v>446</v>
      </c>
    </row>
    <row r="10517" spans="1:2" x14ac:dyDescent="0.25">
      <c r="A10517" t="s">
        <v>1267</v>
      </c>
      <c r="B10517" t="s">
        <v>1266</v>
      </c>
    </row>
    <row r="10518" spans="1:2" x14ac:dyDescent="0.25">
      <c r="A10518" t="s">
        <v>1509</v>
      </c>
      <c r="B10518" t="s">
        <v>1508</v>
      </c>
    </row>
    <row r="10519" spans="1:2" x14ac:dyDescent="0.25">
      <c r="A10519" t="s">
        <v>3374</v>
      </c>
      <c r="B10519" t="s">
        <v>3374</v>
      </c>
    </row>
    <row r="10520" spans="1:2" x14ac:dyDescent="0.25">
      <c r="A10520" t="s">
        <v>414</v>
      </c>
      <c r="B10520" t="s">
        <v>413</v>
      </c>
    </row>
    <row r="10521" spans="1:2" x14ac:dyDescent="0.25">
      <c r="A10521" t="s">
        <v>1285</v>
      </c>
      <c r="B10521" t="s">
        <v>1284</v>
      </c>
    </row>
    <row r="10522" spans="1:2" x14ac:dyDescent="0.25">
      <c r="A10522" t="s">
        <v>2182</v>
      </c>
      <c r="B10522" t="s">
        <v>2181</v>
      </c>
    </row>
    <row r="10523" spans="1:2" x14ac:dyDescent="0.25">
      <c r="A10523" t="s">
        <v>609</v>
      </c>
      <c r="B10523" t="s">
        <v>609</v>
      </c>
    </row>
    <row r="10524" spans="1:2" x14ac:dyDescent="0.25">
      <c r="A10524" t="s">
        <v>610</v>
      </c>
      <c r="B10524" t="s">
        <v>610</v>
      </c>
    </row>
    <row r="10525" spans="1:2" x14ac:dyDescent="0.25">
      <c r="A10525" t="s">
        <v>621</v>
      </c>
      <c r="B10525" t="s">
        <v>621</v>
      </c>
    </row>
    <row r="10526" spans="1:2" x14ac:dyDescent="0.25">
      <c r="A10526" t="s">
        <v>622</v>
      </c>
      <c r="B10526" t="s">
        <v>622</v>
      </c>
    </row>
    <row r="10527" spans="1:2" x14ac:dyDescent="0.25">
      <c r="A10527" t="s">
        <v>623</v>
      </c>
      <c r="B10527" t="s">
        <v>623</v>
      </c>
    </row>
    <row r="10528" spans="1:2" x14ac:dyDescent="0.25">
      <c r="A10528" t="s">
        <v>643</v>
      </c>
      <c r="B10528" t="s">
        <v>643</v>
      </c>
    </row>
    <row r="10529" spans="1:2" x14ac:dyDescent="0.25">
      <c r="A10529" t="s">
        <v>645</v>
      </c>
      <c r="B10529" t="s">
        <v>645</v>
      </c>
    </row>
    <row r="10530" spans="1:2" x14ac:dyDescent="0.25">
      <c r="A10530" t="s">
        <v>646</v>
      </c>
      <c r="B10530" t="s">
        <v>646</v>
      </c>
    </row>
    <row r="10531" spans="1:2" x14ac:dyDescent="0.25">
      <c r="A10531" t="s">
        <v>647</v>
      </c>
      <c r="B10531" t="s">
        <v>647</v>
      </c>
    </row>
    <row r="10532" spans="1:2" x14ac:dyDescent="0.25">
      <c r="A10532" t="s">
        <v>648</v>
      </c>
      <c r="B10532" t="s">
        <v>648</v>
      </c>
    </row>
    <row r="10533" spans="1:2" x14ac:dyDescent="0.25">
      <c r="A10533" t="s">
        <v>649</v>
      </c>
      <c r="B10533" t="s">
        <v>649</v>
      </c>
    </row>
    <row r="10534" spans="1:2" x14ac:dyDescent="0.25">
      <c r="A10534" t="s">
        <v>650</v>
      </c>
      <c r="B10534" t="s">
        <v>650</v>
      </c>
    </row>
    <row r="10535" spans="1:2" x14ac:dyDescent="0.25">
      <c r="A10535" t="s">
        <v>3377</v>
      </c>
      <c r="B10535" t="s">
        <v>3377</v>
      </c>
    </row>
    <row r="10536" spans="1:2" x14ac:dyDescent="0.25">
      <c r="A10536" t="s">
        <v>3378</v>
      </c>
      <c r="B10536" t="s">
        <v>3378</v>
      </c>
    </row>
    <row r="10537" spans="1:2" x14ac:dyDescent="0.25">
      <c r="A10537" t="s">
        <v>3379</v>
      </c>
      <c r="B10537" t="s">
        <v>3379</v>
      </c>
    </row>
    <row r="10538" spans="1:2" x14ac:dyDescent="0.25">
      <c r="A10538" t="s">
        <v>12261</v>
      </c>
      <c r="B10538" t="s">
        <v>12261</v>
      </c>
    </row>
    <row r="10539" spans="1:2" x14ac:dyDescent="0.25">
      <c r="A10539" t="s">
        <v>12262</v>
      </c>
      <c r="B10539" t="s">
        <v>12262</v>
      </c>
    </row>
    <row r="10540" spans="1:2" x14ac:dyDescent="0.25">
      <c r="A10540" t="s">
        <v>3408</v>
      </c>
      <c r="B10540" t="s">
        <v>3408</v>
      </c>
    </row>
    <row r="10541" spans="1:2" x14ac:dyDescent="0.25">
      <c r="A10541" t="s">
        <v>12263</v>
      </c>
      <c r="B10541" t="s">
        <v>12263</v>
      </c>
    </row>
    <row r="10542" spans="1:2" x14ac:dyDescent="0.25">
      <c r="A10542" t="s">
        <v>12264</v>
      </c>
      <c r="B10542" t="s">
        <v>12264</v>
      </c>
    </row>
    <row r="10543" spans="1:2" x14ac:dyDescent="0.25">
      <c r="A10543" t="s">
        <v>12265</v>
      </c>
      <c r="B10543" t="s">
        <v>12265</v>
      </c>
    </row>
    <row r="10544" spans="1:2" x14ac:dyDescent="0.25">
      <c r="A10544" t="s">
        <v>12266</v>
      </c>
      <c r="B10544" t="s">
        <v>12266</v>
      </c>
    </row>
    <row r="10545" spans="1:2" x14ac:dyDescent="0.25">
      <c r="A10545" t="s">
        <v>3404</v>
      </c>
      <c r="B10545" t="s">
        <v>3404</v>
      </c>
    </row>
    <row r="10546" spans="1:2" x14ac:dyDescent="0.25">
      <c r="A10546" t="s">
        <v>12267</v>
      </c>
      <c r="B10546" t="s">
        <v>12267</v>
      </c>
    </row>
    <row r="10547" spans="1:2" x14ac:dyDescent="0.25">
      <c r="A10547" t="s">
        <v>12268</v>
      </c>
      <c r="B10547" t="s">
        <v>12268</v>
      </c>
    </row>
    <row r="10548" spans="1:2" x14ac:dyDescent="0.25">
      <c r="A10548" t="s">
        <v>12269</v>
      </c>
      <c r="B10548" t="s">
        <v>12269</v>
      </c>
    </row>
    <row r="10549" spans="1:2" x14ac:dyDescent="0.25">
      <c r="A10549" t="s">
        <v>12270</v>
      </c>
      <c r="B10549" t="s">
        <v>12270</v>
      </c>
    </row>
    <row r="10550" spans="1:2" x14ac:dyDescent="0.25">
      <c r="A10550" t="s">
        <v>3416</v>
      </c>
      <c r="B10550" t="s">
        <v>3416</v>
      </c>
    </row>
    <row r="10551" spans="1:2" x14ac:dyDescent="0.25">
      <c r="A10551" t="s">
        <v>12271</v>
      </c>
      <c r="B10551" t="s">
        <v>12271</v>
      </c>
    </row>
    <row r="10552" spans="1:2" x14ac:dyDescent="0.25">
      <c r="A10552" t="s">
        <v>12272</v>
      </c>
      <c r="B10552" t="s">
        <v>12272</v>
      </c>
    </row>
    <row r="10553" spans="1:2" x14ac:dyDescent="0.25">
      <c r="A10553" t="s">
        <v>3413</v>
      </c>
      <c r="B10553" t="s">
        <v>3413</v>
      </c>
    </row>
    <row r="10554" spans="1:2" x14ac:dyDescent="0.25">
      <c r="A10554" t="s">
        <v>12273</v>
      </c>
      <c r="B10554" t="s">
        <v>12273</v>
      </c>
    </row>
    <row r="10555" spans="1:2" x14ac:dyDescent="0.25">
      <c r="A10555" t="s">
        <v>3347</v>
      </c>
      <c r="B10555" t="s">
        <v>3347</v>
      </c>
    </row>
    <row r="10556" spans="1:2" x14ac:dyDescent="0.25">
      <c r="A10556" t="s">
        <v>12274</v>
      </c>
      <c r="B10556" t="s">
        <v>12274</v>
      </c>
    </row>
    <row r="10557" spans="1:2" x14ac:dyDescent="0.25">
      <c r="A10557" t="s">
        <v>3403</v>
      </c>
      <c r="B10557" t="s">
        <v>3403</v>
      </c>
    </row>
    <row r="10558" spans="1:2" x14ac:dyDescent="0.25">
      <c r="A10558" t="s">
        <v>3405</v>
      </c>
      <c r="B10558" t="s">
        <v>3405</v>
      </c>
    </row>
    <row r="10559" spans="1:2" x14ac:dyDescent="0.25">
      <c r="A10559" t="s">
        <v>12275</v>
      </c>
      <c r="B10559" t="s">
        <v>12275</v>
      </c>
    </row>
    <row r="10560" spans="1:2" x14ac:dyDescent="0.25">
      <c r="A10560" t="s">
        <v>12276</v>
      </c>
      <c r="B10560" t="s">
        <v>12276</v>
      </c>
    </row>
    <row r="10561" spans="1:2" x14ac:dyDescent="0.25">
      <c r="A10561" t="s">
        <v>12277</v>
      </c>
      <c r="B10561" t="s">
        <v>12277</v>
      </c>
    </row>
    <row r="10562" spans="1:2" x14ac:dyDescent="0.25">
      <c r="A10562" t="s">
        <v>3406</v>
      </c>
      <c r="B10562" t="s">
        <v>3406</v>
      </c>
    </row>
    <row r="10563" spans="1:2" x14ac:dyDescent="0.25">
      <c r="A10563" t="s">
        <v>12278</v>
      </c>
      <c r="B10563" t="s">
        <v>12278</v>
      </c>
    </row>
    <row r="10564" spans="1:2" x14ac:dyDescent="0.25">
      <c r="A10564" t="s">
        <v>12279</v>
      </c>
      <c r="B10564" t="s">
        <v>12279</v>
      </c>
    </row>
    <row r="10565" spans="1:2" x14ac:dyDescent="0.25">
      <c r="A10565" t="s">
        <v>3410</v>
      </c>
      <c r="B10565" t="s">
        <v>3410</v>
      </c>
    </row>
    <row r="10566" spans="1:2" x14ac:dyDescent="0.25">
      <c r="A10566" t="s">
        <v>12280</v>
      </c>
      <c r="B10566" t="s">
        <v>12280</v>
      </c>
    </row>
    <row r="10567" spans="1:2" x14ac:dyDescent="0.25">
      <c r="A10567" t="s">
        <v>12281</v>
      </c>
      <c r="B10567" t="s">
        <v>12281</v>
      </c>
    </row>
    <row r="10568" spans="1:2" x14ac:dyDescent="0.25">
      <c r="A10568" t="s">
        <v>12282</v>
      </c>
      <c r="B10568" t="s">
        <v>12282</v>
      </c>
    </row>
    <row r="10569" spans="1:2" x14ac:dyDescent="0.25">
      <c r="A10569" t="s">
        <v>3348</v>
      </c>
      <c r="B10569" t="s">
        <v>3348</v>
      </c>
    </row>
    <row r="10570" spans="1:2" x14ac:dyDescent="0.25">
      <c r="A10570" t="s">
        <v>3398</v>
      </c>
      <c r="B10570" t="s">
        <v>3398</v>
      </c>
    </row>
    <row r="10571" spans="1:2" x14ac:dyDescent="0.25">
      <c r="A10571" t="s">
        <v>3417</v>
      </c>
      <c r="B10571" t="s">
        <v>3417</v>
      </c>
    </row>
    <row r="10572" spans="1:2" x14ac:dyDescent="0.25">
      <c r="A10572" t="s">
        <v>12283</v>
      </c>
      <c r="B10572" t="s">
        <v>12283</v>
      </c>
    </row>
    <row r="10573" spans="1:2" x14ac:dyDescent="0.25">
      <c r="A10573" t="s">
        <v>12284</v>
      </c>
      <c r="B10573" t="s">
        <v>12284</v>
      </c>
    </row>
    <row r="10574" spans="1:2" x14ac:dyDescent="0.25">
      <c r="A10574" t="s">
        <v>12285</v>
      </c>
      <c r="B10574" t="s">
        <v>12285</v>
      </c>
    </row>
    <row r="10575" spans="1:2" x14ac:dyDescent="0.25">
      <c r="A10575" t="s">
        <v>12286</v>
      </c>
      <c r="B10575" t="s">
        <v>12286</v>
      </c>
    </row>
    <row r="10576" spans="1:2" x14ac:dyDescent="0.25">
      <c r="A10576" t="s">
        <v>12287</v>
      </c>
      <c r="B10576" t="s">
        <v>12287</v>
      </c>
    </row>
    <row r="10577" spans="1:2" x14ac:dyDescent="0.25">
      <c r="A10577" t="s">
        <v>12288</v>
      </c>
      <c r="B10577" t="s">
        <v>12288</v>
      </c>
    </row>
    <row r="10578" spans="1:2" x14ac:dyDescent="0.25">
      <c r="A10578" t="s">
        <v>3027</v>
      </c>
      <c r="B10578" t="s">
        <v>3027</v>
      </c>
    </row>
    <row r="10579" spans="1:2" x14ac:dyDescent="0.25">
      <c r="A10579" t="s">
        <v>3000</v>
      </c>
      <c r="B10579" t="s">
        <v>3000</v>
      </c>
    </row>
    <row r="10580" spans="1:2" x14ac:dyDescent="0.25">
      <c r="A10580" t="s">
        <v>3037</v>
      </c>
      <c r="B10580" t="s">
        <v>3037</v>
      </c>
    </row>
    <row r="10581" spans="1:2" x14ac:dyDescent="0.25">
      <c r="A10581" t="s">
        <v>12289</v>
      </c>
      <c r="B10581" t="s">
        <v>12289</v>
      </c>
    </row>
    <row r="10582" spans="1:2" x14ac:dyDescent="0.25">
      <c r="A10582" t="s">
        <v>2731</v>
      </c>
      <c r="B10582" t="s">
        <v>2731</v>
      </c>
    </row>
    <row r="10583" spans="1:2" x14ac:dyDescent="0.25">
      <c r="A10583" t="s">
        <v>2732</v>
      </c>
      <c r="B10583" t="s">
        <v>2732</v>
      </c>
    </row>
    <row r="10584" spans="1:2" x14ac:dyDescent="0.25">
      <c r="A10584" t="s">
        <v>12290</v>
      </c>
      <c r="B10584" t="s">
        <v>12290</v>
      </c>
    </row>
    <row r="10585" spans="1:2" x14ac:dyDescent="0.25">
      <c r="A10585" t="s">
        <v>3409</v>
      </c>
      <c r="B10585" t="s">
        <v>3409</v>
      </c>
    </row>
    <row r="10586" spans="1:2" x14ac:dyDescent="0.25">
      <c r="A10586" t="s">
        <v>12291</v>
      </c>
      <c r="B10586" t="s">
        <v>12291</v>
      </c>
    </row>
    <row r="10587" spans="1:2" x14ac:dyDescent="0.25">
      <c r="A10587" t="s">
        <v>12292</v>
      </c>
      <c r="B10587" t="s">
        <v>12292</v>
      </c>
    </row>
    <row r="10588" spans="1:2" x14ac:dyDescent="0.25">
      <c r="A10588" t="s">
        <v>12293</v>
      </c>
      <c r="B10588" t="s">
        <v>12293</v>
      </c>
    </row>
    <row r="10589" spans="1:2" x14ac:dyDescent="0.25">
      <c r="A10589" t="s">
        <v>12294</v>
      </c>
      <c r="B10589" t="s">
        <v>12294</v>
      </c>
    </row>
    <row r="10590" spans="1:2" x14ac:dyDescent="0.25">
      <c r="A10590" t="s">
        <v>12295</v>
      </c>
      <c r="B10590" t="s">
        <v>12295</v>
      </c>
    </row>
    <row r="10591" spans="1:2" x14ac:dyDescent="0.25">
      <c r="A10591" t="s">
        <v>12296</v>
      </c>
      <c r="B10591" t="s">
        <v>12296</v>
      </c>
    </row>
    <row r="10592" spans="1:2" x14ac:dyDescent="0.25">
      <c r="A10592" t="s">
        <v>3407</v>
      </c>
      <c r="B10592" t="s">
        <v>3407</v>
      </c>
    </row>
    <row r="10593" spans="1:2" x14ac:dyDescent="0.25">
      <c r="A10593" t="s">
        <v>12297</v>
      </c>
      <c r="B10593" t="s">
        <v>12297</v>
      </c>
    </row>
    <row r="10594" spans="1:2" x14ac:dyDescent="0.25">
      <c r="A10594" t="s">
        <v>12298</v>
      </c>
      <c r="B10594" t="s">
        <v>12298</v>
      </c>
    </row>
    <row r="10595" spans="1:2" x14ac:dyDescent="0.25">
      <c r="A10595" t="s">
        <v>12299</v>
      </c>
      <c r="B10595" t="s">
        <v>12299</v>
      </c>
    </row>
    <row r="10596" spans="1:2" x14ac:dyDescent="0.25">
      <c r="A10596" t="s">
        <v>12300</v>
      </c>
      <c r="B10596" t="s">
        <v>12300</v>
      </c>
    </row>
    <row r="10597" spans="1:2" x14ac:dyDescent="0.25">
      <c r="A10597" t="s">
        <v>12301</v>
      </c>
      <c r="B10597" t="s">
        <v>12301</v>
      </c>
    </row>
    <row r="10598" spans="1:2" x14ac:dyDescent="0.25">
      <c r="A10598" t="s">
        <v>12302</v>
      </c>
      <c r="B10598" t="s">
        <v>12302</v>
      </c>
    </row>
    <row r="10599" spans="1:2" x14ac:dyDescent="0.25">
      <c r="A10599" t="s">
        <v>12303</v>
      </c>
      <c r="B10599" t="s">
        <v>12303</v>
      </c>
    </row>
    <row r="10600" spans="1:2" x14ac:dyDescent="0.25">
      <c r="A10600" t="s">
        <v>12304</v>
      </c>
      <c r="B10600" t="s">
        <v>12304</v>
      </c>
    </row>
    <row r="10601" spans="1:2" x14ac:dyDescent="0.25">
      <c r="A10601" t="s">
        <v>12305</v>
      </c>
      <c r="B10601" t="s">
        <v>12305</v>
      </c>
    </row>
    <row r="10602" spans="1:2" x14ac:dyDescent="0.25">
      <c r="A10602" t="s">
        <v>12306</v>
      </c>
      <c r="B10602" t="s">
        <v>12306</v>
      </c>
    </row>
    <row r="10603" spans="1:2" x14ac:dyDescent="0.25">
      <c r="A10603" t="s">
        <v>3415</v>
      </c>
      <c r="B10603" t="s">
        <v>3415</v>
      </c>
    </row>
    <row r="10604" spans="1:2" x14ac:dyDescent="0.25">
      <c r="A10604" t="s">
        <v>12307</v>
      </c>
      <c r="B10604" t="s">
        <v>12307</v>
      </c>
    </row>
    <row r="10605" spans="1:2" x14ac:dyDescent="0.25">
      <c r="A10605" t="s">
        <v>12308</v>
      </c>
      <c r="B10605" t="s">
        <v>12308</v>
      </c>
    </row>
    <row r="10606" spans="1:2" x14ac:dyDescent="0.25">
      <c r="A10606" t="s">
        <v>3402</v>
      </c>
      <c r="B10606" t="s">
        <v>3402</v>
      </c>
    </row>
    <row r="10607" spans="1:2" x14ac:dyDescent="0.25">
      <c r="A10607" t="s">
        <v>12309</v>
      </c>
      <c r="B10607" t="s">
        <v>12309</v>
      </c>
    </row>
    <row r="10608" spans="1:2" x14ac:dyDescent="0.25">
      <c r="A10608" t="s">
        <v>12310</v>
      </c>
      <c r="B10608" t="s">
        <v>12310</v>
      </c>
    </row>
    <row r="10609" spans="1:2" x14ac:dyDescent="0.25">
      <c r="A10609" t="s">
        <v>12311</v>
      </c>
      <c r="B10609" t="s">
        <v>12311</v>
      </c>
    </row>
    <row r="10610" spans="1:2" x14ac:dyDescent="0.25">
      <c r="A10610" t="s">
        <v>12312</v>
      </c>
      <c r="B10610" t="s">
        <v>12312</v>
      </c>
    </row>
    <row r="10611" spans="1:2" x14ac:dyDescent="0.25">
      <c r="A10611" t="s">
        <v>12313</v>
      </c>
      <c r="B10611" t="s">
        <v>12313</v>
      </c>
    </row>
    <row r="10612" spans="1:2" x14ac:dyDescent="0.25">
      <c r="A10612" t="s">
        <v>12314</v>
      </c>
      <c r="B10612" t="s">
        <v>12314</v>
      </c>
    </row>
    <row r="10613" spans="1:2" x14ac:dyDescent="0.25">
      <c r="A10613" t="s">
        <v>12315</v>
      </c>
      <c r="B10613" t="s">
        <v>12315</v>
      </c>
    </row>
    <row r="10614" spans="1:2" x14ac:dyDescent="0.25">
      <c r="A10614" t="s">
        <v>12316</v>
      </c>
      <c r="B10614" t="s">
        <v>12316</v>
      </c>
    </row>
    <row r="10615" spans="1:2" x14ac:dyDescent="0.25">
      <c r="A10615" t="s">
        <v>12317</v>
      </c>
      <c r="B10615" t="s">
        <v>12317</v>
      </c>
    </row>
    <row r="10616" spans="1:2" x14ac:dyDescent="0.25">
      <c r="A10616" t="s">
        <v>12318</v>
      </c>
      <c r="B10616" t="s">
        <v>12318</v>
      </c>
    </row>
    <row r="10617" spans="1:2" x14ac:dyDescent="0.25">
      <c r="A10617" t="s">
        <v>12319</v>
      </c>
      <c r="B10617" t="s">
        <v>12319</v>
      </c>
    </row>
    <row r="10618" spans="1:2" x14ac:dyDescent="0.25">
      <c r="A10618" t="s">
        <v>12320</v>
      </c>
      <c r="B10618" t="s">
        <v>12320</v>
      </c>
    </row>
    <row r="10619" spans="1:2" x14ac:dyDescent="0.25">
      <c r="A10619" t="s">
        <v>3412</v>
      </c>
      <c r="B10619" t="s">
        <v>3412</v>
      </c>
    </row>
    <row r="10620" spans="1:2" x14ac:dyDescent="0.25">
      <c r="A10620" t="s">
        <v>12321</v>
      </c>
      <c r="B10620" t="s">
        <v>12321</v>
      </c>
    </row>
    <row r="10621" spans="1:2" x14ac:dyDescent="0.25">
      <c r="A10621" t="s">
        <v>12322</v>
      </c>
      <c r="B10621" t="s">
        <v>12322</v>
      </c>
    </row>
    <row r="10622" spans="1:2" x14ac:dyDescent="0.25">
      <c r="A10622" t="s">
        <v>3411</v>
      </c>
      <c r="B10622" t="s">
        <v>3411</v>
      </c>
    </row>
    <row r="10623" spans="1:2" x14ac:dyDescent="0.25">
      <c r="A10623" t="s">
        <v>12323</v>
      </c>
      <c r="B10623" t="s">
        <v>12323</v>
      </c>
    </row>
    <row r="10624" spans="1:2" x14ac:dyDescent="0.25">
      <c r="A10624" t="s">
        <v>12324</v>
      </c>
      <c r="B10624" t="s">
        <v>12324</v>
      </c>
    </row>
    <row r="10625" spans="1:2" x14ac:dyDescent="0.25">
      <c r="A10625" t="s">
        <v>12325</v>
      </c>
      <c r="B10625" t="s">
        <v>12325</v>
      </c>
    </row>
    <row r="10626" spans="1:2" x14ac:dyDescent="0.25">
      <c r="A10626" t="s">
        <v>12326</v>
      </c>
      <c r="B10626" t="s">
        <v>12326</v>
      </c>
    </row>
    <row r="10627" spans="1:2" x14ac:dyDescent="0.25">
      <c r="A10627" t="s">
        <v>12327</v>
      </c>
      <c r="B10627" t="s">
        <v>12327</v>
      </c>
    </row>
    <row r="10628" spans="1:2" x14ac:dyDescent="0.25">
      <c r="A10628" t="s">
        <v>12328</v>
      </c>
      <c r="B10628" t="s">
        <v>12328</v>
      </c>
    </row>
    <row r="10629" spans="1:2" x14ac:dyDescent="0.25">
      <c r="A10629" t="s">
        <v>12329</v>
      </c>
      <c r="B10629" t="s">
        <v>12329</v>
      </c>
    </row>
    <row r="10630" spans="1:2" x14ac:dyDescent="0.25">
      <c r="A10630" t="s">
        <v>12330</v>
      </c>
      <c r="B10630" t="s">
        <v>12330</v>
      </c>
    </row>
    <row r="10631" spans="1:2" x14ac:dyDescent="0.25">
      <c r="A10631" t="s">
        <v>12331</v>
      </c>
      <c r="B10631" t="s">
        <v>12331</v>
      </c>
    </row>
    <row r="10632" spans="1:2" x14ac:dyDescent="0.25">
      <c r="A10632" t="s">
        <v>12332</v>
      </c>
      <c r="B10632" t="s">
        <v>12332</v>
      </c>
    </row>
    <row r="10633" spans="1:2" x14ac:dyDescent="0.25">
      <c r="A10633" t="s">
        <v>12333</v>
      </c>
      <c r="B10633" t="s">
        <v>12333</v>
      </c>
    </row>
    <row r="10634" spans="1:2" x14ac:dyDescent="0.25">
      <c r="A10634" t="s">
        <v>12334</v>
      </c>
      <c r="B10634" t="s">
        <v>12334</v>
      </c>
    </row>
    <row r="10635" spans="1:2" x14ac:dyDescent="0.25">
      <c r="A10635" t="s">
        <v>12335</v>
      </c>
      <c r="B10635" t="s">
        <v>12335</v>
      </c>
    </row>
    <row r="10636" spans="1:2" x14ac:dyDescent="0.25">
      <c r="A10636" t="s">
        <v>3414</v>
      </c>
      <c r="B10636" t="s">
        <v>3414</v>
      </c>
    </row>
    <row r="10637" spans="1:2" x14ac:dyDescent="0.25">
      <c r="A10637" t="s">
        <v>2730</v>
      </c>
      <c r="B10637" t="s">
        <v>2730</v>
      </c>
    </row>
    <row r="10638" spans="1:2" x14ac:dyDescent="0.25">
      <c r="A10638" t="s">
        <v>12336</v>
      </c>
      <c r="B10638" t="s">
        <v>12336</v>
      </c>
    </row>
    <row r="10639" spans="1:2" x14ac:dyDescent="0.25">
      <c r="A10639" t="s">
        <v>3018</v>
      </c>
      <c r="B10639" t="s">
        <v>3018</v>
      </c>
    </row>
    <row r="10640" spans="1:2" x14ac:dyDescent="0.25">
      <c r="A10640" t="s">
        <v>3399</v>
      </c>
      <c r="B10640" t="s">
        <v>3399</v>
      </c>
    </row>
    <row r="10641" spans="1:2" x14ac:dyDescent="0.25">
      <c r="A10641" t="s">
        <v>607</v>
      </c>
      <c r="B10641" t="s">
        <v>607</v>
      </c>
    </row>
    <row r="10642" spans="1:2" x14ac:dyDescent="0.25">
      <c r="A10642" t="s">
        <v>12337</v>
      </c>
      <c r="B10642" s="7" t="s">
        <v>421</v>
      </c>
    </row>
    <row r="10643" spans="1:2" x14ac:dyDescent="0.25">
      <c r="A10643" t="s">
        <v>12338</v>
      </c>
      <c r="B10643" s="7" t="s">
        <v>151</v>
      </c>
    </row>
    <row r="10644" spans="1:2" x14ac:dyDescent="0.25">
      <c r="A10644" t="s">
        <v>12339</v>
      </c>
      <c r="B10644" t="s">
        <v>643</v>
      </c>
    </row>
    <row r="10645" spans="1:2" x14ac:dyDescent="0.25">
      <c r="A10645" t="s">
        <v>12340</v>
      </c>
      <c r="B10645" t="s">
        <v>9371</v>
      </c>
    </row>
    <row r="10646" spans="1:2" x14ac:dyDescent="0.25">
      <c r="A10646" t="s">
        <v>644</v>
      </c>
      <c r="B10646" t="s">
        <v>644</v>
      </c>
    </row>
    <row r="10647" spans="1:2" x14ac:dyDescent="0.25">
      <c r="A10647" t="s">
        <v>12341</v>
      </c>
      <c r="B10647" t="s">
        <v>629</v>
      </c>
    </row>
    <row r="10648" spans="1:2" x14ac:dyDescent="0.25">
      <c r="A10648" t="s">
        <v>12342</v>
      </c>
      <c r="B10648" t="s">
        <v>591</v>
      </c>
    </row>
    <row r="10649" spans="1:2" x14ac:dyDescent="0.25">
      <c r="A10649" t="s">
        <v>12343</v>
      </c>
      <c r="B10649" t="s">
        <v>635</v>
      </c>
    </row>
    <row r="10650" spans="1:2" x14ac:dyDescent="0.25">
      <c r="A10650" t="s">
        <v>12344</v>
      </c>
      <c r="B10650" t="s">
        <v>656</v>
      </c>
    </row>
    <row r="10651" spans="1:2" x14ac:dyDescent="0.25">
      <c r="A10651" t="s">
        <v>12345</v>
      </c>
      <c r="B10651" t="s">
        <v>627</v>
      </c>
    </row>
    <row r="10652" spans="1:2" x14ac:dyDescent="0.25">
      <c r="A10652" t="s">
        <v>12346</v>
      </c>
      <c r="B10652" t="s">
        <v>626</v>
      </c>
    </row>
    <row r="10653" spans="1:2" x14ac:dyDescent="0.25">
      <c r="A10653" t="s">
        <v>641</v>
      </c>
      <c r="B10653" t="s">
        <v>641</v>
      </c>
    </row>
    <row r="10654" spans="1:2" x14ac:dyDescent="0.25">
      <c r="A10654" t="s">
        <v>642</v>
      </c>
      <c r="B10654" t="s">
        <v>642</v>
      </c>
    </row>
    <row r="10655" spans="1:2" x14ac:dyDescent="0.25">
      <c r="A10655" t="s">
        <v>12347</v>
      </c>
      <c r="B10655" t="s">
        <v>584</v>
      </c>
    </row>
    <row r="10656" spans="1:2" x14ac:dyDescent="0.25">
      <c r="A10656" t="s">
        <v>12348</v>
      </c>
      <c r="B10656" t="s">
        <v>1393</v>
      </c>
    </row>
    <row r="10657" spans="1:2" x14ac:dyDescent="0.25">
      <c r="A10657" t="s">
        <v>12349</v>
      </c>
      <c r="B10657" t="s">
        <v>12350</v>
      </c>
    </row>
    <row r="10658" spans="1:2" x14ac:dyDescent="0.25">
      <c r="A10658" t="s">
        <v>12351</v>
      </c>
      <c r="B10658" t="s">
        <v>12352</v>
      </c>
    </row>
    <row r="10659" spans="1:2" x14ac:dyDescent="0.25">
      <c r="A10659" t="s">
        <v>12353</v>
      </c>
      <c r="B10659" t="s">
        <v>12354</v>
      </c>
    </row>
    <row r="10660" spans="1:2" x14ac:dyDescent="0.25">
      <c r="A10660" t="s">
        <v>12355</v>
      </c>
      <c r="B10660" t="s">
        <v>661</v>
      </c>
    </row>
    <row r="10661" spans="1:2" x14ac:dyDescent="0.25">
      <c r="A10661" t="s">
        <v>12356</v>
      </c>
      <c r="B10661" t="s">
        <v>662</v>
      </c>
    </row>
    <row r="10662" spans="1:2" x14ac:dyDescent="0.25">
      <c r="A10662" t="s">
        <v>12357</v>
      </c>
      <c r="B10662" t="s">
        <v>663</v>
      </c>
    </row>
    <row r="10663" spans="1:2" x14ac:dyDescent="0.25">
      <c r="A10663" t="s">
        <v>12358</v>
      </c>
      <c r="B10663" t="s">
        <v>12359</v>
      </c>
    </row>
    <row r="10664" spans="1:2" x14ac:dyDescent="0.25">
      <c r="A10664" t="s">
        <v>12360</v>
      </c>
      <c r="B10664" t="s">
        <v>184</v>
      </c>
    </row>
    <row r="10665" spans="1:2" x14ac:dyDescent="0.25">
      <c r="A10665" t="s">
        <v>12361</v>
      </c>
      <c r="B10665" t="s">
        <v>482</v>
      </c>
    </row>
    <row r="10666" spans="1:2" x14ac:dyDescent="0.25">
      <c r="A10666" t="s">
        <v>12362</v>
      </c>
      <c r="B10666" t="s">
        <v>135</v>
      </c>
    </row>
    <row r="10667" spans="1:2" x14ac:dyDescent="0.25">
      <c r="A10667" t="s">
        <v>12363</v>
      </c>
      <c r="B10667" t="s">
        <v>631</v>
      </c>
    </row>
    <row r="10668" spans="1:2" x14ac:dyDescent="0.25">
      <c r="A10668" t="s">
        <v>12364</v>
      </c>
      <c r="B10668" s="7" t="s">
        <v>153</v>
      </c>
    </row>
    <row r="10669" spans="1:2" x14ac:dyDescent="0.25">
      <c r="A10669" t="s">
        <v>12365</v>
      </c>
      <c r="B10669" t="s">
        <v>130</v>
      </c>
    </row>
    <row r="10670" spans="1:2" x14ac:dyDescent="0.25">
      <c r="A10670" t="s">
        <v>12366</v>
      </c>
      <c r="B10670" t="s">
        <v>133</v>
      </c>
    </row>
    <row r="10671" spans="1:2" x14ac:dyDescent="0.25">
      <c r="A10671" t="s">
        <v>12367</v>
      </c>
      <c r="B10671" t="s">
        <v>646</v>
      </c>
    </row>
    <row r="10672" spans="1:2" x14ac:dyDescent="0.25">
      <c r="A10672" t="s">
        <v>663</v>
      </c>
      <c r="B10672" t="s">
        <v>663</v>
      </c>
    </row>
    <row r="10673" spans="1:2" x14ac:dyDescent="0.25">
      <c r="A10673" t="s">
        <v>12368</v>
      </c>
      <c r="B10673" t="s">
        <v>12350</v>
      </c>
    </row>
    <row r="10674" spans="1:2" x14ac:dyDescent="0.25">
      <c r="A10674" t="s">
        <v>12369</v>
      </c>
      <c r="B10674" s="7" t="s">
        <v>552</v>
      </c>
    </row>
    <row r="10675" spans="1:2" x14ac:dyDescent="0.25">
      <c r="A10675" t="s">
        <v>12370</v>
      </c>
      <c r="B10675" t="s">
        <v>142</v>
      </c>
    </row>
    <row r="10676" spans="1:2" x14ac:dyDescent="0.25">
      <c r="A10676" t="s">
        <v>12371</v>
      </c>
      <c r="B10676" t="s">
        <v>144</v>
      </c>
    </row>
    <row r="10677" spans="1:2" x14ac:dyDescent="0.25">
      <c r="A10677" t="s">
        <v>627</v>
      </c>
      <c r="B10677" t="s">
        <v>627</v>
      </c>
    </row>
    <row r="10678" spans="1:2" x14ac:dyDescent="0.25">
      <c r="A10678" t="s">
        <v>592</v>
      </c>
      <c r="B10678" t="s">
        <v>592</v>
      </c>
    </row>
    <row r="10679" spans="1:2" x14ac:dyDescent="0.25">
      <c r="A10679" t="s">
        <v>591</v>
      </c>
      <c r="B10679" t="s">
        <v>591</v>
      </c>
    </row>
    <row r="10680" spans="1:2" x14ac:dyDescent="0.25">
      <c r="A10680" t="s">
        <v>12372</v>
      </c>
      <c r="B10680" t="s">
        <v>653</v>
      </c>
    </row>
    <row r="10681" spans="1:2" x14ac:dyDescent="0.25">
      <c r="A10681" t="s">
        <v>12373</v>
      </c>
      <c r="B10681" t="s">
        <v>137</v>
      </c>
    </row>
    <row r="10682" spans="1:2" x14ac:dyDescent="0.25">
      <c r="A10682" t="s">
        <v>12374</v>
      </c>
      <c r="B10682" s="7" t="s">
        <v>151</v>
      </c>
    </row>
    <row r="10683" spans="1:2" x14ac:dyDescent="0.25">
      <c r="A10683" t="s">
        <v>12375</v>
      </c>
      <c r="B10683" s="7" t="s">
        <v>243</v>
      </c>
    </row>
    <row r="10684" spans="1:2" x14ac:dyDescent="0.25">
      <c r="A10684" t="s">
        <v>661</v>
      </c>
      <c r="B10684" t="s">
        <v>661</v>
      </c>
    </row>
    <row r="10685" spans="1:2" x14ac:dyDescent="0.25">
      <c r="A10685" t="s">
        <v>12376</v>
      </c>
      <c r="B10685" t="s">
        <v>648</v>
      </c>
    </row>
    <row r="10686" spans="1:2" x14ac:dyDescent="0.25">
      <c r="A10686" t="s">
        <v>12377</v>
      </c>
      <c r="B10686" t="s">
        <v>12354</v>
      </c>
    </row>
    <row r="10687" spans="1:2" x14ac:dyDescent="0.25">
      <c r="A10687" t="s">
        <v>12378</v>
      </c>
      <c r="B10687" s="7" t="s">
        <v>159</v>
      </c>
    </row>
    <row r="10688" spans="1:2" x14ac:dyDescent="0.25">
      <c r="A10688" t="s">
        <v>12379</v>
      </c>
      <c r="B10688" t="s">
        <v>603</v>
      </c>
    </row>
    <row r="10689" spans="1:2" x14ac:dyDescent="0.25">
      <c r="A10689" t="s">
        <v>12380</v>
      </c>
      <c r="B10689" s="7" t="s">
        <v>1223</v>
      </c>
    </row>
    <row r="10690" spans="1:2" x14ac:dyDescent="0.25">
      <c r="A10690" t="s">
        <v>12381</v>
      </c>
      <c r="B10690" t="s">
        <v>607</v>
      </c>
    </row>
    <row r="10691" spans="1:2" x14ac:dyDescent="0.25">
      <c r="A10691" t="s">
        <v>588</v>
      </c>
      <c r="B10691" t="s">
        <v>588</v>
      </c>
    </row>
    <row r="10692" spans="1:2" x14ac:dyDescent="0.25">
      <c r="A10692" t="s">
        <v>12382</v>
      </c>
      <c r="B10692" t="s">
        <v>12352</v>
      </c>
    </row>
    <row r="10693" spans="1:2" x14ac:dyDescent="0.25">
      <c r="A10693" t="s">
        <v>12383</v>
      </c>
      <c r="B10693" t="s">
        <v>197</v>
      </c>
    </row>
    <row r="10694" spans="1:2" x14ac:dyDescent="0.25">
      <c r="A10694" t="s">
        <v>12384</v>
      </c>
      <c r="B10694" t="s">
        <v>610</v>
      </c>
    </row>
    <row r="10695" spans="1:2" x14ac:dyDescent="0.25">
      <c r="A10695" t="s">
        <v>12385</v>
      </c>
      <c r="B10695" t="s">
        <v>509</v>
      </c>
    </row>
    <row r="10696" spans="1:2" x14ac:dyDescent="0.25">
      <c r="A10696" t="s">
        <v>12386</v>
      </c>
      <c r="B10696" t="s">
        <v>12387</v>
      </c>
    </row>
    <row r="10697" spans="1:2" x14ac:dyDescent="0.25">
      <c r="A10697" t="s">
        <v>12388</v>
      </c>
      <c r="B10697" s="7" t="s">
        <v>407</v>
      </c>
    </row>
    <row r="10698" spans="1:2" x14ac:dyDescent="0.25">
      <c r="A10698" t="s">
        <v>12389</v>
      </c>
      <c r="B10698" s="7" t="s">
        <v>327</v>
      </c>
    </row>
    <row r="10699" spans="1:2" x14ac:dyDescent="0.25">
      <c r="A10699" t="s">
        <v>12390</v>
      </c>
      <c r="B10699" s="7" t="s">
        <v>327</v>
      </c>
    </row>
    <row r="10700" spans="1:2" x14ac:dyDescent="0.25">
      <c r="A10700" t="s">
        <v>12391</v>
      </c>
      <c r="B10700" t="s">
        <v>647</v>
      </c>
    </row>
    <row r="10701" spans="1:2" x14ac:dyDescent="0.25">
      <c r="A10701" t="s">
        <v>587</v>
      </c>
      <c r="B10701" t="s">
        <v>587</v>
      </c>
    </row>
    <row r="10702" spans="1:2" x14ac:dyDescent="0.25">
      <c r="A10702" t="s">
        <v>12392</v>
      </c>
      <c r="B10702" s="7" t="s">
        <v>321</v>
      </c>
    </row>
    <row r="10703" spans="1:2" x14ac:dyDescent="0.25">
      <c r="A10703" t="s">
        <v>589</v>
      </c>
      <c r="B10703" t="s">
        <v>589</v>
      </c>
    </row>
    <row r="10704" spans="1:2" x14ac:dyDescent="0.25">
      <c r="A10704" t="s">
        <v>629</v>
      </c>
      <c r="B10704" t="s">
        <v>629</v>
      </c>
    </row>
    <row r="10705" spans="1:2" x14ac:dyDescent="0.25">
      <c r="A10705" t="s">
        <v>12393</v>
      </c>
      <c r="B10705" t="s">
        <v>9653</v>
      </c>
    </row>
    <row r="10706" spans="1:2" x14ac:dyDescent="0.25">
      <c r="A10706" t="s">
        <v>12394</v>
      </c>
      <c r="B10706" t="s">
        <v>128</v>
      </c>
    </row>
    <row r="10707" spans="1:2" x14ac:dyDescent="0.25">
      <c r="A10707" t="s">
        <v>12395</v>
      </c>
      <c r="B10707" t="s">
        <v>1193</v>
      </c>
    </row>
    <row r="10708" spans="1:2" x14ac:dyDescent="0.25">
      <c r="A10708" t="s">
        <v>605</v>
      </c>
      <c r="B10708" t="s">
        <v>605</v>
      </c>
    </row>
    <row r="10709" spans="1:2" x14ac:dyDescent="0.25">
      <c r="A10709" t="s">
        <v>12396</v>
      </c>
      <c r="B10709" t="s">
        <v>12397</v>
      </c>
    </row>
    <row r="10710" spans="1:2" x14ac:dyDescent="0.25">
      <c r="A10710" t="s">
        <v>12398</v>
      </c>
      <c r="B10710" t="s">
        <v>657</v>
      </c>
    </row>
    <row r="10711" spans="1:2" x14ac:dyDescent="0.25">
      <c r="A10711" t="s">
        <v>12399</v>
      </c>
      <c r="B10711" s="7" t="s">
        <v>327</v>
      </c>
    </row>
    <row r="10712" spans="1:2" x14ac:dyDescent="0.25">
      <c r="A10712" t="s">
        <v>12400</v>
      </c>
      <c r="B10712" s="7" t="s">
        <v>325</v>
      </c>
    </row>
    <row r="10713" spans="1:2" x14ac:dyDescent="0.25">
      <c r="A10713" t="s">
        <v>662</v>
      </c>
      <c r="B10713" t="s">
        <v>662</v>
      </c>
    </row>
    <row r="10714" spans="1:2" x14ac:dyDescent="0.25">
      <c r="A10714" t="s">
        <v>12401</v>
      </c>
      <c r="B10714" s="7" t="s">
        <v>135</v>
      </c>
    </row>
    <row r="10715" spans="1:2" x14ac:dyDescent="0.25">
      <c r="A10715" t="s">
        <v>12402</v>
      </c>
      <c r="B10715" t="s">
        <v>325</v>
      </c>
    </row>
    <row r="10716" spans="1:2" x14ac:dyDescent="0.25">
      <c r="A10716" t="s">
        <v>12403</v>
      </c>
      <c r="B10716" t="s">
        <v>1067</v>
      </c>
    </row>
    <row r="10717" spans="1:2" x14ac:dyDescent="0.25">
      <c r="A10717" t="s">
        <v>12404</v>
      </c>
      <c r="B10717" t="s">
        <v>645</v>
      </c>
    </row>
    <row r="10718" spans="1:2" x14ac:dyDescent="0.25">
      <c r="A10718" t="s">
        <v>657</v>
      </c>
      <c r="B10718" t="s">
        <v>657</v>
      </c>
    </row>
    <row r="10719" spans="1:2" x14ac:dyDescent="0.25">
      <c r="A10719" t="s">
        <v>12405</v>
      </c>
      <c r="B10719" t="s">
        <v>501</v>
      </c>
    </row>
    <row r="10720" spans="1:2" x14ac:dyDescent="0.25">
      <c r="A10720" t="s">
        <v>12406</v>
      </c>
      <c r="B10720" t="s">
        <v>1278</v>
      </c>
    </row>
    <row r="10721" spans="1:2" x14ac:dyDescent="0.25">
      <c r="A10721" t="s">
        <v>12407</v>
      </c>
      <c r="B10721" s="7" t="s">
        <v>584</v>
      </c>
    </row>
    <row r="10722" spans="1:2" x14ac:dyDescent="0.25">
      <c r="A10722" t="s">
        <v>12408</v>
      </c>
      <c r="B10722" t="s">
        <v>1278</v>
      </c>
    </row>
    <row r="10723" spans="1:2" x14ac:dyDescent="0.25">
      <c r="A10723" t="s">
        <v>12409</v>
      </c>
      <c r="B10723" t="s">
        <v>736</v>
      </c>
    </row>
    <row r="10724" spans="1:2" x14ac:dyDescent="0.25">
      <c r="A10724" t="s">
        <v>12410</v>
      </c>
      <c r="B10724" t="s">
        <v>566</v>
      </c>
    </row>
    <row r="10725" spans="1:2" x14ac:dyDescent="0.25">
      <c r="A10725" t="s">
        <v>12411</v>
      </c>
      <c r="B10725" t="s">
        <v>649</v>
      </c>
    </row>
    <row r="10726" spans="1:2" x14ac:dyDescent="0.25">
      <c r="A10726" t="s">
        <v>12412</v>
      </c>
      <c r="B10726" t="s">
        <v>1348</v>
      </c>
    </row>
    <row r="10727" spans="1:2" x14ac:dyDescent="0.25">
      <c r="A10727" t="s">
        <v>12413</v>
      </c>
      <c r="B10727" t="s">
        <v>104</v>
      </c>
    </row>
    <row r="10728" spans="1:2" x14ac:dyDescent="0.25">
      <c r="A10728" t="s">
        <v>12414</v>
      </c>
      <c r="B10728" t="s">
        <v>439</v>
      </c>
    </row>
    <row r="10729" spans="1:2" x14ac:dyDescent="0.25">
      <c r="A10729" t="s">
        <v>12415</v>
      </c>
      <c r="B10729" t="s">
        <v>382</v>
      </c>
    </row>
    <row r="10730" spans="1:2" x14ac:dyDescent="0.25">
      <c r="A10730" t="s">
        <v>12416</v>
      </c>
      <c r="B10730" t="s">
        <v>8061</v>
      </c>
    </row>
    <row r="10731" spans="1:2" x14ac:dyDescent="0.25">
      <c r="A10731" t="s">
        <v>12417</v>
      </c>
      <c r="B10731" t="s">
        <v>382</v>
      </c>
    </row>
    <row r="10732" spans="1:2" x14ac:dyDescent="0.25">
      <c r="A10732" t="s">
        <v>12418</v>
      </c>
      <c r="B10732" t="s">
        <v>151</v>
      </c>
    </row>
    <row r="10733" spans="1:2" x14ac:dyDescent="0.25">
      <c r="A10733" t="s">
        <v>12419</v>
      </c>
      <c r="B10733" t="s">
        <v>439</v>
      </c>
    </row>
    <row r="10734" spans="1:2" x14ac:dyDescent="0.25">
      <c r="A10734" t="s">
        <v>12420</v>
      </c>
      <c r="B10734" t="s">
        <v>273</v>
      </c>
    </row>
    <row r="10735" spans="1:2" x14ac:dyDescent="0.25">
      <c r="A10735" t="s">
        <v>12421</v>
      </c>
      <c r="B10735" t="s">
        <v>850</v>
      </c>
    </row>
    <row r="10736" spans="1:2" x14ac:dyDescent="0.25">
      <c r="A10736" t="s">
        <v>12422</v>
      </c>
      <c r="B10736" t="s">
        <v>72</v>
      </c>
    </row>
    <row r="10737" spans="1:2" x14ac:dyDescent="0.25">
      <c r="A10737" t="s">
        <v>12423</v>
      </c>
      <c r="B10737" t="s">
        <v>294</v>
      </c>
    </row>
    <row r="10738" spans="1:2" x14ac:dyDescent="0.25">
      <c r="A10738" t="s">
        <v>12424</v>
      </c>
      <c r="B10738" t="s">
        <v>153</v>
      </c>
    </row>
    <row r="10739" spans="1:2" x14ac:dyDescent="0.25">
      <c r="A10739" t="s">
        <v>12425</v>
      </c>
      <c r="B10739" t="s">
        <v>1014</v>
      </c>
    </row>
    <row r="10740" spans="1:2" x14ac:dyDescent="0.25">
      <c r="A10740" t="s">
        <v>12426</v>
      </c>
      <c r="B10740" t="s">
        <v>214</v>
      </c>
    </row>
    <row r="10741" spans="1:2" x14ac:dyDescent="0.25">
      <c r="A10741" t="s">
        <v>12427</v>
      </c>
      <c r="B10741" t="s">
        <v>536</v>
      </c>
    </row>
    <row r="10742" spans="1:2" x14ac:dyDescent="0.25">
      <c r="A10742" t="s">
        <v>12428</v>
      </c>
      <c r="B10742" t="s">
        <v>52</v>
      </c>
    </row>
    <row r="10743" spans="1:2" x14ac:dyDescent="0.25">
      <c r="A10743" t="s">
        <v>12429</v>
      </c>
      <c r="B10743" t="s">
        <v>12430</v>
      </c>
    </row>
    <row r="10744" spans="1:2" x14ac:dyDescent="0.25">
      <c r="A10744" t="s">
        <v>12431</v>
      </c>
      <c r="B10744" t="s">
        <v>642</v>
      </c>
    </row>
    <row r="10745" spans="1:2" x14ac:dyDescent="0.25">
      <c r="A10745" t="s">
        <v>620</v>
      </c>
      <c r="B10745" t="s">
        <v>620</v>
      </c>
    </row>
    <row r="10746" spans="1:2" x14ac:dyDescent="0.25">
      <c r="A10746" t="s">
        <v>12432</v>
      </c>
      <c r="B10746" t="s">
        <v>193</v>
      </c>
    </row>
    <row r="10747" spans="1:2" x14ac:dyDescent="0.25">
      <c r="A10747" t="s">
        <v>12433</v>
      </c>
      <c r="B10747" t="s">
        <v>202</v>
      </c>
    </row>
    <row r="10748" spans="1:2" x14ac:dyDescent="0.25">
      <c r="A10748" t="s">
        <v>12434</v>
      </c>
      <c r="B10748" t="s">
        <v>206</v>
      </c>
    </row>
    <row r="10749" spans="1:2" x14ac:dyDescent="0.25">
      <c r="A10749" t="s">
        <v>12435</v>
      </c>
      <c r="B10749" t="s">
        <v>654</v>
      </c>
    </row>
    <row r="10750" spans="1:2" x14ac:dyDescent="0.25">
      <c r="A10750" t="s">
        <v>12436</v>
      </c>
      <c r="B10750" t="s">
        <v>335</v>
      </c>
    </row>
    <row r="10751" spans="1:2" x14ac:dyDescent="0.25">
      <c r="A10751" t="s">
        <v>12437</v>
      </c>
      <c r="B10751" t="s">
        <v>76</v>
      </c>
    </row>
    <row r="10752" spans="1:2" x14ac:dyDescent="0.25">
      <c r="A10752" t="s">
        <v>12438</v>
      </c>
      <c r="B10752" t="s">
        <v>581</v>
      </c>
    </row>
    <row r="10753" spans="1:2" x14ac:dyDescent="0.25">
      <c r="A10753" t="s">
        <v>12439</v>
      </c>
      <c r="B10753" t="s">
        <v>423</v>
      </c>
    </row>
    <row r="10754" spans="1:2" x14ac:dyDescent="0.25">
      <c r="A10754" t="s">
        <v>12440</v>
      </c>
      <c r="B10754" t="s">
        <v>566</v>
      </c>
    </row>
    <row r="10755" spans="1:2" x14ac:dyDescent="0.25">
      <c r="A10755" t="s">
        <v>12441</v>
      </c>
      <c r="B10755" t="s">
        <v>144</v>
      </c>
    </row>
    <row r="10756" spans="1:2" x14ac:dyDescent="0.25">
      <c r="A10756" t="s">
        <v>12442</v>
      </c>
      <c r="B10756" t="s">
        <v>155</v>
      </c>
    </row>
    <row r="10757" spans="1:2" x14ac:dyDescent="0.25">
      <c r="A10757" t="s">
        <v>12443</v>
      </c>
      <c r="B10757" t="s">
        <v>133</v>
      </c>
    </row>
    <row r="10758" spans="1:2" x14ac:dyDescent="0.25">
      <c r="A10758" t="s">
        <v>12444</v>
      </c>
      <c r="B10758" t="s">
        <v>643</v>
      </c>
    </row>
    <row r="10759" spans="1:2" x14ac:dyDescent="0.25">
      <c r="A10759" t="s">
        <v>12445</v>
      </c>
      <c r="B10759" t="s">
        <v>167</v>
      </c>
    </row>
    <row r="10760" spans="1:2" x14ac:dyDescent="0.25">
      <c r="A10760" t="s">
        <v>12446</v>
      </c>
      <c r="B10760" t="s">
        <v>126</v>
      </c>
    </row>
    <row r="10761" spans="1:2" x14ac:dyDescent="0.25">
      <c r="A10761" t="s">
        <v>12447</v>
      </c>
      <c r="B10761" t="s">
        <v>1397</v>
      </c>
    </row>
    <row r="10762" spans="1:2" x14ac:dyDescent="0.25">
      <c r="A10762" t="s">
        <v>12448</v>
      </c>
      <c r="B10762" t="s">
        <v>580</v>
      </c>
    </row>
    <row r="10763" spans="1:2" x14ac:dyDescent="0.25">
      <c r="A10763" t="s">
        <v>12449</v>
      </c>
      <c r="B10763" t="s">
        <v>1375</v>
      </c>
    </row>
    <row r="10764" spans="1:2" x14ac:dyDescent="0.25">
      <c r="A10764" t="s">
        <v>12450</v>
      </c>
      <c r="B10764" t="s">
        <v>9654</v>
      </c>
    </row>
    <row r="10765" spans="1:2" x14ac:dyDescent="0.25">
      <c r="A10765" t="s">
        <v>12451</v>
      </c>
      <c r="B10765" t="s">
        <v>538</v>
      </c>
    </row>
    <row r="10766" spans="1:2" x14ac:dyDescent="0.25">
      <c r="A10766" t="s">
        <v>12452</v>
      </c>
      <c r="B10766" t="s">
        <v>218</v>
      </c>
    </row>
    <row r="10767" spans="1:2" x14ac:dyDescent="0.25">
      <c r="A10767" t="s">
        <v>12453</v>
      </c>
      <c r="B10767" t="s">
        <v>220</v>
      </c>
    </row>
    <row r="10768" spans="1:2" x14ac:dyDescent="0.25">
      <c r="A10768" t="s">
        <v>12454</v>
      </c>
      <c r="B10768" t="s">
        <v>121</v>
      </c>
    </row>
    <row r="10769" spans="1:2" x14ac:dyDescent="0.25">
      <c r="A10769" t="s">
        <v>12455</v>
      </c>
      <c r="B10769" t="s">
        <v>1375</v>
      </c>
    </row>
    <row r="10770" spans="1:2" x14ac:dyDescent="0.25">
      <c r="A10770" t="s">
        <v>12456</v>
      </c>
      <c r="B10770" t="s">
        <v>1445</v>
      </c>
    </row>
    <row r="10771" spans="1:2" x14ac:dyDescent="0.25">
      <c r="A10771" t="s">
        <v>12457</v>
      </c>
      <c r="B10771" t="s">
        <v>730</v>
      </c>
    </row>
    <row r="10772" spans="1:2" x14ac:dyDescent="0.25">
      <c r="A10772" t="s">
        <v>12458</v>
      </c>
      <c r="B10772" t="s">
        <v>204</v>
      </c>
    </row>
    <row r="10773" spans="1:2" x14ac:dyDescent="0.25">
      <c r="A10773" t="s">
        <v>12459</v>
      </c>
      <c r="B10773" t="s">
        <v>157</v>
      </c>
    </row>
    <row r="10774" spans="1:2" x14ac:dyDescent="0.25">
      <c r="A10774" t="s">
        <v>12460</v>
      </c>
      <c r="B10774" t="s">
        <v>202</v>
      </c>
    </row>
    <row r="10775" spans="1:2" x14ac:dyDescent="0.25">
      <c r="A10775" t="s">
        <v>12461</v>
      </c>
      <c r="B10775" t="s">
        <v>1445</v>
      </c>
    </row>
    <row r="10776" spans="1:2" x14ac:dyDescent="0.25">
      <c r="A10776" t="s">
        <v>12462</v>
      </c>
      <c r="B10776" t="s">
        <v>1472</v>
      </c>
    </row>
    <row r="10777" spans="1:2" x14ac:dyDescent="0.25">
      <c r="A10777" t="s">
        <v>12463</v>
      </c>
      <c r="B10777" t="s">
        <v>173</v>
      </c>
    </row>
    <row r="10778" spans="1:2" x14ac:dyDescent="0.25">
      <c r="A10778" t="s">
        <v>12464</v>
      </c>
      <c r="B10778" t="s">
        <v>157</v>
      </c>
    </row>
    <row r="10779" spans="1:2" x14ac:dyDescent="0.25">
      <c r="A10779" t="s">
        <v>12465</v>
      </c>
      <c r="B10779" t="s">
        <v>157</v>
      </c>
    </row>
    <row r="10780" spans="1:2" x14ac:dyDescent="0.25">
      <c r="A10780" t="s">
        <v>12466</v>
      </c>
      <c r="B10780" t="s">
        <v>642</v>
      </c>
    </row>
    <row r="10781" spans="1:2" x14ac:dyDescent="0.25">
      <c r="A10781" t="s">
        <v>12467</v>
      </c>
      <c r="B10781" t="s">
        <v>642</v>
      </c>
    </row>
    <row r="10782" spans="1:2" x14ac:dyDescent="0.25">
      <c r="A10782" t="s">
        <v>12468</v>
      </c>
      <c r="B10782" t="s">
        <v>354</v>
      </c>
    </row>
    <row r="10783" spans="1:2" x14ac:dyDescent="0.25">
      <c r="A10783" t="s">
        <v>12469</v>
      </c>
      <c r="B10783" t="s">
        <v>1348</v>
      </c>
    </row>
    <row r="10784" spans="1:2" x14ac:dyDescent="0.25">
      <c r="A10784" t="s">
        <v>12470</v>
      </c>
      <c r="B10784" t="s">
        <v>356</v>
      </c>
    </row>
    <row r="10785" spans="1:2" x14ac:dyDescent="0.25">
      <c r="A10785" t="s">
        <v>12471</v>
      </c>
      <c r="B10785" t="s">
        <v>594</v>
      </c>
    </row>
    <row r="10786" spans="1:2" x14ac:dyDescent="0.25">
      <c r="A10786" t="s">
        <v>12472</v>
      </c>
      <c r="B10786" t="s">
        <v>595</v>
      </c>
    </row>
    <row r="10787" spans="1:2" x14ac:dyDescent="0.25">
      <c r="A10787" t="s">
        <v>12473</v>
      </c>
      <c r="B10787" t="s">
        <v>596</v>
      </c>
    </row>
    <row r="10788" spans="1:2" x14ac:dyDescent="0.25">
      <c r="A10788" t="s">
        <v>12474</v>
      </c>
      <c r="B10788" t="s">
        <v>597</v>
      </c>
    </row>
    <row r="10789" spans="1:2" x14ac:dyDescent="0.25">
      <c r="A10789" t="s">
        <v>12475</v>
      </c>
      <c r="B10789" t="s">
        <v>1218</v>
      </c>
    </row>
    <row r="10790" spans="1:2" x14ac:dyDescent="0.25">
      <c r="A10790" t="s">
        <v>12476</v>
      </c>
      <c r="B10790" t="s">
        <v>1348</v>
      </c>
    </row>
    <row r="10791" spans="1:2" x14ac:dyDescent="0.25">
      <c r="A10791" t="s">
        <v>12477</v>
      </c>
      <c r="B10791" t="s">
        <v>584</v>
      </c>
    </row>
    <row r="10792" spans="1:2" x14ac:dyDescent="0.25">
      <c r="A10792" t="s">
        <v>12478</v>
      </c>
      <c r="B10792" t="s">
        <v>12479</v>
      </c>
    </row>
    <row r="10793" spans="1:2" x14ac:dyDescent="0.25">
      <c r="A10793" t="s">
        <v>12480</v>
      </c>
      <c r="B10793" t="s">
        <v>619</v>
      </c>
    </row>
    <row r="10794" spans="1:2" x14ac:dyDescent="0.25">
      <c r="A10794" t="s">
        <v>12481</v>
      </c>
      <c r="B10794" t="s">
        <v>12482</v>
      </c>
    </row>
    <row r="10795" spans="1:2" x14ac:dyDescent="0.25">
      <c r="A10795" t="s">
        <v>12483</v>
      </c>
      <c r="B10795" t="s">
        <v>1445</v>
      </c>
    </row>
    <row r="10796" spans="1:2" x14ac:dyDescent="0.25">
      <c r="A10796" t="s">
        <v>12484</v>
      </c>
      <c r="B10796" t="s">
        <v>1457</v>
      </c>
    </row>
    <row r="10797" spans="1:2" x14ac:dyDescent="0.25">
      <c r="A10797" t="s">
        <v>12485</v>
      </c>
      <c r="B10797" t="s">
        <v>115</v>
      </c>
    </row>
    <row r="10798" spans="1:2" x14ac:dyDescent="0.25">
      <c r="A10798" t="s">
        <v>12486</v>
      </c>
      <c r="B10798" t="s">
        <v>153</v>
      </c>
    </row>
    <row r="10799" spans="1:2" x14ac:dyDescent="0.25">
      <c r="A10799" t="s">
        <v>12487</v>
      </c>
      <c r="B10799" t="s">
        <v>675</v>
      </c>
    </row>
    <row r="10800" spans="1:2" x14ac:dyDescent="0.25">
      <c r="A10800" t="s">
        <v>674</v>
      </c>
      <c r="B10800" t="s">
        <v>674</v>
      </c>
    </row>
    <row r="10801" spans="1:2" x14ac:dyDescent="0.25">
      <c r="A10801" t="s">
        <v>12488</v>
      </c>
      <c r="B10801" t="s">
        <v>1449</v>
      </c>
    </row>
    <row r="10802" spans="1:2" x14ac:dyDescent="0.25">
      <c r="A10802" t="s">
        <v>12489</v>
      </c>
      <c r="B10802" t="s">
        <v>199</v>
      </c>
    </row>
    <row r="10803" spans="1:2" x14ac:dyDescent="0.25">
      <c r="A10803" t="s">
        <v>12490</v>
      </c>
      <c r="B10803" t="s">
        <v>62</v>
      </c>
    </row>
    <row r="10804" spans="1:2" x14ac:dyDescent="0.25">
      <c r="A10804" t="s">
        <v>12491</v>
      </c>
      <c r="B10804" t="s">
        <v>674</v>
      </c>
    </row>
    <row r="10805" spans="1:2" x14ac:dyDescent="0.25">
      <c r="A10805" t="s">
        <v>12492</v>
      </c>
      <c r="B10805" t="s">
        <v>676</v>
      </c>
    </row>
    <row r="10806" spans="1:2" x14ac:dyDescent="0.25">
      <c r="A10806" t="s">
        <v>12493</v>
      </c>
      <c r="B10806" t="s">
        <v>549</v>
      </c>
    </row>
    <row r="10807" spans="1:2" x14ac:dyDescent="0.25">
      <c r="A10807" t="s">
        <v>12494</v>
      </c>
      <c r="B10807" t="s">
        <v>206</v>
      </c>
    </row>
    <row r="10808" spans="1:2" x14ac:dyDescent="0.25">
      <c r="A10808" t="s">
        <v>12495</v>
      </c>
      <c r="B10808" t="s">
        <v>12496</v>
      </c>
    </row>
    <row r="10809" spans="1:2" x14ac:dyDescent="0.25">
      <c r="A10809" t="s">
        <v>12497</v>
      </c>
      <c r="B10809" t="s">
        <v>454</v>
      </c>
    </row>
    <row r="10810" spans="1:2" x14ac:dyDescent="0.25">
      <c r="A10810" t="s">
        <v>12498</v>
      </c>
      <c r="B10810" t="s">
        <v>1457</v>
      </c>
    </row>
    <row r="10811" spans="1:2" x14ac:dyDescent="0.25">
      <c r="A10811" t="s">
        <v>12499</v>
      </c>
      <c r="B10811" t="s">
        <v>1457</v>
      </c>
    </row>
    <row r="10812" spans="1:2" x14ac:dyDescent="0.25">
      <c r="A10812" t="s">
        <v>12500</v>
      </c>
      <c r="B10812" t="s">
        <v>12482</v>
      </c>
    </row>
    <row r="10813" spans="1:2" x14ac:dyDescent="0.25">
      <c r="A10813" t="s">
        <v>12501</v>
      </c>
      <c r="B10813" t="s">
        <v>327</v>
      </c>
    </row>
    <row r="10814" spans="1:2" x14ac:dyDescent="0.25">
      <c r="A10814" t="s">
        <v>12502</v>
      </c>
      <c r="B10814" t="s">
        <v>1009</v>
      </c>
    </row>
    <row r="10815" spans="1:2" x14ac:dyDescent="0.25">
      <c r="A10815" t="s">
        <v>12503</v>
      </c>
      <c r="B10815" t="s">
        <v>1067</v>
      </c>
    </row>
    <row r="10816" spans="1:2" x14ac:dyDescent="0.25">
      <c r="A10816" t="s">
        <v>12504</v>
      </c>
      <c r="B10816" t="s">
        <v>636</v>
      </c>
    </row>
    <row r="10817" spans="1:2" x14ac:dyDescent="0.25">
      <c r="A10817" t="s">
        <v>12505</v>
      </c>
      <c r="B10817" t="s">
        <v>640</v>
      </c>
    </row>
    <row r="10818" spans="1:2" x14ac:dyDescent="0.25">
      <c r="A10818" t="s">
        <v>12506</v>
      </c>
      <c r="B10818" t="s">
        <v>640</v>
      </c>
    </row>
    <row r="10819" spans="1:2" x14ac:dyDescent="0.25">
      <c r="A10819" t="s">
        <v>12507</v>
      </c>
      <c r="B10819" t="s">
        <v>454</v>
      </c>
    </row>
    <row r="10820" spans="1:2" x14ac:dyDescent="0.25">
      <c r="A10820" t="s">
        <v>12508</v>
      </c>
      <c r="B10820" t="s">
        <v>620</v>
      </c>
    </row>
    <row r="10821" spans="1:2" x14ac:dyDescent="0.25">
      <c r="A10821" t="s">
        <v>12509</v>
      </c>
      <c r="B10821" t="s">
        <v>12509</v>
      </c>
    </row>
    <row r="10822" spans="1:2" x14ac:dyDescent="0.25">
      <c r="A10822" t="s">
        <v>10942</v>
      </c>
      <c r="B10822" t="s">
        <v>10942</v>
      </c>
    </row>
    <row r="10823" spans="1:2" x14ac:dyDescent="0.25">
      <c r="A10823" t="s">
        <v>10933</v>
      </c>
      <c r="B10823" t="s">
        <v>10933</v>
      </c>
    </row>
    <row r="10824" spans="1:2" x14ac:dyDescent="0.25">
      <c r="A10824" t="s">
        <v>10935</v>
      </c>
      <c r="B10824" t="s">
        <v>10935</v>
      </c>
    </row>
    <row r="10825" spans="1:2" x14ac:dyDescent="0.25">
      <c r="A10825" t="s">
        <v>10919</v>
      </c>
      <c r="B10825" t="s">
        <v>10919</v>
      </c>
    </row>
    <row r="10826" spans="1:2" x14ac:dyDescent="0.25">
      <c r="A10826" t="s">
        <v>9552</v>
      </c>
      <c r="B10826" t="s">
        <v>9552</v>
      </c>
    </row>
    <row r="10827" spans="1:2" x14ac:dyDescent="0.25">
      <c r="A10827" t="s">
        <v>10937</v>
      </c>
      <c r="B10827" t="s">
        <v>10937</v>
      </c>
    </row>
    <row r="10828" spans="1:2" x14ac:dyDescent="0.25">
      <c r="A10828" t="s">
        <v>11576</v>
      </c>
      <c r="B10828" t="s">
        <v>11576</v>
      </c>
    </row>
    <row r="10829" spans="1:2" x14ac:dyDescent="0.25">
      <c r="A10829" t="s">
        <v>11582</v>
      </c>
      <c r="B10829" t="s">
        <v>11582</v>
      </c>
    </row>
    <row r="10830" spans="1:2" x14ac:dyDescent="0.25">
      <c r="A10830" t="s">
        <v>12510</v>
      </c>
      <c r="B10830" t="s">
        <v>309</v>
      </c>
    </row>
    <row r="10831" spans="1:2" x14ac:dyDescent="0.25">
      <c r="A10831" t="s">
        <v>12511</v>
      </c>
      <c r="B10831" t="s">
        <v>601</v>
      </c>
    </row>
    <row r="10832" spans="1:2" x14ac:dyDescent="0.25">
      <c r="A10832" t="s">
        <v>12512</v>
      </c>
      <c r="B10832" t="s">
        <v>151</v>
      </c>
    </row>
    <row r="10833" spans="1:2" x14ac:dyDescent="0.25">
      <c r="A10833" t="s">
        <v>12513</v>
      </c>
      <c r="B10833" t="s">
        <v>1445</v>
      </c>
    </row>
    <row r="10834" spans="1:2" x14ac:dyDescent="0.25">
      <c r="A10834" t="s">
        <v>12514</v>
      </c>
      <c r="B10834" t="s">
        <v>585</v>
      </c>
    </row>
    <row r="10835" spans="1:2" x14ac:dyDescent="0.25">
      <c r="A10835" t="s">
        <v>12515</v>
      </c>
      <c r="B10835" t="s">
        <v>659</v>
      </c>
    </row>
    <row r="10836" spans="1:2" x14ac:dyDescent="0.25">
      <c r="A10836" t="s">
        <v>658</v>
      </c>
      <c r="B10836" t="s">
        <v>658</v>
      </c>
    </row>
    <row r="10837" spans="1:2" x14ac:dyDescent="0.25">
      <c r="A10837" t="s">
        <v>659</v>
      </c>
      <c r="B10837" t="s">
        <v>659</v>
      </c>
    </row>
    <row r="10838" spans="1:2" x14ac:dyDescent="0.25">
      <c r="A10838" t="s">
        <v>675</v>
      </c>
      <c r="B10838" t="s">
        <v>675</v>
      </c>
    </row>
    <row r="10839" spans="1:2" x14ac:dyDescent="0.25">
      <c r="A10839" t="s">
        <v>12516</v>
      </c>
      <c r="B10839" t="s">
        <v>450</v>
      </c>
    </row>
    <row r="10840" spans="1:2" x14ac:dyDescent="0.25">
      <c r="A10840" t="s">
        <v>12517</v>
      </c>
      <c r="B10840" t="s">
        <v>12518</v>
      </c>
    </row>
    <row r="10841" spans="1:2" x14ac:dyDescent="0.25">
      <c r="A10841" t="s">
        <v>12519</v>
      </c>
      <c r="B10841" t="s">
        <v>12520</v>
      </c>
    </row>
    <row r="10842" spans="1:2" x14ac:dyDescent="0.25">
      <c r="A10842" t="s">
        <v>12521</v>
      </c>
      <c r="B10842" t="s">
        <v>12522</v>
      </c>
    </row>
    <row r="10843" spans="1:2" x14ac:dyDescent="0.25">
      <c r="A10843" t="s">
        <v>12523</v>
      </c>
      <c r="B10843" t="s">
        <v>1429</v>
      </c>
    </row>
    <row r="10844" spans="1:2" x14ac:dyDescent="0.25">
      <c r="A10844" t="s">
        <v>12524</v>
      </c>
      <c r="B10844" t="s">
        <v>142</v>
      </c>
    </row>
    <row r="10845" spans="1:2" x14ac:dyDescent="0.25">
      <c r="A10845" t="s">
        <v>12525</v>
      </c>
      <c r="B10845" t="s">
        <v>727</v>
      </c>
    </row>
    <row r="10846" spans="1:2" x14ac:dyDescent="0.25">
      <c r="A10846" t="s">
        <v>12526</v>
      </c>
      <c r="B10846" t="s">
        <v>603</v>
      </c>
    </row>
    <row r="10847" spans="1:2" x14ac:dyDescent="0.25">
      <c r="A10847" t="s">
        <v>12527</v>
      </c>
      <c r="B10847" t="s">
        <v>348</v>
      </c>
    </row>
    <row r="10848" spans="1:2" x14ac:dyDescent="0.25">
      <c r="A10848" t="s">
        <v>12528</v>
      </c>
      <c r="B10848" t="s">
        <v>634</v>
      </c>
    </row>
    <row r="10849" spans="1:2" x14ac:dyDescent="0.25">
      <c r="A10849" t="s">
        <v>12529</v>
      </c>
      <c r="B10849" t="s">
        <v>327</v>
      </c>
    </row>
    <row r="10850" spans="1:2" x14ac:dyDescent="0.25">
      <c r="A10850" t="s">
        <v>12530</v>
      </c>
      <c r="B10850" t="s">
        <v>590</v>
      </c>
    </row>
    <row r="10851" spans="1:2" x14ac:dyDescent="0.25">
      <c r="A10851" t="s">
        <v>12531</v>
      </c>
      <c r="B10851" t="s">
        <v>532</v>
      </c>
    </row>
    <row r="10852" spans="1:2" x14ac:dyDescent="0.25">
      <c r="A10852" t="s">
        <v>12532</v>
      </c>
      <c r="B10852" t="s">
        <v>546</v>
      </c>
    </row>
    <row r="10853" spans="1:2" x14ac:dyDescent="0.25">
      <c r="A10853" t="s">
        <v>12533</v>
      </c>
      <c r="B10853" t="s">
        <v>468</v>
      </c>
    </row>
    <row r="10854" spans="1:2" x14ac:dyDescent="0.25">
      <c r="A10854" t="s">
        <v>12534</v>
      </c>
      <c r="B10854" t="s">
        <v>638</v>
      </c>
    </row>
    <row r="10855" spans="1:2" x14ac:dyDescent="0.25">
      <c r="A10855" t="s">
        <v>12535</v>
      </c>
      <c r="B10855" t="s">
        <v>675</v>
      </c>
    </row>
    <row r="10856" spans="1:2" x14ac:dyDescent="0.25">
      <c r="A10856" t="s">
        <v>12536</v>
      </c>
      <c r="B10856" t="s">
        <v>439</v>
      </c>
    </row>
    <row r="10857" spans="1:2" x14ac:dyDescent="0.25">
      <c r="A10857" t="s">
        <v>12537</v>
      </c>
      <c r="B10857" t="s">
        <v>466</v>
      </c>
    </row>
    <row r="10858" spans="1:2" x14ac:dyDescent="0.25">
      <c r="A10858" t="s">
        <v>12538</v>
      </c>
      <c r="B10858" t="s">
        <v>12539</v>
      </c>
    </row>
    <row r="10859" spans="1:2" x14ac:dyDescent="0.25">
      <c r="A10859" t="s">
        <v>12540</v>
      </c>
      <c r="B10859" t="s">
        <v>658</v>
      </c>
    </row>
    <row r="10860" spans="1:2" x14ac:dyDescent="0.25">
      <c r="A10860" t="s">
        <v>12541</v>
      </c>
      <c r="B10860" t="s">
        <v>659</v>
      </c>
    </row>
    <row r="10861" spans="1:2" x14ac:dyDescent="0.25">
      <c r="A10861" t="s">
        <v>12542</v>
      </c>
      <c r="B10861" t="s">
        <v>675</v>
      </c>
    </row>
    <row r="10862" spans="1:2" x14ac:dyDescent="0.25">
      <c r="A10862" t="s">
        <v>12543</v>
      </c>
      <c r="B10862" t="s">
        <v>12544</v>
      </c>
    </row>
    <row r="10863" spans="1:2" x14ac:dyDescent="0.25">
      <c r="A10863" t="s">
        <v>12545</v>
      </c>
      <c r="B10863" t="s">
        <v>427</v>
      </c>
    </row>
    <row r="10864" spans="1:2" x14ac:dyDescent="0.25">
      <c r="A10864" t="s">
        <v>12546</v>
      </c>
      <c r="B10864" t="s">
        <v>269</v>
      </c>
    </row>
    <row r="10865" spans="1:2" x14ac:dyDescent="0.25">
      <c r="A10865" t="s">
        <v>12547</v>
      </c>
      <c r="B10865" t="s">
        <v>12548</v>
      </c>
    </row>
    <row r="10866" spans="1:2" x14ac:dyDescent="0.25">
      <c r="A10866" t="s">
        <v>12549</v>
      </c>
      <c r="B10866" t="s">
        <v>644</v>
      </c>
    </row>
    <row r="10867" spans="1:2" x14ac:dyDescent="0.25">
      <c r="A10867" t="s">
        <v>12550</v>
      </c>
      <c r="B10867" t="s">
        <v>641</v>
      </c>
    </row>
    <row r="10868" spans="1:2" x14ac:dyDescent="0.25">
      <c r="A10868" t="s">
        <v>12551</v>
      </c>
      <c r="B10868" t="s">
        <v>651</v>
      </c>
    </row>
    <row r="10869" spans="1:2" x14ac:dyDescent="0.25">
      <c r="A10869" t="s">
        <v>12552</v>
      </c>
      <c r="B10869" t="s">
        <v>617</v>
      </c>
    </row>
    <row r="10870" spans="1:2" x14ac:dyDescent="0.25">
      <c r="A10870" t="s">
        <v>12553</v>
      </c>
      <c r="B10870" t="s">
        <v>1059</v>
      </c>
    </row>
    <row r="10871" spans="1:2" x14ac:dyDescent="0.25">
      <c r="A10871" t="s">
        <v>12554</v>
      </c>
      <c r="B10871" t="s">
        <v>610</v>
      </c>
    </row>
    <row r="10872" spans="1:2" x14ac:dyDescent="0.25">
      <c r="A10872" t="s">
        <v>12555</v>
      </c>
      <c r="B10872" t="s">
        <v>629</v>
      </c>
    </row>
    <row r="10873" spans="1:2" x14ac:dyDescent="0.25">
      <c r="A10873" t="s">
        <v>12556</v>
      </c>
      <c r="B10873" t="s">
        <v>609</v>
      </c>
    </row>
    <row r="10874" spans="1:2" x14ac:dyDescent="0.25">
      <c r="A10874" t="s">
        <v>12557</v>
      </c>
      <c r="B10874" t="s">
        <v>658</v>
      </c>
    </row>
    <row r="10875" spans="1:2" x14ac:dyDescent="0.25">
      <c r="A10875" t="s">
        <v>12558</v>
      </c>
      <c r="B10875" t="s">
        <v>601</v>
      </c>
    </row>
    <row r="10876" spans="1:2" x14ac:dyDescent="0.25">
      <c r="A10876" t="s">
        <v>12559</v>
      </c>
      <c r="B10876" t="s">
        <v>643</v>
      </c>
    </row>
    <row r="10877" spans="1:2" x14ac:dyDescent="0.25">
      <c r="A10877" t="s">
        <v>12560</v>
      </c>
      <c r="B10877" t="s">
        <v>335</v>
      </c>
    </row>
    <row r="10878" spans="1:2" x14ac:dyDescent="0.25">
      <c r="A10878" t="s">
        <v>12561</v>
      </c>
      <c r="B10878" t="s">
        <v>329</v>
      </c>
    </row>
    <row r="10879" spans="1:2" x14ac:dyDescent="0.25">
      <c r="A10879" t="s">
        <v>12562</v>
      </c>
      <c r="B10879" t="s">
        <v>631</v>
      </c>
    </row>
    <row r="10880" spans="1:2" x14ac:dyDescent="0.25">
      <c r="A10880" t="s">
        <v>12563</v>
      </c>
      <c r="B10880" t="s">
        <v>619</v>
      </c>
    </row>
    <row r="10881" spans="1:2" x14ac:dyDescent="0.25">
      <c r="A10881" t="s">
        <v>12564</v>
      </c>
      <c r="B10881" t="s">
        <v>645</v>
      </c>
    </row>
    <row r="10882" spans="1:2" x14ac:dyDescent="0.25">
      <c r="A10882" t="s">
        <v>12565</v>
      </c>
      <c r="B10882" t="s">
        <v>668</v>
      </c>
    </row>
    <row r="10883" spans="1:2" x14ac:dyDescent="0.25">
      <c r="A10883" t="s">
        <v>12566</v>
      </c>
      <c r="B10883" t="s">
        <v>1179</v>
      </c>
    </row>
    <row r="10884" spans="1:2" x14ac:dyDescent="0.25">
      <c r="A10884" t="s">
        <v>12567</v>
      </c>
      <c r="B10884" t="s">
        <v>672</v>
      </c>
    </row>
    <row r="10885" spans="1:2" x14ac:dyDescent="0.25">
      <c r="A10885" t="s">
        <v>12568</v>
      </c>
      <c r="B10885" t="s">
        <v>161</v>
      </c>
    </row>
    <row r="10886" spans="1:2" x14ac:dyDescent="0.25">
      <c r="A10886" t="s">
        <v>12569</v>
      </c>
      <c r="B10886" t="s">
        <v>736</v>
      </c>
    </row>
    <row r="10887" spans="1:2" x14ac:dyDescent="0.25">
      <c r="A10887" t="s">
        <v>12570</v>
      </c>
      <c r="B10887" t="s">
        <v>167</v>
      </c>
    </row>
    <row r="10888" spans="1:2" x14ac:dyDescent="0.25">
      <c r="A10888" t="s">
        <v>12571</v>
      </c>
      <c r="B10888" t="s">
        <v>169</v>
      </c>
    </row>
    <row r="10889" spans="1:2" x14ac:dyDescent="0.25">
      <c r="A10889" t="s">
        <v>12572</v>
      </c>
      <c r="B10889" t="s">
        <v>1284</v>
      </c>
    </row>
    <row r="10890" spans="1:2" x14ac:dyDescent="0.25">
      <c r="A10890" t="s">
        <v>12573</v>
      </c>
      <c r="B10890" t="s">
        <v>770</v>
      </c>
    </row>
    <row r="10891" spans="1:2" x14ac:dyDescent="0.25">
      <c r="A10891" t="s">
        <v>12574</v>
      </c>
      <c r="B10891" t="s">
        <v>742</v>
      </c>
    </row>
    <row r="10892" spans="1:2" x14ac:dyDescent="0.25">
      <c r="A10892" t="s">
        <v>12575</v>
      </c>
      <c r="B10892" t="s">
        <v>758</v>
      </c>
    </row>
    <row r="10893" spans="1:2" x14ac:dyDescent="0.25">
      <c r="A10893" t="s">
        <v>12576</v>
      </c>
      <c r="B10893" t="s">
        <v>850</v>
      </c>
    </row>
    <row r="10894" spans="1:2" x14ac:dyDescent="0.25">
      <c r="A10894" t="s">
        <v>12577</v>
      </c>
      <c r="B10894" t="s">
        <v>746</v>
      </c>
    </row>
    <row r="10895" spans="1:2" x14ac:dyDescent="0.25">
      <c r="A10895" t="s">
        <v>12578</v>
      </c>
      <c r="B10895" t="s">
        <v>1324</v>
      </c>
    </row>
    <row r="10896" spans="1:2" x14ac:dyDescent="0.25">
      <c r="A10896" t="s">
        <v>12579</v>
      </c>
      <c r="B10896" t="s">
        <v>1327</v>
      </c>
    </row>
    <row r="10897" spans="1:2" x14ac:dyDescent="0.25">
      <c r="A10897" t="s">
        <v>12580</v>
      </c>
      <c r="B10897" t="s">
        <v>747</v>
      </c>
    </row>
    <row r="10898" spans="1:2" x14ac:dyDescent="0.25">
      <c r="A10898" t="s">
        <v>12581</v>
      </c>
      <c r="B10898" t="s">
        <v>755</v>
      </c>
    </row>
    <row r="10899" spans="1:2" x14ac:dyDescent="0.25">
      <c r="A10899" t="s">
        <v>12582</v>
      </c>
      <c r="B10899" t="s">
        <v>853</v>
      </c>
    </row>
    <row r="10900" spans="1:2" x14ac:dyDescent="0.25">
      <c r="A10900" t="s">
        <v>12583</v>
      </c>
      <c r="B10900" t="s">
        <v>171</v>
      </c>
    </row>
    <row r="10901" spans="1:2" x14ac:dyDescent="0.25">
      <c r="A10901" t="s">
        <v>12584</v>
      </c>
      <c r="B10901" t="s">
        <v>1111</v>
      </c>
    </row>
    <row r="10902" spans="1:2" x14ac:dyDescent="0.25">
      <c r="A10902" t="s">
        <v>12585</v>
      </c>
      <c r="B10902" t="s">
        <v>1090</v>
      </c>
    </row>
    <row r="10903" spans="1:2" x14ac:dyDescent="0.25">
      <c r="A10903" t="s">
        <v>12586</v>
      </c>
      <c r="B10903" t="s">
        <v>751</v>
      </c>
    </row>
    <row r="10904" spans="1:2" x14ac:dyDescent="0.25">
      <c r="A10904" t="s">
        <v>12587</v>
      </c>
      <c r="B10904" t="s">
        <v>1127</v>
      </c>
    </row>
    <row r="10905" spans="1:2" x14ac:dyDescent="0.25">
      <c r="A10905" t="s">
        <v>12588</v>
      </c>
      <c r="B10905" t="s">
        <v>648</v>
      </c>
    </row>
    <row r="10906" spans="1:2" x14ac:dyDescent="0.25">
      <c r="A10906" t="s">
        <v>12589</v>
      </c>
      <c r="B10906" t="s">
        <v>636</v>
      </c>
    </row>
    <row r="10907" spans="1:2" x14ac:dyDescent="0.25">
      <c r="A10907" t="s">
        <v>12590</v>
      </c>
      <c r="B10907" t="s">
        <v>659</v>
      </c>
    </row>
    <row r="10908" spans="1:2" x14ac:dyDescent="0.25">
      <c r="A10908" t="s">
        <v>12591</v>
      </c>
      <c r="B10908" t="s">
        <v>637</v>
      </c>
    </row>
    <row r="10909" spans="1:2" x14ac:dyDescent="0.25">
      <c r="A10909" t="s">
        <v>12592</v>
      </c>
      <c r="B10909" t="s">
        <v>594</v>
      </c>
    </row>
    <row r="10910" spans="1:2" x14ac:dyDescent="0.25">
      <c r="A10910" t="s">
        <v>12593</v>
      </c>
      <c r="B10910" t="s">
        <v>597</v>
      </c>
    </row>
    <row r="10911" spans="1:2" x14ac:dyDescent="0.25">
      <c r="A10911" t="s">
        <v>12594</v>
      </c>
      <c r="B10911" t="s">
        <v>596</v>
      </c>
    </row>
    <row r="10912" spans="1:2" x14ac:dyDescent="0.25">
      <c r="A10912" t="s">
        <v>12595</v>
      </c>
      <c r="B10912" t="s">
        <v>595</v>
      </c>
    </row>
    <row r="10913" spans="1:2" x14ac:dyDescent="0.25">
      <c r="A10913" t="s">
        <v>12596</v>
      </c>
      <c r="B10913" t="s">
        <v>649</v>
      </c>
    </row>
    <row r="10914" spans="1:2" x14ac:dyDescent="0.25">
      <c r="A10914" t="s">
        <v>12597</v>
      </c>
      <c r="B10914" t="s">
        <v>669</v>
      </c>
    </row>
    <row r="10915" spans="1:2" x14ac:dyDescent="0.25">
      <c r="A10915" t="s">
        <v>12598</v>
      </c>
      <c r="B10915" t="s">
        <v>411</v>
      </c>
    </row>
    <row r="10916" spans="1:2" x14ac:dyDescent="0.25">
      <c r="A10916" t="s">
        <v>12599</v>
      </c>
      <c r="B10916" t="s">
        <v>115</v>
      </c>
    </row>
    <row r="10917" spans="1:2" x14ac:dyDescent="0.25">
      <c r="A10917" t="s">
        <v>12600</v>
      </c>
      <c r="B10917" t="s">
        <v>157</v>
      </c>
    </row>
    <row r="10918" spans="1:2" x14ac:dyDescent="0.25">
      <c r="A10918" t="s">
        <v>12601</v>
      </c>
      <c r="B10918" t="s">
        <v>204</v>
      </c>
    </row>
    <row r="10919" spans="1:2" x14ac:dyDescent="0.25">
      <c r="A10919" t="s">
        <v>12602</v>
      </c>
      <c r="B10919" t="s">
        <v>1417</v>
      </c>
    </row>
    <row r="10920" spans="1:2" x14ac:dyDescent="0.25">
      <c r="A10920" t="s">
        <v>12603</v>
      </c>
      <c r="B10920" t="s">
        <v>1461</v>
      </c>
    </row>
    <row r="10921" spans="1:2" x14ac:dyDescent="0.25">
      <c r="A10921" t="s">
        <v>12604</v>
      </c>
      <c r="B10921" t="s">
        <v>12605</v>
      </c>
    </row>
    <row r="10922" spans="1:2" x14ac:dyDescent="0.25">
      <c r="A10922" t="s">
        <v>12606</v>
      </c>
      <c r="B10922" t="s">
        <v>195</v>
      </c>
    </row>
    <row r="10923" spans="1:2" x14ac:dyDescent="0.25">
      <c r="A10923" t="s">
        <v>12607</v>
      </c>
      <c r="B10923" t="s">
        <v>640</v>
      </c>
    </row>
    <row r="10924" spans="1:2" x14ac:dyDescent="0.25">
      <c r="A10924" t="s">
        <v>12608</v>
      </c>
      <c r="B10924" t="s">
        <v>1472</v>
      </c>
    </row>
    <row r="10925" spans="1:2" x14ac:dyDescent="0.25">
      <c r="A10925" t="s">
        <v>12609</v>
      </c>
      <c r="B10925" t="s">
        <v>640</v>
      </c>
    </row>
    <row r="10926" spans="1:2" x14ac:dyDescent="0.25">
      <c r="A10926" t="s">
        <v>595</v>
      </c>
      <c r="B10926" t="s">
        <v>595</v>
      </c>
    </row>
    <row r="10927" spans="1:2" x14ac:dyDescent="0.25">
      <c r="A10927" t="s">
        <v>597</v>
      </c>
      <c r="B10927" t="s">
        <v>597</v>
      </c>
    </row>
    <row r="10928" spans="1:2" x14ac:dyDescent="0.25">
      <c r="A10928" t="s">
        <v>594</v>
      </c>
      <c r="B10928" t="s">
        <v>594</v>
      </c>
    </row>
    <row r="10929" spans="1:2" x14ac:dyDescent="0.25">
      <c r="A10929" t="s">
        <v>12610</v>
      </c>
      <c r="B10929" t="s">
        <v>584</v>
      </c>
    </row>
    <row r="10930" spans="1:2" x14ac:dyDescent="0.25">
      <c r="A10930" t="s">
        <v>12611</v>
      </c>
      <c r="B10930" t="s">
        <v>12482</v>
      </c>
    </row>
    <row r="10931" spans="1:2" x14ac:dyDescent="0.25">
      <c r="A10931" t="s">
        <v>12612</v>
      </c>
      <c r="B10931" t="s">
        <v>658</v>
      </c>
    </row>
    <row r="10932" spans="1:2" x14ac:dyDescent="0.25">
      <c r="A10932" t="s">
        <v>12613</v>
      </c>
      <c r="B10932" t="s">
        <v>1449</v>
      </c>
    </row>
    <row r="10933" spans="1:2" x14ac:dyDescent="0.25">
      <c r="A10933" t="s">
        <v>12614</v>
      </c>
      <c r="B10933" t="s">
        <v>466</v>
      </c>
    </row>
    <row r="10934" spans="1:2" x14ac:dyDescent="0.25">
      <c r="A10934" t="s">
        <v>12615</v>
      </c>
      <c r="B10934" t="s">
        <v>677</v>
      </c>
    </row>
    <row r="10935" spans="1:2" x14ac:dyDescent="0.25">
      <c r="A10935" t="s">
        <v>12616</v>
      </c>
      <c r="B10935" t="s">
        <v>678</v>
      </c>
    </row>
    <row r="10936" spans="1:2" x14ac:dyDescent="0.25">
      <c r="A10936" t="s">
        <v>12617</v>
      </c>
      <c r="B10936" t="s">
        <v>1193</v>
      </c>
    </row>
    <row r="10937" spans="1:2" x14ac:dyDescent="0.25">
      <c r="A10937" t="s">
        <v>12618</v>
      </c>
      <c r="B10937" t="s">
        <v>1235</v>
      </c>
    </row>
    <row r="10938" spans="1:2" x14ac:dyDescent="0.25">
      <c r="A10938" t="s">
        <v>12619</v>
      </c>
      <c r="B10938" t="s">
        <v>1340</v>
      </c>
    </row>
    <row r="10939" spans="1:2" x14ac:dyDescent="0.25">
      <c r="A10939" t="s">
        <v>12620</v>
      </c>
      <c r="B10939" t="s">
        <v>1417</v>
      </c>
    </row>
    <row r="10940" spans="1:2" x14ac:dyDescent="0.25">
      <c r="A10940" t="s">
        <v>12621</v>
      </c>
      <c r="B10940" t="s">
        <v>1445</v>
      </c>
    </row>
    <row r="10941" spans="1:2" x14ac:dyDescent="0.25">
      <c r="A10941" t="s">
        <v>12622</v>
      </c>
      <c r="B10941" t="s">
        <v>679</v>
      </c>
    </row>
    <row r="10942" spans="1:2" x14ac:dyDescent="0.25">
      <c r="A10942" t="s">
        <v>12623</v>
      </c>
      <c r="B10942" t="s">
        <v>680</v>
      </c>
    </row>
    <row r="10943" spans="1:2" x14ac:dyDescent="0.25">
      <c r="A10943" t="s">
        <v>12624</v>
      </c>
      <c r="B10943" t="s">
        <v>681</v>
      </c>
    </row>
    <row r="10944" spans="1:2" x14ac:dyDescent="0.25">
      <c r="A10944" t="s">
        <v>12625</v>
      </c>
      <c r="B10944" t="s">
        <v>356</v>
      </c>
    </row>
    <row r="10945" spans="1:2" x14ac:dyDescent="0.25">
      <c r="A10945" t="s">
        <v>12626</v>
      </c>
      <c r="B10945" t="s">
        <v>448</v>
      </c>
    </row>
    <row r="10946" spans="1:2" x14ac:dyDescent="0.25">
      <c r="A10946" t="s">
        <v>12627</v>
      </c>
      <c r="B10946" t="s">
        <v>588</v>
      </c>
    </row>
    <row r="10947" spans="1:2" x14ac:dyDescent="0.25">
      <c r="A10947" t="s">
        <v>12628</v>
      </c>
      <c r="B10947" t="s">
        <v>640</v>
      </c>
    </row>
    <row r="10948" spans="1:2" x14ac:dyDescent="0.25">
      <c r="A10948" t="s">
        <v>12629</v>
      </c>
      <c r="B10948" t="s">
        <v>640</v>
      </c>
    </row>
    <row r="10949" spans="1:2" x14ac:dyDescent="0.25">
      <c r="A10949" t="s">
        <v>615</v>
      </c>
      <c r="B10949" t="s">
        <v>615</v>
      </c>
    </row>
    <row r="10950" spans="1:2" x14ac:dyDescent="0.25">
      <c r="A10950" t="s">
        <v>12630</v>
      </c>
      <c r="B10950" t="s">
        <v>84</v>
      </c>
    </row>
    <row r="10951" spans="1:2" x14ac:dyDescent="0.25">
      <c r="A10951" t="s">
        <v>12631</v>
      </c>
      <c r="B10951" t="s">
        <v>674</v>
      </c>
    </row>
    <row r="10952" spans="1:2" x14ac:dyDescent="0.25">
      <c r="A10952" t="s">
        <v>12632</v>
      </c>
      <c r="B10952" t="s">
        <v>584</v>
      </c>
    </row>
    <row r="10953" spans="1:2" x14ac:dyDescent="0.25">
      <c r="A10953" t="s">
        <v>12633</v>
      </c>
      <c r="B10953" t="s">
        <v>157</v>
      </c>
    </row>
    <row r="10954" spans="1:2" x14ac:dyDescent="0.25">
      <c r="A10954" t="s">
        <v>12634</v>
      </c>
      <c r="B10954" t="s">
        <v>169</v>
      </c>
    </row>
    <row r="10955" spans="1:2" x14ac:dyDescent="0.25">
      <c r="A10955" t="s">
        <v>12635</v>
      </c>
      <c r="B10955" t="s">
        <v>1449</v>
      </c>
    </row>
    <row r="10956" spans="1:2" x14ac:dyDescent="0.25">
      <c r="A10956" t="s">
        <v>12636</v>
      </c>
      <c r="B10956" t="s">
        <v>1457</v>
      </c>
    </row>
    <row r="10957" spans="1:2" x14ac:dyDescent="0.25">
      <c r="A10957" t="s">
        <v>12637</v>
      </c>
      <c r="B10957" t="s">
        <v>12638</v>
      </c>
    </row>
    <row r="10958" spans="1:2" x14ac:dyDescent="0.25">
      <c r="A10958" t="s">
        <v>12639</v>
      </c>
      <c r="B10958" t="s">
        <v>12482</v>
      </c>
    </row>
    <row r="10959" spans="1:2" x14ac:dyDescent="0.25">
      <c r="A10959" t="s">
        <v>12640</v>
      </c>
      <c r="B10959" t="s">
        <v>660</v>
      </c>
    </row>
    <row r="10960" spans="1:2" x14ac:dyDescent="0.25">
      <c r="A10960" t="s">
        <v>660</v>
      </c>
      <c r="B10960" t="s">
        <v>660</v>
      </c>
    </row>
    <row r="10961" spans="1:2" x14ac:dyDescent="0.25">
      <c r="A10961" t="s">
        <v>12641</v>
      </c>
      <c r="B10961" t="s">
        <v>664</v>
      </c>
    </row>
    <row r="10962" spans="1:2" x14ac:dyDescent="0.25">
      <c r="A10962" t="s">
        <v>12642</v>
      </c>
      <c r="B10962" t="s">
        <v>151</v>
      </c>
    </row>
    <row r="10963" spans="1:2" x14ac:dyDescent="0.25">
      <c r="A10963" t="s">
        <v>12643</v>
      </c>
      <c r="B10963" t="s">
        <v>151</v>
      </c>
    </row>
    <row r="10964" spans="1:2" x14ac:dyDescent="0.25">
      <c r="A10964" t="s">
        <v>12644</v>
      </c>
      <c r="B10964" t="s">
        <v>356</v>
      </c>
    </row>
    <row r="10965" spans="1:2" x14ac:dyDescent="0.25">
      <c r="A10965" t="s">
        <v>12645</v>
      </c>
      <c r="B10965" t="s">
        <v>151</v>
      </c>
    </row>
    <row r="10966" spans="1:2" x14ac:dyDescent="0.25">
      <c r="A10966" t="s">
        <v>12646</v>
      </c>
      <c r="B10966" t="s">
        <v>560</v>
      </c>
    </row>
    <row r="10967" spans="1:2" x14ac:dyDescent="0.25">
      <c r="A10967" t="s">
        <v>12647</v>
      </c>
      <c r="B10967" t="s">
        <v>560</v>
      </c>
    </row>
    <row r="10968" spans="1:2" x14ac:dyDescent="0.25">
      <c r="A10968" t="s">
        <v>666</v>
      </c>
      <c r="B10968" t="s">
        <v>666</v>
      </c>
    </row>
    <row r="10969" spans="1:2" x14ac:dyDescent="0.25">
      <c r="A10969" t="s">
        <v>664</v>
      </c>
      <c r="B10969" t="s">
        <v>664</v>
      </c>
    </row>
    <row r="10970" spans="1:2" x14ac:dyDescent="0.25">
      <c r="A10970" t="s">
        <v>665</v>
      </c>
      <c r="B10970" t="s">
        <v>665</v>
      </c>
    </row>
    <row r="10971" spans="1:2" x14ac:dyDescent="0.25">
      <c r="A10971" t="s">
        <v>12648</v>
      </c>
      <c r="B10971" t="s">
        <v>665</v>
      </c>
    </row>
    <row r="10972" spans="1:2" x14ac:dyDescent="0.25">
      <c r="A10972" t="s">
        <v>12649</v>
      </c>
      <c r="B10972" t="s">
        <v>151</v>
      </c>
    </row>
    <row r="10973" spans="1:2" x14ac:dyDescent="0.25">
      <c r="A10973" t="s">
        <v>12650</v>
      </c>
      <c r="B10973" t="s">
        <v>631</v>
      </c>
    </row>
    <row r="10974" spans="1:2" x14ac:dyDescent="0.25">
      <c r="A10974" t="s">
        <v>12651</v>
      </c>
      <c r="B10974" t="s">
        <v>631</v>
      </c>
    </row>
    <row r="10975" spans="1:2" x14ac:dyDescent="0.25">
      <c r="A10975" t="s">
        <v>596</v>
      </c>
      <c r="B10975" t="s">
        <v>596</v>
      </c>
    </row>
    <row r="10976" spans="1:2" x14ac:dyDescent="0.25">
      <c r="A10976" t="s">
        <v>12652</v>
      </c>
      <c r="B10976" t="s">
        <v>212</v>
      </c>
    </row>
    <row r="10977" spans="1:2" x14ac:dyDescent="0.25">
      <c r="A10977" t="s">
        <v>12653</v>
      </c>
      <c r="B10977" t="s">
        <v>595</v>
      </c>
    </row>
    <row r="10978" spans="1:2" x14ac:dyDescent="0.25">
      <c r="A10978" t="s">
        <v>12654</v>
      </c>
      <c r="B10978" t="s">
        <v>666</v>
      </c>
    </row>
    <row r="10979" spans="1:2" x14ac:dyDescent="0.25">
      <c r="A10979" t="s">
        <v>12655</v>
      </c>
      <c r="B10979" t="s">
        <v>674</v>
      </c>
    </row>
    <row r="10980" spans="1:2" x14ac:dyDescent="0.25">
      <c r="A10980" t="s">
        <v>601</v>
      </c>
      <c r="B10980" t="s">
        <v>601</v>
      </c>
    </row>
    <row r="10981" spans="1:2" x14ac:dyDescent="0.25">
      <c r="A10981" t="s">
        <v>677</v>
      </c>
      <c r="B10981" t="s">
        <v>677</v>
      </c>
    </row>
    <row r="10982" spans="1:2" x14ac:dyDescent="0.25">
      <c r="A10982" t="s">
        <v>678</v>
      </c>
      <c r="B10982" t="s">
        <v>678</v>
      </c>
    </row>
    <row r="10983" spans="1:2" x14ac:dyDescent="0.25">
      <c r="A10983" t="s">
        <v>12656</v>
      </c>
      <c r="B10983" t="s">
        <v>677</v>
      </c>
    </row>
    <row r="10984" spans="1:2" x14ac:dyDescent="0.25">
      <c r="A10984" t="s">
        <v>12657</v>
      </c>
      <c r="B10984" t="s">
        <v>615</v>
      </c>
    </row>
    <row r="10985" spans="1:2" x14ac:dyDescent="0.25">
      <c r="A10985" t="s">
        <v>12658</v>
      </c>
      <c r="B10985" t="s">
        <v>12659</v>
      </c>
    </row>
    <row r="10986" spans="1:2" x14ac:dyDescent="0.25">
      <c r="A10986" t="s">
        <v>12660</v>
      </c>
      <c r="B10986" t="s">
        <v>12661</v>
      </c>
    </row>
    <row r="10987" spans="1:2" x14ac:dyDescent="0.25">
      <c r="A10987" t="s">
        <v>12662</v>
      </c>
      <c r="B10987" t="s">
        <v>642</v>
      </c>
    </row>
    <row r="10988" spans="1:2" x14ac:dyDescent="0.25">
      <c r="A10988" t="s">
        <v>12663</v>
      </c>
      <c r="B10988" t="s">
        <v>678</v>
      </c>
    </row>
    <row r="10989" spans="1:2" x14ac:dyDescent="0.25">
      <c r="A10989" t="s">
        <v>12664</v>
      </c>
      <c r="B10989" t="s">
        <v>151</v>
      </c>
    </row>
    <row r="10990" spans="1:2" x14ac:dyDescent="0.25">
      <c r="A10990" t="s">
        <v>12665</v>
      </c>
      <c r="B10990" t="s">
        <v>151</v>
      </c>
    </row>
    <row r="10991" spans="1:2" x14ac:dyDescent="0.25">
      <c r="A10991" t="s">
        <v>12666</v>
      </c>
      <c r="B10991" t="s">
        <v>151</v>
      </c>
    </row>
    <row r="10992" spans="1:2" x14ac:dyDescent="0.25">
      <c r="A10992" t="s">
        <v>12667</v>
      </c>
      <c r="B10992" t="s">
        <v>1063</v>
      </c>
    </row>
    <row r="10993" spans="1:2" x14ac:dyDescent="0.25">
      <c r="A10993" t="s">
        <v>12668</v>
      </c>
      <c r="B10993" t="s">
        <v>206</v>
      </c>
    </row>
    <row r="10994" spans="1:2" x14ac:dyDescent="0.25">
      <c r="A10994" t="s">
        <v>12669</v>
      </c>
      <c r="B10994" t="s">
        <v>1111</v>
      </c>
    </row>
    <row r="10995" spans="1:2" x14ac:dyDescent="0.25">
      <c r="A10995" t="s">
        <v>12670</v>
      </c>
      <c r="B10995" t="s">
        <v>1179</v>
      </c>
    </row>
    <row r="10996" spans="1:2" x14ac:dyDescent="0.25">
      <c r="A10996" t="s">
        <v>12671</v>
      </c>
      <c r="B10996" t="s">
        <v>70</v>
      </c>
    </row>
    <row r="10997" spans="1:2" x14ac:dyDescent="0.25">
      <c r="A10997" t="s">
        <v>12672</v>
      </c>
      <c r="B10997" t="s">
        <v>299</v>
      </c>
    </row>
    <row r="10998" spans="1:2" x14ac:dyDescent="0.25">
      <c r="A10998" t="s">
        <v>12673</v>
      </c>
      <c r="B10998" t="s">
        <v>245</v>
      </c>
    </row>
    <row r="10999" spans="1:2" x14ac:dyDescent="0.25">
      <c r="A10999" t="s">
        <v>12674</v>
      </c>
      <c r="B10999" t="s">
        <v>547</v>
      </c>
    </row>
    <row r="11000" spans="1:2" x14ac:dyDescent="0.25">
      <c r="A11000" t="s">
        <v>681</v>
      </c>
      <c r="B11000" t="s">
        <v>681</v>
      </c>
    </row>
    <row r="11001" spans="1:2" x14ac:dyDescent="0.25">
      <c r="A11001" t="s">
        <v>12675</v>
      </c>
      <c r="B11001" t="s">
        <v>173</v>
      </c>
    </row>
    <row r="11002" spans="1:2" x14ac:dyDescent="0.25">
      <c r="A11002" t="s">
        <v>12676</v>
      </c>
      <c r="B11002" t="s">
        <v>382</v>
      </c>
    </row>
    <row r="11003" spans="1:2" x14ac:dyDescent="0.25">
      <c r="A11003" t="s">
        <v>12677</v>
      </c>
      <c r="B11003" t="s">
        <v>429</v>
      </c>
    </row>
    <row r="11004" spans="1:2" x14ac:dyDescent="0.25">
      <c r="A11004" t="s">
        <v>12678</v>
      </c>
      <c r="B11004" t="s">
        <v>1461</v>
      </c>
    </row>
    <row r="11005" spans="1:2" x14ac:dyDescent="0.25">
      <c r="A11005" t="s">
        <v>680</v>
      </c>
      <c r="B11005" t="s">
        <v>680</v>
      </c>
    </row>
    <row r="11006" spans="1:2" x14ac:dyDescent="0.25">
      <c r="A11006" t="s">
        <v>12679</v>
      </c>
      <c r="B11006" t="s">
        <v>767</v>
      </c>
    </row>
    <row r="11007" spans="1:2" x14ac:dyDescent="0.25">
      <c r="A11007" t="s">
        <v>12680</v>
      </c>
      <c r="B11007" t="s">
        <v>317</v>
      </c>
    </row>
    <row r="11008" spans="1:2" x14ac:dyDescent="0.25">
      <c r="A11008" t="s">
        <v>12681</v>
      </c>
      <c r="B11008" t="s">
        <v>315</v>
      </c>
    </row>
    <row r="11009" spans="1:2" x14ac:dyDescent="0.25">
      <c r="A11009" t="s">
        <v>12682</v>
      </c>
      <c r="B11009" t="s">
        <v>331</v>
      </c>
    </row>
    <row r="11010" spans="1:2" x14ac:dyDescent="0.25">
      <c r="A11010" t="s">
        <v>12683</v>
      </c>
      <c r="B11010" t="s">
        <v>319</v>
      </c>
    </row>
    <row r="11011" spans="1:2" x14ac:dyDescent="0.25">
      <c r="A11011" t="s">
        <v>12684</v>
      </c>
      <c r="B11011" t="s">
        <v>307</v>
      </c>
    </row>
    <row r="11012" spans="1:2" x14ac:dyDescent="0.25">
      <c r="A11012" t="s">
        <v>12685</v>
      </c>
      <c r="B11012" t="s">
        <v>1281</v>
      </c>
    </row>
    <row r="11013" spans="1:2" x14ac:dyDescent="0.25">
      <c r="A11013" t="s">
        <v>12686</v>
      </c>
      <c r="B11013" t="s">
        <v>1278</v>
      </c>
    </row>
    <row r="11014" spans="1:2" x14ac:dyDescent="0.25">
      <c r="A11014" t="s">
        <v>12687</v>
      </c>
      <c r="B11014" t="s">
        <v>887</v>
      </c>
    </row>
    <row r="11015" spans="1:2" x14ac:dyDescent="0.25">
      <c r="A11015" t="s">
        <v>12688</v>
      </c>
      <c r="B11015" t="s">
        <v>979</v>
      </c>
    </row>
    <row r="11016" spans="1:2" x14ac:dyDescent="0.25">
      <c r="A11016" t="s">
        <v>12689</v>
      </c>
      <c r="B11016" t="s">
        <v>961</v>
      </c>
    </row>
    <row r="11017" spans="1:2" x14ac:dyDescent="0.25">
      <c r="A11017" t="s">
        <v>12690</v>
      </c>
      <c r="B11017" t="s">
        <v>640</v>
      </c>
    </row>
    <row r="11018" spans="1:2" x14ac:dyDescent="0.25">
      <c r="A11018" t="s">
        <v>12691</v>
      </c>
      <c r="B11018" t="s">
        <v>228</v>
      </c>
    </row>
    <row r="11019" spans="1:2" x14ac:dyDescent="0.25">
      <c r="A11019" t="s">
        <v>12692</v>
      </c>
      <c r="B11019" t="s">
        <v>1417</v>
      </c>
    </row>
    <row r="11020" spans="1:2" x14ac:dyDescent="0.25">
      <c r="A11020" t="s">
        <v>12693</v>
      </c>
      <c r="B11020" t="s">
        <v>1461</v>
      </c>
    </row>
    <row r="11021" spans="1:2" x14ac:dyDescent="0.25">
      <c r="A11021" t="s">
        <v>12694</v>
      </c>
      <c r="B11021" t="s">
        <v>243</v>
      </c>
    </row>
    <row r="11022" spans="1:2" x14ac:dyDescent="0.25">
      <c r="A11022" t="s">
        <v>12695</v>
      </c>
      <c r="B11022" t="s">
        <v>151</v>
      </c>
    </row>
    <row r="11023" spans="1:2" x14ac:dyDescent="0.25">
      <c r="A11023" t="s">
        <v>12696</v>
      </c>
      <c r="B11023" t="s">
        <v>151</v>
      </c>
    </row>
    <row r="11024" spans="1:2" x14ac:dyDescent="0.25">
      <c r="A11024" t="s">
        <v>12697</v>
      </c>
      <c r="B11024" t="s">
        <v>773</v>
      </c>
    </row>
    <row r="11025" spans="1:2" x14ac:dyDescent="0.25">
      <c r="A11025" t="s">
        <v>12698</v>
      </c>
      <c r="B11025" t="s">
        <v>442</v>
      </c>
    </row>
    <row r="11026" spans="1:2" x14ac:dyDescent="0.25">
      <c r="A11026" t="s">
        <v>12699</v>
      </c>
      <c r="B11026" t="s">
        <v>448</v>
      </c>
    </row>
    <row r="11027" spans="1:2" x14ac:dyDescent="0.25">
      <c r="A11027" t="s">
        <v>12700</v>
      </c>
      <c r="B11027" t="s">
        <v>640</v>
      </c>
    </row>
    <row r="11028" spans="1:2" x14ac:dyDescent="0.25">
      <c r="A11028" t="s">
        <v>12701</v>
      </c>
      <c r="B11028" t="s">
        <v>640</v>
      </c>
    </row>
    <row r="11029" spans="1:2" x14ac:dyDescent="0.25">
      <c r="A11029" t="s">
        <v>12702</v>
      </c>
      <c r="B11029" t="s">
        <v>12703</v>
      </c>
    </row>
    <row r="11030" spans="1:2" x14ac:dyDescent="0.25">
      <c r="A11030" t="s">
        <v>12704</v>
      </c>
      <c r="B11030" t="s">
        <v>12705</v>
      </c>
    </row>
    <row r="11031" spans="1:2" x14ac:dyDescent="0.25">
      <c r="A11031" t="s">
        <v>12706</v>
      </c>
      <c r="B11031" t="s">
        <v>12707</v>
      </c>
    </row>
    <row r="11032" spans="1:2" x14ac:dyDescent="0.25">
      <c r="A11032" t="s">
        <v>12708</v>
      </c>
      <c r="B11032" t="s">
        <v>12709</v>
      </c>
    </row>
    <row r="11033" spans="1:2" x14ac:dyDescent="0.25">
      <c r="A11033" t="s">
        <v>12710</v>
      </c>
      <c r="B11033" t="s">
        <v>560</v>
      </c>
    </row>
    <row r="11034" spans="1:2" x14ac:dyDescent="0.25">
      <c r="A11034" t="s">
        <v>12711</v>
      </c>
      <c r="B11034" t="s">
        <v>439</v>
      </c>
    </row>
    <row r="11035" spans="1:2" x14ac:dyDescent="0.25">
      <c r="A11035" t="s">
        <v>12712</v>
      </c>
      <c r="B11035" t="s">
        <v>636</v>
      </c>
    </row>
    <row r="11036" spans="1:2" x14ac:dyDescent="0.25">
      <c r="A11036" t="s">
        <v>12713</v>
      </c>
      <c r="B11036" t="s">
        <v>679</v>
      </c>
    </row>
    <row r="11037" spans="1:2" x14ac:dyDescent="0.25">
      <c r="A11037" t="s">
        <v>679</v>
      </c>
      <c r="B11037" t="s">
        <v>679</v>
      </c>
    </row>
    <row r="11038" spans="1:2" x14ac:dyDescent="0.25">
      <c r="A11038" t="s">
        <v>12714</v>
      </c>
      <c r="B11038" t="s">
        <v>681</v>
      </c>
    </row>
    <row r="11039" spans="1:2" x14ac:dyDescent="0.25">
      <c r="A11039" t="s">
        <v>12715</v>
      </c>
      <c r="B11039" t="s">
        <v>680</v>
      </c>
    </row>
    <row r="11040" spans="1:2" x14ac:dyDescent="0.25">
      <c r="A11040" t="s">
        <v>12716</v>
      </c>
      <c r="B11040" t="s">
        <v>601</v>
      </c>
    </row>
    <row r="11041" spans="1:2" x14ac:dyDescent="0.25">
      <c r="A11041" t="s">
        <v>636</v>
      </c>
      <c r="B11041" t="s">
        <v>636</v>
      </c>
    </row>
    <row r="11042" spans="1:2" x14ac:dyDescent="0.25">
      <c r="A11042" t="s">
        <v>12717</v>
      </c>
      <c r="B11042" t="s">
        <v>597</v>
      </c>
    </row>
    <row r="11043" spans="1:2" x14ac:dyDescent="0.25">
      <c r="A11043" t="s">
        <v>12718</v>
      </c>
      <c r="B11043" t="s">
        <v>327</v>
      </c>
    </row>
    <row r="11044" spans="1:2" x14ac:dyDescent="0.25">
      <c r="A11044" t="s">
        <v>12719</v>
      </c>
      <c r="B11044" t="s">
        <v>292</v>
      </c>
    </row>
    <row r="11045" spans="1:2" x14ac:dyDescent="0.25">
      <c r="A11045" t="s">
        <v>12720</v>
      </c>
      <c r="B11045" t="s">
        <v>350</v>
      </c>
    </row>
    <row r="11046" spans="1:2" x14ac:dyDescent="0.25">
      <c r="A11046" t="s">
        <v>12721</v>
      </c>
      <c r="B11046" t="s">
        <v>157</v>
      </c>
    </row>
    <row r="11047" spans="1:2" x14ac:dyDescent="0.25">
      <c r="A11047" t="s">
        <v>12722</v>
      </c>
      <c r="B11047" t="s">
        <v>146</v>
      </c>
    </row>
    <row r="11048" spans="1:2" x14ac:dyDescent="0.25">
      <c r="A11048" t="s">
        <v>12723</v>
      </c>
      <c r="B11048" t="s">
        <v>149</v>
      </c>
    </row>
    <row r="11049" spans="1:2" x14ac:dyDescent="0.25">
      <c r="A11049" t="s">
        <v>12724</v>
      </c>
      <c r="B11049" t="s">
        <v>140</v>
      </c>
    </row>
    <row r="11050" spans="1:2" x14ac:dyDescent="0.25">
      <c r="A11050" t="s">
        <v>12725</v>
      </c>
      <c r="B11050" t="s">
        <v>468</v>
      </c>
    </row>
    <row r="11051" spans="1:2" x14ac:dyDescent="0.25">
      <c r="A11051" t="s">
        <v>12726</v>
      </c>
      <c r="B11051" t="s">
        <v>1367</v>
      </c>
    </row>
    <row r="11052" spans="1:2" x14ac:dyDescent="0.25">
      <c r="A11052" t="s">
        <v>12727</v>
      </c>
      <c r="B11052" t="s">
        <v>680</v>
      </c>
    </row>
    <row r="11053" spans="1:2" x14ac:dyDescent="0.25">
      <c r="A11053" t="s">
        <v>12728</v>
      </c>
      <c r="B11053" t="s">
        <v>292</v>
      </c>
    </row>
    <row r="11054" spans="1:2" x14ac:dyDescent="0.25">
      <c r="A11054" t="s">
        <v>12729</v>
      </c>
      <c r="B11054" t="s">
        <v>321</v>
      </c>
    </row>
    <row r="11055" spans="1:2" x14ac:dyDescent="0.25">
      <c r="A11055" t="s">
        <v>12730</v>
      </c>
      <c r="B11055" t="s">
        <v>649</v>
      </c>
    </row>
    <row r="11056" spans="1:2" x14ac:dyDescent="0.25">
      <c r="A11056" t="s">
        <v>12731</v>
      </c>
      <c r="B11056" t="s">
        <v>681</v>
      </c>
    </row>
    <row r="11057" spans="1:2" x14ac:dyDescent="0.25">
      <c r="A11057" t="s">
        <v>12732</v>
      </c>
      <c r="B11057" t="s">
        <v>151</v>
      </c>
    </row>
    <row r="11058" spans="1:2" x14ac:dyDescent="0.25">
      <c r="A11058" t="s">
        <v>12733</v>
      </c>
      <c r="B11058" t="s">
        <v>331</v>
      </c>
    </row>
    <row r="11059" spans="1:2" x14ac:dyDescent="0.25">
      <c r="A11059" t="s">
        <v>12734</v>
      </c>
      <c r="B11059" t="s">
        <v>191</v>
      </c>
    </row>
    <row r="11060" spans="1:2" x14ac:dyDescent="0.25">
      <c r="A11060" t="s">
        <v>12735</v>
      </c>
      <c r="B11060" t="s">
        <v>58</v>
      </c>
    </row>
    <row r="11061" spans="1:2" x14ac:dyDescent="0.25">
      <c r="A11061" t="s">
        <v>12736</v>
      </c>
      <c r="B11061" t="s">
        <v>776</v>
      </c>
    </row>
    <row r="11062" spans="1:2" x14ac:dyDescent="0.25">
      <c r="A11062" t="s">
        <v>12737</v>
      </c>
      <c r="B11062" t="s">
        <v>253</v>
      </c>
    </row>
    <row r="11063" spans="1:2" x14ac:dyDescent="0.25">
      <c r="A11063" t="s">
        <v>12738</v>
      </c>
      <c r="B11063" t="s">
        <v>313</v>
      </c>
    </row>
    <row r="11064" spans="1:2" x14ac:dyDescent="0.25">
      <c r="A11064" t="s">
        <v>12739</v>
      </c>
      <c r="B11064" t="s">
        <v>305</v>
      </c>
    </row>
    <row r="11065" spans="1:2" x14ac:dyDescent="0.25">
      <c r="A11065" t="s">
        <v>12740</v>
      </c>
      <c r="B11065" t="s">
        <v>271</v>
      </c>
    </row>
    <row r="11066" spans="1:2" x14ac:dyDescent="0.25">
      <c r="A11066" t="s">
        <v>12741</v>
      </c>
      <c r="B11066" t="s">
        <v>187</v>
      </c>
    </row>
    <row r="11067" spans="1:2" x14ac:dyDescent="0.25">
      <c r="A11067" t="s">
        <v>12742</v>
      </c>
      <c r="B11067" t="s">
        <v>417</v>
      </c>
    </row>
    <row r="11068" spans="1:2" x14ac:dyDescent="0.25">
      <c r="A11068" t="s">
        <v>12743</v>
      </c>
      <c r="B11068" t="s">
        <v>243</v>
      </c>
    </row>
    <row r="11069" spans="1:2" x14ac:dyDescent="0.25">
      <c r="A11069" t="s">
        <v>12744</v>
      </c>
      <c r="B11069" t="s">
        <v>151</v>
      </c>
    </row>
    <row r="11070" spans="1:2" x14ac:dyDescent="0.25">
      <c r="A11070" t="s">
        <v>12745</v>
      </c>
      <c r="B11070" t="s">
        <v>342</v>
      </c>
    </row>
    <row r="11071" spans="1:2" x14ac:dyDescent="0.25">
      <c r="A11071" t="s">
        <v>12746</v>
      </c>
      <c r="B11071" t="s">
        <v>164</v>
      </c>
    </row>
    <row r="11072" spans="1:2" x14ac:dyDescent="0.25">
      <c r="A11072" t="s">
        <v>12747</v>
      </c>
      <c r="B11072" t="s">
        <v>671</v>
      </c>
    </row>
    <row r="11073" spans="1:2" x14ac:dyDescent="0.25">
      <c r="A11073" t="s">
        <v>12748</v>
      </c>
      <c r="B11073" t="s">
        <v>661</v>
      </c>
    </row>
    <row r="11074" spans="1:2" x14ac:dyDescent="0.25">
      <c r="A11074" t="s">
        <v>12749</v>
      </c>
      <c r="B11074" t="s">
        <v>197</v>
      </c>
    </row>
    <row r="11075" spans="1:2" x14ac:dyDescent="0.25">
      <c r="A11075" t="s">
        <v>12750</v>
      </c>
      <c r="B11075" t="s">
        <v>267</v>
      </c>
    </row>
    <row r="11076" spans="1:2" x14ac:dyDescent="0.25">
      <c r="A11076" t="s">
        <v>12751</v>
      </c>
      <c r="B11076" t="s">
        <v>544</v>
      </c>
    </row>
    <row r="11077" spans="1:2" x14ac:dyDescent="0.25">
      <c r="A11077" t="s">
        <v>12752</v>
      </c>
      <c r="B11077" t="s">
        <v>338</v>
      </c>
    </row>
    <row r="11078" spans="1:2" x14ac:dyDescent="0.25">
      <c r="A11078" t="s">
        <v>12753</v>
      </c>
      <c r="B11078" t="s">
        <v>685</v>
      </c>
    </row>
    <row r="11079" spans="1:2" x14ac:dyDescent="0.25">
      <c r="A11079" t="s">
        <v>12754</v>
      </c>
      <c r="B11079" t="s">
        <v>415</v>
      </c>
    </row>
    <row r="11080" spans="1:2" x14ac:dyDescent="0.25">
      <c r="A11080" t="s">
        <v>12755</v>
      </c>
      <c r="B11080" t="s">
        <v>74</v>
      </c>
    </row>
    <row r="11081" spans="1:2" x14ac:dyDescent="0.25">
      <c r="A11081" t="s">
        <v>12756</v>
      </c>
      <c r="B11081" t="s">
        <v>370</v>
      </c>
    </row>
    <row r="11082" spans="1:2" x14ac:dyDescent="0.25">
      <c r="A11082" t="s">
        <v>12757</v>
      </c>
      <c r="B11082" t="s">
        <v>153</v>
      </c>
    </row>
    <row r="11083" spans="1:2" x14ac:dyDescent="0.25">
      <c r="A11083" t="s">
        <v>12758</v>
      </c>
      <c r="B11083" t="s">
        <v>115</v>
      </c>
    </row>
    <row r="11084" spans="1:2" x14ac:dyDescent="0.25">
      <c r="A11084" t="s">
        <v>12759</v>
      </c>
      <c r="B11084" t="s">
        <v>66</v>
      </c>
    </row>
    <row r="11085" spans="1:2" x14ac:dyDescent="0.25">
      <c r="A11085" t="s">
        <v>12760</v>
      </c>
      <c r="B11085" t="s">
        <v>12761</v>
      </c>
    </row>
    <row r="11086" spans="1:2" x14ac:dyDescent="0.25">
      <c r="A11086" t="s">
        <v>12762</v>
      </c>
      <c r="B11086" t="s">
        <v>193</v>
      </c>
    </row>
    <row r="11087" spans="1:2" x14ac:dyDescent="0.25">
      <c r="A11087" t="s">
        <v>12763</v>
      </c>
      <c r="B11087" t="s">
        <v>195</v>
      </c>
    </row>
    <row r="11088" spans="1:2" x14ac:dyDescent="0.25">
      <c r="A11088" t="s">
        <v>12764</v>
      </c>
      <c r="B11088" t="s">
        <v>230</v>
      </c>
    </row>
    <row r="11089" spans="1:2" x14ac:dyDescent="0.25">
      <c r="A11089" t="s">
        <v>12765</v>
      </c>
      <c r="B11089" t="s">
        <v>249</v>
      </c>
    </row>
    <row r="11090" spans="1:2" x14ac:dyDescent="0.25">
      <c r="A11090" t="s">
        <v>12766</v>
      </c>
      <c r="B11090" t="s">
        <v>366</v>
      </c>
    </row>
    <row r="11091" spans="1:2" x14ac:dyDescent="0.25">
      <c r="A11091" t="s">
        <v>12767</v>
      </c>
      <c r="B11091" t="s">
        <v>466</v>
      </c>
    </row>
    <row r="11092" spans="1:2" x14ac:dyDescent="0.25">
      <c r="A11092" t="s">
        <v>12768</v>
      </c>
      <c r="B11092" t="s">
        <v>543</v>
      </c>
    </row>
    <row r="11093" spans="1:2" x14ac:dyDescent="0.25">
      <c r="A11093" t="s">
        <v>12769</v>
      </c>
      <c r="B11093" t="s">
        <v>615</v>
      </c>
    </row>
    <row r="11094" spans="1:2" x14ac:dyDescent="0.25">
      <c r="A11094" t="s">
        <v>12770</v>
      </c>
      <c r="B11094" t="s">
        <v>708</v>
      </c>
    </row>
    <row r="11095" spans="1:2" x14ac:dyDescent="0.25">
      <c r="A11095" t="s">
        <v>12771</v>
      </c>
      <c r="B11095" t="s">
        <v>259</v>
      </c>
    </row>
    <row r="11096" spans="1:2" x14ac:dyDescent="0.25">
      <c r="A11096" t="s">
        <v>12772</v>
      </c>
      <c r="B11096" t="s">
        <v>344</v>
      </c>
    </row>
    <row r="11097" spans="1:2" x14ac:dyDescent="0.25">
      <c r="A11097" t="s">
        <v>12773</v>
      </c>
      <c r="B11097" t="s">
        <v>87</v>
      </c>
    </row>
    <row r="11098" spans="1:2" x14ac:dyDescent="0.25">
      <c r="A11098" t="s">
        <v>12774</v>
      </c>
      <c r="B11098" t="s">
        <v>84</v>
      </c>
    </row>
    <row r="11099" spans="1:2" x14ac:dyDescent="0.25">
      <c r="A11099" t="s">
        <v>12775</v>
      </c>
      <c r="B11099" t="s">
        <v>409</v>
      </c>
    </row>
    <row r="11100" spans="1:2" x14ac:dyDescent="0.25">
      <c r="A11100" t="s">
        <v>12776</v>
      </c>
      <c r="B11100" t="s">
        <v>206</v>
      </c>
    </row>
    <row r="11101" spans="1:2" x14ac:dyDescent="0.25">
      <c r="A11101" t="s">
        <v>12777</v>
      </c>
      <c r="B11101" t="s">
        <v>1461</v>
      </c>
    </row>
    <row r="11102" spans="1:2" x14ac:dyDescent="0.25">
      <c r="A11102" t="s">
        <v>12778</v>
      </c>
      <c r="B11102" t="s">
        <v>659</v>
      </c>
    </row>
    <row r="11103" spans="1:2" x14ac:dyDescent="0.25">
      <c r="A11103" t="s">
        <v>12779</v>
      </c>
      <c r="B11103" t="s">
        <v>311</v>
      </c>
    </row>
    <row r="11104" spans="1:2" x14ac:dyDescent="0.25">
      <c r="A11104" t="s">
        <v>12780</v>
      </c>
      <c r="B11104" t="s">
        <v>151</v>
      </c>
    </row>
    <row r="11105" spans="1:2" x14ac:dyDescent="0.25">
      <c r="A11105" t="s">
        <v>12781</v>
      </c>
      <c r="B11105" t="s">
        <v>609</v>
      </c>
    </row>
    <row r="11106" spans="1:2" x14ac:dyDescent="0.25">
      <c r="A11106" t="s">
        <v>12782</v>
      </c>
      <c r="B11106" t="s">
        <v>12783</v>
      </c>
    </row>
    <row r="11107" spans="1:2" x14ac:dyDescent="0.25">
      <c r="A11107" t="s">
        <v>619</v>
      </c>
      <c r="B11107" t="s">
        <v>619</v>
      </c>
    </row>
    <row r="11108" spans="1:2" x14ac:dyDescent="0.25">
      <c r="A11108" t="s">
        <v>12784</v>
      </c>
      <c r="B11108" t="s">
        <v>151</v>
      </c>
    </row>
    <row r="11109" spans="1:2" x14ac:dyDescent="0.25">
      <c r="A11109" t="s">
        <v>12785</v>
      </c>
      <c r="B11109" t="s">
        <v>650</v>
      </c>
    </row>
    <row r="11110" spans="1:2" x14ac:dyDescent="0.25">
      <c r="A11110" t="s">
        <v>12786</v>
      </c>
      <c r="B11110" t="s">
        <v>265</v>
      </c>
    </row>
    <row r="11111" spans="1:2" x14ac:dyDescent="0.25">
      <c r="A11111" t="s">
        <v>12787</v>
      </c>
      <c r="B11111" t="s">
        <v>263</v>
      </c>
    </row>
    <row r="11112" spans="1:2" x14ac:dyDescent="0.25">
      <c r="A11112" t="s">
        <v>12788</v>
      </c>
      <c r="B11112" t="s">
        <v>1250</v>
      </c>
    </row>
    <row r="11113" spans="1:2" x14ac:dyDescent="0.25">
      <c r="A11113" t="s">
        <v>12789</v>
      </c>
      <c r="B11113" t="s">
        <v>70</v>
      </c>
    </row>
    <row r="11114" spans="1:2" x14ac:dyDescent="0.25">
      <c r="A11114" t="s">
        <v>12790</v>
      </c>
      <c r="B11114" t="s">
        <v>1170</v>
      </c>
    </row>
    <row r="11115" spans="1:2" x14ac:dyDescent="0.25">
      <c r="A11115" t="s">
        <v>12791</v>
      </c>
      <c r="B11115" t="s">
        <v>605</v>
      </c>
    </row>
    <row r="11116" spans="1:2" x14ac:dyDescent="0.25">
      <c r="A11116" t="s">
        <v>12792</v>
      </c>
      <c r="B11116" t="s">
        <v>601</v>
      </c>
    </row>
    <row r="11117" spans="1:2" x14ac:dyDescent="0.25">
      <c r="A11117" t="s">
        <v>12793</v>
      </c>
      <c r="B11117" t="s">
        <v>1352</v>
      </c>
    </row>
    <row r="11118" spans="1:2" x14ac:dyDescent="0.25">
      <c r="A11118" t="s">
        <v>12794</v>
      </c>
      <c r="B11118" t="s">
        <v>679</v>
      </c>
    </row>
    <row r="11119" spans="1:2" x14ac:dyDescent="0.25">
      <c r="A11119" t="s">
        <v>12795</v>
      </c>
      <c r="B11119" t="s">
        <v>680</v>
      </c>
    </row>
    <row r="11120" spans="1:2" x14ac:dyDescent="0.25">
      <c r="A11120" t="s">
        <v>12796</v>
      </c>
      <c r="B11120" t="s">
        <v>681</v>
      </c>
    </row>
    <row r="11121" spans="1:2" x14ac:dyDescent="0.25">
      <c r="A11121" t="s">
        <v>12797</v>
      </c>
      <c r="B11121" t="s">
        <v>582</v>
      </c>
    </row>
    <row r="11122" spans="1:2" x14ac:dyDescent="0.25">
      <c r="A11122" t="s">
        <v>12798</v>
      </c>
      <c r="B11122" t="s">
        <v>548</v>
      </c>
    </row>
    <row r="11123" spans="1:2" x14ac:dyDescent="0.25">
      <c r="A11123" t="s">
        <v>12799</v>
      </c>
      <c r="B11123" t="s">
        <v>496</v>
      </c>
    </row>
    <row r="11124" spans="1:2" x14ac:dyDescent="0.25">
      <c r="A11124" t="s">
        <v>12800</v>
      </c>
      <c r="B11124" t="s">
        <v>182</v>
      </c>
    </row>
    <row r="11125" spans="1:2" x14ac:dyDescent="0.25">
      <c r="A11125" t="s">
        <v>12801</v>
      </c>
      <c r="B11125" t="s">
        <v>182</v>
      </c>
    </row>
    <row r="11126" spans="1:2" x14ac:dyDescent="0.25">
      <c r="A11126" t="s">
        <v>12802</v>
      </c>
      <c r="B11126" t="s">
        <v>224</v>
      </c>
    </row>
    <row r="11127" spans="1:2" x14ac:dyDescent="0.25">
      <c r="A11127" t="s">
        <v>12803</v>
      </c>
      <c r="B11127" t="s">
        <v>224</v>
      </c>
    </row>
    <row r="11128" spans="1:2" x14ac:dyDescent="0.25">
      <c r="A11128" t="s">
        <v>12804</v>
      </c>
      <c r="B11128" t="s">
        <v>1461</v>
      </c>
    </row>
    <row r="11129" spans="1:2" x14ac:dyDescent="0.25">
      <c r="A11129" t="s">
        <v>12805</v>
      </c>
      <c r="B11129" t="s">
        <v>653</v>
      </c>
    </row>
    <row r="11130" spans="1:2" x14ac:dyDescent="0.25">
      <c r="A11130" t="s">
        <v>683</v>
      </c>
      <c r="B11130" t="s">
        <v>683</v>
      </c>
    </row>
    <row r="11131" spans="1:2" x14ac:dyDescent="0.25">
      <c r="A11131" t="s">
        <v>12806</v>
      </c>
      <c r="B11131" t="s">
        <v>12539</v>
      </c>
    </row>
    <row r="11132" spans="1:2" x14ac:dyDescent="0.25">
      <c r="A11132" t="s">
        <v>12807</v>
      </c>
      <c r="B11132" t="s">
        <v>362</v>
      </c>
    </row>
    <row r="11133" spans="1:2" x14ac:dyDescent="0.25">
      <c r="A11133" t="s">
        <v>12808</v>
      </c>
      <c r="B11133" t="s">
        <v>1063</v>
      </c>
    </row>
    <row r="11134" spans="1:2" x14ac:dyDescent="0.25">
      <c r="A11134" t="s">
        <v>12809</v>
      </c>
      <c r="B11134" t="s">
        <v>135</v>
      </c>
    </row>
    <row r="11135" spans="1:2" x14ac:dyDescent="0.25">
      <c r="A11135" t="s">
        <v>12810</v>
      </c>
      <c r="B11135" t="s">
        <v>135</v>
      </c>
    </row>
    <row r="11136" spans="1:2" x14ac:dyDescent="0.25">
      <c r="A11136" t="s">
        <v>12811</v>
      </c>
      <c r="B11136" t="s">
        <v>580</v>
      </c>
    </row>
    <row r="11137" spans="1:2" x14ac:dyDescent="0.25">
      <c r="A11137" t="s">
        <v>12812</v>
      </c>
      <c r="B11137" t="s">
        <v>10834</v>
      </c>
    </row>
    <row r="11138" spans="1:2" x14ac:dyDescent="0.25">
      <c r="A11138" t="s">
        <v>12813</v>
      </c>
      <c r="B11138" t="s">
        <v>11576</v>
      </c>
    </row>
    <row r="11139" spans="1:2" x14ac:dyDescent="0.25">
      <c r="A11139" t="s">
        <v>12814</v>
      </c>
      <c r="B11139" t="s">
        <v>640</v>
      </c>
    </row>
    <row r="11140" spans="1:2" x14ac:dyDescent="0.25">
      <c r="A11140" t="s">
        <v>12815</v>
      </c>
      <c r="B11140" t="s">
        <v>670</v>
      </c>
    </row>
    <row r="11141" spans="1:2" x14ac:dyDescent="0.25">
      <c r="A11141" t="s">
        <v>12816</v>
      </c>
      <c r="B11141" t="s">
        <v>456</v>
      </c>
    </row>
    <row r="11142" spans="1:2" x14ac:dyDescent="0.25">
      <c r="A11142" t="s">
        <v>12817</v>
      </c>
      <c r="B11142" t="s">
        <v>1397</v>
      </c>
    </row>
    <row r="11143" spans="1:2" x14ac:dyDescent="0.25">
      <c r="A11143" t="s">
        <v>12818</v>
      </c>
      <c r="B11143" t="s">
        <v>133</v>
      </c>
    </row>
    <row r="11144" spans="1:2" x14ac:dyDescent="0.25">
      <c r="A11144" t="s">
        <v>12819</v>
      </c>
      <c r="B11144" t="s">
        <v>776</v>
      </c>
    </row>
    <row r="11145" spans="1:2" x14ac:dyDescent="0.25">
      <c r="A11145" t="s">
        <v>12820</v>
      </c>
      <c r="B11145" t="s">
        <v>199</v>
      </c>
    </row>
    <row r="11146" spans="1:2" x14ac:dyDescent="0.25">
      <c r="A11146" t="s">
        <v>12821</v>
      </c>
      <c r="B11146" t="s">
        <v>354</v>
      </c>
    </row>
    <row r="11147" spans="1:2" x14ac:dyDescent="0.25">
      <c r="A11147" t="s">
        <v>12822</v>
      </c>
      <c r="B11147" t="s">
        <v>1340</v>
      </c>
    </row>
    <row r="11148" spans="1:2" x14ac:dyDescent="0.25">
      <c r="A11148" t="s">
        <v>12823</v>
      </c>
      <c r="B11148" t="s">
        <v>581</v>
      </c>
    </row>
    <row r="11149" spans="1:2" x14ac:dyDescent="0.25">
      <c r="A11149" t="s">
        <v>12824</v>
      </c>
      <c r="B11149" t="s">
        <v>615</v>
      </c>
    </row>
    <row r="11150" spans="1:2" x14ac:dyDescent="0.25">
      <c r="A11150" t="s">
        <v>12825</v>
      </c>
      <c r="B11150" t="s">
        <v>682</v>
      </c>
    </row>
    <row r="11151" spans="1:2" x14ac:dyDescent="0.25">
      <c r="A11151" t="s">
        <v>12826</v>
      </c>
      <c r="B11151" t="s">
        <v>683</v>
      </c>
    </row>
    <row r="11152" spans="1:2" x14ac:dyDescent="0.25">
      <c r="A11152" t="s">
        <v>12827</v>
      </c>
      <c r="B11152" t="s">
        <v>1001</v>
      </c>
    </row>
    <row r="11153" spans="1:2" x14ac:dyDescent="0.25">
      <c r="A11153" t="s">
        <v>12828</v>
      </c>
      <c r="B11153" t="s">
        <v>1359</v>
      </c>
    </row>
    <row r="11154" spans="1:2" x14ac:dyDescent="0.25">
      <c r="A11154" t="s">
        <v>12829</v>
      </c>
      <c r="B11154" t="s">
        <v>1389</v>
      </c>
    </row>
    <row r="11155" spans="1:2" x14ac:dyDescent="0.25">
      <c r="A11155" t="s">
        <v>12830</v>
      </c>
      <c r="B11155" t="s">
        <v>644</v>
      </c>
    </row>
    <row r="11156" spans="1:2" x14ac:dyDescent="0.25">
      <c r="A11156" t="s">
        <v>12831</v>
      </c>
      <c r="B11156" t="s">
        <v>684</v>
      </c>
    </row>
    <row r="11157" spans="1:2" x14ac:dyDescent="0.25">
      <c r="A11157" t="s">
        <v>12832</v>
      </c>
      <c r="B11157" t="s">
        <v>1352</v>
      </c>
    </row>
    <row r="11158" spans="1:2" x14ac:dyDescent="0.25">
      <c r="A11158" t="s">
        <v>12833</v>
      </c>
      <c r="B11158" t="s">
        <v>619</v>
      </c>
    </row>
    <row r="11159" spans="1:2" x14ac:dyDescent="0.25">
      <c r="A11159" t="s">
        <v>12834</v>
      </c>
      <c r="B11159" t="s">
        <v>1375</v>
      </c>
    </row>
    <row r="11160" spans="1:2" x14ac:dyDescent="0.25">
      <c r="A11160" t="s">
        <v>12835</v>
      </c>
      <c r="B11160" t="s">
        <v>640</v>
      </c>
    </row>
    <row r="11161" spans="1:2" x14ac:dyDescent="0.25">
      <c r="A11161" t="s">
        <v>12836</v>
      </c>
      <c r="B11161" t="s">
        <v>585</v>
      </c>
    </row>
    <row r="11162" spans="1:2" x14ac:dyDescent="0.25">
      <c r="A11162" t="s">
        <v>12837</v>
      </c>
      <c r="B11162" t="s">
        <v>668</v>
      </c>
    </row>
    <row r="11163" spans="1:2" x14ac:dyDescent="0.25">
      <c r="A11163" t="s">
        <v>12838</v>
      </c>
      <c r="B11163" t="s">
        <v>669</v>
      </c>
    </row>
    <row r="11164" spans="1:2" x14ac:dyDescent="0.25">
      <c r="A11164" t="s">
        <v>12839</v>
      </c>
      <c r="B11164" t="s">
        <v>671</v>
      </c>
    </row>
    <row r="11165" spans="1:2" x14ac:dyDescent="0.25">
      <c r="A11165" t="s">
        <v>12840</v>
      </c>
      <c r="B11165" t="s">
        <v>133</v>
      </c>
    </row>
    <row r="11166" spans="1:2" x14ac:dyDescent="0.25">
      <c r="A11166" t="s">
        <v>12841</v>
      </c>
      <c r="B11166" t="s">
        <v>492</v>
      </c>
    </row>
    <row r="11167" spans="1:2" x14ac:dyDescent="0.25">
      <c r="A11167" t="s">
        <v>12842</v>
      </c>
      <c r="B11167" t="s">
        <v>243</v>
      </c>
    </row>
    <row r="11168" spans="1:2" x14ac:dyDescent="0.25">
      <c r="A11168" t="s">
        <v>12843</v>
      </c>
      <c r="B11168" t="s">
        <v>651</v>
      </c>
    </row>
    <row r="11169" spans="1:2" x14ac:dyDescent="0.25">
      <c r="A11169" t="s">
        <v>12844</v>
      </c>
      <c r="B11169" t="s">
        <v>360</v>
      </c>
    </row>
    <row r="11170" spans="1:2" x14ac:dyDescent="0.25">
      <c r="A11170" t="s">
        <v>12845</v>
      </c>
      <c r="B11170" t="s">
        <v>530</v>
      </c>
    </row>
    <row r="11171" spans="1:2" x14ac:dyDescent="0.25">
      <c r="A11171" t="s">
        <v>12846</v>
      </c>
      <c r="B11171" t="s">
        <v>1340</v>
      </c>
    </row>
    <row r="11172" spans="1:2" x14ac:dyDescent="0.25">
      <c r="A11172" t="s">
        <v>12847</v>
      </c>
      <c r="B11172" t="s">
        <v>157</v>
      </c>
    </row>
    <row r="11173" spans="1:2" x14ac:dyDescent="0.25">
      <c r="A11173" t="s">
        <v>12848</v>
      </c>
      <c r="B11173" t="s">
        <v>210</v>
      </c>
    </row>
    <row r="11174" spans="1:2" x14ac:dyDescent="0.25">
      <c r="A11174" t="s">
        <v>12849</v>
      </c>
      <c r="B11174" t="s">
        <v>512</v>
      </c>
    </row>
    <row r="11175" spans="1:2" x14ac:dyDescent="0.25">
      <c r="A11175" t="s">
        <v>12850</v>
      </c>
      <c r="B11175" t="s">
        <v>582</v>
      </c>
    </row>
    <row r="11176" spans="1:2" x14ac:dyDescent="0.25">
      <c r="A11176" t="s">
        <v>12851</v>
      </c>
      <c r="B11176" t="s">
        <v>64</v>
      </c>
    </row>
    <row r="11177" spans="1:2" x14ac:dyDescent="0.25">
      <c r="A11177" t="s">
        <v>12852</v>
      </c>
      <c r="B11177" t="s">
        <v>133</v>
      </c>
    </row>
    <row r="11178" spans="1:2" x14ac:dyDescent="0.25">
      <c r="A11178" t="s">
        <v>12853</v>
      </c>
      <c r="B11178" t="s">
        <v>1218</v>
      </c>
    </row>
    <row r="11179" spans="1:2" x14ac:dyDescent="0.25">
      <c r="A11179" t="s">
        <v>12854</v>
      </c>
      <c r="B11179" t="s">
        <v>1367</v>
      </c>
    </row>
    <row r="11180" spans="1:2" x14ac:dyDescent="0.25">
      <c r="A11180" t="s">
        <v>12855</v>
      </c>
      <c r="B11180" t="s">
        <v>1367</v>
      </c>
    </row>
    <row r="11181" spans="1:2" x14ac:dyDescent="0.25">
      <c r="A11181" t="s">
        <v>12856</v>
      </c>
      <c r="B11181" t="s">
        <v>135</v>
      </c>
    </row>
    <row r="11182" spans="1:2" x14ac:dyDescent="0.25">
      <c r="A11182" t="s">
        <v>12857</v>
      </c>
      <c r="B11182" t="s">
        <v>135</v>
      </c>
    </row>
    <row r="11183" spans="1:2" x14ac:dyDescent="0.25">
      <c r="A11183" t="s">
        <v>12858</v>
      </c>
      <c r="B11183" t="s">
        <v>155</v>
      </c>
    </row>
    <row r="11184" spans="1:2" x14ac:dyDescent="0.25">
      <c r="A11184" t="s">
        <v>12859</v>
      </c>
      <c r="B11184" t="s">
        <v>12496</v>
      </c>
    </row>
    <row r="11185" spans="1:2" x14ac:dyDescent="0.25">
      <c r="A11185" t="s">
        <v>12860</v>
      </c>
      <c r="B11185" t="s">
        <v>773</v>
      </c>
    </row>
    <row r="11186" spans="1:2" x14ac:dyDescent="0.25">
      <c r="A11186" t="s">
        <v>12861</v>
      </c>
      <c r="B11186" t="s">
        <v>439</v>
      </c>
    </row>
    <row r="11187" spans="1:2" x14ac:dyDescent="0.25">
      <c r="A11187" t="s">
        <v>12862</v>
      </c>
      <c r="B11187" t="s">
        <v>195</v>
      </c>
    </row>
    <row r="11188" spans="1:2" x14ac:dyDescent="0.25">
      <c r="A11188" t="s">
        <v>12863</v>
      </c>
      <c r="B11188" t="s">
        <v>218</v>
      </c>
    </row>
    <row r="11189" spans="1:2" x14ac:dyDescent="0.25">
      <c r="A11189" t="s">
        <v>12864</v>
      </c>
      <c r="B11189" t="s">
        <v>580</v>
      </c>
    </row>
    <row r="11190" spans="1:2" x14ac:dyDescent="0.25">
      <c r="A11190" t="s">
        <v>12865</v>
      </c>
      <c r="B11190" t="s">
        <v>1367</v>
      </c>
    </row>
    <row r="11191" spans="1:2" x14ac:dyDescent="0.25">
      <c r="A11191" t="s">
        <v>12866</v>
      </c>
      <c r="B11191" t="s">
        <v>423</v>
      </c>
    </row>
    <row r="11192" spans="1:2" x14ac:dyDescent="0.25">
      <c r="A11192" t="s">
        <v>12867</v>
      </c>
      <c r="B11192" t="s">
        <v>167</v>
      </c>
    </row>
    <row r="11193" spans="1:2" x14ac:dyDescent="0.25">
      <c r="A11193" t="s">
        <v>12868</v>
      </c>
      <c r="B11193" t="s">
        <v>208</v>
      </c>
    </row>
    <row r="11194" spans="1:2" x14ac:dyDescent="0.25">
      <c r="A11194" t="s">
        <v>12869</v>
      </c>
      <c r="B11194" t="s">
        <v>169</v>
      </c>
    </row>
    <row r="11195" spans="1:2" x14ac:dyDescent="0.25">
      <c r="A11195" t="s">
        <v>12870</v>
      </c>
      <c r="B11195" t="s">
        <v>660</v>
      </c>
    </row>
    <row r="11196" spans="1:2" x14ac:dyDescent="0.25">
      <c r="A11196" t="s">
        <v>12871</v>
      </c>
      <c r="B11196" t="s">
        <v>439</v>
      </c>
    </row>
    <row r="11197" spans="1:2" x14ac:dyDescent="0.25">
      <c r="A11197" t="s">
        <v>12872</v>
      </c>
      <c r="B11197" t="s">
        <v>454</v>
      </c>
    </row>
    <row r="11198" spans="1:2" x14ac:dyDescent="0.25">
      <c r="A11198" t="s">
        <v>12873</v>
      </c>
      <c r="B11198" t="s">
        <v>409</v>
      </c>
    </row>
    <row r="11199" spans="1:2" x14ac:dyDescent="0.25">
      <c r="A11199" t="s">
        <v>12874</v>
      </c>
      <c r="B11199" t="s">
        <v>297</v>
      </c>
    </row>
    <row r="11200" spans="1:2" x14ac:dyDescent="0.25">
      <c r="A11200" t="s">
        <v>12875</v>
      </c>
      <c r="B11200" t="s">
        <v>153</v>
      </c>
    </row>
    <row r="11201" spans="1:2" x14ac:dyDescent="0.25">
      <c r="A11201" t="s">
        <v>12876</v>
      </c>
      <c r="B11201" t="s">
        <v>169</v>
      </c>
    </row>
    <row r="11202" spans="1:2" x14ac:dyDescent="0.25">
      <c r="A11202" t="s">
        <v>12877</v>
      </c>
      <c r="B11202" t="s">
        <v>1379</v>
      </c>
    </row>
    <row r="11203" spans="1:2" x14ac:dyDescent="0.25">
      <c r="A11203" t="s">
        <v>12878</v>
      </c>
      <c r="B11203" t="s">
        <v>1449</v>
      </c>
    </row>
    <row r="11204" spans="1:2" x14ac:dyDescent="0.25">
      <c r="A11204" t="s">
        <v>12879</v>
      </c>
      <c r="B11204" t="s">
        <v>151</v>
      </c>
    </row>
    <row r="11205" spans="1:2" x14ac:dyDescent="0.25">
      <c r="A11205" t="s">
        <v>12880</v>
      </c>
      <c r="B11205" t="s">
        <v>594</v>
      </c>
    </row>
    <row r="11206" spans="1:2" x14ac:dyDescent="0.25">
      <c r="A11206" t="s">
        <v>12881</v>
      </c>
      <c r="B11206" t="s">
        <v>12496</v>
      </c>
    </row>
    <row r="11207" spans="1:2" x14ac:dyDescent="0.25">
      <c r="A11207" t="s">
        <v>12882</v>
      </c>
      <c r="B11207" t="s">
        <v>1359</v>
      </c>
    </row>
    <row r="11208" spans="1:2" x14ac:dyDescent="0.25">
      <c r="A11208" t="s">
        <v>12883</v>
      </c>
      <c r="B11208" t="s">
        <v>1417</v>
      </c>
    </row>
    <row r="11209" spans="1:2" x14ac:dyDescent="0.25">
      <c r="A11209" t="s">
        <v>12884</v>
      </c>
      <c r="B11209" t="s">
        <v>1457</v>
      </c>
    </row>
    <row r="11210" spans="1:2" x14ac:dyDescent="0.25">
      <c r="A11210" t="s">
        <v>12885</v>
      </c>
      <c r="B11210" t="s">
        <v>1457</v>
      </c>
    </row>
    <row r="11211" spans="1:2" x14ac:dyDescent="0.25">
      <c r="A11211" t="s">
        <v>12886</v>
      </c>
      <c r="B11211" t="s">
        <v>157</v>
      </c>
    </row>
    <row r="11212" spans="1:2" x14ac:dyDescent="0.25">
      <c r="A11212" t="s">
        <v>12887</v>
      </c>
      <c r="B11212" t="s">
        <v>601</v>
      </c>
    </row>
    <row r="11213" spans="1:2" x14ac:dyDescent="0.25">
      <c r="A11213" t="s">
        <v>12888</v>
      </c>
      <c r="B11213" t="s">
        <v>12496</v>
      </c>
    </row>
    <row r="11214" spans="1:2" x14ac:dyDescent="0.25">
      <c r="A11214" t="s">
        <v>12889</v>
      </c>
      <c r="B11214" t="s">
        <v>176</v>
      </c>
    </row>
    <row r="11215" spans="1:2" x14ac:dyDescent="0.25">
      <c r="A11215" t="s">
        <v>12890</v>
      </c>
      <c r="B11215" t="s">
        <v>988</v>
      </c>
    </row>
    <row r="11216" spans="1:2" x14ac:dyDescent="0.25">
      <c r="A11216" t="s">
        <v>12891</v>
      </c>
      <c r="B11216" t="s">
        <v>631</v>
      </c>
    </row>
    <row r="11217" spans="1:2" x14ac:dyDescent="0.25">
      <c r="A11217" t="s">
        <v>12892</v>
      </c>
      <c r="B11217" t="s">
        <v>649</v>
      </c>
    </row>
    <row r="11218" spans="1:2" x14ac:dyDescent="0.25">
      <c r="A11218" t="s">
        <v>12893</v>
      </c>
      <c r="B11218" t="s">
        <v>596</v>
      </c>
    </row>
    <row r="11219" spans="1:2" x14ac:dyDescent="0.25">
      <c r="A11219" t="s">
        <v>12894</v>
      </c>
      <c r="B11219" t="s">
        <v>1449</v>
      </c>
    </row>
    <row r="11220" spans="1:2" x14ac:dyDescent="0.25">
      <c r="A11220" t="s">
        <v>682</v>
      </c>
      <c r="B11220" t="s">
        <v>682</v>
      </c>
    </row>
    <row r="11221" spans="1:2" x14ac:dyDescent="0.25">
      <c r="A11221" t="s">
        <v>12895</v>
      </c>
      <c r="B11221" t="s">
        <v>294</v>
      </c>
    </row>
    <row r="11222" spans="1:2" x14ac:dyDescent="0.25">
      <c r="A11222" t="s">
        <v>12896</v>
      </c>
      <c r="B11222" t="s">
        <v>1067</v>
      </c>
    </row>
    <row r="11223" spans="1:2" x14ac:dyDescent="0.25">
      <c r="A11223" t="s">
        <v>12897</v>
      </c>
      <c r="B11223" t="s">
        <v>1449</v>
      </c>
    </row>
    <row r="11224" spans="1:2" x14ac:dyDescent="0.25">
      <c r="A11224" t="s">
        <v>12898</v>
      </c>
      <c r="B11224" t="s">
        <v>1472</v>
      </c>
    </row>
    <row r="11225" spans="1:2" x14ac:dyDescent="0.25">
      <c r="A11225" t="s">
        <v>12899</v>
      </c>
      <c r="B11225" t="s">
        <v>140</v>
      </c>
    </row>
    <row r="11226" spans="1:2" x14ac:dyDescent="0.25">
      <c r="A11226" t="s">
        <v>12900</v>
      </c>
      <c r="B11226" t="s">
        <v>12539</v>
      </c>
    </row>
    <row r="11227" spans="1:2" x14ac:dyDescent="0.25">
      <c r="A11227" t="s">
        <v>12901</v>
      </c>
      <c r="B11227" t="s">
        <v>649</v>
      </c>
    </row>
    <row r="11228" spans="1:2" x14ac:dyDescent="0.25">
      <c r="A11228" t="s">
        <v>684</v>
      </c>
      <c r="B11228" t="s">
        <v>684</v>
      </c>
    </row>
    <row r="11229" spans="1:2" x14ac:dyDescent="0.25">
      <c r="A11229" t="s">
        <v>12902</v>
      </c>
      <c r="B11229" t="s">
        <v>93</v>
      </c>
    </row>
    <row r="11230" spans="1:2" x14ac:dyDescent="0.25">
      <c r="A11230" t="s">
        <v>12903</v>
      </c>
      <c r="B11230" t="s">
        <v>444</v>
      </c>
    </row>
    <row r="11231" spans="1:2" x14ac:dyDescent="0.25">
      <c r="A11231" t="s">
        <v>12904</v>
      </c>
      <c r="B11231" t="s">
        <v>657</v>
      </c>
    </row>
    <row r="11232" spans="1:2" x14ac:dyDescent="0.25">
      <c r="A11232" t="s">
        <v>12905</v>
      </c>
      <c r="B11232" t="s">
        <v>1352</v>
      </c>
    </row>
    <row r="11233" spans="1:2" x14ac:dyDescent="0.25">
      <c r="A11233" t="s">
        <v>12906</v>
      </c>
      <c r="B11233" t="s">
        <v>427</v>
      </c>
    </row>
    <row r="11234" spans="1:2" x14ac:dyDescent="0.25">
      <c r="A11234" t="s">
        <v>12907</v>
      </c>
      <c r="B11234" t="s">
        <v>78</v>
      </c>
    </row>
    <row r="11235" spans="1:2" x14ac:dyDescent="0.25">
      <c r="A11235" t="s">
        <v>12908</v>
      </c>
      <c r="B11235" t="s">
        <v>184</v>
      </c>
    </row>
    <row r="11236" spans="1:2" x14ac:dyDescent="0.25">
      <c r="A11236" t="s">
        <v>12909</v>
      </c>
      <c r="B11236" t="s">
        <v>70</v>
      </c>
    </row>
    <row r="11237" spans="1:2" x14ac:dyDescent="0.25">
      <c r="A11237" t="s">
        <v>12910</v>
      </c>
      <c r="B11237" t="s">
        <v>60</v>
      </c>
    </row>
    <row r="11238" spans="1:2" x14ac:dyDescent="0.25">
      <c r="A11238" t="s">
        <v>12911</v>
      </c>
      <c r="B11238" t="s">
        <v>193</v>
      </c>
    </row>
    <row r="11239" spans="1:2" x14ac:dyDescent="0.25">
      <c r="A11239" t="s">
        <v>12912</v>
      </c>
      <c r="B11239" t="s">
        <v>265</v>
      </c>
    </row>
    <row r="11240" spans="1:2" x14ac:dyDescent="0.25">
      <c r="A11240" t="s">
        <v>12913</v>
      </c>
      <c r="B11240" t="s">
        <v>605</v>
      </c>
    </row>
    <row r="11241" spans="1:2" x14ac:dyDescent="0.25">
      <c r="A11241" t="s">
        <v>12914</v>
      </c>
      <c r="B11241" t="s">
        <v>641</v>
      </c>
    </row>
    <row r="11242" spans="1:2" x14ac:dyDescent="0.25">
      <c r="A11242" t="s">
        <v>12915</v>
      </c>
      <c r="B11242" t="s">
        <v>623</v>
      </c>
    </row>
    <row r="11243" spans="1:2" x14ac:dyDescent="0.25">
      <c r="A11243" t="s">
        <v>12916</v>
      </c>
      <c r="B11243" t="s">
        <v>654</v>
      </c>
    </row>
    <row r="11244" spans="1:2" x14ac:dyDescent="0.25">
      <c r="A11244" t="s">
        <v>12917</v>
      </c>
      <c r="B11244" t="s">
        <v>656</v>
      </c>
    </row>
    <row r="11245" spans="1:2" x14ac:dyDescent="0.25">
      <c r="A11245" t="s">
        <v>12918</v>
      </c>
      <c r="B11245" t="s">
        <v>171</v>
      </c>
    </row>
    <row r="11246" spans="1:2" x14ac:dyDescent="0.25">
      <c r="A11246" t="s">
        <v>12919</v>
      </c>
      <c r="B11246" t="s">
        <v>601</v>
      </c>
    </row>
    <row r="11247" spans="1:2" x14ac:dyDescent="0.25">
      <c r="A11247" t="s">
        <v>12920</v>
      </c>
      <c r="B11247" t="s">
        <v>651</v>
      </c>
    </row>
    <row r="11248" spans="1:2" x14ac:dyDescent="0.25">
      <c r="A11248" t="s">
        <v>12921</v>
      </c>
      <c r="B11248" t="s">
        <v>658</v>
      </c>
    </row>
    <row r="11249" spans="1:2" x14ac:dyDescent="0.25">
      <c r="A11249" t="s">
        <v>12922</v>
      </c>
      <c r="B11249" t="s">
        <v>644</v>
      </c>
    </row>
    <row r="11250" spans="1:2" x14ac:dyDescent="0.25">
      <c r="A11250" t="s">
        <v>12923</v>
      </c>
      <c r="B11250" t="s">
        <v>629</v>
      </c>
    </row>
    <row r="11251" spans="1:2" x14ac:dyDescent="0.25">
      <c r="A11251" t="s">
        <v>12924</v>
      </c>
      <c r="B11251" t="s">
        <v>617</v>
      </c>
    </row>
    <row r="11252" spans="1:2" x14ac:dyDescent="0.25">
      <c r="A11252" t="s">
        <v>12925</v>
      </c>
      <c r="B11252" t="s">
        <v>610</v>
      </c>
    </row>
    <row r="11253" spans="1:2" x14ac:dyDescent="0.25">
      <c r="A11253" t="s">
        <v>12926</v>
      </c>
      <c r="B11253" t="s">
        <v>1059</v>
      </c>
    </row>
    <row r="11254" spans="1:2" x14ac:dyDescent="0.25">
      <c r="A11254" t="s">
        <v>12927</v>
      </c>
      <c r="B11254" t="s">
        <v>169</v>
      </c>
    </row>
    <row r="11255" spans="1:2" x14ac:dyDescent="0.25">
      <c r="A11255" t="s">
        <v>12928</v>
      </c>
      <c r="B11255" t="s">
        <v>609</v>
      </c>
    </row>
    <row r="11256" spans="1:2" x14ac:dyDescent="0.25">
      <c r="A11256" t="s">
        <v>12929</v>
      </c>
      <c r="B11256" t="s">
        <v>596</v>
      </c>
    </row>
    <row r="11257" spans="1:2" x14ac:dyDescent="0.25">
      <c r="A11257" t="s">
        <v>12930</v>
      </c>
      <c r="B11257" t="s">
        <v>649</v>
      </c>
    </row>
    <row r="11258" spans="1:2" x14ac:dyDescent="0.25">
      <c r="A11258" t="s">
        <v>12931</v>
      </c>
      <c r="B11258" t="s">
        <v>594</v>
      </c>
    </row>
    <row r="11259" spans="1:2" x14ac:dyDescent="0.25">
      <c r="A11259" t="s">
        <v>12932</v>
      </c>
      <c r="B11259" t="s">
        <v>597</v>
      </c>
    </row>
    <row r="11260" spans="1:2" x14ac:dyDescent="0.25">
      <c r="A11260" t="s">
        <v>12933</v>
      </c>
      <c r="B11260" t="s">
        <v>659</v>
      </c>
    </row>
    <row r="11261" spans="1:2" x14ac:dyDescent="0.25">
      <c r="A11261" t="s">
        <v>12934</v>
      </c>
      <c r="B11261" t="s">
        <v>637</v>
      </c>
    </row>
    <row r="11262" spans="1:2" x14ac:dyDescent="0.25">
      <c r="A11262" t="s">
        <v>12935</v>
      </c>
      <c r="B11262" t="s">
        <v>648</v>
      </c>
    </row>
    <row r="11263" spans="1:2" x14ac:dyDescent="0.25">
      <c r="A11263" t="s">
        <v>12936</v>
      </c>
      <c r="B11263" t="s">
        <v>636</v>
      </c>
    </row>
    <row r="11264" spans="1:2" x14ac:dyDescent="0.25">
      <c r="A11264" t="s">
        <v>12937</v>
      </c>
      <c r="B11264" t="s">
        <v>850</v>
      </c>
    </row>
    <row r="11265" spans="1:2" x14ac:dyDescent="0.25">
      <c r="A11265" t="s">
        <v>12938</v>
      </c>
      <c r="B11265" t="s">
        <v>595</v>
      </c>
    </row>
    <row r="11266" spans="1:2" x14ac:dyDescent="0.25">
      <c r="A11266" t="s">
        <v>12939</v>
      </c>
      <c r="B11266" t="s">
        <v>736</v>
      </c>
    </row>
    <row r="11267" spans="1:2" x14ac:dyDescent="0.25">
      <c r="A11267" t="s">
        <v>12940</v>
      </c>
      <c r="B11267" t="s">
        <v>770</v>
      </c>
    </row>
    <row r="11268" spans="1:2" x14ac:dyDescent="0.25">
      <c r="A11268" t="s">
        <v>12941</v>
      </c>
      <c r="B11268" t="s">
        <v>767</v>
      </c>
    </row>
    <row r="11269" spans="1:2" x14ac:dyDescent="0.25">
      <c r="A11269" t="s">
        <v>12942</v>
      </c>
      <c r="B11269" t="s">
        <v>622</v>
      </c>
    </row>
    <row r="11270" spans="1:2" x14ac:dyDescent="0.25">
      <c r="A11270" t="s">
        <v>12943</v>
      </c>
      <c r="B11270" t="s">
        <v>621</v>
      </c>
    </row>
    <row r="11271" spans="1:2" x14ac:dyDescent="0.25">
      <c r="A11271" t="s">
        <v>12944</v>
      </c>
      <c r="B11271" t="s">
        <v>167</v>
      </c>
    </row>
    <row r="11272" spans="1:2" x14ac:dyDescent="0.25">
      <c r="A11272" t="s">
        <v>12945</v>
      </c>
      <c r="B11272" t="s">
        <v>161</v>
      </c>
    </row>
    <row r="11273" spans="1:2" x14ac:dyDescent="0.25">
      <c r="A11273" t="s">
        <v>12946</v>
      </c>
      <c r="B11273" t="s">
        <v>2722</v>
      </c>
    </row>
    <row r="11274" spans="1:2" x14ac:dyDescent="0.25">
      <c r="A11274" t="s">
        <v>12947</v>
      </c>
      <c r="B11274" t="s">
        <v>2722</v>
      </c>
    </row>
    <row r="11275" spans="1:2" x14ac:dyDescent="0.25">
      <c r="A11275" t="s">
        <v>12948</v>
      </c>
      <c r="B11275" t="s">
        <v>1127</v>
      </c>
    </row>
    <row r="11276" spans="1:2" x14ac:dyDescent="0.25">
      <c r="A11276" t="s">
        <v>12949</v>
      </c>
      <c r="B11276" t="s">
        <v>751</v>
      </c>
    </row>
    <row r="11277" spans="1:2" x14ac:dyDescent="0.25">
      <c r="A11277" t="s">
        <v>12950</v>
      </c>
      <c r="B11277" t="s">
        <v>1090</v>
      </c>
    </row>
    <row r="11278" spans="1:2" x14ac:dyDescent="0.25">
      <c r="A11278" t="s">
        <v>12951</v>
      </c>
      <c r="B11278" t="s">
        <v>1284</v>
      </c>
    </row>
    <row r="11279" spans="1:2" x14ac:dyDescent="0.25">
      <c r="A11279" t="s">
        <v>12952</v>
      </c>
      <c r="B11279" t="s">
        <v>742</v>
      </c>
    </row>
    <row r="11280" spans="1:2" x14ac:dyDescent="0.25">
      <c r="A11280" t="s">
        <v>12953</v>
      </c>
      <c r="B11280" t="s">
        <v>758</v>
      </c>
    </row>
    <row r="11281" spans="1:2" x14ac:dyDescent="0.25">
      <c r="A11281" t="s">
        <v>12954</v>
      </c>
      <c r="B11281" t="s">
        <v>746</v>
      </c>
    </row>
    <row r="11282" spans="1:2" x14ac:dyDescent="0.25">
      <c r="A11282" t="s">
        <v>12955</v>
      </c>
      <c r="B11282" t="s">
        <v>1324</v>
      </c>
    </row>
    <row r="11283" spans="1:2" x14ac:dyDescent="0.25">
      <c r="A11283" t="s">
        <v>12956</v>
      </c>
      <c r="B11283" t="s">
        <v>747</v>
      </c>
    </row>
    <row r="11284" spans="1:2" x14ac:dyDescent="0.25">
      <c r="A11284" t="s">
        <v>12957</v>
      </c>
      <c r="B11284" t="s">
        <v>755</v>
      </c>
    </row>
    <row r="11285" spans="1:2" x14ac:dyDescent="0.25">
      <c r="A11285" t="s">
        <v>12958</v>
      </c>
      <c r="B11285" t="s">
        <v>853</v>
      </c>
    </row>
    <row r="11286" spans="1:2" x14ac:dyDescent="0.25">
      <c r="A11286" t="s">
        <v>12959</v>
      </c>
      <c r="B11286" t="s">
        <v>444</v>
      </c>
    </row>
    <row r="11287" spans="1:2" x14ac:dyDescent="0.25">
      <c r="A11287" t="s">
        <v>12960</v>
      </c>
      <c r="B11287" t="s">
        <v>1344</v>
      </c>
    </row>
    <row r="11288" spans="1:2" x14ac:dyDescent="0.25">
      <c r="A11288" t="s">
        <v>12961</v>
      </c>
      <c r="B11288" t="s">
        <v>10931</v>
      </c>
    </row>
    <row r="11289" spans="1:2" x14ac:dyDescent="0.25">
      <c r="A11289" t="s">
        <v>12962</v>
      </c>
      <c r="B11289" t="s">
        <v>1227</v>
      </c>
    </row>
    <row r="11290" spans="1:2" x14ac:dyDescent="0.25">
      <c r="A11290" t="s">
        <v>12963</v>
      </c>
      <c r="B11290" t="s">
        <v>1223</v>
      </c>
    </row>
    <row r="11291" spans="1:2" x14ac:dyDescent="0.25">
      <c r="A11291" t="s">
        <v>614</v>
      </c>
      <c r="B11291" t="s">
        <v>614</v>
      </c>
    </row>
    <row r="11292" spans="1:2" x14ac:dyDescent="0.25">
      <c r="A11292" t="s">
        <v>12964</v>
      </c>
      <c r="B11292" t="s">
        <v>9568</v>
      </c>
    </row>
    <row r="11293" spans="1:2" x14ac:dyDescent="0.25">
      <c r="A11293" t="s">
        <v>613</v>
      </c>
      <c r="B11293" t="s">
        <v>613</v>
      </c>
    </row>
    <row r="11294" spans="1:2" x14ac:dyDescent="0.25">
      <c r="A11294" t="s">
        <v>12965</v>
      </c>
      <c r="B11294" t="s">
        <v>12482</v>
      </c>
    </row>
    <row r="11295" spans="1:2" x14ac:dyDescent="0.25">
      <c r="A11295" t="s">
        <v>12966</v>
      </c>
      <c r="B11295" t="s">
        <v>675</v>
      </c>
    </row>
    <row r="11296" spans="1:2" x14ac:dyDescent="0.25">
      <c r="A11296" t="s">
        <v>12967</v>
      </c>
      <c r="B11296" t="s">
        <v>678</v>
      </c>
    </row>
    <row r="11297" spans="1:2" x14ac:dyDescent="0.25">
      <c r="A11297" t="s">
        <v>12968</v>
      </c>
      <c r="B11297" t="s">
        <v>1340</v>
      </c>
    </row>
    <row r="11298" spans="1:2" x14ac:dyDescent="0.25">
      <c r="A11298" t="s">
        <v>612</v>
      </c>
      <c r="B11298" t="s">
        <v>612</v>
      </c>
    </row>
    <row r="11299" spans="1:2" x14ac:dyDescent="0.25">
      <c r="A11299" t="s">
        <v>12969</v>
      </c>
      <c r="B11299" t="s">
        <v>649</v>
      </c>
    </row>
    <row r="11300" spans="1:2" x14ac:dyDescent="0.25">
      <c r="A11300" t="s">
        <v>12970</v>
      </c>
      <c r="B11300" t="s">
        <v>677</v>
      </c>
    </row>
    <row r="11301" spans="1:2" x14ac:dyDescent="0.25">
      <c r="A11301" t="s">
        <v>12971</v>
      </c>
      <c r="B11301" t="s">
        <v>214</v>
      </c>
    </row>
    <row r="11302" spans="1:2" x14ac:dyDescent="0.25">
      <c r="A11302" t="s">
        <v>12972</v>
      </c>
      <c r="B11302" t="s">
        <v>605</v>
      </c>
    </row>
    <row r="11303" spans="1:2" x14ac:dyDescent="0.25">
      <c r="A11303" t="s">
        <v>12973</v>
      </c>
      <c r="B11303" t="s">
        <v>273</v>
      </c>
    </row>
    <row r="11304" spans="1:2" x14ac:dyDescent="0.25">
      <c r="A11304" t="s">
        <v>12974</v>
      </c>
      <c r="B11304" t="s">
        <v>413</v>
      </c>
    </row>
    <row r="11305" spans="1:2" x14ac:dyDescent="0.25">
      <c r="A11305" t="s">
        <v>12975</v>
      </c>
      <c r="B11305" t="s">
        <v>348</v>
      </c>
    </row>
    <row r="11306" spans="1:2" x14ac:dyDescent="0.25">
      <c r="A11306" t="s">
        <v>698</v>
      </c>
      <c r="B11306" t="s">
        <v>698</v>
      </c>
    </row>
    <row r="11307" spans="1:2" x14ac:dyDescent="0.25">
      <c r="A11307" t="s">
        <v>703</v>
      </c>
      <c r="B11307" t="s">
        <v>703</v>
      </c>
    </row>
    <row r="11308" spans="1:2" x14ac:dyDescent="0.25">
      <c r="A11308" t="s">
        <v>702</v>
      </c>
      <c r="B11308" t="s">
        <v>702</v>
      </c>
    </row>
    <row r="11309" spans="1:2" x14ac:dyDescent="0.25">
      <c r="A11309" t="s">
        <v>12976</v>
      </c>
      <c r="B11309" t="s">
        <v>380</v>
      </c>
    </row>
    <row r="11310" spans="1:2" x14ac:dyDescent="0.25">
      <c r="A11310" t="s">
        <v>12977</v>
      </c>
      <c r="B11310" t="s">
        <v>108</v>
      </c>
    </row>
    <row r="11311" spans="1:2" x14ac:dyDescent="0.25">
      <c r="A11311" t="s">
        <v>12978</v>
      </c>
      <c r="B11311" t="s">
        <v>167</v>
      </c>
    </row>
    <row r="11312" spans="1:2" x14ac:dyDescent="0.25">
      <c r="A11312" t="s">
        <v>12979</v>
      </c>
      <c r="B11312" t="s">
        <v>214</v>
      </c>
    </row>
    <row r="11313" spans="1:2" x14ac:dyDescent="0.25">
      <c r="A11313" t="s">
        <v>12980</v>
      </c>
      <c r="B11313" t="s">
        <v>153</v>
      </c>
    </row>
    <row r="11314" spans="1:2" x14ac:dyDescent="0.25">
      <c r="A11314" t="s">
        <v>12981</v>
      </c>
      <c r="B11314" t="s">
        <v>10942</v>
      </c>
    </row>
    <row r="11315" spans="1:2" x14ac:dyDescent="0.25">
      <c r="A11315" t="s">
        <v>12982</v>
      </c>
      <c r="B11315" t="s">
        <v>157</v>
      </c>
    </row>
    <row r="11316" spans="1:2" x14ac:dyDescent="0.25">
      <c r="A11316" t="s">
        <v>12983</v>
      </c>
      <c r="B11316" t="s">
        <v>454</v>
      </c>
    </row>
    <row r="11317" spans="1:2" x14ac:dyDescent="0.25">
      <c r="A11317" t="s">
        <v>12984</v>
      </c>
      <c r="B11317" t="s">
        <v>622</v>
      </c>
    </row>
    <row r="11318" spans="1:2" x14ac:dyDescent="0.25">
      <c r="A11318" t="s">
        <v>12985</v>
      </c>
      <c r="B11318" t="s">
        <v>10935</v>
      </c>
    </row>
    <row r="11319" spans="1:2" x14ac:dyDescent="0.25">
      <c r="A11319" t="s">
        <v>12986</v>
      </c>
      <c r="B11319" t="s">
        <v>577</v>
      </c>
    </row>
    <row r="11320" spans="1:2" x14ac:dyDescent="0.25">
      <c r="A11320" t="s">
        <v>12987</v>
      </c>
      <c r="B11320" t="s">
        <v>1278</v>
      </c>
    </row>
    <row r="11321" spans="1:2" x14ac:dyDescent="0.25">
      <c r="A11321" t="s">
        <v>12988</v>
      </c>
      <c r="B11321" t="s">
        <v>212</v>
      </c>
    </row>
    <row r="11322" spans="1:2" x14ac:dyDescent="0.25">
      <c r="A11322" t="s">
        <v>12989</v>
      </c>
      <c r="B11322" t="s">
        <v>212</v>
      </c>
    </row>
    <row r="11323" spans="1:2" x14ac:dyDescent="0.25">
      <c r="A11323" t="s">
        <v>12990</v>
      </c>
      <c r="B11323" t="s">
        <v>220</v>
      </c>
    </row>
    <row r="11324" spans="1:2" x14ac:dyDescent="0.25">
      <c r="A11324" t="s">
        <v>12991</v>
      </c>
      <c r="B11324" t="s">
        <v>773</v>
      </c>
    </row>
    <row r="11325" spans="1:2" x14ac:dyDescent="0.25">
      <c r="A11325" t="s">
        <v>12992</v>
      </c>
      <c r="B11325" t="s">
        <v>415</v>
      </c>
    </row>
    <row r="11326" spans="1:2" x14ac:dyDescent="0.25">
      <c r="A11326" t="s">
        <v>12993</v>
      </c>
      <c r="B11326" t="s">
        <v>581</v>
      </c>
    </row>
    <row r="11327" spans="1:2" x14ac:dyDescent="0.25">
      <c r="A11327" t="s">
        <v>12994</v>
      </c>
      <c r="B11327" t="s">
        <v>640</v>
      </c>
    </row>
    <row r="11328" spans="1:2" x14ac:dyDescent="0.25">
      <c r="A11328" t="s">
        <v>12995</v>
      </c>
      <c r="B11328" t="s">
        <v>988</v>
      </c>
    </row>
    <row r="11329" spans="1:2" x14ac:dyDescent="0.25">
      <c r="A11329" t="s">
        <v>12996</v>
      </c>
      <c r="B11329" t="s">
        <v>1457</v>
      </c>
    </row>
    <row r="11330" spans="1:2" x14ac:dyDescent="0.25">
      <c r="A11330" t="s">
        <v>12997</v>
      </c>
      <c r="B11330" t="s">
        <v>580</v>
      </c>
    </row>
    <row r="11331" spans="1:2" x14ac:dyDescent="0.25">
      <c r="A11331" t="s">
        <v>12998</v>
      </c>
      <c r="B11331" t="s">
        <v>1063</v>
      </c>
    </row>
    <row r="11332" spans="1:2" x14ac:dyDescent="0.25">
      <c r="A11332" t="s">
        <v>12999</v>
      </c>
      <c r="B11332" t="s">
        <v>1193</v>
      </c>
    </row>
    <row r="11333" spans="1:2" x14ac:dyDescent="0.25">
      <c r="A11333" t="s">
        <v>13000</v>
      </c>
      <c r="B11333" t="s">
        <v>1359</v>
      </c>
    </row>
    <row r="11334" spans="1:2" x14ac:dyDescent="0.25">
      <c r="A11334" t="s">
        <v>13001</v>
      </c>
      <c r="B11334" t="s">
        <v>931</v>
      </c>
    </row>
    <row r="11335" spans="1:2" x14ac:dyDescent="0.25">
      <c r="A11335" t="s">
        <v>13002</v>
      </c>
      <c r="B11335" t="s">
        <v>1231</v>
      </c>
    </row>
    <row r="11336" spans="1:2" x14ac:dyDescent="0.25">
      <c r="A11336" t="s">
        <v>13003</v>
      </c>
      <c r="B11336" t="s">
        <v>935</v>
      </c>
    </row>
    <row r="11337" spans="1:2" x14ac:dyDescent="0.25">
      <c r="A11337" t="s">
        <v>13004</v>
      </c>
      <c r="B11337" t="s">
        <v>115</v>
      </c>
    </row>
    <row r="11338" spans="1:2" x14ac:dyDescent="0.25">
      <c r="A11338" t="s">
        <v>13005</v>
      </c>
      <c r="B11338" t="s">
        <v>411</v>
      </c>
    </row>
    <row r="11339" spans="1:2" x14ac:dyDescent="0.25">
      <c r="A11339" t="s">
        <v>13006</v>
      </c>
      <c r="B11339" t="s">
        <v>325</v>
      </c>
    </row>
    <row r="11340" spans="1:2" x14ac:dyDescent="0.25">
      <c r="A11340" t="s">
        <v>13007</v>
      </c>
      <c r="B11340" t="s">
        <v>60</v>
      </c>
    </row>
    <row r="11341" spans="1:2" x14ac:dyDescent="0.25">
      <c r="A11341" t="s">
        <v>13008</v>
      </c>
      <c r="B11341" t="s">
        <v>466</v>
      </c>
    </row>
    <row r="11342" spans="1:2" x14ac:dyDescent="0.25">
      <c r="A11342" t="s">
        <v>13009</v>
      </c>
      <c r="B11342" t="s">
        <v>153</v>
      </c>
    </row>
    <row r="11343" spans="1:2" x14ac:dyDescent="0.25">
      <c r="A11343" t="s">
        <v>13010</v>
      </c>
      <c r="B11343" t="s">
        <v>321</v>
      </c>
    </row>
    <row r="11344" spans="1:2" x14ac:dyDescent="0.25">
      <c r="A11344" t="s">
        <v>13011</v>
      </c>
      <c r="B11344" t="s">
        <v>354</v>
      </c>
    </row>
    <row r="11345" spans="1:2" x14ac:dyDescent="0.25">
      <c r="A11345" t="s">
        <v>13012</v>
      </c>
      <c r="B11345" t="s">
        <v>1445</v>
      </c>
    </row>
    <row r="11346" spans="1:2" x14ac:dyDescent="0.25">
      <c r="A11346" t="s">
        <v>13013</v>
      </c>
      <c r="B11346" t="s">
        <v>1389</v>
      </c>
    </row>
    <row r="11347" spans="1:2" x14ac:dyDescent="0.25">
      <c r="A11347" t="s">
        <v>13014</v>
      </c>
      <c r="B11347" t="s">
        <v>1348</v>
      </c>
    </row>
    <row r="11348" spans="1:2" x14ac:dyDescent="0.25">
      <c r="A11348" t="s">
        <v>13015</v>
      </c>
      <c r="B11348" t="s">
        <v>456</v>
      </c>
    </row>
    <row r="11349" spans="1:2" x14ac:dyDescent="0.25">
      <c r="A11349" t="s">
        <v>13016</v>
      </c>
      <c r="B11349" t="s">
        <v>210</v>
      </c>
    </row>
    <row r="11350" spans="1:2" x14ac:dyDescent="0.25">
      <c r="A11350" t="s">
        <v>13017</v>
      </c>
      <c r="B11350" t="s">
        <v>204</v>
      </c>
    </row>
    <row r="11351" spans="1:2" x14ac:dyDescent="0.25">
      <c r="A11351" t="s">
        <v>13018</v>
      </c>
      <c r="B11351" t="s">
        <v>299</v>
      </c>
    </row>
    <row r="11352" spans="1:2" x14ac:dyDescent="0.25">
      <c r="A11352" t="s">
        <v>13019</v>
      </c>
      <c r="B11352" t="s">
        <v>155</v>
      </c>
    </row>
    <row r="11353" spans="1:2" x14ac:dyDescent="0.25">
      <c r="A11353" t="s">
        <v>13020</v>
      </c>
      <c r="B11353" t="s">
        <v>439</v>
      </c>
    </row>
    <row r="11354" spans="1:2" x14ac:dyDescent="0.25">
      <c r="A11354" t="s">
        <v>13021</v>
      </c>
      <c r="B11354" t="s">
        <v>121</v>
      </c>
    </row>
    <row r="11355" spans="1:2" x14ac:dyDescent="0.25">
      <c r="A11355" t="s">
        <v>13022</v>
      </c>
      <c r="B11355" t="s">
        <v>468</v>
      </c>
    </row>
    <row r="11356" spans="1:2" x14ac:dyDescent="0.25">
      <c r="A11356" t="s">
        <v>13023</v>
      </c>
      <c r="B11356" t="s">
        <v>135</v>
      </c>
    </row>
    <row r="11357" spans="1:2" x14ac:dyDescent="0.25">
      <c r="A11357" t="s">
        <v>13024</v>
      </c>
      <c r="B11357" t="s">
        <v>417</v>
      </c>
    </row>
    <row r="11358" spans="1:2" x14ac:dyDescent="0.25">
      <c r="A11358" t="s">
        <v>13025</v>
      </c>
      <c r="B11358" t="s">
        <v>169</v>
      </c>
    </row>
    <row r="11359" spans="1:2" x14ac:dyDescent="0.25">
      <c r="A11359" t="s">
        <v>13026</v>
      </c>
      <c r="B11359" t="s">
        <v>182</v>
      </c>
    </row>
    <row r="11360" spans="1:2" x14ac:dyDescent="0.25">
      <c r="A11360" t="s">
        <v>13027</v>
      </c>
      <c r="B11360" t="s">
        <v>108</v>
      </c>
    </row>
    <row r="11361" spans="1:2" x14ac:dyDescent="0.25">
      <c r="A11361" t="s">
        <v>13028</v>
      </c>
      <c r="B11361" t="s">
        <v>494</v>
      </c>
    </row>
    <row r="11362" spans="1:2" x14ac:dyDescent="0.25">
      <c r="A11362" t="s">
        <v>13029</v>
      </c>
      <c r="B11362" t="s">
        <v>629</v>
      </c>
    </row>
    <row r="11363" spans="1:2" x14ac:dyDescent="0.25">
      <c r="A11363" t="s">
        <v>13030</v>
      </c>
      <c r="B11363" t="s">
        <v>1461</v>
      </c>
    </row>
    <row r="11364" spans="1:2" x14ac:dyDescent="0.25">
      <c r="A11364" t="s">
        <v>13031</v>
      </c>
      <c r="B11364" t="s">
        <v>580</v>
      </c>
    </row>
    <row r="11365" spans="1:2" x14ac:dyDescent="0.25">
      <c r="A11365" t="s">
        <v>13032</v>
      </c>
      <c r="B11365" t="s">
        <v>1379</v>
      </c>
    </row>
    <row r="11366" spans="1:2" x14ac:dyDescent="0.25">
      <c r="A11366" t="s">
        <v>13033</v>
      </c>
      <c r="B11366" t="s">
        <v>653</v>
      </c>
    </row>
    <row r="11367" spans="1:2" x14ac:dyDescent="0.25">
      <c r="A11367" t="s">
        <v>13034</v>
      </c>
      <c r="B11367" t="s">
        <v>1067</v>
      </c>
    </row>
    <row r="11368" spans="1:2" x14ac:dyDescent="0.25">
      <c r="A11368" t="s">
        <v>13035</v>
      </c>
      <c r="B11368" t="s">
        <v>13036</v>
      </c>
    </row>
    <row r="11369" spans="1:2" x14ac:dyDescent="0.25">
      <c r="A11369" t="s">
        <v>13037</v>
      </c>
      <c r="B11369" t="s">
        <v>230</v>
      </c>
    </row>
    <row r="11370" spans="1:2" x14ac:dyDescent="0.25">
      <c r="A11370" t="s">
        <v>667</v>
      </c>
      <c r="B11370" t="s">
        <v>667</v>
      </c>
    </row>
    <row r="11371" spans="1:2" x14ac:dyDescent="0.25">
      <c r="A11371" t="s">
        <v>13038</v>
      </c>
      <c r="B11371" t="s">
        <v>245</v>
      </c>
    </row>
    <row r="11372" spans="1:2" x14ac:dyDescent="0.25">
      <c r="A11372" t="s">
        <v>13039</v>
      </c>
      <c r="B11372" t="s">
        <v>78</v>
      </c>
    </row>
    <row r="11373" spans="1:2" x14ac:dyDescent="0.25">
      <c r="A11373" t="s">
        <v>13040</v>
      </c>
      <c r="B11373" t="s">
        <v>466</v>
      </c>
    </row>
    <row r="11374" spans="1:2" x14ac:dyDescent="0.25">
      <c r="A11374" t="s">
        <v>13041</v>
      </c>
      <c r="B11374" t="s">
        <v>1393</v>
      </c>
    </row>
    <row r="11375" spans="1:2" x14ac:dyDescent="0.25">
      <c r="A11375" t="s">
        <v>711</v>
      </c>
      <c r="B11375" t="s">
        <v>711</v>
      </c>
    </row>
    <row r="11376" spans="1:2" x14ac:dyDescent="0.25">
      <c r="A11376" t="s">
        <v>13042</v>
      </c>
      <c r="B11376" t="s">
        <v>431</v>
      </c>
    </row>
    <row r="11377" spans="1:2" x14ac:dyDescent="0.25">
      <c r="A11377" t="s">
        <v>710</v>
      </c>
      <c r="B11377" t="s">
        <v>710</v>
      </c>
    </row>
    <row r="11378" spans="1:2" x14ac:dyDescent="0.25">
      <c r="A11378" t="s">
        <v>699</v>
      </c>
      <c r="B11378" t="s">
        <v>699</v>
      </c>
    </row>
    <row r="11379" spans="1:2" x14ac:dyDescent="0.25">
      <c r="A11379" t="s">
        <v>13043</v>
      </c>
      <c r="B11379" t="s">
        <v>566</v>
      </c>
    </row>
    <row r="11380" spans="1:2" x14ac:dyDescent="0.25">
      <c r="A11380" t="s">
        <v>13044</v>
      </c>
      <c r="B11380" t="s">
        <v>683</v>
      </c>
    </row>
    <row r="11381" spans="1:2" x14ac:dyDescent="0.25">
      <c r="A11381" t="s">
        <v>700</v>
      </c>
      <c r="B11381" t="s">
        <v>700</v>
      </c>
    </row>
    <row r="11382" spans="1:2" x14ac:dyDescent="0.25">
      <c r="A11382" t="s">
        <v>688</v>
      </c>
      <c r="B11382" t="s">
        <v>688</v>
      </c>
    </row>
    <row r="11383" spans="1:2" x14ac:dyDescent="0.25">
      <c r="A11383" t="s">
        <v>13045</v>
      </c>
      <c r="B11383" t="s">
        <v>333</v>
      </c>
    </row>
    <row r="11384" spans="1:2" x14ac:dyDescent="0.25">
      <c r="A11384" t="s">
        <v>13046</v>
      </c>
      <c r="B11384" t="s">
        <v>364</v>
      </c>
    </row>
    <row r="11385" spans="1:2" x14ac:dyDescent="0.25">
      <c r="A11385" t="s">
        <v>13047</v>
      </c>
      <c r="B11385" t="s">
        <v>335</v>
      </c>
    </row>
    <row r="11386" spans="1:2" x14ac:dyDescent="0.25">
      <c r="A11386" t="s">
        <v>13048</v>
      </c>
      <c r="B11386" t="s">
        <v>12352</v>
      </c>
    </row>
    <row r="11387" spans="1:2" x14ac:dyDescent="0.25">
      <c r="A11387" t="s">
        <v>701</v>
      </c>
      <c r="B11387" t="s">
        <v>701</v>
      </c>
    </row>
    <row r="11388" spans="1:2" x14ac:dyDescent="0.25">
      <c r="A11388" t="s">
        <v>13049</v>
      </c>
      <c r="B11388" t="s">
        <v>672</v>
      </c>
    </row>
    <row r="11389" spans="1:2" x14ac:dyDescent="0.25">
      <c r="A11389" t="s">
        <v>13050</v>
      </c>
      <c r="B11389" t="s">
        <v>124</v>
      </c>
    </row>
    <row r="11390" spans="1:2" x14ac:dyDescent="0.25">
      <c r="A11390" t="s">
        <v>13051</v>
      </c>
      <c r="B11390" t="s">
        <v>199</v>
      </c>
    </row>
    <row r="11391" spans="1:2" x14ac:dyDescent="0.25">
      <c r="A11391" t="s">
        <v>13052</v>
      </c>
      <c r="B11391" t="s">
        <v>630</v>
      </c>
    </row>
    <row r="11392" spans="1:2" x14ac:dyDescent="0.25">
      <c r="A11392" t="s">
        <v>13053</v>
      </c>
      <c r="B11392" t="s">
        <v>335</v>
      </c>
    </row>
    <row r="11393" spans="1:2" x14ac:dyDescent="0.25">
      <c r="A11393" t="s">
        <v>13054</v>
      </c>
      <c r="B11393" t="s">
        <v>582</v>
      </c>
    </row>
    <row r="11394" spans="1:2" x14ac:dyDescent="0.25">
      <c r="A11394" t="s">
        <v>13055</v>
      </c>
      <c r="B11394" t="s">
        <v>299</v>
      </c>
    </row>
    <row r="11395" spans="1:2" x14ac:dyDescent="0.25">
      <c r="A11395" t="s">
        <v>13056</v>
      </c>
      <c r="B11395" t="s">
        <v>218</v>
      </c>
    </row>
    <row r="11396" spans="1:2" x14ac:dyDescent="0.25">
      <c r="A11396" t="s">
        <v>13057</v>
      </c>
      <c r="B11396" t="s">
        <v>570</v>
      </c>
    </row>
    <row r="11397" spans="1:2" x14ac:dyDescent="0.25">
      <c r="A11397" t="s">
        <v>13058</v>
      </c>
      <c r="B11397" t="s">
        <v>151</v>
      </c>
    </row>
    <row r="11398" spans="1:2" x14ac:dyDescent="0.25">
      <c r="A11398" t="s">
        <v>13059</v>
      </c>
      <c r="B11398" t="s">
        <v>189</v>
      </c>
    </row>
    <row r="11399" spans="1:2" x14ac:dyDescent="0.25">
      <c r="A11399" t="s">
        <v>13060</v>
      </c>
      <c r="B11399" t="s">
        <v>216</v>
      </c>
    </row>
    <row r="11400" spans="1:2" x14ac:dyDescent="0.25">
      <c r="A11400" t="s">
        <v>13061</v>
      </c>
      <c r="B11400" t="s">
        <v>364</v>
      </c>
    </row>
    <row r="11401" spans="1:2" x14ac:dyDescent="0.25">
      <c r="A11401" t="s">
        <v>13062</v>
      </c>
      <c r="B11401" t="s">
        <v>1393</v>
      </c>
    </row>
    <row r="11402" spans="1:2" x14ac:dyDescent="0.25">
      <c r="A11402" t="s">
        <v>13063</v>
      </c>
      <c r="B11402" t="s">
        <v>72</v>
      </c>
    </row>
    <row r="11403" spans="1:2" x14ac:dyDescent="0.25">
      <c r="A11403" t="s">
        <v>13064</v>
      </c>
      <c r="B11403" t="s">
        <v>206</v>
      </c>
    </row>
    <row r="11404" spans="1:2" x14ac:dyDescent="0.25">
      <c r="A11404" t="s">
        <v>13065</v>
      </c>
      <c r="B11404" t="s">
        <v>648</v>
      </c>
    </row>
    <row r="11405" spans="1:2" x14ac:dyDescent="0.25">
      <c r="A11405" t="s">
        <v>13066</v>
      </c>
      <c r="B11405" t="s">
        <v>468</v>
      </c>
    </row>
    <row r="11406" spans="1:2" x14ac:dyDescent="0.25">
      <c r="A11406" t="s">
        <v>13067</v>
      </c>
      <c r="B11406" t="s">
        <v>178</v>
      </c>
    </row>
    <row r="11407" spans="1:2" x14ac:dyDescent="0.25">
      <c r="A11407" t="s">
        <v>13068</v>
      </c>
      <c r="B11407" t="s">
        <v>494</v>
      </c>
    </row>
    <row r="11408" spans="1:2" x14ac:dyDescent="0.25">
      <c r="A11408" t="s">
        <v>13069</v>
      </c>
      <c r="B11408" t="s">
        <v>199</v>
      </c>
    </row>
    <row r="11409" spans="1:2" x14ac:dyDescent="0.25">
      <c r="A11409" t="s">
        <v>13070</v>
      </c>
      <c r="B11409" t="s">
        <v>199</v>
      </c>
    </row>
    <row r="11410" spans="1:2" x14ac:dyDescent="0.25">
      <c r="A11410" t="s">
        <v>13071</v>
      </c>
      <c r="B11410" t="s">
        <v>640</v>
      </c>
    </row>
    <row r="11411" spans="1:2" x14ac:dyDescent="0.25">
      <c r="A11411" t="s">
        <v>13072</v>
      </c>
      <c r="B11411" t="s">
        <v>439</v>
      </c>
    </row>
    <row r="11412" spans="1:2" x14ac:dyDescent="0.25">
      <c r="A11412" t="s">
        <v>13073</v>
      </c>
      <c r="B11412" t="s">
        <v>216</v>
      </c>
    </row>
    <row r="11413" spans="1:2" x14ac:dyDescent="0.25">
      <c r="A11413" t="s">
        <v>13074</v>
      </c>
      <c r="B11413" t="s">
        <v>448</v>
      </c>
    </row>
    <row r="11414" spans="1:2" x14ac:dyDescent="0.25">
      <c r="A11414" t="s">
        <v>13075</v>
      </c>
      <c r="B11414" t="s">
        <v>1314</v>
      </c>
    </row>
    <row r="11415" spans="1:2" x14ac:dyDescent="0.25">
      <c r="A11415" t="s">
        <v>13076</v>
      </c>
      <c r="B11415" t="s">
        <v>1367</v>
      </c>
    </row>
    <row r="11416" spans="1:2" x14ac:dyDescent="0.25">
      <c r="A11416" t="s">
        <v>13077</v>
      </c>
      <c r="B11416" t="s">
        <v>560</v>
      </c>
    </row>
    <row r="11417" spans="1:2" x14ac:dyDescent="0.25">
      <c r="A11417" t="s">
        <v>13078</v>
      </c>
      <c r="B11417" t="s">
        <v>635</v>
      </c>
    </row>
    <row r="11418" spans="1:2" x14ac:dyDescent="0.25">
      <c r="A11418" t="s">
        <v>13079</v>
      </c>
      <c r="B11418" t="s">
        <v>684</v>
      </c>
    </row>
    <row r="11419" spans="1:2" x14ac:dyDescent="0.25">
      <c r="A11419" t="s">
        <v>13080</v>
      </c>
      <c r="B11419" t="s">
        <v>466</v>
      </c>
    </row>
    <row r="11420" spans="1:2" x14ac:dyDescent="0.25">
      <c r="A11420" t="s">
        <v>13081</v>
      </c>
      <c r="B11420" t="s">
        <v>1193</v>
      </c>
    </row>
    <row r="11421" spans="1:2" x14ac:dyDescent="0.25">
      <c r="A11421" t="s">
        <v>13082</v>
      </c>
      <c r="B11421" t="s">
        <v>580</v>
      </c>
    </row>
    <row r="11422" spans="1:2" x14ac:dyDescent="0.25">
      <c r="A11422" t="s">
        <v>13083</v>
      </c>
      <c r="B11422" t="s">
        <v>1348</v>
      </c>
    </row>
    <row r="11423" spans="1:2" x14ac:dyDescent="0.25">
      <c r="A11423" t="s">
        <v>13084</v>
      </c>
      <c r="B11423" t="s">
        <v>121</v>
      </c>
    </row>
    <row r="11424" spans="1:2" x14ac:dyDescent="0.25">
      <c r="A11424" t="s">
        <v>13085</v>
      </c>
      <c r="B11424" t="s">
        <v>292</v>
      </c>
    </row>
    <row r="11425" spans="1:2" x14ac:dyDescent="0.25">
      <c r="A11425" t="s">
        <v>13086</v>
      </c>
      <c r="B11425" t="s">
        <v>133</v>
      </c>
    </row>
    <row r="11426" spans="1:2" x14ac:dyDescent="0.25">
      <c r="A11426" t="s">
        <v>13087</v>
      </c>
      <c r="B11426" t="s">
        <v>191</v>
      </c>
    </row>
    <row r="11427" spans="1:2" x14ac:dyDescent="0.25">
      <c r="A11427" t="s">
        <v>13088</v>
      </c>
      <c r="B11427" t="s">
        <v>206</v>
      </c>
    </row>
    <row r="11428" spans="1:2" x14ac:dyDescent="0.25">
      <c r="A11428" t="s">
        <v>13089</v>
      </c>
      <c r="B11428" t="s">
        <v>218</v>
      </c>
    </row>
    <row r="11429" spans="1:2" x14ac:dyDescent="0.25">
      <c r="A11429" t="s">
        <v>13090</v>
      </c>
      <c r="B11429" t="s">
        <v>222</v>
      </c>
    </row>
    <row r="11430" spans="1:2" x14ac:dyDescent="0.25">
      <c r="A11430" t="s">
        <v>13091</v>
      </c>
      <c r="B11430" t="s">
        <v>650</v>
      </c>
    </row>
    <row r="11431" spans="1:2" x14ac:dyDescent="0.25">
      <c r="A11431" t="s">
        <v>13092</v>
      </c>
      <c r="B11431" t="s">
        <v>210</v>
      </c>
    </row>
    <row r="11432" spans="1:2" x14ac:dyDescent="0.25">
      <c r="A11432" t="s">
        <v>13093</v>
      </c>
      <c r="B11432" t="s">
        <v>299</v>
      </c>
    </row>
    <row r="11433" spans="1:2" x14ac:dyDescent="0.25">
      <c r="A11433" t="s">
        <v>13094</v>
      </c>
      <c r="B11433" t="s">
        <v>484</v>
      </c>
    </row>
    <row r="11434" spans="1:2" x14ac:dyDescent="0.25">
      <c r="A11434" t="s">
        <v>13095</v>
      </c>
      <c r="B11434" t="s">
        <v>80</v>
      </c>
    </row>
    <row r="11435" spans="1:2" x14ac:dyDescent="0.25">
      <c r="A11435" t="s">
        <v>13096</v>
      </c>
      <c r="B11435" t="s">
        <v>97</v>
      </c>
    </row>
    <row r="11436" spans="1:2" x14ac:dyDescent="0.25">
      <c r="A11436" t="s">
        <v>13097</v>
      </c>
      <c r="B11436" t="s">
        <v>327</v>
      </c>
    </row>
    <row r="11437" spans="1:2" x14ac:dyDescent="0.25">
      <c r="A11437" t="s">
        <v>13098</v>
      </c>
      <c r="B11437" t="s">
        <v>558</v>
      </c>
    </row>
    <row r="11438" spans="1:2" x14ac:dyDescent="0.25">
      <c r="A11438" t="s">
        <v>13099</v>
      </c>
      <c r="B11438" t="s">
        <v>558</v>
      </c>
    </row>
    <row r="11439" spans="1:2" x14ac:dyDescent="0.25">
      <c r="A11439" t="s">
        <v>13100</v>
      </c>
      <c r="B11439" t="s">
        <v>313</v>
      </c>
    </row>
    <row r="11440" spans="1:2" x14ac:dyDescent="0.25">
      <c r="A11440" t="s">
        <v>13101</v>
      </c>
      <c r="B11440" t="s">
        <v>315</v>
      </c>
    </row>
    <row r="11441" spans="1:2" x14ac:dyDescent="0.25">
      <c r="A11441" t="s">
        <v>13102</v>
      </c>
      <c r="B11441" t="s">
        <v>317</v>
      </c>
    </row>
    <row r="11442" spans="1:2" x14ac:dyDescent="0.25">
      <c r="A11442" t="s">
        <v>13103</v>
      </c>
      <c r="B11442" t="s">
        <v>564</v>
      </c>
    </row>
    <row r="11443" spans="1:2" x14ac:dyDescent="0.25">
      <c r="A11443" t="s">
        <v>13104</v>
      </c>
      <c r="B11443" t="s">
        <v>564</v>
      </c>
    </row>
    <row r="11444" spans="1:2" x14ac:dyDescent="0.25">
      <c r="A11444" t="s">
        <v>13105</v>
      </c>
      <c r="B11444" t="s">
        <v>121</v>
      </c>
    </row>
    <row r="11445" spans="1:2" x14ac:dyDescent="0.25">
      <c r="A11445" t="s">
        <v>13106</v>
      </c>
      <c r="B11445" t="s">
        <v>121</v>
      </c>
    </row>
    <row r="11446" spans="1:2" x14ac:dyDescent="0.25">
      <c r="A11446" t="s">
        <v>13107</v>
      </c>
      <c r="B11446" t="s">
        <v>124</v>
      </c>
    </row>
    <row r="11447" spans="1:2" x14ac:dyDescent="0.25">
      <c r="A11447" t="s">
        <v>13108</v>
      </c>
      <c r="B11447" t="s">
        <v>413</v>
      </c>
    </row>
    <row r="11448" spans="1:2" x14ac:dyDescent="0.25">
      <c r="A11448" t="s">
        <v>13109</v>
      </c>
      <c r="B11448" t="s">
        <v>126</v>
      </c>
    </row>
    <row r="11449" spans="1:2" x14ac:dyDescent="0.25">
      <c r="A11449" t="s">
        <v>13110</v>
      </c>
      <c r="B11449" t="s">
        <v>128</v>
      </c>
    </row>
    <row r="11450" spans="1:2" x14ac:dyDescent="0.25">
      <c r="A11450" t="s">
        <v>13111</v>
      </c>
      <c r="B11450" t="s">
        <v>133</v>
      </c>
    </row>
    <row r="11451" spans="1:2" x14ac:dyDescent="0.25">
      <c r="A11451" t="s">
        <v>13112</v>
      </c>
      <c r="B11451" t="s">
        <v>146</v>
      </c>
    </row>
    <row r="11452" spans="1:2" x14ac:dyDescent="0.25">
      <c r="A11452" t="s">
        <v>13113</v>
      </c>
      <c r="B11452" t="s">
        <v>146</v>
      </c>
    </row>
    <row r="11453" spans="1:2" x14ac:dyDescent="0.25">
      <c r="A11453" t="s">
        <v>13114</v>
      </c>
      <c r="B11453" t="s">
        <v>146</v>
      </c>
    </row>
    <row r="11454" spans="1:2" x14ac:dyDescent="0.25">
      <c r="A11454" t="s">
        <v>13115</v>
      </c>
      <c r="B11454" t="s">
        <v>149</v>
      </c>
    </row>
    <row r="11455" spans="1:2" x14ac:dyDescent="0.25">
      <c r="A11455" t="s">
        <v>13116</v>
      </c>
      <c r="B11455" t="s">
        <v>149</v>
      </c>
    </row>
    <row r="11456" spans="1:2" x14ac:dyDescent="0.25">
      <c r="A11456" t="s">
        <v>13117</v>
      </c>
      <c r="B11456" t="s">
        <v>922</v>
      </c>
    </row>
    <row r="11457" spans="1:2" x14ac:dyDescent="0.25">
      <c r="A11457" t="s">
        <v>13118</v>
      </c>
      <c r="B11457" t="s">
        <v>433</v>
      </c>
    </row>
    <row r="11458" spans="1:2" x14ac:dyDescent="0.25">
      <c r="A11458" t="s">
        <v>13119</v>
      </c>
      <c r="B11458" t="s">
        <v>9655</v>
      </c>
    </row>
    <row r="11459" spans="1:2" x14ac:dyDescent="0.25">
      <c r="A11459" t="s">
        <v>13120</v>
      </c>
      <c r="B11459" t="s">
        <v>164</v>
      </c>
    </row>
    <row r="11460" spans="1:2" x14ac:dyDescent="0.25">
      <c r="A11460" t="s">
        <v>13121</v>
      </c>
      <c r="B11460" t="s">
        <v>803</v>
      </c>
    </row>
    <row r="11461" spans="1:2" x14ac:dyDescent="0.25">
      <c r="A11461" t="s">
        <v>13122</v>
      </c>
      <c r="B11461" t="s">
        <v>776</v>
      </c>
    </row>
    <row r="11462" spans="1:2" x14ac:dyDescent="0.25">
      <c r="A11462" t="s">
        <v>13123</v>
      </c>
      <c r="B11462" t="s">
        <v>776</v>
      </c>
    </row>
    <row r="11463" spans="1:2" x14ac:dyDescent="0.25">
      <c r="A11463" t="s">
        <v>13124</v>
      </c>
      <c r="B11463" t="s">
        <v>439</v>
      </c>
    </row>
    <row r="11464" spans="1:2" x14ac:dyDescent="0.25">
      <c r="A11464" t="s">
        <v>13125</v>
      </c>
      <c r="B11464" t="s">
        <v>468</v>
      </c>
    </row>
    <row r="11465" spans="1:2" x14ac:dyDescent="0.25">
      <c r="A11465" t="s">
        <v>13126</v>
      </c>
      <c r="B11465" t="s">
        <v>13127</v>
      </c>
    </row>
    <row r="11466" spans="1:2" x14ac:dyDescent="0.25">
      <c r="A11466" t="s">
        <v>13128</v>
      </c>
      <c r="B11466" t="s">
        <v>13129</v>
      </c>
    </row>
    <row r="11467" spans="1:2" x14ac:dyDescent="0.25">
      <c r="A11467" t="s">
        <v>13130</v>
      </c>
      <c r="B11467" t="s">
        <v>13131</v>
      </c>
    </row>
    <row r="11468" spans="1:2" x14ac:dyDescent="0.25">
      <c r="A11468" t="s">
        <v>13132</v>
      </c>
      <c r="B11468" t="s">
        <v>199</v>
      </c>
    </row>
    <row r="11469" spans="1:2" x14ac:dyDescent="0.25">
      <c r="A11469" t="s">
        <v>13133</v>
      </c>
      <c r="B11469" t="s">
        <v>490</v>
      </c>
    </row>
    <row r="11470" spans="1:2" x14ac:dyDescent="0.25">
      <c r="A11470" t="s">
        <v>13134</v>
      </c>
      <c r="B11470" t="s">
        <v>301</v>
      </c>
    </row>
    <row r="11471" spans="1:2" x14ac:dyDescent="0.25">
      <c r="A11471" t="s">
        <v>13135</v>
      </c>
      <c r="B11471" t="s">
        <v>303</v>
      </c>
    </row>
    <row r="11472" spans="1:2" x14ac:dyDescent="0.25">
      <c r="A11472" t="s">
        <v>13136</v>
      </c>
      <c r="B11472" t="s">
        <v>124</v>
      </c>
    </row>
    <row r="11473" spans="1:2" x14ac:dyDescent="0.25">
      <c r="A11473" t="s">
        <v>13137</v>
      </c>
      <c r="B11473" t="s">
        <v>867</v>
      </c>
    </row>
    <row r="11474" spans="1:2" x14ac:dyDescent="0.25">
      <c r="A11474" t="s">
        <v>13138</v>
      </c>
      <c r="B11474" t="s">
        <v>877</v>
      </c>
    </row>
    <row r="11475" spans="1:2" x14ac:dyDescent="0.25">
      <c r="A11475" t="s">
        <v>13139</v>
      </c>
      <c r="B11475" t="s">
        <v>890</v>
      </c>
    </row>
    <row r="11476" spans="1:2" x14ac:dyDescent="0.25">
      <c r="A11476" t="s">
        <v>13140</v>
      </c>
      <c r="B11476" t="s">
        <v>360</v>
      </c>
    </row>
    <row r="11477" spans="1:2" x14ac:dyDescent="0.25">
      <c r="A11477" t="s">
        <v>13141</v>
      </c>
      <c r="B11477" t="s">
        <v>362</v>
      </c>
    </row>
    <row r="11478" spans="1:2" x14ac:dyDescent="0.25">
      <c r="A11478" t="s">
        <v>13142</v>
      </c>
      <c r="B11478" t="s">
        <v>405</v>
      </c>
    </row>
    <row r="11479" spans="1:2" x14ac:dyDescent="0.25">
      <c r="A11479" t="s">
        <v>13143</v>
      </c>
      <c r="B11479" t="s">
        <v>354</v>
      </c>
    </row>
    <row r="11480" spans="1:2" x14ac:dyDescent="0.25">
      <c r="A11480" t="s">
        <v>13144</v>
      </c>
      <c r="B11480" t="s">
        <v>1239</v>
      </c>
    </row>
    <row r="11481" spans="1:2" x14ac:dyDescent="0.25">
      <c r="A11481" t="s">
        <v>13145</v>
      </c>
      <c r="B11481" t="s">
        <v>1281</v>
      </c>
    </row>
    <row r="11482" spans="1:2" x14ac:dyDescent="0.25">
      <c r="A11482" t="s">
        <v>13146</v>
      </c>
      <c r="B11482" t="s">
        <v>442</v>
      </c>
    </row>
    <row r="11483" spans="1:2" x14ac:dyDescent="0.25">
      <c r="A11483" t="s">
        <v>13147</v>
      </c>
      <c r="B11483" t="s">
        <v>1344</v>
      </c>
    </row>
    <row r="11484" spans="1:2" x14ac:dyDescent="0.25">
      <c r="A11484" t="s">
        <v>13148</v>
      </c>
      <c r="B11484" t="s">
        <v>1352</v>
      </c>
    </row>
    <row r="11485" spans="1:2" x14ac:dyDescent="0.25">
      <c r="A11485" t="s">
        <v>13149</v>
      </c>
      <c r="B11485" t="s">
        <v>1352</v>
      </c>
    </row>
    <row r="11486" spans="1:2" x14ac:dyDescent="0.25">
      <c r="A11486" t="s">
        <v>13150</v>
      </c>
      <c r="B11486" t="s">
        <v>1359</v>
      </c>
    </row>
    <row r="11487" spans="1:2" x14ac:dyDescent="0.25">
      <c r="A11487" t="s">
        <v>13151</v>
      </c>
      <c r="B11487" t="s">
        <v>512</v>
      </c>
    </row>
    <row r="11488" spans="1:2" x14ac:dyDescent="0.25">
      <c r="A11488" t="s">
        <v>13152</v>
      </c>
      <c r="B11488" t="s">
        <v>534</v>
      </c>
    </row>
    <row r="11489" spans="1:2" x14ac:dyDescent="0.25">
      <c r="A11489" t="s">
        <v>13153</v>
      </c>
      <c r="B11489" t="s">
        <v>591</v>
      </c>
    </row>
    <row r="11490" spans="1:2" x14ac:dyDescent="0.25">
      <c r="A11490" t="s">
        <v>13154</v>
      </c>
      <c r="B11490" t="s">
        <v>598</v>
      </c>
    </row>
    <row r="11491" spans="1:2" x14ac:dyDescent="0.25">
      <c r="A11491" t="s">
        <v>13155</v>
      </c>
      <c r="B11491" t="s">
        <v>602</v>
      </c>
    </row>
    <row r="11492" spans="1:2" x14ac:dyDescent="0.25">
      <c r="A11492" t="s">
        <v>606</v>
      </c>
      <c r="B11492" t="s">
        <v>606</v>
      </c>
    </row>
    <row r="11493" spans="1:2" x14ac:dyDescent="0.25">
      <c r="A11493" t="s">
        <v>13156</v>
      </c>
      <c r="B11493" t="s">
        <v>619</v>
      </c>
    </row>
    <row r="11494" spans="1:2" x14ac:dyDescent="0.25">
      <c r="A11494" t="s">
        <v>13157</v>
      </c>
      <c r="B11494" t="s">
        <v>620</v>
      </c>
    </row>
    <row r="11495" spans="1:2" x14ac:dyDescent="0.25">
      <c r="A11495" t="s">
        <v>13158</v>
      </c>
      <c r="B11495" t="s">
        <v>621</v>
      </c>
    </row>
    <row r="11496" spans="1:2" x14ac:dyDescent="0.25">
      <c r="A11496" t="s">
        <v>13159</v>
      </c>
      <c r="B11496" t="s">
        <v>622</v>
      </c>
    </row>
    <row r="11497" spans="1:2" x14ac:dyDescent="0.25">
      <c r="A11497" t="s">
        <v>13160</v>
      </c>
      <c r="B11497" t="s">
        <v>623</v>
      </c>
    </row>
    <row r="11498" spans="1:2" x14ac:dyDescent="0.25">
      <c r="A11498" t="s">
        <v>13161</v>
      </c>
      <c r="B11498" t="s">
        <v>624</v>
      </c>
    </row>
    <row r="11499" spans="1:2" x14ac:dyDescent="0.25">
      <c r="A11499" t="s">
        <v>13162</v>
      </c>
      <c r="B11499" t="s">
        <v>626</v>
      </c>
    </row>
    <row r="11500" spans="1:2" x14ac:dyDescent="0.25">
      <c r="A11500" t="s">
        <v>13163</v>
      </c>
      <c r="B11500" t="s">
        <v>628</v>
      </c>
    </row>
    <row r="11501" spans="1:2" x14ac:dyDescent="0.25">
      <c r="A11501" t="s">
        <v>13164</v>
      </c>
      <c r="B11501" t="s">
        <v>633</v>
      </c>
    </row>
    <row r="11502" spans="1:2" x14ac:dyDescent="0.25">
      <c r="A11502" t="s">
        <v>13165</v>
      </c>
      <c r="B11502" t="s">
        <v>634</v>
      </c>
    </row>
    <row r="11503" spans="1:2" x14ac:dyDescent="0.25">
      <c r="A11503" t="s">
        <v>13166</v>
      </c>
      <c r="B11503" t="s">
        <v>635</v>
      </c>
    </row>
    <row r="11504" spans="1:2" x14ac:dyDescent="0.25">
      <c r="A11504" t="s">
        <v>13167</v>
      </c>
      <c r="B11504" t="s">
        <v>640</v>
      </c>
    </row>
    <row r="11505" spans="1:2" x14ac:dyDescent="0.25">
      <c r="A11505" t="s">
        <v>13168</v>
      </c>
      <c r="B11505" t="s">
        <v>647</v>
      </c>
    </row>
    <row r="11506" spans="1:2" x14ac:dyDescent="0.25">
      <c r="A11506" t="s">
        <v>13169</v>
      </c>
      <c r="B11506" t="s">
        <v>1235</v>
      </c>
    </row>
    <row r="11507" spans="1:2" x14ac:dyDescent="0.25">
      <c r="A11507" t="s">
        <v>13170</v>
      </c>
      <c r="B11507" t="s">
        <v>1457</v>
      </c>
    </row>
    <row r="11508" spans="1:2" x14ac:dyDescent="0.25">
      <c r="A11508" t="s">
        <v>13171</v>
      </c>
      <c r="B11508" t="s">
        <v>606</v>
      </c>
    </row>
    <row r="11509" spans="1:2" x14ac:dyDescent="0.25">
      <c r="A11509" t="s">
        <v>13172</v>
      </c>
      <c r="B11509" t="s">
        <v>660</v>
      </c>
    </row>
    <row r="11510" spans="1:2" x14ac:dyDescent="0.25">
      <c r="A11510" t="s">
        <v>13173</v>
      </c>
      <c r="B11510" t="s">
        <v>667</v>
      </c>
    </row>
    <row r="11511" spans="1:2" x14ac:dyDescent="0.25">
      <c r="A11511" t="s">
        <v>13174</v>
      </c>
      <c r="B11511" t="s">
        <v>161</v>
      </c>
    </row>
    <row r="11512" spans="1:2" x14ac:dyDescent="0.25">
      <c r="A11512" t="s">
        <v>13175</v>
      </c>
      <c r="B11512" t="s">
        <v>680</v>
      </c>
    </row>
    <row r="11513" spans="1:2" x14ac:dyDescent="0.25">
      <c r="A11513" t="s">
        <v>687</v>
      </c>
      <c r="B11513" t="s">
        <v>687</v>
      </c>
    </row>
    <row r="11514" spans="1:2" x14ac:dyDescent="0.25">
      <c r="A11514" t="s">
        <v>13176</v>
      </c>
      <c r="B11514" t="s">
        <v>523</v>
      </c>
    </row>
    <row r="11515" spans="1:2" x14ac:dyDescent="0.25">
      <c r="A11515" t="s">
        <v>13177</v>
      </c>
      <c r="B11515" t="s">
        <v>524</v>
      </c>
    </row>
    <row r="11516" spans="1:2" x14ac:dyDescent="0.25">
      <c r="A11516" t="s">
        <v>13178</v>
      </c>
      <c r="B11516" t="s">
        <v>526</v>
      </c>
    </row>
    <row r="11517" spans="1:2" x14ac:dyDescent="0.25">
      <c r="A11517" t="s">
        <v>13179</v>
      </c>
      <c r="B11517" t="s">
        <v>532</v>
      </c>
    </row>
    <row r="11518" spans="1:2" x14ac:dyDescent="0.25">
      <c r="A11518" t="s">
        <v>13180</v>
      </c>
      <c r="B11518" t="s">
        <v>226</v>
      </c>
    </row>
    <row r="11519" spans="1:2" x14ac:dyDescent="0.25">
      <c r="A11519" t="s">
        <v>13181</v>
      </c>
      <c r="B11519" t="s">
        <v>288</v>
      </c>
    </row>
    <row r="11520" spans="1:2" x14ac:dyDescent="0.25">
      <c r="A11520" t="s">
        <v>13182</v>
      </c>
      <c r="B11520" t="s">
        <v>12539</v>
      </c>
    </row>
    <row r="11521" spans="1:2" x14ac:dyDescent="0.25">
      <c r="A11521" t="s">
        <v>13183</v>
      </c>
      <c r="B11521" t="s">
        <v>12496</v>
      </c>
    </row>
    <row r="11522" spans="1:2" x14ac:dyDescent="0.25">
      <c r="A11522" t="s">
        <v>685</v>
      </c>
      <c r="B11522" t="s">
        <v>685</v>
      </c>
    </row>
    <row r="11523" spans="1:2" x14ac:dyDescent="0.25">
      <c r="A11523" t="s">
        <v>13184</v>
      </c>
      <c r="B11523" t="s">
        <v>13184</v>
      </c>
    </row>
    <row r="11524" spans="1:2" x14ac:dyDescent="0.25">
      <c r="A11524" t="s">
        <v>13185</v>
      </c>
      <c r="B11524" t="s">
        <v>180</v>
      </c>
    </row>
    <row r="11525" spans="1:2" x14ac:dyDescent="0.25">
      <c r="A11525" t="s">
        <v>13186</v>
      </c>
      <c r="B11525" t="s">
        <v>640</v>
      </c>
    </row>
    <row r="11526" spans="1:2" x14ac:dyDescent="0.25">
      <c r="A11526" t="s">
        <v>13187</v>
      </c>
      <c r="B11526" t="s">
        <v>558</v>
      </c>
    </row>
    <row r="11527" spans="1:2" x14ac:dyDescent="0.25">
      <c r="A11527" t="s">
        <v>13188</v>
      </c>
      <c r="B11527" t="s">
        <v>157</v>
      </c>
    </row>
    <row r="11528" spans="1:2" x14ac:dyDescent="0.25">
      <c r="A11528" t="s">
        <v>13189</v>
      </c>
      <c r="B11528" t="s">
        <v>195</v>
      </c>
    </row>
    <row r="11529" spans="1:2" x14ac:dyDescent="0.25">
      <c r="A11529" t="s">
        <v>13190</v>
      </c>
      <c r="B11529" t="s">
        <v>419</v>
      </c>
    </row>
    <row r="11530" spans="1:2" x14ac:dyDescent="0.25">
      <c r="A11530" t="s">
        <v>13191</v>
      </c>
      <c r="B11530" t="s">
        <v>456</v>
      </c>
    </row>
    <row r="11531" spans="1:2" x14ac:dyDescent="0.25">
      <c r="A11531" t="s">
        <v>13192</v>
      </c>
      <c r="B11531" t="s">
        <v>191</v>
      </c>
    </row>
    <row r="11532" spans="1:2" x14ac:dyDescent="0.25">
      <c r="A11532" t="s">
        <v>13193</v>
      </c>
      <c r="B11532" t="s">
        <v>206</v>
      </c>
    </row>
    <row r="11533" spans="1:2" x14ac:dyDescent="0.25">
      <c r="A11533" t="s">
        <v>13194</v>
      </c>
      <c r="B11533" t="s">
        <v>630</v>
      </c>
    </row>
    <row r="11534" spans="1:2" x14ac:dyDescent="0.25">
      <c r="A11534" t="s">
        <v>13195</v>
      </c>
      <c r="B11534" t="s">
        <v>243</v>
      </c>
    </row>
    <row r="11535" spans="1:2" x14ac:dyDescent="0.25">
      <c r="A11535" t="s">
        <v>13196</v>
      </c>
      <c r="B11535" t="s">
        <v>1367</v>
      </c>
    </row>
    <row r="11536" spans="1:2" x14ac:dyDescent="0.25">
      <c r="A11536" t="s">
        <v>13197</v>
      </c>
      <c r="B11536" t="s">
        <v>1363</v>
      </c>
    </row>
    <row r="11537" spans="1:2" x14ac:dyDescent="0.25">
      <c r="A11537" t="s">
        <v>13198</v>
      </c>
      <c r="B11537" t="s">
        <v>1476</v>
      </c>
    </row>
    <row r="11538" spans="1:2" x14ac:dyDescent="0.25">
      <c r="A11538" t="s">
        <v>13199</v>
      </c>
      <c r="B11538" t="s">
        <v>526</v>
      </c>
    </row>
    <row r="11539" spans="1:2" x14ac:dyDescent="0.25">
      <c r="A11539" t="s">
        <v>13200</v>
      </c>
      <c r="B11539" t="s">
        <v>649</v>
      </c>
    </row>
    <row r="11540" spans="1:2" x14ac:dyDescent="0.25">
      <c r="A11540" t="s">
        <v>13201</v>
      </c>
      <c r="B11540" t="s">
        <v>640</v>
      </c>
    </row>
    <row r="11541" spans="1:2" x14ac:dyDescent="0.25">
      <c r="A11541" t="s">
        <v>13202</v>
      </c>
      <c r="B11541" t="s">
        <v>411</v>
      </c>
    </row>
    <row r="11542" spans="1:2" x14ac:dyDescent="0.25">
      <c r="A11542" t="s">
        <v>13203</v>
      </c>
      <c r="B11542" t="s">
        <v>646</v>
      </c>
    </row>
    <row r="11543" spans="1:2" x14ac:dyDescent="0.25">
      <c r="A11543" t="s">
        <v>13204</v>
      </c>
      <c r="B11543" t="s">
        <v>362</v>
      </c>
    </row>
    <row r="11544" spans="1:2" x14ac:dyDescent="0.25">
      <c r="A11544" t="s">
        <v>13205</v>
      </c>
      <c r="B11544" t="s">
        <v>78</v>
      </c>
    </row>
    <row r="11545" spans="1:2" x14ac:dyDescent="0.25">
      <c r="A11545" t="s">
        <v>13206</v>
      </c>
      <c r="B11545" t="s">
        <v>674</v>
      </c>
    </row>
    <row r="11546" spans="1:2" x14ac:dyDescent="0.25">
      <c r="A11546" t="s">
        <v>13207</v>
      </c>
      <c r="B11546" t="s">
        <v>265</v>
      </c>
    </row>
    <row r="11547" spans="1:2" x14ac:dyDescent="0.25">
      <c r="A11547" t="s">
        <v>13208</v>
      </c>
      <c r="B11547" t="s">
        <v>292</v>
      </c>
    </row>
    <row r="11548" spans="1:2" x14ac:dyDescent="0.25">
      <c r="A11548" t="s">
        <v>13209</v>
      </c>
      <c r="B11548" t="s">
        <v>104</v>
      </c>
    </row>
    <row r="11549" spans="1:2" x14ac:dyDescent="0.25">
      <c r="A11549" t="s">
        <v>13210</v>
      </c>
      <c r="B11549" t="s">
        <v>10939</v>
      </c>
    </row>
    <row r="11550" spans="1:2" x14ac:dyDescent="0.25">
      <c r="A11550" t="s">
        <v>13211</v>
      </c>
      <c r="B11550" t="s">
        <v>1397</v>
      </c>
    </row>
    <row r="11551" spans="1:2" x14ac:dyDescent="0.25">
      <c r="A11551" t="s">
        <v>13212</v>
      </c>
      <c r="B11551" t="s">
        <v>631</v>
      </c>
    </row>
    <row r="11552" spans="1:2" x14ac:dyDescent="0.25">
      <c r="A11552" t="s">
        <v>13213</v>
      </c>
      <c r="B11552" t="s">
        <v>1005</v>
      </c>
    </row>
    <row r="11553" spans="1:2" x14ac:dyDescent="0.25">
      <c r="A11553" t="s">
        <v>13214</v>
      </c>
      <c r="B11553" t="s">
        <v>640</v>
      </c>
    </row>
    <row r="11554" spans="1:2" x14ac:dyDescent="0.25">
      <c r="A11554" t="s">
        <v>13215</v>
      </c>
      <c r="B11554" t="s">
        <v>450</v>
      </c>
    </row>
    <row r="11555" spans="1:2" x14ac:dyDescent="0.25">
      <c r="A11555" t="s">
        <v>13216</v>
      </c>
      <c r="B11555" t="s">
        <v>1359</v>
      </c>
    </row>
    <row r="11556" spans="1:2" x14ac:dyDescent="0.25">
      <c r="A11556" t="s">
        <v>13217</v>
      </c>
      <c r="B11556" t="s">
        <v>509</v>
      </c>
    </row>
    <row r="11557" spans="1:2" x14ac:dyDescent="0.25">
      <c r="A11557" t="s">
        <v>13218</v>
      </c>
      <c r="B11557" t="s">
        <v>650</v>
      </c>
    </row>
    <row r="11558" spans="1:2" x14ac:dyDescent="0.25">
      <c r="A11558" t="s">
        <v>13219</v>
      </c>
      <c r="B11558" t="s">
        <v>153</v>
      </c>
    </row>
    <row r="11559" spans="1:2" x14ac:dyDescent="0.25">
      <c r="A11559" t="s">
        <v>13220</v>
      </c>
      <c r="B11559" t="s">
        <v>1227</v>
      </c>
    </row>
    <row r="11560" spans="1:2" x14ac:dyDescent="0.25">
      <c r="A11560" t="s">
        <v>13221</v>
      </c>
      <c r="B11560" t="s">
        <v>419</v>
      </c>
    </row>
    <row r="11561" spans="1:2" x14ac:dyDescent="0.25">
      <c r="A11561" t="s">
        <v>13222</v>
      </c>
      <c r="B11561" t="s">
        <v>670</v>
      </c>
    </row>
    <row r="11562" spans="1:2" x14ac:dyDescent="0.25">
      <c r="A11562" t="s">
        <v>13223</v>
      </c>
      <c r="B11562" t="s">
        <v>104</v>
      </c>
    </row>
    <row r="11563" spans="1:2" x14ac:dyDescent="0.25">
      <c r="A11563" t="s">
        <v>13224</v>
      </c>
      <c r="B11563" t="s">
        <v>589</v>
      </c>
    </row>
    <row r="11564" spans="1:2" x14ac:dyDescent="0.25">
      <c r="A11564" t="s">
        <v>13225</v>
      </c>
      <c r="B11564" t="s">
        <v>549</v>
      </c>
    </row>
    <row r="11565" spans="1:2" x14ac:dyDescent="0.25">
      <c r="A11565" t="s">
        <v>13226</v>
      </c>
      <c r="B11565" t="s">
        <v>13227</v>
      </c>
    </row>
    <row r="11566" spans="1:2" x14ac:dyDescent="0.25">
      <c r="A11566" t="s">
        <v>13228</v>
      </c>
      <c r="B11566" t="s">
        <v>288</v>
      </c>
    </row>
    <row r="11567" spans="1:2" x14ac:dyDescent="0.25">
      <c r="A11567" t="s">
        <v>13229</v>
      </c>
      <c r="B11567" t="s">
        <v>180</v>
      </c>
    </row>
    <row r="11568" spans="1:2" x14ac:dyDescent="0.25">
      <c r="A11568" t="s">
        <v>13230</v>
      </c>
      <c r="B11568" t="s">
        <v>640</v>
      </c>
    </row>
    <row r="11569" spans="1:2" x14ac:dyDescent="0.25">
      <c r="A11569" t="s">
        <v>13231</v>
      </c>
      <c r="B11569" t="s">
        <v>157</v>
      </c>
    </row>
    <row r="11570" spans="1:2" x14ac:dyDescent="0.25">
      <c r="A11570" t="s">
        <v>13232</v>
      </c>
      <c r="B11570" t="s">
        <v>419</v>
      </c>
    </row>
    <row r="11571" spans="1:2" x14ac:dyDescent="0.25">
      <c r="A11571" t="s">
        <v>13233</v>
      </c>
      <c r="B11571" t="s">
        <v>191</v>
      </c>
    </row>
    <row r="11572" spans="1:2" x14ac:dyDescent="0.25">
      <c r="A11572" t="s">
        <v>13234</v>
      </c>
      <c r="B11572" t="s">
        <v>206</v>
      </c>
    </row>
    <row r="11573" spans="1:2" x14ac:dyDescent="0.25">
      <c r="A11573" t="s">
        <v>13235</v>
      </c>
      <c r="B11573" t="s">
        <v>243</v>
      </c>
    </row>
    <row r="11574" spans="1:2" x14ac:dyDescent="0.25">
      <c r="A11574" t="s">
        <v>13236</v>
      </c>
      <c r="B11574" t="s">
        <v>1367</v>
      </c>
    </row>
    <row r="11575" spans="1:2" x14ac:dyDescent="0.25">
      <c r="A11575" t="s">
        <v>13237</v>
      </c>
      <c r="B11575" t="s">
        <v>1363</v>
      </c>
    </row>
    <row r="11576" spans="1:2" x14ac:dyDescent="0.25">
      <c r="A11576" t="s">
        <v>13238</v>
      </c>
      <c r="B11576" t="s">
        <v>362</v>
      </c>
    </row>
    <row r="11577" spans="1:2" x14ac:dyDescent="0.25">
      <c r="A11577" t="s">
        <v>13239</v>
      </c>
      <c r="B11577" t="s">
        <v>265</v>
      </c>
    </row>
    <row r="11578" spans="1:2" x14ac:dyDescent="0.25">
      <c r="A11578" t="s">
        <v>13240</v>
      </c>
      <c r="B11578" t="s">
        <v>292</v>
      </c>
    </row>
    <row r="11579" spans="1:2" x14ac:dyDescent="0.25">
      <c r="A11579" t="s">
        <v>13241</v>
      </c>
      <c r="B11579" t="s">
        <v>104</v>
      </c>
    </row>
    <row r="11580" spans="1:2" x14ac:dyDescent="0.25">
      <c r="A11580" t="s">
        <v>13242</v>
      </c>
      <c r="B11580" t="s">
        <v>10939</v>
      </c>
    </row>
    <row r="11581" spans="1:2" x14ac:dyDescent="0.25">
      <c r="A11581" t="s">
        <v>13243</v>
      </c>
      <c r="B11581" t="s">
        <v>1397</v>
      </c>
    </row>
    <row r="11582" spans="1:2" x14ac:dyDescent="0.25">
      <c r="A11582" t="s">
        <v>13244</v>
      </c>
      <c r="B11582" t="s">
        <v>640</v>
      </c>
    </row>
    <row r="11583" spans="1:2" x14ac:dyDescent="0.25">
      <c r="A11583" t="s">
        <v>13245</v>
      </c>
      <c r="B11583" t="s">
        <v>450</v>
      </c>
    </row>
    <row r="11584" spans="1:2" x14ac:dyDescent="0.25">
      <c r="A11584" t="s">
        <v>13246</v>
      </c>
      <c r="B11584" t="s">
        <v>1359</v>
      </c>
    </row>
    <row r="11585" spans="1:2" x14ac:dyDescent="0.25">
      <c r="A11585" t="s">
        <v>13247</v>
      </c>
      <c r="B11585" t="s">
        <v>1227</v>
      </c>
    </row>
    <row r="11586" spans="1:2" x14ac:dyDescent="0.25">
      <c r="A11586" t="s">
        <v>13248</v>
      </c>
      <c r="B11586" t="s">
        <v>419</v>
      </c>
    </row>
    <row r="11587" spans="1:2" x14ac:dyDescent="0.25">
      <c r="A11587" t="s">
        <v>13249</v>
      </c>
      <c r="B11587" t="s">
        <v>364</v>
      </c>
    </row>
    <row r="11588" spans="1:2" x14ac:dyDescent="0.25">
      <c r="A11588" t="s">
        <v>13250</v>
      </c>
      <c r="B11588" t="s">
        <v>364</v>
      </c>
    </row>
    <row r="11589" spans="1:2" x14ac:dyDescent="0.25">
      <c r="A11589" t="s">
        <v>13251</v>
      </c>
      <c r="B11589" t="s">
        <v>569</v>
      </c>
    </row>
    <row r="11590" spans="1:2" x14ac:dyDescent="0.25">
      <c r="A11590" t="s">
        <v>13252</v>
      </c>
      <c r="B11590" t="s">
        <v>66</v>
      </c>
    </row>
    <row r="11591" spans="1:2" x14ac:dyDescent="0.25">
      <c r="A11591" t="s">
        <v>13253</v>
      </c>
      <c r="B11591" t="s">
        <v>133</v>
      </c>
    </row>
    <row r="11592" spans="1:2" x14ac:dyDescent="0.25">
      <c r="A11592" t="s">
        <v>13254</v>
      </c>
      <c r="B11592" t="s">
        <v>187</v>
      </c>
    </row>
    <row r="11593" spans="1:2" x14ac:dyDescent="0.25">
      <c r="A11593" t="s">
        <v>13255</v>
      </c>
      <c r="B11593" t="s">
        <v>195</v>
      </c>
    </row>
    <row r="11594" spans="1:2" x14ac:dyDescent="0.25">
      <c r="A11594" t="s">
        <v>13256</v>
      </c>
      <c r="B11594" t="s">
        <v>197</v>
      </c>
    </row>
    <row r="11595" spans="1:2" x14ac:dyDescent="0.25">
      <c r="A11595" t="s">
        <v>13257</v>
      </c>
      <c r="B11595" t="s">
        <v>224</v>
      </c>
    </row>
    <row r="11596" spans="1:2" x14ac:dyDescent="0.25">
      <c r="A11596" t="s">
        <v>13258</v>
      </c>
      <c r="B11596" t="s">
        <v>226</v>
      </c>
    </row>
    <row r="11597" spans="1:2" x14ac:dyDescent="0.25">
      <c r="A11597" t="s">
        <v>13259</v>
      </c>
      <c r="B11597" t="s">
        <v>228</v>
      </c>
    </row>
    <row r="11598" spans="1:2" x14ac:dyDescent="0.25">
      <c r="A11598" t="s">
        <v>13260</v>
      </c>
      <c r="B11598" t="s">
        <v>263</v>
      </c>
    </row>
    <row r="11599" spans="1:2" x14ac:dyDescent="0.25">
      <c r="A11599" t="s">
        <v>13261</v>
      </c>
      <c r="B11599" t="s">
        <v>265</v>
      </c>
    </row>
    <row r="11600" spans="1:2" x14ac:dyDescent="0.25">
      <c r="A11600" t="s">
        <v>13262</v>
      </c>
      <c r="B11600" t="s">
        <v>569</v>
      </c>
    </row>
    <row r="11601" spans="1:2" x14ac:dyDescent="0.25">
      <c r="A11601" t="s">
        <v>13263</v>
      </c>
      <c r="B11601" t="s">
        <v>10933</v>
      </c>
    </row>
    <row r="11602" spans="1:2" x14ac:dyDescent="0.25">
      <c r="A11602" t="s">
        <v>13264</v>
      </c>
      <c r="B11602" t="s">
        <v>12352</v>
      </c>
    </row>
    <row r="11603" spans="1:2" x14ac:dyDescent="0.25">
      <c r="A11603" t="s">
        <v>13265</v>
      </c>
      <c r="B11603" t="s">
        <v>12354</v>
      </c>
    </row>
    <row r="11604" spans="1:2" x14ac:dyDescent="0.25">
      <c r="A11604" t="s">
        <v>13266</v>
      </c>
      <c r="B11604" t="s">
        <v>13267</v>
      </c>
    </row>
    <row r="11605" spans="1:2" x14ac:dyDescent="0.25">
      <c r="A11605" t="s">
        <v>13268</v>
      </c>
      <c r="B11605" t="s">
        <v>9552</v>
      </c>
    </row>
    <row r="11606" spans="1:2" x14ac:dyDescent="0.25">
      <c r="A11606" t="s">
        <v>13269</v>
      </c>
      <c r="B11606" t="s">
        <v>11509</v>
      </c>
    </row>
    <row r="11607" spans="1:2" x14ac:dyDescent="0.25">
      <c r="A11607" t="s">
        <v>13270</v>
      </c>
      <c r="B11607" t="s">
        <v>11527</v>
      </c>
    </row>
    <row r="11608" spans="1:2" x14ac:dyDescent="0.25">
      <c r="A11608" t="s">
        <v>13271</v>
      </c>
      <c r="B11608" t="s">
        <v>11533</v>
      </c>
    </row>
    <row r="11609" spans="1:2" x14ac:dyDescent="0.25">
      <c r="A11609" t="s">
        <v>13272</v>
      </c>
      <c r="B11609" t="s">
        <v>11492</v>
      </c>
    </row>
    <row r="11610" spans="1:2" x14ac:dyDescent="0.25">
      <c r="A11610" t="s">
        <v>13273</v>
      </c>
      <c r="B11610" t="s">
        <v>9560</v>
      </c>
    </row>
    <row r="11611" spans="1:2" x14ac:dyDescent="0.25">
      <c r="A11611" t="s">
        <v>13274</v>
      </c>
      <c r="B11611" t="s">
        <v>9557</v>
      </c>
    </row>
    <row r="11612" spans="1:2" x14ac:dyDescent="0.25">
      <c r="A11612" t="s">
        <v>13275</v>
      </c>
      <c r="B11612" t="s">
        <v>423</v>
      </c>
    </row>
    <row r="11613" spans="1:2" x14ac:dyDescent="0.25">
      <c r="A11613" t="s">
        <v>13276</v>
      </c>
      <c r="B11613" t="s">
        <v>427</v>
      </c>
    </row>
    <row r="11614" spans="1:2" x14ac:dyDescent="0.25">
      <c r="A11614" t="s">
        <v>13277</v>
      </c>
      <c r="B11614" t="s">
        <v>11561</v>
      </c>
    </row>
    <row r="11615" spans="1:2" x14ac:dyDescent="0.25">
      <c r="A11615" t="s">
        <v>13278</v>
      </c>
      <c r="B11615" t="s">
        <v>11546</v>
      </c>
    </row>
    <row r="11616" spans="1:2" x14ac:dyDescent="0.25">
      <c r="A11616" t="s">
        <v>13279</v>
      </c>
      <c r="B11616" t="s">
        <v>13280</v>
      </c>
    </row>
    <row r="11617" spans="1:2" x14ac:dyDescent="0.25">
      <c r="A11617" t="s">
        <v>3418</v>
      </c>
      <c r="B11617" t="s">
        <v>3418</v>
      </c>
    </row>
    <row r="11618" spans="1:2" x14ac:dyDescent="0.25">
      <c r="A11618" t="s">
        <v>13281</v>
      </c>
      <c r="B11618" t="s">
        <v>288</v>
      </c>
    </row>
    <row r="11619" spans="1:2" x14ac:dyDescent="0.25">
      <c r="A11619" t="s">
        <v>13282</v>
      </c>
      <c r="B11619" t="s">
        <v>74</v>
      </c>
    </row>
    <row r="11620" spans="1:2" x14ac:dyDescent="0.25">
      <c r="A11620" t="s">
        <v>13283</v>
      </c>
      <c r="B11620" t="s">
        <v>1887</v>
      </c>
    </row>
    <row r="11621" spans="1:2" x14ac:dyDescent="0.25">
      <c r="A11621" t="s">
        <v>13284</v>
      </c>
      <c r="B11621" t="s">
        <v>896</v>
      </c>
    </row>
    <row r="11622" spans="1:2" x14ac:dyDescent="0.25">
      <c r="A11622" t="s">
        <v>13285</v>
      </c>
      <c r="B11622" t="s">
        <v>13280</v>
      </c>
    </row>
    <row r="11623" spans="1:2" x14ac:dyDescent="0.25">
      <c r="A11623" t="s">
        <v>13286</v>
      </c>
      <c r="B11623" t="s">
        <v>1469</v>
      </c>
    </row>
    <row r="11624" spans="1:2" x14ac:dyDescent="0.25">
      <c r="A11624" t="s">
        <v>13287</v>
      </c>
      <c r="B11624" t="s">
        <v>665</v>
      </c>
    </row>
    <row r="11625" spans="1:2" x14ac:dyDescent="0.25">
      <c r="A11625" t="s">
        <v>13288</v>
      </c>
      <c r="B11625" t="s">
        <v>182</v>
      </c>
    </row>
    <row r="11626" spans="1:2" x14ac:dyDescent="0.25">
      <c r="A11626" t="s">
        <v>13289</v>
      </c>
      <c r="B11626" t="s">
        <v>689</v>
      </c>
    </row>
    <row r="11627" spans="1:2" x14ac:dyDescent="0.25">
      <c r="A11627" t="s">
        <v>13290</v>
      </c>
      <c r="B11627" t="s">
        <v>9653</v>
      </c>
    </row>
    <row r="11628" spans="1:2" x14ac:dyDescent="0.25">
      <c r="A11628" s="144" t="s">
        <v>13291</v>
      </c>
      <c r="B11628" s="144" t="s">
        <v>226</v>
      </c>
    </row>
    <row r="11629" spans="1:2" x14ac:dyDescent="0.25">
      <c r="A11629" s="144" t="s">
        <v>13292</v>
      </c>
      <c r="B11629" s="144" t="s">
        <v>429</v>
      </c>
    </row>
    <row r="11630" spans="1:2" x14ac:dyDescent="0.25">
      <c r="A11630" s="144" t="s">
        <v>13293</v>
      </c>
      <c r="B11630" s="144" t="s">
        <v>1352</v>
      </c>
    </row>
    <row r="11631" spans="1:2" x14ac:dyDescent="0.25">
      <c r="A11631" s="144" t="s">
        <v>13294</v>
      </c>
      <c r="B11631" s="144" t="s">
        <v>776</v>
      </c>
    </row>
    <row r="11632" spans="1:2" x14ac:dyDescent="0.25">
      <c r="A11632" s="144" t="s">
        <v>13295</v>
      </c>
      <c r="B11632" s="144" t="s">
        <v>184</v>
      </c>
    </row>
    <row r="11633" spans="1:2" x14ac:dyDescent="0.25">
      <c r="A11633" s="144" t="s">
        <v>13296</v>
      </c>
      <c r="B11633" s="144" t="s">
        <v>643</v>
      </c>
    </row>
    <row r="11634" spans="1:2" x14ac:dyDescent="0.25">
      <c r="A11634" s="144" t="s">
        <v>13297</v>
      </c>
      <c r="B11634" s="144" t="s">
        <v>10933</v>
      </c>
    </row>
    <row r="11635" spans="1:2" x14ac:dyDescent="0.25">
      <c r="A11635" s="144" t="s">
        <v>13298</v>
      </c>
      <c r="B11635" s="144" t="s">
        <v>569</v>
      </c>
    </row>
    <row r="11636" spans="1:2" x14ac:dyDescent="0.25">
      <c r="A11636" s="144" t="s">
        <v>13299</v>
      </c>
      <c r="B11636" s="144" t="s">
        <v>66</v>
      </c>
    </row>
    <row r="11637" spans="1:2" x14ac:dyDescent="0.25">
      <c r="A11637" s="144" t="s">
        <v>13300</v>
      </c>
      <c r="B11637" s="144" t="s">
        <v>10700</v>
      </c>
    </row>
    <row r="11638" spans="1:2" x14ac:dyDescent="0.25">
      <c r="A11638" s="144" t="s">
        <v>13301</v>
      </c>
      <c r="B11638" s="144" t="s">
        <v>187</v>
      </c>
    </row>
    <row r="11639" spans="1:2" x14ac:dyDescent="0.25">
      <c r="A11639" s="144" t="s">
        <v>13302</v>
      </c>
      <c r="B11639" s="144" t="s">
        <v>195</v>
      </c>
    </row>
    <row r="11640" spans="1:2" x14ac:dyDescent="0.25">
      <c r="A11640" s="144" t="s">
        <v>13303</v>
      </c>
      <c r="B11640" s="144" t="s">
        <v>197</v>
      </c>
    </row>
    <row r="11641" spans="1:2" x14ac:dyDescent="0.25">
      <c r="A11641" s="144" t="s">
        <v>13304</v>
      </c>
      <c r="B11641" s="144" t="s">
        <v>224</v>
      </c>
    </row>
    <row r="11642" spans="1:2" x14ac:dyDescent="0.25">
      <c r="A11642" s="144" t="s">
        <v>13305</v>
      </c>
      <c r="B11642" s="144" t="s">
        <v>226</v>
      </c>
    </row>
    <row r="11643" spans="1:2" x14ac:dyDescent="0.25">
      <c r="A11643" s="144" t="s">
        <v>13306</v>
      </c>
      <c r="B11643" s="144" t="s">
        <v>228</v>
      </c>
    </row>
    <row r="11644" spans="1:2" x14ac:dyDescent="0.25">
      <c r="A11644" s="144" t="s">
        <v>13307</v>
      </c>
      <c r="B11644" s="144" t="s">
        <v>263</v>
      </c>
    </row>
    <row r="11645" spans="1:2" x14ac:dyDescent="0.25">
      <c r="A11645" s="144" t="s">
        <v>13308</v>
      </c>
      <c r="B11645" s="144" t="s">
        <v>265</v>
      </c>
    </row>
    <row r="11646" spans="1:2" x14ac:dyDescent="0.25">
      <c r="A11646" s="144" t="s">
        <v>13309</v>
      </c>
      <c r="B11646" s="144" t="s">
        <v>569</v>
      </c>
    </row>
    <row r="11647" spans="1:2" x14ac:dyDescent="0.25">
      <c r="A11647" s="144" t="s">
        <v>13310</v>
      </c>
      <c r="B11647" s="144" t="s">
        <v>10933</v>
      </c>
    </row>
    <row r="11648" spans="1:2" x14ac:dyDescent="0.25">
      <c r="A11648" s="144" t="s">
        <v>13311</v>
      </c>
      <c r="B11648" s="144" t="s">
        <v>12352</v>
      </c>
    </row>
    <row r="11649" spans="1:2" x14ac:dyDescent="0.25">
      <c r="A11649" s="144" t="s">
        <v>13312</v>
      </c>
      <c r="B11649" s="144" t="s">
        <v>12354</v>
      </c>
    </row>
    <row r="11650" spans="1:2" x14ac:dyDescent="0.25">
      <c r="A11650" s="144" t="s">
        <v>13313</v>
      </c>
      <c r="B11650" s="144" t="s">
        <v>9552</v>
      </c>
    </row>
    <row r="11651" spans="1:2" x14ac:dyDescent="0.25">
      <c r="A11651" s="144" t="s">
        <v>13314</v>
      </c>
      <c r="B11651" s="144" t="s">
        <v>11509</v>
      </c>
    </row>
    <row r="11652" spans="1:2" x14ac:dyDescent="0.25">
      <c r="A11652" s="144" t="s">
        <v>13315</v>
      </c>
      <c r="B11652" s="144" t="s">
        <v>11527</v>
      </c>
    </row>
    <row r="11653" spans="1:2" x14ac:dyDescent="0.25">
      <c r="A11653" s="144" t="s">
        <v>13316</v>
      </c>
      <c r="B11653" s="144" t="s">
        <v>11533</v>
      </c>
    </row>
    <row r="11654" spans="1:2" x14ac:dyDescent="0.25">
      <c r="A11654" s="144" t="s">
        <v>13317</v>
      </c>
      <c r="B11654" s="144" t="s">
        <v>11492</v>
      </c>
    </row>
    <row r="11655" spans="1:2" x14ac:dyDescent="0.25">
      <c r="A11655" s="144" t="s">
        <v>13318</v>
      </c>
      <c r="B11655" s="144" t="s">
        <v>9560</v>
      </c>
    </row>
    <row r="11656" spans="1:2" x14ac:dyDescent="0.25">
      <c r="A11656" s="144" t="s">
        <v>13319</v>
      </c>
      <c r="B11656" s="144" t="s">
        <v>9557</v>
      </c>
    </row>
    <row r="11657" spans="1:2" x14ac:dyDescent="0.25">
      <c r="A11657" s="144" t="s">
        <v>13320</v>
      </c>
      <c r="B11657" s="144" t="s">
        <v>423</v>
      </c>
    </row>
    <row r="11658" spans="1:2" x14ac:dyDescent="0.25">
      <c r="A11658" s="144" t="s">
        <v>13321</v>
      </c>
      <c r="B11658" s="144" t="s">
        <v>427</v>
      </c>
    </row>
    <row r="11659" spans="1:2" x14ac:dyDescent="0.25">
      <c r="A11659" s="144" t="s">
        <v>13322</v>
      </c>
      <c r="B11659" s="144" t="s">
        <v>11561</v>
      </c>
    </row>
    <row r="11660" spans="1:2" x14ac:dyDescent="0.25">
      <c r="A11660" s="144" t="s">
        <v>13323</v>
      </c>
      <c r="B11660" s="144" t="s">
        <v>11546</v>
      </c>
    </row>
    <row r="11661" spans="1:2" x14ac:dyDescent="0.25">
      <c r="A11661" s="144" t="s">
        <v>13324</v>
      </c>
      <c r="B11661" s="144" t="s">
        <v>647</v>
      </c>
    </row>
    <row r="11662" spans="1:2" x14ac:dyDescent="0.25">
      <c r="A11662" s="144" t="s">
        <v>13325</v>
      </c>
      <c r="B11662" s="144" t="s">
        <v>1314</v>
      </c>
    </row>
    <row r="11663" spans="1:2" x14ac:dyDescent="0.25">
      <c r="A11663" s="144" t="s">
        <v>13326</v>
      </c>
      <c r="B11663" s="144" t="s">
        <v>411</v>
      </c>
    </row>
    <row r="11664" spans="1:2" x14ac:dyDescent="0.25">
      <c r="A11664" s="144" t="s">
        <v>13327</v>
      </c>
      <c r="B11664" s="144" t="s">
        <v>429</v>
      </c>
    </row>
    <row r="11665" spans="1:2" x14ac:dyDescent="0.25">
      <c r="A11665" s="144" t="s">
        <v>13328</v>
      </c>
      <c r="B11665" s="144" t="s">
        <v>195</v>
      </c>
    </row>
    <row r="11666" spans="1:2" x14ac:dyDescent="0.25">
      <c r="A11666" s="144" t="s">
        <v>13329</v>
      </c>
      <c r="B11666" s="144" t="s">
        <v>1359</v>
      </c>
    </row>
    <row r="11667" spans="1:2" x14ac:dyDescent="0.25">
      <c r="A11667" s="144" t="s">
        <v>13330</v>
      </c>
      <c r="B11667" s="144" t="s">
        <v>619</v>
      </c>
    </row>
    <row r="11668" spans="1:2" x14ac:dyDescent="0.25">
      <c r="A11668" s="144" t="s">
        <v>13331</v>
      </c>
      <c r="B11668" s="144" t="s">
        <v>679</v>
      </c>
    </row>
    <row r="11669" spans="1:2" x14ac:dyDescent="0.25">
      <c r="A11669" s="144" t="s">
        <v>13332</v>
      </c>
      <c r="B11669" s="144" t="s">
        <v>78</v>
      </c>
    </row>
    <row r="11670" spans="1:2" x14ac:dyDescent="0.25">
      <c r="A11670" s="144" t="s">
        <v>13333</v>
      </c>
      <c r="B11670" s="144" t="s">
        <v>633</v>
      </c>
    </row>
    <row r="11671" spans="1:2" x14ac:dyDescent="0.25">
      <c r="A11671" s="144" t="s">
        <v>13334</v>
      </c>
      <c r="B11671" s="144" t="s">
        <v>689</v>
      </c>
    </row>
    <row r="11672" spans="1:2" x14ac:dyDescent="0.25">
      <c r="A11672" s="144" t="s">
        <v>13335</v>
      </c>
      <c r="B11672" s="144" t="s">
        <v>691</v>
      </c>
    </row>
    <row r="11673" spans="1:2" x14ac:dyDescent="0.25">
      <c r="A11673" s="144" t="s">
        <v>13336</v>
      </c>
      <c r="B11673" s="144" t="s">
        <v>692</v>
      </c>
    </row>
    <row r="11674" spans="1:2" x14ac:dyDescent="0.25">
      <c r="A11674" s="144" t="s">
        <v>13337</v>
      </c>
      <c r="B11674" s="144" t="s">
        <v>693</v>
      </c>
    </row>
    <row r="11675" spans="1:2" x14ac:dyDescent="0.25">
      <c r="A11675" s="144" t="s">
        <v>13338</v>
      </c>
      <c r="B11675" s="144" t="s">
        <v>13339</v>
      </c>
    </row>
    <row r="11676" spans="1:2" x14ac:dyDescent="0.25">
      <c r="A11676" s="144" t="s">
        <v>13340</v>
      </c>
      <c r="B11676" s="144" t="s">
        <v>611</v>
      </c>
    </row>
    <row r="11677" spans="1:2" x14ac:dyDescent="0.25">
      <c r="A11677" s="144" t="s">
        <v>13341</v>
      </c>
      <c r="B11677" s="144" t="s">
        <v>580</v>
      </c>
    </row>
    <row r="11678" spans="1:2" x14ac:dyDescent="0.25">
      <c r="A11678" s="144" t="s">
        <v>13342</v>
      </c>
      <c r="B11678" s="144" t="s">
        <v>10919</v>
      </c>
    </row>
    <row r="11679" spans="1:2" x14ac:dyDescent="0.25">
      <c r="A11679" s="144" t="s">
        <v>13343</v>
      </c>
      <c r="B11679" s="144" t="s">
        <v>10939</v>
      </c>
    </row>
    <row r="11680" spans="1:2" x14ac:dyDescent="0.25">
      <c r="A11680" s="144" t="s">
        <v>13344</v>
      </c>
      <c r="B11680" s="144" t="s">
        <v>615</v>
      </c>
    </row>
    <row r="11681" spans="1:2" x14ac:dyDescent="0.25">
      <c r="A11681" s="144" t="s">
        <v>13345</v>
      </c>
      <c r="B11681" s="144" t="s">
        <v>526</v>
      </c>
    </row>
    <row r="11682" spans="1:2" x14ac:dyDescent="0.25">
      <c r="A11682" s="144" t="s">
        <v>13346</v>
      </c>
      <c r="B11682" s="144" t="s">
        <v>301</v>
      </c>
    </row>
    <row r="11683" spans="1:2" x14ac:dyDescent="0.25">
      <c r="A11683" s="144" t="s">
        <v>13347</v>
      </c>
      <c r="B11683" s="144" t="s">
        <v>303</v>
      </c>
    </row>
    <row r="11684" spans="1:2" x14ac:dyDescent="0.25">
      <c r="A11684" s="144" t="s">
        <v>13348</v>
      </c>
      <c r="B11684" s="144" t="s">
        <v>690</v>
      </c>
    </row>
    <row r="11685" spans="1:2" x14ac:dyDescent="0.25">
      <c r="A11685" s="144" t="s">
        <v>13349</v>
      </c>
      <c r="B11685" s="144" t="s">
        <v>690</v>
      </c>
    </row>
    <row r="11686" spans="1:2" x14ac:dyDescent="0.25">
      <c r="A11686" s="144" t="s">
        <v>691</v>
      </c>
      <c r="B11686" s="144" t="s">
        <v>691</v>
      </c>
    </row>
    <row r="11687" spans="1:2" x14ac:dyDescent="0.25">
      <c r="A11687" s="144" t="s">
        <v>13350</v>
      </c>
      <c r="B11687" s="144" t="s">
        <v>691</v>
      </c>
    </row>
    <row r="11688" spans="1:2" x14ac:dyDescent="0.25">
      <c r="A11688" s="144" t="s">
        <v>692</v>
      </c>
      <c r="B11688" s="144" t="s">
        <v>692</v>
      </c>
    </row>
    <row r="11689" spans="1:2" x14ac:dyDescent="0.25">
      <c r="A11689" s="144" t="s">
        <v>13351</v>
      </c>
      <c r="B11689" s="144" t="s">
        <v>692</v>
      </c>
    </row>
    <row r="11690" spans="1:2" x14ac:dyDescent="0.25">
      <c r="A11690" s="144" t="s">
        <v>693</v>
      </c>
      <c r="B11690" s="144" t="s">
        <v>693</v>
      </c>
    </row>
    <row r="11691" spans="1:2" x14ac:dyDescent="0.25">
      <c r="A11691" s="144" t="s">
        <v>13352</v>
      </c>
      <c r="B11691" s="144" t="s">
        <v>693</v>
      </c>
    </row>
    <row r="11692" spans="1:2" x14ac:dyDescent="0.25">
      <c r="A11692" s="144" t="s">
        <v>13353</v>
      </c>
      <c r="B11692" s="144" t="s">
        <v>202</v>
      </c>
    </row>
    <row r="11693" spans="1:2" x14ac:dyDescent="0.25">
      <c r="A11693" s="144" t="s">
        <v>13354</v>
      </c>
      <c r="B11693" s="144" t="s">
        <v>204</v>
      </c>
    </row>
    <row r="11694" spans="1:2" x14ac:dyDescent="0.25">
      <c r="A11694" s="144" t="s">
        <v>13355</v>
      </c>
      <c r="B11694" s="144" t="s">
        <v>709</v>
      </c>
    </row>
    <row r="11695" spans="1:2" x14ac:dyDescent="0.25">
      <c r="A11695" s="144" t="s">
        <v>13356</v>
      </c>
      <c r="B11695" s="144" t="s">
        <v>704</v>
      </c>
    </row>
    <row r="11696" spans="1:2" x14ac:dyDescent="0.25">
      <c r="A11696" s="144" t="s">
        <v>13357</v>
      </c>
      <c r="B11696" s="144" t="s">
        <v>60</v>
      </c>
    </row>
    <row r="11697" spans="1:2" x14ac:dyDescent="0.25">
      <c r="A11697" s="144" t="s">
        <v>13358</v>
      </c>
      <c r="B11697" s="144" t="s">
        <v>157</v>
      </c>
    </row>
    <row r="11698" spans="1:2" x14ac:dyDescent="0.25">
      <c r="A11698" s="144" t="s">
        <v>13359</v>
      </c>
      <c r="B11698" s="144" t="s">
        <v>466</v>
      </c>
    </row>
    <row r="11699" spans="1:2" x14ac:dyDescent="0.25">
      <c r="A11699" s="144" t="s">
        <v>13360</v>
      </c>
      <c r="B11699" s="144" t="s">
        <v>204</v>
      </c>
    </row>
    <row r="11700" spans="1:2" x14ac:dyDescent="0.25">
      <c r="A11700" s="144" t="s">
        <v>13361</v>
      </c>
      <c r="B11700" s="144" t="s">
        <v>456</v>
      </c>
    </row>
    <row r="11701" spans="1:2" x14ac:dyDescent="0.25">
      <c r="A11701" s="144" t="s">
        <v>13362</v>
      </c>
      <c r="B11701" s="144" t="s">
        <v>610</v>
      </c>
    </row>
    <row r="11702" spans="1:2" x14ac:dyDescent="0.25">
      <c r="A11702" s="144" t="s">
        <v>13363</v>
      </c>
      <c r="B11702" s="144" t="s">
        <v>631</v>
      </c>
    </row>
    <row r="11703" spans="1:2" x14ac:dyDescent="0.25">
      <c r="A11703" s="144" t="s">
        <v>13364</v>
      </c>
      <c r="B11703" s="144" t="s">
        <v>646</v>
      </c>
    </row>
    <row r="11704" spans="1:2" x14ac:dyDescent="0.25">
      <c r="A11704" s="144" t="s">
        <v>13365</v>
      </c>
      <c r="B11704" s="144" t="s">
        <v>674</v>
      </c>
    </row>
    <row r="11705" spans="1:2" x14ac:dyDescent="0.25">
      <c r="A11705" s="144" t="s">
        <v>13366</v>
      </c>
      <c r="B11705" s="144" t="s">
        <v>682</v>
      </c>
    </row>
    <row r="11706" spans="1:2" x14ac:dyDescent="0.25">
      <c r="A11706" s="144" t="s">
        <v>13367</v>
      </c>
      <c r="B11706" s="144" t="s">
        <v>423</v>
      </c>
    </row>
    <row r="11707" spans="1:2" x14ac:dyDescent="0.25">
      <c r="A11707" s="144" t="s">
        <v>13368</v>
      </c>
      <c r="B11707" s="144" t="s">
        <v>12539</v>
      </c>
    </row>
    <row r="11708" spans="1:2" x14ac:dyDescent="0.25">
      <c r="A11708" s="144" t="s">
        <v>13369</v>
      </c>
      <c r="B11708" s="144" t="s">
        <v>151</v>
      </c>
    </row>
    <row r="11709" spans="1:2" x14ac:dyDescent="0.25">
      <c r="A11709" s="144" t="s">
        <v>13370</v>
      </c>
      <c r="B11709" s="144" t="s">
        <v>151</v>
      </c>
    </row>
    <row r="11710" spans="1:2" x14ac:dyDescent="0.25">
      <c r="A11710" s="144" t="s">
        <v>13371</v>
      </c>
      <c r="B11710" s="144" t="s">
        <v>74</v>
      </c>
    </row>
    <row r="11711" spans="1:2" x14ac:dyDescent="0.25">
      <c r="A11711" s="144" t="s">
        <v>13372</v>
      </c>
      <c r="B11711" s="144" t="s">
        <v>456</v>
      </c>
    </row>
    <row r="11712" spans="1:2" x14ac:dyDescent="0.25">
      <c r="A11712" s="144" t="s">
        <v>13373</v>
      </c>
      <c r="B11712" s="144" t="s">
        <v>935</v>
      </c>
    </row>
    <row r="11713" spans="1:2" x14ac:dyDescent="0.25">
      <c r="A11713" s="144" t="s">
        <v>13374</v>
      </c>
      <c r="B11713" s="144" t="s">
        <v>157</v>
      </c>
    </row>
    <row r="11714" spans="1:2" x14ac:dyDescent="0.25">
      <c r="A11714" s="144" t="s">
        <v>13375</v>
      </c>
      <c r="B11714" s="144" t="s">
        <v>222</v>
      </c>
    </row>
    <row r="11715" spans="1:2" x14ac:dyDescent="0.25">
      <c r="A11715" s="144" t="s">
        <v>13376</v>
      </c>
      <c r="B11715" s="144" t="s">
        <v>409</v>
      </c>
    </row>
    <row r="11716" spans="1:2" x14ac:dyDescent="0.25">
      <c r="A11716" s="144" t="s">
        <v>13377</v>
      </c>
      <c r="B11716" s="144" t="s">
        <v>1067</v>
      </c>
    </row>
    <row r="11717" spans="1:2" x14ac:dyDescent="0.25">
      <c r="A11717" s="144" t="s">
        <v>13378</v>
      </c>
      <c r="B11717" s="144" t="s">
        <v>157</v>
      </c>
    </row>
    <row r="11718" spans="1:2" x14ac:dyDescent="0.25">
      <c r="A11718" s="144" t="s">
        <v>13379</v>
      </c>
      <c r="B11718" s="144" t="s">
        <v>206</v>
      </c>
    </row>
    <row r="11719" spans="1:2" x14ac:dyDescent="0.25">
      <c r="A11719" s="144" t="s">
        <v>13380</v>
      </c>
      <c r="B11719" s="144" t="s">
        <v>206</v>
      </c>
    </row>
    <row r="11720" spans="1:2" x14ac:dyDescent="0.25">
      <c r="A11720" s="144" t="s">
        <v>13381</v>
      </c>
      <c r="B11720" s="144" t="s">
        <v>689</v>
      </c>
    </row>
    <row r="11721" spans="1:2" x14ac:dyDescent="0.25">
      <c r="A11721" s="144" t="s">
        <v>13382</v>
      </c>
      <c r="B11721" s="144" t="s">
        <v>206</v>
      </c>
    </row>
    <row r="11722" spans="1:2" x14ac:dyDescent="0.25">
      <c r="A11722" s="144" t="s">
        <v>13383</v>
      </c>
      <c r="B11722" s="144" t="s">
        <v>210</v>
      </c>
    </row>
    <row r="11723" spans="1:2" x14ac:dyDescent="0.25">
      <c r="A11723" s="144" t="s">
        <v>13384</v>
      </c>
      <c r="B11723" s="144" t="s">
        <v>214</v>
      </c>
    </row>
    <row r="11724" spans="1:2" x14ac:dyDescent="0.25">
      <c r="A11724" s="144" t="s">
        <v>13385</v>
      </c>
      <c r="B11724" s="144" t="s">
        <v>216</v>
      </c>
    </row>
    <row r="11725" spans="1:2" x14ac:dyDescent="0.25">
      <c r="A11725" s="144" t="s">
        <v>13386</v>
      </c>
      <c r="B11725" s="144" t="s">
        <v>218</v>
      </c>
    </row>
    <row r="11726" spans="1:2" x14ac:dyDescent="0.25">
      <c r="A11726" s="144" t="s">
        <v>13387</v>
      </c>
      <c r="B11726" s="144" t="s">
        <v>222</v>
      </c>
    </row>
    <row r="11727" spans="1:2" x14ac:dyDescent="0.25">
      <c r="A11727" s="144" t="s">
        <v>13388</v>
      </c>
      <c r="B11727" s="144" t="s">
        <v>226</v>
      </c>
    </row>
    <row r="11728" spans="1:2" x14ac:dyDescent="0.25">
      <c r="A11728" s="144" t="s">
        <v>13389</v>
      </c>
      <c r="B11728" s="144" t="s">
        <v>709</v>
      </c>
    </row>
    <row r="11729" spans="1:2" x14ac:dyDescent="0.25">
      <c r="A11729" s="144" t="s">
        <v>611</v>
      </c>
      <c r="B11729" s="144" t="s">
        <v>611</v>
      </c>
    </row>
    <row r="11730" spans="1:2" x14ac:dyDescent="0.25">
      <c r="A11730" s="144" t="s">
        <v>13390</v>
      </c>
      <c r="B11730" s="144" t="s">
        <v>611</v>
      </c>
    </row>
    <row r="11731" spans="1:2" x14ac:dyDescent="0.25">
      <c r="A11731" s="144" t="s">
        <v>13391</v>
      </c>
      <c r="B11731" s="144" t="s">
        <v>611</v>
      </c>
    </row>
    <row r="11732" spans="1:2" x14ac:dyDescent="0.25">
      <c r="A11732" s="144" t="s">
        <v>13392</v>
      </c>
      <c r="B11732" s="144" t="s">
        <v>611</v>
      </c>
    </row>
    <row r="11733" spans="1:2" x14ac:dyDescent="0.25">
      <c r="A11733" s="144" t="s">
        <v>13393</v>
      </c>
      <c r="B11733" s="144" t="s">
        <v>611</v>
      </c>
    </row>
    <row r="11734" spans="1:2" x14ac:dyDescent="0.25">
      <c r="A11734" s="144" t="s">
        <v>13394</v>
      </c>
      <c r="B11734" s="144" t="s">
        <v>611</v>
      </c>
    </row>
    <row r="11735" spans="1:2" x14ac:dyDescent="0.25">
      <c r="A11735" s="144" t="s">
        <v>13395</v>
      </c>
      <c r="B11735" s="144" t="s">
        <v>611</v>
      </c>
    </row>
    <row r="11736" spans="1:2" x14ac:dyDescent="0.25">
      <c r="A11736" s="144" t="s">
        <v>694</v>
      </c>
      <c r="B11736" s="144" t="s">
        <v>694</v>
      </c>
    </row>
    <row r="11737" spans="1:2" x14ac:dyDescent="0.25">
      <c r="A11737" s="144" t="s">
        <v>695</v>
      </c>
      <c r="B11737" s="144" t="s">
        <v>695</v>
      </c>
    </row>
    <row r="11738" spans="1:2" x14ac:dyDescent="0.25">
      <c r="A11738" s="144" t="s">
        <v>696</v>
      </c>
      <c r="B11738" s="144" t="s">
        <v>696</v>
      </c>
    </row>
    <row r="11739" spans="1:2" x14ac:dyDescent="0.25">
      <c r="A11739" s="144" t="s">
        <v>13396</v>
      </c>
      <c r="B11739" s="144" t="s">
        <v>13397</v>
      </c>
    </row>
    <row r="11740" spans="1:2" x14ac:dyDescent="0.25">
      <c r="A11740" s="144" t="s">
        <v>13398</v>
      </c>
      <c r="B11740" s="144" t="s">
        <v>13398</v>
      </c>
    </row>
    <row r="11741" spans="1:2" x14ac:dyDescent="0.25">
      <c r="A11741" s="144" t="s">
        <v>13399</v>
      </c>
      <c r="B11741" s="144" t="s">
        <v>13399</v>
      </c>
    </row>
    <row r="11742" spans="1:2" x14ac:dyDescent="0.25">
      <c r="A11742" s="144" t="s">
        <v>13400</v>
      </c>
      <c r="B11742" s="144" t="s">
        <v>13400</v>
      </c>
    </row>
    <row r="11743" spans="1:2" x14ac:dyDescent="0.25">
      <c r="A11743" s="144" t="s">
        <v>13401</v>
      </c>
      <c r="B11743" s="144" t="s">
        <v>13401</v>
      </c>
    </row>
    <row r="11744" spans="1:2" x14ac:dyDescent="0.25">
      <c r="A11744" s="144" t="s">
        <v>13402</v>
      </c>
      <c r="B11744" s="144" t="s">
        <v>13402</v>
      </c>
    </row>
    <row r="11745" spans="1:2" x14ac:dyDescent="0.25">
      <c r="A11745" s="144" t="s">
        <v>13403</v>
      </c>
      <c r="B11745" s="144" t="s">
        <v>13403</v>
      </c>
    </row>
    <row r="11746" spans="1:2" x14ac:dyDescent="0.25">
      <c r="A11746" s="144" t="s">
        <v>13404</v>
      </c>
      <c r="B11746" s="144" t="s">
        <v>13405</v>
      </c>
    </row>
    <row r="11747" spans="1:2" x14ac:dyDescent="0.25">
      <c r="A11747" s="144" t="s">
        <v>13406</v>
      </c>
      <c r="B11747" s="144" t="s">
        <v>13406</v>
      </c>
    </row>
    <row r="11748" spans="1:2" x14ac:dyDescent="0.25">
      <c r="A11748" s="144" t="s">
        <v>13407</v>
      </c>
      <c r="B11748" s="144" t="s">
        <v>13407</v>
      </c>
    </row>
    <row r="11749" spans="1:2" x14ac:dyDescent="0.25">
      <c r="A11749" s="144" t="s">
        <v>13408</v>
      </c>
      <c r="B11749" s="144" t="s">
        <v>13408</v>
      </c>
    </row>
    <row r="11750" spans="1:2" x14ac:dyDescent="0.25">
      <c r="A11750" s="144" t="s">
        <v>13409</v>
      </c>
      <c r="B11750" s="144" t="s">
        <v>13409</v>
      </c>
    </row>
    <row r="11751" spans="1:2" x14ac:dyDescent="0.25">
      <c r="A11751" s="144" t="s">
        <v>13410</v>
      </c>
      <c r="B11751" s="144" t="s">
        <v>13410</v>
      </c>
    </row>
    <row r="11752" spans="1:2" x14ac:dyDescent="0.25">
      <c r="A11752" s="144" t="s">
        <v>13411</v>
      </c>
      <c r="B11752" s="144" t="s">
        <v>13411</v>
      </c>
    </row>
    <row r="11753" spans="1:2" x14ac:dyDescent="0.25">
      <c r="A11753" s="144" t="s">
        <v>13412</v>
      </c>
      <c r="B11753" s="144" t="s">
        <v>13412</v>
      </c>
    </row>
    <row r="11754" spans="1:2" x14ac:dyDescent="0.25">
      <c r="A11754" s="144" t="s">
        <v>13413</v>
      </c>
      <c r="B11754" s="144" t="s">
        <v>13413</v>
      </c>
    </row>
    <row r="11755" spans="1:2" x14ac:dyDescent="0.25">
      <c r="A11755" s="144" t="s">
        <v>13414</v>
      </c>
      <c r="B11755" s="144" t="s">
        <v>13414</v>
      </c>
    </row>
    <row r="11756" spans="1:2" x14ac:dyDescent="0.25">
      <c r="A11756" s="144" t="s">
        <v>13415</v>
      </c>
      <c r="B11756" s="144" t="s">
        <v>13415</v>
      </c>
    </row>
    <row r="11757" spans="1:2" x14ac:dyDescent="0.25">
      <c r="A11757" s="144" t="s">
        <v>13416</v>
      </c>
      <c r="B11757" s="144" t="s">
        <v>13416</v>
      </c>
    </row>
    <row r="11758" spans="1:2" x14ac:dyDescent="0.25">
      <c r="A11758" s="144" t="s">
        <v>13417</v>
      </c>
      <c r="B11758" s="144" t="s">
        <v>13417</v>
      </c>
    </row>
    <row r="11759" spans="1:2" x14ac:dyDescent="0.25">
      <c r="A11759" s="144" t="s">
        <v>13418</v>
      </c>
      <c r="B11759" s="144" t="s">
        <v>13418</v>
      </c>
    </row>
    <row r="11760" spans="1:2" x14ac:dyDescent="0.25">
      <c r="A11760" s="144" t="s">
        <v>13419</v>
      </c>
      <c r="B11760" s="144" t="s">
        <v>13419</v>
      </c>
    </row>
    <row r="11761" spans="1:2" x14ac:dyDescent="0.25">
      <c r="A11761" s="144" t="s">
        <v>13420</v>
      </c>
      <c r="B11761" s="144" t="s">
        <v>13420</v>
      </c>
    </row>
    <row r="11762" spans="1:2" x14ac:dyDescent="0.25">
      <c r="A11762" s="144" t="s">
        <v>13421</v>
      </c>
      <c r="B11762" s="144" t="s">
        <v>13421</v>
      </c>
    </row>
    <row r="11763" spans="1:2" x14ac:dyDescent="0.25">
      <c r="A11763" s="144" t="s">
        <v>13422</v>
      </c>
      <c r="B11763" s="144" t="s">
        <v>13422</v>
      </c>
    </row>
    <row r="11764" spans="1:2" x14ac:dyDescent="0.25">
      <c r="A11764" s="144" t="s">
        <v>13423</v>
      </c>
      <c r="B11764" s="144" t="s">
        <v>13423</v>
      </c>
    </row>
    <row r="11765" spans="1:2" x14ac:dyDescent="0.25">
      <c r="A11765" s="144" t="s">
        <v>13424</v>
      </c>
      <c r="B11765" s="144" t="s">
        <v>13424</v>
      </c>
    </row>
    <row r="11766" spans="1:2" x14ac:dyDescent="0.25">
      <c r="A11766" s="144" t="s">
        <v>13425</v>
      </c>
      <c r="B11766" s="144" t="s">
        <v>13425</v>
      </c>
    </row>
    <row r="11767" spans="1:2" x14ac:dyDescent="0.25">
      <c r="A11767" s="144" t="s">
        <v>13426</v>
      </c>
      <c r="B11767" s="144" t="s">
        <v>13426</v>
      </c>
    </row>
    <row r="11768" spans="1:2" x14ac:dyDescent="0.25">
      <c r="A11768" s="144" t="s">
        <v>13427</v>
      </c>
      <c r="B11768" s="144" t="s">
        <v>13427</v>
      </c>
    </row>
    <row r="11769" spans="1:2" x14ac:dyDescent="0.25">
      <c r="A11769" s="144" t="s">
        <v>13428</v>
      </c>
      <c r="B11769" s="144" t="s">
        <v>13428</v>
      </c>
    </row>
    <row r="11770" spans="1:2" x14ac:dyDescent="0.25">
      <c r="A11770" s="144" t="s">
        <v>13429</v>
      </c>
      <c r="B11770" s="144" t="s">
        <v>13429</v>
      </c>
    </row>
    <row r="11771" spans="1:2" x14ac:dyDescent="0.25">
      <c r="A11771" s="144" t="s">
        <v>13430</v>
      </c>
      <c r="B11771" s="144" t="s">
        <v>376</v>
      </c>
    </row>
    <row r="11772" spans="1:2" x14ac:dyDescent="0.25">
      <c r="A11772" s="144" t="s">
        <v>13431</v>
      </c>
      <c r="B11772" s="144" t="s">
        <v>13431</v>
      </c>
    </row>
    <row r="11773" spans="1:2" x14ac:dyDescent="0.25">
      <c r="A11773" s="144" t="s">
        <v>13432</v>
      </c>
      <c r="B11773" s="144" t="s">
        <v>9559</v>
      </c>
    </row>
    <row r="11774" spans="1:2" x14ac:dyDescent="0.25">
      <c r="A11774" s="144" t="s">
        <v>13433</v>
      </c>
      <c r="B11774" s="144" t="s">
        <v>652</v>
      </c>
    </row>
    <row r="11775" spans="1:2" x14ac:dyDescent="0.25">
      <c r="A11775" s="144" t="s">
        <v>13434</v>
      </c>
      <c r="B11775" s="144" t="s">
        <v>1363</v>
      </c>
    </row>
    <row r="11776" spans="1:2" x14ac:dyDescent="0.25">
      <c r="A11776" s="144" t="s">
        <v>13435</v>
      </c>
      <c r="B11776" s="144" t="s">
        <v>627</v>
      </c>
    </row>
    <row r="11777" spans="1:2" x14ac:dyDescent="0.25">
      <c r="A11777" s="144" t="s">
        <v>13436</v>
      </c>
      <c r="B11777" s="144" t="s">
        <v>153</v>
      </c>
    </row>
    <row r="11778" spans="1:2" x14ac:dyDescent="0.25">
      <c r="A11778" s="144" t="s">
        <v>13437</v>
      </c>
      <c r="B11778" s="144" t="s">
        <v>9568</v>
      </c>
    </row>
    <row r="11779" spans="1:2" x14ac:dyDescent="0.25">
      <c r="A11779" s="144" t="s">
        <v>13438</v>
      </c>
      <c r="B11779" s="144" t="s">
        <v>672</v>
      </c>
    </row>
    <row r="11780" spans="1:2" x14ac:dyDescent="0.25">
      <c r="A11780" s="144" t="s">
        <v>13439</v>
      </c>
      <c r="B11780" s="144" t="s">
        <v>673</v>
      </c>
    </row>
    <row r="11781" spans="1:2" x14ac:dyDescent="0.25">
      <c r="A11781" s="144" t="s">
        <v>13440</v>
      </c>
      <c r="B11781" s="144" t="s">
        <v>13440</v>
      </c>
    </row>
    <row r="11782" spans="1:2" x14ac:dyDescent="0.25">
      <c r="A11782" s="144" t="s">
        <v>13441</v>
      </c>
      <c r="B11782" s="144" t="s">
        <v>13441</v>
      </c>
    </row>
    <row r="11783" spans="1:2" x14ac:dyDescent="0.25">
      <c r="A11783" s="144" t="s">
        <v>13442</v>
      </c>
      <c r="B11783" s="144" t="s">
        <v>13442</v>
      </c>
    </row>
    <row r="11784" spans="1:2" x14ac:dyDescent="0.25">
      <c r="A11784" s="144" t="s">
        <v>13443</v>
      </c>
      <c r="B11784" s="144" t="s">
        <v>13443</v>
      </c>
    </row>
    <row r="11785" spans="1:2" x14ac:dyDescent="0.25">
      <c r="A11785" s="144" t="s">
        <v>13444</v>
      </c>
      <c r="B11785" s="144" t="s">
        <v>13444</v>
      </c>
    </row>
    <row r="11786" spans="1:2" x14ac:dyDescent="0.25">
      <c r="A11786" s="144" t="s">
        <v>13445</v>
      </c>
      <c r="B11786" s="144" t="s">
        <v>13445</v>
      </c>
    </row>
    <row r="11787" spans="1:2" x14ac:dyDescent="0.25">
      <c r="A11787" s="144" t="s">
        <v>13446</v>
      </c>
      <c r="B11787" s="144" t="s">
        <v>13446</v>
      </c>
    </row>
    <row r="11788" spans="1:2" x14ac:dyDescent="0.25">
      <c r="A11788" s="144" t="s">
        <v>13447</v>
      </c>
      <c r="B11788" s="144" t="s">
        <v>13447</v>
      </c>
    </row>
    <row r="11789" spans="1:2" x14ac:dyDescent="0.25">
      <c r="A11789" s="144" t="s">
        <v>13448</v>
      </c>
      <c r="B11789" s="144" t="s">
        <v>13448</v>
      </c>
    </row>
    <row r="11790" spans="1:2" x14ac:dyDescent="0.25">
      <c r="A11790" s="144" t="s">
        <v>13449</v>
      </c>
      <c r="B11790" s="144" t="s">
        <v>13449</v>
      </c>
    </row>
    <row r="11791" spans="1:2" x14ac:dyDescent="0.25">
      <c r="A11791" s="144" t="s">
        <v>13450</v>
      </c>
      <c r="B11791" s="144" t="s">
        <v>13450</v>
      </c>
    </row>
    <row r="11792" spans="1:2" x14ac:dyDescent="0.25">
      <c r="A11792" s="144" t="s">
        <v>13451</v>
      </c>
      <c r="B11792" s="144" t="s">
        <v>13451</v>
      </c>
    </row>
    <row r="11793" spans="1:2" x14ac:dyDescent="0.25">
      <c r="A11793" s="144" t="s">
        <v>13452</v>
      </c>
      <c r="B11793" s="144" t="s">
        <v>13452</v>
      </c>
    </row>
    <row r="11794" spans="1:2" x14ac:dyDescent="0.25">
      <c r="A11794" s="144" t="s">
        <v>13453</v>
      </c>
      <c r="B11794" s="144" t="s">
        <v>220</v>
      </c>
    </row>
    <row r="11795" spans="1:2" x14ac:dyDescent="0.25">
      <c r="A11795" s="144" t="s">
        <v>13454</v>
      </c>
      <c r="B11795" s="144" t="s">
        <v>104</v>
      </c>
    </row>
    <row r="11796" spans="1:2" x14ac:dyDescent="0.25">
      <c r="A11796" s="144" t="s">
        <v>13455</v>
      </c>
      <c r="B11796" s="144" t="s">
        <v>84</v>
      </c>
    </row>
    <row r="11797" spans="1:2" x14ac:dyDescent="0.25">
      <c r="A11797" s="144" t="s">
        <v>13456</v>
      </c>
      <c r="B11797" s="144" t="s">
        <v>222</v>
      </c>
    </row>
    <row r="11798" spans="1:2" x14ac:dyDescent="0.25">
      <c r="A11798" s="144" t="s">
        <v>13457</v>
      </c>
      <c r="B11798" s="144" t="s">
        <v>477</v>
      </c>
    </row>
    <row r="11799" spans="1:2" x14ac:dyDescent="0.25">
      <c r="A11799" s="144" t="s">
        <v>13458</v>
      </c>
      <c r="B11799" s="144" t="s">
        <v>492</v>
      </c>
    </row>
    <row r="11800" spans="1:2" x14ac:dyDescent="0.25">
      <c r="A11800" s="144" t="s">
        <v>13459</v>
      </c>
      <c r="B11800" s="144" t="s">
        <v>80</v>
      </c>
    </row>
    <row r="11801" spans="1:2" x14ac:dyDescent="0.25">
      <c r="A11801" s="144" t="s">
        <v>13460</v>
      </c>
      <c r="B11801" s="144" t="s">
        <v>468</v>
      </c>
    </row>
    <row r="11802" spans="1:2" x14ac:dyDescent="0.25">
      <c r="A11802" s="144" t="s">
        <v>13461</v>
      </c>
      <c r="B11802" s="144" t="s">
        <v>84</v>
      </c>
    </row>
    <row r="11803" spans="1:2" x14ac:dyDescent="0.25">
      <c r="A11803" s="144" t="s">
        <v>13462</v>
      </c>
      <c r="B11803" s="144" t="s">
        <v>157</v>
      </c>
    </row>
    <row r="11804" spans="1:2" x14ac:dyDescent="0.25">
      <c r="A11804" s="144" t="s">
        <v>13463</v>
      </c>
      <c r="B11804" s="144" t="s">
        <v>204</v>
      </c>
    </row>
    <row r="11805" spans="1:2" x14ac:dyDescent="0.25">
      <c r="A11805" s="144" t="s">
        <v>13464</v>
      </c>
      <c r="B11805" s="144" t="s">
        <v>197</v>
      </c>
    </row>
    <row r="11806" spans="1:2" x14ac:dyDescent="0.25">
      <c r="A11806" s="144" t="s">
        <v>13465</v>
      </c>
      <c r="B11806" s="144" t="s">
        <v>212</v>
      </c>
    </row>
    <row r="11807" spans="1:2" x14ac:dyDescent="0.25">
      <c r="A11807" s="144" t="s">
        <v>13466</v>
      </c>
      <c r="B11807" s="144" t="s">
        <v>552</v>
      </c>
    </row>
    <row r="11808" spans="1:2" x14ac:dyDescent="0.25">
      <c r="A11808" s="144" t="s">
        <v>13467</v>
      </c>
      <c r="B11808" s="144" t="s">
        <v>1363</v>
      </c>
    </row>
    <row r="11809" spans="1:2" x14ac:dyDescent="0.25">
      <c r="A11809" s="144" t="s">
        <v>13468</v>
      </c>
      <c r="B11809" s="144" t="s">
        <v>13468</v>
      </c>
    </row>
    <row r="11810" spans="1:2" x14ac:dyDescent="0.25">
      <c r="A11810" s="144" t="s">
        <v>13469</v>
      </c>
      <c r="B11810" s="144" t="s">
        <v>13469</v>
      </c>
    </row>
    <row r="11811" spans="1:2" x14ac:dyDescent="0.25">
      <c r="A11811" s="144" t="s">
        <v>13470</v>
      </c>
      <c r="B11811" s="144" t="s">
        <v>13470</v>
      </c>
    </row>
    <row r="11812" spans="1:2" x14ac:dyDescent="0.25">
      <c r="A11812" s="144" t="s">
        <v>13471</v>
      </c>
      <c r="B11812" s="144" t="s">
        <v>13471</v>
      </c>
    </row>
    <row r="11813" spans="1:2" x14ac:dyDescent="0.25">
      <c r="A11813" s="144" t="s">
        <v>13472</v>
      </c>
      <c r="B11813" s="144" t="s">
        <v>13472</v>
      </c>
    </row>
    <row r="11814" spans="1:2" x14ac:dyDescent="0.25">
      <c r="A11814" s="144" t="s">
        <v>13473</v>
      </c>
      <c r="B11814" s="144" t="s">
        <v>13473</v>
      </c>
    </row>
    <row r="11815" spans="1:2" x14ac:dyDescent="0.25">
      <c r="A11815" s="144" t="s">
        <v>13474</v>
      </c>
      <c r="B11815" s="144" t="s">
        <v>13474</v>
      </c>
    </row>
    <row r="11816" spans="1:2" x14ac:dyDescent="0.25">
      <c r="A11816" s="144" t="s">
        <v>13475</v>
      </c>
      <c r="B11816" s="144" t="s">
        <v>13475</v>
      </c>
    </row>
    <row r="11817" spans="1:2" x14ac:dyDescent="0.25">
      <c r="A11817" s="144" t="s">
        <v>13476</v>
      </c>
      <c r="B11817" s="144" t="s">
        <v>13476</v>
      </c>
    </row>
    <row r="11818" spans="1:2" x14ac:dyDescent="0.25">
      <c r="A11818" s="144" t="s">
        <v>13477</v>
      </c>
      <c r="B11818" s="144" t="s">
        <v>13477</v>
      </c>
    </row>
    <row r="11819" spans="1:2" x14ac:dyDescent="0.25">
      <c r="A11819" s="144" t="s">
        <v>13478</v>
      </c>
      <c r="B11819" s="144" t="s">
        <v>13478</v>
      </c>
    </row>
    <row r="11820" spans="1:2" x14ac:dyDescent="0.25">
      <c r="A11820" s="144" t="s">
        <v>13479</v>
      </c>
      <c r="B11820" s="144" t="s">
        <v>13479</v>
      </c>
    </row>
    <row r="11821" spans="1:2" x14ac:dyDescent="0.25">
      <c r="A11821" s="144" t="s">
        <v>13480</v>
      </c>
      <c r="B11821" s="144" t="s">
        <v>13480</v>
      </c>
    </row>
    <row r="11822" spans="1:2" x14ac:dyDescent="0.25">
      <c r="A11822" s="144" t="s">
        <v>13481</v>
      </c>
      <c r="B11822" s="144" t="s">
        <v>13481</v>
      </c>
    </row>
    <row r="11823" spans="1:2" x14ac:dyDescent="0.25">
      <c r="A11823" s="144" t="s">
        <v>13482</v>
      </c>
      <c r="B11823" s="144" t="s">
        <v>13482</v>
      </c>
    </row>
    <row r="11824" spans="1:2" x14ac:dyDescent="0.25">
      <c r="A11824" s="144" t="s">
        <v>13483</v>
      </c>
      <c r="B11824" s="144" t="s">
        <v>13483</v>
      </c>
    </row>
    <row r="11825" spans="1:2" x14ac:dyDescent="0.25">
      <c r="A11825" s="144" t="s">
        <v>13484</v>
      </c>
      <c r="B11825" s="144" t="s">
        <v>13484</v>
      </c>
    </row>
    <row r="11826" spans="1:2" x14ac:dyDescent="0.25">
      <c r="A11826" s="144" t="s">
        <v>13485</v>
      </c>
      <c r="B11826" s="144" t="s">
        <v>13485</v>
      </c>
    </row>
    <row r="11827" spans="1:2" x14ac:dyDescent="0.25">
      <c r="A11827" s="144" t="s">
        <v>13486</v>
      </c>
      <c r="B11827" s="144" t="s">
        <v>210</v>
      </c>
    </row>
    <row r="11828" spans="1:2" x14ac:dyDescent="0.25">
      <c r="A11828" s="144" t="s">
        <v>13487</v>
      </c>
      <c r="B11828" s="144" t="s">
        <v>1352</v>
      </c>
    </row>
    <row r="11829" spans="1:2" x14ac:dyDescent="0.25">
      <c r="A11829" s="144" t="s">
        <v>13488</v>
      </c>
      <c r="B11829" s="144" t="s">
        <v>157</v>
      </c>
    </row>
    <row r="11830" spans="1:2" x14ac:dyDescent="0.25">
      <c r="A11830" s="144" t="s">
        <v>13489</v>
      </c>
      <c r="B11830" s="144" t="s">
        <v>708</v>
      </c>
    </row>
    <row r="11831" spans="1:2" x14ac:dyDescent="0.25">
      <c r="A11831" s="144" t="s">
        <v>13490</v>
      </c>
      <c r="B11831" s="144" t="s">
        <v>157</v>
      </c>
    </row>
    <row r="11832" spans="1:2" x14ac:dyDescent="0.25">
      <c r="A11832" s="144" t="s">
        <v>13491</v>
      </c>
      <c r="B11832" s="144" t="s">
        <v>344</v>
      </c>
    </row>
    <row r="11833" spans="1:2" x14ac:dyDescent="0.25">
      <c r="A11833" s="144" t="s">
        <v>13492</v>
      </c>
      <c r="B11833" s="144" t="s">
        <v>157</v>
      </c>
    </row>
    <row r="11834" spans="1:2" x14ac:dyDescent="0.25">
      <c r="A11834" s="144" t="s">
        <v>13493</v>
      </c>
      <c r="B11834" s="144" t="s">
        <v>157</v>
      </c>
    </row>
    <row r="11835" spans="1:2" x14ac:dyDescent="0.25">
      <c r="A11835" s="144" t="s">
        <v>13494</v>
      </c>
      <c r="B11835" s="144" t="s">
        <v>468</v>
      </c>
    </row>
    <row r="11836" spans="1:2" x14ac:dyDescent="0.25">
      <c r="A11836" s="144" t="s">
        <v>13495</v>
      </c>
      <c r="B11836" s="144" t="s">
        <v>199</v>
      </c>
    </row>
    <row r="11837" spans="1:2" x14ac:dyDescent="0.25">
      <c r="A11837" s="144" t="s">
        <v>13496</v>
      </c>
      <c r="B11837" s="144" t="s">
        <v>218</v>
      </c>
    </row>
    <row r="11838" spans="1:2" x14ac:dyDescent="0.25">
      <c r="A11838" s="144" t="s">
        <v>13497</v>
      </c>
      <c r="B11838" s="144" t="s">
        <v>492</v>
      </c>
    </row>
    <row r="11839" spans="1:2" x14ac:dyDescent="0.25">
      <c r="A11839" s="144" t="s">
        <v>13498</v>
      </c>
      <c r="B11839" s="144" t="s">
        <v>610</v>
      </c>
    </row>
    <row r="11840" spans="1:2" x14ac:dyDescent="0.25">
      <c r="A11840" s="144" t="s">
        <v>13499</v>
      </c>
      <c r="B11840" s="144" t="s">
        <v>13499</v>
      </c>
    </row>
    <row r="11841" spans="1:2" x14ac:dyDescent="0.25">
      <c r="A11841" s="144" t="s">
        <v>13500</v>
      </c>
      <c r="B11841" s="144" t="s">
        <v>13500</v>
      </c>
    </row>
    <row r="11842" spans="1:2" x14ac:dyDescent="0.25">
      <c r="A11842" s="144" t="s">
        <v>13501</v>
      </c>
      <c r="B11842" s="144" t="s">
        <v>13501</v>
      </c>
    </row>
    <row r="11843" spans="1:2" x14ac:dyDescent="0.25">
      <c r="A11843" s="144" t="s">
        <v>13502</v>
      </c>
      <c r="B11843" s="144" t="s">
        <v>13502</v>
      </c>
    </row>
    <row r="11844" spans="1:2" x14ac:dyDescent="0.25">
      <c r="A11844" s="144" t="s">
        <v>13503</v>
      </c>
      <c r="B11844" s="144" t="s">
        <v>13503</v>
      </c>
    </row>
    <row r="11845" spans="1:2" x14ac:dyDescent="0.25">
      <c r="A11845" s="144" t="s">
        <v>13504</v>
      </c>
      <c r="B11845" s="144" t="s">
        <v>13504</v>
      </c>
    </row>
    <row r="11846" spans="1:2" x14ac:dyDescent="0.25">
      <c r="A11846" s="144" t="s">
        <v>13505</v>
      </c>
      <c r="B11846" s="144" t="s">
        <v>13505</v>
      </c>
    </row>
    <row r="11847" spans="1:2" x14ac:dyDescent="0.25">
      <c r="A11847" s="144" t="s">
        <v>13506</v>
      </c>
      <c r="B11847" s="144" t="s">
        <v>13506</v>
      </c>
    </row>
    <row r="11848" spans="1:2" x14ac:dyDescent="0.25">
      <c r="A11848" s="144" t="s">
        <v>13507</v>
      </c>
      <c r="B11848" s="144" t="s">
        <v>13507</v>
      </c>
    </row>
    <row r="11849" spans="1:2" x14ac:dyDescent="0.25">
      <c r="A11849" s="144" t="s">
        <v>13508</v>
      </c>
      <c r="B11849" s="144" t="s">
        <v>76</v>
      </c>
    </row>
    <row r="11850" spans="1:2" x14ac:dyDescent="0.25">
      <c r="A11850" s="144" t="s">
        <v>13509</v>
      </c>
      <c r="B11850" s="144" t="s">
        <v>199</v>
      </c>
    </row>
    <row r="11851" spans="1:2" x14ac:dyDescent="0.25">
      <c r="A11851" s="144" t="s">
        <v>13510</v>
      </c>
      <c r="B11851" s="144" t="s">
        <v>12354</v>
      </c>
    </row>
    <row r="11852" spans="1:2" x14ac:dyDescent="0.25">
      <c r="A11852" s="144" t="s">
        <v>13511</v>
      </c>
      <c r="B11852" s="144" t="s">
        <v>133</v>
      </c>
    </row>
    <row r="11853" spans="1:2" x14ac:dyDescent="0.25">
      <c r="A11853" s="144" t="s">
        <v>13512</v>
      </c>
      <c r="B11853" s="144" t="s">
        <v>191</v>
      </c>
    </row>
    <row r="11854" spans="1:2" x14ac:dyDescent="0.25">
      <c r="A11854" s="144" t="s">
        <v>13513</v>
      </c>
      <c r="B11854" s="144" t="s">
        <v>187</v>
      </c>
    </row>
    <row r="11855" spans="1:2" x14ac:dyDescent="0.25">
      <c r="A11855" s="144" t="s">
        <v>13514</v>
      </c>
      <c r="B11855" s="144" t="s">
        <v>1899</v>
      </c>
    </row>
    <row r="11856" spans="1:2" x14ac:dyDescent="0.25">
      <c r="A11856" s="144" t="s">
        <v>13515</v>
      </c>
      <c r="B11856" s="144" t="s">
        <v>13516</v>
      </c>
    </row>
    <row r="11857" spans="1:2" x14ac:dyDescent="0.25">
      <c r="A11857" s="144" t="s">
        <v>13517</v>
      </c>
      <c r="B11857" s="144" t="s">
        <v>13518</v>
      </c>
    </row>
    <row r="11858" spans="1:2" x14ac:dyDescent="0.25">
      <c r="A11858" s="144" t="s">
        <v>13519</v>
      </c>
      <c r="B11858" s="144" t="s">
        <v>224</v>
      </c>
    </row>
    <row r="11859" spans="1:2" x14ac:dyDescent="0.25">
      <c r="A11859" s="144" t="s">
        <v>13520</v>
      </c>
      <c r="B11859" s="144" t="s">
        <v>776</v>
      </c>
    </row>
    <row r="11860" spans="1:2" x14ac:dyDescent="0.25">
      <c r="A11860" s="144" t="s">
        <v>13521</v>
      </c>
      <c r="B11860" s="144" t="s">
        <v>121</v>
      </c>
    </row>
    <row r="11861" spans="1:2" x14ac:dyDescent="0.25">
      <c r="A11861" s="144" t="s">
        <v>13522</v>
      </c>
      <c r="B11861" s="144" t="s">
        <v>78</v>
      </c>
    </row>
    <row r="11862" spans="1:2" x14ac:dyDescent="0.25">
      <c r="A11862" s="144" t="s">
        <v>13523</v>
      </c>
      <c r="B11862" s="144" t="s">
        <v>288</v>
      </c>
    </row>
    <row r="11863" spans="1:2" x14ac:dyDescent="0.25">
      <c r="A11863" s="144" t="s">
        <v>13524</v>
      </c>
      <c r="B11863" s="144" t="s">
        <v>492</v>
      </c>
    </row>
    <row r="11864" spans="1:2" x14ac:dyDescent="0.25">
      <c r="A11864" s="144" t="s">
        <v>13525</v>
      </c>
      <c r="B11864" s="144" t="s">
        <v>492</v>
      </c>
    </row>
    <row r="11865" spans="1:2" x14ac:dyDescent="0.25">
      <c r="A11865" s="144" t="s">
        <v>13526</v>
      </c>
      <c r="B11865" s="144" t="s">
        <v>222</v>
      </c>
    </row>
    <row r="11866" spans="1:2" x14ac:dyDescent="0.25">
      <c r="A11866" s="144" t="s">
        <v>13527</v>
      </c>
      <c r="B11866" s="144" t="s">
        <v>222</v>
      </c>
    </row>
    <row r="11867" spans="1:2" x14ac:dyDescent="0.25">
      <c r="A11867" s="144" t="s">
        <v>13528</v>
      </c>
      <c r="B11867" s="144" t="s">
        <v>13398</v>
      </c>
    </row>
    <row r="11868" spans="1:2" x14ac:dyDescent="0.25">
      <c r="A11868" s="144" t="s">
        <v>13529</v>
      </c>
      <c r="B11868" s="144" t="s">
        <v>13402</v>
      </c>
    </row>
    <row r="11869" spans="1:2" x14ac:dyDescent="0.25">
      <c r="A11869" s="144" t="s">
        <v>13530</v>
      </c>
      <c r="B11869" s="144" t="s">
        <v>13411</v>
      </c>
    </row>
    <row r="11870" spans="1:2" x14ac:dyDescent="0.25">
      <c r="A11870" s="144" t="s">
        <v>13531</v>
      </c>
      <c r="B11870" s="144" t="s">
        <v>13413</v>
      </c>
    </row>
    <row r="11871" spans="1:2" x14ac:dyDescent="0.25">
      <c r="A11871" s="144" t="s">
        <v>13532</v>
      </c>
      <c r="B11871" s="144" t="s">
        <v>13445</v>
      </c>
    </row>
    <row r="11872" spans="1:2" x14ac:dyDescent="0.25">
      <c r="A11872" s="144" t="s">
        <v>13533</v>
      </c>
      <c r="B11872" s="144" t="s">
        <v>695</v>
      </c>
    </row>
    <row r="11873" spans="1:2" x14ac:dyDescent="0.25">
      <c r="A11873" s="144" t="s">
        <v>13534</v>
      </c>
      <c r="B11873" s="144" t="s">
        <v>13534</v>
      </c>
    </row>
    <row r="11874" spans="1:2" x14ac:dyDescent="0.25">
      <c r="A11874" s="144" t="s">
        <v>13535</v>
      </c>
      <c r="B11874" s="144" t="s">
        <v>13535</v>
      </c>
    </row>
    <row r="11875" spans="1:2" x14ac:dyDescent="0.25">
      <c r="A11875" s="144" t="s">
        <v>13536</v>
      </c>
      <c r="B11875" s="144" t="s">
        <v>13536</v>
      </c>
    </row>
    <row r="11876" spans="1:2" x14ac:dyDescent="0.25">
      <c r="A11876" s="144" t="s">
        <v>13537</v>
      </c>
      <c r="B11876" s="144" t="s">
        <v>13537</v>
      </c>
    </row>
    <row r="11877" spans="1:2" x14ac:dyDescent="0.25">
      <c r="A11877" s="144" t="s">
        <v>13538</v>
      </c>
      <c r="B11877" s="144" t="s">
        <v>13538</v>
      </c>
    </row>
    <row r="11878" spans="1:2" x14ac:dyDescent="0.25">
      <c r="A11878" t="s">
        <v>13539</v>
      </c>
      <c r="B11878" t="s">
        <v>687</v>
      </c>
    </row>
    <row r="11879" spans="1:2" x14ac:dyDescent="0.25">
      <c r="A11879" t="s">
        <v>13540</v>
      </c>
      <c r="B11879" t="s">
        <v>13540</v>
      </c>
    </row>
    <row r="11880" spans="1:2" x14ac:dyDescent="0.25">
      <c r="A11880" t="s">
        <v>13541</v>
      </c>
      <c r="B11880" s="144" t="s">
        <v>72</v>
      </c>
    </row>
    <row r="11881" spans="1:2" x14ac:dyDescent="0.25">
      <c r="A11881" t="s">
        <v>13542</v>
      </c>
      <c r="B11881" s="144" t="s">
        <v>218</v>
      </c>
    </row>
    <row r="11882" spans="1:2" x14ac:dyDescent="0.25">
      <c r="A11882" t="s">
        <v>13543</v>
      </c>
      <c r="B11882" s="144" t="s">
        <v>620</v>
      </c>
    </row>
    <row r="11883" spans="1:2" x14ac:dyDescent="0.25">
      <c r="A11883" t="s">
        <v>13544</v>
      </c>
      <c r="B11883" t="s">
        <v>1223</v>
      </c>
    </row>
    <row r="11884" spans="1:2" x14ac:dyDescent="0.25">
      <c r="A11884" t="s">
        <v>13545</v>
      </c>
      <c r="B11884" t="s">
        <v>602</v>
      </c>
    </row>
    <row r="11885" spans="1:2" x14ac:dyDescent="0.25">
      <c r="A11885" t="s">
        <v>13546</v>
      </c>
      <c r="B11885" t="s">
        <v>617</v>
      </c>
    </row>
    <row r="11886" spans="1:2" x14ac:dyDescent="0.25">
      <c r="A11886" t="s">
        <v>13547</v>
      </c>
      <c r="B11886" t="s">
        <v>648</v>
      </c>
    </row>
    <row r="11887" spans="1:2" x14ac:dyDescent="0.25">
      <c r="A11887" t="s">
        <v>13548</v>
      </c>
      <c r="B11887" t="s">
        <v>694</v>
      </c>
    </row>
    <row r="11888" spans="1:2" x14ac:dyDescent="0.25">
      <c r="A11888" t="s">
        <v>13549</v>
      </c>
      <c r="B11888" t="s">
        <v>13549</v>
      </c>
    </row>
    <row r="11889" spans="1:2" x14ac:dyDescent="0.25">
      <c r="A11889" t="s">
        <v>13550</v>
      </c>
      <c r="B11889" t="s">
        <v>13550</v>
      </c>
    </row>
    <row r="11890" spans="1:2" x14ac:dyDescent="0.25">
      <c r="A11890" t="s">
        <v>13551</v>
      </c>
      <c r="B11890" t="s">
        <v>13551</v>
      </c>
    </row>
    <row r="11891" spans="1:2" x14ac:dyDescent="0.25">
      <c r="A11891" t="s">
        <v>13552</v>
      </c>
      <c r="B11891" t="s">
        <v>13552</v>
      </c>
    </row>
    <row r="11892" spans="1:2" x14ac:dyDescent="0.25">
      <c r="A11892" t="s">
        <v>13553</v>
      </c>
      <c r="B11892" t="s">
        <v>13553</v>
      </c>
    </row>
    <row r="11893" spans="1:2" x14ac:dyDescent="0.25">
      <c r="A11893" t="s">
        <v>13554</v>
      </c>
      <c r="B11893" t="s">
        <v>13554</v>
      </c>
    </row>
    <row r="11894" spans="1:2" x14ac:dyDescent="0.25">
      <c r="A11894" t="s">
        <v>13555</v>
      </c>
      <c r="B11894" t="s">
        <v>13555</v>
      </c>
    </row>
    <row r="11895" spans="1:2" x14ac:dyDescent="0.25">
      <c r="A11895" t="s">
        <v>13556</v>
      </c>
      <c r="B11895" t="s">
        <v>218</v>
      </c>
    </row>
    <row r="11896" spans="1:2" x14ac:dyDescent="0.25">
      <c r="A11896" t="s">
        <v>13557</v>
      </c>
      <c r="B11896" t="s">
        <v>204</v>
      </c>
    </row>
    <row r="11897" spans="1:2" x14ac:dyDescent="0.25">
      <c r="A11897" t="s">
        <v>13558</v>
      </c>
      <c r="B11897" t="s">
        <v>468</v>
      </c>
    </row>
    <row r="11898" spans="1:2" x14ac:dyDescent="0.25">
      <c r="A11898" t="s">
        <v>13559</v>
      </c>
      <c r="B11898" t="s">
        <v>536</v>
      </c>
    </row>
    <row r="11899" spans="1:2" x14ac:dyDescent="0.25">
      <c r="A11899" t="s">
        <v>13560</v>
      </c>
      <c r="B11899" t="s">
        <v>299</v>
      </c>
    </row>
    <row r="11900" spans="1:2" x14ac:dyDescent="0.25">
      <c r="A11900" t="s">
        <v>13561</v>
      </c>
      <c r="B11900" t="s">
        <v>72</v>
      </c>
    </row>
    <row r="11901" spans="1:2" x14ac:dyDescent="0.25">
      <c r="A11901" t="s">
        <v>13562</v>
      </c>
      <c r="B11901" t="s">
        <v>417</v>
      </c>
    </row>
    <row r="11902" spans="1:2" x14ac:dyDescent="0.25">
      <c r="A11902" t="s">
        <v>13563</v>
      </c>
      <c r="B11902" t="s">
        <v>450</v>
      </c>
    </row>
    <row r="11903" spans="1:2" x14ac:dyDescent="0.25">
      <c r="A11903" t="s">
        <v>13564</v>
      </c>
      <c r="B11903" t="s">
        <v>450</v>
      </c>
    </row>
    <row r="11904" spans="1:2" x14ac:dyDescent="0.25">
      <c r="A11904" t="s">
        <v>13565</v>
      </c>
      <c r="B11904" t="s">
        <v>1352</v>
      </c>
    </row>
    <row r="11905" spans="1:2" x14ac:dyDescent="0.25">
      <c r="A11905" t="s">
        <v>13566</v>
      </c>
      <c r="B11905" t="s">
        <v>13566</v>
      </c>
    </row>
    <row r="11906" spans="1:2" x14ac:dyDescent="0.25">
      <c r="A11906" t="s">
        <v>13567</v>
      </c>
      <c r="B11906" t="s">
        <v>13567</v>
      </c>
    </row>
    <row r="11907" spans="1:2" x14ac:dyDescent="0.25">
      <c r="A11907" t="s">
        <v>13568</v>
      </c>
      <c r="B11907" t="s">
        <v>13568</v>
      </c>
    </row>
    <row r="11908" spans="1:2" x14ac:dyDescent="0.25">
      <c r="A11908" t="s">
        <v>13569</v>
      </c>
      <c r="B11908" t="s">
        <v>13569</v>
      </c>
    </row>
    <row r="11909" spans="1:2" x14ac:dyDescent="0.25">
      <c r="A11909" t="s">
        <v>13570</v>
      </c>
      <c r="B11909" t="s">
        <v>13570</v>
      </c>
    </row>
    <row r="11910" spans="1:2" x14ac:dyDescent="0.25">
      <c r="A11910" t="s">
        <v>13571</v>
      </c>
      <c r="B11910" t="s">
        <v>9559</v>
      </c>
    </row>
    <row r="11911" spans="1:2" x14ac:dyDescent="0.25">
      <c r="A11911" t="s">
        <v>13572</v>
      </c>
      <c r="B11911" t="s">
        <v>149</v>
      </c>
    </row>
    <row r="11912" spans="1:2" x14ac:dyDescent="0.25">
      <c r="A11912" t="s">
        <v>13573</v>
      </c>
      <c r="B11912" t="s">
        <v>210</v>
      </c>
    </row>
    <row r="11913" spans="1:2" x14ac:dyDescent="0.25">
      <c r="A11913" t="s">
        <v>13574</v>
      </c>
      <c r="B11913" t="s">
        <v>265</v>
      </c>
    </row>
    <row r="11914" spans="1:2" x14ac:dyDescent="0.25">
      <c r="A11914" t="s">
        <v>13575</v>
      </c>
      <c r="B11914" t="s">
        <v>80</v>
      </c>
    </row>
    <row r="11915" spans="1:2" x14ac:dyDescent="0.25">
      <c r="A11915" t="s">
        <v>13576</v>
      </c>
      <c r="B11915" t="s">
        <v>157</v>
      </c>
    </row>
    <row r="11916" spans="1:2" x14ac:dyDescent="0.25">
      <c r="A11916" t="s">
        <v>13577</v>
      </c>
      <c r="B11916" t="s">
        <v>218</v>
      </c>
    </row>
    <row r="11917" spans="1:2" x14ac:dyDescent="0.25">
      <c r="A11917" t="s">
        <v>13578</v>
      </c>
      <c r="B11917" t="s">
        <v>153</v>
      </c>
    </row>
    <row r="11918" spans="1:2" x14ac:dyDescent="0.25">
      <c r="A11918" t="s">
        <v>13579</v>
      </c>
      <c r="B11918" t="s">
        <v>646</v>
      </c>
    </row>
    <row r="11919" spans="1:2" x14ac:dyDescent="0.25">
      <c r="A11919" t="s">
        <v>13580</v>
      </c>
      <c r="B11919" t="s">
        <v>13580</v>
      </c>
    </row>
    <row r="11920" spans="1:2" x14ac:dyDescent="0.25">
      <c r="A11920" t="s">
        <v>13581</v>
      </c>
      <c r="B11920" t="s">
        <v>707</v>
      </c>
    </row>
    <row r="11921" spans="1:2" x14ac:dyDescent="0.25">
      <c r="A11921" t="s">
        <v>13582</v>
      </c>
      <c r="B11921" t="s">
        <v>121</v>
      </c>
    </row>
    <row r="11922" spans="1:2" x14ac:dyDescent="0.25">
      <c r="A11922" s="157" t="s">
        <v>13742</v>
      </c>
      <c r="B11922" s="157" t="s">
        <v>13758</v>
      </c>
    </row>
    <row r="11923" spans="1:2" x14ac:dyDescent="0.25">
      <c r="A11923" s="157" t="s">
        <v>13743</v>
      </c>
      <c r="B11923" s="157" t="s">
        <v>218</v>
      </c>
    </row>
    <row r="11924" spans="1:2" x14ac:dyDescent="0.25">
      <c r="A11924" s="157" t="s">
        <v>13744</v>
      </c>
      <c r="B11924" s="157" t="s">
        <v>182</v>
      </c>
    </row>
    <row r="11925" spans="1:2" x14ac:dyDescent="0.25">
      <c r="A11925" s="157" t="s">
        <v>13745</v>
      </c>
      <c r="B11925" s="157" t="s">
        <v>78</v>
      </c>
    </row>
    <row r="11926" spans="1:2" x14ac:dyDescent="0.25">
      <c r="A11926" s="157" t="s">
        <v>13746</v>
      </c>
      <c r="B11926" s="157" t="s">
        <v>372</v>
      </c>
    </row>
    <row r="11927" spans="1:2" x14ac:dyDescent="0.25">
      <c r="A11927" s="157" t="s">
        <v>13747</v>
      </c>
      <c r="B11927" s="157" t="s">
        <v>299</v>
      </c>
    </row>
    <row r="11928" spans="1:2" x14ac:dyDescent="0.25">
      <c r="A11928" s="157" t="s">
        <v>13748</v>
      </c>
      <c r="B11928" s="157" t="s">
        <v>76</v>
      </c>
    </row>
    <row r="11929" spans="1:2" x14ac:dyDescent="0.25">
      <c r="A11929" s="157" t="s">
        <v>13749</v>
      </c>
      <c r="B11929" s="157" t="s">
        <v>222</v>
      </c>
    </row>
    <row r="11930" spans="1:2" x14ac:dyDescent="0.25">
      <c r="A11930" s="157" t="s">
        <v>13741</v>
      </c>
      <c r="B11930" s="157" t="s">
        <v>708</v>
      </c>
    </row>
    <row r="11931" spans="1:2" x14ac:dyDescent="0.25">
      <c r="A11931" s="157" t="s">
        <v>13750</v>
      </c>
      <c r="B11931" s="157" t="s">
        <v>80</v>
      </c>
    </row>
    <row r="11932" spans="1:2" x14ac:dyDescent="0.25">
      <c r="A11932" s="157" t="s">
        <v>13751</v>
      </c>
      <c r="B11932" s="157" t="s">
        <v>294</v>
      </c>
    </row>
    <row r="11933" spans="1:2" x14ac:dyDescent="0.25">
      <c r="A11933" s="157" t="s">
        <v>13752</v>
      </c>
      <c r="B11933" s="157" t="s">
        <v>560</v>
      </c>
    </row>
    <row r="11934" spans="1:2" x14ac:dyDescent="0.25">
      <c r="A11934" s="157" t="s">
        <v>13753</v>
      </c>
      <c r="B11934" s="157" t="s">
        <v>1223</v>
      </c>
    </row>
    <row r="11935" spans="1:2" x14ac:dyDescent="0.25">
      <c r="A11935" s="157" t="s">
        <v>13754</v>
      </c>
      <c r="B11935" s="157" t="s">
        <v>509</v>
      </c>
    </row>
    <row r="11936" spans="1:2" x14ac:dyDescent="0.25">
      <c r="A11936" s="157" t="s">
        <v>13755</v>
      </c>
      <c r="B11936" s="157" t="s">
        <v>640</v>
      </c>
    </row>
    <row r="11937" spans="1:2" x14ac:dyDescent="0.25">
      <c r="A11937" s="157" t="s">
        <v>13756</v>
      </c>
      <c r="B11937" s="157" t="s">
        <v>654</v>
      </c>
    </row>
    <row r="11938" spans="1:2" x14ac:dyDescent="0.25">
      <c r="A11938" s="157" t="s">
        <v>13757</v>
      </c>
      <c r="B11938" s="157" t="s">
        <v>611</v>
      </c>
    </row>
    <row r="11939" spans="1:2" x14ac:dyDescent="0.25">
      <c r="A11939" s="157" t="s">
        <v>13759</v>
      </c>
      <c r="B11939" s="157" t="s">
        <v>13759</v>
      </c>
    </row>
    <row r="11940" spans="1:2" x14ac:dyDescent="0.25">
      <c r="A11940" s="157" t="s">
        <v>13760</v>
      </c>
      <c r="B11940" s="157" t="s">
        <v>13760</v>
      </c>
    </row>
    <row r="11941" spans="1:2" x14ac:dyDescent="0.25">
      <c r="A11941" s="157" t="s">
        <v>13761</v>
      </c>
      <c r="B11941" s="157" t="s">
        <v>13761</v>
      </c>
    </row>
    <row r="11942" spans="1:2" x14ac:dyDescent="0.25">
      <c r="A11942" s="157" t="s">
        <v>13762</v>
      </c>
      <c r="B11942" s="157" t="s">
        <v>13762</v>
      </c>
    </row>
    <row r="11943" spans="1:2" x14ac:dyDescent="0.25">
      <c r="A11943" s="157" t="s">
        <v>13763</v>
      </c>
      <c r="B11943" s="157" t="s">
        <v>13763</v>
      </c>
    </row>
    <row r="11944" spans="1:2" x14ac:dyDescent="0.25">
      <c r="A11944" s="157" t="s">
        <v>13764</v>
      </c>
      <c r="B11944" s="157" t="s">
        <v>13764</v>
      </c>
    </row>
    <row r="11945" spans="1:2" x14ac:dyDescent="0.25">
      <c r="A11945" s="157" t="s">
        <v>13765</v>
      </c>
      <c r="B11945" s="157" t="s">
        <v>13765</v>
      </c>
    </row>
    <row r="11946" spans="1:2" x14ac:dyDescent="0.25">
      <c r="A11946" s="157" t="s">
        <v>13766</v>
      </c>
      <c r="B11946" s="157" t="s">
        <v>13414</v>
      </c>
    </row>
    <row r="11947" spans="1:2" x14ac:dyDescent="0.25">
      <c r="A11947" s="157" t="s">
        <v>13767</v>
      </c>
      <c r="B11947" s="157" t="s">
        <v>13767</v>
      </c>
    </row>
    <row r="11948" spans="1:2" x14ac:dyDescent="0.25">
      <c r="A11948" s="157" t="s">
        <v>13768</v>
      </c>
      <c r="B11948" s="157" t="s">
        <v>13768</v>
      </c>
    </row>
    <row r="11949" spans="1:2" x14ac:dyDescent="0.25">
      <c r="A11949" s="157" t="s">
        <v>13775</v>
      </c>
      <c r="B11949" s="157" t="s">
        <v>13776</v>
      </c>
    </row>
    <row r="11950" spans="1:2" x14ac:dyDescent="0.25">
      <c r="A11950" s="157" t="s">
        <v>13770</v>
      </c>
      <c r="B11950" s="157" t="s">
        <v>13770</v>
      </c>
    </row>
    <row r="11951" spans="1:2" x14ac:dyDescent="0.25">
      <c r="A11951" s="157" t="s">
        <v>13777</v>
      </c>
      <c r="B11951" s="157" t="s">
        <v>13780</v>
      </c>
    </row>
    <row r="11952" spans="1:2" x14ac:dyDescent="0.25">
      <c r="A11952" s="157" t="s">
        <v>13778</v>
      </c>
      <c r="B11952" s="157" t="s">
        <v>13518</v>
      </c>
    </row>
    <row r="11953" spans="1:3" x14ac:dyDescent="0.25">
      <c r="A11953" s="157" t="s">
        <v>13779</v>
      </c>
      <c r="B11953" s="157" t="s">
        <v>13450</v>
      </c>
    </row>
    <row r="11954" spans="1:3" x14ac:dyDescent="0.25">
      <c r="A11954" s="157" t="s">
        <v>13874</v>
      </c>
      <c r="B11954" s="157" t="s">
        <v>13776</v>
      </c>
    </row>
    <row r="11955" spans="1:3" x14ac:dyDescent="0.25">
      <c r="A11955" s="157" t="s">
        <v>13875</v>
      </c>
      <c r="B11955" s="157" t="s">
        <v>13450</v>
      </c>
    </row>
    <row r="11956" spans="1:3" x14ac:dyDescent="0.25">
      <c r="A11956" s="157" t="s">
        <v>13876</v>
      </c>
      <c r="B11956" s="157" t="s">
        <v>13518</v>
      </c>
    </row>
    <row r="11957" spans="1:3" x14ac:dyDescent="0.25">
      <c r="A11957" s="157" t="s">
        <v>13878</v>
      </c>
      <c r="B11957" s="157" t="s">
        <v>552</v>
      </c>
    </row>
    <row r="11958" spans="1:3" x14ac:dyDescent="0.25">
      <c r="A11958" s="157" t="s">
        <v>13879</v>
      </c>
      <c r="B11958" s="157" t="s">
        <v>210</v>
      </c>
    </row>
    <row r="11959" spans="1:3" x14ac:dyDescent="0.25">
      <c r="A11959" s="157" t="s">
        <v>13880</v>
      </c>
      <c r="B11959" s="157" t="s">
        <v>13881</v>
      </c>
    </row>
    <row r="11960" spans="1:3" x14ac:dyDescent="0.25">
      <c r="A11960" s="157" t="s">
        <v>13882</v>
      </c>
      <c r="B11960" s="157" t="s">
        <v>364</v>
      </c>
      <c r="C11960" s="164"/>
    </row>
    <row r="11961" spans="1:3" x14ac:dyDescent="0.25">
      <c r="A11961" s="157" t="s">
        <v>13883</v>
      </c>
      <c r="B11961" s="157" t="s">
        <v>199</v>
      </c>
      <c r="C11961" s="164"/>
    </row>
    <row r="11962" spans="1:3" x14ac:dyDescent="0.25">
      <c r="A11962" s="157" t="s">
        <v>13884</v>
      </c>
      <c r="B11962" s="157" t="s">
        <v>602</v>
      </c>
      <c r="C11962" s="164"/>
    </row>
    <row r="11963" spans="1:3" x14ac:dyDescent="0.25">
      <c r="A11963" s="157" t="s">
        <v>13886</v>
      </c>
      <c r="B11963" s="157" t="s">
        <v>13886</v>
      </c>
    </row>
    <row r="11964" spans="1:3" x14ac:dyDescent="0.25">
      <c r="A11964" s="157" t="s">
        <v>13885</v>
      </c>
      <c r="B11964" s="157" t="s">
        <v>13506</v>
      </c>
    </row>
    <row r="11965" spans="1:3" x14ac:dyDescent="0.25">
      <c r="A11965" s="157" t="s">
        <v>13786</v>
      </c>
      <c r="B11965" s="157" t="s">
        <v>159</v>
      </c>
    </row>
    <row r="11966" spans="1:3" x14ac:dyDescent="0.25">
      <c r="A11966" s="157" t="s">
        <v>13887</v>
      </c>
      <c r="B11966" s="157" t="s">
        <v>13887</v>
      </c>
    </row>
    <row r="11967" spans="1:3" x14ac:dyDescent="0.25">
      <c r="A11967" s="157" t="s">
        <v>13888</v>
      </c>
      <c r="B11967" s="157" t="s">
        <v>133</v>
      </c>
    </row>
    <row r="11968" spans="1:3" x14ac:dyDescent="0.25">
      <c r="A11968" s="157" t="s">
        <v>13889</v>
      </c>
      <c r="B11968" s="157" t="s">
        <v>13889</v>
      </c>
    </row>
    <row r="11969" spans="1:2" x14ac:dyDescent="0.25">
      <c r="A11969" s="157" t="s">
        <v>13890</v>
      </c>
      <c r="B11969" s="157" t="s">
        <v>364</v>
      </c>
    </row>
    <row r="11970" spans="1:2" x14ac:dyDescent="0.25">
      <c r="A11970" s="157" t="s">
        <v>13891</v>
      </c>
      <c r="B11970" s="157" t="s">
        <v>706</v>
      </c>
    </row>
    <row r="11971" spans="1:2" x14ac:dyDescent="0.25">
      <c r="A11971" s="157" t="s">
        <v>13892</v>
      </c>
      <c r="B11971" s="157" t="s">
        <v>212</v>
      </c>
    </row>
    <row r="11972" spans="1:2" x14ac:dyDescent="0.25">
      <c r="A11972" s="157" t="s">
        <v>13893</v>
      </c>
      <c r="B11972" s="157" t="s">
        <v>157</v>
      </c>
    </row>
    <row r="11973" spans="1:2" x14ac:dyDescent="0.25">
      <c r="A11973" s="157" t="s">
        <v>13894</v>
      </c>
      <c r="B11973" s="157" t="s">
        <v>466</v>
      </c>
    </row>
    <row r="11974" spans="1:2" x14ac:dyDescent="0.25">
      <c r="A11974" s="165" t="s">
        <v>13895</v>
      </c>
      <c r="B11974" s="157" t="s">
        <v>224</v>
      </c>
    </row>
    <row r="11975" spans="1:2" x14ac:dyDescent="0.25">
      <c r="A11975" s="157" t="s">
        <v>13896</v>
      </c>
      <c r="B11975" s="157" t="s">
        <v>10931</v>
      </c>
    </row>
  </sheetData>
  <autoFilter ref="A1:B11378"/>
  <conditionalFormatting sqref="B11007:B11011 B11014:B11018">
    <cfRule type="duplicateValues" dxfId="52" priority="175"/>
  </conditionalFormatting>
  <conditionalFormatting sqref="B11012:B11013">
    <cfRule type="duplicateValues" dxfId="51" priority="174"/>
  </conditionalFormatting>
  <conditionalFormatting sqref="B11059:B11091">
    <cfRule type="duplicateValues" dxfId="50" priority="170"/>
    <cfRule type="duplicateValues" dxfId="49" priority="171"/>
  </conditionalFormatting>
  <conditionalFormatting sqref="B11092">
    <cfRule type="duplicateValues" dxfId="48" priority="168"/>
    <cfRule type="duplicateValues" dxfId="47" priority="169"/>
  </conditionalFormatting>
  <conditionalFormatting sqref="B11101:B11105 B11107:B11108">
    <cfRule type="duplicateValues" dxfId="46" priority="1955"/>
  </conditionalFormatting>
  <conditionalFormatting sqref="B11106">
    <cfRule type="duplicateValues" dxfId="45" priority="162"/>
    <cfRule type="duplicateValues" dxfId="44" priority="163"/>
  </conditionalFormatting>
  <conditionalFormatting sqref="B11110:B11115 B11117">
    <cfRule type="duplicateValues" dxfId="43" priority="160"/>
    <cfRule type="duplicateValues" dxfId="42" priority="161"/>
  </conditionalFormatting>
  <conditionalFormatting sqref="B11118:B11120 B11122">
    <cfRule type="duplicateValues" dxfId="41" priority="157"/>
  </conditionalFormatting>
  <conditionalFormatting sqref="B11118:B11120 B11122:B11123">
    <cfRule type="duplicateValues" dxfId="40" priority="156"/>
  </conditionalFormatting>
  <conditionalFormatting sqref="B11121">
    <cfRule type="duplicateValues" dxfId="39" priority="154"/>
    <cfRule type="duplicateValues" dxfId="38" priority="155"/>
  </conditionalFormatting>
  <conditionalFormatting sqref="A1:A11367 A11383:A11564 A11566:A11616 A11618 A11623:A11624 A11878:A1048576">
    <cfRule type="duplicateValues" dxfId="37" priority="153"/>
  </conditionalFormatting>
  <conditionalFormatting sqref="B11229">
    <cfRule type="duplicateValues" dxfId="36" priority="152"/>
  </conditionalFormatting>
  <conditionalFormatting sqref="A1:A11378 A11383:A11564 A11566:A11616 A11618 A11623:A11624 A11878:A1048576">
    <cfRule type="duplicateValues" dxfId="35" priority="148"/>
  </conditionalFormatting>
  <conditionalFormatting sqref="A11565">
    <cfRule type="duplicateValues" dxfId="34" priority="144"/>
    <cfRule type="duplicateValues" dxfId="33" priority="145"/>
  </conditionalFormatting>
  <conditionalFormatting sqref="A11617">
    <cfRule type="duplicateValues" dxfId="32" priority="140"/>
    <cfRule type="duplicateValues" dxfId="31" priority="141"/>
  </conditionalFormatting>
  <conditionalFormatting sqref="A11620:A11621">
    <cfRule type="duplicateValues" dxfId="30" priority="112"/>
    <cfRule type="duplicateValues" dxfId="29" priority="113"/>
  </conditionalFormatting>
  <conditionalFormatting sqref="A1:A11621 A11623:A11624 A11878:A1048576">
    <cfRule type="duplicateValues" dxfId="28" priority="85"/>
  </conditionalFormatting>
  <conditionalFormatting sqref="B11622">
    <cfRule type="duplicateValues" dxfId="27" priority="81"/>
  </conditionalFormatting>
  <conditionalFormatting sqref="A11622">
    <cfRule type="duplicateValues" dxfId="26" priority="80"/>
  </conditionalFormatting>
  <conditionalFormatting sqref="A1:A1048576">
    <cfRule type="duplicateValues" dxfId="25" priority="1"/>
  </conditionalFormatting>
  <conditionalFormatting sqref="A11619">
    <cfRule type="duplicateValues" dxfId="24" priority="2637"/>
  </conditionalFormatting>
  <conditionalFormatting sqref="B11619">
    <cfRule type="duplicateValues" dxfId="23" priority="2638"/>
  </conditionalFormatting>
  <conditionalFormatting sqref="A11625:A11626">
    <cfRule type="duplicateValues" dxfId="22" priority="2658"/>
  </conditionalFormatting>
  <conditionalFormatting sqref="B11625:B11626">
    <cfRule type="duplicateValues" dxfId="21" priority="2666"/>
  </conditionalFormatting>
  <conditionalFormatting sqref="A11627">
    <cfRule type="duplicateValues" dxfId="20" priority="2714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5"/>
  <sheetViews>
    <sheetView zoomScale="160" zoomScaleNormal="160" workbookViewId="0">
      <pane ySplit="1" topLeftCell="A937" activePane="bottomLeft" state="frozen"/>
      <selection pane="bottomLeft" activeCell="A945" sqref="A945"/>
    </sheetView>
  </sheetViews>
  <sheetFormatPr defaultRowHeight="15" x14ac:dyDescent="0.25"/>
  <cols>
    <col min="1" max="1" width="13.140625" style="25" bestFit="1" customWidth="1"/>
    <col min="2" max="2" width="13.140625" style="25" customWidth="1"/>
    <col min="3" max="3" width="16.140625" style="25" bestFit="1" customWidth="1"/>
    <col min="4" max="4" width="20.85546875" style="25" bestFit="1" customWidth="1"/>
  </cols>
  <sheetData>
    <row r="1" spans="1:4" x14ac:dyDescent="0.25">
      <c r="A1" s="25" t="s">
        <v>3419</v>
      </c>
      <c r="B1" s="25" t="s">
        <v>13583</v>
      </c>
      <c r="C1" s="5" t="s">
        <v>13584</v>
      </c>
      <c r="D1" s="25" t="s">
        <v>13585</v>
      </c>
    </row>
    <row r="2" spans="1:4" x14ac:dyDescent="0.25">
      <c r="A2" s="25" t="s">
        <v>52</v>
      </c>
      <c r="B2" s="25">
        <v>1</v>
      </c>
      <c r="C2" s="4">
        <v>112.29259688581369</v>
      </c>
      <c r="D2" s="25">
        <v>112.29</v>
      </c>
    </row>
    <row r="3" spans="1:4" x14ac:dyDescent="0.25">
      <c r="A3" s="25" t="s">
        <v>58</v>
      </c>
      <c r="B3" s="25">
        <v>2</v>
      </c>
      <c r="C3" s="4">
        <v>31.350058641975281</v>
      </c>
      <c r="D3" s="25">
        <v>31.35</v>
      </c>
    </row>
    <row r="4" spans="1:4" x14ac:dyDescent="0.25">
      <c r="A4" s="25" t="s">
        <v>60</v>
      </c>
      <c r="B4" s="25">
        <v>3</v>
      </c>
      <c r="C4" s="4">
        <v>58.916739655172272</v>
      </c>
      <c r="D4" s="25">
        <v>58.92</v>
      </c>
    </row>
    <row r="5" spans="1:4" x14ac:dyDescent="0.25">
      <c r="A5" s="25" t="s">
        <v>62</v>
      </c>
      <c r="B5" s="25">
        <v>4</v>
      </c>
      <c r="C5" s="4">
        <v>103.2973703703703</v>
      </c>
      <c r="D5" s="25">
        <v>103.3</v>
      </c>
    </row>
    <row r="6" spans="1:4" x14ac:dyDescent="0.25">
      <c r="A6" s="25" t="s">
        <v>64</v>
      </c>
      <c r="B6" s="25">
        <v>5</v>
      </c>
      <c r="C6" s="4">
        <v>128.31233561643819</v>
      </c>
      <c r="D6" s="25">
        <v>128.31</v>
      </c>
    </row>
    <row r="7" spans="1:4" x14ac:dyDescent="0.25">
      <c r="A7" s="25" t="s">
        <v>66</v>
      </c>
      <c r="B7" s="25">
        <v>6</v>
      </c>
      <c r="C7" s="4">
        <v>24.379923076923081</v>
      </c>
      <c r="D7" s="25">
        <v>24.38</v>
      </c>
    </row>
    <row r="8" spans="1:4" x14ac:dyDescent="0.25">
      <c r="A8" s="25" t="s">
        <v>68</v>
      </c>
      <c r="B8" s="25">
        <v>7</v>
      </c>
      <c r="C8" s="4">
        <v>38.220803030303031</v>
      </c>
      <c r="D8" s="25">
        <v>38.22</v>
      </c>
    </row>
    <row r="9" spans="1:4" x14ac:dyDescent="0.25">
      <c r="A9" s="25" t="s">
        <v>70</v>
      </c>
      <c r="B9" s="25">
        <v>8</v>
      </c>
      <c r="C9" s="4">
        <v>51.414558823529418</v>
      </c>
      <c r="D9" s="25">
        <v>51.41</v>
      </c>
    </row>
    <row r="10" spans="1:4" x14ac:dyDescent="0.25">
      <c r="A10" s="25" t="s">
        <v>72</v>
      </c>
      <c r="B10" s="25">
        <v>9</v>
      </c>
      <c r="C10" s="4">
        <v>75.953352564102417</v>
      </c>
      <c r="D10" s="25">
        <v>75.95</v>
      </c>
    </row>
    <row r="11" spans="1:4" x14ac:dyDescent="0.25">
      <c r="A11" s="25" t="s">
        <v>74</v>
      </c>
      <c r="B11" s="25">
        <v>10</v>
      </c>
      <c r="C11" s="4">
        <v>24.864765624999979</v>
      </c>
      <c r="D11" s="25">
        <v>24.86</v>
      </c>
    </row>
    <row r="12" spans="1:4" x14ac:dyDescent="0.25">
      <c r="A12" s="25" t="s">
        <v>76</v>
      </c>
      <c r="B12" s="25">
        <v>11</v>
      </c>
      <c r="C12" s="4">
        <v>82.75580241935468</v>
      </c>
      <c r="D12" s="25">
        <v>82.76</v>
      </c>
    </row>
    <row r="13" spans="1:4" x14ac:dyDescent="0.25">
      <c r="A13" s="25" t="s">
        <v>1496</v>
      </c>
      <c r="B13" s="25">
        <v>12</v>
      </c>
      <c r="C13" s="4">
        <v>84.040499999999909</v>
      </c>
      <c r="D13" s="25">
        <v>84.04</v>
      </c>
    </row>
    <row r="14" spans="1:4" x14ac:dyDescent="0.25">
      <c r="A14" s="25" t="s">
        <v>78</v>
      </c>
      <c r="B14" s="25">
        <v>13</v>
      </c>
      <c r="C14" s="4">
        <v>57.175749999999979</v>
      </c>
      <c r="D14" s="25">
        <v>57.18</v>
      </c>
    </row>
    <row r="15" spans="1:4" x14ac:dyDescent="0.25">
      <c r="A15" s="25" t="s">
        <v>2741</v>
      </c>
      <c r="B15" s="25">
        <v>14</v>
      </c>
      <c r="C15" s="4">
        <v>10.66130303030303</v>
      </c>
      <c r="D15" s="25">
        <v>10.66</v>
      </c>
    </row>
    <row r="16" spans="1:4" x14ac:dyDescent="0.25">
      <c r="A16" s="25" t="s">
        <v>2744</v>
      </c>
      <c r="B16" s="25">
        <v>15</v>
      </c>
      <c r="C16" s="4">
        <v>16.14050000000001</v>
      </c>
      <c r="D16" s="25">
        <v>16.14</v>
      </c>
    </row>
    <row r="17" spans="1:4" x14ac:dyDescent="0.25">
      <c r="A17" s="25" t="s">
        <v>1498</v>
      </c>
      <c r="B17" s="25">
        <v>16</v>
      </c>
      <c r="C17" s="4">
        <v>16.140499999999999</v>
      </c>
      <c r="D17" s="25">
        <v>16.14</v>
      </c>
    </row>
    <row r="18" spans="1:4" x14ac:dyDescent="0.25">
      <c r="A18" s="25" t="s">
        <v>80</v>
      </c>
      <c r="B18" s="25">
        <v>17</v>
      </c>
      <c r="C18" s="4">
        <v>72.014686666666535</v>
      </c>
      <c r="D18" s="25">
        <v>72.010000000000005</v>
      </c>
    </row>
    <row r="19" spans="1:4" x14ac:dyDescent="0.25">
      <c r="A19" s="25" t="s">
        <v>84</v>
      </c>
      <c r="B19" s="25">
        <v>18</v>
      </c>
      <c r="C19" s="4">
        <v>89.745499999999993</v>
      </c>
      <c r="D19" s="25">
        <v>89.75</v>
      </c>
    </row>
    <row r="20" spans="1:4" x14ac:dyDescent="0.25">
      <c r="A20" s="25" t="s">
        <v>87</v>
      </c>
      <c r="B20" s="25">
        <v>19</v>
      </c>
      <c r="C20" s="4">
        <v>101.9797857142857</v>
      </c>
      <c r="D20" s="25">
        <v>101.98</v>
      </c>
    </row>
    <row r="21" spans="1:4" x14ac:dyDescent="0.25">
      <c r="A21" s="25" t="s">
        <v>2756</v>
      </c>
      <c r="B21" s="25">
        <v>25</v>
      </c>
      <c r="C21" s="4">
        <v>30.623249999999999</v>
      </c>
      <c r="D21" s="25">
        <v>30.62</v>
      </c>
    </row>
    <row r="22" spans="1:4" x14ac:dyDescent="0.25">
      <c r="A22" s="25" t="s">
        <v>89</v>
      </c>
      <c r="B22" s="25">
        <v>26</v>
      </c>
      <c r="C22" s="4">
        <v>24.816480555555451</v>
      </c>
      <c r="D22" s="25">
        <v>24.82</v>
      </c>
    </row>
    <row r="23" spans="1:4" x14ac:dyDescent="0.25">
      <c r="A23" s="25" t="s">
        <v>93</v>
      </c>
      <c r="B23" s="25">
        <v>27</v>
      </c>
      <c r="C23" s="4">
        <v>42.740499999999997</v>
      </c>
      <c r="D23" s="25">
        <v>42.74</v>
      </c>
    </row>
    <row r="24" spans="1:4" x14ac:dyDescent="0.25">
      <c r="A24" s="25" t="s">
        <v>95</v>
      </c>
      <c r="B24" s="25">
        <v>28</v>
      </c>
      <c r="C24" s="4">
        <v>40.800916666666673</v>
      </c>
      <c r="D24" s="25">
        <v>40.799999999999997</v>
      </c>
    </row>
    <row r="25" spans="1:4" x14ac:dyDescent="0.25">
      <c r="A25" s="25" t="s">
        <v>97</v>
      </c>
      <c r="B25" s="25">
        <v>29</v>
      </c>
      <c r="C25" s="4">
        <v>94.81089622641494</v>
      </c>
      <c r="D25" s="25">
        <v>94.81</v>
      </c>
    </row>
    <row r="26" spans="1:4" x14ac:dyDescent="0.25">
      <c r="A26" s="25" t="s">
        <v>99</v>
      </c>
      <c r="B26" s="25">
        <v>30</v>
      </c>
      <c r="C26" s="4">
        <v>70.353987804878003</v>
      </c>
      <c r="D26" s="25">
        <v>70.349999999999994</v>
      </c>
    </row>
    <row r="27" spans="1:4" x14ac:dyDescent="0.25">
      <c r="A27" s="25" t="s">
        <v>104</v>
      </c>
      <c r="B27" s="25">
        <v>31</v>
      </c>
      <c r="C27" s="4">
        <v>27.273403846153851</v>
      </c>
      <c r="D27" s="25">
        <v>27.27</v>
      </c>
    </row>
    <row r="28" spans="1:4" x14ac:dyDescent="0.25">
      <c r="A28" s="25" t="s">
        <v>2758</v>
      </c>
      <c r="B28" s="25">
        <v>32</v>
      </c>
      <c r="C28" s="4">
        <v>83.478735294117655</v>
      </c>
      <c r="D28" s="25">
        <v>83.48</v>
      </c>
    </row>
    <row r="29" spans="1:4" x14ac:dyDescent="0.25">
      <c r="A29" s="25" t="s">
        <v>2760</v>
      </c>
      <c r="B29" s="25">
        <v>34</v>
      </c>
      <c r="C29" s="4">
        <v>16.520499999999998</v>
      </c>
      <c r="D29" s="25">
        <v>16.52</v>
      </c>
    </row>
    <row r="30" spans="1:4" x14ac:dyDescent="0.25">
      <c r="A30" s="25" t="s">
        <v>108</v>
      </c>
      <c r="B30" s="25">
        <v>35</v>
      </c>
      <c r="C30" s="4">
        <v>11.23874912587412</v>
      </c>
      <c r="D30" s="25">
        <v>11.24</v>
      </c>
    </row>
    <row r="31" spans="1:4" x14ac:dyDescent="0.25">
      <c r="A31" s="25" t="s">
        <v>111</v>
      </c>
      <c r="B31" s="25">
        <v>36</v>
      </c>
      <c r="C31" s="4">
        <v>17.462490196078431</v>
      </c>
      <c r="D31" s="25">
        <v>17.46</v>
      </c>
    </row>
    <row r="32" spans="1:4" x14ac:dyDescent="0.25">
      <c r="A32" s="25" t="s">
        <v>113</v>
      </c>
      <c r="B32" s="25">
        <v>38</v>
      </c>
      <c r="C32" s="4">
        <v>15.27011234567901</v>
      </c>
      <c r="D32" s="25">
        <v>15.27</v>
      </c>
    </row>
    <row r="33" spans="1:4" x14ac:dyDescent="0.25">
      <c r="A33" s="25" t="s">
        <v>716</v>
      </c>
      <c r="B33" s="25">
        <v>40</v>
      </c>
      <c r="C33" s="4">
        <v>34.427999999999997</v>
      </c>
      <c r="D33" s="25">
        <v>34.43</v>
      </c>
    </row>
    <row r="34" spans="1:4" x14ac:dyDescent="0.25">
      <c r="A34" s="25" t="s">
        <v>115</v>
      </c>
      <c r="B34" s="25">
        <v>41</v>
      </c>
      <c r="C34" s="4">
        <v>26.564734146341351</v>
      </c>
      <c r="D34" s="25">
        <v>26.56</v>
      </c>
    </row>
    <row r="35" spans="1:4" x14ac:dyDescent="0.25">
      <c r="A35" s="25" t="s">
        <v>720</v>
      </c>
      <c r="B35" s="25">
        <v>42</v>
      </c>
      <c r="C35" s="4">
        <v>55.035400000000003</v>
      </c>
      <c r="D35" s="25">
        <v>55.04</v>
      </c>
    </row>
    <row r="36" spans="1:4" x14ac:dyDescent="0.25">
      <c r="A36" s="25" t="s">
        <v>1506</v>
      </c>
      <c r="B36" s="25">
        <v>43</v>
      </c>
      <c r="C36" s="4">
        <v>94.863833333333318</v>
      </c>
      <c r="D36" s="25">
        <v>94.86</v>
      </c>
    </row>
    <row r="37" spans="1:4" x14ac:dyDescent="0.25">
      <c r="A37" s="25" t="s">
        <v>121</v>
      </c>
      <c r="B37" s="25">
        <v>48</v>
      </c>
      <c r="C37" s="4">
        <v>134.1964766949157</v>
      </c>
      <c r="D37" s="25">
        <v>134.19999999999999</v>
      </c>
    </row>
    <row r="38" spans="1:4" x14ac:dyDescent="0.25">
      <c r="A38" s="25" t="s">
        <v>124</v>
      </c>
      <c r="B38" s="25">
        <v>49</v>
      </c>
      <c r="C38" s="4">
        <v>114.04160344827579</v>
      </c>
      <c r="D38" s="25">
        <v>104.04</v>
      </c>
    </row>
    <row r="39" spans="1:4" x14ac:dyDescent="0.25">
      <c r="A39" s="25" t="s">
        <v>126</v>
      </c>
      <c r="B39" s="25">
        <v>50</v>
      </c>
      <c r="C39" s="4">
        <v>132.2582611111111</v>
      </c>
      <c r="D39" s="25">
        <v>122.26</v>
      </c>
    </row>
    <row r="40" spans="1:4" x14ac:dyDescent="0.25">
      <c r="A40" s="25" t="s">
        <v>128</v>
      </c>
      <c r="B40" s="25">
        <v>51</v>
      </c>
      <c r="C40" s="4">
        <v>163.21506666666659</v>
      </c>
      <c r="D40" s="25">
        <v>153.22</v>
      </c>
    </row>
    <row r="41" spans="1:4" x14ac:dyDescent="0.25">
      <c r="A41" s="25" t="s">
        <v>2764</v>
      </c>
      <c r="B41" s="25">
        <v>53</v>
      </c>
      <c r="C41" s="4">
        <v>9.4905000000000008</v>
      </c>
      <c r="D41" s="25">
        <v>9.49</v>
      </c>
    </row>
    <row r="42" spans="1:4" x14ac:dyDescent="0.25">
      <c r="A42" s="25" t="s">
        <v>130</v>
      </c>
      <c r="B42" s="25">
        <v>54</v>
      </c>
      <c r="C42" s="4">
        <v>47.463251497005871</v>
      </c>
      <c r="D42" s="25">
        <v>47.46</v>
      </c>
    </row>
    <row r="43" spans="1:4" x14ac:dyDescent="0.25">
      <c r="A43" s="25" t="s">
        <v>133</v>
      </c>
      <c r="B43" s="25">
        <v>56</v>
      </c>
      <c r="C43" s="4">
        <v>86.716318540433832</v>
      </c>
      <c r="D43" s="25">
        <v>86.72</v>
      </c>
    </row>
    <row r="44" spans="1:4" x14ac:dyDescent="0.25">
      <c r="A44" s="25" t="s">
        <v>135</v>
      </c>
      <c r="B44" s="25">
        <v>57</v>
      </c>
      <c r="C44" s="4">
        <v>49.005642045454479</v>
      </c>
      <c r="D44" s="25">
        <v>49.01</v>
      </c>
    </row>
    <row r="45" spans="1:4" x14ac:dyDescent="0.25">
      <c r="A45" s="25" t="s">
        <v>1514</v>
      </c>
      <c r="B45" s="25">
        <v>58</v>
      </c>
      <c r="C45" s="4">
        <v>80.882999999999996</v>
      </c>
      <c r="D45" s="25">
        <v>80.88</v>
      </c>
    </row>
    <row r="46" spans="1:4" x14ac:dyDescent="0.25">
      <c r="A46" s="25" t="s">
        <v>137</v>
      </c>
      <c r="B46" s="25">
        <v>59</v>
      </c>
      <c r="C46" s="4">
        <v>76.082745353160021</v>
      </c>
      <c r="D46" s="25">
        <v>76.08</v>
      </c>
    </row>
    <row r="47" spans="1:4" x14ac:dyDescent="0.25">
      <c r="A47" s="25" t="s">
        <v>140</v>
      </c>
      <c r="B47" s="25">
        <v>60</v>
      </c>
      <c r="C47" s="4">
        <v>87.390499999999918</v>
      </c>
      <c r="D47" s="25">
        <v>87.39</v>
      </c>
    </row>
    <row r="48" spans="1:4" x14ac:dyDescent="0.25">
      <c r="A48" s="25" t="s">
        <v>727</v>
      </c>
      <c r="B48" s="25">
        <v>63</v>
      </c>
      <c r="C48" s="4">
        <v>64.505527777777772</v>
      </c>
      <c r="D48" s="25">
        <v>64.510000000000005</v>
      </c>
    </row>
    <row r="49" spans="1:4" x14ac:dyDescent="0.25">
      <c r="A49" s="25" t="s">
        <v>142</v>
      </c>
      <c r="B49" s="25">
        <v>64</v>
      </c>
      <c r="C49" s="4">
        <v>73.335695312499979</v>
      </c>
      <c r="D49" s="25">
        <v>73.34</v>
      </c>
    </row>
    <row r="50" spans="1:4" x14ac:dyDescent="0.25">
      <c r="A50" s="25" t="s">
        <v>144</v>
      </c>
      <c r="B50" s="25">
        <v>65</v>
      </c>
      <c r="C50" s="4">
        <v>71.732321428571296</v>
      </c>
      <c r="D50" s="25">
        <v>71.73</v>
      </c>
    </row>
    <row r="51" spans="1:4" x14ac:dyDescent="0.25">
      <c r="A51" s="25" t="s">
        <v>1527</v>
      </c>
      <c r="B51" s="25">
        <v>70</v>
      </c>
      <c r="C51" s="4">
        <v>27.402750000000001</v>
      </c>
      <c r="D51" s="25">
        <v>27.4</v>
      </c>
    </row>
    <row r="52" spans="1:4" x14ac:dyDescent="0.25">
      <c r="A52" s="25" t="s">
        <v>2770</v>
      </c>
      <c r="B52" s="25">
        <v>73</v>
      </c>
      <c r="C52" s="4">
        <v>44.194000000000003</v>
      </c>
      <c r="D52" s="25">
        <v>44.19</v>
      </c>
    </row>
    <row r="53" spans="1:4" x14ac:dyDescent="0.25">
      <c r="A53" s="25" t="s">
        <v>1533</v>
      </c>
      <c r="B53" s="25">
        <v>74</v>
      </c>
      <c r="C53" s="4">
        <v>28.205500000000001</v>
      </c>
      <c r="D53" s="25">
        <v>28.21</v>
      </c>
    </row>
    <row r="54" spans="1:4" x14ac:dyDescent="0.25">
      <c r="A54" s="25" t="s">
        <v>2772</v>
      </c>
      <c r="B54" s="25">
        <v>76</v>
      </c>
      <c r="C54" s="4">
        <v>45.134500000000003</v>
      </c>
      <c r="D54" s="25">
        <v>45.13</v>
      </c>
    </row>
    <row r="55" spans="1:4" x14ac:dyDescent="0.25">
      <c r="A55" s="25" t="s">
        <v>1541</v>
      </c>
      <c r="B55" s="25">
        <v>80</v>
      </c>
      <c r="C55" s="4">
        <v>31.027000000000001</v>
      </c>
      <c r="D55" s="25">
        <v>31.03</v>
      </c>
    </row>
    <row r="56" spans="1:4" x14ac:dyDescent="0.25">
      <c r="A56" s="25" t="s">
        <v>2776</v>
      </c>
      <c r="B56" s="25">
        <v>82</v>
      </c>
      <c r="C56" s="4">
        <v>42.313000000000002</v>
      </c>
      <c r="D56" s="25">
        <v>42.31</v>
      </c>
    </row>
    <row r="57" spans="1:4" x14ac:dyDescent="0.25">
      <c r="A57" s="25" t="s">
        <v>1559</v>
      </c>
      <c r="B57" s="25">
        <v>91</v>
      </c>
      <c r="C57" s="4">
        <v>50.340499999999999</v>
      </c>
      <c r="D57" s="25">
        <v>50.34</v>
      </c>
    </row>
    <row r="58" spans="1:4" x14ac:dyDescent="0.25">
      <c r="A58" s="25" t="s">
        <v>1569</v>
      </c>
      <c r="B58" s="25">
        <v>96</v>
      </c>
      <c r="C58" s="4">
        <v>167.6813333333333</v>
      </c>
      <c r="D58" s="25">
        <v>157.68</v>
      </c>
    </row>
    <row r="59" spans="1:4" x14ac:dyDescent="0.25">
      <c r="A59" s="25" t="s">
        <v>146</v>
      </c>
      <c r="B59" s="25">
        <v>97</v>
      </c>
      <c r="C59" s="4">
        <v>224.5637142857143</v>
      </c>
      <c r="D59" s="25">
        <v>224.56</v>
      </c>
    </row>
    <row r="60" spans="1:4" x14ac:dyDescent="0.25">
      <c r="A60" s="25" t="s">
        <v>149</v>
      </c>
      <c r="B60" s="25">
        <v>98</v>
      </c>
      <c r="C60" s="4">
        <v>311.2738333333333</v>
      </c>
      <c r="D60" s="25">
        <v>311.27</v>
      </c>
    </row>
    <row r="61" spans="1:4" x14ac:dyDescent="0.25">
      <c r="A61" s="25" t="s">
        <v>1571</v>
      </c>
      <c r="B61" s="25">
        <v>99</v>
      </c>
      <c r="C61" s="4">
        <v>29.35567857142858</v>
      </c>
      <c r="D61" s="25">
        <v>29.36</v>
      </c>
    </row>
    <row r="62" spans="1:4" x14ac:dyDescent="0.25">
      <c r="A62" s="25" t="s">
        <v>151</v>
      </c>
      <c r="B62" s="25">
        <v>101</v>
      </c>
      <c r="C62" s="4">
        <v>37.771415384615267</v>
      </c>
      <c r="D62" s="25">
        <v>37.770000000000003</v>
      </c>
    </row>
    <row r="63" spans="1:4" x14ac:dyDescent="0.25">
      <c r="A63" s="25" t="s">
        <v>1575</v>
      </c>
      <c r="B63" s="25">
        <v>102</v>
      </c>
      <c r="C63" s="4">
        <v>13.81616666666666</v>
      </c>
      <c r="D63" s="25">
        <v>13.82</v>
      </c>
    </row>
    <row r="64" spans="1:4" x14ac:dyDescent="0.25">
      <c r="A64" s="25" t="s">
        <v>153</v>
      </c>
      <c r="B64" s="25">
        <v>104</v>
      </c>
      <c r="C64" s="4">
        <v>26.57564498645004</v>
      </c>
      <c r="D64" s="25">
        <v>26.58</v>
      </c>
    </row>
    <row r="65" spans="1:4" x14ac:dyDescent="0.25">
      <c r="A65" s="25" t="s">
        <v>1579</v>
      </c>
      <c r="B65" s="25">
        <v>105</v>
      </c>
      <c r="C65" s="4">
        <v>32.171490909090913</v>
      </c>
      <c r="D65" s="25">
        <v>32.17</v>
      </c>
    </row>
    <row r="66" spans="1:4" x14ac:dyDescent="0.25">
      <c r="A66" s="25" t="s">
        <v>155</v>
      </c>
      <c r="B66" s="25">
        <v>106</v>
      </c>
      <c r="C66" s="4">
        <v>110.192875</v>
      </c>
      <c r="D66" s="25">
        <v>110.19</v>
      </c>
    </row>
    <row r="67" spans="1:4" x14ac:dyDescent="0.25">
      <c r="A67" s="25" t="s">
        <v>1581</v>
      </c>
      <c r="B67" s="25">
        <v>107</v>
      </c>
      <c r="C67" s="4">
        <v>11.048500000000001</v>
      </c>
      <c r="D67" s="25">
        <v>11.05</v>
      </c>
    </row>
    <row r="68" spans="1:4" x14ac:dyDescent="0.25">
      <c r="A68" s="25" t="s">
        <v>2780</v>
      </c>
      <c r="B68" s="25">
        <v>108</v>
      </c>
      <c r="C68" s="4">
        <v>7.88559375</v>
      </c>
      <c r="D68" s="25">
        <v>7.89</v>
      </c>
    </row>
    <row r="69" spans="1:4" x14ac:dyDescent="0.25">
      <c r="A69" s="25" t="s">
        <v>157</v>
      </c>
      <c r="B69" s="25">
        <v>109</v>
      </c>
      <c r="C69" s="4">
        <v>105.93142005300319</v>
      </c>
      <c r="D69" s="25">
        <v>105.93</v>
      </c>
    </row>
    <row r="70" spans="1:4" x14ac:dyDescent="0.25">
      <c r="A70" s="25" t="s">
        <v>1585</v>
      </c>
      <c r="B70" s="25">
        <v>111</v>
      </c>
      <c r="C70" s="4">
        <v>9.490499999999999</v>
      </c>
      <c r="D70" s="25">
        <v>9.49</v>
      </c>
    </row>
    <row r="71" spans="1:4" x14ac:dyDescent="0.25">
      <c r="A71" s="25" t="s">
        <v>1589</v>
      </c>
      <c r="B71" s="25">
        <v>113</v>
      </c>
      <c r="C71" s="4">
        <v>14.240500000000001</v>
      </c>
      <c r="D71" s="25">
        <v>14.24</v>
      </c>
    </row>
    <row r="72" spans="1:4" x14ac:dyDescent="0.25">
      <c r="A72" s="25" t="s">
        <v>730</v>
      </c>
      <c r="B72" s="25">
        <v>114</v>
      </c>
      <c r="C72" s="4">
        <v>33.240499999999997</v>
      </c>
      <c r="D72" s="25">
        <v>33.24</v>
      </c>
    </row>
    <row r="73" spans="1:4" x14ac:dyDescent="0.25">
      <c r="A73" s="25" t="s">
        <v>159</v>
      </c>
      <c r="B73" s="25">
        <v>115</v>
      </c>
      <c r="C73" s="4">
        <v>40.183353333333272</v>
      </c>
      <c r="D73" s="25">
        <v>40.18</v>
      </c>
    </row>
    <row r="74" spans="1:4" x14ac:dyDescent="0.25">
      <c r="A74" s="25" t="s">
        <v>733</v>
      </c>
      <c r="B74" s="25">
        <v>116</v>
      </c>
      <c r="C74" s="4">
        <v>66.490499999999997</v>
      </c>
      <c r="D74" s="25">
        <v>66.489999999999995</v>
      </c>
    </row>
    <row r="75" spans="1:4" x14ac:dyDescent="0.25">
      <c r="A75" s="25" t="s">
        <v>2782</v>
      </c>
      <c r="B75" s="25">
        <v>117</v>
      </c>
      <c r="C75" s="4">
        <v>4.6229375000000008</v>
      </c>
      <c r="D75" s="25">
        <v>4.62</v>
      </c>
    </row>
    <row r="76" spans="1:4" x14ac:dyDescent="0.25">
      <c r="A76" s="25" t="s">
        <v>1594</v>
      </c>
      <c r="B76" s="25">
        <v>119</v>
      </c>
      <c r="C76" s="4">
        <v>5.5004999999999997</v>
      </c>
      <c r="D76" s="25">
        <v>5.5</v>
      </c>
    </row>
    <row r="77" spans="1:4" x14ac:dyDescent="0.25">
      <c r="A77" s="25" t="s">
        <v>1598</v>
      </c>
      <c r="B77" s="25">
        <v>121</v>
      </c>
      <c r="C77" s="4">
        <v>7.0205000000000002</v>
      </c>
      <c r="D77" s="25">
        <v>7.02</v>
      </c>
    </row>
    <row r="78" spans="1:4" x14ac:dyDescent="0.25">
      <c r="A78" s="25" t="s">
        <v>1606</v>
      </c>
      <c r="B78" s="25">
        <v>125</v>
      </c>
      <c r="C78" s="4">
        <v>114.17782394366181</v>
      </c>
      <c r="D78" s="25">
        <v>114.18</v>
      </c>
    </row>
    <row r="79" spans="1:4" x14ac:dyDescent="0.25">
      <c r="A79" s="25" t="s">
        <v>736</v>
      </c>
      <c r="B79" s="25">
        <v>126</v>
      </c>
      <c r="C79" s="4">
        <v>135.76031486486471</v>
      </c>
      <c r="D79" s="25">
        <v>135.756</v>
      </c>
    </row>
    <row r="80" spans="1:4" x14ac:dyDescent="0.25">
      <c r="A80" s="25" t="s">
        <v>161</v>
      </c>
      <c r="B80" s="25">
        <v>127</v>
      </c>
      <c r="C80" s="4">
        <v>1101.9905000000001</v>
      </c>
      <c r="D80" s="25">
        <v>1101.99</v>
      </c>
    </row>
    <row r="81" spans="1:4" x14ac:dyDescent="0.25">
      <c r="A81" s="25" t="s">
        <v>1608</v>
      </c>
      <c r="B81" s="25">
        <v>128</v>
      </c>
      <c r="C81" s="4">
        <v>90.240499999999997</v>
      </c>
      <c r="D81" s="25">
        <v>90.24</v>
      </c>
    </row>
    <row r="82" spans="1:4" x14ac:dyDescent="0.25">
      <c r="A82" s="25" t="s">
        <v>742</v>
      </c>
      <c r="B82" s="25">
        <v>130</v>
      </c>
      <c r="C82" s="4">
        <v>275.4905</v>
      </c>
      <c r="D82" s="25">
        <v>275.49</v>
      </c>
    </row>
    <row r="83" spans="1:4" x14ac:dyDescent="0.25">
      <c r="A83" s="25" t="s">
        <v>2784</v>
      </c>
      <c r="B83" s="25">
        <v>131</v>
      </c>
      <c r="C83" s="4">
        <v>142.4905</v>
      </c>
      <c r="D83" s="25">
        <v>142.49</v>
      </c>
    </row>
    <row r="84" spans="1:4" x14ac:dyDescent="0.25">
      <c r="A84" s="25" t="s">
        <v>1610</v>
      </c>
      <c r="B84" s="25">
        <v>134</v>
      </c>
      <c r="C84" s="4">
        <v>306.16057142857142</v>
      </c>
      <c r="D84" s="25">
        <v>306.16000000000003</v>
      </c>
    </row>
    <row r="85" spans="1:4" x14ac:dyDescent="0.25">
      <c r="A85" s="25" t="s">
        <v>755</v>
      </c>
      <c r="B85" s="25">
        <v>135</v>
      </c>
      <c r="C85" s="4">
        <v>405.13462500000003</v>
      </c>
      <c r="D85" s="25">
        <v>405.13</v>
      </c>
    </row>
    <row r="86" spans="1:4" x14ac:dyDescent="0.25">
      <c r="A86" s="25" t="s">
        <v>758</v>
      </c>
      <c r="B86" s="25">
        <v>136</v>
      </c>
      <c r="C86" s="4">
        <v>389.4905</v>
      </c>
      <c r="D86" s="25">
        <v>389.49</v>
      </c>
    </row>
    <row r="87" spans="1:4" x14ac:dyDescent="0.25">
      <c r="A87" s="25" t="s">
        <v>761</v>
      </c>
      <c r="B87" s="25">
        <v>137</v>
      </c>
      <c r="C87" s="4">
        <v>474.05</v>
      </c>
      <c r="D87" s="25">
        <v>474.05</v>
      </c>
    </row>
    <row r="88" spans="1:4" x14ac:dyDescent="0.25">
      <c r="A88" s="25" t="s">
        <v>1612</v>
      </c>
      <c r="B88" s="25">
        <v>138</v>
      </c>
      <c r="C88" s="4">
        <v>653.6</v>
      </c>
      <c r="D88" s="25">
        <v>653.6</v>
      </c>
    </row>
    <row r="89" spans="1:4" x14ac:dyDescent="0.25">
      <c r="A89" s="25" t="s">
        <v>164</v>
      </c>
      <c r="B89" s="25">
        <v>139</v>
      </c>
      <c r="C89" s="4">
        <v>97.080500000000015</v>
      </c>
      <c r="D89" s="25">
        <v>97.08</v>
      </c>
    </row>
    <row r="90" spans="1:4" x14ac:dyDescent="0.25">
      <c r="A90" s="25" t="s">
        <v>764</v>
      </c>
      <c r="B90" s="25">
        <v>140</v>
      </c>
      <c r="C90" s="4">
        <v>57.34675</v>
      </c>
      <c r="D90" s="25">
        <v>57.35</v>
      </c>
    </row>
    <row r="91" spans="1:4" x14ac:dyDescent="0.25">
      <c r="A91" s="25" t="s">
        <v>167</v>
      </c>
      <c r="B91" s="25">
        <v>141</v>
      </c>
      <c r="C91" s="4">
        <v>106.23456607929521</v>
      </c>
      <c r="D91" s="25">
        <v>106.23</v>
      </c>
    </row>
    <row r="92" spans="1:4" x14ac:dyDescent="0.25">
      <c r="A92" s="25" t="s">
        <v>2786</v>
      </c>
      <c r="B92" s="25">
        <v>142</v>
      </c>
      <c r="C92" s="4">
        <v>121.2364666666667</v>
      </c>
      <c r="D92" s="25">
        <v>121.24</v>
      </c>
    </row>
    <row r="93" spans="1:4" x14ac:dyDescent="0.25">
      <c r="A93" s="25" t="s">
        <v>169</v>
      </c>
      <c r="B93" s="25">
        <v>143</v>
      </c>
      <c r="C93" s="4">
        <v>146.37564485981289</v>
      </c>
      <c r="D93" s="25">
        <v>146.38</v>
      </c>
    </row>
    <row r="94" spans="1:4" x14ac:dyDescent="0.25">
      <c r="A94" s="25" t="s">
        <v>171</v>
      </c>
      <c r="B94" s="25">
        <v>144</v>
      </c>
      <c r="C94" s="4">
        <v>106.8655</v>
      </c>
      <c r="D94" s="25">
        <v>106.87</v>
      </c>
    </row>
    <row r="95" spans="1:4" x14ac:dyDescent="0.25">
      <c r="A95" s="25" t="s">
        <v>767</v>
      </c>
      <c r="B95" s="25">
        <v>145</v>
      </c>
      <c r="C95" s="4">
        <v>197.92635294117639</v>
      </c>
      <c r="D95" s="25">
        <v>197.93</v>
      </c>
    </row>
    <row r="96" spans="1:4" x14ac:dyDescent="0.25">
      <c r="A96" s="25" t="s">
        <v>770</v>
      </c>
      <c r="B96" s="25">
        <v>146</v>
      </c>
      <c r="C96" s="4">
        <v>91.427999999999997</v>
      </c>
      <c r="D96" s="25">
        <v>91.43</v>
      </c>
    </row>
    <row r="97" spans="1:4" x14ac:dyDescent="0.25">
      <c r="A97" s="25" t="s">
        <v>1616</v>
      </c>
      <c r="B97" s="25">
        <v>148</v>
      </c>
      <c r="C97" s="4">
        <v>64.590499999999992</v>
      </c>
      <c r="D97" s="25">
        <v>64.59</v>
      </c>
    </row>
    <row r="98" spans="1:4" x14ac:dyDescent="0.25">
      <c r="A98" s="25" t="s">
        <v>773</v>
      </c>
      <c r="B98" s="25">
        <v>150</v>
      </c>
      <c r="C98" s="4">
        <v>155.90617647058809</v>
      </c>
      <c r="D98" s="25">
        <v>155.9</v>
      </c>
    </row>
    <row r="99" spans="1:4" x14ac:dyDescent="0.25">
      <c r="A99" s="25" t="s">
        <v>776</v>
      </c>
      <c r="B99" s="25">
        <v>151</v>
      </c>
      <c r="C99" s="4">
        <v>100.68919607843129</v>
      </c>
      <c r="D99" s="25">
        <v>100.68</v>
      </c>
    </row>
    <row r="100" spans="1:4" x14ac:dyDescent="0.25">
      <c r="A100" s="25" t="s">
        <v>173</v>
      </c>
      <c r="B100" s="25">
        <v>154</v>
      </c>
      <c r="C100" s="4">
        <v>53.821511111111107</v>
      </c>
      <c r="D100" s="25">
        <v>53.82</v>
      </c>
    </row>
    <row r="101" spans="1:4" x14ac:dyDescent="0.25">
      <c r="A101" s="25" t="s">
        <v>176</v>
      </c>
      <c r="B101" s="25">
        <v>155</v>
      </c>
      <c r="C101" s="4">
        <v>50.398178571428552</v>
      </c>
      <c r="D101" s="25">
        <v>50.4</v>
      </c>
    </row>
    <row r="102" spans="1:4" x14ac:dyDescent="0.25">
      <c r="A102" s="25" t="s">
        <v>178</v>
      </c>
      <c r="B102" s="25">
        <v>156</v>
      </c>
      <c r="C102" s="4">
        <v>56.176477112675961</v>
      </c>
      <c r="D102" s="25">
        <v>56.18</v>
      </c>
    </row>
    <row r="103" spans="1:4" x14ac:dyDescent="0.25">
      <c r="A103" s="25" t="s">
        <v>180</v>
      </c>
      <c r="B103" s="25">
        <v>157</v>
      </c>
      <c r="C103" s="4">
        <v>26.019549495754081</v>
      </c>
      <c r="D103" s="25">
        <v>26.02</v>
      </c>
    </row>
    <row r="104" spans="1:4" x14ac:dyDescent="0.25">
      <c r="A104" s="25" t="s">
        <v>182</v>
      </c>
      <c r="B104" s="25">
        <v>158</v>
      </c>
      <c r="C104" s="4">
        <v>29.4405</v>
      </c>
      <c r="D104" s="25">
        <v>29.44</v>
      </c>
    </row>
    <row r="105" spans="1:4" x14ac:dyDescent="0.25">
      <c r="A105" s="25" t="s">
        <v>1625</v>
      </c>
      <c r="B105" s="25">
        <v>160</v>
      </c>
      <c r="C105" s="4">
        <v>42.740499999999997</v>
      </c>
      <c r="D105" s="25">
        <v>42.74</v>
      </c>
    </row>
    <row r="106" spans="1:4" x14ac:dyDescent="0.25">
      <c r="A106" s="25" t="s">
        <v>1631</v>
      </c>
      <c r="B106" s="25">
        <v>163</v>
      </c>
      <c r="C106" s="4">
        <v>94.990499999999997</v>
      </c>
      <c r="D106" s="25">
        <v>94.99</v>
      </c>
    </row>
    <row r="107" spans="1:4" x14ac:dyDescent="0.25">
      <c r="A107" s="25" t="s">
        <v>184</v>
      </c>
      <c r="B107" s="25">
        <v>165</v>
      </c>
      <c r="C107" s="4">
        <v>89.124843749999997</v>
      </c>
      <c r="D107" s="25">
        <v>89.12</v>
      </c>
    </row>
    <row r="108" spans="1:4" x14ac:dyDescent="0.25">
      <c r="A108" s="25" t="s">
        <v>187</v>
      </c>
      <c r="B108" s="25">
        <v>166</v>
      </c>
      <c r="C108" s="4">
        <v>50.340499999999999</v>
      </c>
      <c r="D108" s="25">
        <v>50.34</v>
      </c>
    </row>
    <row r="109" spans="1:4" x14ac:dyDescent="0.25">
      <c r="A109" s="25" t="s">
        <v>189</v>
      </c>
      <c r="B109" s="25">
        <v>167</v>
      </c>
      <c r="C109" s="4">
        <v>90.746375</v>
      </c>
      <c r="D109" s="25">
        <v>90.75</v>
      </c>
    </row>
    <row r="110" spans="1:4" x14ac:dyDescent="0.25">
      <c r="A110" s="25" t="s">
        <v>191</v>
      </c>
      <c r="B110" s="25">
        <v>168</v>
      </c>
      <c r="C110" s="4">
        <v>41.727166666666662</v>
      </c>
      <c r="D110" s="25">
        <v>38.729999999999997</v>
      </c>
    </row>
    <row r="111" spans="1:4" x14ac:dyDescent="0.25">
      <c r="A111" s="25" t="s">
        <v>193</v>
      </c>
      <c r="B111" s="25">
        <v>169</v>
      </c>
      <c r="C111" s="4">
        <v>55.900878787878803</v>
      </c>
      <c r="D111" s="25">
        <v>52.9</v>
      </c>
    </row>
    <row r="112" spans="1:4" x14ac:dyDescent="0.25">
      <c r="A112" s="25" t="s">
        <v>2790</v>
      </c>
      <c r="B112" s="25">
        <v>170</v>
      </c>
      <c r="C112" s="4">
        <v>8.5042696078431401</v>
      </c>
      <c r="D112" s="25">
        <v>8.5</v>
      </c>
    </row>
    <row r="113" spans="1:4" x14ac:dyDescent="0.25">
      <c r="A113" s="25" t="s">
        <v>195</v>
      </c>
      <c r="B113" s="25">
        <v>171</v>
      </c>
      <c r="C113" s="4">
        <v>30.36406521739131</v>
      </c>
      <c r="D113" s="25">
        <v>30.36</v>
      </c>
    </row>
    <row r="114" spans="1:4" x14ac:dyDescent="0.25">
      <c r="A114" s="25" t="s">
        <v>197</v>
      </c>
      <c r="B114" s="25">
        <v>172</v>
      </c>
      <c r="C114" s="4">
        <v>53.0420625</v>
      </c>
      <c r="D114" s="25">
        <v>53.04</v>
      </c>
    </row>
    <row r="115" spans="1:4" x14ac:dyDescent="0.25">
      <c r="A115" s="25" t="s">
        <v>2794</v>
      </c>
      <c r="B115" s="25">
        <v>175</v>
      </c>
      <c r="C115" s="4">
        <v>8.5756499999999996</v>
      </c>
      <c r="D115" s="25">
        <v>8.58</v>
      </c>
    </row>
    <row r="116" spans="1:4" x14ac:dyDescent="0.25">
      <c r="A116" s="25" t="s">
        <v>1636</v>
      </c>
      <c r="B116" s="25">
        <v>176</v>
      </c>
      <c r="C116" s="4">
        <v>10.09322222222222</v>
      </c>
      <c r="D116" s="25">
        <v>10.09</v>
      </c>
    </row>
    <row r="117" spans="1:4" x14ac:dyDescent="0.25">
      <c r="A117" s="25" t="s">
        <v>2796</v>
      </c>
      <c r="B117" s="25">
        <v>177</v>
      </c>
      <c r="C117" s="4">
        <v>5.4083500000000004</v>
      </c>
      <c r="D117" s="25">
        <v>5.41</v>
      </c>
    </row>
    <row r="118" spans="1:4" x14ac:dyDescent="0.25">
      <c r="A118" s="25" t="s">
        <v>1641</v>
      </c>
      <c r="B118" s="25">
        <v>179</v>
      </c>
      <c r="C118" s="4">
        <v>10.4405</v>
      </c>
      <c r="D118" s="25">
        <v>10.44</v>
      </c>
    </row>
    <row r="119" spans="1:4" x14ac:dyDescent="0.25">
      <c r="A119" s="25" t="s">
        <v>780</v>
      </c>
      <c r="B119" s="25">
        <v>180</v>
      </c>
      <c r="C119" s="4">
        <v>37.232399999999998</v>
      </c>
      <c r="D119" s="25">
        <v>37.229999999999997</v>
      </c>
    </row>
    <row r="120" spans="1:4" x14ac:dyDescent="0.25">
      <c r="A120" s="25" t="s">
        <v>785</v>
      </c>
      <c r="B120" s="25">
        <v>181</v>
      </c>
      <c r="C120" s="4">
        <v>31.44605555555556</v>
      </c>
      <c r="D120" s="25">
        <v>31.45</v>
      </c>
    </row>
    <row r="121" spans="1:4" x14ac:dyDescent="0.25">
      <c r="A121" s="25" t="s">
        <v>787</v>
      </c>
      <c r="B121" s="25">
        <v>182</v>
      </c>
      <c r="C121" s="4">
        <v>31.258800000000001</v>
      </c>
      <c r="D121" s="25">
        <v>31.26</v>
      </c>
    </row>
    <row r="122" spans="1:4" x14ac:dyDescent="0.25">
      <c r="A122" s="25" t="s">
        <v>790</v>
      </c>
      <c r="B122" s="25">
        <v>183</v>
      </c>
      <c r="C122" s="4">
        <v>28.728000000000002</v>
      </c>
      <c r="D122" s="25">
        <v>28.73</v>
      </c>
    </row>
    <row r="123" spans="1:4" x14ac:dyDescent="0.25">
      <c r="A123" s="25" t="s">
        <v>1643</v>
      </c>
      <c r="B123" s="25">
        <v>184</v>
      </c>
      <c r="C123" s="4">
        <v>29.762769230769241</v>
      </c>
      <c r="D123" s="25">
        <v>29.76</v>
      </c>
    </row>
    <row r="124" spans="1:4" x14ac:dyDescent="0.25">
      <c r="A124" s="25" t="s">
        <v>792</v>
      </c>
      <c r="B124" s="25">
        <v>185</v>
      </c>
      <c r="C124" s="4">
        <v>28.110499999999998</v>
      </c>
      <c r="D124" s="25">
        <v>28.11</v>
      </c>
    </row>
    <row r="125" spans="1:4" x14ac:dyDescent="0.25">
      <c r="A125" s="25" t="s">
        <v>794</v>
      </c>
      <c r="B125" s="25">
        <v>186</v>
      </c>
      <c r="C125" s="4">
        <v>85.362962499999995</v>
      </c>
      <c r="D125" s="25">
        <v>85.36</v>
      </c>
    </row>
    <row r="126" spans="1:4" x14ac:dyDescent="0.25">
      <c r="A126" s="25" t="s">
        <v>2798</v>
      </c>
      <c r="B126" s="25">
        <v>187</v>
      </c>
      <c r="C126" s="4">
        <v>118.7405</v>
      </c>
      <c r="D126" s="25">
        <v>118.74</v>
      </c>
    </row>
    <row r="127" spans="1:4" x14ac:dyDescent="0.25">
      <c r="A127" s="25" t="s">
        <v>199</v>
      </c>
      <c r="B127" s="25">
        <v>188</v>
      </c>
      <c r="C127" s="4">
        <v>75.310386363636212</v>
      </c>
      <c r="D127" s="25">
        <v>75.31</v>
      </c>
    </row>
    <row r="128" spans="1:4" x14ac:dyDescent="0.25">
      <c r="A128" s="25" t="s">
        <v>202</v>
      </c>
      <c r="B128" s="25">
        <v>189</v>
      </c>
      <c r="C128" s="4">
        <v>29.756754201680611</v>
      </c>
      <c r="D128" s="25">
        <v>29.76</v>
      </c>
    </row>
    <row r="129" spans="1:4" x14ac:dyDescent="0.25">
      <c r="A129" s="25" t="s">
        <v>204</v>
      </c>
      <c r="B129" s="25">
        <v>190</v>
      </c>
      <c r="C129" s="4">
        <v>51.360253424657458</v>
      </c>
      <c r="D129" s="25">
        <v>51.36</v>
      </c>
    </row>
    <row r="130" spans="1:4" x14ac:dyDescent="0.25">
      <c r="A130" s="25" t="s">
        <v>2800</v>
      </c>
      <c r="B130" s="25">
        <v>191</v>
      </c>
      <c r="C130" s="4">
        <v>56.703340909090912</v>
      </c>
      <c r="D130" s="25">
        <v>56.7</v>
      </c>
    </row>
    <row r="131" spans="1:4" x14ac:dyDescent="0.25">
      <c r="A131" s="25" t="s">
        <v>206</v>
      </c>
      <c r="B131" s="25">
        <v>192</v>
      </c>
      <c r="C131" s="4">
        <v>51.623251893939248</v>
      </c>
      <c r="D131" s="25">
        <v>51.62</v>
      </c>
    </row>
    <row r="132" spans="1:4" x14ac:dyDescent="0.25">
      <c r="A132" s="25" t="s">
        <v>208</v>
      </c>
      <c r="B132" s="25">
        <v>193</v>
      </c>
      <c r="C132" s="4">
        <v>62.690499999999993</v>
      </c>
      <c r="D132" s="25">
        <v>62.69</v>
      </c>
    </row>
    <row r="133" spans="1:4" x14ac:dyDescent="0.25">
      <c r="A133" s="25" t="s">
        <v>210</v>
      </c>
      <c r="B133" s="25">
        <v>194</v>
      </c>
      <c r="C133" s="4">
        <v>81.535608695652115</v>
      </c>
      <c r="D133" s="25">
        <v>81.540000000000006</v>
      </c>
    </row>
    <row r="134" spans="1:4" x14ac:dyDescent="0.25">
      <c r="A134" s="25" t="s">
        <v>212</v>
      </c>
      <c r="B134" s="25">
        <v>195</v>
      </c>
      <c r="C134" s="4">
        <v>104.5775405405405</v>
      </c>
      <c r="D134" s="25">
        <v>104.58</v>
      </c>
    </row>
    <row r="135" spans="1:4" x14ac:dyDescent="0.25">
      <c r="A135" s="25" t="s">
        <v>214</v>
      </c>
      <c r="B135" s="25">
        <v>196</v>
      </c>
      <c r="C135" s="4">
        <v>35.941033333333337</v>
      </c>
      <c r="D135" s="25">
        <v>35.94</v>
      </c>
    </row>
    <row r="136" spans="1:4" x14ac:dyDescent="0.25">
      <c r="A136" s="25" t="s">
        <v>216</v>
      </c>
      <c r="B136" s="25">
        <v>197</v>
      </c>
      <c r="C136" s="4">
        <v>48.636984126983997</v>
      </c>
      <c r="D136" s="25">
        <v>48.64</v>
      </c>
    </row>
    <row r="137" spans="1:4" x14ac:dyDescent="0.25">
      <c r="A137" s="25" t="s">
        <v>218</v>
      </c>
      <c r="B137" s="25">
        <v>198</v>
      </c>
      <c r="C137" s="4">
        <v>61.451199999999893</v>
      </c>
      <c r="D137" s="25">
        <v>61.45</v>
      </c>
    </row>
    <row r="138" spans="1:4" x14ac:dyDescent="0.25">
      <c r="A138" s="25" t="s">
        <v>220</v>
      </c>
      <c r="B138" s="25">
        <v>199</v>
      </c>
      <c r="C138" s="4">
        <v>76.858166666666676</v>
      </c>
      <c r="D138" s="25">
        <v>76.86</v>
      </c>
    </row>
    <row r="139" spans="1:4" x14ac:dyDescent="0.25">
      <c r="A139" s="25" t="s">
        <v>222</v>
      </c>
      <c r="B139" s="25">
        <v>200</v>
      </c>
      <c r="C139" s="4">
        <v>101.4342708333333</v>
      </c>
      <c r="D139" s="25">
        <v>101.43</v>
      </c>
    </row>
    <row r="140" spans="1:4" x14ac:dyDescent="0.25">
      <c r="A140" s="25" t="s">
        <v>224</v>
      </c>
      <c r="B140" s="25">
        <v>201</v>
      </c>
      <c r="C140" s="4">
        <v>112.96042857142859</v>
      </c>
      <c r="D140" s="25">
        <v>112.96</v>
      </c>
    </row>
    <row r="141" spans="1:4" x14ac:dyDescent="0.25">
      <c r="A141" s="25" t="s">
        <v>226</v>
      </c>
      <c r="B141" s="25">
        <v>202</v>
      </c>
      <c r="C141" s="4">
        <v>121.21263265306099</v>
      </c>
      <c r="D141" s="25">
        <v>121.21</v>
      </c>
    </row>
    <row r="142" spans="1:4" x14ac:dyDescent="0.25">
      <c r="A142" s="25" t="s">
        <v>228</v>
      </c>
      <c r="B142" s="25">
        <v>203</v>
      </c>
      <c r="C142" s="4">
        <v>134.2405</v>
      </c>
      <c r="D142" s="25">
        <v>134.24</v>
      </c>
    </row>
    <row r="143" spans="1:4" x14ac:dyDescent="0.25">
      <c r="A143" s="25" t="s">
        <v>797</v>
      </c>
      <c r="B143" s="25">
        <v>204</v>
      </c>
      <c r="C143" s="4">
        <v>162.203</v>
      </c>
      <c r="D143" s="25">
        <v>162.19999999999999</v>
      </c>
    </row>
    <row r="144" spans="1:4" x14ac:dyDescent="0.25">
      <c r="A144" s="25" t="s">
        <v>2802</v>
      </c>
      <c r="B144" s="25">
        <v>205</v>
      </c>
      <c r="C144" s="4">
        <v>101.73075</v>
      </c>
      <c r="D144" s="25">
        <v>101.73</v>
      </c>
    </row>
    <row r="145" spans="1:4" x14ac:dyDescent="0.25">
      <c r="A145" s="25" t="s">
        <v>2804</v>
      </c>
      <c r="B145" s="25">
        <v>206</v>
      </c>
      <c r="C145" s="4">
        <v>188.60868181818191</v>
      </c>
      <c r="D145" s="25">
        <v>188.61</v>
      </c>
    </row>
    <row r="146" spans="1:4" x14ac:dyDescent="0.25">
      <c r="A146" s="25" t="s">
        <v>230</v>
      </c>
      <c r="B146" s="25">
        <v>207</v>
      </c>
      <c r="C146" s="4">
        <v>24.138661764705891</v>
      </c>
      <c r="D146" s="25">
        <v>24.14</v>
      </c>
    </row>
    <row r="147" spans="1:4" x14ac:dyDescent="0.25">
      <c r="A147" s="25" t="s">
        <v>235</v>
      </c>
      <c r="B147" s="25">
        <v>209</v>
      </c>
      <c r="C147" s="4">
        <v>36.090499999999999</v>
      </c>
      <c r="D147" s="25">
        <v>36.090000000000003</v>
      </c>
    </row>
    <row r="148" spans="1:4" x14ac:dyDescent="0.25">
      <c r="A148" s="25" t="s">
        <v>237</v>
      </c>
      <c r="B148" s="25">
        <v>210</v>
      </c>
      <c r="C148" s="4">
        <v>37.990499999999997</v>
      </c>
      <c r="D148" s="25">
        <v>37.99</v>
      </c>
    </row>
    <row r="149" spans="1:4" x14ac:dyDescent="0.25">
      <c r="A149" s="25" t="s">
        <v>239</v>
      </c>
      <c r="B149" s="25">
        <v>211</v>
      </c>
      <c r="C149" s="4">
        <v>38.9405</v>
      </c>
      <c r="D149" s="25">
        <v>38.94</v>
      </c>
    </row>
    <row r="150" spans="1:4" x14ac:dyDescent="0.25">
      <c r="A150" s="25" t="s">
        <v>241</v>
      </c>
      <c r="B150" s="25">
        <v>212</v>
      </c>
      <c r="C150" s="4">
        <v>56.990499999999997</v>
      </c>
      <c r="D150" s="25">
        <v>56.99</v>
      </c>
    </row>
    <row r="151" spans="1:4" x14ac:dyDescent="0.25">
      <c r="A151" s="25" t="s">
        <v>243</v>
      </c>
      <c r="B151" s="25">
        <v>213</v>
      </c>
      <c r="C151" s="4">
        <v>23.527564190375781</v>
      </c>
      <c r="D151" s="25">
        <v>23.53</v>
      </c>
    </row>
    <row r="152" spans="1:4" x14ac:dyDescent="0.25">
      <c r="A152" s="25" t="s">
        <v>245</v>
      </c>
      <c r="B152" s="25">
        <v>214</v>
      </c>
      <c r="C152" s="4">
        <v>35.158472972972923</v>
      </c>
      <c r="D152" s="25">
        <v>35.159999999999997</v>
      </c>
    </row>
    <row r="153" spans="1:4" x14ac:dyDescent="0.25">
      <c r="A153" s="25" t="s">
        <v>247</v>
      </c>
      <c r="B153" s="25">
        <v>215</v>
      </c>
      <c r="C153" s="4">
        <v>35.854187500000002</v>
      </c>
      <c r="D153" s="25">
        <v>35.85</v>
      </c>
    </row>
    <row r="154" spans="1:4" x14ac:dyDescent="0.25">
      <c r="A154" s="25" t="s">
        <v>249</v>
      </c>
      <c r="B154" s="25">
        <v>216</v>
      </c>
      <c r="C154" s="4">
        <v>51.176823863636258</v>
      </c>
      <c r="D154" s="25">
        <v>51.18</v>
      </c>
    </row>
    <row r="155" spans="1:4" x14ac:dyDescent="0.25">
      <c r="A155" s="25" t="s">
        <v>251</v>
      </c>
      <c r="B155" s="25">
        <v>217</v>
      </c>
      <c r="C155" s="4">
        <v>52.240499999999997</v>
      </c>
      <c r="D155" s="25">
        <v>52.24</v>
      </c>
    </row>
    <row r="156" spans="1:4" x14ac:dyDescent="0.25">
      <c r="A156" s="25" t="s">
        <v>253</v>
      </c>
      <c r="B156" s="25">
        <v>218</v>
      </c>
      <c r="C156" s="4">
        <v>65.540499999999994</v>
      </c>
      <c r="D156" s="25">
        <v>65.540000000000006</v>
      </c>
    </row>
    <row r="157" spans="1:4" x14ac:dyDescent="0.25">
      <c r="A157" s="25" t="s">
        <v>255</v>
      </c>
      <c r="B157" s="25">
        <v>219</v>
      </c>
      <c r="C157" s="4">
        <v>77.890499999999989</v>
      </c>
      <c r="D157" s="25">
        <v>77.89</v>
      </c>
    </row>
    <row r="158" spans="1:4" x14ac:dyDescent="0.25">
      <c r="A158" s="25" t="s">
        <v>2806</v>
      </c>
      <c r="B158" s="25">
        <v>220</v>
      </c>
      <c r="C158" s="4">
        <v>48.033357142857142</v>
      </c>
      <c r="D158" s="25">
        <v>48.03</v>
      </c>
    </row>
    <row r="159" spans="1:4" x14ac:dyDescent="0.25">
      <c r="A159" s="25" t="s">
        <v>257</v>
      </c>
      <c r="B159" s="25">
        <v>221</v>
      </c>
      <c r="C159" s="4">
        <v>39.440833333333337</v>
      </c>
      <c r="D159" s="25">
        <v>39.44</v>
      </c>
    </row>
    <row r="160" spans="1:4" x14ac:dyDescent="0.25">
      <c r="A160" s="25" t="s">
        <v>259</v>
      </c>
      <c r="B160" s="25">
        <v>222</v>
      </c>
      <c r="C160" s="4">
        <v>44.640500000000003</v>
      </c>
      <c r="D160" s="25">
        <v>44.64</v>
      </c>
    </row>
    <row r="161" spans="1:4" x14ac:dyDescent="0.25">
      <c r="A161" s="25" t="s">
        <v>2808</v>
      </c>
      <c r="B161" s="25">
        <v>223</v>
      </c>
      <c r="C161" s="4">
        <v>72.1905</v>
      </c>
      <c r="D161" s="25">
        <v>72.19</v>
      </c>
    </row>
    <row r="162" spans="1:4" x14ac:dyDescent="0.25">
      <c r="A162" s="25" t="s">
        <v>2812</v>
      </c>
      <c r="B162" s="25">
        <v>225</v>
      </c>
      <c r="C162" s="4">
        <v>57.887774999999998</v>
      </c>
      <c r="D162" s="25">
        <v>57.89</v>
      </c>
    </row>
    <row r="163" spans="1:4" x14ac:dyDescent="0.25">
      <c r="A163" s="25" t="s">
        <v>261</v>
      </c>
      <c r="B163" s="25">
        <v>226</v>
      </c>
      <c r="C163" s="4">
        <v>128.75949590163921</v>
      </c>
      <c r="D163" s="25">
        <v>128.76</v>
      </c>
    </row>
    <row r="164" spans="1:4" x14ac:dyDescent="0.25">
      <c r="A164" s="25" t="s">
        <v>263</v>
      </c>
      <c r="B164" s="25">
        <v>227</v>
      </c>
      <c r="C164" s="4">
        <v>16.191609436758789</v>
      </c>
      <c r="D164" s="25">
        <v>13.69</v>
      </c>
    </row>
    <row r="165" spans="1:4" x14ac:dyDescent="0.25">
      <c r="A165" s="25" t="s">
        <v>265</v>
      </c>
      <c r="B165" s="25">
        <v>228</v>
      </c>
      <c r="C165" s="4">
        <v>21.79976785714274</v>
      </c>
      <c r="D165" s="25">
        <v>21.8</v>
      </c>
    </row>
    <row r="166" spans="1:4" x14ac:dyDescent="0.25">
      <c r="A166" s="25" t="s">
        <v>1645</v>
      </c>
      <c r="B166" s="25">
        <v>229</v>
      </c>
      <c r="C166" s="4">
        <v>73.224620967741856</v>
      </c>
      <c r="D166" s="25">
        <v>73.22</v>
      </c>
    </row>
    <row r="167" spans="1:4" x14ac:dyDescent="0.25">
      <c r="A167" s="25" t="s">
        <v>1647</v>
      </c>
      <c r="B167" s="25">
        <v>230</v>
      </c>
      <c r="C167" s="4">
        <v>29.23308333333333</v>
      </c>
      <c r="D167" s="25">
        <v>29.23</v>
      </c>
    </row>
    <row r="168" spans="1:4" x14ac:dyDescent="0.25">
      <c r="A168" s="25" t="s">
        <v>1649</v>
      </c>
      <c r="B168" s="25">
        <v>231</v>
      </c>
      <c r="C168" s="4">
        <v>85.490499999999997</v>
      </c>
      <c r="D168" s="25">
        <v>85.49</v>
      </c>
    </row>
    <row r="169" spans="1:4" x14ac:dyDescent="0.25">
      <c r="A169" s="25" t="s">
        <v>800</v>
      </c>
      <c r="B169" s="25">
        <v>232</v>
      </c>
      <c r="C169" s="4">
        <v>94.990499999999997</v>
      </c>
      <c r="D169" s="25">
        <v>94.99</v>
      </c>
    </row>
    <row r="170" spans="1:4" x14ac:dyDescent="0.25">
      <c r="A170" s="25" t="s">
        <v>1651</v>
      </c>
      <c r="B170" s="25">
        <v>233</v>
      </c>
      <c r="C170" s="4">
        <v>91.718277777777772</v>
      </c>
      <c r="D170" s="25">
        <v>91.72</v>
      </c>
    </row>
    <row r="171" spans="1:4" x14ac:dyDescent="0.25">
      <c r="A171" s="25" t="s">
        <v>1653</v>
      </c>
      <c r="B171" s="25">
        <v>234</v>
      </c>
      <c r="C171" s="4">
        <v>91.566289772727146</v>
      </c>
      <c r="D171" s="25">
        <v>91.57</v>
      </c>
    </row>
    <row r="172" spans="1:4" x14ac:dyDescent="0.25">
      <c r="A172" s="25" t="s">
        <v>1655</v>
      </c>
      <c r="B172" s="25">
        <v>235</v>
      </c>
      <c r="C172" s="4">
        <v>98.791203703703601</v>
      </c>
      <c r="D172" s="25">
        <v>98.79</v>
      </c>
    </row>
    <row r="173" spans="1:4" x14ac:dyDescent="0.25">
      <c r="A173" s="25" t="s">
        <v>1657</v>
      </c>
      <c r="B173" s="25">
        <v>236</v>
      </c>
      <c r="C173" s="4">
        <v>120.95426146788969</v>
      </c>
      <c r="D173" s="25">
        <v>120.95</v>
      </c>
    </row>
    <row r="174" spans="1:4" x14ac:dyDescent="0.25">
      <c r="A174" s="25" t="s">
        <v>267</v>
      </c>
      <c r="B174" s="25">
        <v>237</v>
      </c>
      <c r="C174" s="4">
        <v>94.474477272727256</v>
      </c>
      <c r="D174" s="25">
        <v>94.47</v>
      </c>
    </row>
    <row r="175" spans="1:4" x14ac:dyDescent="0.25">
      <c r="A175" s="25" t="s">
        <v>803</v>
      </c>
      <c r="B175" s="25">
        <v>238</v>
      </c>
      <c r="C175" s="4">
        <v>75.515499999999989</v>
      </c>
      <c r="D175" s="25">
        <v>75.52</v>
      </c>
    </row>
    <row r="176" spans="1:4" x14ac:dyDescent="0.25">
      <c r="A176" s="25" t="s">
        <v>806</v>
      </c>
      <c r="B176" s="25">
        <v>239</v>
      </c>
      <c r="C176" s="4">
        <v>147.54640000000001</v>
      </c>
      <c r="D176" s="25">
        <v>147.55000000000001</v>
      </c>
    </row>
    <row r="177" spans="1:4" x14ac:dyDescent="0.25">
      <c r="A177" s="25" t="s">
        <v>812</v>
      </c>
      <c r="B177" s="25">
        <v>241</v>
      </c>
      <c r="C177" s="4">
        <v>120.6405</v>
      </c>
      <c r="D177" s="25">
        <v>120.64</v>
      </c>
    </row>
    <row r="178" spans="1:4" x14ac:dyDescent="0.25">
      <c r="A178" s="25" t="s">
        <v>269</v>
      </c>
      <c r="B178" s="25">
        <v>242</v>
      </c>
      <c r="C178" s="4">
        <v>94.990499999999997</v>
      </c>
      <c r="D178" s="25">
        <v>94.99</v>
      </c>
    </row>
    <row r="179" spans="1:4" x14ac:dyDescent="0.25">
      <c r="A179" s="25" t="s">
        <v>271</v>
      </c>
      <c r="B179" s="25">
        <v>243</v>
      </c>
      <c r="C179" s="4">
        <v>35.383485915492848</v>
      </c>
      <c r="D179" s="25">
        <v>35.380000000000003</v>
      </c>
    </row>
    <row r="180" spans="1:4" x14ac:dyDescent="0.25">
      <c r="A180" s="25" t="s">
        <v>1659</v>
      </c>
      <c r="B180" s="25">
        <v>244</v>
      </c>
      <c r="C180" s="4">
        <v>56.277999999999999</v>
      </c>
      <c r="D180" s="25">
        <v>56.28</v>
      </c>
    </row>
    <row r="181" spans="1:4" x14ac:dyDescent="0.25">
      <c r="A181" s="25" t="s">
        <v>1661</v>
      </c>
      <c r="B181" s="25">
        <v>245</v>
      </c>
      <c r="C181" s="4">
        <v>56.990499999999997</v>
      </c>
      <c r="D181" s="25">
        <v>56.99</v>
      </c>
    </row>
    <row r="182" spans="1:4" x14ac:dyDescent="0.25">
      <c r="A182" s="25" t="s">
        <v>1663</v>
      </c>
      <c r="B182" s="25">
        <v>246</v>
      </c>
      <c r="C182" s="4">
        <v>56.990499999999997</v>
      </c>
      <c r="D182" s="25">
        <v>56.99</v>
      </c>
    </row>
    <row r="183" spans="1:4" x14ac:dyDescent="0.25">
      <c r="A183" s="25" t="s">
        <v>273</v>
      </c>
      <c r="B183" s="25">
        <v>248</v>
      </c>
      <c r="C183" s="4">
        <v>180.17415</v>
      </c>
      <c r="D183" s="25">
        <v>180.17</v>
      </c>
    </row>
    <row r="184" spans="1:4" x14ac:dyDescent="0.25">
      <c r="A184" s="25" t="s">
        <v>818</v>
      </c>
      <c r="B184" s="25">
        <v>250</v>
      </c>
      <c r="C184" s="4">
        <v>77.222839999999948</v>
      </c>
      <c r="D184" s="25">
        <v>77.22</v>
      </c>
    </row>
    <row r="185" spans="1:4" x14ac:dyDescent="0.25">
      <c r="A185" s="25" t="s">
        <v>821</v>
      </c>
      <c r="B185" s="25">
        <v>251</v>
      </c>
      <c r="C185" s="4">
        <v>72.035080000000008</v>
      </c>
      <c r="D185" s="25">
        <v>72.040000000000006</v>
      </c>
    </row>
    <row r="186" spans="1:4" x14ac:dyDescent="0.25">
      <c r="A186" s="25" t="s">
        <v>2816</v>
      </c>
      <c r="B186" s="25">
        <v>252</v>
      </c>
      <c r="C186" s="4">
        <v>116.2229999999999</v>
      </c>
      <c r="D186" s="25">
        <v>116.22</v>
      </c>
    </row>
    <row r="187" spans="1:4" x14ac:dyDescent="0.25">
      <c r="A187" s="25" t="s">
        <v>1665</v>
      </c>
      <c r="B187" s="25">
        <v>253</v>
      </c>
      <c r="C187" s="4">
        <v>76.307886363636371</v>
      </c>
      <c r="D187" s="25">
        <v>76.31</v>
      </c>
    </row>
    <row r="188" spans="1:4" x14ac:dyDescent="0.25">
      <c r="A188" s="25" t="s">
        <v>825</v>
      </c>
      <c r="B188" s="25">
        <v>254</v>
      </c>
      <c r="C188" s="4">
        <v>67.289776119402873</v>
      </c>
      <c r="D188" s="25">
        <v>62.290000000000013</v>
      </c>
    </row>
    <row r="189" spans="1:4" x14ac:dyDescent="0.25">
      <c r="A189" s="25" t="s">
        <v>828</v>
      </c>
      <c r="B189" s="25">
        <v>255</v>
      </c>
      <c r="C189" s="4">
        <v>70.180630434782444</v>
      </c>
      <c r="D189" s="25">
        <v>70.180000000000007</v>
      </c>
    </row>
    <row r="190" spans="1:4" x14ac:dyDescent="0.25">
      <c r="A190" s="25" t="s">
        <v>2818</v>
      </c>
      <c r="B190" s="25">
        <v>256</v>
      </c>
      <c r="C190" s="4">
        <v>116.485140625</v>
      </c>
      <c r="D190" s="25">
        <v>106.49</v>
      </c>
    </row>
    <row r="191" spans="1:4" x14ac:dyDescent="0.25">
      <c r="A191" s="25" t="s">
        <v>1667</v>
      </c>
      <c r="B191" s="25">
        <v>257</v>
      </c>
      <c r="C191" s="4">
        <v>143.95203846153831</v>
      </c>
      <c r="D191" s="25">
        <v>143.94999999999999</v>
      </c>
    </row>
    <row r="192" spans="1:4" x14ac:dyDescent="0.25">
      <c r="A192" s="25" t="s">
        <v>1669</v>
      </c>
      <c r="B192" s="25">
        <v>260</v>
      </c>
      <c r="C192" s="4">
        <v>18.990500000000001</v>
      </c>
      <c r="D192" s="25">
        <v>18.989999999999998</v>
      </c>
    </row>
    <row r="193" spans="1:4" x14ac:dyDescent="0.25">
      <c r="A193" s="25" t="s">
        <v>838</v>
      </c>
      <c r="B193" s="25">
        <v>261</v>
      </c>
      <c r="C193" s="4">
        <v>60.647249999999971</v>
      </c>
      <c r="D193" s="25">
        <v>60.65</v>
      </c>
    </row>
    <row r="194" spans="1:4" x14ac:dyDescent="0.25">
      <c r="A194" s="25" t="s">
        <v>841</v>
      </c>
      <c r="B194" s="25">
        <v>262</v>
      </c>
      <c r="C194" s="4">
        <v>66.395618749999869</v>
      </c>
      <c r="D194" s="25">
        <v>66.400000000000006</v>
      </c>
    </row>
    <row r="195" spans="1:4" x14ac:dyDescent="0.25">
      <c r="A195" s="25" t="s">
        <v>275</v>
      </c>
      <c r="B195" s="25">
        <v>263</v>
      </c>
      <c r="C195" s="4">
        <v>144.4687983870966</v>
      </c>
      <c r="D195" s="25">
        <v>144.47</v>
      </c>
    </row>
    <row r="196" spans="1:4" x14ac:dyDescent="0.25">
      <c r="A196" s="25" t="s">
        <v>1671</v>
      </c>
      <c r="B196" s="25">
        <v>264</v>
      </c>
      <c r="C196" s="4">
        <v>12.205125000000001</v>
      </c>
      <c r="D196" s="25">
        <v>12.21</v>
      </c>
    </row>
    <row r="197" spans="1:4" x14ac:dyDescent="0.25">
      <c r="A197" s="25" t="s">
        <v>280</v>
      </c>
      <c r="B197" s="25">
        <v>265</v>
      </c>
      <c r="C197" s="4">
        <v>28.43706250000001</v>
      </c>
      <c r="D197" s="25">
        <v>28.44</v>
      </c>
    </row>
    <row r="198" spans="1:4" x14ac:dyDescent="0.25">
      <c r="A198" s="25" t="s">
        <v>286</v>
      </c>
      <c r="B198" s="25">
        <v>267</v>
      </c>
      <c r="C198" s="4">
        <v>45.57236363636364</v>
      </c>
      <c r="D198" s="25">
        <v>45.57</v>
      </c>
    </row>
    <row r="199" spans="1:4" x14ac:dyDescent="0.25">
      <c r="A199" s="25" t="s">
        <v>288</v>
      </c>
      <c r="B199" s="25">
        <v>268</v>
      </c>
      <c r="C199" s="4">
        <v>23.744682065217351</v>
      </c>
      <c r="D199" s="25">
        <v>23.74</v>
      </c>
    </row>
    <row r="200" spans="1:4" x14ac:dyDescent="0.25">
      <c r="A200" s="25" t="s">
        <v>2820</v>
      </c>
      <c r="B200" s="25">
        <v>269</v>
      </c>
      <c r="C200" s="4">
        <v>46.698833333333333</v>
      </c>
      <c r="D200" s="25">
        <v>46.7</v>
      </c>
    </row>
    <row r="201" spans="1:4" x14ac:dyDescent="0.25">
      <c r="A201" s="25" t="s">
        <v>2822</v>
      </c>
      <c r="B201" s="25">
        <v>270</v>
      </c>
      <c r="C201" s="4">
        <v>144.60161111111111</v>
      </c>
      <c r="D201" s="25">
        <v>144.6</v>
      </c>
    </row>
    <row r="202" spans="1:4" x14ac:dyDescent="0.25">
      <c r="A202" s="25" t="s">
        <v>2824</v>
      </c>
      <c r="B202" s="25">
        <v>272</v>
      </c>
      <c r="C202" s="4">
        <v>18.990500000000001</v>
      </c>
      <c r="D202" s="25">
        <v>18.989999999999998</v>
      </c>
    </row>
    <row r="203" spans="1:4" x14ac:dyDescent="0.25">
      <c r="A203" s="25" t="s">
        <v>290</v>
      </c>
      <c r="B203" s="25">
        <v>273</v>
      </c>
      <c r="C203" s="4">
        <v>118.7405</v>
      </c>
      <c r="D203" s="25">
        <v>118.74</v>
      </c>
    </row>
    <row r="204" spans="1:4" x14ac:dyDescent="0.25">
      <c r="A204" s="25" t="s">
        <v>292</v>
      </c>
      <c r="B204" s="25">
        <v>274</v>
      </c>
      <c r="C204" s="4">
        <v>168.1405</v>
      </c>
      <c r="D204" s="25">
        <v>158.13999999999999</v>
      </c>
    </row>
    <row r="205" spans="1:4" x14ac:dyDescent="0.25">
      <c r="A205" s="25" t="s">
        <v>844</v>
      </c>
      <c r="B205" s="25">
        <v>275</v>
      </c>
      <c r="C205" s="4">
        <v>23.333357142857139</v>
      </c>
      <c r="D205" s="25">
        <v>23.33</v>
      </c>
    </row>
    <row r="206" spans="1:4" x14ac:dyDescent="0.25">
      <c r="A206" s="25" t="s">
        <v>847</v>
      </c>
      <c r="B206" s="25">
        <v>276</v>
      </c>
      <c r="C206" s="4">
        <v>183.559</v>
      </c>
      <c r="D206" s="25">
        <v>183.56</v>
      </c>
    </row>
    <row r="207" spans="1:4" x14ac:dyDescent="0.25">
      <c r="A207" s="25" t="s">
        <v>2826</v>
      </c>
      <c r="B207" s="25">
        <v>277</v>
      </c>
      <c r="C207" s="4">
        <v>20.485732142857142</v>
      </c>
      <c r="D207" s="25">
        <v>20.49</v>
      </c>
    </row>
    <row r="208" spans="1:4" x14ac:dyDescent="0.25">
      <c r="A208" s="25" t="s">
        <v>850</v>
      </c>
      <c r="B208" s="25">
        <v>278</v>
      </c>
      <c r="C208" s="4">
        <v>162.4959271523183</v>
      </c>
      <c r="D208" s="25">
        <v>162.5</v>
      </c>
    </row>
    <row r="209" spans="1:4" x14ac:dyDescent="0.25">
      <c r="A209" s="25" t="s">
        <v>1676</v>
      </c>
      <c r="B209" s="25">
        <v>279</v>
      </c>
      <c r="C209" s="4">
        <v>185.58744791666669</v>
      </c>
      <c r="D209" s="25">
        <v>185.59</v>
      </c>
    </row>
    <row r="210" spans="1:4" x14ac:dyDescent="0.25">
      <c r="A210" s="25" t="s">
        <v>853</v>
      </c>
      <c r="B210" s="25">
        <v>280</v>
      </c>
      <c r="C210" s="4">
        <v>254.97413235294161</v>
      </c>
      <c r="D210" s="25">
        <v>254.97</v>
      </c>
    </row>
    <row r="211" spans="1:4" x14ac:dyDescent="0.25">
      <c r="A211" s="25" t="s">
        <v>2828</v>
      </c>
      <c r="B211" s="25">
        <v>281</v>
      </c>
      <c r="C211" s="4">
        <v>10.084250000000001</v>
      </c>
      <c r="D211" s="25">
        <v>10.08</v>
      </c>
    </row>
    <row r="212" spans="1:4" x14ac:dyDescent="0.25">
      <c r="A212" s="25" t="s">
        <v>1678</v>
      </c>
      <c r="B212" s="25">
        <v>282</v>
      </c>
      <c r="C212" s="4">
        <v>24.6905</v>
      </c>
      <c r="D212" s="25">
        <v>24.69</v>
      </c>
    </row>
    <row r="213" spans="1:4" x14ac:dyDescent="0.25">
      <c r="A213" s="25" t="s">
        <v>2830</v>
      </c>
      <c r="B213" s="25">
        <v>284</v>
      </c>
      <c r="C213" s="4">
        <v>28.490500000000001</v>
      </c>
      <c r="D213" s="25">
        <v>28.49</v>
      </c>
    </row>
    <row r="214" spans="1:4" x14ac:dyDescent="0.25">
      <c r="A214" s="25" t="s">
        <v>1682</v>
      </c>
      <c r="B214" s="25">
        <v>285</v>
      </c>
      <c r="C214" s="4">
        <v>61.740499999999997</v>
      </c>
      <c r="D214" s="25">
        <v>61.74</v>
      </c>
    </row>
    <row r="215" spans="1:4" x14ac:dyDescent="0.25">
      <c r="A215" s="25" t="s">
        <v>2832</v>
      </c>
      <c r="B215" s="25">
        <v>286</v>
      </c>
      <c r="C215" s="4">
        <v>113.9905</v>
      </c>
      <c r="D215" s="25">
        <v>113.99</v>
      </c>
    </row>
    <row r="216" spans="1:4" x14ac:dyDescent="0.25">
      <c r="A216" s="25" t="s">
        <v>294</v>
      </c>
      <c r="B216" s="25">
        <v>287</v>
      </c>
      <c r="C216" s="4">
        <v>101.9076712328766</v>
      </c>
      <c r="D216" s="25">
        <v>101.91</v>
      </c>
    </row>
    <row r="217" spans="1:4" x14ac:dyDescent="0.25">
      <c r="A217" s="25" t="s">
        <v>297</v>
      </c>
      <c r="B217" s="25">
        <v>288</v>
      </c>
      <c r="C217" s="4">
        <v>63.16881395348824</v>
      </c>
      <c r="D217" s="25">
        <v>63.17</v>
      </c>
    </row>
    <row r="218" spans="1:4" x14ac:dyDescent="0.25">
      <c r="A218" s="25" t="s">
        <v>1687</v>
      </c>
      <c r="B218" s="25">
        <v>290</v>
      </c>
      <c r="C218" s="4">
        <v>242.1047857142857</v>
      </c>
      <c r="D218" s="25">
        <v>242.1</v>
      </c>
    </row>
    <row r="219" spans="1:4" x14ac:dyDescent="0.25">
      <c r="A219" s="25" t="s">
        <v>299</v>
      </c>
      <c r="B219" s="25">
        <v>291</v>
      </c>
      <c r="C219" s="4">
        <v>11.64936817528727</v>
      </c>
      <c r="D219" s="25">
        <v>11.65</v>
      </c>
    </row>
    <row r="220" spans="1:4" x14ac:dyDescent="0.25">
      <c r="A220" s="25" t="s">
        <v>856</v>
      </c>
      <c r="B220" s="25">
        <v>292</v>
      </c>
      <c r="C220" s="4">
        <v>324.73516216216211</v>
      </c>
      <c r="D220" s="25">
        <v>324.74</v>
      </c>
    </row>
    <row r="221" spans="1:4" x14ac:dyDescent="0.25">
      <c r="A221" s="25" t="s">
        <v>2838</v>
      </c>
      <c r="B221" s="25">
        <v>298</v>
      </c>
      <c r="C221" s="4">
        <v>64.115499999999997</v>
      </c>
      <c r="D221" s="25">
        <v>64.12</v>
      </c>
    </row>
    <row r="222" spans="1:4" x14ac:dyDescent="0.25">
      <c r="A222" s="25" t="s">
        <v>2840</v>
      </c>
      <c r="B222" s="25">
        <v>299</v>
      </c>
      <c r="C222" s="4">
        <v>50.340499999999999</v>
      </c>
      <c r="D222" s="25">
        <v>50.34</v>
      </c>
    </row>
    <row r="223" spans="1:4" x14ac:dyDescent="0.25">
      <c r="A223" s="25" t="s">
        <v>2842</v>
      </c>
      <c r="B223" s="25">
        <v>300</v>
      </c>
      <c r="C223" s="4">
        <v>55.090499999999999</v>
      </c>
      <c r="D223" s="25">
        <v>55.09</v>
      </c>
    </row>
    <row r="224" spans="1:4" x14ac:dyDescent="0.25">
      <c r="A224" s="25" t="s">
        <v>860</v>
      </c>
      <c r="B224" s="25">
        <v>301</v>
      </c>
      <c r="C224" s="4">
        <v>85.490499999999997</v>
      </c>
      <c r="D224" s="25">
        <v>85.49</v>
      </c>
    </row>
    <row r="225" spans="1:4" x14ac:dyDescent="0.25">
      <c r="A225" s="25" t="s">
        <v>863</v>
      </c>
      <c r="B225" s="25">
        <v>302</v>
      </c>
      <c r="C225" s="4">
        <v>94.990499999999997</v>
      </c>
      <c r="D225" s="25">
        <v>94.99</v>
      </c>
    </row>
    <row r="226" spans="1:4" x14ac:dyDescent="0.25">
      <c r="A226" s="25" t="s">
        <v>871</v>
      </c>
      <c r="B226" s="25">
        <v>304</v>
      </c>
      <c r="C226" s="4">
        <v>25.640499999999999</v>
      </c>
      <c r="D226" s="25">
        <v>25.64</v>
      </c>
    </row>
    <row r="227" spans="1:4" x14ac:dyDescent="0.25">
      <c r="A227" s="25" t="s">
        <v>874</v>
      </c>
      <c r="B227" s="25">
        <v>305</v>
      </c>
      <c r="C227" s="4">
        <v>40.840499999999999</v>
      </c>
      <c r="D227" s="25">
        <v>40.840000000000003</v>
      </c>
    </row>
    <row r="228" spans="1:4" x14ac:dyDescent="0.25">
      <c r="A228" s="25" t="s">
        <v>877</v>
      </c>
      <c r="B228" s="25">
        <v>306</v>
      </c>
      <c r="C228" s="4">
        <v>15.1905</v>
      </c>
      <c r="D228" s="25">
        <v>15.19</v>
      </c>
    </row>
    <row r="229" spans="1:4" x14ac:dyDescent="0.25">
      <c r="A229" s="25" t="s">
        <v>880</v>
      </c>
      <c r="B229" s="25">
        <v>307</v>
      </c>
      <c r="C229" s="4">
        <v>26.590499999999999</v>
      </c>
      <c r="D229" s="25">
        <v>26.59</v>
      </c>
    </row>
    <row r="230" spans="1:4" x14ac:dyDescent="0.25">
      <c r="A230" s="25" t="s">
        <v>1696</v>
      </c>
      <c r="B230" s="25">
        <v>309</v>
      </c>
      <c r="C230" s="4">
        <v>37.990499999999997</v>
      </c>
      <c r="D230" s="25">
        <v>37.99</v>
      </c>
    </row>
    <row r="231" spans="1:4" x14ac:dyDescent="0.25">
      <c r="A231" s="25" t="s">
        <v>1698</v>
      </c>
      <c r="B231" s="25">
        <v>310</v>
      </c>
      <c r="C231" s="4">
        <v>54.140500000000003</v>
      </c>
      <c r="D231" s="25">
        <v>54.14</v>
      </c>
    </row>
    <row r="232" spans="1:4" x14ac:dyDescent="0.25">
      <c r="A232" s="25" t="s">
        <v>2846</v>
      </c>
      <c r="B232" s="25">
        <v>311</v>
      </c>
      <c r="C232" s="4">
        <v>66.490499999999997</v>
      </c>
      <c r="D232" s="25">
        <v>66.489999999999995</v>
      </c>
    </row>
    <row r="233" spans="1:4" x14ac:dyDescent="0.25">
      <c r="A233" s="25" t="s">
        <v>2848</v>
      </c>
      <c r="B233" s="25">
        <v>312</v>
      </c>
      <c r="C233" s="4">
        <v>99.574249999999978</v>
      </c>
      <c r="D233" s="25">
        <v>99.57</v>
      </c>
    </row>
    <row r="234" spans="1:4" x14ac:dyDescent="0.25">
      <c r="A234" s="25" t="s">
        <v>1700</v>
      </c>
      <c r="B234" s="25">
        <v>313</v>
      </c>
      <c r="C234" s="4">
        <v>112.6605</v>
      </c>
      <c r="D234" s="25">
        <v>112.66</v>
      </c>
    </row>
    <row r="235" spans="1:4" x14ac:dyDescent="0.25">
      <c r="A235" s="25" t="s">
        <v>1702</v>
      </c>
      <c r="B235" s="25">
        <v>315</v>
      </c>
      <c r="C235" s="4">
        <v>142.4905</v>
      </c>
      <c r="D235" s="25">
        <v>142.49</v>
      </c>
    </row>
    <row r="236" spans="1:4" x14ac:dyDescent="0.25">
      <c r="A236" s="25" t="s">
        <v>1704</v>
      </c>
      <c r="B236" s="25">
        <v>316</v>
      </c>
      <c r="C236" s="4">
        <v>218.4905</v>
      </c>
      <c r="D236" s="25">
        <v>218.49</v>
      </c>
    </row>
    <row r="237" spans="1:4" x14ac:dyDescent="0.25">
      <c r="A237" s="25" t="s">
        <v>2852</v>
      </c>
      <c r="B237" s="25">
        <v>317</v>
      </c>
      <c r="C237" s="4">
        <v>133.18049999999999</v>
      </c>
      <c r="D237" s="25">
        <v>133.18</v>
      </c>
    </row>
    <row r="238" spans="1:4" x14ac:dyDescent="0.25">
      <c r="A238" s="25" t="s">
        <v>2854</v>
      </c>
      <c r="B238" s="25">
        <v>319</v>
      </c>
      <c r="C238" s="4">
        <v>72.674999999999997</v>
      </c>
      <c r="D238" s="25">
        <v>72.680000000000007</v>
      </c>
    </row>
    <row r="239" spans="1:4" x14ac:dyDescent="0.25">
      <c r="A239" s="25" t="s">
        <v>2856</v>
      </c>
      <c r="B239" s="25">
        <v>320</v>
      </c>
      <c r="C239" s="4">
        <v>94.515499999999989</v>
      </c>
      <c r="D239" s="25">
        <v>94.52</v>
      </c>
    </row>
    <row r="240" spans="1:4" x14ac:dyDescent="0.25">
      <c r="A240" s="25" t="s">
        <v>1706</v>
      </c>
      <c r="B240" s="25">
        <v>322</v>
      </c>
      <c r="C240" s="4">
        <v>78.840499999999992</v>
      </c>
      <c r="D240" s="25">
        <v>78.84</v>
      </c>
    </row>
    <row r="241" spans="1:4" x14ac:dyDescent="0.25">
      <c r="A241" s="25" t="s">
        <v>1708</v>
      </c>
      <c r="B241" s="25">
        <v>323</v>
      </c>
      <c r="C241" s="4">
        <v>38.9405</v>
      </c>
      <c r="D241" s="25">
        <v>38.94</v>
      </c>
    </row>
    <row r="242" spans="1:4" x14ac:dyDescent="0.25">
      <c r="A242" s="25" t="s">
        <v>1710</v>
      </c>
      <c r="B242" s="25">
        <v>324</v>
      </c>
      <c r="C242" s="4">
        <v>30.786333333333339</v>
      </c>
      <c r="D242" s="25">
        <v>30.79</v>
      </c>
    </row>
    <row r="243" spans="1:4" x14ac:dyDescent="0.25">
      <c r="A243" s="25" t="s">
        <v>1712</v>
      </c>
      <c r="B243" s="25">
        <v>325</v>
      </c>
      <c r="C243" s="4">
        <v>18.990500000000001</v>
      </c>
      <c r="D243" s="25">
        <v>18.989999999999998</v>
      </c>
    </row>
    <row r="244" spans="1:4" x14ac:dyDescent="0.25">
      <c r="A244" s="25" t="s">
        <v>1714</v>
      </c>
      <c r="B244" s="25">
        <v>326</v>
      </c>
      <c r="C244" s="4">
        <v>28.490500000000001</v>
      </c>
      <c r="D244" s="25">
        <v>28.49</v>
      </c>
    </row>
    <row r="245" spans="1:4" x14ac:dyDescent="0.25">
      <c r="A245" s="25" t="s">
        <v>2858</v>
      </c>
      <c r="B245" s="25">
        <v>327</v>
      </c>
      <c r="C245" s="4">
        <v>28.324928571428568</v>
      </c>
      <c r="D245" s="25">
        <v>28.32</v>
      </c>
    </row>
    <row r="246" spans="1:4" x14ac:dyDescent="0.25">
      <c r="A246" s="25" t="s">
        <v>1716</v>
      </c>
      <c r="B246" s="25">
        <v>328</v>
      </c>
      <c r="C246" s="4">
        <v>29.4405</v>
      </c>
      <c r="D246" s="25">
        <v>29.44</v>
      </c>
    </row>
    <row r="247" spans="1:4" x14ac:dyDescent="0.25">
      <c r="A247" s="25" t="s">
        <v>1718</v>
      </c>
      <c r="B247" s="25">
        <v>329</v>
      </c>
      <c r="C247" s="4">
        <v>52.715499999999999</v>
      </c>
      <c r="D247" s="25">
        <v>52.72</v>
      </c>
    </row>
    <row r="248" spans="1:4" x14ac:dyDescent="0.25">
      <c r="A248" s="25" t="s">
        <v>301</v>
      </c>
      <c r="B248" s="25">
        <v>331</v>
      </c>
      <c r="C248" s="4">
        <v>161.4905</v>
      </c>
      <c r="D248" s="25">
        <v>161.49</v>
      </c>
    </row>
    <row r="249" spans="1:4" x14ac:dyDescent="0.25">
      <c r="A249" s="25" t="s">
        <v>303</v>
      </c>
      <c r="B249" s="25">
        <v>332</v>
      </c>
      <c r="C249" s="4">
        <v>180.4905</v>
      </c>
      <c r="D249" s="25">
        <v>180.49</v>
      </c>
    </row>
    <row r="250" spans="1:4" x14ac:dyDescent="0.25">
      <c r="A250" s="25" t="s">
        <v>690</v>
      </c>
      <c r="B250" s="25">
        <v>333</v>
      </c>
      <c r="C250" s="4">
        <v>178.59049999999999</v>
      </c>
      <c r="D250" s="25">
        <v>178.59</v>
      </c>
    </row>
    <row r="251" spans="1:4" x14ac:dyDescent="0.25">
      <c r="A251" s="25" t="s">
        <v>1720</v>
      </c>
      <c r="B251" s="25">
        <v>334</v>
      </c>
      <c r="C251" s="4">
        <v>92.457166666666652</v>
      </c>
      <c r="D251" s="25">
        <v>82.46</v>
      </c>
    </row>
    <row r="252" spans="1:4" x14ac:dyDescent="0.25">
      <c r="A252" s="25" t="s">
        <v>890</v>
      </c>
      <c r="B252" s="25">
        <v>335</v>
      </c>
      <c r="C252" s="4">
        <v>11.33171875</v>
      </c>
      <c r="D252" s="25">
        <v>11.33</v>
      </c>
    </row>
    <row r="253" spans="1:4" x14ac:dyDescent="0.25">
      <c r="A253" s="25" t="s">
        <v>893</v>
      </c>
      <c r="B253" s="25">
        <v>336</v>
      </c>
      <c r="C253" s="4">
        <v>25.640499999999999</v>
      </c>
      <c r="D253" s="25">
        <v>25.64</v>
      </c>
    </row>
    <row r="254" spans="1:4" x14ac:dyDescent="0.25">
      <c r="A254" s="25" t="s">
        <v>1727</v>
      </c>
      <c r="B254" s="25">
        <v>339</v>
      </c>
      <c r="C254" s="4">
        <v>18.990500000000001</v>
      </c>
      <c r="D254" s="25">
        <v>18.989999999999998</v>
      </c>
    </row>
    <row r="255" spans="1:4" x14ac:dyDescent="0.25">
      <c r="A255" s="25" t="s">
        <v>1729</v>
      </c>
      <c r="B255" s="25">
        <v>340</v>
      </c>
      <c r="C255" s="4">
        <v>25.450500000000002</v>
      </c>
      <c r="D255" s="25">
        <v>25.45</v>
      </c>
    </row>
    <row r="256" spans="1:4" x14ac:dyDescent="0.25">
      <c r="A256" s="25" t="s">
        <v>1733</v>
      </c>
      <c r="B256" s="25">
        <v>342</v>
      </c>
      <c r="C256" s="4">
        <v>26.590499999999999</v>
      </c>
      <c r="D256" s="25">
        <v>26.59</v>
      </c>
    </row>
    <row r="257" spans="1:4" x14ac:dyDescent="0.25">
      <c r="A257" s="25" t="s">
        <v>305</v>
      </c>
      <c r="B257" s="25">
        <v>343</v>
      </c>
      <c r="C257" s="4">
        <v>67.89248888888882</v>
      </c>
      <c r="D257" s="25">
        <v>67.89</v>
      </c>
    </row>
    <row r="258" spans="1:4" x14ac:dyDescent="0.25">
      <c r="A258" s="25" t="s">
        <v>896</v>
      </c>
      <c r="B258" s="25">
        <v>345</v>
      </c>
      <c r="C258" s="4">
        <v>42.740499999999997</v>
      </c>
      <c r="D258" s="25">
        <v>42.74</v>
      </c>
    </row>
    <row r="259" spans="1:4" x14ac:dyDescent="0.25">
      <c r="A259" s="25" t="s">
        <v>1737</v>
      </c>
      <c r="B259" s="25">
        <v>348</v>
      </c>
      <c r="C259" s="4">
        <v>47.490499999999997</v>
      </c>
      <c r="D259" s="25">
        <v>47.49</v>
      </c>
    </row>
    <row r="260" spans="1:4" x14ac:dyDescent="0.25">
      <c r="A260" s="25" t="s">
        <v>2864</v>
      </c>
      <c r="B260" s="25">
        <v>349</v>
      </c>
      <c r="C260" s="4">
        <v>113.9905</v>
      </c>
      <c r="D260" s="25">
        <v>113.99</v>
      </c>
    </row>
    <row r="261" spans="1:4" x14ac:dyDescent="0.25">
      <c r="A261" s="25" t="s">
        <v>307</v>
      </c>
      <c r="B261" s="25">
        <v>350</v>
      </c>
      <c r="C261" s="4">
        <v>121.0834375</v>
      </c>
      <c r="D261" s="25">
        <v>121.08</v>
      </c>
    </row>
    <row r="262" spans="1:4" x14ac:dyDescent="0.25">
      <c r="A262" s="25" t="s">
        <v>309</v>
      </c>
      <c r="B262" s="25">
        <v>351</v>
      </c>
      <c r="C262" s="4">
        <v>179.23861111111111</v>
      </c>
      <c r="D262" s="25">
        <v>179.24</v>
      </c>
    </row>
    <row r="263" spans="1:4" x14ac:dyDescent="0.25">
      <c r="A263" s="25" t="s">
        <v>311</v>
      </c>
      <c r="B263" s="25">
        <v>352</v>
      </c>
      <c r="C263" s="4">
        <v>241.44883333333331</v>
      </c>
      <c r="D263" s="25">
        <v>226.45</v>
      </c>
    </row>
    <row r="264" spans="1:4" x14ac:dyDescent="0.25">
      <c r="A264" s="25" t="s">
        <v>313</v>
      </c>
      <c r="B264" s="25">
        <v>353</v>
      </c>
      <c r="C264" s="4">
        <v>81.006000000000014</v>
      </c>
      <c r="D264" s="25">
        <v>66.010000000000005</v>
      </c>
    </row>
    <row r="265" spans="1:4" x14ac:dyDescent="0.25">
      <c r="A265" s="25" t="s">
        <v>315</v>
      </c>
      <c r="B265" s="25">
        <v>354</v>
      </c>
      <c r="C265" s="4">
        <v>91.102285714285713</v>
      </c>
      <c r="D265" s="25">
        <v>81.099999999999994</v>
      </c>
    </row>
    <row r="266" spans="1:4" x14ac:dyDescent="0.25">
      <c r="A266" s="25" t="s">
        <v>317</v>
      </c>
      <c r="B266" s="25">
        <v>355</v>
      </c>
      <c r="C266" s="4">
        <v>92.87857692307692</v>
      </c>
      <c r="D266" s="25">
        <v>92.88</v>
      </c>
    </row>
    <row r="267" spans="1:4" x14ac:dyDescent="0.25">
      <c r="A267" s="25" t="s">
        <v>319</v>
      </c>
      <c r="B267" s="25">
        <v>356</v>
      </c>
      <c r="C267" s="4">
        <v>97.631500000000017</v>
      </c>
      <c r="D267" s="25">
        <v>97.63</v>
      </c>
    </row>
    <row r="268" spans="1:4" x14ac:dyDescent="0.25">
      <c r="A268" s="25" t="s">
        <v>899</v>
      </c>
      <c r="B268" s="25">
        <v>357</v>
      </c>
      <c r="C268" s="4">
        <v>35.093000000000004</v>
      </c>
      <c r="D268" s="25">
        <v>35.090000000000003</v>
      </c>
    </row>
    <row r="269" spans="1:4" x14ac:dyDescent="0.25">
      <c r="A269" s="25" t="s">
        <v>2866</v>
      </c>
      <c r="B269" s="25">
        <v>358</v>
      </c>
      <c r="C269" s="4">
        <v>158.26049999999989</v>
      </c>
      <c r="D269" s="25">
        <v>158.26</v>
      </c>
    </row>
    <row r="270" spans="1:4" x14ac:dyDescent="0.25">
      <c r="A270" s="25" t="s">
        <v>1739</v>
      </c>
      <c r="B270" s="25">
        <v>359</v>
      </c>
      <c r="C270" s="4">
        <v>337.53678124999988</v>
      </c>
      <c r="D270" s="25">
        <v>337.54</v>
      </c>
    </row>
    <row r="271" spans="1:4" x14ac:dyDescent="0.25">
      <c r="A271" s="25" t="s">
        <v>902</v>
      </c>
      <c r="B271" s="25">
        <v>360</v>
      </c>
      <c r="C271" s="4">
        <v>40.840499999999999</v>
      </c>
      <c r="D271" s="25">
        <v>40.840000000000003</v>
      </c>
    </row>
    <row r="272" spans="1:4" x14ac:dyDescent="0.25">
      <c r="A272" s="25" t="s">
        <v>905</v>
      </c>
      <c r="B272" s="25">
        <v>361</v>
      </c>
      <c r="C272" s="4">
        <v>65.516750000000002</v>
      </c>
      <c r="D272" s="25">
        <v>65.52</v>
      </c>
    </row>
    <row r="273" spans="1:4" x14ac:dyDescent="0.25">
      <c r="A273" s="25" t="s">
        <v>910</v>
      </c>
      <c r="B273" s="25">
        <v>364</v>
      </c>
      <c r="C273" s="4">
        <v>51.97925</v>
      </c>
      <c r="D273" s="25">
        <v>51.98</v>
      </c>
    </row>
    <row r="274" spans="1:4" x14ac:dyDescent="0.25">
      <c r="A274" s="25" t="s">
        <v>1744</v>
      </c>
      <c r="B274" s="25">
        <v>366</v>
      </c>
      <c r="C274" s="4">
        <v>11.55833333333333</v>
      </c>
      <c r="D274" s="25">
        <v>11.56</v>
      </c>
    </row>
    <row r="275" spans="1:4" x14ac:dyDescent="0.25">
      <c r="A275" s="25" t="s">
        <v>1746</v>
      </c>
      <c r="B275" s="25">
        <v>367</v>
      </c>
      <c r="C275" s="4">
        <v>9.4905000000000008</v>
      </c>
      <c r="D275" s="25">
        <v>9.49</v>
      </c>
    </row>
    <row r="276" spans="1:4" x14ac:dyDescent="0.25">
      <c r="A276" s="25" t="s">
        <v>2874</v>
      </c>
      <c r="B276" s="25">
        <v>369</v>
      </c>
      <c r="C276" s="4">
        <v>18.040500000000002</v>
      </c>
      <c r="D276" s="25">
        <v>18.04</v>
      </c>
    </row>
    <row r="277" spans="1:4" x14ac:dyDescent="0.25">
      <c r="A277" s="25" t="s">
        <v>1748</v>
      </c>
      <c r="B277" s="25">
        <v>371</v>
      </c>
      <c r="C277" s="4">
        <v>15.670249999999999</v>
      </c>
      <c r="D277" s="25">
        <v>15.67</v>
      </c>
    </row>
    <row r="278" spans="1:4" x14ac:dyDescent="0.25">
      <c r="A278" s="25" t="s">
        <v>1750</v>
      </c>
      <c r="B278" s="25">
        <v>372</v>
      </c>
      <c r="C278" s="4">
        <v>33.240499999999997</v>
      </c>
      <c r="D278" s="25">
        <v>33.24</v>
      </c>
    </row>
    <row r="279" spans="1:4" x14ac:dyDescent="0.25">
      <c r="A279" s="25" t="s">
        <v>321</v>
      </c>
      <c r="B279" s="25">
        <v>373</v>
      </c>
      <c r="C279" s="4">
        <v>148.75186363636359</v>
      </c>
      <c r="D279" s="25">
        <v>148.75</v>
      </c>
    </row>
    <row r="280" spans="1:4" x14ac:dyDescent="0.25">
      <c r="A280" s="25" t="s">
        <v>323</v>
      </c>
      <c r="B280" s="25">
        <v>374</v>
      </c>
      <c r="C280" s="4">
        <v>72.936777777777721</v>
      </c>
      <c r="D280" s="25">
        <v>72.94</v>
      </c>
    </row>
    <row r="281" spans="1:4" x14ac:dyDescent="0.25">
      <c r="A281" s="25" t="s">
        <v>913</v>
      </c>
      <c r="B281" s="25">
        <v>376</v>
      </c>
      <c r="C281" s="4">
        <v>74.5655</v>
      </c>
      <c r="D281" s="25">
        <v>74.569999999999993</v>
      </c>
    </row>
    <row r="282" spans="1:4" x14ac:dyDescent="0.25">
      <c r="A282" s="25" t="s">
        <v>1754</v>
      </c>
      <c r="B282" s="25">
        <v>378</v>
      </c>
      <c r="C282" s="4">
        <v>137.6745507246375</v>
      </c>
      <c r="D282" s="25">
        <v>137.66999999999999</v>
      </c>
    </row>
    <row r="283" spans="1:4" x14ac:dyDescent="0.25">
      <c r="A283" s="25" t="s">
        <v>325</v>
      </c>
      <c r="B283" s="25">
        <v>380</v>
      </c>
      <c r="C283" s="4">
        <v>22.684944444444451</v>
      </c>
      <c r="D283" s="25">
        <v>22.68</v>
      </c>
    </row>
    <row r="284" spans="1:4" x14ac:dyDescent="0.25">
      <c r="A284" s="25" t="s">
        <v>331</v>
      </c>
      <c r="B284" s="25">
        <v>383</v>
      </c>
      <c r="C284" s="4">
        <v>25.323833333333329</v>
      </c>
      <c r="D284" s="25">
        <v>25.32</v>
      </c>
    </row>
    <row r="285" spans="1:4" x14ac:dyDescent="0.25">
      <c r="A285" s="25" t="s">
        <v>1756</v>
      </c>
      <c r="B285" s="25">
        <v>384</v>
      </c>
      <c r="C285" s="4">
        <v>31.340499999999999</v>
      </c>
      <c r="D285" s="25">
        <v>31.34</v>
      </c>
    </row>
    <row r="286" spans="1:4" x14ac:dyDescent="0.25">
      <c r="A286" s="25" t="s">
        <v>2878</v>
      </c>
      <c r="B286" s="25">
        <v>385</v>
      </c>
      <c r="C286" s="4">
        <v>66.490499999999997</v>
      </c>
      <c r="D286" s="25">
        <v>66.489999999999995</v>
      </c>
    </row>
    <row r="287" spans="1:4" x14ac:dyDescent="0.25">
      <c r="A287" s="25" t="s">
        <v>1760</v>
      </c>
      <c r="B287" s="25">
        <v>387</v>
      </c>
      <c r="C287" s="4">
        <v>75.990499999999997</v>
      </c>
      <c r="D287" s="25">
        <v>75.989999999999995</v>
      </c>
    </row>
    <row r="288" spans="1:4" x14ac:dyDescent="0.25">
      <c r="A288" s="25" t="s">
        <v>1762</v>
      </c>
      <c r="B288" s="25">
        <v>388</v>
      </c>
      <c r="C288" s="4">
        <v>91.1905</v>
      </c>
      <c r="D288" s="25">
        <v>91.19</v>
      </c>
    </row>
    <row r="289" spans="1:4" x14ac:dyDescent="0.25">
      <c r="A289" s="25" t="s">
        <v>2880</v>
      </c>
      <c r="B289" s="25">
        <v>389</v>
      </c>
      <c r="C289" s="4">
        <v>54.457166666666673</v>
      </c>
      <c r="D289" s="25">
        <v>54.46</v>
      </c>
    </row>
    <row r="290" spans="1:4" x14ac:dyDescent="0.25">
      <c r="A290" s="25" t="s">
        <v>2882</v>
      </c>
      <c r="B290" s="25">
        <v>390</v>
      </c>
      <c r="C290" s="4">
        <v>74.5655</v>
      </c>
      <c r="D290" s="25">
        <v>74.569999999999993</v>
      </c>
    </row>
    <row r="291" spans="1:4" x14ac:dyDescent="0.25">
      <c r="A291" s="25" t="s">
        <v>2884</v>
      </c>
      <c r="B291" s="25">
        <v>391</v>
      </c>
      <c r="C291" s="4">
        <v>59.418277777777767</v>
      </c>
      <c r="D291" s="25">
        <v>59.42</v>
      </c>
    </row>
    <row r="292" spans="1:4" x14ac:dyDescent="0.25">
      <c r="A292" s="25" t="s">
        <v>1764</v>
      </c>
      <c r="B292" s="25">
        <v>392</v>
      </c>
      <c r="C292" s="4">
        <v>19.228000000000002</v>
      </c>
      <c r="D292" s="25">
        <v>19.23</v>
      </c>
    </row>
    <row r="293" spans="1:4" x14ac:dyDescent="0.25">
      <c r="A293" s="25" t="s">
        <v>333</v>
      </c>
      <c r="B293" s="25">
        <v>393</v>
      </c>
      <c r="C293" s="4">
        <v>23.740500000000001</v>
      </c>
      <c r="D293" s="25">
        <v>23.74</v>
      </c>
    </row>
    <row r="294" spans="1:4" x14ac:dyDescent="0.25">
      <c r="A294" s="25" t="s">
        <v>922</v>
      </c>
      <c r="B294" s="25">
        <v>394</v>
      </c>
      <c r="C294" s="4">
        <v>48.228785714285713</v>
      </c>
      <c r="D294" s="25">
        <v>48.23</v>
      </c>
    </row>
    <row r="295" spans="1:4" x14ac:dyDescent="0.25">
      <c r="A295" s="25" t="s">
        <v>2886</v>
      </c>
      <c r="B295" s="25">
        <v>395</v>
      </c>
      <c r="C295" s="4">
        <v>71.779285714285706</v>
      </c>
      <c r="D295" s="25">
        <v>71.78</v>
      </c>
    </row>
    <row r="296" spans="1:4" x14ac:dyDescent="0.25">
      <c r="A296" s="25" t="s">
        <v>2888</v>
      </c>
      <c r="B296" s="25">
        <v>396</v>
      </c>
      <c r="C296" s="4">
        <v>72.1905</v>
      </c>
      <c r="D296" s="25">
        <v>72.19</v>
      </c>
    </row>
    <row r="297" spans="1:4" x14ac:dyDescent="0.25">
      <c r="A297" s="25" t="s">
        <v>2890</v>
      </c>
      <c r="B297" s="25">
        <v>397</v>
      </c>
      <c r="C297" s="4">
        <v>97.31272222222222</v>
      </c>
      <c r="D297" s="25">
        <v>97.31</v>
      </c>
    </row>
    <row r="298" spans="1:4" x14ac:dyDescent="0.25">
      <c r="A298" s="25" t="s">
        <v>2892</v>
      </c>
      <c r="B298" s="25">
        <v>398</v>
      </c>
      <c r="C298" s="4">
        <v>123.4905</v>
      </c>
      <c r="D298" s="25">
        <v>123.49</v>
      </c>
    </row>
    <row r="299" spans="1:4" x14ac:dyDescent="0.25">
      <c r="A299" s="25" t="s">
        <v>1766</v>
      </c>
      <c r="B299" s="25">
        <v>399</v>
      </c>
      <c r="C299" s="4">
        <v>189.9905</v>
      </c>
      <c r="D299" s="25">
        <v>189.99</v>
      </c>
    </row>
    <row r="300" spans="1:4" x14ac:dyDescent="0.25">
      <c r="A300" s="25" t="s">
        <v>335</v>
      </c>
      <c r="B300" s="25">
        <v>400</v>
      </c>
      <c r="C300" s="4">
        <v>61.333357142857153</v>
      </c>
      <c r="D300" s="25">
        <v>61.33</v>
      </c>
    </row>
    <row r="301" spans="1:4" x14ac:dyDescent="0.25">
      <c r="A301" s="25" t="s">
        <v>1778</v>
      </c>
      <c r="B301" s="25">
        <v>407</v>
      </c>
      <c r="C301" s="4">
        <v>17.100000000000001</v>
      </c>
      <c r="D301" s="25">
        <v>17.100000000000001</v>
      </c>
    </row>
    <row r="302" spans="1:4" x14ac:dyDescent="0.25">
      <c r="A302" s="25" t="s">
        <v>2894</v>
      </c>
      <c r="B302" s="25">
        <v>409</v>
      </c>
      <c r="C302" s="4">
        <v>28.490500000000001</v>
      </c>
      <c r="D302" s="25">
        <v>28.49</v>
      </c>
    </row>
    <row r="303" spans="1:4" x14ac:dyDescent="0.25">
      <c r="A303" s="25" t="s">
        <v>1782</v>
      </c>
      <c r="B303" s="25">
        <v>410</v>
      </c>
      <c r="C303" s="4">
        <v>16.140499999999999</v>
      </c>
      <c r="D303" s="25">
        <v>16.14</v>
      </c>
    </row>
    <row r="304" spans="1:4" x14ac:dyDescent="0.25">
      <c r="A304" s="25" t="s">
        <v>1786</v>
      </c>
      <c r="B304" s="25">
        <v>412</v>
      </c>
      <c r="C304" s="4">
        <v>17.090499999999999</v>
      </c>
      <c r="D304" s="25">
        <v>17.09</v>
      </c>
    </row>
    <row r="305" spans="1:4" x14ac:dyDescent="0.25">
      <c r="A305" s="25" t="s">
        <v>2898</v>
      </c>
      <c r="B305" s="25">
        <v>414</v>
      </c>
      <c r="C305" s="4">
        <v>19.9405</v>
      </c>
      <c r="D305" s="25">
        <v>19.940000000000001</v>
      </c>
    </row>
    <row r="306" spans="1:4" x14ac:dyDescent="0.25">
      <c r="A306" s="25" t="s">
        <v>2900</v>
      </c>
      <c r="B306" s="25">
        <v>416</v>
      </c>
      <c r="C306" s="4">
        <v>37.990499999999997</v>
      </c>
      <c r="D306" s="25">
        <v>37.99</v>
      </c>
    </row>
    <row r="307" spans="1:4" x14ac:dyDescent="0.25">
      <c r="A307" s="25" t="s">
        <v>931</v>
      </c>
      <c r="B307" s="25">
        <v>419</v>
      </c>
      <c r="C307" s="4">
        <v>118.3518636363635</v>
      </c>
      <c r="D307" s="25">
        <v>118.35</v>
      </c>
    </row>
    <row r="308" spans="1:4" x14ac:dyDescent="0.25">
      <c r="A308" s="25" t="s">
        <v>2902</v>
      </c>
      <c r="B308" s="25">
        <v>420</v>
      </c>
      <c r="C308" s="4">
        <v>142.4905</v>
      </c>
      <c r="D308" s="25">
        <v>142.49</v>
      </c>
    </row>
    <row r="309" spans="1:4" x14ac:dyDescent="0.25">
      <c r="A309" s="25" t="s">
        <v>939</v>
      </c>
      <c r="B309" s="25">
        <v>422</v>
      </c>
      <c r="C309" s="4">
        <v>142.4905</v>
      </c>
      <c r="D309" s="25">
        <v>142.49</v>
      </c>
    </row>
    <row r="310" spans="1:4" x14ac:dyDescent="0.25">
      <c r="A310" s="25" t="s">
        <v>942</v>
      </c>
      <c r="B310" s="25">
        <v>423</v>
      </c>
      <c r="C310" s="4">
        <v>116.84050000000001</v>
      </c>
      <c r="D310" s="25">
        <v>116.84</v>
      </c>
    </row>
    <row r="311" spans="1:4" x14ac:dyDescent="0.25">
      <c r="A311" s="25" t="s">
        <v>1793</v>
      </c>
      <c r="B311" s="25">
        <v>424</v>
      </c>
      <c r="C311" s="4">
        <v>128.09800000000001</v>
      </c>
      <c r="D311" s="25">
        <v>128.1</v>
      </c>
    </row>
    <row r="312" spans="1:4" x14ac:dyDescent="0.25">
      <c r="A312" s="25" t="s">
        <v>1795</v>
      </c>
      <c r="B312" s="25">
        <v>425</v>
      </c>
      <c r="C312" s="4">
        <v>94.990499999999997</v>
      </c>
      <c r="D312" s="25">
        <v>94.99</v>
      </c>
    </row>
    <row r="313" spans="1:4" x14ac:dyDescent="0.25">
      <c r="A313" s="25" t="s">
        <v>1800</v>
      </c>
      <c r="B313" s="25">
        <v>427</v>
      </c>
      <c r="C313" s="4">
        <v>90.240499999999997</v>
      </c>
      <c r="D313" s="25">
        <v>90.24</v>
      </c>
    </row>
    <row r="314" spans="1:4" x14ac:dyDescent="0.25">
      <c r="A314" s="25" t="s">
        <v>1808</v>
      </c>
      <c r="B314" s="25">
        <v>431</v>
      </c>
      <c r="C314" s="4">
        <v>37.990499999999997</v>
      </c>
      <c r="D314" s="25">
        <v>37.99</v>
      </c>
    </row>
    <row r="315" spans="1:4" x14ac:dyDescent="0.25">
      <c r="A315" s="25" t="s">
        <v>2904</v>
      </c>
      <c r="B315" s="25">
        <v>433</v>
      </c>
      <c r="C315" s="4">
        <v>26.590499999999999</v>
      </c>
      <c r="D315" s="25">
        <v>26.59</v>
      </c>
    </row>
    <row r="316" spans="1:4" x14ac:dyDescent="0.25">
      <c r="A316" s="25" t="s">
        <v>2906</v>
      </c>
      <c r="B316" s="25">
        <v>437</v>
      </c>
      <c r="C316" s="4">
        <v>66.490499999999997</v>
      </c>
      <c r="D316" s="25">
        <v>66.489999999999995</v>
      </c>
    </row>
    <row r="317" spans="1:4" x14ac:dyDescent="0.25">
      <c r="A317" s="25" t="s">
        <v>1818</v>
      </c>
      <c r="B317" s="25">
        <v>438</v>
      </c>
      <c r="C317" s="4">
        <v>113.9905</v>
      </c>
      <c r="D317" s="25">
        <v>113.99</v>
      </c>
    </row>
    <row r="318" spans="1:4" x14ac:dyDescent="0.25">
      <c r="A318" s="25" t="s">
        <v>2908</v>
      </c>
      <c r="B318" s="25">
        <v>440</v>
      </c>
      <c r="C318" s="4">
        <v>47.490499999999997</v>
      </c>
      <c r="D318" s="25">
        <v>42.49</v>
      </c>
    </row>
    <row r="319" spans="1:4" x14ac:dyDescent="0.25">
      <c r="A319" s="25" t="s">
        <v>1820</v>
      </c>
      <c r="B319" s="25">
        <v>441</v>
      </c>
      <c r="C319" s="4">
        <v>66.490499999999997</v>
      </c>
      <c r="D319" s="25">
        <v>66.489999999999995</v>
      </c>
    </row>
    <row r="320" spans="1:4" x14ac:dyDescent="0.25">
      <c r="A320" s="25" t="s">
        <v>2910</v>
      </c>
      <c r="B320" s="25">
        <v>442</v>
      </c>
      <c r="C320" s="4">
        <v>20.890499999999999</v>
      </c>
      <c r="D320" s="25">
        <v>20.89</v>
      </c>
    </row>
    <row r="321" spans="1:4" x14ac:dyDescent="0.25">
      <c r="A321" s="25" t="s">
        <v>2912</v>
      </c>
      <c r="B321" s="25">
        <v>443</v>
      </c>
      <c r="C321" s="4">
        <v>40.704333333333338</v>
      </c>
      <c r="D321" s="25">
        <v>40.700000000000003</v>
      </c>
    </row>
    <row r="322" spans="1:4" x14ac:dyDescent="0.25">
      <c r="A322" s="25" t="s">
        <v>2914</v>
      </c>
      <c r="B322" s="25">
        <v>446</v>
      </c>
      <c r="C322" s="4">
        <v>56.990499999999997</v>
      </c>
      <c r="D322" s="25">
        <v>56.99</v>
      </c>
    </row>
    <row r="323" spans="1:4" x14ac:dyDescent="0.25">
      <c r="A323" s="25" t="s">
        <v>2916</v>
      </c>
      <c r="B323" s="25">
        <v>447</v>
      </c>
      <c r="C323" s="4">
        <v>75.990499999999997</v>
      </c>
      <c r="D323" s="25">
        <v>75.989999999999995</v>
      </c>
    </row>
    <row r="324" spans="1:4" x14ac:dyDescent="0.25">
      <c r="A324" s="25" t="s">
        <v>2918</v>
      </c>
      <c r="B324" s="25">
        <v>448</v>
      </c>
      <c r="C324" s="4">
        <v>112.47525</v>
      </c>
      <c r="D324" s="25">
        <v>112.48</v>
      </c>
    </row>
    <row r="325" spans="1:4" x14ac:dyDescent="0.25">
      <c r="A325" s="25" t="s">
        <v>2920</v>
      </c>
      <c r="B325" s="25">
        <v>449</v>
      </c>
      <c r="C325" s="4">
        <v>28.253</v>
      </c>
      <c r="D325" s="25">
        <v>28.25</v>
      </c>
    </row>
    <row r="326" spans="1:4" x14ac:dyDescent="0.25">
      <c r="A326" s="25" t="s">
        <v>964</v>
      </c>
      <c r="B326" s="25">
        <v>454</v>
      </c>
      <c r="C326" s="4">
        <v>75.990499999999997</v>
      </c>
      <c r="D326" s="25">
        <v>75.989999999999995</v>
      </c>
    </row>
    <row r="327" spans="1:4" x14ac:dyDescent="0.25">
      <c r="A327" s="25" t="s">
        <v>970</v>
      </c>
      <c r="B327" s="25">
        <v>457</v>
      </c>
      <c r="C327" s="4">
        <v>104.4905</v>
      </c>
      <c r="D327" s="25">
        <v>104.49</v>
      </c>
    </row>
    <row r="328" spans="1:4" x14ac:dyDescent="0.25">
      <c r="A328" s="25" t="s">
        <v>2926</v>
      </c>
      <c r="B328" s="25">
        <v>461</v>
      </c>
      <c r="C328" s="4">
        <v>17.408750000000001</v>
      </c>
      <c r="D328" s="25">
        <v>17.41</v>
      </c>
    </row>
    <row r="329" spans="1:4" x14ac:dyDescent="0.25">
      <c r="A329" s="25" t="s">
        <v>1828</v>
      </c>
      <c r="B329" s="25">
        <v>462</v>
      </c>
      <c r="C329" s="4">
        <v>43.914066666666663</v>
      </c>
      <c r="D329" s="25">
        <v>43.91</v>
      </c>
    </row>
    <row r="330" spans="1:4" x14ac:dyDescent="0.25">
      <c r="A330" s="25" t="s">
        <v>2928</v>
      </c>
      <c r="B330" s="25">
        <v>463</v>
      </c>
      <c r="C330" s="4">
        <v>82.007166666666663</v>
      </c>
      <c r="D330" s="25">
        <v>82.01</v>
      </c>
    </row>
    <row r="331" spans="1:4" x14ac:dyDescent="0.25">
      <c r="A331" s="25" t="s">
        <v>2930</v>
      </c>
      <c r="B331" s="25">
        <v>468</v>
      </c>
      <c r="C331" s="4">
        <v>52.240499999999997</v>
      </c>
      <c r="D331" s="25">
        <v>52.24</v>
      </c>
    </row>
    <row r="332" spans="1:4" x14ac:dyDescent="0.25">
      <c r="A332" s="25" t="s">
        <v>1830</v>
      </c>
      <c r="B332" s="25">
        <v>470</v>
      </c>
      <c r="C332" s="4">
        <v>123.4905</v>
      </c>
      <c r="D332" s="25">
        <v>123.49</v>
      </c>
    </row>
    <row r="333" spans="1:4" x14ac:dyDescent="0.25">
      <c r="A333" s="25" t="s">
        <v>988</v>
      </c>
      <c r="B333" s="25">
        <v>471</v>
      </c>
      <c r="C333" s="4">
        <v>137.06192857142861</v>
      </c>
      <c r="D333" s="25">
        <v>137.06</v>
      </c>
    </row>
    <row r="334" spans="1:4" x14ac:dyDescent="0.25">
      <c r="A334" s="25" t="s">
        <v>1833</v>
      </c>
      <c r="B334" s="25">
        <v>472</v>
      </c>
      <c r="C334" s="4">
        <v>191.74068750000049</v>
      </c>
      <c r="D334" s="25">
        <v>191.74</v>
      </c>
    </row>
    <row r="335" spans="1:4" x14ac:dyDescent="0.25">
      <c r="A335" s="25" t="s">
        <v>2932</v>
      </c>
      <c r="B335" s="25">
        <v>473</v>
      </c>
      <c r="C335" s="4">
        <v>99.740499999999997</v>
      </c>
      <c r="D335" s="25">
        <v>99.74</v>
      </c>
    </row>
    <row r="336" spans="1:4" x14ac:dyDescent="0.25">
      <c r="A336" s="25" t="s">
        <v>1840</v>
      </c>
      <c r="B336" s="25">
        <v>479</v>
      </c>
      <c r="C336" s="4">
        <v>68.390499999999989</v>
      </c>
      <c r="D336" s="25">
        <v>68.39</v>
      </c>
    </row>
    <row r="337" spans="1:4" x14ac:dyDescent="0.25">
      <c r="A337" s="25" t="s">
        <v>2936</v>
      </c>
      <c r="B337" s="25">
        <v>481</v>
      </c>
      <c r="C337" s="4">
        <v>104.4525</v>
      </c>
      <c r="D337" s="25">
        <v>104.45</v>
      </c>
    </row>
    <row r="338" spans="1:4" x14ac:dyDescent="0.25">
      <c r="A338" s="25" t="s">
        <v>998</v>
      </c>
      <c r="B338" s="25">
        <v>482</v>
      </c>
      <c r="C338" s="4">
        <v>137.56041304347821</v>
      </c>
      <c r="D338" s="25">
        <v>137.56</v>
      </c>
    </row>
    <row r="339" spans="1:4" x14ac:dyDescent="0.25">
      <c r="A339" s="25" t="s">
        <v>2938</v>
      </c>
      <c r="B339" s="25">
        <v>483</v>
      </c>
      <c r="C339" s="4">
        <v>14.7155</v>
      </c>
      <c r="D339" s="25">
        <v>14.72</v>
      </c>
    </row>
    <row r="340" spans="1:4" x14ac:dyDescent="0.25">
      <c r="A340" s="25" t="s">
        <v>2940</v>
      </c>
      <c r="B340" s="25">
        <v>486</v>
      </c>
      <c r="C340" s="4">
        <v>195.69049999999999</v>
      </c>
      <c r="D340" s="25">
        <v>179.69</v>
      </c>
    </row>
    <row r="341" spans="1:4" x14ac:dyDescent="0.25">
      <c r="A341" s="25" t="s">
        <v>1001</v>
      </c>
      <c r="B341" s="25">
        <v>488</v>
      </c>
      <c r="C341" s="4">
        <v>100.4889848484848</v>
      </c>
      <c r="D341" s="25">
        <v>100.49</v>
      </c>
    </row>
    <row r="342" spans="1:4" x14ac:dyDescent="0.25">
      <c r="A342" s="25" t="s">
        <v>1005</v>
      </c>
      <c r="B342" s="25">
        <v>489</v>
      </c>
      <c r="C342" s="4">
        <v>141.06597500000001</v>
      </c>
      <c r="D342" s="25">
        <v>141.07</v>
      </c>
    </row>
    <row r="343" spans="1:4" x14ac:dyDescent="0.25">
      <c r="A343" s="25" t="s">
        <v>1009</v>
      </c>
      <c r="B343" s="25">
        <v>490</v>
      </c>
      <c r="C343" s="4">
        <v>194.8363636363635</v>
      </c>
      <c r="D343" s="25">
        <v>194.84</v>
      </c>
    </row>
    <row r="344" spans="1:4" x14ac:dyDescent="0.25">
      <c r="A344" s="25" t="s">
        <v>1014</v>
      </c>
      <c r="B344" s="25">
        <v>491</v>
      </c>
      <c r="C344" s="4">
        <v>237.49049999999991</v>
      </c>
      <c r="D344" s="25">
        <v>237.49</v>
      </c>
    </row>
    <row r="345" spans="1:4" x14ac:dyDescent="0.25">
      <c r="A345" s="25" t="s">
        <v>338</v>
      </c>
      <c r="B345" s="25">
        <v>492</v>
      </c>
      <c r="C345" s="4">
        <v>114.34050000000001</v>
      </c>
      <c r="D345" s="25">
        <v>114.34</v>
      </c>
    </row>
    <row r="346" spans="1:4" x14ac:dyDescent="0.25">
      <c r="A346" s="25" t="s">
        <v>340</v>
      </c>
      <c r="B346" s="25">
        <v>493</v>
      </c>
      <c r="C346" s="4">
        <v>122.89675</v>
      </c>
      <c r="D346" s="25">
        <v>122.9</v>
      </c>
    </row>
    <row r="347" spans="1:4" x14ac:dyDescent="0.25">
      <c r="A347" s="25" t="s">
        <v>342</v>
      </c>
      <c r="B347" s="25">
        <v>494</v>
      </c>
      <c r="C347" s="4">
        <v>28.636653846153848</v>
      </c>
      <c r="D347" s="25">
        <v>28.64</v>
      </c>
    </row>
    <row r="348" spans="1:4" x14ac:dyDescent="0.25">
      <c r="A348" s="25" t="s">
        <v>344</v>
      </c>
      <c r="B348" s="25">
        <v>495</v>
      </c>
      <c r="C348" s="4">
        <v>41.294930434782607</v>
      </c>
      <c r="D348" s="25">
        <v>41.29</v>
      </c>
    </row>
    <row r="349" spans="1:4" x14ac:dyDescent="0.25">
      <c r="A349" s="25" t="s">
        <v>1021</v>
      </c>
      <c r="B349" s="25">
        <v>497</v>
      </c>
      <c r="C349" s="4">
        <v>70.6648</v>
      </c>
      <c r="D349" s="25">
        <v>70.66</v>
      </c>
    </row>
    <row r="350" spans="1:4" x14ac:dyDescent="0.25">
      <c r="A350" s="25" t="s">
        <v>2944</v>
      </c>
      <c r="B350" s="25">
        <v>498</v>
      </c>
      <c r="C350" s="4">
        <v>52.650187500000001</v>
      </c>
      <c r="D350" s="25">
        <v>52.65</v>
      </c>
    </row>
    <row r="351" spans="1:4" x14ac:dyDescent="0.25">
      <c r="A351" s="25" t="s">
        <v>2946</v>
      </c>
      <c r="B351" s="25">
        <v>499</v>
      </c>
      <c r="C351" s="4">
        <v>61.598000000000013</v>
      </c>
      <c r="D351" s="25">
        <v>61.6</v>
      </c>
    </row>
    <row r="352" spans="1:4" x14ac:dyDescent="0.25">
      <c r="A352" s="25" t="s">
        <v>1024</v>
      </c>
      <c r="B352" s="25">
        <v>500</v>
      </c>
      <c r="C352" s="4">
        <v>25.640499999999999</v>
      </c>
      <c r="D352" s="25">
        <v>25.64</v>
      </c>
    </row>
    <row r="353" spans="1:4" x14ac:dyDescent="0.25">
      <c r="A353" s="25" t="s">
        <v>1848</v>
      </c>
      <c r="B353" s="25">
        <v>501</v>
      </c>
      <c r="C353" s="4">
        <v>21.840499999999999</v>
      </c>
      <c r="D353" s="25">
        <v>21.84</v>
      </c>
    </row>
    <row r="354" spans="1:4" x14ac:dyDescent="0.25">
      <c r="A354" s="25" t="s">
        <v>1850</v>
      </c>
      <c r="B354" s="25">
        <v>502</v>
      </c>
      <c r="C354" s="4">
        <v>85.490499999999997</v>
      </c>
      <c r="D354" s="25">
        <v>85.49</v>
      </c>
    </row>
    <row r="355" spans="1:4" x14ac:dyDescent="0.25">
      <c r="A355" s="25" t="s">
        <v>1027</v>
      </c>
      <c r="B355" s="25">
        <v>503</v>
      </c>
      <c r="C355" s="4">
        <v>87.390499999999989</v>
      </c>
      <c r="D355" s="25">
        <v>87.39</v>
      </c>
    </row>
    <row r="356" spans="1:4" x14ac:dyDescent="0.25">
      <c r="A356" s="25" t="s">
        <v>2948</v>
      </c>
      <c r="B356" s="25">
        <v>505</v>
      </c>
      <c r="C356" s="4">
        <v>61.740499999999997</v>
      </c>
      <c r="D356" s="25">
        <v>61.74</v>
      </c>
    </row>
    <row r="357" spans="1:4" x14ac:dyDescent="0.25">
      <c r="A357" s="25" t="s">
        <v>1852</v>
      </c>
      <c r="B357" s="25">
        <v>507</v>
      </c>
      <c r="C357" s="4">
        <v>25.474250000000001</v>
      </c>
      <c r="D357" s="25">
        <v>25.47</v>
      </c>
    </row>
    <row r="358" spans="1:4" x14ac:dyDescent="0.25">
      <c r="A358" s="25" t="s">
        <v>2950</v>
      </c>
      <c r="B358" s="25">
        <v>508</v>
      </c>
      <c r="C358" s="4">
        <v>38.756200000000007</v>
      </c>
      <c r="D358" s="25">
        <v>38.76</v>
      </c>
    </row>
    <row r="359" spans="1:4" x14ac:dyDescent="0.25">
      <c r="A359" s="25" t="s">
        <v>1854</v>
      </c>
      <c r="B359" s="25">
        <v>509</v>
      </c>
      <c r="C359" s="4">
        <v>46.545250000000003</v>
      </c>
      <c r="D359" s="25">
        <v>46.55</v>
      </c>
    </row>
    <row r="360" spans="1:4" x14ac:dyDescent="0.25">
      <c r="A360" s="25" t="s">
        <v>1856</v>
      </c>
      <c r="B360" s="25">
        <v>511</v>
      </c>
      <c r="C360" s="4">
        <v>23.146750000000001</v>
      </c>
      <c r="D360" s="25">
        <v>23.15</v>
      </c>
    </row>
    <row r="361" spans="1:4" x14ac:dyDescent="0.25">
      <c r="A361" s="25" t="s">
        <v>1858</v>
      </c>
      <c r="B361" s="25">
        <v>513</v>
      </c>
      <c r="C361" s="4">
        <v>15.26107142857143</v>
      </c>
      <c r="D361" s="25">
        <v>15.26</v>
      </c>
    </row>
    <row r="362" spans="1:4" x14ac:dyDescent="0.25">
      <c r="A362" s="25" t="s">
        <v>1860</v>
      </c>
      <c r="B362" s="25">
        <v>514</v>
      </c>
      <c r="C362" s="4">
        <v>154.2724</v>
      </c>
      <c r="D362" s="25">
        <v>154.27000000000001</v>
      </c>
    </row>
    <row r="363" spans="1:4" x14ac:dyDescent="0.25">
      <c r="A363" s="25" t="s">
        <v>1042</v>
      </c>
      <c r="B363" s="25">
        <v>515</v>
      </c>
      <c r="C363" s="4">
        <v>94.990499999999997</v>
      </c>
      <c r="D363" s="25">
        <v>94.99</v>
      </c>
    </row>
    <row r="364" spans="1:4" x14ac:dyDescent="0.25">
      <c r="A364" s="25" t="s">
        <v>1863</v>
      </c>
      <c r="B364" s="25">
        <v>516</v>
      </c>
      <c r="C364" s="4">
        <v>167.47293243243229</v>
      </c>
      <c r="D364" s="25">
        <v>167.47</v>
      </c>
    </row>
    <row r="365" spans="1:4" x14ac:dyDescent="0.25">
      <c r="A365" s="25" t="s">
        <v>1866</v>
      </c>
      <c r="B365" s="25">
        <v>517</v>
      </c>
      <c r="C365" s="4">
        <v>255.9650312499999</v>
      </c>
      <c r="D365" s="25">
        <v>255.97</v>
      </c>
    </row>
    <row r="366" spans="1:4" x14ac:dyDescent="0.25">
      <c r="A366" s="25" t="s">
        <v>1869</v>
      </c>
      <c r="B366" s="25">
        <v>518</v>
      </c>
      <c r="C366" s="4">
        <v>353.39049999999992</v>
      </c>
      <c r="D366" s="25">
        <v>353.39</v>
      </c>
    </row>
    <row r="367" spans="1:4" x14ac:dyDescent="0.25">
      <c r="A367" s="25" t="s">
        <v>346</v>
      </c>
      <c r="B367" s="25">
        <v>519</v>
      </c>
      <c r="C367" s="4">
        <v>197.65700000000001</v>
      </c>
      <c r="D367" s="25">
        <v>197.66</v>
      </c>
    </row>
    <row r="368" spans="1:4" x14ac:dyDescent="0.25">
      <c r="A368" s="25" t="s">
        <v>348</v>
      </c>
      <c r="B368" s="25">
        <v>520</v>
      </c>
      <c r="C368" s="4">
        <v>190.38423648648629</v>
      </c>
      <c r="D368" s="25">
        <v>190.38</v>
      </c>
    </row>
    <row r="369" spans="1:4" x14ac:dyDescent="0.25">
      <c r="A369" s="25" t="s">
        <v>350</v>
      </c>
      <c r="B369" s="25">
        <v>521</v>
      </c>
      <c r="C369" s="4">
        <v>61.457521276595678</v>
      </c>
      <c r="D369" s="25">
        <v>61.46</v>
      </c>
    </row>
    <row r="370" spans="1:4" x14ac:dyDescent="0.25">
      <c r="A370" s="25" t="s">
        <v>352</v>
      </c>
      <c r="B370" s="25">
        <v>522</v>
      </c>
      <c r="C370" s="4">
        <v>16.724451428571381</v>
      </c>
      <c r="D370" s="25">
        <v>16.72</v>
      </c>
    </row>
    <row r="371" spans="1:4" x14ac:dyDescent="0.25">
      <c r="A371" s="25" t="s">
        <v>1899</v>
      </c>
      <c r="B371" s="25">
        <v>537</v>
      </c>
      <c r="C371" s="4">
        <v>15.6915</v>
      </c>
      <c r="D371" s="25">
        <v>13.19</v>
      </c>
    </row>
    <row r="372" spans="1:4" x14ac:dyDescent="0.25">
      <c r="A372" s="25" t="s">
        <v>2953</v>
      </c>
      <c r="B372" s="25">
        <v>540</v>
      </c>
      <c r="C372" s="4">
        <v>22.157166666666669</v>
      </c>
      <c r="D372" s="25">
        <v>22.16</v>
      </c>
    </row>
    <row r="373" spans="1:4" x14ac:dyDescent="0.25">
      <c r="A373" s="25" t="s">
        <v>2955</v>
      </c>
      <c r="B373" s="25">
        <v>541</v>
      </c>
      <c r="C373" s="4">
        <v>18.040500000000002</v>
      </c>
      <c r="D373" s="25">
        <v>18.04</v>
      </c>
    </row>
    <row r="374" spans="1:4" x14ac:dyDescent="0.25">
      <c r="A374" s="25" t="s">
        <v>2957</v>
      </c>
      <c r="B374" s="25">
        <v>543</v>
      </c>
      <c r="C374" s="4">
        <v>20.415500000000002</v>
      </c>
      <c r="D374" s="25">
        <v>20.41</v>
      </c>
    </row>
    <row r="375" spans="1:4" x14ac:dyDescent="0.25">
      <c r="A375" s="25" t="s">
        <v>2959</v>
      </c>
      <c r="B375" s="25">
        <v>544</v>
      </c>
      <c r="C375" s="4">
        <v>38.598999999999997</v>
      </c>
      <c r="D375" s="25">
        <v>38.6</v>
      </c>
    </row>
    <row r="376" spans="1:4" x14ac:dyDescent="0.25">
      <c r="A376" s="25" t="s">
        <v>1907</v>
      </c>
      <c r="B376" s="25">
        <v>545</v>
      </c>
      <c r="C376" s="4">
        <v>35.963833333333334</v>
      </c>
      <c r="D376" s="25">
        <v>35.96</v>
      </c>
    </row>
    <row r="377" spans="1:4" x14ac:dyDescent="0.25">
      <c r="A377" s="25" t="s">
        <v>1045</v>
      </c>
      <c r="B377" s="25">
        <v>549</v>
      </c>
      <c r="C377" s="4">
        <v>189.85614285714291</v>
      </c>
      <c r="D377" s="25">
        <v>189.86</v>
      </c>
    </row>
    <row r="378" spans="1:4" x14ac:dyDescent="0.25">
      <c r="A378" s="25" t="s">
        <v>1049</v>
      </c>
      <c r="B378" s="25">
        <v>550</v>
      </c>
      <c r="C378" s="4">
        <v>65.540499999999994</v>
      </c>
      <c r="D378" s="25">
        <v>65.540000000000006</v>
      </c>
    </row>
    <row r="379" spans="1:4" x14ac:dyDescent="0.25">
      <c r="A379" s="25" t="s">
        <v>2961</v>
      </c>
      <c r="B379" s="25">
        <v>551</v>
      </c>
      <c r="C379" s="4">
        <v>94.990499999999997</v>
      </c>
      <c r="D379" s="25">
        <v>94.99</v>
      </c>
    </row>
    <row r="380" spans="1:4" x14ac:dyDescent="0.25">
      <c r="A380" s="25" t="s">
        <v>1052</v>
      </c>
      <c r="B380" s="25">
        <v>552</v>
      </c>
      <c r="C380" s="4">
        <v>189.99049999999991</v>
      </c>
      <c r="D380" s="25">
        <v>179.99</v>
      </c>
    </row>
    <row r="381" spans="1:4" x14ac:dyDescent="0.25">
      <c r="A381" s="25" t="s">
        <v>1056</v>
      </c>
      <c r="B381" s="25">
        <v>553</v>
      </c>
      <c r="C381" s="4">
        <v>75.990499999999997</v>
      </c>
      <c r="D381" s="25">
        <v>65.989999999999995</v>
      </c>
    </row>
    <row r="382" spans="1:4" x14ac:dyDescent="0.25">
      <c r="A382" s="25" t="s">
        <v>1915</v>
      </c>
      <c r="B382" s="25">
        <v>554</v>
      </c>
      <c r="C382" s="4">
        <v>87.649590909090918</v>
      </c>
      <c r="D382" s="25">
        <v>87.65</v>
      </c>
    </row>
    <row r="383" spans="1:4" x14ac:dyDescent="0.25">
      <c r="A383" s="25" t="s">
        <v>1917</v>
      </c>
      <c r="B383" s="25">
        <v>555</v>
      </c>
      <c r="C383" s="4">
        <v>149.79599999999999</v>
      </c>
      <c r="D383" s="25">
        <v>149.80000000000001</v>
      </c>
    </row>
    <row r="384" spans="1:4" x14ac:dyDescent="0.25">
      <c r="A384" s="25" t="s">
        <v>1059</v>
      </c>
      <c r="B384" s="25">
        <v>556</v>
      </c>
      <c r="C384" s="4">
        <v>156.7405</v>
      </c>
      <c r="D384" s="25">
        <v>156.74</v>
      </c>
    </row>
    <row r="385" spans="1:4" x14ac:dyDescent="0.25">
      <c r="A385" s="25" t="s">
        <v>1063</v>
      </c>
      <c r="B385" s="25">
        <v>558</v>
      </c>
      <c r="C385" s="4">
        <v>150.26322727272731</v>
      </c>
      <c r="D385" s="25">
        <v>150.26</v>
      </c>
    </row>
    <row r="386" spans="1:4" x14ac:dyDescent="0.25">
      <c r="A386" s="25" t="s">
        <v>1924</v>
      </c>
      <c r="B386" s="25">
        <v>562</v>
      </c>
      <c r="C386" s="4">
        <v>104.0586818181818</v>
      </c>
      <c r="D386" s="25">
        <v>94.06</v>
      </c>
    </row>
    <row r="387" spans="1:4" x14ac:dyDescent="0.25">
      <c r="A387" s="25" t="s">
        <v>1926</v>
      </c>
      <c r="B387" s="25">
        <v>563</v>
      </c>
      <c r="C387" s="4">
        <v>55.087333333333341</v>
      </c>
      <c r="D387" s="25">
        <v>55.09</v>
      </c>
    </row>
    <row r="388" spans="1:4" x14ac:dyDescent="0.25">
      <c r="A388" s="25" t="s">
        <v>1074</v>
      </c>
      <c r="B388" s="25">
        <v>564</v>
      </c>
      <c r="C388" s="4">
        <v>196.09764285714289</v>
      </c>
      <c r="D388" s="25">
        <v>196.1</v>
      </c>
    </row>
    <row r="389" spans="1:4" x14ac:dyDescent="0.25">
      <c r="A389" s="25" t="s">
        <v>1084</v>
      </c>
      <c r="B389" s="25">
        <v>568</v>
      </c>
      <c r="C389" s="4">
        <v>133.72959999999989</v>
      </c>
      <c r="D389" s="25">
        <v>133.72999999999999</v>
      </c>
    </row>
    <row r="390" spans="1:4" x14ac:dyDescent="0.25">
      <c r="A390" s="25" t="s">
        <v>1087</v>
      </c>
      <c r="B390" s="25">
        <v>569</v>
      </c>
      <c r="C390" s="4">
        <v>110.4495909090909</v>
      </c>
      <c r="D390" s="25">
        <v>110.45</v>
      </c>
    </row>
    <row r="391" spans="1:4" x14ac:dyDescent="0.25">
      <c r="A391" s="25" t="s">
        <v>1090</v>
      </c>
      <c r="B391" s="25">
        <v>570</v>
      </c>
      <c r="C391" s="4">
        <v>99.740499999999997</v>
      </c>
      <c r="D391" s="25">
        <v>99.74</v>
      </c>
    </row>
    <row r="392" spans="1:4" x14ac:dyDescent="0.25">
      <c r="A392" s="25" t="s">
        <v>1930</v>
      </c>
      <c r="B392" s="25">
        <v>572</v>
      </c>
      <c r="C392" s="4">
        <v>92.133375000000001</v>
      </c>
      <c r="D392" s="25">
        <v>92.13</v>
      </c>
    </row>
    <row r="393" spans="1:4" x14ac:dyDescent="0.25">
      <c r="A393" s="25" t="s">
        <v>1932</v>
      </c>
      <c r="B393" s="25">
        <v>573</v>
      </c>
      <c r="C393" s="4">
        <v>41.722099999999998</v>
      </c>
      <c r="D393" s="25">
        <v>41.72</v>
      </c>
    </row>
    <row r="394" spans="1:4" x14ac:dyDescent="0.25">
      <c r="A394" s="25" t="s">
        <v>1096</v>
      </c>
      <c r="B394" s="25">
        <v>574</v>
      </c>
      <c r="C394" s="4">
        <v>94.990499999999997</v>
      </c>
      <c r="D394" s="25">
        <v>94.99</v>
      </c>
    </row>
    <row r="395" spans="1:4" x14ac:dyDescent="0.25">
      <c r="A395" s="25" t="s">
        <v>1934</v>
      </c>
      <c r="B395" s="25">
        <v>576</v>
      </c>
      <c r="C395" s="4">
        <v>85.490499999999997</v>
      </c>
      <c r="D395" s="25">
        <v>75.489999999999995</v>
      </c>
    </row>
    <row r="396" spans="1:4" x14ac:dyDescent="0.25">
      <c r="A396" s="25" t="s">
        <v>1102</v>
      </c>
      <c r="B396" s="25">
        <v>577</v>
      </c>
      <c r="C396" s="4">
        <v>134.57383333333331</v>
      </c>
      <c r="D396" s="25">
        <v>134.57</v>
      </c>
    </row>
    <row r="397" spans="1:4" x14ac:dyDescent="0.25">
      <c r="A397" s="25" t="s">
        <v>1105</v>
      </c>
      <c r="B397" s="25">
        <v>578</v>
      </c>
      <c r="C397" s="4">
        <v>44.640500000000003</v>
      </c>
      <c r="D397" s="25">
        <v>44.64</v>
      </c>
    </row>
    <row r="398" spans="1:4" x14ac:dyDescent="0.25">
      <c r="A398" s="25" t="s">
        <v>354</v>
      </c>
      <c r="B398" s="25">
        <v>579</v>
      </c>
      <c r="C398" s="4">
        <v>94.990499999999997</v>
      </c>
      <c r="D398" s="25">
        <v>94.99</v>
      </c>
    </row>
    <row r="399" spans="1:4" x14ac:dyDescent="0.25">
      <c r="A399" s="25" t="s">
        <v>1936</v>
      </c>
      <c r="B399" s="25">
        <v>580</v>
      </c>
      <c r="C399" s="4">
        <v>33.152285714285718</v>
      </c>
      <c r="D399" s="25">
        <v>33.15</v>
      </c>
    </row>
    <row r="400" spans="1:4" x14ac:dyDescent="0.25">
      <c r="A400" s="25" t="s">
        <v>1938</v>
      </c>
      <c r="B400" s="25">
        <v>583</v>
      </c>
      <c r="C400" s="4">
        <v>312.85716666666661</v>
      </c>
      <c r="D400" s="25">
        <v>312.86</v>
      </c>
    </row>
    <row r="401" spans="1:4" x14ac:dyDescent="0.25">
      <c r="A401" s="25" t="s">
        <v>1117</v>
      </c>
      <c r="B401" s="25">
        <v>585</v>
      </c>
      <c r="C401" s="4">
        <v>58.776500000000013</v>
      </c>
      <c r="D401" s="25">
        <v>58.78</v>
      </c>
    </row>
    <row r="402" spans="1:4" x14ac:dyDescent="0.25">
      <c r="A402" s="25" t="s">
        <v>1941</v>
      </c>
      <c r="B402" s="25">
        <v>586</v>
      </c>
      <c r="C402" s="4">
        <v>123.4905</v>
      </c>
      <c r="D402" s="25">
        <v>118.49</v>
      </c>
    </row>
    <row r="403" spans="1:4" x14ac:dyDescent="0.25">
      <c r="A403" s="25" t="s">
        <v>1943</v>
      </c>
      <c r="B403" s="25">
        <v>587</v>
      </c>
      <c r="C403" s="4">
        <v>189.9905</v>
      </c>
      <c r="D403" s="25">
        <v>169.99</v>
      </c>
    </row>
    <row r="404" spans="1:4" x14ac:dyDescent="0.25">
      <c r="A404" s="25" t="s">
        <v>2963</v>
      </c>
      <c r="B404" s="25">
        <v>590</v>
      </c>
      <c r="C404" s="4">
        <v>64.801611111111114</v>
      </c>
      <c r="D404" s="25">
        <v>64.8</v>
      </c>
    </row>
    <row r="405" spans="1:4" x14ac:dyDescent="0.25">
      <c r="A405" s="25" t="s">
        <v>2965</v>
      </c>
      <c r="B405" s="25">
        <v>592</v>
      </c>
      <c r="C405" s="4">
        <v>84.540499999999994</v>
      </c>
      <c r="D405" s="25">
        <v>84.54</v>
      </c>
    </row>
    <row r="406" spans="1:4" x14ac:dyDescent="0.25">
      <c r="A406" s="25" t="s">
        <v>2967</v>
      </c>
      <c r="B406" s="25">
        <v>593</v>
      </c>
      <c r="C406" s="4">
        <v>32.252499999999998</v>
      </c>
      <c r="D406" s="25">
        <v>32.25</v>
      </c>
    </row>
    <row r="407" spans="1:4" x14ac:dyDescent="0.25">
      <c r="A407" s="25" t="s">
        <v>1948</v>
      </c>
      <c r="B407" s="25">
        <v>594</v>
      </c>
      <c r="C407" s="4">
        <v>56.990499999999997</v>
      </c>
      <c r="D407" s="25">
        <v>56.99</v>
      </c>
    </row>
    <row r="408" spans="1:4" x14ac:dyDescent="0.25">
      <c r="A408" s="25" t="s">
        <v>1952</v>
      </c>
      <c r="B408" s="25">
        <v>596</v>
      </c>
      <c r="C408" s="4">
        <v>94.310571428571421</v>
      </c>
      <c r="D408" s="25">
        <v>94.31</v>
      </c>
    </row>
    <row r="409" spans="1:4" x14ac:dyDescent="0.25">
      <c r="A409" s="25" t="s">
        <v>356</v>
      </c>
      <c r="B409" s="25">
        <v>597</v>
      </c>
      <c r="C409" s="4">
        <v>92.135318181818178</v>
      </c>
      <c r="D409" s="25">
        <v>92.14</v>
      </c>
    </row>
    <row r="410" spans="1:4" x14ac:dyDescent="0.25">
      <c r="A410" s="25" t="s">
        <v>360</v>
      </c>
      <c r="B410" s="25">
        <v>598</v>
      </c>
      <c r="C410" s="4">
        <v>105.0586</v>
      </c>
      <c r="D410" s="25">
        <v>105.06</v>
      </c>
    </row>
    <row r="411" spans="1:4" x14ac:dyDescent="0.25">
      <c r="A411" s="25" t="s">
        <v>362</v>
      </c>
      <c r="B411" s="25">
        <v>599</v>
      </c>
      <c r="C411" s="4">
        <v>189.9905</v>
      </c>
      <c r="D411" s="25">
        <v>189.99</v>
      </c>
    </row>
    <row r="412" spans="1:4" x14ac:dyDescent="0.25">
      <c r="A412" s="25" t="s">
        <v>1955</v>
      </c>
      <c r="B412" s="25">
        <v>600</v>
      </c>
      <c r="C412" s="4">
        <v>91.1905</v>
      </c>
      <c r="D412" s="25">
        <v>91.19</v>
      </c>
    </row>
    <row r="413" spans="1:4" x14ac:dyDescent="0.25">
      <c r="A413" s="25" t="s">
        <v>2969</v>
      </c>
      <c r="B413" s="25">
        <v>601</v>
      </c>
      <c r="C413" s="4">
        <v>90.240499999999997</v>
      </c>
      <c r="D413" s="25">
        <v>90.24</v>
      </c>
    </row>
    <row r="414" spans="1:4" x14ac:dyDescent="0.25">
      <c r="A414" s="25" t="s">
        <v>1130</v>
      </c>
      <c r="B414" s="25">
        <v>604</v>
      </c>
      <c r="C414" s="4">
        <v>156.7405</v>
      </c>
      <c r="D414" s="25">
        <v>156.74</v>
      </c>
    </row>
    <row r="415" spans="1:4" x14ac:dyDescent="0.25">
      <c r="A415" s="25" t="s">
        <v>1136</v>
      </c>
      <c r="B415" s="25">
        <v>608</v>
      </c>
      <c r="C415" s="4">
        <v>73.140499999999989</v>
      </c>
      <c r="D415" s="25">
        <v>63.14</v>
      </c>
    </row>
    <row r="416" spans="1:4" x14ac:dyDescent="0.25">
      <c r="A416" s="25" t="s">
        <v>364</v>
      </c>
      <c r="B416" s="25">
        <v>609</v>
      </c>
      <c r="C416" s="4">
        <v>75.347333333333268</v>
      </c>
      <c r="D416" s="25">
        <v>75.349999999999994</v>
      </c>
    </row>
    <row r="417" spans="1:4" x14ac:dyDescent="0.25">
      <c r="A417" s="25" t="s">
        <v>2972</v>
      </c>
      <c r="B417" s="25">
        <v>610</v>
      </c>
      <c r="C417" s="4">
        <v>61.740499999999997</v>
      </c>
      <c r="D417" s="25">
        <v>61.74</v>
      </c>
    </row>
    <row r="418" spans="1:4" x14ac:dyDescent="0.25">
      <c r="A418" s="25" t="s">
        <v>1959</v>
      </c>
      <c r="B418" s="25">
        <v>611</v>
      </c>
      <c r="C418" s="4">
        <v>29.27285294117647</v>
      </c>
      <c r="D418" s="25">
        <v>29.27</v>
      </c>
    </row>
    <row r="419" spans="1:4" x14ac:dyDescent="0.25">
      <c r="A419" s="25" t="s">
        <v>1139</v>
      </c>
      <c r="B419" s="25">
        <v>612</v>
      </c>
      <c r="C419" s="4">
        <v>56.665599999999998</v>
      </c>
      <c r="D419" s="25">
        <v>56.67</v>
      </c>
    </row>
    <row r="420" spans="1:4" x14ac:dyDescent="0.25">
      <c r="A420" s="25" t="s">
        <v>1142</v>
      </c>
      <c r="B420" s="25">
        <v>613</v>
      </c>
      <c r="C420" s="4">
        <v>37.040500000000002</v>
      </c>
      <c r="D420" s="25">
        <v>37.04</v>
      </c>
    </row>
    <row r="421" spans="1:4" x14ac:dyDescent="0.25">
      <c r="A421" s="25" t="s">
        <v>1148</v>
      </c>
      <c r="B421" s="25">
        <v>615</v>
      </c>
      <c r="C421" s="4">
        <v>30.865500000000001</v>
      </c>
      <c r="D421" s="25">
        <v>30.87</v>
      </c>
    </row>
    <row r="422" spans="1:4" x14ac:dyDescent="0.25">
      <c r="A422" s="25" t="s">
        <v>1151</v>
      </c>
      <c r="B422" s="25">
        <v>616</v>
      </c>
      <c r="C422" s="4">
        <v>27.303000000000001</v>
      </c>
      <c r="D422" s="25">
        <v>27.3</v>
      </c>
    </row>
    <row r="423" spans="1:4" x14ac:dyDescent="0.25">
      <c r="A423" s="25" t="s">
        <v>1154</v>
      </c>
      <c r="B423" s="25">
        <v>617</v>
      </c>
      <c r="C423" s="4">
        <v>115.5738333333333</v>
      </c>
      <c r="D423" s="25">
        <v>115.57</v>
      </c>
    </row>
    <row r="424" spans="1:4" x14ac:dyDescent="0.25">
      <c r="A424" s="25" t="s">
        <v>1961</v>
      </c>
      <c r="B424" s="25">
        <v>619</v>
      </c>
      <c r="C424" s="4">
        <v>158.631</v>
      </c>
      <c r="D424" s="25">
        <v>148.63</v>
      </c>
    </row>
    <row r="425" spans="1:4" x14ac:dyDescent="0.25">
      <c r="A425" s="25" t="s">
        <v>1157</v>
      </c>
      <c r="B425" s="25">
        <v>620</v>
      </c>
      <c r="C425" s="4">
        <v>65.0655</v>
      </c>
      <c r="D425" s="25">
        <v>65.069999999999993</v>
      </c>
    </row>
    <row r="426" spans="1:4" x14ac:dyDescent="0.25">
      <c r="A426" s="25" t="s">
        <v>1160</v>
      </c>
      <c r="B426" s="25">
        <v>622</v>
      </c>
      <c r="C426" s="4">
        <v>56.990499999999997</v>
      </c>
      <c r="D426" s="25">
        <v>56.99</v>
      </c>
    </row>
    <row r="427" spans="1:4" x14ac:dyDescent="0.25">
      <c r="A427" s="25" t="s">
        <v>1163</v>
      </c>
      <c r="B427" s="25">
        <v>623</v>
      </c>
      <c r="C427" s="4">
        <v>107.47621428571431</v>
      </c>
      <c r="D427" s="25">
        <v>107.48</v>
      </c>
    </row>
    <row r="428" spans="1:4" x14ac:dyDescent="0.25">
      <c r="A428" s="25" t="s">
        <v>366</v>
      </c>
      <c r="B428" s="25">
        <v>625</v>
      </c>
      <c r="C428" s="4">
        <v>76.9405</v>
      </c>
      <c r="D428" s="25">
        <v>76.94</v>
      </c>
    </row>
    <row r="429" spans="1:4" x14ac:dyDescent="0.25">
      <c r="A429" s="25" t="s">
        <v>704</v>
      </c>
      <c r="B429" s="25">
        <v>626</v>
      </c>
      <c r="C429" s="4">
        <v>57.9405</v>
      </c>
      <c r="D429" s="25">
        <v>57.94</v>
      </c>
    </row>
    <row r="430" spans="1:4" x14ac:dyDescent="0.25">
      <c r="A430" s="25" t="s">
        <v>368</v>
      </c>
      <c r="B430" s="25">
        <v>627</v>
      </c>
      <c r="C430" s="4">
        <v>60.790500000000002</v>
      </c>
      <c r="D430" s="25">
        <v>60.79</v>
      </c>
    </row>
    <row r="431" spans="1:4" x14ac:dyDescent="0.25">
      <c r="A431" s="25" t="s">
        <v>706</v>
      </c>
      <c r="B431" s="25">
        <v>628</v>
      </c>
      <c r="C431" s="4">
        <v>43.6905</v>
      </c>
      <c r="D431" s="25">
        <v>43.69</v>
      </c>
    </row>
    <row r="432" spans="1:4" x14ac:dyDescent="0.25">
      <c r="A432" s="25" t="s">
        <v>707</v>
      </c>
      <c r="B432" s="25">
        <v>629</v>
      </c>
      <c r="C432" s="4">
        <v>47.490499999999997</v>
      </c>
      <c r="D432" s="25">
        <v>47.49</v>
      </c>
    </row>
    <row r="433" spans="1:4" x14ac:dyDescent="0.25">
      <c r="A433" s="25" t="s">
        <v>708</v>
      </c>
      <c r="B433" s="25">
        <v>630</v>
      </c>
      <c r="C433" s="4">
        <v>46.540500000000002</v>
      </c>
      <c r="D433" s="25">
        <v>46.54</v>
      </c>
    </row>
    <row r="434" spans="1:4" x14ac:dyDescent="0.25">
      <c r="A434" s="25" t="s">
        <v>370</v>
      </c>
      <c r="B434" s="25">
        <v>631</v>
      </c>
      <c r="C434" s="4">
        <v>90.240499999999997</v>
      </c>
      <c r="D434" s="25">
        <v>90.24</v>
      </c>
    </row>
    <row r="435" spans="1:4" x14ac:dyDescent="0.25">
      <c r="A435" s="25" t="s">
        <v>709</v>
      </c>
      <c r="B435" s="25">
        <v>632</v>
      </c>
      <c r="C435" s="4">
        <v>48.354999999999997</v>
      </c>
      <c r="D435" s="25">
        <v>48.36</v>
      </c>
    </row>
    <row r="436" spans="1:4" x14ac:dyDescent="0.25">
      <c r="A436" s="25" t="s">
        <v>372</v>
      </c>
      <c r="B436" s="25">
        <v>633</v>
      </c>
      <c r="C436" s="4">
        <v>80.740499999999997</v>
      </c>
      <c r="D436" s="25">
        <v>80.739999999999995</v>
      </c>
    </row>
    <row r="437" spans="1:4" x14ac:dyDescent="0.25">
      <c r="A437" s="25" t="s">
        <v>1971</v>
      </c>
      <c r="B437" s="25">
        <v>634</v>
      </c>
      <c r="C437" s="4">
        <v>126.90049999999999</v>
      </c>
      <c r="D437" s="25">
        <v>126.9</v>
      </c>
    </row>
    <row r="438" spans="1:4" x14ac:dyDescent="0.25">
      <c r="A438" s="25" t="s">
        <v>1170</v>
      </c>
      <c r="B438" s="25">
        <v>635</v>
      </c>
      <c r="C438" s="4">
        <v>77.076284482758538</v>
      </c>
      <c r="D438" s="25">
        <v>77.08</v>
      </c>
    </row>
    <row r="439" spans="1:4" x14ac:dyDescent="0.25">
      <c r="A439" s="25" t="s">
        <v>1973</v>
      </c>
      <c r="B439" s="25">
        <v>636</v>
      </c>
      <c r="C439" s="4">
        <v>166.33765909090889</v>
      </c>
      <c r="D439" s="25">
        <v>166.34</v>
      </c>
    </row>
    <row r="440" spans="1:4" x14ac:dyDescent="0.25">
      <c r="A440" s="25" t="s">
        <v>1173</v>
      </c>
      <c r="B440" s="25">
        <v>637</v>
      </c>
      <c r="C440" s="4">
        <v>61.740499999999997</v>
      </c>
      <c r="D440" s="25">
        <v>61.74</v>
      </c>
    </row>
    <row r="441" spans="1:4" x14ac:dyDescent="0.25">
      <c r="A441" s="25" t="s">
        <v>1978</v>
      </c>
      <c r="B441" s="25">
        <v>641</v>
      </c>
      <c r="C441" s="4">
        <v>93.544264705882341</v>
      </c>
      <c r="D441" s="25">
        <v>88.54</v>
      </c>
    </row>
    <row r="442" spans="1:4" x14ac:dyDescent="0.25">
      <c r="A442" s="25" t="s">
        <v>374</v>
      </c>
      <c r="B442" s="25">
        <v>645</v>
      </c>
      <c r="C442" s="4">
        <v>26.590499999999999</v>
      </c>
      <c r="D442" s="25">
        <v>21.59</v>
      </c>
    </row>
    <row r="443" spans="1:4" x14ac:dyDescent="0.25">
      <c r="A443" s="25" t="s">
        <v>1983</v>
      </c>
      <c r="B443" s="25">
        <v>646</v>
      </c>
      <c r="C443" s="4">
        <v>12.3405</v>
      </c>
      <c r="D443" s="25">
        <v>12.34</v>
      </c>
    </row>
    <row r="444" spans="1:4" x14ac:dyDescent="0.25">
      <c r="A444" s="25" t="s">
        <v>2977</v>
      </c>
      <c r="B444" s="25">
        <v>647</v>
      </c>
      <c r="C444" s="4">
        <v>14.810499999999999</v>
      </c>
      <c r="D444" s="25">
        <v>14.81</v>
      </c>
    </row>
    <row r="445" spans="1:4" x14ac:dyDescent="0.25">
      <c r="A445" s="25" t="s">
        <v>2979</v>
      </c>
      <c r="B445" s="25">
        <v>648</v>
      </c>
      <c r="C445" s="4">
        <v>16.615500000000001</v>
      </c>
      <c r="D445" s="25">
        <v>16.62</v>
      </c>
    </row>
    <row r="446" spans="1:4" x14ac:dyDescent="0.25">
      <c r="A446" s="25" t="s">
        <v>2981</v>
      </c>
      <c r="B446" s="25">
        <v>649</v>
      </c>
      <c r="C446" s="4">
        <v>14.240500000000001</v>
      </c>
      <c r="D446" s="25">
        <v>14.24</v>
      </c>
    </row>
    <row r="447" spans="1:4" x14ac:dyDescent="0.25">
      <c r="A447" s="25" t="s">
        <v>2983</v>
      </c>
      <c r="B447" s="25">
        <v>652</v>
      </c>
      <c r="C447" s="4">
        <v>123.4905</v>
      </c>
      <c r="D447" s="25">
        <v>123.49</v>
      </c>
    </row>
    <row r="448" spans="1:4" x14ac:dyDescent="0.25">
      <c r="A448" s="25" t="s">
        <v>1182</v>
      </c>
      <c r="B448" s="25">
        <v>654</v>
      </c>
      <c r="C448" s="4">
        <v>74.577737288135452</v>
      </c>
      <c r="D448" s="25">
        <v>74.58</v>
      </c>
    </row>
    <row r="449" spans="1:4" x14ac:dyDescent="0.25">
      <c r="A449" s="25" t="s">
        <v>1989</v>
      </c>
      <c r="B449" s="25">
        <v>656</v>
      </c>
      <c r="C449" s="4">
        <v>349.90328749999998</v>
      </c>
      <c r="D449" s="25">
        <v>309.89999999999998</v>
      </c>
    </row>
    <row r="450" spans="1:4" x14ac:dyDescent="0.25">
      <c r="A450" s="25" t="s">
        <v>1187</v>
      </c>
      <c r="B450" s="25">
        <v>657</v>
      </c>
      <c r="C450" s="4">
        <v>33.083071428571429</v>
      </c>
      <c r="D450" s="25">
        <v>28.08</v>
      </c>
    </row>
    <row r="451" spans="1:4" x14ac:dyDescent="0.25">
      <c r="A451" s="25" t="s">
        <v>376</v>
      </c>
      <c r="B451" s="25">
        <v>658</v>
      </c>
      <c r="C451" s="4">
        <v>99.389447745902046</v>
      </c>
      <c r="D451" s="25">
        <v>99.39</v>
      </c>
    </row>
    <row r="452" spans="1:4" x14ac:dyDescent="0.25">
      <c r="A452" s="25" t="s">
        <v>378</v>
      </c>
      <c r="B452" s="25">
        <v>659</v>
      </c>
      <c r="C452" s="4">
        <v>189.9905</v>
      </c>
      <c r="D452" s="25">
        <v>189.99</v>
      </c>
    </row>
    <row r="453" spans="1:4" x14ac:dyDescent="0.25">
      <c r="A453" s="25" t="s">
        <v>380</v>
      </c>
      <c r="B453" s="25">
        <v>660</v>
      </c>
      <c r="C453" s="4">
        <v>19.172938775510151</v>
      </c>
      <c r="D453" s="25">
        <v>19.170000000000002</v>
      </c>
    </row>
    <row r="454" spans="1:4" x14ac:dyDescent="0.25">
      <c r="A454" s="25" t="s">
        <v>382</v>
      </c>
      <c r="B454" s="25">
        <v>661</v>
      </c>
      <c r="C454" s="4">
        <v>15.74054999999991</v>
      </c>
      <c r="D454" s="25">
        <v>15.74</v>
      </c>
    </row>
    <row r="455" spans="1:4" x14ac:dyDescent="0.25">
      <c r="A455" s="25" t="s">
        <v>1193</v>
      </c>
      <c r="B455" s="25">
        <v>666</v>
      </c>
      <c r="C455" s="4">
        <v>96.63374324324316</v>
      </c>
      <c r="D455" s="25">
        <v>96.63</v>
      </c>
    </row>
    <row r="456" spans="1:4" x14ac:dyDescent="0.25">
      <c r="A456" s="25" t="s">
        <v>1995</v>
      </c>
      <c r="B456" s="25">
        <v>667</v>
      </c>
      <c r="C456" s="4">
        <v>105.8875588235293</v>
      </c>
      <c r="D456" s="25">
        <v>105.89</v>
      </c>
    </row>
    <row r="457" spans="1:4" x14ac:dyDescent="0.25">
      <c r="A457" s="25" t="s">
        <v>1197</v>
      </c>
      <c r="B457" s="25">
        <v>668</v>
      </c>
      <c r="C457" s="4">
        <v>102.09020624999989</v>
      </c>
      <c r="D457" s="25">
        <v>102.09</v>
      </c>
    </row>
    <row r="458" spans="1:4" x14ac:dyDescent="0.25">
      <c r="A458" s="25" t="s">
        <v>391</v>
      </c>
      <c r="B458" s="25">
        <v>675</v>
      </c>
      <c r="C458" s="4">
        <v>16.461916666666671</v>
      </c>
      <c r="D458" s="25">
        <v>16.46</v>
      </c>
    </row>
    <row r="459" spans="1:4" x14ac:dyDescent="0.25">
      <c r="A459" s="25" t="s">
        <v>393</v>
      </c>
      <c r="B459" s="25">
        <v>676</v>
      </c>
      <c r="C459" s="4">
        <v>21.939299999999999</v>
      </c>
      <c r="D459" s="25">
        <v>21.94</v>
      </c>
    </row>
    <row r="460" spans="1:4" x14ac:dyDescent="0.25">
      <c r="A460" s="25" t="s">
        <v>395</v>
      </c>
      <c r="B460" s="25">
        <v>677</v>
      </c>
      <c r="C460" s="4">
        <v>18.520250000000001</v>
      </c>
      <c r="D460" s="25">
        <v>18.52</v>
      </c>
    </row>
    <row r="461" spans="1:4" x14ac:dyDescent="0.25">
      <c r="A461" s="25" t="s">
        <v>397</v>
      </c>
      <c r="B461" s="25">
        <v>678</v>
      </c>
      <c r="C461" s="4">
        <v>9.4952499999999986</v>
      </c>
      <c r="D461" s="25">
        <v>9.5</v>
      </c>
    </row>
    <row r="462" spans="1:4" x14ac:dyDescent="0.25">
      <c r="A462" s="25" t="s">
        <v>401</v>
      </c>
      <c r="B462" s="25">
        <v>680</v>
      </c>
      <c r="C462" s="4">
        <v>8.547625</v>
      </c>
      <c r="D462" s="25">
        <v>8.5500000000000007</v>
      </c>
    </row>
    <row r="463" spans="1:4" x14ac:dyDescent="0.25">
      <c r="A463" s="25" t="s">
        <v>2023</v>
      </c>
      <c r="B463" s="25">
        <v>694</v>
      </c>
      <c r="C463" s="4">
        <v>18.997624999999999</v>
      </c>
      <c r="D463" s="25">
        <v>19</v>
      </c>
    </row>
    <row r="464" spans="1:4" x14ac:dyDescent="0.25">
      <c r="A464" s="25" t="s">
        <v>403</v>
      </c>
      <c r="B464" s="25">
        <v>698</v>
      </c>
      <c r="C464" s="4">
        <v>8.0702499999999997</v>
      </c>
      <c r="D464" s="25">
        <v>8.07</v>
      </c>
    </row>
    <row r="465" spans="1:4" x14ac:dyDescent="0.25">
      <c r="A465" s="25" t="s">
        <v>2031</v>
      </c>
      <c r="B465" s="25">
        <v>699</v>
      </c>
      <c r="C465" s="4">
        <v>97.839549999999988</v>
      </c>
      <c r="D465" s="25">
        <v>97.84</v>
      </c>
    </row>
    <row r="466" spans="1:4" x14ac:dyDescent="0.25">
      <c r="A466" s="25" t="s">
        <v>2034</v>
      </c>
      <c r="B466" s="25">
        <v>700</v>
      </c>
      <c r="C466" s="4">
        <v>123.4905</v>
      </c>
      <c r="D466" s="25">
        <v>123.49</v>
      </c>
    </row>
    <row r="467" spans="1:4" x14ac:dyDescent="0.25">
      <c r="A467" s="25" t="s">
        <v>405</v>
      </c>
      <c r="B467" s="25">
        <v>701</v>
      </c>
      <c r="C467" s="4">
        <v>112.45625</v>
      </c>
      <c r="D467" s="25">
        <v>112.46</v>
      </c>
    </row>
    <row r="468" spans="1:4" x14ac:dyDescent="0.25">
      <c r="A468" s="25" t="s">
        <v>407</v>
      </c>
      <c r="B468" s="25">
        <v>702</v>
      </c>
      <c r="C468" s="4">
        <v>36.199116666666669</v>
      </c>
      <c r="D468" s="25">
        <v>36.200000000000003</v>
      </c>
    </row>
    <row r="469" spans="1:4" x14ac:dyDescent="0.25">
      <c r="A469" s="25" t="s">
        <v>2987</v>
      </c>
      <c r="B469" s="25">
        <v>703</v>
      </c>
      <c r="C469" s="4">
        <v>99.740499999999997</v>
      </c>
      <c r="D469" s="25">
        <v>99.74</v>
      </c>
    </row>
    <row r="470" spans="1:4" x14ac:dyDescent="0.25">
      <c r="A470" s="25" t="s">
        <v>409</v>
      </c>
      <c r="B470" s="25">
        <v>704</v>
      </c>
      <c r="C470" s="4">
        <v>48.144190476190467</v>
      </c>
      <c r="D470" s="25">
        <v>48.14</v>
      </c>
    </row>
    <row r="471" spans="1:4" x14ac:dyDescent="0.25">
      <c r="A471" s="25" t="s">
        <v>411</v>
      </c>
      <c r="B471" s="25">
        <v>705</v>
      </c>
      <c r="C471" s="4">
        <v>74.731956521739136</v>
      </c>
      <c r="D471" s="25">
        <v>74.73</v>
      </c>
    </row>
    <row r="472" spans="1:4" x14ac:dyDescent="0.25">
      <c r="A472" s="25" t="s">
        <v>1206</v>
      </c>
      <c r="B472" s="25">
        <v>707</v>
      </c>
      <c r="C472" s="4">
        <v>71.506839285714292</v>
      </c>
      <c r="D472" s="25">
        <v>71.510000000000005</v>
      </c>
    </row>
    <row r="473" spans="1:4" x14ac:dyDescent="0.25">
      <c r="A473" s="25" t="s">
        <v>1214</v>
      </c>
      <c r="B473" s="25">
        <v>709</v>
      </c>
      <c r="C473" s="4">
        <v>191.27933333333331</v>
      </c>
      <c r="D473" s="25">
        <v>191.28</v>
      </c>
    </row>
    <row r="474" spans="1:4" x14ac:dyDescent="0.25">
      <c r="A474" s="25" t="s">
        <v>1223</v>
      </c>
      <c r="B474" s="25">
        <v>714</v>
      </c>
      <c r="C474" s="4">
        <v>237.4905</v>
      </c>
      <c r="D474" s="25">
        <v>237.49</v>
      </c>
    </row>
    <row r="475" spans="1:4" x14ac:dyDescent="0.25">
      <c r="A475" s="25" t="s">
        <v>1227</v>
      </c>
      <c r="B475" s="25">
        <v>715</v>
      </c>
      <c r="C475" s="4">
        <v>284.99050000000011</v>
      </c>
      <c r="D475" s="25">
        <v>284.99</v>
      </c>
    </row>
    <row r="476" spans="1:4" x14ac:dyDescent="0.25">
      <c r="A476" s="25" t="s">
        <v>2042</v>
      </c>
      <c r="B476" s="25">
        <v>720</v>
      </c>
      <c r="C476" s="4">
        <v>178.84700000000001</v>
      </c>
      <c r="D476" s="25">
        <v>178.85</v>
      </c>
    </row>
    <row r="477" spans="1:4" x14ac:dyDescent="0.25">
      <c r="A477" s="25" t="s">
        <v>413</v>
      </c>
      <c r="B477" s="25">
        <v>732</v>
      </c>
      <c r="C477" s="4">
        <v>265.9905</v>
      </c>
      <c r="D477" s="25">
        <v>265.99</v>
      </c>
    </row>
    <row r="478" spans="1:4" x14ac:dyDescent="0.25">
      <c r="A478" s="25" t="s">
        <v>415</v>
      </c>
      <c r="B478" s="25">
        <v>733</v>
      </c>
      <c r="C478" s="4">
        <v>32.290500000000002</v>
      </c>
      <c r="D478" s="25">
        <v>27.29</v>
      </c>
    </row>
    <row r="479" spans="1:4" x14ac:dyDescent="0.25">
      <c r="A479" s="25" t="s">
        <v>429</v>
      </c>
      <c r="B479" s="25">
        <v>740</v>
      </c>
      <c r="C479" s="4">
        <v>21.49955555555556</v>
      </c>
      <c r="D479" s="25">
        <v>21.5</v>
      </c>
    </row>
    <row r="480" spans="1:4" x14ac:dyDescent="0.25">
      <c r="A480" s="25" t="s">
        <v>2689</v>
      </c>
      <c r="B480" s="25" t="s">
        <v>86</v>
      </c>
      <c r="C480" s="4">
        <v>59.375</v>
      </c>
      <c r="D480" s="25">
        <v>59.38</v>
      </c>
    </row>
    <row r="481" spans="1:4" x14ac:dyDescent="0.25">
      <c r="A481" s="25" t="s">
        <v>2273</v>
      </c>
      <c r="B481" s="25" t="s">
        <v>86</v>
      </c>
      <c r="C481" s="4">
        <v>23.844999999999999</v>
      </c>
      <c r="D481" s="25">
        <v>23.85</v>
      </c>
    </row>
    <row r="482" spans="1:4" x14ac:dyDescent="0.25">
      <c r="A482" s="25" t="s">
        <v>2290</v>
      </c>
      <c r="B482" s="25" t="s">
        <v>86</v>
      </c>
      <c r="C482" s="4">
        <v>20.005190476190482</v>
      </c>
      <c r="D482" s="25">
        <v>20.010000000000002</v>
      </c>
    </row>
    <row r="483" spans="1:4" x14ac:dyDescent="0.25">
      <c r="A483" s="25" t="s">
        <v>2690</v>
      </c>
      <c r="B483" s="25" t="s">
        <v>86</v>
      </c>
      <c r="C483" s="4">
        <v>30.185300000000002</v>
      </c>
      <c r="D483" s="25">
        <v>30.19</v>
      </c>
    </row>
    <row r="484" spans="1:4" x14ac:dyDescent="0.25">
      <c r="A484" s="25" t="s">
        <v>2641</v>
      </c>
      <c r="B484" s="25" t="s">
        <v>86</v>
      </c>
      <c r="C484" s="4">
        <v>47.965499999999992</v>
      </c>
      <c r="D484" s="25">
        <v>47.97</v>
      </c>
    </row>
    <row r="485" spans="1:4" x14ac:dyDescent="0.25">
      <c r="A485" s="25" t="s">
        <v>2691</v>
      </c>
      <c r="B485" s="25" t="s">
        <v>86</v>
      </c>
      <c r="C485" s="4">
        <v>51.765500000000003</v>
      </c>
      <c r="D485" s="25">
        <v>51.77</v>
      </c>
    </row>
    <row r="486" spans="1:4" x14ac:dyDescent="0.25">
      <c r="A486" s="25" t="s">
        <v>2697</v>
      </c>
      <c r="B486" s="25" t="s">
        <v>86</v>
      </c>
      <c r="C486" s="4">
        <v>30.485499999999991</v>
      </c>
      <c r="D486" s="25">
        <v>30.49</v>
      </c>
    </row>
    <row r="487" spans="1:4" x14ac:dyDescent="0.25">
      <c r="A487" s="25" t="s">
        <v>2409</v>
      </c>
      <c r="B487" s="25" t="s">
        <v>86</v>
      </c>
      <c r="C487" s="4">
        <v>15.6655</v>
      </c>
      <c r="D487" s="25">
        <v>15.67</v>
      </c>
    </row>
    <row r="488" spans="1:4" x14ac:dyDescent="0.25">
      <c r="A488" s="25" t="s">
        <v>2329</v>
      </c>
      <c r="B488" s="25" t="s">
        <v>86</v>
      </c>
      <c r="C488" s="4">
        <v>37.895499999999998</v>
      </c>
      <c r="D488" s="25">
        <v>37.9</v>
      </c>
    </row>
    <row r="489" spans="1:4" x14ac:dyDescent="0.25">
      <c r="A489" s="25" t="s">
        <v>2270</v>
      </c>
      <c r="B489" s="25" t="s">
        <v>86</v>
      </c>
      <c r="C489" s="4">
        <v>33.715499999999999</v>
      </c>
      <c r="D489" s="25">
        <v>33.72</v>
      </c>
    </row>
    <row r="490" spans="1:4" x14ac:dyDescent="0.25">
      <c r="A490" s="25" t="s">
        <v>2301</v>
      </c>
      <c r="B490" s="25" t="s">
        <v>86</v>
      </c>
      <c r="C490" s="4">
        <v>69.8155</v>
      </c>
      <c r="D490" s="25">
        <v>69.819999999999993</v>
      </c>
    </row>
    <row r="491" spans="1:4" x14ac:dyDescent="0.25">
      <c r="A491" s="25" t="s">
        <v>2687</v>
      </c>
      <c r="B491" s="25" t="s">
        <v>86</v>
      </c>
      <c r="C491" s="4">
        <v>40.735999999999997</v>
      </c>
      <c r="D491" s="25">
        <v>40.74</v>
      </c>
    </row>
    <row r="492" spans="1:4" x14ac:dyDescent="0.25">
      <c r="A492" s="25" t="s">
        <v>2370</v>
      </c>
      <c r="B492" s="25" t="s">
        <v>86</v>
      </c>
      <c r="C492" s="4">
        <v>54.605999999999987</v>
      </c>
      <c r="D492" s="25">
        <v>54.61</v>
      </c>
    </row>
    <row r="493" spans="1:4" x14ac:dyDescent="0.25">
      <c r="A493" s="25" t="s">
        <v>2250</v>
      </c>
      <c r="B493" s="25" t="s">
        <v>86</v>
      </c>
      <c r="C493" s="4">
        <v>30.286000000000001</v>
      </c>
      <c r="D493" s="25">
        <v>30.29</v>
      </c>
    </row>
    <row r="494" spans="1:4" x14ac:dyDescent="0.25">
      <c r="A494" s="25" t="s">
        <v>2599</v>
      </c>
      <c r="B494" s="25" t="s">
        <v>86</v>
      </c>
      <c r="C494" s="4">
        <v>47.006</v>
      </c>
      <c r="D494" s="25">
        <v>47.01</v>
      </c>
    </row>
    <row r="495" spans="1:4" x14ac:dyDescent="0.25">
      <c r="A495" s="25" t="s">
        <v>2601</v>
      </c>
      <c r="B495" s="25" t="s">
        <v>86</v>
      </c>
      <c r="C495" s="4">
        <v>27.13607142857143</v>
      </c>
      <c r="D495" s="25">
        <v>27.14</v>
      </c>
    </row>
    <row r="496" spans="1:4" x14ac:dyDescent="0.25">
      <c r="A496" s="25" t="s">
        <v>2261</v>
      </c>
      <c r="B496" s="25" t="s">
        <v>86</v>
      </c>
      <c r="C496" s="4">
        <v>39.706200000000003</v>
      </c>
      <c r="D496" s="25">
        <v>39.71</v>
      </c>
    </row>
    <row r="497" spans="1:4" x14ac:dyDescent="0.25">
      <c r="A497" s="25" t="s">
        <v>2655</v>
      </c>
      <c r="B497" s="25" t="s">
        <v>86</v>
      </c>
      <c r="C497" s="4">
        <v>18.766458333333329</v>
      </c>
      <c r="D497" s="25">
        <v>18.77</v>
      </c>
    </row>
    <row r="498" spans="1:4" x14ac:dyDescent="0.25">
      <c r="A498" s="25" t="s">
        <v>2580</v>
      </c>
      <c r="B498" s="25" t="s">
        <v>86</v>
      </c>
      <c r="C498" s="4">
        <v>43.006500000000003</v>
      </c>
      <c r="D498" s="25">
        <v>43.01</v>
      </c>
    </row>
    <row r="499" spans="1:4" x14ac:dyDescent="0.25">
      <c r="A499" s="25" t="s">
        <v>2598</v>
      </c>
      <c r="B499" s="25" t="s">
        <v>86</v>
      </c>
      <c r="C499" s="4">
        <v>56.116499999999988</v>
      </c>
      <c r="D499" s="25">
        <v>56.12</v>
      </c>
    </row>
    <row r="500" spans="1:4" x14ac:dyDescent="0.25">
      <c r="A500" s="25" t="s">
        <v>2620</v>
      </c>
      <c r="B500" s="25" t="s">
        <v>86</v>
      </c>
      <c r="C500" s="4">
        <v>31.226500000000001</v>
      </c>
      <c r="D500" s="25">
        <v>31.23</v>
      </c>
    </row>
    <row r="501" spans="1:4" x14ac:dyDescent="0.25">
      <c r="A501" s="25" t="s">
        <v>2695</v>
      </c>
      <c r="B501" s="25" t="s">
        <v>86</v>
      </c>
      <c r="C501" s="4">
        <v>137.0565</v>
      </c>
      <c r="D501" s="25">
        <v>137.06</v>
      </c>
    </row>
    <row r="502" spans="1:4" x14ac:dyDescent="0.25">
      <c r="A502" s="25" t="s">
        <v>2686</v>
      </c>
      <c r="B502" s="25" t="s">
        <v>86</v>
      </c>
      <c r="C502" s="4">
        <v>101.5265</v>
      </c>
      <c r="D502" s="25">
        <v>101.53</v>
      </c>
    </row>
    <row r="503" spans="1:4" x14ac:dyDescent="0.25">
      <c r="A503" s="25" t="s">
        <v>2279</v>
      </c>
      <c r="B503" s="25" t="s">
        <v>86</v>
      </c>
      <c r="C503" s="4">
        <v>24.386500000000002</v>
      </c>
      <c r="D503" s="25">
        <v>24.39</v>
      </c>
    </row>
    <row r="504" spans="1:4" x14ac:dyDescent="0.25">
      <c r="A504" s="25" t="s">
        <v>2636</v>
      </c>
      <c r="B504" s="25" t="s">
        <v>86</v>
      </c>
      <c r="C504" s="4">
        <v>20.016500000000001</v>
      </c>
      <c r="D504" s="25">
        <v>20.02</v>
      </c>
    </row>
    <row r="505" spans="1:4" x14ac:dyDescent="0.25">
      <c r="A505" s="25" t="s">
        <v>2650</v>
      </c>
      <c r="B505" s="25" t="s">
        <v>86</v>
      </c>
      <c r="C505" s="4">
        <v>15.836499999999999</v>
      </c>
      <c r="D505" s="25">
        <v>15.84</v>
      </c>
    </row>
    <row r="506" spans="1:4" x14ac:dyDescent="0.25">
      <c r="A506" s="25" t="s">
        <v>2397</v>
      </c>
      <c r="B506" s="25" t="s">
        <v>86</v>
      </c>
      <c r="C506" s="4">
        <v>138.6968333333333</v>
      </c>
      <c r="D506" s="25">
        <v>138.69999999999999</v>
      </c>
    </row>
    <row r="507" spans="1:4" x14ac:dyDescent="0.25">
      <c r="A507" s="25" t="s">
        <v>2282</v>
      </c>
      <c r="B507" s="25" t="s">
        <v>86</v>
      </c>
      <c r="C507" s="4">
        <v>34.637</v>
      </c>
      <c r="D507" s="25">
        <v>34.64</v>
      </c>
    </row>
    <row r="508" spans="1:4" x14ac:dyDescent="0.25">
      <c r="A508" s="25" t="s">
        <v>2576</v>
      </c>
      <c r="B508" s="25" t="s">
        <v>86</v>
      </c>
      <c r="C508" s="4">
        <v>28.747</v>
      </c>
      <c r="D508" s="25">
        <v>28.75</v>
      </c>
    </row>
    <row r="509" spans="1:4" x14ac:dyDescent="0.25">
      <c r="A509" s="25" t="s">
        <v>2257</v>
      </c>
      <c r="B509" s="25" t="s">
        <v>86</v>
      </c>
      <c r="C509" s="4">
        <v>9.1770000000000014</v>
      </c>
      <c r="D509" s="25">
        <v>9.18</v>
      </c>
    </row>
    <row r="510" spans="1:4" x14ac:dyDescent="0.25">
      <c r="A510" s="25" t="s">
        <v>2657</v>
      </c>
      <c r="B510" s="25" t="s">
        <v>86</v>
      </c>
      <c r="C510" s="4">
        <v>22.856999999999999</v>
      </c>
      <c r="D510" s="25">
        <v>22.86</v>
      </c>
    </row>
    <row r="511" spans="1:4" x14ac:dyDescent="0.25">
      <c r="A511" s="25" t="s">
        <v>2277</v>
      </c>
      <c r="B511" s="25" t="s">
        <v>86</v>
      </c>
      <c r="C511" s="4">
        <v>25.577000000000009</v>
      </c>
      <c r="D511" s="25">
        <v>25.58</v>
      </c>
    </row>
    <row r="512" spans="1:4" x14ac:dyDescent="0.25">
      <c r="A512" s="25" t="s">
        <v>2610</v>
      </c>
      <c r="B512" s="25" t="s">
        <v>86</v>
      </c>
      <c r="C512" s="4">
        <v>55.347000000000008</v>
      </c>
      <c r="D512" s="25">
        <v>55.35</v>
      </c>
    </row>
    <row r="513" spans="1:4" x14ac:dyDescent="0.25">
      <c r="A513" s="25" t="s">
        <v>2353</v>
      </c>
      <c r="B513" s="25" t="s">
        <v>86</v>
      </c>
      <c r="C513" s="4">
        <v>13.76708333333333</v>
      </c>
      <c r="D513" s="25">
        <v>13.77</v>
      </c>
    </row>
    <row r="514" spans="1:4" x14ac:dyDescent="0.25">
      <c r="A514" s="25" t="s">
        <v>2283</v>
      </c>
      <c r="B514" s="25" t="s">
        <v>86</v>
      </c>
      <c r="C514" s="4">
        <v>18.357166666666661</v>
      </c>
      <c r="D514" s="25">
        <v>18.36</v>
      </c>
    </row>
    <row r="515" spans="1:4" x14ac:dyDescent="0.25">
      <c r="A515" s="25" t="s">
        <v>2624</v>
      </c>
      <c r="B515" s="25" t="s">
        <v>86</v>
      </c>
      <c r="C515" s="4">
        <v>55.057250000000003</v>
      </c>
      <c r="D515" s="25">
        <v>55.06</v>
      </c>
    </row>
    <row r="516" spans="1:4" x14ac:dyDescent="0.25">
      <c r="A516" s="25" t="s">
        <v>2597</v>
      </c>
      <c r="B516" s="25" t="s">
        <v>86</v>
      </c>
      <c r="C516" s="4">
        <v>54.517333333333333</v>
      </c>
      <c r="D516" s="25">
        <v>54.52</v>
      </c>
    </row>
    <row r="517" spans="1:4" x14ac:dyDescent="0.25">
      <c r="A517" s="25" t="s">
        <v>2646</v>
      </c>
      <c r="B517" s="25" t="s">
        <v>86</v>
      </c>
      <c r="C517" s="4">
        <v>31.90733333333333</v>
      </c>
      <c r="D517" s="25">
        <v>31.91</v>
      </c>
    </row>
    <row r="518" spans="1:4" x14ac:dyDescent="0.25">
      <c r="A518" s="25" t="s">
        <v>2589</v>
      </c>
      <c r="B518" s="25" t="s">
        <v>86</v>
      </c>
      <c r="C518" s="4">
        <v>96.947500000000005</v>
      </c>
      <c r="D518" s="25">
        <v>96.95</v>
      </c>
    </row>
    <row r="519" spans="1:4" x14ac:dyDescent="0.25">
      <c r="A519" s="25" t="s">
        <v>2663</v>
      </c>
      <c r="B519" s="25" t="s">
        <v>86</v>
      </c>
      <c r="C519" s="4">
        <v>26.077500000000001</v>
      </c>
      <c r="D519" s="25">
        <v>26.08</v>
      </c>
    </row>
    <row r="520" spans="1:4" x14ac:dyDescent="0.25">
      <c r="A520" s="25" t="s">
        <v>2692</v>
      </c>
      <c r="B520" s="25" t="s">
        <v>86</v>
      </c>
      <c r="C520" s="4">
        <v>105.81765</v>
      </c>
      <c r="D520" s="25">
        <v>105.82</v>
      </c>
    </row>
    <row r="521" spans="1:4" x14ac:dyDescent="0.25">
      <c r="A521" s="25" t="s">
        <v>2644</v>
      </c>
      <c r="B521" s="25" t="s">
        <v>86</v>
      </c>
      <c r="C521" s="4">
        <v>41.147666666666673</v>
      </c>
      <c r="D521" s="25">
        <v>41.15</v>
      </c>
    </row>
    <row r="522" spans="1:4" x14ac:dyDescent="0.25">
      <c r="A522" s="25" t="s">
        <v>2372</v>
      </c>
      <c r="B522" s="25" t="s">
        <v>86</v>
      </c>
      <c r="C522" s="4">
        <v>90.697766666666652</v>
      </c>
      <c r="D522" s="25">
        <v>90.7</v>
      </c>
    </row>
    <row r="523" spans="1:4" x14ac:dyDescent="0.25">
      <c r="A523" s="25" t="s">
        <v>2324</v>
      </c>
      <c r="B523" s="25" t="s">
        <v>86</v>
      </c>
      <c r="C523" s="4">
        <v>106.438</v>
      </c>
      <c r="D523" s="25">
        <v>106.44</v>
      </c>
    </row>
    <row r="524" spans="1:4" x14ac:dyDescent="0.25">
      <c r="A524" s="25" t="s">
        <v>2298</v>
      </c>
      <c r="B524" s="25" t="s">
        <v>86</v>
      </c>
      <c r="C524" s="4">
        <v>4.0279999999999996</v>
      </c>
      <c r="D524" s="25">
        <v>4.03</v>
      </c>
    </row>
    <row r="525" spans="1:4" x14ac:dyDescent="0.25">
      <c r="A525" s="25" t="s">
        <v>2647</v>
      </c>
      <c r="B525" s="25" t="s">
        <v>86</v>
      </c>
      <c r="C525" s="4">
        <v>44.178166666666662</v>
      </c>
      <c r="D525" s="25">
        <v>44.18</v>
      </c>
    </row>
    <row r="526" spans="1:4" x14ac:dyDescent="0.25">
      <c r="A526" s="25" t="s">
        <v>2583</v>
      </c>
      <c r="B526" s="25" t="s">
        <v>86</v>
      </c>
      <c r="C526" s="4">
        <v>51.328499999999998</v>
      </c>
      <c r="D526" s="25">
        <v>51.33</v>
      </c>
    </row>
    <row r="527" spans="1:4" x14ac:dyDescent="0.25">
      <c r="A527" s="25" t="s">
        <v>2579</v>
      </c>
      <c r="B527" s="25" t="s">
        <v>86</v>
      </c>
      <c r="C527" s="4">
        <v>39.548499999999997</v>
      </c>
      <c r="D527" s="25">
        <v>39.549999999999997</v>
      </c>
    </row>
    <row r="528" spans="1:4" x14ac:dyDescent="0.25">
      <c r="A528" s="25" t="s">
        <v>2660</v>
      </c>
      <c r="B528" s="25" t="s">
        <v>86</v>
      </c>
      <c r="C528" s="4">
        <v>14.1585625</v>
      </c>
      <c r="D528" s="25">
        <v>14.16</v>
      </c>
    </row>
    <row r="529" spans="1:4" x14ac:dyDescent="0.25">
      <c r="A529" s="25" t="s">
        <v>2616</v>
      </c>
      <c r="B529" s="25" t="s">
        <v>86</v>
      </c>
      <c r="C529" s="4">
        <v>34.978999999999992</v>
      </c>
      <c r="D529" s="25">
        <v>34.979999999999997</v>
      </c>
    </row>
    <row r="530" spans="1:4" x14ac:dyDescent="0.25">
      <c r="A530" s="25" t="s">
        <v>2311</v>
      </c>
      <c r="B530" s="25" t="s">
        <v>86</v>
      </c>
      <c r="C530" s="4">
        <v>81.338999999999999</v>
      </c>
      <c r="D530" s="25">
        <v>81.34</v>
      </c>
    </row>
    <row r="531" spans="1:4" x14ac:dyDescent="0.25">
      <c r="A531" s="25" t="s">
        <v>2701</v>
      </c>
      <c r="B531" s="25" t="s">
        <v>86</v>
      </c>
      <c r="C531" s="4">
        <v>29.279</v>
      </c>
      <c r="D531" s="25">
        <v>29.28</v>
      </c>
    </row>
    <row r="532" spans="1:4" x14ac:dyDescent="0.25">
      <c r="A532" s="25" t="s">
        <v>2602</v>
      </c>
      <c r="B532" s="25" t="s">
        <v>86</v>
      </c>
      <c r="C532" s="4">
        <v>55.119</v>
      </c>
      <c r="D532" s="25">
        <v>55.12</v>
      </c>
    </row>
    <row r="533" spans="1:4" x14ac:dyDescent="0.25">
      <c r="A533" s="25" t="s">
        <v>2680</v>
      </c>
      <c r="B533" s="25" t="s">
        <v>86</v>
      </c>
      <c r="C533" s="4">
        <v>113.54942857142861</v>
      </c>
      <c r="D533" s="25">
        <v>113.55</v>
      </c>
    </row>
    <row r="534" spans="1:4" x14ac:dyDescent="0.25">
      <c r="A534" s="25" t="s">
        <v>2595</v>
      </c>
      <c r="B534" s="25" t="s">
        <v>86</v>
      </c>
      <c r="C534" s="4">
        <v>23.019449999999999</v>
      </c>
      <c r="D534" s="25">
        <v>23.02</v>
      </c>
    </row>
    <row r="535" spans="1:4" x14ac:dyDescent="0.25">
      <c r="A535" s="25" t="s">
        <v>2274</v>
      </c>
      <c r="B535" s="25" t="s">
        <v>86</v>
      </c>
      <c r="C535" s="4">
        <v>22.999500000000001</v>
      </c>
      <c r="D535" s="25">
        <v>23</v>
      </c>
    </row>
    <row r="536" spans="1:4" x14ac:dyDescent="0.25">
      <c r="A536" s="25" t="s">
        <v>2645</v>
      </c>
      <c r="B536" s="25" t="s">
        <v>86</v>
      </c>
      <c r="C536" s="4">
        <v>65.5595</v>
      </c>
      <c r="D536" s="25">
        <v>65.56</v>
      </c>
    </row>
    <row r="537" spans="1:4" x14ac:dyDescent="0.25">
      <c r="A537" s="25" t="s">
        <v>2648</v>
      </c>
      <c r="B537" s="25" t="s">
        <v>86</v>
      </c>
      <c r="C537" s="4">
        <v>45.039499999999997</v>
      </c>
      <c r="D537" s="25">
        <v>45.04</v>
      </c>
    </row>
    <row r="538" spans="1:4" x14ac:dyDescent="0.25">
      <c r="A538" s="25" t="s">
        <v>2674</v>
      </c>
      <c r="B538" s="25" t="s">
        <v>86</v>
      </c>
      <c r="C538" s="4">
        <v>27.939499999999999</v>
      </c>
      <c r="D538" s="25">
        <v>27.94</v>
      </c>
    </row>
    <row r="539" spans="1:4" x14ac:dyDescent="0.25">
      <c r="A539" s="25" t="s">
        <v>2582</v>
      </c>
      <c r="B539" s="25" t="s">
        <v>86</v>
      </c>
      <c r="C539" s="4">
        <v>24.519500000000001</v>
      </c>
      <c r="D539" s="25">
        <v>24.52</v>
      </c>
    </row>
    <row r="540" spans="1:4" x14ac:dyDescent="0.25">
      <c r="A540" s="25" t="s">
        <v>2670</v>
      </c>
      <c r="B540" s="25" t="s">
        <v>86</v>
      </c>
      <c r="C540" s="4">
        <v>29.269500000000001</v>
      </c>
      <c r="D540" s="25">
        <v>29.27</v>
      </c>
    </row>
    <row r="541" spans="1:4" x14ac:dyDescent="0.25">
      <c r="A541" s="25" t="s">
        <v>2587</v>
      </c>
      <c r="B541" s="25" t="s">
        <v>86</v>
      </c>
      <c r="C541" s="4">
        <v>33.029600000000009</v>
      </c>
      <c r="D541" s="25">
        <v>33.03</v>
      </c>
    </row>
    <row r="542" spans="1:4" x14ac:dyDescent="0.25">
      <c r="A542" s="25" t="s">
        <v>2374</v>
      </c>
      <c r="B542" s="25" t="s">
        <v>86</v>
      </c>
      <c r="C542" s="4">
        <v>12.02971428571429</v>
      </c>
      <c r="D542" s="25">
        <v>12.03</v>
      </c>
    </row>
    <row r="543" spans="1:4" x14ac:dyDescent="0.25">
      <c r="A543" s="25" t="s">
        <v>2676</v>
      </c>
      <c r="B543" s="25" t="s">
        <v>86</v>
      </c>
      <c r="C543" s="4">
        <v>38.859749999999998</v>
      </c>
      <c r="D543" s="25">
        <v>38.86</v>
      </c>
    </row>
    <row r="544" spans="1:4" x14ac:dyDescent="0.25">
      <c r="A544" s="25" t="s">
        <v>2678</v>
      </c>
      <c r="B544" s="25" t="s">
        <v>86</v>
      </c>
      <c r="C544" s="4">
        <v>54.469833333333327</v>
      </c>
      <c r="D544" s="25">
        <v>54.47</v>
      </c>
    </row>
    <row r="545" spans="1:4" x14ac:dyDescent="0.25">
      <c r="A545" s="25" t="s">
        <v>2586</v>
      </c>
      <c r="B545" s="25" t="s">
        <v>86</v>
      </c>
      <c r="C545" s="4">
        <v>36.290000000000013</v>
      </c>
      <c r="D545" s="25">
        <v>36.29</v>
      </c>
    </row>
    <row r="546" spans="1:4" x14ac:dyDescent="0.25">
      <c r="A546" s="25" t="s">
        <v>2594</v>
      </c>
      <c r="B546" s="25" t="s">
        <v>86</v>
      </c>
      <c r="C546" s="4">
        <v>31.16</v>
      </c>
      <c r="D546" s="25">
        <v>31.16</v>
      </c>
    </row>
    <row r="547" spans="1:4" x14ac:dyDescent="0.25">
      <c r="A547" s="25" t="s">
        <v>2596</v>
      </c>
      <c r="B547" s="25" t="s">
        <v>86</v>
      </c>
      <c r="C547" s="4">
        <v>55.86</v>
      </c>
      <c r="D547" s="25">
        <v>55.86</v>
      </c>
    </row>
    <row r="548" spans="1:4" x14ac:dyDescent="0.25">
      <c r="A548" s="25" t="s">
        <v>2625</v>
      </c>
      <c r="B548" s="25" t="s">
        <v>86</v>
      </c>
      <c r="C548" s="4">
        <v>46.74</v>
      </c>
      <c r="D548" s="25">
        <v>46.74</v>
      </c>
    </row>
    <row r="549" spans="1:4" x14ac:dyDescent="0.25">
      <c r="A549" s="25" t="s">
        <v>2634</v>
      </c>
      <c r="B549" s="25" t="s">
        <v>86</v>
      </c>
      <c r="C549" s="4">
        <v>47.12</v>
      </c>
      <c r="D549" s="25">
        <v>47.12</v>
      </c>
    </row>
    <row r="550" spans="1:4" x14ac:dyDescent="0.25">
      <c r="A550" s="25" t="s">
        <v>2600</v>
      </c>
      <c r="B550" s="25" t="s">
        <v>86</v>
      </c>
      <c r="C550" s="4">
        <v>33.030142857142863</v>
      </c>
      <c r="D550" s="25">
        <v>33.03</v>
      </c>
    </row>
    <row r="551" spans="1:4" x14ac:dyDescent="0.25">
      <c r="A551" s="25" t="s">
        <v>2656</v>
      </c>
      <c r="B551" s="25" t="s">
        <v>86</v>
      </c>
      <c r="C551" s="4">
        <v>21.250142857142851</v>
      </c>
      <c r="D551" s="25">
        <v>21.25</v>
      </c>
    </row>
    <row r="552" spans="1:4" x14ac:dyDescent="0.25">
      <c r="A552" s="25" t="s">
        <v>2360</v>
      </c>
      <c r="B552" s="25" t="s">
        <v>86</v>
      </c>
      <c r="C552" s="4">
        <v>26.120249999999999</v>
      </c>
      <c r="D552" s="25">
        <v>26.12</v>
      </c>
    </row>
    <row r="553" spans="1:4" x14ac:dyDescent="0.25">
      <c r="A553" s="25" t="s">
        <v>2339</v>
      </c>
      <c r="B553" s="25" t="s">
        <v>86</v>
      </c>
      <c r="C553" s="4">
        <v>9.020249999999999</v>
      </c>
      <c r="D553" s="25">
        <v>9.02</v>
      </c>
    </row>
    <row r="554" spans="1:4" x14ac:dyDescent="0.25">
      <c r="A554" s="25" t="s">
        <v>2328</v>
      </c>
      <c r="B554" s="25" t="s">
        <v>86</v>
      </c>
      <c r="C554" s="4">
        <v>10.920249999999999</v>
      </c>
      <c r="D554" s="25">
        <v>10.92</v>
      </c>
    </row>
    <row r="555" spans="1:4" x14ac:dyDescent="0.25">
      <c r="A555" s="25" t="s">
        <v>2389</v>
      </c>
      <c r="B555" s="25" t="s">
        <v>86</v>
      </c>
      <c r="C555" s="4">
        <v>40.370250000000013</v>
      </c>
      <c r="D555" s="25">
        <v>40.369999999999997</v>
      </c>
    </row>
    <row r="556" spans="1:4" x14ac:dyDescent="0.25">
      <c r="A556" s="25" t="s">
        <v>2354</v>
      </c>
      <c r="B556" s="25" t="s">
        <v>86</v>
      </c>
      <c r="C556" s="4">
        <v>27.700416666666669</v>
      </c>
      <c r="D556" s="25">
        <v>27.7</v>
      </c>
    </row>
    <row r="557" spans="1:4" x14ac:dyDescent="0.25">
      <c r="A557" s="25" t="s">
        <v>3392</v>
      </c>
      <c r="B557" s="25" t="s">
        <v>86</v>
      </c>
      <c r="C557" s="4">
        <v>96.890499999999989</v>
      </c>
      <c r="D557" s="25">
        <v>96.89</v>
      </c>
    </row>
    <row r="558" spans="1:4" x14ac:dyDescent="0.25">
      <c r="A558" s="25" t="s">
        <v>2352</v>
      </c>
      <c r="B558" s="25" t="s">
        <v>86</v>
      </c>
      <c r="C558" s="4">
        <v>166.2405</v>
      </c>
      <c r="D558" s="25">
        <v>166.24</v>
      </c>
    </row>
    <row r="559" spans="1:4" x14ac:dyDescent="0.25">
      <c r="A559" s="25" t="s">
        <v>2348</v>
      </c>
      <c r="B559" s="25" t="s">
        <v>86</v>
      </c>
      <c r="C559" s="4">
        <v>132.9905</v>
      </c>
      <c r="D559" s="25">
        <v>132.99</v>
      </c>
    </row>
    <row r="560" spans="1:4" x14ac:dyDescent="0.25">
      <c r="A560" s="25" t="s">
        <v>2349</v>
      </c>
      <c r="B560" s="25" t="s">
        <v>86</v>
      </c>
      <c r="C560" s="4">
        <v>147.2405</v>
      </c>
      <c r="D560" s="25">
        <v>147.24</v>
      </c>
    </row>
    <row r="561" spans="1:4" x14ac:dyDescent="0.25">
      <c r="A561" s="25" t="s">
        <v>2253</v>
      </c>
      <c r="B561" s="25" t="s">
        <v>86</v>
      </c>
      <c r="C561" s="4">
        <v>189.9905</v>
      </c>
      <c r="D561" s="25">
        <v>189.99</v>
      </c>
    </row>
    <row r="562" spans="1:4" x14ac:dyDescent="0.25">
      <c r="A562" s="25" t="s">
        <v>2537</v>
      </c>
      <c r="B562" s="25" t="s">
        <v>86</v>
      </c>
      <c r="C562" s="4">
        <v>446.4905</v>
      </c>
      <c r="D562" s="25">
        <v>446.49</v>
      </c>
    </row>
    <row r="563" spans="1:4" x14ac:dyDescent="0.25">
      <c r="A563" s="25" t="s">
        <v>2332</v>
      </c>
      <c r="B563" s="25" t="s">
        <v>86</v>
      </c>
      <c r="C563" s="4">
        <v>70.290499999999994</v>
      </c>
      <c r="D563" s="25">
        <v>70.290000000000006</v>
      </c>
    </row>
    <row r="564" spans="1:4" x14ac:dyDescent="0.25">
      <c r="A564" s="25" t="s">
        <v>2675</v>
      </c>
      <c r="B564" s="25" t="s">
        <v>86</v>
      </c>
      <c r="C564" s="4">
        <v>132.9905</v>
      </c>
      <c r="D564" s="25">
        <v>132.99</v>
      </c>
    </row>
    <row r="565" spans="1:4" x14ac:dyDescent="0.25">
      <c r="A565" s="25" t="s">
        <v>2310</v>
      </c>
      <c r="B565" s="25" t="s">
        <v>86</v>
      </c>
      <c r="C565" s="4">
        <v>93.090499999999992</v>
      </c>
      <c r="D565" s="25">
        <v>93.09</v>
      </c>
    </row>
    <row r="566" spans="1:4" x14ac:dyDescent="0.25">
      <c r="A566" s="25" t="s">
        <v>2312</v>
      </c>
      <c r="B566" s="25" t="s">
        <v>86</v>
      </c>
      <c r="C566" s="4">
        <v>120.6405</v>
      </c>
      <c r="D566" s="25">
        <v>120.64</v>
      </c>
    </row>
    <row r="567" spans="1:4" x14ac:dyDescent="0.25">
      <c r="A567" s="25" t="s">
        <v>2342</v>
      </c>
      <c r="B567" s="25" t="s">
        <v>86</v>
      </c>
      <c r="C567" s="4">
        <v>62.690499999999993</v>
      </c>
      <c r="D567" s="25">
        <v>62.69</v>
      </c>
    </row>
    <row r="568" spans="1:4" x14ac:dyDescent="0.25">
      <c r="A568" s="25" t="s">
        <v>2390</v>
      </c>
      <c r="B568" s="25" t="s">
        <v>86</v>
      </c>
      <c r="C568" s="4">
        <v>55.090499999999999</v>
      </c>
      <c r="D568" s="25">
        <v>55.09</v>
      </c>
    </row>
    <row r="569" spans="1:4" x14ac:dyDescent="0.25">
      <c r="A569" s="25" t="s">
        <v>2574</v>
      </c>
      <c r="B569" s="25" t="s">
        <v>86</v>
      </c>
      <c r="C569" s="4">
        <v>55.090499999999999</v>
      </c>
      <c r="D569" s="25">
        <v>55.09</v>
      </c>
    </row>
    <row r="570" spans="1:4" x14ac:dyDescent="0.25">
      <c r="A570" s="25" t="s">
        <v>2575</v>
      </c>
      <c r="B570" s="25" t="s">
        <v>86</v>
      </c>
      <c r="C570" s="4">
        <v>63.640500000000003</v>
      </c>
      <c r="D570" s="25">
        <v>63.64</v>
      </c>
    </row>
    <row r="571" spans="1:4" x14ac:dyDescent="0.25">
      <c r="A571" s="25" t="s">
        <v>2373</v>
      </c>
      <c r="B571" s="25" t="s">
        <v>86</v>
      </c>
      <c r="C571" s="4">
        <v>61.740499999999997</v>
      </c>
      <c r="D571" s="25">
        <v>61.74</v>
      </c>
    </row>
    <row r="572" spans="1:4" x14ac:dyDescent="0.25">
      <c r="A572" s="25" t="s">
        <v>2419</v>
      </c>
      <c r="B572" s="25" t="s">
        <v>86</v>
      </c>
      <c r="C572" s="4">
        <v>19.9405</v>
      </c>
      <c r="D572" s="25">
        <v>19.940000000000001</v>
      </c>
    </row>
    <row r="573" spans="1:4" x14ac:dyDescent="0.25">
      <c r="A573" s="25" t="s">
        <v>1401</v>
      </c>
      <c r="B573" s="25" t="s">
        <v>86</v>
      </c>
      <c r="C573" s="4">
        <v>26.590499999999999</v>
      </c>
      <c r="D573" s="25">
        <v>26.59</v>
      </c>
    </row>
    <row r="574" spans="1:4" x14ac:dyDescent="0.25">
      <c r="A574" s="25" t="s">
        <v>2422</v>
      </c>
      <c r="B574" s="25" t="s">
        <v>86</v>
      </c>
      <c r="C574" s="4">
        <v>26.590499999999999</v>
      </c>
      <c r="D574" s="25">
        <v>26.59</v>
      </c>
    </row>
    <row r="575" spans="1:4" x14ac:dyDescent="0.25">
      <c r="A575" s="25" t="s">
        <v>2423</v>
      </c>
      <c r="B575" s="25" t="s">
        <v>86</v>
      </c>
      <c r="C575" s="4">
        <v>29.4405</v>
      </c>
      <c r="D575" s="25">
        <v>29.44</v>
      </c>
    </row>
    <row r="576" spans="1:4" x14ac:dyDescent="0.25">
      <c r="A576" s="25" t="s">
        <v>2424</v>
      </c>
      <c r="B576" s="25" t="s">
        <v>86</v>
      </c>
      <c r="C576" s="4">
        <v>21.840499999999999</v>
      </c>
      <c r="D576" s="25">
        <v>21.84</v>
      </c>
    </row>
    <row r="577" spans="1:4" x14ac:dyDescent="0.25">
      <c r="A577" s="25" t="s">
        <v>2425</v>
      </c>
      <c r="B577" s="25" t="s">
        <v>86</v>
      </c>
      <c r="C577" s="4">
        <v>26.590499999999999</v>
      </c>
      <c r="D577" s="25">
        <v>26.59</v>
      </c>
    </row>
    <row r="578" spans="1:4" x14ac:dyDescent="0.25">
      <c r="A578" s="25" t="s">
        <v>2426</v>
      </c>
      <c r="B578" s="25" t="s">
        <v>86</v>
      </c>
      <c r="C578" s="4">
        <v>29.4405</v>
      </c>
      <c r="D578" s="25">
        <v>29.44</v>
      </c>
    </row>
    <row r="579" spans="1:4" x14ac:dyDescent="0.25">
      <c r="A579" s="25" t="s">
        <v>2375</v>
      </c>
      <c r="B579" s="25" t="s">
        <v>86</v>
      </c>
      <c r="C579" s="4">
        <v>26.590499999999999</v>
      </c>
      <c r="D579" s="25">
        <v>26.59</v>
      </c>
    </row>
    <row r="580" spans="1:4" x14ac:dyDescent="0.25">
      <c r="A580" s="25" t="s">
        <v>2376</v>
      </c>
      <c r="B580" s="25" t="s">
        <v>86</v>
      </c>
      <c r="C580" s="4">
        <v>18.990500000000001</v>
      </c>
      <c r="D580" s="25">
        <v>18.989999999999998</v>
      </c>
    </row>
    <row r="581" spans="1:4" x14ac:dyDescent="0.25">
      <c r="A581" s="25" t="s">
        <v>2355</v>
      </c>
      <c r="B581" s="25" t="s">
        <v>86</v>
      </c>
      <c r="C581" s="4">
        <v>18.040500000000002</v>
      </c>
      <c r="D581" s="25">
        <v>18.04</v>
      </c>
    </row>
    <row r="582" spans="1:4" x14ac:dyDescent="0.25">
      <c r="A582" s="25" t="s">
        <v>2336</v>
      </c>
      <c r="B582" s="25" t="s">
        <v>86</v>
      </c>
      <c r="C582" s="4">
        <v>28.490500000000001</v>
      </c>
      <c r="D582" s="25">
        <v>28.49</v>
      </c>
    </row>
    <row r="583" spans="1:4" x14ac:dyDescent="0.25">
      <c r="A583" s="25" t="s">
        <v>2323</v>
      </c>
      <c r="B583" s="25" t="s">
        <v>86</v>
      </c>
      <c r="C583" s="4">
        <v>28.490500000000001</v>
      </c>
      <c r="D583" s="25">
        <v>28.49</v>
      </c>
    </row>
    <row r="584" spans="1:4" x14ac:dyDescent="0.25">
      <c r="A584" s="25" t="s">
        <v>2399</v>
      </c>
      <c r="B584" s="25" t="s">
        <v>86</v>
      </c>
      <c r="C584" s="4">
        <v>20.890499999999999</v>
      </c>
      <c r="D584" s="25">
        <v>20.89</v>
      </c>
    </row>
    <row r="585" spans="1:4" x14ac:dyDescent="0.25">
      <c r="A585" s="25" t="s">
        <v>2381</v>
      </c>
      <c r="B585" s="25" t="s">
        <v>86</v>
      </c>
      <c r="C585" s="4">
        <v>18.990500000000001</v>
      </c>
      <c r="D585" s="25">
        <v>18.989999999999998</v>
      </c>
    </row>
    <row r="586" spans="1:4" x14ac:dyDescent="0.25">
      <c r="A586" s="25" t="s">
        <v>2358</v>
      </c>
      <c r="B586" s="25" t="s">
        <v>86</v>
      </c>
      <c r="C586" s="4">
        <v>28.490500000000001</v>
      </c>
      <c r="D586" s="25">
        <v>28.49</v>
      </c>
    </row>
    <row r="587" spans="1:4" x14ac:dyDescent="0.25">
      <c r="A587" s="25" t="s">
        <v>2359</v>
      </c>
      <c r="B587" s="25" t="s">
        <v>86</v>
      </c>
      <c r="C587" s="4">
        <v>17.090499999999999</v>
      </c>
      <c r="D587" s="25">
        <v>17.09</v>
      </c>
    </row>
    <row r="588" spans="1:4" x14ac:dyDescent="0.25">
      <c r="A588" s="25" t="s">
        <v>2313</v>
      </c>
      <c r="B588" s="25" t="s">
        <v>86</v>
      </c>
      <c r="C588" s="4">
        <v>28.490500000000001</v>
      </c>
      <c r="D588" s="25">
        <v>28.49</v>
      </c>
    </row>
    <row r="589" spans="1:4" x14ac:dyDescent="0.25">
      <c r="A589" s="25" t="s">
        <v>2417</v>
      </c>
      <c r="B589" s="25" t="s">
        <v>86</v>
      </c>
      <c r="C589" s="4">
        <v>14.240500000000001</v>
      </c>
      <c r="D589" s="25">
        <v>14.24</v>
      </c>
    </row>
    <row r="590" spans="1:4" x14ac:dyDescent="0.25">
      <c r="A590" s="25" t="s">
        <v>2256</v>
      </c>
      <c r="B590" s="25" t="s">
        <v>86</v>
      </c>
      <c r="C590" s="4">
        <v>9.4905000000000008</v>
      </c>
      <c r="D590" s="25">
        <v>9.49</v>
      </c>
    </row>
    <row r="591" spans="1:4" x14ac:dyDescent="0.25">
      <c r="A591" s="25" t="s">
        <v>1494</v>
      </c>
      <c r="B591" s="25" t="s">
        <v>86</v>
      </c>
      <c r="C591" s="4">
        <v>37.990499999999997</v>
      </c>
      <c r="D591" s="25">
        <v>37.99</v>
      </c>
    </row>
    <row r="592" spans="1:4" x14ac:dyDescent="0.25">
      <c r="A592" s="25" t="s">
        <v>2428</v>
      </c>
      <c r="B592" s="25" t="s">
        <v>86</v>
      </c>
      <c r="C592" s="4">
        <v>31.340499999999999</v>
      </c>
      <c r="D592" s="25">
        <v>31.34</v>
      </c>
    </row>
    <row r="593" spans="1:4" x14ac:dyDescent="0.25">
      <c r="A593" s="25" t="s">
        <v>2479</v>
      </c>
      <c r="B593" s="25" t="s">
        <v>86</v>
      </c>
      <c r="C593" s="4">
        <v>113.9905</v>
      </c>
      <c r="D593" s="25">
        <v>113.99</v>
      </c>
    </row>
    <row r="594" spans="1:4" x14ac:dyDescent="0.25">
      <c r="A594" s="25" t="s">
        <v>2366</v>
      </c>
      <c r="B594" s="25" t="s">
        <v>86</v>
      </c>
      <c r="C594" s="4">
        <v>94.990499999999997</v>
      </c>
      <c r="D594" s="25">
        <v>94.99</v>
      </c>
    </row>
    <row r="595" spans="1:4" x14ac:dyDescent="0.25">
      <c r="A595" s="25" t="s">
        <v>2384</v>
      </c>
      <c r="B595" s="25" t="s">
        <v>86</v>
      </c>
      <c r="C595" s="4">
        <v>56.990499999999997</v>
      </c>
      <c r="D595" s="25">
        <v>51.99</v>
      </c>
    </row>
    <row r="596" spans="1:4" x14ac:dyDescent="0.25">
      <c r="A596" s="25" t="s">
        <v>2391</v>
      </c>
      <c r="B596" s="25" t="s">
        <v>86</v>
      </c>
      <c r="C596" s="4">
        <v>66.490499999999997</v>
      </c>
      <c r="D596" s="25">
        <v>66.489999999999995</v>
      </c>
    </row>
    <row r="597" spans="1:4" x14ac:dyDescent="0.25">
      <c r="A597" s="25" t="s">
        <v>2398</v>
      </c>
      <c r="B597" s="25" t="s">
        <v>86</v>
      </c>
      <c r="C597" s="4">
        <v>113.9905</v>
      </c>
      <c r="D597" s="25">
        <v>113.99</v>
      </c>
    </row>
    <row r="598" spans="1:4" x14ac:dyDescent="0.25">
      <c r="A598" s="25" t="s">
        <v>2347</v>
      </c>
      <c r="B598" s="25" t="s">
        <v>86</v>
      </c>
      <c r="C598" s="4">
        <v>56.990499999999997</v>
      </c>
      <c r="D598" s="25">
        <v>56.99</v>
      </c>
    </row>
    <row r="599" spans="1:4" x14ac:dyDescent="0.25">
      <c r="A599" s="25" t="s">
        <v>2356</v>
      </c>
      <c r="B599" s="25" t="s">
        <v>86</v>
      </c>
      <c r="C599" s="4">
        <v>66.490499999999997</v>
      </c>
      <c r="D599" s="25">
        <v>66.489999999999995</v>
      </c>
    </row>
    <row r="600" spans="1:4" x14ac:dyDescent="0.25">
      <c r="A600" s="25" t="s">
        <v>2262</v>
      </c>
      <c r="B600" s="25" t="s">
        <v>86</v>
      </c>
      <c r="C600" s="4">
        <v>47.490499999999997</v>
      </c>
      <c r="D600" s="25">
        <v>47.49</v>
      </c>
    </row>
    <row r="601" spans="1:4" x14ac:dyDescent="0.25">
      <c r="A601" s="25" t="s">
        <v>2271</v>
      </c>
      <c r="B601" s="25" t="s">
        <v>86</v>
      </c>
      <c r="C601" s="4">
        <v>38.9405</v>
      </c>
      <c r="D601" s="25">
        <v>38.94</v>
      </c>
    </row>
    <row r="602" spans="1:4" x14ac:dyDescent="0.25">
      <c r="A602" s="25" t="s">
        <v>2327</v>
      </c>
      <c r="B602" s="25" t="s">
        <v>86</v>
      </c>
      <c r="C602" s="4">
        <v>38.9405</v>
      </c>
      <c r="D602" s="25">
        <v>38.94</v>
      </c>
    </row>
    <row r="603" spans="1:4" x14ac:dyDescent="0.25">
      <c r="A603" s="25" t="s">
        <v>2337</v>
      </c>
      <c r="B603" s="25" t="s">
        <v>86</v>
      </c>
      <c r="C603" s="4">
        <v>94.990499999999997</v>
      </c>
      <c r="D603" s="25">
        <v>94.99</v>
      </c>
    </row>
    <row r="604" spans="1:4" x14ac:dyDescent="0.25">
      <c r="A604" s="25" t="s">
        <v>2338</v>
      </c>
      <c r="B604" s="25" t="s">
        <v>86</v>
      </c>
      <c r="C604" s="4">
        <v>85.490499999999997</v>
      </c>
      <c r="D604" s="25">
        <v>85.49</v>
      </c>
    </row>
    <row r="605" spans="1:4" x14ac:dyDescent="0.25">
      <c r="A605" s="25" t="s">
        <v>2190</v>
      </c>
      <c r="B605" s="25" t="s">
        <v>86</v>
      </c>
      <c r="C605" s="4">
        <v>44.640500000000003</v>
      </c>
      <c r="D605" s="25">
        <v>44.64</v>
      </c>
    </row>
    <row r="606" spans="1:4" x14ac:dyDescent="0.25">
      <c r="A606" s="25" t="s">
        <v>2292</v>
      </c>
      <c r="B606" s="25" t="s">
        <v>86</v>
      </c>
      <c r="C606" s="4">
        <v>35.140500000000003</v>
      </c>
      <c r="D606" s="25">
        <v>35.14</v>
      </c>
    </row>
    <row r="607" spans="1:4" x14ac:dyDescent="0.25">
      <c r="A607" s="25" t="s">
        <v>2294</v>
      </c>
      <c r="B607" s="25" t="s">
        <v>86</v>
      </c>
      <c r="C607" s="4">
        <v>32.290500000000002</v>
      </c>
      <c r="D607" s="25">
        <v>32.29</v>
      </c>
    </row>
    <row r="608" spans="1:4" x14ac:dyDescent="0.25">
      <c r="A608" s="25" t="s">
        <v>2383</v>
      </c>
      <c r="B608" s="25" t="s">
        <v>86</v>
      </c>
      <c r="C608" s="4">
        <v>52.240499999999997</v>
      </c>
      <c r="D608" s="25">
        <v>52.24</v>
      </c>
    </row>
    <row r="609" spans="1:4" x14ac:dyDescent="0.25">
      <c r="A609" s="25" t="s">
        <v>2702</v>
      </c>
      <c r="B609" s="25" t="s">
        <v>86</v>
      </c>
      <c r="C609" s="4">
        <v>31.720500000000001</v>
      </c>
      <c r="D609" s="25">
        <v>31.72</v>
      </c>
    </row>
    <row r="610" spans="1:4" x14ac:dyDescent="0.25">
      <c r="A610" s="25" t="s">
        <v>2665</v>
      </c>
      <c r="B610" s="25" t="s">
        <v>86</v>
      </c>
      <c r="C610" s="4">
        <v>49.580500000000001</v>
      </c>
      <c r="D610" s="25">
        <v>49.58</v>
      </c>
    </row>
    <row r="611" spans="1:4" x14ac:dyDescent="0.25">
      <c r="A611" s="25" t="s">
        <v>2410</v>
      </c>
      <c r="B611" s="25" t="s">
        <v>86</v>
      </c>
      <c r="C611" s="4">
        <v>32.290500000000002</v>
      </c>
      <c r="D611" s="25">
        <v>32.29</v>
      </c>
    </row>
    <row r="612" spans="1:4" x14ac:dyDescent="0.25">
      <c r="A612" s="25" t="s">
        <v>2405</v>
      </c>
      <c r="B612" s="25" t="s">
        <v>86</v>
      </c>
      <c r="C612" s="4">
        <v>42.740499999999997</v>
      </c>
      <c r="D612" s="25">
        <v>42.74</v>
      </c>
    </row>
    <row r="613" spans="1:4" x14ac:dyDescent="0.25">
      <c r="A613" s="25" t="s">
        <v>2694</v>
      </c>
      <c r="B613" s="25" t="s">
        <v>86</v>
      </c>
      <c r="C613" s="4">
        <v>215.6405</v>
      </c>
      <c r="D613" s="25">
        <v>215.64</v>
      </c>
    </row>
    <row r="614" spans="1:4" x14ac:dyDescent="0.25">
      <c r="A614" s="25" t="s">
        <v>2351</v>
      </c>
      <c r="B614" s="25" t="s">
        <v>86</v>
      </c>
      <c r="C614" s="4">
        <v>134.8905</v>
      </c>
      <c r="D614" s="25">
        <v>134.88999999999999</v>
      </c>
    </row>
    <row r="615" spans="1:4" x14ac:dyDescent="0.25">
      <c r="A615" s="25" t="s">
        <v>2588</v>
      </c>
      <c r="B615" s="25" t="s">
        <v>86</v>
      </c>
      <c r="C615" s="4">
        <v>37.530700000000003</v>
      </c>
      <c r="D615" s="25">
        <v>37.53</v>
      </c>
    </row>
    <row r="616" spans="1:4" x14ac:dyDescent="0.25">
      <c r="A616" s="25" t="s">
        <v>2611</v>
      </c>
      <c r="B616" s="25" t="s">
        <v>86</v>
      </c>
      <c r="C616" s="4">
        <v>82.680875000000015</v>
      </c>
      <c r="D616" s="25">
        <v>82.68</v>
      </c>
    </row>
    <row r="617" spans="1:4" x14ac:dyDescent="0.25">
      <c r="A617" s="25" t="s">
        <v>2334</v>
      </c>
      <c r="B617" s="25" t="s">
        <v>86</v>
      </c>
      <c r="C617" s="4">
        <v>26.9208888888889</v>
      </c>
      <c r="D617" s="25">
        <v>26.92</v>
      </c>
    </row>
    <row r="618" spans="1:4" x14ac:dyDescent="0.25">
      <c r="A618" s="25" t="s">
        <v>2621</v>
      </c>
      <c r="B618" s="25" t="s">
        <v>86</v>
      </c>
      <c r="C618" s="4">
        <v>56.441083333333339</v>
      </c>
      <c r="D618" s="25">
        <v>56.44</v>
      </c>
    </row>
    <row r="619" spans="1:4" x14ac:dyDescent="0.25">
      <c r="A619" s="25" t="s">
        <v>2357</v>
      </c>
      <c r="B619" s="25" t="s">
        <v>86</v>
      </c>
      <c r="C619" s="4">
        <v>42.521269230769228</v>
      </c>
      <c r="D619" s="25">
        <v>42.52</v>
      </c>
    </row>
    <row r="620" spans="1:4" x14ac:dyDescent="0.25">
      <c r="A620" s="25" t="s">
        <v>2664</v>
      </c>
      <c r="B620" s="25" t="s">
        <v>86</v>
      </c>
      <c r="C620" s="4">
        <v>45.951500000000003</v>
      </c>
      <c r="D620" s="25">
        <v>45.95</v>
      </c>
    </row>
    <row r="621" spans="1:4" x14ac:dyDescent="0.25">
      <c r="A621" s="25" t="s">
        <v>2630</v>
      </c>
      <c r="B621" s="25" t="s">
        <v>86</v>
      </c>
      <c r="C621" s="4">
        <v>25.4315</v>
      </c>
      <c r="D621" s="25">
        <v>25.43</v>
      </c>
    </row>
    <row r="622" spans="1:4" x14ac:dyDescent="0.25">
      <c r="A622" s="25" t="s">
        <v>2288</v>
      </c>
      <c r="B622" s="25" t="s">
        <v>86</v>
      </c>
      <c r="C622" s="4">
        <v>21.741500000000009</v>
      </c>
      <c r="D622" s="25">
        <v>21.74</v>
      </c>
    </row>
    <row r="623" spans="1:4" x14ac:dyDescent="0.25">
      <c r="A623" s="25" t="s">
        <v>2386</v>
      </c>
      <c r="B623" s="25" t="s">
        <v>86</v>
      </c>
      <c r="C623" s="4">
        <v>53.171500000000009</v>
      </c>
      <c r="D623" s="25">
        <v>53.17</v>
      </c>
    </row>
    <row r="624" spans="1:4" x14ac:dyDescent="0.25">
      <c r="A624" s="25" t="s">
        <v>2682</v>
      </c>
      <c r="B624" s="25" t="s">
        <v>86</v>
      </c>
      <c r="C624" s="4">
        <v>37.051499999999997</v>
      </c>
      <c r="D624" s="25">
        <v>37.049999999999997</v>
      </c>
    </row>
    <row r="625" spans="1:4" x14ac:dyDescent="0.25">
      <c r="A625" s="25" t="s">
        <v>2679</v>
      </c>
      <c r="B625" s="25" t="s">
        <v>86</v>
      </c>
      <c r="C625" s="4">
        <v>56.051900000000003</v>
      </c>
      <c r="D625" s="25">
        <v>56.05</v>
      </c>
    </row>
    <row r="626" spans="1:4" x14ac:dyDescent="0.25">
      <c r="A626" s="25" t="s">
        <v>2643</v>
      </c>
      <c r="B626" s="25" t="s">
        <v>86</v>
      </c>
      <c r="C626" s="4">
        <v>30.921906249999999</v>
      </c>
      <c r="D626" s="25">
        <v>30.92</v>
      </c>
    </row>
    <row r="627" spans="1:4" x14ac:dyDescent="0.25">
      <c r="A627" s="25" t="s">
        <v>2585</v>
      </c>
      <c r="B627" s="25" t="s">
        <v>86</v>
      </c>
      <c r="C627" s="4">
        <v>32.072000000000003</v>
      </c>
      <c r="D627" s="25">
        <v>32.07</v>
      </c>
    </row>
    <row r="628" spans="1:4" x14ac:dyDescent="0.25">
      <c r="A628" s="25" t="s">
        <v>2626</v>
      </c>
      <c r="B628" s="25" t="s">
        <v>86</v>
      </c>
      <c r="C628" s="4">
        <v>27.702000000000002</v>
      </c>
      <c r="D628" s="25">
        <v>27.7</v>
      </c>
    </row>
    <row r="629" spans="1:4" x14ac:dyDescent="0.25">
      <c r="A629" s="25" t="s">
        <v>2318</v>
      </c>
      <c r="B629" s="25" t="s">
        <v>86</v>
      </c>
      <c r="C629" s="4">
        <v>14.53228571428571</v>
      </c>
      <c r="D629" s="25">
        <v>14.53</v>
      </c>
    </row>
    <row r="630" spans="1:4" x14ac:dyDescent="0.25">
      <c r="A630" s="25" t="s">
        <v>2635</v>
      </c>
      <c r="B630" s="25" t="s">
        <v>86</v>
      </c>
      <c r="C630" s="4">
        <v>60.122333333333337</v>
      </c>
      <c r="D630" s="25">
        <v>60.12</v>
      </c>
    </row>
    <row r="631" spans="1:4" x14ac:dyDescent="0.25">
      <c r="A631" s="25" t="s">
        <v>2430</v>
      </c>
      <c r="B631" s="25" t="s">
        <v>86</v>
      </c>
      <c r="C631" s="4">
        <v>21.272400000000001</v>
      </c>
      <c r="D631" s="25">
        <v>21.27</v>
      </c>
    </row>
    <row r="632" spans="1:4" x14ac:dyDescent="0.25">
      <c r="A632" s="25" t="s">
        <v>2396</v>
      </c>
      <c r="B632" s="25" t="s">
        <v>86</v>
      </c>
      <c r="C632" s="4">
        <v>28.302400000000009</v>
      </c>
      <c r="D632" s="25">
        <v>28.3</v>
      </c>
    </row>
    <row r="633" spans="1:4" x14ac:dyDescent="0.25">
      <c r="A633" s="25" t="s">
        <v>2429</v>
      </c>
      <c r="B633" s="25" t="s">
        <v>86</v>
      </c>
      <c r="C633" s="4">
        <v>32.292400000000008</v>
      </c>
      <c r="D633" s="25">
        <v>32.29</v>
      </c>
    </row>
    <row r="634" spans="1:4" x14ac:dyDescent="0.25">
      <c r="A634" s="25" t="s">
        <v>2698</v>
      </c>
      <c r="B634" s="25" t="s">
        <v>86</v>
      </c>
      <c r="C634" s="4">
        <v>163.39240000000001</v>
      </c>
      <c r="D634" s="25">
        <v>163.38999999999999</v>
      </c>
    </row>
    <row r="635" spans="1:4" x14ac:dyDescent="0.25">
      <c r="A635" s="25" t="s">
        <v>2431</v>
      </c>
      <c r="B635" s="25" t="s">
        <v>86</v>
      </c>
      <c r="C635" s="4">
        <v>163.39240000000001</v>
      </c>
      <c r="D635" s="25">
        <v>163.38999999999999</v>
      </c>
    </row>
    <row r="636" spans="1:4" x14ac:dyDescent="0.25">
      <c r="A636" s="25" t="s">
        <v>2696</v>
      </c>
      <c r="B636" s="25" t="s">
        <v>86</v>
      </c>
      <c r="C636" s="4">
        <v>122.6925</v>
      </c>
      <c r="D636" s="25">
        <v>122.69</v>
      </c>
    </row>
    <row r="637" spans="1:4" x14ac:dyDescent="0.25">
      <c r="A637" s="25" t="s">
        <v>2666</v>
      </c>
      <c r="B637" s="25" t="s">
        <v>86</v>
      </c>
      <c r="C637" s="4">
        <v>69.872500000000002</v>
      </c>
      <c r="D637" s="25">
        <v>69.87</v>
      </c>
    </row>
    <row r="638" spans="1:4" x14ac:dyDescent="0.25">
      <c r="A638" s="25" t="s">
        <v>2322</v>
      </c>
      <c r="B638" s="25" t="s">
        <v>86</v>
      </c>
      <c r="C638" s="4">
        <v>22.5625</v>
      </c>
      <c r="D638" s="25">
        <v>22.56</v>
      </c>
    </row>
    <row r="639" spans="1:4" x14ac:dyDescent="0.25">
      <c r="A639" s="25" t="s">
        <v>2593</v>
      </c>
      <c r="B639" s="25" t="s">
        <v>86</v>
      </c>
      <c r="C639" s="4">
        <v>25.602499999999999</v>
      </c>
      <c r="D639" s="25">
        <v>25.6</v>
      </c>
    </row>
    <row r="640" spans="1:4" x14ac:dyDescent="0.25">
      <c r="A640" s="25" t="s">
        <v>2632</v>
      </c>
      <c r="B640" s="25" t="s">
        <v>86</v>
      </c>
      <c r="C640" s="4">
        <v>24.6525</v>
      </c>
      <c r="D640" s="25">
        <v>24.65</v>
      </c>
    </row>
    <row r="641" spans="1:4" x14ac:dyDescent="0.25">
      <c r="A641" s="25" t="s">
        <v>2662</v>
      </c>
      <c r="B641" s="25" t="s">
        <v>86</v>
      </c>
      <c r="C641" s="4">
        <v>34.152500000000003</v>
      </c>
      <c r="D641" s="25">
        <v>34.15</v>
      </c>
    </row>
    <row r="642" spans="1:4" x14ac:dyDescent="0.25">
      <c r="A642" s="25" t="s">
        <v>2684</v>
      </c>
      <c r="B642" s="25" t="s">
        <v>86</v>
      </c>
      <c r="C642" s="4">
        <v>51.832558823529418</v>
      </c>
      <c r="D642" s="25">
        <v>51.83</v>
      </c>
    </row>
    <row r="643" spans="1:4" x14ac:dyDescent="0.25">
      <c r="A643" s="25" t="s">
        <v>2672</v>
      </c>
      <c r="B643" s="25" t="s">
        <v>86</v>
      </c>
      <c r="C643" s="4">
        <v>145.93266666666659</v>
      </c>
      <c r="D643" s="25">
        <v>145.93</v>
      </c>
    </row>
    <row r="644" spans="1:4" x14ac:dyDescent="0.25">
      <c r="A644" s="25" t="s">
        <v>2619</v>
      </c>
      <c r="B644" s="25" t="s">
        <v>86</v>
      </c>
      <c r="C644" s="4">
        <v>30.062750000000001</v>
      </c>
      <c r="D644" s="25">
        <v>30.06</v>
      </c>
    </row>
    <row r="645" spans="1:4" x14ac:dyDescent="0.25">
      <c r="A645" s="25" t="s">
        <v>2392</v>
      </c>
      <c r="B645" s="25" t="s">
        <v>86</v>
      </c>
      <c r="C645" s="4">
        <v>13.75283333333333</v>
      </c>
      <c r="D645" s="25">
        <v>13.75</v>
      </c>
    </row>
    <row r="646" spans="1:4" x14ac:dyDescent="0.25">
      <c r="A646" s="25" t="s">
        <v>2581</v>
      </c>
      <c r="B646" s="25" t="s">
        <v>86</v>
      </c>
      <c r="C646" s="4">
        <v>42.622937499999999</v>
      </c>
      <c r="D646" s="25">
        <v>42.62</v>
      </c>
    </row>
    <row r="647" spans="1:4" x14ac:dyDescent="0.25">
      <c r="A647" s="25" t="s">
        <v>2607</v>
      </c>
      <c r="B647" s="25" t="s">
        <v>86</v>
      </c>
      <c r="C647" s="4">
        <v>32.242999999999988</v>
      </c>
      <c r="D647" s="25">
        <v>32.24</v>
      </c>
    </row>
    <row r="648" spans="1:4" x14ac:dyDescent="0.25">
      <c r="A648" s="25" t="s">
        <v>2631</v>
      </c>
      <c r="B648" s="25" t="s">
        <v>86</v>
      </c>
      <c r="C648" s="4">
        <v>54.852999999999987</v>
      </c>
      <c r="D648" s="25">
        <v>54.85</v>
      </c>
    </row>
    <row r="649" spans="1:4" x14ac:dyDescent="0.25">
      <c r="A649" s="25" t="s">
        <v>2622</v>
      </c>
      <c r="B649" s="25" t="s">
        <v>86</v>
      </c>
      <c r="C649" s="4">
        <v>80.692999999999998</v>
      </c>
      <c r="D649" s="25">
        <v>80.69</v>
      </c>
    </row>
    <row r="650" spans="1:4" x14ac:dyDescent="0.25">
      <c r="A650" s="25" t="s">
        <v>2668</v>
      </c>
      <c r="B650" s="25" t="s">
        <v>86</v>
      </c>
      <c r="C650" s="4">
        <v>57.703000000000003</v>
      </c>
      <c r="D650" s="25">
        <v>57.7</v>
      </c>
    </row>
    <row r="651" spans="1:4" x14ac:dyDescent="0.25">
      <c r="A651" s="25" t="s">
        <v>5976</v>
      </c>
      <c r="B651" s="25" t="s">
        <v>86</v>
      </c>
      <c r="C651" s="4">
        <v>270.31299999999999</v>
      </c>
      <c r="D651" s="25">
        <v>270.31</v>
      </c>
    </row>
    <row r="652" spans="1:4" x14ac:dyDescent="0.25">
      <c r="A652" s="25" t="s">
        <v>5977</v>
      </c>
      <c r="B652" s="25" t="s">
        <v>86</v>
      </c>
      <c r="C652" s="4">
        <v>270.31299999999999</v>
      </c>
      <c r="D652" s="25">
        <v>270.31</v>
      </c>
    </row>
    <row r="653" spans="1:4" x14ac:dyDescent="0.25">
      <c r="A653" s="25" t="s">
        <v>2406</v>
      </c>
      <c r="B653" s="25" t="s">
        <v>86</v>
      </c>
      <c r="C653" s="4">
        <v>47.453027777777777</v>
      </c>
      <c r="D653" s="25">
        <v>47.45</v>
      </c>
    </row>
    <row r="654" spans="1:4" x14ac:dyDescent="0.25">
      <c r="A654" s="25" t="s">
        <v>2252</v>
      </c>
      <c r="B654" s="25" t="s">
        <v>86</v>
      </c>
      <c r="C654" s="4">
        <v>10.913125000000001</v>
      </c>
      <c r="D654" s="25">
        <v>10.91</v>
      </c>
    </row>
    <row r="655" spans="1:4" x14ac:dyDescent="0.25">
      <c r="A655" s="25" t="s">
        <v>2667</v>
      </c>
      <c r="B655" s="25" t="s">
        <v>86</v>
      </c>
      <c r="C655" s="4">
        <v>112.0335</v>
      </c>
      <c r="D655" s="25">
        <v>112.03</v>
      </c>
    </row>
    <row r="656" spans="1:4" x14ac:dyDescent="0.25">
      <c r="A656" s="25" t="s">
        <v>2609</v>
      </c>
      <c r="B656" s="25" t="s">
        <v>86</v>
      </c>
      <c r="C656" s="4">
        <v>42.493499999999997</v>
      </c>
      <c r="D656" s="25">
        <v>42.49</v>
      </c>
    </row>
    <row r="657" spans="1:4" x14ac:dyDescent="0.25">
      <c r="A657" s="25" t="s">
        <v>2584</v>
      </c>
      <c r="B657" s="25" t="s">
        <v>86</v>
      </c>
      <c r="C657" s="4">
        <v>31.663499999999999</v>
      </c>
      <c r="D657" s="25">
        <v>31.66</v>
      </c>
    </row>
    <row r="658" spans="1:4" x14ac:dyDescent="0.25">
      <c r="A658" s="25" t="s">
        <v>2326</v>
      </c>
      <c r="B658" s="25" t="s">
        <v>86</v>
      </c>
      <c r="C658" s="4">
        <v>32.233499999999999</v>
      </c>
      <c r="D658" s="25">
        <v>32.229999999999997</v>
      </c>
    </row>
    <row r="659" spans="1:4" x14ac:dyDescent="0.25">
      <c r="A659" s="25" t="s">
        <v>2608</v>
      </c>
      <c r="B659" s="25" t="s">
        <v>86</v>
      </c>
      <c r="C659" s="4">
        <v>36.223500000000001</v>
      </c>
      <c r="D659" s="25">
        <v>36.22</v>
      </c>
    </row>
    <row r="660" spans="1:4" x14ac:dyDescent="0.25">
      <c r="A660" s="25" t="s">
        <v>2615</v>
      </c>
      <c r="B660" s="25" t="s">
        <v>86</v>
      </c>
      <c r="C660" s="4">
        <v>113.3635</v>
      </c>
      <c r="D660" s="25">
        <v>113.36</v>
      </c>
    </row>
    <row r="661" spans="1:4" x14ac:dyDescent="0.25">
      <c r="A661" s="25" t="s">
        <v>2704</v>
      </c>
      <c r="B661" s="25" t="s">
        <v>86</v>
      </c>
      <c r="C661" s="4">
        <v>69.473500000000001</v>
      </c>
      <c r="D661" s="25">
        <v>69.47</v>
      </c>
    </row>
    <row r="662" spans="1:4" x14ac:dyDescent="0.25">
      <c r="A662" s="25" t="s">
        <v>2633</v>
      </c>
      <c r="B662" s="25" t="s">
        <v>86</v>
      </c>
      <c r="C662" s="4">
        <v>31.5837</v>
      </c>
      <c r="D662" s="25">
        <v>31.58</v>
      </c>
    </row>
    <row r="663" spans="1:4" x14ac:dyDescent="0.25">
      <c r="A663" s="25" t="s">
        <v>2669</v>
      </c>
      <c r="B663" s="25" t="s">
        <v>86</v>
      </c>
      <c r="C663" s="4">
        <v>50.413785714285723</v>
      </c>
      <c r="D663" s="25">
        <v>50.41</v>
      </c>
    </row>
    <row r="664" spans="1:4" x14ac:dyDescent="0.25">
      <c r="A664" s="25" t="s">
        <v>2281</v>
      </c>
      <c r="B664" s="25" t="s">
        <v>86</v>
      </c>
      <c r="C664" s="4">
        <v>9.1738333333333326</v>
      </c>
      <c r="D664" s="25">
        <v>9.17</v>
      </c>
    </row>
    <row r="665" spans="1:4" x14ac:dyDescent="0.25">
      <c r="A665" s="25" t="s">
        <v>2291</v>
      </c>
      <c r="B665" s="25" t="s">
        <v>86</v>
      </c>
      <c r="C665" s="4">
        <v>30.073833333333329</v>
      </c>
      <c r="D665" s="25">
        <v>30.07</v>
      </c>
    </row>
    <row r="666" spans="1:4" x14ac:dyDescent="0.25">
      <c r="A666" s="25" t="s">
        <v>2350</v>
      </c>
      <c r="B666" s="25" t="s">
        <v>86</v>
      </c>
      <c r="C666" s="4">
        <v>114.08414285714289</v>
      </c>
      <c r="D666" s="25">
        <v>114.08</v>
      </c>
    </row>
    <row r="667" spans="1:4" x14ac:dyDescent="0.25">
      <c r="A667" s="25" t="s">
        <v>2287</v>
      </c>
      <c r="B667" s="25" t="s">
        <v>86</v>
      </c>
      <c r="C667" s="4">
        <v>17.574173913043481</v>
      </c>
      <c r="D667" s="25">
        <v>17.57</v>
      </c>
    </row>
    <row r="668" spans="1:4" x14ac:dyDescent="0.25">
      <c r="A668" s="25" t="s">
        <v>2590</v>
      </c>
      <c r="B668" s="25" t="s">
        <v>86</v>
      </c>
      <c r="C668" s="4">
        <v>57.034199999999977</v>
      </c>
      <c r="D668" s="25">
        <v>57.03</v>
      </c>
    </row>
    <row r="669" spans="1:4" x14ac:dyDescent="0.25">
      <c r="A669" s="25" t="s">
        <v>2654</v>
      </c>
      <c r="B669" s="25" t="s">
        <v>86</v>
      </c>
      <c r="C669" s="4">
        <v>20.33431818181818</v>
      </c>
      <c r="D669" s="25">
        <v>20.329999999999998</v>
      </c>
    </row>
    <row r="670" spans="1:4" x14ac:dyDescent="0.25">
      <c r="A670" s="25" t="s">
        <v>2316</v>
      </c>
      <c r="B670" s="25" t="s">
        <v>86</v>
      </c>
      <c r="C670" s="4">
        <v>86.774407407407367</v>
      </c>
      <c r="D670" s="25">
        <v>86.77</v>
      </c>
    </row>
    <row r="671" spans="1:4" x14ac:dyDescent="0.25">
      <c r="A671" s="25" t="s">
        <v>2407</v>
      </c>
      <c r="B671" s="25" t="s">
        <v>86</v>
      </c>
      <c r="C671" s="4">
        <v>40.954500000000003</v>
      </c>
      <c r="D671" s="25">
        <v>40.950000000000003</v>
      </c>
    </row>
    <row r="672" spans="1:4" x14ac:dyDescent="0.25">
      <c r="A672" s="25" t="s">
        <v>2603</v>
      </c>
      <c r="B672" s="25" t="s">
        <v>86</v>
      </c>
      <c r="C672" s="4">
        <v>45.894500000000001</v>
      </c>
      <c r="D672" s="25">
        <v>45.89</v>
      </c>
    </row>
    <row r="673" spans="1:4" x14ac:dyDescent="0.25">
      <c r="A673" s="25" t="s">
        <v>2658</v>
      </c>
      <c r="B673" s="25" t="s">
        <v>86</v>
      </c>
      <c r="C673" s="4">
        <v>32.404499999999999</v>
      </c>
      <c r="D673" s="25">
        <v>32.4</v>
      </c>
    </row>
    <row r="674" spans="1:4" x14ac:dyDescent="0.25">
      <c r="A674" s="25" t="s">
        <v>2637</v>
      </c>
      <c r="B674" s="25" t="s">
        <v>86</v>
      </c>
      <c r="C674" s="4">
        <v>28.4145</v>
      </c>
      <c r="D674" s="25">
        <v>28.41</v>
      </c>
    </row>
    <row r="675" spans="1:4" x14ac:dyDescent="0.25">
      <c r="A675" s="25" t="s">
        <v>2661</v>
      </c>
      <c r="B675" s="25" t="s">
        <v>86</v>
      </c>
      <c r="C675" s="4">
        <v>54.894799999999996</v>
      </c>
      <c r="D675" s="25">
        <v>54.89</v>
      </c>
    </row>
    <row r="676" spans="1:4" x14ac:dyDescent="0.25">
      <c r="A676" s="25" t="s">
        <v>2746</v>
      </c>
      <c r="B676" s="25">
        <v>20</v>
      </c>
      <c r="C676" s="25">
        <v>0</v>
      </c>
      <c r="D676" s="25">
        <v>0</v>
      </c>
    </row>
    <row r="677" spans="1:4" x14ac:dyDescent="0.25">
      <c r="A677" s="25" t="s">
        <v>2748</v>
      </c>
      <c r="B677" s="25">
        <v>21</v>
      </c>
      <c r="C677" s="25">
        <v>0</v>
      </c>
      <c r="D677" s="25">
        <v>0</v>
      </c>
    </row>
    <row r="678" spans="1:4" x14ac:dyDescent="0.25">
      <c r="A678" s="25" t="s">
        <v>2750</v>
      </c>
      <c r="B678" s="25">
        <v>22</v>
      </c>
      <c r="C678" s="25">
        <v>0</v>
      </c>
      <c r="D678" s="25">
        <v>0</v>
      </c>
    </row>
    <row r="679" spans="1:4" x14ac:dyDescent="0.25">
      <c r="A679" s="25" t="s">
        <v>2752</v>
      </c>
      <c r="B679" s="25">
        <v>23</v>
      </c>
      <c r="C679" s="25">
        <v>0</v>
      </c>
      <c r="D679" s="25">
        <v>0</v>
      </c>
    </row>
    <row r="680" spans="1:4" x14ac:dyDescent="0.25">
      <c r="A680" s="25" t="s">
        <v>2754</v>
      </c>
      <c r="B680" s="25">
        <v>24</v>
      </c>
      <c r="C680" s="25">
        <v>0</v>
      </c>
      <c r="D680" s="25">
        <v>0</v>
      </c>
    </row>
    <row r="681" spans="1:4" x14ac:dyDescent="0.25">
      <c r="A681" s="25" t="s">
        <v>1502</v>
      </c>
      <c r="B681" s="25">
        <v>33</v>
      </c>
      <c r="C681" s="25">
        <v>0</v>
      </c>
      <c r="D681" s="25">
        <v>0</v>
      </c>
    </row>
    <row r="682" spans="1:4" x14ac:dyDescent="0.25">
      <c r="A682" s="25" t="s">
        <v>1504</v>
      </c>
      <c r="B682" s="25">
        <v>37</v>
      </c>
      <c r="C682" s="25">
        <v>0</v>
      </c>
      <c r="D682" s="25">
        <v>0</v>
      </c>
    </row>
    <row r="683" spans="1:4" x14ac:dyDescent="0.25">
      <c r="A683" s="25" t="s">
        <v>712</v>
      </c>
      <c r="B683" s="25">
        <v>39</v>
      </c>
      <c r="C683" s="25">
        <v>0</v>
      </c>
      <c r="D683" s="25">
        <v>0</v>
      </c>
    </row>
    <row r="684" spans="1:4" x14ac:dyDescent="0.25">
      <c r="A684" s="25" t="s">
        <v>1508</v>
      </c>
      <c r="B684" s="25">
        <v>44</v>
      </c>
      <c r="C684" s="25">
        <v>0</v>
      </c>
      <c r="D684" s="25">
        <v>0</v>
      </c>
    </row>
    <row r="685" spans="1:4" x14ac:dyDescent="0.25">
      <c r="A685" s="25" t="s">
        <v>117</v>
      </c>
      <c r="B685" s="25">
        <v>45</v>
      </c>
      <c r="C685" s="25">
        <v>0</v>
      </c>
      <c r="D685" s="25">
        <v>0</v>
      </c>
    </row>
    <row r="686" spans="1:4" x14ac:dyDescent="0.25">
      <c r="A686" s="25" t="s">
        <v>723</v>
      </c>
      <c r="B686" s="25">
        <v>46</v>
      </c>
      <c r="C686" s="25">
        <v>0</v>
      </c>
      <c r="D686" s="25">
        <v>0</v>
      </c>
    </row>
    <row r="687" spans="1:4" x14ac:dyDescent="0.25">
      <c r="A687" s="25" t="s">
        <v>1511</v>
      </c>
      <c r="B687" s="25">
        <v>47</v>
      </c>
      <c r="C687" s="25">
        <v>0</v>
      </c>
      <c r="D687" s="25">
        <v>0</v>
      </c>
    </row>
    <row r="688" spans="1:4" x14ac:dyDescent="0.25">
      <c r="A688" s="25" t="s">
        <v>2762</v>
      </c>
      <c r="B688" s="25">
        <v>52</v>
      </c>
      <c r="C688" s="25">
        <v>0</v>
      </c>
      <c r="D688" s="25">
        <v>0</v>
      </c>
    </row>
    <row r="689" spans="1:4" x14ac:dyDescent="0.25">
      <c r="A689" s="25" t="s">
        <v>2766</v>
      </c>
      <c r="B689" s="25">
        <v>55</v>
      </c>
      <c r="C689" s="25">
        <v>0</v>
      </c>
      <c r="D689" s="25">
        <v>0</v>
      </c>
    </row>
    <row r="690" spans="1:4" x14ac:dyDescent="0.25">
      <c r="A690" s="25" t="s">
        <v>1516</v>
      </c>
      <c r="B690" s="25">
        <v>61</v>
      </c>
      <c r="C690" s="25">
        <v>0</v>
      </c>
      <c r="D690" s="25">
        <v>0</v>
      </c>
    </row>
    <row r="691" spans="1:4" x14ac:dyDescent="0.25">
      <c r="A691" s="25" t="s">
        <v>2768</v>
      </c>
      <c r="B691" s="25">
        <v>62</v>
      </c>
      <c r="C691" s="25">
        <v>0</v>
      </c>
      <c r="D691" s="25">
        <v>0</v>
      </c>
    </row>
    <row r="692" spans="1:4" x14ac:dyDescent="0.25">
      <c r="A692" s="25" t="s">
        <v>1518</v>
      </c>
      <c r="B692" s="25">
        <v>66</v>
      </c>
      <c r="C692" s="25">
        <v>0</v>
      </c>
      <c r="D692" s="25">
        <v>0</v>
      </c>
    </row>
    <row r="693" spans="1:4" x14ac:dyDescent="0.25">
      <c r="A693" s="25" t="s">
        <v>1521</v>
      </c>
      <c r="B693" s="25">
        <v>67</v>
      </c>
      <c r="C693" s="25">
        <v>0</v>
      </c>
      <c r="D693" s="25">
        <v>0</v>
      </c>
    </row>
    <row r="694" spans="1:4" x14ac:dyDescent="0.25">
      <c r="A694" s="25" t="s">
        <v>1523</v>
      </c>
      <c r="B694" s="25">
        <v>68</v>
      </c>
      <c r="C694" s="25">
        <v>0</v>
      </c>
      <c r="D694" s="25">
        <v>0</v>
      </c>
    </row>
    <row r="695" spans="1:4" x14ac:dyDescent="0.25">
      <c r="A695" s="25" t="s">
        <v>1525</v>
      </c>
      <c r="B695" s="25">
        <v>69</v>
      </c>
      <c r="C695" s="25">
        <v>0</v>
      </c>
      <c r="D695" s="25">
        <v>0</v>
      </c>
    </row>
    <row r="696" spans="1:4" x14ac:dyDescent="0.25">
      <c r="A696" s="25" t="s">
        <v>1529</v>
      </c>
      <c r="B696" s="25">
        <v>71</v>
      </c>
      <c r="C696" s="25">
        <v>0</v>
      </c>
      <c r="D696" s="25">
        <v>0</v>
      </c>
    </row>
    <row r="697" spans="1:4" x14ac:dyDescent="0.25">
      <c r="A697" s="25" t="s">
        <v>1531</v>
      </c>
      <c r="B697" s="25">
        <v>72</v>
      </c>
      <c r="C697" s="25">
        <v>0</v>
      </c>
      <c r="D697" s="25">
        <v>0</v>
      </c>
    </row>
    <row r="698" spans="1:4" x14ac:dyDescent="0.25">
      <c r="A698" s="25" t="s">
        <v>1535</v>
      </c>
      <c r="B698" s="25">
        <v>75</v>
      </c>
      <c r="C698" s="25">
        <v>0</v>
      </c>
      <c r="D698" s="25">
        <v>0</v>
      </c>
    </row>
    <row r="699" spans="1:4" x14ac:dyDescent="0.25">
      <c r="A699" s="25" t="s">
        <v>1537</v>
      </c>
      <c r="B699" s="25">
        <v>77</v>
      </c>
      <c r="C699" s="25">
        <v>0</v>
      </c>
      <c r="D699" s="25">
        <v>0</v>
      </c>
    </row>
    <row r="700" spans="1:4" x14ac:dyDescent="0.25">
      <c r="A700" s="25" t="s">
        <v>2774</v>
      </c>
      <c r="B700" s="25">
        <v>78</v>
      </c>
      <c r="C700" s="25">
        <v>0</v>
      </c>
      <c r="D700" s="25">
        <v>0</v>
      </c>
    </row>
    <row r="701" spans="1:4" x14ac:dyDescent="0.25">
      <c r="A701" s="25" t="s">
        <v>1539</v>
      </c>
      <c r="B701" s="25">
        <v>79</v>
      </c>
      <c r="C701" s="25">
        <v>0</v>
      </c>
      <c r="D701" s="25">
        <v>0</v>
      </c>
    </row>
    <row r="702" spans="1:4" x14ac:dyDescent="0.25">
      <c r="A702" s="25" t="s">
        <v>1543</v>
      </c>
      <c r="B702" s="25">
        <v>81</v>
      </c>
      <c r="C702" s="25">
        <v>0</v>
      </c>
      <c r="D702" s="25">
        <v>0</v>
      </c>
    </row>
    <row r="703" spans="1:4" x14ac:dyDescent="0.25">
      <c r="A703" s="25" t="s">
        <v>1545</v>
      </c>
      <c r="B703" s="25">
        <v>83</v>
      </c>
      <c r="C703" s="25">
        <v>0</v>
      </c>
      <c r="D703" s="25">
        <v>0</v>
      </c>
    </row>
    <row r="704" spans="1:4" x14ac:dyDescent="0.25">
      <c r="A704" s="25" t="s">
        <v>1547</v>
      </c>
      <c r="B704" s="25">
        <v>84</v>
      </c>
      <c r="C704" s="25">
        <v>0</v>
      </c>
      <c r="D704" s="25">
        <v>0</v>
      </c>
    </row>
    <row r="705" spans="1:4" x14ac:dyDescent="0.25">
      <c r="A705" s="25" t="s">
        <v>2778</v>
      </c>
      <c r="B705" s="25">
        <v>85</v>
      </c>
      <c r="C705" s="25">
        <v>0</v>
      </c>
      <c r="D705" s="25">
        <v>0</v>
      </c>
    </row>
    <row r="706" spans="1:4" x14ac:dyDescent="0.25">
      <c r="A706" s="25" t="s">
        <v>1549</v>
      </c>
      <c r="B706" s="25">
        <v>86</v>
      </c>
      <c r="C706" s="25">
        <v>0</v>
      </c>
      <c r="D706" s="25">
        <v>0</v>
      </c>
    </row>
    <row r="707" spans="1:4" x14ac:dyDescent="0.25">
      <c r="A707" s="25" t="s">
        <v>1551</v>
      </c>
      <c r="B707" s="25">
        <v>87</v>
      </c>
      <c r="C707" s="25">
        <v>0</v>
      </c>
      <c r="D707" s="25">
        <v>0</v>
      </c>
    </row>
    <row r="708" spans="1:4" x14ac:dyDescent="0.25">
      <c r="A708" s="25" t="s">
        <v>1553</v>
      </c>
      <c r="B708" s="25">
        <v>88</v>
      </c>
      <c r="C708" s="25">
        <v>0</v>
      </c>
      <c r="D708" s="25">
        <v>0</v>
      </c>
    </row>
    <row r="709" spans="1:4" x14ac:dyDescent="0.25">
      <c r="A709" s="25" t="s">
        <v>1555</v>
      </c>
      <c r="B709" s="25">
        <v>89</v>
      </c>
      <c r="C709" s="25">
        <v>0</v>
      </c>
      <c r="D709" s="25">
        <v>0</v>
      </c>
    </row>
    <row r="710" spans="1:4" x14ac:dyDescent="0.25">
      <c r="A710" s="25" t="s">
        <v>1557</v>
      </c>
      <c r="B710" s="25">
        <v>90</v>
      </c>
      <c r="C710" s="25">
        <v>0</v>
      </c>
      <c r="D710" s="25">
        <v>0</v>
      </c>
    </row>
    <row r="711" spans="1:4" x14ac:dyDescent="0.25">
      <c r="A711" s="25" t="s">
        <v>1561</v>
      </c>
      <c r="B711" s="25">
        <v>92</v>
      </c>
      <c r="C711" s="25">
        <v>0</v>
      </c>
      <c r="D711" s="25">
        <v>0</v>
      </c>
    </row>
    <row r="712" spans="1:4" x14ac:dyDescent="0.25">
      <c r="A712" s="25" t="s">
        <v>1563</v>
      </c>
      <c r="B712" s="25">
        <v>93</v>
      </c>
      <c r="C712" s="25">
        <v>0</v>
      </c>
      <c r="D712" s="25">
        <v>0</v>
      </c>
    </row>
    <row r="713" spans="1:4" x14ac:dyDescent="0.25">
      <c r="A713" s="25" t="s">
        <v>1565</v>
      </c>
      <c r="B713" s="25">
        <v>94</v>
      </c>
      <c r="C713" s="25">
        <v>0</v>
      </c>
      <c r="D713" s="25">
        <v>0</v>
      </c>
    </row>
    <row r="714" spans="1:4" x14ac:dyDescent="0.25">
      <c r="A714" s="25" t="s">
        <v>1567</v>
      </c>
      <c r="B714" s="25">
        <v>95</v>
      </c>
      <c r="C714" s="25">
        <v>0</v>
      </c>
      <c r="D714" s="25">
        <v>0</v>
      </c>
    </row>
    <row r="715" spans="1:4" x14ac:dyDescent="0.25">
      <c r="A715" s="25" t="s">
        <v>1573</v>
      </c>
      <c r="B715" s="25">
        <v>100</v>
      </c>
      <c r="C715" s="25">
        <v>0</v>
      </c>
      <c r="D715" s="25">
        <v>0</v>
      </c>
    </row>
    <row r="716" spans="1:4" x14ac:dyDescent="0.25">
      <c r="A716" s="25" t="s">
        <v>1577</v>
      </c>
      <c r="B716" s="25">
        <v>103</v>
      </c>
      <c r="C716" s="25">
        <v>0</v>
      </c>
      <c r="D716" s="25">
        <v>0</v>
      </c>
    </row>
    <row r="717" spans="1:4" x14ac:dyDescent="0.25">
      <c r="A717" s="25" t="s">
        <v>1583</v>
      </c>
      <c r="B717" s="25">
        <v>110</v>
      </c>
      <c r="C717" s="25">
        <v>0</v>
      </c>
      <c r="D717" s="25">
        <v>0</v>
      </c>
    </row>
    <row r="718" spans="1:4" x14ac:dyDescent="0.25">
      <c r="A718" s="25" t="s">
        <v>1587</v>
      </c>
      <c r="B718" s="25">
        <v>112</v>
      </c>
      <c r="C718" s="25">
        <v>0</v>
      </c>
      <c r="D718" s="25">
        <v>0</v>
      </c>
    </row>
    <row r="719" spans="1:4" x14ac:dyDescent="0.25">
      <c r="A719" s="25" t="s">
        <v>1591</v>
      </c>
      <c r="B719" s="25">
        <v>118</v>
      </c>
      <c r="C719" s="25">
        <v>0</v>
      </c>
      <c r="D719" s="25">
        <v>0</v>
      </c>
    </row>
    <row r="720" spans="1:4" x14ac:dyDescent="0.25">
      <c r="A720" s="25" t="s">
        <v>1596</v>
      </c>
      <c r="B720" s="25">
        <v>120</v>
      </c>
      <c r="C720" s="25">
        <v>0</v>
      </c>
      <c r="D720" s="25">
        <v>0</v>
      </c>
    </row>
    <row r="721" spans="1:4" x14ac:dyDescent="0.25">
      <c r="A721" s="25" t="s">
        <v>1600</v>
      </c>
      <c r="B721" s="25">
        <v>122</v>
      </c>
      <c r="C721" s="25">
        <v>0</v>
      </c>
      <c r="D721" s="25">
        <v>0</v>
      </c>
    </row>
    <row r="722" spans="1:4" x14ac:dyDescent="0.25">
      <c r="A722" s="25" t="s">
        <v>1602</v>
      </c>
      <c r="B722" s="25">
        <v>123</v>
      </c>
      <c r="C722" s="25">
        <v>0</v>
      </c>
      <c r="D722" s="25">
        <v>0</v>
      </c>
    </row>
    <row r="723" spans="1:4" x14ac:dyDescent="0.25">
      <c r="A723" s="25" t="s">
        <v>1604</v>
      </c>
      <c r="B723" s="25">
        <v>124</v>
      </c>
      <c r="C723" s="25">
        <v>0</v>
      </c>
      <c r="D723" s="25">
        <v>0</v>
      </c>
    </row>
    <row r="724" spans="1:4" x14ac:dyDescent="0.25">
      <c r="A724" s="25" t="s">
        <v>739</v>
      </c>
      <c r="B724" s="25">
        <v>129</v>
      </c>
      <c r="C724" s="25">
        <v>0</v>
      </c>
      <c r="D724" s="25">
        <v>0</v>
      </c>
    </row>
    <row r="725" spans="1:4" x14ac:dyDescent="0.25">
      <c r="A725" s="25" t="s">
        <v>747</v>
      </c>
      <c r="B725" s="25">
        <v>132</v>
      </c>
      <c r="C725" s="25">
        <v>0</v>
      </c>
      <c r="D725" s="25">
        <v>0</v>
      </c>
    </row>
    <row r="726" spans="1:4" x14ac:dyDescent="0.25">
      <c r="A726" s="25" t="s">
        <v>751</v>
      </c>
      <c r="B726" s="25">
        <v>133</v>
      </c>
      <c r="C726" s="25">
        <v>0</v>
      </c>
      <c r="D726" s="25">
        <v>0</v>
      </c>
    </row>
    <row r="727" spans="1:4" x14ac:dyDescent="0.25">
      <c r="A727" s="25" t="s">
        <v>1614</v>
      </c>
      <c r="B727" s="25">
        <v>147</v>
      </c>
      <c r="C727" s="25">
        <v>0</v>
      </c>
      <c r="D727" s="25">
        <v>0</v>
      </c>
    </row>
    <row r="728" spans="1:4" x14ac:dyDescent="0.25">
      <c r="A728" s="25" t="s">
        <v>1618</v>
      </c>
      <c r="B728" s="25">
        <v>149</v>
      </c>
      <c r="C728" s="25">
        <v>0</v>
      </c>
      <c r="D728" s="25">
        <v>0</v>
      </c>
    </row>
    <row r="729" spans="1:4" x14ac:dyDescent="0.25">
      <c r="A729" s="25" t="s">
        <v>1620</v>
      </c>
      <c r="B729" s="25">
        <v>152</v>
      </c>
      <c r="C729" s="25">
        <v>0</v>
      </c>
      <c r="D729" s="25">
        <v>0</v>
      </c>
    </row>
    <row r="730" spans="1:4" x14ac:dyDescent="0.25">
      <c r="A730" s="25" t="s">
        <v>1621</v>
      </c>
      <c r="B730" s="25">
        <v>153</v>
      </c>
      <c r="C730" s="25">
        <v>0</v>
      </c>
      <c r="D730" s="25">
        <v>0</v>
      </c>
    </row>
    <row r="731" spans="1:4" x14ac:dyDescent="0.25">
      <c r="A731" s="25" t="s">
        <v>1622</v>
      </c>
      <c r="B731" s="25">
        <v>159</v>
      </c>
      <c r="C731" s="25">
        <v>0</v>
      </c>
      <c r="D731" s="25">
        <v>0</v>
      </c>
    </row>
    <row r="732" spans="1:4" x14ac:dyDescent="0.25">
      <c r="A732" s="25" t="s">
        <v>1627</v>
      </c>
      <c r="B732" s="25">
        <v>161</v>
      </c>
      <c r="C732" s="25">
        <v>0</v>
      </c>
      <c r="D732" s="25">
        <v>0</v>
      </c>
    </row>
    <row r="733" spans="1:4" x14ac:dyDescent="0.25">
      <c r="A733" s="25" t="s">
        <v>1629</v>
      </c>
      <c r="B733" s="25">
        <v>162</v>
      </c>
      <c r="C733" s="25">
        <v>0</v>
      </c>
      <c r="D733" s="25">
        <v>0</v>
      </c>
    </row>
    <row r="734" spans="1:4" x14ac:dyDescent="0.25">
      <c r="A734" s="25" t="s">
        <v>2788</v>
      </c>
      <c r="B734" s="25">
        <v>164</v>
      </c>
      <c r="C734" s="25">
        <v>0</v>
      </c>
      <c r="D734" s="25">
        <v>0</v>
      </c>
    </row>
    <row r="735" spans="1:4" x14ac:dyDescent="0.25">
      <c r="A735" s="25" t="s">
        <v>1633</v>
      </c>
      <c r="B735" s="25">
        <v>173</v>
      </c>
      <c r="C735" s="25">
        <v>0</v>
      </c>
      <c r="D735" s="25">
        <v>0</v>
      </c>
    </row>
    <row r="736" spans="1:4" x14ac:dyDescent="0.25">
      <c r="A736" s="25" t="s">
        <v>2792</v>
      </c>
      <c r="B736" s="25">
        <v>174</v>
      </c>
      <c r="C736" s="25">
        <v>0</v>
      </c>
      <c r="D736" s="25">
        <v>0</v>
      </c>
    </row>
    <row r="737" spans="1:4" x14ac:dyDescent="0.25">
      <c r="A737" s="25" t="s">
        <v>1639</v>
      </c>
      <c r="B737" s="25">
        <v>178</v>
      </c>
      <c r="C737" s="25">
        <v>0</v>
      </c>
      <c r="D737" s="25">
        <v>0</v>
      </c>
    </row>
    <row r="738" spans="1:4" x14ac:dyDescent="0.25">
      <c r="A738" s="25" t="s">
        <v>233</v>
      </c>
      <c r="B738" s="25">
        <v>208</v>
      </c>
      <c r="C738" s="25">
        <v>0</v>
      </c>
      <c r="D738" s="25">
        <v>0</v>
      </c>
    </row>
    <row r="739" spans="1:4" x14ac:dyDescent="0.25">
      <c r="A739" s="25" t="s">
        <v>2810</v>
      </c>
      <c r="B739" s="25">
        <v>224</v>
      </c>
      <c r="C739" s="25">
        <v>0</v>
      </c>
      <c r="D739" s="25">
        <v>0</v>
      </c>
    </row>
    <row r="740" spans="1:4" x14ac:dyDescent="0.25">
      <c r="A740" s="25" t="s">
        <v>809</v>
      </c>
      <c r="B740" s="25">
        <v>240</v>
      </c>
      <c r="C740" s="25">
        <v>0</v>
      </c>
      <c r="D740" s="25">
        <v>0</v>
      </c>
    </row>
    <row r="741" spans="1:4" x14ac:dyDescent="0.25">
      <c r="A741" s="25" t="s">
        <v>815</v>
      </c>
      <c r="B741" s="25">
        <v>247</v>
      </c>
      <c r="C741" s="25">
        <v>0</v>
      </c>
      <c r="D741" s="25">
        <v>0</v>
      </c>
    </row>
    <row r="742" spans="1:4" x14ac:dyDescent="0.25">
      <c r="A742" s="25" t="s">
        <v>2814</v>
      </c>
      <c r="B742" s="25">
        <v>249</v>
      </c>
      <c r="C742" s="25">
        <v>0</v>
      </c>
      <c r="D742" s="25">
        <v>0</v>
      </c>
    </row>
    <row r="743" spans="1:4" x14ac:dyDescent="0.25">
      <c r="A743" s="25" t="s">
        <v>831</v>
      </c>
      <c r="B743" s="25">
        <v>258</v>
      </c>
      <c r="C743" s="25">
        <v>0</v>
      </c>
      <c r="D743" s="25">
        <v>0</v>
      </c>
    </row>
    <row r="744" spans="1:4" x14ac:dyDescent="0.25">
      <c r="A744" s="25" t="s">
        <v>835</v>
      </c>
      <c r="B744" s="25">
        <v>259</v>
      </c>
      <c r="C744" s="25">
        <v>0</v>
      </c>
      <c r="D744" s="25">
        <v>0</v>
      </c>
    </row>
    <row r="745" spans="1:4" x14ac:dyDescent="0.25">
      <c r="A745" s="25" t="s">
        <v>284</v>
      </c>
      <c r="B745" s="25">
        <v>266</v>
      </c>
      <c r="C745" s="25">
        <v>0</v>
      </c>
      <c r="D745" s="25">
        <v>0</v>
      </c>
    </row>
    <row r="746" spans="1:4" x14ac:dyDescent="0.25">
      <c r="A746" s="25" t="s">
        <v>1674</v>
      </c>
      <c r="B746" s="25">
        <v>271</v>
      </c>
      <c r="C746" s="25">
        <v>0</v>
      </c>
      <c r="D746" s="25">
        <v>0</v>
      </c>
    </row>
    <row r="747" spans="1:4" x14ac:dyDescent="0.25">
      <c r="A747" s="25" t="s">
        <v>1680</v>
      </c>
      <c r="B747" s="25">
        <v>283</v>
      </c>
      <c r="C747" s="25">
        <v>0</v>
      </c>
      <c r="D747" s="25">
        <v>0</v>
      </c>
    </row>
    <row r="748" spans="1:4" x14ac:dyDescent="0.25">
      <c r="A748" s="25" t="s">
        <v>1684</v>
      </c>
      <c r="B748" s="25">
        <v>289</v>
      </c>
      <c r="C748" s="25">
        <v>0</v>
      </c>
      <c r="D748" s="25">
        <v>0</v>
      </c>
    </row>
    <row r="749" spans="1:4" x14ac:dyDescent="0.25">
      <c r="A749" s="25" t="s">
        <v>2834</v>
      </c>
      <c r="B749" s="25">
        <v>293</v>
      </c>
      <c r="C749" s="25">
        <v>0</v>
      </c>
      <c r="D749" s="25">
        <v>0</v>
      </c>
    </row>
    <row r="750" spans="1:4" x14ac:dyDescent="0.25">
      <c r="A750" s="25" t="s">
        <v>2836</v>
      </c>
      <c r="B750" s="25">
        <v>294</v>
      </c>
      <c r="C750" s="25">
        <v>0</v>
      </c>
      <c r="D750" s="25">
        <v>0</v>
      </c>
    </row>
    <row r="751" spans="1:4" x14ac:dyDescent="0.25">
      <c r="A751" s="25" t="s">
        <v>1690</v>
      </c>
      <c r="B751" s="25">
        <v>295</v>
      </c>
      <c r="C751" s="25">
        <v>0</v>
      </c>
      <c r="D751" s="25">
        <v>0</v>
      </c>
    </row>
    <row r="752" spans="1:4" x14ac:dyDescent="0.25">
      <c r="A752" s="25" t="s">
        <v>1692</v>
      </c>
      <c r="B752" s="25">
        <v>296</v>
      </c>
      <c r="C752" s="25">
        <v>0</v>
      </c>
      <c r="D752" s="25">
        <v>0</v>
      </c>
    </row>
    <row r="753" spans="1:4" x14ac:dyDescent="0.25">
      <c r="A753" s="25" t="s">
        <v>1694</v>
      </c>
      <c r="B753" s="25">
        <v>297</v>
      </c>
      <c r="C753" s="25">
        <v>0</v>
      </c>
      <c r="D753" s="25">
        <v>0</v>
      </c>
    </row>
    <row r="754" spans="1:4" x14ac:dyDescent="0.25">
      <c r="A754" s="25" t="s">
        <v>867</v>
      </c>
      <c r="B754" s="25">
        <v>303</v>
      </c>
      <c r="C754" s="25">
        <v>0</v>
      </c>
      <c r="D754" s="25">
        <v>0</v>
      </c>
    </row>
    <row r="755" spans="1:4" x14ac:dyDescent="0.25">
      <c r="A755" s="25" t="s">
        <v>2844</v>
      </c>
      <c r="B755" s="25">
        <v>308</v>
      </c>
      <c r="C755" s="25">
        <v>0</v>
      </c>
      <c r="D755" s="25">
        <v>0</v>
      </c>
    </row>
    <row r="756" spans="1:4" x14ac:dyDescent="0.25">
      <c r="A756" s="25" t="s">
        <v>2850</v>
      </c>
      <c r="B756" s="25">
        <v>314</v>
      </c>
      <c r="C756" s="25">
        <v>0</v>
      </c>
      <c r="D756" s="25">
        <v>0</v>
      </c>
    </row>
    <row r="757" spans="1:4" x14ac:dyDescent="0.25">
      <c r="A757" s="25" t="s">
        <v>883</v>
      </c>
      <c r="B757" s="25">
        <v>318</v>
      </c>
      <c r="C757" s="25">
        <v>0</v>
      </c>
      <c r="D757" s="25">
        <v>0</v>
      </c>
    </row>
    <row r="758" spans="1:4" x14ac:dyDescent="0.25">
      <c r="A758" s="25" t="s">
        <v>887</v>
      </c>
      <c r="B758" s="25">
        <v>321</v>
      </c>
      <c r="C758" s="25">
        <v>0</v>
      </c>
      <c r="D758" s="25">
        <v>0</v>
      </c>
    </row>
    <row r="759" spans="1:4" x14ac:dyDescent="0.25">
      <c r="A759" s="25" t="s">
        <v>689</v>
      </c>
      <c r="B759" s="25">
        <v>330</v>
      </c>
      <c r="C759" s="25">
        <v>0</v>
      </c>
      <c r="D759" s="25">
        <v>0</v>
      </c>
    </row>
    <row r="760" spans="1:4" x14ac:dyDescent="0.25">
      <c r="A760" s="25" t="s">
        <v>1722</v>
      </c>
      <c r="B760" s="25">
        <v>337</v>
      </c>
      <c r="C760" s="25">
        <v>0</v>
      </c>
      <c r="D760" s="25">
        <v>0</v>
      </c>
    </row>
    <row r="761" spans="1:4" x14ac:dyDescent="0.25">
      <c r="A761" s="25" t="s">
        <v>1725</v>
      </c>
      <c r="B761" s="25">
        <v>338</v>
      </c>
      <c r="C761" s="25">
        <v>0</v>
      </c>
      <c r="D761" s="25">
        <v>0</v>
      </c>
    </row>
    <row r="762" spans="1:4" x14ac:dyDescent="0.25">
      <c r="A762" s="25" t="s">
        <v>1731</v>
      </c>
      <c r="B762" s="25">
        <v>341</v>
      </c>
      <c r="C762" s="25">
        <v>0</v>
      </c>
      <c r="D762" s="25">
        <v>0</v>
      </c>
    </row>
    <row r="763" spans="1:4" x14ac:dyDescent="0.25">
      <c r="A763" s="25" t="s">
        <v>1735</v>
      </c>
      <c r="B763" s="25">
        <v>344</v>
      </c>
      <c r="C763" s="25">
        <v>0</v>
      </c>
      <c r="D763" s="25">
        <v>0</v>
      </c>
    </row>
    <row r="764" spans="1:4" x14ac:dyDescent="0.25">
      <c r="A764" s="25" t="s">
        <v>2860</v>
      </c>
      <c r="B764" s="25">
        <v>346</v>
      </c>
      <c r="C764" s="25">
        <v>0</v>
      </c>
      <c r="D764" s="25">
        <v>0</v>
      </c>
    </row>
    <row r="765" spans="1:4" x14ac:dyDescent="0.25">
      <c r="A765" s="25" t="s">
        <v>2862</v>
      </c>
      <c r="B765" s="25">
        <v>347</v>
      </c>
      <c r="C765" s="25">
        <v>0</v>
      </c>
      <c r="D765" s="25">
        <v>0</v>
      </c>
    </row>
    <row r="766" spans="1:4" x14ac:dyDescent="0.25">
      <c r="A766" s="25" t="s">
        <v>1742</v>
      </c>
      <c r="B766" s="25">
        <v>362</v>
      </c>
      <c r="C766" s="25">
        <v>0</v>
      </c>
      <c r="D766" s="25">
        <v>0</v>
      </c>
    </row>
    <row r="767" spans="1:4" x14ac:dyDescent="0.25">
      <c r="A767" s="25" t="s">
        <v>2868</v>
      </c>
      <c r="B767" s="25">
        <v>363</v>
      </c>
      <c r="C767" s="25">
        <v>0</v>
      </c>
      <c r="D767" s="25">
        <v>0</v>
      </c>
    </row>
    <row r="768" spans="1:4" x14ac:dyDescent="0.25">
      <c r="A768" s="25" t="s">
        <v>2870</v>
      </c>
      <c r="B768" s="25">
        <v>365</v>
      </c>
      <c r="C768" s="25">
        <v>0</v>
      </c>
      <c r="D768" s="25">
        <v>0</v>
      </c>
    </row>
    <row r="769" spans="1:4" x14ac:dyDescent="0.25">
      <c r="A769" s="25" t="s">
        <v>2872</v>
      </c>
      <c r="B769" s="25">
        <v>368</v>
      </c>
      <c r="C769" s="25">
        <v>0</v>
      </c>
      <c r="D769" s="25">
        <v>0</v>
      </c>
    </row>
    <row r="770" spans="1:4" x14ac:dyDescent="0.25">
      <c r="A770" s="25" t="s">
        <v>2876</v>
      </c>
      <c r="B770" s="25">
        <v>370</v>
      </c>
      <c r="C770" s="25">
        <v>0</v>
      </c>
      <c r="D770" s="25">
        <v>0</v>
      </c>
    </row>
    <row r="771" spans="1:4" x14ac:dyDescent="0.25">
      <c r="A771" s="25" t="s">
        <v>1752</v>
      </c>
      <c r="B771" s="25">
        <v>375</v>
      </c>
      <c r="C771" s="25">
        <v>0</v>
      </c>
      <c r="D771" s="25">
        <v>0</v>
      </c>
    </row>
    <row r="772" spans="1:4" x14ac:dyDescent="0.25">
      <c r="A772" s="25" t="s">
        <v>916</v>
      </c>
      <c r="B772" s="25">
        <v>377</v>
      </c>
      <c r="C772" s="25">
        <v>0</v>
      </c>
      <c r="D772" s="25">
        <v>0</v>
      </c>
    </row>
    <row r="773" spans="1:4" x14ac:dyDescent="0.25">
      <c r="A773" s="25" t="s">
        <v>919</v>
      </c>
      <c r="B773" s="25">
        <v>379</v>
      </c>
      <c r="C773" s="25">
        <v>0</v>
      </c>
      <c r="D773" s="25">
        <v>0</v>
      </c>
    </row>
    <row r="774" spans="1:4" x14ac:dyDescent="0.25">
      <c r="A774" s="25" t="s">
        <v>327</v>
      </c>
      <c r="B774" s="25">
        <v>381</v>
      </c>
      <c r="C774" s="25">
        <v>0</v>
      </c>
      <c r="D774" s="25">
        <v>0</v>
      </c>
    </row>
    <row r="775" spans="1:4" x14ac:dyDescent="0.25">
      <c r="A775" s="25" t="s">
        <v>329</v>
      </c>
      <c r="B775" s="25">
        <v>382</v>
      </c>
      <c r="C775" s="25">
        <v>0</v>
      </c>
      <c r="D775" s="25">
        <v>0</v>
      </c>
    </row>
    <row r="776" spans="1:4" x14ac:dyDescent="0.25">
      <c r="A776" s="25" t="s">
        <v>1758</v>
      </c>
      <c r="B776" s="25">
        <v>386</v>
      </c>
      <c r="C776" s="25">
        <v>0</v>
      </c>
      <c r="D776" s="25">
        <v>0</v>
      </c>
    </row>
    <row r="777" spans="1:4" x14ac:dyDescent="0.25">
      <c r="A777" s="25" t="s">
        <v>1768</v>
      </c>
      <c r="B777" s="25">
        <v>401</v>
      </c>
      <c r="C777" s="25">
        <v>0</v>
      </c>
      <c r="D777" s="25">
        <v>0</v>
      </c>
    </row>
    <row r="778" spans="1:4" x14ac:dyDescent="0.25">
      <c r="A778" s="25" t="s">
        <v>1770</v>
      </c>
      <c r="B778" s="25">
        <v>402</v>
      </c>
      <c r="C778" s="25">
        <v>0</v>
      </c>
      <c r="D778" s="25">
        <v>0</v>
      </c>
    </row>
    <row r="779" spans="1:4" x14ac:dyDescent="0.25">
      <c r="A779" s="25" t="s">
        <v>1772</v>
      </c>
      <c r="B779" s="25">
        <v>403</v>
      </c>
      <c r="C779" s="25">
        <v>0</v>
      </c>
      <c r="D779" s="25">
        <v>0</v>
      </c>
    </row>
    <row r="780" spans="1:4" x14ac:dyDescent="0.25">
      <c r="A780" s="25" t="s">
        <v>1774</v>
      </c>
      <c r="B780" s="25">
        <v>404</v>
      </c>
      <c r="C780" s="25">
        <v>0</v>
      </c>
      <c r="D780" s="25">
        <v>0</v>
      </c>
    </row>
    <row r="781" spans="1:4" x14ac:dyDescent="0.25">
      <c r="A781" s="25" t="s">
        <v>1776</v>
      </c>
      <c r="B781" s="25">
        <v>405</v>
      </c>
      <c r="C781" s="25">
        <v>0</v>
      </c>
      <c r="D781" s="25">
        <v>0</v>
      </c>
    </row>
    <row r="782" spans="1:4" x14ac:dyDescent="0.25">
      <c r="A782" s="25" t="s">
        <v>925</v>
      </c>
      <c r="B782" s="25">
        <v>406</v>
      </c>
      <c r="C782" s="25">
        <v>0</v>
      </c>
      <c r="D782" s="25">
        <v>0</v>
      </c>
    </row>
    <row r="783" spans="1:4" x14ac:dyDescent="0.25">
      <c r="A783" s="25" t="s">
        <v>1780</v>
      </c>
      <c r="B783" s="25">
        <v>408</v>
      </c>
      <c r="C783" s="25">
        <v>0</v>
      </c>
      <c r="D783" s="25">
        <v>0</v>
      </c>
    </row>
    <row r="784" spans="1:4" x14ac:dyDescent="0.25">
      <c r="A784" s="25" t="s">
        <v>1784</v>
      </c>
      <c r="B784" s="25">
        <v>411</v>
      </c>
      <c r="C784" s="25">
        <v>0</v>
      </c>
      <c r="D784" s="25">
        <v>0</v>
      </c>
    </row>
    <row r="785" spans="1:4" x14ac:dyDescent="0.25">
      <c r="A785" s="25" t="s">
        <v>2896</v>
      </c>
      <c r="B785" s="25">
        <v>413</v>
      </c>
      <c r="C785" s="25">
        <v>0</v>
      </c>
      <c r="D785" s="25">
        <v>0</v>
      </c>
    </row>
    <row r="786" spans="1:4" x14ac:dyDescent="0.25">
      <c r="A786" s="25" t="s">
        <v>928</v>
      </c>
      <c r="B786" s="25">
        <v>415</v>
      </c>
      <c r="C786" s="25">
        <v>0</v>
      </c>
      <c r="D786" s="25">
        <v>0</v>
      </c>
    </row>
    <row r="787" spans="1:4" x14ac:dyDescent="0.25">
      <c r="A787" s="25" t="s">
        <v>1788</v>
      </c>
      <c r="B787" s="25">
        <v>417</v>
      </c>
      <c r="C787" s="25">
        <v>0</v>
      </c>
      <c r="D787" s="25">
        <v>0</v>
      </c>
    </row>
    <row r="788" spans="1:4" x14ac:dyDescent="0.25">
      <c r="A788" s="25" t="s">
        <v>1791</v>
      </c>
      <c r="B788" s="25">
        <v>418</v>
      </c>
      <c r="C788" s="25">
        <v>0</v>
      </c>
      <c r="D788" s="25">
        <v>0</v>
      </c>
    </row>
    <row r="789" spans="1:4" x14ac:dyDescent="0.25">
      <c r="A789" s="25" t="s">
        <v>936</v>
      </c>
      <c r="B789" s="25">
        <v>421</v>
      </c>
      <c r="C789" s="25">
        <v>0</v>
      </c>
      <c r="D789" s="25">
        <v>0</v>
      </c>
    </row>
    <row r="790" spans="1:4" x14ac:dyDescent="0.25">
      <c r="A790" s="25" t="s">
        <v>1798</v>
      </c>
      <c r="B790" s="25">
        <v>426</v>
      </c>
      <c r="C790" s="25">
        <v>0</v>
      </c>
      <c r="D790" s="25">
        <v>0</v>
      </c>
    </row>
    <row r="791" spans="1:4" x14ac:dyDescent="0.25">
      <c r="A791" s="25" t="s">
        <v>1802</v>
      </c>
      <c r="B791" s="25">
        <v>428</v>
      </c>
      <c r="C791" s="25">
        <v>0</v>
      </c>
      <c r="D791" s="25">
        <v>0</v>
      </c>
    </row>
    <row r="792" spans="1:4" x14ac:dyDescent="0.25">
      <c r="A792" s="25" t="s">
        <v>1804</v>
      </c>
      <c r="B792" s="25">
        <v>429</v>
      </c>
      <c r="C792" s="25">
        <v>0</v>
      </c>
      <c r="D792" s="25">
        <v>0</v>
      </c>
    </row>
    <row r="793" spans="1:4" x14ac:dyDescent="0.25">
      <c r="A793" s="25" t="s">
        <v>1806</v>
      </c>
      <c r="B793" s="25">
        <v>430</v>
      </c>
      <c r="C793" s="25">
        <v>0</v>
      </c>
      <c r="D793" s="25">
        <v>0</v>
      </c>
    </row>
    <row r="794" spans="1:4" x14ac:dyDescent="0.25">
      <c r="A794" s="25" t="s">
        <v>1810</v>
      </c>
      <c r="B794" s="25">
        <v>432</v>
      </c>
      <c r="C794" s="25">
        <v>0</v>
      </c>
      <c r="D794" s="25">
        <v>0</v>
      </c>
    </row>
    <row r="795" spans="1:4" x14ac:dyDescent="0.25">
      <c r="A795" s="25" t="s">
        <v>1812</v>
      </c>
      <c r="B795" s="25">
        <v>434</v>
      </c>
      <c r="C795" s="25">
        <v>0</v>
      </c>
      <c r="D795" s="25">
        <v>0</v>
      </c>
    </row>
    <row r="796" spans="1:4" x14ac:dyDescent="0.25">
      <c r="A796" s="25" t="s">
        <v>1814</v>
      </c>
      <c r="B796" s="25">
        <v>435</v>
      </c>
      <c r="C796" s="25">
        <v>0</v>
      </c>
      <c r="D796" s="25">
        <v>0</v>
      </c>
    </row>
    <row r="797" spans="1:4" x14ac:dyDescent="0.25">
      <c r="A797" s="25" t="s">
        <v>1816</v>
      </c>
      <c r="B797" s="25">
        <v>436</v>
      </c>
      <c r="C797" s="25">
        <v>0</v>
      </c>
      <c r="D797" s="25">
        <v>0</v>
      </c>
    </row>
    <row r="798" spans="1:4" x14ac:dyDescent="0.25">
      <c r="A798" s="25" t="s">
        <v>945</v>
      </c>
      <c r="B798" s="25">
        <v>439</v>
      </c>
      <c r="C798" s="25">
        <v>0</v>
      </c>
      <c r="D798" s="25">
        <v>0</v>
      </c>
    </row>
    <row r="799" spans="1:4" x14ac:dyDescent="0.25">
      <c r="A799" s="25" t="s">
        <v>948</v>
      </c>
      <c r="B799" s="25">
        <v>444</v>
      </c>
      <c r="C799" s="25">
        <v>0</v>
      </c>
      <c r="D799" s="25">
        <v>0</v>
      </c>
    </row>
    <row r="800" spans="1:4" x14ac:dyDescent="0.25">
      <c r="A800" s="25" t="s">
        <v>952</v>
      </c>
      <c r="B800" s="25">
        <v>445</v>
      </c>
      <c r="C800" s="25">
        <v>0</v>
      </c>
      <c r="D800" s="25">
        <v>0</v>
      </c>
    </row>
    <row r="801" spans="1:4" x14ac:dyDescent="0.25">
      <c r="A801" s="25" t="s">
        <v>1822</v>
      </c>
      <c r="B801" s="25">
        <v>450</v>
      </c>
      <c r="C801" s="25">
        <v>0</v>
      </c>
      <c r="D801" s="25">
        <v>0</v>
      </c>
    </row>
    <row r="802" spans="1:4" x14ac:dyDescent="0.25">
      <c r="A802" s="25" t="s">
        <v>955</v>
      </c>
      <c r="B802" s="25">
        <v>451</v>
      </c>
      <c r="C802" s="25">
        <v>0</v>
      </c>
      <c r="D802" s="25">
        <v>0</v>
      </c>
    </row>
    <row r="803" spans="1:4" x14ac:dyDescent="0.25">
      <c r="A803" s="25" t="s">
        <v>958</v>
      </c>
      <c r="B803" s="25">
        <v>452</v>
      </c>
      <c r="C803" s="25">
        <v>0</v>
      </c>
      <c r="D803" s="25">
        <v>0</v>
      </c>
    </row>
    <row r="804" spans="1:4" x14ac:dyDescent="0.25">
      <c r="A804" s="25" t="s">
        <v>961</v>
      </c>
      <c r="B804" s="25">
        <v>453</v>
      </c>
      <c r="C804" s="25">
        <v>0</v>
      </c>
      <c r="D804" s="25">
        <v>0</v>
      </c>
    </row>
    <row r="805" spans="1:4" x14ac:dyDescent="0.25">
      <c r="A805" s="25" t="s">
        <v>967</v>
      </c>
      <c r="B805" s="25">
        <v>455</v>
      </c>
      <c r="C805" s="25">
        <v>0</v>
      </c>
      <c r="D805" s="25">
        <v>0</v>
      </c>
    </row>
    <row r="806" spans="1:4" x14ac:dyDescent="0.25">
      <c r="A806" s="25" t="s">
        <v>2922</v>
      </c>
      <c r="B806" s="25">
        <v>456</v>
      </c>
      <c r="C806" s="25">
        <v>0</v>
      </c>
      <c r="D806" s="25">
        <v>0</v>
      </c>
    </row>
    <row r="807" spans="1:4" x14ac:dyDescent="0.25">
      <c r="A807" s="25" t="s">
        <v>2924</v>
      </c>
      <c r="B807" s="25">
        <v>458</v>
      </c>
      <c r="C807" s="25">
        <v>0</v>
      </c>
      <c r="D807" s="25">
        <v>0</v>
      </c>
    </row>
    <row r="808" spans="1:4" x14ac:dyDescent="0.25">
      <c r="A808" s="25" t="s">
        <v>1824</v>
      </c>
      <c r="B808" s="25">
        <v>459</v>
      </c>
      <c r="C808" s="25">
        <v>0</v>
      </c>
      <c r="D808" s="25">
        <v>0</v>
      </c>
    </row>
    <row r="809" spans="1:4" x14ac:dyDescent="0.25">
      <c r="A809" s="25" t="s">
        <v>1826</v>
      </c>
      <c r="B809" s="25">
        <v>460</v>
      </c>
      <c r="C809" s="25">
        <v>0</v>
      </c>
      <c r="D809" s="25">
        <v>0</v>
      </c>
    </row>
    <row r="810" spans="1:4" x14ac:dyDescent="0.25">
      <c r="A810" s="25" t="s">
        <v>973</v>
      </c>
      <c r="B810" s="25">
        <v>464</v>
      </c>
      <c r="C810" s="25">
        <v>0</v>
      </c>
      <c r="D810" s="25">
        <v>0</v>
      </c>
    </row>
    <row r="811" spans="1:4" x14ac:dyDescent="0.25">
      <c r="A811" s="25" t="s">
        <v>976</v>
      </c>
      <c r="B811" s="25">
        <v>465</v>
      </c>
      <c r="C811" s="25">
        <v>0</v>
      </c>
      <c r="D811" s="25">
        <v>0</v>
      </c>
    </row>
    <row r="812" spans="1:4" x14ac:dyDescent="0.25">
      <c r="A812" s="25" t="s">
        <v>979</v>
      </c>
      <c r="B812" s="25">
        <v>466</v>
      </c>
      <c r="C812" s="25">
        <v>0</v>
      </c>
      <c r="D812" s="25">
        <v>0</v>
      </c>
    </row>
    <row r="813" spans="1:4" x14ac:dyDescent="0.25">
      <c r="A813" s="25" t="s">
        <v>982</v>
      </c>
      <c r="B813" s="25">
        <v>467</v>
      </c>
      <c r="C813" s="25">
        <v>0</v>
      </c>
      <c r="D813" s="25">
        <v>0</v>
      </c>
    </row>
    <row r="814" spans="1:4" x14ac:dyDescent="0.25">
      <c r="A814" s="25" t="s">
        <v>985</v>
      </c>
      <c r="B814" s="25">
        <v>469</v>
      </c>
      <c r="C814" s="25">
        <v>0</v>
      </c>
      <c r="D814" s="25">
        <v>0</v>
      </c>
    </row>
    <row r="815" spans="1:4" x14ac:dyDescent="0.25">
      <c r="A815" s="25" t="s">
        <v>1836</v>
      </c>
      <c r="B815" s="25">
        <v>474</v>
      </c>
      <c r="C815" s="25">
        <v>0</v>
      </c>
      <c r="D815" s="25">
        <v>0</v>
      </c>
    </row>
    <row r="816" spans="1:4" x14ac:dyDescent="0.25">
      <c r="A816" s="25" t="s">
        <v>1838</v>
      </c>
      <c r="B816" s="25">
        <v>475</v>
      </c>
      <c r="C816" s="25">
        <v>0</v>
      </c>
      <c r="D816" s="25">
        <v>0</v>
      </c>
    </row>
    <row r="817" spans="1:4" x14ac:dyDescent="0.25">
      <c r="A817" s="25" t="s">
        <v>2934</v>
      </c>
      <c r="B817" s="25">
        <v>476</v>
      </c>
      <c r="C817" s="25">
        <v>0</v>
      </c>
      <c r="D817" s="25">
        <v>0</v>
      </c>
    </row>
    <row r="818" spans="1:4" x14ac:dyDescent="0.25">
      <c r="A818" s="25" t="s">
        <v>992</v>
      </c>
      <c r="B818" s="25">
        <v>477</v>
      </c>
      <c r="C818" s="25">
        <v>0</v>
      </c>
      <c r="D818" s="25">
        <v>0</v>
      </c>
    </row>
    <row r="819" spans="1:4" x14ac:dyDescent="0.25">
      <c r="A819" s="25" t="s">
        <v>995</v>
      </c>
      <c r="B819" s="25">
        <v>478</v>
      </c>
      <c r="C819" s="25">
        <v>0</v>
      </c>
      <c r="D819" s="25">
        <v>0</v>
      </c>
    </row>
    <row r="820" spans="1:4" x14ac:dyDescent="0.25">
      <c r="A820" s="25" t="s">
        <v>1842</v>
      </c>
      <c r="B820" s="25">
        <v>480</v>
      </c>
      <c r="C820" s="25">
        <v>0</v>
      </c>
      <c r="D820" s="25">
        <v>0</v>
      </c>
    </row>
    <row r="821" spans="1:4" x14ac:dyDescent="0.25">
      <c r="A821" s="25" t="s">
        <v>1844</v>
      </c>
      <c r="B821" s="25">
        <v>484</v>
      </c>
      <c r="C821" s="25">
        <v>0</v>
      </c>
      <c r="D821" s="25">
        <v>0</v>
      </c>
    </row>
    <row r="822" spans="1:4" x14ac:dyDescent="0.25">
      <c r="A822" s="25" t="s">
        <v>1846</v>
      </c>
      <c r="B822" s="25">
        <v>485</v>
      </c>
      <c r="C822" s="25">
        <v>0</v>
      </c>
      <c r="D822" s="25">
        <v>0</v>
      </c>
    </row>
    <row r="823" spans="1:4" x14ac:dyDescent="0.25">
      <c r="A823" s="25" t="s">
        <v>2942</v>
      </c>
      <c r="B823" s="25">
        <v>487</v>
      </c>
      <c r="C823" s="25">
        <v>0</v>
      </c>
      <c r="D823" s="25">
        <v>0</v>
      </c>
    </row>
    <row r="824" spans="1:4" x14ac:dyDescent="0.25">
      <c r="A824" s="25" t="s">
        <v>1018</v>
      </c>
      <c r="B824" s="25">
        <v>496</v>
      </c>
      <c r="C824" s="25">
        <v>0</v>
      </c>
      <c r="D824" s="25">
        <v>0</v>
      </c>
    </row>
    <row r="825" spans="1:4" x14ac:dyDescent="0.25">
      <c r="A825" s="25" t="s">
        <v>1030</v>
      </c>
      <c r="B825" s="25">
        <v>504</v>
      </c>
      <c r="C825" s="25">
        <v>0</v>
      </c>
      <c r="D825" s="25">
        <v>0</v>
      </c>
    </row>
    <row r="826" spans="1:4" x14ac:dyDescent="0.25">
      <c r="A826" s="25" t="s">
        <v>1033</v>
      </c>
      <c r="B826" s="25">
        <v>506</v>
      </c>
      <c r="C826" s="25">
        <v>0</v>
      </c>
      <c r="D826" s="25">
        <v>0</v>
      </c>
    </row>
    <row r="827" spans="1:4" x14ac:dyDescent="0.25">
      <c r="A827" s="25" t="s">
        <v>1036</v>
      </c>
      <c r="B827" s="25">
        <v>510</v>
      </c>
      <c r="C827" s="25">
        <v>0</v>
      </c>
      <c r="D827" s="25">
        <v>0</v>
      </c>
    </row>
    <row r="828" spans="1:4" x14ac:dyDescent="0.25">
      <c r="A828" s="25" t="s">
        <v>1039</v>
      </c>
      <c r="B828" s="25">
        <v>512</v>
      </c>
      <c r="C828" s="25">
        <v>0</v>
      </c>
      <c r="D828" s="25">
        <v>0</v>
      </c>
    </row>
    <row r="829" spans="1:4" x14ac:dyDescent="0.25">
      <c r="A829" s="25" t="s">
        <v>1872</v>
      </c>
      <c r="B829" s="25">
        <v>523</v>
      </c>
      <c r="C829" s="25">
        <v>0</v>
      </c>
      <c r="D829" s="25">
        <v>0</v>
      </c>
    </row>
    <row r="830" spans="1:4" x14ac:dyDescent="0.25">
      <c r="A830" s="25" t="s">
        <v>1875</v>
      </c>
      <c r="B830" s="25">
        <v>524</v>
      </c>
      <c r="C830" s="25">
        <v>0</v>
      </c>
      <c r="D830" s="25">
        <v>0</v>
      </c>
    </row>
    <row r="831" spans="1:4" x14ac:dyDescent="0.25">
      <c r="A831" s="25" t="s">
        <v>1877</v>
      </c>
      <c r="B831" s="25">
        <v>525</v>
      </c>
      <c r="C831" s="25">
        <v>0</v>
      </c>
      <c r="D831" s="25">
        <v>0</v>
      </c>
    </row>
    <row r="832" spans="1:4" x14ac:dyDescent="0.25">
      <c r="A832" s="25" t="s">
        <v>1879</v>
      </c>
      <c r="B832" s="25">
        <v>526</v>
      </c>
      <c r="C832" s="25">
        <v>0</v>
      </c>
      <c r="D832" s="25">
        <v>0</v>
      </c>
    </row>
    <row r="833" spans="1:4" x14ac:dyDescent="0.25">
      <c r="A833" s="25" t="s">
        <v>1881</v>
      </c>
      <c r="B833" s="25">
        <v>527</v>
      </c>
      <c r="C833" s="25">
        <v>0</v>
      </c>
      <c r="D833" s="25">
        <v>0</v>
      </c>
    </row>
    <row r="834" spans="1:4" x14ac:dyDescent="0.25">
      <c r="A834" s="25" t="s">
        <v>1883</v>
      </c>
      <c r="B834" s="25">
        <v>528</v>
      </c>
      <c r="C834" s="25">
        <v>0</v>
      </c>
      <c r="D834" s="25">
        <v>0</v>
      </c>
    </row>
    <row r="835" spans="1:4" x14ac:dyDescent="0.25">
      <c r="A835" s="25" t="s">
        <v>1885</v>
      </c>
      <c r="B835" s="25">
        <v>529</v>
      </c>
      <c r="C835" s="25">
        <v>0</v>
      </c>
      <c r="D835" s="25">
        <v>0</v>
      </c>
    </row>
    <row r="836" spans="1:4" x14ac:dyDescent="0.25">
      <c r="A836" s="25" t="s">
        <v>1887</v>
      </c>
      <c r="B836" s="25">
        <v>530</v>
      </c>
      <c r="C836" s="25">
        <v>0</v>
      </c>
      <c r="D836" s="25">
        <v>0</v>
      </c>
    </row>
    <row r="837" spans="1:4" x14ac:dyDescent="0.25">
      <c r="A837" s="25" t="s">
        <v>1889</v>
      </c>
      <c r="B837" s="25">
        <v>531</v>
      </c>
      <c r="C837" s="25">
        <v>0</v>
      </c>
      <c r="D837" s="25">
        <v>0</v>
      </c>
    </row>
    <row r="838" spans="1:4" x14ac:dyDescent="0.25">
      <c r="A838" s="25" t="s">
        <v>1891</v>
      </c>
      <c r="B838" s="25">
        <v>532</v>
      </c>
      <c r="C838" s="25">
        <v>0</v>
      </c>
      <c r="D838" s="25">
        <v>0</v>
      </c>
    </row>
    <row r="839" spans="1:4" x14ac:dyDescent="0.25">
      <c r="A839" s="25" t="s">
        <v>1893</v>
      </c>
      <c r="B839" s="25">
        <v>533</v>
      </c>
      <c r="C839" s="25">
        <v>0</v>
      </c>
      <c r="D839" s="25">
        <v>0</v>
      </c>
    </row>
    <row r="840" spans="1:4" x14ac:dyDescent="0.25">
      <c r="A840" s="25" t="s">
        <v>1895</v>
      </c>
      <c r="B840" s="25">
        <v>534</v>
      </c>
      <c r="C840" s="25">
        <v>0</v>
      </c>
      <c r="D840" s="25">
        <v>0</v>
      </c>
    </row>
    <row r="841" spans="1:4" x14ac:dyDescent="0.25">
      <c r="A841" s="25" t="s">
        <v>1897</v>
      </c>
      <c r="B841" s="25">
        <v>535</v>
      </c>
      <c r="C841" s="25">
        <v>0</v>
      </c>
      <c r="D841" s="25">
        <v>0</v>
      </c>
    </row>
    <row r="842" spans="1:4" x14ac:dyDescent="0.25">
      <c r="A842" s="25" t="s">
        <v>2952</v>
      </c>
      <c r="B842" s="25">
        <v>536</v>
      </c>
      <c r="C842" s="25">
        <v>0</v>
      </c>
      <c r="D842" s="25">
        <v>0</v>
      </c>
    </row>
    <row r="843" spans="1:4" x14ac:dyDescent="0.25">
      <c r="A843" s="25" t="s">
        <v>1901</v>
      </c>
      <c r="B843" s="25">
        <v>538</v>
      </c>
      <c r="C843" s="25">
        <v>0</v>
      </c>
      <c r="D843" s="25">
        <v>0</v>
      </c>
    </row>
    <row r="844" spans="1:4" x14ac:dyDescent="0.25">
      <c r="A844" s="25" t="s">
        <v>1902</v>
      </c>
      <c r="B844" s="25">
        <v>539</v>
      </c>
      <c r="C844" s="25">
        <v>0</v>
      </c>
      <c r="D844" s="25">
        <v>0</v>
      </c>
    </row>
    <row r="845" spans="1:4" x14ac:dyDescent="0.25">
      <c r="A845" s="25" t="s">
        <v>1904</v>
      </c>
      <c r="B845" s="25">
        <v>542</v>
      </c>
      <c r="C845" s="25">
        <v>0</v>
      </c>
      <c r="D845" s="25">
        <v>0</v>
      </c>
    </row>
    <row r="846" spans="1:4" x14ac:dyDescent="0.25">
      <c r="A846" s="25" t="s">
        <v>1909</v>
      </c>
      <c r="B846" s="25">
        <v>546</v>
      </c>
      <c r="C846" s="25">
        <v>0</v>
      </c>
      <c r="D846" s="25">
        <v>0</v>
      </c>
    </row>
    <row r="847" spans="1:4" x14ac:dyDescent="0.25">
      <c r="A847" s="25" t="s">
        <v>1911</v>
      </c>
      <c r="B847" s="25">
        <v>547</v>
      </c>
      <c r="C847" s="25">
        <v>0</v>
      </c>
      <c r="D847" s="25">
        <v>0</v>
      </c>
    </row>
    <row r="848" spans="1:4" x14ac:dyDescent="0.25">
      <c r="A848" s="25" t="s">
        <v>1913</v>
      </c>
      <c r="B848" s="25">
        <v>548</v>
      </c>
      <c r="C848" s="25">
        <v>0</v>
      </c>
      <c r="D848" s="25">
        <v>0</v>
      </c>
    </row>
    <row r="849" spans="1:4" x14ac:dyDescent="0.25">
      <c r="A849" s="25" t="s">
        <v>1920</v>
      </c>
      <c r="B849" s="25">
        <v>557</v>
      </c>
      <c r="C849" s="25">
        <v>0</v>
      </c>
      <c r="D849" s="25">
        <v>0</v>
      </c>
    </row>
    <row r="850" spans="1:4" x14ac:dyDescent="0.25">
      <c r="A850" s="25" t="s">
        <v>1068</v>
      </c>
      <c r="B850" s="25">
        <v>559</v>
      </c>
      <c r="C850" s="25">
        <v>0</v>
      </c>
      <c r="D850" s="25">
        <v>0</v>
      </c>
    </row>
    <row r="851" spans="1:4" x14ac:dyDescent="0.25">
      <c r="A851" s="25" t="s">
        <v>1922</v>
      </c>
      <c r="B851" s="25">
        <v>560</v>
      </c>
      <c r="C851" s="25">
        <v>0</v>
      </c>
      <c r="D851" s="25">
        <v>0</v>
      </c>
    </row>
    <row r="852" spans="1:4" x14ac:dyDescent="0.25">
      <c r="A852" s="25" t="s">
        <v>1071</v>
      </c>
      <c r="B852" s="25">
        <v>561</v>
      </c>
      <c r="C852" s="25">
        <v>0</v>
      </c>
      <c r="D852" s="25">
        <v>0</v>
      </c>
    </row>
    <row r="853" spans="1:4" x14ac:dyDescent="0.25">
      <c r="A853" s="25" t="s">
        <v>1078</v>
      </c>
      <c r="B853" s="25">
        <v>565</v>
      </c>
      <c r="C853" s="25">
        <v>0</v>
      </c>
      <c r="D853" s="25">
        <v>0</v>
      </c>
    </row>
    <row r="854" spans="1:4" x14ac:dyDescent="0.25">
      <c r="A854" s="25" t="s">
        <v>1928</v>
      </c>
      <c r="B854" s="25">
        <v>566</v>
      </c>
      <c r="C854" s="25">
        <v>0</v>
      </c>
      <c r="D854" s="25">
        <v>0</v>
      </c>
    </row>
    <row r="855" spans="1:4" x14ac:dyDescent="0.25">
      <c r="A855" s="25" t="s">
        <v>1081</v>
      </c>
      <c r="B855" s="25">
        <v>567</v>
      </c>
      <c r="C855" s="25">
        <v>0</v>
      </c>
      <c r="D855" s="25">
        <v>0</v>
      </c>
    </row>
    <row r="856" spans="1:4" x14ac:dyDescent="0.25">
      <c r="A856" s="25" t="s">
        <v>1093</v>
      </c>
      <c r="B856" s="25">
        <v>571</v>
      </c>
      <c r="C856" s="25">
        <v>0</v>
      </c>
      <c r="D856" s="25">
        <v>0</v>
      </c>
    </row>
    <row r="857" spans="1:4" x14ac:dyDescent="0.25">
      <c r="A857" s="25" t="s">
        <v>1099</v>
      </c>
      <c r="B857" s="25">
        <v>575</v>
      </c>
      <c r="C857" s="25">
        <v>0</v>
      </c>
      <c r="D857" s="25">
        <v>0</v>
      </c>
    </row>
    <row r="858" spans="1:4" x14ac:dyDescent="0.25">
      <c r="A858" s="25" t="s">
        <v>1108</v>
      </c>
      <c r="B858" s="25">
        <v>581</v>
      </c>
      <c r="C858" s="25">
        <v>0</v>
      </c>
      <c r="D858" s="25">
        <v>0</v>
      </c>
    </row>
    <row r="859" spans="1:4" x14ac:dyDescent="0.25">
      <c r="A859" s="25" t="s">
        <v>1111</v>
      </c>
      <c r="B859" s="25">
        <v>582</v>
      </c>
      <c r="C859" s="25">
        <v>0</v>
      </c>
      <c r="D859" s="25">
        <v>0</v>
      </c>
    </row>
    <row r="860" spans="1:4" x14ac:dyDescent="0.25">
      <c r="A860" s="25" t="s">
        <v>1114</v>
      </c>
      <c r="B860" s="25">
        <v>584</v>
      </c>
      <c r="C860" s="25">
        <v>0</v>
      </c>
      <c r="D860" s="25">
        <v>0</v>
      </c>
    </row>
    <row r="861" spans="1:4" x14ac:dyDescent="0.25">
      <c r="A861" s="25" t="s">
        <v>1120</v>
      </c>
      <c r="B861" s="25">
        <v>588</v>
      </c>
      <c r="C861" s="25">
        <v>0</v>
      </c>
      <c r="D861" s="25">
        <v>0</v>
      </c>
    </row>
    <row r="862" spans="1:4" x14ac:dyDescent="0.25">
      <c r="A862" s="25" t="s">
        <v>1945</v>
      </c>
      <c r="B862" s="25">
        <v>589</v>
      </c>
      <c r="C862" s="25">
        <v>0</v>
      </c>
      <c r="D862" s="25">
        <v>0</v>
      </c>
    </row>
    <row r="863" spans="1:4" x14ac:dyDescent="0.25">
      <c r="A863" s="25" t="s">
        <v>1946</v>
      </c>
      <c r="B863" s="25">
        <v>591</v>
      </c>
      <c r="C863" s="25">
        <v>0</v>
      </c>
      <c r="D863" s="25">
        <v>0</v>
      </c>
    </row>
    <row r="864" spans="1:4" x14ac:dyDescent="0.25">
      <c r="A864" s="25" t="s">
        <v>1950</v>
      </c>
      <c r="B864" s="25">
        <v>595</v>
      </c>
      <c r="C864" s="25">
        <v>0</v>
      </c>
      <c r="D864" s="25">
        <v>0</v>
      </c>
    </row>
    <row r="865" spans="1:4" x14ac:dyDescent="0.25">
      <c r="A865" s="25" t="s">
        <v>1123</v>
      </c>
      <c r="B865" s="25">
        <v>602</v>
      </c>
      <c r="C865" s="25">
        <v>0</v>
      </c>
      <c r="D865" s="25">
        <v>0</v>
      </c>
    </row>
    <row r="866" spans="1:4" x14ac:dyDescent="0.25">
      <c r="A866" s="25" t="s">
        <v>1127</v>
      </c>
      <c r="B866" s="25">
        <v>603</v>
      </c>
      <c r="C866" s="25">
        <v>0</v>
      </c>
      <c r="D866" s="25">
        <v>0</v>
      </c>
    </row>
    <row r="867" spans="1:4" x14ac:dyDescent="0.25">
      <c r="A867" s="25" t="s">
        <v>2971</v>
      </c>
      <c r="B867" s="25">
        <v>605</v>
      </c>
      <c r="C867" s="25">
        <v>0</v>
      </c>
      <c r="D867" s="25">
        <v>0</v>
      </c>
    </row>
    <row r="868" spans="1:4" x14ac:dyDescent="0.25">
      <c r="A868" s="25" t="s">
        <v>1958</v>
      </c>
      <c r="B868" s="25">
        <v>606</v>
      </c>
      <c r="C868" s="25">
        <v>0</v>
      </c>
      <c r="D868" s="25">
        <v>0</v>
      </c>
    </row>
    <row r="869" spans="1:4" x14ac:dyDescent="0.25">
      <c r="A869" s="25" t="s">
        <v>1133</v>
      </c>
      <c r="B869" s="25">
        <v>607</v>
      </c>
      <c r="C869" s="25">
        <v>0</v>
      </c>
      <c r="D869" s="25">
        <v>0</v>
      </c>
    </row>
    <row r="870" spans="1:4" x14ac:dyDescent="0.25">
      <c r="A870" s="25" t="s">
        <v>1145</v>
      </c>
      <c r="B870" s="25">
        <v>614</v>
      </c>
      <c r="C870" s="25">
        <v>0</v>
      </c>
      <c r="D870" s="25">
        <v>0</v>
      </c>
    </row>
    <row r="871" spans="1:4" x14ac:dyDescent="0.25">
      <c r="A871" s="25" t="s">
        <v>2974</v>
      </c>
      <c r="B871" s="25">
        <v>618</v>
      </c>
      <c r="C871" s="25">
        <v>0</v>
      </c>
      <c r="D871" s="25">
        <v>0</v>
      </c>
    </row>
    <row r="872" spans="1:4" x14ac:dyDescent="0.25">
      <c r="A872" s="25" t="s">
        <v>1964</v>
      </c>
      <c r="B872" s="25">
        <v>621</v>
      </c>
      <c r="C872" s="25">
        <v>0</v>
      </c>
      <c r="D872" s="25">
        <v>0</v>
      </c>
    </row>
    <row r="873" spans="1:4" x14ac:dyDescent="0.25">
      <c r="A873" s="25" t="s">
        <v>1167</v>
      </c>
      <c r="B873" s="25">
        <v>624</v>
      </c>
      <c r="C873" s="25">
        <v>0</v>
      </c>
      <c r="D873" s="25">
        <v>0</v>
      </c>
    </row>
    <row r="874" spans="1:4" x14ac:dyDescent="0.25">
      <c r="A874" s="25" t="s">
        <v>1975</v>
      </c>
      <c r="B874" s="25">
        <v>638</v>
      </c>
      <c r="C874" s="25">
        <v>0</v>
      </c>
      <c r="D874" s="25">
        <v>0</v>
      </c>
    </row>
    <row r="875" spans="1:4" x14ac:dyDescent="0.25">
      <c r="A875" s="25" t="s">
        <v>1976</v>
      </c>
      <c r="B875" s="25">
        <v>639</v>
      </c>
      <c r="C875" s="25">
        <v>0</v>
      </c>
      <c r="D875" s="25">
        <v>0</v>
      </c>
    </row>
    <row r="876" spans="1:4" x14ac:dyDescent="0.25">
      <c r="A876" s="25" t="s">
        <v>1977</v>
      </c>
      <c r="B876" s="25">
        <v>640</v>
      </c>
      <c r="C876" s="25">
        <v>0</v>
      </c>
      <c r="D876" s="25">
        <v>0</v>
      </c>
    </row>
    <row r="877" spans="1:4" x14ac:dyDescent="0.25">
      <c r="A877" s="25" t="s">
        <v>1981</v>
      </c>
      <c r="B877" s="25">
        <v>642</v>
      </c>
      <c r="C877" s="25">
        <v>0</v>
      </c>
      <c r="D877" s="25">
        <v>0</v>
      </c>
    </row>
    <row r="878" spans="1:4" x14ac:dyDescent="0.25">
      <c r="A878" s="25" t="s">
        <v>2976</v>
      </c>
      <c r="B878" s="25">
        <v>643</v>
      </c>
      <c r="C878" s="25">
        <v>0</v>
      </c>
      <c r="D878" s="25">
        <v>0</v>
      </c>
    </row>
    <row r="879" spans="1:4" x14ac:dyDescent="0.25">
      <c r="A879" s="25" t="s">
        <v>1176</v>
      </c>
      <c r="B879" s="25">
        <v>644</v>
      </c>
      <c r="C879" s="25">
        <v>0</v>
      </c>
      <c r="D879" s="25">
        <v>0</v>
      </c>
    </row>
    <row r="880" spans="1:4" x14ac:dyDescent="0.25">
      <c r="A880" s="25" t="s">
        <v>1985</v>
      </c>
      <c r="B880" s="25">
        <v>650</v>
      </c>
      <c r="C880" s="25">
        <v>0</v>
      </c>
      <c r="D880" s="25">
        <v>0</v>
      </c>
    </row>
    <row r="881" spans="1:4" x14ac:dyDescent="0.25">
      <c r="A881" s="25" t="s">
        <v>1179</v>
      </c>
      <c r="B881" s="25">
        <v>651</v>
      </c>
      <c r="C881" s="25">
        <v>0</v>
      </c>
      <c r="D881" s="25">
        <v>0</v>
      </c>
    </row>
    <row r="882" spans="1:4" x14ac:dyDescent="0.25">
      <c r="A882" s="25" t="s">
        <v>1987</v>
      </c>
      <c r="B882" s="25">
        <v>653</v>
      </c>
      <c r="C882" s="25">
        <v>0</v>
      </c>
      <c r="D882" s="25">
        <v>0</v>
      </c>
    </row>
    <row r="883" spans="1:4" x14ac:dyDescent="0.25">
      <c r="A883" s="25" t="s">
        <v>746</v>
      </c>
      <c r="B883" s="25">
        <v>655</v>
      </c>
      <c r="C883" s="25">
        <v>0</v>
      </c>
      <c r="D883" s="25">
        <v>0</v>
      </c>
    </row>
    <row r="884" spans="1:4" x14ac:dyDescent="0.25">
      <c r="A884" s="25" t="s">
        <v>1991</v>
      </c>
      <c r="B884" s="25">
        <v>662</v>
      </c>
      <c r="C884" s="25">
        <v>0</v>
      </c>
      <c r="D884" s="25">
        <v>0</v>
      </c>
    </row>
    <row r="885" spans="1:4" x14ac:dyDescent="0.25">
      <c r="A885" s="25" t="s">
        <v>1992</v>
      </c>
      <c r="B885" s="25">
        <v>663</v>
      </c>
      <c r="C885" s="25">
        <v>0</v>
      </c>
      <c r="D885" s="25">
        <v>0</v>
      </c>
    </row>
    <row r="886" spans="1:4" x14ac:dyDescent="0.25">
      <c r="A886" s="25" t="s">
        <v>1190</v>
      </c>
      <c r="B886" s="25">
        <v>664</v>
      </c>
      <c r="C886" s="25">
        <v>0</v>
      </c>
      <c r="D886" s="25">
        <v>0</v>
      </c>
    </row>
    <row r="887" spans="1:4" x14ac:dyDescent="0.25">
      <c r="A887" s="25" t="s">
        <v>1993</v>
      </c>
      <c r="B887" s="25">
        <v>665</v>
      </c>
      <c r="C887" s="25">
        <v>0</v>
      </c>
      <c r="D887" s="25">
        <v>0</v>
      </c>
    </row>
    <row r="888" spans="1:4" x14ac:dyDescent="0.25">
      <c r="A888" s="25" t="s">
        <v>1997</v>
      </c>
      <c r="B888" s="25">
        <v>669</v>
      </c>
      <c r="C888" s="25">
        <v>0</v>
      </c>
      <c r="D888" s="25">
        <v>0</v>
      </c>
    </row>
    <row r="889" spans="1:4" x14ac:dyDescent="0.25">
      <c r="A889" s="25" t="s">
        <v>2985</v>
      </c>
      <c r="B889" s="25">
        <v>670</v>
      </c>
      <c r="C889" s="25">
        <v>0</v>
      </c>
      <c r="D889" s="25">
        <v>0</v>
      </c>
    </row>
    <row r="890" spans="1:4" x14ac:dyDescent="0.25">
      <c r="A890" s="25" t="s">
        <v>384</v>
      </c>
      <c r="B890" s="25">
        <v>671</v>
      </c>
      <c r="C890" s="25">
        <v>0</v>
      </c>
      <c r="D890" s="25">
        <v>0</v>
      </c>
    </row>
    <row r="891" spans="1:4" x14ac:dyDescent="0.25">
      <c r="A891" s="25" t="s">
        <v>387</v>
      </c>
      <c r="B891" s="25">
        <v>672</v>
      </c>
      <c r="C891" s="25">
        <v>0</v>
      </c>
      <c r="D891" s="25">
        <v>0</v>
      </c>
    </row>
    <row r="892" spans="1:4" x14ac:dyDescent="0.25">
      <c r="A892" s="25" t="s">
        <v>1999</v>
      </c>
      <c r="B892" s="25">
        <v>673</v>
      </c>
      <c r="C892" s="25">
        <v>0</v>
      </c>
      <c r="D892" s="25">
        <v>0</v>
      </c>
    </row>
    <row r="893" spans="1:4" x14ac:dyDescent="0.25">
      <c r="A893" s="25" t="s">
        <v>389</v>
      </c>
      <c r="B893" s="25">
        <v>674</v>
      </c>
      <c r="C893" s="25">
        <v>0</v>
      </c>
      <c r="D893" s="25">
        <v>0</v>
      </c>
    </row>
    <row r="894" spans="1:4" x14ac:dyDescent="0.25">
      <c r="A894" s="25" t="s">
        <v>399</v>
      </c>
      <c r="B894" s="25">
        <v>679</v>
      </c>
      <c r="C894" s="25">
        <v>0</v>
      </c>
      <c r="D894" s="25">
        <v>0</v>
      </c>
    </row>
    <row r="895" spans="1:4" x14ac:dyDescent="0.25">
      <c r="A895" s="25" t="s">
        <v>2001</v>
      </c>
      <c r="B895" s="25">
        <v>681</v>
      </c>
      <c r="C895" s="25">
        <v>0</v>
      </c>
      <c r="D895" s="25">
        <v>0</v>
      </c>
    </row>
    <row r="896" spans="1:4" x14ac:dyDescent="0.25">
      <c r="A896" s="25" t="s">
        <v>2003</v>
      </c>
      <c r="B896" s="25">
        <v>682</v>
      </c>
      <c r="C896" s="25">
        <v>0</v>
      </c>
      <c r="D896" s="25">
        <v>0</v>
      </c>
    </row>
    <row r="897" spans="1:4" x14ac:dyDescent="0.25">
      <c r="A897" s="25" t="s">
        <v>2005</v>
      </c>
      <c r="B897" s="25">
        <v>683</v>
      </c>
      <c r="C897" s="25">
        <v>0</v>
      </c>
      <c r="D897" s="25">
        <v>0</v>
      </c>
    </row>
    <row r="898" spans="1:4" x14ac:dyDescent="0.25">
      <c r="A898" s="25" t="s">
        <v>2007</v>
      </c>
      <c r="B898" s="25">
        <v>684</v>
      </c>
      <c r="C898" s="25">
        <v>0</v>
      </c>
      <c r="D898" s="25">
        <v>0</v>
      </c>
    </row>
    <row r="899" spans="1:4" x14ac:dyDescent="0.25">
      <c r="A899" s="25" t="s">
        <v>2009</v>
      </c>
      <c r="B899" s="25">
        <v>685</v>
      </c>
      <c r="C899" s="25">
        <v>0</v>
      </c>
      <c r="D899" s="25">
        <v>0</v>
      </c>
    </row>
    <row r="900" spans="1:4" x14ac:dyDescent="0.25">
      <c r="A900" s="25" t="s">
        <v>1200</v>
      </c>
      <c r="B900" s="25">
        <v>686</v>
      </c>
      <c r="C900" s="25">
        <v>0</v>
      </c>
      <c r="D900" s="25">
        <v>0</v>
      </c>
    </row>
    <row r="901" spans="1:4" x14ac:dyDescent="0.25">
      <c r="A901" s="25" t="s">
        <v>1203</v>
      </c>
      <c r="B901" s="25">
        <v>687</v>
      </c>
      <c r="C901" s="25">
        <v>0</v>
      </c>
      <c r="D901" s="25">
        <v>0</v>
      </c>
    </row>
    <row r="902" spans="1:4" x14ac:dyDescent="0.25">
      <c r="A902" s="25" t="s">
        <v>2011</v>
      </c>
      <c r="B902" s="25">
        <v>688</v>
      </c>
      <c r="C902" s="25">
        <v>0</v>
      </c>
      <c r="D902" s="25">
        <v>0</v>
      </c>
    </row>
    <row r="903" spans="1:4" x14ac:dyDescent="0.25">
      <c r="A903" s="25" t="s">
        <v>2013</v>
      </c>
      <c r="B903" s="25">
        <v>689</v>
      </c>
      <c r="C903" s="25">
        <v>0</v>
      </c>
      <c r="D903" s="25">
        <v>0</v>
      </c>
    </row>
    <row r="904" spans="1:4" x14ac:dyDescent="0.25">
      <c r="A904" s="25" t="s">
        <v>2015</v>
      </c>
      <c r="B904" s="25">
        <v>690</v>
      </c>
      <c r="C904" s="25">
        <v>0</v>
      </c>
      <c r="D904" s="25">
        <v>0</v>
      </c>
    </row>
    <row r="905" spans="1:4" x14ac:dyDescent="0.25">
      <c r="A905" s="25" t="s">
        <v>2017</v>
      </c>
      <c r="B905" s="25">
        <v>691</v>
      </c>
      <c r="C905" s="25">
        <v>0</v>
      </c>
      <c r="D905" s="25">
        <v>0</v>
      </c>
    </row>
    <row r="906" spans="1:4" x14ac:dyDescent="0.25">
      <c r="A906" s="25" t="s">
        <v>2019</v>
      </c>
      <c r="B906" s="25">
        <v>692</v>
      </c>
      <c r="C906" s="25">
        <v>0</v>
      </c>
      <c r="D906" s="25">
        <v>0</v>
      </c>
    </row>
    <row r="907" spans="1:4" x14ac:dyDescent="0.25">
      <c r="A907" s="25" t="s">
        <v>2021</v>
      </c>
      <c r="B907" s="25">
        <v>693</v>
      </c>
      <c r="C907" s="25">
        <v>0</v>
      </c>
      <c r="D907" s="25">
        <v>0</v>
      </c>
    </row>
    <row r="908" spans="1:4" x14ac:dyDescent="0.25">
      <c r="A908" s="25" t="s">
        <v>2025</v>
      </c>
      <c r="B908" s="25">
        <v>695</v>
      </c>
      <c r="C908" s="25">
        <v>0</v>
      </c>
      <c r="D908" s="25">
        <v>0</v>
      </c>
    </row>
    <row r="909" spans="1:4" x14ac:dyDescent="0.25">
      <c r="A909" s="25" t="s">
        <v>2027</v>
      </c>
      <c r="B909" s="25">
        <v>696</v>
      </c>
      <c r="C909" s="25">
        <v>0</v>
      </c>
      <c r="D909" s="25">
        <v>0</v>
      </c>
    </row>
    <row r="910" spans="1:4" x14ac:dyDescent="0.25">
      <c r="A910" s="25" t="s">
        <v>2029</v>
      </c>
      <c r="B910" s="25">
        <v>697</v>
      </c>
      <c r="C910" s="25">
        <v>0</v>
      </c>
      <c r="D910" s="25">
        <v>0</v>
      </c>
    </row>
    <row r="911" spans="1:4" x14ac:dyDescent="0.25">
      <c r="A911" s="25" t="s">
        <v>2989</v>
      </c>
      <c r="B911" s="25">
        <v>706</v>
      </c>
      <c r="C911" s="25">
        <v>0</v>
      </c>
      <c r="D911" s="25">
        <v>0</v>
      </c>
    </row>
    <row r="912" spans="1:4" x14ac:dyDescent="0.25">
      <c r="A912" s="25" t="s">
        <v>1210</v>
      </c>
      <c r="B912" s="25">
        <v>708</v>
      </c>
      <c r="C912" s="25">
        <v>0</v>
      </c>
      <c r="D912" s="25">
        <v>0</v>
      </c>
    </row>
    <row r="913" spans="1:4" x14ac:dyDescent="0.25">
      <c r="A913" s="25" t="s">
        <v>1219</v>
      </c>
      <c r="B913" s="25">
        <v>710</v>
      </c>
      <c r="C913" s="25">
        <v>0</v>
      </c>
      <c r="D913" s="25">
        <v>0</v>
      </c>
    </row>
    <row r="914" spans="1:4" x14ac:dyDescent="0.25">
      <c r="A914" s="25" t="s">
        <v>2037</v>
      </c>
      <c r="B914" s="25">
        <v>711</v>
      </c>
      <c r="C914" s="25">
        <v>0</v>
      </c>
      <c r="D914" s="25">
        <v>0</v>
      </c>
    </row>
    <row r="915" spans="1:4" x14ac:dyDescent="0.25">
      <c r="A915" s="25" t="s">
        <v>2040</v>
      </c>
      <c r="B915" s="25">
        <v>712</v>
      </c>
      <c r="C915" s="25">
        <v>0</v>
      </c>
      <c r="D915" s="25">
        <v>0</v>
      </c>
    </row>
    <row r="916" spans="1:4" x14ac:dyDescent="0.25">
      <c r="A916" s="25" t="s">
        <v>2041</v>
      </c>
      <c r="B916" s="25">
        <v>713</v>
      </c>
      <c r="C916" s="25">
        <v>0</v>
      </c>
      <c r="D916" s="25">
        <v>0</v>
      </c>
    </row>
    <row r="917" spans="1:4" x14ac:dyDescent="0.25">
      <c r="A917" s="25" t="s">
        <v>1231</v>
      </c>
      <c r="B917" s="25">
        <v>716</v>
      </c>
      <c r="C917" s="25">
        <v>0</v>
      </c>
      <c r="D917" s="25">
        <v>0</v>
      </c>
    </row>
    <row r="918" spans="1:4" x14ac:dyDescent="0.25">
      <c r="A918" s="25" t="s">
        <v>1235</v>
      </c>
      <c r="B918" s="25">
        <v>717</v>
      </c>
      <c r="C918" s="25">
        <v>0</v>
      </c>
      <c r="D918" s="25">
        <v>0</v>
      </c>
    </row>
    <row r="919" spans="1:4" x14ac:dyDescent="0.25">
      <c r="A919" s="25" t="s">
        <v>1239</v>
      </c>
      <c r="B919" s="25">
        <v>718</v>
      </c>
      <c r="C919" s="25">
        <v>0</v>
      </c>
      <c r="D919" s="25">
        <v>0</v>
      </c>
    </row>
    <row r="920" spans="1:4" x14ac:dyDescent="0.25">
      <c r="A920" s="25" t="s">
        <v>1243</v>
      </c>
      <c r="B920" s="25">
        <v>719</v>
      </c>
      <c r="C920" s="25">
        <v>0</v>
      </c>
      <c r="D920" s="25">
        <v>0</v>
      </c>
    </row>
    <row r="921" spans="1:4" x14ac:dyDescent="0.25">
      <c r="A921" s="25" t="s">
        <v>1247</v>
      </c>
      <c r="B921" s="25">
        <v>721</v>
      </c>
      <c r="C921" s="25">
        <v>0</v>
      </c>
      <c r="D921" s="25">
        <v>0</v>
      </c>
    </row>
    <row r="922" spans="1:4" x14ac:dyDescent="0.25">
      <c r="A922" s="25" t="s">
        <v>1250</v>
      </c>
      <c r="B922" s="25">
        <v>722</v>
      </c>
      <c r="C922" s="25">
        <v>0</v>
      </c>
      <c r="D922" s="25">
        <v>0</v>
      </c>
    </row>
    <row r="923" spans="1:4" x14ac:dyDescent="0.25">
      <c r="A923" s="25" t="s">
        <v>1254</v>
      </c>
      <c r="B923" s="25">
        <v>723</v>
      </c>
      <c r="C923" s="25">
        <v>0</v>
      </c>
      <c r="D923" s="25">
        <v>0</v>
      </c>
    </row>
    <row r="924" spans="1:4" x14ac:dyDescent="0.25">
      <c r="A924" s="25" t="s">
        <v>2044</v>
      </c>
      <c r="B924" s="25">
        <v>724</v>
      </c>
      <c r="C924" s="25">
        <v>0</v>
      </c>
      <c r="D924" s="25">
        <v>0</v>
      </c>
    </row>
    <row r="925" spans="1:4" x14ac:dyDescent="0.25">
      <c r="A925" s="25" t="s">
        <v>2048</v>
      </c>
      <c r="B925" s="25">
        <v>725</v>
      </c>
      <c r="C925" s="25">
        <v>0</v>
      </c>
      <c r="D925" s="25">
        <v>0</v>
      </c>
    </row>
    <row r="926" spans="1:4" x14ac:dyDescent="0.25">
      <c r="A926" s="25" t="s">
        <v>2051</v>
      </c>
      <c r="B926" s="25">
        <v>726</v>
      </c>
      <c r="C926" s="25">
        <v>0</v>
      </c>
      <c r="D926" s="25">
        <v>0</v>
      </c>
    </row>
    <row r="927" spans="1:4" x14ac:dyDescent="0.25">
      <c r="A927" s="25" t="s">
        <v>1258</v>
      </c>
      <c r="B927" s="25">
        <v>727</v>
      </c>
      <c r="C927" s="25">
        <v>0</v>
      </c>
      <c r="D927" s="25">
        <v>0</v>
      </c>
    </row>
    <row r="928" spans="1:4" x14ac:dyDescent="0.25">
      <c r="A928" s="25" t="s">
        <v>1262</v>
      </c>
      <c r="B928" s="25">
        <v>728</v>
      </c>
      <c r="C928" s="25">
        <v>0</v>
      </c>
      <c r="D928" s="25">
        <v>0</v>
      </c>
    </row>
    <row r="929" spans="1:4" x14ac:dyDescent="0.25">
      <c r="A929" s="25" t="s">
        <v>2054</v>
      </c>
      <c r="B929" s="25">
        <v>729</v>
      </c>
      <c r="C929" s="25">
        <v>0</v>
      </c>
      <c r="D929" s="25">
        <v>0</v>
      </c>
    </row>
    <row r="930" spans="1:4" x14ac:dyDescent="0.25">
      <c r="A930" s="25" t="s">
        <v>2057</v>
      </c>
      <c r="B930" s="25">
        <v>730</v>
      </c>
      <c r="C930" s="25">
        <v>0</v>
      </c>
      <c r="D930" s="25">
        <v>0</v>
      </c>
    </row>
    <row r="931" spans="1:4" x14ac:dyDescent="0.25">
      <c r="A931" s="25" t="s">
        <v>2060</v>
      </c>
      <c r="B931" s="25">
        <v>731</v>
      </c>
      <c r="C931" s="25">
        <v>0</v>
      </c>
      <c r="D931" s="25">
        <v>0</v>
      </c>
    </row>
    <row r="932" spans="1:4" x14ac:dyDescent="0.25">
      <c r="A932" s="25" t="s">
        <v>417</v>
      </c>
      <c r="B932" s="25">
        <v>734</v>
      </c>
      <c r="C932" s="25">
        <v>0</v>
      </c>
      <c r="D932" s="25">
        <v>0</v>
      </c>
    </row>
    <row r="933" spans="1:4" x14ac:dyDescent="0.25">
      <c r="A933" s="25" t="s">
        <v>419</v>
      </c>
      <c r="B933" s="25">
        <v>735</v>
      </c>
      <c r="C933" s="25">
        <v>0</v>
      </c>
      <c r="D933" s="25">
        <v>0</v>
      </c>
    </row>
    <row r="934" spans="1:4" x14ac:dyDescent="0.25">
      <c r="A934" s="25" t="s">
        <v>421</v>
      </c>
      <c r="B934" s="25">
        <v>736</v>
      </c>
      <c r="C934" s="25">
        <v>0</v>
      </c>
      <c r="D934" s="25">
        <v>0</v>
      </c>
    </row>
    <row r="935" spans="1:4" x14ac:dyDescent="0.25">
      <c r="A935" s="25" t="s">
        <v>423</v>
      </c>
      <c r="B935" s="25">
        <v>737</v>
      </c>
      <c r="C935" s="25">
        <v>0</v>
      </c>
      <c r="D935" s="25">
        <v>0</v>
      </c>
    </row>
    <row r="936" spans="1:4" x14ac:dyDescent="0.25">
      <c r="A936" s="25" t="s">
        <v>425</v>
      </c>
      <c r="B936" s="25">
        <v>738</v>
      </c>
      <c r="C936" s="25">
        <v>0</v>
      </c>
      <c r="D936" s="25">
        <v>0</v>
      </c>
    </row>
    <row r="937" spans="1:4" x14ac:dyDescent="0.25">
      <c r="A937" s="25" t="s">
        <v>427</v>
      </c>
      <c r="B937" s="25">
        <v>739</v>
      </c>
      <c r="C937" s="25">
        <v>0</v>
      </c>
      <c r="D937" s="25">
        <v>0</v>
      </c>
    </row>
    <row r="938" spans="1:4" x14ac:dyDescent="0.25">
      <c r="A938" s="25" t="s">
        <v>2062</v>
      </c>
      <c r="B938" s="25">
        <v>741</v>
      </c>
      <c r="C938" s="25">
        <v>0</v>
      </c>
      <c r="D938" s="25">
        <v>0</v>
      </c>
    </row>
    <row r="939" spans="1:4" x14ac:dyDescent="0.25">
      <c r="A939" s="25" t="s">
        <v>2065</v>
      </c>
      <c r="B939" s="25">
        <v>742</v>
      </c>
      <c r="C939" s="25">
        <v>0</v>
      </c>
      <c r="D939" s="25">
        <v>0</v>
      </c>
    </row>
    <row r="940" spans="1:4" x14ac:dyDescent="0.25">
      <c r="A940" s="25" t="s">
        <v>2068</v>
      </c>
      <c r="B940" s="25">
        <v>743</v>
      </c>
      <c r="C940" s="25">
        <v>0</v>
      </c>
      <c r="D940" s="25">
        <v>0</v>
      </c>
    </row>
    <row r="941" spans="1:4" x14ac:dyDescent="0.25">
      <c r="A941" s="25" t="s">
        <v>431</v>
      </c>
      <c r="B941" s="25">
        <v>744</v>
      </c>
      <c r="C941" s="25">
        <v>0</v>
      </c>
      <c r="D941" s="25">
        <v>0</v>
      </c>
    </row>
    <row r="942" spans="1:4" x14ac:dyDescent="0.25">
      <c r="A942" s="25" t="s">
        <v>2069</v>
      </c>
      <c r="B942" s="25">
        <v>745</v>
      </c>
      <c r="C942" s="25">
        <v>0</v>
      </c>
      <c r="D942" s="25">
        <v>0</v>
      </c>
    </row>
    <row r="943" spans="1:4" x14ac:dyDescent="0.25">
      <c r="A943" s="25" t="s">
        <v>2071</v>
      </c>
      <c r="B943" s="25">
        <v>746</v>
      </c>
      <c r="C943" s="25">
        <v>0</v>
      </c>
      <c r="D943" s="25">
        <v>0</v>
      </c>
    </row>
    <row r="944" spans="1:4" x14ac:dyDescent="0.25">
      <c r="A944" s="25" t="s">
        <v>1266</v>
      </c>
      <c r="B944" s="25">
        <v>747</v>
      </c>
      <c r="C944" s="25">
        <v>0</v>
      </c>
      <c r="D944" s="25">
        <v>0</v>
      </c>
    </row>
    <row r="945" spans="1:4" x14ac:dyDescent="0.25">
      <c r="A945" s="25" t="s">
        <v>2992</v>
      </c>
      <c r="B945" s="25">
        <v>748</v>
      </c>
      <c r="C945" s="25">
        <v>0</v>
      </c>
      <c r="D945" s="25">
        <v>0</v>
      </c>
    </row>
  </sheetData>
  <sheetProtection algorithmName="SHA-512" hashValue="o3ZI4Mq1EUdlaIofFOgtFLWNBuuAox1DtPMW+723olo6P75wel9lnV7lSee+moKJ1sOXFea/dR6CR+dQ4aIKjw==" saltValue="1eNno+JcNF7tq2rWCGb/ag==" spinCount="100000" sheet="1" objects="1" scenarios="1" formatCells="0" formatColumns="0" formatRows="0" insertColumns="0" insertRows="0" insertHyperlinks="0" deleteColumns="0" deleteRows="0" sort="0" autoFilter="0" pivotTables="0"/>
  <conditionalFormatting sqref="B1:B1048576">
    <cfRule type="duplicateValues" dxfId="19" priority="1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N1047"/>
  <sheetViews>
    <sheetView topLeftCell="E70" zoomScaleNormal="100" workbookViewId="0">
      <pane ySplit="3" topLeftCell="A73" activePane="bottomLeft" state="frozen"/>
      <selection activeCell="E70" sqref="E70"/>
      <selection pane="bottomLeft" activeCell="E70" sqref="E70"/>
    </sheetView>
  </sheetViews>
  <sheetFormatPr defaultColWidth="8.7109375" defaultRowHeight="15" x14ac:dyDescent="0.25"/>
  <cols>
    <col min="1" max="1" width="7" style="157" hidden="1" customWidth="1"/>
    <col min="2" max="2" width="8.140625" style="157" hidden="1" customWidth="1"/>
    <col min="3" max="3" width="5.5703125" style="157" hidden="1" customWidth="1"/>
    <col min="4" max="4" width="7" style="157" hidden="1" customWidth="1"/>
    <col min="5" max="5" width="5.85546875" style="157" customWidth="1"/>
    <col min="6" max="6" width="27.85546875" style="157" customWidth="1"/>
    <col min="7" max="7" width="23.85546875" style="157" hidden="1" customWidth="1"/>
    <col min="8" max="8" width="9.140625" style="157" customWidth="1"/>
    <col min="9" max="9" width="5" style="157" customWidth="1"/>
    <col min="10" max="10" width="22.28515625" style="157" customWidth="1"/>
    <col min="11" max="11" width="24.28515625" style="111" customWidth="1"/>
    <col min="12" max="12" width="11.85546875" style="157" customWidth="1"/>
    <col min="13" max="13" width="20.140625" style="157" customWidth="1"/>
    <col min="14" max="14" width="22.85546875" style="157" customWidth="1"/>
    <col min="15" max="15" width="21.140625" style="157" customWidth="1"/>
    <col min="16" max="16" width="22.85546875" style="157" customWidth="1"/>
    <col min="17" max="17" width="21.140625" style="157" customWidth="1"/>
    <col min="18" max="18" width="27.7109375" style="157" customWidth="1"/>
    <col min="19" max="19" width="29.42578125" style="157" customWidth="1"/>
    <col min="20" max="20" width="27" style="157" customWidth="1"/>
    <col min="21" max="21" width="7.140625" style="157" customWidth="1"/>
    <col min="22" max="22" width="12.28515625" style="157" hidden="1" customWidth="1"/>
    <col min="23" max="23" width="14.140625" style="157" hidden="1" customWidth="1"/>
    <col min="24" max="24" width="8.5703125" style="157" hidden="1" customWidth="1"/>
    <col min="25" max="25" width="6.5703125" style="157" hidden="1" customWidth="1"/>
    <col min="26" max="26" width="8" style="157" hidden="1" customWidth="1"/>
    <col min="27" max="27" width="10.42578125" style="157" hidden="1" customWidth="1"/>
    <col min="28" max="28" width="8.28515625" style="157" hidden="1" customWidth="1"/>
    <col min="29" max="30" width="8.5703125" style="157" hidden="1" customWidth="1"/>
    <col min="31" max="31" width="7.85546875" style="157" hidden="1" customWidth="1"/>
    <col min="32" max="32" width="9.42578125" style="39" customWidth="1"/>
    <col min="33" max="33" width="12.7109375" style="157" hidden="1" customWidth="1"/>
    <col min="34" max="34" width="7.5703125" style="157" hidden="1" customWidth="1"/>
    <col min="35" max="35" width="8.85546875" style="39" hidden="1" customWidth="1"/>
    <col min="36" max="37" width="8.7109375" style="157" hidden="1" customWidth="1"/>
    <col min="38" max="38" width="7.85546875" style="157" hidden="1" customWidth="1"/>
    <col min="39" max="39" width="9.42578125" style="157" hidden="1" customWidth="1"/>
    <col min="40" max="40" width="6.5703125" style="39" hidden="1" customWidth="1"/>
  </cols>
  <sheetData>
    <row r="1" spans="1:40" hidden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51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</row>
    <row r="2" spans="1:40" hidden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51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</row>
    <row r="3" spans="1:40" hidden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</row>
    <row r="4" spans="1:40" ht="21" hidden="1" customHeight="1" x14ac:dyDescent="0.25">
      <c r="A4" s="49"/>
      <c r="B4" s="49"/>
      <c r="C4" s="49"/>
      <c r="D4" s="49"/>
      <c r="E4" s="49"/>
      <c r="F4" s="178" t="s">
        <v>13586</v>
      </c>
      <c r="G4" s="179"/>
      <c r="H4" s="179"/>
      <c r="I4" s="179"/>
      <c r="J4" s="179"/>
      <c r="K4" s="170"/>
      <c r="L4" s="51"/>
      <c r="M4" s="51"/>
      <c r="N4" s="51"/>
      <c r="O4" s="189" t="s">
        <v>13587</v>
      </c>
      <c r="P4" s="179"/>
      <c r="Q4" s="179"/>
      <c r="R4" s="179"/>
      <c r="S4" s="179"/>
      <c r="T4" s="179"/>
      <c r="U4" s="190"/>
      <c r="V4" s="49"/>
      <c r="W4" s="48" t="s">
        <v>13588</v>
      </c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</row>
    <row r="5" spans="1:40" hidden="1" x14ac:dyDescent="0.25">
      <c r="A5" s="49"/>
      <c r="B5" s="49"/>
      <c r="C5" s="49"/>
      <c r="D5" s="49"/>
      <c r="E5" s="49"/>
      <c r="F5" s="52"/>
      <c r="G5" s="51"/>
      <c r="H5" s="51"/>
      <c r="I5" s="51"/>
      <c r="J5" s="51"/>
      <c r="K5" s="54"/>
      <c r="L5" s="51"/>
      <c r="M5" s="51"/>
      <c r="N5" s="51"/>
      <c r="O5" s="52"/>
      <c r="P5" s="51"/>
      <c r="Q5" s="51"/>
      <c r="R5" s="51"/>
      <c r="S5" s="51"/>
      <c r="T5" s="51"/>
      <c r="U5" s="54"/>
      <c r="V5" s="49"/>
      <c r="W5" s="50" t="s">
        <v>13589</v>
      </c>
      <c r="X5" s="50" t="s">
        <v>13590</v>
      </c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</row>
    <row r="6" spans="1:40" ht="15" hidden="1" customHeight="1" x14ac:dyDescent="0.25">
      <c r="A6" s="49"/>
      <c r="B6" s="49"/>
      <c r="C6" s="49"/>
      <c r="D6" s="49"/>
      <c r="E6" s="49"/>
      <c r="F6" s="52"/>
      <c r="G6" s="169" t="s">
        <v>13591</v>
      </c>
      <c r="H6" s="170"/>
      <c r="I6" s="51"/>
      <c r="J6" s="53" t="s">
        <v>10</v>
      </c>
      <c r="K6" s="54"/>
      <c r="L6" s="51"/>
      <c r="M6" s="51"/>
      <c r="N6" s="51"/>
      <c r="O6" s="52"/>
      <c r="P6" s="169" t="s">
        <v>13591</v>
      </c>
      <c r="Q6" s="170"/>
      <c r="R6" s="51"/>
      <c r="S6" s="155" t="s">
        <v>10</v>
      </c>
      <c r="T6" s="132" t="s">
        <v>13592</v>
      </c>
      <c r="U6" s="54"/>
      <c r="V6" s="49"/>
      <c r="W6" s="49">
        <f>'[1]Main Sheet'!D6</f>
        <v>29</v>
      </c>
      <c r="X6" s="49">
        <f>IF(W6&lt;=0.5, 0.25, IF(W6&lt;=1, 0.3, IF(W6&lt;=2, 0.35, IF(W6&gt;2, 0.4 + 0.2 * (W6 - 2), ""))))</f>
        <v>5.8000000000000007</v>
      </c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</row>
    <row r="7" spans="1:40" ht="15" hidden="1" customHeight="1" x14ac:dyDescent="0.25">
      <c r="A7" s="49"/>
      <c r="B7" s="49"/>
      <c r="C7" s="49"/>
      <c r="D7" s="49"/>
      <c r="E7" s="49"/>
      <c r="F7" s="52"/>
      <c r="G7" s="55" t="s">
        <v>13593</v>
      </c>
      <c r="H7" s="56">
        <f>M12*16</f>
        <v>464</v>
      </c>
      <c r="I7" s="51"/>
      <c r="J7" s="57"/>
      <c r="K7" s="54"/>
      <c r="L7" s="51"/>
      <c r="M7" s="51"/>
      <c r="N7" s="51"/>
      <c r="O7" s="52"/>
      <c r="P7" s="55" t="s">
        <v>13593</v>
      </c>
      <c r="Q7" s="56" t="e">
        <f>#REF!*16</f>
        <v>#REF!</v>
      </c>
      <c r="R7" s="58"/>
      <c r="S7" s="59"/>
      <c r="T7" s="60"/>
      <c r="U7" s="54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</row>
    <row r="8" spans="1:40" ht="15" hidden="1" customHeight="1" x14ac:dyDescent="0.25">
      <c r="A8" s="49"/>
      <c r="B8" s="49"/>
      <c r="C8" s="49"/>
      <c r="D8" s="49"/>
      <c r="E8" s="49"/>
      <c r="F8" s="52"/>
      <c r="G8" s="62" t="s">
        <v>13594</v>
      </c>
      <c r="H8" s="63">
        <v>61</v>
      </c>
      <c r="I8" s="51"/>
      <c r="J8" s="57" t="s">
        <v>16</v>
      </c>
      <c r="K8" s="54"/>
      <c r="L8" s="51"/>
      <c r="M8" s="51" t="s">
        <v>10</v>
      </c>
      <c r="N8" s="51"/>
      <c r="O8" s="52"/>
      <c r="P8" s="62" t="s">
        <v>10</v>
      </c>
      <c r="Q8" s="63">
        <f>VLOOKUP($M$9,'[1]REMOVAL FEES'!$K$1:$L$7,2,FALSE)</f>
        <v>2</v>
      </c>
      <c r="R8" s="51"/>
      <c r="S8" s="171">
        <v>1</v>
      </c>
      <c r="T8" s="61" t="s">
        <v>16</v>
      </c>
      <c r="U8" s="54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</row>
    <row r="9" spans="1:40" ht="15" hidden="1" customHeight="1" x14ac:dyDescent="0.25">
      <c r="A9" s="49"/>
      <c r="B9" s="49"/>
      <c r="C9" s="49"/>
      <c r="D9" s="49"/>
      <c r="E9" s="49"/>
      <c r="F9" s="52"/>
      <c r="G9" s="62" t="s">
        <v>13595</v>
      </c>
      <c r="H9" s="63">
        <v>9</v>
      </c>
      <c r="I9" s="51"/>
      <c r="J9" s="57" t="s">
        <v>18</v>
      </c>
      <c r="K9" s="54"/>
      <c r="L9" s="51"/>
      <c r="M9" s="51" t="str">
        <f>IF(AND($M$12&lt;=J50,$H$8&lt;=G50,$H$9&lt;=H50,$H$10&lt;=I50),A50,IF(AND($M$12&lt;=J51,$H$8&lt;=G51,$H$9&lt;=H51,$H$10&lt;=I51),A51,IF(AND($H$8&lt;=G52,$H$9&lt;=H52,$H$10&lt;=I52,$M$12&lt;=J52),A52,IF(AND($M$12&lt;=J53,OR(H$8&gt;G53,$H$9&gt;H53,$H$10&gt;I53)),A53,IF(AND($M$12&gt;J53,$M$12&lt;=J54),A54,IF(AND($M$12&gt;J54,$M$12&lt;=J55),A55,A56))))))</f>
        <v>Extra-large 0 to 50 lb</v>
      </c>
      <c r="N9" s="51"/>
      <c r="O9" s="52"/>
      <c r="P9" s="62" t="s">
        <v>13589</v>
      </c>
      <c r="Q9" s="63">
        <f>M12</f>
        <v>29</v>
      </c>
      <c r="R9" s="51"/>
      <c r="S9" s="173"/>
      <c r="T9" s="61" t="s">
        <v>18</v>
      </c>
      <c r="U9" s="54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</row>
    <row r="10" spans="1:40" s="117" customFormat="1" ht="15.75" hidden="1" customHeight="1" thickBot="1" x14ac:dyDescent="0.3">
      <c r="A10" s="49"/>
      <c r="B10" s="49"/>
      <c r="C10" s="49"/>
      <c r="D10" s="49"/>
      <c r="E10" s="49"/>
      <c r="F10" s="52"/>
      <c r="G10" s="62" t="s">
        <v>13596</v>
      </c>
      <c r="H10" s="63">
        <v>6</v>
      </c>
      <c r="I10" s="51"/>
      <c r="J10" s="57" t="s">
        <v>5</v>
      </c>
      <c r="K10" s="54"/>
      <c r="L10" s="51"/>
      <c r="M10" s="51" t="s">
        <v>15</v>
      </c>
      <c r="N10" s="51"/>
      <c r="O10" s="52"/>
      <c r="P10" s="64" t="s">
        <v>13597</v>
      </c>
      <c r="Q10" s="65">
        <v>1</v>
      </c>
      <c r="R10" s="51"/>
      <c r="S10" s="171">
        <v>2</v>
      </c>
      <c r="T10" s="61" t="s">
        <v>5</v>
      </c>
      <c r="U10" s="54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</row>
    <row r="11" spans="1:40" s="117" customFormat="1" ht="15.75" hidden="1" customHeight="1" thickBot="1" x14ac:dyDescent="0.3">
      <c r="A11" s="49"/>
      <c r="B11" s="49"/>
      <c r="C11" s="49"/>
      <c r="D11" s="49"/>
      <c r="E11" s="49"/>
      <c r="F11" s="52"/>
      <c r="G11" s="64" t="s">
        <v>13598</v>
      </c>
      <c r="H11" s="65">
        <f>'[1]Main Sheet'!D6</f>
        <v>29</v>
      </c>
      <c r="I11" s="51"/>
      <c r="J11" s="57" t="s">
        <v>6</v>
      </c>
      <c r="K11" s="54"/>
      <c r="L11" s="51"/>
      <c r="M11" s="51">
        <f>IFERROR(VLOOKUP(ROUNDUP($H$7,0),'FBA FEES'!$L$2:$Q$203,MATCH(M9,'FBA FEES'!$L$2:$Q$2,0),FALSE),VLOOKUP(ROUNDUP($H$7,0),'FBA FEES'!$C$6:$F$123,MATCH(M9,'FBA FEES'!$C$6:$F$6,0),FALSE))</f>
        <v>36.97</v>
      </c>
      <c r="N11" s="51"/>
      <c r="O11" s="52"/>
      <c r="P11" s="51"/>
      <c r="Q11" s="51"/>
      <c r="R11" s="51"/>
      <c r="S11" s="172"/>
      <c r="T11" s="61" t="s">
        <v>6</v>
      </c>
      <c r="U11" s="54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</row>
    <row r="12" spans="1:40" s="117" customFormat="1" ht="45.75" hidden="1" customHeight="1" thickBot="1" x14ac:dyDescent="0.3">
      <c r="A12" s="49"/>
      <c r="B12" s="49"/>
      <c r="C12" s="49"/>
      <c r="D12" s="49"/>
      <c r="E12" s="49"/>
      <c r="F12" s="52"/>
      <c r="G12" s="66" t="s">
        <v>13599</v>
      </c>
      <c r="H12" s="65">
        <f>(H8*H9*H10)/139</f>
        <v>23.697841726618705</v>
      </c>
      <c r="I12" s="51"/>
      <c r="J12" s="57" t="s">
        <v>7</v>
      </c>
      <c r="K12" s="54"/>
      <c r="L12" s="51"/>
      <c r="M12" s="51">
        <f>ROUND(MAX($H$11,$H$12),0)</f>
        <v>29</v>
      </c>
      <c r="N12" s="51"/>
      <c r="O12" s="52"/>
      <c r="P12" s="67" t="s">
        <v>10</v>
      </c>
      <c r="Q12" s="68" t="str">
        <f>'[1]REMOVAL CHART'!$B$20</f>
        <v>Large bulky, extra-large and special handling items</v>
      </c>
      <c r="R12" s="51"/>
      <c r="S12" s="172"/>
      <c r="T12" s="61" t="s">
        <v>7</v>
      </c>
      <c r="U12" s="54"/>
      <c r="V12" s="49"/>
      <c r="W12" s="48" t="s">
        <v>13600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spans="1:40" s="117" customFormat="1" ht="15.75" hidden="1" customHeight="1" thickBot="1" x14ac:dyDescent="0.3">
      <c r="A13" s="49"/>
      <c r="B13" s="49"/>
      <c r="C13" s="49"/>
      <c r="D13" s="49"/>
      <c r="E13" s="49"/>
      <c r="F13" s="52"/>
      <c r="G13" s="49"/>
      <c r="H13" s="49"/>
      <c r="I13" s="51"/>
      <c r="J13" s="57" t="s">
        <v>8</v>
      </c>
      <c r="K13" s="54"/>
      <c r="L13" s="51"/>
      <c r="M13" s="51"/>
      <c r="N13" s="51"/>
      <c r="O13" s="52"/>
      <c r="P13" s="69" t="s">
        <v>15</v>
      </c>
      <c r="Q13" s="134">
        <f>'[1]REMOVAL CHART'!$B$21</f>
        <v>15.38</v>
      </c>
      <c r="R13" s="135"/>
      <c r="S13" s="172"/>
      <c r="T13" s="61" t="s">
        <v>8</v>
      </c>
      <c r="U13" s="54"/>
      <c r="V13" s="49"/>
      <c r="W13" s="50" t="s">
        <v>13601</v>
      </c>
      <c r="X13" s="50" t="s">
        <v>13589</v>
      </c>
      <c r="Y13" s="50" t="s">
        <v>13602</v>
      </c>
      <c r="Z13" s="50" t="s">
        <v>13603</v>
      </c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</row>
    <row r="14" spans="1:40" s="117" customFormat="1" ht="15.75" hidden="1" customHeight="1" thickBot="1" x14ac:dyDescent="0.3">
      <c r="A14" s="49"/>
      <c r="B14" s="49"/>
      <c r="C14" s="49"/>
      <c r="D14" s="49"/>
      <c r="E14" s="49"/>
      <c r="F14" s="52"/>
      <c r="G14" s="70" t="str">
        <f>M10</f>
        <v>Fees</v>
      </c>
      <c r="H14" s="136">
        <f>M11</f>
        <v>36.97</v>
      </c>
      <c r="I14" s="51"/>
      <c r="J14" s="71" t="s">
        <v>9</v>
      </c>
      <c r="K14" s="54"/>
      <c r="L14" s="51"/>
      <c r="M14" s="51"/>
      <c r="N14" s="51"/>
      <c r="O14" s="52"/>
      <c r="P14" s="51"/>
      <c r="Q14" s="51"/>
      <c r="R14" s="51"/>
      <c r="S14" s="173"/>
      <c r="T14" s="72" t="s">
        <v>9</v>
      </c>
      <c r="U14" s="54"/>
      <c r="V14" s="49"/>
      <c r="W14" s="49">
        <f>'[1]Main Sheet'!J6</f>
        <v>12</v>
      </c>
      <c r="X14" s="49">
        <f>'[1]Main Sheet'!D6</f>
        <v>29</v>
      </c>
      <c r="Y14" s="49">
        <f>IF(X14&lt;=1, 1.5, IF(X14&lt;=21, 1.8, IF(X14&lt;=151, 2.65, 4.1)))</f>
        <v>2.65</v>
      </c>
      <c r="Z14" s="49">
        <f>W14-Y14</f>
        <v>9.35</v>
      </c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</row>
    <row r="15" spans="1:40" ht="15.75" hidden="1" customHeight="1" thickBot="1" x14ac:dyDescent="0.3">
      <c r="A15" s="49"/>
      <c r="B15" s="49"/>
      <c r="C15" s="49"/>
      <c r="D15" s="49"/>
      <c r="E15" s="49"/>
      <c r="F15" s="73"/>
      <c r="G15" s="74"/>
      <c r="H15" s="74"/>
      <c r="I15" s="74"/>
      <c r="J15" s="74"/>
      <c r="K15" s="75"/>
      <c r="L15" s="51"/>
      <c r="M15" s="51"/>
      <c r="N15" s="51"/>
      <c r="O15" s="73"/>
      <c r="P15" s="74"/>
      <c r="Q15" s="74"/>
      <c r="R15" s="74"/>
      <c r="S15" s="74"/>
      <c r="T15" s="74"/>
      <c r="U15" s="75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</row>
    <row r="16" spans="1:40" ht="15" hidden="1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51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spans="1:40" ht="15" hidden="1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51"/>
      <c r="L17" s="49"/>
      <c r="M17" s="49" t="str">
        <f>IF(AND($H10&lt;=J50,$A10&lt;=G50,$F10&lt;=H50,$G10&lt;=I50),A50,IF(AND($H10&lt;=J51,$A10&lt;=G51,$F10&lt;=H51,$G10&lt;=I51),A51,IF(AND($A10&lt;=G52,$F10&lt;=H52,$G10&lt;=I52,$H10&lt;=J52),A52,IF(AND($H10&lt;=J53,OR($A10&gt;G53,$F10&gt;H53,$G10&gt;I53)),A53,IF(AND($H10&gt;J53,$H10&lt;=J54),A54,IF(AND($H10&gt;J54,$H10&lt;=J55),A55,A56))))))</f>
        <v>Extra-large 0 to 50 lb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spans="1:40" ht="15" hidden="1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51"/>
      <c r="L18" s="49"/>
      <c r="M18" s="49">
        <f>IFERROR(VLOOKUP(ROUNDUP($H$7,0),'FBA FEES'!$L$2:$Q$203,MATCH(M9,'FBA FEES'!$L$2:$Q$2,0),FALSE),VLOOKUP(ROUNDUP($H$7,0),'FBA FEES'!$C$6:$F$123,MATCH(M9,'FBA FEES'!$C$6:$F$6,0),FALSE))</f>
        <v>36.97</v>
      </c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spans="1:40" hidden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51"/>
      <c r="L19" s="49"/>
      <c r="M19" s="49" t="str">
        <f>IF(AND($M$12&lt;=J50,$H$8&lt;=G50,$H$9&lt;=H50,$H$10&lt;=I50),A50,IF(AND($M$12&lt;=J51,$H$8&lt;=G51,$H$9&lt;=H51,$H$10&lt;=I51),A51,IF(AND($H$8&lt;=G52,$H$9&lt;=H52,$H$10&lt;=I52,$M$12&lt;=J52),A52,IF(AND($M$12&lt;=J53,OR(H$8&gt;G53,$H$9&gt;H53,$H$10&gt;I53)),A53,IF(AND($M$12&gt;J53,$M$12&lt;=J54),A54,IF(AND($M$12&gt;J54,$M$12&lt;=J55),A55,A56))))))</f>
        <v>Extra-large 0 to 50 lb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spans="1:40" hidden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5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spans="1:40" hidden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51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2" spans="1:40" hidden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5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spans="1:40" ht="15.75" hidden="1" customHeight="1" thickBot="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51"/>
      <c r="L23" s="49"/>
      <c r="M23" s="49"/>
      <c r="N23" s="49"/>
      <c r="O23" s="49"/>
      <c r="P23" s="76" t="s">
        <v>13604</v>
      </c>
      <c r="Q23" s="77" t="s">
        <v>13605</v>
      </c>
      <c r="R23" s="78"/>
      <c r="S23" s="78"/>
      <c r="T23" s="78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spans="1:40" ht="27.75" hidden="1" customHeight="1" thickBot="1" x14ac:dyDescent="0.3">
      <c r="A24" s="79" t="s">
        <v>13606</v>
      </c>
      <c r="B24" s="79"/>
      <c r="C24" s="79"/>
      <c r="D24" s="79"/>
      <c r="E24" s="79"/>
      <c r="F24" s="79" t="s">
        <v>13607</v>
      </c>
      <c r="G24" s="79" t="s">
        <v>13608</v>
      </c>
      <c r="H24" s="79" t="s">
        <v>13609</v>
      </c>
      <c r="I24" s="79" t="s">
        <v>13604</v>
      </c>
      <c r="J24" s="76" t="s">
        <v>13610</v>
      </c>
      <c r="K24" s="51"/>
      <c r="L24" s="76" t="s">
        <v>13606</v>
      </c>
      <c r="M24" s="79" t="s">
        <v>13607</v>
      </c>
      <c r="N24" s="79" t="s">
        <v>13608</v>
      </c>
      <c r="O24" s="79" t="s">
        <v>13609</v>
      </c>
      <c r="P24" s="49"/>
      <c r="Q24" s="49">
        <v>1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spans="1:40" ht="18.75" hidden="1" customHeight="1" thickBot="1" x14ac:dyDescent="0.3">
      <c r="A25" s="156" t="s">
        <v>13611</v>
      </c>
      <c r="B25" s="156"/>
      <c r="C25" s="156"/>
      <c r="D25" s="156"/>
      <c r="E25" s="156"/>
      <c r="F25" s="156" t="s">
        <v>13612</v>
      </c>
      <c r="G25" s="156" t="s">
        <v>13613</v>
      </c>
      <c r="H25" s="156" t="s">
        <v>13614</v>
      </c>
      <c r="I25" s="156" t="s">
        <v>13615</v>
      </c>
      <c r="J25" s="80" t="s">
        <v>16</v>
      </c>
      <c r="K25" s="81">
        <v>1</v>
      </c>
      <c r="L25" s="156" t="s">
        <v>13611</v>
      </c>
      <c r="M25" s="49">
        <v>15</v>
      </c>
      <c r="N25" s="49">
        <v>12</v>
      </c>
      <c r="O25" s="49">
        <v>0.75</v>
      </c>
      <c r="P25" s="49"/>
      <c r="Q25" s="49">
        <v>20</v>
      </c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spans="1:40" ht="36.75" hidden="1" customHeight="1" thickBot="1" x14ac:dyDescent="0.3">
      <c r="A26" s="156" t="s">
        <v>13616</v>
      </c>
      <c r="B26" s="156"/>
      <c r="C26" s="156"/>
      <c r="D26" s="156"/>
      <c r="E26" s="156"/>
      <c r="F26" s="156" t="s">
        <v>13617</v>
      </c>
      <c r="G26" s="156" t="s">
        <v>13618</v>
      </c>
      <c r="H26" s="156" t="s">
        <v>13619</v>
      </c>
      <c r="I26" s="156" t="s">
        <v>13615</v>
      </c>
      <c r="J26" s="80" t="s">
        <v>18</v>
      </c>
      <c r="K26" s="81">
        <v>2</v>
      </c>
      <c r="L26" s="156" t="s">
        <v>13616</v>
      </c>
      <c r="M26" s="49">
        <v>18</v>
      </c>
      <c r="N26" s="49">
        <v>14</v>
      </c>
      <c r="O26" s="49">
        <v>8</v>
      </c>
      <c r="P26" s="49"/>
      <c r="Q26" s="49"/>
      <c r="R26" s="49"/>
      <c r="S26" s="82" t="s">
        <v>13620</v>
      </c>
      <c r="T26" s="82"/>
      <c r="U26" s="82" t="s">
        <v>13621</v>
      </c>
      <c r="V26" s="82" t="s">
        <v>13622</v>
      </c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spans="1:40" ht="36.75" hidden="1" customHeight="1" thickBot="1" x14ac:dyDescent="0.3">
      <c r="A27" s="156" t="s">
        <v>13623</v>
      </c>
      <c r="B27" s="156"/>
      <c r="C27" s="156"/>
      <c r="D27" s="156"/>
      <c r="E27" s="156"/>
      <c r="F27" s="156" t="s">
        <v>13624</v>
      </c>
      <c r="G27" s="156" t="s">
        <v>13625</v>
      </c>
      <c r="H27" s="156" t="s">
        <v>13625</v>
      </c>
      <c r="I27" s="156" t="s">
        <v>13626</v>
      </c>
      <c r="J27" s="49" t="s">
        <v>13627</v>
      </c>
      <c r="K27" s="51">
        <v>3</v>
      </c>
      <c r="L27" s="49"/>
      <c r="M27" s="49"/>
      <c r="N27" s="49"/>
      <c r="O27" s="49"/>
      <c r="P27" s="49"/>
      <c r="Q27" s="49"/>
      <c r="R27" s="49"/>
      <c r="S27" s="176" t="s">
        <v>13628</v>
      </c>
      <c r="T27" s="174" t="s">
        <v>16</v>
      </c>
      <c r="U27" s="83" t="s">
        <v>13629</v>
      </c>
      <c r="V27" s="83" t="s">
        <v>13630</v>
      </c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  <row r="28" spans="1:40" ht="24.75" hidden="1" customHeight="1" thickBot="1" x14ac:dyDescent="0.3">
      <c r="A28" s="156" t="s">
        <v>13623</v>
      </c>
      <c r="B28" s="129"/>
      <c r="C28" s="129"/>
      <c r="D28" s="129"/>
      <c r="E28" s="129"/>
      <c r="F28" s="180" t="s">
        <v>13631</v>
      </c>
      <c r="G28" s="181"/>
      <c r="H28" s="181"/>
      <c r="I28" s="182"/>
      <c r="J28" s="49"/>
      <c r="K28" s="51"/>
      <c r="L28" s="49"/>
      <c r="M28" s="49"/>
      <c r="N28" s="49"/>
      <c r="O28" s="49" t="str">
        <f>IF(AND(H8&lt;=M25,H11&lt;=Q24),K25,IF(AND(H8&lt;=M26,H11&gt;Q24,H11&lt;=Q25),K26,J27))</f>
        <v>LARGE</v>
      </c>
      <c r="P28" s="49"/>
      <c r="Q28" s="49"/>
      <c r="R28" s="49"/>
      <c r="S28" s="177"/>
      <c r="T28" s="175"/>
      <c r="U28" s="83" t="s">
        <v>13632</v>
      </c>
      <c r="V28" s="83" t="s">
        <v>13633</v>
      </c>
      <c r="W28" s="49"/>
      <c r="X28" s="85" t="s">
        <v>13634</v>
      </c>
      <c r="Y28" s="85" t="s">
        <v>10</v>
      </c>
      <c r="Z28" s="86" t="s">
        <v>13607</v>
      </c>
      <c r="AA28" s="86" t="s">
        <v>13608</v>
      </c>
      <c r="AB28" s="86" t="s">
        <v>13609</v>
      </c>
      <c r="AC28" s="87" t="s">
        <v>13605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spans="1:40" ht="24.75" hidden="1" customHeight="1" thickBot="1" x14ac:dyDescent="0.3">
      <c r="A29" s="156" t="s">
        <v>13635</v>
      </c>
      <c r="B29" s="130"/>
      <c r="C29" s="130"/>
      <c r="D29" s="130"/>
      <c r="E29" s="130"/>
      <c r="F29" s="183"/>
      <c r="G29" s="184"/>
      <c r="H29" s="184"/>
      <c r="I29" s="185"/>
      <c r="J29" s="49"/>
      <c r="K29" s="51"/>
      <c r="L29" s="49"/>
      <c r="M29" s="49"/>
      <c r="N29" s="49"/>
      <c r="O29" s="49">
        <f>IF(H9&lt;=N25,K25,IF(H9&lt;=N26,K26,IF(H9&lt;=N42,K42,IF(H9&gt;N43,K43,IF(H9&gt;N44,K44,IF(H9&gt;N45,K45,IF(H9&gt;N46,K46)))))))</f>
        <v>1</v>
      </c>
      <c r="P29" s="49"/>
      <c r="Q29" s="49"/>
      <c r="R29" s="49"/>
      <c r="S29" s="177"/>
      <c r="T29" s="174" t="s">
        <v>18</v>
      </c>
      <c r="U29" s="83" t="s">
        <v>13636</v>
      </c>
      <c r="V29" s="83" t="s">
        <v>13637</v>
      </c>
      <c r="W29" s="49"/>
      <c r="X29" s="88" t="s">
        <v>16</v>
      </c>
      <c r="Y29" s="85">
        <v>1</v>
      </c>
      <c r="Z29" s="85">
        <v>15</v>
      </c>
      <c r="AA29" s="85">
        <v>12</v>
      </c>
      <c r="AB29" s="85">
        <v>0.75</v>
      </c>
      <c r="AC29" s="85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spans="1:40" ht="36.75" hidden="1" customHeight="1" thickBot="1" x14ac:dyDescent="0.3">
      <c r="A30" s="156" t="s">
        <v>13638</v>
      </c>
      <c r="B30" s="130"/>
      <c r="C30" s="130"/>
      <c r="D30" s="130"/>
      <c r="E30" s="130"/>
      <c r="F30" s="183"/>
      <c r="G30" s="184"/>
      <c r="H30" s="184"/>
      <c r="I30" s="185"/>
      <c r="J30" s="49"/>
      <c r="K30" s="51"/>
      <c r="L30" s="49"/>
      <c r="M30" s="49"/>
      <c r="N30" s="49"/>
      <c r="O30" s="49">
        <f>IF(H10&lt;=O25,K25,IF(H10&lt;=O26,K26,IF(H10&lt;=O42,K42,IF(H10&gt;O43,K43,IF(H10&gt;O44,K44,IF(H10&gt;O45,K45,IF(H10&gt;O46,K46)))))))</f>
        <v>2</v>
      </c>
      <c r="P30" s="49"/>
      <c r="Q30" s="49"/>
      <c r="R30" s="49"/>
      <c r="S30" s="175"/>
      <c r="T30" s="175"/>
      <c r="U30" s="83" t="s">
        <v>13639</v>
      </c>
      <c r="V30" s="83" t="s">
        <v>13640</v>
      </c>
      <c r="W30" s="49"/>
      <c r="X30" s="88" t="s">
        <v>18</v>
      </c>
      <c r="Y30" s="85">
        <v>2</v>
      </c>
      <c r="Z30" s="85">
        <v>18</v>
      </c>
      <c r="AA30" s="85">
        <v>14</v>
      </c>
      <c r="AB30" s="85">
        <v>8</v>
      </c>
      <c r="AC30" s="85">
        <v>20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spans="1:40" ht="24.75" hidden="1" customHeight="1" thickBot="1" x14ac:dyDescent="0.3">
      <c r="A31" s="156" t="s">
        <v>13641</v>
      </c>
      <c r="B31" s="131"/>
      <c r="C31" s="131"/>
      <c r="D31" s="131"/>
      <c r="E31" s="131"/>
      <c r="F31" s="186"/>
      <c r="G31" s="187"/>
      <c r="H31" s="187"/>
      <c r="I31" s="188"/>
      <c r="J31" s="49"/>
      <c r="K31" s="51"/>
      <c r="L31" s="49"/>
      <c r="M31" s="49"/>
      <c r="N31" s="49"/>
      <c r="O31" s="49">
        <f>IF(H11&lt;=Q24,K25,IF(H11&lt;=Q25,K26,IF(H11&lt;=Q41,K42,IF(H11&lt;=Q42,K43,IF(AND(H11&gt;=Q43,H11&gt;Q42),K44,IF(H11&gt;Q44,K45,IF(H11&gt;Q45,K46)))))))</f>
        <v>3</v>
      </c>
      <c r="P31" s="49"/>
      <c r="Q31" s="49"/>
      <c r="R31" s="49"/>
      <c r="S31" s="176" t="s">
        <v>13642</v>
      </c>
      <c r="T31" s="83" t="s">
        <v>5</v>
      </c>
      <c r="U31" s="83" t="s">
        <v>13643</v>
      </c>
      <c r="V31" s="83" t="s">
        <v>13644</v>
      </c>
      <c r="W31" s="49"/>
      <c r="X31" s="89" t="s">
        <v>5</v>
      </c>
      <c r="Y31" s="85">
        <v>3</v>
      </c>
      <c r="Z31" s="85">
        <v>59</v>
      </c>
      <c r="AA31" s="85">
        <v>33</v>
      </c>
      <c r="AB31" s="85">
        <v>33</v>
      </c>
      <c r="AC31" s="85">
        <v>50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spans="1:40" ht="24.75" hidden="1" customHeight="1" thickBot="1" x14ac:dyDescent="0.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51"/>
      <c r="L32" s="90" t="s">
        <v>13593</v>
      </c>
      <c r="M32" s="90">
        <f>H11*16</f>
        <v>464</v>
      </c>
      <c r="N32" s="49"/>
      <c r="O32" s="49"/>
      <c r="P32" s="49"/>
      <c r="Q32" s="49"/>
      <c r="R32" s="49"/>
      <c r="S32" s="177"/>
      <c r="T32" s="83" t="s">
        <v>6</v>
      </c>
      <c r="U32" s="83" t="s">
        <v>13636</v>
      </c>
      <c r="V32" s="83" t="s">
        <v>13645</v>
      </c>
      <c r="W32" s="49"/>
      <c r="X32" s="89" t="s">
        <v>6</v>
      </c>
      <c r="Y32" s="85">
        <v>4</v>
      </c>
      <c r="Z32" s="85">
        <v>59</v>
      </c>
      <c r="AA32" s="85">
        <v>33</v>
      </c>
      <c r="AB32" s="85">
        <v>33</v>
      </c>
      <c r="AC32" s="85">
        <v>50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spans="1:40" ht="24.75" hidden="1" customHeight="1" thickBot="1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51"/>
      <c r="L33" s="49"/>
      <c r="M33" s="49"/>
      <c r="N33" s="49"/>
      <c r="O33" s="49"/>
      <c r="P33" s="49"/>
      <c r="Q33" s="49"/>
      <c r="R33" s="49"/>
      <c r="S33" s="177"/>
      <c r="T33" s="83" t="s">
        <v>7</v>
      </c>
      <c r="U33" s="83" t="s">
        <v>13646</v>
      </c>
      <c r="V33" s="83" t="s">
        <v>13647</v>
      </c>
      <c r="W33" s="49"/>
      <c r="X33" s="88" t="s">
        <v>7</v>
      </c>
      <c r="Y33" s="85">
        <v>5</v>
      </c>
      <c r="Z33" s="85">
        <v>59</v>
      </c>
      <c r="AA33" s="85">
        <v>33</v>
      </c>
      <c r="AB33" s="85">
        <v>33</v>
      </c>
      <c r="AC33" s="85">
        <v>70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</row>
    <row r="34" spans="1:40" ht="24.75" hidden="1" customHeight="1" thickBot="1" x14ac:dyDescent="0.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51"/>
      <c r="L34" s="49"/>
      <c r="M34" s="49"/>
      <c r="N34" s="49"/>
      <c r="O34" s="49"/>
      <c r="P34" s="49"/>
      <c r="Q34" s="49"/>
      <c r="R34" s="49"/>
      <c r="S34" s="177"/>
      <c r="T34" s="83" t="s">
        <v>8</v>
      </c>
      <c r="U34" s="83" t="s">
        <v>13648</v>
      </c>
      <c r="V34" s="83" t="s">
        <v>13649</v>
      </c>
      <c r="W34" s="49"/>
      <c r="X34" s="88" t="s">
        <v>8</v>
      </c>
      <c r="Y34" s="85">
        <v>6</v>
      </c>
      <c r="Z34" s="85">
        <v>59</v>
      </c>
      <c r="AA34" s="85">
        <v>33</v>
      </c>
      <c r="AB34" s="85">
        <v>33</v>
      </c>
      <c r="AC34" s="85">
        <v>150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spans="1:40" ht="36.75" hidden="1" customHeight="1" thickBot="1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 t="s">
        <v>13627</v>
      </c>
      <c r="K35" s="51"/>
      <c r="L35" s="49"/>
      <c r="M35" s="49"/>
      <c r="N35" s="49"/>
      <c r="O35" s="49"/>
      <c r="P35" s="49"/>
      <c r="Q35" s="49"/>
      <c r="R35" s="49"/>
      <c r="S35" s="175"/>
      <c r="T35" s="83" t="s">
        <v>9</v>
      </c>
      <c r="U35" s="83" t="s">
        <v>13650</v>
      </c>
      <c r="V35" s="83" t="s">
        <v>13651</v>
      </c>
      <c r="W35" s="49"/>
      <c r="X35" s="88" t="s">
        <v>9</v>
      </c>
      <c r="Y35" s="85">
        <v>7</v>
      </c>
      <c r="Z35" s="85">
        <v>59</v>
      </c>
      <c r="AA35" s="85">
        <v>33</v>
      </c>
      <c r="AB35" s="85">
        <v>33</v>
      </c>
      <c r="AC35" s="85">
        <v>150.1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spans="1:40" hidden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5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</row>
    <row r="37" spans="1:40" hidden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51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spans="1:40" hidden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51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40" hidden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51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spans="1:40" hidden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51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</row>
    <row r="41" spans="1:40" ht="15.75" hidden="1" customHeight="1" thickBo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51"/>
      <c r="L41" s="49"/>
      <c r="M41" s="49"/>
      <c r="N41" s="49"/>
      <c r="O41" s="49"/>
      <c r="P41" s="156" t="s">
        <v>13626</v>
      </c>
      <c r="Q41" s="49">
        <v>50</v>
      </c>
      <c r="R41" s="49"/>
      <c r="S41" s="84" t="s">
        <v>10</v>
      </c>
      <c r="T41" s="85">
        <f>[1]CALCULATOR!AA33</f>
        <v>0</v>
      </c>
      <c r="U41" s="49">
        <f>T41</f>
        <v>0</v>
      </c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</row>
    <row r="42" spans="1:40" ht="15.75" hidden="1" customHeight="1" thickBot="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80" t="s">
        <v>5</v>
      </c>
      <c r="K42" s="81">
        <v>3</v>
      </c>
      <c r="L42" s="156" t="s">
        <v>13623</v>
      </c>
      <c r="M42" s="49">
        <v>59</v>
      </c>
      <c r="N42" s="49">
        <v>33</v>
      </c>
      <c r="O42" s="49">
        <v>33</v>
      </c>
      <c r="P42" s="49"/>
      <c r="Q42" s="49">
        <v>50.1</v>
      </c>
      <c r="R42" s="49"/>
      <c r="S42" s="84" t="s">
        <v>13605</v>
      </c>
      <c r="T42" s="85">
        <f>[1]CALCULATOR!AA34</f>
        <v>0</v>
      </c>
      <c r="U42" s="49">
        <f>IF(AND($F$17&gt;0,$F$17&lt;=0.5),0.5,ROUND($F$17,0))</f>
        <v>0</v>
      </c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spans="1:40" ht="15.75" hidden="1" customHeight="1" thickBot="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80" t="s">
        <v>6</v>
      </c>
      <c r="K43" s="81">
        <v>4</v>
      </c>
      <c r="L43" s="156" t="s">
        <v>13623</v>
      </c>
      <c r="M43" s="49">
        <v>59</v>
      </c>
      <c r="N43" s="49">
        <v>33</v>
      </c>
      <c r="O43" s="49">
        <v>33</v>
      </c>
      <c r="P43" s="49"/>
      <c r="Q43" s="49">
        <v>70</v>
      </c>
      <c r="R43" s="49"/>
      <c r="S43" s="84" t="s">
        <v>13597</v>
      </c>
      <c r="T43" s="85">
        <f>[1]CALCULATOR!AA35</f>
        <v>0</v>
      </c>
      <c r="U43" s="49">
        <f>T43</f>
        <v>0</v>
      </c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</row>
    <row r="44" spans="1:40" ht="15.75" hidden="1" customHeight="1" thickBot="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91" t="s">
        <v>7</v>
      </c>
      <c r="K44" s="81">
        <v>5</v>
      </c>
      <c r="L44" s="156" t="s">
        <v>13635</v>
      </c>
      <c r="M44" s="49">
        <v>59</v>
      </c>
      <c r="N44" s="49">
        <v>33</v>
      </c>
      <c r="O44" s="49">
        <v>33</v>
      </c>
      <c r="P44" s="49"/>
      <c r="Q44" s="49">
        <v>150</v>
      </c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spans="1:40" ht="15.75" hidden="1" customHeight="1" thickBot="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91" t="s">
        <v>8</v>
      </c>
      <c r="K45" s="81">
        <v>6</v>
      </c>
      <c r="L45" s="156" t="s">
        <v>13638</v>
      </c>
      <c r="M45" s="49">
        <v>59</v>
      </c>
      <c r="N45" s="49">
        <v>33</v>
      </c>
      <c r="O45" s="49">
        <v>33</v>
      </c>
      <c r="P45" s="49"/>
      <c r="Q45" s="49">
        <v>150.1</v>
      </c>
      <c r="R45" s="49"/>
      <c r="S45" s="85" t="s">
        <v>10</v>
      </c>
      <c r="T45" s="85" t="b">
        <f>IF($F$16=1,$A$2,IF($F$16=2,$A$6))</f>
        <v>0</v>
      </c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</row>
    <row r="46" spans="1:40" ht="15.75" hidden="1" customHeight="1" thickBot="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91" t="s">
        <v>9</v>
      </c>
      <c r="K46" s="81">
        <v>7</v>
      </c>
      <c r="L46" s="156" t="s">
        <v>13641</v>
      </c>
      <c r="M46" s="49">
        <v>59</v>
      </c>
      <c r="N46" s="49">
        <v>33</v>
      </c>
      <c r="O46" s="49">
        <v>33</v>
      </c>
      <c r="P46" s="49"/>
      <c r="Q46" s="49"/>
      <c r="R46" s="49"/>
      <c r="S46" s="85" t="s">
        <v>15</v>
      </c>
      <c r="T46" s="85">
        <f>IFERROR(IF($G$16=1,$G$24,IF($G$16=2,IF($G$17&gt;10,(($G$17-10)*1.06)+$G$25,$G$25)))*$G$18,FALSE)</f>
        <v>0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spans="1:40" hidden="1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51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</row>
    <row r="48" spans="1:40" hidden="1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51"/>
      <c r="L48" s="49"/>
      <c r="M48" s="49"/>
      <c r="N48" s="49"/>
      <c r="O48" s="49"/>
      <c r="P48" s="49"/>
      <c r="Q48" s="49"/>
      <c r="R48" s="49"/>
      <c r="S48" s="49"/>
      <c r="T48" s="49" t="b">
        <f>IF(AND(P73&lt;=0.25,$S73="Small standard-size"),"Small standard: 4 oz or less")</f>
        <v>0</v>
      </c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spans="1:40" ht="27" hidden="1" customHeight="1" x14ac:dyDescent="0.25">
      <c r="A49" s="85" t="s">
        <v>13634</v>
      </c>
      <c r="B49" s="85"/>
      <c r="C49" s="85"/>
      <c r="D49" s="85"/>
      <c r="E49" s="85"/>
      <c r="F49" s="85" t="s">
        <v>10</v>
      </c>
      <c r="G49" s="86" t="s">
        <v>13607</v>
      </c>
      <c r="H49" s="86" t="s">
        <v>13608</v>
      </c>
      <c r="I49" s="86" t="s">
        <v>13609</v>
      </c>
      <c r="J49" s="87" t="s">
        <v>13605</v>
      </c>
      <c r="K49" s="51"/>
      <c r="L49" s="49"/>
      <c r="M49" s="49"/>
      <c r="N49" s="49"/>
      <c r="O49" s="49"/>
      <c r="P49" s="49"/>
      <c r="Q49" s="49" t="str">
        <f t="shared" ref="Q49:Q55" si="0">IF(COUNTIF(L50:O50,TRUE)=4,F50,"-")</f>
        <v>-</v>
      </c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0" spans="1:40" hidden="1" x14ac:dyDescent="0.25">
      <c r="A50" s="88" t="s">
        <v>16</v>
      </c>
      <c r="B50" s="88"/>
      <c r="C50" s="88"/>
      <c r="D50" s="88"/>
      <c r="E50" s="88"/>
      <c r="F50" s="85">
        <v>1</v>
      </c>
      <c r="G50" s="85">
        <v>15</v>
      </c>
      <c r="H50" s="85">
        <v>12</v>
      </c>
      <c r="I50" s="85">
        <v>0.75</v>
      </c>
      <c r="J50" s="85">
        <v>1</v>
      </c>
      <c r="K50" s="49"/>
      <c r="L50" s="49" t="b">
        <f t="shared" ref="L50:L56" si="1">$H$8&lt;=G50</f>
        <v>0</v>
      </c>
      <c r="M50" s="49" t="b">
        <f t="shared" ref="M50:M56" si="2">$H$9&lt;=H50</f>
        <v>1</v>
      </c>
      <c r="N50" s="49" t="b">
        <f t="shared" ref="N50:N56" si="3">$H$10&lt;=I50</f>
        <v>0</v>
      </c>
      <c r="O50" s="49" t="b">
        <f>$H$11&lt;=J50</f>
        <v>0</v>
      </c>
      <c r="P50" s="49"/>
      <c r="Q50" s="49" t="str">
        <f t="shared" si="0"/>
        <v>-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spans="1:40" hidden="1" x14ac:dyDescent="0.25">
      <c r="A51" s="88" t="s">
        <v>18</v>
      </c>
      <c r="B51" s="88"/>
      <c r="C51" s="88"/>
      <c r="D51" s="88"/>
      <c r="E51" s="88"/>
      <c r="F51" s="85">
        <v>2</v>
      </c>
      <c r="G51" s="85">
        <v>18</v>
      </c>
      <c r="H51" s="85">
        <v>14</v>
      </c>
      <c r="I51" s="85">
        <v>8</v>
      </c>
      <c r="J51" s="85">
        <v>20</v>
      </c>
      <c r="K51" s="49"/>
      <c r="L51" s="49" t="b">
        <f t="shared" si="1"/>
        <v>0</v>
      </c>
      <c r="M51" s="49" t="b">
        <f t="shared" si="2"/>
        <v>1</v>
      </c>
      <c r="N51" s="49" t="b">
        <f t="shared" si="3"/>
        <v>1</v>
      </c>
      <c r="O51" s="49" t="b">
        <f t="shared" ref="O51:O56" si="4">AND($H$11&lt;=J51,$H$11&gt;J50)</f>
        <v>0</v>
      </c>
      <c r="P51" s="49"/>
      <c r="Q51" s="49" t="str">
        <f t="shared" si="0"/>
        <v>-</v>
      </c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</row>
    <row r="52" spans="1:40" hidden="1" x14ac:dyDescent="0.25">
      <c r="A52" s="89" t="s">
        <v>5</v>
      </c>
      <c r="B52" s="89"/>
      <c r="C52" s="89"/>
      <c r="D52" s="89"/>
      <c r="E52" s="89"/>
      <c r="F52" s="85">
        <v>3</v>
      </c>
      <c r="G52" s="85">
        <v>59</v>
      </c>
      <c r="H52" s="85">
        <v>33</v>
      </c>
      <c r="I52" s="85">
        <v>33</v>
      </c>
      <c r="J52" s="85">
        <v>50</v>
      </c>
      <c r="K52" s="49"/>
      <c r="L52" s="49" t="b">
        <f t="shared" si="1"/>
        <v>0</v>
      </c>
      <c r="M52" s="49" t="b">
        <f t="shared" si="2"/>
        <v>1</v>
      </c>
      <c r="N52" s="49" t="b">
        <f t="shared" si="3"/>
        <v>1</v>
      </c>
      <c r="O52" s="49" t="b">
        <f t="shared" si="4"/>
        <v>1</v>
      </c>
      <c r="P52" s="49"/>
      <c r="Q52" s="49" t="str">
        <f t="shared" si="0"/>
        <v>-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spans="1:40" hidden="1" x14ac:dyDescent="0.25">
      <c r="A53" s="89" t="s">
        <v>6</v>
      </c>
      <c r="B53" s="89"/>
      <c r="C53" s="89"/>
      <c r="D53" s="89"/>
      <c r="E53" s="89"/>
      <c r="F53" s="85">
        <v>4</v>
      </c>
      <c r="G53" s="85">
        <v>59</v>
      </c>
      <c r="H53" s="85">
        <v>33</v>
      </c>
      <c r="I53" s="85">
        <v>33</v>
      </c>
      <c r="J53" s="85">
        <v>50</v>
      </c>
      <c r="K53" s="49"/>
      <c r="L53" s="49" t="b">
        <f t="shared" si="1"/>
        <v>0</v>
      </c>
      <c r="M53" s="49" t="b">
        <f t="shared" si="2"/>
        <v>1</v>
      </c>
      <c r="N53" s="49" t="b">
        <f t="shared" si="3"/>
        <v>1</v>
      </c>
      <c r="O53" s="49" t="b">
        <f t="shared" si="4"/>
        <v>0</v>
      </c>
      <c r="P53" s="49"/>
      <c r="Q53" s="49" t="str">
        <f t="shared" si="0"/>
        <v>-</v>
      </c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</row>
    <row r="54" spans="1:40" hidden="1" x14ac:dyDescent="0.25">
      <c r="A54" s="88" t="s">
        <v>7</v>
      </c>
      <c r="B54" s="88"/>
      <c r="C54" s="88"/>
      <c r="D54" s="88"/>
      <c r="E54" s="88"/>
      <c r="F54" s="85">
        <v>5</v>
      </c>
      <c r="G54" s="85">
        <v>59</v>
      </c>
      <c r="H54" s="85">
        <v>33</v>
      </c>
      <c r="I54" s="85">
        <v>33</v>
      </c>
      <c r="J54" s="85">
        <v>70</v>
      </c>
      <c r="K54" s="49"/>
      <c r="L54" s="49" t="b">
        <f t="shared" si="1"/>
        <v>0</v>
      </c>
      <c r="M54" s="49" t="b">
        <f t="shared" si="2"/>
        <v>1</v>
      </c>
      <c r="N54" s="49" t="b">
        <f t="shared" si="3"/>
        <v>1</v>
      </c>
      <c r="O54" s="49" t="b">
        <f t="shared" si="4"/>
        <v>0</v>
      </c>
      <c r="P54" s="49"/>
      <c r="Q54" s="49" t="str">
        <f t="shared" si="0"/>
        <v>-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spans="1:40" hidden="1" x14ac:dyDescent="0.25">
      <c r="A55" s="88" t="s">
        <v>8</v>
      </c>
      <c r="B55" s="88"/>
      <c r="C55" s="88"/>
      <c r="D55" s="88"/>
      <c r="E55" s="88"/>
      <c r="F55" s="85">
        <v>6</v>
      </c>
      <c r="G55" s="85">
        <v>59</v>
      </c>
      <c r="H55" s="85">
        <v>33</v>
      </c>
      <c r="I55" s="85">
        <v>33</v>
      </c>
      <c r="J55" s="85">
        <v>150</v>
      </c>
      <c r="K55" s="49"/>
      <c r="L55" s="49" t="b">
        <f t="shared" si="1"/>
        <v>0</v>
      </c>
      <c r="M55" s="49" t="b">
        <f t="shared" si="2"/>
        <v>1</v>
      </c>
      <c r="N55" s="49" t="b">
        <f t="shared" si="3"/>
        <v>1</v>
      </c>
      <c r="O55" s="49" t="b">
        <f t="shared" si="4"/>
        <v>0</v>
      </c>
      <c r="P55" s="49"/>
      <c r="Q55" s="49" t="str">
        <f t="shared" si="0"/>
        <v>-</v>
      </c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</row>
    <row r="56" spans="1:40" hidden="1" x14ac:dyDescent="0.25">
      <c r="A56" s="88" t="s">
        <v>9</v>
      </c>
      <c r="B56" s="88"/>
      <c r="C56" s="88"/>
      <c r="D56" s="88"/>
      <c r="E56" s="88"/>
      <c r="F56" s="85">
        <v>7</v>
      </c>
      <c r="G56" s="85">
        <v>59</v>
      </c>
      <c r="H56" s="85">
        <v>33</v>
      </c>
      <c r="I56" s="85">
        <v>33</v>
      </c>
      <c r="J56" s="85">
        <v>150.1</v>
      </c>
      <c r="K56" s="49"/>
      <c r="L56" s="49" t="b">
        <f t="shared" si="1"/>
        <v>0</v>
      </c>
      <c r="M56" s="49" t="b">
        <f t="shared" si="2"/>
        <v>1</v>
      </c>
      <c r="N56" s="49" t="b">
        <f t="shared" si="3"/>
        <v>1</v>
      </c>
      <c r="O56" s="49" t="b">
        <f t="shared" si="4"/>
        <v>0</v>
      </c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</row>
    <row r="57" spans="1:40" hidden="1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51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1:40" hidden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51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spans="1:40" hidden="1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51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spans="1:40" hidden="1" x14ac:dyDescent="0.25">
      <c r="A60" s="16" t="s">
        <v>5</v>
      </c>
      <c r="B60" s="92"/>
      <c r="C60" s="92"/>
      <c r="D60" s="92"/>
      <c r="E60" s="92"/>
      <c r="F60" s="49"/>
      <c r="G60" s="49"/>
      <c r="H60" s="49"/>
      <c r="I60" s="49"/>
      <c r="J60" s="49"/>
      <c r="K60" s="51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</row>
    <row r="61" spans="1:40" hidden="1" x14ac:dyDescent="0.25">
      <c r="A61" s="16" t="s">
        <v>6</v>
      </c>
      <c r="B61" s="92"/>
      <c r="C61" s="92"/>
      <c r="D61" s="92"/>
      <c r="E61" s="92"/>
      <c r="F61" s="49"/>
      <c r="G61" s="49"/>
      <c r="H61" s="49"/>
      <c r="I61" s="49"/>
      <c r="J61" s="49"/>
      <c r="K61" s="51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</row>
    <row r="62" spans="1:40" hidden="1" x14ac:dyDescent="0.25">
      <c r="A62" s="16" t="s">
        <v>28</v>
      </c>
      <c r="B62" s="92"/>
      <c r="C62" s="92"/>
      <c r="D62" s="92"/>
      <c r="E62" s="92"/>
      <c r="F62" s="49"/>
      <c r="G62" s="49"/>
      <c r="H62" s="49"/>
      <c r="I62" s="49"/>
      <c r="J62" s="49"/>
      <c r="K62" s="51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40" hidden="1" x14ac:dyDescent="0.25">
      <c r="A63" s="16" t="s">
        <v>30</v>
      </c>
      <c r="B63" s="92"/>
      <c r="C63" s="92"/>
      <c r="D63" s="92"/>
      <c r="E63" s="92"/>
      <c r="F63" s="49"/>
      <c r="G63" s="49"/>
      <c r="H63" s="49"/>
      <c r="I63" s="49"/>
      <c r="J63" s="49"/>
      <c r="K63" s="51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spans="1:40" hidden="1" x14ac:dyDescent="0.25">
      <c r="A64" s="16" t="s">
        <v>32</v>
      </c>
      <c r="B64" s="92"/>
      <c r="C64" s="92"/>
      <c r="D64" s="92"/>
      <c r="E64" s="92"/>
      <c r="F64" s="49"/>
      <c r="G64" s="49"/>
      <c r="H64" s="49"/>
      <c r="I64" s="49"/>
      <c r="J64" s="49"/>
      <c r="K64" s="51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40" hidden="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51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</row>
    <row r="66" spans="1:40" ht="15.75" hidden="1" customHeight="1" thickBot="1" x14ac:dyDescent="0.3">
      <c r="A66" s="93" t="s">
        <v>5</v>
      </c>
      <c r="B66" s="93"/>
      <c r="C66" s="93"/>
      <c r="D66" s="93"/>
      <c r="E66" s="93"/>
      <c r="F66" s="93" t="s">
        <v>6</v>
      </c>
      <c r="G66" s="94" t="s">
        <v>7</v>
      </c>
      <c r="H66" s="94" t="s">
        <v>8</v>
      </c>
      <c r="I66" s="94" t="s">
        <v>9</v>
      </c>
      <c r="J66" s="49"/>
      <c r="K66" s="51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40" ht="15.75" hidden="1" customHeight="1" thickBot="1" x14ac:dyDescent="0.3">
      <c r="A67" s="94" t="s">
        <v>16</v>
      </c>
      <c r="B67" s="94"/>
      <c r="C67" s="94"/>
      <c r="D67" s="94"/>
      <c r="E67" s="94"/>
      <c r="F67" s="94" t="s">
        <v>18</v>
      </c>
      <c r="G67" s="49"/>
      <c r="H67" s="49"/>
      <c r="I67" s="49"/>
      <c r="J67" s="49"/>
      <c r="K67" s="51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spans="1:40" ht="39.6" hidden="1" customHeight="1" x14ac:dyDescent="0.25">
      <c r="A68" s="95"/>
      <c r="B68" s="95"/>
      <c r="C68" s="95"/>
      <c r="D68" s="95"/>
      <c r="E68" s="95"/>
      <c r="F68" s="95"/>
      <c r="G68" s="49"/>
      <c r="H68" s="49"/>
      <c r="I68" s="49"/>
      <c r="J68" s="49"/>
      <c r="K68" s="51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96"/>
      <c r="AG68" s="49"/>
      <c r="AH68" s="49"/>
      <c r="AI68" s="96"/>
      <c r="AJ68" s="49"/>
      <c r="AK68" s="49"/>
      <c r="AL68" s="49"/>
      <c r="AM68" s="49"/>
      <c r="AN68" s="96"/>
    </row>
    <row r="69" spans="1:40" ht="68.099999999999994" hidden="1" customHeight="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51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96"/>
      <c r="AG69" s="49"/>
      <c r="AH69" s="49"/>
      <c r="AI69" s="96"/>
      <c r="AJ69" s="49"/>
      <c r="AK69" s="49"/>
      <c r="AL69" s="49"/>
      <c r="AM69" s="49"/>
      <c r="AN69" s="96"/>
    </row>
    <row r="70" spans="1:40" x14ac:dyDescent="0.25">
      <c r="A70" s="49"/>
      <c r="B70" s="49"/>
      <c r="C70" s="49"/>
      <c r="D70" s="49"/>
      <c r="E70" s="49"/>
      <c r="F70" s="49"/>
      <c r="G70" s="49"/>
      <c r="H70" s="166" t="s">
        <v>13652</v>
      </c>
      <c r="I70" s="167"/>
      <c r="J70" s="168"/>
      <c r="K70" s="101" t="str">
        <f>H70&amp;"x"&amp;I70&amp;"x"&amp;J70</f>
        <v>get data from parasbhaixx</v>
      </c>
      <c r="L70" s="102" t="e">
        <f>(H70*I70*J70)/139</f>
        <v>#VALUE!</v>
      </c>
      <c r="M70" s="113" t="e">
        <f>(H70*I70*J70)/139</f>
        <v>#VALUE!</v>
      </c>
      <c r="N70" s="113" t="e">
        <f>IF(AND(M70&gt;0,M70&lt;=0.25),0.25,IF(AND(M70&gt;0.25,M70&lt;=0.5),0.5,IF(AND(M70&gt;0.5,M70&lt;=0.75),0.75,ROUNDUP(M70,0))))</f>
        <v>#VALUE!</v>
      </c>
      <c r="O70" s="114" t="s">
        <v>13652</v>
      </c>
      <c r="P70" s="115" t="e">
        <f>ROUNDUP(MAX(L70,O70),0)</f>
        <v>#VALUE!</v>
      </c>
      <c r="Q70" s="112" t="e">
        <f>P70*16</f>
        <v>#VALUE!</v>
      </c>
      <c r="R70" s="112" t="e">
        <f>IF(RIGHT(S70,13)="standard-size","Standard-size","Oversize")</f>
        <v>#VALUE!</v>
      </c>
      <c r="S70" s="99" t="e">
        <f>IF(AND($P70&lt;=$J$50,$H70&lt;=$G$50,$I70&lt;=$H$50,$J70&lt;=$I$50),$A$50,IF(AND($P70&lt;=$J$51,$H70&lt;=$G$51,$I70&lt;=$H$51,$J70&lt;=$I$51),$A$51,IF(AND($H70&lt;=$G$52,$I70&lt;=$H$52,$J70&lt;=$I$52,$P70&lt;=$J$52),$A$52,IF(AND($P70&lt;=$J$53,OR(H$8&gt;$G$53,$I70&gt;$H$53,$J70&gt;$I$53)),$A$53,IF(AND($P70&gt;$J$53,$P70&lt;=$J$54),$A$54,IF(AND($P70&gt;$J$54,$P70&lt;=$J$55),$A$55,$A$56))))))</f>
        <v>#VALUE!</v>
      </c>
      <c r="T70" s="116" t="e">
        <f>IF(AND($P70&lt;=#REF!,$S70=#REF!),#REF!,IF(AND($P70&lt;=#REF!,$S70=#REF!),#REF!,IF(AND($P70&lt;=#REF!,$S70=#REF!),#REF!,IF(AND($P70&lt;=#REF!,$S70=#REF!),#REF!,IF(AND($S70=#REF!,$P70&lt;=#REF!),#REF!,IF(AND($S70=#REF!,$P70&lt;=#REF!),#REF!,IF(AND($S70=#REF!,$P70&lt;=#REF!),#REF!,IF(AND($S70=#REF!,$P70&lt;=#REF!),#REF!,IF(AND($S70=#REF!,$P70&lt;=#REF!),#REF!,IF(AND($S70=#REF!,$P70&lt;=#REF!),#REF!,IF(AND($S70=#REF!,$P70&lt;=#REF!),#REF!,IF(AND($S70=#REF!,$P70&lt;=#REF!),#REF!,IF(AND($S70=#REF!,$P70&gt;=#REF!),#REF!,IF(AND($S70=#REF!,$P70&lt;=#REF!),#REF!,IF(AND($S70=#REF!,$P70&lt;=#REF!),#REF!,IF(AND($S70=#REF!,$P70&lt;=#REF!),#REF!,IF(AND($S70=#REF!,$P70&lt;=#REF!),#REF!)))))))))))))))))</f>
        <v>#VALUE!</v>
      </c>
      <c r="U70" s="116" t="e">
        <f>(H70*I70*J70)/1728</f>
        <v>#VALUE!</v>
      </c>
      <c r="V70" s="116">
        <f>IFERROR(IFERROR(VLOOKUP(ROUNDUP($P70,0),'FBA FEES'!$L$2:$Q$203,MATCH($Q70,'FBA FEES'!$L$2:$Q$2,0),FALSE),VLOOKUP(ROUNDUP($P70,0),'FBA FEES'!$C$6:$F$123,MATCH($Q70,'FBA FEES'!$C$6:$F$6,0),FALSE)),0)</f>
        <v>0</v>
      </c>
      <c r="W70" s="117"/>
      <c r="X70" s="116">
        <f>IFERROR(IFERROR(VLOOKUP(ROUNDUP($P70,0),'FBA FEES'!$L$2:$Q$203,MATCH($Q70,'FBA FEES'!$L$2:$Q$2,0),FALSE),VLOOKUP(ROUNDUP($P70,0),'FBA FEES'!$C$6:$F$123,MATCH($Q70,'FBA FEES'!$C$6:$F$6,0),FALSE)),0)</f>
        <v>0</v>
      </c>
      <c r="Y70" s="117"/>
      <c r="Z70" s="117"/>
      <c r="AA70" s="117"/>
      <c r="AB70" s="116" t="b">
        <f>IFERROR(IF($R70=1,INDEX('[1]REMOVAL FEES'!$A$1:$C$22,MATCH(CONCATENATE("Standard Size",$O70),'[1]REMOVAL FEES'!$A$1:$A$22,0),3),IF($R70=2,IF($O70&gt;10,(($O70-10)*1.06)+INDEX('[1]REMOVAL FEES'!$E$1:$G$22,MATCH(CONCATENATE("Large bulky, extra-large and special handling items",IF($O70&gt;=11,11,$O70)),'[1]REMOVAL FEES'!$E$1:$E$13,0),3),INDEX('[1]REMOVAL FEES'!$E$1:$G$22,MATCH(CONCATENATE("Large bulky, extra-large and special handling items",IF($O70&gt;=11,11,$O70)),'[1]REMOVAL FEES'!$E$1:$E$13,0),3))))*$S70,FALSE)</f>
        <v>0</v>
      </c>
      <c r="AC70" s="117"/>
      <c r="AD70" s="117"/>
      <c r="AE70" s="116">
        <f>-AD70*0.15</f>
        <v>0</v>
      </c>
      <c r="AF70" s="118">
        <f>-IFERROR(IFERROR(VLOOKUP(ROUNDUP($Q70,0),'FBA FEES'!$L$2:$Q$203,MATCH($S70,'FBA FEES'!$L$2:$Q$2,0),FALSE),VLOOKUP(ROUNDUP($Q70,0),'FBA FEES'!$C$6:$F$123,MATCH($S70,'FBA FEES'!$C$6:$F$6,0),FALSE)),0)</f>
        <v>0</v>
      </c>
      <c r="AG70" s="117"/>
      <c r="AH70" s="117"/>
      <c r="AI70" s="118">
        <f>-IFERROR(IF($Y70=1,INDEX('[1]REMOVAL FEES'!$A$1:$C$22,MATCH(CONCATENATE("Standard Size",$P70),'[1]REMOVAL FEES'!$A$1:$A$22,0),3),IF($Y70=2,IF($P70&gt;10,(($P70-10)*1.06)+INDEX('[1]REMOVAL FEES'!$E$1:$G$22,MATCH(CONCATENATE("Large bulky, extra-large and special handling items",IF($P70&gt;=11,11,$P70)),'[1]REMOVAL FEES'!$E$1:$E$13,0),3),INDEX('[1]REMOVAL FEES'!$E$1:$G$22,MATCH(CONCATENATE("Large bulky, extra-large and special handling items",IF($P70&gt;=11,11,$P70)),'[1]REMOVAL FEES'!$E$1:$E$13,0),3))))*$AA70,FALSE)</f>
        <v>0</v>
      </c>
      <c r="AJ70" s="113">
        <f>AH70+AI70</f>
        <v>0</v>
      </c>
      <c r="AK70" s="117"/>
      <c r="AL70" s="117"/>
      <c r="AM70" s="113">
        <f>AK70+AL70</f>
        <v>0</v>
      </c>
      <c r="AN70" s="119" t="e">
        <f>(-IF($V70="Yes", IF($X70="Yes", VLOOKUP($W70, '[1]Storage Fees'!A:M, 13, FALSE), VLOOKUP($W70, '[1]Storage Fees'!A:M, 10, FALSE)), IF($X70="Yes", VLOOKUP($W70, '[1]Storage Fees'!A:M, 7, FALSE), VLOOKUP($W70, '[1]Storage Fees'!A:M, 4, FALSE))) * U70)*1.5</f>
        <v>#N/A</v>
      </c>
    </row>
    <row r="71" spans="1:40" ht="68.099999999999994" customHeight="1" x14ac:dyDescent="0.25">
      <c r="A71" s="116" t="s">
        <v>13653</v>
      </c>
      <c r="B71" s="45" t="s">
        <v>13654</v>
      </c>
      <c r="C71" s="45" t="s">
        <v>13655</v>
      </c>
      <c r="D71" s="116" t="s">
        <v>102</v>
      </c>
      <c r="E71" s="120" t="s">
        <v>39</v>
      </c>
      <c r="F71" s="120" t="s">
        <v>36</v>
      </c>
      <c r="G71" s="121" t="s">
        <v>13656</v>
      </c>
      <c r="H71" s="121" t="s">
        <v>7540</v>
      </c>
      <c r="I71" s="121" t="s">
        <v>13657</v>
      </c>
      <c r="J71" s="121" t="s">
        <v>13658</v>
      </c>
      <c r="K71" s="121" t="s">
        <v>13659</v>
      </c>
      <c r="L71" s="121" t="s">
        <v>13660</v>
      </c>
      <c r="M71" s="121" t="s">
        <v>13661</v>
      </c>
      <c r="N71" s="121" t="s">
        <v>13662</v>
      </c>
      <c r="O71" s="121" t="s">
        <v>13663</v>
      </c>
      <c r="P71" s="121" t="s">
        <v>13664</v>
      </c>
      <c r="Q71" s="121" t="s">
        <v>13665</v>
      </c>
      <c r="R71" s="121" t="s">
        <v>13666</v>
      </c>
      <c r="S71" s="122" t="s">
        <v>13667</v>
      </c>
      <c r="T71" s="121" t="s">
        <v>13668</v>
      </c>
      <c r="U71" s="121" t="s">
        <v>13669</v>
      </c>
      <c r="V71" s="121" t="s">
        <v>13670</v>
      </c>
      <c r="W71" s="121" t="s">
        <v>13671</v>
      </c>
      <c r="X71" s="121" t="s">
        <v>13672</v>
      </c>
      <c r="Y71" s="121" t="s">
        <v>13673</v>
      </c>
      <c r="Z71" s="121" t="s">
        <v>13674</v>
      </c>
      <c r="AA71" s="121" t="s">
        <v>13675</v>
      </c>
      <c r="AB71" s="121" t="s">
        <v>13676</v>
      </c>
      <c r="AC71" s="121" t="s">
        <v>13677</v>
      </c>
      <c r="AD71" s="122" t="s">
        <v>13678</v>
      </c>
      <c r="AE71" s="122" t="s">
        <v>13679</v>
      </c>
      <c r="AF71" s="123" t="s">
        <v>13680</v>
      </c>
      <c r="AG71" s="122" t="s">
        <v>13681</v>
      </c>
      <c r="AH71" s="122" t="s">
        <v>13682</v>
      </c>
      <c r="AI71" s="123" t="s">
        <v>13683</v>
      </c>
      <c r="AJ71" s="122" t="s">
        <v>13684</v>
      </c>
      <c r="AK71" s="122" t="s">
        <v>13685</v>
      </c>
      <c r="AL71" s="122" t="s">
        <v>13686</v>
      </c>
      <c r="AM71" s="122" t="s">
        <v>13687</v>
      </c>
      <c r="AN71" s="123" t="s">
        <v>13688</v>
      </c>
    </row>
    <row r="72" spans="1:40" x14ac:dyDescent="0.2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8"/>
    </row>
    <row r="73" spans="1:40" x14ac:dyDescent="0.25">
      <c r="A73" s="99">
        <v>1</v>
      </c>
      <c r="B73" s="99" t="s">
        <v>55</v>
      </c>
      <c r="C73" s="99"/>
      <c r="D73" s="99"/>
      <c r="E73" s="100" t="s">
        <v>54</v>
      </c>
      <c r="F73" s="100" t="s">
        <v>52</v>
      </c>
      <c r="G73" s="100" t="s">
        <v>13656</v>
      </c>
      <c r="H73" s="101">
        <v>25</v>
      </c>
      <c r="I73" s="101">
        <v>19</v>
      </c>
      <c r="J73" s="101">
        <v>19</v>
      </c>
      <c r="K73" s="101" t="str">
        <f t="shared" ref="K73:K136" si="5">H73&amp;"x"&amp;I73&amp;"x"&amp;J73</f>
        <v>25x19x19</v>
      </c>
      <c r="L73" s="102">
        <f t="shared" ref="L73:L136" si="6">(H73*I73*J73)/139</f>
        <v>64.928057553956833</v>
      </c>
      <c r="M73" s="102">
        <f t="shared" ref="M73:M136" si="7">(H73*I73*J73)/139</f>
        <v>64.928057553956833</v>
      </c>
      <c r="N73" s="102">
        <f t="shared" ref="N73:N136" si="8">IF(AND(M73&gt;0,M73&lt;=0.25),0.25,IF(AND(M73&gt;0.25,M73&lt;=0.5),0.5,IF(AND(M73&gt;0.5,M73&lt;=0.75),0.75,ROUNDUP(M73,0))))</f>
        <v>65</v>
      </c>
      <c r="O73" s="103">
        <v>38</v>
      </c>
      <c r="P73" s="104">
        <f t="shared" ref="P73:P136" si="9">ROUNDUP(MAX(L73,O73),0)</f>
        <v>65</v>
      </c>
      <c r="Q73" s="105">
        <f t="shared" ref="Q73:Q136" si="10">P73*16</f>
        <v>1040</v>
      </c>
      <c r="R73" s="112" t="str">
        <f t="shared" ref="R73:R136" si="11">IF(RIGHT(S73,13)="standard-size","Standard-size","Oversize")</f>
        <v>Oversize</v>
      </c>
      <c r="S73" s="99" t="str">
        <f t="shared" ref="S73:S136" si="12">IF(AND($P73&lt;=$J$50,$H73&lt;=$G$50,$I73&lt;=$H$50,$J73&lt;=$I$50),$A$50,IF(AND($P73&lt;=$J$51,$H73&lt;=$G$51,$I73&lt;=$H$51,$J73&lt;=$I$51),$A$51,IF(AND($H73&lt;=$G$52,$I73&lt;=$H$52,$J73&lt;=$I$52,$P73&lt;=$J$52),$A$52,IF(AND($P73&lt;=$J$53,OR(H$8&gt;$G$53,$I73&gt;$H$53,$J73&gt;$I$53)),$A$53,IF(AND($P73&gt;$J$53,$P73&lt;=$J$54),$A$54,IF(AND($P73&gt;$J$54,$P73&lt;=$J$55),$A$55,$A$56))))))</f>
        <v>Extra-large 50+ to 70 lb</v>
      </c>
      <c r="T73" s="101" t="s">
        <v>13689</v>
      </c>
      <c r="U73" s="101">
        <f t="shared" ref="U73:U136" si="13">(H73*I73*J73)/1728</f>
        <v>5.2228009259259256</v>
      </c>
      <c r="V73" s="101" t="s">
        <v>13583</v>
      </c>
      <c r="W73" s="101" t="s">
        <v>13690</v>
      </c>
      <c r="X73" s="101" t="s">
        <v>13691</v>
      </c>
      <c r="Y73" s="101">
        <v>2</v>
      </c>
      <c r="Z73" s="101">
        <v>5</v>
      </c>
      <c r="AA73" s="101">
        <v>1</v>
      </c>
      <c r="AB73" s="101"/>
      <c r="AC73" s="101"/>
      <c r="AD73" s="106">
        <v>134.94169611650469</v>
      </c>
      <c r="AE73" s="102">
        <f t="shared" ref="AE73:AE136" si="14">-AD73*0.15</f>
        <v>-20.241254417475702</v>
      </c>
      <c r="AF73" s="101">
        <f>-IFERROR(IFERROR(VLOOKUP(ROUNDUP($Q73,0),'FBA FEES'!$L$2:$Q$203,MATCH($S73,'FBA FEES'!$L$2:$Q$2,0),FALSE),VLOOKUP(ROUNDUP($Q73,0),'FBA FEES'!$C$6:$F$123,MATCH($S73,'FBA FEES'!$C$6:$F$6,0),FALSE)),0)</f>
        <v>-50.62</v>
      </c>
      <c r="AG73" s="101">
        <v>-7</v>
      </c>
      <c r="AH73" s="102">
        <f t="shared" ref="AH73:AH136" si="15">AE73+AF73</f>
        <v>-70.861254417475692</v>
      </c>
      <c r="AI73" s="101">
        <f>-IFERROR(IF($Y73=1,INDEX('[1]REMOVAL FEES'!$A$1:$C$22,MATCH(CONCATENATE("Standard Size",$P73),'[1]REMOVAL FEES'!$A$1:$A$22,0),3),IF($Y73=2,IF($P73&gt;10,(($P73-10)*1.06)+INDEX('[1]REMOVAL FEES'!$E$1:$G$22,MATCH(CONCATENATE("Large bulky, extra-large and special handling items",IF($P73&gt;=11,11,$P73)),'[1]REMOVAL FEES'!$E$1:$E$13,0),3),INDEX('[1]REMOVAL FEES'!$E$1:$G$22,MATCH(CONCATENATE("Large bulky, extra-large and special handling items",IF($P73&gt;=11,11,$P73)),'[1]REMOVAL FEES'!$E$1:$E$13,0),3))))*$AA73,FALSE)</f>
        <v>-72.62</v>
      </c>
      <c r="AJ73" s="106">
        <f t="shared" ref="AJ73:AJ136" si="16">AH73+AI73</f>
        <v>-143.4812544174757</v>
      </c>
      <c r="AK73" s="106">
        <v>-46.262718446602001</v>
      </c>
      <c r="AL73" s="106">
        <v>-17.903849346971828</v>
      </c>
      <c r="AM73" s="106">
        <f t="shared" ref="AM73:AM136" si="17">AK73+AL73</f>
        <v>-64.166567793573833</v>
      </c>
      <c r="AN73" s="101">
        <f>(-IF($V73="Yes", IF($X73="Yes", VLOOKUP($W73, '[1]Storage Fees'!A:M, 13, FALSE), VLOOKUP($W73, '[1]Storage Fees'!A:M, 10, FALSE)), IF($X73="Yes", VLOOKUP($W73, '[1]Storage Fees'!A:M, 7, FALSE), VLOOKUP($W73, '[1]Storage Fees'!A:M, 4, FALSE))) * U73)*1.5</f>
        <v>-6.1890190972222232</v>
      </c>
    </row>
    <row r="74" spans="1:40" x14ac:dyDescent="0.25">
      <c r="A74" s="99">
        <v>2</v>
      </c>
      <c r="B74" s="99" t="s">
        <v>55</v>
      </c>
      <c r="C74" s="99"/>
      <c r="D74" s="99"/>
      <c r="E74" s="99" t="s">
        <v>54</v>
      </c>
      <c r="F74" s="99" t="s">
        <v>58</v>
      </c>
      <c r="G74" s="99" t="s">
        <v>13656</v>
      </c>
      <c r="H74" s="99">
        <v>25</v>
      </c>
      <c r="I74" s="99">
        <v>7</v>
      </c>
      <c r="J74" s="99">
        <v>7</v>
      </c>
      <c r="K74" s="101" t="str">
        <f t="shared" si="5"/>
        <v>25x7x7</v>
      </c>
      <c r="L74" s="102">
        <f t="shared" si="6"/>
        <v>8.8129496402877692</v>
      </c>
      <c r="M74" s="113">
        <f t="shared" si="7"/>
        <v>8.8129496402877692</v>
      </c>
      <c r="N74" s="113">
        <f t="shared" si="8"/>
        <v>9</v>
      </c>
      <c r="O74" s="99">
        <v>5</v>
      </c>
      <c r="P74" s="113">
        <f t="shared" si="9"/>
        <v>9</v>
      </c>
      <c r="Q74" s="112">
        <f t="shared" si="10"/>
        <v>144</v>
      </c>
      <c r="R74" s="112" t="str">
        <f t="shared" si="11"/>
        <v>Oversize</v>
      </c>
      <c r="S74" s="99" t="str">
        <f t="shared" si="12"/>
        <v>Large bulky</v>
      </c>
      <c r="T74" s="116" t="s">
        <v>13692</v>
      </c>
      <c r="U74" s="116">
        <f t="shared" si="13"/>
        <v>0.70891203703703709</v>
      </c>
      <c r="V74" s="116" t="s">
        <v>13583</v>
      </c>
      <c r="W74" s="116" t="s">
        <v>13690</v>
      </c>
      <c r="X74" s="116" t="s">
        <v>13691</v>
      </c>
      <c r="Y74" s="116">
        <v>2</v>
      </c>
      <c r="Z74" s="116">
        <v>3</v>
      </c>
      <c r="AA74" s="116">
        <v>1</v>
      </c>
      <c r="AB74" s="99"/>
      <c r="AC74" s="99"/>
      <c r="AD74" s="107">
        <v>31.675062857142851</v>
      </c>
      <c r="AE74" s="113">
        <f t="shared" si="14"/>
        <v>-4.7512594285714274</v>
      </c>
      <c r="AF74" s="116">
        <f>-IFERROR(IFERROR(VLOOKUP(ROUNDUP($Q74,0),'FBA FEES'!$L$2:$Q$203,MATCH($S74,'FBA FEES'!$L$2:$Q$2,0),FALSE),VLOOKUP(ROUNDUP($Q74,0),'FBA FEES'!$C$6:$F$123,MATCH($S74,'FBA FEES'!$C$6:$F$6,0),FALSE)),0)</f>
        <v>-12.649999999999999</v>
      </c>
      <c r="AG74" s="116">
        <v>-7</v>
      </c>
      <c r="AH74" s="113">
        <f t="shared" si="15"/>
        <v>-17.401259428571425</v>
      </c>
      <c r="AI74" s="116">
        <f>-IFERROR(IF($Y74=1,INDEX('[1]REMOVAL FEES'!$A$1:$C$22,MATCH(CONCATENATE("Standard Size",$P74),'[1]REMOVAL FEES'!$A$1:$A$22,0),3),IF($Y74=2,IF($P74&gt;10,(($P74-10)*1.06)+INDEX('[1]REMOVAL FEES'!$E$1:$G$22,MATCH(CONCATENATE("Large bulky, extra-large and special handling items",IF($P74&gt;=11,11,$P74)),'[1]REMOVAL FEES'!$E$1:$E$13,0),3),INDEX('[1]REMOVAL FEES'!$E$1:$G$22,MATCH(CONCATENATE("Large bulky, extra-large and special handling items",IF($P74&gt;=11,11,$P74)),'[1]REMOVAL FEES'!$E$1:$E$13,0),3))))*$AA74,FALSE)</f>
        <v>-10.039999999999999</v>
      </c>
      <c r="AJ74" s="107">
        <f t="shared" si="16"/>
        <v>-27.441259428571424</v>
      </c>
      <c r="AK74" s="107">
        <v>-6.0780000000000074</v>
      </c>
      <c r="AL74" s="107">
        <v>-6.2374985347985374</v>
      </c>
      <c r="AM74" s="107">
        <f t="shared" si="17"/>
        <v>-12.315498534798545</v>
      </c>
      <c r="AN74" s="116">
        <f>(-IF($V74="Yes", IF($X74="Yes", VLOOKUP($W74, '[1]Storage Fees'!A:M, 13, FALSE), VLOOKUP($W74, '[1]Storage Fees'!A:M, 10, FALSE)), IF($X74="Yes", VLOOKUP($W74, '[1]Storage Fees'!A:M, 7, FALSE), VLOOKUP($W74, '[1]Storage Fees'!A:M, 4, FALSE))) * U74)*1.5</f>
        <v>-0.84006076388888895</v>
      </c>
    </row>
    <row r="75" spans="1:40" x14ac:dyDescent="0.25">
      <c r="A75" s="99">
        <v>3</v>
      </c>
      <c r="B75" s="99" t="s">
        <v>55</v>
      </c>
      <c r="C75" s="99"/>
      <c r="D75" s="99"/>
      <c r="E75" s="99" t="s">
        <v>54</v>
      </c>
      <c r="F75" s="99" t="s">
        <v>60</v>
      </c>
      <c r="G75" s="99" t="s">
        <v>13656</v>
      </c>
      <c r="H75" s="99">
        <v>26</v>
      </c>
      <c r="I75" s="99">
        <v>11</v>
      </c>
      <c r="J75" s="99">
        <v>11</v>
      </c>
      <c r="K75" s="101" t="str">
        <f t="shared" si="5"/>
        <v>26x11x11</v>
      </c>
      <c r="L75" s="102">
        <f t="shared" si="6"/>
        <v>22.633093525179856</v>
      </c>
      <c r="M75" s="113">
        <f t="shared" si="7"/>
        <v>22.633093525179856</v>
      </c>
      <c r="N75" s="113">
        <f t="shared" si="8"/>
        <v>23</v>
      </c>
      <c r="O75" s="99">
        <v>11</v>
      </c>
      <c r="P75" s="113">
        <f t="shared" si="9"/>
        <v>23</v>
      </c>
      <c r="Q75" s="112">
        <f t="shared" si="10"/>
        <v>368</v>
      </c>
      <c r="R75" s="112" t="str">
        <f t="shared" si="11"/>
        <v>Oversize</v>
      </c>
      <c r="S75" s="99" t="str">
        <f t="shared" si="12"/>
        <v>Large bulky</v>
      </c>
      <c r="T75" s="116" t="s">
        <v>13692</v>
      </c>
      <c r="U75" s="116">
        <f t="shared" si="13"/>
        <v>1.8206018518518519</v>
      </c>
      <c r="V75" s="116" t="s">
        <v>13583</v>
      </c>
      <c r="W75" s="116" t="s">
        <v>13690</v>
      </c>
      <c r="X75" s="116" t="s">
        <v>13691</v>
      </c>
      <c r="Y75" s="116">
        <v>2</v>
      </c>
      <c r="Z75" s="116">
        <v>3</v>
      </c>
      <c r="AA75" s="116">
        <v>1</v>
      </c>
      <c r="AB75" s="99"/>
      <c r="AC75" s="99"/>
      <c r="AD75" s="107">
        <v>55.427924528301837</v>
      </c>
      <c r="AE75" s="113">
        <f t="shared" si="14"/>
        <v>-8.3141886792452748</v>
      </c>
      <c r="AF75" s="116">
        <f>-IFERROR(IFERROR(VLOOKUP(ROUNDUP($Q75,0),'FBA FEES'!$L$2:$Q$203,MATCH($S75,'FBA FEES'!$L$2:$Q$2,0),FALSE),VLOOKUP(ROUNDUP($Q75,0),'FBA FEES'!$C$6:$F$123,MATCH($S75,'FBA FEES'!$C$6:$F$6,0),FALSE)),0)</f>
        <v>-17.97</v>
      </c>
      <c r="AG75" s="116">
        <v>-7</v>
      </c>
      <c r="AH75" s="113">
        <f t="shared" si="15"/>
        <v>-26.284188679245275</v>
      </c>
      <c r="AI75" s="116">
        <f>-IFERROR(IF($Y75=1,INDEX('[1]REMOVAL FEES'!$A$1:$C$22,MATCH(CONCATENATE("Standard Size",$P75),'[1]REMOVAL FEES'!$A$1:$A$22,0),3),IF($Y75=2,IF($P75&gt;10,(($P75-10)*1.06)+INDEX('[1]REMOVAL FEES'!$E$1:$G$22,MATCH(CONCATENATE("Large bulky, extra-large and special handling items",IF($P75&gt;=11,11,$P75)),'[1]REMOVAL FEES'!$E$1:$E$13,0),3),INDEX('[1]REMOVAL FEES'!$E$1:$G$22,MATCH(CONCATENATE("Large bulky, extra-large and special handling items",IF($P75&gt;=11,11,$P75)),'[1]REMOVAL FEES'!$E$1:$E$13,0),3))))*$AA75,FALSE)</f>
        <v>-28.1</v>
      </c>
      <c r="AJ75" s="107">
        <f t="shared" si="16"/>
        <v>-54.384188679245277</v>
      </c>
      <c r="AK75" s="107">
        <v>-12.975157232704399</v>
      </c>
      <c r="AL75" s="107">
        <v>-7.7312379831855784</v>
      </c>
      <c r="AM75" s="107">
        <f t="shared" si="17"/>
        <v>-20.706395215889977</v>
      </c>
      <c r="AN75" s="116">
        <f>(-IF($V75="Yes", IF($X75="Yes", VLOOKUP($W75, '[1]Storage Fees'!A:M, 13, FALSE), VLOOKUP($W75, '[1]Storage Fees'!A:M, 10, FALSE)), IF($X75="Yes", VLOOKUP($W75, '[1]Storage Fees'!A:M, 7, FALSE), VLOOKUP($W75, '[1]Storage Fees'!A:M, 4, FALSE))) * U75)*1.5</f>
        <v>-2.1574131944444446</v>
      </c>
    </row>
    <row r="76" spans="1:40" x14ac:dyDescent="0.25">
      <c r="A76" s="99">
        <v>4</v>
      </c>
      <c r="B76" s="99" t="s">
        <v>55</v>
      </c>
      <c r="C76" s="99"/>
      <c r="D76" s="99"/>
      <c r="E76" s="99" t="s">
        <v>54</v>
      </c>
      <c r="F76" s="99" t="s">
        <v>62</v>
      </c>
      <c r="G76" s="99" t="s">
        <v>13656</v>
      </c>
      <c r="H76" s="99">
        <v>25</v>
      </c>
      <c r="I76" s="99">
        <v>18</v>
      </c>
      <c r="J76" s="99">
        <v>18</v>
      </c>
      <c r="K76" s="101" t="str">
        <f t="shared" si="5"/>
        <v>25x18x18</v>
      </c>
      <c r="L76" s="102">
        <f t="shared" si="6"/>
        <v>58.273381294964025</v>
      </c>
      <c r="M76" s="113">
        <f t="shared" si="7"/>
        <v>58.273381294964025</v>
      </c>
      <c r="N76" s="113">
        <f t="shared" si="8"/>
        <v>59</v>
      </c>
      <c r="O76" s="99">
        <v>30</v>
      </c>
      <c r="P76" s="113">
        <f t="shared" si="9"/>
        <v>59</v>
      </c>
      <c r="Q76" s="112">
        <f t="shared" si="10"/>
        <v>944</v>
      </c>
      <c r="R76" s="112" t="str">
        <f t="shared" si="11"/>
        <v>Oversize</v>
      </c>
      <c r="S76" s="99" t="str">
        <f t="shared" si="12"/>
        <v>Extra-large 50+ to 70 lb</v>
      </c>
      <c r="T76" s="116" t="s">
        <v>13689</v>
      </c>
      <c r="U76" s="116">
        <f t="shared" si="13"/>
        <v>4.6875</v>
      </c>
      <c r="V76" s="116" t="s">
        <v>13583</v>
      </c>
      <c r="W76" s="116" t="s">
        <v>13690</v>
      </c>
      <c r="X76" s="116" t="s">
        <v>13691</v>
      </c>
      <c r="Y76" s="116">
        <v>2</v>
      </c>
      <c r="Z76" s="116">
        <v>5</v>
      </c>
      <c r="AA76" s="116">
        <v>1</v>
      </c>
      <c r="AB76" s="99"/>
      <c r="AC76" s="99"/>
      <c r="AD76" s="107">
        <v>118.6616279069767</v>
      </c>
      <c r="AE76" s="113">
        <f t="shared" si="14"/>
        <v>-17.799244186046504</v>
      </c>
      <c r="AF76" s="116">
        <f>-IFERROR(IFERROR(VLOOKUP(ROUNDUP($Q76,0),'FBA FEES'!$L$2:$Q$203,MATCH($S76,'FBA FEES'!$L$2:$Q$2,0),FALSE),VLOOKUP(ROUNDUP($Q76,0),'FBA FEES'!$C$6:$F$123,MATCH($S76,'FBA FEES'!$C$6:$F$6,0),FALSE)),0)</f>
        <v>-46.12</v>
      </c>
      <c r="AG76" s="116">
        <v>-7</v>
      </c>
      <c r="AH76" s="113">
        <f t="shared" si="15"/>
        <v>-63.919244186046498</v>
      </c>
      <c r="AI76" s="116">
        <f>-IFERROR(IF($Y76=1,INDEX('[1]REMOVAL FEES'!$A$1:$C$22,MATCH(CONCATENATE("Standard Size",$P76),'[1]REMOVAL FEES'!$A$1:$A$22,0),3),IF($Y76=2,IF($P76&gt;10,(($P76-10)*1.06)+INDEX('[1]REMOVAL FEES'!$E$1:$G$22,MATCH(CONCATENATE("Large bulky, extra-large and special handling items",IF($P76&gt;=11,11,$P76)),'[1]REMOVAL FEES'!$E$1:$E$13,0),3),INDEX('[1]REMOVAL FEES'!$E$1:$G$22,MATCH(CONCATENATE("Large bulky, extra-large and special handling items",IF($P76&gt;=11,11,$P76)),'[1]REMOVAL FEES'!$E$1:$E$13,0),3))))*$AA76,FALSE)</f>
        <v>-66.260000000000005</v>
      </c>
      <c r="AJ76" s="107">
        <f t="shared" si="16"/>
        <v>-130.1792441860465</v>
      </c>
      <c r="AK76" s="107">
        <v>-36.613953488372097</v>
      </c>
      <c r="AL76" s="107">
        <v>-14.377570570641771</v>
      </c>
      <c r="AM76" s="107">
        <f t="shared" si="17"/>
        <v>-50.991524059013869</v>
      </c>
      <c r="AN76" s="116">
        <f>(-IF($V76="Yes", IF($X76="Yes", VLOOKUP($W76, '[1]Storage Fees'!A:M, 13, FALSE), VLOOKUP($W76, '[1]Storage Fees'!A:M, 10, FALSE)), IF($X76="Yes", VLOOKUP($W76, '[1]Storage Fees'!A:M, 7, FALSE), VLOOKUP($W76, '[1]Storage Fees'!A:M, 4, FALSE))) * U76)*1.5</f>
        <v>-5.5546875</v>
      </c>
    </row>
    <row r="77" spans="1:40" x14ac:dyDescent="0.25">
      <c r="A77" s="99">
        <v>5</v>
      </c>
      <c r="B77" s="99" t="s">
        <v>55</v>
      </c>
      <c r="C77" s="99"/>
      <c r="D77" s="99"/>
      <c r="E77" s="99" t="s">
        <v>54</v>
      </c>
      <c r="F77" s="108" t="s">
        <v>64</v>
      </c>
      <c r="G77" s="99" t="s">
        <v>13656</v>
      </c>
      <c r="H77" s="99">
        <v>25</v>
      </c>
      <c r="I77" s="99">
        <v>19</v>
      </c>
      <c r="J77" s="99">
        <v>19</v>
      </c>
      <c r="K77" s="101" t="str">
        <f t="shared" si="5"/>
        <v>25x19x19</v>
      </c>
      <c r="L77" s="102">
        <f t="shared" si="6"/>
        <v>64.928057553956833</v>
      </c>
      <c r="M77" s="113">
        <f t="shared" si="7"/>
        <v>64.928057553956833</v>
      </c>
      <c r="N77" s="113">
        <f t="shared" si="8"/>
        <v>65</v>
      </c>
      <c r="O77" s="99">
        <v>35</v>
      </c>
      <c r="P77" s="113">
        <f t="shared" si="9"/>
        <v>65</v>
      </c>
      <c r="Q77" s="112">
        <f t="shared" si="10"/>
        <v>1040</v>
      </c>
      <c r="R77" s="112" t="str">
        <f t="shared" si="11"/>
        <v>Oversize</v>
      </c>
      <c r="S77" s="99" t="str">
        <f t="shared" si="12"/>
        <v>Extra-large 50+ to 70 lb</v>
      </c>
      <c r="T77" s="116" t="s">
        <v>13689</v>
      </c>
      <c r="U77" s="116">
        <f t="shared" si="13"/>
        <v>5.2228009259259256</v>
      </c>
      <c r="V77" s="116" t="s">
        <v>13583</v>
      </c>
      <c r="W77" s="116" t="s">
        <v>13690</v>
      </c>
      <c r="X77" s="116" t="s">
        <v>13691</v>
      </c>
      <c r="Y77" s="116">
        <v>2</v>
      </c>
      <c r="Z77" s="116">
        <v>5</v>
      </c>
      <c r="AA77" s="116">
        <v>1</v>
      </c>
      <c r="AB77" s="99"/>
      <c r="AC77" s="99"/>
      <c r="AD77" s="107">
        <v>150</v>
      </c>
      <c r="AE77" s="113">
        <f t="shared" si="14"/>
        <v>-22.5</v>
      </c>
      <c r="AF77" s="118">
        <f>-IFERROR(IFERROR(VLOOKUP(ROUNDUP($Q77,0),'FBA FEES'!$L$2:$Q$203,MATCH($S77,'FBA FEES'!$L$2:$Q$2,0),FALSE),VLOOKUP(ROUNDUP($Q77,0),'FBA FEES'!$C$6:$F$123,MATCH($S77,'FBA FEES'!$C$6:$F$6,0),FALSE)),0)</f>
        <v>-50.62</v>
      </c>
      <c r="AG77" s="116">
        <v>-7</v>
      </c>
      <c r="AH77" s="113">
        <f t="shared" si="15"/>
        <v>-73.12</v>
      </c>
      <c r="AI77" s="118">
        <f>-IFERROR(IF($Y77=1,INDEX('[1]REMOVAL FEES'!$A$1:$C$22,MATCH(CONCATENATE("Standard Size",$P77),'[1]REMOVAL FEES'!$A$1:$A$22,0),3),IF($Y77=2,IF($P77&gt;10,(($P77-10)*1.06)+INDEX('[1]REMOVAL FEES'!$E$1:$G$22,MATCH(CONCATENATE("Large bulky, extra-large and special handling items",IF($P77&gt;=11,11,$P77)),'[1]REMOVAL FEES'!$E$1:$E$13,0),3),INDEX('[1]REMOVAL FEES'!$E$1:$G$22,MATCH(CONCATENATE("Large bulky, extra-large and special handling items",IF($P77&gt;=11,11,$P77)),'[1]REMOVAL FEES'!$E$1:$E$13,0),3))))*$AA77,FALSE)</f>
        <v>-72.62</v>
      </c>
      <c r="AJ77" s="107">
        <f t="shared" si="16"/>
        <v>-145.74</v>
      </c>
      <c r="AK77" s="107">
        <v>-44.811279461279867</v>
      </c>
      <c r="AL77" s="107">
        <v>-17.578662191731379</v>
      </c>
      <c r="AM77" s="107">
        <f t="shared" si="17"/>
        <v>-62.389941653011249</v>
      </c>
      <c r="AN77" s="118">
        <f>(-IF($V77="Yes", IF($X77="Yes", VLOOKUP($W77, '[1]Storage Fees'!A:M, 13, FALSE), VLOOKUP($W77, '[1]Storage Fees'!A:M, 10, FALSE)), IF($X77="Yes", VLOOKUP($W77, '[1]Storage Fees'!A:M, 7, FALSE), VLOOKUP($W77, '[1]Storage Fees'!A:M, 4, FALSE))) * U77)*1.5</f>
        <v>-6.1890190972222232</v>
      </c>
    </row>
    <row r="78" spans="1:40" x14ac:dyDescent="0.25">
      <c r="A78" s="99">
        <v>6</v>
      </c>
      <c r="B78" s="99" t="s">
        <v>55</v>
      </c>
      <c r="C78" s="99"/>
      <c r="D78" s="99"/>
      <c r="E78" s="99" t="s">
        <v>54</v>
      </c>
      <c r="F78" s="99" t="s">
        <v>66</v>
      </c>
      <c r="G78" s="99" t="s">
        <v>13656</v>
      </c>
      <c r="H78" s="99">
        <v>12</v>
      </c>
      <c r="I78" s="99">
        <v>12</v>
      </c>
      <c r="J78" s="99">
        <v>5</v>
      </c>
      <c r="K78" s="101" t="str">
        <f t="shared" si="5"/>
        <v>12x12x5</v>
      </c>
      <c r="L78" s="102">
        <f t="shared" si="6"/>
        <v>5.1798561151079134</v>
      </c>
      <c r="M78" s="113">
        <f t="shared" si="7"/>
        <v>5.1798561151079134</v>
      </c>
      <c r="N78" s="113">
        <f t="shared" si="8"/>
        <v>6</v>
      </c>
      <c r="O78" s="99">
        <v>3</v>
      </c>
      <c r="P78" s="113">
        <f t="shared" si="9"/>
        <v>6</v>
      </c>
      <c r="Q78" s="112">
        <f t="shared" si="10"/>
        <v>96</v>
      </c>
      <c r="R78" s="112" t="str">
        <f t="shared" si="11"/>
        <v>Standard-size</v>
      </c>
      <c r="S78" s="99" t="str">
        <f t="shared" si="12"/>
        <v>Large standard-size</v>
      </c>
      <c r="T78" s="116" t="s">
        <v>13693</v>
      </c>
      <c r="U78" s="116">
        <f t="shared" si="13"/>
        <v>0.41666666666666669</v>
      </c>
      <c r="V78" s="116" t="s">
        <v>13583</v>
      </c>
      <c r="W78" s="116" t="s">
        <v>13690</v>
      </c>
      <c r="X78" s="99" t="s">
        <v>13583</v>
      </c>
      <c r="Y78" s="99">
        <v>1</v>
      </c>
      <c r="Z78" s="99">
        <v>2</v>
      </c>
      <c r="AA78" s="99">
        <v>1</v>
      </c>
      <c r="AB78" s="99"/>
      <c r="AC78" s="99"/>
      <c r="AD78" s="107">
        <v>20.482500000000009</v>
      </c>
      <c r="AE78" s="113">
        <f t="shared" si="14"/>
        <v>-3.0723750000000014</v>
      </c>
      <c r="AF78" s="116">
        <f>-IFERROR(IFERROR(VLOOKUP(ROUNDUP($Q78,0),'FBA FEES'!$L$2:$Q$203,MATCH($S78,'FBA FEES'!$L$2:$Q$2,0),FALSE),VLOOKUP(ROUNDUP($Q78,0),'FBA FEES'!$C$6:$F$123,MATCH($S78,'FBA FEES'!$C$6:$F$6,0),FALSE)),0)</f>
        <v>-7.88</v>
      </c>
      <c r="AG78" s="116">
        <v>-2</v>
      </c>
      <c r="AH78" s="113">
        <f t="shared" si="15"/>
        <v>-10.952375000000002</v>
      </c>
      <c r="AI78" s="116">
        <f>-IFERROR(IF($Y78=1,INDEX('[1]REMOVAL FEES'!$A$1:$C$22,MATCH(CONCATENATE("Standard Size",$P78),'[1]REMOVAL FEES'!$A$1:$A$22,0),3),IF($Y78=2,IF($P78&gt;10,(($P78-10)*1.06)+INDEX('[1]REMOVAL FEES'!$E$1:$G$22,MATCH(CONCATENATE("Large bulky, extra-large and special handling items",IF($P78&gt;=11,11,$P78)),'[1]REMOVAL FEES'!$E$1:$E$13,0),3),INDEX('[1]REMOVAL FEES'!$E$1:$G$22,MATCH(CONCATENATE("Large bulky, extra-large and special handling items",IF($P78&gt;=11,11,$P78)),'[1]REMOVAL FEES'!$E$1:$E$13,0),3))))*$AA78,FALSE)</f>
        <v>-7.1300000000000008</v>
      </c>
      <c r="AJ78" s="107">
        <f t="shared" si="16"/>
        <v>-18.082375000000003</v>
      </c>
      <c r="AK78" s="107">
        <v>-3.5727586206896591</v>
      </c>
      <c r="AL78" s="107">
        <v>-1.449185344827588</v>
      </c>
      <c r="AM78" s="107">
        <f t="shared" si="17"/>
        <v>-5.0219439655172469</v>
      </c>
      <c r="AN78" s="116">
        <f>(-IF($V78="Yes", IF($X78="Yes", VLOOKUP($W78, '[1]Storage Fees'!A:M, 13, FALSE), VLOOKUP($W78, '[1]Storage Fees'!A:M, 10, FALSE)), IF($X78="Yes", VLOOKUP($W78, '[1]Storage Fees'!A:M, 7, FALSE), VLOOKUP($W78, '[1]Storage Fees'!A:M, 4, FALSE))) * U78)*1.5</f>
        <v>-0.76249999999999996</v>
      </c>
    </row>
    <row r="79" spans="1:40" x14ac:dyDescent="0.25">
      <c r="A79" s="99">
        <v>7</v>
      </c>
      <c r="B79" s="99" t="s">
        <v>55</v>
      </c>
      <c r="C79" s="99"/>
      <c r="D79" s="99"/>
      <c r="E79" s="99" t="s">
        <v>54</v>
      </c>
      <c r="F79" s="99" t="s">
        <v>68</v>
      </c>
      <c r="G79" s="99" t="s">
        <v>13656</v>
      </c>
      <c r="H79" s="99">
        <v>25</v>
      </c>
      <c r="I79" s="99">
        <v>9</v>
      </c>
      <c r="J79" s="99">
        <v>9</v>
      </c>
      <c r="K79" s="101" t="str">
        <f t="shared" si="5"/>
        <v>25x9x9</v>
      </c>
      <c r="L79" s="102">
        <f t="shared" si="6"/>
        <v>14.568345323741006</v>
      </c>
      <c r="M79" s="113">
        <f t="shared" si="7"/>
        <v>14.568345323741006</v>
      </c>
      <c r="N79" s="113">
        <f t="shared" si="8"/>
        <v>15</v>
      </c>
      <c r="O79" s="99">
        <v>7</v>
      </c>
      <c r="P79" s="113">
        <f t="shared" si="9"/>
        <v>15</v>
      </c>
      <c r="Q79" s="112">
        <f t="shared" si="10"/>
        <v>240</v>
      </c>
      <c r="R79" s="112" t="str">
        <f t="shared" si="11"/>
        <v>Oversize</v>
      </c>
      <c r="S79" s="99" t="str">
        <f t="shared" si="12"/>
        <v>Large bulky</v>
      </c>
      <c r="T79" s="116" t="s">
        <v>13692</v>
      </c>
      <c r="U79" s="116">
        <f t="shared" si="13"/>
        <v>1.171875</v>
      </c>
      <c r="V79" s="116" t="s">
        <v>13583</v>
      </c>
      <c r="W79" s="116" t="s">
        <v>13690</v>
      </c>
      <c r="X79" s="116" t="s">
        <v>13691</v>
      </c>
      <c r="Y79" s="116">
        <v>2</v>
      </c>
      <c r="Z79" s="116">
        <v>3</v>
      </c>
      <c r="AA79" s="116">
        <v>1</v>
      </c>
      <c r="AB79" s="99"/>
      <c r="AC79" s="99"/>
      <c r="AD79" s="107">
        <v>39.741111111111067</v>
      </c>
      <c r="AE79" s="113">
        <f t="shared" si="14"/>
        <v>-5.9611666666666601</v>
      </c>
      <c r="AF79" s="116">
        <f>-IFERROR(IFERROR(VLOOKUP(ROUNDUP($Q79,0),'FBA FEES'!$L$2:$Q$203,MATCH($S79,'FBA FEES'!$L$2:$Q$2,0),FALSE),VLOOKUP(ROUNDUP($Q79,0),'FBA FEES'!$C$6:$F$123,MATCH($S79,'FBA FEES'!$C$6:$F$6,0),FALSE)),0)</f>
        <v>-14.93</v>
      </c>
      <c r="AG79" s="116">
        <v>-7</v>
      </c>
      <c r="AH79" s="113">
        <f t="shared" si="15"/>
        <v>-20.89116666666666</v>
      </c>
      <c r="AI79" s="116">
        <f>-IFERROR(IF($Y79=1,INDEX('[1]REMOVAL FEES'!$A$1:$C$22,MATCH(CONCATENATE("Standard Size",$P79),'[1]REMOVAL FEES'!$A$1:$A$22,0),3),IF($Y79=2,IF($P79&gt;10,(($P79-10)*1.06)+INDEX('[1]REMOVAL FEES'!$E$1:$G$22,MATCH(CONCATENATE("Large bulky, extra-large and special handling items",IF($P79&gt;=11,11,$P79)),'[1]REMOVAL FEES'!$E$1:$E$13,0),3),INDEX('[1]REMOVAL FEES'!$E$1:$G$22,MATCH(CONCATENATE("Large bulky, extra-large and special handling items",IF($P79&gt;=11,11,$P79)),'[1]REMOVAL FEES'!$E$1:$E$13,0),3))))*$AA79,FALSE)</f>
        <v>-19.62</v>
      </c>
      <c r="AJ79" s="107">
        <f t="shared" si="16"/>
        <v>-40.511166666666661</v>
      </c>
      <c r="AK79" s="107">
        <v>-8.5095833333333246</v>
      </c>
      <c r="AL79" s="107">
        <v>-6.9585021604938309</v>
      </c>
      <c r="AM79" s="107">
        <f t="shared" si="17"/>
        <v>-15.468085493827155</v>
      </c>
      <c r="AN79" s="116">
        <f>(-IF($V79="Yes", IF($X79="Yes", VLOOKUP($W79, '[1]Storage Fees'!A:M, 13, FALSE), VLOOKUP($W79, '[1]Storage Fees'!A:M, 10, FALSE)), IF($X79="Yes", VLOOKUP($W79, '[1]Storage Fees'!A:M, 7, FALSE), VLOOKUP($W79, '[1]Storage Fees'!A:M, 4, FALSE))) * U79)*1.5</f>
        <v>-1.388671875</v>
      </c>
    </row>
    <row r="80" spans="1:40" x14ac:dyDescent="0.25">
      <c r="A80" s="99">
        <v>8</v>
      </c>
      <c r="B80" s="99" t="s">
        <v>55</v>
      </c>
      <c r="C80" s="99"/>
      <c r="D80" s="99"/>
      <c r="E80" s="99" t="s">
        <v>54</v>
      </c>
      <c r="F80" s="99" t="s">
        <v>70</v>
      </c>
      <c r="G80" s="99" t="s">
        <v>13656</v>
      </c>
      <c r="H80" s="99">
        <v>25</v>
      </c>
      <c r="I80" s="99">
        <v>10</v>
      </c>
      <c r="J80" s="99">
        <v>10</v>
      </c>
      <c r="K80" s="101" t="str">
        <f t="shared" si="5"/>
        <v>25x10x10</v>
      </c>
      <c r="L80" s="102">
        <f t="shared" si="6"/>
        <v>17.985611510791365</v>
      </c>
      <c r="M80" s="113">
        <f t="shared" si="7"/>
        <v>17.985611510791365</v>
      </c>
      <c r="N80" s="113">
        <f t="shared" si="8"/>
        <v>18</v>
      </c>
      <c r="O80" s="99">
        <v>12</v>
      </c>
      <c r="P80" s="113">
        <f t="shared" si="9"/>
        <v>18</v>
      </c>
      <c r="Q80" s="112">
        <f t="shared" si="10"/>
        <v>288</v>
      </c>
      <c r="R80" s="112" t="str">
        <f t="shared" si="11"/>
        <v>Oversize</v>
      </c>
      <c r="S80" s="99" t="str">
        <f t="shared" si="12"/>
        <v>Large bulky</v>
      </c>
      <c r="T80" s="116" t="s">
        <v>13692</v>
      </c>
      <c r="U80" s="116">
        <f t="shared" si="13"/>
        <v>1.4467592592592593</v>
      </c>
      <c r="V80" s="116" t="s">
        <v>13583</v>
      </c>
      <c r="W80" s="116" t="s">
        <v>13690</v>
      </c>
      <c r="X80" s="116" t="s">
        <v>13691</v>
      </c>
      <c r="Y80" s="116">
        <v>2</v>
      </c>
      <c r="Z80" s="116">
        <v>3</v>
      </c>
      <c r="AA80" s="116">
        <v>1</v>
      </c>
      <c r="AB80" s="99"/>
      <c r="AC80" s="99"/>
      <c r="AD80" s="107">
        <v>0</v>
      </c>
      <c r="AE80" s="113">
        <f t="shared" si="14"/>
        <v>0</v>
      </c>
      <c r="AF80" s="116">
        <f>-IFERROR(IFERROR(VLOOKUP(ROUNDUP($Q80,0),'FBA FEES'!$L$2:$Q$203,MATCH($S80,'FBA FEES'!$L$2:$Q$2,0),FALSE),VLOOKUP(ROUNDUP($Q80,0),'FBA FEES'!$C$6:$F$123,MATCH($S80,'FBA FEES'!$C$6:$F$6,0),FALSE)),0)</f>
        <v>-16.07</v>
      </c>
      <c r="AG80" s="116">
        <v>-7</v>
      </c>
      <c r="AH80" s="113">
        <f t="shared" si="15"/>
        <v>-16.07</v>
      </c>
      <c r="AI80" s="116">
        <f>-IFERROR(IF($Y80=1,INDEX('[1]REMOVAL FEES'!$A$1:$C$22,MATCH(CONCATENATE("Standard Size",$P80),'[1]REMOVAL FEES'!$A$1:$A$22,0),3),IF($Y80=2,IF($P80&gt;10,(($P80-10)*1.06)+INDEX('[1]REMOVAL FEES'!$E$1:$G$22,MATCH(CONCATENATE("Large bulky, extra-large and special handling items",IF($P80&gt;=11,11,$P80)),'[1]REMOVAL FEES'!$E$1:$E$13,0),3),INDEX('[1]REMOVAL FEES'!$E$1:$G$22,MATCH(CONCATENATE("Large bulky, extra-large and special handling items",IF($P80&gt;=11,11,$P80)),'[1]REMOVAL FEES'!$E$1:$E$13,0),3))))*$AA80,FALSE)</f>
        <v>-22.8</v>
      </c>
      <c r="AJ80" s="107">
        <f t="shared" si="16"/>
        <v>-38.870000000000005</v>
      </c>
      <c r="AK80" s="107">
        <v>0</v>
      </c>
      <c r="AL80" s="107">
        <v>0</v>
      </c>
      <c r="AM80" s="107">
        <f t="shared" si="17"/>
        <v>0</v>
      </c>
      <c r="AN80" s="116">
        <f>(-IF($V80="Yes", IF($X80="Yes", VLOOKUP($W80, '[1]Storage Fees'!A:M, 13, FALSE), VLOOKUP($W80, '[1]Storage Fees'!A:M, 10, FALSE)), IF($X80="Yes", VLOOKUP($W80, '[1]Storage Fees'!A:M, 7, FALSE), VLOOKUP($W80, '[1]Storage Fees'!A:M, 4, FALSE))) * U80)*1.5</f>
        <v>-1.7144097222222223</v>
      </c>
    </row>
    <row r="81" spans="1:40" x14ac:dyDescent="0.25">
      <c r="A81" s="99">
        <v>9</v>
      </c>
      <c r="B81" s="99" t="s">
        <v>55</v>
      </c>
      <c r="C81" s="99"/>
      <c r="D81" s="99"/>
      <c r="E81" s="99" t="s">
        <v>54</v>
      </c>
      <c r="F81" s="99" t="s">
        <v>72</v>
      </c>
      <c r="G81" s="99" t="s">
        <v>13656</v>
      </c>
      <c r="H81" s="99">
        <v>25</v>
      </c>
      <c r="I81" s="99">
        <v>14</v>
      </c>
      <c r="J81" s="99">
        <v>14</v>
      </c>
      <c r="K81" s="101" t="str">
        <f t="shared" si="5"/>
        <v>25x14x14</v>
      </c>
      <c r="L81" s="102">
        <f t="shared" si="6"/>
        <v>35.251798561151077</v>
      </c>
      <c r="M81" s="113">
        <f t="shared" si="7"/>
        <v>35.251798561151077</v>
      </c>
      <c r="N81" s="113">
        <f t="shared" si="8"/>
        <v>36</v>
      </c>
      <c r="O81" s="99">
        <v>21.1875</v>
      </c>
      <c r="P81" s="113">
        <f t="shared" si="9"/>
        <v>36</v>
      </c>
      <c r="Q81" s="112">
        <f t="shared" si="10"/>
        <v>576</v>
      </c>
      <c r="R81" s="112" t="str">
        <f t="shared" si="11"/>
        <v>Oversize</v>
      </c>
      <c r="S81" s="99" t="str">
        <f t="shared" si="12"/>
        <v>Large bulky</v>
      </c>
      <c r="T81" s="116" t="s">
        <v>13694</v>
      </c>
      <c r="U81" s="116">
        <f t="shared" si="13"/>
        <v>2.8356481481481484</v>
      </c>
      <c r="V81" s="116" t="s">
        <v>13583</v>
      </c>
      <c r="W81" s="116" t="s">
        <v>13690</v>
      </c>
      <c r="X81" s="116" t="s">
        <v>13691</v>
      </c>
      <c r="Y81" s="116">
        <v>2</v>
      </c>
      <c r="Z81" s="116">
        <v>3</v>
      </c>
      <c r="AA81" s="116">
        <v>1</v>
      </c>
      <c r="AB81" s="99"/>
      <c r="AC81" s="99"/>
      <c r="AD81" s="107">
        <v>84.864684931507426</v>
      </c>
      <c r="AE81" s="113">
        <f t="shared" si="14"/>
        <v>-12.729702739726113</v>
      </c>
      <c r="AF81" s="116">
        <f>-IFERROR(IFERROR(VLOOKUP(ROUNDUP($Q81,0),'FBA FEES'!$L$2:$Q$203,MATCH($S81,'FBA FEES'!$L$2:$Q$2,0),FALSE),VLOOKUP(ROUNDUP($Q81,0),'FBA FEES'!$C$6:$F$123,MATCH($S81,'FBA FEES'!$C$6:$F$6,0),FALSE)),0)</f>
        <v>-22.91</v>
      </c>
      <c r="AG81" s="116">
        <v>-7</v>
      </c>
      <c r="AH81" s="113">
        <f t="shared" si="15"/>
        <v>-35.639702739726111</v>
      </c>
      <c r="AI81" s="116">
        <f>-IFERROR(IF($Y81=1,INDEX('[1]REMOVAL FEES'!$A$1:$C$22,MATCH(CONCATENATE("Standard Size",$P81),'[1]REMOVAL FEES'!$A$1:$A$22,0),3),IF($Y81=2,IF($P81&gt;10,(($P81-10)*1.06)+INDEX('[1]REMOVAL FEES'!$E$1:$G$22,MATCH(CONCATENATE("Large bulky, extra-large and special handling items",IF($P81&gt;=11,11,$P81)),'[1]REMOVAL FEES'!$E$1:$E$13,0),3),INDEX('[1]REMOVAL FEES'!$E$1:$G$22,MATCH(CONCATENATE("Large bulky, extra-large and special handling items",IF($P81&gt;=11,11,$P81)),'[1]REMOVAL FEES'!$E$1:$E$13,0),3))))*$AA81,FALSE)</f>
        <v>-41.88</v>
      </c>
      <c r="AJ81" s="107">
        <f t="shared" si="16"/>
        <v>-77.519702739726114</v>
      </c>
      <c r="AK81" s="107">
        <v>-24.410547945205359</v>
      </c>
      <c r="AL81" s="107">
        <v>-12.5122384445958</v>
      </c>
      <c r="AM81" s="107">
        <f t="shared" si="17"/>
        <v>-36.922786389801161</v>
      </c>
      <c r="AN81" s="116">
        <f>(-IF($V81="Yes", IF($X81="Yes", VLOOKUP($W81, '[1]Storage Fees'!A:M, 13, FALSE), VLOOKUP($W81, '[1]Storage Fees'!A:M, 10, FALSE)), IF($X81="Yes", VLOOKUP($W81, '[1]Storage Fees'!A:M, 7, FALSE), VLOOKUP($W81, '[1]Storage Fees'!A:M, 4, FALSE))) * U81)*1.5</f>
        <v>-3.3602430555555558</v>
      </c>
    </row>
    <row r="82" spans="1:40" x14ac:dyDescent="0.25">
      <c r="A82" s="99">
        <v>10</v>
      </c>
      <c r="B82" s="99" t="s">
        <v>55</v>
      </c>
      <c r="C82" s="99"/>
      <c r="D82" s="99"/>
      <c r="E82" s="99" t="s">
        <v>54</v>
      </c>
      <c r="F82" s="99" t="s">
        <v>74</v>
      </c>
      <c r="G82" s="99" t="s">
        <v>13656</v>
      </c>
      <c r="H82" s="99">
        <v>25</v>
      </c>
      <c r="I82" s="99">
        <v>6</v>
      </c>
      <c r="J82" s="99">
        <v>6</v>
      </c>
      <c r="K82" s="101" t="str">
        <f t="shared" si="5"/>
        <v>25x6x6</v>
      </c>
      <c r="L82" s="102">
        <f t="shared" si="6"/>
        <v>6.4748201438848918</v>
      </c>
      <c r="M82" s="113">
        <f t="shared" si="7"/>
        <v>6.4748201438848918</v>
      </c>
      <c r="N82" s="113">
        <f t="shared" si="8"/>
        <v>7</v>
      </c>
      <c r="O82" s="99">
        <v>3</v>
      </c>
      <c r="P82" s="113">
        <f t="shared" si="9"/>
        <v>7</v>
      </c>
      <c r="Q82" s="112">
        <f t="shared" si="10"/>
        <v>112</v>
      </c>
      <c r="R82" s="112" t="str">
        <f t="shared" si="11"/>
        <v>Oversize</v>
      </c>
      <c r="S82" s="99" t="str">
        <f t="shared" si="12"/>
        <v>Large bulky</v>
      </c>
      <c r="T82" s="116" t="s">
        <v>13692</v>
      </c>
      <c r="U82" s="116">
        <f t="shared" si="13"/>
        <v>0.52083333333333337</v>
      </c>
      <c r="V82" s="116" t="s">
        <v>13583</v>
      </c>
      <c r="W82" s="116" t="s">
        <v>13690</v>
      </c>
      <c r="X82" s="116" t="s">
        <v>13691</v>
      </c>
      <c r="Y82" s="116">
        <v>2</v>
      </c>
      <c r="Z82" s="116">
        <v>3</v>
      </c>
      <c r="AA82" s="116">
        <v>1</v>
      </c>
      <c r="AB82" s="99"/>
      <c r="AC82" s="99"/>
      <c r="AD82" s="107">
        <v>29.265098305084589</v>
      </c>
      <c r="AE82" s="113">
        <f t="shared" si="14"/>
        <v>-4.3897647457626885</v>
      </c>
      <c r="AF82" s="116">
        <f>-IFERROR(IFERROR(VLOOKUP(ROUNDUP($Q82,0),'FBA FEES'!$L$2:$Q$203,MATCH($S82,'FBA FEES'!$L$2:$Q$2,0),FALSE),VLOOKUP(ROUNDUP($Q82,0),'FBA FEES'!$C$6:$F$123,MATCH($S82,'FBA FEES'!$C$6:$F$6,0),FALSE)),0)</f>
        <v>-11.89</v>
      </c>
      <c r="AG82" s="116">
        <v>-7</v>
      </c>
      <c r="AH82" s="113">
        <f t="shared" si="15"/>
        <v>-16.279764745762691</v>
      </c>
      <c r="AI82" s="116">
        <f>-IFERROR(IF($Y82=1,INDEX('[1]REMOVAL FEES'!$A$1:$C$22,MATCH(CONCATENATE("Standard Size",$P82),'[1]REMOVAL FEES'!$A$1:$A$22,0),3),IF($Y82=2,IF($P82&gt;10,(($P82-10)*1.06)+INDEX('[1]REMOVAL FEES'!$E$1:$G$22,MATCH(CONCATENATE("Large bulky, extra-large and special handling items",IF($P82&gt;=11,11,$P82)),'[1]REMOVAL FEES'!$E$1:$E$13,0),3),INDEX('[1]REMOVAL FEES'!$E$1:$G$22,MATCH(CONCATENATE("Large bulky, extra-large and special handling items",IF($P82&gt;=11,11,$P82)),'[1]REMOVAL FEES'!$E$1:$E$13,0),3))))*$AA82,FALSE)</f>
        <v>-10.039999999999999</v>
      </c>
      <c r="AJ82" s="107">
        <f t="shared" si="16"/>
        <v>-26.31976474576269</v>
      </c>
      <c r="AK82" s="107">
        <v>-3.605355932203389</v>
      </c>
      <c r="AL82" s="107">
        <v>-5.6417007286188756</v>
      </c>
      <c r="AM82" s="107">
        <f t="shared" si="17"/>
        <v>-9.2470566608222651</v>
      </c>
      <c r="AN82" s="116">
        <f>(-IF($V82="Yes", IF($X82="Yes", VLOOKUP($W82, '[1]Storage Fees'!A:M, 13, FALSE), VLOOKUP($W82, '[1]Storage Fees'!A:M, 10, FALSE)), IF($X82="Yes", VLOOKUP($W82, '[1]Storage Fees'!A:M, 7, FALSE), VLOOKUP($W82, '[1]Storage Fees'!A:M, 4, FALSE))) * U82)*1.5</f>
        <v>-0.6171875</v>
      </c>
    </row>
    <row r="83" spans="1:40" x14ac:dyDescent="0.25">
      <c r="A83" s="99">
        <v>11</v>
      </c>
      <c r="B83" s="99" t="s">
        <v>55</v>
      </c>
      <c r="C83" s="99"/>
      <c r="D83" s="99"/>
      <c r="E83" s="99" t="s">
        <v>54</v>
      </c>
      <c r="F83" s="99" t="s">
        <v>76</v>
      </c>
      <c r="G83" s="99" t="s">
        <v>13656</v>
      </c>
      <c r="H83" s="99">
        <v>25</v>
      </c>
      <c r="I83" s="99">
        <v>14</v>
      </c>
      <c r="J83" s="99">
        <v>14</v>
      </c>
      <c r="K83" s="101" t="str">
        <f t="shared" si="5"/>
        <v>25x14x14</v>
      </c>
      <c r="L83" s="102">
        <f t="shared" si="6"/>
        <v>35.251798561151077</v>
      </c>
      <c r="M83" s="113">
        <f t="shared" si="7"/>
        <v>35.251798561151077</v>
      </c>
      <c r="N83" s="113">
        <f t="shared" si="8"/>
        <v>36</v>
      </c>
      <c r="O83" s="99">
        <v>19</v>
      </c>
      <c r="P83" s="113">
        <f t="shared" si="9"/>
        <v>36</v>
      </c>
      <c r="Q83" s="112">
        <f t="shared" si="10"/>
        <v>576</v>
      </c>
      <c r="R83" s="112" t="str">
        <f t="shared" si="11"/>
        <v>Oversize</v>
      </c>
      <c r="S83" s="99" t="str">
        <f t="shared" si="12"/>
        <v>Large bulky</v>
      </c>
      <c r="T83" s="116" t="s">
        <v>13694</v>
      </c>
      <c r="U83" s="116">
        <f t="shared" si="13"/>
        <v>2.8356481481481484</v>
      </c>
      <c r="V83" s="116" t="s">
        <v>13583</v>
      </c>
      <c r="W83" s="116" t="s">
        <v>13690</v>
      </c>
      <c r="X83" s="116" t="s">
        <v>13691</v>
      </c>
      <c r="Y83" s="116">
        <v>2</v>
      </c>
      <c r="Z83" s="116">
        <v>3</v>
      </c>
      <c r="AA83" s="116">
        <v>1</v>
      </c>
      <c r="AB83" s="99"/>
      <c r="AC83" s="99"/>
      <c r="AD83" s="107">
        <v>83.830891566265549</v>
      </c>
      <c r="AE83" s="113">
        <f t="shared" si="14"/>
        <v>-12.574633734939832</v>
      </c>
      <c r="AF83" s="116">
        <f>-IFERROR(IFERROR(VLOOKUP(ROUNDUP($Q83,0),'FBA FEES'!$L$2:$Q$203,MATCH($S83,'FBA FEES'!$L$2:$Q$2,0),FALSE),VLOOKUP(ROUNDUP($Q83,0),'FBA FEES'!$C$6:$F$123,MATCH($S83,'FBA FEES'!$C$6:$F$6,0),FALSE)),0)</f>
        <v>-22.91</v>
      </c>
      <c r="AG83" s="116">
        <v>-7</v>
      </c>
      <c r="AH83" s="113">
        <f t="shared" si="15"/>
        <v>-35.484633734939834</v>
      </c>
      <c r="AI83" s="116">
        <f>-IFERROR(IF($Y83=1,INDEX('[1]REMOVAL FEES'!$A$1:$C$22,MATCH(CONCATENATE("Standard Size",$P83),'[1]REMOVAL FEES'!$A$1:$A$22,0),3),IF($Y83=2,IF($P83&gt;10,(($P83-10)*1.06)+INDEX('[1]REMOVAL FEES'!$E$1:$G$22,MATCH(CONCATENATE("Large bulky, extra-large and special handling items",IF($P83&gt;=11,11,$P83)),'[1]REMOVAL FEES'!$E$1:$E$13,0),3),INDEX('[1]REMOVAL FEES'!$E$1:$G$22,MATCH(CONCATENATE("Large bulky, extra-large and special handling items",IF($P83&gt;=11,11,$P83)),'[1]REMOVAL FEES'!$E$1:$E$13,0),3))))*$AA83,FALSE)</f>
        <v>-41.88</v>
      </c>
      <c r="AJ83" s="107">
        <f t="shared" si="16"/>
        <v>-77.364633734939844</v>
      </c>
      <c r="AK83" s="107">
        <v>-23.79000000000012</v>
      </c>
      <c r="AL83" s="107">
        <v>-12.43800025231667</v>
      </c>
      <c r="AM83" s="107">
        <f t="shared" si="17"/>
        <v>-36.228000252316789</v>
      </c>
      <c r="AN83" s="116">
        <f>(-IF($V83="Yes", IF($X83="Yes", VLOOKUP($W83, '[1]Storage Fees'!A:M, 13, FALSE), VLOOKUP($W83, '[1]Storage Fees'!A:M, 10, FALSE)), IF($X83="Yes", VLOOKUP($W83, '[1]Storage Fees'!A:M, 7, FALSE), VLOOKUP($W83, '[1]Storage Fees'!A:M, 4, FALSE))) * U83)*1.5</f>
        <v>-3.3602430555555558</v>
      </c>
    </row>
    <row r="84" spans="1:40" x14ac:dyDescent="0.25">
      <c r="A84" s="99">
        <v>12</v>
      </c>
      <c r="B84" s="99"/>
      <c r="C84" s="99" t="s">
        <v>13655</v>
      </c>
      <c r="D84" s="99"/>
      <c r="E84" s="99" t="s">
        <v>54</v>
      </c>
      <c r="F84" s="99" t="s">
        <v>1496</v>
      </c>
      <c r="G84" s="99" t="s">
        <v>13695</v>
      </c>
      <c r="H84" s="99">
        <v>0</v>
      </c>
      <c r="I84" s="99">
        <v>0</v>
      </c>
      <c r="J84" s="99">
        <v>0</v>
      </c>
      <c r="K84" s="101" t="str">
        <f t="shared" si="5"/>
        <v>0x0x0</v>
      </c>
      <c r="L84" s="102">
        <f t="shared" si="6"/>
        <v>0</v>
      </c>
      <c r="M84" s="113">
        <f t="shared" si="7"/>
        <v>0</v>
      </c>
      <c r="N84" s="113">
        <f t="shared" si="8"/>
        <v>0</v>
      </c>
      <c r="O84" s="99">
        <v>0</v>
      </c>
      <c r="P84" s="113">
        <f t="shared" si="9"/>
        <v>0</v>
      </c>
      <c r="Q84" s="112">
        <f t="shared" si="10"/>
        <v>0</v>
      </c>
      <c r="R84" s="112" t="str">
        <f t="shared" si="11"/>
        <v>Standard-size</v>
      </c>
      <c r="S84" s="99" t="str">
        <f t="shared" si="12"/>
        <v>Small standard-size</v>
      </c>
      <c r="T84" s="116" t="s">
        <v>13696</v>
      </c>
      <c r="U84" s="116">
        <f t="shared" si="13"/>
        <v>0</v>
      </c>
      <c r="V84" s="116" t="s">
        <v>13583</v>
      </c>
      <c r="W84" s="116" t="s">
        <v>13690</v>
      </c>
      <c r="X84" s="99" t="s">
        <v>13583</v>
      </c>
      <c r="Y84" s="99">
        <v>1</v>
      </c>
      <c r="Z84" s="99">
        <v>1</v>
      </c>
      <c r="AA84" s="99">
        <v>1</v>
      </c>
      <c r="AB84" s="99"/>
      <c r="AC84" s="99"/>
      <c r="AD84" s="107">
        <v>0</v>
      </c>
      <c r="AE84" s="113">
        <f t="shared" si="14"/>
        <v>0</v>
      </c>
      <c r="AF84" s="116">
        <f>-IFERROR(IFERROR(VLOOKUP(ROUNDUP($Q84,0),'FBA FEES'!$L$2:$Q$203,MATCH($S84,'FBA FEES'!$L$2:$Q$2,0),FALSE),VLOOKUP(ROUNDUP($Q84,0),'FBA FEES'!$C$6:$F$123,MATCH($S84,'FBA FEES'!$C$6:$F$6,0),FALSE)),0)</f>
        <v>0</v>
      </c>
      <c r="AG84" s="116">
        <v>-2</v>
      </c>
      <c r="AH84" s="113">
        <f t="shared" si="15"/>
        <v>0</v>
      </c>
      <c r="AI84" s="116">
        <f>-IFERROR(IF($Y84=1,INDEX('[1]REMOVAL FEES'!$A$1:$C$22,MATCH(CONCATENATE("Standard Size",$P84),'[1]REMOVAL FEES'!$A$1:$A$22,0),3),IF($Y84=2,IF($P84&gt;10,(($P84-10)*1.06)+INDEX('[1]REMOVAL FEES'!$E$1:$G$22,MATCH(CONCATENATE("Large bulky, extra-large and special handling items",IF($P84&gt;=11,11,$P84)),'[1]REMOVAL FEES'!$E$1:$E$13,0),3),INDEX('[1]REMOVAL FEES'!$E$1:$G$22,MATCH(CONCATENATE("Large bulky, extra-large and special handling items",IF($P84&gt;=11,11,$P84)),'[1]REMOVAL FEES'!$E$1:$E$13,0),3))))*$AA84,FALSE)</f>
        <v>0</v>
      </c>
      <c r="AJ84" s="107">
        <f t="shared" si="16"/>
        <v>0</v>
      </c>
      <c r="AK84" s="107">
        <v>0</v>
      </c>
      <c r="AL84" s="107">
        <v>0</v>
      </c>
      <c r="AM84" s="107">
        <f t="shared" si="17"/>
        <v>0</v>
      </c>
      <c r="AN84" s="116">
        <f>(-IF($V84="Yes", IF($X84="Yes", VLOOKUP($W84, '[1]Storage Fees'!A:M, 13, FALSE), VLOOKUP($W84, '[1]Storage Fees'!A:M, 10, FALSE)), IF($X84="Yes", VLOOKUP($W84, '[1]Storage Fees'!A:M, 7, FALSE), VLOOKUP($W84, '[1]Storage Fees'!A:M, 4, FALSE))) * U84)*1.5</f>
        <v>0</v>
      </c>
    </row>
    <row r="85" spans="1:40" x14ac:dyDescent="0.25">
      <c r="A85" s="99">
        <v>13</v>
      </c>
      <c r="B85" s="99" t="s">
        <v>55</v>
      </c>
      <c r="C85" s="99"/>
      <c r="D85" s="99"/>
      <c r="E85" s="99" t="s">
        <v>54</v>
      </c>
      <c r="F85" s="99" t="s">
        <v>78</v>
      </c>
      <c r="G85" s="99" t="s">
        <v>13656</v>
      </c>
      <c r="H85" s="99">
        <v>25</v>
      </c>
      <c r="I85" s="99">
        <v>10</v>
      </c>
      <c r="J85" s="99">
        <v>10</v>
      </c>
      <c r="K85" s="101" t="str">
        <f t="shared" si="5"/>
        <v>25x10x10</v>
      </c>
      <c r="L85" s="102">
        <f t="shared" si="6"/>
        <v>17.985611510791365</v>
      </c>
      <c r="M85" s="113">
        <f t="shared" si="7"/>
        <v>17.985611510791365</v>
      </c>
      <c r="N85" s="113">
        <f t="shared" si="8"/>
        <v>18</v>
      </c>
      <c r="O85" s="99">
        <v>10</v>
      </c>
      <c r="P85" s="113">
        <f t="shared" si="9"/>
        <v>18</v>
      </c>
      <c r="Q85" s="112">
        <f t="shared" si="10"/>
        <v>288</v>
      </c>
      <c r="R85" s="112" t="str">
        <f t="shared" si="11"/>
        <v>Oversize</v>
      </c>
      <c r="S85" s="99" t="str">
        <f t="shared" si="12"/>
        <v>Large bulky</v>
      </c>
      <c r="T85" s="116" t="s">
        <v>13692</v>
      </c>
      <c r="U85" s="116">
        <f t="shared" si="13"/>
        <v>1.4467592592592593</v>
      </c>
      <c r="V85" s="116" t="s">
        <v>13583</v>
      </c>
      <c r="W85" s="116" t="s">
        <v>13690</v>
      </c>
      <c r="X85" s="116" t="s">
        <v>13691</v>
      </c>
      <c r="Y85" s="116">
        <v>2</v>
      </c>
      <c r="Z85" s="116">
        <v>3</v>
      </c>
      <c r="AA85" s="116">
        <v>1</v>
      </c>
      <c r="AB85" s="99"/>
      <c r="AC85" s="99"/>
      <c r="AD85" s="107">
        <v>64.868708994709365</v>
      </c>
      <c r="AE85" s="113">
        <f t="shared" si="14"/>
        <v>-9.7303063492064048</v>
      </c>
      <c r="AF85" s="116">
        <f>-IFERROR(IFERROR(VLOOKUP(ROUNDUP($Q85,0),'FBA FEES'!$L$2:$Q$203,MATCH($S85,'FBA FEES'!$L$2:$Q$2,0),FALSE),VLOOKUP(ROUNDUP($Q85,0),'FBA FEES'!$C$6:$F$123,MATCH($S85,'FBA FEES'!$C$6:$F$6,0),FALSE)),0)</f>
        <v>-16.07</v>
      </c>
      <c r="AG85" s="116">
        <v>-7</v>
      </c>
      <c r="AH85" s="113">
        <f t="shared" si="15"/>
        <v>-25.800306349206405</v>
      </c>
      <c r="AI85" s="116">
        <f>-IFERROR(IF($Y85=1,INDEX('[1]REMOVAL FEES'!$A$1:$C$22,MATCH(CONCATENATE("Standard Size",$P85),'[1]REMOVAL FEES'!$A$1:$A$22,0),3),IF($Y85=2,IF($P85&gt;10,(($P85-10)*1.06)+INDEX('[1]REMOVAL FEES'!$E$1:$G$22,MATCH(CONCATENATE("Large bulky, extra-large and special handling items",IF($P85&gt;=11,11,$P85)),'[1]REMOVAL FEES'!$E$1:$E$13,0),3),INDEX('[1]REMOVAL FEES'!$E$1:$G$22,MATCH(CONCATENATE("Large bulky, extra-large and special handling items",IF($P85&gt;=11,11,$P85)),'[1]REMOVAL FEES'!$E$1:$E$13,0),3))))*$AA85,FALSE)</f>
        <v>-22.8</v>
      </c>
      <c r="AJ85" s="107">
        <f t="shared" si="16"/>
        <v>-48.600306349206406</v>
      </c>
      <c r="AK85" s="107">
        <v>-17.210000000000029</v>
      </c>
      <c r="AL85" s="107">
        <v>-8.643610954955534</v>
      </c>
      <c r="AM85" s="107">
        <f t="shared" si="17"/>
        <v>-25.853610954955563</v>
      </c>
      <c r="AN85" s="116">
        <f>(-IF($V85="Yes", IF($X85="Yes", VLOOKUP($W85, '[1]Storage Fees'!A:M, 13, FALSE), VLOOKUP($W85, '[1]Storage Fees'!A:M, 10, FALSE)), IF($X85="Yes", VLOOKUP($W85, '[1]Storage Fees'!A:M, 7, FALSE), VLOOKUP($W85, '[1]Storage Fees'!A:M, 4, FALSE))) * U85)*1.5</f>
        <v>-1.7144097222222223</v>
      </c>
    </row>
    <row r="86" spans="1:40" x14ac:dyDescent="0.25">
      <c r="A86" s="99">
        <v>14</v>
      </c>
      <c r="B86" s="99"/>
      <c r="C86" s="99" t="s">
        <v>13655</v>
      </c>
      <c r="D86" s="99"/>
      <c r="E86" s="99" t="s">
        <v>1501</v>
      </c>
      <c r="F86" s="99" t="s">
        <v>1498</v>
      </c>
      <c r="G86" s="99" t="s">
        <v>13695</v>
      </c>
      <c r="H86" s="99">
        <v>0</v>
      </c>
      <c r="I86" s="99">
        <v>0</v>
      </c>
      <c r="J86" s="99">
        <v>0</v>
      </c>
      <c r="K86" s="101" t="str">
        <f t="shared" si="5"/>
        <v>0x0x0</v>
      </c>
      <c r="L86" s="102">
        <f t="shared" si="6"/>
        <v>0</v>
      </c>
      <c r="M86" s="113">
        <f t="shared" si="7"/>
        <v>0</v>
      </c>
      <c r="N86" s="113">
        <f t="shared" si="8"/>
        <v>0</v>
      </c>
      <c r="O86" s="99">
        <v>0</v>
      </c>
      <c r="P86" s="113">
        <f t="shared" si="9"/>
        <v>0</v>
      </c>
      <c r="Q86" s="112">
        <f t="shared" si="10"/>
        <v>0</v>
      </c>
      <c r="R86" s="112" t="str">
        <f t="shared" si="11"/>
        <v>Standard-size</v>
      </c>
      <c r="S86" s="99" t="str">
        <f t="shared" si="12"/>
        <v>Small standard-size</v>
      </c>
      <c r="T86" s="116" t="s">
        <v>13696</v>
      </c>
      <c r="U86" s="116">
        <f t="shared" si="13"/>
        <v>0</v>
      </c>
      <c r="V86" s="116" t="s">
        <v>13583</v>
      </c>
      <c r="W86" s="116" t="s">
        <v>13690</v>
      </c>
      <c r="X86" s="99" t="s">
        <v>13583</v>
      </c>
      <c r="Y86" s="99">
        <v>1</v>
      </c>
      <c r="Z86" s="99">
        <v>1</v>
      </c>
      <c r="AA86" s="99">
        <v>1</v>
      </c>
      <c r="AB86" s="99"/>
      <c r="AC86" s="99"/>
      <c r="AD86" s="107">
        <v>0</v>
      </c>
      <c r="AE86" s="113">
        <f t="shared" si="14"/>
        <v>0</v>
      </c>
      <c r="AF86" s="116">
        <f>-IFERROR(IFERROR(VLOOKUP(ROUNDUP($Q86,0),'FBA FEES'!$L$2:$Q$203,MATCH($S86,'FBA FEES'!$L$2:$Q$2,0),FALSE),VLOOKUP(ROUNDUP($Q86,0),'FBA FEES'!$C$6:$F$123,MATCH($S86,'FBA FEES'!$C$6:$F$6,0),FALSE)),0)</f>
        <v>0</v>
      </c>
      <c r="AG86" s="116">
        <v>-10</v>
      </c>
      <c r="AH86" s="113">
        <f t="shared" si="15"/>
        <v>0</v>
      </c>
      <c r="AI86" s="116">
        <f>-IFERROR(IF($Y86=1,INDEX('[1]REMOVAL FEES'!$A$1:$C$22,MATCH(CONCATENATE("Standard Size",$P86),'[1]REMOVAL FEES'!$A$1:$A$22,0),3),IF($Y86=2,IF($P86&gt;10,(($P86-10)*1.06)+INDEX('[1]REMOVAL FEES'!$E$1:$G$22,MATCH(CONCATENATE("Large bulky, extra-large and special handling items",IF($P86&gt;=11,11,$P86)),'[1]REMOVAL FEES'!$E$1:$E$13,0),3),INDEX('[1]REMOVAL FEES'!$E$1:$G$22,MATCH(CONCATENATE("Large bulky, extra-large and special handling items",IF($P86&gt;=11,11,$P86)),'[1]REMOVAL FEES'!$E$1:$E$13,0),3))))*$AA86,FALSE)</f>
        <v>0</v>
      </c>
      <c r="AJ86" s="107">
        <f t="shared" si="16"/>
        <v>0</v>
      </c>
      <c r="AK86" s="107">
        <v>0</v>
      </c>
      <c r="AL86" s="107">
        <v>0</v>
      </c>
      <c r="AM86" s="107">
        <f t="shared" si="17"/>
        <v>0</v>
      </c>
      <c r="AN86" s="116">
        <f>(-IF($V86="Yes", IF($X86="Yes", VLOOKUP($W86, '[1]Storage Fees'!A:M, 13, FALSE), VLOOKUP($W86, '[1]Storage Fees'!A:M, 10, FALSE)), IF($X86="Yes", VLOOKUP($W86, '[1]Storage Fees'!A:M, 7, FALSE), VLOOKUP($W86, '[1]Storage Fees'!A:M, 4, FALSE))) * U86)*1.5</f>
        <v>0</v>
      </c>
    </row>
    <row r="87" spans="1:40" x14ac:dyDescent="0.25">
      <c r="A87" s="99">
        <v>15</v>
      </c>
      <c r="B87" s="99" t="s">
        <v>55</v>
      </c>
      <c r="C87" s="99"/>
      <c r="D87" s="99"/>
      <c r="E87" s="99" t="s">
        <v>82</v>
      </c>
      <c r="F87" s="99" t="s">
        <v>80</v>
      </c>
      <c r="G87" s="99" t="s">
        <v>13656</v>
      </c>
      <c r="H87" s="99">
        <v>25</v>
      </c>
      <c r="I87" s="99">
        <v>5</v>
      </c>
      <c r="J87" s="99">
        <v>5</v>
      </c>
      <c r="K87" s="101" t="str">
        <f t="shared" si="5"/>
        <v>25x5x5</v>
      </c>
      <c r="L87" s="102">
        <f t="shared" si="6"/>
        <v>4.4964028776978413</v>
      </c>
      <c r="M87" s="113">
        <f t="shared" si="7"/>
        <v>4.4964028776978413</v>
      </c>
      <c r="N87" s="113">
        <f t="shared" si="8"/>
        <v>5</v>
      </c>
      <c r="O87" s="99">
        <v>3</v>
      </c>
      <c r="P87" s="113">
        <f t="shared" si="9"/>
        <v>5</v>
      </c>
      <c r="Q87" s="112">
        <f t="shared" si="10"/>
        <v>80</v>
      </c>
      <c r="R87" s="112" t="str">
        <f t="shared" si="11"/>
        <v>Oversize</v>
      </c>
      <c r="S87" s="99" t="str">
        <f t="shared" si="12"/>
        <v>Large bulky</v>
      </c>
      <c r="T87" s="116" t="s">
        <v>13692</v>
      </c>
      <c r="U87" s="116">
        <f t="shared" si="13"/>
        <v>0.36168981481481483</v>
      </c>
      <c r="V87" s="116" t="s">
        <v>13583</v>
      </c>
      <c r="W87" s="116" t="s">
        <v>13690</v>
      </c>
      <c r="X87" s="116" t="s">
        <v>13691</v>
      </c>
      <c r="Y87" s="116">
        <v>2</v>
      </c>
      <c r="Z87" s="116">
        <v>3</v>
      </c>
      <c r="AA87" s="116">
        <v>1</v>
      </c>
      <c r="AB87" s="99"/>
      <c r="AC87" s="99"/>
      <c r="AD87" s="107">
        <v>67.868153005464322</v>
      </c>
      <c r="AE87" s="113">
        <f t="shared" si="14"/>
        <v>-10.180222950819648</v>
      </c>
      <c r="AF87" s="116">
        <f>-IFERROR(IFERROR(VLOOKUP(ROUNDUP($Q87,0),'FBA FEES'!$L$2:$Q$203,MATCH($S87,'FBA FEES'!$L$2:$Q$2,0),FALSE),VLOOKUP(ROUNDUP($Q87,0),'FBA FEES'!$C$6:$F$123,MATCH($S87,'FBA FEES'!$C$6:$F$6,0),FALSE)),0)</f>
        <v>-11.129999999999999</v>
      </c>
      <c r="AG87" s="116">
        <v>-10</v>
      </c>
      <c r="AH87" s="113">
        <f t="shared" si="15"/>
        <v>-21.310222950819647</v>
      </c>
      <c r="AI87" s="116">
        <f>-IFERROR(IF($Y87=1,INDEX('[1]REMOVAL FEES'!$A$1:$C$22,MATCH(CONCATENATE("Standard Size",$P87),'[1]REMOVAL FEES'!$A$1:$A$22,0),3),IF($Y87=2,IF($P87&gt;10,(($P87-10)*1.06)+INDEX('[1]REMOVAL FEES'!$E$1:$G$22,MATCH(CONCATENATE("Large bulky, extra-large and special handling items",IF($P87&gt;=11,11,$P87)),'[1]REMOVAL FEES'!$E$1:$E$13,0),3),INDEX('[1]REMOVAL FEES'!$E$1:$G$22,MATCH(CONCATENATE("Large bulky, extra-large and special handling items",IF($P87&gt;=11,11,$P87)),'[1]REMOVAL FEES'!$E$1:$E$13,0),3))))*$AA87,FALSE)</f>
        <v>-10.039999999999999</v>
      </c>
      <c r="AJ87" s="107">
        <f t="shared" si="16"/>
        <v>-31.350222950819646</v>
      </c>
      <c r="AK87" s="107">
        <v>-17.07683060109289</v>
      </c>
      <c r="AL87" s="107">
        <v>-6.2690098576223887</v>
      </c>
      <c r="AM87" s="107">
        <f t="shared" si="17"/>
        <v>-23.34584045871528</v>
      </c>
      <c r="AN87" s="116">
        <f>(-IF($V87="Yes", IF($X87="Yes", VLOOKUP($W87, '[1]Storage Fees'!A:M, 13, FALSE), VLOOKUP($W87, '[1]Storage Fees'!A:M, 10, FALSE)), IF($X87="Yes", VLOOKUP($W87, '[1]Storage Fees'!A:M, 7, FALSE), VLOOKUP($W87, '[1]Storage Fees'!A:M, 4, FALSE))) * U87)*1.5</f>
        <v>-0.42860243055555558</v>
      </c>
    </row>
    <row r="88" spans="1:40" x14ac:dyDescent="0.25">
      <c r="A88" s="99">
        <v>16</v>
      </c>
      <c r="B88" s="99" t="s">
        <v>55</v>
      </c>
      <c r="C88" s="99"/>
      <c r="D88" s="99"/>
      <c r="E88" s="99" t="s">
        <v>82</v>
      </c>
      <c r="F88" s="99" t="s">
        <v>84</v>
      </c>
      <c r="G88" s="99" t="s">
        <v>13695</v>
      </c>
      <c r="H88" s="99">
        <v>25</v>
      </c>
      <c r="I88" s="99">
        <v>6</v>
      </c>
      <c r="J88" s="99">
        <v>6</v>
      </c>
      <c r="K88" s="101" t="str">
        <f t="shared" si="5"/>
        <v>25x6x6</v>
      </c>
      <c r="L88" s="102">
        <f t="shared" si="6"/>
        <v>6.4748201438848918</v>
      </c>
      <c r="M88" s="113">
        <f t="shared" si="7"/>
        <v>6.4748201438848918</v>
      </c>
      <c r="N88" s="113">
        <f t="shared" si="8"/>
        <v>7</v>
      </c>
      <c r="O88" s="99">
        <v>4</v>
      </c>
      <c r="P88" s="113">
        <f t="shared" si="9"/>
        <v>7</v>
      </c>
      <c r="Q88" s="112">
        <f t="shared" si="10"/>
        <v>112</v>
      </c>
      <c r="R88" s="112" t="str">
        <f t="shared" si="11"/>
        <v>Oversize</v>
      </c>
      <c r="S88" s="99" t="str">
        <f t="shared" si="12"/>
        <v>Large bulky</v>
      </c>
      <c r="T88" s="116" t="s">
        <v>13692</v>
      </c>
      <c r="U88" s="116">
        <f t="shared" si="13"/>
        <v>0.52083333333333337</v>
      </c>
      <c r="V88" s="116" t="s">
        <v>13583</v>
      </c>
      <c r="W88" s="116" t="s">
        <v>13690</v>
      </c>
      <c r="X88" s="116" t="s">
        <v>13691</v>
      </c>
      <c r="Y88" s="116">
        <v>2</v>
      </c>
      <c r="Z88" s="116">
        <v>3</v>
      </c>
      <c r="AA88" s="116">
        <v>1</v>
      </c>
      <c r="AB88" s="99"/>
      <c r="AC88" s="99"/>
      <c r="AD88" s="107">
        <v>95.362045454545466</v>
      </c>
      <c r="AE88" s="113">
        <f t="shared" si="14"/>
        <v>-14.30430681818182</v>
      </c>
      <c r="AF88" s="116">
        <f>-IFERROR(IFERROR(VLOOKUP(ROUNDUP($Q88,0),'FBA FEES'!$L$2:$Q$203,MATCH($S88,'FBA FEES'!$L$2:$Q$2,0),FALSE),VLOOKUP(ROUNDUP($Q88,0),'FBA FEES'!$C$6:$F$123,MATCH($S88,'FBA FEES'!$C$6:$F$6,0),FALSE)),0)</f>
        <v>-11.89</v>
      </c>
      <c r="AG88" s="116">
        <v>-10</v>
      </c>
      <c r="AH88" s="113">
        <f t="shared" si="15"/>
        <v>-26.194306818181822</v>
      </c>
      <c r="AI88" s="116">
        <f>-IFERROR(IF($Y88=1,INDEX('[1]REMOVAL FEES'!$A$1:$C$22,MATCH(CONCATENATE("Standard Size",$P88),'[1]REMOVAL FEES'!$A$1:$A$22,0),3),IF($Y88=2,IF($P88&gt;10,(($P88-10)*1.06)+INDEX('[1]REMOVAL FEES'!$E$1:$G$22,MATCH(CONCATENATE("Large bulky, extra-large and special handling items",IF($P88&gt;=11,11,$P88)),'[1]REMOVAL FEES'!$E$1:$E$13,0),3),INDEX('[1]REMOVAL FEES'!$E$1:$G$22,MATCH(CONCATENATE("Large bulky, extra-large and special handling items",IF($P88&gt;=11,11,$P88)),'[1]REMOVAL FEES'!$E$1:$E$13,0),3))))*$AA88,FALSE)</f>
        <v>-10.039999999999999</v>
      </c>
      <c r="AJ88" s="107">
        <f t="shared" si="16"/>
        <v>-36.234306818181821</v>
      </c>
      <c r="AK88" s="107">
        <v>-33.75</v>
      </c>
      <c r="AL88" s="107">
        <v>-6.5592701569264058</v>
      </c>
      <c r="AM88" s="107">
        <f t="shared" si="17"/>
        <v>-40.309270156926402</v>
      </c>
      <c r="AN88" s="116">
        <f>(-IF($V88="Yes", IF($X88="Yes", VLOOKUP($W88, '[1]Storage Fees'!A:M, 13, FALSE), VLOOKUP($W88, '[1]Storage Fees'!A:M, 10, FALSE)), IF($X88="Yes", VLOOKUP($W88, '[1]Storage Fees'!A:M, 7, FALSE), VLOOKUP($W88, '[1]Storage Fees'!A:M, 4, FALSE))) * U88)*1.5</f>
        <v>-0.6171875</v>
      </c>
    </row>
    <row r="89" spans="1:40" x14ac:dyDescent="0.25">
      <c r="A89" s="99">
        <v>17</v>
      </c>
      <c r="B89" s="99" t="s">
        <v>55</v>
      </c>
      <c r="C89" s="99"/>
      <c r="D89" s="99"/>
      <c r="E89" s="99" t="s">
        <v>82</v>
      </c>
      <c r="F89" s="99" t="s">
        <v>87</v>
      </c>
      <c r="G89" s="99" t="s">
        <v>13695</v>
      </c>
      <c r="H89" s="99">
        <v>26</v>
      </c>
      <c r="I89" s="99">
        <v>7</v>
      </c>
      <c r="J89" s="99">
        <v>7</v>
      </c>
      <c r="K89" s="101" t="str">
        <f t="shared" si="5"/>
        <v>26x7x7</v>
      </c>
      <c r="L89" s="102">
        <f t="shared" si="6"/>
        <v>9.1654676258992804</v>
      </c>
      <c r="M89" s="113">
        <f t="shared" si="7"/>
        <v>9.1654676258992804</v>
      </c>
      <c r="N89" s="113">
        <f t="shared" si="8"/>
        <v>10</v>
      </c>
      <c r="O89" s="99">
        <v>7</v>
      </c>
      <c r="P89" s="113">
        <f t="shared" si="9"/>
        <v>10</v>
      </c>
      <c r="Q89" s="112">
        <f t="shared" si="10"/>
        <v>160</v>
      </c>
      <c r="R89" s="112" t="str">
        <f t="shared" si="11"/>
        <v>Oversize</v>
      </c>
      <c r="S89" s="99" t="str">
        <f t="shared" si="12"/>
        <v>Large bulky</v>
      </c>
      <c r="T89" s="116" t="s">
        <v>13692</v>
      </c>
      <c r="U89" s="116">
        <f t="shared" si="13"/>
        <v>0.73726851851851849</v>
      </c>
      <c r="V89" s="116" t="s">
        <v>13583</v>
      </c>
      <c r="W89" s="116" t="s">
        <v>13690</v>
      </c>
      <c r="X89" s="116" t="s">
        <v>13691</v>
      </c>
      <c r="Y89" s="116">
        <v>2</v>
      </c>
      <c r="Z89" s="116">
        <v>3</v>
      </c>
      <c r="AA89" s="116">
        <v>1</v>
      </c>
      <c r="AB89" s="99"/>
      <c r="AC89" s="99"/>
      <c r="AD89" s="107">
        <v>112.388712871287</v>
      </c>
      <c r="AE89" s="113">
        <f t="shared" si="14"/>
        <v>-16.85830693069305</v>
      </c>
      <c r="AF89" s="116">
        <f>-IFERROR(IFERROR(VLOOKUP(ROUNDUP($Q89,0),'FBA FEES'!$L$2:$Q$203,MATCH($S89,'FBA FEES'!$L$2:$Q$2,0),FALSE),VLOOKUP(ROUNDUP($Q89,0),'FBA FEES'!$C$6:$F$123,MATCH($S89,'FBA FEES'!$C$6:$F$6,0),FALSE)),0)</f>
        <v>-13.03</v>
      </c>
      <c r="AG89" s="116">
        <v>-10</v>
      </c>
      <c r="AH89" s="113">
        <f t="shared" si="15"/>
        <v>-29.888306930693048</v>
      </c>
      <c r="AI89" s="116">
        <f>-IFERROR(IF($Y89=1,INDEX('[1]REMOVAL FEES'!$A$1:$C$22,MATCH(CONCATENATE("Standard Size",$P89),'[1]REMOVAL FEES'!$A$1:$A$22,0),3),IF($Y89=2,IF($P89&gt;10,(($P89-10)*1.06)+INDEX('[1]REMOVAL FEES'!$E$1:$G$22,MATCH(CONCATENATE("Large bulky, extra-large and special handling items",IF($P89&gt;=11,11,$P89)),'[1]REMOVAL FEES'!$E$1:$E$13,0),3),INDEX('[1]REMOVAL FEES'!$E$1:$G$22,MATCH(CONCATENATE("Large bulky, extra-large and special handling items",IF($P89&gt;=11,11,$P89)),'[1]REMOVAL FEES'!$E$1:$E$13,0),3))))*$AA89,FALSE)</f>
        <v>-10.039999999999999</v>
      </c>
      <c r="AJ89" s="107">
        <f t="shared" si="16"/>
        <v>-39.928306930693047</v>
      </c>
      <c r="AK89" s="107">
        <v>-46.650000000000013</v>
      </c>
      <c r="AL89" s="107">
        <v>-6.7047705224337442</v>
      </c>
      <c r="AM89" s="107">
        <f t="shared" si="17"/>
        <v>-53.354770522433753</v>
      </c>
      <c r="AN89" s="116">
        <f>(-IF($V89="Yes", IF($X89="Yes", VLOOKUP($W89, '[1]Storage Fees'!A:M, 13, FALSE), VLOOKUP($W89, '[1]Storage Fees'!A:M, 10, FALSE)), IF($X89="Yes", VLOOKUP($W89, '[1]Storage Fees'!A:M, 7, FALSE), VLOOKUP($W89, '[1]Storage Fees'!A:M, 4, FALSE))) * U89)*1.5</f>
        <v>-0.8736631944444444</v>
      </c>
    </row>
    <row r="90" spans="1:40" x14ac:dyDescent="0.25">
      <c r="A90" s="99">
        <v>18</v>
      </c>
      <c r="B90" s="99" t="s">
        <v>55</v>
      </c>
      <c r="C90" s="99"/>
      <c r="D90" s="99"/>
      <c r="E90" s="99" t="s">
        <v>91</v>
      </c>
      <c r="F90" s="99" t="s">
        <v>89</v>
      </c>
      <c r="G90" s="99" t="s">
        <v>13656</v>
      </c>
      <c r="H90" s="99">
        <v>6</v>
      </c>
      <c r="I90" s="99">
        <v>5</v>
      </c>
      <c r="J90" s="99">
        <v>5</v>
      </c>
      <c r="K90" s="101" t="str">
        <f t="shared" si="5"/>
        <v>6x5x5</v>
      </c>
      <c r="L90" s="102">
        <f t="shared" si="6"/>
        <v>1.079136690647482</v>
      </c>
      <c r="M90" s="113">
        <f t="shared" si="7"/>
        <v>1.079136690647482</v>
      </c>
      <c r="N90" s="113">
        <f t="shared" si="8"/>
        <v>2</v>
      </c>
      <c r="O90" s="99">
        <v>4</v>
      </c>
      <c r="P90" s="113">
        <f t="shared" si="9"/>
        <v>4</v>
      </c>
      <c r="Q90" s="112">
        <f t="shared" si="10"/>
        <v>64</v>
      </c>
      <c r="R90" s="112" t="str">
        <f t="shared" si="11"/>
        <v>Standard-size</v>
      </c>
      <c r="S90" s="99" t="str">
        <f t="shared" si="12"/>
        <v>Large standard-size</v>
      </c>
      <c r="T90" s="116" t="s">
        <v>13693</v>
      </c>
      <c r="U90" s="116">
        <f t="shared" si="13"/>
        <v>8.6805555555555552E-2</v>
      </c>
      <c r="V90" s="116" t="s">
        <v>13583</v>
      </c>
      <c r="W90" s="116" t="s">
        <v>13690</v>
      </c>
      <c r="X90" s="99" t="s">
        <v>13583</v>
      </c>
      <c r="Y90" s="99">
        <v>1</v>
      </c>
      <c r="Z90" s="99">
        <v>2</v>
      </c>
      <c r="AA90" s="99">
        <v>1</v>
      </c>
      <c r="AB90" s="99"/>
      <c r="AC90" s="99"/>
      <c r="AD90" s="107">
        <v>24.451437246963401</v>
      </c>
      <c r="AE90" s="113">
        <f t="shared" si="14"/>
        <v>-3.6677155870445102</v>
      </c>
      <c r="AF90" s="116">
        <f>-IFERROR(IFERROR(VLOOKUP(ROUNDUP($Q90,0),'FBA FEES'!$L$2:$Q$203,MATCH($S90,'FBA FEES'!$L$2:$Q$2,0),FALSE),VLOOKUP(ROUNDUP($Q90,0),'FBA FEES'!$C$6:$F$123,MATCH($S90,'FBA FEES'!$C$6:$F$6,0),FALSE)),0)</f>
        <v>-7.24</v>
      </c>
      <c r="AG90" s="116">
        <v>-10</v>
      </c>
      <c r="AH90" s="113">
        <f t="shared" si="15"/>
        <v>-10.90771558704451</v>
      </c>
      <c r="AI90" s="116">
        <f>-IFERROR(IF($Y90=1,INDEX('[1]REMOVAL FEES'!$A$1:$C$22,MATCH(CONCATENATE("Standard Size",$P90),'[1]REMOVAL FEES'!$A$1:$A$22,0),3),IF($Y90=2,IF($P90&gt;10,(($P90-10)*1.06)+INDEX('[1]REMOVAL FEES'!$E$1:$G$22,MATCH(CONCATENATE("Large bulky, extra-large and special handling items",IF($P90&gt;=11,11,$P90)),'[1]REMOVAL FEES'!$E$1:$E$13,0),3),INDEX('[1]REMOVAL FEES'!$E$1:$G$22,MATCH(CONCATENATE("Large bulky, extra-large and special handling items",IF($P90&gt;=11,11,$P90)),'[1]REMOVAL FEES'!$E$1:$E$13,0),3))))*$AA90,FALSE)</f>
        <v>-5.01</v>
      </c>
      <c r="AJ90" s="107">
        <f t="shared" si="16"/>
        <v>-15.91771558704451</v>
      </c>
      <c r="AK90" s="107">
        <v>-5.3514372469635534</v>
      </c>
      <c r="AL90" s="107">
        <v>-1.379059683885562</v>
      </c>
      <c r="AM90" s="107">
        <f t="shared" si="17"/>
        <v>-6.7304969308491156</v>
      </c>
      <c r="AN90" s="116">
        <f>(-IF($V90="Yes", IF($X90="Yes", VLOOKUP($W90, '[1]Storage Fees'!A:M, 13, FALSE), VLOOKUP($W90, '[1]Storage Fees'!A:M, 10, FALSE)), IF($X90="Yes", VLOOKUP($W90, '[1]Storage Fees'!A:M, 7, FALSE), VLOOKUP($W90, '[1]Storage Fees'!A:M, 4, FALSE))) * U90)*1.5</f>
        <v>-0.15885416666666666</v>
      </c>
    </row>
    <row r="91" spans="1:40" x14ac:dyDescent="0.25">
      <c r="A91" s="99">
        <v>19</v>
      </c>
      <c r="B91" s="99" t="s">
        <v>55</v>
      </c>
      <c r="C91" s="99"/>
      <c r="D91" s="99"/>
      <c r="E91" s="99" t="s">
        <v>91</v>
      </c>
      <c r="F91" s="99" t="s">
        <v>93</v>
      </c>
      <c r="G91" s="99" t="s">
        <v>13656</v>
      </c>
      <c r="H91" s="99">
        <v>9</v>
      </c>
      <c r="I91" s="99">
        <v>8</v>
      </c>
      <c r="J91" s="99">
        <v>8</v>
      </c>
      <c r="K91" s="101" t="str">
        <f t="shared" si="5"/>
        <v>9x8x8</v>
      </c>
      <c r="L91" s="102">
        <f t="shared" si="6"/>
        <v>4.1438848920863309</v>
      </c>
      <c r="M91" s="113">
        <f t="shared" si="7"/>
        <v>4.1438848920863309</v>
      </c>
      <c r="N91" s="113">
        <f t="shared" si="8"/>
        <v>5</v>
      </c>
      <c r="O91" s="99">
        <v>14</v>
      </c>
      <c r="P91" s="113">
        <f t="shared" si="9"/>
        <v>14</v>
      </c>
      <c r="Q91" s="112">
        <f t="shared" si="10"/>
        <v>224</v>
      </c>
      <c r="R91" s="112" t="str">
        <f t="shared" si="11"/>
        <v>Standard-size</v>
      </c>
      <c r="S91" s="99" t="str">
        <f t="shared" si="12"/>
        <v>Large standard-size</v>
      </c>
      <c r="T91" s="116" t="s">
        <v>13693</v>
      </c>
      <c r="U91" s="116">
        <f t="shared" si="13"/>
        <v>0.33333333333333331</v>
      </c>
      <c r="V91" s="116" t="s">
        <v>13583</v>
      </c>
      <c r="W91" s="116" t="s">
        <v>13690</v>
      </c>
      <c r="X91" s="99" t="s">
        <v>13583</v>
      </c>
      <c r="Y91" s="99">
        <v>1</v>
      </c>
      <c r="Z91" s="99">
        <v>2</v>
      </c>
      <c r="AA91" s="99">
        <v>1</v>
      </c>
      <c r="AB91" s="99"/>
      <c r="AC91" s="99"/>
      <c r="AD91" s="107">
        <v>46.129062500000011</v>
      </c>
      <c r="AE91" s="113">
        <f t="shared" si="14"/>
        <v>-6.9193593750000018</v>
      </c>
      <c r="AF91" s="116">
        <f>-IFERROR(IFERROR(VLOOKUP(ROUNDUP($Q91,0),'FBA FEES'!$L$2:$Q$203,MATCH($S91,'FBA FEES'!$L$2:$Q$2,0),FALSE),VLOOKUP(ROUNDUP($Q91,0),'FBA FEES'!$C$6:$F$123,MATCH($S91,'FBA FEES'!$C$6:$F$6,0),FALSE)),0)</f>
        <v>-10.44</v>
      </c>
      <c r="AG91" s="116">
        <v>-10</v>
      </c>
      <c r="AH91" s="113">
        <f t="shared" si="15"/>
        <v>-17.359359375</v>
      </c>
      <c r="AI91" s="116">
        <f>-IFERROR(IF($Y91=1,INDEX('[1]REMOVAL FEES'!$A$1:$C$22,MATCH(CONCATENATE("Standard Size",$P91),'[1]REMOVAL FEES'!$A$1:$A$22,0),3),IF($Y91=2,IF($P91&gt;10,(($P91-10)*1.06)+INDEX('[1]REMOVAL FEES'!$E$1:$G$22,MATCH(CONCATENATE("Large bulky, extra-large and special handling items",IF($P91&gt;=11,11,$P91)),'[1]REMOVAL FEES'!$E$1:$E$13,0),3),INDEX('[1]REMOVAL FEES'!$E$1:$G$22,MATCH(CONCATENATE("Large bulky, extra-large and special handling items",IF($P91&gt;=11,11,$P91)),'[1]REMOVAL FEES'!$E$1:$E$13,0),3))))*$AA91,FALSE)</f>
        <v>-15.610000000000001</v>
      </c>
      <c r="AJ91" s="107">
        <f t="shared" si="16"/>
        <v>-32.969359375000003</v>
      </c>
      <c r="AK91" s="107">
        <v>-15.04468749999999</v>
      </c>
      <c r="AL91" s="107">
        <v>-5.2170763888888914</v>
      </c>
      <c r="AM91" s="107">
        <f t="shared" si="17"/>
        <v>-20.261763888888879</v>
      </c>
      <c r="AN91" s="116">
        <f>(-IF($V91="Yes", IF($X91="Yes", VLOOKUP($W91, '[1]Storage Fees'!A:M, 13, FALSE), VLOOKUP($W91, '[1]Storage Fees'!A:M, 10, FALSE)), IF($X91="Yes", VLOOKUP($W91, '[1]Storage Fees'!A:M, 7, FALSE), VLOOKUP($W91, '[1]Storage Fees'!A:M, 4, FALSE))) * U91)*1.5</f>
        <v>-0.60999999999999988</v>
      </c>
    </row>
    <row r="92" spans="1:40" x14ac:dyDescent="0.25">
      <c r="A92" s="99">
        <v>20</v>
      </c>
      <c r="B92" s="99" t="s">
        <v>55</v>
      </c>
      <c r="C92" s="99"/>
      <c r="D92" s="99"/>
      <c r="E92" s="99" t="s">
        <v>91</v>
      </c>
      <c r="F92" s="99" t="s">
        <v>95</v>
      </c>
      <c r="G92" s="99" t="s">
        <v>13656</v>
      </c>
      <c r="H92" s="99">
        <v>10</v>
      </c>
      <c r="I92" s="99">
        <v>9</v>
      </c>
      <c r="J92" s="99">
        <v>10</v>
      </c>
      <c r="K92" s="101" t="str">
        <f t="shared" si="5"/>
        <v>10x9x10</v>
      </c>
      <c r="L92" s="102">
        <f t="shared" si="6"/>
        <v>6.4748201438848918</v>
      </c>
      <c r="M92" s="113">
        <f t="shared" si="7"/>
        <v>6.4748201438848918</v>
      </c>
      <c r="N92" s="113">
        <f t="shared" si="8"/>
        <v>7</v>
      </c>
      <c r="O92" s="99">
        <v>11.3125</v>
      </c>
      <c r="P92" s="113">
        <f t="shared" si="9"/>
        <v>12</v>
      </c>
      <c r="Q92" s="112">
        <f t="shared" si="10"/>
        <v>192</v>
      </c>
      <c r="R92" s="112" t="str">
        <f t="shared" si="11"/>
        <v>Oversize</v>
      </c>
      <c r="S92" s="99" t="str">
        <f t="shared" si="12"/>
        <v>Large bulky</v>
      </c>
      <c r="T92" s="116" t="s">
        <v>13692</v>
      </c>
      <c r="U92" s="116">
        <f t="shared" si="13"/>
        <v>0.52083333333333337</v>
      </c>
      <c r="V92" s="116" t="s">
        <v>13583</v>
      </c>
      <c r="W92" s="116" t="s">
        <v>13690</v>
      </c>
      <c r="X92" s="116" t="s">
        <v>13691</v>
      </c>
      <c r="Y92" s="116">
        <v>2</v>
      </c>
      <c r="Z92" s="116">
        <v>3</v>
      </c>
      <c r="AA92" s="116">
        <v>1</v>
      </c>
      <c r="AB92" s="99"/>
      <c r="AC92" s="99"/>
      <c r="AD92" s="107">
        <v>0</v>
      </c>
      <c r="AE92" s="113">
        <f t="shared" si="14"/>
        <v>0</v>
      </c>
      <c r="AF92" s="116">
        <f>-IFERROR(IFERROR(VLOOKUP(ROUNDUP($Q92,0),'FBA FEES'!$L$2:$Q$203,MATCH($S92,'FBA FEES'!$L$2:$Q$2,0),FALSE),VLOOKUP(ROUNDUP($Q92,0),'FBA FEES'!$C$6:$F$123,MATCH($S92,'FBA FEES'!$C$6:$F$6,0),FALSE)),0)</f>
        <v>-13.79</v>
      </c>
      <c r="AG92" s="116">
        <v>-10</v>
      </c>
      <c r="AH92" s="113">
        <f t="shared" si="15"/>
        <v>-13.79</v>
      </c>
      <c r="AI92" s="116">
        <f>-IFERROR(IF($Y92=1,INDEX('[1]REMOVAL FEES'!$A$1:$C$22,MATCH(CONCATENATE("Standard Size",$P92),'[1]REMOVAL FEES'!$A$1:$A$22,0),3),IF($Y92=2,IF($P92&gt;10,(($P92-10)*1.06)+INDEX('[1]REMOVAL FEES'!$E$1:$G$22,MATCH(CONCATENATE("Large bulky, extra-large and special handling items",IF($P92&gt;=11,11,$P92)),'[1]REMOVAL FEES'!$E$1:$E$13,0),3),INDEX('[1]REMOVAL FEES'!$E$1:$G$22,MATCH(CONCATENATE("Large bulky, extra-large and special handling items",IF($P92&gt;=11,11,$P92)),'[1]REMOVAL FEES'!$E$1:$E$13,0),3))))*$AA92,FALSE)</f>
        <v>-16.440000000000001</v>
      </c>
      <c r="AJ92" s="107">
        <f t="shared" si="16"/>
        <v>-30.23</v>
      </c>
      <c r="AK92" s="107">
        <v>0</v>
      </c>
      <c r="AL92" s="107">
        <v>0</v>
      </c>
      <c r="AM92" s="107">
        <f t="shared" si="17"/>
        <v>0</v>
      </c>
      <c r="AN92" s="116">
        <f>(-IF($V92="Yes", IF($X92="Yes", VLOOKUP($W92, '[1]Storage Fees'!A:M, 13, FALSE), VLOOKUP($W92, '[1]Storage Fees'!A:M, 10, FALSE)), IF($X92="Yes", VLOOKUP($W92, '[1]Storage Fees'!A:M, 7, FALSE), VLOOKUP($W92, '[1]Storage Fees'!A:M, 4, FALSE))) * U92)*1.5</f>
        <v>-0.6171875</v>
      </c>
    </row>
    <row r="93" spans="1:40" x14ac:dyDescent="0.25">
      <c r="A93" s="99">
        <v>21</v>
      </c>
      <c r="B93" s="99" t="s">
        <v>55</v>
      </c>
      <c r="C93" s="99"/>
      <c r="D93" s="99"/>
      <c r="E93" s="99" t="s">
        <v>91</v>
      </c>
      <c r="F93" s="99" t="s">
        <v>97</v>
      </c>
      <c r="G93" s="99" t="s">
        <v>13695</v>
      </c>
      <c r="H93" s="99">
        <v>10</v>
      </c>
      <c r="I93" s="99">
        <v>8</v>
      </c>
      <c r="J93" s="99">
        <v>8</v>
      </c>
      <c r="K93" s="101" t="str">
        <f t="shared" si="5"/>
        <v>10x8x8</v>
      </c>
      <c r="L93" s="102">
        <f t="shared" si="6"/>
        <v>4.6043165467625897</v>
      </c>
      <c r="M93" s="113">
        <f t="shared" si="7"/>
        <v>4.6043165467625897</v>
      </c>
      <c r="N93" s="113">
        <f t="shared" si="8"/>
        <v>5</v>
      </c>
      <c r="O93" s="99">
        <v>23</v>
      </c>
      <c r="P93" s="113">
        <f t="shared" si="9"/>
        <v>23</v>
      </c>
      <c r="Q93" s="112">
        <f t="shared" si="10"/>
        <v>368</v>
      </c>
      <c r="R93" s="112" t="str">
        <f t="shared" si="11"/>
        <v>Oversize</v>
      </c>
      <c r="S93" s="99" t="str">
        <f t="shared" si="12"/>
        <v>Large bulky</v>
      </c>
      <c r="T93" s="116" t="s">
        <v>13692</v>
      </c>
      <c r="U93" s="116">
        <f t="shared" si="13"/>
        <v>0.37037037037037035</v>
      </c>
      <c r="V93" s="116" t="s">
        <v>13583</v>
      </c>
      <c r="W93" s="116" t="s">
        <v>13690</v>
      </c>
      <c r="X93" s="116" t="s">
        <v>13691</v>
      </c>
      <c r="Y93" s="116">
        <v>2</v>
      </c>
      <c r="Z93" s="116">
        <v>3</v>
      </c>
      <c r="AA93" s="116">
        <v>1</v>
      </c>
      <c r="AB93" s="99"/>
      <c r="AC93" s="99"/>
      <c r="AD93" s="107">
        <v>111.93169999999991</v>
      </c>
      <c r="AE93" s="113">
        <f t="shared" si="14"/>
        <v>-16.789754999999985</v>
      </c>
      <c r="AF93" s="116">
        <f>-IFERROR(IFERROR(VLOOKUP(ROUNDUP($Q93,0),'FBA FEES'!$L$2:$Q$203,MATCH($S93,'FBA FEES'!$L$2:$Q$2,0),FALSE),VLOOKUP(ROUNDUP($Q93,0),'FBA FEES'!$C$6:$F$123,MATCH($S93,'FBA FEES'!$C$6:$F$6,0),FALSE)),0)</f>
        <v>-17.97</v>
      </c>
      <c r="AG93" s="116">
        <v>-10</v>
      </c>
      <c r="AH93" s="113">
        <f t="shared" si="15"/>
        <v>-34.759754999999984</v>
      </c>
      <c r="AI93" s="116">
        <f>-IFERROR(IF($Y93=1,INDEX('[1]REMOVAL FEES'!$A$1:$C$22,MATCH(CONCATENATE("Standard Size",$P93),'[1]REMOVAL FEES'!$A$1:$A$22,0),3),IF($Y93=2,IF($P93&gt;10,(($P93-10)*1.06)+INDEX('[1]REMOVAL FEES'!$E$1:$G$22,MATCH(CONCATENATE("Large bulky, extra-large and special handling items",IF($P93&gt;=11,11,$P93)),'[1]REMOVAL FEES'!$E$1:$E$13,0),3),INDEX('[1]REMOVAL FEES'!$E$1:$G$22,MATCH(CONCATENATE("Large bulky, extra-large and special handling items",IF($P93&gt;=11,11,$P93)),'[1]REMOVAL FEES'!$E$1:$E$13,0),3))))*$AA93,FALSE)</f>
        <v>-28.1</v>
      </c>
      <c r="AJ93" s="107">
        <f t="shared" si="16"/>
        <v>-62.859754999999986</v>
      </c>
      <c r="AK93" s="107">
        <v>-46.867300000000057</v>
      </c>
      <c r="AL93" s="107">
        <v>-10.858540573067559</v>
      </c>
      <c r="AM93" s="107">
        <f t="shared" si="17"/>
        <v>-57.725840573067615</v>
      </c>
      <c r="AN93" s="116">
        <f>(-IF($V93="Yes", IF($X93="Yes", VLOOKUP($W93, '[1]Storage Fees'!A:M, 13, FALSE), VLOOKUP($W93, '[1]Storage Fees'!A:M, 10, FALSE)), IF($X93="Yes", VLOOKUP($W93, '[1]Storage Fees'!A:M, 7, FALSE), VLOOKUP($W93, '[1]Storage Fees'!A:M, 4, FALSE))) * U93)*1.5</f>
        <v>-0.43888888888888888</v>
      </c>
    </row>
    <row r="94" spans="1:40" x14ac:dyDescent="0.25">
      <c r="A94" s="99">
        <v>22</v>
      </c>
      <c r="B94" s="99" t="s">
        <v>55</v>
      </c>
      <c r="C94" s="99"/>
      <c r="D94" s="99"/>
      <c r="E94" s="99" t="s">
        <v>91</v>
      </c>
      <c r="F94" s="99" t="s">
        <v>99</v>
      </c>
      <c r="G94" s="99" t="s">
        <v>13695</v>
      </c>
      <c r="H94" s="99">
        <v>9</v>
      </c>
      <c r="I94" s="99">
        <v>9</v>
      </c>
      <c r="J94" s="99">
        <v>9</v>
      </c>
      <c r="K94" s="101" t="str">
        <f t="shared" si="5"/>
        <v>9x9x9</v>
      </c>
      <c r="L94" s="102">
        <f t="shared" si="6"/>
        <v>5.2446043165467628</v>
      </c>
      <c r="M94" s="113">
        <f t="shared" si="7"/>
        <v>5.2446043165467628</v>
      </c>
      <c r="N94" s="113">
        <f t="shared" si="8"/>
        <v>6</v>
      </c>
      <c r="O94" s="99">
        <v>23</v>
      </c>
      <c r="P94" s="113">
        <f t="shared" si="9"/>
        <v>23</v>
      </c>
      <c r="Q94" s="112">
        <f t="shared" si="10"/>
        <v>368</v>
      </c>
      <c r="R94" s="112" t="str">
        <f t="shared" si="11"/>
        <v>Oversize</v>
      </c>
      <c r="S94" s="99" t="str">
        <f t="shared" si="12"/>
        <v>Large bulky</v>
      </c>
      <c r="T94" s="116" t="s">
        <v>13692</v>
      </c>
      <c r="U94" s="116">
        <f t="shared" si="13"/>
        <v>0.421875</v>
      </c>
      <c r="V94" s="116" t="s">
        <v>13583</v>
      </c>
      <c r="W94" s="116" t="s">
        <v>13690</v>
      </c>
      <c r="X94" s="116" t="s">
        <v>13691</v>
      </c>
      <c r="Y94" s="116">
        <v>2</v>
      </c>
      <c r="Z94" s="116">
        <v>3</v>
      </c>
      <c r="AA94" s="116">
        <v>1</v>
      </c>
      <c r="AB94" s="99"/>
      <c r="AC94" s="99"/>
      <c r="AD94" s="107">
        <v>76.598409090909101</v>
      </c>
      <c r="AE94" s="113">
        <f t="shared" si="14"/>
        <v>-11.489761363636365</v>
      </c>
      <c r="AF94" s="116">
        <f>-IFERROR(IFERROR(VLOOKUP(ROUNDUP($Q94,0),'FBA FEES'!$L$2:$Q$203,MATCH($S94,'FBA FEES'!$L$2:$Q$2,0),FALSE),VLOOKUP(ROUNDUP($Q94,0),'FBA FEES'!$C$6:$F$123,MATCH($S94,'FBA FEES'!$C$6:$F$6,0),FALSE)),0)</f>
        <v>-17.97</v>
      </c>
      <c r="AG94" s="116">
        <v>-10</v>
      </c>
      <c r="AH94" s="113">
        <f t="shared" si="15"/>
        <v>-29.459761363636364</v>
      </c>
      <c r="AI94" s="116">
        <f>-IFERROR(IF($Y94=1,INDEX('[1]REMOVAL FEES'!$A$1:$C$22,MATCH(CONCATENATE("Standard Size",$P94),'[1]REMOVAL FEES'!$A$1:$A$22,0),3),IF($Y94=2,IF($P94&gt;10,(($P94-10)*1.06)+INDEX('[1]REMOVAL FEES'!$E$1:$G$22,MATCH(CONCATENATE("Large bulky, extra-large and special handling items",IF($P94&gt;=11,11,$P94)),'[1]REMOVAL FEES'!$E$1:$E$13,0),3),INDEX('[1]REMOVAL FEES'!$E$1:$G$22,MATCH(CONCATENATE("Large bulky, extra-large and special handling items",IF($P94&gt;=11,11,$P94)),'[1]REMOVAL FEES'!$E$1:$E$13,0),3))))*$AA94,FALSE)</f>
        <v>-28.1</v>
      </c>
      <c r="AJ94" s="107">
        <f t="shared" si="16"/>
        <v>-57.559761363636369</v>
      </c>
      <c r="AK94" s="107">
        <v>-27.002272727272711</v>
      </c>
      <c r="AL94" s="107">
        <v>-11.74473295454546</v>
      </c>
      <c r="AM94" s="107">
        <f t="shared" si="17"/>
        <v>-38.747005681818173</v>
      </c>
      <c r="AN94" s="116">
        <f>(-IF($V94="Yes", IF($X94="Yes", VLOOKUP($W94, '[1]Storage Fees'!A:M, 13, FALSE), VLOOKUP($W94, '[1]Storage Fees'!A:M, 10, FALSE)), IF($X94="Yes", VLOOKUP($W94, '[1]Storage Fees'!A:M, 7, FALSE), VLOOKUP($W94, '[1]Storage Fees'!A:M, 4, FALSE))) * U94)*1.5</f>
        <v>-0.49992187500000007</v>
      </c>
    </row>
    <row r="95" spans="1:40" x14ac:dyDescent="0.25">
      <c r="A95" s="99">
        <v>23</v>
      </c>
      <c r="B95" s="99" t="s">
        <v>107</v>
      </c>
      <c r="C95" s="99"/>
      <c r="D95" s="99"/>
      <c r="E95" s="99" t="s">
        <v>106</v>
      </c>
      <c r="F95" s="99" t="s">
        <v>104</v>
      </c>
      <c r="G95" s="99" t="s">
        <v>13656</v>
      </c>
      <c r="H95" s="99">
        <v>11</v>
      </c>
      <c r="I95" s="99">
        <v>4</v>
      </c>
      <c r="J95" s="99">
        <v>3</v>
      </c>
      <c r="K95" s="101" t="str">
        <f t="shared" si="5"/>
        <v>11x4x3</v>
      </c>
      <c r="L95" s="102">
        <f t="shared" si="6"/>
        <v>0.94964028776978415</v>
      </c>
      <c r="M95" s="113">
        <f t="shared" si="7"/>
        <v>0.94964028776978415</v>
      </c>
      <c r="N95" s="113">
        <f t="shared" si="8"/>
        <v>1</v>
      </c>
      <c r="O95" s="99">
        <v>1.5</v>
      </c>
      <c r="P95" s="113">
        <f t="shared" si="9"/>
        <v>2</v>
      </c>
      <c r="Q95" s="112">
        <f t="shared" si="10"/>
        <v>32</v>
      </c>
      <c r="R95" s="112" t="str">
        <f t="shared" si="11"/>
        <v>Standard-size</v>
      </c>
      <c r="S95" s="99" t="str">
        <f t="shared" si="12"/>
        <v>Large standard-size</v>
      </c>
      <c r="T95" s="116" t="s">
        <v>13697</v>
      </c>
      <c r="U95" s="116">
        <f t="shared" si="13"/>
        <v>7.6388888888888895E-2</v>
      </c>
      <c r="V95" s="116" t="s">
        <v>13583</v>
      </c>
      <c r="W95" s="116" t="s">
        <v>13690</v>
      </c>
      <c r="X95" s="99" t="s">
        <v>13583</v>
      </c>
      <c r="Y95" s="99">
        <v>1</v>
      </c>
      <c r="Z95" s="99">
        <v>2</v>
      </c>
      <c r="AA95" s="99">
        <v>1</v>
      </c>
      <c r="AB95" s="99"/>
      <c r="AC95" s="99"/>
      <c r="AD95" s="107">
        <v>26.96401639344257</v>
      </c>
      <c r="AE95" s="113">
        <f t="shared" si="14"/>
        <v>-4.0446024590163852</v>
      </c>
      <c r="AF95" s="116">
        <f>-IFERROR(IFERROR(VLOOKUP(ROUNDUP($Q95,0),'FBA FEES'!$L$2:$Q$203,MATCH($S95,'FBA FEES'!$L$2:$Q$2,0),FALSE),VLOOKUP(ROUNDUP($Q95,0),'FBA FEES'!$C$6:$F$123,MATCH($S95,'FBA FEES'!$C$6:$F$6,0),FALSE)),0)</f>
        <v>-5.77</v>
      </c>
      <c r="AG95" s="116">
        <v>-10</v>
      </c>
      <c r="AH95" s="113">
        <f t="shared" si="15"/>
        <v>-9.8146024590163847</v>
      </c>
      <c r="AI95" s="116">
        <f>-IFERROR(IF($Y95=1,INDEX('[1]REMOVAL FEES'!$A$1:$C$22,MATCH(CONCATENATE("Standard Size",$P95),'[1]REMOVAL FEES'!$A$1:$A$22,0),3),IF($Y95=2,IF($P95&gt;10,(($P95-10)*1.06)+INDEX('[1]REMOVAL FEES'!$E$1:$G$22,MATCH(CONCATENATE("Large bulky, extra-large and special handling items",IF($P95&gt;=11,11,$P95)),'[1]REMOVAL FEES'!$E$1:$E$13,0),3),INDEX('[1]REMOVAL FEES'!$E$1:$G$22,MATCH(CONCATENATE("Large bulky, extra-large and special handling items",IF($P95&gt;=11,11,$P95)),'[1]REMOVAL FEES'!$E$1:$E$13,0),3))))*$AA95,FALSE)</f>
        <v>-2.27</v>
      </c>
      <c r="AJ95" s="107">
        <f t="shared" si="16"/>
        <v>-12.084602459016384</v>
      </c>
      <c r="AK95" s="107">
        <v>-8.7161475409836093</v>
      </c>
      <c r="AL95" s="107">
        <v>-0.59483471896955664</v>
      </c>
      <c r="AM95" s="107">
        <f t="shared" si="17"/>
        <v>-9.3109822599531658</v>
      </c>
      <c r="AN95" s="116">
        <f>(-IF($V95="Yes", IF($X95="Yes", VLOOKUP($W95, '[1]Storage Fees'!A:M, 13, FALSE), VLOOKUP($W95, '[1]Storage Fees'!A:M, 10, FALSE)), IF($X95="Yes", VLOOKUP($W95, '[1]Storage Fees'!A:M, 7, FALSE), VLOOKUP($W95, '[1]Storage Fees'!A:M, 4, FALSE))) * U95)*1.5</f>
        <v>-0.13979166666666668</v>
      </c>
    </row>
    <row r="96" spans="1:40" x14ac:dyDescent="0.25">
      <c r="A96" s="99">
        <v>24</v>
      </c>
      <c r="B96" s="99"/>
      <c r="C96" s="99" t="s">
        <v>13655</v>
      </c>
      <c r="D96" s="99"/>
      <c r="E96" s="99" t="s">
        <v>1493</v>
      </c>
      <c r="F96" s="99" t="s">
        <v>1502</v>
      </c>
      <c r="G96" s="99" t="s">
        <v>13695</v>
      </c>
      <c r="H96" s="99">
        <v>0</v>
      </c>
      <c r="I96" s="99">
        <v>0</v>
      </c>
      <c r="J96" s="99">
        <v>0</v>
      </c>
      <c r="K96" s="101" t="str">
        <f t="shared" si="5"/>
        <v>0x0x0</v>
      </c>
      <c r="L96" s="102">
        <f t="shared" si="6"/>
        <v>0</v>
      </c>
      <c r="M96" s="113">
        <f t="shared" si="7"/>
        <v>0</v>
      </c>
      <c r="N96" s="113">
        <f t="shared" si="8"/>
        <v>0</v>
      </c>
      <c r="O96" s="99">
        <v>0</v>
      </c>
      <c r="P96" s="113">
        <f t="shared" si="9"/>
        <v>0</v>
      </c>
      <c r="Q96" s="112">
        <f t="shared" si="10"/>
        <v>0</v>
      </c>
      <c r="R96" s="112" t="str">
        <f t="shared" si="11"/>
        <v>Standard-size</v>
      </c>
      <c r="S96" s="99" t="str">
        <f t="shared" si="12"/>
        <v>Small standard-size</v>
      </c>
      <c r="T96" s="116" t="s">
        <v>13696</v>
      </c>
      <c r="U96" s="116">
        <f t="shared" si="13"/>
        <v>0</v>
      </c>
      <c r="V96" s="116" t="s">
        <v>13583</v>
      </c>
      <c r="W96" s="116" t="s">
        <v>13690</v>
      </c>
      <c r="X96" s="99" t="s">
        <v>13583</v>
      </c>
      <c r="Y96" s="99">
        <v>1</v>
      </c>
      <c r="Z96" s="99">
        <v>1</v>
      </c>
      <c r="AA96" s="99">
        <v>1</v>
      </c>
      <c r="AB96" s="99"/>
      <c r="AC96" s="99"/>
      <c r="AD96" s="107">
        <v>0</v>
      </c>
      <c r="AE96" s="113">
        <f t="shared" si="14"/>
        <v>0</v>
      </c>
      <c r="AF96" s="116">
        <f>-IFERROR(IFERROR(VLOOKUP(ROUNDUP($Q96,0),'FBA FEES'!$L$2:$Q$203,MATCH($S96,'FBA FEES'!$L$2:$Q$2,0),FALSE),VLOOKUP(ROUNDUP($Q96,0),'FBA FEES'!$C$6:$F$123,MATCH($S96,'FBA FEES'!$C$6:$F$6,0),FALSE)),0)</f>
        <v>0</v>
      </c>
      <c r="AG96" s="116">
        <v>-10</v>
      </c>
      <c r="AH96" s="113">
        <f t="shared" si="15"/>
        <v>0</v>
      </c>
      <c r="AI96" s="116">
        <f>-IFERROR(IF($Y96=1,INDEX('[1]REMOVAL FEES'!$A$1:$C$22,MATCH(CONCATENATE("Standard Size",$P96),'[1]REMOVAL FEES'!$A$1:$A$22,0),3),IF($Y96=2,IF($P96&gt;10,(($P96-10)*1.06)+INDEX('[1]REMOVAL FEES'!$E$1:$G$22,MATCH(CONCATENATE("Large bulky, extra-large and special handling items",IF($P96&gt;=11,11,$P96)),'[1]REMOVAL FEES'!$E$1:$E$13,0),3),INDEX('[1]REMOVAL FEES'!$E$1:$G$22,MATCH(CONCATENATE("Large bulky, extra-large and special handling items",IF($P96&gt;=11,11,$P96)),'[1]REMOVAL FEES'!$E$1:$E$13,0),3))))*$AA96,FALSE)</f>
        <v>0</v>
      </c>
      <c r="AJ96" s="107">
        <f t="shared" si="16"/>
        <v>0</v>
      </c>
      <c r="AK96" s="107">
        <v>0</v>
      </c>
      <c r="AL96" s="107">
        <v>0</v>
      </c>
      <c r="AM96" s="107">
        <f t="shared" si="17"/>
        <v>0</v>
      </c>
      <c r="AN96" s="116">
        <f>(-IF($V96="Yes", IF($X96="Yes", VLOOKUP($W96, '[1]Storage Fees'!A:M, 13, FALSE), VLOOKUP($W96, '[1]Storage Fees'!A:M, 10, FALSE)), IF($X96="Yes", VLOOKUP($W96, '[1]Storage Fees'!A:M, 7, FALSE), VLOOKUP($W96, '[1]Storage Fees'!A:M, 4, FALSE))) * U96)*1.5</f>
        <v>0</v>
      </c>
    </row>
    <row r="97" spans="1:40" x14ac:dyDescent="0.25">
      <c r="A97" s="99">
        <v>25</v>
      </c>
      <c r="B97" s="99" t="s">
        <v>55</v>
      </c>
      <c r="C97" s="99"/>
      <c r="D97" s="99"/>
      <c r="E97" s="99" t="s">
        <v>110</v>
      </c>
      <c r="F97" s="99" t="s">
        <v>108</v>
      </c>
      <c r="G97" s="99" t="s">
        <v>13656</v>
      </c>
      <c r="H97" s="99">
        <v>5</v>
      </c>
      <c r="I97" s="99">
        <v>4</v>
      </c>
      <c r="J97" s="99">
        <v>2</v>
      </c>
      <c r="K97" s="101" t="str">
        <f t="shared" si="5"/>
        <v>5x4x2</v>
      </c>
      <c r="L97" s="102">
        <f t="shared" si="6"/>
        <v>0.28776978417266186</v>
      </c>
      <c r="M97" s="113">
        <f t="shared" si="7"/>
        <v>0.28776978417266186</v>
      </c>
      <c r="N97" s="113">
        <f t="shared" si="8"/>
        <v>0.5</v>
      </c>
      <c r="O97" s="99">
        <v>0.9375</v>
      </c>
      <c r="P97" s="113">
        <f t="shared" si="9"/>
        <v>1</v>
      </c>
      <c r="Q97" s="112">
        <f t="shared" si="10"/>
        <v>16</v>
      </c>
      <c r="R97" s="112" t="str">
        <f t="shared" si="11"/>
        <v>Standard-size</v>
      </c>
      <c r="S97" s="99" t="str">
        <f t="shared" si="12"/>
        <v>Large standard-size</v>
      </c>
      <c r="T97" s="116" t="s">
        <v>13698</v>
      </c>
      <c r="U97" s="116">
        <f t="shared" si="13"/>
        <v>2.3148148148148147E-2</v>
      </c>
      <c r="V97" s="116" t="s">
        <v>13583</v>
      </c>
      <c r="W97" s="116" t="s">
        <v>13690</v>
      </c>
      <c r="X97" s="99" t="s">
        <v>13583</v>
      </c>
      <c r="Y97" s="99">
        <v>1</v>
      </c>
      <c r="Z97" s="99">
        <v>2</v>
      </c>
      <c r="AA97" s="99">
        <v>1</v>
      </c>
      <c r="AB97" s="99"/>
      <c r="AC97" s="99"/>
      <c r="AD97" s="107">
        <v>14.586885880077229</v>
      </c>
      <c r="AE97" s="113">
        <f t="shared" si="14"/>
        <v>-2.1880328820115844</v>
      </c>
      <c r="AF97" s="116">
        <f>-IFERROR(IFERROR(VLOOKUP(ROUNDUP($Q97,0),'FBA FEES'!$L$2:$Q$203,MATCH($S97,'FBA FEES'!$L$2:$Q$2,0),FALSE),VLOOKUP(ROUNDUP($Q97,0),'FBA FEES'!$C$6:$F$123,MATCH($S97,'FBA FEES'!$C$6:$F$6,0),FALSE)),0)</f>
        <v>-4.55</v>
      </c>
      <c r="AG97" s="116">
        <v>-10</v>
      </c>
      <c r="AH97" s="113">
        <f t="shared" si="15"/>
        <v>-6.7380328820115842</v>
      </c>
      <c r="AI97" s="116">
        <f>-IFERROR(IF($Y97=1,INDEX('[1]REMOVAL FEES'!$A$1:$C$22,MATCH(CONCATENATE("Standard Size",$P97),'[1]REMOVAL FEES'!$A$1:$A$22,0),3),IF($Y97=2,IF($P97&gt;10,(($P97-10)*1.06)+INDEX('[1]REMOVAL FEES'!$E$1:$G$22,MATCH(CONCATENATE("Large bulky, extra-large and special handling items",IF($P97&gt;=11,11,$P97)),'[1]REMOVAL FEES'!$E$1:$E$13,0),3),INDEX('[1]REMOVAL FEES'!$E$1:$G$22,MATCH(CONCATENATE("Large bulky, extra-large and special handling items",IF($P97&gt;=11,11,$P97)),'[1]REMOVAL FEES'!$E$1:$E$13,0),3))))*$AA97,FALSE)</f>
        <v>-1.53</v>
      </c>
      <c r="AJ97" s="107">
        <f t="shared" si="16"/>
        <v>-8.2680328820115836</v>
      </c>
      <c r="AK97" s="107">
        <v>-2.3563249516441029</v>
      </c>
      <c r="AL97" s="107">
        <v>-0.58360220249796291</v>
      </c>
      <c r="AM97" s="107">
        <f t="shared" si="17"/>
        <v>-2.9399271541420657</v>
      </c>
      <c r="AN97" s="116">
        <f>(-IF($V97="Yes", IF($X97="Yes", VLOOKUP($W97, '[1]Storage Fees'!A:M, 13, FALSE), VLOOKUP($W97, '[1]Storage Fees'!A:M, 10, FALSE)), IF($X97="Yes", VLOOKUP($W97, '[1]Storage Fees'!A:M, 7, FALSE), VLOOKUP($W97, '[1]Storage Fees'!A:M, 4, FALSE))) * U97)*1.5</f>
        <v>-4.2361111111111113E-2</v>
      </c>
    </row>
    <row r="98" spans="1:40" x14ac:dyDescent="0.25">
      <c r="A98" s="99">
        <v>26</v>
      </c>
      <c r="B98" s="99" t="s">
        <v>55</v>
      </c>
      <c r="C98" s="99"/>
      <c r="D98" s="99"/>
      <c r="E98" s="99" t="s">
        <v>110</v>
      </c>
      <c r="F98" s="99" t="s">
        <v>111</v>
      </c>
      <c r="G98" s="99" t="s">
        <v>13656</v>
      </c>
      <c r="H98" s="99">
        <v>7</v>
      </c>
      <c r="I98" s="99">
        <v>5</v>
      </c>
      <c r="J98" s="99">
        <v>1</v>
      </c>
      <c r="K98" s="101" t="str">
        <f t="shared" si="5"/>
        <v>7x5x1</v>
      </c>
      <c r="L98" s="102">
        <f t="shared" si="6"/>
        <v>0.25179856115107913</v>
      </c>
      <c r="M98" s="113">
        <f t="shared" si="7"/>
        <v>0.25179856115107913</v>
      </c>
      <c r="N98" s="113">
        <f t="shared" si="8"/>
        <v>0.5</v>
      </c>
      <c r="O98" s="99">
        <v>0.9375</v>
      </c>
      <c r="P98" s="113">
        <f t="shared" si="9"/>
        <v>1</v>
      </c>
      <c r="Q98" s="112">
        <f t="shared" si="10"/>
        <v>16</v>
      </c>
      <c r="R98" s="112" t="str">
        <f t="shared" si="11"/>
        <v>Standard-size</v>
      </c>
      <c r="S98" s="99" t="str">
        <f t="shared" si="12"/>
        <v>Large standard-size</v>
      </c>
      <c r="T98" s="116" t="s">
        <v>13698</v>
      </c>
      <c r="U98" s="116">
        <f t="shared" si="13"/>
        <v>2.0254629629629629E-2</v>
      </c>
      <c r="V98" s="116" t="s">
        <v>13583</v>
      </c>
      <c r="W98" s="116" t="s">
        <v>13690</v>
      </c>
      <c r="X98" s="99" t="s">
        <v>13583</v>
      </c>
      <c r="Y98" s="99">
        <v>1</v>
      </c>
      <c r="Z98" s="99">
        <v>2</v>
      </c>
      <c r="AA98" s="99">
        <v>1</v>
      </c>
      <c r="AB98" s="99"/>
      <c r="AC98" s="99"/>
      <c r="AD98" s="107">
        <v>17.740561797752811</v>
      </c>
      <c r="AE98" s="113">
        <f t="shared" si="14"/>
        <v>-2.6610842696629216</v>
      </c>
      <c r="AF98" s="116">
        <f>-IFERROR(IFERROR(VLOOKUP(ROUNDUP($Q98,0),'FBA FEES'!$L$2:$Q$203,MATCH($S98,'FBA FEES'!$L$2:$Q$2,0),FALSE),VLOOKUP(ROUNDUP($Q98,0),'FBA FEES'!$C$6:$F$123,MATCH($S98,'FBA FEES'!$C$6:$F$6,0),FALSE)),0)</f>
        <v>-4.55</v>
      </c>
      <c r="AG98" s="116">
        <v>-10</v>
      </c>
      <c r="AH98" s="113">
        <f t="shared" si="15"/>
        <v>-7.2110842696629209</v>
      </c>
      <c r="AI98" s="116">
        <f>-IFERROR(IF($Y98=1,INDEX('[1]REMOVAL FEES'!$A$1:$C$22,MATCH(CONCATENATE("Standard Size",$P98),'[1]REMOVAL FEES'!$A$1:$A$22,0),3),IF($Y98=2,IF($P98&gt;10,(($P98-10)*1.06)+INDEX('[1]REMOVAL FEES'!$E$1:$G$22,MATCH(CONCATENATE("Large bulky, extra-large and special handling items",IF($P98&gt;=11,11,$P98)),'[1]REMOVAL FEES'!$E$1:$E$13,0),3),INDEX('[1]REMOVAL FEES'!$E$1:$G$22,MATCH(CONCATENATE("Large bulky, extra-large and special handling items",IF($P98&gt;=11,11,$P98)),'[1]REMOVAL FEES'!$E$1:$E$13,0),3))))*$AA98,FALSE)</f>
        <v>-1.53</v>
      </c>
      <c r="AJ98" s="107">
        <f t="shared" si="16"/>
        <v>-8.7410842696629203</v>
      </c>
      <c r="AK98" s="107">
        <v>-2.3199999999999998</v>
      </c>
      <c r="AL98" s="107">
        <v>-0.58633100278222294</v>
      </c>
      <c r="AM98" s="107">
        <f t="shared" si="17"/>
        <v>-2.9063310027822227</v>
      </c>
      <c r="AN98" s="116">
        <f>(-IF($V98="Yes", IF($X98="Yes", VLOOKUP($W98, '[1]Storage Fees'!A:M, 13, FALSE), VLOOKUP($W98, '[1]Storage Fees'!A:M, 10, FALSE)), IF($X98="Yes", VLOOKUP($W98, '[1]Storage Fees'!A:M, 7, FALSE), VLOOKUP($W98, '[1]Storage Fees'!A:M, 4, FALSE))) * U98)*1.5</f>
        <v>-3.7065972222222222E-2</v>
      </c>
    </row>
    <row r="99" spans="1:40" x14ac:dyDescent="0.25">
      <c r="A99" s="99">
        <v>27</v>
      </c>
      <c r="B99" s="99"/>
      <c r="C99" s="99" t="s">
        <v>13655</v>
      </c>
      <c r="D99" s="99"/>
      <c r="E99" s="99" t="s">
        <v>110</v>
      </c>
      <c r="F99" s="99" t="s">
        <v>1504</v>
      </c>
      <c r="G99" s="99" t="s">
        <v>13695</v>
      </c>
      <c r="H99" s="99">
        <v>0</v>
      </c>
      <c r="I99" s="99">
        <v>0</v>
      </c>
      <c r="J99" s="99">
        <v>0</v>
      </c>
      <c r="K99" s="101" t="str">
        <f t="shared" si="5"/>
        <v>0x0x0</v>
      </c>
      <c r="L99" s="102">
        <f t="shared" si="6"/>
        <v>0</v>
      </c>
      <c r="M99" s="113">
        <f t="shared" si="7"/>
        <v>0</v>
      </c>
      <c r="N99" s="113">
        <f t="shared" si="8"/>
        <v>0</v>
      </c>
      <c r="O99" s="99">
        <v>0</v>
      </c>
      <c r="P99" s="113">
        <f t="shared" si="9"/>
        <v>0</v>
      </c>
      <c r="Q99" s="112">
        <f t="shared" si="10"/>
        <v>0</v>
      </c>
      <c r="R99" s="112" t="str">
        <f t="shared" si="11"/>
        <v>Standard-size</v>
      </c>
      <c r="S99" s="99" t="str">
        <f t="shared" si="12"/>
        <v>Small standard-size</v>
      </c>
      <c r="T99" s="116" t="s">
        <v>13696</v>
      </c>
      <c r="U99" s="116">
        <f t="shared" si="13"/>
        <v>0</v>
      </c>
      <c r="V99" s="116" t="s">
        <v>13583</v>
      </c>
      <c r="W99" s="116" t="s">
        <v>13690</v>
      </c>
      <c r="X99" s="99" t="s">
        <v>13583</v>
      </c>
      <c r="Y99" s="99">
        <v>1</v>
      </c>
      <c r="Z99" s="99">
        <v>1</v>
      </c>
      <c r="AA99" s="99">
        <v>1</v>
      </c>
      <c r="AB99" s="99"/>
      <c r="AC99" s="99"/>
      <c r="AD99" s="107">
        <v>0</v>
      </c>
      <c r="AE99" s="113">
        <f t="shared" si="14"/>
        <v>0</v>
      </c>
      <c r="AF99" s="116">
        <f>-IFERROR(IFERROR(VLOOKUP(ROUNDUP($Q99,0),'FBA FEES'!$L$2:$Q$203,MATCH($S99,'FBA FEES'!$L$2:$Q$2,0),FALSE),VLOOKUP(ROUNDUP($Q99,0),'FBA FEES'!$C$6:$F$123,MATCH($S99,'FBA FEES'!$C$6:$F$6,0),FALSE)),0)</f>
        <v>0</v>
      </c>
      <c r="AG99" s="116">
        <v>-10</v>
      </c>
      <c r="AH99" s="113">
        <f t="shared" si="15"/>
        <v>0</v>
      </c>
      <c r="AI99" s="116">
        <f>-IFERROR(IF($Y99=1,INDEX('[1]REMOVAL FEES'!$A$1:$C$22,MATCH(CONCATENATE("Standard Size",$P99),'[1]REMOVAL FEES'!$A$1:$A$22,0),3),IF($Y99=2,IF($P99&gt;10,(($P99-10)*1.06)+INDEX('[1]REMOVAL FEES'!$E$1:$G$22,MATCH(CONCATENATE("Large bulky, extra-large and special handling items",IF($P99&gt;=11,11,$P99)),'[1]REMOVAL FEES'!$E$1:$E$13,0),3),INDEX('[1]REMOVAL FEES'!$E$1:$G$22,MATCH(CONCATENATE("Large bulky, extra-large and special handling items",IF($P99&gt;=11,11,$P99)),'[1]REMOVAL FEES'!$E$1:$E$13,0),3))))*$AA99,FALSE)</f>
        <v>0</v>
      </c>
      <c r="AJ99" s="107">
        <f t="shared" si="16"/>
        <v>0</v>
      </c>
      <c r="AK99" s="107">
        <v>0</v>
      </c>
      <c r="AL99" s="107">
        <v>0</v>
      </c>
      <c r="AM99" s="107">
        <f t="shared" si="17"/>
        <v>0</v>
      </c>
      <c r="AN99" s="116">
        <f>(-IF($V99="Yes", IF($X99="Yes", VLOOKUP($W99, '[1]Storage Fees'!A:M, 13, FALSE), VLOOKUP($W99, '[1]Storage Fees'!A:M, 10, FALSE)), IF($X99="Yes", VLOOKUP($W99, '[1]Storage Fees'!A:M, 7, FALSE), VLOOKUP($W99, '[1]Storage Fees'!A:M, 4, FALSE))) * U99)*1.5</f>
        <v>0</v>
      </c>
    </row>
    <row r="100" spans="1:40" x14ac:dyDescent="0.25">
      <c r="A100" s="99">
        <v>28</v>
      </c>
      <c r="B100" s="99" t="s">
        <v>55</v>
      </c>
      <c r="C100" s="99"/>
      <c r="D100" s="99"/>
      <c r="E100" s="99" t="s">
        <v>110</v>
      </c>
      <c r="F100" s="99" t="s">
        <v>113</v>
      </c>
      <c r="G100" s="99" t="s">
        <v>13656</v>
      </c>
      <c r="H100" s="99">
        <v>8</v>
      </c>
      <c r="I100" s="99">
        <v>5</v>
      </c>
      <c r="J100" s="99">
        <v>1</v>
      </c>
      <c r="K100" s="101" t="str">
        <f t="shared" si="5"/>
        <v>8x5x1</v>
      </c>
      <c r="L100" s="102">
        <f t="shared" si="6"/>
        <v>0.28776978417266186</v>
      </c>
      <c r="M100" s="113">
        <f t="shared" si="7"/>
        <v>0.28776978417266186</v>
      </c>
      <c r="N100" s="113">
        <f t="shared" si="8"/>
        <v>0.5</v>
      </c>
      <c r="O100" s="99">
        <v>0.9375</v>
      </c>
      <c r="P100" s="113">
        <f t="shared" si="9"/>
        <v>1</v>
      </c>
      <c r="Q100" s="112">
        <f t="shared" si="10"/>
        <v>16</v>
      </c>
      <c r="R100" s="112" t="str">
        <f t="shared" si="11"/>
        <v>Standard-size</v>
      </c>
      <c r="S100" s="99" t="str">
        <f t="shared" si="12"/>
        <v>Large standard-size</v>
      </c>
      <c r="T100" s="116" t="s">
        <v>13698</v>
      </c>
      <c r="U100" s="116">
        <f t="shared" si="13"/>
        <v>2.3148148148148147E-2</v>
      </c>
      <c r="V100" s="116" t="s">
        <v>13583</v>
      </c>
      <c r="W100" s="116" t="s">
        <v>13690</v>
      </c>
      <c r="X100" s="99" t="s">
        <v>13583</v>
      </c>
      <c r="Y100" s="99">
        <v>1</v>
      </c>
      <c r="Z100" s="99">
        <v>2</v>
      </c>
      <c r="AA100" s="99">
        <v>1</v>
      </c>
      <c r="AB100" s="99"/>
      <c r="AC100" s="99"/>
      <c r="AD100" s="107">
        <v>14.63894915254229</v>
      </c>
      <c r="AE100" s="113">
        <f t="shared" si="14"/>
        <v>-2.1958423728813434</v>
      </c>
      <c r="AF100" s="116">
        <f>-IFERROR(IFERROR(VLOOKUP(ROUNDUP($Q100,0),'FBA FEES'!$L$2:$Q$203,MATCH($S100,'FBA FEES'!$L$2:$Q$2,0),FALSE),VLOOKUP(ROUNDUP($Q100,0),'FBA FEES'!$C$6:$F$123,MATCH($S100,'FBA FEES'!$C$6:$F$6,0),FALSE)),0)</f>
        <v>-4.55</v>
      </c>
      <c r="AG100" s="116">
        <v>-10</v>
      </c>
      <c r="AH100" s="113">
        <f t="shared" si="15"/>
        <v>-6.7458423728813433</v>
      </c>
      <c r="AI100" s="116">
        <f>-IFERROR(IF($Y100=1,INDEX('[1]REMOVAL FEES'!$A$1:$C$22,MATCH(CONCATENATE("Standard Size",$P100),'[1]REMOVAL FEES'!$A$1:$A$22,0),3),IF($Y100=2,IF($P100&gt;10,(($P100-10)*1.06)+INDEX('[1]REMOVAL FEES'!$E$1:$G$22,MATCH(CONCATENATE("Large bulky, extra-large and special handling items",IF($P100&gt;=11,11,$P100)),'[1]REMOVAL FEES'!$E$1:$E$13,0),3),INDEX('[1]REMOVAL FEES'!$E$1:$G$22,MATCH(CONCATENATE("Large bulky, extra-large and special handling items",IF($P100&gt;=11,11,$P100)),'[1]REMOVAL FEES'!$E$1:$E$13,0),3))))*$AA100,FALSE)</f>
        <v>-1.53</v>
      </c>
      <c r="AJ100" s="107">
        <f t="shared" si="16"/>
        <v>-8.2758423728813426</v>
      </c>
      <c r="AK100" s="107">
        <v>-2.1261355932203361</v>
      </c>
      <c r="AL100" s="107">
        <v>-0.55438933333333251</v>
      </c>
      <c r="AM100" s="107">
        <f t="shared" si="17"/>
        <v>-2.6805249265536686</v>
      </c>
      <c r="AN100" s="116">
        <f>(-IF($V100="Yes", IF($X100="Yes", VLOOKUP($W100, '[1]Storage Fees'!A:M, 13, FALSE), VLOOKUP($W100, '[1]Storage Fees'!A:M, 10, FALSE)), IF($X100="Yes", VLOOKUP($W100, '[1]Storage Fees'!A:M, 7, FALSE), VLOOKUP($W100, '[1]Storage Fees'!A:M, 4, FALSE))) * U100)*1.5</f>
        <v>-4.2361111111111113E-2</v>
      </c>
    </row>
    <row r="101" spans="1:40" x14ac:dyDescent="0.25">
      <c r="A101" s="99">
        <v>29</v>
      </c>
      <c r="B101" s="99" t="s">
        <v>55</v>
      </c>
      <c r="C101" s="99" t="s">
        <v>13655</v>
      </c>
      <c r="D101" s="99" t="s">
        <v>714</v>
      </c>
      <c r="E101" s="99" t="s">
        <v>110</v>
      </c>
      <c r="F101" s="99" t="s">
        <v>712</v>
      </c>
      <c r="G101" s="99" t="s">
        <v>13695</v>
      </c>
      <c r="H101" s="99">
        <v>8</v>
      </c>
      <c r="I101" s="99">
        <v>7</v>
      </c>
      <c r="J101" s="99">
        <v>1</v>
      </c>
      <c r="K101" s="101" t="str">
        <f t="shared" si="5"/>
        <v>8x7x1</v>
      </c>
      <c r="L101" s="102">
        <f t="shared" si="6"/>
        <v>0.40287769784172661</v>
      </c>
      <c r="M101" s="113">
        <f t="shared" si="7"/>
        <v>0.40287769784172661</v>
      </c>
      <c r="N101" s="113">
        <f t="shared" si="8"/>
        <v>0.5</v>
      </c>
      <c r="O101" s="99">
        <v>1.5</v>
      </c>
      <c r="P101" s="113">
        <f t="shared" si="9"/>
        <v>2</v>
      </c>
      <c r="Q101" s="112">
        <f t="shared" si="10"/>
        <v>32</v>
      </c>
      <c r="R101" s="112" t="str">
        <f t="shared" si="11"/>
        <v>Standard-size</v>
      </c>
      <c r="S101" s="99" t="str">
        <f t="shared" si="12"/>
        <v>Large standard-size</v>
      </c>
      <c r="T101" s="116" t="s">
        <v>13697</v>
      </c>
      <c r="U101" s="116">
        <f t="shared" si="13"/>
        <v>3.2407407407407406E-2</v>
      </c>
      <c r="V101" s="116" t="s">
        <v>13583</v>
      </c>
      <c r="W101" s="116" t="s">
        <v>13690</v>
      </c>
      <c r="X101" s="99" t="s">
        <v>13583</v>
      </c>
      <c r="Y101" s="99">
        <v>1</v>
      </c>
      <c r="Z101" s="99">
        <v>2</v>
      </c>
      <c r="AA101" s="99">
        <v>1</v>
      </c>
      <c r="AB101" s="99"/>
      <c r="AC101" s="99"/>
      <c r="AD101" s="107">
        <v>0</v>
      </c>
      <c r="AE101" s="113">
        <f t="shared" si="14"/>
        <v>0</v>
      </c>
      <c r="AF101" s="116">
        <f>-IFERROR(IFERROR(VLOOKUP(ROUNDUP($Q101,0),'FBA FEES'!$L$2:$Q$203,MATCH($S101,'FBA FEES'!$L$2:$Q$2,0),FALSE),VLOOKUP(ROUNDUP($Q101,0),'FBA FEES'!$C$6:$F$123,MATCH($S101,'FBA FEES'!$C$6:$F$6,0),FALSE)),0)</f>
        <v>-5.77</v>
      </c>
      <c r="AG101" s="116">
        <v>-10</v>
      </c>
      <c r="AH101" s="113">
        <f t="shared" si="15"/>
        <v>-5.77</v>
      </c>
      <c r="AI101" s="116">
        <f>-IFERROR(IF($Y101=1,INDEX('[1]REMOVAL FEES'!$A$1:$C$22,MATCH(CONCATENATE("Standard Size",$P101),'[1]REMOVAL FEES'!$A$1:$A$22,0),3),IF($Y101=2,IF($P101&gt;10,(($P101-10)*1.06)+INDEX('[1]REMOVAL FEES'!$E$1:$G$22,MATCH(CONCATENATE("Large bulky, extra-large and special handling items",IF($P101&gt;=11,11,$P101)),'[1]REMOVAL FEES'!$E$1:$E$13,0),3),INDEX('[1]REMOVAL FEES'!$E$1:$G$22,MATCH(CONCATENATE("Large bulky, extra-large and special handling items",IF($P101&gt;=11,11,$P101)),'[1]REMOVAL FEES'!$E$1:$E$13,0),3))))*$AA101,FALSE)</f>
        <v>-2.27</v>
      </c>
      <c r="AJ101" s="107">
        <f t="shared" si="16"/>
        <v>-8.0399999999999991</v>
      </c>
      <c r="AK101" s="107">
        <v>0</v>
      </c>
      <c r="AL101" s="107">
        <v>0</v>
      </c>
      <c r="AM101" s="107">
        <f t="shared" si="17"/>
        <v>0</v>
      </c>
      <c r="AN101" s="116">
        <f>(-IF($V101="Yes", IF($X101="Yes", VLOOKUP($W101, '[1]Storage Fees'!A:M, 13, FALSE), VLOOKUP($W101, '[1]Storage Fees'!A:M, 10, FALSE)), IF($X101="Yes", VLOOKUP($W101, '[1]Storage Fees'!A:M, 7, FALSE), VLOOKUP($W101, '[1]Storage Fees'!A:M, 4, FALSE))) * U101)*1.5</f>
        <v>-5.9305555555555556E-2</v>
      </c>
    </row>
    <row r="102" spans="1:40" x14ac:dyDescent="0.25">
      <c r="A102" s="99">
        <v>30</v>
      </c>
      <c r="B102" s="99" t="s">
        <v>55</v>
      </c>
      <c r="C102" s="99" t="s">
        <v>13655</v>
      </c>
      <c r="D102" s="99" t="s">
        <v>718</v>
      </c>
      <c r="E102" s="99" t="s">
        <v>110</v>
      </c>
      <c r="F102" s="99" t="s">
        <v>716</v>
      </c>
      <c r="G102" s="99" t="s">
        <v>13656</v>
      </c>
      <c r="H102" s="99">
        <v>12</v>
      </c>
      <c r="I102" s="99">
        <v>8</v>
      </c>
      <c r="J102" s="99">
        <v>3</v>
      </c>
      <c r="K102" s="101" t="str">
        <f t="shared" si="5"/>
        <v>12x8x3</v>
      </c>
      <c r="L102" s="102">
        <f t="shared" si="6"/>
        <v>2.0719424460431655</v>
      </c>
      <c r="M102" s="113">
        <f t="shared" si="7"/>
        <v>2.0719424460431655</v>
      </c>
      <c r="N102" s="113">
        <f t="shared" si="8"/>
        <v>3</v>
      </c>
      <c r="O102" s="99">
        <v>7</v>
      </c>
      <c r="P102" s="113">
        <f t="shared" si="9"/>
        <v>7</v>
      </c>
      <c r="Q102" s="112">
        <f t="shared" si="10"/>
        <v>112</v>
      </c>
      <c r="R102" s="112" t="str">
        <f t="shared" si="11"/>
        <v>Standard-size</v>
      </c>
      <c r="S102" s="99" t="str">
        <f t="shared" si="12"/>
        <v>Large standard-size</v>
      </c>
      <c r="T102" s="116" t="s">
        <v>13693</v>
      </c>
      <c r="U102" s="116">
        <f t="shared" si="13"/>
        <v>0.16666666666666666</v>
      </c>
      <c r="V102" s="116" t="s">
        <v>13583</v>
      </c>
      <c r="W102" s="116" t="s">
        <v>13690</v>
      </c>
      <c r="X102" s="99" t="s">
        <v>13583</v>
      </c>
      <c r="Y102" s="99">
        <v>1</v>
      </c>
      <c r="Z102" s="99">
        <v>2</v>
      </c>
      <c r="AA102" s="99">
        <v>1</v>
      </c>
      <c r="AB102" s="99"/>
      <c r="AC102" s="99"/>
      <c r="AD102" s="107">
        <v>27.341428571428569</v>
      </c>
      <c r="AE102" s="113">
        <f t="shared" si="14"/>
        <v>-4.1012142857142848</v>
      </c>
      <c r="AF102" s="116">
        <f>-IFERROR(IFERROR(VLOOKUP(ROUNDUP($Q102,0),'FBA FEES'!$L$2:$Q$203,MATCH($S102,'FBA FEES'!$L$2:$Q$2,0),FALSE),VLOOKUP(ROUNDUP($Q102,0),'FBA FEES'!$C$6:$F$123,MATCH($S102,'FBA FEES'!$C$6:$F$6,0),FALSE)),0)</f>
        <v>-8.1999999999999993</v>
      </c>
      <c r="AG102" s="116">
        <v>-10</v>
      </c>
      <c r="AH102" s="113">
        <f t="shared" si="15"/>
        <v>-12.301214285714284</v>
      </c>
      <c r="AI102" s="116">
        <f>-IFERROR(IF($Y102=1,INDEX('[1]REMOVAL FEES'!$A$1:$C$22,MATCH(CONCATENATE("Standard Size",$P102),'[1]REMOVAL FEES'!$A$1:$A$22,0),3),IF($Y102=2,IF($P102&gt;10,(($P102-10)*1.06)+INDEX('[1]REMOVAL FEES'!$E$1:$G$22,MATCH(CONCATENATE("Large bulky, extra-large and special handling items",IF($P102&gt;=11,11,$P102)),'[1]REMOVAL FEES'!$E$1:$E$13,0),3),INDEX('[1]REMOVAL FEES'!$E$1:$G$22,MATCH(CONCATENATE("Large bulky, extra-large and special handling items",IF($P102&gt;=11,11,$P102)),'[1]REMOVAL FEES'!$E$1:$E$13,0),3))))*$AA102,FALSE)</f>
        <v>-8.1900000000000013</v>
      </c>
      <c r="AJ102" s="107">
        <f t="shared" si="16"/>
        <v>-20.491214285714285</v>
      </c>
      <c r="AK102" s="107">
        <v>-12.97</v>
      </c>
      <c r="AL102" s="107">
        <v>-1.965714285714286</v>
      </c>
      <c r="AM102" s="107">
        <f t="shared" si="17"/>
        <v>-14.935714285714287</v>
      </c>
      <c r="AN102" s="116">
        <f>(-IF($V102="Yes", IF($X102="Yes", VLOOKUP($W102, '[1]Storage Fees'!A:M, 13, FALSE), VLOOKUP($W102, '[1]Storage Fees'!A:M, 10, FALSE)), IF($X102="Yes", VLOOKUP($W102, '[1]Storage Fees'!A:M, 7, FALSE), VLOOKUP($W102, '[1]Storage Fees'!A:M, 4, FALSE))) * U102)*1.5</f>
        <v>-0.30499999999999994</v>
      </c>
    </row>
    <row r="103" spans="1:40" x14ac:dyDescent="0.25">
      <c r="A103" s="99">
        <v>31</v>
      </c>
      <c r="B103" s="99" t="s">
        <v>55</v>
      </c>
      <c r="C103" s="99"/>
      <c r="D103" s="99"/>
      <c r="E103" s="99" t="s">
        <v>110</v>
      </c>
      <c r="F103" s="99" t="s">
        <v>115</v>
      </c>
      <c r="G103" s="99" t="s">
        <v>13656</v>
      </c>
      <c r="H103" s="99">
        <v>10</v>
      </c>
      <c r="I103" s="99">
        <v>9</v>
      </c>
      <c r="J103" s="99">
        <v>2</v>
      </c>
      <c r="K103" s="101" t="str">
        <f t="shared" si="5"/>
        <v>10x9x2</v>
      </c>
      <c r="L103" s="102">
        <f t="shared" si="6"/>
        <v>1.2949640287769784</v>
      </c>
      <c r="M103" s="113">
        <f t="shared" si="7"/>
        <v>1.2949640287769784</v>
      </c>
      <c r="N103" s="113">
        <f t="shared" si="8"/>
        <v>2</v>
      </c>
      <c r="O103" s="99">
        <v>4</v>
      </c>
      <c r="P103" s="113">
        <f t="shared" si="9"/>
        <v>4</v>
      </c>
      <c r="Q103" s="112">
        <f t="shared" si="10"/>
        <v>64</v>
      </c>
      <c r="R103" s="112" t="str">
        <f t="shared" si="11"/>
        <v>Standard-size</v>
      </c>
      <c r="S103" s="99" t="str">
        <f t="shared" si="12"/>
        <v>Large standard-size</v>
      </c>
      <c r="T103" s="116" t="s">
        <v>13693</v>
      </c>
      <c r="U103" s="116">
        <f t="shared" si="13"/>
        <v>0.10416666666666667</v>
      </c>
      <c r="V103" s="116" t="s">
        <v>13583</v>
      </c>
      <c r="W103" s="116" t="s">
        <v>13690</v>
      </c>
      <c r="X103" s="99" t="s">
        <v>13583</v>
      </c>
      <c r="Y103" s="99">
        <v>1</v>
      </c>
      <c r="Z103" s="99">
        <v>2</v>
      </c>
      <c r="AA103" s="99">
        <v>1</v>
      </c>
      <c r="AB103" s="99"/>
      <c r="AC103" s="99"/>
      <c r="AD103" s="107">
        <v>27.080914285714339</v>
      </c>
      <c r="AE103" s="113">
        <f t="shared" si="14"/>
        <v>-4.0621371428571509</v>
      </c>
      <c r="AF103" s="116">
        <f>-IFERROR(IFERROR(VLOOKUP(ROUNDUP($Q103,0),'FBA FEES'!$L$2:$Q$203,MATCH($S103,'FBA FEES'!$L$2:$Q$2,0),FALSE),VLOOKUP(ROUNDUP($Q103,0),'FBA FEES'!$C$6:$F$123,MATCH($S103,'FBA FEES'!$C$6:$F$6,0),FALSE)),0)</f>
        <v>-7.24</v>
      </c>
      <c r="AG103" s="116">
        <v>-10</v>
      </c>
      <c r="AH103" s="113">
        <f t="shared" si="15"/>
        <v>-11.302137142857152</v>
      </c>
      <c r="AI103" s="116">
        <f>-IFERROR(IF($Y103=1,INDEX('[1]REMOVAL FEES'!$A$1:$C$22,MATCH(CONCATENATE("Standard Size",$P103),'[1]REMOVAL FEES'!$A$1:$A$22,0),3),IF($Y103=2,IF($P103&gt;10,(($P103-10)*1.06)+INDEX('[1]REMOVAL FEES'!$E$1:$G$22,MATCH(CONCATENATE("Large bulky, extra-large and special handling items",IF($P103&gt;=11,11,$P103)),'[1]REMOVAL FEES'!$E$1:$E$13,0),3),INDEX('[1]REMOVAL FEES'!$E$1:$G$22,MATCH(CONCATENATE("Large bulky, extra-large and special handling items",IF($P103&gt;=11,11,$P103)),'[1]REMOVAL FEES'!$E$1:$E$13,0),3))))*$AA103,FALSE)</f>
        <v>-5.01</v>
      </c>
      <c r="AJ103" s="107">
        <f t="shared" si="16"/>
        <v>-16.312137142857154</v>
      </c>
      <c r="AK103" s="107">
        <v>-7.8694571428570699</v>
      </c>
      <c r="AL103" s="107">
        <v>-1.350187540989553</v>
      </c>
      <c r="AM103" s="107">
        <f t="shared" si="17"/>
        <v>-9.2196446838466226</v>
      </c>
      <c r="AN103" s="116">
        <f>(-IF($V103="Yes", IF($X103="Yes", VLOOKUP($W103, '[1]Storage Fees'!A:M, 13, FALSE), VLOOKUP($W103, '[1]Storage Fees'!A:M, 10, FALSE)), IF($X103="Yes", VLOOKUP($W103, '[1]Storage Fees'!A:M, 7, FALSE), VLOOKUP($W103, '[1]Storage Fees'!A:M, 4, FALSE))) * U103)*1.5</f>
        <v>-0.19062499999999999</v>
      </c>
    </row>
    <row r="104" spans="1:40" x14ac:dyDescent="0.25">
      <c r="A104" s="99">
        <v>32</v>
      </c>
      <c r="B104" s="99" t="s">
        <v>55</v>
      </c>
      <c r="C104" s="99" t="s">
        <v>13655</v>
      </c>
      <c r="D104" s="99" t="s">
        <v>718</v>
      </c>
      <c r="E104" s="99" t="s">
        <v>110</v>
      </c>
      <c r="F104" s="99" t="s">
        <v>720</v>
      </c>
      <c r="G104" s="99" t="s">
        <v>13656</v>
      </c>
      <c r="H104" s="99">
        <v>14</v>
      </c>
      <c r="I104" s="99">
        <v>10</v>
      </c>
      <c r="J104" s="99">
        <v>3</v>
      </c>
      <c r="K104" s="101" t="str">
        <f t="shared" si="5"/>
        <v>14x10x3</v>
      </c>
      <c r="L104" s="102">
        <f t="shared" si="6"/>
        <v>3.0215827338129495</v>
      </c>
      <c r="M104" s="113">
        <f t="shared" si="7"/>
        <v>3.0215827338129495</v>
      </c>
      <c r="N104" s="113">
        <f t="shared" si="8"/>
        <v>4</v>
      </c>
      <c r="O104" s="99">
        <v>11</v>
      </c>
      <c r="P104" s="113">
        <f t="shared" si="9"/>
        <v>11</v>
      </c>
      <c r="Q104" s="112">
        <f t="shared" si="10"/>
        <v>176</v>
      </c>
      <c r="R104" s="112" t="str">
        <f t="shared" si="11"/>
        <v>Standard-size</v>
      </c>
      <c r="S104" s="99" t="str">
        <f t="shared" si="12"/>
        <v>Large standard-size</v>
      </c>
      <c r="T104" s="116" t="s">
        <v>13693</v>
      </c>
      <c r="U104" s="116">
        <f t="shared" si="13"/>
        <v>0.24305555555555555</v>
      </c>
      <c r="V104" s="116" t="s">
        <v>13583</v>
      </c>
      <c r="W104" s="116" t="s">
        <v>13690</v>
      </c>
      <c r="X104" s="99" t="s">
        <v>13583</v>
      </c>
      <c r="Y104" s="99">
        <v>1</v>
      </c>
      <c r="Z104" s="99">
        <v>2</v>
      </c>
      <c r="AA104" s="99">
        <v>1</v>
      </c>
      <c r="AB104" s="99"/>
      <c r="AC104" s="99"/>
      <c r="AD104" s="107">
        <v>48.765000000000008</v>
      </c>
      <c r="AE104" s="113">
        <f t="shared" si="14"/>
        <v>-7.314750000000001</v>
      </c>
      <c r="AF104" s="116">
        <f>-IFERROR(IFERROR(VLOOKUP(ROUNDUP($Q104,0),'FBA FEES'!$L$2:$Q$203,MATCH($S104,'FBA FEES'!$L$2:$Q$2,0),FALSE),VLOOKUP(ROUNDUP($Q104,0),'FBA FEES'!$C$6:$F$123,MATCH($S104,'FBA FEES'!$C$6:$F$6,0),FALSE)),0)</f>
        <v>-9.48</v>
      </c>
      <c r="AG104" s="116">
        <v>-10</v>
      </c>
      <c r="AH104" s="113">
        <f t="shared" si="15"/>
        <v>-16.794750000000001</v>
      </c>
      <c r="AI104" s="116">
        <f>-IFERROR(IF($Y104=1,INDEX('[1]REMOVAL FEES'!$A$1:$C$22,MATCH(CONCATENATE("Standard Size",$P104),'[1]REMOVAL FEES'!$A$1:$A$22,0),3),IF($Y104=2,IF($P104&gt;10,(($P104-10)*1.06)+INDEX('[1]REMOVAL FEES'!$E$1:$G$22,MATCH(CONCATENATE("Large bulky, extra-large and special handling items",IF($P104&gt;=11,11,$P104)),'[1]REMOVAL FEES'!$E$1:$E$13,0),3),INDEX('[1]REMOVAL FEES'!$E$1:$G$22,MATCH(CONCATENATE("Large bulky, extra-large and special handling items",IF($P104&gt;=11,11,$P104)),'[1]REMOVAL FEES'!$E$1:$E$13,0),3))))*$AA104,FALSE)</f>
        <v>-12.430000000000001</v>
      </c>
      <c r="AJ104" s="107">
        <f t="shared" si="16"/>
        <v>-29.22475</v>
      </c>
      <c r="AK104" s="107">
        <v>-19.552499999999998</v>
      </c>
      <c r="AL104" s="107">
        <v>-3.0637500000000002</v>
      </c>
      <c r="AM104" s="107">
        <f t="shared" si="17"/>
        <v>-22.616249999999997</v>
      </c>
      <c r="AN104" s="116">
        <f>(-IF($V104="Yes", IF($X104="Yes", VLOOKUP($W104, '[1]Storage Fees'!A:M, 13, FALSE), VLOOKUP($W104, '[1]Storage Fees'!A:M, 10, FALSE)), IF($X104="Yes", VLOOKUP($W104, '[1]Storage Fees'!A:M, 7, FALSE), VLOOKUP($W104, '[1]Storage Fees'!A:M, 4, FALSE))) * U104)*1.5</f>
        <v>-0.4447916666666667</v>
      </c>
    </row>
    <row r="105" spans="1:40" x14ac:dyDescent="0.25">
      <c r="A105" s="99">
        <v>33</v>
      </c>
      <c r="B105" s="99"/>
      <c r="C105" s="99" t="s">
        <v>13655</v>
      </c>
      <c r="D105" s="99"/>
      <c r="E105" s="99" t="s">
        <v>110</v>
      </c>
      <c r="F105" s="99" t="s">
        <v>1506</v>
      </c>
      <c r="G105" s="99" t="s">
        <v>13695</v>
      </c>
      <c r="H105" s="99">
        <v>0</v>
      </c>
      <c r="I105" s="99">
        <v>0</v>
      </c>
      <c r="J105" s="99">
        <v>0</v>
      </c>
      <c r="K105" s="101" t="str">
        <f t="shared" si="5"/>
        <v>0x0x0</v>
      </c>
      <c r="L105" s="102">
        <f t="shared" si="6"/>
        <v>0</v>
      </c>
      <c r="M105" s="113">
        <f t="shared" si="7"/>
        <v>0</v>
      </c>
      <c r="N105" s="113">
        <f t="shared" si="8"/>
        <v>0</v>
      </c>
      <c r="O105" s="99">
        <v>0</v>
      </c>
      <c r="P105" s="113">
        <f t="shared" si="9"/>
        <v>0</v>
      </c>
      <c r="Q105" s="112">
        <f t="shared" si="10"/>
        <v>0</v>
      </c>
      <c r="R105" s="112" t="str">
        <f t="shared" si="11"/>
        <v>Standard-size</v>
      </c>
      <c r="S105" s="99" t="str">
        <f t="shared" si="12"/>
        <v>Small standard-size</v>
      </c>
      <c r="T105" s="116" t="s">
        <v>13696</v>
      </c>
      <c r="U105" s="116">
        <f t="shared" si="13"/>
        <v>0</v>
      </c>
      <c r="V105" s="116" t="s">
        <v>13583</v>
      </c>
      <c r="W105" s="116" t="s">
        <v>13690</v>
      </c>
      <c r="X105" s="99" t="s">
        <v>13583</v>
      </c>
      <c r="Y105" s="99">
        <v>1</v>
      </c>
      <c r="Z105" s="99">
        <v>1</v>
      </c>
      <c r="AA105" s="99">
        <v>1</v>
      </c>
      <c r="AB105" s="99"/>
      <c r="AC105" s="99"/>
      <c r="AD105" s="107">
        <v>105.83448275862069</v>
      </c>
      <c r="AE105" s="113">
        <f t="shared" si="14"/>
        <v>-15.875172413793104</v>
      </c>
      <c r="AF105" s="116">
        <f>-IFERROR(IFERROR(VLOOKUP(ROUNDUP($Q105,0),'FBA FEES'!$L$2:$Q$203,MATCH($S105,'FBA FEES'!$L$2:$Q$2,0),FALSE),VLOOKUP(ROUNDUP($Q105,0),'FBA FEES'!$C$6:$F$123,MATCH($S105,'FBA FEES'!$C$6:$F$6,0),FALSE)),0)</f>
        <v>0</v>
      </c>
      <c r="AG105" s="116">
        <v>-10</v>
      </c>
      <c r="AH105" s="113">
        <f t="shared" si="15"/>
        <v>-15.875172413793104</v>
      </c>
      <c r="AI105" s="116">
        <f>-IFERROR(IF($Y105=1,INDEX('[1]REMOVAL FEES'!$A$1:$C$22,MATCH(CONCATENATE("Standard Size",$P105),'[1]REMOVAL FEES'!$A$1:$A$22,0),3),IF($Y105=2,IF($P105&gt;10,(($P105-10)*1.06)+INDEX('[1]REMOVAL FEES'!$E$1:$G$22,MATCH(CONCATENATE("Large bulky, extra-large and special handling items",IF($P105&gt;=11,11,$P105)),'[1]REMOVAL FEES'!$E$1:$E$13,0),3),INDEX('[1]REMOVAL FEES'!$E$1:$G$22,MATCH(CONCATENATE("Large bulky, extra-large and special handling items",IF($P105&gt;=11,11,$P105)),'[1]REMOVAL FEES'!$E$1:$E$13,0),3))))*$AA105,FALSE)</f>
        <v>0</v>
      </c>
      <c r="AJ105" s="107">
        <f t="shared" si="16"/>
        <v>-15.875172413793104</v>
      </c>
      <c r="AK105" s="107">
        <v>-48.230000000000011</v>
      </c>
      <c r="AL105" s="107">
        <v>-11.827373563218391</v>
      </c>
      <c r="AM105" s="107">
        <f t="shared" si="17"/>
        <v>-60.057373563218405</v>
      </c>
      <c r="AN105" s="116">
        <f>(-IF($V105="Yes", IF($X105="Yes", VLOOKUP($W105, '[1]Storage Fees'!A:M, 13, FALSE), VLOOKUP($W105, '[1]Storage Fees'!A:M, 10, FALSE)), IF($X105="Yes", VLOOKUP($W105, '[1]Storage Fees'!A:M, 7, FALSE), VLOOKUP($W105, '[1]Storage Fees'!A:M, 4, FALSE))) * U105)*1.5</f>
        <v>0</v>
      </c>
    </row>
    <row r="106" spans="1:40" x14ac:dyDescent="0.25">
      <c r="A106" s="99">
        <v>34</v>
      </c>
      <c r="B106" s="99"/>
      <c r="C106" s="99" t="s">
        <v>13655</v>
      </c>
      <c r="D106" s="99"/>
      <c r="E106" s="99" t="s">
        <v>120</v>
      </c>
      <c r="F106" s="99" t="s">
        <v>1508</v>
      </c>
      <c r="G106" s="99" t="s">
        <v>13695</v>
      </c>
      <c r="H106" s="99">
        <v>0</v>
      </c>
      <c r="I106" s="99">
        <v>0</v>
      </c>
      <c r="J106" s="99">
        <v>0</v>
      </c>
      <c r="K106" s="101" t="str">
        <f t="shared" si="5"/>
        <v>0x0x0</v>
      </c>
      <c r="L106" s="102">
        <f t="shared" si="6"/>
        <v>0</v>
      </c>
      <c r="M106" s="113">
        <f t="shared" si="7"/>
        <v>0</v>
      </c>
      <c r="N106" s="113">
        <f t="shared" si="8"/>
        <v>0</v>
      </c>
      <c r="O106" s="99">
        <v>0</v>
      </c>
      <c r="P106" s="113">
        <f t="shared" si="9"/>
        <v>0</v>
      </c>
      <c r="Q106" s="112">
        <f t="shared" si="10"/>
        <v>0</v>
      </c>
      <c r="R106" s="112" t="str">
        <f t="shared" si="11"/>
        <v>Standard-size</v>
      </c>
      <c r="S106" s="99" t="str">
        <f t="shared" si="12"/>
        <v>Small standard-size</v>
      </c>
      <c r="T106" s="116" t="s">
        <v>13696</v>
      </c>
      <c r="U106" s="116">
        <f t="shared" si="13"/>
        <v>0</v>
      </c>
      <c r="V106" s="116" t="s">
        <v>13583</v>
      </c>
      <c r="W106" s="116" t="s">
        <v>13690</v>
      </c>
      <c r="X106" s="99" t="s">
        <v>13583</v>
      </c>
      <c r="Y106" s="99">
        <v>1</v>
      </c>
      <c r="Z106" s="99">
        <v>1</v>
      </c>
      <c r="AA106" s="99">
        <v>1</v>
      </c>
      <c r="AB106" s="99"/>
      <c r="AC106" s="99"/>
      <c r="AD106" s="107">
        <v>131.61915254237269</v>
      </c>
      <c r="AE106" s="113">
        <f t="shared" si="14"/>
        <v>-19.742872881355904</v>
      </c>
      <c r="AF106" s="116">
        <f>-IFERROR(IFERROR(VLOOKUP(ROUNDUP($Q106,0),'FBA FEES'!$L$2:$Q$203,MATCH($S106,'FBA FEES'!$L$2:$Q$2,0),FALSE),VLOOKUP(ROUNDUP($Q106,0),'FBA FEES'!$C$6:$F$123,MATCH($S106,'FBA FEES'!$C$6:$F$6,0),FALSE)),0)</f>
        <v>0</v>
      </c>
      <c r="AG106" s="116">
        <v>-10</v>
      </c>
      <c r="AH106" s="113">
        <f t="shared" si="15"/>
        <v>-19.742872881355904</v>
      </c>
      <c r="AI106" s="116">
        <f>-IFERROR(IF($Y106=1,INDEX('[1]REMOVAL FEES'!$A$1:$C$22,MATCH(CONCATENATE("Standard Size",$P106),'[1]REMOVAL FEES'!$A$1:$A$22,0),3),IF($Y106=2,IF($P106&gt;10,(($P106-10)*1.06)+INDEX('[1]REMOVAL FEES'!$E$1:$G$22,MATCH(CONCATENATE("Large bulky, extra-large and special handling items",IF($P106&gt;=11,11,$P106)),'[1]REMOVAL FEES'!$E$1:$E$13,0),3),INDEX('[1]REMOVAL FEES'!$E$1:$G$22,MATCH(CONCATENATE("Large bulky, extra-large and special handling items",IF($P106&gt;=11,11,$P106)),'[1]REMOVAL FEES'!$E$1:$E$13,0),3))))*$AA106,FALSE)</f>
        <v>0</v>
      </c>
      <c r="AJ106" s="107">
        <f t="shared" si="16"/>
        <v>-19.742872881355904</v>
      </c>
      <c r="AK106" s="107">
        <v>-45.750847457627117</v>
      </c>
      <c r="AL106" s="107">
        <v>-11.83895240541003</v>
      </c>
      <c r="AM106" s="107">
        <f t="shared" si="17"/>
        <v>-57.589799863037143</v>
      </c>
      <c r="AN106" s="116">
        <f>(-IF($V106="Yes", IF($X106="Yes", VLOOKUP($W106, '[1]Storage Fees'!A:M, 13, FALSE), VLOOKUP($W106, '[1]Storage Fees'!A:M, 10, FALSE)), IF($X106="Yes", VLOOKUP($W106, '[1]Storage Fees'!A:M, 7, FALSE), VLOOKUP($W106, '[1]Storage Fees'!A:M, 4, FALSE))) * U106)*1.5</f>
        <v>0</v>
      </c>
    </row>
    <row r="107" spans="1:40" x14ac:dyDescent="0.25">
      <c r="A107" s="99">
        <v>35</v>
      </c>
      <c r="B107" s="99" t="s">
        <v>13699</v>
      </c>
      <c r="C107" s="99"/>
      <c r="D107" s="99" t="s">
        <v>119</v>
      </c>
      <c r="E107" s="99" t="s">
        <v>120</v>
      </c>
      <c r="F107" s="99" t="s">
        <v>117</v>
      </c>
      <c r="G107" s="99" t="s">
        <v>13656</v>
      </c>
      <c r="H107" s="99">
        <v>9.5</v>
      </c>
      <c r="I107" s="99">
        <v>6.5</v>
      </c>
      <c r="J107" s="99">
        <v>5.5</v>
      </c>
      <c r="K107" s="101" t="str">
        <f t="shared" si="5"/>
        <v>9.5x6.5x5.5</v>
      </c>
      <c r="L107" s="102">
        <f t="shared" si="6"/>
        <v>2.4433453237410072</v>
      </c>
      <c r="M107" s="113">
        <f t="shared" si="7"/>
        <v>2.4433453237410072</v>
      </c>
      <c r="N107" s="113">
        <f t="shared" si="8"/>
        <v>3</v>
      </c>
      <c r="O107" s="99">
        <v>7.4375</v>
      </c>
      <c r="P107" s="113">
        <f t="shared" si="9"/>
        <v>8</v>
      </c>
      <c r="Q107" s="112">
        <f t="shared" si="10"/>
        <v>128</v>
      </c>
      <c r="R107" s="112" t="str">
        <f t="shared" si="11"/>
        <v>Standard-size</v>
      </c>
      <c r="S107" s="99" t="str">
        <f t="shared" si="12"/>
        <v>Large standard-size</v>
      </c>
      <c r="T107" s="116" t="s">
        <v>13693</v>
      </c>
      <c r="U107" s="116">
        <f t="shared" si="13"/>
        <v>0.19654224537037038</v>
      </c>
      <c r="V107" s="116" t="s">
        <v>13583</v>
      </c>
      <c r="W107" s="116" t="s">
        <v>13690</v>
      </c>
      <c r="X107" s="99" t="s">
        <v>13583</v>
      </c>
      <c r="Y107" s="99">
        <v>1</v>
      </c>
      <c r="Z107" s="99">
        <v>2</v>
      </c>
      <c r="AA107" s="99">
        <v>1</v>
      </c>
      <c r="AB107" s="99"/>
      <c r="AC107" s="99"/>
      <c r="AD107" s="107">
        <v>46.101111111111123</v>
      </c>
      <c r="AE107" s="113">
        <f t="shared" si="14"/>
        <v>-6.9151666666666687</v>
      </c>
      <c r="AF107" s="116">
        <f>-IFERROR(IFERROR(VLOOKUP(ROUNDUP($Q107,0),'FBA FEES'!$L$2:$Q$203,MATCH($S107,'FBA FEES'!$L$2:$Q$2,0),FALSE),VLOOKUP(ROUNDUP($Q107,0),'FBA FEES'!$C$6:$F$123,MATCH($S107,'FBA FEES'!$C$6:$F$6,0),FALSE)),0)</f>
        <v>-8.52</v>
      </c>
      <c r="AG107" s="116">
        <v>-10</v>
      </c>
      <c r="AH107" s="113">
        <f t="shared" si="15"/>
        <v>-15.435166666666667</v>
      </c>
      <c r="AI107" s="116">
        <f>-IFERROR(IF($Y107=1,INDEX('[1]REMOVAL FEES'!$A$1:$C$22,MATCH(CONCATENATE("Standard Size",$P107),'[1]REMOVAL FEES'!$A$1:$A$22,0),3),IF($Y107=2,IF($P107&gt;10,(($P107-10)*1.06)+INDEX('[1]REMOVAL FEES'!$E$1:$G$22,MATCH(CONCATENATE("Large bulky, extra-large and special handling items",IF($P107&gt;=11,11,$P107)),'[1]REMOVAL FEES'!$E$1:$E$13,0),3),INDEX('[1]REMOVAL FEES'!$E$1:$G$22,MATCH(CONCATENATE("Large bulky, extra-large and special handling items",IF($P107&gt;=11,11,$P107)),'[1]REMOVAL FEES'!$E$1:$E$13,0),3))))*$AA107,FALSE)</f>
        <v>-9.25</v>
      </c>
      <c r="AJ107" s="107">
        <f t="shared" si="16"/>
        <v>-24.685166666666667</v>
      </c>
      <c r="AK107" s="107">
        <v>-19.579999999999998</v>
      </c>
      <c r="AL107" s="107">
        <v>-3.3530864197530872</v>
      </c>
      <c r="AM107" s="107">
        <f t="shared" si="17"/>
        <v>-22.933086419753085</v>
      </c>
      <c r="AN107" s="116">
        <f>(-IF($V107="Yes", IF($X107="Yes", VLOOKUP($W107, '[1]Storage Fees'!A:M, 13, FALSE), VLOOKUP($W107, '[1]Storage Fees'!A:M, 10, FALSE)), IF($X107="Yes", VLOOKUP($W107, '[1]Storage Fees'!A:M, 7, FALSE), VLOOKUP($W107, '[1]Storage Fees'!A:M, 4, FALSE))) * U107)*1.5</f>
        <v>-0.3596723090277778</v>
      </c>
    </row>
    <row r="108" spans="1:40" x14ac:dyDescent="0.25">
      <c r="A108" s="99">
        <v>36</v>
      </c>
      <c r="B108" s="99" t="s">
        <v>13699</v>
      </c>
      <c r="C108" s="99" t="s">
        <v>13655</v>
      </c>
      <c r="D108" s="99" t="s">
        <v>725</v>
      </c>
      <c r="E108" s="99" t="s">
        <v>120</v>
      </c>
      <c r="F108" s="99" t="s">
        <v>723</v>
      </c>
      <c r="G108" s="99" t="s">
        <v>13695</v>
      </c>
      <c r="H108" s="99">
        <v>24</v>
      </c>
      <c r="I108" s="99">
        <v>19</v>
      </c>
      <c r="J108" s="99">
        <v>4</v>
      </c>
      <c r="K108" s="101" t="str">
        <f t="shared" si="5"/>
        <v>24x19x4</v>
      </c>
      <c r="L108" s="102">
        <f t="shared" si="6"/>
        <v>13.122302158273381</v>
      </c>
      <c r="M108" s="113">
        <f t="shared" si="7"/>
        <v>13.122302158273381</v>
      </c>
      <c r="N108" s="113">
        <f t="shared" si="8"/>
        <v>14</v>
      </c>
      <c r="O108" s="99">
        <v>28</v>
      </c>
      <c r="P108" s="113">
        <f t="shared" si="9"/>
        <v>28</v>
      </c>
      <c r="Q108" s="112">
        <f t="shared" si="10"/>
        <v>448</v>
      </c>
      <c r="R108" s="112" t="str">
        <f t="shared" si="11"/>
        <v>Oversize</v>
      </c>
      <c r="S108" s="99" t="str">
        <f t="shared" si="12"/>
        <v>Large bulky</v>
      </c>
      <c r="T108" s="116" t="s">
        <v>13692</v>
      </c>
      <c r="U108" s="116">
        <f t="shared" si="13"/>
        <v>1.0555555555555556</v>
      </c>
      <c r="V108" s="116" t="s">
        <v>13583</v>
      </c>
      <c r="W108" s="116" t="s">
        <v>13690</v>
      </c>
      <c r="X108" s="116" t="s">
        <v>13691</v>
      </c>
      <c r="Y108" s="116">
        <v>2</v>
      </c>
      <c r="Z108" s="116">
        <v>3</v>
      </c>
      <c r="AA108" s="116">
        <v>1</v>
      </c>
      <c r="AB108" s="99"/>
      <c r="AC108" s="99"/>
      <c r="AD108" s="107">
        <v>158.94409090909079</v>
      </c>
      <c r="AE108" s="113">
        <f t="shared" si="14"/>
        <v>-23.841613636363618</v>
      </c>
      <c r="AF108" s="116">
        <f>-IFERROR(IFERROR(VLOOKUP(ROUNDUP($Q108,0),'FBA FEES'!$L$2:$Q$203,MATCH($S108,'FBA FEES'!$L$2:$Q$2,0),FALSE),VLOOKUP(ROUNDUP($Q108,0),'FBA FEES'!$C$6:$F$123,MATCH($S108,'FBA FEES'!$C$6:$F$6,0),FALSE)),0)</f>
        <v>-19.869999999999997</v>
      </c>
      <c r="AG108" s="116">
        <v>-10</v>
      </c>
      <c r="AH108" s="113">
        <f t="shared" si="15"/>
        <v>-43.711613636363616</v>
      </c>
      <c r="AI108" s="116">
        <f>-IFERROR(IF($Y108=1,INDEX('[1]REMOVAL FEES'!$A$1:$C$22,MATCH(CONCATENATE("Standard Size",$P108),'[1]REMOVAL FEES'!$A$1:$A$22,0),3),IF($Y108=2,IF($P108&gt;10,(($P108-10)*1.06)+INDEX('[1]REMOVAL FEES'!$E$1:$G$22,MATCH(CONCATENATE("Large bulky, extra-large and special handling items",IF($P108&gt;=11,11,$P108)),'[1]REMOVAL FEES'!$E$1:$E$13,0),3),INDEX('[1]REMOVAL FEES'!$E$1:$G$22,MATCH(CONCATENATE("Large bulky, extra-large and special handling items",IF($P108&gt;=11,11,$P108)),'[1]REMOVAL FEES'!$E$1:$E$13,0),3))))*$AA108,FALSE)</f>
        <v>-33.400000000000006</v>
      </c>
      <c r="AJ108" s="107">
        <f t="shared" si="16"/>
        <v>-77.111613636363614</v>
      </c>
      <c r="AK108" s="107">
        <v>-56.05886363636364</v>
      </c>
      <c r="AL108" s="107">
        <v>-11.944664106726609</v>
      </c>
      <c r="AM108" s="107">
        <f t="shared" si="17"/>
        <v>-68.003527743090245</v>
      </c>
      <c r="AN108" s="116">
        <f>(-IF($V108="Yes", IF($X108="Yes", VLOOKUP($W108, '[1]Storage Fees'!A:M, 13, FALSE), VLOOKUP($W108, '[1]Storage Fees'!A:M, 10, FALSE)), IF($X108="Yes", VLOOKUP($W108, '[1]Storage Fees'!A:M, 7, FALSE), VLOOKUP($W108, '[1]Storage Fees'!A:M, 4, FALSE))) * U108)*1.5</f>
        <v>-1.2508333333333335</v>
      </c>
    </row>
    <row r="109" spans="1:40" x14ac:dyDescent="0.25">
      <c r="A109" s="99">
        <v>37</v>
      </c>
      <c r="B109" s="99"/>
      <c r="C109" s="99" t="s">
        <v>13655</v>
      </c>
      <c r="D109" s="99"/>
      <c r="E109" s="99" t="s">
        <v>1513</v>
      </c>
      <c r="F109" s="99" t="s">
        <v>1511</v>
      </c>
      <c r="G109" s="99" t="s">
        <v>13695</v>
      </c>
      <c r="H109" s="99">
        <v>0</v>
      </c>
      <c r="I109" s="99">
        <v>0</v>
      </c>
      <c r="J109" s="99">
        <v>0</v>
      </c>
      <c r="K109" s="101" t="str">
        <f t="shared" si="5"/>
        <v>0x0x0</v>
      </c>
      <c r="L109" s="102">
        <f t="shared" si="6"/>
        <v>0</v>
      </c>
      <c r="M109" s="113">
        <f t="shared" si="7"/>
        <v>0</v>
      </c>
      <c r="N109" s="113">
        <f t="shared" si="8"/>
        <v>0</v>
      </c>
      <c r="O109" s="99">
        <v>0</v>
      </c>
      <c r="P109" s="113">
        <f t="shared" si="9"/>
        <v>0</v>
      </c>
      <c r="Q109" s="112">
        <f t="shared" si="10"/>
        <v>0</v>
      </c>
      <c r="R109" s="112" t="str">
        <f t="shared" si="11"/>
        <v>Standard-size</v>
      </c>
      <c r="S109" s="99" t="str">
        <f t="shared" si="12"/>
        <v>Small standard-size</v>
      </c>
      <c r="T109" s="116" t="s">
        <v>13696</v>
      </c>
      <c r="U109" s="116">
        <f t="shared" si="13"/>
        <v>0</v>
      </c>
      <c r="V109" s="116" t="s">
        <v>13583</v>
      </c>
      <c r="W109" s="116" t="s">
        <v>13690</v>
      </c>
      <c r="X109" s="99" t="s">
        <v>13583</v>
      </c>
      <c r="Y109" s="99">
        <v>1</v>
      </c>
      <c r="Z109" s="99">
        <v>1</v>
      </c>
      <c r="AA109" s="99">
        <v>1</v>
      </c>
      <c r="AB109" s="99"/>
      <c r="AC109" s="99"/>
      <c r="AD109" s="107">
        <v>0</v>
      </c>
      <c r="AE109" s="113">
        <f t="shared" si="14"/>
        <v>0</v>
      </c>
      <c r="AF109" s="116">
        <f>-IFERROR(IFERROR(VLOOKUP(ROUNDUP($Q109,0),'FBA FEES'!$L$2:$Q$203,MATCH($S109,'FBA FEES'!$L$2:$Q$2,0),FALSE),VLOOKUP(ROUNDUP($Q109,0),'FBA FEES'!$C$6:$F$123,MATCH($S109,'FBA FEES'!$C$6:$F$6,0),FALSE)),0)</f>
        <v>0</v>
      </c>
      <c r="AG109" s="116">
        <v>-10</v>
      </c>
      <c r="AH109" s="113">
        <f t="shared" si="15"/>
        <v>0</v>
      </c>
      <c r="AI109" s="116">
        <f>-IFERROR(IF($Y109=1,INDEX('[1]REMOVAL FEES'!$A$1:$C$22,MATCH(CONCATENATE("Standard Size",$P109),'[1]REMOVAL FEES'!$A$1:$A$22,0),3),IF($Y109=2,IF($P109&gt;10,(($P109-10)*1.06)+INDEX('[1]REMOVAL FEES'!$E$1:$G$22,MATCH(CONCATENATE("Large bulky, extra-large and special handling items",IF($P109&gt;=11,11,$P109)),'[1]REMOVAL FEES'!$E$1:$E$13,0),3),INDEX('[1]REMOVAL FEES'!$E$1:$G$22,MATCH(CONCATENATE("Large bulky, extra-large and special handling items",IF($P109&gt;=11,11,$P109)),'[1]REMOVAL FEES'!$E$1:$E$13,0),3))))*$AA109,FALSE)</f>
        <v>0</v>
      </c>
      <c r="AJ109" s="107">
        <f t="shared" si="16"/>
        <v>0</v>
      </c>
      <c r="AK109" s="107">
        <v>0</v>
      </c>
      <c r="AL109" s="107">
        <v>0</v>
      </c>
      <c r="AM109" s="107">
        <f t="shared" si="17"/>
        <v>0</v>
      </c>
      <c r="AN109" s="116">
        <f>(-IF($V109="Yes", IF($X109="Yes", VLOOKUP($W109, '[1]Storage Fees'!A:M, 13, FALSE), VLOOKUP($W109, '[1]Storage Fees'!A:M, 10, FALSE)), IF($X109="Yes", VLOOKUP($W109, '[1]Storage Fees'!A:M, 7, FALSE), VLOOKUP($W109, '[1]Storage Fees'!A:M, 4, FALSE))) * U109)*1.5</f>
        <v>0</v>
      </c>
    </row>
    <row r="110" spans="1:40" x14ac:dyDescent="0.25">
      <c r="A110" s="99">
        <v>38</v>
      </c>
      <c r="B110" s="99" t="s">
        <v>13700</v>
      </c>
      <c r="C110" s="99"/>
      <c r="D110" s="99"/>
      <c r="E110" s="99" t="s">
        <v>123</v>
      </c>
      <c r="F110" s="99" t="s">
        <v>121</v>
      </c>
      <c r="G110" s="99" t="s">
        <v>13695</v>
      </c>
      <c r="H110" s="99">
        <v>12</v>
      </c>
      <c r="I110" s="99">
        <v>12</v>
      </c>
      <c r="J110" s="99">
        <v>10</v>
      </c>
      <c r="K110" s="101" t="str">
        <f t="shared" si="5"/>
        <v>12x12x10</v>
      </c>
      <c r="L110" s="102">
        <f t="shared" si="6"/>
        <v>10.359712230215827</v>
      </c>
      <c r="M110" s="113">
        <f t="shared" si="7"/>
        <v>10.359712230215827</v>
      </c>
      <c r="N110" s="113">
        <f t="shared" si="8"/>
        <v>11</v>
      </c>
      <c r="O110" s="99">
        <v>13</v>
      </c>
      <c r="P110" s="113">
        <f t="shared" si="9"/>
        <v>13</v>
      </c>
      <c r="Q110" s="112">
        <f t="shared" si="10"/>
        <v>208</v>
      </c>
      <c r="R110" s="112" t="str">
        <f t="shared" si="11"/>
        <v>Oversize</v>
      </c>
      <c r="S110" s="99" t="str">
        <f t="shared" si="12"/>
        <v>Large bulky</v>
      </c>
      <c r="T110" s="116" t="s">
        <v>13692</v>
      </c>
      <c r="U110" s="116">
        <f t="shared" si="13"/>
        <v>0.83333333333333337</v>
      </c>
      <c r="V110" s="116" t="s">
        <v>13583</v>
      </c>
      <c r="W110" s="116" t="s">
        <v>13690</v>
      </c>
      <c r="X110" s="116" t="s">
        <v>13691</v>
      </c>
      <c r="Y110" s="116">
        <v>2</v>
      </c>
      <c r="Z110" s="116">
        <v>3</v>
      </c>
      <c r="AA110" s="116">
        <v>1</v>
      </c>
      <c r="AB110" s="99"/>
      <c r="AC110" s="99"/>
      <c r="AD110" s="107">
        <v>108.2681064363148</v>
      </c>
      <c r="AE110" s="113">
        <f t="shared" si="14"/>
        <v>-16.24021596544722</v>
      </c>
      <c r="AF110" s="116">
        <f>-IFERROR(IFERROR(VLOOKUP(ROUNDUP($Q110,0),'FBA FEES'!$L$2:$Q$203,MATCH($S110,'FBA FEES'!$L$2:$Q$2,0),FALSE),VLOOKUP(ROUNDUP($Q110,0),'FBA FEES'!$C$6:$F$123,MATCH($S110,'FBA FEES'!$C$6:$F$6,0),FALSE)),0)</f>
        <v>-14.17</v>
      </c>
      <c r="AG110" s="116">
        <v>-10</v>
      </c>
      <c r="AH110" s="113">
        <f t="shared" si="15"/>
        <v>-30.410215965447222</v>
      </c>
      <c r="AI110" s="116">
        <f>-IFERROR(IF($Y110=1,INDEX('[1]REMOVAL FEES'!$A$1:$C$22,MATCH(CONCATENATE("Standard Size",$P110),'[1]REMOVAL FEES'!$A$1:$A$22,0),3),IF($Y110=2,IF($P110&gt;10,(($P110-10)*1.06)+INDEX('[1]REMOVAL FEES'!$E$1:$G$22,MATCH(CONCATENATE("Large bulky, extra-large and special handling items",IF($P110&gt;=11,11,$P110)),'[1]REMOVAL FEES'!$E$1:$E$13,0),3),INDEX('[1]REMOVAL FEES'!$E$1:$G$22,MATCH(CONCATENATE("Large bulky, extra-large and special handling items",IF($P110&gt;=11,11,$P110)),'[1]REMOVAL FEES'!$E$1:$E$13,0),3))))*$AA110,FALSE)</f>
        <v>-17.5</v>
      </c>
      <c r="AJ110" s="107">
        <f t="shared" si="16"/>
        <v>-47.910215965447222</v>
      </c>
      <c r="AK110" s="107">
        <v>-33.968563685636937</v>
      </c>
      <c r="AL110" s="107">
        <v>-6.4403008940927267</v>
      </c>
      <c r="AM110" s="107">
        <f t="shared" si="17"/>
        <v>-40.408864579729666</v>
      </c>
      <c r="AN110" s="116">
        <f>(-IF($V110="Yes", IF($X110="Yes", VLOOKUP($W110, '[1]Storage Fees'!A:M, 13, FALSE), VLOOKUP($W110, '[1]Storage Fees'!A:M, 10, FALSE)), IF($X110="Yes", VLOOKUP($W110, '[1]Storage Fees'!A:M, 7, FALSE), VLOOKUP($W110, '[1]Storage Fees'!A:M, 4, FALSE))) * U110)*1.5</f>
        <v>-0.98750000000000016</v>
      </c>
    </row>
    <row r="111" spans="1:40" x14ac:dyDescent="0.25">
      <c r="A111" s="99">
        <v>39</v>
      </c>
      <c r="B111" s="99" t="s">
        <v>13700</v>
      </c>
      <c r="C111" s="99"/>
      <c r="D111" s="99"/>
      <c r="E111" s="99" t="s">
        <v>123</v>
      </c>
      <c r="F111" s="99" t="s">
        <v>124</v>
      </c>
      <c r="G111" s="99" t="s">
        <v>13656</v>
      </c>
      <c r="H111" s="99">
        <v>10</v>
      </c>
      <c r="I111" s="99">
        <v>10</v>
      </c>
      <c r="J111" s="99">
        <v>10</v>
      </c>
      <c r="K111" s="101" t="str">
        <f t="shared" si="5"/>
        <v>10x10x10</v>
      </c>
      <c r="L111" s="102">
        <f t="shared" si="6"/>
        <v>7.1942446043165464</v>
      </c>
      <c r="M111" s="113">
        <f t="shared" si="7"/>
        <v>7.1942446043165464</v>
      </c>
      <c r="N111" s="113">
        <f t="shared" si="8"/>
        <v>8</v>
      </c>
      <c r="O111" s="99">
        <v>11</v>
      </c>
      <c r="P111" s="113">
        <f t="shared" si="9"/>
        <v>11</v>
      </c>
      <c r="Q111" s="112">
        <f t="shared" si="10"/>
        <v>176</v>
      </c>
      <c r="R111" s="112" t="str">
        <f t="shared" si="11"/>
        <v>Oversize</v>
      </c>
      <c r="S111" s="99" t="str">
        <f t="shared" si="12"/>
        <v>Large bulky</v>
      </c>
      <c r="T111" s="116" t="s">
        <v>13692</v>
      </c>
      <c r="U111" s="116">
        <f t="shared" si="13"/>
        <v>0.57870370370370372</v>
      </c>
      <c r="V111" s="116" t="s">
        <v>13583</v>
      </c>
      <c r="W111" s="116" t="s">
        <v>13690</v>
      </c>
      <c r="X111" s="116" t="s">
        <v>13691</v>
      </c>
      <c r="Y111" s="116">
        <v>2</v>
      </c>
      <c r="Z111" s="116">
        <v>3</v>
      </c>
      <c r="AA111" s="116">
        <v>1</v>
      </c>
      <c r="AB111" s="99"/>
      <c r="AC111" s="99"/>
      <c r="AD111" s="107">
        <v>85.430967741935447</v>
      </c>
      <c r="AE111" s="113">
        <f t="shared" si="14"/>
        <v>-12.814645161290317</v>
      </c>
      <c r="AF111" s="116">
        <f>-IFERROR(IFERROR(VLOOKUP(ROUNDUP($Q111,0),'FBA FEES'!$L$2:$Q$203,MATCH($S111,'FBA FEES'!$L$2:$Q$2,0),FALSE),VLOOKUP(ROUNDUP($Q111,0),'FBA FEES'!$C$6:$F$123,MATCH($S111,'FBA FEES'!$C$6:$F$6,0),FALSE)),0)</f>
        <v>-13.41</v>
      </c>
      <c r="AG111" s="116">
        <v>-10</v>
      </c>
      <c r="AH111" s="113">
        <f t="shared" si="15"/>
        <v>-26.224645161290319</v>
      </c>
      <c r="AI111" s="116">
        <f>-IFERROR(IF($Y111=1,INDEX('[1]REMOVAL FEES'!$A$1:$C$22,MATCH(CONCATENATE("Standard Size",$P111),'[1]REMOVAL FEES'!$A$1:$A$22,0),3),IF($Y111=2,IF($P111&gt;10,(($P111-10)*1.06)+INDEX('[1]REMOVAL FEES'!$E$1:$G$22,MATCH(CONCATENATE("Large bulky, extra-large and special handling items",IF($P111&gt;=11,11,$P111)),'[1]REMOVAL FEES'!$E$1:$E$13,0),3),INDEX('[1]REMOVAL FEES'!$E$1:$G$22,MATCH(CONCATENATE("Large bulky, extra-large and special handling items",IF($P111&gt;=11,11,$P111)),'[1]REMOVAL FEES'!$E$1:$E$13,0),3))))*$AA111,FALSE)</f>
        <v>-15.38</v>
      </c>
      <c r="AJ111" s="107">
        <f t="shared" si="16"/>
        <v>-41.604645161290321</v>
      </c>
      <c r="AK111" s="107">
        <v>-26.18</v>
      </c>
      <c r="AL111" s="107">
        <v>-4.1424143625192009</v>
      </c>
      <c r="AM111" s="107">
        <f t="shared" si="17"/>
        <v>-30.322414362519201</v>
      </c>
      <c r="AN111" s="116">
        <f>(-IF($V111="Yes", IF($X111="Yes", VLOOKUP($W111, '[1]Storage Fees'!A:M, 13, FALSE), VLOOKUP($W111, '[1]Storage Fees'!A:M, 10, FALSE)), IF($X111="Yes", VLOOKUP($W111, '[1]Storage Fees'!A:M, 7, FALSE), VLOOKUP($W111, '[1]Storage Fees'!A:M, 4, FALSE))) * U111)*1.5</f>
        <v>-0.68576388888888895</v>
      </c>
    </row>
    <row r="112" spans="1:40" x14ac:dyDescent="0.25">
      <c r="A112" s="99">
        <v>40</v>
      </c>
      <c r="B112" s="99" t="s">
        <v>13700</v>
      </c>
      <c r="C112" s="99"/>
      <c r="D112" s="99"/>
      <c r="E112" s="99" t="s">
        <v>123</v>
      </c>
      <c r="F112" s="99" t="s">
        <v>126</v>
      </c>
      <c r="G112" s="99" t="s">
        <v>13656</v>
      </c>
      <c r="H112" s="99">
        <v>12</v>
      </c>
      <c r="I112" s="99">
        <v>12</v>
      </c>
      <c r="J112" s="99">
        <v>10</v>
      </c>
      <c r="K112" s="101" t="str">
        <f t="shared" si="5"/>
        <v>12x12x10</v>
      </c>
      <c r="L112" s="102">
        <f t="shared" si="6"/>
        <v>10.359712230215827</v>
      </c>
      <c r="M112" s="113">
        <f t="shared" si="7"/>
        <v>10.359712230215827</v>
      </c>
      <c r="N112" s="113">
        <f t="shared" si="8"/>
        <v>11</v>
      </c>
      <c r="O112" s="99">
        <v>12</v>
      </c>
      <c r="P112" s="113">
        <f t="shared" si="9"/>
        <v>12</v>
      </c>
      <c r="Q112" s="112">
        <f t="shared" si="10"/>
        <v>192</v>
      </c>
      <c r="R112" s="112" t="str">
        <f t="shared" si="11"/>
        <v>Oversize</v>
      </c>
      <c r="S112" s="99" t="str">
        <f t="shared" si="12"/>
        <v>Large bulky</v>
      </c>
      <c r="T112" s="116" t="s">
        <v>13692</v>
      </c>
      <c r="U112" s="116">
        <f t="shared" si="13"/>
        <v>0.83333333333333337</v>
      </c>
      <c r="V112" s="116" t="s">
        <v>13583</v>
      </c>
      <c r="W112" s="116" t="s">
        <v>13690</v>
      </c>
      <c r="X112" s="116" t="s">
        <v>13691</v>
      </c>
      <c r="Y112" s="116">
        <v>2</v>
      </c>
      <c r="Z112" s="116">
        <v>3</v>
      </c>
      <c r="AA112" s="116">
        <v>1</v>
      </c>
      <c r="AB112" s="99"/>
      <c r="AC112" s="99"/>
      <c r="AD112" s="107">
        <v>93.044166666666555</v>
      </c>
      <c r="AE112" s="113">
        <f t="shared" si="14"/>
        <v>-13.956624999999983</v>
      </c>
      <c r="AF112" s="116">
        <f>-IFERROR(IFERROR(VLOOKUP(ROUNDUP($Q112,0),'FBA FEES'!$L$2:$Q$203,MATCH($S112,'FBA FEES'!$L$2:$Q$2,0),FALSE),VLOOKUP(ROUNDUP($Q112,0),'FBA FEES'!$C$6:$F$123,MATCH($S112,'FBA FEES'!$C$6:$F$6,0),FALSE)),0)</f>
        <v>-13.79</v>
      </c>
      <c r="AG112" s="116">
        <v>-10</v>
      </c>
      <c r="AH112" s="113">
        <f t="shared" si="15"/>
        <v>-27.74662499999998</v>
      </c>
      <c r="AI112" s="116">
        <f>-IFERROR(IF($Y112=1,INDEX('[1]REMOVAL FEES'!$A$1:$C$22,MATCH(CONCATENATE("Standard Size",$P112),'[1]REMOVAL FEES'!$A$1:$A$22,0),3),IF($Y112=2,IF($P112&gt;10,(($P112-10)*1.06)+INDEX('[1]REMOVAL FEES'!$E$1:$G$22,MATCH(CONCATENATE("Large bulky, extra-large and special handling items",IF($P112&gt;=11,11,$P112)),'[1]REMOVAL FEES'!$E$1:$E$13,0),3),INDEX('[1]REMOVAL FEES'!$E$1:$G$22,MATCH(CONCATENATE("Large bulky, extra-large and special handling items",IF($P112&gt;=11,11,$P112)),'[1]REMOVAL FEES'!$E$1:$E$13,0),3))))*$AA112,FALSE)</f>
        <v>-16.440000000000001</v>
      </c>
      <c r="AJ112" s="107">
        <f t="shared" si="16"/>
        <v>-44.186624999999978</v>
      </c>
      <c r="AK112" s="107">
        <v>-29.232500000000009</v>
      </c>
      <c r="AL112" s="107">
        <v>-5.9740674603174666</v>
      </c>
      <c r="AM112" s="107">
        <f t="shared" si="17"/>
        <v>-35.206567460317473</v>
      </c>
      <c r="AN112" s="116">
        <f>(-IF($V112="Yes", IF($X112="Yes", VLOOKUP($W112, '[1]Storage Fees'!A:M, 13, FALSE), VLOOKUP($W112, '[1]Storage Fees'!A:M, 10, FALSE)), IF($X112="Yes", VLOOKUP($W112, '[1]Storage Fees'!A:M, 7, FALSE), VLOOKUP($W112, '[1]Storage Fees'!A:M, 4, FALSE))) * U112)*1.5</f>
        <v>-0.98750000000000016</v>
      </c>
    </row>
    <row r="113" spans="1:40" x14ac:dyDescent="0.25">
      <c r="A113" s="99">
        <v>41</v>
      </c>
      <c r="B113" s="99" t="s">
        <v>13700</v>
      </c>
      <c r="C113" s="99"/>
      <c r="D113" s="99"/>
      <c r="E113" s="99" t="s">
        <v>123</v>
      </c>
      <c r="F113" s="99" t="s">
        <v>128</v>
      </c>
      <c r="G113" s="99" t="s">
        <v>13695</v>
      </c>
      <c r="H113" s="99">
        <v>12</v>
      </c>
      <c r="I113" s="99">
        <v>12</v>
      </c>
      <c r="J113" s="99">
        <v>10</v>
      </c>
      <c r="K113" s="101" t="str">
        <f t="shared" si="5"/>
        <v>12x12x10</v>
      </c>
      <c r="L113" s="102">
        <f t="shared" si="6"/>
        <v>10.359712230215827</v>
      </c>
      <c r="M113" s="113">
        <f t="shared" si="7"/>
        <v>10.359712230215827</v>
      </c>
      <c r="N113" s="113">
        <f t="shared" si="8"/>
        <v>11</v>
      </c>
      <c r="O113" s="99">
        <v>17</v>
      </c>
      <c r="P113" s="113">
        <f t="shared" si="9"/>
        <v>17</v>
      </c>
      <c r="Q113" s="112">
        <f t="shared" si="10"/>
        <v>272</v>
      </c>
      <c r="R113" s="112" t="str">
        <f t="shared" si="11"/>
        <v>Oversize</v>
      </c>
      <c r="S113" s="99" t="str">
        <f t="shared" si="12"/>
        <v>Large bulky</v>
      </c>
      <c r="T113" s="116" t="s">
        <v>13692</v>
      </c>
      <c r="U113" s="116">
        <f t="shared" si="13"/>
        <v>0.83333333333333337</v>
      </c>
      <c r="V113" s="116" t="s">
        <v>13583</v>
      </c>
      <c r="W113" s="116" t="s">
        <v>13690</v>
      </c>
      <c r="X113" s="116" t="s">
        <v>13691</v>
      </c>
      <c r="Y113" s="116">
        <v>2</v>
      </c>
      <c r="Z113" s="116">
        <v>3</v>
      </c>
      <c r="AA113" s="116">
        <v>1</v>
      </c>
      <c r="AB113" s="99"/>
      <c r="AC113" s="99"/>
      <c r="AD113" s="107">
        <v>105.5271551724136</v>
      </c>
      <c r="AE113" s="113">
        <f t="shared" si="14"/>
        <v>-15.82907327586204</v>
      </c>
      <c r="AF113" s="116">
        <f>-IFERROR(IFERROR(VLOOKUP(ROUNDUP($Q113,0),'FBA FEES'!$L$2:$Q$203,MATCH($S113,'FBA FEES'!$L$2:$Q$2,0),FALSE),VLOOKUP(ROUNDUP($Q113,0),'FBA FEES'!$C$6:$F$123,MATCH($S113,'FBA FEES'!$C$6:$F$6,0),FALSE)),0)</f>
        <v>-15.69</v>
      </c>
      <c r="AG113" s="116">
        <v>-10</v>
      </c>
      <c r="AH113" s="113">
        <f t="shared" si="15"/>
        <v>-31.519073275862041</v>
      </c>
      <c r="AI113" s="116">
        <f>-IFERROR(IF($Y113=1,INDEX('[1]REMOVAL FEES'!$A$1:$C$22,MATCH(CONCATENATE("Standard Size",$P113),'[1]REMOVAL FEES'!$A$1:$A$22,0),3),IF($Y113=2,IF($P113&gt;10,(($P113-10)*1.06)+INDEX('[1]REMOVAL FEES'!$E$1:$G$22,MATCH(CONCATENATE("Large bulky, extra-large and special handling items",IF($P113&gt;=11,11,$P113)),'[1]REMOVAL FEES'!$E$1:$E$13,0),3),INDEX('[1]REMOVAL FEES'!$E$1:$G$22,MATCH(CONCATENATE("Large bulky, extra-large and special handling items",IF($P113&gt;=11,11,$P113)),'[1]REMOVAL FEES'!$E$1:$E$13,0),3))))*$AA113,FALSE)</f>
        <v>-21.740000000000002</v>
      </c>
      <c r="AJ113" s="107">
        <f t="shared" si="16"/>
        <v>-53.259073275862043</v>
      </c>
      <c r="AK113" s="107">
        <v>-40.480689655172412</v>
      </c>
      <c r="AL113" s="107">
        <v>-8.4406272839262773</v>
      </c>
      <c r="AM113" s="107">
        <f t="shared" si="17"/>
        <v>-48.921316939098688</v>
      </c>
      <c r="AN113" s="116">
        <f>(-IF($V113="Yes", IF($X113="Yes", VLOOKUP($W113, '[1]Storage Fees'!A:M, 13, FALSE), VLOOKUP($W113, '[1]Storage Fees'!A:M, 10, FALSE)), IF($X113="Yes", VLOOKUP($W113, '[1]Storage Fees'!A:M, 7, FALSE), VLOOKUP($W113, '[1]Storage Fees'!A:M, 4, FALSE))) * U113)*1.5</f>
        <v>-0.98750000000000016</v>
      </c>
    </row>
    <row r="114" spans="1:40" x14ac:dyDescent="0.25">
      <c r="A114" s="99">
        <v>42</v>
      </c>
      <c r="B114" s="99" t="s">
        <v>55</v>
      </c>
      <c r="C114" s="99"/>
      <c r="D114" s="99"/>
      <c r="E114" s="99" t="s">
        <v>132</v>
      </c>
      <c r="F114" s="108" t="s">
        <v>130</v>
      </c>
      <c r="G114" s="99" t="s">
        <v>13656</v>
      </c>
      <c r="H114" s="99">
        <v>15</v>
      </c>
      <c r="I114" s="99">
        <v>11</v>
      </c>
      <c r="J114" s="99">
        <v>9</v>
      </c>
      <c r="K114" s="101" t="str">
        <f t="shared" si="5"/>
        <v>15x11x9</v>
      </c>
      <c r="L114" s="102">
        <f t="shared" si="6"/>
        <v>10.683453237410072</v>
      </c>
      <c r="M114" s="113">
        <f t="shared" si="7"/>
        <v>10.683453237410072</v>
      </c>
      <c r="N114" s="113">
        <f t="shared" si="8"/>
        <v>11</v>
      </c>
      <c r="O114" s="99">
        <v>10</v>
      </c>
      <c r="P114" s="113">
        <f t="shared" si="9"/>
        <v>11</v>
      </c>
      <c r="Q114" s="112">
        <f t="shared" si="10"/>
        <v>176</v>
      </c>
      <c r="R114" s="112" t="str">
        <f t="shared" si="11"/>
        <v>Oversize</v>
      </c>
      <c r="S114" s="99" t="str">
        <f t="shared" si="12"/>
        <v>Large bulky</v>
      </c>
      <c r="T114" s="116" t="s">
        <v>13692</v>
      </c>
      <c r="U114" s="116">
        <f t="shared" si="13"/>
        <v>0.859375</v>
      </c>
      <c r="V114" s="116" t="s">
        <v>13583</v>
      </c>
      <c r="W114" s="116" t="s">
        <v>13690</v>
      </c>
      <c r="X114" s="116" t="s">
        <v>13691</v>
      </c>
      <c r="Y114" s="116">
        <v>2</v>
      </c>
      <c r="Z114" s="116">
        <v>3</v>
      </c>
      <c r="AA114" s="116">
        <v>1</v>
      </c>
      <c r="AB114" s="99"/>
      <c r="AC114" s="99"/>
      <c r="AD114" s="107">
        <v>47.917670588235502</v>
      </c>
      <c r="AE114" s="113">
        <f t="shared" si="14"/>
        <v>-7.187650588235325</v>
      </c>
      <c r="AF114" s="118">
        <f>-IFERROR(IFERROR(VLOOKUP(ROUNDUP($Q114,0),'FBA FEES'!$L$2:$Q$203,MATCH($S114,'FBA FEES'!$L$2:$Q$2,0),FALSE),VLOOKUP(ROUNDUP($Q114,0),'FBA FEES'!$C$6:$F$123,MATCH($S114,'FBA FEES'!$C$6:$F$6,0),FALSE)),0)</f>
        <v>-13.41</v>
      </c>
      <c r="AG114" s="116">
        <v>-10</v>
      </c>
      <c r="AH114" s="113">
        <f t="shared" si="15"/>
        <v>-20.597650588235325</v>
      </c>
      <c r="AI114" s="118">
        <f>-IFERROR(IF($Y114=1,INDEX('[1]REMOVAL FEES'!$A$1:$C$22,MATCH(CONCATENATE("Standard Size",$P114),'[1]REMOVAL FEES'!$A$1:$A$22,0),3),IF($Y114=2,IF($P114&gt;10,(($P114-10)*1.06)+INDEX('[1]REMOVAL FEES'!$E$1:$G$22,MATCH(CONCATENATE("Large bulky, extra-large and special handling items",IF($P114&gt;=11,11,$P114)),'[1]REMOVAL FEES'!$E$1:$E$13,0),3),INDEX('[1]REMOVAL FEES'!$E$1:$G$22,MATCH(CONCATENATE("Large bulky, extra-large and special handling items",IF($P114&gt;=11,11,$P114)),'[1]REMOVAL FEES'!$E$1:$E$13,0),3))))*$AA114,FALSE)</f>
        <v>-15.38</v>
      </c>
      <c r="AJ114" s="107">
        <f t="shared" si="16"/>
        <v>-35.977650588235328</v>
      </c>
      <c r="AK114" s="107">
        <v>-11.887105882353049</v>
      </c>
      <c r="AL114" s="107">
        <v>-5.4760956596485508</v>
      </c>
      <c r="AM114" s="107">
        <f t="shared" si="17"/>
        <v>-17.363201542001601</v>
      </c>
      <c r="AN114" s="118">
        <f>(-IF($V114="Yes", IF($X114="Yes", VLOOKUP($W114, '[1]Storage Fees'!A:M, 13, FALSE), VLOOKUP($W114, '[1]Storage Fees'!A:M, 10, FALSE)), IF($X114="Yes", VLOOKUP($W114, '[1]Storage Fees'!A:M, 7, FALSE), VLOOKUP($W114, '[1]Storage Fees'!A:M, 4, FALSE))) * U114)*1.5</f>
        <v>-1.0183593750000002</v>
      </c>
    </row>
    <row r="115" spans="1:40" x14ac:dyDescent="0.25">
      <c r="A115" s="99">
        <v>43</v>
      </c>
      <c r="B115" s="99" t="s">
        <v>55</v>
      </c>
      <c r="C115" s="99"/>
      <c r="D115" s="99"/>
      <c r="E115" s="99" t="s">
        <v>132</v>
      </c>
      <c r="F115" s="99" t="s">
        <v>133</v>
      </c>
      <c r="G115" s="99" t="s">
        <v>13656</v>
      </c>
      <c r="H115" s="99">
        <v>16</v>
      </c>
      <c r="I115" s="99">
        <v>13</v>
      </c>
      <c r="J115" s="99">
        <v>13</v>
      </c>
      <c r="K115" s="101" t="str">
        <f t="shared" si="5"/>
        <v>16x13x13</v>
      </c>
      <c r="L115" s="102">
        <f t="shared" si="6"/>
        <v>19.453237410071942</v>
      </c>
      <c r="M115" s="113">
        <f t="shared" si="7"/>
        <v>19.453237410071942</v>
      </c>
      <c r="N115" s="113">
        <f t="shared" si="8"/>
        <v>20</v>
      </c>
      <c r="O115" s="99">
        <v>22</v>
      </c>
      <c r="P115" s="113">
        <f t="shared" si="9"/>
        <v>22</v>
      </c>
      <c r="Q115" s="112">
        <f t="shared" si="10"/>
        <v>352</v>
      </c>
      <c r="R115" s="112" t="str">
        <f t="shared" si="11"/>
        <v>Oversize</v>
      </c>
      <c r="S115" s="99" t="str">
        <f t="shared" si="12"/>
        <v>Large bulky</v>
      </c>
      <c r="T115" s="116" t="s">
        <v>13692</v>
      </c>
      <c r="U115" s="116">
        <f t="shared" si="13"/>
        <v>1.5648148148148149</v>
      </c>
      <c r="V115" s="116" t="s">
        <v>13583</v>
      </c>
      <c r="W115" s="116" t="s">
        <v>13690</v>
      </c>
      <c r="X115" s="116" t="s">
        <v>13691</v>
      </c>
      <c r="Y115" s="116">
        <v>2</v>
      </c>
      <c r="Z115" s="116">
        <v>3</v>
      </c>
      <c r="AA115" s="116">
        <v>1</v>
      </c>
      <c r="AB115" s="99"/>
      <c r="AC115" s="99"/>
      <c r="AD115" s="107">
        <v>83.615877046673504</v>
      </c>
      <c r="AE115" s="113">
        <f t="shared" si="14"/>
        <v>-12.542381557001026</v>
      </c>
      <c r="AF115" s="118">
        <f>-IFERROR(IFERROR(VLOOKUP(ROUNDUP($Q115,0),'FBA FEES'!$L$2:$Q$203,MATCH($S115,'FBA FEES'!$L$2:$Q$2,0),FALSE),VLOOKUP(ROUNDUP($Q115,0),'FBA FEES'!$C$6:$F$123,MATCH($S115,'FBA FEES'!$C$6:$F$6,0),FALSE)),0)</f>
        <v>-17.59</v>
      </c>
      <c r="AG115" s="116">
        <v>-10</v>
      </c>
      <c r="AH115" s="113">
        <f t="shared" si="15"/>
        <v>-30.132381557001025</v>
      </c>
      <c r="AI115" s="118">
        <f>-IFERROR(IF($Y115=1,INDEX('[1]REMOVAL FEES'!$A$1:$C$22,MATCH(CONCATENATE("Standard Size",$P115),'[1]REMOVAL FEES'!$A$1:$A$22,0),3),IF($Y115=2,IF($P115&gt;10,(($P115-10)*1.06)+INDEX('[1]REMOVAL FEES'!$E$1:$G$22,MATCH(CONCATENATE("Large bulky, extra-large and special handling items",IF($P115&gt;=11,11,$P115)),'[1]REMOVAL FEES'!$E$1:$E$13,0),3),INDEX('[1]REMOVAL FEES'!$E$1:$G$22,MATCH(CONCATENATE("Large bulky, extra-large and special handling items",IF($P115&gt;=11,11,$P115)),'[1]REMOVAL FEES'!$E$1:$E$13,0),3))))*$AA115,FALSE)</f>
        <v>-27.04</v>
      </c>
      <c r="AJ115" s="107">
        <f t="shared" si="16"/>
        <v>-57.172381557001025</v>
      </c>
      <c r="AK115" s="107">
        <v>-26.19465187452187</v>
      </c>
      <c r="AL115" s="107">
        <v>-8.072353081322392</v>
      </c>
      <c r="AM115" s="107">
        <f t="shared" si="17"/>
        <v>-34.267004955844264</v>
      </c>
      <c r="AN115" s="118">
        <f>(-IF($V115="Yes", IF($X115="Yes", VLOOKUP($W115, '[1]Storage Fees'!A:M, 13, FALSE), VLOOKUP($W115, '[1]Storage Fees'!A:M, 10, FALSE)), IF($X115="Yes", VLOOKUP($W115, '[1]Storage Fees'!A:M, 7, FALSE), VLOOKUP($W115, '[1]Storage Fees'!A:M, 4, FALSE))) * U115)*1.5</f>
        <v>-1.8543055555555559</v>
      </c>
    </row>
    <row r="116" spans="1:40" x14ac:dyDescent="0.25">
      <c r="A116" s="99">
        <v>44</v>
      </c>
      <c r="B116" s="99" t="s">
        <v>55</v>
      </c>
      <c r="C116" s="99"/>
      <c r="D116" s="99"/>
      <c r="E116" s="99" t="s">
        <v>132</v>
      </c>
      <c r="F116" s="99" t="s">
        <v>135</v>
      </c>
      <c r="G116" s="99" t="s">
        <v>13656</v>
      </c>
      <c r="H116" s="99">
        <v>15</v>
      </c>
      <c r="I116" s="99">
        <v>10</v>
      </c>
      <c r="J116" s="99">
        <v>10</v>
      </c>
      <c r="K116" s="101" t="str">
        <f t="shared" si="5"/>
        <v>15x10x10</v>
      </c>
      <c r="L116" s="102">
        <f t="shared" si="6"/>
        <v>10.791366906474821</v>
      </c>
      <c r="M116" s="113">
        <f t="shared" si="7"/>
        <v>10.791366906474821</v>
      </c>
      <c r="N116" s="113">
        <f t="shared" si="8"/>
        <v>11</v>
      </c>
      <c r="O116" s="99">
        <v>12</v>
      </c>
      <c r="P116" s="113">
        <f t="shared" si="9"/>
        <v>12</v>
      </c>
      <c r="Q116" s="112">
        <f t="shared" si="10"/>
        <v>192</v>
      </c>
      <c r="R116" s="112" t="str">
        <f t="shared" si="11"/>
        <v>Oversize</v>
      </c>
      <c r="S116" s="99" t="str">
        <f t="shared" si="12"/>
        <v>Large bulky</v>
      </c>
      <c r="T116" s="116" t="s">
        <v>13692</v>
      </c>
      <c r="U116" s="116">
        <f t="shared" si="13"/>
        <v>0.86805555555555558</v>
      </c>
      <c r="V116" s="116" t="s">
        <v>13583</v>
      </c>
      <c r="W116" s="116" t="s">
        <v>13690</v>
      </c>
      <c r="X116" s="116" t="s">
        <v>13691</v>
      </c>
      <c r="Y116" s="116">
        <v>2</v>
      </c>
      <c r="Z116" s="116">
        <v>3</v>
      </c>
      <c r="AA116" s="116">
        <v>1</v>
      </c>
      <c r="AB116" s="99"/>
      <c r="AC116" s="99"/>
      <c r="AD116" s="107">
        <v>43.149166666666602</v>
      </c>
      <c r="AE116" s="113">
        <f t="shared" si="14"/>
        <v>-6.4723749999999898</v>
      </c>
      <c r="AF116" s="116">
        <f>-IFERROR(IFERROR(VLOOKUP(ROUNDUP($Q116,0),'FBA FEES'!$L$2:$Q$203,MATCH($S116,'FBA FEES'!$L$2:$Q$2,0),FALSE),VLOOKUP(ROUNDUP($Q116,0),'FBA FEES'!$C$6:$F$123,MATCH($S116,'FBA FEES'!$C$6:$F$6,0),FALSE)),0)</f>
        <v>-13.79</v>
      </c>
      <c r="AG116" s="116">
        <v>-10</v>
      </c>
      <c r="AH116" s="113">
        <f t="shared" si="15"/>
        <v>-20.262374999999988</v>
      </c>
      <c r="AI116" s="116">
        <f>-IFERROR(IF($Y116=1,INDEX('[1]REMOVAL FEES'!$A$1:$C$22,MATCH(CONCATENATE("Standard Size",$P116),'[1]REMOVAL FEES'!$A$1:$A$22,0),3),IF($Y116=2,IF($P116&gt;10,(($P116-10)*1.06)+INDEX('[1]REMOVAL FEES'!$E$1:$G$22,MATCH(CONCATENATE("Large bulky, extra-large and special handling items",IF($P116&gt;=11,11,$P116)),'[1]REMOVAL FEES'!$E$1:$E$13,0),3),INDEX('[1]REMOVAL FEES'!$E$1:$G$22,MATCH(CONCATENATE("Large bulky, extra-large and special handling items",IF($P116&gt;=11,11,$P116)),'[1]REMOVAL FEES'!$E$1:$E$13,0),3))))*$AA116,FALSE)</f>
        <v>-16.440000000000001</v>
      </c>
      <c r="AJ116" s="107">
        <f t="shared" si="16"/>
        <v>-36.702374999999989</v>
      </c>
      <c r="AK116" s="107">
        <v>-13.536428571428541</v>
      </c>
      <c r="AL116" s="107">
        <v>-5.7237643849206297</v>
      </c>
      <c r="AM116" s="107">
        <f t="shared" si="17"/>
        <v>-19.260192956349172</v>
      </c>
      <c r="AN116" s="116">
        <f>(-IF($V116="Yes", IF($X116="Yes", VLOOKUP($W116, '[1]Storage Fees'!A:M, 13, FALSE), VLOOKUP($W116, '[1]Storage Fees'!A:M, 10, FALSE)), IF($X116="Yes", VLOOKUP($W116, '[1]Storage Fees'!A:M, 7, FALSE), VLOOKUP($W116, '[1]Storage Fees'!A:M, 4, FALSE))) * U116)*1.5</f>
        <v>-1.0286458333333335</v>
      </c>
    </row>
    <row r="117" spans="1:40" x14ac:dyDescent="0.25">
      <c r="A117" s="99">
        <v>45</v>
      </c>
      <c r="B117" s="99"/>
      <c r="C117" s="99" t="s">
        <v>13655</v>
      </c>
      <c r="D117" s="99"/>
      <c r="E117" s="99" t="s">
        <v>132</v>
      </c>
      <c r="F117" s="99" t="s">
        <v>1514</v>
      </c>
      <c r="G117" s="99" t="s">
        <v>13695</v>
      </c>
      <c r="H117" s="99">
        <v>0</v>
      </c>
      <c r="I117" s="99">
        <v>0</v>
      </c>
      <c r="J117" s="99">
        <v>0</v>
      </c>
      <c r="K117" s="101" t="str">
        <f t="shared" si="5"/>
        <v>0x0x0</v>
      </c>
      <c r="L117" s="102">
        <f t="shared" si="6"/>
        <v>0</v>
      </c>
      <c r="M117" s="113">
        <f t="shared" si="7"/>
        <v>0</v>
      </c>
      <c r="N117" s="113">
        <f t="shared" si="8"/>
        <v>0</v>
      </c>
      <c r="O117" s="99">
        <v>0</v>
      </c>
      <c r="P117" s="113">
        <f t="shared" si="9"/>
        <v>0</v>
      </c>
      <c r="Q117" s="112">
        <f t="shared" si="10"/>
        <v>0</v>
      </c>
      <c r="R117" s="112" t="str">
        <f t="shared" si="11"/>
        <v>Standard-size</v>
      </c>
      <c r="S117" s="99" t="str">
        <f t="shared" si="12"/>
        <v>Small standard-size</v>
      </c>
      <c r="T117" s="116" t="s">
        <v>13696</v>
      </c>
      <c r="U117" s="116">
        <f t="shared" si="13"/>
        <v>0</v>
      </c>
      <c r="V117" s="116" t="s">
        <v>13583</v>
      </c>
      <c r="W117" s="116" t="s">
        <v>13690</v>
      </c>
      <c r="X117" s="99" t="s">
        <v>13583</v>
      </c>
      <c r="Y117" s="99">
        <v>1</v>
      </c>
      <c r="Z117" s="99">
        <v>1</v>
      </c>
      <c r="AA117" s="99">
        <v>1</v>
      </c>
      <c r="AB117" s="99"/>
      <c r="AC117" s="99"/>
      <c r="AD117" s="107">
        <v>65.413529411764699</v>
      </c>
      <c r="AE117" s="113">
        <f t="shared" si="14"/>
        <v>-9.8120294117647049</v>
      </c>
      <c r="AF117" s="116">
        <f>-IFERROR(IFERROR(VLOOKUP(ROUNDUP($Q117,0),'FBA FEES'!$L$2:$Q$203,MATCH($S117,'FBA FEES'!$L$2:$Q$2,0),FALSE),VLOOKUP(ROUNDUP($Q117,0),'FBA FEES'!$C$6:$F$123,MATCH($S117,'FBA FEES'!$C$6:$F$6,0),FALSE)),0)</f>
        <v>0</v>
      </c>
      <c r="AG117" s="116">
        <v>-10</v>
      </c>
      <c r="AH117" s="113">
        <f t="shared" si="15"/>
        <v>-9.8120294117647049</v>
      </c>
      <c r="AI117" s="116">
        <f>-IFERROR(IF($Y117=1,INDEX('[1]REMOVAL FEES'!$A$1:$C$22,MATCH(CONCATENATE("Standard Size",$P117),'[1]REMOVAL FEES'!$A$1:$A$22,0),3),IF($Y117=2,IF($P117&gt;10,(($P117-10)*1.06)+INDEX('[1]REMOVAL FEES'!$E$1:$G$22,MATCH(CONCATENATE("Large bulky, extra-large and special handling items",IF($P117&gt;=11,11,$P117)),'[1]REMOVAL FEES'!$E$1:$E$13,0),3),INDEX('[1]REMOVAL FEES'!$E$1:$G$22,MATCH(CONCATENATE("Large bulky, extra-large and special handling items",IF($P117&gt;=11,11,$P117)),'[1]REMOVAL FEES'!$E$1:$E$13,0),3))))*$AA117,FALSE)</f>
        <v>0</v>
      </c>
      <c r="AJ117" s="107">
        <f t="shared" si="16"/>
        <v>-9.8120294117647049</v>
      </c>
      <c r="AK117" s="107">
        <v>-24.808823529411761</v>
      </c>
      <c r="AL117" s="107">
        <v>-10.802777777777781</v>
      </c>
      <c r="AM117" s="107">
        <f t="shared" si="17"/>
        <v>-35.611601307189545</v>
      </c>
      <c r="AN117" s="116">
        <f>(-IF($V117="Yes", IF($X117="Yes", VLOOKUP($W117, '[1]Storage Fees'!A:M, 13, FALSE), VLOOKUP($W117, '[1]Storage Fees'!A:M, 10, FALSE)), IF($X117="Yes", VLOOKUP($W117, '[1]Storage Fees'!A:M, 7, FALSE), VLOOKUP($W117, '[1]Storage Fees'!A:M, 4, FALSE))) * U117)*1.5</f>
        <v>0</v>
      </c>
    </row>
    <row r="118" spans="1:40" x14ac:dyDescent="0.25">
      <c r="A118" s="99">
        <v>46</v>
      </c>
      <c r="B118" s="99" t="s">
        <v>55</v>
      </c>
      <c r="C118" s="99"/>
      <c r="D118" s="99"/>
      <c r="E118" s="99" t="s">
        <v>132</v>
      </c>
      <c r="F118" s="99" t="s">
        <v>137</v>
      </c>
      <c r="G118" s="99" t="s">
        <v>13656</v>
      </c>
      <c r="H118" s="99">
        <v>16</v>
      </c>
      <c r="I118" s="99">
        <v>13</v>
      </c>
      <c r="J118" s="99">
        <v>13</v>
      </c>
      <c r="K118" s="101" t="str">
        <f t="shared" si="5"/>
        <v>16x13x13</v>
      </c>
      <c r="L118" s="102">
        <f t="shared" si="6"/>
        <v>19.453237410071942</v>
      </c>
      <c r="M118" s="113">
        <f t="shared" si="7"/>
        <v>19.453237410071942</v>
      </c>
      <c r="N118" s="113">
        <f t="shared" si="8"/>
        <v>20</v>
      </c>
      <c r="O118" s="99">
        <v>25</v>
      </c>
      <c r="P118" s="113">
        <f t="shared" si="9"/>
        <v>25</v>
      </c>
      <c r="Q118" s="112">
        <f t="shared" si="10"/>
        <v>400</v>
      </c>
      <c r="R118" s="112" t="str">
        <f t="shared" si="11"/>
        <v>Oversize</v>
      </c>
      <c r="S118" s="99" t="str">
        <f t="shared" si="12"/>
        <v>Large bulky</v>
      </c>
      <c r="T118" s="116" t="s">
        <v>13692</v>
      </c>
      <c r="U118" s="116">
        <f t="shared" si="13"/>
        <v>1.5648148148148149</v>
      </c>
      <c r="V118" s="116" t="s">
        <v>13583</v>
      </c>
      <c r="W118" s="116" t="s">
        <v>13690</v>
      </c>
      <c r="X118" s="116" t="s">
        <v>13691</v>
      </c>
      <c r="Y118" s="116">
        <v>2</v>
      </c>
      <c r="Z118" s="116">
        <v>3</v>
      </c>
      <c r="AA118" s="116">
        <v>1</v>
      </c>
      <c r="AB118" s="99"/>
      <c r="AC118" s="99"/>
      <c r="AD118" s="107">
        <v>75.500643243243772</v>
      </c>
      <c r="AE118" s="113">
        <f t="shared" si="14"/>
        <v>-11.325096486486565</v>
      </c>
      <c r="AF118" s="116">
        <f>-IFERROR(IFERROR(VLOOKUP(ROUNDUP($Q118,0),'FBA FEES'!$L$2:$Q$203,MATCH($S118,'FBA FEES'!$L$2:$Q$2,0),FALSE),VLOOKUP(ROUNDUP($Q118,0),'FBA FEES'!$C$6:$F$123,MATCH($S118,'FBA FEES'!$C$6:$F$6,0),FALSE)),0)</f>
        <v>-18.73</v>
      </c>
      <c r="AG118" s="116">
        <v>-10</v>
      </c>
      <c r="AH118" s="113">
        <f t="shared" si="15"/>
        <v>-30.055096486486566</v>
      </c>
      <c r="AI118" s="116">
        <f>-IFERROR(IF($Y118=1,INDEX('[1]REMOVAL FEES'!$A$1:$C$22,MATCH(CONCATENATE("Standard Size",$P118),'[1]REMOVAL FEES'!$A$1:$A$22,0),3),IF($Y118=2,IF($P118&gt;10,(($P118-10)*1.06)+INDEX('[1]REMOVAL FEES'!$E$1:$G$22,MATCH(CONCATENATE("Large bulky, extra-large and special handling items",IF($P118&gt;=11,11,$P118)),'[1]REMOVAL FEES'!$E$1:$E$13,0),3),INDEX('[1]REMOVAL FEES'!$E$1:$G$22,MATCH(CONCATENATE("Large bulky, extra-large and special handling items",IF($P118&gt;=11,11,$P118)),'[1]REMOVAL FEES'!$E$1:$E$13,0),3))))*$AA118,FALSE)</f>
        <v>-30.22</v>
      </c>
      <c r="AJ118" s="107">
        <f t="shared" si="16"/>
        <v>-60.275096486486561</v>
      </c>
      <c r="AK118" s="107">
        <v>-28.3754324324325</v>
      </c>
      <c r="AL118" s="107">
        <v>-8.9492337148837056</v>
      </c>
      <c r="AM118" s="107">
        <f t="shared" si="17"/>
        <v>-37.324666147316208</v>
      </c>
      <c r="AN118" s="116">
        <f>(-IF($V118="Yes", IF($X118="Yes", VLOOKUP($W118, '[1]Storage Fees'!A:M, 13, FALSE), VLOOKUP($W118, '[1]Storage Fees'!A:M, 10, FALSE)), IF($X118="Yes", VLOOKUP($W118, '[1]Storage Fees'!A:M, 7, FALSE), VLOOKUP($W118, '[1]Storage Fees'!A:M, 4, FALSE))) * U118)*1.5</f>
        <v>-1.8543055555555559</v>
      </c>
    </row>
    <row r="119" spans="1:40" x14ac:dyDescent="0.25">
      <c r="A119" s="99">
        <v>47</v>
      </c>
      <c r="B119" s="99" t="s">
        <v>55</v>
      </c>
      <c r="C119" s="99"/>
      <c r="D119" s="99"/>
      <c r="E119" s="99" t="s">
        <v>132</v>
      </c>
      <c r="F119" s="99" t="s">
        <v>140</v>
      </c>
      <c r="G119" s="99" t="s">
        <v>13656</v>
      </c>
      <c r="H119" s="99">
        <v>16</v>
      </c>
      <c r="I119" s="99">
        <v>16</v>
      </c>
      <c r="J119" s="99">
        <v>13</v>
      </c>
      <c r="K119" s="101" t="str">
        <f t="shared" si="5"/>
        <v>16x16x13</v>
      </c>
      <c r="L119" s="102">
        <f t="shared" si="6"/>
        <v>23.942446043165468</v>
      </c>
      <c r="M119" s="113">
        <f t="shared" si="7"/>
        <v>23.942446043165468</v>
      </c>
      <c r="N119" s="113">
        <f t="shared" si="8"/>
        <v>24</v>
      </c>
      <c r="O119" s="99">
        <v>28</v>
      </c>
      <c r="P119" s="113">
        <f t="shared" si="9"/>
        <v>28</v>
      </c>
      <c r="Q119" s="112">
        <f t="shared" si="10"/>
        <v>448</v>
      </c>
      <c r="R119" s="112" t="str">
        <f t="shared" si="11"/>
        <v>Oversize</v>
      </c>
      <c r="S119" s="99" t="str">
        <f t="shared" si="12"/>
        <v>Large bulky</v>
      </c>
      <c r="T119" s="116" t="s">
        <v>13692</v>
      </c>
      <c r="U119" s="116">
        <f t="shared" si="13"/>
        <v>1.9259259259259258</v>
      </c>
      <c r="V119" s="116" t="s">
        <v>13583</v>
      </c>
      <c r="W119" s="116" t="s">
        <v>13690</v>
      </c>
      <c r="X119" s="116" t="s">
        <v>13691</v>
      </c>
      <c r="Y119" s="116">
        <v>2</v>
      </c>
      <c r="Z119" s="116">
        <v>3</v>
      </c>
      <c r="AA119" s="116">
        <v>1</v>
      </c>
      <c r="AB119" s="99"/>
      <c r="AC119" s="99"/>
      <c r="AD119" s="107">
        <v>90.963030303030237</v>
      </c>
      <c r="AE119" s="113">
        <f t="shared" si="14"/>
        <v>-13.644454545454535</v>
      </c>
      <c r="AF119" s="116">
        <f>-IFERROR(IFERROR(VLOOKUP(ROUNDUP($Q119,0),'FBA FEES'!$L$2:$Q$203,MATCH($S119,'FBA FEES'!$L$2:$Q$2,0),FALSE),VLOOKUP(ROUNDUP($Q119,0),'FBA FEES'!$C$6:$F$123,MATCH($S119,'FBA FEES'!$C$6:$F$6,0),FALSE)),0)</f>
        <v>-19.869999999999997</v>
      </c>
      <c r="AG119" s="116">
        <v>-10</v>
      </c>
      <c r="AH119" s="113">
        <f t="shared" si="15"/>
        <v>-33.514454545454534</v>
      </c>
      <c r="AI119" s="116">
        <f>-IFERROR(IF($Y119=1,INDEX('[1]REMOVAL FEES'!$A$1:$C$22,MATCH(CONCATENATE("Standard Size",$P119),'[1]REMOVAL FEES'!$A$1:$A$22,0),3),IF($Y119=2,IF($P119&gt;10,(($P119-10)*1.06)+INDEX('[1]REMOVAL FEES'!$E$1:$G$22,MATCH(CONCATENATE("Large bulky, extra-large and special handling items",IF($P119&gt;=11,11,$P119)),'[1]REMOVAL FEES'!$E$1:$E$13,0),3),INDEX('[1]REMOVAL FEES'!$E$1:$G$22,MATCH(CONCATENATE("Large bulky, extra-large and special handling items",IF($P119&gt;=11,11,$P119)),'[1]REMOVAL FEES'!$E$1:$E$13,0),3))))*$AA119,FALSE)</f>
        <v>-33.400000000000006</v>
      </c>
      <c r="AJ119" s="107">
        <f t="shared" si="16"/>
        <v>-66.914454545454532</v>
      </c>
      <c r="AK119" s="107">
        <v>-30.386666666666699</v>
      </c>
      <c r="AL119" s="107">
        <v>-11.585502563513931</v>
      </c>
      <c r="AM119" s="107">
        <f t="shared" si="17"/>
        <v>-41.972169230180626</v>
      </c>
      <c r="AN119" s="116">
        <f>(-IF($V119="Yes", IF($X119="Yes", VLOOKUP($W119, '[1]Storage Fees'!A:M, 13, FALSE), VLOOKUP($W119, '[1]Storage Fees'!A:M, 10, FALSE)), IF($X119="Yes", VLOOKUP($W119, '[1]Storage Fees'!A:M, 7, FALSE), VLOOKUP($W119, '[1]Storage Fees'!A:M, 4, FALSE))) * U119)*1.5</f>
        <v>-2.2822222222222219</v>
      </c>
    </row>
    <row r="120" spans="1:40" x14ac:dyDescent="0.25">
      <c r="A120" s="99">
        <v>48</v>
      </c>
      <c r="B120" s="99"/>
      <c r="C120" s="99" t="s">
        <v>13655</v>
      </c>
      <c r="D120" s="99"/>
      <c r="E120" s="99" t="s">
        <v>132</v>
      </c>
      <c r="F120" s="99" t="s">
        <v>1516</v>
      </c>
      <c r="G120" s="99" t="s">
        <v>13695</v>
      </c>
      <c r="H120" s="99">
        <v>0</v>
      </c>
      <c r="I120" s="99">
        <v>0</v>
      </c>
      <c r="J120" s="99">
        <v>0</v>
      </c>
      <c r="K120" s="101" t="str">
        <f t="shared" si="5"/>
        <v>0x0x0</v>
      </c>
      <c r="L120" s="102">
        <f t="shared" si="6"/>
        <v>0</v>
      </c>
      <c r="M120" s="113">
        <f t="shared" si="7"/>
        <v>0</v>
      </c>
      <c r="N120" s="113">
        <f t="shared" si="8"/>
        <v>0</v>
      </c>
      <c r="O120" s="99">
        <v>0</v>
      </c>
      <c r="P120" s="113">
        <f t="shared" si="9"/>
        <v>0</v>
      </c>
      <c r="Q120" s="112">
        <f t="shared" si="10"/>
        <v>0</v>
      </c>
      <c r="R120" s="112" t="str">
        <f t="shared" si="11"/>
        <v>Standard-size</v>
      </c>
      <c r="S120" s="99" t="str">
        <f t="shared" si="12"/>
        <v>Small standard-size</v>
      </c>
      <c r="T120" s="116" t="s">
        <v>13696</v>
      </c>
      <c r="U120" s="116">
        <f t="shared" si="13"/>
        <v>0</v>
      </c>
      <c r="V120" s="116" t="s">
        <v>13583</v>
      </c>
      <c r="W120" s="116" t="s">
        <v>13690</v>
      </c>
      <c r="X120" s="99" t="s">
        <v>13583</v>
      </c>
      <c r="Y120" s="99">
        <v>1</v>
      </c>
      <c r="Z120" s="99">
        <v>1</v>
      </c>
      <c r="AA120" s="99">
        <v>1</v>
      </c>
      <c r="AB120" s="99"/>
      <c r="AC120" s="99"/>
      <c r="AD120" s="107">
        <v>0</v>
      </c>
      <c r="AE120" s="113">
        <f t="shared" si="14"/>
        <v>0</v>
      </c>
      <c r="AF120" s="116">
        <f>-IFERROR(IFERROR(VLOOKUP(ROUNDUP($Q120,0),'FBA FEES'!$L$2:$Q$203,MATCH($S120,'FBA FEES'!$L$2:$Q$2,0),FALSE),VLOOKUP(ROUNDUP($Q120,0),'FBA FEES'!$C$6:$F$123,MATCH($S120,'FBA FEES'!$C$6:$F$6,0),FALSE)),0)</f>
        <v>0</v>
      </c>
      <c r="AG120" s="116">
        <v>-10</v>
      </c>
      <c r="AH120" s="113">
        <f t="shared" si="15"/>
        <v>0</v>
      </c>
      <c r="AI120" s="116">
        <f>-IFERROR(IF($Y120=1,INDEX('[1]REMOVAL FEES'!$A$1:$C$22,MATCH(CONCATENATE("Standard Size",$P120),'[1]REMOVAL FEES'!$A$1:$A$22,0),3),IF($Y120=2,IF($P120&gt;10,(($P120-10)*1.06)+INDEX('[1]REMOVAL FEES'!$E$1:$G$22,MATCH(CONCATENATE("Large bulky, extra-large and special handling items",IF($P120&gt;=11,11,$P120)),'[1]REMOVAL FEES'!$E$1:$E$13,0),3),INDEX('[1]REMOVAL FEES'!$E$1:$G$22,MATCH(CONCATENATE("Large bulky, extra-large and special handling items",IF($P120&gt;=11,11,$P120)),'[1]REMOVAL FEES'!$E$1:$E$13,0),3))))*$AA120,FALSE)</f>
        <v>0</v>
      </c>
      <c r="AJ120" s="107">
        <f t="shared" si="16"/>
        <v>0</v>
      </c>
      <c r="AK120" s="107">
        <v>0</v>
      </c>
      <c r="AL120" s="107">
        <v>0</v>
      </c>
      <c r="AM120" s="107">
        <f t="shared" si="17"/>
        <v>0</v>
      </c>
      <c r="AN120" s="116">
        <f>(-IF($V120="Yes", IF($X120="Yes", VLOOKUP($W120, '[1]Storage Fees'!A:M, 13, FALSE), VLOOKUP($W120, '[1]Storage Fees'!A:M, 10, FALSE)), IF($X120="Yes", VLOOKUP($W120, '[1]Storage Fees'!A:M, 7, FALSE), VLOOKUP($W120, '[1]Storage Fees'!A:M, 4, FALSE))) * U120)*1.5</f>
        <v>0</v>
      </c>
    </row>
    <row r="121" spans="1:40" x14ac:dyDescent="0.25">
      <c r="A121" s="99">
        <v>49</v>
      </c>
      <c r="B121" s="99" t="s">
        <v>55</v>
      </c>
      <c r="C121" s="99" t="s">
        <v>13655</v>
      </c>
      <c r="D121" s="99"/>
      <c r="E121" s="99" t="s">
        <v>132</v>
      </c>
      <c r="F121" s="99" t="s">
        <v>727</v>
      </c>
      <c r="G121" s="99" t="s">
        <v>13695</v>
      </c>
      <c r="H121" s="99">
        <v>15</v>
      </c>
      <c r="I121" s="99">
        <v>12</v>
      </c>
      <c r="J121" s="99">
        <v>12</v>
      </c>
      <c r="K121" s="101" t="str">
        <f t="shared" si="5"/>
        <v>15x12x12</v>
      </c>
      <c r="L121" s="102">
        <f t="shared" si="6"/>
        <v>15.53956834532374</v>
      </c>
      <c r="M121" s="113">
        <f t="shared" si="7"/>
        <v>15.53956834532374</v>
      </c>
      <c r="N121" s="113">
        <f t="shared" si="8"/>
        <v>16</v>
      </c>
      <c r="O121" s="99">
        <v>24</v>
      </c>
      <c r="P121" s="113">
        <f t="shared" si="9"/>
        <v>24</v>
      </c>
      <c r="Q121" s="112">
        <f t="shared" si="10"/>
        <v>384</v>
      </c>
      <c r="R121" s="112" t="str">
        <f t="shared" si="11"/>
        <v>Oversize</v>
      </c>
      <c r="S121" s="99" t="str">
        <f t="shared" si="12"/>
        <v>Large bulky</v>
      </c>
      <c r="T121" s="116" t="s">
        <v>13692</v>
      </c>
      <c r="U121" s="116">
        <f t="shared" si="13"/>
        <v>1.25</v>
      </c>
      <c r="V121" s="116" t="s">
        <v>13583</v>
      </c>
      <c r="W121" s="116" t="s">
        <v>13690</v>
      </c>
      <c r="X121" s="116" t="s">
        <v>13691</v>
      </c>
      <c r="Y121" s="116">
        <v>2</v>
      </c>
      <c r="Z121" s="116">
        <v>3</v>
      </c>
      <c r="AA121" s="116">
        <v>1</v>
      </c>
      <c r="AB121" s="99"/>
      <c r="AC121" s="99"/>
      <c r="AD121" s="107">
        <v>79.233333333333334</v>
      </c>
      <c r="AE121" s="113">
        <f t="shared" si="14"/>
        <v>-11.885</v>
      </c>
      <c r="AF121" s="116">
        <f>-IFERROR(IFERROR(VLOOKUP(ROUNDUP($Q121,0),'FBA FEES'!$L$2:$Q$203,MATCH($S121,'FBA FEES'!$L$2:$Q$2,0),FALSE),VLOOKUP(ROUNDUP($Q121,0),'FBA FEES'!$C$6:$F$123,MATCH($S121,'FBA FEES'!$C$6:$F$6,0),FALSE)),0)</f>
        <v>-18.350000000000001</v>
      </c>
      <c r="AG121" s="116">
        <v>-10</v>
      </c>
      <c r="AH121" s="113">
        <f t="shared" si="15"/>
        <v>-30.234999999999999</v>
      </c>
      <c r="AI121" s="116">
        <f>-IFERROR(IF($Y121=1,INDEX('[1]REMOVAL FEES'!$A$1:$C$22,MATCH(CONCATENATE("Standard Size",$P121),'[1]REMOVAL FEES'!$A$1:$A$22,0),3),IF($Y121=2,IF($P121&gt;10,(($P121-10)*1.06)+INDEX('[1]REMOVAL FEES'!$E$1:$G$22,MATCH(CONCATENATE("Large bulky, extra-large and special handling items",IF($P121&gt;=11,11,$P121)),'[1]REMOVAL FEES'!$E$1:$E$13,0),3),INDEX('[1]REMOVAL FEES'!$E$1:$G$22,MATCH(CONCATENATE("Large bulky, extra-large and special handling items",IF($P121&gt;=11,11,$P121)),'[1]REMOVAL FEES'!$E$1:$E$13,0),3))))*$AA121,FALSE)</f>
        <v>-29.16</v>
      </c>
      <c r="AJ121" s="107">
        <f t="shared" si="16"/>
        <v>-59.394999999999996</v>
      </c>
      <c r="AK121" s="107">
        <v>-26.64</v>
      </c>
      <c r="AL121" s="107">
        <v>-13.13916666666667</v>
      </c>
      <c r="AM121" s="107">
        <f t="shared" si="17"/>
        <v>-39.779166666666669</v>
      </c>
      <c r="AN121" s="116">
        <f>(-IF($V121="Yes", IF($X121="Yes", VLOOKUP($W121, '[1]Storage Fees'!A:M, 13, FALSE), VLOOKUP($W121, '[1]Storage Fees'!A:M, 10, FALSE)), IF($X121="Yes", VLOOKUP($W121, '[1]Storage Fees'!A:M, 7, FALSE), VLOOKUP($W121, '[1]Storage Fees'!A:M, 4, FALSE))) * U121)*1.5</f>
        <v>-1.4812500000000002</v>
      </c>
    </row>
    <row r="122" spans="1:40" x14ac:dyDescent="0.25">
      <c r="A122" s="99">
        <v>50</v>
      </c>
      <c r="B122" s="99" t="s">
        <v>55</v>
      </c>
      <c r="C122" s="99"/>
      <c r="D122" s="99"/>
      <c r="E122" s="99" t="s">
        <v>132</v>
      </c>
      <c r="F122" s="99" t="s">
        <v>142</v>
      </c>
      <c r="G122" s="99" t="s">
        <v>13695</v>
      </c>
      <c r="H122" s="99">
        <v>16</v>
      </c>
      <c r="I122" s="99">
        <v>13</v>
      </c>
      <c r="J122" s="99">
        <v>13</v>
      </c>
      <c r="K122" s="101" t="str">
        <f t="shared" si="5"/>
        <v>16x13x13</v>
      </c>
      <c r="L122" s="102">
        <f t="shared" si="6"/>
        <v>19.453237410071942</v>
      </c>
      <c r="M122" s="113">
        <f t="shared" si="7"/>
        <v>19.453237410071942</v>
      </c>
      <c r="N122" s="113">
        <f t="shared" si="8"/>
        <v>20</v>
      </c>
      <c r="O122" s="99">
        <v>26</v>
      </c>
      <c r="P122" s="113">
        <f t="shared" si="9"/>
        <v>26</v>
      </c>
      <c r="Q122" s="112">
        <f t="shared" si="10"/>
        <v>416</v>
      </c>
      <c r="R122" s="112" t="str">
        <f t="shared" si="11"/>
        <v>Oversize</v>
      </c>
      <c r="S122" s="99" t="str">
        <f t="shared" si="12"/>
        <v>Large bulky</v>
      </c>
      <c r="T122" s="116" t="s">
        <v>13692</v>
      </c>
      <c r="U122" s="116">
        <f t="shared" si="13"/>
        <v>1.5648148148148149</v>
      </c>
      <c r="V122" s="116" t="s">
        <v>13583</v>
      </c>
      <c r="W122" s="116" t="s">
        <v>13690</v>
      </c>
      <c r="X122" s="116" t="s">
        <v>13691</v>
      </c>
      <c r="Y122" s="116">
        <v>2</v>
      </c>
      <c r="Z122" s="116">
        <v>3</v>
      </c>
      <c r="AA122" s="116">
        <v>1</v>
      </c>
      <c r="AB122" s="99"/>
      <c r="AC122" s="99"/>
      <c r="AD122" s="107">
        <v>0</v>
      </c>
      <c r="AE122" s="113">
        <f t="shared" si="14"/>
        <v>0</v>
      </c>
      <c r="AF122" s="116">
        <f>-IFERROR(IFERROR(VLOOKUP(ROUNDUP($Q122,0),'FBA FEES'!$L$2:$Q$203,MATCH($S122,'FBA FEES'!$L$2:$Q$2,0),FALSE),VLOOKUP(ROUNDUP($Q122,0),'FBA FEES'!$C$6:$F$123,MATCH($S122,'FBA FEES'!$C$6:$F$6,0),FALSE)),0)</f>
        <v>-19.11</v>
      </c>
      <c r="AG122" s="116">
        <v>-10</v>
      </c>
      <c r="AH122" s="113">
        <f t="shared" si="15"/>
        <v>-19.11</v>
      </c>
      <c r="AI122" s="116">
        <f>-IFERROR(IF($Y122=1,INDEX('[1]REMOVAL FEES'!$A$1:$C$22,MATCH(CONCATENATE("Standard Size",$P122),'[1]REMOVAL FEES'!$A$1:$A$22,0),3),IF($Y122=2,IF($P122&gt;10,(($P122-10)*1.06)+INDEX('[1]REMOVAL FEES'!$E$1:$G$22,MATCH(CONCATENATE("Large bulky, extra-large and special handling items",IF($P122&gt;=11,11,$P122)),'[1]REMOVAL FEES'!$E$1:$E$13,0),3),INDEX('[1]REMOVAL FEES'!$E$1:$G$22,MATCH(CONCATENATE("Large bulky, extra-large and special handling items",IF($P122&gt;=11,11,$P122)),'[1]REMOVAL FEES'!$E$1:$E$13,0),3))))*$AA122,FALSE)</f>
        <v>-31.28</v>
      </c>
      <c r="AJ122" s="107">
        <f t="shared" si="16"/>
        <v>-50.39</v>
      </c>
      <c r="AK122" s="107">
        <v>0</v>
      </c>
      <c r="AL122" s="107">
        <v>0</v>
      </c>
      <c r="AM122" s="107">
        <f t="shared" si="17"/>
        <v>0</v>
      </c>
      <c r="AN122" s="116">
        <f>(-IF($V122="Yes", IF($X122="Yes", VLOOKUP($W122, '[1]Storage Fees'!A:M, 13, FALSE), VLOOKUP($W122, '[1]Storage Fees'!A:M, 10, FALSE)), IF($X122="Yes", VLOOKUP($W122, '[1]Storage Fees'!A:M, 7, FALSE), VLOOKUP($W122, '[1]Storage Fees'!A:M, 4, FALSE))) * U122)*1.5</f>
        <v>-1.8543055555555559</v>
      </c>
    </row>
    <row r="123" spans="1:40" x14ac:dyDescent="0.25">
      <c r="A123" s="99">
        <v>51</v>
      </c>
      <c r="B123" s="99" t="s">
        <v>55</v>
      </c>
      <c r="C123" s="99"/>
      <c r="D123" s="99"/>
      <c r="E123" s="99" t="s">
        <v>132</v>
      </c>
      <c r="F123" s="99" t="s">
        <v>144</v>
      </c>
      <c r="G123" s="99" t="s">
        <v>13695</v>
      </c>
      <c r="H123" s="99">
        <v>16</v>
      </c>
      <c r="I123" s="99">
        <v>13</v>
      </c>
      <c r="J123" s="99">
        <v>13</v>
      </c>
      <c r="K123" s="101" t="str">
        <f t="shared" si="5"/>
        <v>16x13x13</v>
      </c>
      <c r="L123" s="102">
        <f t="shared" si="6"/>
        <v>19.453237410071942</v>
      </c>
      <c r="M123" s="113">
        <f t="shared" si="7"/>
        <v>19.453237410071942</v>
      </c>
      <c r="N123" s="113">
        <f t="shared" si="8"/>
        <v>20</v>
      </c>
      <c r="O123" s="99">
        <v>36</v>
      </c>
      <c r="P123" s="113">
        <f t="shared" si="9"/>
        <v>36</v>
      </c>
      <c r="Q123" s="112">
        <f t="shared" si="10"/>
        <v>576</v>
      </c>
      <c r="R123" s="112" t="str">
        <f t="shared" si="11"/>
        <v>Oversize</v>
      </c>
      <c r="S123" s="99" t="str">
        <f t="shared" si="12"/>
        <v>Large bulky</v>
      </c>
      <c r="T123" s="116" t="s">
        <v>13694</v>
      </c>
      <c r="U123" s="116">
        <f t="shared" si="13"/>
        <v>1.5648148148148149</v>
      </c>
      <c r="V123" s="116" t="s">
        <v>13583</v>
      </c>
      <c r="W123" s="116" t="s">
        <v>13690</v>
      </c>
      <c r="X123" s="116" t="s">
        <v>13691</v>
      </c>
      <c r="Y123" s="116">
        <v>2</v>
      </c>
      <c r="Z123" s="116">
        <v>3</v>
      </c>
      <c r="AA123" s="116">
        <v>1</v>
      </c>
      <c r="AB123" s="99"/>
      <c r="AC123" s="99"/>
      <c r="AD123" s="107">
        <v>0</v>
      </c>
      <c r="AE123" s="113">
        <f t="shared" si="14"/>
        <v>0</v>
      </c>
      <c r="AF123" s="116">
        <f>-IFERROR(IFERROR(VLOOKUP(ROUNDUP($Q123,0),'FBA FEES'!$L$2:$Q$203,MATCH($S123,'FBA FEES'!$L$2:$Q$2,0),FALSE),VLOOKUP(ROUNDUP($Q123,0),'FBA FEES'!$C$6:$F$123,MATCH($S123,'FBA FEES'!$C$6:$F$6,0),FALSE)),0)</f>
        <v>-22.91</v>
      </c>
      <c r="AG123" s="116">
        <v>-10</v>
      </c>
      <c r="AH123" s="113">
        <f t="shared" si="15"/>
        <v>-22.91</v>
      </c>
      <c r="AI123" s="116">
        <f>-IFERROR(IF($Y123=1,INDEX('[1]REMOVAL FEES'!$A$1:$C$22,MATCH(CONCATENATE("Standard Size",$P123),'[1]REMOVAL FEES'!$A$1:$A$22,0),3),IF($Y123=2,IF($P123&gt;10,(($P123-10)*1.06)+INDEX('[1]REMOVAL FEES'!$E$1:$G$22,MATCH(CONCATENATE("Large bulky, extra-large and special handling items",IF($P123&gt;=11,11,$P123)),'[1]REMOVAL FEES'!$E$1:$E$13,0),3),INDEX('[1]REMOVAL FEES'!$E$1:$G$22,MATCH(CONCATENATE("Large bulky, extra-large and special handling items",IF($P123&gt;=11,11,$P123)),'[1]REMOVAL FEES'!$E$1:$E$13,0),3))))*$AA123,FALSE)</f>
        <v>-41.88</v>
      </c>
      <c r="AJ123" s="107">
        <f t="shared" si="16"/>
        <v>-64.790000000000006</v>
      </c>
      <c r="AK123" s="107">
        <v>0</v>
      </c>
      <c r="AL123" s="107">
        <v>0</v>
      </c>
      <c r="AM123" s="107">
        <f t="shared" si="17"/>
        <v>0</v>
      </c>
      <c r="AN123" s="116">
        <f>(-IF($V123="Yes", IF($X123="Yes", VLOOKUP($W123, '[1]Storage Fees'!A:M, 13, FALSE), VLOOKUP($W123, '[1]Storage Fees'!A:M, 10, FALSE)), IF($X123="Yes", VLOOKUP($W123, '[1]Storage Fees'!A:M, 7, FALSE), VLOOKUP($W123, '[1]Storage Fees'!A:M, 4, FALSE))) * U123)*1.5</f>
        <v>-1.8543055555555559</v>
      </c>
    </row>
    <row r="124" spans="1:40" x14ac:dyDescent="0.25">
      <c r="A124" s="99">
        <v>52</v>
      </c>
      <c r="B124" s="99"/>
      <c r="C124" s="99" t="s">
        <v>13655</v>
      </c>
      <c r="D124" s="99"/>
      <c r="E124" s="99" t="s">
        <v>1520</v>
      </c>
      <c r="F124" s="99" t="s">
        <v>1518</v>
      </c>
      <c r="G124" s="99" t="s">
        <v>13695</v>
      </c>
      <c r="H124" s="99">
        <v>0</v>
      </c>
      <c r="I124" s="99">
        <v>0</v>
      </c>
      <c r="J124" s="99">
        <v>0</v>
      </c>
      <c r="K124" s="101" t="str">
        <f t="shared" si="5"/>
        <v>0x0x0</v>
      </c>
      <c r="L124" s="102">
        <f t="shared" si="6"/>
        <v>0</v>
      </c>
      <c r="M124" s="113">
        <f t="shared" si="7"/>
        <v>0</v>
      </c>
      <c r="N124" s="113">
        <f t="shared" si="8"/>
        <v>0</v>
      </c>
      <c r="O124" s="99">
        <v>0</v>
      </c>
      <c r="P124" s="113">
        <f t="shared" si="9"/>
        <v>0</v>
      </c>
      <c r="Q124" s="112">
        <f t="shared" si="10"/>
        <v>0</v>
      </c>
      <c r="R124" s="112" t="str">
        <f t="shared" si="11"/>
        <v>Standard-size</v>
      </c>
      <c r="S124" s="99" t="str">
        <f t="shared" si="12"/>
        <v>Small standard-size</v>
      </c>
      <c r="T124" s="116" t="s">
        <v>13696</v>
      </c>
      <c r="U124" s="116">
        <f t="shared" si="13"/>
        <v>0</v>
      </c>
      <c r="V124" s="116" t="s">
        <v>13583</v>
      </c>
      <c r="W124" s="116" t="s">
        <v>13690</v>
      </c>
      <c r="X124" s="99" t="s">
        <v>13583</v>
      </c>
      <c r="Y124" s="99">
        <v>1</v>
      </c>
      <c r="Z124" s="99">
        <v>1</v>
      </c>
      <c r="AA124" s="99">
        <v>1</v>
      </c>
      <c r="AB124" s="99"/>
      <c r="AC124" s="99"/>
      <c r="AD124" s="107">
        <v>0</v>
      </c>
      <c r="AE124" s="113">
        <f t="shared" si="14"/>
        <v>0</v>
      </c>
      <c r="AF124" s="116">
        <f>-IFERROR(IFERROR(VLOOKUP(ROUNDUP($Q124,0),'FBA FEES'!$L$2:$Q$203,MATCH($S124,'FBA FEES'!$L$2:$Q$2,0),FALSE),VLOOKUP(ROUNDUP($Q124,0),'FBA FEES'!$C$6:$F$123,MATCH($S124,'FBA FEES'!$C$6:$F$6,0),FALSE)),0)</f>
        <v>0</v>
      </c>
      <c r="AG124" s="116">
        <v>-10</v>
      </c>
      <c r="AH124" s="113">
        <f t="shared" si="15"/>
        <v>0</v>
      </c>
      <c r="AI124" s="116">
        <f>-IFERROR(IF($Y124=1,INDEX('[1]REMOVAL FEES'!$A$1:$C$22,MATCH(CONCATENATE("Standard Size",$P124),'[1]REMOVAL FEES'!$A$1:$A$22,0),3),IF($Y124=2,IF($P124&gt;10,(($P124-10)*1.06)+INDEX('[1]REMOVAL FEES'!$E$1:$G$22,MATCH(CONCATENATE("Large bulky, extra-large and special handling items",IF($P124&gt;=11,11,$P124)),'[1]REMOVAL FEES'!$E$1:$E$13,0),3),INDEX('[1]REMOVAL FEES'!$E$1:$G$22,MATCH(CONCATENATE("Large bulky, extra-large and special handling items",IF($P124&gt;=11,11,$P124)),'[1]REMOVAL FEES'!$E$1:$E$13,0),3))))*$AA124,FALSE)</f>
        <v>0</v>
      </c>
      <c r="AJ124" s="107">
        <f t="shared" si="16"/>
        <v>0</v>
      </c>
      <c r="AK124" s="107">
        <v>0</v>
      </c>
      <c r="AL124" s="107">
        <v>0</v>
      </c>
      <c r="AM124" s="107">
        <f t="shared" si="17"/>
        <v>0</v>
      </c>
      <c r="AN124" s="116">
        <f>(-IF($V124="Yes", IF($X124="Yes", VLOOKUP($W124, '[1]Storage Fees'!A:M, 13, FALSE), VLOOKUP($W124, '[1]Storage Fees'!A:M, 10, FALSE)), IF($X124="Yes", VLOOKUP($W124, '[1]Storage Fees'!A:M, 7, FALSE), VLOOKUP($W124, '[1]Storage Fees'!A:M, 4, FALSE))) * U124)*1.5</f>
        <v>0</v>
      </c>
    </row>
    <row r="125" spans="1:40" x14ac:dyDescent="0.25">
      <c r="A125" s="99">
        <v>53</v>
      </c>
      <c r="B125" s="99"/>
      <c r="C125" s="99" t="s">
        <v>13655</v>
      </c>
      <c r="D125" s="99"/>
      <c r="E125" s="99" t="s">
        <v>1520</v>
      </c>
      <c r="F125" s="99" t="s">
        <v>1521</v>
      </c>
      <c r="G125" s="99" t="s">
        <v>13695</v>
      </c>
      <c r="H125" s="99">
        <v>0</v>
      </c>
      <c r="I125" s="99">
        <v>0</v>
      </c>
      <c r="J125" s="99">
        <v>0</v>
      </c>
      <c r="K125" s="101" t="str">
        <f t="shared" si="5"/>
        <v>0x0x0</v>
      </c>
      <c r="L125" s="102">
        <f t="shared" si="6"/>
        <v>0</v>
      </c>
      <c r="M125" s="113">
        <f t="shared" si="7"/>
        <v>0</v>
      </c>
      <c r="N125" s="113">
        <f t="shared" si="8"/>
        <v>0</v>
      </c>
      <c r="O125" s="99">
        <v>0</v>
      </c>
      <c r="P125" s="113">
        <f t="shared" si="9"/>
        <v>0</v>
      </c>
      <c r="Q125" s="112">
        <f t="shared" si="10"/>
        <v>0</v>
      </c>
      <c r="R125" s="112" t="str">
        <f t="shared" si="11"/>
        <v>Standard-size</v>
      </c>
      <c r="S125" s="99" t="str">
        <f t="shared" si="12"/>
        <v>Small standard-size</v>
      </c>
      <c r="T125" s="116" t="s">
        <v>13696</v>
      </c>
      <c r="U125" s="116">
        <f t="shared" si="13"/>
        <v>0</v>
      </c>
      <c r="V125" s="116" t="s">
        <v>13583</v>
      </c>
      <c r="W125" s="116" t="s">
        <v>13690</v>
      </c>
      <c r="X125" s="99" t="s">
        <v>13583</v>
      </c>
      <c r="Y125" s="99">
        <v>1</v>
      </c>
      <c r="Z125" s="99">
        <v>1</v>
      </c>
      <c r="AA125" s="99">
        <v>1</v>
      </c>
      <c r="AB125" s="99"/>
      <c r="AC125" s="99"/>
      <c r="AD125" s="107">
        <v>0</v>
      </c>
      <c r="AE125" s="113">
        <f t="shared" si="14"/>
        <v>0</v>
      </c>
      <c r="AF125" s="116">
        <f>-IFERROR(IFERROR(VLOOKUP(ROUNDUP($Q125,0),'FBA FEES'!$L$2:$Q$203,MATCH($S125,'FBA FEES'!$L$2:$Q$2,0),FALSE),VLOOKUP(ROUNDUP($Q125,0),'FBA FEES'!$C$6:$F$123,MATCH($S125,'FBA FEES'!$C$6:$F$6,0),FALSE)),0)</f>
        <v>0</v>
      </c>
      <c r="AG125" s="116">
        <v>-10</v>
      </c>
      <c r="AH125" s="113">
        <f t="shared" si="15"/>
        <v>0</v>
      </c>
      <c r="AI125" s="116">
        <f>-IFERROR(IF($Y125=1,INDEX('[1]REMOVAL FEES'!$A$1:$C$22,MATCH(CONCATENATE("Standard Size",$P125),'[1]REMOVAL FEES'!$A$1:$A$22,0),3),IF($Y125=2,IF($P125&gt;10,(($P125-10)*1.06)+INDEX('[1]REMOVAL FEES'!$E$1:$G$22,MATCH(CONCATENATE("Large bulky, extra-large and special handling items",IF($P125&gt;=11,11,$P125)),'[1]REMOVAL FEES'!$E$1:$E$13,0),3),INDEX('[1]REMOVAL FEES'!$E$1:$G$22,MATCH(CONCATENATE("Large bulky, extra-large and special handling items",IF($P125&gt;=11,11,$P125)),'[1]REMOVAL FEES'!$E$1:$E$13,0),3))))*$AA125,FALSE)</f>
        <v>0</v>
      </c>
      <c r="AJ125" s="107">
        <f t="shared" si="16"/>
        <v>0</v>
      </c>
      <c r="AK125" s="107">
        <v>0</v>
      </c>
      <c r="AL125" s="107">
        <v>0</v>
      </c>
      <c r="AM125" s="107">
        <f t="shared" si="17"/>
        <v>0</v>
      </c>
      <c r="AN125" s="116">
        <f>(-IF($V125="Yes", IF($X125="Yes", VLOOKUP($W125, '[1]Storage Fees'!A:M, 13, FALSE), VLOOKUP($W125, '[1]Storage Fees'!A:M, 10, FALSE)), IF($X125="Yes", VLOOKUP($W125, '[1]Storage Fees'!A:M, 7, FALSE), VLOOKUP($W125, '[1]Storage Fees'!A:M, 4, FALSE))) * U125)*1.5</f>
        <v>0</v>
      </c>
    </row>
    <row r="126" spans="1:40" x14ac:dyDescent="0.25">
      <c r="A126" s="99">
        <v>54</v>
      </c>
      <c r="B126" s="99"/>
      <c r="C126" s="99" t="s">
        <v>13655</v>
      </c>
      <c r="D126" s="99"/>
      <c r="E126" s="99" t="s">
        <v>1520</v>
      </c>
      <c r="F126" s="99" t="s">
        <v>1523</v>
      </c>
      <c r="G126" s="99" t="s">
        <v>13695</v>
      </c>
      <c r="H126" s="99">
        <v>0</v>
      </c>
      <c r="I126" s="99">
        <v>0</v>
      </c>
      <c r="J126" s="99">
        <v>0</v>
      </c>
      <c r="K126" s="101" t="str">
        <f t="shared" si="5"/>
        <v>0x0x0</v>
      </c>
      <c r="L126" s="102">
        <f t="shared" si="6"/>
        <v>0</v>
      </c>
      <c r="M126" s="113">
        <f t="shared" si="7"/>
        <v>0</v>
      </c>
      <c r="N126" s="113">
        <f t="shared" si="8"/>
        <v>0</v>
      </c>
      <c r="O126" s="99">
        <v>0</v>
      </c>
      <c r="P126" s="113">
        <f t="shared" si="9"/>
        <v>0</v>
      </c>
      <c r="Q126" s="112">
        <f t="shared" si="10"/>
        <v>0</v>
      </c>
      <c r="R126" s="112" t="str">
        <f t="shared" si="11"/>
        <v>Standard-size</v>
      </c>
      <c r="S126" s="99" t="str">
        <f t="shared" si="12"/>
        <v>Small standard-size</v>
      </c>
      <c r="T126" s="116" t="s">
        <v>13696</v>
      </c>
      <c r="U126" s="116">
        <f t="shared" si="13"/>
        <v>0</v>
      </c>
      <c r="V126" s="116" t="s">
        <v>13583</v>
      </c>
      <c r="W126" s="116" t="s">
        <v>13690</v>
      </c>
      <c r="X126" s="99" t="s">
        <v>13583</v>
      </c>
      <c r="Y126" s="99">
        <v>1</v>
      </c>
      <c r="Z126" s="99">
        <v>1</v>
      </c>
      <c r="AA126" s="99">
        <v>1</v>
      </c>
      <c r="AB126" s="99"/>
      <c r="AC126" s="99"/>
      <c r="AD126" s="107">
        <v>0</v>
      </c>
      <c r="AE126" s="113">
        <f t="shared" si="14"/>
        <v>0</v>
      </c>
      <c r="AF126" s="116">
        <f>-IFERROR(IFERROR(VLOOKUP(ROUNDUP($Q126,0),'FBA FEES'!$L$2:$Q$203,MATCH($S126,'FBA FEES'!$L$2:$Q$2,0),FALSE),VLOOKUP(ROUNDUP($Q126,0),'FBA FEES'!$C$6:$F$123,MATCH($S126,'FBA FEES'!$C$6:$F$6,0),FALSE)),0)</f>
        <v>0</v>
      </c>
      <c r="AG126" s="116">
        <v>-10</v>
      </c>
      <c r="AH126" s="113">
        <f t="shared" si="15"/>
        <v>0</v>
      </c>
      <c r="AI126" s="116">
        <f>-IFERROR(IF($Y126=1,INDEX('[1]REMOVAL FEES'!$A$1:$C$22,MATCH(CONCATENATE("Standard Size",$P126),'[1]REMOVAL FEES'!$A$1:$A$22,0),3),IF($Y126=2,IF($P126&gt;10,(($P126-10)*1.06)+INDEX('[1]REMOVAL FEES'!$E$1:$G$22,MATCH(CONCATENATE("Large bulky, extra-large and special handling items",IF($P126&gt;=11,11,$P126)),'[1]REMOVAL FEES'!$E$1:$E$13,0),3),INDEX('[1]REMOVAL FEES'!$E$1:$G$22,MATCH(CONCATENATE("Large bulky, extra-large and special handling items",IF($P126&gt;=11,11,$P126)),'[1]REMOVAL FEES'!$E$1:$E$13,0),3))))*$AA126,FALSE)</f>
        <v>0</v>
      </c>
      <c r="AJ126" s="107">
        <f t="shared" si="16"/>
        <v>0</v>
      </c>
      <c r="AK126" s="107">
        <v>0</v>
      </c>
      <c r="AL126" s="107">
        <v>0</v>
      </c>
      <c r="AM126" s="107">
        <f t="shared" si="17"/>
        <v>0</v>
      </c>
      <c r="AN126" s="116">
        <f>(-IF($V126="Yes", IF($X126="Yes", VLOOKUP($W126, '[1]Storage Fees'!A:M, 13, FALSE), VLOOKUP($W126, '[1]Storage Fees'!A:M, 10, FALSE)), IF($X126="Yes", VLOOKUP($W126, '[1]Storage Fees'!A:M, 7, FALSE), VLOOKUP($W126, '[1]Storage Fees'!A:M, 4, FALSE))) * U126)*1.5</f>
        <v>0</v>
      </c>
    </row>
    <row r="127" spans="1:40" x14ac:dyDescent="0.25">
      <c r="A127" s="99">
        <v>55</v>
      </c>
      <c r="B127" s="99"/>
      <c r="C127" s="99" t="s">
        <v>13655</v>
      </c>
      <c r="D127" s="99"/>
      <c r="E127" s="99" t="s">
        <v>1520</v>
      </c>
      <c r="F127" s="99" t="s">
        <v>1525</v>
      </c>
      <c r="G127" s="99" t="s">
        <v>13695</v>
      </c>
      <c r="H127" s="99">
        <v>0</v>
      </c>
      <c r="I127" s="99">
        <v>0</v>
      </c>
      <c r="J127" s="99">
        <v>0</v>
      </c>
      <c r="K127" s="101" t="str">
        <f t="shared" si="5"/>
        <v>0x0x0</v>
      </c>
      <c r="L127" s="102">
        <f t="shared" si="6"/>
        <v>0</v>
      </c>
      <c r="M127" s="113">
        <f t="shared" si="7"/>
        <v>0</v>
      </c>
      <c r="N127" s="113">
        <f t="shared" si="8"/>
        <v>0</v>
      </c>
      <c r="O127" s="99">
        <v>0</v>
      </c>
      <c r="P127" s="113">
        <f t="shared" si="9"/>
        <v>0</v>
      </c>
      <c r="Q127" s="112">
        <f t="shared" si="10"/>
        <v>0</v>
      </c>
      <c r="R127" s="112" t="str">
        <f t="shared" si="11"/>
        <v>Standard-size</v>
      </c>
      <c r="S127" s="99" t="str">
        <f t="shared" si="12"/>
        <v>Small standard-size</v>
      </c>
      <c r="T127" s="116" t="s">
        <v>13696</v>
      </c>
      <c r="U127" s="116">
        <f t="shared" si="13"/>
        <v>0</v>
      </c>
      <c r="V127" s="116" t="s">
        <v>13583</v>
      </c>
      <c r="W127" s="116" t="s">
        <v>13690</v>
      </c>
      <c r="X127" s="99" t="s">
        <v>13583</v>
      </c>
      <c r="Y127" s="99">
        <v>1</v>
      </c>
      <c r="Z127" s="99">
        <v>1</v>
      </c>
      <c r="AA127" s="99">
        <v>1</v>
      </c>
      <c r="AB127" s="99"/>
      <c r="AC127" s="99"/>
      <c r="AD127" s="107">
        <v>0</v>
      </c>
      <c r="AE127" s="113">
        <f t="shared" si="14"/>
        <v>0</v>
      </c>
      <c r="AF127" s="116">
        <f>-IFERROR(IFERROR(VLOOKUP(ROUNDUP($Q127,0),'FBA FEES'!$L$2:$Q$203,MATCH($S127,'FBA FEES'!$L$2:$Q$2,0),FALSE),VLOOKUP(ROUNDUP($Q127,0),'FBA FEES'!$C$6:$F$123,MATCH($S127,'FBA FEES'!$C$6:$F$6,0),FALSE)),0)</f>
        <v>0</v>
      </c>
      <c r="AG127" s="116">
        <v>-10</v>
      </c>
      <c r="AH127" s="113">
        <f t="shared" si="15"/>
        <v>0</v>
      </c>
      <c r="AI127" s="116">
        <f>-IFERROR(IF($Y127=1,INDEX('[1]REMOVAL FEES'!$A$1:$C$22,MATCH(CONCATENATE("Standard Size",$P127),'[1]REMOVAL FEES'!$A$1:$A$22,0),3),IF($Y127=2,IF($P127&gt;10,(($P127-10)*1.06)+INDEX('[1]REMOVAL FEES'!$E$1:$G$22,MATCH(CONCATENATE("Large bulky, extra-large and special handling items",IF($P127&gt;=11,11,$P127)),'[1]REMOVAL FEES'!$E$1:$E$13,0),3),INDEX('[1]REMOVAL FEES'!$E$1:$G$22,MATCH(CONCATENATE("Large bulky, extra-large and special handling items",IF($P127&gt;=11,11,$P127)),'[1]REMOVAL FEES'!$E$1:$E$13,0),3))))*$AA127,FALSE)</f>
        <v>0</v>
      </c>
      <c r="AJ127" s="107">
        <f t="shared" si="16"/>
        <v>0</v>
      </c>
      <c r="AK127" s="107">
        <v>0</v>
      </c>
      <c r="AL127" s="107">
        <v>0</v>
      </c>
      <c r="AM127" s="107">
        <f t="shared" si="17"/>
        <v>0</v>
      </c>
      <c r="AN127" s="116">
        <f>(-IF($V127="Yes", IF($X127="Yes", VLOOKUP($W127, '[1]Storage Fees'!A:M, 13, FALSE), VLOOKUP($W127, '[1]Storage Fees'!A:M, 10, FALSE)), IF($X127="Yes", VLOOKUP($W127, '[1]Storage Fees'!A:M, 7, FALSE), VLOOKUP($W127, '[1]Storage Fees'!A:M, 4, FALSE))) * U127)*1.5</f>
        <v>0</v>
      </c>
    </row>
    <row r="128" spans="1:40" x14ac:dyDescent="0.25">
      <c r="A128" s="99">
        <v>56</v>
      </c>
      <c r="B128" s="99"/>
      <c r="C128" s="99" t="s">
        <v>13655</v>
      </c>
      <c r="D128" s="99"/>
      <c r="E128" s="99" t="s">
        <v>1520</v>
      </c>
      <c r="F128" s="99" t="s">
        <v>1527</v>
      </c>
      <c r="G128" s="99" t="s">
        <v>13695</v>
      </c>
      <c r="H128" s="99">
        <v>0</v>
      </c>
      <c r="I128" s="99">
        <v>0</v>
      </c>
      <c r="J128" s="99">
        <v>0</v>
      </c>
      <c r="K128" s="101" t="str">
        <f t="shared" si="5"/>
        <v>0x0x0</v>
      </c>
      <c r="L128" s="102">
        <f t="shared" si="6"/>
        <v>0</v>
      </c>
      <c r="M128" s="113">
        <f t="shared" si="7"/>
        <v>0</v>
      </c>
      <c r="N128" s="113">
        <f t="shared" si="8"/>
        <v>0</v>
      </c>
      <c r="O128" s="99">
        <v>0</v>
      </c>
      <c r="P128" s="113">
        <f t="shared" si="9"/>
        <v>0</v>
      </c>
      <c r="Q128" s="112">
        <f t="shared" si="10"/>
        <v>0</v>
      </c>
      <c r="R128" s="112" t="str">
        <f t="shared" si="11"/>
        <v>Standard-size</v>
      </c>
      <c r="S128" s="99" t="str">
        <f t="shared" si="12"/>
        <v>Small standard-size</v>
      </c>
      <c r="T128" s="116" t="s">
        <v>13696</v>
      </c>
      <c r="U128" s="116">
        <f t="shared" si="13"/>
        <v>0</v>
      </c>
      <c r="V128" s="116" t="s">
        <v>13583</v>
      </c>
      <c r="W128" s="116" t="s">
        <v>13690</v>
      </c>
      <c r="X128" s="99" t="s">
        <v>13583</v>
      </c>
      <c r="Y128" s="99">
        <v>1</v>
      </c>
      <c r="Z128" s="99">
        <v>1</v>
      </c>
      <c r="AA128" s="99">
        <v>1</v>
      </c>
      <c r="AB128" s="99"/>
      <c r="AC128" s="99"/>
      <c r="AD128" s="107">
        <v>0</v>
      </c>
      <c r="AE128" s="113">
        <f t="shared" si="14"/>
        <v>0</v>
      </c>
      <c r="AF128" s="116">
        <f>-IFERROR(IFERROR(VLOOKUP(ROUNDUP($Q128,0),'FBA FEES'!$L$2:$Q$203,MATCH($S128,'FBA FEES'!$L$2:$Q$2,0),FALSE),VLOOKUP(ROUNDUP($Q128,0),'FBA FEES'!$C$6:$F$123,MATCH($S128,'FBA FEES'!$C$6:$F$6,0),FALSE)),0)</f>
        <v>0</v>
      </c>
      <c r="AG128" s="116">
        <v>-10</v>
      </c>
      <c r="AH128" s="113">
        <f t="shared" si="15"/>
        <v>0</v>
      </c>
      <c r="AI128" s="116">
        <f>-IFERROR(IF($Y128=1,INDEX('[1]REMOVAL FEES'!$A$1:$C$22,MATCH(CONCATENATE("Standard Size",$P128),'[1]REMOVAL FEES'!$A$1:$A$22,0),3),IF($Y128=2,IF($P128&gt;10,(($P128-10)*1.06)+INDEX('[1]REMOVAL FEES'!$E$1:$G$22,MATCH(CONCATENATE("Large bulky, extra-large and special handling items",IF($P128&gt;=11,11,$P128)),'[1]REMOVAL FEES'!$E$1:$E$13,0),3),INDEX('[1]REMOVAL FEES'!$E$1:$G$22,MATCH(CONCATENATE("Large bulky, extra-large and special handling items",IF($P128&gt;=11,11,$P128)),'[1]REMOVAL FEES'!$E$1:$E$13,0),3))))*$AA128,FALSE)</f>
        <v>0</v>
      </c>
      <c r="AJ128" s="107">
        <f t="shared" si="16"/>
        <v>0</v>
      </c>
      <c r="AK128" s="107">
        <v>0</v>
      </c>
      <c r="AL128" s="107">
        <v>0</v>
      </c>
      <c r="AM128" s="107">
        <f t="shared" si="17"/>
        <v>0</v>
      </c>
      <c r="AN128" s="116">
        <f>(-IF($V128="Yes", IF($X128="Yes", VLOOKUP($W128, '[1]Storage Fees'!A:M, 13, FALSE), VLOOKUP($W128, '[1]Storage Fees'!A:M, 10, FALSE)), IF($X128="Yes", VLOOKUP($W128, '[1]Storage Fees'!A:M, 7, FALSE), VLOOKUP($W128, '[1]Storage Fees'!A:M, 4, FALSE))) * U128)*1.5</f>
        <v>0</v>
      </c>
    </row>
    <row r="129" spans="1:40" x14ac:dyDescent="0.25">
      <c r="A129" s="99">
        <v>57</v>
      </c>
      <c r="B129" s="99"/>
      <c r="C129" s="99" t="s">
        <v>13655</v>
      </c>
      <c r="D129" s="99"/>
      <c r="E129" s="99" t="s">
        <v>1520</v>
      </c>
      <c r="F129" s="99" t="s">
        <v>1529</v>
      </c>
      <c r="G129" s="99" t="s">
        <v>13695</v>
      </c>
      <c r="H129" s="99">
        <v>0</v>
      </c>
      <c r="I129" s="99">
        <v>0</v>
      </c>
      <c r="J129" s="99">
        <v>0</v>
      </c>
      <c r="K129" s="101" t="str">
        <f t="shared" si="5"/>
        <v>0x0x0</v>
      </c>
      <c r="L129" s="102">
        <f t="shared" si="6"/>
        <v>0</v>
      </c>
      <c r="M129" s="113">
        <f t="shared" si="7"/>
        <v>0</v>
      </c>
      <c r="N129" s="113">
        <f t="shared" si="8"/>
        <v>0</v>
      </c>
      <c r="O129" s="99">
        <v>0</v>
      </c>
      <c r="P129" s="113">
        <f t="shared" si="9"/>
        <v>0</v>
      </c>
      <c r="Q129" s="112">
        <f t="shared" si="10"/>
        <v>0</v>
      </c>
      <c r="R129" s="112" t="str">
        <f t="shared" si="11"/>
        <v>Standard-size</v>
      </c>
      <c r="S129" s="99" t="str">
        <f t="shared" si="12"/>
        <v>Small standard-size</v>
      </c>
      <c r="T129" s="116" t="s">
        <v>13696</v>
      </c>
      <c r="U129" s="116">
        <f t="shared" si="13"/>
        <v>0</v>
      </c>
      <c r="V129" s="116" t="s">
        <v>13583</v>
      </c>
      <c r="W129" s="116" t="s">
        <v>13690</v>
      </c>
      <c r="X129" s="99" t="s">
        <v>13583</v>
      </c>
      <c r="Y129" s="99">
        <v>1</v>
      </c>
      <c r="Z129" s="99">
        <v>1</v>
      </c>
      <c r="AA129" s="99">
        <v>1</v>
      </c>
      <c r="AB129" s="99"/>
      <c r="AC129" s="99"/>
      <c r="AD129" s="107">
        <v>0</v>
      </c>
      <c r="AE129" s="113">
        <f t="shared" si="14"/>
        <v>0</v>
      </c>
      <c r="AF129" s="116">
        <f>-IFERROR(IFERROR(VLOOKUP(ROUNDUP($Q129,0),'FBA FEES'!$L$2:$Q$203,MATCH($S129,'FBA FEES'!$L$2:$Q$2,0),FALSE),VLOOKUP(ROUNDUP($Q129,0),'FBA FEES'!$C$6:$F$123,MATCH($S129,'FBA FEES'!$C$6:$F$6,0),FALSE)),0)</f>
        <v>0</v>
      </c>
      <c r="AG129" s="116">
        <v>-10</v>
      </c>
      <c r="AH129" s="113">
        <f t="shared" si="15"/>
        <v>0</v>
      </c>
      <c r="AI129" s="116">
        <f>-IFERROR(IF($Y129=1,INDEX('[1]REMOVAL FEES'!$A$1:$C$22,MATCH(CONCATENATE("Standard Size",$P129),'[1]REMOVAL FEES'!$A$1:$A$22,0),3),IF($Y129=2,IF($P129&gt;10,(($P129-10)*1.06)+INDEX('[1]REMOVAL FEES'!$E$1:$G$22,MATCH(CONCATENATE("Large bulky, extra-large and special handling items",IF($P129&gt;=11,11,$P129)),'[1]REMOVAL FEES'!$E$1:$E$13,0),3),INDEX('[1]REMOVAL FEES'!$E$1:$G$22,MATCH(CONCATENATE("Large bulky, extra-large and special handling items",IF($P129&gt;=11,11,$P129)),'[1]REMOVAL FEES'!$E$1:$E$13,0),3))))*$AA129,FALSE)</f>
        <v>0</v>
      </c>
      <c r="AJ129" s="107">
        <f t="shared" si="16"/>
        <v>0</v>
      </c>
      <c r="AK129" s="107">
        <v>0</v>
      </c>
      <c r="AL129" s="107">
        <v>0</v>
      </c>
      <c r="AM129" s="107">
        <f t="shared" si="17"/>
        <v>0</v>
      </c>
      <c r="AN129" s="116">
        <f>(-IF($V129="Yes", IF($X129="Yes", VLOOKUP($W129, '[1]Storage Fees'!A:M, 13, FALSE), VLOOKUP($W129, '[1]Storage Fees'!A:M, 10, FALSE)), IF($X129="Yes", VLOOKUP($W129, '[1]Storage Fees'!A:M, 7, FALSE), VLOOKUP($W129, '[1]Storage Fees'!A:M, 4, FALSE))) * U129)*1.5</f>
        <v>0</v>
      </c>
    </row>
    <row r="130" spans="1:40" x14ac:dyDescent="0.25">
      <c r="A130" s="99">
        <v>58</v>
      </c>
      <c r="B130" s="99"/>
      <c r="C130" s="99" t="s">
        <v>13655</v>
      </c>
      <c r="D130" s="99"/>
      <c r="E130" s="99" t="s">
        <v>1520</v>
      </c>
      <c r="F130" s="99" t="s">
        <v>1531</v>
      </c>
      <c r="G130" s="99" t="s">
        <v>13695</v>
      </c>
      <c r="H130" s="99">
        <v>0</v>
      </c>
      <c r="I130" s="99">
        <v>0</v>
      </c>
      <c r="J130" s="99">
        <v>0</v>
      </c>
      <c r="K130" s="101" t="str">
        <f t="shared" si="5"/>
        <v>0x0x0</v>
      </c>
      <c r="L130" s="102">
        <f t="shared" si="6"/>
        <v>0</v>
      </c>
      <c r="M130" s="113">
        <f t="shared" si="7"/>
        <v>0</v>
      </c>
      <c r="N130" s="113">
        <f t="shared" si="8"/>
        <v>0</v>
      </c>
      <c r="O130" s="99">
        <v>0</v>
      </c>
      <c r="P130" s="113">
        <f t="shared" si="9"/>
        <v>0</v>
      </c>
      <c r="Q130" s="112">
        <f t="shared" si="10"/>
        <v>0</v>
      </c>
      <c r="R130" s="112" t="str">
        <f t="shared" si="11"/>
        <v>Standard-size</v>
      </c>
      <c r="S130" s="99" t="str">
        <f t="shared" si="12"/>
        <v>Small standard-size</v>
      </c>
      <c r="T130" s="116" t="s">
        <v>13696</v>
      </c>
      <c r="U130" s="116">
        <f t="shared" si="13"/>
        <v>0</v>
      </c>
      <c r="V130" s="116" t="s">
        <v>13583</v>
      </c>
      <c r="W130" s="116" t="s">
        <v>13690</v>
      </c>
      <c r="X130" s="99" t="s">
        <v>13583</v>
      </c>
      <c r="Y130" s="99">
        <v>1</v>
      </c>
      <c r="Z130" s="99">
        <v>1</v>
      </c>
      <c r="AA130" s="99">
        <v>1</v>
      </c>
      <c r="AB130" s="99"/>
      <c r="AC130" s="99"/>
      <c r="AD130" s="107">
        <v>0</v>
      </c>
      <c r="AE130" s="113">
        <f t="shared" si="14"/>
        <v>0</v>
      </c>
      <c r="AF130" s="116">
        <f>-IFERROR(IFERROR(VLOOKUP(ROUNDUP($Q130,0),'FBA FEES'!$L$2:$Q$203,MATCH($S130,'FBA FEES'!$L$2:$Q$2,0),FALSE),VLOOKUP(ROUNDUP($Q130,0),'FBA FEES'!$C$6:$F$123,MATCH($S130,'FBA FEES'!$C$6:$F$6,0),FALSE)),0)</f>
        <v>0</v>
      </c>
      <c r="AG130" s="116">
        <v>-10</v>
      </c>
      <c r="AH130" s="113">
        <f t="shared" si="15"/>
        <v>0</v>
      </c>
      <c r="AI130" s="116">
        <f>-IFERROR(IF($Y130=1,INDEX('[1]REMOVAL FEES'!$A$1:$C$22,MATCH(CONCATENATE("Standard Size",$P130),'[1]REMOVAL FEES'!$A$1:$A$22,0),3),IF($Y130=2,IF($P130&gt;10,(($P130-10)*1.06)+INDEX('[1]REMOVAL FEES'!$E$1:$G$22,MATCH(CONCATENATE("Large bulky, extra-large and special handling items",IF($P130&gt;=11,11,$P130)),'[1]REMOVAL FEES'!$E$1:$E$13,0),3),INDEX('[1]REMOVAL FEES'!$E$1:$G$22,MATCH(CONCATENATE("Large bulky, extra-large and special handling items",IF($P130&gt;=11,11,$P130)),'[1]REMOVAL FEES'!$E$1:$E$13,0),3))))*$AA130,FALSE)</f>
        <v>0</v>
      </c>
      <c r="AJ130" s="107">
        <f t="shared" si="16"/>
        <v>0</v>
      </c>
      <c r="AK130" s="107">
        <v>0</v>
      </c>
      <c r="AL130" s="107">
        <v>0</v>
      </c>
      <c r="AM130" s="107">
        <f t="shared" si="17"/>
        <v>0</v>
      </c>
      <c r="AN130" s="116">
        <f>(-IF($V130="Yes", IF($X130="Yes", VLOOKUP($W130, '[1]Storage Fees'!A:M, 13, FALSE), VLOOKUP($W130, '[1]Storage Fees'!A:M, 10, FALSE)), IF($X130="Yes", VLOOKUP($W130, '[1]Storage Fees'!A:M, 7, FALSE), VLOOKUP($W130, '[1]Storage Fees'!A:M, 4, FALSE))) * U130)*1.5</f>
        <v>0</v>
      </c>
    </row>
    <row r="131" spans="1:40" x14ac:dyDescent="0.25">
      <c r="A131" s="99">
        <v>59</v>
      </c>
      <c r="B131" s="99"/>
      <c r="C131" s="99" t="s">
        <v>13655</v>
      </c>
      <c r="D131" s="99"/>
      <c r="E131" s="99" t="s">
        <v>1520</v>
      </c>
      <c r="F131" s="99" t="s">
        <v>1533</v>
      </c>
      <c r="G131" s="99" t="s">
        <v>13695</v>
      </c>
      <c r="H131" s="99">
        <v>0</v>
      </c>
      <c r="I131" s="99">
        <v>0</v>
      </c>
      <c r="J131" s="99">
        <v>0</v>
      </c>
      <c r="K131" s="101" t="str">
        <f t="shared" si="5"/>
        <v>0x0x0</v>
      </c>
      <c r="L131" s="102">
        <f t="shared" si="6"/>
        <v>0</v>
      </c>
      <c r="M131" s="113">
        <f t="shared" si="7"/>
        <v>0</v>
      </c>
      <c r="N131" s="113">
        <f t="shared" si="8"/>
        <v>0</v>
      </c>
      <c r="O131" s="99">
        <v>0</v>
      </c>
      <c r="P131" s="113">
        <f t="shared" si="9"/>
        <v>0</v>
      </c>
      <c r="Q131" s="112">
        <f t="shared" si="10"/>
        <v>0</v>
      </c>
      <c r="R131" s="112" t="str">
        <f t="shared" si="11"/>
        <v>Standard-size</v>
      </c>
      <c r="S131" s="99" t="str">
        <f t="shared" si="12"/>
        <v>Small standard-size</v>
      </c>
      <c r="T131" s="116" t="s">
        <v>13696</v>
      </c>
      <c r="U131" s="116">
        <f t="shared" si="13"/>
        <v>0</v>
      </c>
      <c r="V131" s="116" t="s">
        <v>13583</v>
      </c>
      <c r="W131" s="116" t="s">
        <v>13690</v>
      </c>
      <c r="X131" s="99" t="s">
        <v>13583</v>
      </c>
      <c r="Y131" s="99">
        <v>1</v>
      </c>
      <c r="Z131" s="99">
        <v>1</v>
      </c>
      <c r="AA131" s="99">
        <v>1</v>
      </c>
      <c r="AB131" s="99"/>
      <c r="AC131" s="99"/>
      <c r="AD131" s="107">
        <v>0</v>
      </c>
      <c r="AE131" s="113">
        <f t="shared" si="14"/>
        <v>0</v>
      </c>
      <c r="AF131" s="116">
        <f>-IFERROR(IFERROR(VLOOKUP(ROUNDUP($Q131,0),'FBA FEES'!$L$2:$Q$203,MATCH($S131,'FBA FEES'!$L$2:$Q$2,0),FALSE),VLOOKUP(ROUNDUP($Q131,0),'FBA FEES'!$C$6:$F$123,MATCH($S131,'FBA FEES'!$C$6:$F$6,0),FALSE)),0)</f>
        <v>0</v>
      </c>
      <c r="AG131" s="116">
        <v>-10</v>
      </c>
      <c r="AH131" s="113">
        <f t="shared" si="15"/>
        <v>0</v>
      </c>
      <c r="AI131" s="116">
        <f>-IFERROR(IF($Y131=1,INDEX('[1]REMOVAL FEES'!$A$1:$C$22,MATCH(CONCATENATE("Standard Size",$P131),'[1]REMOVAL FEES'!$A$1:$A$22,0),3),IF($Y131=2,IF($P131&gt;10,(($P131-10)*1.06)+INDEX('[1]REMOVAL FEES'!$E$1:$G$22,MATCH(CONCATENATE("Large bulky, extra-large and special handling items",IF($P131&gt;=11,11,$P131)),'[1]REMOVAL FEES'!$E$1:$E$13,0),3),INDEX('[1]REMOVAL FEES'!$E$1:$G$22,MATCH(CONCATENATE("Large bulky, extra-large and special handling items",IF($P131&gt;=11,11,$P131)),'[1]REMOVAL FEES'!$E$1:$E$13,0),3))))*$AA131,FALSE)</f>
        <v>0</v>
      </c>
      <c r="AJ131" s="107">
        <f t="shared" si="16"/>
        <v>0</v>
      </c>
      <c r="AK131" s="107">
        <v>0</v>
      </c>
      <c r="AL131" s="107">
        <v>0</v>
      </c>
      <c r="AM131" s="107">
        <f t="shared" si="17"/>
        <v>0</v>
      </c>
      <c r="AN131" s="116">
        <f>(-IF($V131="Yes", IF($X131="Yes", VLOOKUP($W131, '[1]Storage Fees'!A:M, 13, FALSE), VLOOKUP($W131, '[1]Storage Fees'!A:M, 10, FALSE)), IF($X131="Yes", VLOOKUP($W131, '[1]Storage Fees'!A:M, 7, FALSE), VLOOKUP($W131, '[1]Storage Fees'!A:M, 4, FALSE))) * U131)*1.5</f>
        <v>0</v>
      </c>
    </row>
    <row r="132" spans="1:40" x14ac:dyDescent="0.25">
      <c r="A132" s="99">
        <v>60</v>
      </c>
      <c r="B132" s="99"/>
      <c r="C132" s="99" t="s">
        <v>13655</v>
      </c>
      <c r="D132" s="99"/>
      <c r="E132" s="99" t="s">
        <v>1520</v>
      </c>
      <c r="F132" s="99" t="s">
        <v>1535</v>
      </c>
      <c r="G132" s="99" t="s">
        <v>13695</v>
      </c>
      <c r="H132" s="99">
        <v>0</v>
      </c>
      <c r="I132" s="99">
        <v>0</v>
      </c>
      <c r="J132" s="99">
        <v>0</v>
      </c>
      <c r="K132" s="101" t="str">
        <f t="shared" si="5"/>
        <v>0x0x0</v>
      </c>
      <c r="L132" s="102">
        <f t="shared" si="6"/>
        <v>0</v>
      </c>
      <c r="M132" s="113">
        <f t="shared" si="7"/>
        <v>0</v>
      </c>
      <c r="N132" s="113">
        <f t="shared" si="8"/>
        <v>0</v>
      </c>
      <c r="O132" s="99">
        <v>0</v>
      </c>
      <c r="P132" s="113">
        <f t="shared" si="9"/>
        <v>0</v>
      </c>
      <c r="Q132" s="112">
        <f t="shared" si="10"/>
        <v>0</v>
      </c>
      <c r="R132" s="112" t="str">
        <f t="shared" si="11"/>
        <v>Standard-size</v>
      </c>
      <c r="S132" s="99" t="str">
        <f t="shared" si="12"/>
        <v>Small standard-size</v>
      </c>
      <c r="T132" s="116" t="s">
        <v>13696</v>
      </c>
      <c r="U132" s="116">
        <f t="shared" si="13"/>
        <v>0</v>
      </c>
      <c r="V132" s="116" t="s">
        <v>13583</v>
      </c>
      <c r="W132" s="116" t="s">
        <v>13690</v>
      </c>
      <c r="X132" s="99" t="s">
        <v>13583</v>
      </c>
      <c r="Y132" s="99">
        <v>1</v>
      </c>
      <c r="Z132" s="99">
        <v>1</v>
      </c>
      <c r="AA132" s="99">
        <v>1</v>
      </c>
      <c r="AB132" s="99"/>
      <c r="AC132" s="99"/>
      <c r="AD132" s="107">
        <v>0</v>
      </c>
      <c r="AE132" s="113">
        <f t="shared" si="14"/>
        <v>0</v>
      </c>
      <c r="AF132" s="116">
        <f>-IFERROR(IFERROR(VLOOKUP(ROUNDUP($Q132,0),'FBA FEES'!$L$2:$Q$203,MATCH($S132,'FBA FEES'!$L$2:$Q$2,0),FALSE),VLOOKUP(ROUNDUP($Q132,0),'FBA FEES'!$C$6:$F$123,MATCH($S132,'FBA FEES'!$C$6:$F$6,0),FALSE)),0)</f>
        <v>0</v>
      </c>
      <c r="AG132" s="116">
        <v>-10</v>
      </c>
      <c r="AH132" s="113">
        <f t="shared" si="15"/>
        <v>0</v>
      </c>
      <c r="AI132" s="116">
        <f>-IFERROR(IF($Y132=1,INDEX('[1]REMOVAL FEES'!$A$1:$C$22,MATCH(CONCATENATE("Standard Size",$P132),'[1]REMOVAL FEES'!$A$1:$A$22,0),3),IF($Y132=2,IF($P132&gt;10,(($P132-10)*1.06)+INDEX('[1]REMOVAL FEES'!$E$1:$G$22,MATCH(CONCATENATE("Large bulky, extra-large and special handling items",IF($P132&gt;=11,11,$P132)),'[1]REMOVAL FEES'!$E$1:$E$13,0),3),INDEX('[1]REMOVAL FEES'!$E$1:$G$22,MATCH(CONCATENATE("Large bulky, extra-large and special handling items",IF($P132&gt;=11,11,$P132)),'[1]REMOVAL FEES'!$E$1:$E$13,0),3))))*$AA132,FALSE)</f>
        <v>0</v>
      </c>
      <c r="AJ132" s="107">
        <f t="shared" si="16"/>
        <v>0</v>
      </c>
      <c r="AK132" s="107">
        <v>0</v>
      </c>
      <c r="AL132" s="107">
        <v>0</v>
      </c>
      <c r="AM132" s="107">
        <f t="shared" si="17"/>
        <v>0</v>
      </c>
      <c r="AN132" s="116">
        <f>(-IF($V132="Yes", IF($X132="Yes", VLOOKUP($W132, '[1]Storage Fees'!A:M, 13, FALSE), VLOOKUP($W132, '[1]Storage Fees'!A:M, 10, FALSE)), IF($X132="Yes", VLOOKUP($W132, '[1]Storage Fees'!A:M, 7, FALSE), VLOOKUP($W132, '[1]Storage Fees'!A:M, 4, FALSE))) * U132)*1.5</f>
        <v>0</v>
      </c>
    </row>
    <row r="133" spans="1:40" x14ac:dyDescent="0.25">
      <c r="A133" s="99">
        <v>61</v>
      </c>
      <c r="B133" s="99"/>
      <c r="C133" s="99" t="s">
        <v>13655</v>
      </c>
      <c r="D133" s="99"/>
      <c r="E133" s="99" t="s">
        <v>1520</v>
      </c>
      <c r="F133" s="99" t="s">
        <v>1537</v>
      </c>
      <c r="G133" s="99" t="s">
        <v>13695</v>
      </c>
      <c r="H133" s="99">
        <v>0</v>
      </c>
      <c r="I133" s="99">
        <v>0</v>
      </c>
      <c r="J133" s="99">
        <v>0</v>
      </c>
      <c r="K133" s="101" t="str">
        <f t="shared" si="5"/>
        <v>0x0x0</v>
      </c>
      <c r="L133" s="102">
        <f t="shared" si="6"/>
        <v>0</v>
      </c>
      <c r="M133" s="113">
        <f t="shared" si="7"/>
        <v>0</v>
      </c>
      <c r="N133" s="113">
        <f t="shared" si="8"/>
        <v>0</v>
      </c>
      <c r="O133" s="99">
        <v>0</v>
      </c>
      <c r="P133" s="113">
        <f t="shared" si="9"/>
        <v>0</v>
      </c>
      <c r="Q133" s="112">
        <f t="shared" si="10"/>
        <v>0</v>
      </c>
      <c r="R133" s="112" t="str">
        <f t="shared" si="11"/>
        <v>Standard-size</v>
      </c>
      <c r="S133" s="99" t="str">
        <f t="shared" si="12"/>
        <v>Small standard-size</v>
      </c>
      <c r="T133" s="116" t="s">
        <v>13696</v>
      </c>
      <c r="U133" s="116">
        <f t="shared" si="13"/>
        <v>0</v>
      </c>
      <c r="V133" s="116" t="s">
        <v>13583</v>
      </c>
      <c r="W133" s="116" t="s">
        <v>13690</v>
      </c>
      <c r="X133" s="99" t="s">
        <v>13583</v>
      </c>
      <c r="Y133" s="99">
        <v>1</v>
      </c>
      <c r="Z133" s="99">
        <v>1</v>
      </c>
      <c r="AA133" s="99">
        <v>1</v>
      </c>
      <c r="AB133" s="99"/>
      <c r="AC133" s="99"/>
      <c r="AD133" s="107">
        <v>0</v>
      </c>
      <c r="AE133" s="113">
        <f t="shared" si="14"/>
        <v>0</v>
      </c>
      <c r="AF133" s="116">
        <f>-IFERROR(IFERROR(VLOOKUP(ROUNDUP($Q133,0),'FBA FEES'!$L$2:$Q$203,MATCH($S133,'FBA FEES'!$L$2:$Q$2,0),FALSE),VLOOKUP(ROUNDUP($Q133,0),'FBA FEES'!$C$6:$F$123,MATCH($S133,'FBA FEES'!$C$6:$F$6,0),FALSE)),0)</f>
        <v>0</v>
      </c>
      <c r="AG133" s="116">
        <v>-10</v>
      </c>
      <c r="AH133" s="113">
        <f t="shared" si="15"/>
        <v>0</v>
      </c>
      <c r="AI133" s="116">
        <f>-IFERROR(IF($Y133=1,INDEX('[1]REMOVAL FEES'!$A$1:$C$22,MATCH(CONCATENATE("Standard Size",$P133),'[1]REMOVAL FEES'!$A$1:$A$22,0),3),IF($Y133=2,IF($P133&gt;10,(($P133-10)*1.06)+INDEX('[1]REMOVAL FEES'!$E$1:$G$22,MATCH(CONCATENATE("Large bulky, extra-large and special handling items",IF($P133&gt;=11,11,$P133)),'[1]REMOVAL FEES'!$E$1:$E$13,0),3),INDEX('[1]REMOVAL FEES'!$E$1:$G$22,MATCH(CONCATENATE("Large bulky, extra-large and special handling items",IF($P133&gt;=11,11,$P133)),'[1]REMOVAL FEES'!$E$1:$E$13,0),3))))*$AA133,FALSE)</f>
        <v>0</v>
      </c>
      <c r="AJ133" s="107">
        <f t="shared" si="16"/>
        <v>0</v>
      </c>
      <c r="AK133" s="107">
        <v>0</v>
      </c>
      <c r="AL133" s="107">
        <v>0</v>
      </c>
      <c r="AM133" s="107">
        <f t="shared" si="17"/>
        <v>0</v>
      </c>
      <c r="AN133" s="116">
        <f>(-IF($V133="Yes", IF($X133="Yes", VLOOKUP($W133, '[1]Storage Fees'!A:M, 13, FALSE), VLOOKUP($W133, '[1]Storage Fees'!A:M, 10, FALSE)), IF($X133="Yes", VLOOKUP($W133, '[1]Storage Fees'!A:M, 7, FALSE), VLOOKUP($W133, '[1]Storage Fees'!A:M, 4, FALSE))) * U133)*1.5</f>
        <v>0</v>
      </c>
    </row>
    <row r="134" spans="1:40" x14ac:dyDescent="0.25">
      <c r="A134" s="99">
        <v>62</v>
      </c>
      <c r="B134" s="99"/>
      <c r="C134" s="99" t="s">
        <v>13655</v>
      </c>
      <c r="D134" s="99"/>
      <c r="E134" s="99" t="s">
        <v>1520</v>
      </c>
      <c r="F134" s="99" t="s">
        <v>1539</v>
      </c>
      <c r="G134" s="99" t="s">
        <v>13695</v>
      </c>
      <c r="H134" s="99">
        <v>0</v>
      </c>
      <c r="I134" s="99">
        <v>0</v>
      </c>
      <c r="J134" s="99">
        <v>0</v>
      </c>
      <c r="K134" s="101" t="str">
        <f t="shared" si="5"/>
        <v>0x0x0</v>
      </c>
      <c r="L134" s="102">
        <f t="shared" si="6"/>
        <v>0</v>
      </c>
      <c r="M134" s="113">
        <f t="shared" si="7"/>
        <v>0</v>
      </c>
      <c r="N134" s="113">
        <f t="shared" si="8"/>
        <v>0</v>
      </c>
      <c r="O134" s="99">
        <v>0</v>
      </c>
      <c r="P134" s="113">
        <f t="shared" si="9"/>
        <v>0</v>
      </c>
      <c r="Q134" s="112">
        <f t="shared" si="10"/>
        <v>0</v>
      </c>
      <c r="R134" s="112" t="str">
        <f t="shared" si="11"/>
        <v>Standard-size</v>
      </c>
      <c r="S134" s="99" t="str">
        <f t="shared" si="12"/>
        <v>Small standard-size</v>
      </c>
      <c r="T134" s="116" t="s">
        <v>13696</v>
      </c>
      <c r="U134" s="116">
        <f t="shared" si="13"/>
        <v>0</v>
      </c>
      <c r="V134" s="116" t="s">
        <v>13583</v>
      </c>
      <c r="W134" s="116" t="s">
        <v>13690</v>
      </c>
      <c r="X134" s="99" t="s">
        <v>13583</v>
      </c>
      <c r="Y134" s="99">
        <v>1</v>
      </c>
      <c r="Z134" s="99">
        <v>1</v>
      </c>
      <c r="AA134" s="99">
        <v>1</v>
      </c>
      <c r="AB134" s="99"/>
      <c r="AC134" s="99"/>
      <c r="AD134" s="107">
        <v>0</v>
      </c>
      <c r="AE134" s="113">
        <f t="shared" si="14"/>
        <v>0</v>
      </c>
      <c r="AF134" s="116">
        <f>-IFERROR(IFERROR(VLOOKUP(ROUNDUP($Q134,0),'FBA FEES'!$L$2:$Q$203,MATCH($S134,'FBA FEES'!$L$2:$Q$2,0),FALSE),VLOOKUP(ROUNDUP($Q134,0),'FBA FEES'!$C$6:$F$123,MATCH($S134,'FBA FEES'!$C$6:$F$6,0),FALSE)),0)</f>
        <v>0</v>
      </c>
      <c r="AG134" s="116">
        <v>-10</v>
      </c>
      <c r="AH134" s="113">
        <f t="shared" si="15"/>
        <v>0</v>
      </c>
      <c r="AI134" s="116">
        <f>-IFERROR(IF($Y134=1,INDEX('[1]REMOVAL FEES'!$A$1:$C$22,MATCH(CONCATENATE("Standard Size",$P134),'[1]REMOVAL FEES'!$A$1:$A$22,0),3),IF($Y134=2,IF($P134&gt;10,(($P134-10)*1.06)+INDEX('[1]REMOVAL FEES'!$E$1:$G$22,MATCH(CONCATENATE("Large bulky, extra-large and special handling items",IF($P134&gt;=11,11,$P134)),'[1]REMOVAL FEES'!$E$1:$E$13,0),3),INDEX('[1]REMOVAL FEES'!$E$1:$G$22,MATCH(CONCATENATE("Large bulky, extra-large and special handling items",IF($P134&gt;=11,11,$P134)),'[1]REMOVAL FEES'!$E$1:$E$13,0),3))))*$AA134,FALSE)</f>
        <v>0</v>
      </c>
      <c r="AJ134" s="107">
        <f t="shared" si="16"/>
        <v>0</v>
      </c>
      <c r="AK134" s="107">
        <v>0</v>
      </c>
      <c r="AL134" s="107">
        <v>0</v>
      </c>
      <c r="AM134" s="107">
        <f t="shared" si="17"/>
        <v>0</v>
      </c>
      <c r="AN134" s="116">
        <f>(-IF($V134="Yes", IF($X134="Yes", VLOOKUP($W134, '[1]Storage Fees'!A:M, 13, FALSE), VLOOKUP($W134, '[1]Storage Fees'!A:M, 10, FALSE)), IF($X134="Yes", VLOOKUP($W134, '[1]Storage Fees'!A:M, 7, FALSE), VLOOKUP($W134, '[1]Storage Fees'!A:M, 4, FALSE))) * U134)*1.5</f>
        <v>0</v>
      </c>
    </row>
    <row r="135" spans="1:40" x14ac:dyDescent="0.25">
      <c r="A135" s="99">
        <v>63</v>
      </c>
      <c r="B135" s="99"/>
      <c r="C135" s="99" t="s">
        <v>13655</v>
      </c>
      <c r="D135" s="99"/>
      <c r="E135" s="99" t="s">
        <v>1520</v>
      </c>
      <c r="F135" s="99" t="s">
        <v>1541</v>
      </c>
      <c r="G135" s="99" t="s">
        <v>13695</v>
      </c>
      <c r="H135" s="99">
        <v>0</v>
      </c>
      <c r="I135" s="99">
        <v>0</v>
      </c>
      <c r="J135" s="99">
        <v>0</v>
      </c>
      <c r="K135" s="101" t="str">
        <f t="shared" si="5"/>
        <v>0x0x0</v>
      </c>
      <c r="L135" s="102">
        <f t="shared" si="6"/>
        <v>0</v>
      </c>
      <c r="M135" s="113">
        <f t="shared" si="7"/>
        <v>0</v>
      </c>
      <c r="N135" s="113">
        <f t="shared" si="8"/>
        <v>0</v>
      </c>
      <c r="O135" s="99">
        <v>0</v>
      </c>
      <c r="P135" s="113">
        <f t="shared" si="9"/>
        <v>0</v>
      </c>
      <c r="Q135" s="112">
        <f t="shared" si="10"/>
        <v>0</v>
      </c>
      <c r="R135" s="112" t="str">
        <f t="shared" si="11"/>
        <v>Standard-size</v>
      </c>
      <c r="S135" s="99" t="str">
        <f t="shared" si="12"/>
        <v>Small standard-size</v>
      </c>
      <c r="T135" s="116" t="s">
        <v>13696</v>
      </c>
      <c r="U135" s="116">
        <f t="shared" si="13"/>
        <v>0</v>
      </c>
      <c r="V135" s="116" t="s">
        <v>13583</v>
      </c>
      <c r="W135" s="116" t="s">
        <v>13690</v>
      </c>
      <c r="X135" s="99" t="s">
        <v>13583</v>
      </c>
      <c r="Y135" s="99">
        <v>1</v>
      </c>
      <c r="Z135" s="99">
        <v>1</v>
      </c>
      <c r="AA135" s="99">
        <v>1</v>
      </c>
      <c r="AB135" s="99"/>
      <c r="AC135" s="99"/>
      <c r="AD135" s="107">
        <v>0</v>
      </c>
      <c r="AE135" s="113">
        <f t="shared" si="14"/>
        <v>0</v>
      </c>
      <c r="AF135" s="116">
        <f>-IFERROR(IFERROR(VLOOKUP(ROUNDUP($Q135,0),'FBA FEES'!$L$2:$Q$203,MATCH($S135,'FBA FEES'!$L$2:$Q$2,0),FALSE),VLOOKUP(ROUNDUP($Q135,0),'FBA FEES'!$C$6:$F$123,MATCH($S135,'FBA FEES'!$C$6:$F$6,0),FALSE)),0)</f>
        <v>0</v>
      </c>
      <c r="AG135" s="116">
        <v>-10</v>
      </c>
      <c r="AH135" s="113">
        <f t="shared" si="15"/>
        <v>0</v>
      </c>
      <c r="AI135" s="116">
        <f>-IFERROR(IF($Y135=1,INDEX('[1]REMOVAL FEES'!$A$1:$C$22,MATCH(CONCATENATE("Standard Size",$P135),'[1]REMOVAL FEES'!$A$1:$A$22,0),3),IF($Y135=2,IF($P135&gt;10,(($P135-10)*1.06)+INDEX('[1]REMOVAL FEES'!$E$1:$G$22,MATCH(CONCATENATE("Large bulky, extra-large and special handling items",IF($P135&gt;=11,11,$P135)),'[1]REMOVAL FEES'!$E$1:$E$13,0),3),INDEX('[1]REMOVAL FEES'!$E$1:$G$22,MATCH(CONCATENATE("Large bulky, extra-large and special handling items",IF($P135&gt;=11,11,$P135)),'[1]REMOVAL FEES'!$E$1:$E$13,0),3))))*$AA135,FALSE)</f>
        <v>0</v>
      </c>
      <c r="AJ135" s="107">
        <f t="shared" si="16"/>
        <v>0</v>
      </c>
      <c r="AK135" s="107">
        <v>0</v>
      </c>
      <c r="AL135" s="107">
        <v>0</v>
      </c>
      <c r="AM135" s="107">
        <f t="shared" si="17"/>
        <v>0</v>
      </c>
      <c r="AN135" s="116">
        <f>(-IF($V135="Yes", IF($X135="Yes", VLOOKUP($W135, '[1]Storage Fees'!A:M, 13, FALSE), VLOOKUP($W135, '[1]Storage Fees'!A:M, 10, FALSE)), IF($X135="Yes", VLOOKUP($W135, '[1]Storage Fees'!A:M, 7, FALSE), VLOOKUP($W135, '[1]Storage Fees'!A:M, 4, FALSE))) * U135)*1.5</f>
        <v>0</v>
      </c>
    </row>
    <row r="136" spans="1:40" x14ac:dyDescent="0.25">
      <c r="A136" s="99">
        <v>64</v>
      </c>
      <c r="B136" s="99"/>
      <c r="C136" s="99" t="s">
        <v>13655</v>
      </c>
      <c r="D136" s="99"/>
      <c r="E136" s="99" t="s">
        <v>1520</v>
      </c>
      <c r="F136" s="99" t="s">
        <v>1543</v>
      </c>
      <c r="G136" s="99" t="s">
        <v>13695</v>
      </c>
      <c r="H136" s="99">
        <v>0</v>
      </c>
      <c r="I136" s="99">
        <v>0</v>
      </c>
      <c r="J136" s="99">
        <v>0</v>
      </c>
      <c r="K136" s="101" t="str">
        <f t="shared" si="5"/>
        <v>0x0x0</v>
      </c>
      <c r="L136" s="102">
        <f t="shared" si="6"/>
        <v>0</v>
      </c>
      <c r="M136" s="113">
        <f t="shared" si="7"/>
        <v>0</v>
      </c>
      <c r="N136" s="113">
        <f t="shared" si="8"/>
        <v>0</v>
      </c>
      <c r="O136" s="99">
        <v>0</v>
      </c>
      <c r="P136" s="113">
        <f t="shared" si="9"/>
        <v>0</v>
      </c>
      <c r="Q136" s="112">
        <f t="shared" si="10"/>
        <v>0</v>
      </c>
      <c r="R136" s="112" t="str">
        <f t="shared" si="11"/>
        <v>Standard-size</v>
      </c>
      <c r="S136" s="99" t="str">
        <f t="shared" si="12"/>
        <v>Small standard-size</v>
      </c>
      <c r="T136" s="116" t="s">
        <v>13696</v>
      </c>
      <c r="U136" s="116">
        <f t="shared" si="13"/>
        <v>0</v>
      </c>
      <c r="V136" s="116" t="s">
        <v>13583</v>
      </c>
      <c r="W136" s="116" t="s">
        <v>13690</v>
      </c>
      <c r="X136" s="99" t="s">
        <v>13583</v>
      </c>
      <c r="Y136" s="99">
        <v>1</v>
      </c>
      <c r="Z136" s="99">
        <v>1</v>
      </c>
      <c r="AA136" s="99">
        <v>1</v>
      </c>
      <c r="AB136" s="99"/>
      <c r="AC136" s="99"/>
      <c r="AD136" s="107">
        <v>0</v>
      </c>
      <c r="AE136" s="113">
        <f t="shared" si="14"/>
        <v>0</v>
      </c>
      <c r="AF136" s="116">
        <f>-IFERROR(IFERROR(VLOOKUP(ROUNDUP($Q136,0),'FBA FEES'!$L$2:$Q$203,MATCH($S136,'FBA FEES'!$L$2:$Q$2,0),FALSE),VLOOKUP(ROUNDUP($Q136,0),'FBA FEES'!$C$6:$F$123,MATCH($S136,'FBA FEES'!$C$6:$F$6,0),FALSE)),0)</f>
        <v>0</v>
      </c>
      <c r="AG136" s="116">
        <v>-10</v>
      </c>
      <c r="AH136" s="113">
        <f t="shared" si="15"/>
        <v>0</v>
      </c>
      <c r="AI136" s="116">
        <f>-IFERROR(IF($Y136=1,INDEX('[1]REMOVAL FEES'!$A$1:$C$22,MATCH(CONCATENATE("Standard Size",$P136),'[1]REMOVAL FEES'!$A$1:$A$22,0),3),IF($Y136=2,IF($P136&gt;10,(($P136-10)*1.06)+INDEX('[1]REMOVAL FEES'!$E$1:$G$22,MATCH(CONCATENATE("Large bulky, extra-large and special handling items",IF($P136&gt;=11,11,$P136)),'[1]REMOVAL FEES'!$E$1:$E$13,0),3),INDEX('[1]REMOVAL FEES'!$E$1:$G$22,MATCH(CONCATENATE("Large bulky, extra-large and special handling items",IF($P136&gt;=11,11,$P136)),'[1]REMOVAL FEES'!$E$1:$E$13,0),3))))*$AA136,FALSE)</f>
        <v>0</v>
      </c>
      <c r="AJ136" s="107">
        <f t="shared" si="16"/>
        <v>0</v>
      </c>
      <c r="AK136" s="107">
        <v>0</v>
      </c>
      <c r="AL136" s="107">
        <v>0</v>
      </c>
      <c r="AM136" s="107">
        <f t="shared" si="17"/>
        <v>0</v>
      </c>
      <c r="AN136" s="116">
        <f>(-IF($V136="Yes", IF($X136="Yes", VLOOKUP($W136, '[1]Storage Fees'!A:M, 13, FALSE), VLOOKUP($W136, '[1]Storage Fees'!A:M, 10, FALSE)), IF($X136="Yes", VLOOKUP($W136, '[1]Storage Fees'!A:M, 7, FALSE), VLOOKUP($W136, '[1]Storage Fees'!A:M, 4, FALSE))) * U136)*1.5</f>
        <v>0</v>
      </c>
    </row>
    <row r="137" spans="1:40" x14ac:dyDescent="0.25">
      <c r="A137" s="99">
        <v>65</v>
      </c>
      <c r="B137" s="99"/>
      <c r="C137" s="99" t="s">
        <v>13655</v>
      </c>
      <c r="D137" s="99"/>
      <c r="E137" s="99" t="s">
        <v>1520</v>
      </c>
      <c r="F137" s="99" t="s">
        <v>1545</v>
      </c>
      <c r="G137" s="99" t="s">
        <v>13695</v>
      </c>
      <c r="H137" s="99">
        <v>0</v>
      </c>
      <c r="I137" s="99">
        <v>0</v>
      </c>
      <c r="J137" s="99">
        <v>0</v>
      </c>
      <c r="K137" s="101" t="str">
        <f t="shared" ref="K137:K200" si="18">H137&amp;"x"&amp;I137&amp;"x"&amp;J137</f>
        <v>0x0x0</v>
      </c>
      <c r="L137" s="102">
        <f t="shared" ref="L137:L200" si="19">(H137*I137*J137)/139</f>
        <v>0</v>
      </c>
      <c r="M137" s="113">
        <f t="shared" ref="M137:M200" si="20">(H137*I137*J137)/139</f>
        <v>0</v>
      </c>
      <c r="N137" s="113">
        <f t="shared" ref="N137:N200" si="21">IF(AND(M137&gt;0,M137&lt;=0.25),0.25,IF(AND(M137&gt;0.25,M137&lt;=0.5),0.5,IF(AND(M137&gt;0.5,M137&lt;=0.75),0.75,ROUNDUP(M137,0))))</f>
        <v>0</v>
      </c>
      <c r="O137" s="99">
        <v>0</v>
      </c>
      <c r="P137" s="113">
        <f t="shared" ref="P137:P200" si="22">ROUNDUP(MAX(L137,O137),0)</f>
        <v>0</v>
      </c>
      <c r="Q137" s="112">
        <f t="shared" ref="Q137:Q200" si="23">P137*16</f>
        <v>0</v>
      </c>
      <c r="R137" s="112" t="str">
        <f t="shared" ref="R137:R200" si="24">IF(RIGHT(S137,13)="standard-size","Standard-size","Oversize")</f>
        <v>Standard-size</v>
      </c>
      <c r="S137" s="99" t="str">
        <f t="shared" ref="S137:S200" si="25">IF(AND($P137&lt;=$J$50,$H137&lt;=$G$50,$I137&lt;=$H$50,$J137&lt;=$I$50),$A$50,IF(AND($P137&lt;=$J$51,$H137&lt;=$G$51,$I137&lt;=$H$51,$J137&lt;=$I$51),$A$51,IF(AND($H137&lt;=$G$52,$I137&lt;=$H$52,$J137&lt;=$I$52,$P137&lt;=$J$52),$A$52,IF(AND($P137&lt;=$J$53,OR(H$8&gt;$G$53,$I137&gt;$H$53,$J137&gt;$I$53)),$A$53,IF(AND($P137&gt;$J$53,$P137&lt;=$J$54),$A$54,IF(AND($P137&gt;$J$54,$P137&lt;=$J$55),$A$55,$A$56))))))</f>
        <v>Small standard-size</v>
      </c>
      <c r="T137" s="116" t="s">
        <v>13696</v>
      </c>
      <c r="U137" s="116">
        <f t="shared" ref="U137:U200" si="26">(H137*I137*J137)/1728</f>
        <v>0</v>
      </c>
      <c r="V137" s="116" t="s">
        <v>13583</v>
      </c>
      <c r="W137" s="116" t="s">
        <v>13690</v>
      </c>
      <c r="X137" s="99" t="s">
        <v>13583</v>
      </c>
      <c r="Y137" s="99">
        <v>1</v>
      </c>
      <c r="Z137" s="99">
        <v>1</v>
      </c>
      <c r="AA137" s="99">
        <v>1</v>
      </c>
      <c r="AB137" s="99"/>
      <c r="AC137" s="99"/>
      <c r="AD137" s="107">
        <v>0</v>
      </c>
      <c r="AE137" s="113">
        <f t="shared" ref="AE137:AE200" si="27">-AD137*0.15</f>
        <v>0</v>
      </c>
      <c r="AF137" s="116">
        <f>-IFERROR(IFERROR(VLOOKUP(ROUNDUP($Q137,0),'FBA FEES'!$L$2:$Q$203,MATCH($S137,'FBA FEES'!$L$2:$Q$2,0),FALSE),VLOOKUP(ROUNDUP($Q137,0),'FBA FEES'!$C$6:$F$123,MATCH($S137,'FBA FEES'!$C$6:$F$6,0),FALSE)),0)</f>
        <v>0</v>
      </c>
      <c r="AG137" s="116">
        <v>-10</v>
      </c>
      <c r="AH137" s="113">
        <f t="shared" ref="AH137:AH200" si="28">AE137+AF137</f>
        <v>0</v>
      </c>
      <c r="AI137" s="116">
        <f>-IFERROR(IF($Y137=1,INDEX('[1]REMOVAL FEES'!$A$1:$C$22,MATCH(CONCATENATE("Standard Size",$P137),'[1]REMOVAL FEES'!$A$1:$A$22,0),3),IF($Y137=2,IF($P137&gt;10,(($P137-10)*1.06)+INDEX('[1]REMOVAL FEES'!$E$1:$G$22,MATCH(CONCATENATE("Large bulky, extra-large and special handling items",IF($P137&gt;=11,11,$P137)),'[1]REMOVAL FEES'!$E$1:$E$13,0),3),INDEX('[1]REMOVAL FEES'!$E$1:$G$22,MATCH(CONCATENATE("Large bulky, extra-large and special handling items",IF($P137&gt;=11,11,$P137)),'[1]REMOVAL FEES'!$E$1:$E$13,0),3))))*$AA137,FALSE)</f>
        <v>0</v>
      </c>
      <c r="AJ137" s="107">
        <f t="shared" ref="AJ137:AJ200" si="29">AH137+AI137</f>
        <v>0</v>
      </c>
      <c r="AK137" s="107">
        <v>0</v>
      </c>
      <c r="AL137" s="107">
        <v>0</v>
      </c>
      <c r="AM137" s="107">
        <f t="shared" ref="AM137:AM200" si="30">AK137+AL137</f>
        <v>0</v>
      </c>
      <c r="AN137" s="116">
        <f>(-IF($V137="Yes", IF($X137="Yes", VLOOKUP($W137, '[1]Storage Fees'!A:M, 13, FALSE), VLOOKUP($W137, '[1]Storage Fees'!A:M, 10, FALSE)), IF($X137="Yes", VLOOKUP($W137, '[1]Storage Fees'!A:M, 7, FALSE), VLOOKUP($W137, '[1]Storage Fees'!A:M, 4, FALSE))) * U137)*1.5</f>
        <v>0</v>
      </c>
    </row>
    <row r="138" spans="1:40" x14ac:dyDescent="0.25">
      <c r="A138" s="99">
        <v>66</v>
      </c>
      <c r="B138" s="99"/>
      <c r="C138" s="99" t="s">
        <v>13655</v>
      </c>
      <c r="D138" s="99"/>
      <c r="E138" s="99" t="s">
        <v>1520</v>
      </c>
      <c r="F138" s="99" t="s">
        <v>1547</v>
      </c>
      <c r="G138" s="99" t="s">
        <v>13695</v>
      </c>
      <c r="H138" s="99">
        <v>0</v>
      </c>
      <c r="I138" s="99">
        <v>0</v>
      </c>
      <c r="J138" s="99">
        <v>0</v>
      </c>
      <c r="K138" s="101" t="str">
        <f t="shared" si="18"/>
        <v>0x0x0</v>
      </c>
      <c r="L138" s="102">
        <f t="shared" si="19"/>
        <v>0</v>
      </c>
      <c r="M138" s="113">
        <f t="shared" si="20"/>
        <v>0</v>
      </c>
      <c r="N138" s="113">
        <f t="shared" si="21"/>
        <v>0</v>
      </c>
      <c r="O138" s="99">
        <v>0</v>
      </c>
      <c r="P138" s="113">
        <f t="shared" si="22"/>
        <v>0</v>
      </c>
      <c r="Q138" s="112">
        <f t="shared" si="23"/>
        <v>0</v>
      </c>
      <c r="R138" s="112" t="str">
        <f t="shared" si="24"/>
        <v>Standard-size</v>
      </c>
      <c r="S138" s="99" t="str">
        <f t="shared" si="25"/>
        <v>Small standard-size</v>
      </c>
      <c r="T138" s="116" t="s">
        <v>13696</v>
      </c>
      <c r="U138" s="116">
        <f t="shared" si="26"/>
        <v>0</v>
      </c>
      <c r="V138" s="116" t="s">
        <v>13583</v>
      </c>
      <c r="W138" s="116" t="s">
        <v>13690</v>
      </c>
      <c r="X138" s="99" t="s">
        <v>13583</v>
      </c>
      <c r="Y138" s="99">
        <v>1</v>
      </c>
      <c r="Z138" s="99">
        <v>1</v>
      </c>
      <c r="AA138" s="99">
        <v>1</v>
      </c>
      <c r="AB138" s="99"/>
      <c r="AC138" s="99"/>
      <c r="AD138" s="107">
        <v>0</v>
      </c>
      <c r="AE138" s="113">
        <f t="shared" si="27"/>
        <v>0</v>
      </c>
      <c r="AF138" s="116">
        <f>-IFERROR(IFERROR(VLOOKUP(ROUNDUP($Q138,0),'FBA FEES'!$L$2:$Q$203,MATCH($S138,'FBA FEES'!$L$2:$Q$2,0),FALSE),VLOOKUP(ROUNDUP($Q138,0),'FBA FEES'!$C$6:$F$123,MATCH($S138,'FBA FEES'!$C$6:$F$6,0),FALSE)),0)</f>
        <v>0</v>
      </c>
      <c r="AG138" s="116">
        <v>-10</v>
      </c>
      <c r="AH138" s="113">
        <f t="shared" si="28"/>
        <v>0</v>
      </c>
      <c r="AI138" s="116">
        <f>-IFERROR(IF($Y138=1,INDEX('[1]REMOVAL FEES'!$A$1:$C$22,MATCH(CONCATENATE("Standard Size",$P138),'[1]REMOVAL FEES'!$A$1:$A$22,0),3),IF($Y138=2,IF($P138&gt;10,(($P138-10)*1.06)+INDEX('[1]REMOVAL FEES'!$E$1:$G$22,MATCH(CONCATENATE("Large bulky, extra-large and special handling items",IF($P138&gt;=11,11,$P138)),'[1]REMOVAL FEES'!$E$1:$E$13,0),3),INDEX('[1]REMOVAL FEES'!$E$1:$G$22,MATCH(CONCATENATE("Large bulky, extra-large and special handling items",IF($P138&gt;=11,11,$P138)),'[1]REMOVAL FEES'!$E$1:$E$13,0),3))))*$AA138,FALSE)</f>
        <v>0</v>
      </c>
      <c r="AJ138" s="107">
        <f t="shared" si="29"/>
        <v>0</v>
      </c>
      <c r="AK138" s="107">
        <v>0</v>
      </c>
      <c r="AL138" s="107">
        <v>0</v>
      </c>
      <c r="AM138" s="107">
        <f t="shared" si="30"/>
        <v>0</v>
      </c>
      <c r="AN138" s="116">
        <f>(-IF($V138="Yes", IF($X138="Yes", VLOOKUP($W138, '[1]Storage Fees'!A:M, 13, FALSE), VLOOKUP($W138, '[1]Storage Fees'!A:M, 10, FALSE)), IF($X138="Yes", VLOOKUP($W138, '[1]Storage Fees'!A:M, 7, FALSE), VLOOKUP($W138, '[1]Storage Fees'!A:M, 4, FALSE))) * U138)*1.5</f>
        <v>0</v>
      </c>
    </row>
    <row r="139" spans="1:40" x14ac:dyDescent="0.25">
      <c r="A139" s="99">
        <v>67</v>
      </c>
      <c r="B139" s="99"/>
      <c r="C139" s="99" t="s">
        <v>13655</v>
      </c>
      <c r="D139" s="99"/>
      <c r="E139" s="99" t="s">
        <v>1520</v>
      </c>
      <c r="F139" s="99" t="s">
        <v>1549</v>
      </c>
      <c r="G139" s="99" t="s">
        <v>13695</v>
      </c>
      <c r="H139" s="99">
        <v>0</v>
      </c>
      <c r="I139" s="99">
        <v>0</v>
      </c>
      <c r="J139" s="99">
        <v>0</v>
      </c>
      <c r="K139" s="101" t="str">
        <f t="shared" si="18"/>
        <v>0x0x0</v>
      </c>
      <c r="L139" s="102">
        <f t="shared" si="19"/>
        <v>0</v>
      </c>
      <c r="M139" s="113">
        <f t="shared" si="20"/>
        <v>0</v>
      </c>
      <c r="N139" s="113">
        <f t="shared" si="21"/>
        <v>0</v>
      </c>
      <c r="O139" s="99">
        <v>0</v>
      </c>
      <c r="P139" s="113">
        <f t="shared" si="22"/>
        <v>0</v>
      </c>
      <c r="Q139" s="112">
        <f t="shared" si="23"/>
        <v>0</v>
      </c>
      <c r="R139" s="112" t="str">
        <f t="shared" si="24"/>
        <v>Standard-size</v>
      </c>
      <c r="S139" s="99" t="str">
        <f t="shared" si="25"/>
        <v>Small standard-size</v>
      </c>
      <c r="T139" s="116" t="s">
        <v>13696</v>
      </c>
      <c r="U139" s="116">
        <f t="shared" si="26"/>
        <v>0</v>
      </c>
      <c r="V139" s="116" t="s">
        <v>13583</v>
      </c>
      <c r="W139" s="116" t="s">
        <v>13690</v>
      </c>
      <c r="X139" s="99" t="s">
        <v>13583</v>
      </c>
      <c r="Y139" s="99">
        <v>1</v>
      </c>
      <c r="Z139" s="99">
        <v>1</v>
      </c>
      <c r="AA139" s="99">
        <v>1</v>
      </c>
      <c r="AB139" s="99"/>
      <c r="AC139" s="99"/>
      <c r="AD139" s="107">
        <v>0</v>
      </c>
      <c r="AE139" s="113">
        <f t="shared" si="27"/>
        <v>0</v>
      </c>
      <c r="AF139" s="116">
        <f>-IFERROR(IFERROR(VLOOKUP(ROUNDUP($Q139,0),'FBA FEES'!$L$2:$Q$203,MATCH($S139,'FBA FEES'!$L$2:$Q$2,0),FALSE),VLOOKUP(ROUNDUP($Q139,0),'FBA FEES'!$C$6:$F$123,MATCH($S139,'FBA FEES'!$C$6:$F$6,0),FALSE)),0)</f>
        <v>0</v>
      </c>
      <c r="AG139" s="116">
        <v>-10</v>
      </c>
      <c r="AH139" s="113">
        <f t="shared" si="28"/>
        <v>0</v>
      </c>
      <c r="AI139" s="116">
        <f>-IFERROR(IF($Y139=1,INDEX('[1]REMOVAL FEES'!$A$1:$C$22,MATCH(CONCATENATE("Standard Size",$P139),'[1]REMOVAL FEES'!$A$1:$A$22,0),3),IF($Y139=2,IF($P139&gt;10,(($P139-10)*1.06)+INDEX('[1]REMOVAL FEES'!$E$1:$G$22,MATCH(CONCATENATE("Large bulky, extra-large and special handling items",IF($P139&gt;=11,11,$P139)),'[1]REMOVAL FEES'!$E$1:$E$13,0),3),INDEX('[1]REMOVAL FEES'!$E$1:$G$22,MATCH(CONCATENATE("Large bulky, extra-large and special handling items",IF($P139&gt;=11,11,$P139)),'[1]REMOVAL FEES'!$E$1:$E$13,0),3))))*$AA139,FALSE)</f>
        <v>0</v>
      </c>
      <c r="AJ139" s="107">
        <f t="shared" si="29"/>
        <v>0</v>
      </c>
      <c r="AK139" s="107">
        <v>0</v>
      </c>
      <c r="AL139" s="107">
        <v>0</v>
      </c>
      <c r="AM139" s="107">
        <f t="shared" si="30"/>
        <v>0</v>
      </c>
      <c r="AN139" s="116">
        <f>(-IF($V139="Yes", IF($X139="Yes", VLOOKUP($W139, '[1]Storage Fees'!A:M, 13, FALSE), VLOOKUP($W139, '[1]Storage Fees'!A:M, 10, FALSE)), IF($X139="Yes", VLOOKUP($W139, '[1]Storage Fees'!A:M, 7, FALSE), VLOOKUP($W139, '[1]Storage Fees'!A:M, 4, FALSE))) * U139)*1.5</f>
        <v>0</v>
      </c>
    </row>
    <row r="140" spans="1:40" x14ac:dyDescent="0.25">
      <c r="A140" s="99">
        <v>68</v>
      </c>
      <c r="B140" s="99"/>
      <c r="C140" s="99" t="s">
        <v>13655</v>
      </c>
      <c r="D140" s="99"/>
      <c r="E140" s="99" t="s">
        <v>1520</v>
      </c>
      <c r="F140" s="99" t="s">
        <v>1551</v>
      </c>
      <c r="G140" s="99" t="s">
        <v>13695</v>
      </c>
      <c r="H140" s="99">
        <v>0</v>
      </c>
      <c r="I140" s="99">
        <v>0</v>
      </c>
      <c r="J140" s="99">
        <v>0</v>
      </c>
      <c r="K140" s="101" t="str">
        <f t="shared" si="18"/>
        <v>0x0x0</v>
      </c>
      <c r="L140" s="102">
        <f t="shared" si="19"/>
        <v>0</v>
      </c>
      <c r="M140" s="113">
        <f t="shared" si="20"/>
        <v>0</v>
      </c>
      <c r="N140" s="113">
        <f t="shared" si="21"/>
        <v>0</v>
      </c>
      <c r="O140" s="99">
        <v>0</v>
      </c>
      <c r="P140" s="113">
        <f t="shared" si="22"/>
        <v>0</v>
      </c>
      <c r="Q140" s="112">
        <f t="shared" si="23"/>
        <v>0</v>
      </c>
      <c r="R140" s="112" t="str">
        <f t="shared" si="24"/>
        <v>Standard-size</v>
      </c>
      <c r="S140" s="99" t="str">
        <f t="shared" si="25"/>
        <v>Small standard-size</v>
      </c>
      <c r="T140" s="116" t="s">
        <v>13696</v>
      </c>
      <c r="U140" s="116">
        <f t="shared" si="26"/>
        <v>0</v>
      </c>
      <c r="V140" s="116" t="s">
        <v>13583</v>
      </c>
      <c r="W140" s="116" t="s">
        <v>13690</v>
      </c>
      <c r="X140" s="99" t="s">
        <v>13583</v>
      </c>
      <c r="Y140" s="99">
        <v>1</v>
      </c>
      <c r="Z140" s="99">
        <v>1</v>
      </c>
      <c r="AA140" s="99">
        <v>1</v>
      </c>
      <c r="AB140" s="99"/>
      <c r="AC140" s="99"/>
      <c r="AD140" s="107">
        <v>0</v>
      </c>
      <c r="AE140" s="113">
        <f t="shared" si="27"/>
        <v>0</v>
      </c>
      <c r="AF140" s="116">
        <f>-IFERROR(IFERROR(VLOOKUP(ROUNDUP($Q140,0),'FBA FEES'!$L$2:$Q$203,MATCH($S140,'FBA FEES'!$L$2:$Q$2,0),FALSE),VLOOKUP(ROUNDUP($Q140,0),'FBA FEES'!$C$6:$F$123,MATCH($S140,'FBA FEES'!$C$6:$F$6,0),FALSE)),0)</f>
        <v>0</v>
      </c>
      <c r="AG140" s="116">
        <v>-10</v>
      </c>
      <c r="AH140" s="113">
        <f t="shared" si="28"/>
        <v>0</v>
      </c>
      <c r="AI140" s="116">
        <f>-IFERROR(IF($Y140=1,INDEX('[1]REMOVAL FEES'!$A$1:$C$22,MATCH(CONCATENATE("Standard Size",$P140),'[1]REMOVAL FEES'!$A$1:$A$22,0),3),IF($Y140=2,IF($P140&gt;10,(($P140-10)*1.06)+INDEX('[1]REMOVAL FEES'!$E$1:$G$22,MATCH(CONCATENATE("Large bulky, extra-large and special handling items",IF($P140&gt;=11,11,$P140)),'[1]REMOVAL FEES'!$E$1:$E$13,0),3),INDEX('[1]REMOVAL FEES'!$E$1:$G$22,MATCH(CONCATENATE("Large bulky, extra-large and special handling items",IF($P140&gt;=11,11,$P140)),'[1]REMOVAL FEES'!$E$1:$E$13,0),3))))*$AA140,FALSE)</f>
        <v>0</v>
      </c>
      <c r="AJ140" s="107">
        <f t="shared" si="29"/>
        <v>0</v>
      </c>
      <c r="AK140" s="107">
        <v>0</v>
      </c>
      <c r="AL140" s="107">
        <v>0</v>
      </c>
      <c r="AM140" s="107">
        <f t="shared" si="30"/>
        <v>0</v>
      </c>
      <c r="AN140" s="116">
        <f>(-IF($V140="Yes", IF($X140="Yes", VLOOKUP($W140, '[1]Storage Fees'!A:M, 13, FALSE), VLOOKUP($W140, '[1]Storage Fees'!A:M, 10, FALSE)), IF($X140="Yes", VLOOKUP($W140, '[1]Storage Fees'!A:M, 7, FALSE), VLOOKUP($W140, '[1]Storage Fees'!A:M, 4, FALSE))) * U140)*1.5</f>
        <v>0</v>
      </c>
    </row>
    <row r="141" spans="1:40" x14ac:dyDescent="0.25">
      <c r="A141" s="99">
        <v>69</v>
      </c>
      <c r="B141" s="99"/>
      <c r="C141" s="99" t="s">
        <v>13655</v>
      </c>
      <c r="D141" s="99"/>
      <c r="E141" s="99" t="s">
        <v>1520</v>
      </c>
      <c r="F141" s="99" t="s">
        <v>1553</v>
      </c>
      <c r="G141" s="99" t="s">
        <v>13695</v>
      </c>
      <c r="H141" s="99">
        <v>0</v>
      </c>
      <c r="I141" s="99">
        <v>0</v>
      </c>
      <c r="J141" s="99">
        <v>0</v>
      </c>
      <c r="K141" s="101" t="str">
        <f t="shared" si="18"/>
        <v>0x0x0</v>
      </c>
      <c r="L141" s="102">
        <f t="shared" si="19"/>
        <v>0</v>
      </c>
      <c r="M141" s="113">
        <f t="shared" si="20"/>
        <v>0</v>
      </c>
      <c r="N141" s="113">
        <f t="shared" si="21"/>
        <v>0</v>
      </c>
      <c r="O141" s="99">
        <v>0</v>
      </c>
      <c r="P141" s="113">
        <f t="shared" si="22"/>
        <v>0</v>
      </c>
      <c r="Q141" s="112">
        <f t="shared" si="23"/>
        <v>0</v>
      </c>
      <c r="R141" s="112" t="str">
        <f t="shared" si="24"/>
        <v>Standard-size</v>
      </c>
      <c r="S141" s="99" t="str">
        <f t="shared" si="25"/>
        <v>Small standard-size</v>
      </c>
      <c r="T141" s="116" t="s">
        <v>13696</v>
      </c>
      <c r="U141" s="116">
        <f t="shared" si="26"/>
        <v>0</v>
      </c>
      <c r="V141" s="116" t="s">
        <v>13583</v>
      </c>
      <c r="W141" s="116" t="s">
        <v>13690</v>
      </c>
      <c r="X141" s="99" t="s">
        <v>13583</v>
      </c>
      <c r="Y141" s="99">
        <v>1</v>
      </c>
      <c r="Z141" s="99">
        <v>1</v>
      </c>
      <c r="AA141" s="99">
        <v>1</v>
      </c>
      <c r="AB141" s="99"/>
      <c r="AC141" s="99"/>
      <c r="AD141" s="107">
        <v>0</v>
      </c>
      <c r="AE141" s="113">
        <f t="shared" si="27"/>
        <v>0</v>
      </c>
      <c r="AF141" s="116">
        <f>-IFERROR(IFERROR(VLOOKUP(ROUNDUP($Q141,0),'FBA FEES'!$L$2:$Q$203,MATCH($S141,'FBA FEES'!$L$2:$Q$2,0),FALSE),VLOOKUP(ROUNDUP($Q141,0),'FBA FEES'!$C$6:$F$123,MATCH($S141,'FBA FEES'!$C$6:$F$6,0),FALSE)),0)</f>
        <v>0</v>
      </c>
      <c r="AG141" s="116">
        <v>-10</v>
      </c>
      <c r="AH141" s="113">
        <f t="shared" si="28"/>
        <v>0</v>
      </c>
      <c r="AI141" s="116">
        <f>-IFERROR(IF($Y141=1,INDEX('[1]REMOVAL FEES'!$A$1:$C$22,MATCH(CONCATENATE("Standard Size",$P141),'[1]REMOVAL FEES'!$A$1:$A$22,0),3),IF($Y141=2,IF($P141&gt;10,(($P141-10)*1.06)+INDEX('[1]REMOVAL FEES'!$E$1:$G$22,MATCH(CONCATENATE("Large bulky, extra-large and special handling items",IF($P141&gt;=11,11,$P141)),'[1]REMOVAL FEES'!$E$1:$E$13,0),3),INDEX('[1]REMOVAL FEES'!$E$1:$G$22,MATCH(CONCATENATE("Large bulky, extra-large and special handling items",IF($P141&gt;=11,11,$P141)),'[1]REMOVAL FEES'!$E$1:$E$13,0),3))))*$AA141,FALSE)</f>
        <v>0</v>
      </c>
      <c r="AJ141" s="107">
        <f t="shared" si="29"/>
        <v>0</v>
      </c>
      <c r="AK141" s="107">
        <v>0</v>
      </c>
      <c r="AL141" s="107">
        <v>0</v>
      </c>
      <c r="AM141" s="107">
        <f t="shared" si="30"/>
        <v>0</v>
      </c>
      <c r="AN141" s="116">
        <f>(-IF($V141="Yes", IF($X141="Yes", VLOOKUP($W141, '[1]Storage Fees'!A:M, 13, FALSE), VLOOKUP($W141, '[1]Storage Fees'!A:M, 10, FALSE)), IF($X141="Yes", VLOOKUP($W141, '[1]Storage Fees'!A:M, 7, FALSE), VLOOKUP($W141, '[1]Storage Fees'!A:M, 4, FALSE))) * U141)*1.5</f>
        <v>0</v>
      </c>
    </row>
    <row r="142" spans="1:40" x14ac:dyDescent="0.25">
      <c r="A142" s="99">
        <v>70</v>
      </c>
      <c r="B142" s="99"/>
      <c r="C142" s="99" t="s">
        <v>13655</v>
      </c>
      <c r="D142" s="99"/>
      <c r="E142" s="99" t="s">
        <v>1520</v>
      </c>
      <c r="F142" s="99" t="s">
        <v>1555</v>
      </c>
      <c r="G142" s="99" t="s">
        <v>13695</v>
      </c>
      <c r="H142" s="99">
        <v>0</v>
      </c>
      <c r="I142" s="99">
        <v>0</v>
      </c>
      <c r="J142" s="99">
        <v>0</v>
      </c>
      <c r="K142" s="101" t="str">
        <f t="shared" si="18"/>
        <v>0x0x0</v>
      </c>
      <c r="L142" s="102">
        <f t="shared" si="19"/>
        <v>0</v>
      </c>
      <c r="M142" s="113">
        <f t="shared" si="20"/>
        <v>0</v>
      </c>
      <c r="N142" s="113">
        <f t="shared" si="21"/>
        <v>0</v>
      </c>
      <c r="O142" s="99">
        <v>0</v>
      </c>
      <c r="P142" s="113">
        <f t="shared" si="22"/>
        <v>0</v>
      </c>
      <c r="Q142" s="112">
        <f t="shared" si="23"/>
        <v>0</v>
      </c>
      <c r="R142" s="112" t="str">
        <f t="shared" si="24"/>
        <v>Standard-size</v>
      </c>
      <c r="S142" s="99" t="str">
        <f t="shared" si="25"/>
        <v>Small standard-size</v>
      </c>
      <c r="T142" s="116" t="s">
        <v>13696</v>
      </c>
      <c r="U142" s="116">
        <f t="shared" si="26"/>
        <v>0</v>
      </c>
      <c r="V142" s="116" t="s">
        <v>13583</v>
      </c>
      <c r="W142" s="116" t="s">
        <v>13690</v>
      </c>
      <c r="X142" s="99" t="s">
        <v>13583</v>
      </c>
      <c r="Y142" s="99">
        <v>1</v>
      </c>
      <c r="Z142" s="99">
        <v>1</v>
      </c>
      <c r="AA142" s="99">
        <v>1</v>
      </c>
      <c r="AB142" s="99"/>
      <c r="AC142" s="99"/>
      <c r="AD142" s="107">
        <v>0</v>
      </c>
      <c r="AE142" s="113">
        <f t="shared" si="27"/>
        <v>0</v>
      </c>
      <c r="AF142" s="116">
        <f>-IFERROR(IFERROR(VLOOKUP(ROUNDUP($Q142,0),'FBA FEES'!$L$2:$Q$203,MATCH($S142,'FBA FEES'!$L$2:$Q$2,0),FALSE),VLOOKUP(ROUNDUP($Q142,0),'FBA FEES'!$C$6:$F$123,MATCH($S142,'FBA FEES'!$C$6:$F$6,0),FALSE)),0)</f>
        <v>0</v>
      </c>
      <c r="AG142" s="116">
        <v>-10</v>
      </c>
      <c r="AH142" s="113">
        <f t="shared" si="28"/>
        <v>0</v>
      </c>
      <c r="AI142" s="116">
        <f>-IFERROR(IF($Y142=1,INDEX('[1]REMOVAL FEES'!$A$1:$C$22,MATCH(CONCATENATE("Standard Size",$P142),'[1]REMOVAL FEES'!$A$1:$A$22,0),3),IF($Y142=2,IF($P142&gt;10,(($P142-10)*1.06)+INDEX('[1]REMOVAL FEES'!$E$1:$G$22,MATCH(CONCATENATE("Large bulky, extra-large and special handling items",IF($P142&gt;=11,11,$P142)),'[1]REMOVAL FEES'!$E$1:$E$13,0),3),INDEX('[1]REMOVAL FEES'!$E$1:$G$22,MATCH(CONCATENATE("Large bulky, extra-large and special handling items",IF($P142&gt;=11,11,$P142)),'[1]REMOVAL FEES'!$E$1:$E$13,0),3))))*$AA142,FALSE)</f>
        <v>0</v>
      </c>
      <c r="AJ142" s="107">
        <f t="shared" si="29"/>
        <v>0</v>
      </c>
      <c r="AK142" s="107">
        <v>0</v>
      </c>
      <c r="AL142" s="107">
        <v>0</v>
      </c>
      <c r="AM142" s="107">
        <f t="shared" si="30"/>
        <v>0</v>
      </c>
      <c r="AN142" s="116">
        <f>(-IF($V142="Yes", IF($X142="Yes", VLOOKUP($W142, '[1]Storage Fees'!A:M, 13, FALSE), VLOOKUP($W142, '[1]Storage Fees'!A:M, 10, FALSE)), IF($X142="Yes", VLOOKUP($W142, '[1]Storage Fees'!A:M, 7, FALSE), VLOOKUP($W142, '[1]Storage Fees'!A:M, 4, FALSE))) * U142)*1.5</f>
        <v>0</v>
      </c>
    </row>
    <row r="143" spans="1:40" x14ac:dyDescent="0.25">
      <c r="A143" s="99">
        <v>71</v>
      </c>
      <c r="B143" s="99"/>
      <c r="C143" s="99" t="s">
        <v>13655</v>
      </c>
      <c r="D143" s="99"/>
      <c r="E143" s="99" t="s">
        <v>1520</v>
      </c>
      <c r="F143" s="99" t="s">
        <v>1557</v>
      </c>
      <c r="G143" s="99" t="s">
        <v>13695</v>
      </c>
      <c r="H143" s="99">
        <v>0</v>
      </c>
      <c r="I143" s="99">
        <v>0</v>
      </c>
      <c r="J143" s="99">
        <v>0</v>
      </c>
      <c r="K143" s="101" t="str">
        <f t="shared" si="18"/>
        <v>0x0x0</v>
      </c>
      <c r="L143" s="102">
        <f t="shared" si="19"/>
        <v>0</v>
      </c>
      <c r="M143" s="113">
        <f t="shared" si="20"/>
        <v>0</v>
      </c>
      <c r="N143" s="113">
        <f t="shared" si="21"/>
        <v>0</v>
      </c>
      <c r="O143" s="99">
        <v>0</v>
      </c>
      <c r="P143" s="113">
        <f t="shared" si="22"/>
        <v>0</v>
      </c>
      <c r="Q143" s="112">
        <f t="shared" si="23"/>
        <v>0</v>
      </c>
      <c r="R143" s="112" t="str">
        <f t="shared" si="24"/>
        <v>Standard-size</v>
      </c>
      <c r="S143" s="99" t="str">
        <f t="shared" si="25"/>
        <v>Small standard-size</v>
      </c>
      <c r="T143" s="116" t="s">
        <v>13696</v>
      </c>
      <c r="U143" s="116">
        <f t="shared" si="26"/>
        <v>0</v>
      </c>
      <c r="V143" s="116" t="s">
        <v>13583</v>
      </c>
      <c r="W143" s="116" t="s">
        <v>13690</v>
      </c>
      <c r="X143" s="99" t="s">
        <v>13583</v>
      </c>
      <c r="Y143" s="99">
        <v>1</v>
      </c>
      <c r="Z143" s="99">
        <v>1</v>
      </c>
      <c r="AA143" s="99">
        <v>1</v>
      </c>
      <c r="AB143" s="99"/>
      <c r="AC143" s="99"/>
      <c r="AD143" s="107">
        <v>0</v>
      </c>
      <c r="AE143" s="113">
        <f t="shared" si="27"/>
        <v>0</v>
      </c>
      <c r="AF143" s="116">
        <f>-IFERROR(IFERROR(VLOOKUP(ROUNDUP($Q143,0),'FBA FEES'!$L$2:$Q$203,MATCH($S143,'FBA FEES'!$L$2:$Q$2,0),FALSE),VLOOKUP(ROUNDUP($Q143,0),'FBA FEES'!$C$6:$F$123,MATCH($S143,'FBA FEES'!$C$6:$F$6,0),FALSE)),0)</f>
        <v>0</v>
      </c>
      <c r="AG143" s="116">
        <v>-10</v>
      </c>
      <c r="AH143" s="113">
        <f t="shared" si="28"/>
        <v>0</v>
      </c>
      <c r="AI143" s="116">
        <f>-IFERROR(IF($Y143=1,INDEX('[1]REMOVAL FEES'!$A$1:$C$22,MATCH(CONCATENATE("Standard Size",$P143),'[1]REMOVAL FEES'!$A$1:$A$22,0),3),IF($Y143=2,IF($P143&gt;10,(($P143-10)*1.06)+INDEX('[1]REMOVAL FEES'!$E$1:$G$22,MATCH(CONCATENATE("Large bulky, extra-large and special handling items",IF($P143&gt;=11,11,$P143)),'[1]REMOVAL FEES'!$E$1:$E$13,0),3),INDEX('[1]REMOVAL FEES'!$E$1:$G$22,MATCH(CONCATENATE("Large bulky, extra-large and special handling items",IF($P143&gt;=11,11,$P143)),'[1]REMOVAL FEES'!$E$1:$E$13,0),3))))*$AA143,FALSE)</f>
        <v>0</v>
      </c>
      <c r="AJ143" s="107">
        <f t="shared" si="29"/>
        <v>0</v>
      </c>
      <c r="AK143" s="107">
        <v>0</v>
      </c>
      <c r="AL143" s="107">
        <v>0</v>
      </c>
      <c r="AM143" s="107">
        <f t="shared" si="30"/>
        <v>0</v>
      </c>
      <c r="AN143" s="116">
        <f>(-IF($V143="Yes", IF($X143="Yes", VLOOKUP($W143, '[1]Storage Fees'!A:M, 13, FALSE), VLOOKUP($W143, '[1]Storage Fees'!A:M, 10, FALSE)), IF($X143="Yes", VLOOKUP($W143, '[1]Storage Fees'!A:M, 7, FALSE), VLOOKUP($W143, '[1]Storage Fees'!A:M, 4, FALSE))) * U143)*1.5</f>
        <v>0</v>
      </c>
    </row>
    <row r="144" spans="1:40" x14ac:dyDescent="0.25">
      <c r="A144" s="99">
        <v>72</v>
      </c>
      <c r="B144" s="99"/>
      <c r="C144" s="99" t="s">
        <v>13655</v>
      </c>
      <c r="D144" s="99"/>
      <c r="E144" s="99" t="s">
        <v>1520</v>
      </c>
      <c r="F144" s="99" t="s">
        <v>1559</v>
      </c>
      <c r="G144" s="99" t="s">
        <v>13695</v>
      </c>
      <c r="H144" s="99">
        <v>0</v>
      </c>
      <c r="I144" s="99">
        <v>0</v>
      </c>
      <c r="J144" s="99">
        <v>0</v>
      </c>
      <c r="K144" s="101" t="str">
        <f t="shared" si="18"/>
        <v>0x0x0</v>
      </c>
      <c r="L144" s="102">
        <f t="shared" si="19"/>
        <v>0</v>
      </c>
      <c r="M144" s="113">
        <f t="shared" si="20"/>
        <v>0</v>
      </c>
      <c r="N144" s="113">
        <f t="shared" si="21"/>
        <v>0</v>
      </c>
      <c r="O144" s="99">
        <v>0</v>
      </c>
      <c r="P144" s="113">
        <f t="shared" si="22"/>
        <v>0</v>
      </c>
      <c r="Q144" s="112">
        <f t="shared" si="23"/>
        <v>0</v>
      </c>
      <c r="R144" s="112" t="str">
        <f t="shared" si="24"/>
        <v>Standard-size</v>
      </c>
      <c r="S144" s="99" t="str">
        <f t="shared" si="25"/>
        <v>Small standard-size</v>
      </c>
      <c r="T144" s="116" t="s">
        <v>13696</v>
      </c>
      <c r="U144" s="116">
        <f t="shared" si="26"/>
        <v>0</v>
      </c>
      <c r="V144" s="116" t="s">
        <v>13583</v>
      </c>
      <c r="W144" s="116" t="s">
        <v>13690</v>
      </c>
      <c r="X144" s="99" t="s">
        <v>13583</v>
      </c>
      <c r="Y144" s="99">
        <v>1</v>
      </c>
      <c r="Z144" s="99">
        <v>1</v>
      </c>
      <c r="AA144" s="99">
        <v>1</v>
      </c>
      <c r="AB144" s="99"/>
      <c r="AC144" s="99"/>
      <c r="AD144" s="107">
        <v>0</v>
      </c>
      <c r="AE144" s="113">
        <f t="shared" si="27"/>
        <v>0</v>
      </c>
      <c r="AF144" s="116">
        <f>-IFERROR(IFERROR(VLOOKUP(ROUNDUP($Q144,0),'FBA FEES'!$L$2:$Q$203,MATCH($S144,'FBA FEES'!$L$2:$Q$2,0),FALSE),VLOOKUP(ROUNDUP($Q144,0),'FBA FEES'!$C$6:$F$123,MATCH($S144,'FBA FEES'!$C$6:$F$6,0),FALSE)),0)</f>
        <v>0</v>
      </c>
      <c r="AG144" s="116">
        <v>-10</v>
      </c>
      <c r="AH144" s="113">
        <f t="shared" si="28"/>
        <v>0</v>
      </c>
      <c r="AI144" s="116">
        <f>-IFERROR(IF($Y144=1,INDEX('[1]REMOVAL FEES'!$A$1:$C$22,MATCH(CONCATENATE("Standard Size",$P144),'[1]REMOVAL FEES'!$A$1:$A$22,0),3),IF($Y144=2,IF($P144&gt;10,(($P144-10)*1.06)+INDEX('[1]REMOVAL FEES'!$E$1:$G$22,MATCH(CONCATENATE("Large bulky, extra-large and special handling items",IF($P144&gt;=11,11,$P144)),'[1]REMOVAL FEES'!$E$1:$E$13,0),3),INDEX('[1]REMOVAL FEES'!$E$1:$G$22,MATCH(CONCATENATE("Large bulky, extra-large and special handling items",IF($P144&gt;=11,11,$P144)),'[1]REMOVAL FEES'!$E$1:$E$13,0),3))))*$AA144,FALSE)</f>
        <v>0</v>
      </c>
      <c r="AJ144" s="107">
        <f t="shared" si="29"/>
        <v>0</v>
      </c>
      <c r="AK144" s="107">
        <v>0</v>
      </c>
      <c r="AL144" s="107">
        <v>0</v>
      </c>
      <c r="AM144" s="107">
        <f t="shared" si="30"/>
        <v>0</v>
      </c>
      <c r="AN144" s="116">
        <f>(-IF($V144="Yes", IF($X144="Yes", VLOOKUP($W144, '[1]Storage Fees'!A:M, 13, FALSE), VLOOKUP($W144, '[1]Storage Fees'!A:M, 10, FALSE)), IF($X144="Yes", VLOOKUP($W144, '[1]Storage Fees'!A:M, 7, FALSE), VLOOKUP($W144, '[1]Storage Fees'!A:M, 4, FALSE))) * U144)*1.5</f>
        <v>0</v>
      </c>
    </row>
    <row r="145" spans="1:40" x14ac:dyDescent="0.25">
      <c r="A145" s="99">
        <v>73</v>
      </c>
      <c r="B145" s="99"/>
      <c r="C145" s="99" t="s">
        <v>13655</v>
      </c>
      <c r="D145" s="99"/>
      <c r="E145" s="99" t="s">
        <v>1520</v>
      </c>
      <c r="F145" s="99" t="s">
        <v>1561</v>
      </c>
      <c r="G145" s="99" t="s">
        <v>13695</v>
      </c>
      <c r="H145" s="99">
        <v>0</v>
      </c>
      <c r="I145" s="99">
        <v>0</v>
      </c>
      <c r="J145" s="99">
        <v>0</v>
      </c>
      <c r="K145" s="101" t="str">
        <f t="shared" si="18"/>
        <v>0x0x0</v>
      </c>
      <c r="L145" s="102">
        <f t="shared" si="19"/>
        <v>0</v>
      </c>
      <c r="M145" s="113">
        <f t="shared" si="20"/>
        <v>0</v>
      </c>
      <c r="N145" s="113">
        <f t="shared" si="21"/>
        <v>0</v>
      </c>
      <c r="O145" s="99">
        <v>0</v>
      </c>
      <c r="P145" s="113">
        <f t="shared" si="22"/>
        <v>0</v>
      </c>
      <c r="Q145" s="112">
        <f t="shared" si="23"/>
        <v>0</v>
      </c>
      <c r="R145" s="112" t="str">
        <f t="shared" si="24"/>
        <v>Standard-size</v>
      </c>
      <c r="S145" s="99" t="str">
        <f t="shared" si="25"/>
        <v>Small standard-size</v>
      </c>
      <c r="T145" s="116" t="s">
        <v>13696</v>
      </c>
      <c r="U145" s="116">
        <f t="shared" si="26"/>
        <v>0</v>
      </c>
      <c r="V145" s="116" t="s">
        <v>13583</v>
      </c>
      <c r="W145" s="116" t="s">
        <v>13690</v>
      </c>
      <c r="X145" s="99" t="s">
        <v>13583</v>
      </c>
      <c r="Y145" s="99">
        <v>1</v>
      </c>
      <c r="Z145" s="99">
        <v>1</v>
      </c>
      <c r="AA145" s="99">
        <v>1</v>
      </c>
      <c r="AB145" s="99"/>
      <c r="AC145" s="99"/>
      <c r="AD145" s="107">
        <v>0</v>
      </c>
      <c r="AE145" s="113">
        <f t="shared" si="27"/>
        <v>0</v>
      </c>
      <c r="AF145" s="116">
        <f>-IFERROR(IFERROR(VLOOKUP(ROUNDUP($Q145,0),'FBA FEES'!$L$2:$Q$203,MATCH($S145,'FBA FEES'!$L$2:$Q$2,0),FALSE),VLOOKUP(ROUNDUP($Q145,0),'FBA FEES'!$C$6:$F$123,MATCH($S145,'FBA FEES'!$C$6:$F$6,0),FALSE)),0)</f>
        <v>0</v>
      </c>
      <c r="AG145" s="116">
        <v>-10</v>
      </c>
      <c r="AH145" s="113">
        <f t="shared" si="28"/>
        <v>0</v>
      </c>
      <c r="AI145" s="116">
        <f>-IFERROR(IF($Y145=1,INDEX('[1]REMOVAL FEES'!$A$1:$C$22,MATCH(CONCATENATE("Standard Size",$P145),'[1]REMOVAL FEES'!$A$1:$A$22,0),3),IF($Y145=2,IF($P145&gt;10,(($P145-10)*1.06)+INDEX('[1]REMOVAL FEES'!$E$1:$G$22,MATCH(CONCATENATE("Large bulky, extra-large and special handling items",IF($P145&gt;=11,11,$P145)),'[1]REMOVAL FEES'!$E$1:$E$13,0),3),INDEX('[1]REMOVAL FEES'!$E$1:$G$22,MATCH(CONCATENATE("Large bulky, extra-large and special handling items",IF($P145&gt;=11,11,$P145)),'[1]REMOVAL FEES'!$E$1:$E$13,0),3))))*$AA145,FALSE)</f>
        <v>0</v>
      </c>
      <c r="AJ145" s="107">
        <f t="shared" si="29"/>
        <v>0</v>
      </c>
      <c r="AK145" s="107">
        <v>0</v>
      </c>
      <c r="AL145" s="107">
        <v>0</v>
      </c>
      <c r="AM145" s="107">
        <f t="shared" si="30"/>
        <v>0</v>
      </c>
      <c r="AN145" s="116">
        <f>(-IF($V145="Yes", IF($X145="Yes", VLOOKUP($W145, '[1]Storage Fees'!A:M, 13, FALSE), VLOOKUP($W145, '[1]Storage Fees'!A:M, 10, FALSE)), IF($X145="Yes", VLOOKUP($W145, '[1]Storage Fees'!A:M, 7, FALSE), VLOOKUP($W145, '[1]Storage Fees'!A:M, 4, FALSE))) * U145)*1.5</f>
        <v>0</v>
      </c>
    </row>
    <row r="146" spans="1:40" x14ac:dyDescent="0.25">
      <c r="A146" s="99">
        <v>74</v>
      </c>
      <c r="B146" s="99"/>
      <c r="C146" s="99" t="s">
        <v>13655</v>
      </c>
      <c r="D146" s="99"/>
      <c r="E146" s="99" t="s">
        <v>1520</v>
      </c>
      <c r="F146" s="99" t="s">
        <v>1563</v>
      </c>
      <c r="G146" s="99" t="s">
        <v>13695</v>
      </c>
      <c r="H146" s="99">
        <v>0</v>
      </c>
      <c r="I146" s="99">
        <v>0</v>
      </c>
      <c r="J146" s="99">
        <v>0</v>
      </c>
      <c r="K146" s="101" t="str">
        <f t="shared" si="18"/>
        <v>0x0x0</v>
      </c>
      <c r="L146" s="102">
        <f t="shared" si="19"/>
        <v>0</v>
      </c>
      <c r="M146" s="113">
        <f t="shared" si="20"/>
        <v>0</v>
      </c>
      <c r="N146" s="113">
        <f t="shared" si="21"/>
        <v>0</v>
      </c>
      <c r="O146" s="99">
        <v>0</v>
      </c>
      <c r="P146" s="113">
        <f t="shared" si="22"/>
        <v>0</v>
      </c>
      <c r="Q146" s="112">
        <f t="shared" si="23"/>
        <v>0</v>
      </c>
      <c r="R146" s="112" t="str">
        <f t="shared" si="24"/>
        <v>Standard-size</v>
      </c>
      <c r="S146" s="99" t="str">
        <f t="shared" si="25"/>
        <v>Small standard-size</v>
      </c>
      <c r="T146" s="116" t="s">
        <v>13696</v>
      </c>
      <c r="U146" s="116">
        <f t="shared" si="26"/>
        <v>0</v>
      </c>
      <c r="V146" s="116" t="s">
        <v>13583</v>
      </c>
      <c r="W146" s="116" t="s">
        <v>13690</v>
      </c>
      <c r="X146" s="99" t="s">
        <v>13583</v>
      </c>
      <c r="Y146" s="99">
        <v>1</v>
      </c>
      <c r="Z146" s="99">
        <v>1</v>
      </c>
      <c r="AA146" s="99">
        <v>1</v>
      </c>
      <c r="AB146" s="99"/>
      <c r="AC146" s="99"/>
      <c r="AD146" s="107">
        <v>0</v>
      </c>
      <c r="AE146" s="113">
        <f t="shared" si="27"/>
        <v>0</v>
      </c>
      <c r="AF146" s="116">
        <f>-IFERROR(IFERROR(VLOOKUP(ROUNDUP($Q146,0),'FBA FEES'!$L$2:$Q$203,MATCH($S146,'FBA FEES'!$L$2:$Q$2,0),FALSE),VLOOKUP(ROUNDUP($Q146,0),'FBA FEES'!$C$6:$F$123,MATCH($S146,'FBA FEES'!$C$6:$F$6,0),FALSE)),0)</f>
        <v>0</v>
      </c>
      <c r="AG146" s="116">
        <v>-10</v>
      </c>
      <c r="AH146" s="113">
        <f t="shared" si="28"/>
        <v>0</v>
      </c>
      <c r="AI146" s="116">
        <f>-IFERROR(IF($Y146=1,INDEX('[1]REMOVAL FEES'!$A$1:$C$22,MATCH(CONCATENATE("Standard Size",$P146),'[1]REMOVAL FEES'!$A$1:$A$22,0),3),IF($Y146=2,IF($P146&gt;10,(($P146-10)*1.06)+INDEX('[1]REMOVAL FEES'!$E$1:$G$22,MATCH(CONCATENATE("Large bulky, extra-large and special handling items",IF($P146&gt;=11,11,$P146)),'[1]REMOVAL FEES'!$E$1:$E$13,0),3),INDEX('[1]REMOVAL FEES'!$E$1:$G$22,MATCH(CONCATENATE("Large bulky, extra-large and special handling items",IF($P146&gt;=11,11,$P146)),'[1]REMOVAL FEES'!$E$1:$E$13,0),3))))*$AA146,FALSE)</f>
        <v>0</v>
      </c>
      <c r="AJ146" s="107">
        <f t="shared" si="29"/>
        <v>0</v>
      </c>
      <c r="AK146" s="107">
        <v>0</v>
      </c>
      <c r="AL146" s="107">
        <v>0</v>
      </c>
      <c r="AM146" s="107">
        <f t="shared" si="30"/>
        <v>0</v>
      </c>
      <c r="AN146" s="116">
        <f>(-IF($V146="Yes", IF($X146="Yes", VLOOKUP($W146, '[1]Storage Fees'!A:M, 13, FALSE), VLOOKUP($W146, '[1]Storage Fees'!A:M, 10, FALSE)), IF($X146="Yes", VLOOKUP($W146, '[1]Storage Fees'!A:M, 7, FALSE), VLOOKUP($W146, '[1]Storage Fees'!A:M, 4, FALSE))) * U146)*1.5</f>
        <v>0</v>
      </c>
    </row>
    <row r="147" spans="1:40" x14ac:dyDescent="0.25">
      <c r="A147" s="99">
        <v>75</v>
      </c>
      <c r="B147" s="99"/>
      <c r="C147" s="99" t="s">
        <v>13655</v>
      </c>
      <c r="D147" s="99"/>
      <c r="E147" s="99" t="s">
        <v>1520</v>
      </c>
      <c r="F147" s="99" t="s">
        <v>1565</v>
      </c>
      <c r="G147" s="99" t="s">
        <v>13695</v>
      </c>
      <c r="H147" s="99">
        <v>0</v>
      </c>
      <c r="I147" s="99">
        <v>0</v>
      </c>
      <c r="J147" s="99">
        <v>0</v>
      </c>
      <c r="K147" s="101" t="str">
        <f t="shared" si="18"/>
        <v>0x0x0</v>
      </c>
      <c r="L147" s="102">
        <f t="shared" si="19"/>
        <v>0</v>
      </c>
      <c r="M147" s="113">
        <f t="shared" si="20"/>
        <v>0</v>
      </c>
      <c r="N147" s="113">
        <f t="shared" si="21"/>
        <v>0</v>
      </c>
      <c r="O147" s="99">
        <v>0</v>
      </c>
      <c r="P147" s="113">
        <f t="shared" si="22"/>
        <v>0</v>
      </c>
      <c r="Q147" s="112">
        <f t="shared" si="23"/>
        <v>0</v>
      </c>
      <c r="R147" s="112" t="str">
        <f t="shared" si="24"/>
        <v>Standard-size</v>
      </c>
      <c r="S147" s="99" t="str">
        <f t="shared" si="25"/>
        <v>Small standard-size</v>
      </c>
      <c r="T147" s="116" t="s">
        <v>13696</v>
      </c>
      <c r="U147" s="116">
        <f t="shared" si="26"/>
        <v>0</v>
      </c>
      <c r="V147" s="116" t="s">
        <v>13583</v>
      </c>
      <c r="W147" s="116" t="s">
        <v>13690</v>
      </c>
      <c r="X147" s="99" t="s">
        <v>13583</v>
      </c>
      <c r="Y147" s="99">
        <v>1</v>
      </c>
      <c r="Z147" s="99">
        <v>1</v>
      </c>
      <c r="AA147" s="99">
        <v>1</v>
      </c>
      <c r="AB147" s="99"/>
      <c r="AC147" s="99"/>
      <c r="AD147" s="107">
        <v>0</v>
      </c>
      <c r="AE147" s="113">
        <f t="shared" si="27"/>
        <v>0</v>
      </c>
      <c r="AF147" s="116">
        <f>-IFERROR(IFERROR(VLOOKUP(ROUNDUP($Q147,0),'FBA FEES'!$L$2:$Q$203,MATCH($S147,'FBA FEES'!$L$2:$Q$2,0),FALSE),VLOOKUP(ROUNDUP($Q147,0),'FBA FEES'!$C$6:$F$123,MATCH($S147,'FBA FEES'!$C$6:$F$6,0),FALSE)),0)</f>
        <v>0</v>
      </c>
      <c r="AG147" s="116">
        <v>-10</v>
      </c>
      <c r="AH147" s="113">
        <f t="shared" si="28"/>
        <v>0</v>
      </c>
      <c r="AI147" s="116">
        <f>-IFERROR(IF($Y147=1,INDEX('[1]REMOVAL FEES'!$A$1:$C$22,MATCH(CONCATENATE("Standard Size",$P147),'[1]REMOVAL FEES'!$A$1:$A$22,0),3),IF($Y147=2,IF($P147&gt;10,(($P147-10)*1.06)+INDEX('[1]REMOVAL FEES'!$E$1:$G$22,MATCH(CONCATENATE("Large bulky, extra-large and special handling items",IF($P147&gt;=11,11,$P147)),'[1]REMOVAL FEES'!$E$1:$E$13,0),3),INDEX('[1]REMOVAL FEES'!$E$1:$G$22,MATCH(CONCATENATE("Large bulky, extra-large and special handling items",IF($P147&gt;=11,11,$P147)),'[1]REMOVAL FEES'!$E$1:$E$13,0),3))))*$AA147,FALSE)</f>
        <v>0</v>
      </c>
      <c r="AJ147" s="107">
        <f t="shared" si="29"/>
        <v>0</v>
      </c>
      <c r="AK147" s="107">
        <v>0</v>
      </c>
      <c r="AL147" s="107">
        <v>0</v>
      </c>
      <c r="AM147" s="107">
        <f t="shared" si="30"/>
        <v>0</v>
      </c>
      <c r="AN147" s="116">
        <f>(-IF($V147="Yes", IF($X147="Yes", VLOOKUP($W147, '[1]Storage Fees'!A:M, 13, FALSE), VLOOKUP($W147, '[1]Storage Fees'!A:M, 10, FALSE)), IF($X147="Yes", VLOOKUP($W147, '[1]Storage Fees'!A:M, 7, FALSE), VLOOKUP($W147, '[1]Storage Fees'!A:M, 4, FALSE))) * U147)*1.5</f>
        <v>0</v>
      </c>
    </row>
    <row r="148" spans="1:40" x14ac:dyDescent="0.25">
      <c r="A148" s="99">
        <v>76</v>
      </c>
      <c r="B148" s="99"/>
      <c r="C148" s="99" t="s">
        <v>13655</v>
      </c>
      <c r="D148" s="99"/>
      <c r="E148" s="99" t="s">
        <v>1520</v>
      </c>
      <c r="F148" s="99" t="s">
        <v>1567</v>
      </c>
      <c r="G148" s="99" t="s">
        <v>13695</v>
      </c>
      <c r="H148" s="99">
        <v>0</v>
      </c>
      <c r="I148" s="99">
        <v>0</v>
      </c>
      <c r="J148" s="99">
        <v>0</v>
      </c>
      <c r="K148" s="101" t="str">
        <f t="shared" si="18"/>
        <v>0x0x0</v>
      </c>
      <c r="L148" s="102">
        <f t="shared" si="19"/>
        <v>0</v>
      </c>
      <c r="M148" s="113">
        <f t="shared" si="20"/>
        <v>0</v>
      </c>
      <c r="N148" s="113">
        <f t="shared" si="21"/>
        <v>0</v>
      </c>
      <c r="O148" s="99">
        <v>0</v>
      </c>
      <c r="P148" s="113">
        <f t="shared" si="22"/>
        <v>0</v>
      </c>
      <c r="Q148" s="112">
        <f t="shared" si="23"/>
        <v>0</v>
      </c>
      <c r="R148" s="112" t="str">
        <f t="shared" si="24"/>
        <v>Standard-size</v>
      </c>
      <c r="S148" s="99" t="str">
        <f t="shared" si="25"/>
        <v>Small standard-size</v>
      </c>
      <c r="T148" s="116" t="s">
        <v>13696</v>
      </c>
      <c r="U148" s="116">
        <f t="shared" si="26"/>
        <v>0</v>
      </c>
      <c r="V148" s="116" t="s">
        <v>13583</v>
      </c>
      <c r="W148" s="116" t="s">
        <v>13690</v>
      </c>
      <c r="X148" s="99" t="s">
        <v>13583</v>
      </c>
      <c r="Y148" s="99">
        <v>1</v>
      </c>
      <c r="Z148" s="99">
        <v>1</v>
      </c>
      <c r="AA148" s="99">
        <v>1</v>
      </c>
      <c r="AB148" s="99"/>
      <c r="AC148" s="99"/>
      <c r="AD148" s="107">
        <v>0</v>
      </c>
      <c r="AE148" s="113">
        <f t="shared" si="27"/>
        <v>0</v>
      </c>
      <c r="AF148" s="116">
        <f>-IFERROR(IFERROR(VLOOKUP(ROUNDUP($Q148,0),'FBA FEES'!$L$2:$Q$203,MATCH($S148,'FBA FEES'!$L$2:$Q$2,0),FALSE),VLOOKUP(ROUNDUP($Q148,0),'FBA FEES'!$C$6:$F$123,MATCH($S148,'FBA FEES'!$C$6:$F$6,0),FALSE)),0)</f>
        <v>0</v>
      </c>
      <c r="AG148" s="116">
        <v>-10</v>
      </c>
      <c r="AH148" s="113">
        <f t="shared" si="28"/>
        <v>0</v>
      </c>
      <c r="AI148" s="116">
        <f>-IFERROR(IF($Y148=1,INDEX('[1]REMOVAL FEES'!$A$1:$C$22,MATCH(CONCATENATE("Standard Size",$P148),'[1]REMOVAL FEES'!$A$1:$A$22,0),3),IF($Y148=2,IF($P148&gt;10,(($P148-10)*1.06)+INDEX('[1]REMOVAL FEES'!$E$1:$G$22,MATCH(CONCATENATE("Large bulky, extra-large and special handling items",IF($P148&gt;=11,11,$P148)),'[1]REMOVAL FEES'!$E$1:$E$13,0),3),INDEX('[1]REMOVAL FEES'!$E$1:$G$22,MATCH(CONCATENATE("Large bulky, extra-large and special handling items",IF($P148&gt;=11,11,$P148)),'[1]REMOVAL FEES'!$E$1:$E$13,0),3))))*$AA148,FALSE)</f>
        <v>0</v>
      </c>
      <c r="AJ148" s="107">
        <f t="shared" si="29"/>
        <v>0</v>
      </c>
      <c r="AK148" s="107">
        <v>0</v>
      </c>
      <c r="AL148" s="107">
        <v>0</v>
      </c>
      <c r="AM148" s="107">
        <f t="shared" si="30"/>
        <v>0</v>
      </c>
      <c r="AN148" s="116">
        <f>(-IF($V148="Yes", IF($X148="Yes", VLOOKUP($W148, '[1]Storage Fees'!A:M, 13, FALSE), VLOOKUP($W148, '[1]Storage Fees'!A:M, 10, FALSE)), IF($X148="Yes", VLOOKUP($W148, '[1]Storage Fees'!A:M, 7, FALSE), VLOOKUP($W148, '[1]Storage Fees'!A:M, 4, FALSE))) * U148)*1.5</f>
        <v>0</v>
      </c>
    </row>
    <row r="149" spans="1:40" x14ac:dyDescent="0.25">
      <c r="A149" s="99">
        <v>77</v>
      </c>
      <c r="B149" s="99"/>
      <c r="C149" s="99" t="s">
        <v>13655</v>
      </c>
      <c r="D149" s="99"/>
      <c r="E149" s="99" t="s">
        <v>148</v>
      </c>
      <c r="F149" s="99" t="s">
        <v>1569</v>
      </c>
      <c r="G149" s="99" t="s">
        <v>13695</v>
      </c>
      <c r="H149" s="99">
        <v>0</v>
      </c>
      <c r="I149" s="99">
        <v>0</v>
      </c>
      <c r="J149" s="99">
        <v>0</v>
      </c>
      <c r="K149" s="101" t="str">
        <f t="shared" si="18"/>
        <v>0x0x0</v>
      </c>
      <c r="L149" s="102">
        <f t="shared" si="19"/>
        <v>0</v>
      </c>
      <c r="M149" s="113">
        <f t="shared" si="20"/>
        <v>0</v>
      </c>
      <c r="N149" s="113">
        <f t="shared" si="21"/>
        <v>0</v>
      </c>
      <c r="O149" s="99">
        <v>0</v>
      </c>
      <c r="P149" s="113">
        <f t="shared" si="22"/>
        <v>0</v>
      </c>
      <c r="Q149" s="112">
        <f t="shared" si="23"/>
        <v>0</v>
      </c>
      <c r="R149" s="112" t="str">
        <f t="shared" si="24"/>
        <v>Standard-size</v>
      </c>
      <c r="S149" s="99" t="str">
        <f t="shared" si="25"/>
        <v>Small standard-size</v>
      </c>
      <c r="T149" s="116" t="s">
        <v>13696</v>
      </c>
      <c r="U149" s="116">
        <f t="shared" si="26"/>
        <v>0</v>
      </c>
      <c r="V149" s="116" t="s">
        <v>13583</v>
      </c>
      <c r="W149" s="116" t="s">
        <v>13690</v>
      </c>
      <c r="X149" s="99" t="s">
        <v>13583</v>
      </c>
      <c r="Y149" s="99">
        <v>1</v>
      </c>
      <c r="Z149" s="99">
        <v>1</v>
      </c>
      <c r="AA149" s="99">
        <v>1</v>
      </c>
      <c r="AB149" s="99"/>
      <c r="AC149" s="99"/>
      <c r="AD149" s="107">
        <v>181.02</v>
      </c>
      <c r="AE149" s="113">
        <f t="shared" si="27"/>
        <v>-27.153000000000002</v>
      </c>
      <c r="AF149" s="116">
        <f>-IFERROR(IFERROR(VLOOKUP(ROUNDUP($Q149,0),'FBA FEES'!$L$2:$Q$203,MATCH($S149,'FBA FEES'!$L$2:$Q$2,0),FALSE),VLOOKUP(ROUNDUP($Q149,0),'FBA FEES'!$C$6:$F$123,MATCH($S149,'FBA FEES'!$C$6:$F$6,0),FALSE)),0)</f>
        <v>0</v>
      </c>
      <c r="AG149" s="116">
        <v>-10</v>
      </c>
      <c r="AH149" s="113">
        <f t="shared" si="28"/>
        <v>-27.153000000000002</v>
      </c>
      <c r="AI149" s="116">
        <f>-IFERROR(IF($Y149=1,INDEX('[1]REMOVAL FEES'!$A$1:$C$22,MATCH(CONCATENATE("Standard Size",$P149),'[1]REMOVAL FEES'!$A$1:$A$22,0),3),IF($Y149=2,IF($P149&gt;10,(($P149-10)*1.06)+INDEX('[1]REMOVAL FEES'!$E$1:$G$22,MATCH(CONCATENATE("Large bulky, extra-large and special handling items",IF($P149&gt;=11,11,$P149)),'[1]REMOVAL FEES'!$E$1:$E$13,0),3),INDEX('[1]REMOVAL FEES'!$E$1:$G$22,MATCH(CONCATENATE("Large bulky, extra-large and special handling items",IF($P149&gt;=11,11,$P149)),'[1]REMOVAL FEES'!$E$1:$E$13,0),3))))*$AA149,FALSE)</f>
        <v>0</v>
      </c>
      <c r="AJ149" s="107">
        <f t="shared" si="29"/>
        <v>-27.153000000000002</v>
      </c>
      <c r="AK149" s="107">
        <v>-81.569999999999993</v>
      </c>
      <c r="AL149" s="107">
        <v>-18.07083333333334</v>
      </c>
      <c r="AM149" s="107">
        <f t="shared" si="30"/>
        <v>-99.640833333333333</v>
      </c>
      <c r="AN149" s="116">
        <f>(-IF($V149="Yes", IF($X149="Yes", VLOOKUP($W149, '[1]Storage Fees'!A:M, 13, FALSE), VLOOKUP($W149, '[1]Storage Fees'!A:M, 10, FALSE)), IF($X149="Yes", VLOOKUP($W149, '[1]Storage Fees'!A:M, 7, FALSE), VLOOKUP($W149, '[1]Storage Fees'!A:M, 4, FALSE))) * U149)*1.5</f>
        <v>0</v>
      </c>
    </row>
    <row r="150" spans="1:40" x14ac:dyDescent="0.25">
      <c r="A150" s="99">
        <v>78</v>
      </c>
      <c r="B150" s="99" t="s">
        <v>13700</v>
      </c>
      <c r="C150" s="99"/>
      <c r="D150" s="99"/>
      <c r="E150" s="99" t="s">
        <v>148</v>
      </c>
      <c r="F150" s="99" t="s">
        <v>146</v>
      </c>
      <c r="G150" s="99" t="s">
        <v>13695</v>
      </c>
      <c r="H150" s="99">
        <v>14</v>
      </c>
      <c r="I150" s="99">
        <v>14</v>
      </c>
      <c r="J150" s="99">
        <v>14</v>
      </c>
      <c r="K150" s="101" t="str">
        <f t="shared" si="18"/>
        <v>14x14x14</v>
      </c>
      <c r="L150" s="102">
        <f t="shared" si="19"/>
        <v>19.741007194244606</v>
      </c>
      <c r="M150" s="113">
        <f t="shared" si="20"/>
        <v>19.741007194244606</v>
      </c>
      <c r="N150" s="113">
        <f t="shared" si="21"/>
        <v>20</v>
      </c>
      <c r="O150" s="99">
        <v>49</v>
      </c>
      <c r="P150" s="113">
        <f t="shared" si="22"/>
        <v>49</v>
      </c>
      <c r="Q150" s="112">
        <f t="shared" si="23"/>
        <v>784</v>
      </c>
      <c r="R150" s="112" t="str">
        <f t="shared" si="24"/>
        <v>Oversize</v>
      </c>
      <c r="S150" s="99" t="str">
        <f t="shared" si="25"/>
        <v>Large bulky</v>
      </c>
      <c r="T150" s="116" t="s">
        <v>13694</v>
      </c>
      <c r="U150" s="116">
        <f t="shared" si="26"/>
        <v>1.587962962962963</v>
      </c>
      <c r="V150" s="116" t="s">
        <v>13583</v>
      </c>
      <c r="W150" s="116" t="s">
        <v>13690</v>
      </c>
      <c r="X150" s="116" t="s">
        <v>13691</v>
      </c>
      <c r="Y150" s="116">
        <v>2</v>
      </c>
      <c r="Z150" s="116">
        <v>3</v>
      </c>
      <c r="AA150" s="116">
        <v>1</v>
      </c>
      <c r="AB150" s="99"/>
      <c r="AC150" s="99"/>
      <c r="AD150" s="107">
        <v>224.2237499999998</v>
      </c>
      <c r="AE150" s="113">
        <f t="shared" si="27"/>
        <v>-33.633562499999968</v>
      </c>
      <c r="AF150" s="116">
        <f>-IFERROR(IFERROR(VLOOKUP(ROUNDUP($Q150,0),'FBA FEES'!$L$2:$Q$203,MATCH($S150,'FBA FEES'!$L$2:$Q$2,0),FALSE),VLOOKUP(ROUNDUP($Q150,0),'FBA FEES'!$C$6:$F$123,MATCH($S150,'FBA FEES'!$C$6:$F$6,0),FALSE)),0)</f>
        <v>-27.85</v>
      </c>
      <c r="AG150" s="116">
        <v>-10</v>
      </c>
      <c r="AH150" s="113">
        <f t="shared" si="28"/>
        <v>-61.483562499999969</v>
      </c>
      <c r="AI150" s="116">
        <f>-IFERROR(IF($Y150=1,INDEX('[1]REMOVAL FEES'!$A$1:$C$22,MATCH(CONCATENATE("Standard Size",$P150),'[1]REMOVAL FEES'!$A$1:$A$22,0),3),IF($Y150=2,IF($P150&gt;10,(($P150-10)*1.06)+INDEX('[1]REMOVAL FEES'!$E$1:$G$22,MATCH(CONCATENATE("Large bulky, extra-large and special handling items",IF($P150&gt;=11,11,$P150)),'[1]REMOVAL FEES'!$E$1:$E$13,0),3),INDEX('[1]REMOVAL FEES'!$E$1:$G$22,MATCH(CONCATENATE("Large bulky, extra-large and special handling items",IF($P150&gt;=11,11,$P150)),'[1]REMOVAL FEES'!$E$1:$E$13,0),3))))*$AA150,FALSE)</f>
        <v>-55.660000000000004</v>
      </c>
      <c r="AJ150" s="107">
        <f t="shared" si="29"/>
        <v>-117.14356249999997</v>
      </c>
      <c r="AK150" s="107">
        <v>-115.732</v>
      </c>
      <c r="AL150" s="107">
        <v>-20.24387617394181</v>
      </c>
      <c r="AM150" s="107">
        <f t="shared" si="30"/>
        <v>-135.9758761739418</v>
      </c>
      <c r="AN150" s="116">
        <f>(-IF($V150="Yes", IF($X150="Yes", VLOOKUP($W150, '[1]Storage Fees'!A:M, 13, FALSE), VLOOKUP($W150, '[1]Storage Fees'!A:M, 10, FALSE)), IF($X150="Yes", VLOOKUP($W150, '[1]Storage Fees'!A:M, 7, FALSE), VLOOKUP($W150, '[1]Storage Fees'!A:M, 4, FALSE))) * U150)*1.5</f>
        <v>-1.8817361111111113</v>
      </c>
    </row>
    <row r="151" spans="1:40" x14ac:dyDescent="0.25">
      <c r="A151" s="99">
        <v>79</v>
      </c>
      <c r="B151" s="99" t="s">
        <v>13700</v>
      </c>
      <c r="C151" s="99"/>
      <c r="D151" s="99"/>
      <c r="E151" s="99" t="s">
        <v>148</v>
      </c>
      <c r="F151" s="99" t="s">
        <v>149</v>
      </c>
      <c r="G151" s="99" t="s">
        <v>13695</v>
      </c>
      <c r="H151" s="99">
        <v>14</v>
      </c>
      <c r="I151" s="99">
        <v>14</v>
      </c>
      <c r="J151" s="99">
        <v>14</v>
      </c>
      <c r="K151" s="101" t="str">
        <f t="shared" si="18"/>
        <v>14x14x14</v>
      </c>
      <c r="L151" s="102">
        <f t="shared" si="19"/>
        <v>19.741007194244606</v>
      </c>
      <c r="M151" s="113">
        <f t="shared" si="20"/>
        <v>19.741007194244606</v>
      </c>
      <c r="N151" s="113">
        <f t="shared" si="21"/>
        <v>20</v>
      </c>
      <c r="O151" s="99">
        <v>54</v>
      </c>
      <c r="P151" s="113">
        <f t="shared" si="22"/>
        <v>54</v>
      </c>
      <c r="Q151" s="112">
        <f t="shared" si="23"/>
        <v>864</v>
      </c>
      <c r="R151" s="112" t="str">
        <f t="shared" si="24"/>
        <v>Oversize</v>
      </c>
      <c r="S151" s="99" t="str">
        <f t="shared" si="25"/>
        <v>Extra-large 50+ to 70 lb</v>
      </c>
      <c r="T151" s="116" t="s">
        <v>13689</v>
      </c>
      <c r="U151" s="116">
        <f t="shared" si="26"/>
        <v>1.587962962962963</v>
      </c>
      <c r="V151" s="116" t="s">
        <v>13583</v>
      </c>
      <c r="W151" s="116" t="s">
        <v>13690</v>
      </c>
      <c r="X151" s="116" t="s">
        <v>13691</v>
      </c>
      <c r="Y151" s="116">
        <v>2</v>
      </c>
      <c r="Z151" s="116">
        <v>5</v>
      </c>
      <c r="AA151" s="116">
        <v>1</v>
      </c>
      <c r="AB151" s="99"/>
      <c r="AC151" s="99"/>
      <c r="AD151" s="107">
        <v>285.64171875000011</v>
      </c>
      <c r="AE151" s="113">
        <f t="shared" si="27"/>
        <v>-42.846257812500014</v>
      </c>
      <c r="AF151" s="116">
        <f>-IFERROR(IFERROR(VLOOKUP(ROUNDUP($Q151,0),'FBA FEES'!$L$2:$Q$203,MATCH($S151,'FBA FEES'!$L$2:$Q$2,0),FALSE),VLOOKUP(ROUNDUP($Q151,0),'FBA FEES'!$C$6:$F$123,MATCH($S151,'FBA FEES'!$C$6:$F$6,0),FALSE)),0)</f>
        <v>-42.37</v>
      </c>
      <c r="AG151" s="116">
        <v>-10</v>
      </c>
      <c r="AH151" s="113">
        <f t="shared" si="28"/>
        <v>-85.216257812500004</v>
      </c>
      <c r="AI151" s="116">
        <f>-IFERROR(IF($Y151=1,INDEX('[1]REMOVAL FEES'!$A$1:$C$22,MATCH(CONCATENATE("Standard Size",$P151),'[1]REMOVAL FEES'!$A$1:$A$22,0),3),IF($Y151=2,IF($P151&gt;10,(($P151-10)*1.06)+INDEX('[1]REMOVAL FEES'!$E$1:$G$22,MATCH(CONCATENATE("Large bulky, extra-large and special handling items",IF($P151&gt;=11,11,$P151)),'[1]REMOVAL FEES'!$E$1:$E$13,0),3),INDEX('[1]REMOVAL FEES'!$E$1:$G$22,MATCH(CONCATENATE("Large bulky, extra-large and special handling items",IF($P151&gt;=11,11,$P151)),'[1]REMOVAL FEES'!$E$1:$E$13,0),3))))*$AA151,FALSE)</f>
        <v>-60.96</v>
      </c>
      <c r="AJ151" s="107">
        <f t="shared" si="29"/>
        <v>-146.17625781250001</v>
      </c>
      <c r="AK151" s="107">
        <v>-144.21937500000021</v>
      </c>
      <c r="AL151" s="107">
        <v>-17.78460808275856</v>
      </c>
      <c r="AM151" s="107">
        <f t="shared" si="30"/>
        <v>-162.00398308275877</v>
      </c>
      <c r="AN151" s="116">
        <f>(-IF($V151="Yes", IF($X151="Yes", VLOOKUP($W151, '[1]Storage Fees'!A:M, 13, FALSE), VLOOKUP($W151, '[1]Storage Fees'!A:M, 10, FALSE)), IF($X151="Yes", VLOOKUP($W151, '[1]Storage Fees'!A:M, 7, FALSE), VLOOKUP($W151, '[1]Storage Fees'!A:M, 4, FALSE))) * U151)*1.5</f>
        <v>-1.8817361111111113</v>
      </c>
    </row>
    <row r="152" spans="1:40" x14ac:dyDescent="0.25">
      <c r="A152" s="99">
        <v>80</v>
      </c>
      <c r="B152" s="99"/>
      <c r="C152" s="99" t="s">
        <v>13655</v>
      </c>
      <c r="D152" s="99"/>
      <c r="E152" s="99" t="s">
        <v>148</v>
      </c>
      <c r="F152" s="99" t="s">
        <v>1571</v>
      </c>
      <c r="G152" s="99" t="s">
        <v>13656</v>
      </c>
      <c r="H152" s="99">
        <v>0</v>
      </c>
      <c r="I152" s="99">
        <v>0</v>
      </c>
      <c r="J152" s="99">
        <v>0</v>
      </c>
      <c r="K152" s="101" t="str">
        <f t="shared" si="18"/>
        <v>0x0x0</v>
      </c>
      <c r="L152" s="102">
        <f t="shared" si="19"/>
        <v>0</v>
      </c>
      <c r="M152" s="113">
        <f t="shared" si="20"/>
        <v>0</v>
      </c>
      <c r="N152" s="113">
        <f t="shared" si="21"/>
        <v>0</v>
      </c>
      <c r="O152" s="99">
        <v>0</v>
      </c>
      <c r="P152" s="113">
        <f t="shared" si="22"/>
        <v>0</v>
      </c>
      <c r="Q152" s="112">
        <f t="shared" si="23"/>
        <v>0</v>
      </c>
      <c r="R152" s="112" t="str">
        <f t="shared" si="24"/>
        <v>Standard-size</v>
      </c>
      <c r="S152" s="99" t="str">
        <f t="shared" si="25"/>
        <v>Small standard-size</v>
      </c>
      <c r="T152" s="116" t="s">
        <v>13696</v>
      </c>
      <c r="U152" s="116">
        <f t="shared" si="26"/>
        <v>0</v>
      </c>
      <c r="V152" s="116" t="s">
        <v>13583</v>
      </c>
      <c r="W152" s="116" t="s">
        <v>13690</v>
      </c>
      <c r="X152" s="99" t="s">
        <v>13583</v>
      </c>
      <c r="Y152" s="99">
        <v>1</v>
      </c>
      <c r="Z152" s="99">
        <v>1</v>
      </c>
      <c r="AA152" s="99">
        <v>1</v>
      </c>
      <c r="AB152" s="99"/>
      <c r="AC152" s="99"/>
      <c r="AD152" s="107">
        <v>30.30761904761906</v>
      </c>
      <c r="AE152" s="113">
        <f t="shared" si="27"/>
        <v>-4.5461428571428586</v>
      </c>
      <c r="AF152" s="116">
        <f>-IFERROR(IFERROR(VLOOKUP(ROUNDUP($Q152,0),'FBA FEES'!$L$2:$Q$203,MATCH($S152,'FBA FEES'!$L$2:$Q$2,0),FALSE),VLOOKUP(ROUNDUP($Q152,0),'FBA FEES'!$C$6:$F$123,MATCH($S152,'FBA FEES'!$C$6:$F$6,0),FALSE)),0)</f>
        <v>0</v>
      </c>
      <c r="AG152" s="116">
        <v>-10</v>
      </c>
      <c r="AH152" s="113">
        <f t="shared" si="28"/>
        <v>-4.5461428571428586</v>
      </c>
      <c r="AI152" s="116">
        <f>-IFERROR(IF($Y152=1,INDEX('[1]REMOVAL FEES'!$A$1:$C$22,MATCH(CONCATENATE("Standard Size",$P152),'[1]REMOVAL FEES'!$A$1:$A$22,0),3),IF($Y152=2,IF($P152&gt;10,(($P152-10)*1.06)+INDEX('[1]REMOVAL FEES'!$E$1:$G$22,MATCH(CONCATENATE("Large bulky, extra-large and special handling items",IF($P152&gt;=11,11,$P152)),'[1]REMOVAL FEES'!$E$1:$E$13,0),3),INDEX('[1]REMOVAL FEES'!$E$1:$G$22,MATCH(CONCATENATE("Large bulky, extra-large and special handling items",IF($P152&gt;=11,11,$P152)),'[1]REMOVAL FEES'!$E$1:$E$13,0),3))))*$AA152,FALSE)</f>
        <v>0</v>
      </c>
      <c r="AJ152" s="107">
        <f t="shared" si="29"/>
        <v>-4.5461428571428586</v>
      </c>
      <c r="AK152" s="107">
        <v>-9.9600000000000044</v>
      </c>
      <c r="AL152" s="107">
        <v>-1.251607142857142</v>
      </c>
      <c r="AM152" s="107">
        <f t="shared" si="30"/>
        <v>-11.211607142857147</v>
      </c>
      <c r="AN152" s="116">
        <f>(-IF($V152="Yes", IF($X152="Yes", VLOOKUP($W152, '[1]Storage Fees'!A:M, 13, FALSE), VLOOKUP($W152, '[1]Storage Fees'!A:M, 10, FALSE)), IF($X152="Yes", VLOOKUP($W152, '[1]Storage Fees'!A:M, 7, FALSE), VLOOKUP($W152, '[1]Storage Fees'!A:M, 4, FALSE))) * U152)*1.5</f>
        <v>0</v>
      </c>
    </row>
    <row r="153" spans="1:40" x14ac:dyDescent="0.25">
      <c r="A153" s="99">
        <v>81</v>
      </c>
      <c r="B153" s="99"/>
      <c r="C153" s="99" t="s">
        <v>13655</v>
      </c>
      <c r="D153" s="99"/>
      <c r="E153" s="99" t="s">
        <v>148</v>
      </c>
      <c r="F153" s="99" t="s">
        <v>1573</v>
      </c>
      <c r="G153" s="99" t="s">
        <v>13695</v>
      </c>
      <c r="H153" s="99">
        <v>0</v>
      </c>
      <c r="I153" s="99">
        <v>0</v>
      </c>
      <c r="J153" s="99">
        <v>0</v>
      </c>
      <c r="K153" s="101" t="str">
        <f t="shared" si="18"/>
        <v>0x0x0</v>
      </c>
      <c r="L153" s="102">
        <f t="shared" si="19"/>
        <v>0</v>
      </c>
      <c r="M153" s="113">
        <f t="shared" si="20"/>
        <v>0</v>
      </c>
      <c r="N153" s="113">
        <f t="shared" si="21"/>
        <v>0</v>
      </c>
      <c r="O153" s="99">
        <v>0</v>
      </c>
      <c r="P153" s="113">
        <f t="shared" si="22"/>
        <v>0</v>
      </c>
      <c r="Q153" s="112">
        <f t="shared" si="23"/>
        <v>0</v>
      </c>
      <c r="R153" s="112" t="str">
        <f t="shared" si="24"/>
        <v>Standard-size</v>
      </c>
      <c r="S153" s="99" t="str">
        <f t="shared" si="25"/>
        <v>Small standard-size</v>
      </c>
      <c r="T153" s="116" t="s">
        <v>13696</v>
      </c>
      <c r="U153" s="116">
        <f t="shared" si="26"/>
        <v>0</v>
      </c>
      <c r="V153" s="116" t="s">
        <v>13583</v>
      </c>
      <c r="W153" s="116" t="s">
        <v>13690</v>
      </c>
      <c r="X153" s="99" t="s">
        <v>13583</v>
      </c>
      <c r="Y153" s="99">
        <v>1</v>
      </c>
      <c r="Z153" s="99">
        <v>1</v>
      </c>
      <c r="AA153" s="99">
        <v>1</v>
      </c>
      <c r="AB153" s="99"/>
      <c r="AC153" s="99"/>
      <c r="AD153" s="107">
        <v>0</v>
      </c>
      <c r="AE153" s="113">
        <f t="shared" si="27"/>
        <v>0</v>
      </c>
      <c r="AF153" s="116">
        <f>-IFERROR(IFERROR(VLOOKUP(ROUNDUP($Q153,0),'FBA FEES'!$L$2:$Q$203,MATCH($S153,'FBA FEES'!$L$2:$Q$2,0),FALSE),VLOOKUP(ROUNDUP($Q153,0),'FBA FEES'!$C$6:$F$123,MATCH($S153,'FBA FEES'!$C$6:$F$6,0),FALSE)),0)</f>
        <v>0</v>
      </c>
      <c r="AG153" s="116">
        <v>-10</v>
      </c>
      <c r="AH153" s="113">
        <f t="shared" si="28"/>
        <v>0</v>
      </c>
      <c r="AI153" s="116">
        <f>-IFERROR(IF($Y153=1,INDEX('[1]REMOVAL FEES'!$A$1:$C$22,MATCH(CONCATENATE("Standard Size",$P153),'[1]REMOVAL FEES'!$A$1:$A$22,0),3),IF($Y153=2,IF($P153&gt;10,(($P153-10)*1.06)+INDEX('[1]REMOVAL FEES'!$E$1:$G$22,MATCH(CONCATENATE("Large bulky, extra-large and special handling items",IF($P153&gt;=11,11,$P153)),'[1]REMOVAL FEES'!$E$1:$E$13,0),3),INDEX('[1]REMOVAL FEES'!$E$1:$G$22,MATCH(CONCATENATE("Large bulky, extra-large and special handling items",IF($P153&gt;=11,11,$P153)),'[1]REMOVAL FEES'!$E$1:$E$13,0),3))))*$AA153,FALSE)</f>
        <v>0</v>
      </c>
      <c r="AJ153" s="107">
        <f t="shared" si="29"/>
        <v>0</v>
      </c>
      <c r="AK153" s="107">
        <v>0</v>
      </c>
      <c r="AL153" s="107">
        <v>0</v>
      </c>
      <c r="AM153" s="107">
        <f t="shared" si="30"/>
        <v>0</v>
      </c>
      <c r="AN153" s="116">
        <f>(-IF($V153="Yes", IF($X153="Yes", VLOOKUP($W153, '[1]Storage Fees'!A:M, 13, FALSE), VLOOKUP($W153, '[1]Storage Fees'!A:M, 10, FALSE)), IF($X153="Yes", VLOOKUP($W153, '[1]Storage Fees'!A:M, 7, FALSE), VLOOKUP($W153, '[1]Storage Fees'!A:M, 4, FALSE))) * U153)*1.5</f>
        <v>0</v>
      </c>
    </row>
    <row r="154" spans="1:40" x14ac:dyDescent="0.25">
      <c r="A154" s="99">
        <v>82</v>
      </c>
      <c r="B154" s="99" t="s">
        <v>13700</v>
      </c>
      <c r="C154" s="99"/>
      <c r="D154" s="99"/>
      <c r="E154" s="99" t="s">
        <v>148</v>
      </c>
      <c r="F154" s="99" t="s">
        <v>151</v>
      </c>
      <c r="G154" s="99" t="s">
        <v>13656</v>
      </c>
      <c r="H154" s="99">
        <v>10</v>
      </c>
      <c r="I154" s="99">
        <v>4</v>
      </c>
      <c r="J154" s="99">
        <v>2</v>
      </c>
      <c r="K154" s="101" t="str">
        <f t="shared" si="18"/>
        <v>10x4x2</v>
      </c>
      <c r="L154" s="102">
        <f t="shared" si="19"/>
        <v>0.57553956834532372</v>
      </c>
      <c r="M154" s="113">
        <f t="shared" si="20"/>
        <v>0.57553956834532372</v>
      </c>
      <c r="N154" s="113">
        <f t="shared" si="21"/>
        <v>0.75</v>
      </c>
      <c r="O154" s="99">
        <v>2.1875</v>
      </c>
      <c r="P154" s="113">
        <f t="shared" si="22"/>
        <v>3</v>
      </c>
      <c r="Q154" s="112">
        <f t="shared" si="23"/>
        <v>48</v>
      </c>
      <c r="R154" s="112" t="str">
        <f t="shared" si="24"/>
        <v>Standard-size</v>
      </c>
      <c r="S154" s="99" t="str">
        <f t="shared" si="25"/>
        <v>Large standard-size</v>
      </c>
      <c r="T154" s="116" t="s">
        <v>13701</v>
      </c>
      <c r="U154" s="116">
        <f t="shared" si="26"/>
        <v>4.6296296296296294E-2</v>
      </c>
      <c r="V154" s="116" t="s">
        <v>13583</v>
      </c>
      <c r="W154" s="116" t="s">
        <v>13690</v>
      </c>
      <c r="X154" s="99" t="s">
        <v>13583</v>
      </c>
      <c r="Y154" s="99">
        <v>1</v>
      </c>
      <c r="Z154" s="99">
        <v>2</v>
      </c>
      <c r="AA154" s="99">
        <v>1</v>
      </c>
      <c r="AB154" s="99"/>
      <c r="AC154" s="99"/>
      <c r="AD154" s="107">
        <v>35.498725530458493</v>
      </c>
      <c r="AE154" s="113">
        <f t="shared" si="27"/>
        <v>-5.3248088295687737</v>
      </c>
      <c r="AF154" s="116">
        <f>-IFERROR(IFERROR(VLOOKUP(ROUNDUP($Q154,0),'FBA FEES'!$L$2:$Q$203,MATCH($S154,'FBA FEES'!$L$2:$Q$2,0),FALSE),VLOOKUP(ROUNDUP($Q154,0),'FBA FEES'!$C$6:$F$123,MATCH($S154,'FBA FEES'!$C$6:$F$6,0),FALSE)),0)</f>
        <v>-6.62</v>
      </c>
      <c r="AG154" s="116">
        <v>-10</v>
      </c>
      <c r="AH154" s="113">
        <f t="shared" si="28"/>
        <v>-11.944808829568775</v>
      </c>
      <c r="AI154" s="116">
        <f>-IFERROR(IF($Y154=1,INDEX('[1]REMOVAL FEES'!$A$1:$C$22,MATCH(CONCATENATE("Standard Size",$P154),'[1]REMOVAL FEES'!$A$1:$A$22,0),3),IF($Y154=2,IF($P154&gt;10,(($P154-10)*1.06)+INDEX('[1]REMOVAL FEES'!$E$1:$G$22,MATCH(CONCATENATE("Large bulky, extra-large and special handling items",IF($P154&gt;=11,11,$P154)),'[1]REMOVAL FEES'!$E$1:$E$13,0),3),INDEX('[1]REMOVAL FEES'!$E$1:$G$22,MATCH(CONCATENATE("Large bulky, extra-large and special handling items",IF($P154&gt;=11,11,$P154)),'[1]REMOVAL FEES'!$E$1:$E$13,0),3))))*$AA154,FALSE)</f>
        <v>-3.95</v>
      </c>
      <c r="AJ154" s="107">
        <f t="shared" si="29"/>
        <v>-15.894808829568774</v>
      </c>
      <c r="AK154" s="107">
        <v>-11.74987679671464</v>
      </c>
      <c r="AL154" s="107">
        <v>-0.63619161467091723</v>
      </c>
      <c r="AM154" s="107">
        <f t="shared" si="30"/>
        <v>-12.386068411385557</v>
      </c>
      <c r="AN154" s="116">
        <f>(-IF($V154="Yes", IF($X154="Yes", VLOOKUP($W154, '[1]Storage Fees'!A:M, 13, FALSE), VLOOKUP($W154, '[1]Storage Fees'!A:M, 10, FALSE)), IF($X154="Yes", VLOOKUP($W154, '[1]Storage Fees'!A:M, 7, FALSE), VLOOKUP($W154, '[1]Storage Fees'!A:M, 4, FALSE))) * U154)*1.5</f>
        <v>-8.4722222222222227E-2</v>
      </c>
    </row>
    <row r="155" spans="1:40" x14ac:dyDescent="0.25">
      <c r="A155" s="99">
        <v>83</v>
      </c>
      <c r="B155" s="99"/>
      <c r="C155" s="99" t="s">
        <v>13655</v>
      </c>
      <c r="D155" s="99"/>
      <c r="E155" s="99" t="s">
        <v>148</v>
      </c>
      <c r="F155" s="99" t="s">
        <v>1575</v>
      </c>
      <c r="G155" s="99" t="s">
        <v>13695</v>
      </c>
      <c r="H155" s="99">
        <v>0</v>
      </c>
      <c r="I155" s="99">
        <v>0</v>
      </c>
      <c r="J155" s="99">
        <v>0</v>
      </c>
      <c r="K155" s="101" t="str">
        <f t="shared" si="18"/>
        <v>0x0x0</v>
      </c>
      <c r="L155" s="102">
        <f t="shared" si="19"/>
        <v>0</v>
      </c>
      <c r="M155" s="113">
        <f t="shared" si="20"/>
        <v>0</v>
      </c>
      <c r="N155" s="113">
        <f t="shared" si="21"/>
        <v>0</v>
      </c>
      <c r="O155" s="99">
        <v>0</v>
      </c>
      <c r="P155" s="113">
        <f t="shared" si="22"/>
        <v>0</v>
      </c>
      <c r="Q155" s="112">
        <f t="shared" si="23"/>
        <v>0</v>
      </c>
      <c r="R155" s="112" t="str">
        <f t="shared" si="24"/>
        <v>Standard-size</v>
      </c>
      <c r="S155" s="99" t="str">
        <f t="shared" si="25"/>
        <v>Small standard-size</v>
      </c>
      <c r="T155" s="116" t="s">
        <v>13696</v>
      </c>
      <c r="U155" s="116">
        <f t="shared" si="26"/>
        <v>0</v>
      </c>
      <c r="V155" s="116" t="s">
        <v>13583</v>
      </c>
      <c r="W155" s="116" t="s">
        <v>13690</v>
      </c>
      <c r="X155" s="99" t="s">
        <v>13583</v>
      </c>
      <c r="Y155" s="99">
        <v>1</v>
      </c>
      <c r="Z155" s="99">
        <v>1</v>
      </c>
      <c r="AA155" s="99">
        <v>1</v>
      </c>
      <c r="AB155" s="99"/>
      <c r="AC155" s="99"/>
      <c r="AD155" s="107">
        <v>0</v>
      </c>
      <c r="AE155" s="113">
        <f t="shared" si="27"/>
        <v>0</v>
      </c>
      <c r="AF155" s="116">
        <f>-IFERROR(IFERROR(VLOOKUP(ROUNDUP($Q155,0),'FBA FEES'!$L$2:$Q$203,MATCH($S155,'FBA FEES'!$L$2:$Q$2,0),FALSE),VLOOKUP(ROUNDUP($Q155,0),'FBA FEES'!$C$6:$F$123,MATCH($S155,'FBA FEES'!$C$6:$F$6,0),FALSE)),0)</f>
        <v>0</v>
      </c>
      <c r="AG155" s="116">
        <v>-10</v>
      </c>
      <c r="AH155" s="113">
        <f t="shared" si="28"/>
        <v>0</v>
      </c>
      <c r="AI155" s="116">
        <f>-IFERROR(IF($Y155=1,INDEX('[1]REMOVAL FEES'!$A$1:$C$22,MATCH(CONCATENATE("Standard Size",$P155),'[1]REMOVAL FEES'!$A$1:$A$22,0),3),IF($Y155=2,IF($P155&gt;10,(($P155-10)*1.06)+INDEX('[1]REMOVAL FEES'!$E$1:$G$22,MATCH(CONCATENATE("Large bulky, extra-large and special handling items",IF($P155&gt;=11,11,$P155)),'[1]REMOVAL FEES'!$E$1:$E$13,0),3),INDEX('[1]REMOVAL FEES'!$E$1:$G$22,MATCH(CONCATENATE("Large bulky, extra-large and special handling items",IF($P155&gt;=11,11,$P155)),'[1]REMOVAL FEES'!$E$1:$E$13,0),3))))*$AA155,FALSE)</f>
        <v>0</v>
      </c>
      <c r="AJ155" s="107">
        <f t="shared" si="29"/>
        <v>0</v>
      </c>
      <c r="AK155" s="107">
        <v>0</v>
      </c>
      <c r="AL155" s="107">
        <v>0</v>
      </c>
      <c r="AM155" s="107">
        <f t="shared" si="30"/>
        <v>0</v>
      </c>
      <c r="AN155" s="116">
        <f>(-IF($V155="Yes", IF($X155="Yes", VLOOKUP($W155, '[1]Storage Fees'!A:M, 13, FALSE), VLOOKUP($W155, '[1]Storage Fees'!A:M, 10, FALSE)), IF($X155="Yes", VLOOKUP($W155, '[1]Storage Fees'!A:M, 7, FALSE), VLOOKUP($W155, '[1]Storage Fees'!A:M, 4, FALSE))) * U155)*1.5</f>
        <v>0</v>
      </c>
    </row>
    <row r="156" spans="1:40" x14ac:dyDescent="0.25">
      <c r="A156" s="99">
        <v>84</v>
      </c>
      <c r="B156" s="99"/>
      <c r="C156" s="99" t="s">
        <v>13655</v>
      </c>
      <c r="D156" s="99"/>
      <c r="E156" s="99" t="s">
        <v>148</v>
      </c>
      <c r="F156" s="99" t="s">
        <v>1577</v>
      </c>
      <c r="G156" s="99" t="s">
        <v>13695</v>
      </c>
      <c r="H156" s="99">
        <v>0</v>
      </c>
      <c r="I156" s="99">
        <v>0</v>
      </c>
      <c r="J156" s="99">
        <v>0</v>
      </c>
      <c r="K156" s="101" t="str">
        <f t="shared" si="18"/>
        <v>0x0x0</v>
      </c>
      <c r="L156" s="102">
        <f t="shared" si="19"/>
        <v>0</v>
      </c>
      <c r="M156" s="113">
        <f t="shared" si="20"/>
        <v>0</v>
      </c>
      <c r="N156" s="113">
        <f t="shared" si="21"/>
        <v>0</v>
      </c>
      <c r="O156" s="99">
        <v>0</v>
      </c>
      <c r="P156" s="113">
        <f t="shared" si="22"/>
        <v>0</v>
      </c>
      <c r="Q156" s="112">
        <f t="shared" si="23"/>
        <v>0</v>
      </c>
      <c r="R156" s="112" t="str">
        <f t="shared" si="24"/>
        <v>Standard-size</v>
      </c>
      <c r="S156" s="99" t="str">
        <f t="shared" si="25"/>
        <v>Small standard-size</v>
      </c>
      <c r="T156" s="116" t="s">
        <v>13696</v>
      </c>
      <c r="U156" s="116">
        <f t="shared" si="26"/>
        <v>0</v>
      </c>
      <c r="V156" s="116" t="s">
        <v>13583</v>
      </c>
      <c r="W156" s="116" t="s">
        <v>13690</v>
      </c>
      <c r="X156" s="99" t="s">
        <v>13583</v>
      </c>
      <c r="Y156" s="99">
        <v>1</v>
      </c>
      <c r="Z156" s="99">
        <v>1</v>
      </c>
      <c r="AA156" s="99">
        <v>1</v>
      </c>
      <c r="AB156" s="99"/>
      <c r="AC156" s="99"/>
      <c r="AD156" s="107">
        <v>0</v>
      </c>
      <c r="AE156" s="113">
        <f t="shared" si="27"/>
        <v>0</v>
      </c>
      <c r="AF156" s="116">
        <f>-IFERROR(IFERROR(VLOOKUP(ROUNDUP($Q156,0),'FBA FEES'!$L$2:$Q$203,MATCH($S156,'FBA FEES'!$L$2:$Q$2,0),FALSE),VLOOKUP(ROUNDUP($Q156,0),'FBA FEES'!$C$6:$F$123,MATCH($S156,'FBA FEES'!$C$6:$F$6,0),FALSE)),0)</f>
        <v>0</v>
      </c>
      <c r="AG156" s="116">
        <v>-10</v>
      </c>
      <c r="AH156" s="113">
        <f t="shared" si="28"/>
        <v>0</v>
      </c>
      <c r="AI156" s="116">
        <f>-IFERROR(IF($Y156=1,INDEX('[1]REMOVAL FEES'!$A$1:$C$22,MATCH(CONCATENATE("Standard Size",$P156),'[1]REMOVAL FEES'!$A$1:$A$22,0),3),IF($Y156=2,IF($P156&gt;10,(($P156-10)*1.06)+INDEX('[1]REMOVAL FEES'!$E$1:$G$22,MATCH(CONCATENATE("Large bulky, extra-large and special handling items",IF($P156&gt;=11,11,$P156)),'[1]REMOVAL FEES'!$E$1:$E$13,0),3),INDEX('[1]REMOVAL FEES'!$E$1:$G$22,MATCH(CONCATENATE("Large bulky, extra-large and special handling items",IF($P156&gt;=11,11,$P156)),'[1]REMOVAL FEES'!$E$1:$E$13,0),3))))*$AA156,FALSE)</f>
        <v>0</v>
      </c>
      <c r="AJ156" s="107">
        <f t="shared" si="29"/>
        <v>0</v>
      </c>
      <c r="AK156" s="107">
        <v>0</v>
      </c>
      <c r="AL156" s="107">
        <v>0</v>
      </c>
      <c r="AM156" s="107">
        <f t="shared" si="30"/>
        <v>0</v>
      </c>
      <c r="AN156" s="116">
        <f>(-IF($V156="Yes", IF($X156="Yes", VLOOKUP($W156, '[1]Storage Fees'!A:M, 13, FALSE), VLOOKUP($W156, '[1]Storage Fees'!A:M, 10, FALSE)), IF($X156="Yes", VLOOKUP($W156, '[1]Storage Fees'!A:M, 7, FALSE), VLOOKUP($W156, '[1]Storage Fees'!A:M, 4, FALSE))) * U156)*1.5</f>
        <v>0</v>
      </c>
    </row>
    <row r="157" spans="1:40" x14ac:dyDescent="0.25">
      <c r="A157" s="99">
        <v>85</v>
      </c>
      <c r="B157" s="99" t="s">
        <v>13700</v>
      </c>
      <c r="C157" s="99"/>
      <c r="D157" s="99"/>
      <c r="E157" s="99" t="s">
        <v>148</v>
      </c>
      <c r="F157" s="99" t="s">
        <v>153</v>
      </c>
      <c r="G157" s="99" t="s">
        <v>13656</v>
      </c>
      <c r="H157" s="99">
        <v>8</v>
      </c>
      <c r="I157" s="99">
        <v>5</v>
      </c>
      <c r="J157" s="99">
        <v>3</v>
      </c>
      <c r="K157" s="101" t="str">
        <f t="shared" si="18"/>
        <v>8x5x3</v>
      </c>
      <c r="L157" s="102">
        <f t="shared" si="19"/>
        <v>0.86330935251798557</v>
      </c>
      <c r="M157" s="113">
        <f t="shared" si="20"/>
        <v>0.86330935251798557</v>
      </c>
      <c r="N157" s="113">
        <f t="shared" si="21"/>
        <v>1</v>
      </c>
      <c r="O157" s="99">
        <v>4</v>
      </c>
      <c r="P157" s="113">
        <f t="shared" si="22"/>
        <v>4</v>
      </c>
      <c r="Q157" s="112">
        <f t="shared" si="23"/>
        <v>64</v>
      </c>
      <c r="R157" s="112" t="str">
        <f t="shared" si="24"/>
        <v>Standard-size</v>
      </c>
      <c r="S157" s="99" t="str">
        <f t="shared" si="25"/>
        <v>Large standard-size</v>
      </c>
      <c r="T157" s="116" t="s">
        <v>13693</v>
      </c>
      <c r="U157" s="116">
        <f t="shared" si="26"/>
        <v>6.9444444444444448E-2</v>
      </c>
      <c r="V157" s="116" t="s">
        <v>13583</v>
      </c>
      <c r="W157" s="116" t="s">
        <v>13690</v>
      </c>
      <c r="X157" s="99" t="s">
        <v>13583</v>
      </c>
      <c r="Y157" s="99">
        <v>1</v>
      </c>
      <c r="Z157" s="99">
        <v>2</v>
      </c>
      <c r="AA157" s="99">
        <v>1</v>
      </c>
      <c r="AB157" s="99"/>
      <c r="AC157" s="99"/>
      <c r="AD157" s="107">
        <v>22.846274985250449</v>
      </c>
      <c r="AE157" s="113">
        <f t="shared" si="27"/>
        <v>-3.4269412477875671</v>
      </c>
      <c r="AF157" s="116">
        <f>-IFERROR(IFERROR(VLOOKUP(ROUNDUP($Q157,0),'FBA FEES'!$L$2:$Q$203,MATCH($S157,'FBA FEES'!$L$2:$Q$2,0),FALSE),VLOOKUP(ROUNDUP($Q157,0),'FBA FEES'!$C$6:$F$123,MATCH($S157,'FBA FEES'!$C$6:$F$6,0),FALSE)),0)</f>
        <v>-7.24</v>
      </c>
      <c r="AG157" s="116">
        <v>-10</v>
      </c>
      <c r="AH157" s="113">
        <f t="shared" si="28"/>
        <v>-10.666941247787568</v>
      </c>
      <c r="AI157" s="116">
        <f>-IFERROR(IF($Y157=1,INDEX('[1]REMOVAL FEES'!$A$1:$C$22,MATCH(CONCATENATE("Standard Size",$P157),'[1]REMOVAL FEES'!$A$1:$A$22,0),3),IF($Y157=2,IF($P157&gt;10,(($P157-10)*1.06)+INDEX('[1]REMOVAL FEES'!$E$1:$G$22,MATCH(CONCATENATE("Large bulky, extra-large and special handling items",IF($P157&gt;=11,11,$P157)),'[1]REMOVAL FEES'!$E$1:$E$13,0),3),INDEX('[1]REMOVAL FEES'!$E$1:$G$22,MATCH(CONCATENATE("Large bulky, extra-large and special handling items",IF($P157&gt;=11,11,$P157)),'[1]REMOVAL FEES'!$E$1:$E$13,0),3))))*$AA157,FALSE)</f>
        <v>-5.01</v>
      </c>
      <c r="AJ157" s="107">
        <f t="shared" si="29"/>
        <v>-15.676941247787568</v>
      </c>
      <c r="AK157" s="107">
        <v>-7.8734867256639607</v>
      </c>
      <c r="AL157" s="107">
        <v>-1.271791067823822</v>
      </c>
      <c r="AM157" s="107">
        <f t="shared" si="30"/>
        <v>-9.1452777934877822</v>
      </c>
      <c r="AN157" s="116">
        <f>(-IF($V157="Yes", IF($X157="Yes", VLOOKUP($W157, '[1]Storage Fees'!A:M, 13, FALSE), VLOOKUP($W157, '[1]Storage Fees'!A:M, 10, FALSE)), IF($X157="Yes", VLOOKUP($W157, '[1]Storage Fees'!A:M, 7, FALSE), VLOOKUP($W157, '[1]Storage Fees'!A:M, 4, FALSE))) * U157)*1.5</f>
        <v>-0.12708333333333333</v>
      </c>
    </row>
    <row r="158" spans="1:40" x14ac:dyDescent="0.25">
      <c r="A158" s="99">
        <v>86</v>
      </c>
      <c r="B158" s="99"/>
      <c r="C158" s="99" t="s">
        <v>13655</v>
      </c>
      <c r="D158" s="99"/>
      <c r="E158" s="99" t="s">
        <v>148</v>
      </c>
      <c r="F158" s="99" t="s">
        <v>1579</v>
      </c>
      <c r="G158" s="99" t="s">
        <v>13656</v>
      </c>
      <c r="H158" s="99">
        <v>0</v>
      </c>
      <c r="I158" s="99">
        <v>0</v>
      </c>
      <c r="J158" s="99">
        <v>0</v>
      </c>
      <c r="K158" s="101" t="str">
        <f t="shared" si="18"/>
        <v>0x0x0</v>
      </c>
      <c r="L158" s="102">
        <f t="shared" si="19"/>
        <v>0</v>
      </c>
      <c r="M158" s="113">
        <f t="shared" si="20"/>
        <v>0</v>
      </c>
      <c r="N158" s="113">
        <f t="shared" si="21"/>
        <v>0</v>
      </c>
      <c r="O158" s="99">
        <v>0</v>
      </c>
      <c r="P158" s="113">
        <f t="shared" si="22"/>
        <v>0</v>
      </c>
      <c r="Q158" s="112">
        <f t="shared" si="23"/>
        <v>0</v>
      </c>
      <c r="R158" s="112" t="str">
        <f t="shared" si="24"/>
        <v>Standard-size</v>
      </c>
      <c r="S158" s="99" t="str">
        <f t="shared" si="25"/>
        <v>Small standard-size</v>
      </c>
      <c r="T158" s="116" t="s">
        <v>13696</v>
      </c>
      <c r="U158" s="116">
        <f t="shared" si="26"/>
        <v>0</v>
      </c>
      <c r="V158" s="116" t="s">
        <v>13583</v>
      </c>
      <c r="W158" s="116" t="s">
        <v>13690</v>
      </c>
      <c r="X158" s="99" t="s">
        <v>13583</v>
      </c>
      <c r="Y158" s="99">
        <v>1</v>
      </c>
      <c r="Z158" s="99">
        <v>1</v>
      </c>
      <c r="AA158" s="99">
        <v>1</v>
      </c>
      <c r="AB158" s="99"/>
      <c r="AC158" s="99"/>
      <c r="AD158" s="107">
        <v>29.40933333333334</v>
      </c>
      <c r="AE158" s="113">
        <f t="shared" si="27"/>
        <v>-4.4114000000000004</v>
      </c>
      <c r="AF158" s="116">
        <f>-IFERROR(IFERROR(VLOOKUP(ROUNDUP($Q158,0),'FBA FEES'!$L$2:$Q$203,MATCH($S158,'FBA FEES'!$L$2:$Q$2,0),FALSE),VLOOKUP(ROUNDUP($Q158,0),'FBA FEES'!$C$6:$F$123,MATCH($S158,'FBA FEES'!$C$6:$F$6,0),FALSE)),0)</f>
        <v>0</v>
      </c>
      <c r="AG158" s="116">
        <v>-10</v>
      </c>
      <c r="AH158" s="113">
        <f t="shared" si="28"/>
        <v>-4.4114000000000004</v>
      </c>
      <c r="AI158" s="116">
        <f>-IFERROR(IF($Y158=1,INDEX('[1]REMOVAL FEES'!$A$1:$C$22,MATCH(CONCATENATE("Standard Size",$P158),'[1]REMOVAL FEES'!$A$1:$A$22,0),3),IF($Y158=2,IF($P158&gt;10,(($P158-10)*1.06)+INDEX('[1]REMOVAL FEES'!$E$1:$G$22,MATCH(CONCATENATE("Large bulky, extra-large and special handling items",IF($P158&gt;=11,11,$P158)),'[1]REMOVAL FEES'!$E$1:$E$13,0),3),INDEX('[1]REMOVAL FEES'!$E$1:$G$22,MATCH(CONCATENATE("Large bulky, extra-large and special handling items",IF($P158&gt;=11,11,$P158)),'[1]REMOVAL FEES'!$E$1:$E$13,0),3))))*$AA158,FALSE)</f>
        <v>0</v>
      </c>
      <c r="AJ158" s="107">
        <f t="shared" si="29"/>
        <v>-4.4114000000000004</v>
      </c>
      <c r="AK158" s="107">
        <v>-12.127333333333331</v>
      </c>
      <c r="AL158" s="107">
        <v>-2.101473528665589</v>
      </c>
      <c r="AM158" s="107">
        <f t="shared" si="30"/>
        <v>-14.228806861998919</v>
      </c>
      <c r="AN158" s="116">
        <f>(-IF($V158="Yes", IF($X158="Yes", VLOOKUP($W158, '[1]Storage Fees'!A:M, 13, FALSE), VLOOKUP($W158, '[1]Storage Fees'!A:M, 10, FALSE)), IF($X158="Yes", VLOOKUP($W158, '[1]Storage Fees'!A:M, 7, FALSE), VLOOKUP($W158, '[1]Storage Fees'!A:M, 4, FALSE))) * U158)*1.5</f>
        <v>0</v>
      </c>
    </row>
    <row r="159" spans="1:40" x14ac:dyDescent="0.25">
      <c r="A159" s="99">
        <v>87</v>
      </c>
      <c r="B159" s="99" t="s">
        <v>13700</v>
      </c>
      <c r="C159" s="99"/>
      <c r="D159" s="99"/>
      <c r="E159" s="99" t="s">
        <v>148</v>
      </c>
      <c r="F159" s="99" t="s">
        <v>155</v>
      </c>
      <c r="G159" s="99" t="s">
        <v>13695</v>
      </c>
      <c r="H159" s="99">
        <v>12</v>
      </c>
      <c r="I159" s="99">
        <v>10</v>
      </c>
      <c r="J159" s="99">
        <v>5</v>
      </c>
      <c r="K159" s="101" t="str">
        <f t="shared" si="18"/>
        <v>12x10x5</v>
      </c>
      <c r="L159" s="102">
        <f t="shared" si="19"/>
        <v>4.3165467625899279</v>
      </c>
      <c r="M159" s="113">
        <f t="shared" si="20"/>
        <v>4.3165467625899279</v>
      </c>
      <c r="N159" s="113">
        <f t="shared" si="21"/>
        <v>5</v>
      </c>
      <c r="O159" s="99">
        <v>22.3125</v>
      </c>
      <c r="P159" s="113">
        <f t="shared" si="22"/>
        <v>23</v>
      </c>
      <c r="Q159" s="112">
        <f t="shared" si="23"/>
        <v>368</v>
      </c>
      <c r="R159" s="112" t="str">
        <f t="shared" si="24"/>
        <v>Oversize</v>
      </c>
      <c r="S159" s="99" t="str">
        <f t="shared" si="25"/>
        <v>Large bulky</v>
      </c>
      <c r="T159" s="116" t="s">
        <v>13692</v>
      </c>
      <c r="U159" s="116">
        <f t="shared" si="26"/>
        <v>0.34722222222222221</v>
      </c>
      <c r="V159" s="116" t="s">
        <v>13583</v>
      </c>
      <c r="W159" s="116" t="s">
        <v>13690</v>
      </c>
      <c r="X159" s="116" t="s">
        <v>13691</v>
      </c>
      <c r="Y159" s="116">
        <v>2</v>
      </c>
      <c r="Z159" s="116">
        <v>3</v>
      </c>
      <c r="AA159" s="116">
        <v>1</v>
      </c>
      <c r="AB159" s="99"/>
      <c r="AC159" s="99"/>
      <c r="AD159" s="107">
        <v>132.95739495798301</v>
      </c>
      <c r="AE159" s="113">
        <f t="shared" si="27"/>
        <v>-19.943609243697452</v>
      </c>
      <c r="AF159" s="116">
        <f>-IFERROR(IFERROR(VLOOKUP(ROUNDUP($Q159,0),'FBA FEES'!$L$2:$Q$203,MATCH($S159,'FBA FEES'!$L$2:$Q$2,0),FALSE),VLOOKUP(ROUNDUP($Q159,0),'FBA FEES'!$C$6:$F$123,MATCH($S159,'FBA FEES'!$C$6:$F$6,0),FALSE)),0)</f>
        <v>-17.97</v>
      </c>
      <c r="AG159" s="116">
        <v>-10</v>
      </c>
      <c r="AH159" s="113">
        <f t="shared" si="28"/>
        <v>-37.913609243697451</v>
      </c>
      <c r="AI159" s="116">
        <f>-IFERROR(IF($Y159=1,INDEX('[1]REMOVAL FEES'!$A$1:$C$22,MATCH(CONCATENATE("Standard Size",$P159),'[1]REMOVAL FEES'!$A$1:$A$22,0),3),IF($Y159=2,IF($P159&gt;10,(($P159-10)*1.06)+INDEX('[1]REMOVAL FEES'!$E$1:$G$22,MATCH(CONCATENATE("Large bulky, extra-large and special handling items",IF($P159&gt;=11,11,$P159)),'[1]REMOVAL FEES'!$E$1:$E$13,0),3),INDEX('[1]REMOVAL FEES'!$E$1:$G$22,MATCH(CONCATENATE("Large bulky, extra-large and special handling items",IF($P159&gt;=11,11,$P159)),'[1]REMOVAL FEES'!$E$1:$E$13,0),3))))*$AA159,FALSE)</f>
        <v>-28.1</v>
      </c>
      <c r="AJ159" s="107">
        <f t="shared" si="29"/>
        <v>-66.013609243697459</v>
      </c>
      <c r="AK159" s="107">
        <v>-59.919159663865557</v>
      </c>
      <c r="AL159" s="107">
        <v>-9.8736827041422703</v>
      </c>
      <c r="AM159" s="107">
        <f t="shared" si="30"/>
        <v>-69.792842368007825</v>
      </c>
      <c r="AN159" s="116">
        <f>(-IF($V159="Yes", IF($X159="Yes", VLOOKUP($W159, '[1]Storage Fees'!A:M, 13, FALSE), VLOOKUP($W159, '[1]Storage Fees'!A:M, 10, FALSE)), IF($X159="Yes", VLOOKUP($W159, '[1]Storage Fees'!A:M, 7, FALSE), VLOOKUP($W159, '[1]Storage Fees'!A:M, 4, FALSE))) * U159)*1.5</f>
        <v>-0.41145833333333337</v>
      </c>
    </row>
    <row r="160" spans="1:40" x14ac:dyDescent="0.25">
      <c r="A160" s="99">
        <v>88</v>
      </c>
      <c r="B160" s="99"/>
      <c r="C160" s="99" t="s">
        <v>13655</v>
      </c>
      <c r="D160" s="99"/>
      <c r="E160" s="99" t="s">
        <v>148</v>
      </c>
      <c r="F160" s="99" t="s">
        <v>1581</v>
      </c>
      <c r="G160" s="99" t="s">
        <v>13695</v>
      </c>
      <c r="H160" s="99">
        <v>0</v>
      </c>
      <c r="I160" s="99">
        <v>0</v>
      </c>
      <c r="J160" s="99">
        <v>0</v>
      </c>
      <c r="K160" s="101" t="str">
        <f t="shared" si="18"/>
        <v>0x0x0</v>
      </c>
      <c r="L160" s="102">
        <f t="shared" si="19"/>
        <v>0</v>
      </c>
      <c r="M160" s="113">
        <f t="shared" si="20"/>
        <v>0</v>
      </c>
      <c r="N160" s="113">
        <f t="shared" si="21"/>
        <v>0</v>
      </c>
      <c r="O160" s="99">
        <v>0</v>
      </c>
      <c r="P160" s="113">
        <f t="shared" si="22"/>
        <v>0</v>
      </c>
      <c r="Q160" s="112">
        <f t="shared" si="23"/>
        <v>0</v>
      </c>
      <c r="R160" s="112" t="str">
        <f t="shared" si="24"/>
        <v>Standard-size</v>
      </c>
      <c r="S160" s="99" t="str">
        <f t="shared" si="25"/>
        <v>Small standard-size</v>
      </c>
      <c r="T160" s="116" t="s">
        <v>13696</v>
      </c>
      <c r="U160" s="116">
        <f t="shared" si="26"/>
        <v>0</v>
      </c>
      <c r="V160" s="116" t="s">
        <v>13583</v>
      </c>
      <c r="W160" s="116" t="s">
        <v>13690</v>
      </c>
      <c r="X160" s="99" t="s">
        <v>13583</v>
      </c>
      <c r="Y160" s="99">
        <v>1</v>
      </c>
      <c r="Z160" s="99">
        <v>1</v>
      </c>
      <c r="AA160" s="99">
        <v>1</v>
      </c>
      <c r="AB160" s="99"/>
      <c r="AC160" s="99"/>
      <c r="AD160" s="107">
        <v>0</v>
      </c>
      <c r="AE160" s="113">
        <f t="shared" si="27"/>
        <v>0</v>
      </c>
      <c r="AF160" s="116">
        <f>-IFERROR(IFERROR(VLOOKUP(ROUNDUP($Q160,0),'FBA FEES'!$L$2:$Q$203,MATCH($S160,'FBA FEES'!$L$2:$Q$2,0),FALSE),VLOOKUP(ROUNDUP($Q160,0),'FBA FEES'!$C$6:$F$123,MATCH($S160,'FBA FEES'!$C$6:$F$6,0),FALSE)),0)</f>
        <v>0</v>
      </c>
      <c r="AG160" s="116">
        <v>-10</v>
      </c>
      <c r="AH160" s="113">
        <f t="shared" si="28"/>
        <v>0</v>
      </c>
      <c r="AI160" s="116">
        <f>-IFERROR(IF($Y160=1,INDEX('[1]REMOVAL FEES'!$A$1:$C$22,MATCH(CONCATENATE("Standard Size",$P160),'[1]REMOVAL FEES'!$A$1:$A$22,0),3),IF($Y160=2,IF($P160&gt;10,(($P160-10)*1.06)+INDEX('[1]REMOVAL FEES'!$E$1:$G$22,MATCH(CONCATENATE("Large bulky, extra-large and special handling items",IF($P160&gt;=11,11,$P160)),'[1]REMOVAL FEES'!$E$1:$E$13,0),3),INDEX('[1]REMOVAL FEES'!$E$1:$G$22,MATCH(CONCATENATE("Large bulky, extra-large and special handling items",IF($P160&gt;=11,11,$P160)),'[1]REMOVAL FEES'!$E$1:$E$13,0),3))))*$AA160,FALSE)</f>
        <v>0</v>
      </c>
      <c r="AJ160" s="107">
        <f t="shared" si="29"/>
        <v>0</v>
      </c>
      <c r="AK160" s="107">
        <v>0</v>
      </c>
      <c r="AL160" s="107">
        <v>0</v>
      </c>
      <c r="AM160" s="107">
        <f t="shared" si="30"/>
        <v>0</v>
      </c>
      <c r="AN160" s="116">
        <f>(-IF($V160="Yes", IF($X160="Yes", VLOOKUP($W160, '[1]Storage Fees'!A:M, 13, FALSE), VLOOKUP($W160, '[1]Storage Fees'!A:M, 10, FALSE)), IF($X160="Yes", VLOOKUP($W160, '[1]Storage Fees'!A:M, 7, FALSE), VLOOKUP($W160, '[1]Storage Fees'!A:M, 4, FALSE))) * U160)*1.5</f>
        <v>0</v>
      </c>
    </row>
    <row r="161" spans="1:40" x14ac:dyDescent="0.25">
      <c r="A161" s="99">
        <v>89</v>
      </c>
      <c r="B161" s="99" t="s">
        <v>13700</v>
      </c>
      <c r="C161" s="99"/>
      <c r="D161" s="99"/>
      <c r="E161" s="99" t="s">
        <v>148</v>
      </c>
      <c r="F161" s="99" t="s">
        <v>157</v>
      </c>
      <c r="G161" s="99" t="s">
        <v>13695</v>
      </c>
      <c r="H161" s="99">
        <v>19</v>
      </c>
      <c r="I161" s="99">
        <v>9</v>
      </c>
      <c r="J161" s="99">
        <v>6</v>
      </c>
      <c r="K161" s="101" t="str">
        <f t="shared" si="18"/>
        <v>19x9x6</v>
      </c>
      <c r="L161" s="102">
        <f t="shared" si="19"/>
        <v>7.3812949640287773</v>
      </c>
      <c r="M161" s="113">
        <f t="shared" si="20"/>
        <v>7.3812949640287773</v>
      </c>
      <c r="N161" s="113">
        <f t="shared" si="21"/>
        <v>8</v>
      </c>
      <c r="O161" s="99">
        <v>19</v>
      </c>
      <c r="P161" s="113">
        <f t="shared" si="22"/>
        <v>19</v>
      </c>
      <c r="Q161" s="112">
        <f t="shared" si="23"/>
        <v>304</v>
      </c>
      <c r="R161" s="112" t="str">
        <f t="shared" si="24"/>
        <v>Oversize</v>
      </c>
      <c r="S161" s="99" t="str">
        <f t="shared" si="25"/>
        <v>Large bulky</v>
      </c>
      <c r="T161" s="116" t="s">
        <v>13692</v>
      </c>
      <c r="U161" s="116">
        <f t="shared" si="26"/>
        <v>0.59375</v>
      </c>
      <c r="V161" s="116" t="s">
        <v>13583</v>
      </c>
      <c r="W161" s="116" t="s">
        <v>13690</v>
      </c>
      <c r="X161" s="116" t="s">
        <v>13691</v>
      </c>
      <c r="Y161" s="116">
        <v>2</v>
      </c>
      <c r="Z161" s="116">
        <v>3</v>
      </c>
      <c r="AA161" s="116">
        <v>1</v>
      </c>
      <c r="AB161" s="99"/>
      <c r="AC161" s="99"/>
      <c r="AD161" s="107">
        <v>109.312855791337</v>
      </c>
      <c r="AE161" s="113">
        <f t="shared" si="27"/>
        <v>-16.39692836870055</v>
      </c>
      <c r="AF161" s="118">
        <f>-IFERROR(IFERROR(VLOOKUP(ROUNDUP($Q161,0),'FBA FEES'!$L$2:$Q$203,MATCH($S161,'FBA FEES'!$L$2:$Q$2,0),FALSE),VLOOKUP(ROUNDUP($Q161,0),'FBA FEES'!$C$6:$F$123,MATCH($S161,'FBA FEES'!$C$6:$F$6,0),FALSE)),0)</f>
        <v>-16.45</v>
      </c>
      <c r="AG161" s="116">
        <v>-10</v>
      </c>
      <c r="AH161" s="113">
        <f t="shared" si="28"/>
        <v>-32.846928368700546</v>
      </c>
      <c r="AI161" s="118">
        <f>-IFERROR(IF($Y161=1,INDEX('[1]REMOVAL FEES'!$A$1:$C$22,MATCH(CONCATENATE("Standard Size",$P161),'[1]REMOVAL FEES'!$A$1:$A$22,0),3),IF($Y161=2,IF($P161&gt;10,(($P161-10)*1.06)+INDEX('[1]REMOVAL FEES'!$E$1:$G$22,MATCH(CONCATENATE("Large bulky, extra-large and special handling items",IF($P161&gt;=11,11,$P161)),'[1]REMOVAL FEES'!$E$1:$E$13,0),3),INDEX('[1]REMOVAL FEES'!$E$1:$G$22,MATCH(CONCATENATE("Large bulky, extra-large and special handling items",IF($P161&gt;=11,11,$P161)),'[1]REMOVAL FEES'!$E$1:$E$13,0),3))))*$AA161,FALSE)</f>
        <v>-23.86</v>
      </c>
      <c r="AJ161" s="107">
        <f t="shared" si="29"/>
        <v>-56.706928368700545</v>
      </c>
      <c r="AK161" s="107">
        <v>-49.689991158267169</v>
      </c>
      <c r="AL161" s="107">
        <v>-7.3647299520838612</v>
      </c>
      <c r="AM161" s="107">
        <f t="shared" si="30"/>
        <v>-57.054721110351032</v>
      </c>
      <c r="AN161" s="118">
        <f>(-IF($V161="Yes", IF($X161="Yes", VLOOKUP($W161, '[1]Storage Fees'!A:M, 13, FALSE), VLOOKUP($W161, '[1]Storage Fees'!A:M, 10, FALSE)), IF($X161="Yes", VLOOKUP($W161, '[1]Storage Fees'!A:M, 7, FALSE), VLOOKUP($W161, '[1]Storage Fees'!A:M, 4, FALSE))) * U161)*1.5</f>
        <v>-0.70359375000000002</v>
      </c>
    </row>
    <row r="162" spans="1:40" x14ac:dyDescent="0.25">
      <c r="A162" s="99">
        <v>90</v>
      </c>
      <c r="B162" s="99"/>
      <c r="C162" s="99" t="s">
        <v>13655</v>
      </c>
      <c r="D162" s="99"/>
      <c r="E162" s="99" t="s">
        <v>148</v>
      </c>
      <c r="F162" s="99" t="s">
        <v>1583</v>
      </c>
      <c r="G162" s="99" t="s">
        <v>13695</v>
      </c>
      <c r="H162" s="99">
        <v>0</v>
      </c>
      <c r="I162" s="99">
        <v>0</v>
      </c>
      <c r="J162" s="99">
        <v>0</v>
      </c>
      <c r="K162" s="101" t="str">
        <f t="shared" si="18"/>
        <v>0x0x0</v>
      </c>
      <c r="L162" s="102">
        <f t="shared" si="19"/>
        <v>0</v>
      </c>
      <c r="M162" s="113">
        <f t="shared" si="20"/>
        <v>0</v>
      </c>
      <c r="N162" s="113">
        <f t="shared" si="21"/>
        <v>0</v>
      </c>
      <c r="O162" s="99">
        <v>0</v>
      </c>
      <c r="P162" s="113">
        <f t="shared" si="22"/>
        <v>0</v>
      </c>
      <c r="Q162" s="112">
        <f t="shared" si="23"/>
        <v>0</v>
      </c>
      <c r="R162" s="112" t="str">
        <f t="shared" si="24"/>
        <v>Standard-size</v>
      </c>
      <c r="S162" s="99" t="str">
        <f t="shared" si="25"/>
        <v>Small standard-size</v>
      </c>
      <c r="T162" s="116" t="s">
        <v>13696</v>
      </c>
      <c r="U162" s="116">
        <f t="shared" si="26"/>
        <v>0</v>
      </c>
      <c r="V162" s="116" t="s">
        <v>13583</v>
      </c>
      <c r="W162" s="116" t="s">
        <v>13690</v>
      </c>
      <c r="X162" s="99" t="s">
        <v>13583</v>
      </c>
      <c r="Y162" s="99">
        <v>1</v>
      </c>
      <c r="Z162" s="99">
        <v>1</v>
      </c>
      <c r="AA162" s="99">
        <v>1</v>
      </c>
      <c r="AB162" s="99"/>
      <c r="AC162" s="99"/>
      <c r="AD162" s="107">
        <v>0</v>
      </c>
      <c r="AE162" s="113">
        <f t="shared" si="27"/>
        <v>0</v>
      </c>
      <c r="AF162" s="116">
        <f>-IFERROR(IFERROR(VLOOKUP(ROUNDUP($Q162,0),'FBA FEES'!$L$2:$Q$203,MATCH($S162,'FBA FEES'!$L$2:$Q$2,0),FALSE),VLOOKUP(ROUNDUP($Q162,0),'FBA FEES'!$C$6:$F$123,MATCH($S162,'FBA FEES'!$C$6:$F$6,0),FALSE)),0)</f>
        <v>0</v>
      </c>
      <c r="AG162" s="116">
        <v>-10</v>
      </c>
      <c r="AH162" s="113">
        <f t="shared" si="28"/>
        <v>0</v>
      </c>
      <c r="AI162" s="116">
        <f>-IFERROR(IF($Y162=1,INDEX('[1]REMOVAL FEES'!$A$1:$C$22,MATCH(CONCATENATE("Standard Size",$P162),'[1]REMOVAL FEES'!$A$1:$A$22,0),3),IF($Y162=2,IF($P162&gt;10,(($P162-10)*1.06)+INDEX('[1]REMOVAL FEES'!$E$1:$G$22,MATCH(CONCATENATE("Large bulky, extra-large and special handling items",IF($P162&gt;=11,11,$P162)),'[1]REMOVAL FEES'!$E$1:$E$13,0),3),INDEX('[1]REMOVAL FEES'!$E$1:$G$22,MATCH(CONCATENATE("Large bulky, extra-large and special handling items",IF($P162&gt;=11,11,$P162)),'[1]REMOVAL FEES'!$E$1:$E$13,0),3))))*$AA162,FALSE)</f>
        <v>0</v>
      </c>
      <c r="AJ162" s="107">
        <f t="shared" si="29"/>
        <v>0</v>
      </c>
      <c r="AK162" s="107">
        <v>0</v>
      </c>
      <c r="AL162" s="107">
        <v>0</v>
      </c>
      <c r="AM162" s="107">
        <f t="shared" si="30"/>
        <v>0</v>
      </c>
      <c r="AN162" s="116">
        <f>(-IF($V162="Yes", IF($X162="Yes", VLOOKUP($W162, '[1]Storage Fees'!A:M, 13, FALSE), VLOOKUP($W162, '[1]Storage Fees'!A:M, 10, FALSE)), IF($X162="Yes", VLOOKUP($W162, '[1]Storage Fees'!A:M, 7, FALSE), VLOOKUP($W162, '[1]Storage Fees'!A:M, 4, FALSE))) * U162)*1.5</f>
        <v>0</v>
      </c>
    </row>
    <row r="163" spans="1:40" x14ac:dyDescent="0.25">
      <c r="A163" s="99">
        <v>91</v>
      </c>
      <c r="B163" s="99"/>
      <c r="C163" s="99" t="s">
        <v>13655</v>
      </c>
      <c r="D163" s="99"/>
      <c r="E163" s="99" t="s">
        <v>148</v>
      </c>
      <c r="F163" s="99" t="s">
        <v>1585</v>
      </c>
      <c r="G163" s="99" t="s">
        <v>13695</v>
      </c>
      <c r="H163" s="99">
        <v>0</v>
      </c>
      <c r="I163" s="99">
        <v>0</v>
      </c>
      <c r="J163" s="99">
        <v>0</v>
      </c>
      <c r="K163" s="101" t="str">
        <f t="shared" si="18"/>
        <v>0x0x0</v>
      </c>
      <c r="L163" s="102">
        <f t="shared" si="19"/>
        <v>0</v>
      </c>
      <c r="M163" s="113">
        <f t="shared" si="20"/>
        <v>0</v>
      </c>
      <c r="N163" s="113">
        <f t="shared" si="21"/>
        <v>0</v>
      </c>
      <c r="O163" s="99">
        <v>0</v>
      </c>
      <c r="P163" s="113">
        <f t="shared" si="22"/>
        <v>0</v>
      </c>
      <c r="Q163" s="112">
        <f t="shared" si="23"/>
        <v>0</v>
      </c>
      <c r="R163" s="112" t="str">
        <f t="shared" si="24"/>
        <v>Standard-size</v>
      </c>
      <c r="S163" s="99" t="str">
        <f t="shared" si="25"/>
        <v>Small standard-size</v>
      </c>
      <c r="T163" s="116" t="s">
        <v>13696</v>
      </c>
      <c r="U163" s="116">
        <f t="shared" si="26"/>
        <v>0</v>
      </c>
      <c r="V163" s="116" t="s">
        <v>13583</v>
      </c>
      <c r="W163" s="116" t="s">
        <v>13690</v>
      </c>
      <c r="X163" s="99" t="s">
        <v>13583</v>
      </c>
      <c r="Y163" s="99">
        <v>1</v>
      </c>
      <c r="Z163" s="99">
        <v>1</v>
      </c>
      <c r="AA163" s="99">
        <v>1</v>
      </c>
      <c r="AB163" s="99"/>
      <c r="AC163" s="99"/>
      <c r="AD163" s="107">
        <v>0</v>
      </c>
      <c r="AE163" s="113">
        <f t="shared" si="27"/>
        <v>0</v>
      </c>
      <c r="AF163" s="116">
        <f>-IFERROR(IFERROR(VLOOKUP(ROUNDUP($Q163,0),'FBA FEES'!$L$2:$Q$203,MATCH($S163,'FBA FEES'!$L$2:$Q$2,0),FALSE),VLOOKUP(ROUNDUP($Q163,0),'FBA FEES'!$C$6:$F$123,MATCH($S163,'FBA FEES'!$C$6:$F$6,0),FALSE)),0)</f>
        <v>0</v>
      </c>
      <c r="AG163" s="116">
        <v>-10</v>
      </c>
      <c r="AH163" s="113">
        <f t="shared" si="28"/>
        <v>0</v>
      </c>
      <c r="AI163" s="116">
        <f>-IFERROR(IF($Y163=1,INDEX('[1]REMOVAL FEES'!$A$1:$C$22,MATCH(CONCATENATE("Standard Size",$P163),'[1]REMOVAL FEES'!$A$1:$A$22,0),3),IF($Y163=2,IF($P163&gt;10,(($P163-10)*1.06)+INDEX('[1]REMOVAL FEES'!$E$1:$G$22,MATCH(CONCATENATE("Large bulky, extra-large and special handling items",IF($P163&gt;=11,11,$P163)),'[1]REMOVAL FEES'!$E$1:$E$13,0),3),INDEX('[1]REMOVAL FEES'!$E$1:$G$22,MATCH(CONCATENATE("Large bulky, extra-large and special handling items",IF($P163&gt;=11,11,$P163)),'[1]REMOVAL FEES'!$E$1:$E$13,0),3))))*$AA163,FALSE)</f>
        <v>0</v>
      </c>
      <c r="AJ163" s="107">
        <f t="shared" si="29"/>
        <v>0</v>
      </c>
      <c r="AK163" s="107">
        <v>0</v>
      </c>
      <c r="AL163" s="107">
        <v>0</v>
      </c>
      <c r="AM163" s="107">
        <f t="shared" si="30"/>
        <v>0</v>
      </c>
      <c r="AN163" s="116">
        <f>(-IF($V163="Yes", IF($X163="Yes", VLOOKUP($W163, '[1]Storage Fees'!A:M, 13, FALSE), VLOOKUP($W163, '[1]Storage Fees'!A:M, 10, FALSE)), IF($X163="Yes", VLOOKUP($W163, '[1]Storage Fees'!A:M, 7, FALSE), VLOOKUP($W163, '[1]Storage Fees'!A:M, 4, FALSE))) * U163)*1.5</f>
        <v>0</v>
      </c>
    </row>
    <row r="164" spans="1:40" x14ac:dyDescent="0.25">
      <c r="A164" s="99">
        <v>92</v>
      </c>
      <c r="B164" s="99"/>
      <c r="C164" s="99" t="s">
        <v>13655</v>
      </c>
      <c r="D164" s="99"/>
      <c r="E164" s="99" t="s">
        <v>148</v>
      </c>
      <c r="F164" s="99" t="s">
        <v>1587</v>
      </c>
      <c r="G164" s="99" t="s">
        <v>13695</v>
      </c>
      <c r="H164" s="99">
        <v>0</v>
      </c>
      <c r="I164" s="99">
        <v>0</v>
      </c>
      <c r="J164" s="99">
        <v>0</v>
      </c>
      <c r="K164" s="101" t="str">
        <f t="shared" si="18"/>
        <v>0x0x0</v>
      </c>
      <c r="L164" s="102">
        <f t="shared" si="19"/>
        <v>0</v>
      </c>
      <c r="M164" s="113">
        <f t="shared" si="20"/>
        <v>0</v>
      </c>
      <c r="N164" s="113">
        <f t="shared" si="21"/>
        <v>0</v>
      </c>
      <c r="O164" s="99">
        <v>0</v>
      </c>
      <c r="P164" s="113">
        <f t="shared" si="22"/>
        <v>0</v>
      </c>
      <c r="Q164" s="112">
        <f t="shared" si="23"/>
        <v>0</v>
      </c>
      <c r="R164" s="112" t="str">
        <f t="shared" si="24"/>
        <v>Standard-size</v>
      </c>
      <c r="S164" s="99" t="str">
        <f t="shared" si="25"/>
        <v>Small standard-size</v>
      </c>
      <c r="T164" s="116" t="s">
        <v>13696</v>
      </c>
      <c r="U164" s="116">
        <f t="shared" si="26"/>
        <v>0</v>
      </c>
      <c r="V164" s="116" t="s">
        <v>13583</v>
      </c>
      <c r="W164" s="116" t="s">
        <v>13690</v>
      </c>
      <c r="X164" s="99" t="s">
        <v>13583</v>
      </c>
      <c r="Y164" s="99">
        <v>1</v>
      </c>
      <c r="Z164" s="99">
        <v>1</v>
      </c>
      <c r="AA164" s="99">
        <v>1</v>
      </c>
      <c r="AB164" s="99"/>
      <c r="AC164" s="99"/>
      <c r="AD164" s="107">
        <v>0</v>
      </c>
      <c r="AE164" s="113">
        <f t="shared" si="27"/>
        <v>0</v>
      </c>
      <c r="AF164" s="116">
        <f>-IFERROR(IFERROR(VLOOKUP(ROUNDUP($Q164,0),'FBA FEES'!$L$2:$Q$203,MATCH($S164,'FBA FEES'!$L$2:$Q$2,0),FALSE),VLOOKUP(ROUNDUP($Q164,0),'FBA FEES'!$C$6:$F$123,MATCH($S164,'FBA FEES'!$C$6:$F$6,0),FALSE)),0)</f>
        <v>0</v>
      </c>
      <c r="AG164" s="116">
        <v>-10</v>
      </c>
      <c r="AH164" s="113">
        <f t="shared" si="28"/>
        <v>0</v>
      </c>
      <c r="AI164" s="116">
        <f>-IFERROR(IF($Y164=1,INDEX('[1]REMOVAL FEES'!$A$1:$C$22,MATCH(CONCATENATE("Standard Size",$P164),'[1]REMOVAL FEES'!$A$1:$A$22,0),3),IF($Y164=2,IF($P164&gt;10,(($P164-10)*1.06)+INDEX('[1]REMOVAL FEES'!$E$1:$G$22,MATCH(CONCATENATE("Large bulky, extra-large and special handling items",IF($P164&gt;=11,11,$P164)),'[1]REMOVAL FEES'!$E$1:$E$13,0),3),INDEX('[1]REMOVAL FEES'!$E$1:$G$22,MATCH(CONCATENATE("Large bulky, extra-large and special handling items",IF($P164&gt;=11,11,$P164)),'[1]REMOVAL FEES'!$E$1:$E$13,0),3))))*$AA164,FALSE)</f>
        <v>0</v>
      </c>
      <c r="AJ164" s="107">
        <f t="shared" si="29"/>
        <v>0</v>
      </c>
      <c r="AK164" s="107">
        <v>0</v>
      </c>
      <c r="AL164" s="107">
        <v>0</v>
      </c>
      <c r="AM164" s="107">
        <f t="shared" si="30"/>
        <v>0</v>
      </c>
      <c r="AN164" s="116">
        <f>(-IF($V164="Yes", IF($X164="Yes", VLOOKUP($W164, '[1]Storage Fees'!A:M, 13, FALSE), VLOOKUP($W164, '[1]Storage Fees'!A:M, 10, FALSE)), IF($X164="Yes", VLOOKUP($W164, '[1]Storage Fees'!A:M, 7, FALSE), VLOOKUP($W164, '[1]Storage Fees'!A:M, 4, FALSE))) * U164)*1.5</f>
        <v>0</v>
      </c>
    </row>
    <row r="165" spans="1:40" x14ac:dyDescent="0.25">
      <c r="A165" s="99">
        <v>93</v>
      </c>
      <c r="B165" s="99"/>
      <c r="C165" s="99" t="s">
        <v>13655</v>
      </c>
      <c r="D165" s="99"/>
      <c r="E165" s="99" t="s">
        <v>148</v>
      </c>
      <c r="F165" s="99" t="s">
        <v>1589</v>
      </c>
      <c r="G165" s="99" t="s">
        <v>13695</v>
      </c>
      <c r="H165" s="99">
        <v>0</v>
      </c>
      <c r="I165" s="99">
        <v>0</v>
      </c>
      <c r="J165" s="99">
        <v>0</v>
      </c>
      <c r="K165" s="101" t="str">
        <f t="shared" si="18"/>
        <v>0x0x0</v>
      </c>
      <c r="L165" s="102">
        <f t="shared" si="19"/>
        <v>0</v>
      </c>
      <c r="M165" s="113">
        <f t="shared" si="20"/>
        <v>0</v>
      </c>
      <c r="N165" s="113">
        <f t="shared" si="21"/>
        <v>0</v>
      </c>
      <c r="O165" s="99">
        <v>0</v>
      </c>
      <c r="P165" s="113">
        <f t="shared" si="22"/>
        <v>0</v>
      </c>
      <c r="Q165" s="112">
        <f t="shared" si="23"/>
        <v>0</v>
      </c>
      <c r="R165" s="112" t="str">
        <f t="shared" si="24"/>
        <v>Standard-size</v>
      </c>
      <c r="S165" s="99" t="str">
        <f t="shared" si="25"/>
        <v>Small standard-size</v>
      </c>
      <c r="T165" s="116" t="s">
        <v>13696</v>
      </c>
      <c r="U165" s="116">
        <f t="shared" si="26"/>
        <v>0</v>
      </c>
      <c r="V165" s="116" t="s">
        <v>13583</v>
      </c>
      <c r="W165" s="116" t="s">
        <v>13690</v>
      </c>
      <c r="X165" s="99" t="s">
        <v>13583</v>
      </c>
      <c r="Y165" s="99">
        <v>1</v>
      </c>
      <c r="Z165" s="99">
        <v>1</v>
      </c>
      <c r="AA165" s="99">
        <v>1</v>
      </c>
      <c r="AB165" s="99"/>
      <c r="AC165" s="99"/>
      <c r="AD165" s="107">
        <v>0</v>
      </c>
      <c r="AE165" s="113">
        <f t="shared" si="27"/>
        <v>0</v>
      </c>
      <c r="AF165" s="116">
        <f>-IFERROR(IFERROR(VLOOKUP(ROUNDUP($Q165,0),'FBA FEES'!$L$2:$Q$203,MATCH($S165,'FBA FEES'!$L$2:$Q$2,0),FALSE),VLOOKUP(ROUNDUP($Q165,0),'FBA FEES'!$C$6:$F$123,MATCH($S165,'FBA FEES'!$C$6:$F$6,0),FALSE)),0)</f>
        <v>0</v>
      </c>
      <c r="AG165" s="116">
        <v>-10</v>
      </c>
      <c r="AH165" s="113">
        <f t="shared" si="28"/>
        <v>0</v>
      </c>
      <c r="AI165" s="116">
        <f>-IFERROR(IF($Y165=1,INDEX('[1]REMOVAL FEES'!$A$1:$C$22,MATCH(CONCATENATE("Standard Size",$P165),'[1]REMOVAL FEES'!$A$1:$A$22,0),3),IF($Y165=2,IF($P165&gt;10,(($P165-10)*1.06)+INDEX('[1]REMOVAL FEES'!$E$1:$G$22,MATCH(CONCATENATE("Large bulky, extra-large and special handling items",IF($P165&gt;=11,11,$P165)),'[1]REMOVAL FEES'!$E$1:$E$13,0),3),INDEX('[1]REMOVAL FEES'!$E$1:$G$22,MATCH(CONCATENATE("Large bulky, extra-large and special handling items",IF($P165&gt;=11,11,$P165)),'[1]REMOVAL FEES'!$E$1:$E$13,0),3))))*$AA165,FALSE)</f>
        <v>0</v>
      </c>
      <c r="AJ165" s="107">
        <f t="shared" si="29"/>
        <v>0</v>
      </c>
      <c r="AK165" s="107">
        <v>0</v>
      </c>
      <c r="AL165" s="107">
        <v>0</v>
      </c>
      <c r="AM165" s="107">
        <f t="shared" si="30"/>
        <v>0</v>
      </c>
      <c r="AN165" s="116">
        <f>(-IF($V165="Yes", IF($X165="Yes", VLOOKUP($W165, '[1]Storage Fees'!A:M, 13, FALSE), VLOOKUP($W165, '[1]Storage Fees'!A:M, 10, FALSE)), IF($X165="Yes", VLOOKUP($W165, '[1]Storage Fees'!A:M, 7, FALSE), VLOOKUP($W165, '[1]Storage Fees'!A:M, 4, FALSE))) * U165)*1.5</f>
        <v>0</v>
      </c>
    </row>
    <row r="166" spans="1:40" x14ac:dyDescent="0.25">
      <c r="A166" s="99">
        <v>94</v>
      </c>
      <c r="B166" s="99" t="s">
        <v>13700</v>
      </c>
      <c r="C166" s="99" t="s">
        <v>13655</v>
      </c>
      <c r="D166" s="99"/>
      <c r="E166" s="99" t="s">
        <v>148</v>
      </c>
      <c r="F166" s="99" t="s">
        <v>730</v>
      </c>
      <c r="G166" s="99" t="s">
        <v>13656</v>
      </c>
      <c r="H166" s="99">
        <v>27</v>
      </c>
      <c r="I166" s="99">
        <v>4</v>
      </c>
      <c r="J166" s="99">
        <v>2</v>
      </c>
      <c r="K166" s="101" t="str">
        <f t="shared" si="18"/>
        <v>27x4x2</v>
      </c>
      <c r="L166" s="102">
        <f t="shared" si="19"/>
        <v>1.5539568345323742</v>
      </c>
      <c r="M166" s="113">
        <f t="shared" si="20"/>
        <v>1.5539568345323742</v>
      </c>
      <c r="N166" s="113">
        <f t="shared" si="21"/>
        <v>2</v>
      </c>
      <c r="O166" s="99">
        <v>3</v>
      </c>
      <c r="P166" s="113">
        <f t="shared" si="22"/>
        <v>3</v>
      </c>
      <c r="Q166" s="112">
        <f t="shared" si="23"/>
        <v>48</v>
      </c>
      <c r="R166" s="112" t="str">
        <f t="shared" si="24"/>
        <v>Oversize</v>
      </c>
      <c r="S166" s="99" t="str">
        <f t="shared" si="25"/>
        <v>Large bulky</v>
      </c>
      <c r="T166" s="116" t="s">
        <v>13692</v>
      </c>
      <c r="U166" s="116">
        <f t="shared" si="26"/>
        <v>0.125</v>
      </c>
      <c r="V166" s="116" t="s">
        <v>13583</v>
      </c>
      <c r="W166" s="116" t="s">
        <v>13690</v>
      </c>
      <c r="X166" s="116" t="s">
        <v>13691</v>
      </c>
      <c r="Y166" s="116">
        <v>2</v>
      </c>
      <c r="Z166" s="116">
        <v>3</v>
      </c>
      <c r="AA166" s="116">
        <v>1</v>
      </c>
      <c r="AB166" s="99"/>
      <c r="AC166" s="99"/>
      <c r="AD166" s="107">
        <v>35.305614035087721</v>
      </c>
      <c r="AE166" s="113">
        <f t="shared" si="27"/>
        <v>-5.2958421052631577</v>
      </c>
      <c r="AF166" s="116">
        <f>-IFERROR(IFERROR(VLOOKUP(ROUNDUP($Q166,0),'FBA FEES'!$L$2:$Q$203,MATCH($S166,'FBA FEES'!$L$2:$Q$2,0),FALSE),VLOOKUP(ROUNDUP($Q166,0),'FBA FEES'!$C$6:$F$123,MATCH($S166,'FBA FEES'!$C$6:$F$6,0),FALSE)),0)</f>
        <v>-10.37</v>
      </c>
      <c r="AG166" s="116">
        <v>-10</v>
      </c>
      <c r="AH166" s="113">
        <f t="shared" si="28"/>
        <v>-15.665842105263156</v>
      </c>
      <c r="AI166" s="116">
        <f>-IFERROR(IF($Y166=1,INDEX('[1]REMOVAL FEES'!$A$1:$C$22,MATCH(CONCATENATE("Standard Size",$P166),'[1]REMOVAL FEES'!$A$1:$A$22,0),3),IF($Y166=2,IF($P166&gt;10,(($P166-10)*1.06)+INDEX('[1]REMOVAL FEES'!$E$1:$G$22,MATCH(CONCATENATE("Large bulky, extra-large and special handling items",IF($P166&gt;=11,11,$P166)),'[1]REMOVAL FEES'!$E$1:$E$13,0),3),INDEX('[1]REMOVAL FEES'!$E$1:$G$22,MATCH(CONCATENATE("Large bulky, extra-large and special handling items",IF($P166&gt;=11,11,$P166)),'[1]REMOVAL FEES'!$E$1:$E$13,0),3))))*$AA166,FALSE)</f>
        <v>-6.36</v>
      </c>
      <c r="AJ166" s="107">
        <f t="shared" si="29"/>
        <v>-22.025842105263155</v>
      </c>
      <c r="AK166" s="107">
        <v>-7.2657894736842108</v>
      </c>
      <c r="AL166" s="107">
        <v>-5.3069725078832706</v>
      </c>
      <c r="AM166" s="107">
        <f t="shared" si="30"/>
        <v>-12.572761981567481</v>
      </c>
      <c r="AN166" s="116">
        <f>(-IF($V166="Yes", IF($X166="Yes", VLOOKUP($W166, '[1]Storage Fees'!A:M, 13, FALSE), VLOOKUP($W166, '[1]Storage Fees'!A:M, 10, FALSE)), IF($X166="Yes", VLOOKUP($W166, '[1]Storage Fees'!A:M, 7, FALSE), VLOOKUP($W166, '[1]Storage Fees'!A:M, 4, FALSE))) * U166)*1.5</f>
        <v>-0.14812500000000001</v>
      </c>
    </row>
    <row r="167" spans="1:40" x14ac:dyDescent="0.25">
      <c r="A167" s="99">
        <v>95</v>
      </c>
      <c r="B167" s="99" t="s">
        <v>13700</v>
      </c>
      <c r="C167" s="99"/>
      <c r="D167" s="99"/>
      <c r="E167" s="99" t="s">
        <v>148</v>
      </c>
      <c r="F167" s="99" t="s">
        <v>159</v>
      </c>
      <c r="G167" s="99" t="s">
        <v>13656</v>
      </c>
      <c r="H167" s="99">
        <v>28</v>
      </c>
      <c r="I167" s="99">
        <v>5</v>
      </c>
      <c r="J167" s="99">
        <v>2</v>
      </c>
      <c r="K167" s="101" t="str">
        <f t="shared" si="18"/>
        <v>28x5x2</v>
      </c>
      <c r="L167" s="102">
        <f t="shared" si="19"/>
        <v>2.014388489208633</v>
      </c>
      <c r="M167" s="113">
        <f t="shared" si="20"/>
        <v>2.014388489208633</v>
      </c>
      <c r="N167" s="113">
        <f t="shared" si="21"/>
        <v>3</v>
      </c>
      <c r="O167" s="99">
        <v>3</v>
      </c>
      <c r="P167" s="113">
        <f t="shared" si="22"/>
        <v>3</v>
      </c>
      <c r="Q167" s="112">
        <f t="shared" si="23"/>
        <v>48</v>
      </c>
      <c r="R167" s="112" t="str">
        <f t="shared" si="24"/>
        <v>Oversize</v>
      </c>
      <c r="S167" s="99" t="str">
        <f t="shared" si="25"/>
        <v>Large bulky</v>
      </c>
      <c r="T167" s="116" t="s">
        <v>13692</v>
      </c>
      <c r="U167" s="116">
        <f t="shared" si="26"/>
        <v>0.16203703703703703</v>
      </c>
      <c r="V167" s="116" t="s">
        <v>13583</v>
      </c>
      <c r="W167" s="116" t="s">
        <v>13690</v>
      </c>
      <c r="X167" s="116" t="s">
        <v>13691</v>
      </c>
      <c r="Y167" s="116">
        <v>2</v>
      </c>
      <c r="Z167" s="116">
        <v>3</v>
      </c>
      <c r="AA167" s="116">
        <v>1</v>
      </c>
      <c r="AB167" s="99"/>
      <c r="AC167" s="99"/>
      <c r="AD167" s="107">
        <v>38.285447154471441</v>
      </c>
      <c r="AE167" s="113">
        <f t="shared" si="27"/>
        <v>-5.7428170731707162</v>
      </c>
      <c r="AF167" s="116">
        <f>-IFERROR(IFERROR(VLOOKUP(ROUNDUP($Q167,0),'FBA FEES'!$L$2:$Q$203,MATCH($S167,'FBA FEES'!$L$2:$Q$2,0),FALSE),VLOOKUP(ROUNDUP($Q167,0),'FBA FEES'!$C$6:$F$123,MATCH($S167,'FBA FEES'!$C$6:$F$6,0),FALSE)),0)</f>
        <v>-10.37</v>
      </c>
      <c r="AG167" s="116">
        <v>-10</v>
      </c>
      <c r="AH167" s="113">
        <f t="shared" si="28"/>
        <v>-16.112817073170717</v>
      </c>
      <c r="AI167" s="116">
        <f>-IFERROR(IF($Y167=1,INDEX('[1]REMOVAL FEES'!$A$1:$C$22,MATCH(CONCATENATE("Standard Size",$P167),'[1]REMOVAL FEES'!$A$1:$A$22,0),3),IF($Y167=2,IF($P167&gt;10,(($P167-10)*1.06)+INDEX('[1]REMOVAL FEES'!$E$1:$G$22,MATCH(CONCATENATE("Large bulky, extra-large and special handling items",IF($P167&gt;=11,11,$P167)),'[1]REMOVAL FEES'!$E$1:$E$13,0),3),INDEX('[1]REMOVAL FEES'!$E$1:$G$22,MATCH(CONCATENATE("Large bulky, extra-large and special handling items",IF($P167&gt;=11,11,$P167)),'[1]REMOVAL FEES'!$E$1:$E$13,0),3))))*$AA167,FALSE)</f>
        <v>-6.36</v>
      </c>
      <c r="AJ167" s="107">
        <f t="shared" si="29"/>
        <v>-22.472817073170717</v>
      </c>
      <c r="AK167" s="107">
        <v>-8.7704878048780213</v>
      </c>
      <c r="AL167" s="107">
        <v>-5.9385188801354687</v>
      </c>
      <c r="AM167" s="107">
        <f t="shared" si="30"/>
        <v>-14.70900668501349</v>
      </c>
      <c r="AN167" s="116">
        <f>(-IF($V167="Yes", IF($X167="Yes", VLOOKUP($W167, '[1]Storage Fees'!A:M, 13, FALSE), VLOOKUP($W167, '[1]Storage Fees'!A:M, 10, FALSE)), IF($X167="Yes", VLOOKUP($W167, '[1]Storage Fees'!A:M, 7, FALSE), VLOOKUP($W167, '[1]Storage Fees'!A:M, 4, FALSE))) * U167)*1.5</f>
        <v>-0.1920138888888889</v>
      </c>
    </row>
    <row r="168" spans="1:40" x14ac:dyDescent="0.25">
      <c r="A168" s="99">
        <v>96</v>
      </c>
      <c r="B168" s="99" t="s">
        <v>13700</v>
      </c>
      <c r="C168" s="99" t="s">
        <v>13655</v>
      </c>
      <c r="D168" s="99"/>
      <c r="E168" s="99" t="s">
        <v>148</v>
      </c>
      <c r="F168" s="99" t="s">
        <v>733</v>
      </c>
      <c r="G168" s="99" t="s">
        <v>13656</v>
      </c>
      <c r="H168" s="99">
        <v>42</v>
      </c>
      <c r="I168" s="99">
        <v>4</v>
      </c>
      <c r="J168" s="99">
        <v>2</v>
      </c>
      <c r="K168" s="101" t="str">
        <f t="shared" si="18"/>
        <v>42x4x2</v>
      </c>
      <c r="L168" s="102">
        <f t="shared" si="19"/>
        <v>2.4172661870503598</v>
      </c>
      <c r="M168" s="113">
        <f t="shared" si="20"/>
        <v>2.4172661870503598</v>
      </c>
      <c r="N168" s="113">
        <f t="shared" si="21"/>
        <v>3</v>
      </c>
      <c r="O168" s="99">
        <v>3.1875</v>
      </c>
      <c r="P168" s="113">
        <f t="shared" si="22"/>
        <v>4</v>
      </c>
      <c r="Q168" s="112">
        <f t="shared" si="23"/>
        <v>64</v>
      </c>
      <c r="R168" s="112" t="str">
        <f t="shared" si="24"/>
        <v>Oversize</v>
      </c>
      <c r="S168" s="99" t="str">
        <f t="shared" si="25"/>
        <v>Large bulky</v>
      </c>
      <c r="T168" s="116" t="s">
        <v>13692</v>
      </c>
      <c r="U168" s="116">
        <f t="shared" si="26"/>
        <v>0.19444444444444445</v>
      </c>
      <c r="V168" s="116" t="s">
        <v>13583</v>
      </c>
      <c r="W168" s="116" t="s">
        <v>13690</v>
      </c>
      <c r="X168" s="116" t="s">
        <v>13691</v>
      </c>
      <c r="Y168" s="116">
        <v>2</v>
      </c>
      <c r="Z168" s="116">
        <v>3</v>
      </c>
      <c r="AA168" s="116">
        <v>1</v>
      </c>
      <c r="AB168" s="99"/>
      <c r="AC168" s="99"/>
      <c r="AD168" s="107">
        <v>40.311250000000001</v>
      </c>
      <c r="AE168" s="113">
        <f t="shared" si="27"/>
        <v>-6.0466875</v>
      </c>
      <c r="AF168" s="116">
        <f>-IFERROR(IFERROR(VLOOKUP(ROUNDUP($Q168,0),'FBA FEES'!$L$2:$Q$203,MATCH($S168,'FBA FEES'!$L$2:$Q$2,0),FALSE),VLOOKUP(ROUNDUP($Q168,0),'FBA FEES'!$C$6:$F$123,MATCH($S168,'FBA FEES'!$C$6:$F$6,0),FALSE)),0)</f>
        <v>-10.75</v>
      </c>
      <c r="AG168" s="116">
        <v>-10</v>
      </c>
      <c r="AH168" s="113">
        <f t="shared" si="28"/>
        <v>-16.796687500000001</v>
      </c>
      <c r="AI168" s="116">
        <f>-IFERROR(IF($Y168=1,INDEX('[1]REMOVAL FEES'!$A$1:$C$22,MATCH(CONCATENATE("Standard Size",$P168),'[1]REMOVAL FEES'!$A$1:$A$22,0),3),IF($Y168=2,IF($P168&gt;10,(($P168-10)*1.06)+INDEX('[1]REMOVAL FEES'!$E$1:$G$22,MATCH(CONCATENATE("Large bulky, extra-large and special handling items",IF($P168&gt;=11,11,$P168)),'[1]REMOVAL FEES'!$E$1:$E$13,0),3),INDEX('[1]REMOVAL FEES'!$E$1:$G$22,MATCH(CONCATENATE("Large bulky, extra-large and special handling items",IF($P168&gt;=11,11,$P168)),'[1]REMOVAL FEES'!$E$1:$E$13,0),3))))*$AA168,FALSE)</f>
        <v>-6.36</v>
      </c>
      <c r="AJ168" s="107">
        <f t="shared" si="29"/>
        <v>-23.1566875</v>
      </c>
      <c r="AK168" s="107">
        <v>-10.94</v>
      </c>
      <c r="AL168" s="107">
        <v>-6.5845555555555553</v>
      </c>
      <c r="AM168" s="107">
        <f t="shared" si="30"/>
        <v>-17.524555555555555</v>
      </c>
      <c r="AN168" s="116">
        <f>(-IF($V168="Yes", IF($X168="Yes", VLOOKUP($W168, '[1]Storage Fees'!A:M, 13, FALSE), VLOOKUP($W168, '[1]Storage Fees'!A:M, 10, FALSE)), IF($X168="Yes", VLOOKUP($W168, '[1]Storage Fees'!A:M, 7, FALSE), VLOOKUP($W168, '[1]Storage Fees'!A:M, 4, FALSE))) * U168)*1.5</f>
        <v>-0.23041666666666666</v>
      </c>
    </row>
    <row r="169" spans="1:40" x14ac:dyDescent="0.25">
      <c r="A169" s="99">
        <v>97</v>
      </c>
      <c r="B169" s="99"/>
      <c r="C169" s="99" t="s">
        <v>13655</v>
      </c>
      <c r="D169" s="99"/>
      <c r="E169" s="99" t="s">
        <v>1593</v>
      </c>
      <c r="F169" s="99" t="s">
        <v>1591</v>
      </c>
      <c r="G169" s="99" t="s">
        <v>13695</v>
      </c>
      <c r="H169" s="99">
        <v>0</v>
      </c>
      <c r="I169" s="99">
        <v>0</v>
      </c>
      <c r="J169" s="99">
        <v>0</v>
      </c>
      <c r="K169" s="101" t="str">
        <f t="shared" si="18"/>
        <v>0x0x0</v>
      </c>
      <c r="L169" s="102">
        <f t="shared" si="19"/>
        <v>0</v>
      </c>
      <c r="M169" s="113">
        <f t="shared" si="20"/>
        <v>0</v>
      </c>
      <c r="N169" s="113">
        <f t="shared" si="21"/>
        <v>0</v>
      </c>
      <c r="O169" s="99">
        <v>0</v>
      </c>
      <c r="P169" s="113">
        <f t="shared" si="22"/>
        <v>0</v>
      </c>
      <c r="Q169" s="112">
        <f t="shared" si="23"/>
        <v>0</v>
      </c>
      <c r="R169" s="112" t="str">
        <f t="shared" si="24"/>
        <v>Standard-size</v>
      </c>
      <c r="S169" s="99" t="str">
        <f t="shared" si="25"/>
        <v>Small standard-size</v>
      </c>
      <c r="T169" s="116" t="s">
        <v>13696</v>
      </c>
      <c r="U169" s="116">
        <f t="shared" si="26"/>
        <v>0</v>
      </c>
      <c r="V169" s="116" t="s">
        <v>13583</v>
      </c>
      <c r="W169" s="116" t="s">
        <v>13690</v>
      </c>
      <c r="X169" s="99" t="s">
        <v>13583</v>
      </c>
      <c r="Y169" s="99">
        <v>1</v>
      </c>
      <c r="Z169" s="99">
        <v>1</v>
      </c>
      <c r="AA169" s="99">
        <v>1</v>
      </c>
      <c r="AB169" s="99"/>
      <c r="AC169" s="99"/>
      <c r="AD169" s="107">
        <v>0</v>
      </c>
      <c r="AE169" s="113">
        <f t="shared" si="27"/>
        <v>0</v>
      </c>
      <c r="AF169" s="116">
        <f>-IFERROR(IFERROR(VLOOKUP(ROUNDUP($Q169,0),'FBA FEES'!$L$2:$Q$203,MATCH($S169,'FBA FEES'!$L$2:$Q$2,0),FALSE),VLOOKUP(ROUNDUP($Q169,0),'FBA FEES'!$C$6:$F$123,MATCH($S169,'FBA FEES'!$C$6:$F$6,0),FALSE)),0)</f>
        <v>0</v>
      </c>
      <c r="AG169" s="116">
        <v>-10</v>
      </c>
      <c r="AH169" s="113">
        <f t="shared" si="28"/>
        <v>0</v>
      </c>
      <c r="AI169" s="116">
        <f>-IFERROR(IF($Y169=1,INDEX('[1]REMOVAL FEES'!$A$1:$C$22,MATCH(CONCATENATE("Standard Size",$P169),'[1]REMOVAL FEES'!$A$1:$A$22,0),3),IF($Y169=2,IF($P169&gt;10,(($P169-10)*1.06)+INDEX('[1]REMOVAL FEES'!$E$1:$G$22,MATCH(CONCATENATE("Large bulky, extra-large and special handling items",IF($P169&gt;=11,11,$P169)),'[1]REMOVAL FEES'!$E$1:$E$13,0),3),INDEX('[1]REMOVAL FEES'!$E$1:$G$22,MATCH(CONCATENATE("Large bulky, extra-large and special handling items",IF($P169&gt;=11,11,$P169)),'[1]REMOVAL FEES'!$E$1:$E$13,0),3))))*$AA169,FALSE)</f>
        <v>0</v>
      </c>
      <c r="AJ169" s="107">
        <f t="shared" si="29"/>
        <v>0</v>
      </c>
      <c r="AK169" s="107">
        <v>0</v>
      </c>
      <c r="AL169" s="107">
        <v>0</v>
      </c>
      <c r="AM169" s="107">
        <f t="shared" si="30"/>
        <v>0</v>
      </c>
      <c r="AN169" s="116">
        <f>(-IF($V169="Yes", IF($X169="Yes", VLOOKUP($W169, '[1]Storage Fees'!A:M, 13, FALSE), VLOOKUP($W169, '[1]Storage Fees'!A:M, 10, FALSE)), IF($X169="Yes", VLOOKUP($W169, '[1]Storage Fees'!A:M, 7, FALSE), VLOOKUP($W169, '[1]Storage Fees'!A:M, 4, FALSE))) * U169)*1.5</f>
        <v>0</v>
      </c>
    </row>
    <row r="170" spans="1:40" x14ac:dyDescent="0.25">
      <c r="A170" s="99">
        <v>98</v>
      </c>
      <c r="B170" s="99"/>
      <c r="C170" s="99" t="s">
        <v>13655</v>
      </c>
      <c r="D170" s="99"/>
      <c r="E170" s="99" t="s">
        <v>1593</v>
      </c>
      <c r="F170" s="99" t="s">
        <v>1594</v>
      </c>
      <c r="G170" s="99" t="s">
        <v>13695</v>
      </c>
      <c r="H170" s="99">
        <v>0</v>
      </c>
      <c r="I170" s="99">
        <v>0</v>
      </c>
      <c r="J170" s="99">
        <v>0</v>
      </c>
      <c r="K170" s="101" t="str">
        <f t="shared" si="18"/>
        <v>0x0x0</v>
      </c>
      <c r="L170" s="102">
        <f t="shared" si="19"/>
        <v>0</v>
      </c>
      <c r="M170" s="113">
        <f t="shared" si="20"/>
        <v>0</v>
      </c>
      <c r="N170" s="113">
        <f t="shared" si="21"/>
        <v>0</v>
      </c>
      <c r="O170" s="99">
        <v>0</v>
      </c>
      <c r="P170" s="113">
        <f t="shared" si="22"/>
        <v>0</v>
      </c>
      <c r="Q170" s="112">
        <f t="shared" si="23"/>
        <v>0</v>
      </c>
      <c r="R170" s="112" t="str">
        <f t="shared" si="24"/>
        <v>Standard-size</v>
      </c>
      <c r="S170" s="99" t="str">
        <f t="shared" si="25"/>
        <v>Small standard-size</v>
      </c>
      <c r="T170" s="116" t="s">
        <v>13696</v>
      </c>
      <c r="U170" s="116">
        <f t="shared" si="26"/>
        <v>0</v>
      </c>
      <c r="V170" s="116" t="s">
        <v>13583</v>
      </c>
      <c r="W170" s="116" t="s">
        <v>13690</v>
      </c>
      <c r="X170" s="99" t="s">
        <v>13583</v>
      </c>
      <c r="Y170" s="99">
        <v>1</v>
      </c>
      <c r="Z170" s="99">
        <v>1</v>
      </c>
      <c r="AA170" s="99">
        <v>1</v>
      </c>
      <c r="AB170" s="99"/>
      <c r="AC170" s="99"/>
      <c r="AD170" s="107">
        <v>0</v>
      </c>
      <c r="AE170" s="113">
        <f t="shared" si="27"/>
        <v>0</v>
      </c>
      <c r="AF170" s="116">
        <f>-IFERROR(IFERROR(VLOOKUP(ROUNDUP($Q170,0),'FBA FEES'!$L$2:$Q$203,MATCH($S170,'FBA FEES'!$L$2:$Q$2,0),FALSE),VLOOKUP(ROUNDUP($Q170,0),'FBA FEES'!$C$6:$F$123,MATCH($S170,'FBA FEES'!$C$6:$F$6,0),FALSE)),0)</f>
        <v>0</v>
      </c>
      <c r="AG170" s="116">
        <v>-10</v>
      </c>
      <c r="AH170" s="113">
        <f t="shared" si="28"/>
        <v>0</v>
      </c>
      <c r="AI170" s="116">
        <f>-IFERROR(IF($Y170=1,INDEX('[1]REMOVAL FEES'!$A$1:$C$22,MATCH(CONCATENATE("Standard Size",$P170),'[1]REMOVAL FEES'!$A$1:$A$22,0),3),IF($Y170=2,IF($P170&gt;10,(($P170-10)*1.06)+INDEX('[1]REMOVAL FEES'!$E$1:$G$22,MATCH(CONCATENATE("Large bulky, extra-large and special handling items",IF($P170&gt;=11,11,$P170)),'[1]REMOVAL FEES'!$E$1:$E$13,0),3),INDEX('[1]REMOVAL FEES'!$E$1:$G$22,MATCH(CONCATENATE("Large bulky, extra-large and special handling items",IF($P170&gt;=11,11,$P170)),'[1]REMOVAL FEES'!$E$1:$E$13,0),3))))*$AA170,FALSE)</f>
        <v>0</v>
      </c>
      <c r="AJ170" s="107">
        <f t="shared" si="29"/>
        <v>0</v>
      </c>
      <c r="AK170" s="107">
        <v>0</v>
      </c>
      <c r="AL170" s="107">
        <v>0</v>
      </c>
      <c r="AM170" s="107">
        <f t="shared" si="30"/>
        <v>0</v>
      </c>
      <c r="AN170" s="116">
        <f>(-IF($V170="Yes", IF($X170="Yes", VLOOKUP($W170, '[1]Storage Fees'!A:M, 13, FALSE), VLOOKUP($W170, '[1]Storage Fees'!A:M, 10, FALSE)), IF($X170="Yes", VLOOKUP($W170, '[1]Storage Fees'!A:M, 7, FALSE), VLOOKUP($W170, '[1]Storage Fees'!A:M, 4, FALSE))) * U170)*1.5</f>
        <v>0</v>
      </c>
    </row>
    <row r="171" spans="1:40" x14ac:dyDescent="0.25">
      <c r="A171" s="99">
        <v>99</v>
      </c>
      <c r="B171" s="99"/>
      <c r="C171" s="99" t="s">
        <v>13655</v>
      </c>
      <c r="D171" s="99"/>
      <c r="E171" s="99" t="s">
        <v>1593</v>
      </c>
      <c r="F171" s="99" t="s">
        <v>1596</v>
      </c>
      <c r="G171" s="99" t="s">
        <v>13695</v>
      </c>
      <c r="H171" s="99">
        <v>0</v>
      </c>
      <c r="I171" s="99">
        <v>0</v>
      </c>
      <c r="J171" s="99">
        <v>0</v>
      </c>
      <c r="K171" s="101" t="str">
        <f t="shared" si="18"/>
        <v>0x0x0</v>
      </c>
      <c r="L171" s="102">
        <f t="shared" si="19"/>
        <v>0</v>
      </c>
      <c r="M171" s="113">
        <f t="shared" si="20"/>
        <v>0</v>
      </c>
      <c r="N171" s="113">
        <f t="shared" si="21"/>
        <v>0</v>
      </c>
      <c r="O171" s="99">
        <v>0</v>
      </c>
      <c r="P171" s="113">
        <f t="shared" si="22"/>
        <v>0</v>
      </c>
      <c r="Q171" s="112">
        <f t="shared" si="23"/>
        <v>0</v>
      </c>
      <c r="R171" s="112" t="str">
        <f t="shared" si="24"/>
        <v>Standard-size</v>
      </c>
      <c r="S171" s="99" t="str">
        <f t="shared" si="25"/>
        <v>Small standard-size</v>
      </c>
      <c r="T171" s="116" t="s">
        <v>13696</v>
      </c>
      <c r="U171" s="116">
        <f t="shared" si="26"/>
        <v>0</v>
      </c>
      <c r="V171" s="116" t="s">
        <v>13583</v>
      </c>
      <c r="W171" s="116" t="s">
        <v>13690</v>
      </c>
      <c r="X171" s="99" t="s">
        <v>13583</v>
      </c>
      <c r="Y171" s="99">
        <v>1</v>
      </c>
      <c r="Z171" s="99">
        <v>1</v>
      </c>
      <c r="AA171" s="99">
        <v>1</v>
      </c>
      <c r="AB171" s="99"/>
      <c r="AC171" s="99"/>
      <c r="AD171" s="107">
        <v>0</v>
      </c>
      <c r="AE171" s="113">
        <f t="shared" si="27"/>
        <v>0</v>
      </c>
      <c r="AF171" s="116">
        <f>-IFERROR(IFERROR(VLOOKUP(ROUNDUP($Q171,0),'FBA FEES'!$L$2:$Q$203,MATCH($S171,'FBA FEES'!$L$2:$Q$2,0),FALSE),VLOOKUP(ROUNDUP($Q171,0),'FBA FEES'!$C$6:$F$123,MATCH($S171,'FBA FEES'!$C$6:$F$6,0),FALSE)),0)</f>
        <v>0</v>
      </c>
      <c r="AG171" s="116">
        <v>-10</v>
      </c>
      <c r="AH171" s="113">
        <f t="shared" si="28"/>
        <v>0</v>
      </c>
      <c r="AI171" s="116">
        <f>-IFERROR(IF($Y171=1,INDEX('[1]REMOVAL FEES'!$A$1:$C$22,MATCH(CONCATENATE("Standard Size",$P171),'[1]REMOVAL FEES'!$A$1:$A$22,0),3),IF($Y171=2,IF($P171&gt;10,(($P171-10)*1.06)+INDEX('[1]REMOVAL FEES'!$E$1:$G$22,MATCH(CONCATENATE("Large bulky, extra-large and special handling items",IF($P171&gt;=11,11,$P171)),'[1]REMOVAL FEES'!$E$1:$E$13,0),3),INDEX('[1]REMOVAL FEES'!$E$1:$G$22,MATCH(CONCATENATE("Large bulky, extra-large and special handling items",IF($P171&gt;=11,11,$P171)),'[1]REMOVAL FEES'!$E$1:$E$13,0),3))))*$AA171,FALSE)</f>
        <v>0</v>
      </c>
      <c r="AJ171" s="107">
        <f t="shared" si="29"/>
        <v>0</v>
      </c>
      <c r="AK171" s="107">
        <v>0</v>
      </c>
      <c r="AL171" s="107">
        <v>0</v>
      </c>
      <c r="AM171" s="107">
        <f t="shared" si="30"/>
        <v>0</v>
      </c>
      <c r="AN171" s="116">
        <f>(-IF($V171="Yes", IF($X171="Yes", VLOOKUP($W171, '[1]Storage Fees'!A:M, 13, FALSE), VLOOKUP($W171, '[1]Storage Fees'!A:M, 10, FALSE)), IF($X171="Yes", VLOOKUP($W171, '[1]Storage Fees'!A:M, 7, FALSE), VLOOKUP($W171, '[1]Storage Fees'!A:M, 4, FALSE))) * U171)*1.5</f>
        <v>0</v>
      </c>
    </row>
    <row r="172" spans="1:40" x14ac:dyDescent="0.25">
      <c r="A172" s="99">
        <v>100</v>
      </c>
      <c r="B172" s="99"/>
      <c r="C172" s="99" t="s">
        <v>13655</v>
      </c>
      <c r="D172" s="99"/>
      <c r="E172" s="99" t="s">
        <v>1593</v>
      </c>
      <c r="F172" s="99" t="s">
        <v>1598</v>
      </c>
      <c r="G172" s="99" t="s">
        <v>13695</v>
      </c>
      <c r="H172" s="99">
        <v>0</v>
      </c>
      <c r="I172" s="99">
        <v>0</v>
      </c>
      <c r="J172" s="99">
        <v>0</v>
      </c>
      <c r="K172" s="101" t="str">
        <f t="shared" si="18"/>
        <v>0x0x0</v>
      </c>
      <c r="L172" s="102">
        <f t="shared" si="19"/>
        <v>0</v>
      </c>
      <c r="M172" s="113">
        <f t="shared" si="20"/>
        <v>0</v>
      </c>
      <c r="N172" s="113">
        <f t="shared" si="21"/>
        <v>0</v>
      </c>
      <c r="O172" s="99">
        <v>0</v>
      </c>
      <c r="P172" s="113">
        <f t="shared" si="22"/>
        <v>0</v>
      </c>
      <c r="Q172" s="112">
        <f t="shared" si="23"/>
        <v>0</v>
      </c>
      <c r="R172" s="112" t="str">
        <f t="shared" si="24"/>
        <v>Standard-size</v>
      </c>
      <c r="S172" s="99" t="str">
        <f t="shared" si="25"/>
        <v>Small standard-size</v>
      </c>
      <c r="T172" s="116" t="s">
        <v>13696</v>
      </c>
      <c r="U172" s="116">
        <f t="shared" si="26"/>
        <v>0</v>
      </c>
      <c r="V172" s="116" t="s">
        <v>13583</v>
      </c>
      <c r="W172" s="116" t="s">
        <v>13690</v>
      </c>
      <c r="X172" s="99" t="s">
        <v>13583</v>
      </c>
      <c r="Y172" s="99">
        <v>1</v>
      </c>
      <c r="Z172" s="99">
        <v>1</v>
      </c>
      <c r="AA172" s="99">
        <v>1</v>
      </c>
      <c r="AB172" s="99"/>
      <c r="AC172" s="99"/>
      <c r="AD172" s="107">
        <v>0</v>
      </c>
      <c r="AE172" s="113">
        <f t="shared" si="27"/>
        <v>0</v>
      </c>
      <c r="AF172" s="116">
        <f>-IFERROR(IFERROR(VLOOKUP(ROUNDUP($Q172,0),'FBA FEES'!$L$2:$Q$203,MATCH($S172,'FBA FEES'!$L$2:$Q$2,0),FALSE),VLOOKUP(ROUNDUP($Q172,0),'FBA FEES'!$C$6:$F$123,MATCH($S172,'FBA FEES'!$C$6:$F$6,0),FALSE)),0)</f>
        <v>0</v>
      </c>
      <c r="AG172" s="116">
        <v>-10</v>
      </c>
      <c r="AH172" s="113">
        <f t="shared" si="28"/>
        <v>0</v>
      </c>
      <c r="AI172" s="116">
        <f>-IFERROR(IF($Y172=1,INDEX('[1]REMOVAL FEES'!$A$1:$C$22,MATCH(CONCATENATE("Standard Size",$P172),'[1]REMOVAL FEES'!$A$1:$A$22,0),3),IF($Y172=2,IF($P172&gt;10,(($P172-10)*1.06)+INDEX('[1]REMOVAL FEES'!$E$1:$G$22,MATCH(CONCATENATE("Large bulky, extra-large and special handling items",IF($P172&gt;=11,11,$P172)),'[1]REMOVAL FEES'!$E$1:$E$13,0),3),INDEX('[1]REMOVAL FEES'!$E$1:$G$22,MATCH(CONCATENATE("Large bulky, extra-large and special handling items",IF($P172&gt;=11,11,$P172)),'[1]REMOVAL FEES'!$E$1:$E$13,0),3))))*$AA172,FALSE)</f>
        <v>0</v>
      </c>
      <c r="AJ172" s="107">
        <f t="shared" si="29"/>
        <v>0</v>
      </c>
      <c r="AK172" s="107">
        <v>0</v>
      </c>
      <c r="AL172" s="107">
        <v>0</v>
      </c>
      <c r="AM172" s="107">
        <f t="shared" si="30"/>
        <v>0</v>
      </c>
      <c r="AN172" s="116">
        <f>(-IF($V172="Yes", IF($X172="Yes", VLOOKUP($W172, '[1]Storage Fees'!A:M, 13, FALSE), VLOOKUP($W172, '[1]Storage Fees'!A:M, 10, FALSE)), IF($X172="Yes", VLOOKUP($W172, '[1]Storage Fees'!A:M, 7, FALSE), VLOOKUP($W172, '[1]Storage Fees'!A:M, 4, FALSE))) * U172)*1.5</f>
        <v>0</v>
      </c>
    </row>
    <row r="173" spans="1:40" x14ac:dyDescent="0.25">
      <c r="A173" s="99">
        <v>101</v>
      </c>
      <c r="B173" s="99"/>
      <c r="C173" s="99" t="s">
        <v>13655</v>
      </c>
      <c r="D173" s="99"/>
      <c r="E173" s="99" t="s">
        <v>1593</v>
      </c>
      <c r="F173" s="99" t="s">
        <v>1600</v>
      </c>
      <c r="G173" s="99" t="s">
        <v>13695</v>
      </c>
      <c r="H173" s="99">
        <v>0</v>
      </c>
      <c r="I173" s="99">
        <v>0</v>
      </c>
      <c r="J173" s="99">
        <v>0</v>
      </c>
      <c r="K173" s="101" t="str">
        <f t="shared" si="18"/>
        <v>0x0x0</v>
      </c>
      <c r="L173" s="102">
        <f t="shared" si="19"/>
        <v>0</v>
      </c>
      <c r="M173" s="113">
        <f t="shared" si="20"/>
        <v>0</v>
      </c>
      <c r="N173" s="113">
        <f t="shared" si="21"/>
        <v>0</v>
      </c>
      <c r="O173" s="99">
        <v>0</v>
      </c>
      <c r="P173" s="113">
        <f t="shared" si="22"/>
        <v>0</v>
      </c>
      <c r="Q173" s="112">
        <f t="shared" si="23"/>
        <v>0</v>
      </c>
      <c r="R173" s="112" t="str">
        <f t="shared" si="24"/>
        <v>Standard-size</v>
      </c>
      <c r="S173" s="99" t="str">
        <f t="shared" si="25"/>
        <v>Small standard-size</v>
      </c>
      <c r="T173" s="116" t="s">
        <v>13696</v>
      </c>
      <c r="U173" s="116">
        <f t="shared" si="26"/>
        <v>0</v>
      </c>
      <c r="V173" s="116" t="s">
        <v>13583</v>
      </c>
      <c r="W173" s="116" t="s">
        <v>13690</v>
      </c>
      <c r="X173" s="99" t="s">
        <v>13583</v>
      </c>
      <c r="Y173" s="99">
        <v>1</v>
      </c>
      <c r="Z173" s="99">
        <v>1</v>
      </c>
      <c r="AA173" s="99">
        <v>1</v>
      </c>
      <c r="AB173" s="99"/>
      <c r="AC173" s="99"/>
      <c r="AD173" s="107">
        <v>0</v>
      </c>
      <c r="AE173" s="113">
        <f t="shared" si="27"/>
        <v>0</v>
      </c>
      <c r="AF173" s="116">
        <f>-IFERROR(IFERROR(VLOOKUP(ROUNDUP($Q173,0),'FBA FEES'!$L$2:$Q$203,MATCH($S173,'FBA FEES'!$L$2:$Q$2,0),FALSE),VLOOKUP(ROUNDUP($Q173,0),'FBA FEES'!$C$6:$F$123,MATCH($S173,'FBA FEES'!$C$6:$F$6,0),FALSE)),0)</f>
        <v>0</v>
      </c>
      <c r="AG173" s="116">
        <v>-10</v>
      </c>
      <c r="AH173" s="113">
        <f t="shared" si="28"/>
        <v>0</v>
      </c>
      <c r="AI173" s="116">
        <f>-IFERROR(IF($Y173=1,INDEX('[1]REMOVAL FEES'!$A$1:$C$22,MATCH(CONCATENATE("Standard Size",$P173),'[1]REMOVAL FEES'!$A$1:$A$22,0),3),IF($Y173=2,IF($P173&gt;10,(($P173-10)*1.06)+INDEX('[1]REMOVAL FEES'!$E$1:$G$22,MATCH(CONCATENATE("Large bulky, extra-large and special handling items",IF($P173&gt;=11,11,$P173)),'[1]REMOVAL FEES'!$E$1:$E$13,0),3),INDEX('[1]REMOVAL FEES'!$E$1:$G$22,MATCH(CONCATENATE("Large bulky, extra-large and special handling items",IF($P173&gt;=11,11,$P173)),'[1]REMOVAL FEES'!$E$1:$E$13,0),3))))*$AA173,FALSE)</f>
        <v>0</v>
      </c>
      <c r="AJ173" s="107">
        <f t="shared" si="29"/>
        <v>0</v>
      </c>
      <c r="AK173" s="107">
        <v>0</v>
      </c>
      <c r="AL173" s="107">
        <v>0</v>
      </c>
      <c r="AM173" s="107">
        <f t="shared" si="30"/>
        <v>0</v>
      </c>
      <c r="AN173" s="116">
        <f>(-IF($V173="Yes", IF($X173="Yes", VLOOKUP($W173, '[1]Storage Fees'!A:M, 13, FALSE), VLOOKUP($W173, '[1]Storage Fees'!A:M, 10, FALSE)), IF($X173="Yes", VLOOKUP($W173, '[1]Storage Fees'!A:M, 7, FALSE), VLOOKUP($W173, '[1]Storage Fees'!A:M, 4, FALSE))) * U173)*1.5</f>
        <v>0</v>
      </c>
    </row>
    <row r="174" spans="1:40" x14ac:dyDescent="0.25">
      <c r="A174" s="99">
        <v>102</v>
      </c>
      <c r="B174" s="99"/>
      <c r="C174" s="99" t="s">
        <v>13655</v>
      </c>
      <c r="D174" s="99"/>
      <c r="E174" s="99" t="s">
        <v>1593</v>
      </c>
      <c r="F174" s="99" t="s">
        <v>1602</v>
      </c>
      <c r="G174" s="99" t="s">
        <v>13695</v>
      </c>
      <c r="H174" s="99">
        <v>0</v>
      </c>
      <c r="I174" s="99">
        <v>0</v>
      </c>
      <c r="J174" s="99">
        <v>0</v>
      </c>
      <c r="K174" s="101" t="str">
        <f t="shared" si="18"/>
        <v>0x0x0</v>
      </c>
      <c r="L174" s="102">
        <f t="shared" si="19"/>
        <v>0</v>
      </c>
      <c r="M174" s="113">
        <f t="shared" si="20"/>
        <v>0</v>
      </c>
      <c r="N174" s="113">
        <f t="shared" si="21"/>
        <v>0</v>
      </c>
      <c r="O174" s="99">
        <v>0</v>
      </c>
      <c r="P174" s="113">
        <f t="shared" si="22"/>
        <v>0</v>
      </c>
      <c r="Q174" s="112">
        <f t="shared" si="23"/>
        <v>0</v>
      </c>
      <c r="R174" s="112" t="str">
        <f t="shared" si="24"/>
        <v>Standard-size</v>
      </c>
      <c r="S174" s="99" t="str">
        <f t="shared" si="25"/>
        <v>Small standard-size</v>
      </c>
      <c r="T174" s="116" t="s">
        <v>13696</v>
      </c>
      <c r="U174" s="116">
        <f t="shared" si="26"/>
        <v>0</v>
      </c>
      <c r="V174" s="116" t="s">
        <v>13583</v>
      </c>
      <c r="W174" s="116" t="s">
        <v>13690</v>
      </c>
      <c r="X174" s="99" t="s">
        <v>13583</v>
      </c>
      <c r="Y174" s="99">
        <v>1</v>
      </c>
      <c r="Z174" s="99">
        <v>1</v>
      </c>
      <c r="AA174" s="99">
        <v>1</v>
      </c>
      <c r="AB174" s="99"/>
      <c r="AC174" s="99"/>
      <c r="AD174" s="107">
        <v>0</v>
      </c>
      <c r="AE174" s="113">
        <f t="shared" si="27"/>
        <v>0</v>
      </c>
      <c r="AF174" s="116">
        <f>-IFERROR(IFERROR(VLOOKUP(ROUNDUP($Q174,0),'FBA FEES'!$L$2:$Q$203,MATCH($S174,'FBA FEES'!$L$2:$Q$2,0),FALSE),VLOOKUP(ROUNDUP($Q174,0),'FBA FEES'!$C$6:$F$123,MATCH($S174,'FBA FEES'!$C$6:$F$6,0),FALSE)),0)</f>
        <v>0</v>
      </c>
      <c r="AG174" s="116">
        <v>-10</v>
      </c>
      <c r="AH174" s="113">
        <f t="shared" si="28"/>
        <v>0</v>
      </c>
      <c r="AI174" s="116">
        <f>-IFERROR(IF($Y174=1,INDEX('[1]REMOVAL FEES'!$A$1:$C$22,MATCH(CONCATENATE("Standard Size",$P174),'[1]REMOVAL FEES'!$A$1:$A$22,0),3),IF($Y174=2,IF($P174&gt;10,(($P174-10)*1.06)+INDEX('[1]REMOVAL FEES'!$E$1:$G$22,MATCH(CONCATENATE("Large bulky, extra-large and special handling items",IF($P174&gt;=11,11,$P174)),'[1]REMOVAL FEES'!$E$1:$E$13,0),3),INDEX('[1]REMOVAL FEES'!$E$1:$G$22,MATCH(CONCATENATE("Large bulky, extra-large and special handling items",IF($P174&gt;=11,11,$P174)),'[1]REMOVAL FEES'!$E$1:$E$13,0),3))))*$AA174,FALSE)</f>
        <v>0</v>
      </c>
      <c r="AJ174" s="107">
        <f t="shared" si="29"/>
        <v>0</v>
      </c>
      <c r="AK174" s="107">
        <v>0</v>
      </c>
      <c r="AL174" s="107">
        <v>0</v>
      </c>
      <c r="AM174" s="107">
        <f t="shared" si="30"/>
        <v>0</v>
      </c>
      <c r="AN174" s="116">
        <f>(-IF($V174="Yes", IF($X174="Yes", VLOOKUP($W174, '[1]Storage Fees'!A:M, 13, FALSE), VLOOKUP($W174, '[1]Storage Fees'!A:M, 10, FALSE)), IF($X174="Yes", VLOOKUP($W174, '[1]Storage Fees'!A:M, 7, FALSE), VLOOKUP($W174, '[1]Storage Fees'!A:M, 4, FALSE))) * U174)*1.5</f>
        <v>0</v>
      </c>
    </row>
    <row r="175" spans="1:40" x14ac:dyDescent="0.25">
      <c r="A175" s="99">
        <v>103</v>
      </c>
      <c r="B175" s="99"/>
      <c r="C175" s="99" t="s">
        <v>13655</v>
      </c>
      <c r="D175" s="99"/>
      <c r="E175" s="99" t="s">
        <v>1593</v>
      </c>
      <c r="F175" s="99" t="s">
        <v>1604</v>
      </c>
      <c r="G175" s="99" t="s">
        <v>13695</v>
      </c>
      <c r="H175" s="99">
        <v>0</v>
      </c>
      <c r="I175" s="99">
        <v>0</v>
      </c>
      <c r="J175" s="99">
        <v>0</v>
      </c>
      <c r="K175" s="101" t="str">
        <f t="shared" si="18"/>
        <v>0x0x0</v>
      </c>
      <c r="L175" s="102">
        <f t="shared" si="19"/>
        <v>0</v>
      </c>
      <c r="M175" s="113">
        <f t="shared" si="20"/>
        <v>0</v>
      </c>
      <c r="N175" s="113">
        <f t="shared" si="21"/>
        <v>0</v>
      </c>
      <c r="O175" s="99">
        <v>0</v>
      </c>
      <c r="P175" s="113">
        <f t="shared" si="22"/>
        <v>0</v>
      </c>
      <c r="Q175" s="112">
        <f t="shared" si="23"/>
        <v>0</v>
      </c>
      <c r="R175" s="112" t="str">
        <f t="shared" si="24"/>
        <v>Standard-size</v>
      </c>
      <c r="S175" s="99" t="str">
        <f t="shared" si="25"/>
        <v>Small standard-size</v>
      </c>
      <c r="T175" s="116" t="s">
        <v>13696</v>
      </c>
      <c r="U175" s="116">
        <f t="shared" si="26"/>
        <v>0</v>
      </c>
      <c r="V175" s="116" t="s">
        <v>13583</v>
      </c>
      <c r="W175" s="116" t="s">
        <v>13690</v>
      </c>
      <c r="X175" s="99" t="s">
        <v>13583</v>
      </c>
      <c r="Y175" s="99">
        <v>1</v>
      </c>
      <c r="Z175" s="99">
        <v>1</v>
      </c>
      <c r="AA175" s="99">
        <v>1</v>
      </c>
      <c r="AB175" s="99"/>
      <c r="AC175" s="99"/>
      <c r="AD175" s="107">
        <v>0</v>
      </c>
      <c r="AE175" s="113">
        <f t="shared" si="27"/>
        <v>0</v>
      </c>
      <c r="AF175" s="116">
        <f>-IFERROR(IFERROR(VLOOKUP(ROUNDUP($Q175,0),'FBA FEES'!$L$2:$Q$203,MATCH($S175,'FBA FEES'!$L$2:$Q$2,0),FALSE),VLOOKUP(ROUNDUP($Q175,0),'FBA FEES'!$C$6:$F$123,MATCH($S175,'FBA FEES'!$C$6:$F$6,0),FALSE)),0)</f>
        <v>0</v>
      </c>
      <c r="AG175" s="116">
        <v>-10</v>
      </c>
      <c r="AH175" s="113">
        <f t="shared" si="28"/>
        <v>0</v>
      </c>
      <c r="AI175" s="116">
        <f>-IFERROR(IF($Y175=1,INDEX('[1]REMOVAL FEES'!$A$1:$C$22,MATCH(CONCATENATE("Standard Size",$P175),'[1]REMOVAL FEES'!$A$1:$A$22,0),3),IF($Y175=2,IF($P175&gt;10,(($P175-10)*1.06)+INDEX('[1]REMOVAL FEES'!$E$1:$G$22,MATCH(CONCATENATE("Large bulky, extra-large and special handling items",IF($P175&gt;=11,11,$P175)),'[1]REMOVAL FEES'!$E$1:$E$13,0),3),INDEX('[1]REMOVAL FEES'!$E$1:$G$22,MATCH(CONCATENATE("Large bulky, extra-large and special handling items",IF($P175&gt;=11,11,$P175)),'[1]REMOVAL FEES'!$E$1:$E$13,0),3))))*$AA175,FALSE)</f>
        <v>0</v>
      </c>
      <c r="AJ175" s="107">
        <f t="shared" si="29"/>
        <v>0</v>
      </c>
      <c r="AK175" s="107">
        <v>0</v>
      </c>
      <c r="AL175" s="107">
        <v>0</v>
      </c>
      <c r="AM175" s="107">
        <f t="shared" si="30"/>
        <v>0</v>
      </c>
      <c r="AN175" s="116">
        <f>(-IF($V175="Yes", IF($X175="Yes", VLOOKUP($W175, '[1]Storage Fees'!A:M, 13, FALSE), VLOOKUP($W175, '[1]Storage Fees'!A:M, 10, FALSE)), IF($X175="Yes", VLOOKUP($W175, '[1]Storage Fees'!A:M, 7, FALSE), VLOOKUP($W175, '[1]Storage Fees'!A:M, 4, FALSE))) * U175)*1.5</f>
        <v>0</v>
      </c>
    </row>
    <row r="176" spans="1:40" x14ac:dyDescent="0.25">
      <c r="A176" s="99">
        <v>104</v>
      </c>
      <c r="B176" s="99"/>
      <c r="C176" s="99" t="s">
        <v>13655</v>
      </c>
      <c r="D176" s="99"/>
      <c r="E176" s="99" t="s">
        <v>163</v>
      </c>
      <c r="F176" s="99" t="s">
        <v>1606</v>
      </c>
      <c r="G176" s="99" t="s">
        <v>13695</v>
      </c>
      <c r="H176" s="99">
        <v>0</v>
      </c>
      <c r="I176" s="99">
        <v>0</v>
      </c>
      <c r="J176" s="99">
        <v>0</v>
      </c>
      <c r="K176" s="101" t="str">
        <f t="shared" si="18"/>
        <v>0x0x0</v>
      </c>
      <c r="L176" s="102">
        <f t="shared" si="19"/>
        <v>0</v>
      </c>
      <c r="M176" s="113">
        <f t="shared" si="20"/>
        <v>0</v>
      </c>
      <c r="N176" s="113">
        <f t="shared" si="21"/>
        <v>0</v>
      </c>
      <c r="O176" s="99">
        <v>0</v>
      </c>
      <c r="P176" s="113">
        <f t="shared" si="22"/>
        <v>0</v>
      </c>
      <c r="Q176" s="112">
        <f t="shared" si="23"/>
        <v>0</v>
      </c>
      <c r="R176" s="112" t="str">
        <f t="shared" si="24"/>
        <v>Standard-size</v>
      </c>
      <c r="S176" s="99" t="str">
        <f t="shared" si="25"/>
        <v>Small standard-size</v>
      </c>
      <c r="T176" s="116" t="s">
        <v>13696</v>
      </c>
      <c r="U176" s="116">
        <f t="shared" si="26"/>
        <v>0</v>
      </c>
      <c r="V176" s="116" t="s">
        <v>13583</v>
      </c>
      <c r="W176" s="116" t="s">
        <v>13690</v>
      </c>
      <c r="X176" s="99" t="s">
        <v>13583</v>
      </c>
      <c r="Y176" s="99">
        <v>1</v>
      </c>
      <c r="Z176" s="99">
        <v>1</v>
      </c>
      <c r="AA176" s="99">
        <v>1</v>
      </c>
      <c r="AB176" s="99"/>
      <c r="AC176" s="99"/>
      <c r="AD176" s="107">
        <v>0</v>
      </c>
      <c r="AE176" s="113">
        <f t="shared" si="27"/>
        <v>0</v>
      </c>
      <c r="AF176" s="116">
        <f>-IFERROR(IFERROR(VLOOKUP(ROUNDUP($Q176,0),'FBA FEES'!$L$2:$Q$203,MATCH($S176,'FBA FEES'!$L$2:$Q$2,0),FALSE),VLOOKUP(ROUNDUP($Q176,0),'FBA FEES'!$C$6:$F$123,MATCH($S176,'FBA FEES'!$C$6:$F$6,0),FALSE)),0)</f>
        <v>0</v>
      </c>
      <c r="AG176" s="116">
        <v>-10</v>
      </c>
      <c r="AH176" s="113">
        <f t="shared" si="28"/>
        <v>0</v>
      </c>
      <c r="AI176" s="116">
        <f>-IFERROR(IF($Y176=1,INDEX('[1]REMOVAL FEES'!$A$1:$C$22,MATCH(CONCATENATE("Standard Size",$P176),'[1]REMOVAL FEES'!$A$1:$A$22,0),3),IF($Y176=2,IF($P176&gt;10,(($P176-10)*1.06)+INDEX('[1]REMOVAL FEES'!$E$1:$G$22,MATCH(CONCATENATE("Large bulky, extra-large and special handling items",IF($P176&gt;=11,11,$P176)),'[1]REMOVAL FEES'!$E$1:$E$13,0),3),INDEX('[1]REMOVAL FEES'!$E$1:$G$22,MATCH(CONCATENATE("Large bulky, extra-large and special handling items",IF($P176&gt;=11,11,$P176)),'[1]REMOVAL FEES'!$E$1:$E$13,0),3))))*$AA176,FALSE)</f>
        <v>0</v>
      </c>
      <c r="AJ176" s="107">
        <f t="shared" si="29"/>
        <v>0</v>
      </c>
      <c r="AK176" s="107">
        <v>0</v>
      </c>
      <c r="AL176" s="107">
        <v>0</v>
      </c>
      <c r="AM176" s="107">
        <f t="shared" si="30"/>
        <v>0</v>
      </c>
      <c r="AN176" s="116">
        <f>(-IF($V176="Yes", IF($X176="Yes", VLOOKUP($W176, '[1]Storage Fees'!A:M, 13, FALSE), VLOOKUP($W176, '[1]Storage Fees'!A:M, 10, FALSE)), IF($X176="Yes", VLOOKUP($W176, '[1]Storage Fees'!A:M, 7, FALSE), VLOOKUP($W176, '[1]Storage Fees'!A:M, 4, FALSE))) * U176)*1.5</f>
        <v>0</v>
      </c>
    </row>
    <row r="177" spans="1:40" x14ac:dyDescent="0.25">
      <c r="A177" s="99">
        <v>105</v>
      </c>
      <c r="B177" s="99" t="s">
        <v>13702</v>
      </c>
      <c r="C177" s="99" t="s">
        <v>13655</v>
      </c>
      <c r="D177" s="99" t="s">
        <v>714</v>
      </c>
      <c r="E177" s="99" t="s">
        <v>163</v>
      </c>
      <c r="F177" s="109" t="s">
        <v>736</v>
      </c>
      <c r="G177" s="99" t="s">
        <v>13695</v>
      </c>
      <c r="H177" s="99">
        <v>26</v>
      </c>
      <c r="I177" s="99">
        <v>15</v>
      </c>
      <c r="J177" s="99">
        <v>19</v>
      </c>
      <c r="K177" s="101" t="str">
        <f t="shared" si="18"/>
        <v>26x15x19</v>
      </c>
      <c r="L177" s="102">
        <f t="shared" si="19"/>
        <v>53.309352517985609</v>
      </c>
      <c r="M177" s="113">
        <f t="shared" si="20"/>
        <v>53.309352517985609</v>
      </c>
      <c r="N177" s="113">
        <f t="shared" si="21"/>
        <v>54</v>
      </c>
      <c r="O177" s="99">
        <v>31.125</v>
      </c>
      <c r="P177" s="113">
        <f t="shared" si="22"/>
        <v>54</v>
      </c>
      <c r="Q177" s="112">
        <f t="shared" si="23"/>
        <v>864</v>
      </c>
      <c r="R177" s="112" t="str">
        <f t="shared" si="24"/>
        <v>Oversize</v>
      </c>
      <c r="S177" s="99" t="str">
        <f t="shared" si="25"/>
        <v>Extra-large 50+ to 70 lb</v>
      </c>
      <c r="T177" s="116" t="s">
        <v>13689</v>
      </c>
      <c r="U177" s="116">
        <f t="shared" si="26"/>
        <v>4.2881944444444446</v>
      </c>
      <c r="V177" s="116" t="s">
        <v>13583</v>
      </c>
      <c r="W177" s="116" t="s">
        <v>13690</v>
      </c>
      <c r="X177" s="116" t="s">
        <v>13691</v>
      </c>
      <c r="Y177" s="116">
        <v>2</v>
      </c>
      <c r="Z177" s="116">
        <v>5</v>
      </c>
      <c r="AA177" s="116">
        <v>1</v>
      </c>
      <c r="AB177" s="99"/>
      <c r="AC177" s="99"/>
      <c r="AD177" s="107">
        <v>158.32333333333341</v>
      </c>
      <c r="AE177" s="113">
        <f t="shared" si="27"/>
        <v>-23.748500000000011</v>
      </c>
      <c r="AF177" s="116">
        <f>-IFERROR(IFERROR(VLOOKUP(ROUNDUP($Q177,0),'FBA FEES'!$L$2:$Q$203,MATCH($S177,'FBA FEES'!$L$2:$Q$2,0),FALSE),VLOOKUP(ROUNDUP($Q177,0),'FBA FEES'!$C$6:$F$123,MATCH($S177,'FBA FEES'!$C$6:$F$6,0),FALSE)),0)</f>
        <v>-42.37</v>
      </c>
      <c r="AG177" s="116">
        <v>-10</v>
      </c>
      <c r="AH177" s="113">
        <f t="shared" si="28"/>
        <v>-66.118500000000012</v>
      </c>
      <c r="AI177" s="116">
        <f>-IFERROR(IF($Y177=1,INDEX('[1]REMOVAL FEES'!$A$1:$C$22,MATCH(CONCATENATE("Standard Size",$P177),'[1]REMOVAL FEES'!$A$1:$A$22,0),3),IF($Y177=2,IF($P177&gt;10,(($P177-10)*1.06)+INDEX('[1]REMOVAL FEES'!$E$1:$G$22,MATCH(CONCATENATE("Large bulky, extra-large and special handling items",IF($P177&gt;=11,11,$P177)),'[1]REMOVAL FEES'!$E$1:$E$13,0),3),INDEX('[1]REMOVAL FEES'!$E$1:$G$22,MATCH(CONCATENATE("Large bulky, extra-large and special handling items",IF($P177&gt;=11,11,$P177)),'[1]REMOVAL FEES'!$E$1:$E$13,0),3))))*$AA177,FALSE)</f>
        <v>-60.96</v>
      </c>
      <c r="AJ177" s="107">
        <f t="shared" si="29"/>
        <v>-127.07850000000002</v>
      </c>
      <c r="AK177" s="107">
        <v>-76</v>
      </c>
      <c r="AL177" s="107">
        <v>-16.427499999999998</v>
      </c>
      <c r="AM177" s="107">
        <f t="shared" si="30"/>
        <v>-92.427499999999995</v>
      </c>
      <c r="AN177" s="116">
        <f>(-IF($V177="Yes", IF($X177="Yes", VLOOKUP($W177, '[1]Storage Fees'!A:M, 13, FALSE), VLOOKUP($W177, '[1]Storage Fees'!A:M, 10, FALSE)), IF($X177="Yes", VLOOKUP($W177, '[1]Storage Fees'!A:M, 7, FALSE), VLOOKUP($W177, '[1]Storage Fees'!A:M, 4, FALSE))) * U177)*1.5</f>
        <v>-5.0815104166666671</v>
      </c>
    </row>
    <row r="178" spans="1:40" x14ac:dyDescent="0.25">
      <c r="A178" s="99">
        <v>106</v>
      </c>
      <c r="B178" s="99" t="s">
        <v>13702</v>
      </c>
      <c r="C178" s="99"/>
      <c r="D178" s="99"/>
      <c r="E178" s="99" t="s">
        <v>163</v>
      </c>
      <c r="F178" s="99" t="s">
        <v>161</v>
      </c>
      <c r="G178" s="99" t="s">
        <v>13695</v>
      </c>
      <c r="H178" s="99">
        <v>24</v>
      </c>
      <c r="I178" s="99">
        <v>24</v>
      </c>
      <c r="J178" s="99">
        <v>24</v>
      </c>
      <c r="K178" s="101" t="str">
        <f t="shared" si="18"/>
        <v>24x24x24</v>
      </c>
      <c r="L178" s="102">
        <f t="shared" si="19"/>
        <v>99.453237410071949</v>
      </c>
      <c r="M178" s="113">
        <f t="shared" si="20"/>
        <v>99.453237410071949</v>
      </c>
      <c r="N178" s="113">
        <f t="shared" si="21"/>
        <v>100</v>
      </c>
      <c r="O178" s="99">
        <v>95</v>
      </c>
      <c r="P178" s="113">
        <f t="shared" si="22"/>
        <v>100</v>
      </c>
      <c r="Q178" s="112">
        <f t="shared" si="23"/>
        <v>1600</v>
      </c>
      <c r="R178" s="112" t="str">
        <f t="shared" si="24"/>
        <v>Oversize</v>
      </c>
      <c r="S178" s="99" t="str">
        <f t="shared" si="25"/>
        <v>Extra-large 70+ to 150 lb</v>
      </c>
      <c r="T178" s="116" t="s">
        <v>13703</v>
      </c>
      <c r="U178" s="116">
        <f t="shared" si="26"/>
        <v>8</v>
      </c>
      <c r="V178" s="116" t="s">
        <v>13583</v>
      </c>
      <c r="W178" s="116" t="s">
        <v>13690</v>
      </c>
      <c r="X178" s="116" t="s">
        <v>13691</v>
      </c>
      <c r="Y178" s="116">
        <v>2</v>
      </c>
      <c r="Z178" s="116">
        <v>6</v>
      </c>
      <c r="AA178" s="116">
        <v>1</v>
      </c>
      <c r="AB178" s="99"/>
      <c r="AC178" s="99"/>
      <c r="AD178" s="107">
        <v>777.40499999999997</v>
      </c>
      <c r="AE178" s="113">
        <f t="shared" si="27"/>
        <v>-116.61075</v>
      </c>
      <c r="AF178" s="116">
        <f>-IFERROR(IFERROR(VLOOKUP(ROUNDUP($Q178,0),'FBA FEES'!$L$2:$Q$203,MATCH($S178,'FBA FEES'!$L$2:$Q$2,0),FALSE),VLOOKUP(ROUNDUP($Q178,0),'FBA FEES'!$C$6:$F$123,MATCH($S178,'FBA FEES'!$C$6:$F$6,0),FALSE)),0)</f>
        <v>-76.56</v>
      </c>
      <c r="AG178" s="116">
        <v>-10</v>
      </c>
      <c r="AH178" s="113">
        <f t="shared" si="28"/>
        <v>-193.17075</v>
      </c>
      <c r="AI178" s="116">
        <f>-IFERROR(IF($Y178=1,INDEX('[1]REMOVAL FEES'!$A$1:$C$22,MATCH(CONCATENATE("Standard Size",$P178),'[1]REMOVAL FEES'!$A$1:$A$22,0),3),IF($Y178=2,IF($P178&gt;10,(($P178-10)*1.06)+INDEX('[1]REMOVAL FEES'!$E$1:$G$22,MATCH(CONCATENATE("Large bulky, extra-large and special handling items",IF($P178&gt;=11,11,$P178)),'[1]REMOVAL FEES'!$E$1:$E$13,0),3),INDEX('[1]REMOVAL FEES'!$E$1:$G$22,MATCH(CONCATENATE("Large bulky, extra-large and special handling items",IF($P178&gt;=11,11,$P178)),'[1]REMOVAL FEES'!$E$1:$E$13,0),3))))*$AA178,FALSE)</f>
        <v>-109.72</v>
      </c>
      <c r="AJ178" s="107">
        <f t="shared" si="29"/>
        <v>-302.89075000000003</v>
      </c>
      <c r="AK178" s="107">
        <v>-182</v>
      </c>
      <c r="AL178" s="107">
        <v>-38.25</v>
      </c>
      <c r="AM178" s="107">
        <f t="shared" si="30"/>
        <v>-220.25</v>
      </c>
      <c r="AN178" s="116">
        <f>(-IF($V178="Yes", IF($X178="Yes", VLOOKUP($W178, '[1]Storage Fees'!A:M, 13, FALSE), VLOOKUP($W178, '[1]Storage Fees'!A:M, 10, FALSE)), IF($X178="Yes", VLOOKUP($W178, '[1]Storage Fees'!A:M, 7, FALSE), VLOOKUP($W178, '[1]Storage Fees'!A:M, 4, FALSE))) * U178)*1.5</f>
        <v>-9.48</v>
      </c>
    </row>
    <row r="179" spans="1:40" x14ac:dyDescent="0.25">
      <c r="A179" s="99">
        <v>107</v>
      </c>
      <c r="B179" s="99"/>
      <c r="C179" s="99" t="s">
        <v>13655</v>
      </c>
      <c r="D179" s="99"/>
      <c r="E179" s="99" t="s">
        <v>163</v>
      </c>
      <c r="F179" s="99" t="s">
        <v>1608</v>
      </c>
      <c r="G179" s="99" t="s">
        <v>13695</v>
      </c>
      <c r="H179" s="99">
        <v>0</v>
      </c>
      <c r="I179" s="99">
        <v>0</v>
      </c>
      <c r="J179" s="99">
        <v>0</v>
      </c>
      <c r="K179" s="101" t="str">
        <f t="shared" si="18"/>
        <v>0x0x0</v>
      </c>
      <c r="L179" s="102">
        <f t="shared" si="19"/>
        <v>0</v>
      </c>
      <c r="M179" s="113">
        <f t="shared" si="20"/>
        <v>0</v>
      </c>
      <c r="N179" s="113">
        <f t="shared" si="21"/>
        <v>0</v>
      </c>
      <c r="O179" s="99">
        <v>0</v>
      </c>
      <c r="P179" s="113">
        <f t="shared" si="22"/>
        <v>0</v>
      </c>
      <c r="Q179" s="112">
        <f t="shared" si="23"/>
        <v>0</v>
      </c>
      <c r="R179" s="112" t="str">
        <f t="shared" si="24"/>
        <v>Standard-size</v>
      </c>
      <c r="S179" s="99" t="str">
        <f t="shared" si="25"/>
        <v>Small standard-size</v>
      </c>
      <c r="T179" s="116" t="s">
        <v>13696</v>
      </c>
      <c r="U179" s="116">
        <f t="shared" si="26"/>
        <v>0</v>
      </c>
      <c r="V179" s="116" t="s">
        <v>13583</v>
      </c>
      <c r="W179" s="116" t="s">
        <v>13690</v>
      </c>
      <c r="X179" s="99" t="s">
        <v>13583</v>
      </c>
      <c r="Y179" s="99">
        <v>1</v>
      </c>
      <c r="Z179" s="99">
        <v>1</v>
      </c>
      <c r="AA179" s="99">
        <v>1</v>
      </c>
      <c r="AB179" s="99"/>
      <c r="AC179" s="99"/>
      <c r="AD179" s="107">
        <v>0</v>
      </c>
      <c r="AE179" s="113">
        <f t="shared" si="27"/>
        <v>0</v>
      </c>
      <c r="AF179" s="116">
        <f>-IFERROR(IFERROR(VLOOKUP(ROUNDUP($Q179,0),'FBA FEES'!$L$2:$Q$203,MATCH($S179,'FBA FEES'!$L$2:$Q$2,0),FALSE),VLOOKUP(ROUNDUP($Q179,0),'FBA FEES'!$C$6:$F$123,MATCH($S179,'FBA FEES'!$C$6:$F$6,0),FALSE)),0)</f>
        <v>0</v>
      </c>
      <c r="AG179" s="116">
        <v>-10</v>
      </c>
      <c r="AH179" s="113">
        <f t="shared" si="28"/>
        <v>0</v>
      </c>
      <c r="AI179" s="116">
        <f>-IFERROR(IF($Y179=1,INDEX('[1]REMOVAL FEES'!$A$1:$C$22,MATCH(CONCATENATE("Standard Size",$P179),'[1]REMOVAL FEES'!$A$1:$A$22,0),3),IF($Y179=2,IF($P179&gt;10,(($P179-10)*1.06)+INDEX('[1]REMOVAL FEES'!$E$1:$G$22,MATCH(CONCATENATE("Large bulky, extra-large and special handling items",IF($P179&gt;=11,11,$P179)),'[1]REMOVAL FEES'!$E$1:$E$13,0),3),INDEX('[1]REMOVAL FEES'!$E$1:$G$22,MATCH(CONCATENATE("Large bulky, extra-large and special handling items",IF($P179&gt;=11,11,$P179)),'[1]REMOVAL FEES'!$E$1:$E$13,0),3))))*$AA179,FALSE)</f>
        <v>0</v>
      </c>
      <c r="AJ179" s="107">
        <f t="shared" si="29"/>
        <v>0</v>
      </c>
      <c r="AK179" s="107">
        <v>0</v>
      </c>
      <c r="AL179" s="107">
        <v>0</v>
      </c>
      <c r="AM179" s="107">
        <f t="shared" si="30"/>
        <v>0</v>
      </c>
      <c r="AN179" s="116">
        <f>(-IF($V179="Yes", IF($X179="Yes", VLOOKUP($W179, '[1]Storage Fees'!A:M, 13, FALSE), VLOOKUP($W179, '[1]Storage Fees'!A:M, 10, FALSE)), IF($X179="Yes", VLOOKUP($W179, '[1]Storage Fees'!A:M, 7, FALSE), VLOOKUP($W179, '[1]Storage Fees'!A:M, 4, FALSE))) * U179)*1.5</f>
        <v>0</v>
      </c>
    </row>
    <row r="180" spans="1:40" x14ac:dyDescent="0.25">
      <c r="A180" s="99">
        <v>108</v>
      </c>
      <c r="B180" s="99" t="s">
        <v>13704</v>
      </c>
      <c r="C180" s="99" t="s">
        <v>13655</v>
      </c>
      <c r="D180" s="99">
        <v>45635</v>
      </c>
      <c r="E180" s="99" t="s">
        <v>163</v>
      </c>
      <c r="F180" s="99" t="s">
        <v>739</v>
      </c>
      <c r="G180" s="99" t="s">
        <v>13695</v>
      </c>
      <c r="H180" s="99">
        <v>20</v>
      </c>
      <c r="I180" s="99">
        <v>12</v>
      </c>
      <c r="J180" s="99">
        <v>15</v>
      </c>
      <c r="K180" s="101" t="str">
        <f t="shared" si="18"/>
        <v>20x12x15</v>
      </c>
      <c r="L180" s="102">
        <f t="shared" si="19"/>
        <v>25.899280575539567</v>
      </c>
      <c r="M180" s="113">
        <f t="shared" si="20"/>
        <v>25.899280575539567</v>
      </c>
      <c r="N180" s="113">
        <f t="shared" si="21"/>
        <v>26</v>
      </c>
      <c r="O180" s="99">
        <v>38.875</v>
      </c>
      <c r="P180" s="113">
        <f t="shared" si="22"/>
        <v>39</v>
      </c>
      <c r="Q180" s="112">
        <f t="shared" si="23"/>
        <v>624</v>
      </c>
      <c r="R180" s="112" t="str">
        <f t="shared" si="24"/>
        <v>Oversize</v>
      </c>
      <c r="S180" s="99" t="str">
        <f t="shared" si="25"/>
        <v>Large bulky</v>
      </c>
      <c r="T180" s="116" t="s">
        <v>13694</v>
      </c>
      <c r="U180" s="116">
        <f t="shared" si="26"/>
        <v>2.0833333333333335</v>
      </c>
      <c r="V180" s="116" t="s">
        <v>13583</v>
      </c>
      <c r="W180" s="116" t="s">
        <v>13690</v>
      </c>
      <c r="X180" s="116" t="s">
        <v>13691</v>
      </c>
      <c r="Y180" s="116">
        <v>2</v>
      </c>
      <c r="Z180" s="116">
        <v>3</v>
      </c>
      <c r="AA180" s="116">
        <v>1</v>
      </c>
      <c r="AB180" s="99"/>
      <c r="AC180" s="99"/>
      <c r="AD180" s="107">
        <v>0</v>
      </c>
      <c r="AE180" s="113">
        <f t="shared" si="27"/>
        <v>0</v>
      </c>
      <c r="AF180" s="116">
        <f>-IFERROR(IFERROR(VLOOKUP(ROUNDUP($Q180,0),'FBA FEES'!$L$2:$Q$203,MATCH($S180,'FBA FEES'!$L$2:$Q$2,0),FALSE),VLOOKUP(ROUNDUP($Q180,0),'FBA FEES'!$C$6:$F$123,MATCH($S180,'FBA FEES'!$C$6:$F$6,0),FALSE)),0)</f>
        <v>-24.049999999999997</v>
      </c>
      <c r="AG180" s="116">
        <v>-10</v>
      </c>
      <c r="AH180" s="113">
        <f t="shared" si="28"/>
        <v>-24.049999999999997</v>
      </c>
      <c r="AI180" s="116">
        <f>-IFERROR(IF($Y180=1,INDEX('[1]REMOVAL FEES'!$A$1:$C$22,MATCH(CONCATENATE("Standard Size",$P180),'[1]REMOVAL FEES'!$A$1:$A$22,0),3),IF($Y180=2,IF($P180&gt;10,(($P180-10)*1.06)+INDEX('[1]REMOVAL FEES'!$E$1:$G$22,MATCH(CONCATENATE("Large bulky, extra-large and special handling items",IF($P180&gt;=11,11,$P180)),'[1]REMOVAL FEES'!$E$1:$E$13,0),3),INDEX('[1]REMOVAL FEES'!$E$1:$G$22,MATCH(CONCATENATE("Large bulky, extra-large and special handling items",IF($P180&gt;=11,11,$P180)),'[1]REMOVAL FEES'!$E$1:$E$13,0),3))))*$AA180,FALSE)</f>
        <v>-45.06</v>
      </c>
      <c r="AJ180" s="107">
        <f t="shared" si="29"/>
        <v>-69.11</v>
      </c>
      <c r="AK180" s="107">
        <v>0</v>
      </c>
      <c r="AL180" s="107">
        <v>0</v>
      </c>
      <c r="AM180" s="107">
        <f t="shared" si="30"/>
        <v>0</v>
      </c>
      <c r="AN180" s="116">
        <f>(-IF($V180="Yes", IF($X180="Yes", VLOOKUP($W180, '[1]Storage Fees'!A:M, 13, FALSE), VLOOKUP($W180, '[1]Storage Fees'!A:M, 10, FALSE)), IF($X180="Yes", VLOOKUP($W180, '[1]Storage Fees'!A:M, 7, FALSE), VLOOKUP($W180, '[1]Storage Fees'!A:M, 4, FALSE))) * U180)*1.5</f>
        <v>-2.46875</v>
      </c>
    </row>
    <row r="181" spans="1:40" x14ac:dyDescent="0.25">
      <c r="A181" s="99">
        <v>109</v>
      </c>
      <c r="B181" s="99" t="s">
        <v>13704</v>
      </c>
      <c r="C181" s="99" t="s">
        <v>13655</v>
      </c>
      <c r="D181" s="99" t="s">
        <v>744</v>
      </c>
      <c r="E181" s="99" t="s">
        <v>163</v>
      </c>
      <c r="F181" s="99" t="s">
        <v>742</v>
      </c>
      <c r="G181" s="99" t="s">
        <v>13695</v>
      </c>
      <c r="H181" s="99">
        <v>24</v>
      </c>
      <c r="I181" s="99">
        <v>11</v>
      </c>
      <c r="J181" s="99">
        <v>19</v>
      </c>
      <c r="K181" s="101" t="str">
        <f t="shared" si="18"/>
        <v>24x11x19</v>
      </c>
      <c r="L181" s="102">
        <f t="shared" si="19"/>
        <v>36.086330935251802</v>
      </c>
      <c r="M181" s="113">
        <f t="shared" si="20"/>
        <v>36.086330935251802</v>
      </c>
      <c r="N181" s="113">
        <f t="shared" si="21"/>
        <v>37</v>
      </c>
      <c r="O181" s="99">
        <v>38</v>
      </c>
      <c r="P181" s="113">
        <f t="shared" si="22"/>
        <v>38</v>
      </c>
      <c r="Q181" s="112">
        <f t="shared" si="23"/>
        <v>608</v>
      </c>
      <c r="R181" s="112" t="str">
        <f t="shared" si="24"/>
        <v>Oversize</v>
      </c>
      <c r="S181" s="99" t="str">
        <f t="shared" si="25"/>
        <v>Large bulky</v>
      </c>
      <c r="T181" s="116" t="s">
        <v>13694</v>
      </c>
      <c r="U181" s="116">
        <f t="shared" si="26"/>
        <v>2.9027777777777777</v>
      </c>
      <c r="V181" s="116" t="s">
        <v>13583</v>
      </c>
      <c r="W181" s="116" t="s">
        <v>13690</v>
      </c>
      <c r="X181" s="116" t="s">
        <v>13691</v>
      </c>
      <c r="Y181" s="116">
        <v>2</v>
      </c>
      <c r="Z181" s="116">
        <v>3</v>
      </c>
      <c r="AA181" s="116">
        <v>1</v>
      </c>
      <c r="AB181" s="99"/>
      <c r="AC181" s="99"/>
      <c r="AD181" s="107">
        <v>0</v>
      </c>
      <c r="AE181" s="113">
        <f t="shared" si="27"/>
        <v>0</v>
      </c>
      <c r="AF181" s="116">
        <f>-IFERROR(IFERROR(VLOOKUP(ROUNDUP($Q181,0),'FBA FEES'!$L$2:$Q$203,MATCH($S181,'FBA FEES'!$L$2:$Q$2,0),FALSE),VLOOKUP(ROUNDUP($Q181,0),'FBA FEES'!$C$6:$F$123,MATCH($S181,'FBA FEES'!$C$6:$F$6,0),FALSE)),0)</f>
        <v>-23.67</v>
      </c>
      <c r="AG181" s="116">
        <v>-10</v>
      </c>
      <c r="AH181" s="113">
        <f t="shared" si="28"/>
        <v>-23.67</v>
      </c>
      <c r="AI181" s="116">
        <f>-IFERROR(IF($Y181=1,INDEX('[1]REMOVAL FEES'!$A$1:$C$22,MATCH(CONCATENATE("Standard Size",$P181),'[1]REMOVAL FEES'!$A$1:$A$22,0),3),IF($Y181=2,IF($P181&gt;10,(($P181-10)*1.06)+INDEX('[1]REMOVAL FEES'!$E$1:$G$22,MATCH(CONCATENATE("Large bulky, extra-large and special handling items",IF($P181&gt;=11,11,$P181)),'[1]REMOVAL FEES'!$E$1:$E$13,0),3),INDEX('[1]REMOVAL FEES'!$E$1:$G$22,MATCH(CONCATENATE("Large bulky, extra-large and special handling items",IF($P181&gt;=11,11,$P181)),'[1]REMOVAL FEES'!$E$1:$E$13,0),3))))*$AA181,FALSE)</f>
        <v>-44</v>
      </c>
      <c r="AJ181" s="107">
        <f t="shared" si="29"/>
        <v>-67.67</v>
      </c>
      <c r="AK181" s="107">
        <v>0</v>
      </c>
      <c r="AL181" s="107">
        <v>0</v>
      </c>
      <c r="AM181" s="107">
        <f t="shared" si="30"/>
        <v>0</v>
      </c>
      <c r="AN181" s="116">
        <f>(-IF($V181="Yes", IF($X181="Yes", VLOOKUP($W181, '[1]Storage Fees'!A:M, 13, FALSE), VLOOKUP($W181, '[1]Storage Fees'!A:M, 10, FALSE)), IF($X181="Yes", VLOOKUP($W181, '[1]Storage Fees'!A:M, 7, FALSE), VLOOKUP($W181, '[1]Storage Fees'!A:M, 4, FALSE))) * U181)*1.5</f>
        <v>-3.4397916666666668</v>
      </c>
    </row>
    <row r="182" spans="1:40" x14ac:dyDescent="0.25">
      <c r="A182" s="99">
        <v>110</v>
      </c>
      <c r="B182" s="99" t="s">
        <v>13702</v>
      </c>
      <c r="C182" s="99" t="s">
        <v>13655</v>
      </c>
      <c r="D182" s="99" t="s">
        <v>749</v>
      </c>
      <c r="E182" s="99" t="s">
        <v>163</v>
      </c>
      <c r="F182" s="99" t="s">
        <v>747</v>
      </c>
      <c r="G182" s="99" t="s">
        <v>13695</v>
      </c>
      <c r="H182" s="99">
        <v>24</v>
      </c>
      <c r="I182" s="99">
        <v>18</v>
      </c>
      <c r="J182" s="99">
        <v>11</v>
      </c>
      <c r="K182" s="101" t="str">
        <f t="shared" si="18"/>
        <v>24x18x11</v>
      </c>
      <c r="L182" s="102">
        <f t="shared" si="19"/>
        <v>34.187050359712231</v>
      </c>
      <c r="M182" s="113">
        <f t="shared" si="20"/>
        <v>34.187050359712231</v>
      </c>
      <c r="N182" s="113">
        <f t="shared" si="21"/>
        <v>35</v>
      </c>
      <c r="O182" s="99">
        <v>40.4375</v>
      </c>
      <c r="P182" s="113">
        <f t="shared" si="22"/>
        <v>41</v>
      </c>
      <c r="Q182" s="112">
        <f t="shared" si="23"/>
        <v>656</v>
      </c>
      <c r="R182" s="112" t="str">
        <f t="shared" si="24"/>
        <v>Oversize</v>
      </c>
      <c r="S182" s="99" t="str">
        <f t="shared" si="25"/>
        <v>Large bulky</v>
      </c>
      <c r="T182" s="116" t="s">
        <v>13694</v>
      </c>
      <c r="U182" s="116">
        <f t="shared" si="26"/>
        <v>2.75</v>
      </c>
      <c r="V182" s="116" t="s">
        <v>13583</v>
      </c>
      <c r="W182" s="116" t="s">
        <v>13690</v>
      </c>
      <c r="X182" s="116" t="s">
        <v>13691</v>
      </c>
      <c r="Y182" s="116">
        <v>2</v>
      </c>
      <c r="Z182" s="116">
        <v>3</v>
      </c>
      <c r="AA182" s="116">
        <v>1</v>
      </c>
      <c r="AB182" s="99"/>
      <c r="AC182" s="99"/>
      <c r="AD182" s="107">
        <v>199.99</v>
      </c>
      <c r="AE182" s="113">
        <f t="shared" si="27"/>
        <v>-29.9985</v>
      </c>
      <c r="AF182" s="116">
        <f>-IFERROR(IFERROR(VLOOKUP(ROUNDUP($Q182,0),'FBA FEES'!$L$2:$Q$203,MATCH($S182,'FBA FEES'!$L$2:$Q$2,0),FALSE),VLOOKUP(ROUNDUP($Q182,0),'FBA FEES'!$C$6:$F$123,MATCH($S182,'FBA FEES'!$C$6:$F$6,0),FALSE)),0)</f>
        <v>-24.81</v>
      </c>
      <c r="AG182" s="116">
        <v>-10</v>
      </c>
      <c r="AH182" s="113">
        <f t="shared" si="28"/>
        <v>-54.808499999999995</v>
      </c>
      <c r="AI182" s="116">
        <f>-IFERROR(IF($Y182=1,INDEX('[1]REMOVAL FEES'!$A$1:$C$22,MATCH(CONCATENATE("Standard Size",$P182),'[1]REMOVAL FEES'!$A$1:$A$22,0),3),IF($Y182=2,IF($P182&gt;10,(($P182-10)*1.06)+INDEX('[1]REMOVAL FEES'!$E$1:$G$22,MATCH(CONCATENATE("Large bulky, extra-large and special handling items",IF($P182&gt;=11,11,$P182)),'[1]REMOVAL FEES'!$E$1:$E$13,0),3),INDEX('[1]REMOVAL FEES'!$E$1:$G$22,MATCH(CONCATENATE("Large bulky, extra-large and special handling items",IF($P182&gt;=11,11,$P182)),'[1]REMOVAL FEES'!$E$1:$E$13,0),3))))*$AA182,FALSE)</f>
        <v>-47.18</v>
      </c>
      <c r="AJ182" s="107">
        <f t="shared" si="29"/>
        <v>-101.98849999999999</v>
      </c>
      <c r="AK182" s="107">
        <v>-136.44</v>
      </c>
      <c r="AL182" s="107">
        <v>-15.446</v>
      </c>
      <c r="AM182" s="107">
        <f t="shared" si="30"/>
        <v>-151.886</v>
      </c>
      <c r="AN182" s="116">
        <f>(-IF($V182="Yes", IF($X182="Yes", VLOOKUP($W182, '[1]Storage Fees'!A:M, 13, FALSE), VLOOKUP($W182, '[1]Storage Fees'!A:M, 10, FALSE)), IF($X182="Yes", VLOOKUP($W182, '[1]Storage Fees'!A:M, 7, FALSE), VLOOKUP($W182, '[1]Storage Fees'!A:M, 4, FALSE))) * U182)*1.5</f>
        <v>-3.2587500000000005</v>
      </c>
    </row>
    <row r="183" spans="1:40" x14ac:dyDescent="0.25">
      <c r="A183" s="99">
        <v>111</v>
      </c>
      <c r="B183" s="99" t="s">
        <v>13704</v>
      </c>
      <c r="C183" s="99" t="s">
        <v>13655</v>
      </c>
      <c r="D183" s="99" t="s">
        <v>753</v>
      </c>
      <c r="E183" s="99" t="s">
        <v>163</v>
      </c>
      <c r="F183" s="99" t="s">
        <v>751</v>
      </c>
      <c r="G183" s="99" t="s">
        <v>13695</v>
      </c>
      <c r="H183" s="99">
        <v>30</v>
      </c>
      <c r="I183" s="99">
        <v>15</v>
      </c>
      <c r="J183" s="99">
        <v>14</v>
      </c>
      <c r="K183" s="101" t="str">
        <f t="shared" si="18"/>
        <v>30x15x14</v>
      </c>
      <c r="L183" s="102">
        <f t="shared" si="19"/>
        <v>45.323741007194243</v>
      </c>
      <c r="M183" s="113">
        <f t="shared" si="20"/>
        <v>45.323741007194243</v>
      </c>
      <c r="N183" s="113">
        <f t="shared" si="21"/>
        <v>46</v>
      </c>
      <c r="O183" s="99">
        <v>52</v>
      </c>
      <c r="P183" s="113">
        <f t="shared" si="22"/>
        <v>52</v>
      </c>
      <c r="Q183" s="112">
        <f t="shared" si="23"/>
        <v>832</v>
      </c>
      <c r="R183" s="112" t="str">
        <f t="shared" si="24"/>
        <v>Oversize</v>
      </c>
      <c r="S183" s="99" t="str">
        <f t="shared" si="25"/>
        <v>Extra-large 50+ to 70 lb</v>
      </c>
      <c r="T183" s="116" t="s">
        <v>13689</v>
      </c>
      <c r="U183" s="116">
        <f t="shared" si="26"/>
        <v>3.6458333333333335</v>
      </c>
      <c r="V183" s="116" t="s">
        <v>13583</v>
      </c>
      <c r="W183" s="116" t="s">
        <v>13690</v>
      </c>
      <c r="X183" s="116" t="s">
        <v>13691</v>
      </c>
      <c r="Y183" s="116">
        <v>2</v>
      </c>
      <c r="Z183" s="116">
        <v>5</v>
      </c>
      <c r="AA183" s="116">
        <v>1</v>
      </c>
      <c r="AB183" s="99"/>
      <c r="AC183" s="99"/>
      <c r="AD183" s="107">
        <v>0</v>
      </c>
      <c r="AE183" s="113">
        <f t="shared" si="27"/>
        <v>0</v>
      </c>
      <c r="AF183" s="116">
        <f>-IFERROR(IFERROR(VLOOKUP(ROUNDUP($Q183,0),'FBA FEES'!$L$2:$Q$203,MATCH($S183,'FBA FEES'!$L$2:$Q$2,0),FALSE),VLOOKUP(ROUNDUP($Q183,0),'FBA FEES'!$C$6:$F$123,MATCH($S183,'FBA FEES'!$C$6:$F$6,0),FALSE)),0)</f>
        <v>-40.869999999999997</v>
      </c>
      <c r="AG183" s="116">
        <v>-10</v>
      </c>
      <c r="AH183" s="113">
        <f t="shared" si="28"/>
        <v>-40.869999999999997</v>
      </c>
      <c r="AI183" s="116">
        <f>-IFERROR(IF($Y183=1,INDEX('[1]REMOVAL FEES'!$A$1:$C$22,MATCH(CONCATENATE("Standard Size",$P183),'[1]REMOVAL FEES'!$A$1:$A$22,0),3),IF($Y183=2,IF($P183&gt;10,(($P183-10)*1.06)+INDEX('[1]REMOVAL FEES'!$E$1:$G$22,MATCH(CONCATENATE("Large bulky, extra-large and special handling items",IF($P183&gt;=11,11,$P183)),'[1]REMOVAL FEES'!$E$1:$E$13,0),3),INDEX('[1]REMOVAL FEES'!$E$1:$G$22,MATCH(CONCATENATE("Large bulky, extra-large and special handling items",IF($P183&gt;=11,11,$P183)),'[1]REMOVAL FEES'!$E$1:$E$13,0),3))))*$AA183,FALSE)</f>
        <v>-58.84</v>
      </c>
      <c r="AJ183" s="107">
        <f t="shared" si="29"/>
        <v>-99.710000000000008</v>
      </c>
      <c r="AK183" s="107">
        <v>0</v>
      </c>
      <c r="AL183" s="107">
        <v>0</v>
      </c>
      <c r="AM183" s="107">
        <f t="shared" si="30"/>
        <v>0</v>
      </c>
      <c r="AN183" s="116">
        <f>(-IF($V183="Yes", IF($X183="Yes", VLOOKUP($W183, '[1]Storage Fees'!A:M, 13, FALSE), VLOOKUP($W183, '[1]Storage Fees'!A:M, 10, FALSE)), IF($X183="Yes", VLOOKUP($W183, '[1]Storage Fees'!A:M, 7, FALSE), VLOOKUP($W183, '[1]Storage Fees'!A:M, 4, FALSE))) * U183)*1.5</f>
        <v>-4.3203125</v>
      </c>
    </row>
    <row r="184" spans="1:40" x14ac:dyDescent="0.25">
      <c r="A184" s="99">
        <v>112</v>
      </c>
      <c r="B184" s="99"/>
      <c r="C184" s="99" t="s">
        <v>13655</v>
      </c>
      <c r="D184" s="99"/>
      <c r="E184" s="99" t="s">
        <v>163</v>
      </c>
      <c r="F184" s="99" t="s">
        <v>1610</v>
      </c>
      <c r="G184" s="99" t="s">
        <v>13695</v>
      </c>
      <c r="H184" s="99">
        <v>0</v>
      </c>
      <c r="I184" s="99">
        <v>0</v>
      </c>
      <c r="J184" s="99">
        <v>0</v>
      </c>
      <c r="K184" s="101" t="str">
        <f t="shared" si="18"/>
        <v>0x0x0</v>
      </c>
      <c r="L184" s="102">
        <f t="shared" si="19"/>
        <v>0</v>
      </c>
      <c r="M184" s="113">
        <f t="shared" si="20"/>
        <v>0</v>
      </c>
      <c r="N184" s="113">
        <f t="shared" si="21"/>
        <v>0</v>
      </c>
      <c r="O184" s="99">
        <v>0</v>
      </c>
      <c r="P184" s="113">
        <f t="shared" si="22"/>
        <v>0</v>
      </c>
      <c r="Q184" s="112">
        <f t="shared" si="23"/>
        <v>0</v>
      </c>
      <c r="R184" s="112" t="str">
        <f t="shared" si="24"/>
        <v>Standard-size</v>
      </c>
      <c r="S184" s="99" t="str">
        <f t="shared" si="25"/>
        <v>Small standard-size</v>
      </c>
      <c r="T184" s="116" t="s">
        <v>13696</v>
      </c>
      <c r="U184" s="116">
        <f t="shared" si="26"/>
        <v>0</v>
      </c>
      <c r="V184" s="116" t="s">
        <v>13583</v>
      </c>
      <c r="W184" s="116" t="s">
        <v>13690</v>
      </c>
      <c r="X184" s="99" t="s">
        <v>13583</v>
      </c>
      <c r="Y184" s="99">
        <v>1</v>
      </c>
      <c r="Z184" s="99">
        <v>1</v>
      </c>
      <c r="AA184" s="99">
        <v>1</v>
      </c>
      <c r="AB184" s="99"/>
      <c r="AC184" s="99"/>
      <c r="AD184" s="107">
        <v>0</v>
      </c>
      <c r="AE184" s="113">
        <f t="shared" si="27"/>
        <v>0</v>
      </c>
      <c r="AF184" s="116">
        <f>-IFERROR(IFERROR(VLOOKUP(ROUNDUP($Q184,0),'FBA FEES'!$L$2:$Q$203,MATCH($S184,'FBA FEES'!$L$2:$Q$2,0),FALSE),VLOOKUP(ROUNDUP($Q184,0),'FBA FEES'!$C$6:$F$123,MATCH($S184,'FBA FEES'!$C$6:$F$6,0),FALSE)),0)</f>
        <v>0</v>
      </c>
      <c r="AG184" s="116">
        <v>-10</v>
      </c>
      <c r="AH184" s="113">
        <f t="shared" si="28"/>
        <v>0</v>
      </c>
      <c r="AI184" s="116">
        <f>-IFERROR(IF($Y184=1,INDEX('[1]REMOVAL FEES'!$A$1:$C$22,MATCH(CONCATENATE("Standard Size",$P184),'[1]REMOVAL FEES'!$A$1:$A$22,0),3),IF($Y184=2,IF($P184&gt;10,(($P184-10)*1.06)+INDEX('[1]REMOVAL FEES'!$E$1:$G$22,MATCH(CONCATENATE("Large bulky, extra-large and special handling items",IF($P184&gt;=11,11,$P184)),'[1]REMOVAL FEES'!$E$1:$E$13,0),3),INDEX('[1]REMOVAL FEES'!$E$1:$G$22,MATCH(CONCATENATE("Large bulky, extra-large and special handling items",IF($P184&gt;=11,11,$P184)),'[1]REMOVAL FEES'!$E$1:$E$13,0),3))))*$AA184,FALSE)</f>
        <v>0</v>
      </c>
      <c r="AJ184" s="107">
        <f t="shared" si="29"/>
        <v>0</v>
      </c>
      <c r="AK184" s="107">
        <v>0</v>
      </c>
      <c r="AL184" s="107">
        <v>0</v>
      </c>
      <c r="AM184" s="107">
        <f t="shared" si="30"/>
        <v>0</v>
      </c>
      <c r="AN184" s="116">
        <f>(-IF($V184="Yes", IF($X184="Yes", VLOOKUP($W184, '[1]Storage Fees'!A:M, 13, FALSE), VLOOKUP($W184, '[1]Storage Fees'!A:M, 10, FALSE)), IF($X184="Yes", VLOOKUP($W184, '[1]Storage Fees'!A:M, 7, FALSE), VLOOKUP($W184, '[1]Storage Fees'!A:M, 4, FALSE))) * U184)*1.5</f>
        <v>0</v>
      </c>
    </row>
    <row r="185" spans="1:40" x14ac:dyDescent="0.25">
      <c r="A185" s="99">
        <v>113</v>
      </c>
      <c r="B185" s="99" t="s">
        <v>13702</v>
      </c>
      <c r="C185" s="99" t="s">
        <v>13655</v>
      </c>
      <c r="D185" s="99" t="s">
        <v>749</v>
      </c>
      <c r="E185" s="99" t="s">
        <v>163</v>
      </c>
      <c r="F185" s="99" t="s">
        <v>755</v>
      </c>
      <c r="G185" s="99" t="s">
        <v>13695</v>
      </c>
      <c r="H185" s="99">
        <v>15</v>
      </c>
      <c r="I185" s="99">
        <v>14</v>
      </c>
      <c r="J185" s="99">
        <v>30</v>
      </c>
      <c r="K185" s="101" t="str">
        <f t="shared" si="18"/>
        <v>15x14x30</v>
      </c>
      <c r="L185" s="102">
        <f t="shared" si="19"/>
        <v>45.323741007194243</v>
      </c>
      <c r="M185" s="113">
        <f t="shared" si="20"/>
        <v>45.323741007194243</v>
      </c>
      <c r="N185" s="113">
        <f t="shared" si="21"/>
        <v>46</v>
      </c>
      <c r="O185" s="99">
        <v>48</v>
      </c>
      <c r="P185" s="113">
        <f t="shared" si="22"/>
        <v>48</v>
      </c>
      <c r="Q185" s="112">
        <f t="shared" si="23"/>
        <v>768</v>
      </c>
      <c r="R185" s="112" t="str">
        <f t="shared" si="24"/>
        <v>Oversize</v>
      </c>
      <c r="S185" s="99" t="str">
        <f t="shared" si="25"/>
        <v>Large bulky</v>
      </c>
      <c r="T185" s="116" t="s">
        <v>13694</v>
      </c>
      <c r="U185" s="116">
        <f t="shared" si="26"/>
        <v>3.6458333333333335</v>
      </c>
      <c r="V185" s="116" t="s">
        <v>13583</v>
      </c>
      <c r="W185" s="116" t="s">
        <v>13690</v>
      </c>
      <c r="X185" s="116" t="s">
        <v>13691</v>
      </c>
      <c r="Y185" s="116">
        <v>2</v>
      </c>
      <c r="Z185" s="116">
        <v>3</v>
      </c>
      <c r="AA185" s="116">
        <v>1</v>
      </c>
      <c r="AB185" s="99"/>
      <c r="AC185" s="99"/>
      <c r="AD185" s="107">
        <v>309.4853333333333</v>
      </c>
      <c r="AE185" s="113">
        <f t="shared" si="27"/>
        <v>-46.422799999999995</v>
      </c>
      <c r="AF185" s="116">
        <f>-IFERROR(IFERROR(VLOOKUP(ROUNDUP($Q185,0),'FBA FEES'!$L$2:$Q$203,MATCH($S185,'FBA FEES'!$L$2:$Q$2,0),FALSE),VLOOKUP(ROUNDUP($Q185,0),'FBA FEES'!$C$6:$F$123,MATCH($S185,'FBA FEES'!$C$6:$F$6,0),FALSE)),0)</f>
        <v>-27.47</v>
      </c>
      <c r="AG185" s="116">
        <v>-10</v>
      </c>
      <c r="AH185" s="113">
        <f t="shared" si="28"/>
        <v>-73.892799999999994</v>
      </c>
      <c r="AI185" s="116">
        <f>-IFERROR(IF($Y185=1,INDEX('[1]REMOVAL FEES'!$A$1:$C$22,MATCH(CONCATENATE("Standard Size",$P185),'[1]REMOVAL FEES'!$A$1:$A$22,0),3),IF($Y185=2,IF($P185&gt;10,(($P185-10)*1.06)+INDEX('[1]REMOVAL FEES'!$E$1:$G$22,MATCH(CONCATENATE("Large bulky, extra-large and special handling items",IF($P185&gt;=11,11,$P185)),'[1]REMOVAL FEES'!$E$1:$E$13,0),3),INDEX('[1]REMOVAL FEES'!$E$1:$G$22,MATCH(CONCATENATE("Large bulky, extra-large and special handling items",IF($P185&gt;=11,11,$P185)),'[1]REMOVAL FEES'!$E$1:$E$13,0),3))))*$AA185,FALSE)</f>
        <v>-54.6</v>
      </c>
      <c r="AJ185" s="107">
        <f t="shared" si="29"/>
        <v>-128.49279999999999</v>
      </c>
      <c r="AK185" s="107">
        <v>-161</v>
      </c>
      <c r="AL185" s="107">
        <v>-18.685172222222221</v>
      </c>
      <c r="AM185" s="107">
        <f t="shared" si="30"/>
        <v>-179.68517222222221</v>
      </c>
      <c r="AN185" s="116">
        <f>(-IF($V185="Yes", IF($X185="Yes", VLOOKUP($W185, '[1]Storage Fees'!A:M, 13, FALSE), VLOOKUP($W185, '[1]Storage Fees'!A:M, 10, FALSE)), IF($X185="Yes", VLOOKUP($W185, '[1]Storage Fees'!A:M, 7, FALSE), VLOOKUP($W185, '[1]Storage Fees'!A:M, 4, FALSE))) * U185)*1.5</f>
        <v>-4.3203125</v>
      </c>
    </row>
    <row r="186" spans="1:40" x14ac:dyDescent="0.25">
      <c r="A186" s="99">
        <v>114</v>
      </c>
      <c r="B186" s="99" t="s">
        <v>13702</v>
      </c>
      <c r="C186" s="99" t="s">
        <v>13655</v>
      </c>
      <c r="D186" s="99" t="s">
        <v>749</v>
      </c>
      <c r="E186" s="99" t="s">
        <v>163</v>
      </c>
      <c r="F186" s="99" t="s">
        <v>758</v>
      </c>
      <c r="G186" s="99" t="s">
        <v>13695</v>
      </c>
      <c r="H186" s="99">
        <v>15</v>
      </c>
      <c r="I186" s="99">
        <v>14</v>
      </c>
      <c r="J186" s="99">
        <v>30</v>
      </c>
      <c r="K186" s="101" t="str">
        <f t="shared" si="18"/>
        <v>15x14x30</v>
      </c>
      <c r="L186" s="102">
        <f t="shared" si="19"/>
        <v>45.323741007194243</v>
      </c>
      <c r="M186" s="113">
        <f t="shared" si="20"/>
        <v>45.323741007194243</v>
      </c>
      <c r="N186" s="113">
        <f t="shared" si="21"/>
        <v>46</v>
      </c>
      <c r="O186" s="99">
        <v>52</v>
      </c>
      <c r="P186" s="113">
        <f t="shared" si="22"/>
        <v>52</v>
      </c>
      <c r="Q186" s="112">
        <f t="shared" si="23"/>
        <v>832</v>
      </c>
      <c r="R186" s="112" t="str">
        <f t="shared" si="24"/>
        <v>Oversize</v>
      </c>
      <c r="S186" s="99" t="str">
        <f t="shared" si="25"/>
        <v>Extra-large 50+ to 70 lb</v>
      </c>
      <c r="T186" s="116" t="s">
        <v>13689</v>
      </c>
      <c r="U186" s="116">
        <f t="shared" si="26"/>
        <v>3.6458333333333335</v>
      </c>
      <c r="V186" s="116" t="s">
        <v>13583</v>
      </c>
      <c r="W186" s="116" t="s">
        <v>13690</v>
      </c>
      <c r="X186" s="116" t="s">
        <v>13691</v>
      </c>
      <c r="Y186" s="116">
        <v>2</v>
      </c>
      <c r="Z186" s="116">
        <v>5</v>
      </c>
      <c r="AA186" s="116">
        <v>1</v>
      </c>
      <c r="AB186" s="99"/>
      <c r="AC186" s="99"/>
      <c r="AD186" s="107">
        <v>292.49</v>
      </c>
      <c r="AE186" s="113">
        <f t="shared" si="27"/>
        <v>-43.8735</v>
      </c>
      <c r="AF186" s="116">
        <f>-IFERROR(IFERROR(VLOOKUP(ROUNDUP($Q186,0),'FBA FEES'!$L$2:$Q$203,MATCH($S186,'FBA FEES'!$L$2:$Q$2,0),FALSE),VLOOKUP(ROUNDUP($Q186,0),'FBA FEES'!$C$6:$F$123,MATCH($S186,'FBA FEES'!$C$6:$F$6,0),FALSE)),0)</f>
        <v>-40.869999999999997</v>
      </c>
      <c r="AG186" s="116">
        <v>-10</v>
      </c>
      <c r="AH186" s="113">
        <f t="shared" si="28"/>
        <v>-84.743499999999997</v>
      </c>
      <c r="AI186" s="116">
        <f>-IFERROR(IF($Y186=1,INDEX('[1]REMOVAL FEES'!$A$1:$C$22,MATCH(CONCATENATE("Standard Size",$P186),'[1]REMOVAL FEES'!$A$1:$A$22,0),3),IF($Y186=2,IF($P186&gt;10,(($P186-10)*1.06)+INDEX('[1]REMOVAL FEES'!$E$1:$G$22,MATCH(CONCATENATE("Large bulky, extra-large and special handling items",IF($P186&gt;=11,11,$P186)),'[1]REMOVAL FEES'!$E$1:$E$13,0),3),INDEX('[1]REMOVAL FEES'!$E$1:$G$22,MATCH(CONCATENATE("Large bulky, extra-large and special handling items",IF($P186&gt;=11,11,$P186)),'[1]REMOVAL FEES'!$E$1:$E$13,0),3))))*$AA186,FALSE)</f>
        <v>-58.84</v>
      </c>
      <c r="AJ186" s="107">
        <f t="shared" si="29"/>
        <v>-143.58350000000002</v>
      </c>
      <c r="AK186" s="107">
        <v>-175</v>
      </c>
      <c r="AL186" s="107">
        <v>-14.48666666666667</v>
      </c>
      <c r="AM186" s="107">
        <f t="shared" si="30"/>
        <v>-189.48666666666668</v>
      </c>
      <c r="AN186" s="116">
        <f>(-IF($V186="Yes", IF($X186="Yes", VLOOKUP($W186, '[1]Storage Fees'!A:M, 13, FALSE), VLOOKUP($W186, '[1]Storage Fees'!A:M, 10, FALSE)), IF($X186="Yes", VLOOKUP($W186, '[1]Storage Fees'!A:M, 7, FALSE), VLOOKUP($W186, '[1]Storage Fees'!A:M, 4, FALSE))) * U186)*1.5</f>
        <v>-4.3203125</v>
      </c>
    </row>
    <row r="187" spans="1:40" x14ac:dyDescent="0.25">
      <c r="A187" s="99">
        <v>115</v>
      </c>
      <c r="B187" s="99" t="s">
        <v>13702</v>
      </c>
      <c r="C187" s="99" t="s">
        <v>13655</v>
      </c>
      <c r="D187" s="99" t="s">
        <v>749</v>
      </c>
      <c r="E187" s="99" t="s">
        <v>163</v>
      </c>
      <c r="F187" s="99" t="s">
        <v>761</v>
      </c>
      <c r="G187" s="99" t="s">
        <v>13695</v>
      </c>
      <c r="H187" s="99">
        <v>30</v>
      </c>
      <c r="I187" s="99">
        <v>15</v>
      </c>
      <c r="J187" s="99">
        <v>13</v>
      </c>
      <c r="K187" s="101" t="str">
        <f t="shared" si="18"/>
        <v>30x15x13</v>
      </c>
      <c r="L187" s="102">
        <f t="shared" si="19"/>
        <v>42.086330935251802</v>
      </c>
      <c r="M187" s="113">
        <f t="shared" si="20"/>
        <v>42.086330935251802</v>
      </c>
      <c r="N187" s="113">
        <f t="shared" si="21"/>
        <v>43</v>
      </c>
      <c r="O187" s="99">
        <v>62</v>
      </c>
      <c r="P187" s="113">
        <f t="shared" si="22"/>
        <v>62</v>
      </c>
      <c r="Q187" s="112">
        <f t="shared" si="23"/>
        <v>992</v>
      </c>
      <c r="R187" s="112" t="str">
        <f t="shared" si="24"/>
        <v>Oversize</v>
      </c>
      <c r="S187" s="99" t="str">
        <f t="shared" si="25"/>
        <v>Extra-large 50+ to 70 lb</v>
      </c>
      <c r="T187" s="116" t="s">
        <v>13689</v>
      </c>
      <c r="U187" s="116">
        <f t="shared" si="26"/>
        <v>3.3854166666666665</v>
      </c>
      <c r="V187" s="116" t="s">
        <v>13583</v>
      </c>
      <c r="W187" s="116" t="s">
        <v>13690</v>
      </c>
      <c r="X187" s="116" t="s">
        <v>13691</v>
      </c>
      <c r="Y187" s="116">
        <v>2</v>
      </c>
      <c r="Z187" s="116">
        <v>5</v>
      </c>
      <c r="AA187" s="116">
        <v>1</v>
      </c>
      <c r="AB187" s="99"/>
      <c r="AC187" s="99"/>
      <c r="AD187" s="107">
        <v>0</v>
      </c>
      <c r="AE187" s="113">
        <f t="shared" si="27"/>
        <v>0</v>
      </c>
      <c r="AF187" s="116">
        <f>-IFERROR(IFERROR(VLOOKUP(ROUNDUP($Q187,0),'FBA FEES'!$L$2:$Q$203,MATCH($S187,'FBA FEES'!$L$2:$Q$2,0),FALSE),VLOOKUP(ROUNDUP($Q187,0),'FBA FEES'!$C$6:$F$123,MATCH($S187,'FBA FEES'!$C$6:$F$6,0),FALSE)),0)</f>
        <v>-48.37</v>
      </c>
      <c r="AG187" s="116">
        <v>-10</v>
      </c>
      <c r="AH187" s="113">
        <f t="shared" si="28"/>
        <v>-48.37</v>
      </c>
      <c r="AI187" s="116">
        <f>-IFERROR(IF($Y187=1,INDEX('[1]REMOVAL FEES'!$A$1:$C$22,MATCH(CONCATENATE("Standard Size",$P187),'[1]REMOVAL FEES'!$A$1:$A$22,0),3),IF($Y187=2,IF($P187&gt;10,(($P187-10)*1.06)+INDEX('[1]REMOVAL FEES'!$E$1:$G$22,MATCH(CONCATENATE("Large bulky, extra-large and special handling items",IF($P187&gt;=11,11,$P187)),'[1]REMOVAL FEES'!$E$1:$E$13,0),3),INDEX('[1]REMOVAL FEES'!$E$1:$G$22,MATCH(CONCATENATE("Large bulky, extra-large and special handling items",IF($P187&gt;=11,11,$P187)),'[1]REMOVAL FEES'!$E$1:$E$13,0),3))))*$AA187,FALSE)</f>
        <v>-69.44</v>
      </c>
      <c r="AJ187" s="107">
        <f t="shared" si="29"/>
        <v>-117.81</v>
      </c>
      <c r="AK187" s="107">
        <v>0</v>
      </c>
      <c r="AL187" s="107">
        <v>0</v>
      </c>
      <c r="AM187" s="107">
        <f t="shared" si="30"/>
        <v>0</v>
      </c>
      <c r="AN187" s="116">
        <f>(-IF($V187="Yes", IF($X187="Yes", VLOOKUP($W187, '[1]Storage Fees'!A:M, 13, FALSE), VLOOKUP($W187, '[1]Storage Fees'!A:M, 10, FALSE)), IF($X187="Yes", VLOOKUP($W187, '[1]Storage Fees'!A:M, 7, FALSE), VLOOKUP($W187, '[1]Storage Fees'!A:M, 4, FALSE))) * U187)*1.5</f>
        <v>-4.01171875</v>
      </c>
    </row>
    <row r="188" spans="1:40" x14ac:dyDescent="0.25">
      <c r="A188" s="99">
        <v>116</v>
      </c>
      <c r="B188" s="99"/>
      <c r="C188" s="99" t="s">
        <v>13655</v>
      </c>
      <c r="D188" s="99"/>
      <c r="E188" s="99" t="s">
        <v>163</v>
      </c>
      <c r="F188" s="99" t="s">
        <v>1612</v>
      </c>
      <c r="G188" s="99" t="s">
        <v>13695</v>
      </c>
      <c r="H188" s="99">
        <v>0</v>
      </c>
      <c r="I188" s="99">
        <v>0</v>
      </c>
      <c r="J188" s="99">
        <v>0</v>
      </c>
      <c r="K188" s="101" t="str">
        <f t="shared" si="18"/>
        <v>0x0x0</v>
      </c>
      <c r="L188" s="102">
        <f t="shared" si="19"/>
        <v>0</v>
      </c>
      <c r="M188" s="113">
        <f t="shared" si="20"/>
        <v>0</v>
      </c>
      <c r="N188" s="113">
        <f t="shared" si="21"/>
        <v>0</v>
      </c>
      <c r="O188" s="99">
        <v>0</v>
      </c>
      <c r="P188" s="113">
        <f t="shared" si="22"/>
        <v>0</v>
      </c>
      <c r="Q188" s="112">
        <f t="shared" si="23"/>
        <v>0</v>
      </c>
      <c r="R188" s="112" t="str">
        <f t="shared" si="24"/>
        <v>Standard-size</v>
      </c>
      <c r="S188" s="99" t="str">
        <f t="shared" si="25"/>
        <v>Small standard-size</v>
      </c>
      <c r="T188" s="116" t="s">
        <v>13696</v>
      </c>
      <c r="U188" s="116">
        <f t="shared" si="26"/>
        <v>0</v>
      </c>
      <c r="V188" s="116" t="s">
        <v>13583</v>
      </c>
      <c r="W188" s="116" t="s">
        <v>13690</v>
      </c>
      <c r="X188" s="99" t="s">
        <v>13583</v>
      </c>
      <c r="Y188" s="99">
        <v>1</v>
      </c>
      <c r="Z188" s="99">
        <v>1</v>
      </c>
      <c r="AA188" s="99">
        <v>1</v>
      </c>
      <c r="AB188" s="99"/>
      <c r="AC188" s="99"/>
      <c r="AD188" s="107">
        <v>0</v>
      </c>
      <c r="AE188" s="113">
        <f t="shared" si="27"/>
        <v>0</v>
      </c>
      <c r="AF188" s="116">
        <f>-IFERROR(IFERROR(VLOOKUP(ROUNDUP($Q188,0),'FBA FEES'!$L$2:$Q$203,MATCH($S188,'FBA FEES'!$L$2:$Q$2,0),FALSE),VLOOKUP(ROUNDUP($Q188,0),'FBA FEES'!$C$6:$F$123,MATCH($S188,'FBA FEES'!$C$6:$F$6,0),FALSE)),0)</f>
        <v>0</v>
      </c>
      <c r="AG188" s="116">
        <v>-10</v>
      </c>
      <c r="AH188" s="113">
        <f t="shared" si="28"/>
        <v>0</v>
      </c>
      <c r="AI188" s="116">
        <f>-IFERROR(IF($Y188=1,INDEX('[1]REMOVAL FEES'!$A$1:$C$22,MATCH(CONCATENATE("Standard Size",$P188),'[1]REMOVAL FEES'!$A$1:$A$22,0),3),IF($Y188=2,IF($P188&gt;10,(($P188-10)*1.06)+INDEX('[1]REMOVAL FEES'!$E$1:$G$22,MATCH(CONCATENATE("Large bulky, extra-large and special handling items",IF($P188&gt;=11,11,$P188)),'[1]REMOVAL FEES'!$E$1:$E$13,0),3),INDEX('[1]REMOVAL FEES'!$E$1:$G$22,MATCH(CONCATENATE("Large bulky, extra-large and special handling items",IF($P188&gt;=11,11,$P188)),'[1]REMOVAL FEES'!$E$1:$E$13,0),3))))*$AA188,FALSE)</f>
        <v>0</v>
      </c>
      <c r="AJ188" s="107">
        <f t="shared" si="29"/>
        <v>0</v>
      </c>
      <c r="AK188" s="107">
        <v>0</v>
      </c>
      <c r="AL188" s="107">
        <v>0</v>
      </c>
      <c r="AM188" s="107">
        <f t="shared" si="30"/>
        <v>0</v>
      </c>
      <c r="AN188" s="116">
        <f>(-IF($V188="Yes", IF($X188="Yes", VLOOKUP($W188, '[1]Storage Fees'!A:M, 13, FALSE), VLOOKUP($W188, '[1]Storage Fees'!A:M, 10, FALSE)), IF($X188="Yes", VLOOKUP($W188, '[1]Storage Fees'!A:M, 7, FALSE), VLOOKUP($W188, '[1]Storage Fees'!A:M, 4, FALSE))) * U188)*1.5</f>
        <v>0</v>
      </c>
    </row>
    <row r="189" spans="1:40" x14ac:dyDescent="0.25">
      <c r="A189" s="99">
        <v>117</v>
      </c>
      <c r="B189" s="99" t="s">
        <v>13700</v>
      </c>
      <c r="C189" s="99"/>
      <c r="D189" s="99"/>
      <c r="E189" s="99" t="s">
        <v>166</v>
      </c>
      <c r="F189" s="99" t="s">
        <v>164</v>
      </c>
      <c r="G189" s="99" t="s">
        <v>13695</v>
      </c>
      <c r="H189" s="99">
        <v>19</v>
      </c>
      <c r="I189" s="99">
        <v>14</v>
      </c>
      <c r="J189" s="99">
        <v>6</v>
      </c>
      <c r="K189" s="101" t="str">
        <f t="shared" si="18"/>
        <v>19x14x6</v>
      </c>
      <c r="L189" s="102">
        <f t="shared" si="19"/>
        <v>11.482014388489208</v>
      </c>
      <c r="M189" s="113">
        <f t="shared" si="20"/>
        <v>11.482014388489208</v>
      </c>
      <c r="N189" s="113">
        <f t="shared" si="21"/>
        <v>12</v>
      </c>
      <c r="O189" s="99">
        <v>8.1875</v>
      </c>
      <c r="P189" s="113">
        <f t="shared" si="22"/>
        <v>12</v>
      </c>
      <c r="Q189" s="112">
        <f t="shared" si="23"/>
        <v>192</v>
      </c>
      <c r="R189" s="112" t="str">
        <f t="shared" si="24"/>
        <v>Oversize</v>
      </c>
      <c r="S189" s="99" t="str">
        <f t="shared" si="25"/>
        <v>Large bulky</v>
      </c>
      <c r="T189" s="116" t="s">
        <v>13692</v>
      </c>
      <c r="U189" s="116">
        <f t="shared" si="26"/>
        <v>0.92361111111111116</v>
      </c>
      <c r="V189" s="116" t="s">
        <v>13583</v>
      </c>
      <c r="W189" s="116" t="s">
        <v>13690</v>
      </c>
      <c r="X189" s="116" t="s">
        <v>13691</v>
      </c>
      <c r="Y189" s="116">
        <v>2</v>
      </c>
      <c r="Z189" s="116">
        <v>3</v>
      </c>
      <c r="AA189" s="116">
        <v>1</v>
      </c>
      <c r="AB189" s="99"/>
      <c r="AC189" s="99"/>
      <c r="AD189" s="107">
        <v>100.59</v>
      </c>
      <c r="AE189" s="113">
        <f t="shared" si="27"/>
        <v>-15.0885</v>
      </c>
      <c r="AF189" s="116">
        <f>-IFERROR(IFERROR(VLOOKUP(ROUNDUP($Q189,0),'FBA FEES'!$L$2:$Q$203,MATCH($S189,'FBA FEES'!$L$2:$Q$2,0),FALSE),VLOOKUP(ROUNDUP($Q189,0),'FBA FEES'!$C$6:$F$123,MATCH($S189,'FBA FEES'!$C$6:$F$6,0),FALSE)),0)</f>
        <v>-13.79</v>
      </c>
      <c r="AG189" s="116">
        <v>-10</v>
      </c>
      <c r="AH189" s="113">
        <f t="shared" si="28"/>
        <v>-28.878499999999999</v>
      </c>
      <c r="AI189" s="116">
        <f>-IFERROR(IF($Y189=1,INDEX('[1]REMOVAL FEES'!$A$1:$C$22,MATCH(CONCATENATE("Standard Size",$P189),'[1]REMOVAL FEES'!$A$1:$A$22,0),3),IF($Y189=2,IF($P189&gt;10,(($P189-10)*1.06)+INDEX('[1]REMOVAL FEES'!$E$1:$G$22,MATCH(CONCATENATE("Large bulky, extra-large and special handling items",IF($P189&gt;=11,11,$P189)),'[1]REMOVAL FEES'!$E$1:$E$13,0),3),INDEX('[1]REMOVAL FEES'!$E$1:$G$22,MATCH(CONCATENATE("Large bulky, extra-large and special handling items",IF($P189&gt;=11,11,$P189)),'[1]REMOVAL FEES'!$E$1:$E$13,0),3))))*$AA189,FALSE)</f>
        <v>-16.440000000000001</v>
      </c>
      <c r="AJ189" s="107">
        <f t="shared" si="29"/>
        <v>-45.3185</v>
      </c>
      <c r="AK189" s="107">
        <v>-37</v>
      </c>
      <c r="AL189" s="107">
        <v>-4.8584999999999994</v>
      </c>
      <c r="AM189" s="107">
        <f t="shared" si="30"/>
        <v>-41.858499999999999</v>
      </c>
      <c r="AN189" s="116">
        <f>(-IF($V189="Yes", IF($X189="Yes", VLOOKUP($W189, '[1]Storage Fees'!A:M, 13, FALSE), VLOOKUP($W189, '[1]Storage Fees'!A:M, 10, FALSE)), IF($X189="Yes", VLOOKUP($W189, '[1]Storage Fees'!A:M, 7, FALSE), VLOOKUP($W189, '[1]Storage Fees'!A:M, 4, FALSE))) * U189)*1.5</f>
        <v>-1.0944791666666667</v>
      </c>
    </row>
    <row r="190" spans="1:40" x14ac:dyDescent="0.25">
      <c r="A190" s="99">
        <v>118</v>
      </c>
      <c r="B190" s="99" t="s">
        <v>13700</v>
      </c>
      <c r="C190" s="99" t="s">
        <v>13655</v>
      </c>
      <c r="D190" s="99"/>
      <c r="E190" s="99" t="s">
        <v>166</v>
      </c>
      <c r="F190" s="99" t="s">
        <v>764</v>
      </c>
      <c r="G190" s="99" t="s">
        <v>13656</v>
      </c>
      <c r="H190" s="99">
        <v>7</v>
      </c>
      <c r="I190" s="99">
        <v>7</v>
      </c>
      <c r="J190" s="99">
        <v>17</v>
      </c>
      <c r="K190" s="101" t="str">
        <f t="shared" si="18"/>
        <v>7x7x17</v>
      </c>
      <c r="L190" s="102">
        <f t="shared" si="19"/>
        <v>5.9928057553956835</v>
      </c>
      <c r="M190" s="113">
        <f t="shared" si="20"/>
        <v>5.9928057553956835</v>
      </c>
      <c r="N190" s="113">
        <f t="shared" si="21"/>
        <v>6</v>
      </c>
      <c r="O190" s="99">
        <v>3.25</v>
      </c>
      <c r="P190" s="113">
        <f t="shared" si="22"/>
        <v>6</v>
      </c>
      <c r="Q190" s="112">
        <f t="shared" si="23"/>
        <v>96</v>
      </c>
      <c r="R190" s="112" t="str">
        <f t="shared" si="24"/>
        <v>Oversize</v>
      </c>
      <c r="S190" s="99" t="str">
        <f t="shared" si="25"/>
        <v>Large bulky</v>
      </c>
      <c r="T190" s="116" t="s">
        <v>13692</v>
      </c>
      <c r="U190" s="116">
        <f t="shared" si="26"/>
        <v>0.48206018518518517</v>
      </c>
      <c r="V190" s="116" t="s">
        <v>13583</v>
      </c>
      <c r="W190" s="116" t="s">
        <v>13690</v>
      </c>
      <c r="X190" s="116" t="s">
        <v>13691</v>
      </c>
      <c r="Y190" s="116">
        <v>2</v>
      </c>
      <c r="Z190" s="116">
        <v>3</v>
      </c>
      <c r="AA190" s="116">
        <v>1</v>
      </c>
      <c r="AB190" s="99"/>
      <c r="AC190" s="99"/>
      <c r="AD190" s="107">
        <v>0</v>
      </c>
      <c r="AE190" s="113">
        <f t="shared" si="27"/>
        <v>0</v>
      </c>
      <c r="AF190" s="116">
        <f>-IFERROR(IFERROR(VLOOKUP(ROUNDUP($Q190,0),'FBA FEES'!$L$2:$Q$203,MATCH($S190,'FBA FEES'!$L$2:$Q$2,0),FALSE),VLOOKUP(ROUNDUP($Q190,0),'FBA FEES'!$C$6:$F$123,MATCH($S190,'FBA FEES'!$C$6:$F$6,0),FALSE)),0)</f>
        <v>-11.51</v>
      </c>
      <c r="AG190" s="116">
        <v>-10</v>
      </c>
      <c r="AH190" s="113">
        <f t="shared" si="28"/>
        <v>-11.51</v>
      </c>
      <c r="AI190" s="116">
        <f>-IFERROR(IF($Y190=1,INDEX('[1]REMOVAL FEES'!$A$1:$C$22,MATCH(CONCATENATE("Standard Size",$P190),'[1]REMOVAL FEES'!$A$1:$A$22,0),3),IF($Y190=2,IF($P190&gt;10,(($P190-10)*1.06)+INDEX('[1]REMOVAL FEES'!$E$1:$G$22,MATCH(CONCATENATE("Large bulky, extra-large and special handling items",IF($P190&gt;=11,11,$P190)),'[1]REMOVAL FEES'!$E$1:$E$13,0),3),INDEX('[1]REMOVAL FEES'!$E$1:$G$22,MATCH(CONCATENATE("Large bulky, extra-large and special handling items",IF($P190&gt;=11,11,$P190)),'[1]REMOVAL FEES'!$E$1:$E$13,0),3))))*$AA190,FALSE)</f>
        <v>-10.039999999999999</v>
      </c>
      <c r="AJ190" s="107">
        <f t="shared" si="29"/>
        <v>-21.549999999999997</v>
      </c>
      <c r="AK190" s="107">
        <v>0</v>
      </c>
      <c r="AL190" s="107">
        <v>0</v>
      </c>
      <c r="AM190" s="107">
        <f t="shared" si="30"/>
        <v>0</v>
      </c>
      <c r="AN190" s="116">
        <f>(-IF($V190="Yes", IF($X190="Yes", VLOOKUP($W190, '[1]Storage Fees'!A:M, 13, FALSE), VLOOKUP($W190, '[1]Storage Fees'!A:M, 10, FALSE)), IF($X190="Yes", VLOOKUP($W190, '[1]Storage Fees'!A:M, 7, FALSE), VLOOKUP($W190, '[1]Storage Fees'!A:M, 4, FALSE))) * U190)*1.5</f>
        <v>-0.57124131944444445</v>
      </c>
    </row>
    <row r="191" spans="1:40" x14ac:dyDescent="0.25">
      <c r="A191" s="99">
        <v>119</v>
      </c>
      <c r="B191" s="99" t="s">
        <v>13700</v>
      </c>
      <c r="C191" s="99"/>
      <c r="D191" s="99"/>
      <c r="E191" s="99" t="s">
        <v>163</v>
      </c>
      <c r="F191" s="99" t="s">
        <v>167</v>
      </c>
      <c r="G191" s="99" t="s">
        <v>13695</v>
      </c>
      <c r="H191" s="99">
        <v>15</v>
      </c>
      <c r="I191" s="99">
        <v>13</v>
      </c>
      <c r="J191" s="99">
        <v>11</v>
      </c>
      <c r="K191" s="101" t="str">
        <f t="shared" si="18"/>
        <v>15x13x11</v>
      </c>
      <c r="L191" s="102">
        <f t="shared" si="19"/>
        <v>15.431654676258994</v>
      </c>
      <c r="M191" s="113">
        <f t="shared" si="20"/>
        <v>15.431654676258994</v>
      </c>
      <c r="N191" s="113">
        <f t="shared" si="21"/>
        <v>16</v>
      </c>
      <c r="O191" s="99">
        <v>23.4375</v>
      </c>
      <c r="P191" s="113">
        <f t="shared" si="22"/>
        <v>24</v>
      </c>
      <c r="Q191" s="112">
        <f t="shared" si="23"/>
        <v>384</v>
      </c>
      <c r="R191" s="112" t="str">
        <f t="shared" si="24"/>
        <v>Oversize</v>
      </c>
      <c r="S191" s="99" t="str">
        <f t="shared" si="25"/>
        <v>Large bulky</v>
      </c>
      <c r="T191" s="116" t="s">
        <v>13692</v>
      </c>
      <c r="U191" s="116">
        <f t="shared" si="26"/>
        <v>1.2413194444444444</v>
      </c>
      <c r="V191" s="116" t="s">
        <v>13583</v>
      </c>
      <c r="W191" s="116" t="s">
        <v>13690</v>
      </c>
      <c r="X191" s="116" t="s">
        <v>13691</v>
      </c>
      <c r="Y191" s="116">
        <v>2</v>
      </c>
      <c r="Z191" s="116">
        <v>3</v>
      </c>
      <c r="AA191" s="116">
        <v>1</v>
      </c>
      <c r="AB191" s="99"/>
      <c r="AC191" s="99"/>
      <c r="AD191" s="107">
        <v>113.0445294117648</v>
      </c>
      <c r="AE191" s="113">
        <f t="shared" si="27"/>
        <v>-16.956679411764718</v>
      </c>
      <c r="AF191" s="118">
        <f>-IFERROR(IFERROR(VLOOKUP(ROUNDUP($Q191,0),'FBA FEES'!$L$2:$Q$203,MATCH($S191,'FBA FEES'!$L$2:$Q$2,0),FALSE),VLOOKUP(ROUNDUP($Q191,0),'FBA FEES'!$C$6:$F$123,MATCH($S191,'FBA FEES'!$C$6:$F$6,0),FALSE)),0)</f>
        <v>-18.350000000000001</v>
      </c>
      <c r="AG191" s="116">
        <v>-10</v>
      </c>
      <c r="AH191" s="113">
        <f t="shared" si="28"/>
        <v>-35.306679411764719</v>
      </c>
      <c r="AI191" s="118">
        <f>-IFERROR(IF($Y191=1,INDEX('[1]REMOVAL FEES'!$A$1:$C$22,MATCH(CONCATENATE("Standard Size",$P191),'[1]REMOVAL FEES'!$A$1:$A$22,0),3),IF($Y191=2,IF($P191&gt;10,(($P191-10)*1.06)+INDEX('[1]REMOVAL FEES'!$E$1:$G$22,MATCH(CONCATENATE("Large bulky, extra-large and special handling items",IF($P191&gt;=11,11,$P191)),'[1]REMOVAL FEES'!$E$1:$E$13,0),3),INDEX('[1]REMOVAL FEES'!$E$1:$G$22,MATCH(CONCATENATE("Large bulky, extra-large and special handling items",IF($P191&gt;=11,11,$P191)),'[1]REMOVAL FEES'!$E$1:$E$13,0),3))))*$AA191,FALSE)</f>
        <v>-29.16</v>
      </c>
      <c r="AJ191" s="107">
        <f t="shared" si="29"/>
        <v>-64.466679411764716</v>
      </c>
      <c r="AK191" s="107">
        <v>-58</v>
      </c>
      <c r="AL191" s="107">
        <v>-9.8832909158938786</v>
      </c>
      <c r="AM191" s="107">
        <f t="shared" si="30"/>
        <v>-67.88329091589388</v>
      </c>
      <c r="AN191" s="118">
        <f>(-IF($V191="Yes", IF($X191="Yes", VLOOKUP($W191, '[1]Storage Fees'!A:M, 13, FALSE), VLOOKUP($W191, '[1]Storage Fees'!A:M, 10, FALSE)), IF($X191="Yes", VLOOKUP($W191, '[1]Storage Fees'!A:M, 7, FALSE), VLOOKUP($W191, '[1]Storage Fees'!A:M, 4, FALSE))) * U191)*1.5</f>
        <v>-1.4709635416666667</v>
      </c>
    </row>
    <row r="192" spans="1:40" x14ac:dyDescent="0.25">
      <c r="A192" s="99">
        <v>120</v>
      </c>
      <c r="B192" s="99" t="s">
        <v>13700</v>
      </c>
      <c r="C192" s="99"/>
      <c r="D192" s="99"/>
      <c r="E192" s="99" t="s">
        <v>163</v>
      </c>
      <c r="F192" s="99" t="s">
        <v>169</v>
      </c>
      <c r="G192" s="99" t="s">
        <v>13695</v>
      </c>
      <c r="H192" s="99">
        <v>24</v>
      </c>
      <c r="I192" s="99">
        <v>10</v>
      </c>
      <c r="J192" s="99">
        <v>13</v>
      </c>
      <c r="K192" s="101" t="str">
        <f t="shared" si="18"/>
        <v>24x10x13</v>
      </c>
      <c r="L192" s="102">
        <f t="shared" si="19"/>
        <v>22.446043165467625</v>
      </c>
      <c r="M192" s="113">
        <f t="shared" si="20"/>
        <v>22.446043165467625</v>
      </c>
      <c r="N192" s="113">
        <f t="shared" si="21"/>
        <v>23</v>
      </c>
      <c r="O192" s="99">
        <v>29</v>
      </c>
      <c r="P192" s="113">
        <f t="shared" si="22"/>
        <v>29</v>
      </c>
      <c r="Q192" s="112">
        <f t="shared" si="23"/>
        <v>464</v>
      </c>
      <c r="R192" s="112" t="str">
        <f t="shared" si="24"/>
        <v>Oversize</v>
      </c>
      <c r="S192" s="99" t="str">
        <f t="shared" si="25"/>
        <v>Large bulky</v>
      </c>
      <c r="T192" s="116" t="s">
        <v>13692</v>
      </c>
      <c r="U192" s="116">
        <f t="shared" si="26"/>
        <v>1.8055555555555556</v>
      </c>
      <c r="V192" s="116" t="s">
        <v>13583</v>
      </c>
      <c r="W192" s="116" t="s">
        <v>13690</v>
      </c>
      <c r="X192" s="116" t="s">
        <v>13691</v>
      </c>
      <c r="Y192" s="116">
        <v>2</v>
      </c>
      <c r="Z192" s="116">
        <v>3</v>
      </c>
      <c r="AA192" s="116">
        <v>1</v>
      </c>
      <c r="AB192" s="99"/>
      <c r="AC192" s="99"/>
      <c r="AD192" s="107">
        <v>153.46864406779611</v>
      </c>
      <c r="AE192" s="113">
        <f t="shared" si="27"/>
        <v>-23.020296610169414</v>
      </c>
      <c r="AF192" s="118">
        <f>-IFERROR(IFERROR(VLOOKUP(ROUNDUP($Q192,0),'FBA FEES'!$L$2:$Q$203,MATCH($S192,'FBA FEES'!$L$2:$Q$2,0),FALSE),VLOOKUP(ROUNDUP($Q192,0),'FBA FEES'!$C$6:$F$123,MATCH($S192,'FBA FEES'!$C$6:$F$6,0),FALSE)),0)</f>
        <v>-20.25</v>
      </c>
      <c r="AG192" s="116">
        <v>-10</v>
      </c>
      <c r="AH192" s="113">
        <f t="shared" si="28"/>
        <v>-43.27029661016941</v>
      </c>
      <c r="AI192" s="118">
        <f>-IFERROR(IF($Y192=1,INDEX('[1]REMOVAL FEES'!$A$1:$C$22,MATCH(CONCATENATE("Standard Size",$P192),'[1]REMOVAL FEES'!$A$1:$A$22,0),3),IF($Y192=2,IF($P192&gt;10,(($P192-10)*1.06)+INDEX('[1]REMOVAL FEES'!$E$1:$G$22,MATCH(CONCATENATE("Large bulky, extra-large and special handling items",IF($P192&gt;=11,11,$P192)),'[1]REMOVAL FEES'!$E$1:$E$13,0),3),INDEX('[1]REMOVAL FEES'!$E$1:$G$22,MATCH(CONCATENATE("Large bulky, extra-large and special handling items",IF($P192&gt;=11,11,$P192)),'[1]REMOVAL FEES'!$E$1:$E$13,0),3))))*$AA192,FALSE)</f>
        <v>-34.46</v>
      </c>
      <c r="AJ192" s="107">
        <f t="shared" si="29"/>
        <v>-77.730296610169404</v>
      </c>
      <c r="AK192" s="107">
        <v>-76</v>
      </c>
      <c r="AL192" s="107">
        <v>-11.13081196751207</v>
      </c>
      <c r="AM192" s="107">
        <f t="shared" si="30"/>
        <v>-87.130811967512074</v>
      </c>
      <c r="AN192" s="118">
        <f>(-IF($V192="Yes", IF($X192="Yes", VLOOKUP($W192, '[1]Storage Fees'!A:M, 13, FALSE), VLOOKUP($W192, '[1]Storage Fees'!A:M, 10, FALSE)), IF($X192="Yes", VLOOKUP($W192, '[1]Storage Fees'!A:M, 7, FALSE), VLOOKUP($W192, '[1]Storage Fees'!A:M, 4, FALSE))) * U192)*1.5</f>
        <v>-2.1395833333333334</v>
      </c>
    </row>
    <row r="193" spans="1:40" x14ac:dyDescent="0.25">
      <c r="A193" s="99">
        <v>121</v>
      </c>
      <c r="B193" s="99" t="s">
        <v>13702</v>
      </c>
      <c r="C193" s="99"/>
      <c r="D193" s="99"/>
      <c r="E193" s="99" t="s">
        <v>163</v>
      </c>
      <c r="F193" s="99" t="s">
        <v>171</v>
      </c>
      <c r="G193" s="99" t="s">
        <v>13695</v>
      </c>
      <c r="H193" s="99">
        <v>15</v>
      </c>
      <c r="I193" s="99">
        <v>13</v>
      </c>
      <c r="J193" s="99">
        <v>11</v>
      </c>
      <c r="K193" s="101" t="str">
        <f t="shared" si="18"/>
        <v>15x13x11</v>
      </c>
      <c r="L193" s="102">
        <f t="shared" si="19"/>
        <v>15.431654676258994</v>
      </c>
      <c r="M193" s="113">
        <f t="shared" si="20"/>
        <v>15.431654676258994</v>
      </c>
      <c r="N193" s="113">
        <f t="shared" si="21"/>
        <v>16</v>
      </c>
      <c r="O193" s="99">
        <v>18.9375</v>
      </c>
      <c r="P193" s="113">
        <f t="shared" si="22"/>
        <v>19</v>
      </c>
      <c r="Q193" s="112">
        <f t="shared" si="23"/>
        <v>304</v>
      </c>
      <c r="R193" s="112" t="str">
        <f t="shared" si="24"/>
        <v>Oversize</v>
      </c>
      <c r="S193" s="99" t="str">
        <f t="shared" si="25"/>
        <v>Large bulky</v>
      </c>
      <c r="T193" s="116" t="s">
        <v>13692</v>
      </c>
      <c r="U193" s="116">
        <f t="shared" si="26"/>
        <v>1.2413194444444444</v>
      </c>
      <c r="V193" s="116" t="s">
        <v>13583</v>
      </c>
      <c r="W193" s="116" t="s">
        <v>13690</v>
      </c>
      <c r="X193" s="116" t="s">
        <v>13691</v>
      </c>
      <c r="Y193" s="116">
        <v>2</v>
      </c>
      <c r="Z193" s="116">
        <v>3</v>
      </c>
      <c r="AA193" s="116">
        <v>1</v>
      </c>
      <c r="AB193" s="99"/>
      <c r="AC193" s="99"/>
      <c r="AD193" s="107">
        <v>0</v>
      </c>
      <c r="AE193" s="113">
        <f t="shared" si="27"/>
        <v>0</v>
      </c>
      <c r="AF193" s="116">
        <f>-IFERROR(IFERROR(VLOOKUP(ROUNDUP($Q193,0),'FBA FEES'!$L$2:$Q$203,MATCH($S193,'FBA FEES'!$L$2:$Q$2,0),FALSE),VLOOKUP(ROUNDUP($Q193,0),'FBA FEES'!$C$6:$F$123,MATCH($S193,'FBA FEES'!$C$6:$F$6,0),FALSE)),0)</f>
        <v>-16.45</v>
      </c>
      <c r="AG193" s="116">
        <v>-10</v>
      </c>
      <c r="AH193" s="113">
        <f t="shared" si="28"/>
        <v>-16.45</v>
      </c>
      <c r="AI193" s="116">
        <f>-IFERROR(IF($Y193=1,INDEX('[1]REMOVAL FEES'!$A$1:$C$22,MATCH(CONCATENATE("Standard Size",$P193),'[1]REMOVAL FEES'!$A$1:$A$22,0),3),IF($Y193=2,IF($P193&gt;10,(($P193-10)*1.06)+INDEX('[1]REMOVAL FEES'!$E$1:$G$22,MATCH(CONCATENATE("Large bulky, extra-large and special handling items",IF($P193&gt;=11,11,$P193)),'[1]REMOVAL FEES'!$E$1:$E$13,0),3),INDEX('[1]REMOVAL FEES'!$E$1:$G$22,MATCH(CONCATENATE("Large bulky, extra-large and special handling items",IF($P193&gt;=11,11,$P193)),'[1]REMOVAL FEES'!$E$1:$E$13,0),3))))*$AA193,FALSE)</f>
        <v>-23.86</v>
      </c>
      <c r="AJ193" s="107">
        <f t="shared" si="29"/>
        <v>-40.31</v>
      </c>
      <c r="AK193" s="107">
        <v>0</v>
      </c>
      <c r="AL193" s="107">
        <v>0</v>
      </c>
      <c r="AM193" s="107">
        <f t="shared" si="30"/>
        <v>0</v>
      </c>
      <c r="AN193" s="116">
        <f>(-IF($V193="Yes", IF($X193="Yes", VLOOKUP($W193, '[1]Storage Fees'!A:M, 13, FALSE), VLOOKUP($W193, '[1]Storage Fees'!A:M, 10, FALSE)), IF($X193="Yes", VLOOKUP($W193, '[1]Storage Fees'!A:M, 7, FALSE), VLOOKUP($W193, '[1]Storage Fees'!A:M, 4, FALSE))) * U193)*1.5</f>
        <v>-1.4709635416666667</v>
      </c>
    </row>
    <row r="194" spans="1:40" x14ac:dyDescent="0.25">
      <c r="A194" s="99">
        <v>122</v>
      </c>
      <c r="B194" s="99" t="s">
        <v>102</v>
      </c>
      <c r="C194" s="99" t="s">
        <v>13655</v>
      </c>
      <c r="D194" s="99" t="s">
        <v>714</v>
      </c>
      <c r="E194" s="99" t="s">
        <v>163</v>
      </c>
      <c r="F194" s="99" t="s">
        <v>767</v>
      </c>
      <c r="G194" s="99" t="s">
        <v>13695</v>
      </c>
      <c r="H194" s="99">
        <v>15</v>
      </c>
      <c r="I194" s="99">
        <v>13</v>
      </c>
      <c r="J194" s="99">
        <v>11</v>
      </c>
      <c r="K194" s="101" t="str">
        <f t="shared" si="18"/>
        <v>15x13x11</v>
      </c>
      <c r="L194" s="102">
        <f t="shared" si="19"/>
        <v>15.431654676258994</v>
      </c>
      <c r="M194" s="113">
        <f t="shared" si="20"/>
        <v>15.431654676258994</v>
      </c>
      <c r="N194" s="113">
        <f t="shared" si="21"/>
        <v>16</v>
      </c>
      <c r="O194" s="99">
        <v>40</v>
      </c>
      <c r="P194" s="113">
        <f t="shared" si="22"/>
        <v>40</v>
      </c>
      <c r="Q194" s="112">
        <f t="shared" si="23"/>
        <v>640</v>
      </c>
      <c r="R194" s="112" t="str">
        <f t="shared" si="24"/>
        <v>Oversize</v>
      </c>
      <c r="S194" s="99" t="str">
        <f t="shared" si="25"/>
        <v>Large bulky</v>
      </c>
      <c r="T194" s="116" t="s">
        <v>13694</v>
      </c>
      <c r="U194" s="116">
        <f t="shared" si="26"/>
        <v>1.2413194444444444</v>
      </c>
      <c r="V194" s="116" t="s">
        <v>13583</v>
      </c>
      <c r="W194" s="116" t="s">
        <v>13690</v>
      </c>
      <c r="X194" s="116" t="s">
        <v>13691</v>
      </c>
      <c r="Y194" s="116">
        <v>2</v>
      </c>
      <c r="Z194" s="116">
        <v>3</v>
      </c>
      <c r="AA194" s="116">
        <v>1</v>
      </c>
      <c r="AB194" s="99"/>
      <c r="AC194" s="99"/>
      <c r="AD194" s="107">
        <v>163.110625</v>
      </c>
      <c r="AE194" s="113">
        <f t="shared" si="27"/>
        <v>-24.466593749999998</v>
      </c>
      <c r="AF194" s="116">
        <f>-IFERROR(IFERROR(VLOOKUP(ROUNDUP($Q194,0),'FBA FEES'!$L$2:$Q$203,MATCH($S194,'FBA FEES'!$L$2:$Q$2,0),FALSE),VLOOKUP(ROUNDUP($Q194,0),'FBA FEES'!$C$6:$F$123,MATCH($S194,'FBA FEES'!$C$6:$F$6,0),FALSE)),0)</f>
        <v>-24.43</v>
      </c>
      <c r="AG194" s="116">
        <v>-10</v>
      </c>
      <c r="AH194" s="113">
        <f t="shared" si="28"/>
        <v>-48.896593749999994</v>
      </c>
      <c r="AI194" s="116">
        <f>-IFERROR(IF($Y194=1,INDEX('[1]REMOVAL FEES'!$A$1:$C$22,MATCH(CONCATENATE("Standard Size",$P194),'[1]REMOVAL FEES'!$A$1:$A$22,0),3),IF($Y194=2,IF($P194&gt;10,(($P194-10)*1.06)+INDEX('[1]REMOVAL FEES'!$E$1:$G$22,MATCH(CONCATENATE("Large bulky, extra-large and special handling items",IF($P194&gt;=11,11,$P194)),'[1]REMOVAL FEES'!$E$1:$E$13,0),3),INDEX('[1]REMOVAL FEES'!$E$1:$G$22,MATCH(CONCATENATE("Large bulky, extra-large and special handling items",IF($P194&gt;=11,11,$P194)),'[1]REMOVAL FEES'!$E$1:$E$13,0),3))))*$AA194,FALSE)</f>
        <v>-46.120000000000005</v>
      </c>
      <c r="AJ194" s="107">
        <f t="shared" si="29"/>
        <v>-95.016593749999998</v>
      </c>
      <c r="AK194" s="107">
        <v>-99.660000000000011</v>
      </c>
      <c r="AL194" s="107">
        <v>-8.8698499748228485</v>
      </c>
      <c r="AM194" s="107">
        <f t="shared" si="30"/>
        <v>-108.52984997482287</v>
      </c>
      <c r="AN194" s="116">
        <f>(-IF($V194="Yes", IF($X194="Yes", VLOOKUP($W194, '[1]Storage Fees'!A:M, 13, FALSE), VLOOKUP($W194, '[1]Storage Fees'!A:M, 10, FALSE)), IF($X194="Yes", VLOOKUP($W194, '[1]Storage Fees'!A:M, 7, FALSE), VLOOKUP($W194, '[1]Storage Fees'!A:M, 4, FALSE))) * U194)*1.5</f>
        <v>-1.4709635416666667</v>
      </c>
    </row>
    <row r="195" spans="1:40" x14ac:dyDescent="0.25">
      <c r="A195" s="99">
        <v>123</v>
      </c>
      <c r="B195" s="99" t="s">
        <v>13702</v>
      </c>
      <c r="C195" s="99" t="s">
        <v>13655</v>
      </c>
      <c r="D195" s="99" t="s">
        <v>749</v>
      </c>
      <c r="E195" s="99" t="s">
        <v>163</v>
      </c>
      <c r="F195" s="99" t="s">
        <v>770</v>
      </c>
      <c r="G195" s="99" t="s">
        <v>13695</v>
      </c>
      <c r="H195" s="99">
        <v>15</v>
      </c>
      <c r="I195" s="99">
        <v>13</v>
      </c>
      <c r="J195" s="99">
        <v>11</v>
      </c>
      <c r="K195" s="101" t="str">
        <f t="shared" si="18"/>
        <v>15x13x11</v>
      </c>
      <c r="L195" s="102">
        <f t="shared" si="19"/>
        <v>15.431654676258994</v>
      </c>
      <c r="M195" s="113">
        <f t="shared" si="20"/>
        <v>15.431654676258994</v>
      </c>
      <c r="N195" s="113">
        <f t="shared" si="21"/>
        <v>16</v>
      </c>
      <c r="O195" s="99">
        <v>18.4375</v>
      </c>
      <c r="P195" s="113">
        <f t="shared" si="22"/>
        <v>19</v>
      </c>
      <c r="Q195" s="112">
        <f t="shared" si="23"/>
        <v>304</v>
      </c>
      <c r="R195" s="112" t="str">
        <f t="shared" si="24"/>
        <v>Oversize</v>
      </c>
      <c r="S195" s="99" t="str">
        <f t="shared" si="25"/>
        <v>Large bulky</v>
      </c>
      <c r="T195" s="116" t="s">
        <v>13692</v>
      </c>
      <c r="U195" s="116">
        <f t="shared" si="26"/>
        <v>1.2413194444444444</v>
      </c>
      <c r="V195" s="116" t="s">
        <v>13583</v>
      </c>
      <c r="W195" s="116" t="s">
        <v>13690</v>
      </c>
      <c r="X195" s="116" t="s">
        <v>13691</v>
      </c>
      <c r="Y195" s="116">
        <v>2</v>
      </c>
      <c r="Z195" s="116">
        <v>3</v>
      </c>
      <c r="AA195" s="116">
        <v>1</v>
      </c>
      <c r="AB195" s="99"/>
      <c r="AC195" s="99"/>
      <c r="AD195" s="107">
        <v>0</v>
      </c>
      <c r="AE195" s="113">
        <f t="shared" si="27"/>
        <v>0</v>
      </c>
      <c r="AF195" s="116">
        <f>-IFERROR(IFERROR(VLOOKUP(ROUNDUP($Q195,0),'FBA FEES'!$L$2:$Q$203,MATCH($S195,'FBA FEES'!$L$2:$Q$2,0),FALSE),VLOOKUP(ROUNDUP($Q195,0),'FBA FEES'!$C$6:$F$123,MATCH($S195,'FBA FEES'!$C$6:$F$6,0),FALSE)),0)</f>
        <v>-16.45</v>
      </c>
      <c r="AG195" s="116">
        <v>-10</v>
      </c>
      <c r="AH195" s="113">
        <f t="shared" si="28"/>
        <v>-16.45</v>
      </c>
      <c r="AI195" s="116">
        <f>-IFERROR(IF($Y195=1,INDEX('[1]REMOVAL FEES'!$A$1:$C$22,MATCH(CONCATENATE("Standard Size",$P195),'[1]REMOVAL FEES'!$A$1:$A$22,0),3),IF($Y195=2,IF($P195&gt;10,(($P195-10)*1.06)+INDEX('[1]REMOVAL FEES'!$E$1:$G$22,MATCH(CONCATENATE("Large bulky, extra-large and special handling items",IF($P195&gt;=11,11,$P195)),'[1]REMOVAL FEES'!$E$1:$E$13,0),3),INDEX('[1]REMOVAL FEES'!$E$1:$G$22,MATCH(CONCATENATE("Large bulky, extra-large and special handling items",IF($P195&gt;=11,11,$P195)),'[1]REMOVAL FEES'!$E$1:$E$13,0),3))))*$AA195,FALSE)</f>
        <v>-23.86</v>
      </c>
      <c r="AJ195" s="107">
        <f t="shared" si="29"/>
        <v>-40.31</v>
      </c>
      <c r="AK195" s="107">
        <v>0</v>
      </c>
      <c r="AL195" s="107">
        <v>0</v>
      </c>
      <c r="AM195" s="107">
        <f t="shared" si="30"/>
        <v>0</v>
      </c>
      <c r="AN195" s="116">
        <f>(-IF($V195="Yes", IF($X195="Yes", VLOOKUP($W195, '[1]Storage Fees'!A:M, 13, FALSE), VLOOKUP($W195, '[1]Storage Fees'!A:M, 10, FALSE)), IF($X195="Yes", VLOOKUP($W195, '[1]Storage Fees'!A:M, 7, FALSE), VLOOKUP($W195, '[1]Storage Fees'!A:M, 4, FALSE))) * U195)*1.5</f>
        <v>-1.4709635416666667</v>
      </c>
    </row>
    <row r="196" spans="1:40" x14ac:dyDescent="0.25">
      <c r="A196" s="99">
        <v>124</v>
      </c>
      <c r="B196" s="99"/>
      <c r="C196" s="99" t="s">
        <v>13655</v>
      </c>
      <c r="D196" s="99"/>
      <c r="E196" s="99" t="s">
        <v>163</v>
      </c>
      <c r="F196" s="99" t="s">
        <v>1614</v>
      </c>
      <c r="G196" s="99" t="s">
        <v>13695</v>
      </c>
      <c r="H196" s="99">
        <v>0</v>
      </c>
      <c r="I196" s="99">
        <v>0</v>
      </c>
      <c r="J196" s="99">
        <v>0</v>
      </c>
      <c r="K196" s="101" t="str">
        <f t="shared" si="18"/>
        <v>0x0x0</v>
      </c>
      <c r="L196" s="102">
        <f t="shared" si="19"/>
        <v>0</v>
      </c>
      <c r="M196" s="113">
        <f t="shared" si="20"/>
        <v>0</v>
      </c>
      <c r="N196" s="113">
        <f t="shared" si="21"/>
        <v>0</v>
      </c>
      <c r="O196" s="99">
        <v>0</v>
      </c>
      <c r="P196" s="113">
        <f t="shared" si="22"/>
        <v>0</v>
      </c>
      <c r="Q196" s="112">
        <f t="shared" si="23"/>
        <v>0</v>
      </c>
      <c r="R196" s="112" t="str">
        <f t="shared" si="24"/>
        <v>Standard-size</v>
      </c>
      <c r="S196" s="99" t="str">
        <f t="shared" si="25"/>
        <v>Small standard-size</v>
      </c>
      <c r="T196" s="116" t="s">
        <v>13696</v>
      </c>
      <c r="U196" s="116">
        <f t="shared" si="26"/>
        <v>0</v>
      </c>
      <c r="V196" s="116" t="s">
        <v>13583</v>
      </c>
      <c r="W196" s="116" t="s">
        <v>13690</v>
      </c>
      <c r="X196" s="99" t="s">
        <v>13583</v>
      </c>
      <c r="Y196" s="99">
        <v>1</v>
      </c>
      <c r="Z196" s="99">
        <v>1</v>
      </c>
      <c r="AA196" s="99">
        <v>1</v>
      </c>
      <c r="AB196" s="99"/>
      <c r="AC196" s="99"/>
      <c r="AD196" s="107">
        <v>0</v>
      </c>
      <c r="AE196" s="113">
        <f t="shared" si="27"/>
        <v>0</v>
      </c>
      <c r="AF196" s="116">
        <f>-IFERROR(IFERROR(VLOOKUP(ROUNDUP($Q196,0),'FBA FEES'!$L$2:$Q$203,MATCH($S196,'FBA FEES'!$L$2:$Q$2,0),FALSE),VLOOKUP(ROUNDUP($Q196,0),'FBA FEES'!$C$6:$F$123,MATCH($S196,'FBA FEES'!$C$6:$F$6,0),FALSE)),0)</f>
        <v>0</v>
      </c>
      <c r="AG196" s="116">
        <v>-10</v>
      </c>
      <c r="AH196" s="113">
        <f t="shared" si="28"/>
        <v>0</v>
      </c>
      <c r="AI196" s="116">
        <f>-IFERROR(IF($Y196=1,INDEX('[1]REMOVAL FEES'!$A$1:$C$22,MATCH(CONCATENATE("Standard Size",$P196),'[1]REMOVAL FEES'!$A$1:$A$22,0),3),IF($Y196=2,IF($P196&gt;10,(($P196-10)*1.06)+INDEX('[1]REMOVAL FEES'!$E$1:$G$22,MATCH(CONCATENATE("Large bulky, extra-large and special handling items",IF($P196&gt;=11,11,$P196)),'[1]REMOVAL FEES'!$E$1:$E$13,0),3),INDEX('[1]REMOVAL FEES'!$E$1:$G$22,MATCH(CONCATENATE("Large bulky, extra-large and special handling items",IF($P196&gt;=11,11,$P196)),'[1]REMOVAL FEES'!$E$1:$E$13,0),3))))*$AA196,FALSE)</f>
        <v>0</v>
      </c>
      <c r="AJ196" s="107">
        <f t="shared" si="29"/>
        <v>0</v>
      </c>
      <c r="AK196" s="107">
        <v>0</v>
      </c>
      <c r="AL196" s="107">
        <v>0</v>
      </c>
      <c r="AM196" s="107">
        <f t="shared" si="30"/>
        <v>0</v>
      </c>
      <c r="AN196" s="116">
        <f>(-IF($V196="Yes", IF($X196="Yes", VLOOKUP($W196, '[1]Storage Fees'!A:M, 13, FALSE), VLOOKUP($W196, '[1]Storage Fees'!A:M, 10, FALSE)), IF($X196="Yes", VLOOKUP($W196, '[1]Storage Fees'!A:M, 7, FALSE), VLOOKUP($W196, '[1]Storage Fees'!A:M, 4, FALSE))) * U196)*1.5</f>
        <v>0</v>
      </c>
    </row>
    <row r="197" spans="1:40" x14ac:dyDescent="0.25">
      <c r="A197" s="99">
        <v>125</v>
      </c>
      <c r="B197" s="99"/>
      <c r="C197" s="99" t="s">
        <v>13655</v>
      </c>
      <c r="D197" s="99"/>
      <c r="E197" s="99" t="s">
        <v>163</v>
      </c>
      <c r="F197" s="99" t="s">
        <v>1616</v>
      </c>
      <c r="G197" s="99" t="s">
        <v>13695</v>
      </c>
      <c r="H197" s="99">
        <v>0</v>
      </c>
      <c r="I197" s="99">
        <v>0</v>
      </c>
      <c r="J197" s="99">
        <v>0</v>
      </c>
      <c r="K197" s="101" t="str">
        <f t="shared" si="18"/>
        <v>0x0x0</v>
      </c>
      <c r="L197" s="102">
        <f t="shared" si="19"/>
        <v>0</v>
      </c>
      <c r="M197" s="113">
        <f t="shared" si="20"/>
        <v>0</v>
      </c>
      <c r="N197" s="113">
        <f t="shared" si="21"/>
        <v>0</v>
      </c>
      <c r="O197" s="99">
        <v>0</v>
      </c>
      <c r="P197" s="113">
        <f t="shared" si="22"/>
        <v>0</v>
      </c>
      <c r="Q197" s="112">
        <f t="shared" si="23"/>
        <v>0</v>
      </c>
      <c r="R197" s="112" t="str">
        <f t="shared" si="24"/>
        <v>Standard-size</v>
      </c>
      <c r="S197" s="99" t="str">
        <f t="shared" si="25"/>
        <v>Small standard-size</v>
      </c>
      <c r="T197" s="116" t="s">
        <v>13696</v>
      </c>
      <c r="U197" s="116">
        <f t="shared" si="26"/>
        <v>0</v>
      </c>
      <c r="V197" s="116" t="s">
        <v>13583</v>
      </c>
      <c r="W197" s="116" t="s">
        <v>13690</v>
      </c>
      <c r="X197" s="99" t="s">
        <v>13583</v>
      </c>
      <c r="Y197" s="99">
        <v>1</v>
      </c>
      <c r="Z197" s="99">
        <v>1</v>
      </c>
      <c r="AA197" s="99">
        <v>1</v>
      </c>
      <c r="AB197" s="99"/>
      <c r="AC197" s="99"/>
      <c r="AD197" s="107">
        <v>0</v>
      </c>
      <c r="AE197" s="113">
        <f t="shared" si="27"/>
        <v>0</v>
      </c>
      <c r="AF197" s="116">
        <f>-IFERROR(IFERROR(VLOOKUP(ROUNDUP($Q197,0),'FBA FEES'!$L$2:$Q$203,MATCH($S197,'FBA FEES'!$L$2:$Q$2,0),FALSE),VLOOKUP(ROUNDUP($Q197,0),'FBA FEES'!$C$6:$F$123,MATCH($S197,'FBA FEES'!$C$6:$F$6,0),FALSE)),0)</f>
        <v>0</v>
      </c>
      <c r="AG197" s="116">
        <v>-10</v>
      </c>
      <c r="AH197" s="113">
        <f t="shared" si="28"/>
        <v>0</v>
      </c>
      <c r="AI197" s="116">
        <f>-IFERROR(IF($Y197=1,INDEX('[1]REMOVAL FEES'!$A$1:$C$22,MATCH(CONCATENATE("Standard Size",$P197),'[1]REMOVAL FEES'!$A$1:$A$22,0),3),IF($Y197=2,IF($P197&gt;10,(($P197-10)*1.06)+INDEX('[1]REMOVAL FEES'!$E$1:$G$22,MATCH(CONCATENATE("Large bulky, extra-large and special handling items",IF($P197&gt;=11,11,$P197)),'[1]REMOVAL FEES'!$E$1:$E$13,0),3),INDEX('[1]REMOVAL FEES'!$E$1:$G$22,MATCH(CONCATENATE("Large bulky, extra-large and special handling items",IF($P197&gt;=11,11,$P197)),'[1]REMOVAL FEES'!$E$1:$E$13,0),3))))*$AA197,FALSE)</f>
        <v>0</v>
      </c>
      <c r="AJ197" s="107">
        <f t="shared" si="29"/>
        <v>0</v>
      </c>
      <c r="AK197" s="107">
        <v>0</v>
      </c>
      <c r="AL197" s="107">
        <v>0</v>
      </c>
      <c r="AM197" s="107">
        <f t="shared" si="30"/>
        <v>0</v>
      </c>
      <c r="AN197" s="116">
        <f>(-IF($V197="Yes", IF($X197="Yes", VLOOKUP($W197, '[1]Storage Fees'!A:M, 13, FALSE), VLOOKUP($W197, '[1]Storage Fees'!A:M, 10, FALSE)), IF($X197="Yes", VLOOKUP($W197, '[1]Storage Fees'!A:M, 7, FALSE), VLOOKUP($W197, '[1]Storage Fees'!A:M, 4, FALSE))) * U197)*1.5</f>
        <v>0</v>
      </c>
    </row>
    <row r="198" spans="1:40" x14ac:dyDescent="0.25">
      <c r="A198" s="99">
        <v>126</v>
      </c>
      <c r="B198" s="99"/>
      <c r="C198" s="99" t="s">
        <v>13655</v>
      </c>
      <c r="D198" s="99"/>
      <c r="E198" s="99" t="s">
        <v>441</v>
      </c>
      <c r="F198" s="99" t="s">
        <v>1618</v>
      </c>
      <c r="G198" s="99" t="s">
        <v>13695</v>
      </c>
      <c r="H198" s="99">
        <v>0</v>
      </c>
      <c r="I198" s="99">
        <v>0</v>
      </c>
      <c r="J198" s="99">
        <v>0</v>
      </c>
      <c r="K198" s="101" t="str">
        <f t="shared" si="18"/>
        <v>0x0x0</v>
      </c>
      <c r="L198" s="102">
        <f t="shared" si="19"/>
        <v>0</v>
      </c>
      <c r="M198" s="113">
        <f t="shared" si="20"/>
        <v>0</v>
      </c>
      <c r="N198" s="113">
        <f t="shared" si="21"/>
        <v>0</v>
      </c>
      <c r="O198" s="99">
        <v>0</v>
      </c>
      <c r="P198" s="113">
        <f t="shared" si="22"/>
        <v>0</v>
      </c>
      <c r="Q198" s="112">
        <f t="shared" si="23"/>
        <v>0</v>
      </c>
      <c r="R198" s="112" t="str">
        <f t="shared" si="24"/>
        <v>Standard-size</v>
      </c>
      <c r="S198" s="99" t="str">
        <f t="shared" si="25"/>
        <v>Small standard-size</v>
      </c>
      <c r="T198" s="116" t="s">
        <v>13696</v>
      </c>
      <c r="U198" s="116">
        <f t="shared" si="26"/>
        <v>0</v>
      </c>
      <c r="V198" s="116" t="s">
        <v>13583</v>
      </c>
      <c r="W198" s="116" t="s">
        <v>13690</v>
      </c>
      <c r="X198" s="99" t="s">
        <v>13583</v>
      </c>
      <c r="Y198" s="99">
        <v>1</v>
      </c>
      <c r="Z198" s="99">
        <v>1</v>
      </c>
      <c r="AA198" s="99">
        <v>1</v>
      </c>
      <c r="AB198" s="99"/>
      <c r="AC198" s="99"/>
      <c r="AD198" s="107">
        <v>0</v>
      </c>
      <c r="AE198" s="113">
        <f t="shared" si="27"/>
        <v>0</v>
      </c>
      <c r="AF198" s="116">
        <f>-IFERROR(IFERROR(VLOOKUP(ROUNDUP($Q198,0),'FBA FEES'!$L$2:$Q$203,MATCH($S198,'FBA FEES'!$L$2:$Q$2,0),FALSE),VLOOKUP(ROUNDUP($Q198,0),'FBA FEES'!$C$6:$F$123,MATCH($S198,'FBA FEES'!$C$6:$F$6,0),FALSE)),0)</f>
        <v>0</v>
      </c>
      <c r="AG198" s="116">
        <v>-10</v>
      </c>
      <c r="AH198" s="113">
        <f t="shared" si="28"/>
        <v>0</v>
      </c>
      <c r="AI198" s="116">
        <f>-IFERROR(IF($Y198=1,INDEX('[1]REMOVAL FEES'!$A$1:$C$22,MATCH(CONCATENATE("Standard Size",$P198),'[1]REMOVAL FEES'!$A$1:$A$22,0),3),IF($Y198=2,IF($P198&gt;10,(($P198-10)*1.06)+INDEX('[1]REMOVAL FEES'!$E$1:$G$22,MATCH(CONCATENATE("Large bulky, extra-large and special handling items",IF($P198&gt;=11,11,$P198)),'[1]REMOVAL FEES'!$E$1:$E$13,0),3),INDEX('[1]REMOVAL FEES'!$E$1:$G$22,MATCH(CONCATENATE("Large bulky, extra-large and special handling items",IF($P198&gt;=11,11,$P198)),'[1]REMOVAL FEES'!$E$1:$E$13,0),3))))*$AA198,FALSE)</f>
        <v>0</v>
      </c>
      <c r="AJ198" s="107">
        <f t="shared" si="29"/>
        <v>0</v>
      </c>
      <c r="AK198" s="107">
        <v>0</v>
      </c>
      <c r="AL198" s="107">
        <v>0</v>
      </c>
      <c r="AM198" s="107">
        <f t="shared" si="30"/>
        <v>0</v>
      </c>
      <c r="AN198" s="116">
        <f>(-IF($V198="Yes", IF($X198="Yes", VLOOKUP($W198, '[1]Storage Fees'!A:M, 13, FALSE), VLOOKUP($W198, '[1]Storage Fees'!A:M, 10, FALSE)), IF($X198="Yes", VLOOKUP($W198, '[1]Storage Fees'!A:M, 7, FALSE), VLOOKUP($W198, '[1]Storage Fees'!A:M, 4, FALSE))) * U198)*1.5</f>
        <v>0</v>
      </c>
    </row>
    <row r="199" spans="1:40" x14ac:dyDescent="0.25">
      <c r="A199" s="99">
        <v>127</v>
      </c>
      <c r="B199" s="99" t="s">
        <v>107</v>
      </c>
      <c r="C199" s="99" t="s">
        <v>13655</v>
      </c>
      <c r="D199" s="99" t="s">
        <v>714</v>
      </c>
      <c r="E199" s="99" t="s">
        <v>441</v>
      </c>
      <c r="F199" s="99" t="s">
        <v>773</v>
      </c>
      <c r="G199" s="99" t="s">
        <v>13695</v>
      </c>
      <c r="H199" s="99">
        <v>31</v>
      </c>
      <c r="I199" s="99">
        <v>22</v>
      </c>
      <c r="J199" s="99">
        <v>4</v>
      </c>
      <c r="K199" s="101" t="str">
        <f t="shared" si="18"/>
        <v>31x22x4</v>
      </c>
      <c r="L199" s="102">
        <f t="shared" si="19"/>
        <v>19.625899280575538</v>
      </c>
      <c r="M199" s="113">
        <f t="shared" si="20"/>
        <v>19.625899280575538</v>
      </c>
      <c r="N199" s="113">
        <f t="shared" si="21"/>
        <v>20</v>
      </c>
      <c r="O199" s="99">
        <v>20</v>
      </c>
      <c r="P199" s="113">
        <f t="shared" si="22"/>
        <v>20</v>
      </c>
      <c r="Q199" s="112">
        <f t="shared" si="23"/>
        <v>320</v>
      </c>
      <c r="R199" s="112" t="str">
        <f t="shared" si="24"/>
        <v>Oversize</v>
      </c>
      <c r="S199" s="99" t="str">
        <f t="shared" si="25"/>
        <v>Large bulky</v>
      </c>
      <c r="T199" s="116" t="s">
        <v>13692</v>
      </c>
      <c r="U199" s="116">
        <f t="shared" si="26"/>
        <v>1.5787037037037037</v>
      </c>
      <c r="V199" s="116" t="s">
        <v>13583</v>
      </c>
      <c r="W199" s="116" t="s">
        <v>13690</v>
      </c>
      <c r="X199" s="116" t="s">
        <v>13691</v>
      </c>
      <c r="Y199" s="116">
        <v>2</v>
      </c>
      <c r="Z199" s="116">
        <v>3</v>
      </c>
      <c r="AA199" s="116">
        <v>1</v>
      </c>
      <c r="AB199" s="99"/>
      <c r="AC199" s="99"/>
      <c r="AD199" s="107">
        <v>152.38323454545451</v>
      </c>
      <c r="AE199" s="113">
        <f t="shared" si="27"/>
        <v>-22.857485181818177</v>
      </c>
      <c r="AF199" s="116">
        <f>-IFERROR(IFERROR(VLOOKUP(ROUNDUP($Q199,0),'FBA FEES'!$L$2:$Q$203,MATCH($S199,'FBA FEES'!$L$2:$Q$2,0),FALSE),VLOOKUP(ROUNDUP($Q199,0),'FBA FEES'!$C$6:$F$123,MATCH($S199,'FBA FEES'!$C$6:$F$6,0),FALSE)),0)</f>
        <v>-16.829999999999998</v>
      </c>
      <c r="AG199" s="116">
        <v>-10</v>
      </c>
      <c r="AH199" s="113">
        <f t="shared" si="28"/>
        <v>-39.687485181818175</v>
      </c>
      <c r="AI199" s="116">
        <f>-IFERROR(IF($Y199=1,INDEX('[1]REMOVAL FEES'!$A$1:$C$22,MATCH(CONCATENATE("Standard Size",$P199),'[1]REMOVAL FEES'!$A$1:$A$22,0),3),IF($Y199=2,IF($P199&gt;10,(($P199-10)*1.06)+INDEX('[1]REMOVAL FEES'!$E$1:$G$22,MATCH(CONCATENATE("Large bulky, extra-large and special handling items",IF($P199&gt;=11,11,$P199)),'[1]REMOVAL FEES'!$E$1:$E$13,0),3),INDEX('[1]REMOVAL FEES'!$E$1:$G$22,MATCH(CONCATENATE("Large bulky, extra-large and special handling items",IF($P199&gt;=11,11,$P199)),'[1]REMOVAL FEES'!$E$1:$E$13,0),3))))*$AA199,FALSE)</f>
        <v>-24.92</v>
      </c>
      <c r="AJ199" s="107">
        <f t="shared" si="29"/>
        <v>-64.607485181818177</v>
      </c>
      <c r="AK199" s="107">
        <v>-81.94</v>
      </c>
      <c r="AL199" s="107">
        <v>-10.358139012839009</v>
      </c>
      <c r="AM199" s="107">
        <f t="shared" si="30"/>
        <v>-92.298139012839002</v>
      </c>
      <c r="AN199" s="116">
        <f>(-IF($V199="Yes", IF($X199="Yes", VLOOKUP($W199, '[1]Storage Fees'!A:M, 13, FALSE), VLOOKUP($W199, '[1]Storage Fees'!A:M, 10, FALSE)), IF($X199="Yes", VLOOKUP($W199, '[1]Storage Fees'!A:M, 7, FALSE), VLOOKUP($W199, '[1]Storage Fees'!A:M, 4, FALSE))) * U199)*1.5</f>
        <v>-1.8707638888888891</v>
      </c>
    </row>
    <row r="200" spans="1:40" x14ac:dyDescent="0.25">
      <c r="A200" s="99">
        <v>128</v>
      </c>
      <c r="B200" s="99" t="s">
        <v>107</v>
      </c>
      <c r="C200" s="99" t="s">
        <v>13655</v>
      </c>
      <c r="D200" s="99" t="s">
        <v>778</v>
      </c>
      <c r="E200" s="99" t="s">
        <v>441</v>
      </c>
      <c r="F200" s="99" t="s">
        <v>776</v>
      </c>
      <c r="G200" s="99" t="s">
        <v>13695</v>
      </c>
      <c r="H200" s="99">
        <v>23</v>
      </c>
      <c r="I200" s="99">
        <v>14</v>
      </c>
      <c r="J200" s="99">
        <v>3</v>
      </c>
      <c r="K200" s="101" t="str">
        <f t="shared" si="18"/>
        <v>23x14x3</v>
      </c>
      <c r="L200" s="102">
        <f t="shared" si="19"/>
        <v>6.9496402877697845</v>
      </c>
      <c r="M200" s="113">
        <f t="shared" si="20"/>
        <v>6.9496402877697845</v>
      </c>
      <c r="N200" s="113">
        <f t="shared" si="21"/>
        <v>7</v>
      </c>
      <c r="O200" s="99">
        <v>10</v>
      </c>
      <c r="P200" s="113">
        <f t="shared" si="22"/>
        <v>10</v>
      </c>
      <c r="Q200" s="112">
        <f t="shared" si="23"/>
        <v>160</v>
      </c>
      <c r="R200" s="112" t="str">
        <f t="shared" si="24"/>
        <v>Oversize</v>
      </c>
      <c r="S200" s="99" t="str">
        <f t="shared" si="25"/>
        <v>Large bulky</v>
      </c>
      <c r="T200" s="116" t="s">
        <v>13692</v>
      </c>
      <c r="U200" s="116">
        <f t="shared" si="26"/>
        <v>0.55902777777777779</v>
      </c>
      <c r="V200" s="116" t="s">
        <v>13583</v>
      </c>
      <c r="W200" s="116" t="s">
        <v>13690</v>
      </c>
      <c r="X200" s="116" t="s">
        <v>13691</v>
      </c>
      <c r="Y200" s="116">
        <v>2</v>
      </c>
      <c r="Z200" s="116">
        <v>3</v>
      </c>
      <c r="AA200" s="116">
        <v>1</v>
      </c>
      <c r="AB200" s="99"/>
      <c r="AC200" s="99"/>
      <c r="AD200" s="107">
        <v>92.295222727272588</v>
      </c>
      <c r="AE200" s="113">
        <f t="shared" si="27"/>
        <v>-13.844283409090888</v>
      </c>
      <c r="AF200" s="116">
        <f>-IFERROR(IFERROR(VLOOKUP(ROUNDUP($Q200,0),'FBA FEES'!$L$2:$Q$203,MATCH($S200,'FBA FEES'!$L$2:$Q$2,0),FALSE),VLOOKUP(ROUNDUP($Q200,0),'FBA FEES'!$C$6:$F$123,MATCH($S200,'FBA FEES'!$C$6:$F$6,0),FALSE)),0)</f>
        <v>-13.03</v>
      </c>
      <c r="AG200" s="116">
        <v>-10</v>
      </c>
      <c r="AH200" s="113">
        <f t="shared" si="28"/>
        <v>-26.874283409090886</v>
      </c>
      <c r="AI200" s="116">
        <f>-IFERROR(IF($Y200=1,INDEX('[1]REMOVAL FEES'!$A$1:$C$22,MATCH(CONCATENATE("Standard Size",$P200),'[1]REMOVAL FEES'!$A$1:$A$22,0),3),IF($Y200=2,IF($P200&gt;10,(($P200-10)*1.06)+INDEX('[1]REMOVAL FEES'!$E$1:$G$22,MATCH(CONCATENATE("Large bulky, extra-large and special handling items",IF($P200&gt;=11,11,$P200)),'[1]REMOVAL FEES'!$E$1:$E$13,0),3),INDEX('[1]REMOVAL FEES'!$E$1:$G$22,MATCH(CONCATENATE("Large bulky, extra-large and special handling items",IF($P200&gt;=11,11,$P200)),'[1]REMOVAL FEES'!$E$1:$E$13,0),3))))*$AA200,FALSE)</f>
        <v>-10.039999999999999</v>
      </c>
      <c r="AJ200" s="107">
        <f t="shared" si="29"/>
        <v>-36.914283409090885</v>
      </c>
      <c r="AK200" s="107">
        <v>-35.194999999999993</v>
      </c>
      <c r="AL200" s="107">
        <v>-4.2859740259740278</v>
      </c>
      <c r="AM200" s="107">
        <f t="shared" si="30"/>
        <v>-39.480974025974021</v>
      </c>
      <c r="AN200" s="116">
        <f>(-IF($V200="Yes", IF($X200="Yes", VLOOKUP($W200, '[1]Storage Fees'!A:M, 13, FALSE), VLOOKUP($W200, '[1]Storage Fees'!A:M, 10, FALSE)), IF($X200="Yes", VLOOKUP($W200, '[1]Storage Fees'!A:M, 7, FALSE), VLOOKUP($W200, '[1]Storage Fees'!A:M, 4, FALSE))) * U200)*1.5</f>
        <v>-0.66244791666666669</v>
      </c>
    </row>
    <row r="201" spans="1:40" x14ac:dyDescent="0.25">
      <c r="A201" s="99">
        <v>129</v>
      </c>
      <c r="B201" s="99"/>
      <c r="C201" s="99" t="s">
        <v>13655</v>
      </c>
      <c r="D201" s="99"/>
      <c r="E201" s="99" t="s">
        <v>441</v>
      </c>
      <c r="F201" s="99" t="s">
        <v>1620</v>
      </c>
      <c r="G201" s="99" t="s">
        <v>13695</v>
      </c>
      <c r="H201" s="99">
        <v>0</v>
      </c>
      <c r="I201" s="99">
        <v>0</v>
      </c>
      <c r="J201" s="99">
        <v>0</v>
      </c>
      <c r="K201" s="101" t="str">
        <f t="shared" ref="K201:K264" si="31">H201&amp;"x"&amp;I201&amp;"x"&amp;J201</f>
        <v>0x0x0</v>
      </c>
      <c r="L201" s="102">
        <f t="shared" ref="L201:L264" si="32">(H201*I201*J201)/139</f>
        <v>0</v>
      </c>
      <c r="M201" s="113">
        <f t="shared" ref="M201:M264" si="33">(H201*I201*J201)/139</f>
        <v>0</v>
      </c>
      <c r="N201" s="113">
        <f t="shared" ref="N201:N264" si="34">IF(AND(M201&gt;0,M201&lt;=0.25),0.25,IF(AND(M201&gt;0.25,M201&lt;=0.5),0.5,IF(AND(M201&gt;0.5,M201&lt;=0.75),0.75,ROUNDUP(M201,0))))</f>
        <v>0</v>
      </c>
      <c r="O201" s="99">
        <v>0</v>
      </c>
      <c r="P201" s="113">
        <f t="shared" ref="P201:P264" si="35">ROUNDUP(MAX(L201,O201),0)</f>
        <v>0</v>
      </c>
      <c r="Q201" s="112">
        <f t="shared" ref="Q201:Q264" si="36">P201*16</f>
        <v>0</v>
      </c>
      <c r="R201" s="112" t="str">
        <f t="shared" ref="R201:R264" si="37">IF(RIGHT(S201,13)="standard-size","Standard-size","Oversize")</f>
        <v>Standard-size</v>
      </c>
      <c r="S201" s="99" t="str">
        <f t="shared" ref="S201:S264" si="38">IF(AND($P201&lt;=$J$50,$H201&lt;=$G$50,$I201&lt;=$H$50,$J201&lt;=$I$50),$A$50,IF(AND($P201&lt;=$J$51,$H201&lt;=$G$51,$I201&lt;=$H$51,$J201&lt;=$I$51),$A$51,IF(AND($H201&lt;=$G$52,$I201&lt;=$H$52,$J201&lt;=$I$52,$P201&lt;=$J$52),$A$52,IF(AND($P201&lt;=$J$53,OR(H$8&gt;$G$53,$I201&gt;$H$53,$J201&gt;$I$53)),$A$53,IF(AND($P201&gt;$J$53,$P201&lt;=$J$54),$A$54,IF(AND($P201&gt;$J$54,$P201&lt;=$J$55),$A$55,$A$56))))))</f>
        <v>Small standard-size</v>
      </c>
      <c r="T201" s="116" t="s">
        <v>13696</v>
      </c>
      <c r="U201" s="116">
        <f t="shared" ref="U201:U264" si="39">(H201*I201*J201)/1728</f>
        <v>0</v>
      </c>
      <c r="V201" s="116" t="s">
        <v>13583</v>
      </c>
      <c r="W201" s="116" t="s">
        <v>13690</v>
      </c>
      <c r="X201" s="99" t="s">
        <v>13583</v>
      </c>
      <c r="Y201" s="99">
        <v>1</v>
      </c>
      <c r="Z201" s="99">
        <v>1</v>
      </c>
      <c r="AA201" s="99">
        <v>1</v>
      </c>
      <c r="AB201" s="99"/>
      <c r="AC201" s="99"/>
      <c r="AD201" s="107">
        <v>0</v>
      </c>
      <c r="AE201" s="113">
        <f t="shared" ref="AE201:AE264" si="40">-AD201*0.15</f>
        <v>0</v>
      </c>
      <c r="AF201" s="116">
        <f>-IFERROR(IFERROR(VLOOKUP(ROUNDUP($Q201,0),'FBA FEES'!$L$2:$Q$203,MATCH($S201,'FBA FEES'!$L$2:$Q$2,0),FALSE),VLOOKUP(ROUNDUP($Q201,0),'FBA FEES'!$C$6:$F$123,MATCH($S201,'FBA FEES'!$C$6:$F$6,0),FALSE)),0)</f>
        <v>0</v>
      </c>
      <c r="AG201" s="116">
        <v>-10</v>
      </c>
      <c r="AH201" s="113">
        <f t="shared" ref="AH201:AH264" si="41">AE201+AF201</f>
        <v>0</v>
      </c>
      <c r="AI201" s="116">
        <f>-IFERROR(IF($Y201=1,INDEX('[1]REMOVAL FEES'!$A$1:$C$22,MATCH(CONCATENATE("Standard Size",$P201),'[1]REMOVAL FEES'!$A$1:$A$22,0),3),IF($Y201=2,IF($P201&gt;10,(($P201-10)*1.06)+INDEX('[1]REMOVAL FEES'!$E$1:$G$22,MATCH(CONCATENATE("Large bulky, extra-large and special handling items",IF($P201&gt;=11,11,$P201)),'[1]REMOVAL FEES'!$E$1:$E$13,0),3),INDEX('[1]REMOVAL FEES'!$E$1:$G$22,MATCH(CONCATENATE("Large bulky, extra-large and special handling items",IF($P201&gt;=11,11,$P201)),'[1]REMOVAL FEES'!$E$1:$E$13,0),3))))*$AA201,FALSE)</f>
        <v>0</v>
      </c>
      <c r="AJ201" s="107">
        <f t="shared" ref="AJ201:AJ264" si="42">AH201+AI201</f>
        <v>0</v>
      </c>
      <c r="AK201" s="107">
        <v>0</v>
      </c>
      <c r="AL201" s="107">
        <v>0</v>
      </c>
      <c r="AM201" s="107">
        <f t="shared" ref="AM201:AM264" si="43">AK201+AL201</f>
        <v>0</v>
      </c>
      <c r="AN201" s="116">
        <f>(-IF($V201="Yes", IF($X201="Yes", VLOOKUP($W201, '[1]Storage Fees'!A:M, 13, FALSE), VLOOKUP($W201, '[1]Storage Fees'!A:M, 10, FALSE)), IF($X201="Yes", VLOOKUP($W201, '[1]Storage Fees'!A:M, 7, FALSE), VLOOKUP($W201, '[1]Storage Fees'!A:M, 4, FALSE))) * U201)*1.5</f>
        <v>0</v>
      </c>
    </row>
    <row r="202" spans="1:40" x14ac:dyDescent="0.25">
      <c r="A202" s="99">
        <v>130</v>
      </c>
      <c r="B202" s="99"/>
      <c r="C202" s="99" t="s">
        <v>13655</v>
      </c>
      <c r="D202" s="99"/>
      <c r="E202" s="99" t="s">
        <v>441</v>
      </c>
      <c r="F202" s="99" t="s">
        <v>1621</v>
      </c>
      <c r="G202" s="99" t="s">
        <v>13695</v>
      </c>
      <c r="H202" s="99">
        <v>0</v>
      </c>
      <c r="I202" s="99">
        <v>0</v>
      </c>
      <c r="J202" s="99">
        <v>0</v>
      </c>
      <c r="K202" s="101" t="str">
        <f t="shared" si="31"/>
        <v>0x0x0</v>
      </c>
      <c r="L202" s="102">
        <f t="shared" si="32"/>
        <v>0</v>
      </c>
      <c r="M202" s="113">
        <f t="shared" si="33"/>
        <v>0</v>
      </c>
      <c r="N202" s="113">
        <f t="shared" si="34"/>
        <v>0</v>
      </c>
      <c r="O202" s="99">
        <v>0</v>
      </c>
      <c r="P202" s="113">
        <f t="shared" si="35"/>
        <v>0</v>
      </c>
      <c r="Q202" s="112">
        <f t="shared" si="36"/>
        <v>0</v>
      </c>
      <c r="R202" s="112" t="str">
        <f t="shared" si="37"/>
        <v>Standard-size</v>
      </c>
      <c r="S202" s="99" t="str">
        <f t="shared" si="38"/>
        <v>Small standard-size</v>
      </c>
      <c r="T202" s="116" t="s">
        <v>13696</v>
      </c>
      <c r="U202" s="116">
        <f t="shared" si="39"/>
        <v>0</v>
      </c>
      <c r="V202" s="116" t="s">
        <v>13583</v>
      </c>
      <c r="W202" s="116" t="s">
        <v>13690</v>
      </c>
      <c r="X202" s="99" t="s">
        <v>13583</v>
      </c>
      <c r="Y202" s="99">
        <v>1</v>
      </c>
      <c r="Z202" s="99">
        <v>1</v>
      </c>
      <c r="AA202" s="99">
        <v>1</v>
      </c>
      <c r="AB202" s="99"/>
      <c r="AC202" s="99"/>
      <c r="AD202" s="107">
        <v>0</v>
      </c>
      <c r="AE202" s="113">
        <f t="shared" si="40"/>
        <v>0</v>
      </c>
      <c r="AF202" s="116">
        <f>-IFERROR(IFERROR(VLOOKUP(ROUNDUP($Q202,0),'FBA FEES'!$L$2:$Q$203,MATCH($S202,'FBA FEES'!$L$2:$Q$2,0),FALSE),VLOOKUP(ROUNDUP($Q202,0),'FBA FEES'!$C$6:$F$123,MATCH($S202,'FBA FEES'!$C$6:$F$6,0),FALSE)),0)</f>
        <v>0</v>
      </c>
      <c r="AG202" s="116">
        <v>-10</v>
      </c>
      <c r="AH202" s="113">
        <f t="shared" si="41"/>
        <v>0</v>
      </c>
      <c r="AI202" s="116">
        <f>-IFERROR(IF($Y202=1,INDEX('[1]REMOVAL FEES'!$A$1:$C$22,MATCH(CONCATENATE("Standard Size",$P202),'[1]REMOVAL FEES'!$A$1:$A$22,0),3),IF($Y202=2,IF($P202&gt;10,(($P202-10)*1.06)+INDEX('[1]REMOVAL FEES'!$E$1:$G$22,MATCH(CONCATENATE("Large bulky, extra-large and special handling items",IF($P202&gt;=11,11,$P202)),'[1]REMOVAL FEES'!$E$1:$E$13,0),3),INDEX('[1]REMOVAL FEES'!$E$1:$G$22,MATCH(CONCATENATE("Large bulky, extra-large and special handling items",IF($P202&gt;=11,11,$P202)),'[1]REMOVAL FEES'!$E$1:$E$13,0),3))))*$AA202,FALSE)</f>
        <v>0</v>
      </c>
      <c r="AJ202" s="107">
        <f t="shared" si="42"/>
        <v>0</v>
      </c>
      <c r="AK202" s="107">
        <v>0</v>
      </c>
      <c r="AL202" s="107">
        <v>0</v>
      </c>
      <c r="AM202" s="107">
        <f t="shared" si="43"/>
        <v>0</v>
      </c>
      <c r="AN202" s="116">
        <f>(-IF($V202="Yes", IF($X202="Yes", VLOOKUP($W202, '[1]Storage Fees'!A:M, 13, FALSE), VLOOKUP($W202, '[1]Storage Fees'!A:M, 10, FALSE)), IF($X202="Yes", VLOOKUP($W202, '[1]Storage Fees'!A:M, 7, FALSE), VLOOKUP($W202, '[1]Storage Fees'!A:M, 4, FALSE))) * U202)*1.5</f>
        <v>0</v>
      </c>
    </row>
    <row r="203" spans="1:40" x14ac:dyDescent="0.25">
      <c r="A203" s="99">
        <v>131</v>
      </c>
      <c r="B203" s="99" t="s">
        <v>55</v>
      </c>
      <c r="C203" s="99"/>
      <c r="D203" s="99"/>
      <c r="E203" s="99" t="s">
        <v>175</v>
      </c>
      <c r="F203" s="99" t="s">
        <v>173</v>
      </c>
      <c r="G203" s="99" t="s">
        <v>13656</v>
      </c>
      <c r="H203" s="99">
        <v>6</v>
      </c>
      <c r="I203" s="99">
        <v>5</v>
      </c>
      <c r="J203" s="99">
        <v>5</v>
      </c>
      <c r="K203" s="101" t="str">
        <f t="shared" si="31"/>
        <v>6x5x5</v>
      </c>
      <c r="L203" s="102">
        <f t="shared" si="32"/>
        <v>1.079136690647482</v>
      </c>
      <c r="M203" s="113">
        <f t="shared" si="33"/>
        <v>1.079136690647482</v>
      </c>
      <c r="N203" s="113">
        <f t="shared" si="34"/>
        <v>2</v>
      </c>
      <c r="O203" s="99">
        <v>5</v>
      </c>
      <c r="P203" s="113">
        <f t="shared" si="35"/>
        <v>5</v>
      </c>
      <c r="Q203" s="112">
        <f t="shared" si="36"/>
        <v>80</v>
      </c>
      <c r="R203" s="112" t="str">
        <f t="shared" si="37"/>
        <v>Standard-size</v>
      </c>
      <c r="S203" s="99" t="str">
        <f t="shared" si="38"/>
        <v>Large standard-size</v>
      </c>
      <c r="T203" s="116" t="s">
        <v>13693</v>
      </c>
      <c r="U203" s="116">
        <f t="shared" si="39"/>
        <v>8.6805555555555552E-2</v>
      </c>
      <c r="V203" s="116" t="s">
        <v>13583</v>
      </c>
      <c r="W203" s="116" t="s">
        <v>13690</v>
      </c>
      <c r="X203" s="99" t="s">
        <v>13583</v>
      </c>
      <c r="Y203" s="99">
        <v>1</v>
      </c>
      <c r="Z203" s="99">
        <v>2</v>
      </c>
      <c r="AA203" s="99">
        <v>1</v>
      </c>
      <c r="AB203" s="99"/>
      <c r="AC203" s="99"/>
      <c r="AD203" s="107">
        <v>53.629627071823172</v>
      </c>
      <c r="AE203" s="113">
        <f t="shared" si="40"/>
        <v>-8.0444440607734755</v>
      </c>
      <c r="AF203" s="116">
        <f>-IFERROR(IFERROR(VLOOKUP(ROUNDUP($Q203,0),'FBA FEES'!$L$2:$Q$203,MATCH($S203,'FBA FEES'!$L$2:$Q$2,0),FALSE),VLOOKUP(ROUNDUP($Q203,0),'FBA FEES'!$C$6:$F$123,MATCH($S203,'FBA FEES'!$C$6:$F$6,0),FALSE)),0)</f>
        <v>-7.56</v>
      </c>
      <c r="AG203" s="116">
        <v>-10</v>
      </c>
      <c r="AH203" s="113">
        <f t="shared" si="41"/>
        <v>-15.604444060773474</v>
      </c>
      <c r="AI203" s="116">
        <f>-IFERROR(IF($Y203=1,INDEX('[1]REMOVAL FEES'!$A$1:$C$22,MATCH(CONCATENATE("Standard Size",$P203),'[1]REMOVAL FEES'!$A$1:$A$22,0),3),IF($Y203=2,IF($P203&gt;10,(($P203-10)*1.06)+INDEX('[1]REMOVAL FEES'!$E$1:$G$22,MATCH(CONCATENATE("Large bulky, extra-large and special handling items",IF($P203&gt;=11,11,$P203)),'[1]REMOVAL FEES'!$E$1:$E$13,0),3),INDEX('[1]REMOVAL FEES'!$E$1:$G$22,MATCH(CONCATENATE("Large bulky, extra-large and special handling items",IF($P203&gt;=11,11,$P203)),'[1]REMOVAL FEES'!$E$1:$E$13,0),3))))*$AA203,FALSE)</f>
        <v>-6.07</v>
      </c>
      <c r="AJ203" s="107">
        <f t="shared" si="42"/>
        <v>-21.674444060773475</v>
      </c>
      <c r="AK203" s="107">
        <v>-19.678397790055229</v>
      </c>
      <c r="AL203" s="107">
        <v>-1.5719028715640151</v>
      </c>
      <c r="AM203" s="107">
        <f t="shared" si="43"/>
        <v>-21.250300661619242</v>
      </c>
      <c r="AN203" s="116">
        <f>(-IF($V203="Yes", IF($X203="Yes", VLOOKUP($W203, '[1]Storage Fees'!A:M, 13, FALSE), VLOOKUP($W203, '[1]Storage Fees'!A:M, 10, FALSE)), IF($X203="Yes", VLOOKUP($W203, '[1]Storage Fees'!A:M, 7, FALSE), VLOOKUP($W203, '[1]Storage Fees'!A:M, 4, FALSE))) * U203)*1.5</f>
        <v>-0.15885416666666666</v>
      </c>
    </row>
    <row r="204" spans="1:40" x14ac:dyDescent="0.25">
      <c r="A204" s="99">
        <v>132</v>
      </c>
      <c r="B204" s="99" t="s">
        <v>55</v>
      </c>
      <c r="C204" s="99"/>
      <c r="D204" s="99"/>
      <c r="E204" s="99" t="s">
        <v>175</v>
      </c>
      <c r="F204" s="99" t="s">
        <v>176</v>
      </c>
      <c r="G204" s="99" t="s">
        <v>13656</v>
      </c>
      <c r="H204" s="99">
        <v>8</v>
      </c>
      <c r="I204" s="99">
        <v>8</v>
      </c>
      <c r="J204" s="99">
        <v>9</v>
      </c>
      <c r="K204" s="101" t="str">
        <f t="shared" si="31"/>
        <v>8x8x9</v>
      </c>
      <c r="L204" s="102">
        <f t="shared" si="32"/>
        <v>4.1438848920863309</v>
      </c>
      <c r="M204" s="113">
        <f t="shared" si="33"/>
        <v>4.1438848920863309</v>
      </c>
      <c r="N204" s="113">
        <f t="shared" si="34"/>
        <v>5</v>
      </c>
      <c r="O204" s="99">
        <v>16</v>
      </c>
      <c r="P204" s="113">
        <f t="shared" si="35"/>
        <v>16</v>
      </c>
      <c r="Q204" s="112">
        <f t="shared" si="36"/>
        <v>256</v>
      </c>
      <c r="R204" s="112" t="str">
        <f t="shared" si="37"/>
        <v>Oversize</v>
      </c>
      <c r="S204" s="99" t="str">
        <f t="shared" si="38"/>
        <v>Large bulky</v>
      </c>
      <c r="T204" s="116" t="s">
        <v>13692</v>
      </c>
      <c r="U204" s="116">
        <f t="shared" si="39"/>
        <v>0.33333333333333331</v>
      </c>
      <c r="V204" s="116" t="s">
        <v>13583</v>
      </c>
      <c r="W204" s="116" t="s">
        <v>13690</v>
      </c>
      <c r="X204" s="116" t="s">
        <v>13691</v>
      </c>
      <c r="Y204" s="116">
        <v>2</v>
      </c>
      <c r="Z204" s="116">
        <v>3</v>
      </c>
      <c r="AA204" s="116">
        <v>1</v>
      </c>
      <c r="AB204" s="99"/>
      <c r="AC204" s="99"/>
      <c r="AD204" s="107">
        <v>55.696988636363557</v>
      </c>
      <c r="AE204" s="113">
        <f t="shared" si="40"/>
        <v>-8.3545482954545331</v>
      </c>
      <c r="AF204" s="116">
        <f>-IFERROR(IFERROR(VLOOKUP(ROUNDUP($Q204,0),'FBA FEES'!$L$2:$Q$203,MATCH($S204,'FBA FEES'!$L$2:$Q$2,0),FALSE),VLOOKUP(ROUNDUP($Q204,0),'FBA FEES'!$C$6:$F$123,MATCH($S204,'FBA FEES'!$C$6:$F$6,0),FALSE)),0)</f>
        <v>-15.309999999999999</v>
      </c>
      <c r="AG204" s="116">
        <v>-10</v>
      </c>
      <c r="AH204" s="113">
        <f t="shared" si="41"/>
        <v>-23.66454829545453</v>
      </c>
      <c r="AI204" s="116">
        <f>-IFERROR(IF($Y204=1,INDEX('[1]REMOVAL FEES'!$A$1:$C$22,MATCH(CONCATENATE("Standard Size",$P204),'[1]REMOVAL FEES'!$A$1:$A$22,0),3),IF($Y204=2,IF($P204&gt;10,(($P204-10)*1.06)+INDEX('[1]REMOVAL FEES'!$E$1:$G$22,MATCH(CONCATENATE("Large bulky, extra-large and special handling items",IF($P204&gt;=11,11,$P204)),'[1]REMOVAL FEES'!$E$1:$E$13,0),3),INDEX('[1]REMOVAL FEES'!$E$1:$G$22,MATCH(CONCATENATE("Large bulky, extra-large and special handling items",IF($P204&gt;=11,11,$P204)),'[1]REMOVAL FEES'!$E$1:$E$13,0),3))))*$AA204,FALSE)</f>
        <v>-20.68</v>
      </c>
      <c r="AJ204" s="107">
        <f t="shared" si="42"/>
        <v>-44.34454829545453</v>
      </c>
      <c r="AK204" s="107">
        <v>-18.45772727272729</v>
      </c>
      <c r="AL204" s="107">
        <v>-6.828393283799536</v>
      </c>
      <c r="AM204" s="107">
        <f t="shared" si="43"/>
        <v>-25.286120556526825</v>
      </c>
      <c r="AN204" s="116">
        <f>(-IF($V204="Yes", IF($X204="Yes", VLOOKUP($W204, '[1]Storage Fees'!A:M, 13, FALSE), VLOOKUP($W204, '[1]Storage Fees'!A:M, 10, FALSE)), IF($X204="Yes", VLOOKUP($W204, '[1]Storage Fees'!A:M, 7, FALSE), VLOOKUP($W204, '[1]Storage Fees'!A:M, 4, FALSE))) * U204)*1.5</f>
        <v>-0.39499999999999996</v>
      </c>
    </row>
    <row r="205" spans="1:40" x14ac:dyDescent="0.25">
      <c r="A205" s="99">
        <v>133</v>
      </c>
      <c r="B205" s="99" t="s">
        <v>55</v>
      </c>
      <c r="C205" s="99"/>
      <c r="D205" s="99"/>
      <c r="E205" s="99" t="s">
        <v>175</v>
      </c>
      <c r="F205" s="99" t="s">
        <v>178</v>
      </c>
      <c r="G205" s="99" t="s">
        <v>13656</v>
      </c>
      <c r="H205" s="99">
        <v>16</v>
      </c>
      <c r="I205" s="99">
        <v>8</v>
      </c>
      <c r="J205" s="99">
        <v>8</v>
      </c>
      <c r="K205" s="101" t="str">
        <f t="shared" si="31"/>
        <v>16x8x8</v>
      </c>
      <c r="L205" s="102">
        <f t="shared" si="32"/>
        <v>7.3669064748201443</v>
      </c>
      <c r="M205" s="113">
        <f t="shared" si="33"/>
        <v>7.3669064748201443</v>
      </c>
      <c r="N205" s="113">
        <f t="shared" si="34"/>
        <v>8</v>
      </c>
      <c r="O205" s="99">
        <v>12</v>
      </c>
      <c r="P205" s="113">
        <f t="shared" si="35"/>
        <v>12</v>
      </c>
      <c r="Q205" s="112">
        <f t="shared" si="36"/>
        <v>192</v>
      </c>
      <c r="R205" s="112" t="str">
        <f t="shared" si="37"/>
        <v>Standard-size</v>
      </c>
      <c r="S205" s="99" t="str">
        <f t="shared" si="38"/>
        <v>Large standard-size</v>
      </c>
      <c r="T205" s="116" t="s">
        <v>13693</v>
      </c>
      <c r="U205" s="116">
        <f t="shared" si="39"/>
        <v>0.59259259259259256</v>
      </c>
      <c r="V205" s="116" t="s">
        <v>13583</v>
      </c>
      <c r="W205" s="116" t="s">
        <v>13690</v>
      </c>
      <c r="X205" s="99" t="s">
        <v>13583</v>
      </c>
      <c r="Y205" s="99">
        <v>1</v>
      </c>
      <c r="Z205" s="99">
        <v>2</v>
      </c>
      <c r="AA205" s="99">
        <v>1</v>
      </c>
      <c r="AB205" s="99"/>
      <c r="AC205" s="99"/>
      <c r="AD205" s="107">
        <v>60.061401869158743</v>
      </c>
      <c r="AE205" s="113">
        <f t="shared" si="40"/>
        <v>-9.0092102803738108</v>
      </c>
      <c r="AF205" s="116">
        <f>-IFERROR(IFERROR(VLOOKUP(ROUNDUP($Q205,0),'FBA FEES'!$L$2:$Q$203,MATCH($S205,'FBA FEES'!$L$2:$Q$2,0),FALSE),VLOOKUP(ROUNDUP($Q205,0),'FBA FEES'!$C$6:$F$123,MATCH($S205,'FBA FEES'!$C$6:$F$6,0),FALSE)),0)</f>
        <v>-9.8000000000000007</v>
      </c>
      <c r="AG205" s="116">
        <v>-10</v>
      </c>
      <c r="AH205" s="113">
        <f t="shared" si="41"/>
        <v>-18.809210280373811</v>
      </c>
      <c r="AI205" s="116">
        <f>-IFERROR(IF($Y205=1,INDEX('[1]REMOVAL FEES'!$A$1:$C$22,MATCH(CONCATENATE("Standard Size",$P205),'[1]REMOVAL FEES'!$A$1:$A$22,0),3),IF($Y205=2,IF($P205&gt;10,(($P205-10)*1.06)+INDEX('[1]REMOVAL FEES'!$E$1:$G$22,MATCH(CONCATENATE("Large bulky, extra-large and special handling items",IF($P205&gt;=11,11,$P205)),'[1]REMOVAL FEES'!$E$1:$E$13,0),3),INDEX('[1]REMOVAL FEES'!$E$1:$G$22,MATCH(CONCATENATE("Large bulky, extra-large and special handling items",IF($P205&gt;=11,11,$P205)),'[1]REMOVAL FEES'!$E$1:$E$13,0),3))))*$AA205,FALSE)</f>
        <v>-13.490000000000002</v>
      </c>
      <c r="AJ205" s="107">
        <f t="shared" si="42"/>
        <v>-32.299210280373813</v>
      </c>
      <c r="AK205" s="107">
        <v>-13.366915887850469</v>
      </c>
      <c r="AL205" s="107">
        <v>-4.236982983182636</v>
      </c>
      <c r="AM205" s="107">
        <f t="shared" si="43"/>
        <v>-17.603898871033106</v>
      </c>
      <c r="AN205" s="116">
        <f>(-IF($V205="Yes", IF($X205="Yes", VLOOKUP($W205, '[1]Storage Fees'!A:M, 13, FALSE), VLOOKUP($W205, '[1]Storage Fees'!A:M, 10, FALSE)), IF($X205="Yes", VLOOKUP($W205, '[1]Storage Fees'!A:M, 7, FALSE), VLOOKUP($W205, '[1]Storage Fees'!A:M, 4, FALSE))) * U205)*1.5</f>
        <v>-1.0844444444444443</v>
      </c>
    </row>
    <row r="206" spans="1:40" x14ac:dyDescent="0.25">
      <c r="A206" s="99">
        <v>134</v>
      </c>
      <c r="B206" s="99" t="s">
        <v>55</v>
      </c>
      <c r="C206" s="99"/>
      <c r="D206" s="99"/>
      <c r="E206" s="99" t="s">
        <v>175</v>
      </c>
      <c r="F206" s="99" t="s">
        <v>180</v>
      </c>
      <c r="G206" s="99" t="s">
        <v>13656</v>
      </c>
      <c r="H206" s="99">
        <v>10</v>
      </c>
      <c r="I206" s="99">
        <v>4</v>
      </c>
      <c r="J206" s="99">
        <v>4</v>
      </c>
      <c r="K206" s="101" t="str">
        <f t="shared" si="31"/>
        <v>10x4x4</v>
      </c>
      <c r="L206" s="102">
        <f t="shared" si="32"/>
        <v>1.1510791366906474</v>
      </c>
      <c r="M206" s="113">
        <f t="shared" si="33"/>
        <v>1.1510791366906474</v>
      </c>
      <c r="N206" s="113">
        <f t="shared" si="34"/>
        <v>2</v>
      </c>
      <c r="O206" s="99">
        <v>4</v>
      </c>
      <c r="P206" s="113">
        <f t="shared" si="35"/>
        <v>4</v>
      </c>
      <c r="Q206" s="112">
        <f t="shared" si="36"/>
        <v>64</v>
      </c>
      <c r="R206" s="112" t="str">
        <f t="shared" si="37"/>
        <v>Standard-size</v>
      </c>
      <c r="S206" s="99" t="str">
        <f t="shared" si="38"/>
        <v>Large standard-size</v>
      </c>
      <c r="T206" s="116" t="s">
        <v>13693</v>
      </c>
      <c r="U206" s="116">
        <f t="shared" si="39"/>
        <v>9.2592592592592587E-2</v>
      </c>
      <c r="V206" s="116" t="s">
        <v>13583</v>
      </c>
      <c r="W206" s="116" t="s">
        <v>13690</v>
      </c>
      <c r="X206" s="99" t="s">
        <v>13583</v>
      </c>
      <c r="Y206" s="99">
        <v>1</v>
      </c>
      <c r="Z206" s="99">
        <v>2</v>
      </c>
      <c r="AA206" s="99">
        <v>1</v>
      </c>
      <c r="AB206" s="99"/>
      <c r="AC206" s="99"/>
      <c r="AD206" s="107">
        <v>22.244612831097189</v>
      </c>
      <c r="AE206" s="113">
        <f t="shared" si="40"/>
        <v>-3.3366919246645783</v>
      </c>
      <c r="AF206" s="116">
        <f>-IFERROR(IFERROR(VLOOKUP(ROUNDUP($Q206,0),'FBA FEES'!$L$2:$Q$203,MATCH($S206,'FBA FEES'!$L$2:$Q$2,0),FALSE),VLOOKUP(ROUNDUP($Q206,0),'FBA FEES'!$C$6:$F$123,MATCH($S206,'FBA FEES'!$C$6:$F$6,0),FALSE)),0)</f>
        <v>-7.24</v>
      </c>
      <c r="AG206" s="116">
        <v>-10</v>
      </c>
      <c r="AH206" s="113">
        <f t="shared" si="41"/>
        <v>-10.576691924664578</v>
      </c>
      <c r="AI206" s="116">
        <f>-IFERROR(IF($Y206=1,INDEX('[1]REMOVAL FEES'!$A$1:$C$22,MATCH(CONCATENATE("Standard Size",$P206),'[1]REMOVAL FEES'!$A$1:$A$22,0),3),IF($Y206=2,IF($P206&gt;10,(($P206-10)*1.06)+INDEX('[1]REMOVAL FEES'!$E$1:$G$22,MATCH(CONCATENATE("Large bulky, extra-large and special handling items",IF($P206&gt;=11,11,$P206)),'[1]REMOVAL FEES'!$E$1:$E$13,0),3),INDEX('[1]REMOVAL FEES'!$E$1:$G$22,MATCH(CONCATENATE("Large bulky, extra-large and special handling items",IF($P206&gt;=11,11,$P206)),'[1]REMOVAL FEES'!$E$1:$E$13,0),3))))*$AA206,FALSE)</f>
        <v>-5.01</v>
      </c>
      <c r="AJ206" s="107">
        <f t="shared" si="42"/>
        <v>-15.586691924664578</v>
      </c>
      <c r="AK206" s="107">
        <v>-3.829509803921372</v>
      </c>
      <c r="AL206" s="107">
        <v>-1.0378946288185049</v>
      </c>
      <c r="AM206" s="107">
        <f t="shared" si="43"/>
        <v>-4.8674044327398764</v>
      </c>
      <c r="AN206" s="116">
        <f>(-IF($V206="Yes", IF($X206="Yes", VLOOKUP($W206, '[1]Storage Fees'!A:M, 13, FALSE), VLOOKUP($W206, '[1]Storage Fees'!A:M, 10, FALSE)), IF($X206="Yes", VLOOKUP($W206, '[1]Storage Fees'!A:M, 7, FALSE), VLOOKUP($W206, '[1]Storage Fees'!A:M, 4, FALSE))) * U206)*1.5</f>
        <v>-0.16944444444444445</v>
      </c>
    </row>
    <row r="207" spans="1:40" x14ac:dyDescent="0.25">
      <c r="A207" s="99">
        <v>135</v>
      </c>
      <c r="B207" s="99" t="s">
        <v>55</v>
      </c>
      <c r="C207" s="99"/>
      <c r="D207" s="99"/>
      <c r="E207" s="99" t="s">
        <v>175</v>
      </c>
      <c r="F207" s="99" t="s">
        <v>182</v>
      </c>
      <c r="G207" s="99" t="s">
        <v>13656</v>
      </c>
      <c r="H207" s="99">
        <v>6</v>
      </c>
      <c r="I207" s="99">
        <v>5</v>
      </c>
      <c r="J207" s="99">
        <v>5</v>
      </c>
      <c r="K207" s="101" t="str">
        <f t="shared" si="31"/>
        <v>6x5x5</v>
      </c>
      <c r="L207" s="102">
        <f t="shared" si="32"/>
        <v>1.079136690647482</v>
      </c>
      <c r="M207" s="113">
        <f t="shared" si="33"/>
        <v>1.079136690647482</v>
      </c>
      <c r="N207" s="113">
        <f t="shared" si="34"/>
        <v>2</v>
      </c>
      <c r="O207" s="99">
        <v>5</v>
      </c>
      <c r="P207" s="113">
        <f t="shared" si="35"/>
        <v>5</v>
      </c>
      <c r="Q207" s="112">
        <f t="shared" si="36"/>
        <v>80</v>
      </c>
      <c r="R207" s="112" t="str">
        <f t="shared" si="37"/>
        <v>Standard-size</v>
      </c>
      <c r="S207" s="99" t="str">
        <f t="shared" si="38"/>
        <v>Large standard-size</v>
      </c>
      <c r="T207" s="116" t="s">
        <v>13693</v>
      </c>
      <c r="U207" s="116">
        <f t="shared" si="39"/>
        <v>8.6805555555555552E-2</v>
      </c>
      <c r="V207" s="116" t="s">
        <v>13583</v>
      </c>
      <c r="W207" s="116" t="s">
        <v>13690</v>
      </c>
      <c r="X207" s="99" t="s">
        <v>13583</v>
      </c>
      <c r="Y207" s="99">
        <v>1</v>
      </c>
      <c r="Z207" s="99">
        <v>2</v>
      </c>
      <c r="AA207" s="99">
        <v>1</v>
      </c>
      <c r="AB207" s="99"/>
      <c r="AC207" s="99"/>
      <c r="AD207" s="107">
        <v>27.806489361702099</v>
      </c>
      <c r="AE207" s="113">
        <f t="shared" si="40"/>
        <v>-4.1709734042553146</v>
      </c>
      <c r="AF207" s="116">
        <f>-IFERROR(IFERROR(VLOOKUP(ROUNDUP($Q207,0),'FBA FEES'!$L$2:$Q$203,MATCH($S207,'FBA FEES'!$L$2:$Q$2,0),FALSE),VLOOKUP(ROUNDUP($Q207,0),'FBA FEES'!$C$6:$F$123,MATCH($S207,'FBA FEES'!$C$6:$F$6,0),FALSE)),0)</f>
        <v>-7.56</v>
      </c>
      <c r="AG207" s="116">
        <v>-10</v>
      </c>
      <c r="AH207" s="113">
        <f t="shared" si="41"/>
        <v>-11.730973404255314</v>
      </c>
      <c r="AI207" s="116">
        <f>-IFERROR(IF($Y207=1,INDEX('[1]REMOVAL FEES'!$A$1:$C$22,MATCH(CONCATENATE("Standard Size",$P207),'[1]REMOVAL FEES'!$A$1:$A$22,0),3),IF($Y207=2,IF($P207&gt;10,(($P207-10)*1.06)+INDEX('[1]REMOVAL FEES'!$E$1:$G$22,MATCH(CONCATENATE("Large bulky, extra-large and special handling items",IF($P207&gt;=11,11,$P207)),'[1]REMOVAL FEES'!$E$1:$E$13,0),3),INDEX('[1]REMOVAL FEES'!$E$1:$G$22,MATCH(CONCATENATE("Large bulky, extra-large and special handling items",IF($P207&gt;=11,11,$P207)),'[1]REMOVAL FEES'!$E$1:$E$13,0),3))))*$AA207,FALSE)</f>
        <v>-6.07</v>
      </c>
      <c r="AJ207" s="107">
        <f t="shared" si="42"/>
        <v>-17.800973404255316</v>
      </c>
      <c r="AK207" s="107">
        <v>-5.3100000000000014</v>
      </c>
      <c r="AL207" s="107">
        <v>-1.667971797429078</v>
      </c>
      <c r="AM207" s="107">
        <f t="shared" si="43"/>
        <v>-6.9779717974290794</v>
      </c>
      <c r="AN207" s="116">
        <f>(-IF($V207="Yes", IF($X207="Yes", VLOOKUP($W207, '[1]Storage Fees'!A:M, 13, FALSE), VLOOKUP($W207, '[1]Storage Fees'!A:M, 10, FALSE)), IF($X207="Yes", VLOOKUP($W207, '[1]Storage Fees'!A:M, 7, FALSE), VLOOKUP($W207, '[1]Storage Fees'!A:M, 4, FALSE))) * U207)*1.5</f>
        <v>-0.15885416666666666</v>
      </c>
    </row>
    <row r="208" spans="1:40" x14ac:dyDescent="0.25">
      <c r="A208" s="99">
        <v>136</v>
      </c>
      <c r="B208" s="99"/>
      <c r="C208" s="99" t="s">
        <v>13655</v>
      </c>
      <c r="D208" s="99"/>
      <c r="E208" s="99" t="s">
        <v>1624</v>
      </c>
      <c r="F208" s="99" t="s">
        <v>1622</v>
      </c>
      <c r="G208" s="99" t="s">
        <v>13695</v>
      </c>
      <c r="H208" s="99">
        <v>0</v>
      </c>
      <c r="I208" s="99">
        <v>0</v>
      </c>
      <c r="J208" s="99">
        <v>0</v>
      </c>
      <c r="K208" s="101" t="str">
        <f t="shared" si="31"/>
        <v>0x0x0</v>
      </c>
      <c r="L208" s="102">
        <f t="shared" si="32"/>
        <v>0</v>
      </c>
      <c r="M208" s="113">
        <f t="shared" si="33"/>
        <v>0</v>
      </c>
      <c r="N208" s="113">
        <f t="shared" si="34"/>
        <v>0</v>
      </c>
      <c r="O208" s="99">
        <v>0</v>
      </c>
      <c r="P208" s="113">
        <f t="shared" si="35"/>
        <v>0</v>
      </c>
      <c r="Q208" s="112">
        <f t="shared" si="36"/>
        <v>0</v>
      </c>
      <c r="R208" s="112" t="str">
        <f t="shared" si="37"/>
        <v>Standard-size</v>
      </c>
      <c r="S208" s="99" t="str">
        <f t="shared" si="38"/>
        <v>Small standard-size</v>
      </c>
      <c r="T208" s="116" t="s">
        <v>13696</v>
      </c>
      <c r="U208" s="116">
        <f t="shared" si="39"/>
        <v>0</v>
      </c>
      <c r="V208" s="116" t="s">
        <v>13583</v>
      </c>
      <c r="W208" s="116" t="s">
        <v>13690</v>
      </c>
      <c r="X208" s="99" t="s">
        <v>13583</v>
      </c>
      <c r="Y208" s="99">
        <v>1</v>
      </c>
      <c r="Z208" s="99">
        <v>1</v>
      </c>
      <c r="AA208" s="99">
        <v>1</v>
      </c>
      <c r="AB208" s="99"/>
      <c r="AC208" s="99"/>
      <c r="AD208" s="107">
        <v>0</v>
      </c>
      <c r="AE208" s="113">
        <f t="shared" si="40"/>
        <v>0</v>
      </c>
      <c r="AF208" s="116">
        <f>-IFERROR(IFERROR(VLOOKUP(ROUNDUP($Q208,0),'FBA FEES'!$L$2:$Q$203,MATCH($S208,'FBA FEES'!$L$2:$Q$2,0),FALSE),VLOOKUP(ROUNDUP($Q208,0),'FBA FEES'!$C$6:$F$123,MATCH($S208,'FBA FEES'!$C$6:$F$6,0),FALSE)),0)</f>
        <v>0</v>
      </c>
      <c r="AG208" s="116">
        <v>-10</v>
      </c>
      <c r="AH208" s="113">
        <f t="shared" si="41"/>
        <v>0</v>
      </c>
      <c r="AI208" s="116">
        <f>-IFERROR(IF($Y208=1,INDEX('[1]REMOVAL FEES'!$A$1:$C$22,MATCH(CONCATENATE("Standard Size",$P208),'[1]REMOVAL FEES'!$A$1:$A$22,0),3),IF($Y208=2,IF($P208&gt;10,(($P208-10)*1.06)+INDEX('[1]REMOVAL FEES'!$E$1:$G$22,MATCH(CONCATENATE("Large bulky, extra-large and special handling items",IF($P208&gt;=11,11,$P208)),'[1]REMOVAL FEES'!$E$1:$E$13,0),3),INDEX('[1]REMOVAL FEES'!$E$1:$G$22,MATCH(CONCATENATE("Large bulky, extra-large and special handling items",IF($P208&gt;=11,11,$P208)),'[1]REMOVAL FEES'!$E$1:$E$13,0),3))))*$AA208,FALSE)</f>
        <v>0</v>
      </c>
      <c r="AJ208" s="107">
        <f t="shared" si="42"/>
        <v>0</v>
      </c>
      <c r="AK208" s="107">
        <v>0</v>
      </c>
      <c r="AL208" s="107">
        <v>0</v>
      </c>
      <c r="AM208" s="107">
        <f t="shared" si="43"/>
        <v>0</v>
      </c>
      <c r="AN208" s="116">
        <f>(-IF($V208="Yes", IF($X208="Yes", VLOOKUP($W208, '[1]Storage Fees'!A:M, 13, FALSE), VLOOKUP($W208, '[1]Storage Fees'!A:M, 10, FALSE)), IF($X208="Yes", VLOOKUP($W208, '[1]Storage Fees'!A:M, 7, FALSE), VLOOKUP($W208, '[1]Storage Fees'!A:M, 4, FALSE))) * U208)*1.5</f>
        <v>0</v>
      </c>
    </row>
    <row r="209" spans="1:40" x14ac:dyDescent="0.25">
      <c r="A209" s="99">
        <v>137</v>
      </c>
      <c r="B209" s="99"/>
      <c r="C209" s="99" t="s">
        <v>13655</v>
      </c>
      <c r="D209" s="99"/>
      <c r="E209" s="99" t="s">
        <v>1624</v>
      </c>
      <c r="F209" s="99" t="s">
        <v>1625</v>
      </c>
      <c r="G209" s="99" t="s">
        <v>13695</v>
      </c>
      <c r="H209" s="99">
        <v>0</v>
      </c>
      <c r="I209" s="99">
        <v>0</v>
      </c>
      <c r="J209" s="99">
        <v>0</v>
      </c>
      <c r="K209" s="101" t="str">
        <f t="shared" si="31"/>
        <v>0x0x0</v>
      </c>
      <c r="L209" s="102">
        <f t="shared" si="32"/>
        <v>0</v>
      </c>
      <c r="M209" s="113">
        <f t="shared" si="33"/>
        <v>0</v>
      </c>
      <c r="N209" s="113">
        <f t="shared" si="34"/>
        <v>0</v>
      </c>
      <c r="O209" s="99">
        <v>0</v>
      </c>
      <c r="P209" s="113">
        <f t="shared" si="35"/>
        <v>0</v>
      </c>
      <c r="Q209" s="112">
        <f t="shared" si="36"/>
        <v>0</v>
      </c>
      <c r="R209" s="112" t="str">
        <f t="shared" si="37"/>
        <v>Standard-size</v>
      </c>
      <c r="S209" s="99" t="str">
        <f t="shared" si="38"/>
        <v>Small standard-size</v>
      </c>
      <c r="T209" s="116" t="s">
        <v>13696</v>
      </c>
      <c r="U209" s="116">
        <f t="shared" si="39"/>
        <v>0</v>
      </c>
      <c r="V209" s="116" t="s">
        <v>13583</v>
      </c>
      <c r="W209" s="116" t="s">
        <v>13690</v>
      </c>
      <c r="X209" s="99" t="s">
        <v>13583</v>
      </c>
      <c r="Y209" s="99">
        <v>1</v>
      </c>
      <c r="Z209" s="99">
        <v>1</v>
      </c>
      <c r="AA209" s="99">
        <v>1</v>
      </c>
      <c r="AB209" s="99"/>
      <c r="AC209" s="99"/>
      <c r="AD209" s="107">
        <v>0</v>
      </c>
      <c r="AE209" s="113">
        <f t="shared" si="40"/>
        <v>0</v>
      </c>
      <c r="AF209" s="116">
        <f>-IFERROR(IFERROR(VLOOKUP(ROUNDUP($Q209,0),'FBA FEES'!$L$2:$Q$203,MATCH($S209,'FBA FEES'!$L$2:$Q$2,0),FALSE),VLOOKUP(ROUNDUP($Q209,0),'FBA FEES'!$C$6:$F$123,MATCH($S209,'FBA FEES'!$C$6:$F$6,0),FALSE)),0)</f>
        <v>0</v>
      </c>
      <c r="AG209" s="116">
        <v>-10</v>
      </c>
      <c r="AH209" s="113">
        <f t="shared" si="41"/>
        <v>0</v>
      </c>
      <c r="AI209" s="116">
        <f>-IFERROR(IF($Y209=1,INDEX('[1]REMOVAL FEES'!$A$1:$C$22,MATCH(CONCATENATE("Standard Size",$P209),'[1]REMOVAL FEES'!$A$1:$A$22,0),3),IF($Y209=2,IF($P209&gt;10,(($P209-10)*1.06)+INDEX('[1]REMOVAL FEES'!$E$1:$G$22,MATCH(CONCATENATE("Large bulky, extra-large and special handling items",IF($P209&gt;=11,11,$P209)),'[1]REMOVAL FEES'!$E$1:$E$13,0),3),INDEX('[1]REMOVAL FEES'!$E$1:$G$22,MATCH(CONCATENATE("Large bulky, extra-large and special handling items",IF($P209&gt;=11,11,$P209)),'[1]REMOVAL FEES'!$E$1:$E$13,0),3))))*$AA209,FALSE)</f>
        <v>0</v>
      </c>
      <c r="AJ209" s="107">
        <f t="shared" si="42"/>
        <v>0</v>
      </c>
      <c r="AK209" s="107">
        <v>0</v>
      </c>
      <c r="AL209" s="107">
        <v>0</v>
      </c>
      <c r="AM209" s="107">
        <f t="shared" si="43"/>
        <v>0</v>
      </c>
      <c r="AN209" s="116">
        <f>(-IF($V209="Yes", IF($X209="Yes", VLOOKUP($W209, '[1]Storage Fees'!A:M, 13, FALSE), VLOOKUP($W209, '[1]Storage Fees'!A:M, 10, FALSE)), IF($X209="Yes", VLOOKUP($W209, '[1]Storage Fees'!A:M, 7, FALSE), VLOOKUP($W209, '[1]Storage Fees'!A:M, 4, FALSE))) * U209)*1.5</f>
        <v>0</v>
      </c>
    </row>
    <row r="210" spans="1:40" x14ac:dyDescent="0.25">
      <c r="A210" s="99">
        <v>138</v>
      </c>
      <c r="B210" s="99"/>
      <c r="C210" s="99" t="s">
        <v>13655</v>
      </c>
      <c r="D210" s="99"/>
      <c r="E210" s="99" t="s">
        <v>1624</v>
      </c>
      <c r="F210" s="99" t="s">
        <v>1627</v>
      </c>
      <c r="G210" s="99" t="s">
        <v>13695</v>
      </c>
      <c r="H210" s="99">
        <v>0</v>
      </c>
      <c r="I210" s="99">
        <v>0</v>
      </c>
      <c r="J210" s="99">
        <v>0</v>
      </c>
      <c r="K210" s="101" t="str">
        <f t="shared" si="31"/>
        <v>0x0x0</v>
      </c>
      <c r="L210" s="102">
        <f t="shared" si="32"/>
        <v>0</v>
      </c>
      <c r="M210" s="113">
        <f t="shared" si="33"/>
        <v>0</v>
      </c>
      <c r="N210" s="113">
        <f t="shared" si="34"/>
        <v>0</v>
      </c>
      <c r="O210" s="99">
        <v>0</v>
      </c>
      <c r="P210" s="113">
        <f t="shared" si="35"/>
        <v>0</v>
      </c>
      <c r="Q210" s="112">
        <f t="shared" si="36"/>
        <v>0</v>
      </c>
      <c r="R210" s="112" t="str">
        <f t="shared" si="37"/>
        <v>Standard-size</v>
      </c>
      <c r="S210" s="99" t="str">
        <f t="shared" si="38"/>
        <v>Small standard-size</v>
      </c>
      <c r="T210" s="116" t="s">
        <v>13696</v>
      </c>
      <c r="U210" s="116">
        <f t="shared" si="39"/>
        <v>0</v>
      </c>
      <c r="V210" s="116" t="s">
        <v>13583</v>
      </c>
      <c r="W210" s="116" t="s">
        <v>13690</v>
      </c>
      <c r="X210" s="99" t="s">
        <v>13583</v>
      </c>
      <c r="Y210" s="99">
        <v>1</v>
      </c>
      <c r="Z210" s="99">
        <v>1</v>
      </c>
      <c r="AA210" s="99">
        <v>1</v>
      </c>
      <c r="AB210" s="99"/>
      <c r="AC210" s="99"/>
      <c r="AD210" s="107">
        <v>0</v>
      </c>
      <c r="AE210" s="113">
        <f t="shared" si="40"/>
        <v>0</v>
      </c>
      <c r="AF210" s="116">
        <f>-IFERROR(IFERROR(VLOOKUP(ROUNDUP($Q210,0),'FBA FEES'!$L$2:$Q$203,MATCH($S210,'FBA FEES'!$L$2:$Q$2,0),FALSE),VLOOKUP(ROUNDUP($Q210,0),'FBA FEES'!$C$6:$F$123,MATCH($S210,'FBA FEES'!$C$6:$F$6,0),FALSE)),0)</f>
        <v>0</v>
      </c>
      <c r="AG210" s="116">
        <v>-10</v>
      </c>
      <c r="AH210" s="113">
        <f t="shared" si="41"/>
        <v>0</v>
      </c>
      <c r="AI210" s="116">
        <f>-IFERROR(IF($Y210=1,INDEX('[1]REMOVAL FEES'!$A$1:$C$22,MATCH(CONCATENATE("Standard Size",$P210),'[1]REMOVAL FEES'!$A$1:$A$22,0),3),IF($Y210=2,IF($P210&gt;10,(($P210-10)*1.06)+INDEX('[1]REMOVAL FEES'!$E$1:$G$22,MATCH(CONCATENATE("Large bulky, extra-large and special handling items",IF($P210&gt;=11,11,$P210)),'[1]REMOVAL FEES'!$E$1:$E$13,0),3),INDEX('[1]REMOVAL FEES'!$E$1:$G$22,MATCH(CONCATENATE("Large bulky, extra-large and special handling items",IF($P210&gt;=11,11,$P210)),'[1]REMOVAL FEES'!$E$1:$E$13,0),3))))*$AA210,FALSE)</f>
        <v>0</v>
      </c>
      <c r="AJ210" s="107">
        <f t="shared" si="42"/>
        <v>0</v>
      </c>
      <c r="AK210" s="107">
        <v>0</v>
      </c>
      <c r="AL210" s="107">
        <v>0</v>
      </c>
      <c r="AM210" s="107">
        <f t="shared" si="43"/>
        <v>0</v>
      </c>
      <c r="AN210" s="116">
        <f>(-IF($V210="Yes", IF($X210="Yes", VLOOKUP($W210, '[1]Storage Fees'!A:M, 13, FALSE), VLOOKUP($W210, '[1]Storage Fees'!A:M, 10, FALSE)), IF($X210="Yes", VLOOKUP($W210, '[1]Storage Fees'!A:M, 7, FALSE), VLOOKUP($W210, '[1]Storage Fees'!A:M, 4, FALSE))) * U210)*1.5</f>
        <v>0</v>
      </c>
    </row>
    <row r="211" spans="1:40" x14ac:dyDescent="0.25">
      <c r="A211" s="99">
        <v>139</v>
      </c>
      <c r="B211" s="99"/>
      <c r="C211" s="99" t="s">
        <v>13655</v>
      </c>
      <c r="D211" s="99"/>
      <c r="E211" s="99" t="s">
        <v>1624</v>
      </c>
      <c r="F211" s="99" t="s">
        <v>1629</v>
      </c>
      <c r="G211" s="99" t="s">
        <v>13695</v>
      </c>
      <c r="H211" s="99">
        <v>0</v>
      </c>
      <c r="I211" s="99">
        <v>0</v>
      </c>
      <c r="J211" s="99">
        <v>0</v>
      </c>
      <c r="K211" s="101" t="str">
        <f t="shared" si="31"/>
        <v>0x0x0</v>
      </c>
      <c r="L211" s="102">
        <f t="shared" si="32"/>
        <v>0</v>
      </c>
      <c r="M211" s="113">
        <f t="shared" si="33"/>
        <v>0</v>
      </c>
      <c r="N211" s="113">
        <f t="shared" si="34"/>
        <v>0</v>
      </c>
      <c r="O211" s="99">
        <v>0</v>
      </c>
      <c r="P211" s="113">
        <f t="shared" si="35"/>
        <v>0</v>
      </c>
      <c r="Q211" s="112">
        <f t="shared" si="36"/>
        <v>0</v>
      </c>
      <c r="R211" s="112" t="str">
        <f t="shared" si="37"/>
        <v>Standard-size</v>
      </c>
      <c r="S211" s="99" t="str">
        <f t="shared" si="38"/>
        <v>Small standard-size</v>
      </c>
      <c r="T211" s="116" t="s">
        <v>13696</v>
      </c>
      <c r="U211" s="116">
        <f t="shared" si="39"/>
        <v>0</v>
      </c>
      <c r="V211" s="116" t="s">
        <v>13583</v>
      </c>
      <c r="W211" s="116" t="s">
        <v>13690</v>
      </c>
      <c r="X211" s="99" t="s">
        <v>13583</v>
      </c>
      <c r="Y211" s="99">
        <v>1</v>
      </c>
      <c r="Z211" s="99">
        <v>1</v>
      </c>
      <c r="AA211" s="99">
        <v>1</v>
      </c>
      <c r="AB211" s="99"/>
      <c r="AC211" s="99"/>
      <c r="AD211" s="107">
        <v>0</v>
      </c>
      <c r="AE211" s="113">
        <f t="shared" si="40"/>
        <v>0</v>
      </c>
      <c r="AF211" s="116">
        <f>-IFERROR(IFERROR(VLOOKUP(ROUNDUP($Q211,0),'FBA FEES'!$L$2:$Q$203,MATCH($S211,'FBA FEES'!$L$2:$Q$2,0),FALSE),VLOOKUP(ROUNDUP($Q211,0),'FBA FEES'!$C$6:$F$123,MATCH($S211,'FBA FEES'!$C$6:$F$6,0),FALSE)),0)</f>
        <v>0</v>
      </c>
      <c r="AG211" s="116">
        <v>-10</v>
      </c>
      <c r="AH211" s="113">
        <f t="shared" si="41"/>
        <v>0</v>
      </c>
      <c r="AI211" s="116">
        <f>-IFERROR(IF($Y211=1,INDEX('[1]REMOVAL FEES'!$A$1:$C$22,MATCH(CONCATENATE("Standard Size",$P211),'[1]REMOVAL FEES'!$A$1:$A$22,0),3),IF($Y211=2,IF($P211&gt;10,(($P211-10)*1.06)+INDEX('[1]REMOVAL FEES'!$E$1:$G$22,MATCH(CONCATENATE("Large bulky, extra-large and special handling items",IF($P211&gt;=11,11,$P211)),'[1]REMOVAL FEES'!$E$1:$E$13,0),3),INDEX('[1]REMOVAL FEES'!$E$1:$G$22,MATCH(CONCATENATE("Large bulky, extra-large and special handling items",IF($P211&gt;=11,11,$P211)),'[1]REMOVAL FEES'!$E$1:$E$13,0),3))))*$AA211,FALSE)</f>
        <v>0</v>
      </c>
      <c r="AJ211" s="107">
        <f t="shared" si="42"/>
        <v>0</v>
      </c>
      <c r="AK211" s="107">
        <v>0</v>
      </c>
      <c r="AL211" s="107">
        <v>0</v>
      </c>
      <c r="AM211" s="107">
        <f t="shared" si="43"/>
        <v>0</v>
      </c>
      <c r="AN211" s="116">
        <f>(-IF($V211="Yes", IF($X211="Yes", VLOOKUP($W211, '[1]Storage Fees'!A:M, 13, FALSE), VLOOKUP($W211, '[1]Storage Fees'!A:M, 10, FALSE)), IF($X211="Yes", VLOOKUP($W211, '[1]Storage Fees'!A:M, 7, FALSE), VLOOKUP($W211, '[1]Storage Fees'!A:M, 4, FALSE))) * U211)*1.5</f>
        <v>0</v>
      </c>
    </row>
    <row r="212" spans="1:40" x14ac:dyDescent="0.25">
      <c r="A212" s="99">
        <v>140</v>
      </c>
      <c r="B212" s="99"/>
      <c r="C212" s="99" t="s">
        <v>13655</v>
      </c>
      <c r="D212" s="99"/>
      <c r="E212" s="99" t="s">
        <v>1624</v>
      </c>
      <c r="F212" s="99" t="s">
        <v>1631</v>
      </c>
      <c r="G212" s="99" t="s">
        <v>13695</v>
      </c>
      <c r="H212" s="99">
        <v>0</v>
      </c>
      <c r="I212" s="99">
        <v>0</v>
      </c>
      <c r="J212" s="99">
        <v>0</v>
      </c>
      <c r="K212" s="101" t="str">
        <f t="shared" si="31"/>
        <v>0x0x0</v>
      </c>
      <c r="L212" s="102">
        <f t="shared" si="32"/>
        <v>0</v>
      </c>
      <c r="M212" s="113">
        <f t="shared" si="33"/>
        <v>0</v>
      </c>
      <c r="N212" s="113">
        <f t="shared" si="34"/>
        <v>0</v>
      </c>
      <c r="O212" s="99">
        <v>0</v>
      </c>
      <c r="P212" s="113">
        <f t="shared" si="35"/>
        <v>0</v>
      </c>
      <c r="Q212" s="112">
        <f t="shared" si="36"/>
        <v>0</v>
      </c>
      <c r="R212" s="112" t="str">
        <f t="shared" si="37"/>
        <v>Standard-size</v>
      </c>
      <c r="S212" s="99" t="str">
        <f t="shared" si="38"/>
        <v>Small standard-size</v>
      </c>
      <c r="T212" s="116" t="s">
        <v>13696</v>
      </c>
      <c r="U212" s="116">
        <f t="shared" si="39"/>
        <v>0</v>
      </c>
      <c r="V212" s="116" t="s">
        <v>13583</v>
      </c>
      <c r="W212" s="116" t="s">
        <v>13690</v>
      </c>
      <c r="X212" s="99" t="s">
        <v>13583</v>
      </c>
      <c r="Y212" s="99">
        <v>1</v>
      </c>
      <c r="Z212" s="99">
        <v>1</v>
      </c>
      <c r="AA212" s="99">
        <v>1</v>
      </c>
      <c r="AB212" s="99"/>
      <c r="AC212" s="99"/>
      <c r="AD212" s="107">
        <v>0</v>
      </c>
      <c r="AE212" s="113">
        <f t="shared" si="40"/>
        <v>0</v>
      </c>
      <c r="AF212" s="116">
        <f>-IFERROR(IFERROR(VLOOKUP(ROUNDUP($Q212,0),'FBA FEES'!$L$2:$Q$203,MATCH($S212,'FBA FEES'!$L$2:$Q$2,0),FALSE),VLOOKUP(ROUNDUP($Q212,0),'FBA FEES'!$C$6:$F$123,MATCH($S212,'FBA FEES'!$C$6:$F$6,0),FALSE)),0)</f>
        <v>0</v>
      </c>
      <c r="AG212" s="116">
        <v>-10</v>
      </c>
      <c r="AH212" s="113">
        <f t="shared" si="41"/>
        <v>0</v>
      </c>
      <c r="AI212" s="116">
        <f>-IFERROR(IF($Y212=1,INDEX('[1]REMOVAL FEES'!$A$1:$C$22,MATCH(CONCATENATE("Standard Size",$P212),'[1]REMOVAL FEES'!$A$1:$A$22,0),3),IF($Y212=2,IF($P212&gt;10,(($P212-10)*1.06)+INDEX('[1]REMOVAL FEES'!$E$1:$G$22,MATCH(CONCATENATE("Large bulky, extra-large and special handling items",IF($P212&gt;=11,11,$P212)),'[1]REMOVAL FEES'!$E$1:$E$13,0),3),INDEX('[1]REMOVAL FEES'!$E$1:$G$22,MATCH(CONCATENATE("Large bulky, extra-large and special handling items",IF($P212&gt;=11,11,$P212)),'[1]REMOVAL FEES'!$E$1:$E$13,0),3))))*$AA212,FALSE)</f>
        <v>0</v>
      </c>
      <c r="AJ212" s="107">
        <f t="shared" si="42"/>
        <v>0</v>
      </c>
      <c r="AK212" s="107">
        <v>0</v>
      </c>
      <c r="AL212" s="107">
        <v>0</v>
      </c>
      <c r="AM212" s="107">
        <f t="shared" si="43"/>
        <v>0</v>
      </c>
      <c r="AN212" s="116">
        <f>(-IF($V212="Yes", IF($X212="Yes", VLOOKUP($W212, '[1]Storage Fees'!A:M, 13, FALSE), VLOOKUP($W212, '[1]Storage Fees'!A:M, 10, FALSE)), IF($X212="Yes", VLOOKUP($W212, '[1]Storage Fees'!A:M, 7, FALSE), VLOOKUP($W212, '[1]Storage Fees'!A:M, 4, FALSE))) * U212)*1.5</f>
        <v>0</v>
      </c>
    </row>
    <row r="213" spans="1:40" x14ac:dyDescent="0.25">
      <c r="A213" s="99">
        <v>141</v>
      </c>
      <c r="B213" s="99" t="s">
        <v>55</v>
      </c>
      <c r="C213" s="99"/>
      <c r="D213" s="99"/>
      <c r="E213" s="99" t="s">
        <v>186</v>
      </c>
      <c r="F213" s="99" t="s">
        <v>184</v>
      </c>
      <c r="G213" s="99" t="s">
        <v>13656</v>
      </c>
      <c r="H213" s="99">
        <v>25</v>
      </c>
      <c r="I213" s="99">
        <v>10</v>
      </c>
      <c r="J213" s="99">
        <v>10</v>
      </c>
      <c r="K213" s="101" t="str">
        <f t="shared" si="31"/>
        <v>25x10x10</v>
      </c>
      <c r="L213" s="102">
        <f t="shared" si="32"/>
        <v>17.985611510791365</v>
      </c>
      <c r="M213" s="113">
        <f t="shared" si="33"/>
        <v>17.985611510791365</v>
      </c>
      <c r="N213" s="113">
        <f t="shared" si="34"/>
        <v>18</v>
      </c>
      <c r="O213" s="99">
        <v>13</v>
      </c>
      <c r="P213" s="113">
        <f t="shared" si="35"/>
        <v>18</v>
      </c>
      <c r="Q213" s="112">
        <f t="shared" si="36"/>
        <v>288</v>
      </c>
      <c r="R213" s="112" t="str">
        <f t="shared" si="37"/>
        <v>Oversize</v>
      </c>
      <c r="S213" s="99" t="str">
        <f t="shared" si="38"/>
        <v>Large bulky</v>
      </c>
      <c r="T213" s="116" t="s">
        <v>13692</v>
      </c>
      <c r="U213" s="116">
        <f t="shared" si="39"/>
        <v>1.4467592592592593</v>
      </c>
      <c r="V213" s="116" t="s">
        <v>13583</v>
      </c>
      <c r="W213" s="116" t="s">
        <v>13690</v>
      </c>
      <c r="X213" s="116" t="s">
        <v>13691</v>
      </c>
      <c r="Y213" s="116">
        <v>2</v>
      </c>
      <c r="Z213" s="116">
        <v>3</v>
      </c>
      <c r="AA213" s="116">
        <v>1</v>
      </c>
      <c r="AB213" s="99"/>
      <c r="AC213" s="99"/>
      <c r="AD213" s="107">
        <v>91.1851956571427</v>
      </c>
      <c r="AE213" s="113">
        <f t="shared" si="40"/>
        <v>-13.677779348571404</v>
      </c>
      <c r="AF213" s="116">
        <f>-IFERROR(IFERROR(VLOOKUP(ROUNDUP($Q213,0),'FBA FEES'!$L$2:$Q$203,MATCH($S213,'FBA FEES'!$L$2:$Q$2,0),FALSE),VLOOKUP(ROUNDUP($Q213,0),'FBA FEES'!$C$6:$F$123,MATCH($S213,'FBA FEES'!$C$6:$F$6,0),FALSE)),0)</f>
        <v>-16.07</v>
      </c>
      <c r="AG213" s="116">
        <v>-10</v>
      </c>
      <c r="AH213" s="113">
        <f t="shared" si="41"/>
        <v>-29.747779348571406</v>
      </c>
      <c r="AI213" s="116">
        <f>-IFERROR(IF($Y213=1,INDEX('[1]REMOVAL FEES'!$A$1:$C$22,MATCH(CONCATENATE("Standard Size",$P213),'[1]REMOVAL FEES'!$A$1:$A$22,0),3),IF($Y213=2,IF($P213&gt;10,(($P213-10)*1.06)+INDEX('[1]REMOVAL FEES'!$E$1:$G$22,MATCH(CONCATENATE("Large bulky, extra-large and special handling items",IF($P213&gt;=11,11,$P213)),'[1]REMOVAL FEES'!$E$1:$E$13,0),3),INDEX('[1]REMOVAL FEES'!$E$1:$G$22,MATCH(CONCATENATE("Large bulky, extra-large and special handling items",IF($P213&gt;=11,11,$P213)),'[1]REMOVAL FEES'!$E$1:$E$13,0),3))))*$AA213,FALSE)</f>
        <v>-22.8</v>
      </c>
      <c r="AJ213" s="107">
        <f t="shared" si="42"/>
        <v>-52.54777934857141</v>
      </c>
      <c r="AK213" s="107">
        <v>-23.49091428571429</v>
      </c>
      <c r="AL213" s="107">
        <v>-9.1060994646634708</v>
      </c>
      <c r="AM213" s="107">
        <f t="shared" si="43"/>
        <v>-32.597013750377762</v>
      </c>
      <c r="AN213" s="116">
        <f>(-IF($V213="Yes", IF($X213="Yes", VLOOKUP($W213, '[1]Storage Fees'!A:M, 13, FALSE), VLOOKUP($W213, '[1]Storage Fees'!A:M, 10, FALSE)), IF($X213="Yes", VLOOKUP($W213, '[1]Storage Fees'!A:M, 7, FALSE), VLOOKUP($W213, '[1]Storage Fees'!A:M, 4, FALSE))) * U213)*1.5</f>
        <v>-1.7144097222222223</v>
      </c>
    </row>
    <row r="214" spans="1:40" x14ac:dyDescent="0.25">
      <c r="A214" s="99">
        <v>142</v>
      </c>
      <c r="B214" s="99" t="s">
        <v>55</v>
      </c>
      <c r="C214" s="99"/>
      <c r="D214" s="99"/>
      <c r="E214" s="99" t="s">
        <v>186</v>
      </c>
      <c r="F214" s="99" t="s">
        <v>187</v>
      </c>
      <c r="G214" s="99" t="s">
        <v>13656</v>
      </c>
      <c r="H214" s="99">
        <v>25</v>
      </c>
      <c r="I214" s="99">
        <v>8</v>
      </c>
      <c r="J214" s="99">
        <v>8</v>
      </c>
      <c r="K214" s="101" t="str">
        <f t="shared" si="31"/>
        <v>25x8x8</v>
      </c>
      <c r="L214" s="102">
        <f t="shared" si="32"/>
        <v>11.510791366906474</v>
      </c>
      <c r="M214" s="113">
        <f t="shared" si="33"/>
        <v>11.510791366906474</v>
      </c>
      <c r="N214" s="113">
        <f t="shared" si="34"/>
        <v>12</v>
      </c>
      <c r="O214" s="99">
        <v>6</v>
      </c>
      <c r="P214" s="113">
        <f t="shared" si="35"/>
        <v>12</v>
      </c>
      <c r="Q214" s="112">
        <f t="shared" si="36"/>
        <v>192</v>
      </c>
      <c r="R214" s="112" t="str">
        <f t="shared" si="37"/>
        <v>Oversize</v>
      </c>
      <c r="S214" s="99" t="str">
        <f t="shared" si="38"/>
        <v>Large bulky</v>
      </c>
      <c r="T214" s="116" t="s">
        <v>13692</v>
      </c>
      <c r="U214" s="116">
        <f t="shared" si="39"/>
        <v>0.92592592592592593</v>
      </c>
      <c r="V214" s="116" t="s">
        <v>13583</v>
      </c>
      <c r="W214" s="116" t="s">
        <v>13690</v>
      </c>
      <c r="X214" s="116" t="s">
        <v>13691</v>
      </c>
      <c r="Y214" s="116">
        <v>2</v>
      </c>
      <c r="Z214" s="116">
        <v>3</v>
      </c>
      <c r="AA214" s="116">
        <v>1</v>
      </c>
      <c r="AB214" s="99"/>
      <c r="AC214" s="99"/>
      <c r="AD214" s="107">
        <v>55.651041666666622</v>
      </c>
      <c r="AE214" s="113">
        <f t="shared" si="40"/>
        <v>-8.3476562499999929</v>
      </c>
      <c r="AF214" s="116">
        <f>-IFERROR(IFERROR(VLOOKUP(ROUNDUP($Q214,0),'FBA FEES'!$L$2:$Q$203,MATCH($S214,'FBA FEES'!$L$2:$Q$2,0),FALSE),VLOOKUP(ROUNDUP($Q214,0),'FBA FEES'!$C$6:$F$123,MATCH($S214,'FBA FEES'!$C$6:$F$6,0),FALSE)),0)</f>
        <v>-13.79</v>
      </c>
      <c r="AG214" s="116">
        <v>-10</v>
      </c>
      <c r="AH214" s="113">
        <f t="shared" si="41"/>
        <v>-22.137656249999992</v>
      </c>
      <c r="AI214" s="116">
        <f>-IFERROR(IF($Y214=1,INDEX('[1]REMOVAL FEES'!$A$1:$C$22,MATCH(CONCATENATE("Standard Size",$P214),'[1]REMOVAL FEES'!$A$1:$A$22,0),3),IF($Y214=2,IF($P214&gt;10,(($P214-10)*1.06)+INDEX('[1]REMOVAL FEES'!$E$1:$G$22,MATCH(CONCATENATE("Large bulky, extra-large and special handling items",IF($P214&gt;=11,11,$P214)),'[1]REMOVAL FEES'!$E$1:$E$13,0),3),INDEX('[1]REMOVAL FEES'!$E$1:$G$22,MATCH(CONCATENATE("Large bulky, extra-large and special handling items",IF($P214&gt;=11,11,$P214)),'[1]REMOVAL FEES'!$E$1:$E$13,0),3))))*$AA214,FALSE)</f>
        <v>-16.440000000000001</v>
      </c>
      <c r="AJ214" s="107">
        <f t="shared" si="42"/>
        <v>-38.57765624999999</v>
      </c>
      <c r="AK214" s="107">
        <v>-12.45458333333333</v>
      </c>
      <c r="AL214" s="107">
        <v>-7.551742245370364</v>
      </c>
      <c r="AM214" s="107">
        <f t="shared" si="43"/>
        <v>-20.006325578703695</v>
      </c>
      <c r="AN214" s="116">
        <f>(-IF($V214="Yes", IF($X214="Yes", VLOOKUP($W214, '[1]Storage Fees'!A:M, 13, FALSE), VLOOKUP($W214, '[1]Storage Fees'!A:M, 10, FALSE)), IF($X214="Yes", VLOOKUP($W214, '[1]Storage Fees'!A:M, 7, FALSE), VLOOKUP($W214, '[1]Storage Fees'!A:M, 4, FALSE))) * U214)*1.5</f>
        <v>-1.0972222222222223</v>
      </c>
    </row>
    <row r="215" spans="1:40" x14ac:dyDescent="0.25">
      <c r="A215" s="99">
        <v>143</v>
      </c>
      <c r="B215" s="99" t="s">
        <v>55</v>
      </c>
      <c r="C215" s="99"/>
      <c r="D215" s="99"/>
      <c r="E215" s="99" t="s">
        <v>186</v>
      </c>
      <c r="F215" s="99" t="s">
        <v>189</v>
      </c>
      <c r="G215" s="99" t="s">
        <v>13656</v>
      </c>
      <c r="H215" s="99">
        <v>25</v>
      </c>
      <c r="I215" s="99">
        <v>14</v>
      </c>
      <c r="J215" s="99">
        <v>14</v>
      </c>
      <c r="K215" s="101" t="str">
        <f t="shared" si="31"/>
        <v>25x14x14</v>
      </c>
      <c r="L215" s="102">
        <f t="shared" si="32"/>
        <v>35.251798561151077</v>
      </c>
      <c r="M215" s="113">
        <f t="shared" si="33"/>
        <v>35.251798561151077</v>
      </c>
      <c r="N215" s="113">
        <f t="shared" si="34"/>
        <v>36</v>
      </c>
      <c r="O215" s="99">
        <v>21</v>
      </c>
      <c r="P215" s="113">
        <f t="shared" si="35"/>
        <v>36</v>
      </c>
      <c r="Q215" s="112">
        <f t="shared" si="36"/>
        <v>576</v>
      </c>
      <c r="R215" s="112" t="str">
        <f t="shared" si="37"/>
        <v>Oversize</v>
      </c>
      <c r="S215" s="99" t="str">
        <f t="shared" si="38"/>
        <v>Large bulky</v>
      </c>
      <c r="T215" s="116" t="s">
        <v>13694</v>
      </c>
      <c r="U215" s="116">
        <f t="shared" si="39"/>
        <v>2.8356481481481484</v>
      </c>
      <c r="V215" s="116" t="s">
        <v>13583</v>
      </c>
      <c r="W215" s="116" t="s">
        <v>13690</v>
      </c>
      <c r="X215" s="116" t="s">
        <v>13691</v>
      </c>
      <c r="Y215" s="116">
        <v>2</v>
      </c>
      <c r="Z215" s="116">
        <v>3</v>
      </c>
      <c r="AA215" s="116">
        <v>1</v>
      </c>
      <c r="AB215" s="99"/>
      <c r="AC215" s="99"/>
      <c r="AD215" s="107">
        <v>110.882182539683</v>
      </c>
      <c r="AE215" s="113">
        <f t="shared" si="40"/>
        <v>-16.63232738095245</v>
      </c>
      <c r="AF215" s="116">
        <f>-IFERROR(IFERROR(VLOOKUP(ROUNDUP($Q215,0),'FBA FEES'!$L$2:$Q$203,MATCH($S215,'FBA FEES'!$L$2:$Q$2,0),FALSE),VLOOKUP(ROUNDUP($Q215,0),'FBA FEES'!$C$6:$F$123,MATCH($S215,'FBA FEES'!$C$6:$F$6,0),FALSE)),0)</f>
        <v>-22.91</v>
      </c>
      <c r="AG215" s="116">
        <v>-10</v>
      </c>
      <c r="AH215" s="113">
        <f t="shared" si="41"/>
        <v>-39.54232738095245</v>
      </c>
      <c r="AI215" s="116">
        <f>-IFERROR(IF($Y215=1,INDEX('[1]REMOVAL FEES'!$A$1:$C$22,MATCH(CONCATENATE("Standard Size",$P215),'[1]REMOVAL FEES'!$A$1:$A$22,0),3),IF($Y215=2,IF($P215&gt;10,(($P215-10)*1.06)+INDEX('[1]REMOVAL FEES'!$E$1:$G$22,MATCH(CONCATENATE("Large bulky, extra-large and special handling items",IF($P215&gt;=11,11,$P215)),'[1]REMOVAL FEES'!$E$1:$E$13,0),3),INDEX('[1]REMOVAL FEES'!$E$1:$G$22,MATCH(CONCATENATE("Large bulky, extra-large and special handling items",IF($P215&gt;=11,11,$P215)),'[1]REMOVAL FEES'!$E$1:$E$13,0),3))))*$AA215,FALSE)</f>
        <v>-41.88</v>
      </c>
      <c r="AJ215" s="107">
        <f t="shared" si="42"/>
        <v>-81.422327380952453</v>
      </c>
      <c r="AK215" s="107">
        <v>-27.12333333333331</v>
      </c>
      <c r="AL215" s="107">
        <v>-12.136771882224251</v>
      </c>
      <c r="AM215" s="107">
        <f t="shared" si="43"/>
        <v>-39.260105215557559</v>
      </c>
      <c r="AN215" s="116">
        <f>(-IF($V215="Yes", IF($X215="Yes", VLOOKUP($W215, '[1]Storage Fees'!A:M, 13, FALSE), VLOOKUP($W215, '[1]Storage Fees'!A:M, 10, FALSE)), IF($X215="Yes", VLOOKUP($W215, '[1]Storage Fees'!A:M, 7, FALSE), VLOOKUP($W215, '[1]Storage Fees'!A:M, 4, FALSE))) * U215)*1.5</f>
        <v>-3.3602430555555558</v>
      </c>
    </row>
    <row r="216" spans="1:40" x14ac:dyDescent="0.25">
      <c r="A216" s="99">
        <v>144</v>
      </c>
      <c r="B216" s="99" t="s">
        <v>55</v>
      </c>
      <c r="C216" s="99"/>
      <c r="D216" s="99"/>
      <c r="E216" s="99" t="s">
        <v>186</v>
      </c>
      <c r="F216" s="99" t="s">
        <v>191</v>
      </c>
      <c r="G216" s="99" t="s">
        <v>13656</v>
      </c>
      <c r="H216" s="99">
        <v>25</v>
      </c>
      <c r="I216" s="99">
        <v>8</v>
      </c>
      <c r="J216" s="99">
        <v>8</v>
      </c>
      <c r="K216" s="101" t="str">
        <f t="shared" si="31"/>
        <v>25x8x8</v>
      </c>
      <c r="L216" s="102">
        <f t="shared" si="32"/>
        <v>11.510791366906474</v>
      </c>
      <c r="M216" s="113">
        <f t="shared" si="33"/>
        <v>11.510791366906474</v>
      </c>
      <c r="N216" s="113">
        <f t="shared" si="34"/>
        <v>12</v>
      </c>
      <c r="O216" s="99">
        <v>6</v>
      </c>
      <c r="P216" s="113">
        <f t="shared" si="35"/>
        <v>12</v>
      </c>
      <c r="Q216" s="112">
        <f t="shared" si="36"/>
        <v>192</v>
      </c>
      <c r="R216" s="112" t="str">
        <f t="shared" si="37"/>
        <v>Oversize</v>
      </c>
      <c r="S216" s="99" t="str">
        <f t="shared" si="38"/>
        <v>Large bulky</v>
      </c>
      <c r="T216" s="116" t="s">
        <v>13692</v>
      </c>
      <c r="U216" s="116">
        <f t="shared" si="39"/>
        <v>0.92592592592592593</v>
      </c>
      <c r="V216" s="116" t="s">
        <v>13583</v>
      </c>
      <c r="W216" s="116" t="s">
        <v>13690</v>
      </c>
      <c r="X216" s="116" t="s">
        <v>13691</v>
      </c>
      <c r="Y216" s="116">
        <v>2</v>
      </c>
      <c r="Z216" s="116">
        <v>3</v>
      </c>
      <c r="AA216" s="116">
        <v>1</v>
      </c>
      <c r="AB216" s="99"/>
      <c r="AC216" s="99"/>
      <c r="AD216" s="107">
        <v>44.960168224298982</v>
      </c>
      <c r="AE216" s="113">
        <f t="shared" si="40"/>
        <v>-6.7440252336448472</v>
      </c>
      <c r="AF216" s="116">
        <f>-IFERROR(IFERROR(VLOOKUP(ROUNDUP($Q216,0),'FBA FEES'!$L$2:$Q$203,MATCH($S216,'FBA FEES'!$L$2:$Q$2,0),FALSE),VLOOKUP(ROUNDUP($Q216,0),'FBA FEES'!$C$6:$F$123,MATCH($S216,'FBA FEES'!$C$6:$F$6,0),FALSE)),0)</f>
        <v>-13.79</v>
      </c>
      <c r="AG216" s="116">
        <v>-10</v>
      </c>
      <c r="AH216" s="113">
        <f t="shared" si="41"/>
        <v>-20.534025233644847</v>
      </c>
      <c r="AI216" s="116">
        <f>-IFERROR(IF($Y216=1,INDEX('[1]REMOVAL FEES'!$A$1:$C$22,MATCH(CONCATENATE("Standard Size",$P216),'[1]REMOVAL FEES'!$A$1:$A$22,0),3),IF($Y216=2,IF($P216&gt;10,(($P216-10)*1.06)+INDEX('[1]REMOVAL FEES'!$E$1:$G$22,MATCH(CONCATENATE("Large bulky, extra-large and special handling items",IF($P216&gt;=11,11,$P216)),'[1]REMOVAL FEES'!$E$1:$E$13,0),3),INDEX('[1]REMOVAL FEES'!$E$1:$G$22,MATCH(CONCATENATE("Large bulky, extra-large and special handling items",IF($P216&gt;=11,11,$P216)),'[1]REMOVAL FEES'!$E$1:$E$13,0),3))))*$AA216,FALSE)</f>
        <v>-16.440000000000001</v>
      </c>
      <c r="AJ216" s="107">
        <f t="shared" si="42"/>
        <v>-36.974025233644852</v>
      </c>
      <c r="AK216" s="107">
        <v>-7.7578504672897148</v>
      </c>
      <c r="AL216" s="107">
        <v>-7.2940317200712004</v>
      </c>
      <c r="AM216" s="107">
        <f t="shared" si="43"/>
        <v>-15.051882187360915</v>
      </c>
      <c r="AN216" s="116">
        <f>(-IF($V216="Yes", IF($X216="Yes", VLOOKUP($W216, '[1]Storage Fees'!A:M, 13, FALSE), VLOOKUP($W216, '[1]Storage Fees'!A:M, 10, FALSE)), IF($X216="Yes", VLOOKUP($W216, '[1]Storage Fees'!A:M, 7, FALSE), VLOOKUP($W216, '[1]Storage Fees'!A:M, 4, FALSE))) * U216)*1.5</f>
        <v>-1.0972222222222223</v>
      </c>
    </row>
    <row r="217" spans="1:40" x14ac:dyDescent="0.25">
      <c r="A217" s="99">
        <v>145</v>
      </c>
      <c r="B217" s="99" t="s">
        <v>55</v>
      </c>
      <c r="C217" s="99"/>
      <c r="D217" s="99"/>
      <c r="E217" s="99" t="s">
        <v>186</v>
      </c>
      <c r="F217" s="99" t="s">
        <v>193</v>
      </c>
      <c r="G217" s="99" t="s">
        <v>13656</v>
      </c>
      <c r="H217" s="99">
        <v>26</v>
      </c>
      <c r="I217" s="99">
        <v>10</v>
      </c>
      <c r="J217" s="99">
        <v>10</v>
      </c>
      <c r="K217" s="101" t="str">
        <f t="shared" si="31"/>
        <v>26x10x10</v>
      </c>
      <c r="L217" s="102">
        <f t="shared" si="32"/>
        <v>18.705035971223023</v>
      </c>
      <c r="M217" s="113">
        <f t="shared" si="33"/>
        <v>18.705035971223023</v>
      </c>
      <c r="N217" s="113">
        <f t="shared" si="34"/>
        <v>19</v>
      </c>
      <c r="O217" s="99">
        <v>12</v>
      </c>
      <c r="P217" s="113">
        <f t="shared" si="35"/>
        <v>19</v>
      </c>
      <c r="Q217" s="112">
        <f t="shared" si="36"/>
        <v>304</v>
      </c>
      <c r="R217" s="112" t="str">
        <f t="shared" si="37"/>
        <v>Oversize</v>
      </c>
      <c r="S217" s="99" t="str">
        <f t="shared" si="38"/>
        <v>Large bulky</v>
      </c>
      <c r="T217" s="116" t="s">
        <v>13692</v>
      </c>
      <c r="U217" s="116">
        <f t="shared" si="39"/>
        <v>1.5046296296296295</v>
      </c>
      <c r="V217" s="116" t="s">
        <v>13583</v>
      </c>
      <c r="W217" s="116" t="s">
        <v>13690</v>
      </c>
      <c r="X217" s="116" t="s">
        <v>13691</v>
      </c>
      <c r="Y217" s="116">
        <v>2</v>
      </c>
      <c r="Z217" s="116">
        <v>3</v>
      </c>
      <c r="AA217" s="116">
        <v>1</v>
      </c>
      <c r="AB217" s="99"/>
      <c r="AC217" s="99"/>
      <c r="AD217" s="107">
        <v>60.211176470588292</v>
      </c>
      <c r="AE217" s="113">
        <f t="shared" si="40"/>
        <v>-9.0316764705882431</v>
      </c>
      <c r="AF217" s="116">
        <f>-IFERROR(IFERROR(VLOOKUP(ROUNDUP($Q217,0),'FBA FEES'!$L$2:$Q$203,MATCH($S217,'FBA FEES'!$L$2:$Q$2,0),FALSE),VLOOKUP(ROUNDUP($Q217,0),'FBA FEES'!$C$6:$F$123,MATCH($S217,'FBA FEES'!$C$6:$F$6,0),FALSE)),0)</f>
        <v>-16.45</v>
      </c>
      <c r="AG217" s="116">
        <v>-10</v>
      </c>
      <c r="AH217" s="113">
        <f t="shared" si="41"/>
        <v>-25.481676470588241</v>
      </c>
      <c r="AI217" s="116">
        <f>-IFERROR(IF($Y217=1,INDEX('[1]REMOVAL FEES'!$A$1:$C$22,MATCH(CONCATENATE("Standard Size",$P217),'[1]REMOVAL FEES'!$A$1:$A$22,0),3),IF($Y217=2,IF($P217&gt;10,(($P217-10)*1.06)+INDEX('[1]REMOVAL FEES'!$E$1:$G$22,MATCH(CONCATENATE("Large bulky, extra-large and special handling items",IF($P217&gt;=11,11,$P217)),'[1]REMOVAL FEES'!$E$1:$E$13,0),3),INDEX('[1]REMOVAL FEES'!$E$1:$G$22,MATCH(CONCATENATE("Large bulky, extra-large and special handling items",IF($P217&gt;=11,11,$P217)),'[1]REMOVAL FEES'!$E$1:$E$13,0),3))))*$AA217,FALSE)</f>
        <v>-23.86</v>
      </c>
      <c r="AJ217" s="107">
        <f t="shared" si="42"/>
        <v>-49.34167647058824</v>
      </c>
      <c r="AK217" s="107">
        <v>-15.15130030959746</v>
      </c>
      <c r="AL217" s="107">
        <v>-8.4762936642908482</v>
      </c>
      <c r="AM217" s="107">
        <f t="shared" si="43"/>
        <v>-23.62759397388831</v>
      </c>
      <c r="AN217" s="116">
        <f>(-IF($V217="Yes", IF($X217="Yes", VLOOKUP($W217, '[1]Storage Fees'!A:M, 13, FALSE), VLOOKUP($W217, '[1]Storage Fees'!A:M, 10, FALSE)), IF($X217="Yes", VLOOKUP($W217, '[1]Storage Fees'!A:M, 7, FALSE), VLOOKUP($W217, '[1]Storage Fees'!A:M, 4, FALSE))) * U217)*1.5</f>
        <v>-1.7829861111111112</v>
      </c>
    </row>
    <row r="218" spans="1:40" x14ac:dyDescent="0.25">
      <c r="A218" s="99">
        <v>146</v>
      </c>
      <c r="B218" s="99" t="s">
        <v>55</v>
      </c>
      <c r="C218" s="99"/>
      <c r="D218" s="99"/>
      <c r="E218" s="99" t="s">
        <v>186</v>
      </c>
      <c r="F218" s="99" t="s">
        <v>195</v>
      </c>
      <c r="G218" s="99" t="s">
        <v>13656</v>
      </c>
      <c r="H218" s="99">
        <v>25</v>
      </c>
      <c r="I218" s="99">
        <v>6</v>
      </c>
      <c r="J218" s="99">
        <v>6</v>
      </c>
      <c r="K218" s="101" t="str">
        <f t="shared" si="31"/>
        <v>25x6x6</v>
      </c>
      <c r="L218" s="102">
        <f t="shared" si="32"/>
        <v>6.4748201438848918</v>
      </c>
      <c r="M218" s="113">
        <f t="shared" si="33"/>
        <v>6.4748201438848918</v>
      </c>
      <c r="N218" s="113">
        <f t="shared" si="34"/>
        <v>7</v>
      </c>
      <c r="O218" s="99">
        <v>3</v>
      </c>
      <c r="P218" s="113">
        <f t="shared" si="35"/>
        <v>7</v>
      </c>
      <c r="Q218" s="112">
        <f t="shared" si="36"/>
        <v>112</v>
      </c>
      <c r="R218" s="112" t="str">
        <f t="shared" si="37"/>
        <v>Oversize</v>
      </c>
      <c r="S218" s="99" t="str">
        <f t="shared" si="38"/>
        <v>Large bulky</v>
      </c>
      <c r="T218" s="116" t="s">
        <v>13692</v>
      </c>
      <c r="U218" s="116">
        <f t="shared" si="39"/>
        <v>0.52083333333333337</v>
      </c>
      <c r="V218" s="116" t="s">
        <v>13583</v>
      </c>
      <c r="W218" s="116" t="s">
        <v>13690</v>
      </c>
      <c r="X218" s="116" t="s">
        <v>13691</v>
      </c>
      <c r="Y218" s="116">
        <v>2</v>
      </c>
      <c r="Z218" s="116">
        <v>3</v>
      </c>
      <c r="AA218" s="116">
        <v>1</v>
      </c>
      <c r="AB218" s="99"/>
      <c r="AC218" s="99"/>
      <c r="AD218" s="107">
        <v>35.316897959183542</v>
      </c>
      <c r="AE218" s="113">
        <f t="shared" si="40"/>
        <v>-5.2975346938775312</v>
      </c>
      <c r="AF218" s="118">
        <f>-IFERROR(IFERROR(VLOOKUP(ROUNDUP($Q218,0),'FBA FEES'!$L$2:$Q$203,MATCH($S218,'FBA FEES'!$L$2:$Q$2,0),FALSE),VLOOKUP(ROUNDUP($Q218,0),'FBA FEES'!$C$6:$F$123,MATCH($S218,'FBA FEES'!$C$6:$F$6,0),FALSE)),0)</f>
        <v>-11.89</v>
      </c>
      <c r="AG218" s="116">
        <v>-10</v>
      </c>
      <c r="AH218" s="113">
        <f t="shared" si="41"/>
        <v>-17.187534693877531</v>
      </c>
      <c r="AI218" s="118">
        <f>-IFERROR(IF($Y218=1,INDEX('[1]REMOVAL FEES'!$A$1:$C$22,MATCH(CONCATENATE("Standard Size",$P218),'[1]REMOVAL FEES'!$A$1:$A$22,0),3),IF($Y218=2,IF($P218&gt;10,(($P218-10)*1.06)+INDEX('[1]REMOVAL FEES'!$E$1:$G$22,MATCH(CONCATENATE("Large bulky, extra-large and special handling items",IF($P218&gt;=11,11,$P218)),'[1]REMOVAL FEES'!$E$1:$E$13,0),3),INDEX('[1]REMOVAL FEES'!$E$1:$G$22,MATCH(CONCATENATE("Large bulky, extra-large and special handling items",IF($P218&gt;=11,11,$P218)),'[1]REMOVAL FEES'!$E$1:$E$13,0),3))))*$AA218,FALSE)</f>
        <v>-10.039999999999999</v>
      </c>
      <c r="AJ218" s="107">
        <f t="shared" si="42"/>
        <v>-27.22753469387753</v>
      </c>
      <c r="AK218" s="107">
        <v>-5.6048979591836732</v>
      </c>
      <c r="AL218" s="107">
        <v>-6.4044322167628289</v>
      </c>
      <c r="AM218" s="107">
        <f t="shared" si="43"/>
        <v>-12.009330175946502</v>
      </c>
      <c r="AN218" s="118">
        <f>(-IF($V218="Yes", IF($X218="Yes", VLOOKUP($W218, '[1]Storage Fees'!A:M, 13, FALSE), VLOOKUP($W218, '[1]Storage Fees'!A:M, 10, FALSE)), IF($X218="Yes", VLOOKUP($W218, '[1]Storage Fees'!A:M, 7, FALSE), VLOOKUP($W218, '[1]Storage Fees'!A:M, 4, FALSE))) * U218)*1.5</f>
        <v>-0.6171875</v>
      </c>
    </row>
    <row r="219" spans="1:40" x14ac:dyDescent="0.25">
      <c r="A219" s="99">
        <v>147</v>
      </c>
      <c r="B219" s="99" t="s">
        <v>55</v>
      </c>
      <c r="C219" s="99"/>
      <c r="D219" s="99"/>
      <c r="E219" s="99" t="s">
        <v>186</v>
      </c>
      <c r="F219" s="99" t="s">
        <v>197</v>
      </c>
      <c r="G219" s="99" t="s">
        <v>13656</v>
      </c>
      <c r="H219" s="99">
        <v>25</v>
      </c>
      <c r="I219" s="99">
        <v>8</v>
      </c>
      <c r="J219" s="99">
        <v>8</v>
      </c>
      <c r="K219" s="101" t="str">
        <f t="shared" si="31"/>
        <v>25x8x8</v>
      </c>
      <c r="L219" s="102">
        <f t="shared" si="32"/>
        <v>11.510791366906474</v>
      </c>
      <c r="M219" s="113">
        <f t="shared" si="33"/>
        <v>11.510791366906474</v>
      </c>
      <c r="N219" s="113">
        <f t="shared" si="34"/>
        <v>12</v>
      </c>
      <c r="O219" s="99">
        <v>6</v>
      </c>
      <c r="P219" s="113">
        <f t="shared" si="35"/>
        <v>12</v>
      </c>
      <c r="Q219" s="112">
        <f t="shared" si="36"/>
        <v>192</v>
      </c>
      <c r="R219" s="112" t="str">
        <f t="shared" si="37"/>
        <v>Oversize</v>
      </c>
      <c r="S219" s="99" t="str">
        <f t="shared" si="38"/>
        <v>Large bulky</v>
      </c>
      <c r="T219" s="116" t="s">
        <v>13692</v>
      </c>
      <c r="U219" s="116">
        <f t="shared" si="39"/>
        <v>0.92592592592592593</v>
      </c>
      <c r="V219" s="116" t="s">
        <v>13583</v>
      </c>
      <c r="W219" s="116" t="s">
        <v>13690</v>
      </c>
      <c r="X219" s="116" t="s">
        <v>13691</v>
      </c>
      <c r="Y219" s="116">
        <v>2</v>
      </c>
      <c r="Z219" s="116">
        <v>3</v>
      </c>
      <c r="AA219" s="116">
        <v>1</v>
      </c>
      <c r="AB219" s="99"/>
      <c r="AC219" s="99"/>
      <c r="AD219" s="107">
        <v>51.512325581395203</v>
      </c>
      <c r="AE219" s="113">
        <f t="shared" si="40"/>
        <v>-7.7268488372092801</v>
      </c>
      <c r="AF219" s="116">
        <f>-IFERROR(IFERROR(VLOOKUP(ROUNDUP($Q219,0),'FBA FEES'!$L$2:$Q$203,MATCH($S219,'FBA FEES'!$L$2:$Q$2,0),FALSE),VLOOKUP(ROUNDUP($Q219,0),'FBA FEES'!$C$6:$F$123,MATCH($S219,'FBA FEES'!$C$6:$F$6,0),FALSE)),0)</f>
        <v>-13.79</v>
      </c>
      <c r="AG219" s="116">
        <v>-10</v>
      </c>
      <c r="AH219" s="113">
        <f t="shared" si="41"/>
        <v>-21.516848837209281</v>
      </c>
      <c r="AI219" s="116">
        <f>-IFERROR(IF($Y219=1,INDEX('[1]REMOVAL FEES'!$A$1:$C$22,MATCH(CONCATENATE("Standard Size",$P219),'[1]REMOVAL FEES'!$A$1:$A$22,0),3),IF($Y219=2,IF($P219&gt;10,(($P219-10)*1.06)+INDEX('[1]REMOVAL FEES'!$E$1:$G$22,MATCH(CONCATENATE("Large bulky, extra-large and special handling items",IF($P219&gt;=11,11,$P219)),'[1]REMOVAL FEES'!$E$1:$E$13,0),3),INDEX('[1]REMOVAL FEES'!$E$1:$G$22,MATCH(CONCATENATE("Large bulky, extra-large and special handling items",IF($P219&gt;=11,11,$P219)),'[1]REMOVAL FEES'!$E$1:$E$13,0),3))))*$AA219,FALSE)</f>
        <v>-16.440000000000001</v>
      </c>
      <c r="AJ219" s="107">
        <f t="shared" si="42"/>
        <v>-37.956848837209279</v>
      </c>
      <c r="AK219" s="107">
        <v>-10.299224806201551</v>
      </c>
      <c r="AL219" s="107">
        <v>-6.6313764616914694</v>
      </c>
      <c r="AM219" s="107">
        <f t="shared" si="43"/>
        <v>-16.930601267893021</v>
      </c>
      <c r="AN219" s="116">
        <f>(-IF($V219="Yes", IF($X219="Yes", VLOOKUP($W219, '[1]Storage Fees'!A:M, 13, FALSE), VLOOKUP($W219, '[1]Storage Fees'!A:M, 10, FALSE)), IF($X219="Yes", VLOOKUP($W219, '[1]Storage Fees'!A:M, 7, FALSE), VLOOKUP($W219, '[1]Storage Fees'!A:M, 4, FALSE))) * U219)*1.5</f>
        <v>-1.0972222222222223</v>
      </c>
    </row>
    <row r="220" spans="1:40" x14ac:dyDescent="0.25">
      <c r="A220" s="99">
        <v>148</v>
      </c>
      <c r="B220" s="99"/>
      <c r="C220" s="99" t="s">
        <v>13655</v>
      </c>
      <c r="D220" s="99"/>
      <c r="E220" s="99" t="s">
        <v>1635</v>
      </c>
      <c r="F220" s="99" t="s">
        <v>1633</v>
      </c>
      <c r="G220" s="99" t="s">
        <v>13695</v>
      </c>
      <c r="H220" s="99">
        <v>0</v>
      </c>
      <c r="I220" s="99">
        <v>0</v>
      </c>
      <c r="J220" s="99">
        <v>0</v>
      </c>
      <c r="K220" s="101" t="str">
        <f t="shared" si="31"/>
        <v>0x0x0</v>
      </c>
      <c r="L220" s="102">
        <f t="shared" si="32"/>
        <v>0</v>
      </c>
      <c r="M220" s="113">
        <f t="shared" si="33"/>
        <v>0</v>
      </c>
      <c r="N220" s="113">
        <f t="shared" si="34"/>
        <v>0</v>
      </c>
      <c r="O220" s="99">
        <v>0</v>
      </c>
      <c r="P220" s="113">
        <f t="shared" si="35"/>
        <v>0</v>
      </c>
      <c r="Q220" s="112">
        <f t="shared" si="36"/>
        <v>0</v>
      </c>
      <c r="R220" s="112" t="str">
        <f t="shared" si="37"/>
        <v>Standard-size</v>
      </c>
      <c r="S220" s="99" t="str">
        <f t="shared" si="38"/>
        <v>Small standard-size</v>
      </c>
      <c r="T220" s="116" t="s">
        <v>13696</v>
      </c>
      <c r="U220" s="116">
        <f t="shared" si="39"/>
        <v>0</v>
      </c>
      <c r="V220" s="116" t="s">
        <v>13583</v>
      </c>
      <c r="W220" s="116" t="s">
        <v>13690</v>
      </c>
      <c r="X220" s="99" t="s">
        <v>13583</v>
      </c>
      <c r="Y220" s="99">
        <v>1</v>
      </c>
      <c r="Z220" s="99">
        <v>1</v>
      </c>
      <c r="AA220" s="99">
        <v>1</v>
      </c>
      <c r="AB220" s="99"/>
      <c r="AC220" s="99"/>
      <c r="AD220" s="107">
        <v>0</v>
      </c>
      <c r="AE220" s="113">
        <f t="shared" si="40"/>
        <v>0</v>
      </c>
      <c r="AF220" s="116">
        <f>-IFERROR(IFERROR(VLOOKUP(ROUNDUP($Q220,0),'FBA FEES'!$L$2:$Q$203,MATCH($S220,'FBA FEES'!$L$2:$Q$2,0),FALSE),VLOOKUP(ROUNDUP($Q220,0),'FBA FEES'!$C$6:$F$123,MATCH($S220,'FBA FEES'!$C$6:$F$6,0),FALSE)),0)</f>
        <v>0</v>
      </c>
      <c r="AG220" s="116">
        <v>-10</v>
      </c>
      <c r="AH220" s="113">
        <f t="shared" si="41"/>
        <v>0</v>
      </c>
      <c r="AI220" s="116">
        <f>-IFERROR(IF($Y220=1,INDEX('[1]REMOVAL FEES'!$A$1:$C$22,MATCH(CONCATENATE("Standard Size",$P220),'[1]REMOVAL FEES'!$A$1:$A$22,0),3),IF($Y220=2,IF($P220&gt;10,(($P220-10)*1.06)+INDEX('[1]REMOVAL FEES'!$E$1:$G$22,MATCH(CONCATENATE("Large bulky, extra-large and special handling items",IF($P220&gt;=11,11,$P220)),'[1]REMOVAL FEES'!$E$1:$E$13,0),3),INDEX('[1]REMOVAL FEES'!$E$1:$G$22,MATCH(CONCATENATE("Large bulky, extra-large and special handling items",IF($P220&gt;=11,11,$P220)),'[1]REMOVAL FEES'!$E$1:$E$13,0),3))))*$AA220,FALSE)</f>
        <v>0</v>
      </c>
      <c r="AJ220" s="107">
        <f t="shared" si="42"/>
        <v>0</v>
      </c>
      <c r="AK220" s="107">
        <v>0</v>
      </c>
      <c r="AL220" s="107">
        <v>0</v>
      </c>
      <c r="AM220" s="107">
        <f t="shared" si="43"/>
        <v>0</v>
      </c>
      <c r="AN220" s="116">
        <f>(-IF($V220="Yes", IF($X220="Yes", VLOOKUP($W220, '[1]Storage Fees'!A:M, 13, FALSE), VLOOKUP($W220, '[1]Storage Fees'!A:M, 10, FALSE)), IF($X220="Yes", VLOOKUP($W220, '[1]Storage Fees'!A:M, 7, FALSE), VLOOKUP($W220, '[1]Storage Fees'!A:M, 4, FALSE))) * U220)*1.5</f>
        <v>0</v>
      </c>
    </row>
    <row r="221" spans="1:40" x14ac:dyDescent="0.25">
      <c r="A221" s="99">
        <v>149</v>
      </c>
      <c r="B221" s="99"/>
      <c r="C221" s="99" t="s">
        <v>13655</v>
      </c>
      <c r="D221" s="99"/>
      <c r="E221" s="99" t="s">
        <v>1638</v>
      </c>
      <c r="F221" s="99" t="s">
        <v>1636</v>
      </c>
      <c r="G221" s="99" t="s">
        <v>13695</v>
      </c>
      <c r="H221" s="99">
        <v>0</v>
      </c>
      <c r="I221" s="99">
        <v>0</v>
      </c>
      <c r="J221" s="99">
        <v>0</v>
      </c>
      <c r="K221" s="101" t="str">
        <f t="shared" si="31"/>
        <v>0x0x0</v>
      </c>
      <c r="L221" s="102">
        <f t="shared" si="32"/>
        <v>0</v>
      </c>
      <c r="M221" s="113">
        <f t="shared" si="33"/>
        <v>0</v>
      </c>
      <c r="N221" s="113">
        <f t="shared" si="34"/>
        <v>0</v>
      </c>
      <c r="O221" s="99">
        <v>0</v>
      </c>
      <c r="P221" s="113">
        <f t="shared" si="35"/>
        <v>0</v>
      </c>
      <c r="Q221" s="112">
        <f t="shared" si="36"/>
        <v>0</v>
      </c>
      <c r="R221" s="112" t="str">
        <f t="shared" si="37"/>
        <v>Standard-size</v>
      </c>
      <c r="S221" s="99" t="str">
        <f t="shared" si="38"/>
        <v>Small standard-size</v>
      </c>
      <c r="T221" s="116" t="s">
        <v>13696</v>
      </c>
      <c r="U221" s="116">
        <f t="shared" si="39"/>
        <v>0</v>
      </c>
      <c r="V221" s="116" t="s">
        <v>13583</v>
      </c>
      <c r="W221" s="116" t="s">
        <v>13690</v>
      </c>
      <c r="X221" s="99" t="s">
        <v>13583</v>
      </c>
      <c r="Y221" s="99">
        <v>1</v>
      </c>
      <c r="Z221" s="99">
        <v>1</v>
      </c>
      <c r="AA221" s="99">
        <v>1</v>
      </c>
      <c r="AB221" s="99"/>
      <c r="AC221" s="99"/>
      <c r="AD221" s="107">
        <v>0</v>
      </c>
      <c r="AE221" s="113">
        <f t="shared" si="40"/>
        <v>0</v>
      </c>
      <c r="AF221" s="116">
        <f>-IFERROR(IFERROR(VLOOKUP(ROUNDUP($Q221,0),'FBA FEES'!$L$2:$Q$203,MATCH($S221,'FBA FEES'!$L$2:$Q$2,0),FALSE),VLOOKUP(ROUNDUP($Q221,0),'FBA FEES'!$C$6:$F$123,MATCH($S221,'FBA FEES'!$C$6:$F$6,0),FALSE)),0)</f>
        <v>0</v>
      </c>
      <c r="AG221" s="116">
        <v>-10</v>
      </c>
      <c r="AH221" s="113">
        <f t="shared" si="41"/>
        <v>0</v>
      </c>
      <c r="AI221" s="116">
        <f>-IFERROR(IF($Y221=1,INDEX('[1]REMOVAL FEES'!$A$1:$C$22,MATCH(CONCATENATE("Standard Size",$P221),'[1]REMOVAL FEES'!$A$1:$A$22,0),3),IF($Y221=2,IF($P221&gt;10,(($P221-10)*1.06)+INDEX('[1]REMOVAL FEES'!$E$1:$G$22,MATCH(CONCATENATE("Large bulky, extra-large and special handling items",IF($P221&gt;=11,11,$P221)),'[1]REMOVAL FEES'!$E$1:$E$13,0),3),INDEX('[1]REMOVAL FEES'!$E$1:$G$22,MATCH(CONCATENATE("Large bulky, extra-large and special handling items",IF($P221&gt;=11,11,$P221)),'[1]REMOVAL FEES'!$E$1:$E$13,0),3))))*$AA221,FALSE)</f>
        <v>0</v>
      </c>
      <c r="AJ221" s="107">
        <f t="shared" si="42"/>
        <v>0</v>
      </c>
      <c r="AK221" s="107">
        <v>0</v>
      </c>
      <c r="AL221" s="107">
        <v>0</v>
      </c>
      <c r="AM221" s="107">
        <f t="shared" si="43"/>
        <v>0</v>
      </c>
      <c r="AN221" s="116">
        <f>(-IF($V221="Yes", IF($X221="Yes", VLOOKUP($W221, '[1]Storage Fees'!A:M, 13, FALSE), VLOOKUP($W221, '[1]Storage Fees'!A:M, 10, FALSE)), IF($X221="Yes", VLOOKUP($W221, '[1]Storage Fees'!A:M, 7, FALSE), VLOOKUP($W221, '[1]Storage Fees'!A:M, 4, FALSE))) * U221)*1.5</f>
        <v>0</v>
      </c>
    </row>
    <row r="222" spans="1:40" x14ac:dyDescent="0.25">
      <c r="A222" s="99">
        <v>150</v>
      </c>
      <c r="B222" s="99"/>
      <c r="C222" s="99" t="s">
        <v>13655</v>
      </c>
      <c r="D222" s="99"/>
      <c r="E222" s="99" t="s">
        <v>950</v>
      </c>
      <c r="F222" s="99" t="s">
        <v>1639</v>
      </c>
      <c r="G222" s="99" t="s">
        <v>13695</v>
      </c>
      <c r="H222" s="99">
        <v>0</v>
      </c>
      <c r="I222" s="99">
        <v>0</v>
      </c>
      <c r="J222" s="99">
        <v>0</v>
      </c>
      <c r="K222" s="101" t="str">
        <f t="shared" si="31"/>
        <v>0x0x0</v>
      </c>
      <c r="L222" s="102">
        <f t="shared" si="32"/>
        <v>0</v>
      </c>
      <c r="M222" s="113">
        <f t="shared" si="33"/>
        <v>0</v>
      </c>
      <c r="N222" s="113">
        <f t="shared" si="34"/>
        <v>0</v>
      </c>
      <c r="O222" s="99">
        <v>0</v>
      </c>
      <c r="P222" s="113">
        <f t="shared" si="35"/>
        <v>0</v>
      </c>
      <c r="Q222" s="112">
        <f t="shared" si="36"/>
        <v>0</v>
      </c>
      <c r="R222" s="112" t="str">
        <f t="shared" si="37"/>
        <v>Standard-size</v>
      </c>
      <c r="S222" s="99" t="str">
        <f t="shared" si="38"/>
        <v>Small standard-size</v>
      </c>
      <c r="T222" s="116" t="s">
        <v>13696</v>
      </c>
      <c r="U222" s="116">
        <f t="shared" si="39"/>
        <v>0</v>
      </c>
      <c r="V222" s="116" t="s">
        <v>13583</v>
      </c>
      <c r="W222" s="116" t="s">
        <v>13690</v>
      </c>
      <c r="X222" s="99" t="s">
        <v>13583</v>
      </c>
      <c r="Y222" s="99">
        <v>1</v>
      </c>
      <c r="Z222" s="99">
        <v>1</v>
      </c>
      <c r="AA222" s="99">
        <v>1</v>
      </c>
      <c r="AB222" s="99"/>
      <c r="AC222" s="99"/>
      <c r="AD222" s="107">
        <v>0</v>
      </c>
      <c r="AE222" s="113">
        <f t="shared" si="40"/>
        <v>0</v>
      </c>
      <c r="AF222" s="116">
        <f>-IFERROR(IFERROR(VLOOKUP(ROUNDUP($Q222,0),'FBA FEES'!$L$2:$Q$203,MATCH($S222,'FBA FEES'!$L$2:$Q$2,0),FALSE),VLOOKUP(ROUNDUP($Q222,0),'FBA FEES'!$C$6:$F$123,MATCH($S222,'FBA FEES'!$C$6:$F$6,0),FALSE)),0)</f>
        <v>0</v>
      </c>
      <c r="AG222" s="116">
        <v>-10</v>
      </c>
      <c r="AH222" s="113">
        <f t="shared" si="41"/>
        <v>0</v>
      </c>
      <c r="AI222" s="116">
        <f>-IFERROR(IF($Y222=1,INDEX('[1]REMOVAL FEES'!$A$1:$C$22,MATCH(CONCATENATE("Standard Size",$P222),'[1]REMOVAL FEES'!$A$1:$A$22,0),3),IF($Y222=2,IF($P222&gt;10,(($P222-10)*1.06)+INDEX('[1]REMOVAL FEES'!$E$1:$G$22,MATCH(CONCATENATE("Large bulky, extra-large and special handling items",IF($P222&gt;=11,11,$P222)),'[1]REMOVAL FEES'!$E$1:$E$13,0),3),INDEX('[1]REMOVAL FEES'!$E$1:$G$22,MATCH(CONCATENATE("Large bulky, extra-large and special handling items",IF($P222&gt;=11,11,$P222)),'[1]REMOVAL FEES'!$E$1:$E$13,0),3))))*$AA222,FALSE)</f>
        <v>0</v>
      </c>
      <c r="AJ222" s="107">
        <f t="shared" si="42"/>
        <v>0</v>
      </c>
      <c r="AK222" s="107">
        <v>0</v>
      </c>
      <c r="AL222" s="107">
        <v>0</v>
      </c>
      <c r="AM222" s="107">
        <f t="shared" si="43"/>
        <v>0</v>
      </c>
      <c r="AN222" s="116">
        <f>(-IF($V222="Yes", IF($X222="Yes", VLOOKUP($W222, '[1]Storage Fees'!A:M, 13, FALSE), VLOOKUP($W222, '[1]Storage Fees'!A:M, 10, FALSE)), IF($X222="Yes", VLOOKUP($W222, '[1]Storage Fees'!A:M, 7, FALSE), VLOOKUP($W222, '[1]Storage Fees'!A:M, 4, FALSE))) * U222)*1.5</f>
        <v>0</v>
      </c>
    </row>
    <row r="223" spans="1:40" x14ac:dyDescent="0.25">
      <c r="A223" s="99">
        <v>151</v>
      </c>
      <c r="B223" s="99"/>
      <c r="C223" s="99" t="s">
        <v>13655</v>
      </c>
      <c r="D223" s="99"/>
      <c r="E223" s="99" t="s">
        <v>950</v>
      </c>
      <c r="F223" s="99" t="s">
        <v>1641</v>
      </c>
      <c r="G223" s="99" t="s">
        <v>13695</v>
      </c>
      <c r="H223" s="99">
        <v>0</v>
      </c>
      <c r="I223" s="99">
        <v>0</v>
      </c>
      <c r="J223" s="99">
        <v>0</v>
      </c>
      <c r="K223" s="101" t="str">
        <f t="shared" si="31"/>
        <v>0x0x0</v>
      </c>
      <c r="L223" s="102">
        <f t="shared" si="32"/>
        <v>0</v>
      </c>
      <c r="M223" s="113">
        <f t="shared" si="33"/>
        <v>0</v>
      </c>
      <c r="N223" s="113">
        <f t="shared" si="34"/>
        <v>0</v>
      </c>
      <c r="O223" s="99">
        <v>0</v>
      </c>
      <c r="P223" s="113">
        <f t="shared" si="35"/>
        <v>0</v>
      </c>
      <c r="Q223" s="112">
        <f t="shared" si="36"/>
        <v>0</v>
      </c>
      <c r="R223" s="112" t="str">
        <f t="shared" si="37"/>
        <v>Standard-size</v>
      </c>
      <c r="S223" s="99" t="str">
        <f t="shared" si="38"/>
        <v>Small standard-size</v>
      </c>
      <c r="T223" s="116" t="s">
        <v>13696</v>
      </c>
      <c r="U223" s="116">
        <f t="shared" si="39"/>
        <v>0</v>
      </c>
      <c r="V223" s="116" t="s">
        <v>13583</v>
      </c>
      <c r="W223" s="116" t="s">
        <v>13690</v>
      </c>
      <c r="X223" s="99" t="s">
        <v>13583</v>
      </c>
      <c r="Y223" s="99">
        <v>1</v>
      </c>
      <c r="Z223" s="99">
        <v>1</v>
      </c>
      <c r="AA223" s="99">
        <v>1</v>
      </c>
      <c r="AB223" s="99"/>
      <c r="AC223" s="99"/>
      <c r="AD223" s="107">
        <v>0</v>
      </c>
      <c r="AE223" s="113">
        <f t="shared" si="40"/>
        <v>0</v>
      </c>
      <c r="AF223" s="116">
        <f>-IFERROR(IFERROR(VLOOKUP(ROUNDUP($Q223,0),'FBA FEES'!$L$2:$Q$203,MATCH($S223,'FBA FEES'!$L$2:$Q$2,0),FALSE),VLOOKUP(ROUNDUP($Q223,0),'FBA FEES'!$C$6:$F$123,MATCH($S223,'FBA FEES'!$C$6:$F$6,0),FALSE)),0)</f>
        <v>0</v>
      </c>
      <c r="AG223" s="116">
        <v>-10</v>
      </c>
      <c r="AH223" s="113">
        <f t="shared" si="41"/>
        <v>0</v>
      </c>
      <c r="AI223" s="116">
        <f>-IFERROR(IF($Y223=1,INDEX('[1]REMOVAL FEES'!$A$1:$C$22,MATCH(CONCATENATE("Standard Size",$P223),'[1]REMOVAL FEES'!$A$1:$A$22,0),3),IF($Y223=2,IF($P223&gt;10,(($P223-10)*1.06)+INDEX('[1]REMOVAL FEES'!$E$1:$G$22,MATCH(CONCATENATE("Large bulky, extra-large and special handling items",IF($P223&gt;=11,11,$P223)),'[1]REMOVAL FEES'!$E$1:$E$13,0),3),INDEX('[1]REMOVAL FEES'!$E$1:$G$22,MATCH(CONCATENATE("Large bulky, extra-large and special handling items",IF($P223&gt;=11,11,$P223)),'[1]REMOVAL FEES'!$E$1:$E$13,0),3))))*$AA223,FALSE)</f>
        <v>0</v>
      </c>
      <c r="AJ223" s="107">
        <f t="shared" si="42"/>
        <v>0</v>
      </c>
      <c r="AK223" s="107">
        <v>0</v>
      </c>
      <c r="AL223" s="107">
        <v>0</v>
      </c>
      <c r="AM223" s="107">
        <f t="shared" si="43"/>
        <v>0</v>
      </c>
      <c r="AN223" s="116">
        <f>(-IF($V223="Yes", IF($X223="Yes", VLOOKUP($W223, '[1]Storage Fees'!A:M, 13, FALSE), VLOOKUP($W223, '[1]Storage Fees'!A:M, 10, FALSE)), IF($X223="Yes", VLOOKUP($W223, '[1]Storage Fees'!A:M, 7, FALSE), VLOOKUP($W223, '[1]Storage Fees'!A:M, 4, FALSE))) * U223)*1.5</f>
        <v>0</v>
      </c>
    </row>
    <row r="224" spans="1:40" x14ac:dyDescent="0.25">
      <c r="A224" s="99">
        <v>152</v>
      </c>
      <c r="B224" s="99" t="s">
        <v>13702</v>
      </c>
      <c r="C224" s="99" t="s">
        <v>13655</v>
      </c>
      <c r="D224" s="99" t="s">
        <v>782</v>
      </c>
      <c r="E224" s="99" t="s">
        <v>783</v>
      </c>
      <c r="F224" s="99" t="s">
        <v>780</v>
      </c>
      <c r="G224" s="99" t="s">
        <v>13656</v>
      </c>
      <c r="H224" s="99">
        <v>13</v>
      </c>
      <c r="I224" s="99">
        <v>3</v>
      </c>
      <c r="J224" s="99">
        <v>2</v>
      </c>
      <c r="K224" s="101" t="str">
        <f t="shared" si="31"/>
        <v>13x3x2</v>
      </c>
      <c r="L224" s="102">
        <f t="shared" si="32"/>
        <v>0.5611510791366906</v>
      </c>
      <c r="M224" s="113">
        <f t="shared" si="33"/>
        <v>0.5611510791366906</v>
      </c>
      <c r="N224" s="113">
        <f t="shared" si="34"/>
        <v>0.75</v>
      </c>
      <c r="O224" s="99">
        <v>2</v>
      </c>
      <c r="P224" s="113">
        <f t="shared" si="35"/>
        <v>2</v>
      </c>
      <c r="Q224" s="112">
        <f t="shared" si="36"/>
        <v>32</v>
      </c>
      <c r="R224" s="112" t="str">
        <f t="shared" si="37"/>
        <v>Standard-size</v>
      </c>
      <c r="S224" s="99" t="str">
        <f t="shared" si="38"/>
        <v>Large standard-size</v>
      </c>
      <c r="T224" s="116" t="s">
        <v>13697</v>
      </c>
      <c r="U224" s="116">
        <f t="shared" si="39"/>
        <v>4.5138888888888888E-2</v>
      </c>
      <c r="V224" s="116" t="s">
        <v>13583</v>
      </c>
      <c r="W224" s="116" t="s">
        <v>13690</v>
      </c>
      <c r="X224" s="99" t="s">
        <v>13583</v>
      </c>
      <c r="Y224" s="99">
        <v>1</v>
      </c>
      <c r="Z224" s="99">
        <v>2</v>
      </c>
      <c r="AA224" s="99">
        <v>1</v>
      </c>
      <c r="AB224" s="99"/>
      <c r="AC224" s="99"/>
      <c r="AD224" s="107">
        <v>25.814117647058829</v>
      </c>
      <c r="AE224" s="113">
        <f t="shared" si="40"/>
        <v>-3.8721176470588241</v>
      </c>
      <c r="AF224" s="116">
        <f>-IFERROR(IFERROR(VLOOKUP(ROUNDUP($Q224,0),'FBA FEES'!$L$2:$Q$203,MATCH($S224,'FBA FEES'!$L$2:$Q$2,0),FALSE),VLOOKUP(ROUNDUP($Q224,0),'FBA FEES'!$C$6:$F$123,MATCH($S224,'FBA FEES'!$C$6:$F$6,0),FALSE)),0)</f>
        <v>-5.77</v>
      </c>
      <c r="AG224" s="116">
        <v>-10</v>
      </c>
      <c r="AH224" s="113">
        <f t="shared" si="41"/>
        <v>-9.6421176470588232</v>
      </c>
      <c r="AI224" s="116">
        <f>-IFERROR(IF($Y224=1,INDEX('[1]REMOVAL FEES'!$A$1:$C$22,MATCH(CONCATENATE("Standard Size",$P224),'[1]REMOVAL FEES'!$A$1:$A$22,0),3),IF($Y224=2,IF($P224&gt;10,(($P224-10)*1.06)+INDEX('[1]REMOVAL FEES'!$E$1:$G$22,MATCH(CONCATENATE("Large bulky, extra-large and special handling items",IF($P224&gt;=11,11,$P224)),'[1]REMOVAL FEES'!$E$1:$E$13,0),3),INDEX('[1]REMOVAL FEES'!$E$1:$G$22,MATCH(CONCATENATE("Large bulky, extra-large and special handling items",IF($P224&gt;=11,11,$P224)),'[1]REMOVAL FEES'!$E$1:$E$13,0),3))))*$AA224,FALSE)</f>
        <v>-2.27</v>
      </c>
      <c r="AJ224" s="107">
        <f t="shared" si="42"/>
        <v>-11.912117647058823</v>
      </c>
      <c r="AK224" s="107">
        <v>-8.5052941176470611</v>
      </c>
      <c r="AL224" s="107">
        <v>-0.64089546053470481</v>
      </c>
      <c r="AM224" s="107">
        <f t="shared" si="43"/>
        <v>-9.1461895781817653</v>
      </c>
      <c r="AN224" s="116">
        <f>(-IF($V224="Yes", IF($X224="Yes", VLOOKUP($W224, '[1]Storage Fees'!A:M, 13, FALSE), VLOOKUP($W224, '[1]Storage Fees'!A:M, 10, FALSE)), IF($X224="Yes", VLOOKUP($W224, '[1]Storage Fees'!A:M, 7, FALSE), VLOOKUP($W224, '[1]Storage Fees'!A:M, 4, FALSE))) * U224)*1.5</f>
        <v>-8.2604166666666659E-2</v>
      </c>
    </row>
    <row r="225" spans="1:40" x14ac:dyDescent="0.25">
      <c r="A225" s="99">
        <v>153</v>
      </c>
      <c r="B225" s="99" t="s">
        <v>13702</v>
      </c>
      <c r="C225" s="99" t="s">
        <v>13655</v>
      </c>
      <c r="D225" s="99" t="s">
        <v>782</v>
      </c>
      <c r="E225" s="99" t="s">
        <v>783</v>
      </c>
      <c r="F225" s="99" t="s">
        <v>785</v>
      </c>
      <c r="G225" s="99" t="s">
        <v>13656</v>
      </c>
      <c r="H225" s="99">
        <v>17</v>
      </c>
      <c r="I225" s="99">
        <v>3</v>
      </c>
      <c r="J225" s="99">
        <v>2</v>
      </c>
      <c r="K225" s="101" t="str">
        <f t="shared" si="31"/>
        <v>17x3x2</v>
      </c>
      <c r="L225" s="102">
        <f t="shared" si="32"/>
        <v>0.73381294964028776</v>
      </c>
      <c r="M225" s="113">
        <f t="shared" si="33"/>
        <v>0.73381294964028776</v>
      </c>
      <c r="N225" s="113">
        <f t="shared" si="34"/>
        <v>0.75</v>
      </c>
      <c r="O225" s="99">
        <v>2</v>
      </c>
      <c r="P225" s="113">
        <f t="shared" si="35"/>
        <v>2</v>
      </c>
      <c r="Q225" s="112">
        <f t="shared" si="36"/>
        <v>32</v>
      </c>
      <c r="R225" s="112" t="str">
        <f t="shared" si="37"/>
        <v>Standard-size</v>
      </c>
      <c r="S225" s="99" t="str">
        <f t="shared" si="38"/>
        <v>Large standard-size</v>
      </c>
      <c r="T225" s="116" t="s">
        <v>13697</v>
      </c>
      <c r="U225" s="116">
        <f t="shared" si="39"/>
        <v>5.9027777777777776E-2</v>
      </c>
      <c r="V225" s="116" t="s">
        <v>13583</v>
      </c>
      <c r="W225" s="116" t="s">
        <v>13690</v>
      </c>
      <c r="X225" s="99" t="s">
        <v>13583</v>
      </c>
      <c r="Y225" s="99">
        <v>1</v>
      </c>
      <c r="Z225" s="99">
        <v>2</v>
      </c>
      <c r="AA225" s="99">
        <v>1</v>
      </c>
      <c r="AB225" s="99"/>
      <c r="AC225" s="99"/>
      <c r="AD225" s="107">
        <v>0</v>
      </c>
      <c r="AE225" s="113">
        <f t="shared" si="40"/>
        <v>0</v>
      </c>
      <c r="AF225" s="116">
        <f>-IFERROR(IFERROR(VLOOKUP(ROUNDUP($Q225,0),'FBA FEES'!$L$2:$Q$203,MATCH($S225,'FBA FEES'!$L$2:$Q$2,0),FALSE),VLOOKUP(ROUNDUP($Q225,0),'FBA FEES'!$C$6:$F$123,MATCH($S225,'FBA FEES'!$C$6:$F$6,0),FALSE)),0)</f>
        <v>-5.77</v>
      </c>
      <c r="AG225" s="116">
        <v>-10</v>
      </c>
      <c r="AH225" s="113">
        <f t="shared" si="41"/>
        <v>-5.77</v>
      </c>
      <c r="AI225" s="116">
        <f>-IFERROR(IF($Y225=1,INDEX('[1]REMOVAL FEES'!$A$1:$C$22,MATCH(CONCATENATE("Standard Size",$P225),'[1]REMOVAL FEES'!$A$1:$A$22,0),3),IF($Y225=2,IF($P225&gt;10,(($P225-10)*1.06)+INDEX('[1]REMOVAL FEES'!$E$1:$G$22,MATCH(CONCATENATE("Large bulky, extra-large and special handling items",IF($P225&gt;=11,11,$P225)),'[1]REMOVAL FEES'!$E$1:$E$13,0),3),INDEX('[1]REMOVAL FEES'!$E$1:$G$22,MATCH(CONCATENATE("Large bulky, extra-large and special handling items",IF($P225&gt;=11,11,$P225)),'[1]REMOVAL FEES'!$E$1:$E$13,0),3))))*$AA225,FALSE)</f>
        <v>-2.27</v>
      </c>
      <c r="AJ225" s="107">
        <f t="shared" si="42"/>
        <v>-8.0399999999999991</v>
      </c>
      <c r="AK225" s="107">
        <v>0</v>
      </c>
      <c r="AL225" s="107">
        <v>0</v>
      </c>
      <c r="AM225" s="107">
        <f t="shared" si="43"/>
        <v>0</v>
      </c>
      <c r="AN225" s="116">
        <f>(-IF($V225="Yes", IF($X225="Yes", VLOOKUP($W225, '[1]Storage Fees'!A:M, 13, FALSE), VLOOKUP($W225, '[1]Storage Fees'!A:M, 10, FALSE)), IF($X225="Yes", VLOOKUP($W225, '[1]Storage Fees'!A:M, 7, FALSE), VLOOKUP($W225, '[1]Storage Fees'!A:M, 4, FALSE))) * U225)*1.5</f>
        <v>-0.10802083333333334</v>
      </c>
    </row>
    <row r="226" spans="1:40" x14ac:dyDescent="0.25">
      <c r="A226" s="99">
        <v>154</v>
      </c>
      <c r="B226" s="99" t="s">
        <v>13702</v>
      </c>
      <c r="C226" s="99" t="s">
        <v>13655</v>
      </c>
      <c r="D226" s="99" t="s">
        <v>782</v>
      </c>
      <c r="E226" s="99" t="s">
        <v>783</v>
      </c>
      <c r="F226" s="99" t="s">
        <v>787</v>
      </c>
      <c r="G226" s="99" t="s">
        <v>13656</v>
      </c>
      <c r="H226" s="99">
        <v>17</v>
      </c>
      <c r="I226" s="99">
        <v>3</v>
      </c>
      <c r="J226" s="99">
        <v>2</v>
      </c>
      <c r="K226" s="101" t="str">
        <f t="shared" si="31"/>
        <v>17x3x2</v>
      </c>
      <c r="L226" s="102">
        <f t="shared" si="32"/>
        <v>0.73381294964028776</v>
      </c>
      <c r="M226" s="113">
        <f t="shared" si="33"/>
        <v>0.73381294964028776</v>
      </c>
      <c r="N226" s="113">
        <f t="shared" si="34"/>
        <v>0.75</v>
      </c>
      <c r="O226" s="99">
        <v>2</v>
      </c>
      <c r="P226" s="113">
        <f t="shared" si="35"/>
        <v>2</v>
      </c>
      <c r="Q226" s="112">
        <f t="shared" si="36"/>
        <v>32</v>
      </c>
      <c r="R226" s="112" t="str">
        <f t="shared" si="37"/>
        <v>Standard-size</v>
      </c>
      <c r="S226" s="99" t="str">
        <f t="shared" si="38"/>
        <v>Large standard-size</v>
      </c>
      <c r="T226" s="116" t="s">
        <v>13697</v>
      </c>
      <c r="U226" s="116">
        <f t="shared" si="39"/>
        <v>5.9027777777777776E-2</v>
      </c>
      <c r="V226" s="116" t="s">
        <v>13583</v>
      </c>
      <c r="W226" s="116" t="s">
        <v>13690</v>
      </c>
      <c r="X226" s="99" t="s">
        <v>13583</v>
      </c>
      <c r="Y226" s="99">
        <v>1</v>
      </c>
      <c r="Z226" s="99">
        <v>2</v>
      </c>
      <c r="AA226" s="99">
        <v>1</v>
      </c>
      <c r="AB226" s="99"/>
      <c r="AC226" s="99"/>
      <c r="AD226" s="107">
        <v>0</v>
      </c>
      <c r="AE226" s="113">
        <f t="shared" si="40"/>
        <v>0</v>
      </c>
      <c r="AF226" s="116">
        <f>-IFERROR(IFERROR(VLOOKUP(ROUNDUP($Q226,0),'FBA FEES'!$L$2:$Q$203,MATCH($S226,'FBA FEES'!$L$2:$Q$2,0),FALSE),VLOOKUP(ROUNDUP($Q226,0),'FBA FEES'!$C$6:$F$123,MATCH($S226,'FBA FEES'!$C$6:$F$6,0),FALSE)),0)</f>
        <v>-5.77</v>
      </c>
      <c r="AG226" s="116">
        <v>-10</v>
      </c>
      <c r="AH226" s="113">
        <f t="shared" si="41"/>
        <v>-5.77</v>
      </c>
      <c r="AI226" s="116">
        <f>-IFERROR(IF($Y226=1,INDEX('[1]REMOVAL FEES'!$A$1:$C$22,MATCH(CONCATENATE("Standard Size",$P226),'[1]REMOVAL FEES'!$A$1:$A$22,0),3),IF($Y226=2,IF($P226&gt;10,(($P226-10)*1.06)+INDEX('[1]REMOVAL FEES'!$E$1:$G$22,MATCH(CONCATENATE("Large bulky, extra-large and special handling items",IF($P226&gt;=11,11,$P226)),'[1]REMOVAL FEES'!$E$1:$E$13,0),3),INDEX('[1]REMOVAL FEES'!$E$1:$G$22,MATCH(CONCATENATE("Large bulky, extra-large and special handling items",IF($P226&gt;=11,11,$P226)),'[1]REMOVAL FEES'!$E$1:$E$13,0),3))))*$AA226,FALSE)</f>
        <v>-2.27</v>
      </c>
      <c r="AJ226" s="107">
        <f t="shared" si="42"/>
        <v>-8.0399999999999991</v>
      </c>
      <c r="AK226" s="107">
        <v>0</v>
      </c>
      <c r="AL226" s="107">
        <v>0</v>
      </c>
      <c r="AM226" s="107">
        <f t="shared" si="43"/>
        <v>0</v>
      </c>
      <c r="AN226" s="116">
        <f>(-IF($V226="Yes", IF($X226="Yes", VLOOKUP($W226, '[1]Storage Fees'!A:M, 13, FALSE), VLOOKUP($W226, '[1]Storage Fees'!A:M, 10, FALSE)), IF($X226="Yes", VLOOKUP($W226, '[1]Storage Fees'!A:M, 7, FALSE), VLOOKUP($W226, '[1]Storage Fees'!A:M, 4, FALSE))) * U226)*1.5</f>
        <v>-0.10802083333333334</v>
      </c>
    </row>
    <row r="227" spans="1:40" x14ac:dyDescent="0.25">
      <c r="A227" s="99">
        <v>155</v>
      </c>
      <c r="B227" s="99" t="s">
        <v>13702</v>
      </c>
      <c r="C227" s="99" t="s">
        <v>13655</v>
      </c>
      <c r="D227" s="99" t="s">
        <v>782</v>
      </c>
      <c r="E227" s="99" t="s">
        <v>783</v>
      </c>
      <c r="F227" s="99" t="s">
        <v>790</v>
      </c>
      <c r="G227" s="99" t="s">
        <v>13656</v>
      </c>
      <c r="H227" s="99">
        <v>16</v>
      </c>
      <c r="I227" s="99">
        <v>3</v>
      </c>
      <c r="J227" s="99">
        <v>2</v>
      </c>
      <c r="K227" s="101" t="str">
        <f t="shared" si="31"/>
        <v>16x3x2</v>
      </c>
      <c r="L227" s="102">
        <f t="shared" si="32"/>
        <v>0.69064748201438853</v>
      </c>
      <c r="M227" s="113">
        <f t="shared" si="33"/>
        <v>0.69064748201438853</v>
      </c>
      <c r="N227" s="113">
        <f t="shared" si="34"/>
        <v>0.75</v>
      </c>
      <c r="O227" s="99">
        <v>2.25</v>
      </c>
      <c r="P227" s="113">
        <f t="shared" si="35"/>
        <v>3</v>
      </c>
      <c r="Q227" s="112">
        <f t="shared" si="36"/>
        <v>48</v>
      </c>
      <c r="R227" s="112" t="str">
        <f t="shared" si="37"/>
        <v>Standard-size</v>
      </c>
      <c r="S227" s="99" t="str">
        <f t="shared" si="38"/>
        <v>Large standard-size</v>
      </c>
      <c r="T227" s="116" t="s">
        <v>13701</v>
      </c>
      <c r="U227" s="116">
        <f t="shared" si="39"/>
        <v>5.5555555555555552E-2</v>
      </c>
      <c r="V227" s="116" t="s">
        <v>13583</v>
      </c>
      <c r="W227" s="116" t="s">
        <v>13690</v>
      </c>
      <c r="X227" s="99" t="s">
        <v>13583</v>
      </c>
      <c r="Y227" s="99">
        <v>1</v>
      </c>
      <c r="Z227" s="99">
        <v>2</v>
      </c>
      <c r="AA227" s="99">
        <v>1</v>
      </c>
      <c r="AB227" s="99"/>
      <c r="AC227" s="99"/>
      <c r="AD227" s="107">
        <v>28.913333333333341</v>
      </c>
      <c r="AE227" s="113">
        <f t="shared" si="40"/>
        <v>-4.3370000000000006</v>
      </c>
      <c r="AF227" s="116">
        <f>-IFERROR(IFERROR(VLOOKUP(ROUNDUP($Q227,0),'FBA FEES'!$L$2:$Q$203,MATCH($S227,'FBA FEES'!$L$2:$Q$2,0),FALSE),VLOOKUP(ROUNDUP($Q227,0),'FBA FEES'!$C$6:$F$123,MATCH($S227,'FBA FEES'!$C$6:$F$6,0),FALSE)),0)</f>
        <v>-6.62</v>
      </c>
      <c r="AG227" s="116">
        <v>-10</v>
      </c>
      <c r="AH227" s="113">
        <f t="shared" si="41"/>
        <v>-10.957000000000001</v>
      </c>
      <c r="AI227" s="116">
        <f>-IFERROR(IF($Y227=1,INDEX('[1]REMOVAL FEES'!$A$1:$C$22,MATCH(CONCATENATE("Standard Size",$P227),'[1]REMOVAL FEES'!$A$1:$A$22,0),3),IF($Y227=2,IF($P227&gt;10,(($P227-10)*1.06)+INDEX('[1]REMOVAL FEES'!$E$1:$G$22,MATCH(CONCATENATE("Large bulky, extra-large and special handling items",IF($P227&gt;=11,11,$P227)),'[1]REMOVAL FEES'!$E$1:$E$13,0),3),INDEX('[1]REMOVAL FEES'!$E$1:$G$22,MATCH(CONCATENATE("Large bulky, extra-large and special handling items",IF($P227&gt;=11,11,$P227)),'[1]REMOVAL FEES'!$E$1:$E$13,0),3))))*$AA227,FALSE)</f>
        <v>-3.95</v>
      </c>
      <c r="AJ227" s="107">
        <f t="shared" si="42"/>
        <v>-14.907</v>
      </c>
      <c r="AK227" s="107">
        <v>-6.9900000000000011</v>
      </c>
      <c r="AL227" s="107">
        <v>-0.50250000000000006</v>
      </c>
      <c r="AM227" s="107">
        <f t="shared" si="43"/>
        <v>-7.4925000000000015</v>
      </c>
      <c r="AN227" s="116">
        <f>(-IF($V227="Yes", IF($X227="Yes", VLOOKUP($W227, '[1]Storage Fees'!A:M, 13, FALSE), VLOOKUP($W227, '[1]Storage Fees'!A:M, 10, FALSE)), IF($X227="Yes", VLOOKUP($W227, '[1]Storage Fees'!A:M, 7, FALSE), VLOOKUP($W227, '[1]Storage Fees'!A:M, 4, FALSE))) * U227)*1.5</f>
        <v>-0.10166666666666666</v>
      </c>
    </row>
    <row r="228" spans="1:40" x14ac:dyDescent="0.25">
      <c r="A228" s="99">
        <v>156</v>
      </c>
      <c r="B228" s="99"/>
      <c r="C228" s="99" t="s">
        <v>13655</v>
      </c>
      <c r="D228" s="99"/>
      <c r="E228" s="99" t="s">
        <v>783</v>
      </c>
      <c r="F228" s="99" t="s">
        <v>1643</v>
      </c>
      <c r="G228" s="99" t="s">
        <v>13695</v>
      </c>
      <c r="H228" s="99">
        <v>0</v>
      </c>
      <c r="I228" s="99">
        <v>0</v>
      </c>
      <c r="J228" s="99">
        <v>0</v>
      </c>
      <c r="K228" s="101" t="str">
        <f t="shared" si="31"/>
        <v>0x0x0</v>
      </c>
      <c r="L228" s="102">
        <f t="shared" si="32"/>
        <v>0</v>
      </c>
      <c r="M228" s="113">
        <f t="shared" si="33"/>
        <v>0</v>
      </c>
      <c r="N228" s="113">
        <f t="shared" si="34"/>
        <v>0</v>
      </c>
      <c r="O228" s="99">
        <v>0</v>
      </c>
      <c r="P228" s="113">
        <f t="shared" si="35"/>
        <v>0</v>
      </c>
      <c r="Q228" s="112">
        <f t="shared" si="36"/>
        <v>0</v>
      </c>
      <c r="R228" s="112" t="str">
        <f t="shared" si="37"/>
        <v>Standard-size</v>
      </c>
      <c r="S228" s="99" t="str">
        <f t="shared" si="38"/>
        <v>Small standard-size</v>
      </c>
      <c r="T228" s="116" t="s">
        <v>13696</v>
      </c>
      <c r="U228" s="116">
        <f t="shared" si="39"/>
        <v>0</v>
      </c>
      <c r="V228" s="116" t="s">
        <v>13583</v>
      </c>
      <c r="W228" s="116" t="s">
        <v>13690</v>
      </c>
      <c r="X228" s="99" t="s">
        <v>13583</v>
      </c>
      <c r="Y228" s="99">
        <v>1</v>
      </c>
      <c r="Z228" s="99">
        <v>1</v>
      </c>
      <c r="AA228" s="99">
        <v>1</v>
      </c>
      <c r="AB228" s="99"/>
      <c r="AC228" s="99"/>
      <c r="AD228" s="107">
        <v>0</v>
      </c>
      <c r="AE228" s="113">
        <f t="shared" si="40"/>
        <v>0</v>
      </c>
      <c r="AF228" s="116">
        <f>-IFERROR(IFERROR(VLOOKUP(ROUNDUP($Q228,0),'FBA FEES'!$L$2:$Q$203,MATCH($S228,'FBA FEES'!$L$2:$Q$2,0),FALSE),VLOOKUP(ROUNDUP($Q228,0),'FBA FEES'!$C$6:$F$123,MATCH($S228,'FBA FEES'!$C$6:$F$6,0),FALSE)),0)</f>
        <v>0</v>
      </c>
      <c r="AG228" s="116">
        <v>-10</v>
      </c>
      <c r="AH228" s="113">
        <f t="shared" si="41"/>
        <v>0</v>
      </c>
      <c r="AI228" s="116">
        <f>-IFERROR(IF($Y228=1,INDEX('[1]REMOVAL FEES'!$A$1:$C$22,MATCH(CONCATENATE("Standard Size",$P228),'[1]REMOVAL FEES'!$A$1:$A$22,0),3),IF($Y228=2,IF($P228&gt;10,(($P228-10)*1.06)+INDEX('[1]REMOVAL FEES'!$E$1:$G$22,MATCH(CONCATENATE("Large bulky, extra-large and special handling items",IF($P228&gt;=11,11,$P228)),'[1]REMOVAL FEES'!$E$1:$E$13,0),3),INDEX('[1]REMOVAL FEES'!$E$1:$G$22,MATCH(CONCATENATE("Large bulky, extra-large and special handling items",IF($P228&gt;=11,11,$P228)),'[1]REMOVAL FEES'!$E$1:$E$13,0),3))))*$AA228,FALSE)</f>
        <v>0</v>
      </c>
      <c r="AJ228" s="107">
        <f t="shared" si="42"/>
        <v>0</v>
      </c>
      <c r="AK228" s="107">
        <v>0</v>
      </c>
      <c r="AL228" s="107">
        <v>0</v>
      </c>
      <c r="AM228" s="107">
        <f t="shared" si="43"/>
        <v>0</v>
      </c>
      <c r="AN228" s="116">
        <f>(-IF($V228="Yes", IF($X228="Yes", VLOOKUP($W228, '[1]Storage Fees'!A:M, 13, FALSE), VLOOKUP($W228, '[1]Storage Fees'!A:M, 10, FALSE)), IF($X228="Yes", VLOOKUP($W228, '[1]Storage Fees'!A:M, 7, FALSE), VLOOKUP($W228, '[1]Storage Fees'!A:M, 4, FALSE))) * U228)*1.5</f>
        <v>0</v>
      </c>
    </row>
    <row r="229" spans="1:40" x14ac:dyDescent="0.25">
      <c r="A229" s="99">
        <v>157</v>
      </c>
      <c r="B229" s="99" t="s">
        <v>13702</v>
      </c>
      <c r="C229" s="99" t="s">
        <v>13655</v>
      </c>
      <c r="D229" s="99" t="s">
        <v>782</v>
      </c>
      <c r="E229" s="99" t="s">
        <v>783</v>
      </c>
      <c r="F229" s="99" t="s">
        <v>792</v>
      </c>
      <c r="G229" s="99" t="s">
        <v>13656</v>
      </c>
      <c r="H229" s="99">
        <v>16</v>
      </c>
      <c r="I229" s="99">
        <v>2</v>
      </c>
      <c r="J229" s="99">
        <v>1</v>
      </c>
      <c r="K229" s="101" t="str">
        <f t="shared" si="31"/>
        <v>16x2x1</v>
      </c>
      <c r="L229" s="102">
        <f t="shared" si="32"/>
        <v>0.23021582733812951</v>
      </c>
      <c r="M229" s="113">
        <f t="shared" si="33"/>
        <v>0.23021582733812951</v>
      </c>
      <c r="N229" s="113">
        <f t="shared" si="34"/>
        <v>0.25</v>
      </c>
      <c r="O229" s="99">
        <v>1.8125</v>
      </c>
      <c r="P229" s="113">
        <f t="shared" si="35"/>
        <v>2</v>
      </c>
      <c r="Q229" s="112">
        <f t="shared" si="36"/>
        <v>32</v>
      </c>
      <c r="R229" s="112" t="str">
        <f t="shared" si="37"/>
        <v>Standard-size</v>
      </c>
      <c r="S229" s="99" t="str">
        <f t="shared" si="38"/>
        <v>Large standard-size</v>
      </c>
      <c r="T229" s="116" t="s">
        <v>13697</v>
      </c>
      <c r="U229" s="116">
        <f t="shared" si="39"/>
        <v>1.8518518518518517E-2</v>
      </c>
      <c r="V229" s="116" t="s">
        <v>13583</v>
      </c>
      <c r="W229" s="116" t="s">
        <v>13690</v>
      </c>
      <c r="X229" s="99" t="s">
        <v>13583</v>
      </c>
      <c r="Y229" s="99">
        <v>1</v>
      </c>
      <c r="Z229" s="99">
        <v>2</v>
      </c>
      <c r="AA229" s="99">
        <v>1</v>
      </c>
      <c r="AB229" s="99"/>
      <c r="AC229" s="99"/>
      <c r="AD229" s="107">
        <v>27.49</v>
      </c>
      <c r="AE229" s="113">
        <f t="shared" si="40"/>
        <v>-4.1234999999999999</v>
      </c>
      <c r="AF229" s="116">
        <f>-IFERROR(IFERROR(VLOOKUP(ROUNDUP($Q229,0),'FBA FEES'!$L$2:$Q$203,MATCH($S229,'FBA FEES'!$L$2:$Q$2,0),FALSE),VLOOKUP(ROUNDUP($Q229,0),'FBA FEES'!$C$6:$F$123,MATCH($S229,'FBA FEES'!$C$6:$F$6,0),FALSE)),0)</f>
        <v>-5.77</v>
      </c>
      <c r="AG229" s="116">
        <v>-10</v>
      </c>
      <c r="AH229" s="113">
        <f t="shared" si="41"/>
        <v>-9.8934999999999995</v>
      </c>
      <c r="AI229" s="116">
        <f>-IFERROR(IF($Y229=1,INDEX('[1]REMOVAL FEES'!$A$1:$C$22,MATCH(CONCATENATE("Standard Size",$P229),'[1]REMOVAL FEES'!$A$1:$A$22,0),3),IF($Y229=2,IF($P229&gt;10,(($P229-10)*1.06)+INDEX('[1]REMOVAL FEES'!$E$1:$G$22,MATCH(CONCATENATE("Large bulky, extra-large and special handling items",IF($P229&gt;=11,11,$P229)),'[1]REMOVAL FEES'!$E$1:$E$13,0),3),INDEX('[1]REMOVAL FEES'!$E$1:$G$22,MATCH(CONCATENATE("Large bulky, extra-large and special handling items",IF($P229&gt;=11,11,$P229)),'[1]REMOVAL FEES'!$E$1:$E$13,0),3))))*$AA229,FALSE)</f>
        <v>-2.27</v>
      </c>
      <c r="AJ229" s="107">
        <f t="shared" si="42"/>
        <v>-12.163499999999999</v>
      </c>
      <c r="AK229" s="107">
        <v>-6.83</v>
      </c>
      <c r="AL229" s="107">
        <v>-0.43620907893059052</v>
      </c>
      <c r="AM229" s="107">
        <f t="shared" si="43"/>
        <v>-7.2662090789305909</v>
      </c>
      <c r="AN229" s="116">
        <f>(-IF($V229="Yes", IF($X229="Yes", VLOOKUP($W229, '[1]Storage Fees'!A:M, 13, FALSE), VLOOKUP($W229, '[1]Storage Fees'!A:M, 10, FALSE)), IF($X229="Yes", VLOOKUP($W229, '[1]Storage Fees'!A:M, 7, FALSE), VLOOKUP($W229, '[1]Storage Fees'!A:M, 4, FALSE))) * U229)*1.5</f>
        <v>-3.3888888888888885E-2</v>
      </c>
    </row>
    <row r="230" spans="1:40" x14ac:dyDescent="0.25">
      <c r="A230" s="99">
        <v>158</v>
      </c>
      <c r="B230" s="99" t="s">
        <v>13702</v>
      </c>
      <c r="C230" s="99" t="s">
        <v>13655</v>
      </c>
      <c r="D230" s="99" t="s">
        <v>782</v>
      </c>
      <c r="E230" s="99" t="s">
        <v>783</v>
      </c>
      <c r="F230" s="99" t="s">
        <v>794</v>
      </c>
      <c r="G230" s="99" t="s">
        <v>13695</v>
      </c>
      <c r="H230" s="99">
        <v>17</v>
      </c>
      <c r="I230" s="99">
        <v>4</v>
      </c>
      <c r="J230" s="99">
        <v>2</v>
      </c>
      <c r="K230" s="101" t="str">
        <f t="shared" si="31"/>
        <v>17x4x2</v>
      </c>
      <c r="L230" s="102">
        <f t="shared" si="32"/>
        <v>0.97841726618705038</v>
      </c>
      <c r="M230" s="113">
        <f t="shared" si="33"/>
        <v>0.97841726618705038</v>
      </c>
      <c r="N230" s="113">
        <f t="shared" si="34"/>
        <v>1</v>
      </c>
      <c r="O230" s="99">
        <v>8</v>
      </c>
      <c r="P230" s="113">
        <f t="shared" si="35"/>
        <v>8</v>
      </c>
      <c r="Q230" s="112">
        <f t="shared" si="36"/>
        <v>128</v>
      </c>
      <c r="R230" s="112" t="str">
        <f t="shared" si="37"/>
        <v>Standard-size</v>
      </c>
      <c r="S230" s="99" t="str">
        <f t="shared" si="38"/>
        <v>Large standard-size</v>
      </c>
      <c r="T230" s="116" t="s">
        <v>13693</v>
      </c>
      <c r="U230" s="116">
        <f t="shared" si="39"/>
        <v>7.8703703703703706E-2</v>
      </c>
      <c r="V230" s="116" t="s">
        <v>13583</v>
      </c>
      <c r="W230" s="116" t="s">
        <v>13690</v>
      </c>
      <c r="X230" s="99" t="s">
        <v>13583</v>
      </c>
      <c r="Y230" s="99">
        <v>1</v>
      </c>
      <c r="Z230" s="99">
        <v>2</v>
      </c>
      <c r="AA230" s="99">
        <v>1</v>
      </c>
      <c r="AB230" s="99"/>
      <c r="AC230" s="99"/>
      <c r="AD230" s="107">
        <v>99.99</v>
      </c>
      <c r="AE230" s="113">
        <f t="shared" si="40"/>
        <v>-14.998499999999998</v>
      </c>
      <c r="AF230" s="116">
        <f>-IFERROR(IFERROR(VLOOKUP(ROUNDUP($Q230,0),'FBA FEES'!$L$2:$Q$203,MATCH($S230,'FBA FEES'!$L$2:$Q$2,0),FALSE),VLOOKUP(ROUNDUP($Q230,0),'FBA FEES'!$C$6:$F$123,MATCH($S230,'FBA FEES'!$C$6:$F$6,0),FALSE)),0)</f>
        <v>-8.52</v>
      </c>
      <c r="AG230" s="116">
        <v>-10</v>
      </c>
      <c r="AH230" s="113">
        <f t="shared" si="41"/>
        <v>-23.518499999999996</v>
      </c>
      <c r="AI230" s="116">
        <f>-IFERROR(IF($Y230=1,INDEX('[1]REMOVAL FEES'!$A$1:$C$22,MATCH(CONCATENATE("Standard Size",$P230),'[1]REMOVAL FEES'!$A$1:$A$22,0),3),IF($Y230=2,IF($P230&gt;10,(($P230-10)*1.06)+INDEX('[1]REMOVAL FEES'!$E$1:$G$22,MATCH(CONCATENATE("Large bulky, extra-large and special handling items",IF($P230&gt;=11,11,$P230)),'[1]REMOVAL FEES'!$E$1:$E$13,0),3),INDEX('[1]REMOVAL FEES'!$E$1:$G$22,MATCH(CONCATENATE("Large bulky, extra-large and special handling items",IF($P230&gt;=11,11,$P230)),'[1]REMOVAL FEES'!$E$1:$E$13,0),3))))*$AA230,FALSE)</f>
        <v>-9.25</v>
      </c>
      <c r="AJ230" s="107">
        <f t="shared" si="42"/>
        <v>-32.768499999999996</v>
      </c>
      <c r="AK230" s="107">
        <v>-32.119999999999997</v>
      </c>
      <c r="AL230" s="107">
        <v>-1.948</v>
      </c>
      <c r="AM230" s="107">
        <f t="shared" si="43"/>
        <v>-34.067999999999998</v>
      </c>
      <c r="AN230" s="116">
        <f>(-IF($V230="Yes", IF($X230="Yes", VLOOKUP($W230, '[1]Storage Fees'!A:M, 13, FALSE), VLOOKUP($W230, '[1]Storage Fees'!A:M, 10, FALSE)), IF($X230="Yes", VLOOKUP($W230, '[1]Storage Fees'!A:M, 7, FALSE), VLOOKUP($W230, '[1]Storage Fees'!A:M, 4, FALSE))) * U230)*1.5</f>
        <v>-0.14402777777777778</v>
      </c>
    </row>
    <row r="231" spans="1:40" x14ac:dyDescent="0.25">
      <c r="A231" s="99">
        <v>159</v>
      </c>
      <c r="B231" s="99" t="s">
        <v>55</v>
      </c>
      <c r="C231" s="99"/>
      <c r="D231" s="99"/>
      <c r="E231" s="99" t="s">
        <v>201</v>
      </c>
      <c r="F231" s="99" t="s">
        <v>199</v>
      </c>
      <c r="G231" s="99" t="s">
        <v>13656</v>
      </c>
      <c r="H231" s="99">
        <v>41</v>
      </c>
      <c r="I231" s="99">
        <v>22</v>
      </c>
      <c r="J231" s="99">
        <v>2</v>
      </c>
      <c r="K231" s="101" t="str">
        <f t="shared" si="31"/>
        <v>41x22x2</v>
      </c>
      <c r="L231" s="102">
        <f t="shared" si="32"/>
        <v>12.97841726618705</v>
      </c>
      <c r="M231" s="113">
        <f t="shared" si="33"/>
        <v>12.97841726618705</v>
      </c>
      <c r="N231" s="113">
        <f t="shared" si="34"/>
        <v>13</v>
      </c>
      <c r="O231" s="99">
        <v>10</v>
      </c>
      <c r="P231" s="113">
        <f t="shared" si="35"/>
        <v>13</v>
      </c>
      <c r="Q231" s="112">
        <f t="shared" si="36"/>
        <v>208</v>
      </c>
      <c r="R231" s="112" t="str">
        <f t="shared" si="37"/>
        <v>Oversize</v>
      </c>
      <c r="S231" s="99" t="str">
        <f t="shared" si="38"/>
        <v>Large bulky</v>
      </c>
      <c r="T231" s="116" t="s">
        <v>13692</v>
      </c>
      <c r="U231" s="116">
        <f t="shared" si="39"/>
        <v>1.0439814814814814</v>
      </c>
      <c r="V231" s="116" t="s">
        <v>13583</v>
      </c>
      <c r="W231" s="116" t="s">
        <v>13690</v>
      </c>
      <c r="X231" s="116" t="s">
        <v>13691</v>
      </c>
      <c r="Y231" s="116">
        <v>2</v>
      </c>
      <c r="Z231" s="116">
        <v>3</v>
      </c>
      <c r="AA231" s="116">
        <v>1</v>
      </c>
      <c r="AB231" s="99"/>
      <c r="AC231" s="99"/>
      <c r="AD231" s="107">
        <v>77.076508896434603</v>
      </c>
      <c r="AE231" s="113">
        <f t="shared" si="40"/>
        <v>-11.561476334465191</v>
      </c>
      <c r="AF231" s="118">
        <f>-IFERROR(IFERROR(VLOOKUP(ROUNDUP($Q231,0),'FBA FEES'!$L$2:$Q$203,MATCH($S231,'FBA FEES'!$L$2:$Q$2,0),FALSE),VLOOKUP(ROUNDUP($Q231,0),'FBA FEES'!$C$6:$F$123,MATCH($S231,'FBA FEES'!$C$6:$F$6,0),FALSE)),0)</f>
        <v>-14.17</v>
      </c>
      <c r="AG231" s="116">
        <v>-7</v>
      </c>
      <c r="AH231" s="113">
        <f t="shared" si="41"/>
        <v>-25.731476334465192</v>
      </c>
      <c r="AI231" s="118">
        <f>-IFERROR(IF($Y231=1,INDEX('[1]REMOVAL FEES'!$A$1:$C$22,MATCH(CONCATENATE("Standard Size",$P231),'[1]REMOVAL FEES'!$A$1:$A$22,0),3),IF($Y231=2,IF($P231&gt;10,(($P231-10)*1.06)+INDEX('[1]REMOVAL FEES'!$E$1:$G$22,MATCH(CONCATENATE("Large bulky, extra-large and special handling items",IF($P231&gt;=11,11,$P231)),'[1]REMOVAL FEES'!$E$1:$E$13,0),3),INDEX('[1]REMOVAL FEES'!$E$1:$G$22,MATCH(CONCATENATE("Large bulky, extra-large and special handling items",IF($P231&gt;=11,11,$P231)),'[1]REMOVAL FEES'!$E$1:$E$13,0),3))))*$AA231,FALSE)</f>
        <v>-17.5</v>
      </c>
      <c r="AJ231" s="107">
        <f t="shared" si="42"/>
        <v>-43.231476334465192</v>
      </c>
      <c r="AK231" s="107">
        <v>-16.449388794567032</v>
      </c>
      <c r="AL231" s="107">
        <v>-7.3945723463204596</v>
      </c>
      <c r="AM231" s="107">
        <f t="shared" si="43"/>
        <v>-23.84396114088749</v>
      </c>
      <c r="AN231" s="118">
        <f>(-IF($V231="Yes", IF($X231="Yes", VLOOKUP($W231, '[1]Storage Fees'!A:M, 13, FALSE), VLOOKUP($W231, '[1]Storage Fees'!A:M, 10, FALSE)), IF($X231="Yes", VLOOKUP($W231, '[1]Storage Fees'!A:M, 7, FALSE), VLOOKUP($W231, '[1]Storage Fees'!A:M, 4, FALSE))) * U231)*1.5</f>
        <v>-1.2371180555555554</v>
      </c>
    </row>
    <row r="232" spans="1:40" x14ac:dyDescent="0.25">
      <c r="A232" s="99">
        <v>160</v>
      </c>
      <c r="B232" s="99" t="s">
        <v>55</v>
      </c>
      <c r="C232" s="99"/>
      <c r="D232" s="99"/>
      <c r="E232" s="99" t="s">
        <v>201</v>
      </c>
      <c r="F232" s="99" t="s">
        <v>202</v>
      </c>
      <c r="G232" s="99" t="s">
        <v>13656</v>
      </c>
      <c r="H232" s="99">
        <v>13</v>
      </c>
      <c r="I232" s="99">
        <v>13</v>
      </c>
      <c r="J232" s="99">
        <v>2</v>
      </c>
      <c r="K232" s="101" t="str">
        <f t="shared" si="31"/>
        <v>13x13x2</v>
      </c>
      <c r="L232" s="102">
        <f t="shared" si="32"/>
        <v>2.4316546762589928</v>
      </c>
      <c r="M232" s="113">
        <f t="shared" si="33"/>
        <v>2.4316546762589928</v>
      </c>
      <c r="N232" s="113">
        <f t="shared" si="34"/>
        <v>3</v>
      </c>
      <c r="O232" s="99">
        <v>2.5</v>
      </c>
      <c r="P232" s="113">
        <f t="shared" si="35"/>
        <v>3</v>
      </c>
      <c r="Q232" s="112">
        <f t="shared" si="36"/>
        <v>48</v>
      </c>
      <c r="R232" s="112" t="str">
        <f t="shared" si="37"/>
        <v>Standard-size</v>
      </c>
      <c r="S232" s="99" t="str">
        <f t="shared" si="38"/>
        <v>Large standard-size</v>
      </c>
      <c r="T232" s="116" t="s">
        <v>13701</v>
      </c>
      <c r="U232" s="116">
        <f t="shared" si="39"/>
        <v>0.19560185185185186</v>
      </c>
      <c r="V232" s="116" t="s">
        <v>13583</v>
      </c>
      <c r="W232" s="116" t="s">
        <v>13690</v>
      </c>
      <c r="X232" s="99" t="s">
        <v>13583</v>
      </c>
      <c r="Y232" s="99">
        <v>1</v>
      </c>
      <c r="Z232" s="99">
        <v>2</v>
      </c>
      <c r="AA232" s="99">
        <v>1</v>
      </c>
      <c r="AB232" s="99"/>
      <c r="AC232" s="99"/>
      <c r="AD232" s="107">
        <v>24.94148567119143</v>
      </c>
      <c r="AE232" s="113">
        <f t="shared" si="40"/>
        <v>-3.7412228506787142</v>
      </c>
      <c r="AF232" s="116">
        <f>-IFERROR(IFERROR(VLOOKUP(ROUNDUP($Q232,0),'FBA FEES'!$L$2:$Q$203,MATCH($S232,'FBA FEES'!$L$2:$Q$2,0),FALSE),VLOOKUP(ROUNDUP($Q232,0),'FBA FEES'!$C$6:$F$123,MATCH($S232,'FBA FEES'!$C$6:$F$6,0),FALSE)),0)</f>
        <v>-6.62</v>
      </c>
      <c r="AG232" s="116">
        <v>-7</v>
      </c>
      <c r="AH232" s="113">
        <f t="shared" si="41"/>
        <v>-10.361222850678715</v>
      </c>
      <c r="AI232" s="116">
        <f>-IFERROR(IF($Y232=1,INDEX('[1]REMOVAL FEES'!$A$1:$C$22,MATCH(CONCATENATE("Standard Size",$P232),'[1]REMOVAL FEES'!$A$1:$A$22,0),3),IF($Y232=2,IF($P232&gt;10,(($P232-10)*1.06)+INDEX('[1]REMOVAL FEES'!$E$1:$G$22,MATCH(CONCATENATE("Large bulky, extra-large and special handling items",IF($P232&gt;=11,11,$P232)),'[1]REMOVAL FEES'!$E$1:$E$13,0),3),INDEX('[1]REMOVAL FEES'!$E$1:$G$22,MATCH(CONCATENATE("Large bulky, extra-large and special handling items",IF($P232&gt;=11,11,$P232)),'[1]REMOVAL FEES'!$E$1:$E$13,0),3))))*$AA232,FALSE)</f>
        <v>-3.95</v>
      </c>
      <c r="AJ232" s="107">
        <f t="shared" si="42"/>
        <v>-14.311222850678714</v>
      </c>
      <c r="AK232" s="107">
        <v>-3.765565610859718</v>
      </c>
      <c r="AL232" s="107">
        <v>-1.256292845946821</v>
      </c>
      <c r="AM232" s="107">
        <f t="shared" si="43"/>
        <v>-5.0218584568065392</v>
      </c>
      <c r="AN232" s="116">
        <f>(-IF($V232="Yes", IF($X232="Yes", VLOOKUP($W232, '[1]Storage Fees'!A:M, 13, FALSE), VLOOKUP($W232, '[1]Storage Fees'!A:M, 10, FALSE)), IF($X232="Yes", VLOOKUP($W232, '[1]Storage Fees'!A:M, 7, FALSE), VLOOKUP($W232, '[1]Storage Fees'!A:M, 4, FALSE))) * U232)*1.5</f>
        <v>-0.35795138888888889</v>
      </c>
    </row>
    <row r="233" spans="1:40" x14ac:dyDescent="0.25">
      <c r="A233" s="99">
        <v>161</v>
      </c>
      <c r="B233" s="99" t="s">
        <v>55</v>
      </c>
      <c r="C233" s="99"/>
      <c r="D233" s="99"/>
      <c r="E233" s="99" t="s">
        <v>201</v>
      </c>
      <c r="F233" s="99" t="s">
        <v>204</v>
      </c>
      <c r="G233" s="99" t="s">
        <v>13656</v>
      </c>
      <c r="H233" s="99">
        <v>25</v>
      </c>
      <c r="I233" s="99">
        <v>14</v>
      </c>
      <c r="J233" s="99">
        <v>2</v>
      </c>
      <c r="K233" s="101" t="str">
        <f t="shared" si="31"/>
        <v>25x14x2</v>
      </c>
      <c r="L233" s="102">
        <f t="shared" si="32"/>
        <v>5.0359712230215825</v>
      </c>
      <c r="M233" s="113">
        <f t="shared" si="33"/>
        <v>5.0359712230215825</v>
      </c>
      <c r="N233" s="113">
        <f t="shared" si="34"/>
        <v>6</v>
      </c>
      <c r="O233" s="99">
        <v>4</v>
      </c>
      <c r="P233" s="113">
        <f t="shared" si="35"/>
        <v>6</v>
      </c>
      <c r="Q233" s="112">
        <f t="shared" si="36"/>
        <v>96</v>
      </c>
      <c r="R233" s="112" t="str">
        <f t="shared" si="37"/>
        <v>Oversize</v>
      </c>
      <c r="S233" s="99" t="str">
        <f t="shared" si="38"/>
        <v>Large bulky</v>
      </c>
      <c r="T233" s="116" t="s">
        <v>13692</v>
      </c>
      <c r="U233" s="116">
        <f t="shared" si="39"/>
        <v>0.40509259259259262</v>
      </c>
      <c r="V233" s="116" t="s">
        <v>13583</v>
      </c>
      <c r="W233" s="116" t="s">
        <v>13690</v>
      </c>
      <c r="X233" s="116" t="s">
        <v>13691</v>
      </c>
      <c r="Y233" s="116">
        <v>2</v>
      </c>
      <c r="Z233" s="116">
        <v>3</v>
      </c>
      <c r="AA233" s="116">
        <v>1</v>
      </c>
      <c r="AB233" s="99"/>
      <c r="AC233" s="99"/>
      <c r="AD233" s="107">
        <v>49.317729622641927</v>
      </c>
      <c r="AE233" s="113">
        <f t="shared" si="40"/>
        <v>-7.3976594433962886</v>
      </c>
      <c r="AF233" s="118">
        <f>-IFERROR(IFERROR(VLOOKUP(ROUNDUP($Q233,0),'FBA FEES'!$L$2:$Q$203,MATCH($S233,'FBA FEES'!$L$2:$Q$2,0),FALSE),VLOOKUP(ROUNDUP($Q233,0),'FBA FEES'!$C$6:$F$123,MATCH($S233,'FBA FEES'!$C$6:$F$6,0),FALSE)),0)</f>
        <v>-11.51</v>
      </c>
      <c r="AG233" s="116">
        <v>-7</v>
      </c>
      <c r="AH233" s="113">
        <f t="shared" si="41"/>
        <v>-18.907659443396287</v>
      </c>
      <c r="AI233" s="118">
        <f>-IFERROR(IF($Y233=1,INDEX('[1]REMOVAL FEES'!$A$1:$C$22,MATCH(CONCATENATE("Standard Size",$P233),'[1]REMOVAL FEES'!$A$1:$A$22,0),3),IF($Y233=2,IF($P233&gt;10,(($P233-10)*1.06)+INDEX('[1]REMOVAL FEES'!$E$1:$G$22,MATCH(CONCATENATE("Large bulky, extra-large and special handling items",IF($P233&gt;=11,11,$P233)),'[1]REMOVAL FEES'!$E$1:$E$13,0),3),INDEX('[1]REMOVAL FEES'!$E$1:$G$22,MATCH(CONCATENATE("Large bulky, extra-large and special handling items",IF($P233&gt;=11,11,$P233)),'[1]REMOVAL FEES'!$E$1:$E$13,0),3))))*$AA233,FALSE)</f>
        <v>-10.039999999999999</v>
      </c>
      <c r="AJ233" s="107">
        <f t="shared" si="42"/>
        <v>-28.947659443396287</v>
      </c>
      <c r="AK233" s="107">
        <v>-8.0600943396226601</v>
      </c>
      <c r="AL233" s="107">
        <v>-5.5263258729868596</v>
      </c>
      <c r="AM233" s="107">
        <f t="shared" si="43"/>
        <v>-13.58642021260952</v>
      </c>
      <c r="AN233" s="118">
        <f>(-IF($V233="Yes", IF($X233="Yes", VLOOKUP($W233, '[1]Storage Fees'!A:M, 13, FALSE), VLOOKUP($W233, '[1]Storage Fees'!A:M, 10, FALSE)), IF($X233="Yes", VLOOKUP($W233, '[1]Storage Fees'!A:M, 7, FALSE), VLOOKUP($W233, '[1]Storage Fees'!A:M, 4, FALSE))) * U233)*1.5</f>
        <v>-0.48003472222222232</v>
      </c>
    </row>
    <row r="234" spans="1:40" x14ac:dyDescent="0.25">
      <c r="A234" s="99">
        <v>162</v>
      </c>
      <c r="B234" s="99" t="s">
        <v>55</v>
      </c>
      <c r="C234" s="99"/>
      <c r="D234" s="99"/>
      <c r="E234" s="99" t="s">
        <v>201</v>
      </c>
      <c r="F234" s="99" t="s">
        <v>206</v>
      </c>
      <c r="G234" s="99" t="s">
        <v>13656</v>
      </c>
      <c r="H234" s="99">
        <v>26</v>
      </c>
      <c r="I234" s="99">
        <v>20</v>
      </c>
      <c r="J234" s="99">
        <v>2</v>
      </c>
      <c r="K234" s="101" t="str">
        <f t="shared" si="31"/>
        <v>26x20x2</v>
      </c>
      <c r="L234" s="102">
        <f t="shared" si="32"/>
        <v>7.4820143884892083</v>
      </c>
      <c r="M234" s="113">
        <f t="shared" si="33"/>
        <v>7.4820143884892083</v>
      </c>
      <c r="N234" s="113">
        <f t="shared" si="34"/>
        <v>8</v>
      </c>
      <c r="O234" s="99">
        <v>6</v>
      </c>
      <c r="P234" s="113">
        <f t="shared" si="35"/>
        <v>8</v>
      </c>
      <c r="Q234" s="112">
        <f t="shared" si="36"/>
        <v>128</v>
      </c>
      <c r="R234" s="112" t="str">
        <f t="shared" si="37"/>
        <v>Oversize</v>
      </c>
      <c r="S234" s="99" t="str">
        <f t="shared" si="38"/>
        <v>Large bulky</v>
      </c>
      <c r="T234" s="116" t="s">
        <v>13692</v>
      </c>
      <c r="U234" s="116">
        <f t="shared" si="39"/>
        <v>0.60185185185185186</v>
      </c>
      <c r="V234" s="116" t="s">
        <v>13583</v>
      </c>
      <c r="W234" s="116" t="s">
        <v>13690</v>
      </c>
      <c r="X234" s="116" t="s">
        <v>13691</v>
      </c>
      <c r="Y234" s="116">
        <v>2</v>
      </c>
      <c r="Z234" s="116">
        <v>3</v>
      </c>
      <c r="AA234" s="116">
        <v>1</v>
      </c>
      <c r="AB234" s="99"/>
      <c r="AC234" s="99"/>
      <c r="AD234" s="107">
        <v>54.548490232558478</v>
      </c>
      <c r="AE234" s="113">
        <f t="shared" si="40"/>
        <v>-8.1822735348837714</v>
      </c>
      <c r="AF234" s="116">
        <f>-IFERROR(IFERROR(VLOOKUP(ROUNDUP($Q234,0),'FBA FEES'!$L$2:$Q$203,MATCH($S234,'FBA FEES'!$L$2:$Q$2,0),FALSE),VLOOKUP(ROUNDUP($Q234,0),'FBA FEES'!$C$6:$F$123,MATCH($S234,'FBA FEES'!$C$6:$F$6,0),FALSE)),0)</f>
        <v>-12.27</v>
      </c>
      <c r="AG234" s="116">
        <v>-7</v>
      </c>
      <c r="AH234" s="113">
        <f t="shared" si="41"/>
        <v>-20.452273534883773</v>
      </c>
      <c r="AI234" s="116">
        <f>-IFERROR(IF($Y234=1,INDEX('[1]REMOVAL FEES'!$A$1:$C$22,MATCH(CONCATENATE("Standard Size",$P234),'[1]REMOVAL FEES'!$A$1:$A$22,0),3),IF($Y234=2,IF($P234&gt;10,(($P234-10)*1.06)+INDEX('[1]REMOVAL FEES'!$E$1:$G$22,MATCH(CONCATENATE("Large bulky, extra-large and special handling items",IF($P234&gt;=11,11,$P234)),'[1]REMOVAL FEES'!$E$1:$E$13,0),3),INDEX('[1]REMOVAL FEES'!$E$1:$G$22,MATCH(CONCATENATE("Large bulky, extra-large and special handling items",IF($P234&gt;=11,11,$P234)),'[1]REMOVAL FEES'!$E$1:$E$13,0),3))))*$AA234,FALSE)</f>
        <v>-10.039999999999999</v>
      </c>
      <c r="AJ234" s="107">
        <f t="shared" si="42"/>
        <v>-30.492273534883772</v>
      </c>
      <c r="AK234" s="107">
        <v>-9.0317441860465735</v>
      </c>
      <c r="AL234" s="107">
        <v>-6.8170907711083002</v>
      </c>
      <c r="AM234" s="107">
        <f t="shared" si="43"/>
        <v>-15.848834957154875</v>
      </c>
      <c r="AN234" s="116">
        <f>(-IF($V234="Yes", IF($X234="Yes", VLOOKUP($W234, '[1]Storage Fees'!A:M, 13, FALSE), VLOOKUP($W234, '[1]Storage Fees'!A:M, 10, FALSE)), IF($X234="Yes", VLOOKUP($W234, '[1]Storage Fees'!A:M, 7, FALSE), VLOOKUP($W234, '[1]Storage Fees'!A:M, 4, FALSE))) * U234)*1.5</f>
        <v>-0.71319444444444446</v>
      </c>
    </row>
    <row r="235" spans="1:40" x14ac:dyDescent="0.25">
      <c r="A235" s="99">
        <v>163</v>
      </c>
      <c r="B235" s="99" t="s">
        <v>55</v>
      </c>
      <c r="C235" s="99"/>
      <c r="D235" s="99"/>
      <c r="E235" s="99" t="s">
        <v>201</v>
      </c>
      <c r="F235" s="99" t="s">
        <v>208</v>
      </c>
      <c r="G235" s="99" t="s">
        <v>13656</v>
      </c>
      <c r="H235" s="99">
        <v>25</v>
      </c>
      <c r="I235" s="99">
        <v>25</v>
      </c>
      <c r="J235" s="99">
        <v>2</v>
      </c>
      <c r="K235" s="101" t="str">
        <f t="shared" si="31"/>
        <v>25x25x2</v>
      </c>
      <c r="L235" s="102">
        <f t="shared" si="32"/>
        <v>8.9928057553956826</v>
      </c>
      <c r="M235" s="113">
        <f t="shared" si="33"/>
        <v>8.9928057553956826</v>
      </c>
      <c r="N235" s="113">
        <f t="shared" si="34"/>
        <v>9</v>
      </c>
      <c r="O235" s="99">
        <v>7</v>
      </c>
      <c r="P235" s="113">
        <f t="shared" si="35"/>
        <v>9</v>
      </c>
      <c r="Q235" s="112">
        <f t="shared" si="36"/>
        <v>144</v>
      </c>
      <c r="R235" s="112" t="str">
        <f t="shared" si="37"/>
        <v>Oversize</v>
      </c>
      <c r="S235" s="99" t="str">
        <f t="shared" si="38"/>
        <v>Large bulky</v>
      </c>
      <c r="T235" s="116" t="s">
        <v>13692</v>
      </c>
      <c r="U235" s="116">
        <f t="shared" si="39"/>
        <v>0.72337962962962965</v>
      </c>
      <c r="V235" s="116" t="s">
        <v>13583</v>
      </c>
      <c r="W235" s="116" t="s">
        <v>13690</v>
      </c>
      <c r="X235" s="116" t="s">
        <v>13691</v>
      </c>
      <c r="Y235" s="116">
        <v>2</v>
      </c>
      <c r="Z235" s="116">
        <v>3</v>
      </c>
      <c r="AA235" s="116">
        <v>1</v>
      </c>
      <c r="AB235" s="99"/>
      <c r="AC235" s="99"/>
      <c r="AD235" s="107">
        <v>59.379453551912427</v>
      </c>
      <c r="AE235" s="113">
        <f t="shared" si="40"/>
        <v>-8.906918032786864</v>
      </c>
      <c r="AF235" s="116">
        <f>-IFERROR(IFERROR(VLOOKUP(ROUNDUP($Q235,0),'FBA FEES'!$L$2:$Q$203,MATCH($S235,'FBA FEES'!$L$2:$Q$2,0),FALSE),VLOOKUP(ROUNDUP($Q235,0),'FBA FEES'!$C$6:$F$123,MATCH($S235,'FBA FEES'!$C$6:$F$6,0),FALSE)),0)</f>
        <v>-12.649999999999999</v>
      </c>
      <c r="AG235" s="116">
        <v>-7</v>
      </c>
      <c r="AH235" s="113">
        <f t="shared" si="41"/>
        <v>-21.556918032786861</v>
      </c>
      <c r="AI235" s="116">
        <f>-IFERROR(IF($Y235=1,INDEX('[1]REMOVAL FEES'!$A$1:$C$22,MATCH(CONCATENATE("Standard Size",$P235),'[1]REMOVAL FEES'!$A$1:$A$22,0),3),IF($Y235=2,IF($P235&gt;10,(($P235-10)*1.06)+INDEX('[1]REMOVAL FEES'!$E$1:$G$22,MATCH(CONCATENATE("Large bulky, extra-large and special handling items",IF($P235&gt;=11,11,$P235)),'[1]REMOVAL FEES'!$E$1:$E$13,0),3),INDEX('[1]REMOVAL FEES'!$E$1:$G$22,MATCH(CONCATENATE("Large bulky, extra-large and special handling items",IF($P235&gt;=11,11,$P235)),'[1]REMOVAL FEES'!$E$1:$E$13,0),3))))*$AA235,FALSE)</f>
        <v>-10.039999999999999</v>
      </c>
      <c r="AJ235" s="107">
        <f t="shared" si="42"/>
        <v>-31.59691803278686</v>
      </c>
      <c r="AK235" s="107">
        <v>-11.11530054644809</v>
      </c>
      <c r="AL235" s="107">
        <v>-7.1962386831666061</v>
      </c>
      <c r="AM235" s="107">
        <f t="shared" si="43"/>
        <v>-18.311539229614695</v>
      </c>
      <c r="AN235" s="116">
        <f>(-IF($V235="Yes", IF($X235="Yes", VLOOKUP($W235, '[1]Storage Fees'!A:M, 13, FALSE), VLOOKUP($W235, '[1]Storage Fees'!A:M, 10, FALSE)), IF($X235="Yes", VLOOKUP($W235, '[1]Storage Fees'!A:M, 7, FALSE), VLOOKUP($W235, '[1]Storage Fees'!A:M, 4, FALSE))) * U235)*1.5</f>
        <v>-0.85720486111111116</v>
      </c>
    </row>
    <row r="236" spans="1:40" x14ac:dyDescent="0.25">
      <c r="A236" s="99">
        <v>164</v>
      </c>
      <c r="B236" s="99" t="s">
        <v>55</v>
      </c>
      <c r="C236" s="99"/>
      <c r="D236" s="99"/>
      <c r="E236" s="99" t="s">
        <v>201</v>
      </c>
      <c r="F236" s="99" t="s">
        <v>210</v>
      </c>
      <c r="G236" s="99" t="s">
        <v>13656</v>
      </c>
      <c r="H236" s="99">
        <v>37</v>
      </c>
      <c r="I236" s="99">
        <v>25</v>
      </c>
      <c r="J236" s="99">
        <v>2</v>
      </c>
      <c r="K236" s="101" t="str">
        <f t="shared" si="31"/>
        <v>37x25x2</v>
      </c>
      <c r="L236" s="102">
        <f t="shared" si="32"/>
        <v>13.309352517985612</v>
      </c>
      <c r="M236" s="113">
        <f t="shared" si="33"/>
        <v>13.309352517985612</v>
      </c>
      <c r="N236" s="113">
        <f t="shared" si="34"/>
        <v>14</v>
      </c>
      <c r="O236" s="99">
        <v>11</v>
      </c>
      <c r="P236" s="113">
        <f t="shared" si="35"/>
        <v>14</v>
      </c>
      <c r="Q236" s="112">
        <f t="shared" si="36"/>
        <v>224</v>
      </c>
      <c r="R236" s="112" t="str">
        <f t="shared" si="37"/>
        <v>Oversize</v>
      </c>
      <c r="S236" s="99" t="str">
        <f t="shared" si="38"/>
        <v>Large bulky</v>
      </c>
      <c r="T236" s="116" t="s">
        <v>13692</v>
      </c>
      <c r="U236" s="116">
        <f t="shared" si="39"/>
        <v>1.0706018518518519</v>
      </c>
      <c r="V236" s="116" t="s">
        <v>13583</v>
      </c>
      <c r="W236" s="116" t="s">
        <v>13690</v>
      </c>
      <c r="X236" s="116" t="s">
        <v>13691</v>
      </c>
      <c r="Y236" s="116">
        <v>2</v>
      </c>
      <c r="Z236" s="116">
        <v>3</v>
      </c>
      <c r="AA236" s="116">
        <v>1</v>
      </c>
      <c r="AB236" s="99"/>
      <c r="AC236" s="99"/>
      <c r="AD236" s="107">
        <v>82.022471264367667</v>
      </c>
      <c r="AE236" s="113">
        <f t="shared" si="40"/>
        <v>-12.30337068965515</v>
      </c>
      <c r="AF236" s="116">
        <f>-IFERROR(IFERROR(VLOOKUP(ROUNDUP($Q236,0),'FBA FEES'!$L$2:$Q$203,MATCH($S236,'FBA FEES'!$L$2:$Q$2,0),FALSE),VLOOKUP(ROUNDUP($Q236,0),'FBA FEES'!$C$6:$F$123,MATCH($S236,'FBA FEES'!$C$6:$F$6,0),FALSE)),0)</f>
        <v>-14.55</v>
      </c>
      <c r="AG236" s="116">
        <v>-7</v>
      </c>
      <c r="AH236" s="113">
        <f t="shared" si="41"/>
        <v>-26.853370689655151</v>
      </c>
      <c r="AI236" s="116">
        <f>-IFERROR(IF($Y236=1,INDEX('[1]REMOVAL FEES'!$A$1:$C$22,MATCH(CONCATENATE("Standard Size",$P236),'[1]REMOVAL FEES'!$A$1:$A$22,0),3),IF($Y236=2,IF($P236&gt;10,(($P236-10)*1.06)+INDEX('[1]REMOVAL FEES'!$E$1:$G$22,MATCH(CONCATENATE("Large bulky, extra-large and special handling items",IF($P236&gt;=11,11,$P236)),'[1]REMOVAL FEES'!$E$1:$E$13,0),3),INDEX('[1]REMOVAL FEES'!$E$1:$G$22,MATCH(CONCATENATE("Large bulky, extra-large and special handling items",IF($P236&gt;=11,11,$P236)),'[1]REMOVAL FEES'!$E$1:$E$13,0),3))))*$AA236,FALSE)</f>
        <v>-18.560000000000002</v>
      </c>
      <c r="AJ236" s="107">
        <f t="shared" si="42"/>
        <v>-45.413370689655153</v>
      </c>
      <c r="AK236" s="107">
        <v>-18.71402298850575</v>
      </c>
      <c r="AL236" s="107">
        <v>-7.8735590791030239</v>
      </c>
      <c r="AM236" s="107">
        <f t="shared" si="43"/>
        <v>-26.587582067608775</v>
      </c>
      <c r="AN236" s="116">
        <f>(-IF($V236="Yes", IF($X236="Yes", VLOOKUP($W236, '[1]Storage Fees'!A:M, 13, FALSE), VLOOKUP($W236, '[1]Storage Fees'!A:M, 10, FALSE)), IF($X236="Yes", VLOOKUP($W236, '[1]Storage Fees'!A:M, 7, FALSE), VLOOKUP($W236, '[1]Storage Fees'!A:M, 4, FALSE))) * U236)*1.5</f>
        <v>-1.2686631944444446</v>
      </c>
    </row>
    <row r="237" spans="1:40" x14ac:dyDescent="0.25">
      <c r="A237" s="99">
        <v>165</v>
      </c>
      <c r="B237" s="99" t="s">
        <v>55</v>
      </c>
      <c r="C237" s="99"/>
      <c r="D237" s="99"/>
      <c r="E237" s="99" t="s">
        <v>201</v>
      </c>
      <c r="F237" s="99" t="s">
        <v>212</v>
      </c>
      <c r="G237" s="99" t="s">
        <v>13656</v>
      </c>
      <c r="H237" s="99">
        <v>41</v>
      </c>
      <c r="I237" s="99">
        <v>21</v>
      </c>
      <c r="J237" s="99">
        <v>2</v>
      </c>
      <c r="K237" s="101" t="str">
        <f t="shared" si="31"/>
        <v>41x21x2</v>
      </c>
      <c r="L237" s="102">
        <f t="shared" si="32"/>
        <v>12.388489208633093</v>
      </c>
      <c r="M237" s="113">
        <f t="shared" si="33"/>
        <v>12.388489208633093</v>
      </c>
      <c r="N237" s="113">
        <f t="shared" si="34"/>
        <v>13</v>
      </c>
      <c r="O237" s="99">
        <v>14.875</v>
      </c>
      <c r="P237" s="113">
        <f t="shared" si="35"/>
        <v>15</v>
      </c>
      <c r="Q237" s="112">
        <f t="shared" si="36"/>
        <v>240</v>
      </c>
      <c r="R237" s="112" t="str">
        <f t="shared" si="37"/>
        <v>Oversize</v>
      </c>
      <c r="S237" s="99" t="str">
        <f t="shared" si="38"/>
        <v>Large bulky</v>
      </c>
      <c r="T237" s="116" t="s">
        <v>13692</v>
      </c>
      <c r="U237" s="116">
        <f t="shared" si="39"/>
        <v>0.99652777777777779</v>
      </c>
      <c r="V237" s="116" t="s">
        <v>13583</v>
      </c>
      <c r="W237" s="116" t="s">
        <v>13690</v>
      </c>
      <c r="X237" s="116" t="s">
        <v>13691</v>
      </c>
      <c r="Y237" s="116">
        <v>2</v>
      </c>
      <c r="Z237" s="116">
        <v>3</v>
      </c>
      <c r="AA237" s="116">
        <v>1</v>
      </c>
      <c r="AB237" s="99"/>
      <c r="AC237" s="99"/>
      <c r="AD237" s="107">
        <v>103.6720603015077</v>
      </c>
      <c r="AE237" s="113">
        <f t="shared" si="40"/>
        <v>-15.550809045226154</v>
      </c>
      <c r="AF237" s="116">
        <f>-IFERROR(IFERROR(VLOOKUP(ROUNDUP($Q237,0),'FBA FEES'!$L$2:$Q$203,MATCH($S237,'FBA FEES'!$L$2:$Q$2,0),FALSE),VLOOKUP(ROUNDUP($Q237,0),'FBA FEES'!$C$6:$F$123,MATCH($S237,'FBA FEES'!$C$6:$F$6,0),FALSE)),0)</f>
        <v>-14.93</v>
      </c>
      <c r="AG237" s="116">
        <v>-7</v>
      </c>
      <c r="AH237" s="113">
        <f t="shared" si="41"/>
        <v>-30.480809045226152</v>
      </c>
      <c r="AI237" s="116">
        <f>-IFERROR(IF($Y237=1,INDEX('[1]REMOVAL FEES'!$A$1:$C$22,MATCH(CONCATENATE("Standard Size",$P237),'[1]REMOVAL FEES'!$A$1:$A$22,0),3),IF($Y237=2,IF($P237&gt;10,(($P237-10)*1.06)+INDEX('[1]REMOVAL FEES'!$E$1:$G$22,MATCH(CONCATENATE("Large bulky, extra-large and special handling items",IF($P237&gt;=11,11,$P237)),'[1]REMOVAL FEES'!$E$1:$E$13,0),3),INDEX('[1]REMOVAL FEES'!$E$1:$G$22,MATCH(CONCATENATE("Large bulky, extra-large and special handling items",IF($P237&gt;=11,11,$P237)),'[1]REMOVAL FEES'!$E$1:$E$13,0),3))))*$AA237,FALSE)</f>
        <v>-19.62</v>
      </c>
      <c r="AJ237" s="107">
        <f t="shared" si="42"/>
        <v>-50.100809045226157</v>
      </c>
      <c r="AK237" s="107">
        <v>-22.182010050251321</v>
      </c>
      <c r="AL237" s="107">
        <v>-7.7682955221840073</v>
      </c>
      <c r="AM237" s="107">
        <f t="shared" si="43"/>
        <v>-29.95030557243533</v>
      </c>
      <c r="AN237" s="116">
        <f>(-IF($V237="Yes", IF($X237="Yes", VLOOKUP($W237, '[1]Storage Fees'!A:M, 13, FALSE), VLOOKUP($W237, '[1]Storage Fees'!A:M, 10, FALSE)), IF($X237="Yes", VLOOKUP($W237, '[1]Storage Fees'!A:M, 7, FALSE), VLOOKUP($W237, '[1]Storage Fees'!A:M, 4, FALSE))) * U237)*1.5</f>
        <v>-1.1808854166666667</v>
      </c>
    </row>
    <row r="238" spans="1:40" x14ac:dyDescent="0.25">
      <c r="A238" s="99">
        <v>166</v>
      </c>
      <c r="B238" s="99" t="s">
        <v>55</v>
      </c>
      <c r="C238" s="99"/>
      <c r="D238" s="99"/>
      <c r="E238" s="99" t="s">
        <v>201</v>
      </c>
      <c r="F238" s="99" t="s">
        <v>214</v>
      </c>
      <c r="G238" s="99" t="s">
        <v>13656</v>
      </c>
      <c r="H238" s="99">
        <v>13</v>
      </c>
      <c r="I238" s="99">
        <v>13</v>
      </c>
      <c r="J238" s="99">
        <v>2</v>
      </c>
      <c r="K238" s="101" t="str">
        <f t="shared" si="31"/>
        <v>13x13x2</v>
      </c>
      <c r="L238" s="102">
        <f t="shared" si="32"/>
        <v>2.4316546762589928</v>
      </c>
      <c r="M238" s="113">
        <f t="shared" si="33"/>
        <v>2.4316546762589928</v>
      </c>
      <c r="N238" s="113">
        <f t="shared" si="34"/>
        <v>3</v>
      </c>
      <c r="O238" s="99">
        <v>3</v>
      </c>
      <c r="P238" s="113">
        <f t="shared" si="35"/>
        <v>3</v>
      </c>
      <c r="Q238" s="112">
        <f t="shared" si="36"/>
        <v>48</v>
      </c>
      <c r="R238" s="112" t="str">
        <f t="shared" si="37"/>
        <v>Standard-size</v>
      </c>
      <c r="S238" s="99" t="str">
        <f t="shared" si="38"/>
        <v>Large standard-size</v>
      </c>
      <c r="T238" s="116" t="s">
        <v>13701</v>
      </c>
      <c r="U238" s="116">
        <f t="shared" si="39"/>
        <v>0.19560185185185186</v>
      </c>
      <c r="V238" s="116" t="s">
        <v>13583</v>
      </c>
      <c r="W238" s="116" t="s">
        <v>13690</v>
      </c>
      <c r="X238" s="99" t="s">
        <v>13583</v>
      </c>
      <c r="Y238" s="99">
        <v>1</v>
      </c>
      <c r="Z238" s="99">
        <v>2</v>
      </c>
      <c r="AA238" s="99">
        <v>1</v>
      </c>
      <c r="AB238" s="99"/>
      <c r="AC238" s="99"/>
      <c r="AD238" s="107">
        <v>30.822757009345651</v>
      </c>
      <c r="AE238" s="113">
        <f t="shared" si="40"/>
        <v>-4.6234135514018471</v>
      </c>
      <c r="AF238" s="116">
        <f>-IFERROR(IFERROR(VLOOKUP(ROUNDUP($Q238,0),'FBA FEES'!$L$2:$Q$203,MATCH($S238,'FBA FEES'!$L$2:$Q$2,0),FALSE),VLOOKUP(ROUNDUP($Q238,0),'FBA FEES'!$C$6:$F$123,MATCH($S238,'FBA FEES'!$C$6:$F$6,0),FALSE)),0)</f>
        <v>-6.62</v>
      </c>
      <c r="AG238" s="116">
        <v>-7</v>
      </c>
      <c r="AH238" s="113">
        <f t="shared" si="41"/>
        <v>-11.243413551401847</v>
      </c>
      <c r="AI238" s="116">
        <f>-IFERROR(IF($Y238=1,INDEX('[1]REMOVAL FEES'!$A$1:$C$22,MATCH(CONCATENATE("Standard Size",$P238),'[1]REMOVAL FEES'!$A$1:$A$22,0),3),IF($Y238=2,IF($P238&gt;10,(($P238-10)*1.06)+INDEX('[1]REMOVAL FEES'!$E$1:$G$22,MATCH(CONCATENATE("Large bulky, extra-large and special handling items",IF($P238&gt;=11,11,$P238)),'[1]REMOVAL FEES'!$E$1:$E$13,0),3),INDEX('[1]REMOVAL FEES'!$E$1:$G$22,MATCH(CONCATENATE("Large bulky, extra-large and special handling items",IF($P238&gt;=11,11,$P238)),'[1]REMOVAL FEES'!$E$1:$E$13,0),3))))*$AA238,FALSE)</f>
        <v>-3.95</v>
      </c>
      <c r="AJ238" s="107">
        <f t="shared" si="42"/>
        <v>-15.193413551401846</v>
      </c>
      <c r="AK238" s="107">
        <v>-5.1373831775700873</v>
      </c>
      <c r="AL238" s="107">
        <v>-1.293659277897599</v>
      </c>
      <c r="AM238" s="107">
        <f t="shared" si="43"/>
        <v>-6.4310424554676864</v>
      </c>
      <c r="AN238" s="116">
        <f>(-IF($V238="Yes", IF($X238="Yes", VLOOKUP($W238, '[1]Storage Fees'!A:M, 13, FALSE), VLOOKUP($W238, '[1]Storage Fees'!A:M, 10, FALSE)), IF($X238="Yes", VLOOKUP($W238, '[1]Storage Fees'!A:M, 7, FALSE), VLOOKUP($W238, '[1]Storage Fees'!A:M, 4, FALSE))) * U238)*1.5</f>
        <v>-0.35795138888888889</v>
      </c>
    </row>
    <row r="239" spans="1:40" x14ac:dyDescent="0.25">
      <c r="A239" s="99">
        <v>167</v>
      </c>
      <c r="B239" s="99" t="s">
        <v>55</v>
      </c>
      <c r="C239" s="99"/>
      <c r="D239" s="99"/>
      <c r="E239" s="99" t="s">
        <v>201</v>
      </c>
      <c r="F239" s="99" t="s">
        <v>216</v>
      </c>
      <c r="G239" s="99" t="s">
        <v>13656</v>
      </c>
      <c r="H239" s="99">
        <v>26</v>
      </c>
      <c r="I239" s="99">
        <v>14</v>
      </c>
      <c r="J239" s="99">
        <v>2</v>
      </c>
      <c r="K239" s="101" t="str">
        <f t="shared" si="31"/>
        <v>26x14x2</v>
      </c>
      <c r="L239" s="102">
        <f t="shared" si="32"/>
        <v>5.2374100719424463</v>
      </c>
      <c r="M239" s="113">
        <f t="shared" si="33"/>
        <v>5.2374100719424463</v>
      </c>
      <c r="N239" s="113">
        <f t="shared" si="34"/>
        <v>6</v>
      </c>
      <c r="O239" s="99">
        <v>7</v>
      </c>
      <c r="P239" s="113">
        <f t="shared" si="35"/>
        <v>7</v>
      </c>
      <c r="Q239" s="112">
        <f t="shared" si="36"/>
        <v>112</v>
      </c>
      <c r="R239" s="112" t="str">
        <f t="shared" si="37"/>
        <v>Oversize</v>
      </c>
      <c r="S239" s="99" t="str">
        <f t="shared" si="38"/>
        <v>Large bulky</v>
      </c>
      <c r="T239" s="116" t="s">
        <v>13692</v>
      </c>
      <c r="U239" s="116">
        <f t="shared" si="39"/>
        <v>0.42129629629629628</v>
      </c>
      <c r="V239" s="116" t="s">
        <v>13583</v>
      </c>
      <c r="W239" s="116" t="s">
        <v>13690</v>
      </c>
      <c r="X239" s="116" t="s">
        <v>13691</v>
      </c>
      <c r="Y239" s="116">
        <v>2</v>
      </c>
      <c r="Z239" s="116">
        <v>3</v>
      </c>
      <c r="AA239" s="116">
        <v>1</v>
      </c>
      <c r="AB239" s="99"/>
      <c r="AC239" s="99"/>
      <c r="AD239" s="107">
        <v>49.392292993630917</v>
      </c>
      <c r="AE239" s="113">
        <f t="shared" si="40"/>
        <v>-7.4088439490446376</v>
      </c>
      <c r="AF239" s="116">
        <f>-IFERROR(IFERROR(VLOOKUP(ROUNDUP($Q239,0),'FBA FEES'!$L$2:$Q$203,MATCH($S239,'FBA FEES'!$L$2:$Q$2,0),FALSE),VLOOKUP(ROUNDUP($Q239,0),'FBA FEES'!$C$6:$F$123,MATCH($S239,'FBA FEES'!$C$6:$F$6,0),FALSE)),0)</f>
        <v>-11.89</v>
      </c>
      <c r="AG239" s="116">
        <v>-7</v>
      </c>
      <c r="AH239" s="113">
        <f t="shared" si="41"/>
        <v>-19.298843949044638</v>
      </c>
      <c r="AI239" s="116">
        <f>-IFERROR(IF($Y239=1,INDEX('[1]REMOVAL FEES'!$A$1:$C$22,MATCH(CONCATENATE("Standard Size",$P239),'[1]REMOVAL FEES'!$A$1:$A$22,0),3),IF($Y239=2,IF($P239&gt;10,(($P239-10)*1.06)+INDEX('[1]REMOVAL FEES'!$E$1:$G$22,MATCH(CONCATENATE("Large bulky, extra-large and special handling items",IF($P239&gt;=11,11,$P239)),'[1]REMOVAL FEES'!$E$1:$E$13,0),3),INDEX('[1]REMOVAL FEES'!$E$1:$G$22,MATCH(CONCATENATE("Large bulky, extra-large and special handling items",IF($P239&gt;=11,11,$P239)),'[1]REMOVAL FEES'!$E$1:$E$13,0),3))))*$AA239,FALSE)</f>
        <v>-10.039999999999999</v>
      </c>
      <c r="AJ239" s="107">
        <f t="shared" si="42"/>
        <v>-29.338843949044637</v>
      </c>
      <c r="AK239" s="107">
        <v>-9.7856900212313764</v>
      </c>
      <c r="AL239" s="107">
        <v>-6.5411965911552139</v>
      </c>
      <c r="AM239" s="107">
        <f t="shared" si="43"/>
        <v>-16.326886612386591</v>
      </c>
      <c r="AN239" s="116">
        <f>(-IF($V239="Yes", IF($X239="Yes", VLOOKUP($W239, '[1]Storage Fees'!A:M, 13, FALSE), VLOOKUP($W239, '[1]Storage Fees'!A:M, 10, FALSE)), IF($X239="Yes", VLOOKUP($W239, '[1]Storage Fees'!A:M, 7, FALSE), VLOOKUP($W239, '[1]Storage Fees'!A:M, 4, FALSE))) * U239)*1.5</f>
        <v>-0.4992361111111111</v>
      </c>
    </row>
    <row r="240" spans="1:40" x14ac:dyDescent="0.25">
      <c r="A240" s="99">
        <v>168</v>
      </c>
      <c r="B240" s="99" t="s">
        <v>55</v>
      </c>
      <c r="C240" s="99"/>
      <c r="D240" s="99"/>
      <c r="E240" s="99" t="s">
        <v>201</v>
      </c>
      <c r="F240" s="99" t="s">
        <v>218</v>
      </c>
      <c r="G240" s="99" t="s">
        <v>13656</v>
      </c>
      <c r="H240" s="99">
        <v>26</v>
      </c>
      <c r="I240" s="99">
        <v>20</v>
      </c>
      <c r="J240" s="99">
        <v>2</v>
      </c>
      <c r="K240" s="101" t="str">
        <f t="shared" si="31"/>
        <v>26x20x2</v>
      </c>
      <c r="L240" s="102">
        <f t="shared" si="32"/>
        <v>7.4820143884892083</v>
      </c>
      <c r="M240" s="113">
        <f t="shared" si="33"/>
        <v>7.4820143884892083</v>
      </c>
      <c r="N240" s="113">
        <f t="shared" si="34"/>
        <v>8</v>
      </c>
      <c r="O240" s="99">
        <v>10</v>
      </c>
      <c r="P240" s="113">
        <f t="shared" si="35"/>
        <v>10</v>
      </c>
      <c r="Q240" s="112">
        <f t="shared" si="36"/>
        <v>160</v>
      </c>
      <c r="R240" s="112" t="str">
        <f t="shared" si="37"/>
        <v>Oversize</v>
      </c>
      <c r="S240" s="99" t="str">
        <f t="shared" si="38"/>
        <v>Large bulky</v>
      </c>
      <c r="T240" s="116" t="s">
        <v>13692</v>
      </c>
      <c r="U240" s="116">
        <f t="shared" si="39"/>
        <v>0.60185185185185186</v>
      </c>
      <c r="V240" s="116" t="s">
        <v>13583</v>
      </c>
      <c r="W240" s="116" t="s">
        <v>13690</v>
      </c>
      <c r="X240" s="116" t="s">
        <v>13691</v>
      </c>
      <c r="Y240" s="116">
        <v>2</v>
      </c>
      <c r="Z240" s="116">
        <v>3</v>
      </c>
      <c r="AA240" s="116">
        <v>1</v>
      </c>
      <c r="AB240" s="99"/>
      <c r="AC240" s="99"/>
      <c r="AD240" s="107">
        <v>61.940019726859049</v>
      </c>
      <c r="AE240" s="113">
        <f t="shared" si="40"/>
        <v>-9.291002959028857</v>
      </c>
      <c r="AF240" s="118">
        <f>-IFERROR(IFERROR(VLOOKUP(ROUNDUP($Q240,0),'FBA FEES'!$L$2:$Q$203,MATCH($S240,'FBA FEES'!$L$2:$Q$2,0),FALSE),VLOOKUP(ROUNDUP($Q240,0),'FBA FEES'!$C$6:$F$123,MATCH($S240,'FBA FEES'!$C$6:$F$6,0),FALSE)),0)</f>
        <v>-13.03</v>
      </c>
      <c r="AG240" s="116">
        <v>-7</v>
      </c>
      <c r="AH240" s="113">
        <f t="shared" si="41"/>
        <v>-22.321002959028856</v>
      </c>
      <c r="AI240" s="118">
        <f>-IFERROR(IF($Y240=1,INDEX('[1]REMOVAL FEES'!$A$1:$C$22,MATCH(CONCATENATE("Standard Size",$P240),'[1]REMOVAL FEES'!$A$1:$A$22,0),3),IF($Y240=2,IF($P240&gt;10,(($P240-10)*1.06)+INDEX('[1]REMOVAL FEES'!$E$1:$G$22,MATCH(CONCATENATE("Large bulky, extra-large and special handling items",IF($P240&gt;=11,11,$P240)),'[1]REMOVAL FEES'!$E$1:$E$13,0),3),INDEX('[1]REMOVAL FEES'!$E$1:$G$22,MATCH(CONCATENATE("Large bulky, extra-large and special handling items",IF($P240&gt;=11,11,$P240)),'[1]REMOVAL FEES'!$E$1:$E$13,0),3))))*$AA240,FALSE)</f>
        <v>-10.039999999999999</v>
      </c>
      <c r="AJ240" s="107">
        <f t="shared" si="42"/>
        <v>-32.361002959028852</v>
      </c>
      <c r="AK240" s="107">
        <v>-13.675569044006069</v>
      </c>
      <c r="AL240" s="107">
        <v>-8.2604277128419934</v>
      </c>
      <c r="AM240" s="107">
        <f t="shared" si="43"/>
        <v>-21.935996756848063</v>
      </c>
      <c r="AN240" s="118">
        <f>(-IF($V240="Yes", IF($X240="Yes", VLOOKUP($W240, '[1]Storage Fees'!A:M, 13, FALSE), VLOOKUP($W240, '[1]Storage Fees'!A:M, 10, FALSE)), IF($X240="Yes", VLOOKUP($W240, '[1]Storage Fees'!A:M, 7, FALSE), VLOOKUP($W240, '[1]Storage Fees'!A:M, 4, FALSE))) * U240)*1.5</f>
        <v>-0.71319444444444446</v>
      </c>
    </row>
    <row r="241" spans="1:40" x14ac:dyDescent="0.25">
      <c r="A241" s="99">
        <v>169</v>
      </c>
      <c r="B241" s="99" t="s">
        <v>55</v>
      </c>
      <c r="C241" s="99"/>
      <c r="D241" s="99"/>
      <c r="E241" s="99" t="s">
        <v>201</v>
      </c>
      <c r="F241" s="99" t="s">
        <v>220</v>
      </c>
      <c r="G241" s="99" t="s">
        <v>13656</v>
      </c>
      <c r="H241" s="99">
        <v>25</v>
      </c>
      <c r="I241" s="99">
        <v>25</v>
      </c>
      <c r="J241" s="99">
        <v>3</v>
      </c>
      <c r="K241" s="101" t="str">
        <f t="shared" si="31"/>
        <v>25x25x3</v>
      </c>
      <c r="L241" s="102">
        <f t="shared" si="32"/>
        <v>13.489208633093526</v>
      </c>
      <c r="M241" s="113">
        <f t="shared" si="33"/>
        <v>13.489208633093526</v>
      </c>
      <c r="N241" s="113">
        <f t="shared" si="34"/>
        <v>14</v>
      </c>
      <c r="O241" s="99">
        <v>13</v>
      </c>
      <c r="P241" s="113">
        <f t="shared" si="35"/>
        <v>14</v>
      </c>
      <c r="Q241" s="112">
        <f t="shared" si="36"/>
        <v>224</v>
      </c>
      <c r="R241" s="112" t="str">
        <f t="shared" si="37"/>
        <v>Oversize</v>
      </c>
      <c r="S241" s="99" t="str">
        <f t="shared" si="38"/>
        <v>Large bulky</v>
      </c>
      <c r="T241" s="116" t="s">
        <v>13692</v>
      </c>
      <c r="U241" s="116">
        <f t="shared" si="39"/>
        <v>1.0850694444444444</v>
      </c>
      <c r="V241" s="116" t="s">
        <v>13583</v>
      </c>
      <c r="W241" s="116" t="s">
        <v>13690</v>
      </c>
      <c r="X241" s="116" t="s">
        <v>13691</v>
      </c>
      <c r="Y241" s="116">
        <v>2</v>
      </c>
      <c r="Z241" s="116">
        <v>3</v>
      </c>
      <c r="AA241" s="116">
        <v>1</v>
      </c>
      <c r="AB241" s="99"/>
      <c r="AC241" s="99"/>
      <c r="AD241" s="107">
        <v>81.620204081632508</v>
      </c>
      <c r="AE241" s="113">
        <f t="shared" si="40"/>
        <v>-12.243030612244876</v>
      </c>
      <c r="AF241" s="116">
        <f>-IFERROR(IFERROR(VLOOKUP(ROUNDUP($Q241,0),'FBA FEES'!$L$2:$Q$203,MATCH($S241,'FBA FEES'!$L$2:$Q$2,0),FALSE),VLOOKUP(ROUNDUP($Q241,0),'FBA FEES'!$C$6:$F$123,MATCH($S241,'FBA FEES'!$C$6:$F$6,0),FALSE)),0)</f>
        <v>-14.55</v>
      </c>
      <c r="AG241" s="116">
        <v>-7</v>
      </c>
      <c r="AH241" s="113">
        <f t="shared" si="41"/>
        <v>-26.793030612244877</v>
      </c>
      <c r="AI241" s="116">
        <f>-IFERROR(IF($Y241=1,INDEX('[1]REMOVAL FEES'!$A$1:$C$22,MATCH(CONCATENATE("Standard Size",$P241),'[1]REMOVAL FEES'!$A$1:$A$22,0),3),IF($Y241=2,IF($P241&gt;10,(($P241-10)*1.06)+INDEX('[1]REMOVAL FEES'!$E$1:$G$22,MATCH(CONCATENATE("Large bulky, extra-large and special handling items",IF($P241&gt;=11,11,$P241)),'[1]REMOVAL FEES'!$E$1:$E$13,0),3),INDEX('[1]REMOVAL FEES'!$E$1:$G$22,MATCH(CONCATENATE("Large bulky, extra-large and special handling items",IF($P241&gt;=11,11,$P241)),'[1]REMOVAL FEES'!$E$1:$E$13,0),3))))*$AA241,FALSE)</f>
        <v>-18.560000000000002</v>
      </c>
      <c r="AJ241" s="107">
        <f t="shared" si="42"/>
        <v>-45.353030612244879</v>
      </c>
      <c r="AK241" s="107">
        <v>-16.60836734693876</v>
      </c>
      <c r="AL241" s="107">
        <v>-8.4089972887820572</v>
      </c>
      <c r="AM241" s="107">
        <f t="shared" si="43"/>
        <v>-25.017364635720817</v>
      </c>
      <c r="AN241" s="116">
        <f>(-IF($V241="Yes", IF($X241="Yes", VLOOKUP($W241, '[1]Storage Fees'!A:M, 13, FALSE), VLOOKUP($W241, '[1]Storage Fees'!A:M, 10, FALSE)), IF($X241="Yes", VLOOKUP($W241, '[1]Storage Fees'!A:M, 7, FALSE), VLOOKUP($W241, '[1]Storage Fees'!A:M, 4, FALSE))) * U241)*1.5</f>
        <v>-1.2858072916666667</v>
      </c>
    </row>
    <row r="242" spans="1:40" x14ac:dyDescent="0.25">
      <c r="A242" s="99">
        <v>170</v>
      </c>
      <c r="B242" s="99" t="s">
        <v>55</v>
      </c>
      <c r="C242" s="99"/>
      <c r="D242" s="99"/>
      <c r="E242" s="99" t="s">
        <v>201</v>
      </c>
      <c r="F242" s="99" t="s">
        <v>222</v>
      </c>
      <c r="G242" s="99" t="s">
        <v>13656</v>
      </c>
      <c r="H242" s="99">
        <v>37</v>
      </c>
      <c r="I242" s="99">
        <v>25</v>
      </c>
      <c r="J242" s="99">
        <v>3</v>
      </c>
      <c r="K242" s="101" t="str">
        <f t="shared" si="31"/>
        <v>37x25x3</v>
      </c>
      <c r="L242" s="102">
        <f t="shared" si="32"/>
        <v>19.964028776978417</v>
      </c>
      <c r="M242" s="113">
        <f t="shared" si="33"/>
        <v>19.964028776978417</v>
      </c>
      <c r="N242" s="113">
        <f t="shared" si="34"/>
        <v>20</v>
      </c>
      <c r="O242" s="99">
        <v>19</v>
      </c>
      <c r="P242" s="113">
        <f t="shared" si="35"/>
        <v>20</v>
      </c>
      <c r="Q242" s="112">
        <f t="shared" si="36"/>
        <v>320</v>
      </c>
      <c r="R242" s="112" t="str">
        <f t="shared" si="37"/>
        <v>Oversize</v>
      </c>
      <c r="S242" s="99" t="str">
        <f t="shared" si="38"/>
        <v>Large bulky</v>
      </c>
      <c r="T242" s="116" t="s">
        <v>13692</v>
      </c>
      <c r="U242" s="116">
        <f t="shared" si="39"/>
        <v>1.6059027777777777</v>
      </c>
      <c r="V242" s="116" t="s">
        <v>13583</v>
      </c>
      <c r="W242" s="116" t="s">
        <v>13690</v>
      </c>
      <c r="X242" s="116" t="s">
        <v>13691</v>
      </c>
      <c r="Y242" s="116">
        <v>2</v>
      </c>
      <c r="Z242" s="116">
        <v>3</v>
      </c>
      <c r="AA242" s="116">
        <v>1</v>
      </c>
      <c r="AB242" s="99"/>
      <c r="AC242" s="99"/>
      <c r="AD242" s="107">
        <v>107.4506250000006</v>
      </c>
      <c r="AE242" s="113">
        <f t="shared" si="40"/>
        <v>-16.11759375000009</v>
      </c>
      <c r="AF242" s="118">
        <f>-IFERROR(IFERROR(VLOOKUP(ROUNDUP($Q242,0),'FBA FEES'!$L$2:$Q$203,MATCH($S242,'FBA FEES'!$L$2:$Q$2,0),FALSE),VLOOKUP(ROUNDUP($Q242,0),'FBA FEES'!$C$6:$F$123,MATCH($S242,'FBA FEES'!$C$6:$F$6,0),FALSE)),0)</f>
        <v>-16.829999999999998</v>
      </c>
      <c r="AG242" s="116">
        <v>-7</v>
      </c>
      <c r="AH242" s="113">
        <f t="shared" si="41"/>
        <v>-32.947593750000088</v>
      </c>
      <c r="AI242" s="118">
        <f>-IFERROR(IF($Y242=1,INDEX('[1]REMOVAL FEES'!$A$1:$C$22,MATCH(CONCATENATE("Standard Size",$P242),'[1]REMOVAL FEES'!$A$1:$A$22,0),3),IF($Y242=2,IF($P242&gt;10,(($P242-10)*1.06)+INDEX('[1]REMOVAL FEES'!$E$1:$G$22,MATCH(CONCATENATE("Large bulky, extra-large and special handling items",IF($P242&gt;=11,11,$P242)),'[1]REMOVAL FEES'!$E$1:$E$13,0),3),INDEX('[1]REMOVAL FEES'!$E$1:$G$22,MATCH(CONCATENATE("Large bulky, extra-large and special handling items",IF($P242&gt;=11,11,$P242)),'[1]REMOVAL FEES'!$E$1:$E$13,0),3))))*$AA242,FALSE)</f>
        <v>-24.92</v>
      </c>
      <c r="AJ242" s="107">
        <f t="shared" si="42"/>
        <v>-57.86759375000009</v>
      </c>
      <c r="AK242" s="107">
        <v>-27.46417763157908</v>
      </c>
      <c r="AL242" s="107">
        <v>-9.2397594668600984</v>
      </c>
      <c r="AM242" s="107">
        <f t="shared" si="43"/>
        <v>-36.703937098439177</v>
      </c>
      <c r="AN242" s="118">
        <f>(-IF($V242="Yes", IF($X242="Yes", VLOOKUP($W242, '[1]Storage Fees'!A:M, 13, FALSE), VLOOKUP($W242, '[1]Storage Fees'!A:M, 10, FALSE)), IF($X242="Yes", VLOOKUP($W242, '[1]Storage Fees'!A:M, 7, FALSE), VLOOKUP($W242, '[1]Storage Fees'!A:M, 4, FALSE))) * U242)*1.5</f>
        <v>-1.9029947916666665</v>
      </c>
    </row>
    <row r="243" spans="1:40" x14ac:dyDescent="0.25">
      <c r="A243" s="99">
        <v>171</v>
      </c>
      <c r="B243" s="99" t="s">
        <v>55</v>
      </c>
      <c r="C243" s="99"/>
      <c r="D243" s="99"/>
      <c r="E243" s="99" t="s">
        <v>201</v>
      </c>
      <c r="F243" s="99" t="s">
        <v>224</v>
      </c>
      <c r="G243" s="99" t="s">
        <v>13656</v>
      </c>
      <c r="H243" s="99">
        <v>41</v>
      </c>
      <c r="I243" s="99">
        <v>22</v>
      </c>
      <c r="J243" s="99">
        <v>3</v>
      </c>
      <c r="K243" s="101" t="str">
        <f t="shared" si="31"/>
        <v>41x22x3</v>
      </c>
      <c r="L243" s="102">
        <f t="shared" si="32"/>
        <v>19.467625899280577</v>
      </c>
      <c r="M243" s="113">
        <f t="shared" si="33"/>
        <v>19.467625899280577</v>
      </c>
      <c r="N243" s="113">
        <f t="shared" si="34"/>
        <v>20</v>
      </c>
      <c r="O243" s="99">
        <v>25</v>
      </c>
      <c r="P243" s="113">
        <f t="shared" si="35"/>
        <v>25</v>
      </c>
      <c r="Q243" s="112">
        <f t="shared" si="36"/>
        <v>400</v>
      </c>
      <c r="R243" s="112" t="str">
        <f t="shared" si="37"/>
        <v>Oversize</v>
      </c>
      <c r="S243" s="99" t="str">
        <f t="shared" si="38"/>
        <v>Large bulky</v>
      </c>
      <c r="T243" s="116" t="s">
        <v>13692</v>
      </c>
      <c r="U243" s="116">
        <f t="shared" si="39"/>
        <v>1.5659722222222223</v>
      </c>
      <c r="V243" s="116" t="s">
        <v>13583</v>
      </c>
      <c r="W243" s="116" t="s">
        <v>13690</v>
      </c>
      <c r="X243" s="116" t="s">
        <v>13691</v>
      </c>
      <c r="Y243" s="116">
        <v>2</v>
      </c>
      <c r="Z243" s="116">
        <v>3</v>
      </c>
      <c r="AA243" s="116">
        <v>1</v>
      </c>
      <c r="AB243" s="99"/>
      <c r="AC243" s="99"/>
      <c r="AD243" s="107">
        <v>118.2106122448978</v>
      </c>
      <c r="AE243" s="113">
        <f t="shared" si="40"/>
        <v>-17.731591836734669</v>
      </c>
      <c r="AF243" s="118">
        <f>-IFERROR(IFERROR(VLOOKUP(ROUNDUP($Q243,0),'FBA FEES'!$L$2:$Q$203,MATCH($S243,'FBA FEES'!$L$2:$Q$2,0),FALSE),VLOOKUP(ROUNDUP($Q243,0),'FBA FEES'!$C$6:$F$123,MATCH($S243,'FBA FEES'!$C$6:$F$6,0),FALSE)),0)</f>
        <v>-18.73</v>
      </c>
      <c r="AG243" s="116">
        <v>-7</v>
      </c>
      <c r="AH243" s="113">
        <f t="shared" si="41"/>
        <v>-36.461591836734669</v>
      </c>
      <c r="AI243" s="118">
        <f>-IFERROR(IF($Y243=1,INDEX('[1]REMOVAL FEES'!$A$1:$C$22,MATCH(CONCATENATE("Standard Size",$P243),'[1]REMOVAL FEES'!$A$1:$A$22,0),3),IF($Y243=2,IF($P243&gt;10,(($P243-10)*1.06)+INDEX('[1]REMOVAL FEES'!$E$1:$G$22,MATCH(CONCATENATE("Large bulky, extra-large and special handling items",IF($P243&gt;=11,11,$P243)),'[1]REMOVAL FEES'!$E$1:$E$13,0),3),INDEX('[1]REMOVAL FEES'!$E$1:$G$22,MATCH(CONCATENATE("Large bulky, extra-large and special handling items",IF($P243&gt;=11,11,$P243)),'[1]REMOVAL FEES'!$E$1:$E$13,0),3))))*$AA243,FALSE)</f>
        <v>-30.22</v>
      </c>
      <c r="AJ243" s="107">
        <f t="shared" si="42"/>
        <v>-66.681591836734668</v>
      </c>
      <c r="AK243" s="107">
        <v>-35.870612244897927</v>
      </c>
      <c r="AL243" s="107">
        <v>-11.9905436217222</v>
      </c>
      <c r="AM243" s="107">
        <f t="shared" si="43"/>
        <v>-47.861155866620123</v>
      </c>
      <c r="AN243" s="118">
        <f>(-IF($V243="Yes", IF($X243="Yes", VLOOKUP($W243, '[1]Storage Fees'!A:M, 13, FALSE), VLOOKUP($W243, '[1]Storage Fees'!A:M, 10, FALSE)), IF($X243="Yes", VLOOKUP($W243, '[1]Storage Fees'!A:M, 7, FALSE), VLOOKUP($W243, '[1]Storage Fees'!A:M, 4, FALSE))) * U243)*1.5</f>
        <v>-1.8556770833333336</v>
      </c>
    </row>
    <row r="244" spans="1:40" x14ac:dyDescent="0.25">
      <c r="A244" s="99">
        <v>172</v>
      </c>
      <c r="B244" s="99" t="s">
        <v>55</v>
      </c>
      <c r="C244" s="99"/>
      <c r="D244" s="99"/>
      <c r="E244" s="99" t="s">
        <v>201</v>
      </c>
      <c r="F244" s="99" t="s">
        <v>226</v>
      </c>
      <c r="G244" s="99" t="s">
        <v>13695</v>
      </c>
      <c r="H244" s="99">
        <v>41</v>
      </c>
      <c r="I244" s="99">
        <v>22</v>
      </c>
      <c r="J244" s="99">
        <v>3</v>
      </c>
      <c r="K244" s="101" t="str">
        <f t="shared" si="31"/>
        <v>41x22x3</v>
      </c>
      <c r="L244" s="102">
        <f t="shared" si="32"/>
        <v>19.467625899280577</v>
      </c>
      <c r="M244" s="113">
        <f t="shared" si="33"/>
        <v>19.467625899280577</v>
      </c>
      <c r="N244" s="113">
        <f t="shared" si="34"/>
        <v>20</v>
      </c>
      <c r="O244" s="99">
        <v>29</v>
      </c>
      <c r="P244" s="113">
        <f t="shared" si="35"/>
        <v>29</v>
      </c>
      <c r="Q244" s="112">
        <f t="shared" si="36"/>
        <v>464</v>
      </c>
      <c r="R244" s="112" t="str">
        <f t="shared" si="37"/>
        <v>Oversize</v>
      </c>
      <c r="S244" s="99" t="str">
        <f t="shared" si="38"/>
        <v>Large bulky</v>
      </c>
      <c r="T244" s="116" t="s">
        <v>13692</v>
      </c>
      <c r="U244" s="116">
        <f t="shared" si="39"/>
        <v>1.5659722222222223</v>
      </c>
      <c r="V244" s="116" t="s">
        <v>13583</v>
      </c>
      <c r="W244" s="116" t="s">
        <v>13690</v>
      </c>
      <c r="X244" s="116" t="s">
        <v>13691</v>
      </c>
      <c r="Y244" s="116">
        <v>2</v>
      </c>
      <c r="Z244" s="116">
        <v>3</v>
      </c>
      <c r="AA244" s="116">
        <v>1</v>
      </c>
      <c r="AB244" s="99"/>
      <c r="AC244" s="99"/>
      <c r="AD244" s="107">
        <v>125.86086021505371</v>
      </c>
      <c r="AE244" s="113">
        <f t="shared" si="40"/>
        <v>-18.879129032258056</v>
      </c>
      <c r="AF244" s="116">
        <f>-IFERROR(IFERROR(VLOOKUP(ROUNDUP($Q244,0),'FBA FEES'!$L$2:$Q$203,MATCH($S244,'FBA FEES'!$L$2:$Q$2,0),FALSE),VLOOKUP(ROUNDUP($Q244,0),'FBA FEES'!$C$6:$F$123,MATCH($S244,'FBA FEES'!$C$6:$F$6,0),FALSE)),0)</f>
        <v>-20.25</v>
      </c>
      <c r="AG244" s="116">
        <v>-7</v>
      </c>
      <c r="AH244" s="113">
        <f t="shared" si="41"/>
        <v>-39.129129032258056</v>
      </c>
      <c r="AI244" s="116">
        <f>-IFERROR(IF($Y244=1,INDEX('[1]REMOVAL FEES'!$A$1:$C$22,MATCH(CONCATENATE("Standard Size",$P244),'[1]REMOVAL FEES'!$A$1:$A$22,0),3),IF($Y244=2,IF($P244&gt;10,(($P244-10)*1.06)+INDEX('[1]REMOVAL FEES'!$E$1:$G$22,MATCH(CONCATENATE("Large bulky, extra-large and special handling items",IF($P244&gt;=11,11,$P244)),'[1]REMOVAL FEES'!$E$1:$E$13,0),3),INDEX('[1]REMOVAL FEES'!$E$1:$G$22,MATCH(CONCATENATE("Large bulky, extra-large and special handling items",IF($P244&gt;=11,11,$P244)),'[1]REMOVAL FEES'!$E$1:$E$13,0),3))))*$AA244,FALSE)</f>
        <v>-34.46</v>
      </c>
      <c r="AJ244" s="107">
        <f t="shared" si="42"/>
        <v>-73.589129032258057</v>
      </c>
      <c r="AK244" s="107">
        <v>-41.663978494623542</v>
      </c>
      <c r="AL244" s="107">
        <v>-12.203895628433649</v>
      </c>
      <c r="AM244" s="107">
        <f t="shared" si="43"/>
        <v>-53.867874123057192</v>
      </c>
      <c r="AN244" s="116">
        <f>(-IF($V244="Yes", IF($X244="Yes", VLOOKUP($W244, '[1]Storage Fees'!A:M, 13, FALSE), VLOOKUP($W244, '[1]Storage Fees'!A:M, 10, FALSE)), IF($X244="Yes", VLOOKUP($W244, '[1]Storage Fees'!A:M, 7, FALSE), VLOOKUP($W244, '[1]Storage Fees'!A:M, 4, FALSE))) * U244)*1.5</f>
        <v>-1.8556770833333336</v>
      </c>
    </row>
    <row r="245" spans="1:40" x14ac:dyDescent="0.25">
      <c r="A245" s="99">
        <v>173</v>
      </c>
      <c r="B245" s="99" t="s">
        <v>55</v>
      </c>
      <c r="C245" s="99"/>
      <c r="D245" s="99"/>
      <c r="E245" s="99" t="s">
        <v>201</v>
      </c>
      <c r="F245" s="99" t="s">
        <v>228</v>
      </c>
      <c r="G245" s="99" t="s">
        <v>13695</v>
      </c>
      <c r="H245" s="99">
        <v>42</v>
      </c>
      <c r="I245" s="99">
        <v>23</v>
      </c>
      <c r="J245" s="99">
        <v>4</v>
      </c>
      <c r="K245" s="101" t="str">
        <f t="shared" si="31"/>
        <v>42x23x4</v>
      </c>
      <c r="L245" s="102">
        <f t="shared" si="32"/>
        <v>27.798561151079138</v>
      </c>
      <c r="M245" s="113">
        <f t="shared" si="33"/>
        <v>27.798561151079138</v>
      </c>
      <c r="N245" s="113">
        <f t="shared" si="34"/>
        <v>28</v>
      </c>
      <c r="O245" s="99">
        <v>43</v>
      </c>
      <c r="P245" s="113">
        <f t="shared" si="35"/>
        <v>43</v>
      </c>
      <c r="Q245" s="112">
        <f t="shared" si="36"/>
        <v>688</v>
      </c>
      <c r="R245" s="112" t="str">
        <f t="shared" si="37"/>
        <v>Oversize</v>
      </c>
      <c r="S245" s="99" t="str">
        <f t="shared" si="38"/>
        <v>Large bulky</v>
      </c>
      <c r="T245" s="116" t="s">
        <v>13694</v>
      </c>
      <c r="U245" s="116">
        <f t="shared" si="39"/>
        <v>2.2361111111111112</v>
      </c>
      <c r="V245" s="116" t="s">
        <v>13583</v>
      </c>
      <c r="W245" s="116" t="s">
        <v>13690</v>
      </c>
      <c r="X245" s="116" t="s">
        <v>13691</v>
      </c>
      <c r="Y245" s="116">
        <v>2</v>
      </c>
      <c r="Z245" s="116">
        <v>3</v>
      </c>
      <c r="AA245" s="116">
        <v>1</v>
      </c>
      <c r="AB245" s="99"/>
      <c r="AC245" s="99"/>
      <c r="AD245" s="107">
        <v>137.43444444444441</v>
      </c>
      <c r="AE245" s="113">
        <f t="shared" si="40"/>
        <v>-20.61516666666666</v>
      </c>
      <c r="AF245" s="116">
        <f>-IFERROR(IFERROR(VLOOKUP(ROUNDUP($Q245,0),'FBA FEES'!$L$2:$Q$203,MATCH($S245,'FBA FEES'!$L$2:$Q$2,0),FALSE),VLOOKUP(ROUNDUP($Q245,0),'FBA FEES'!$C$6:$F$123,MATCH($S245,'FBA FEES'!$C$6:$F$6,0),FALSE)),0)</f>
        <v>-25.57</v>
      </c>
      <c r="AG245" s="116">
        <v>-7</v>
      </c>
      <c r="AH245" s="113">
        <f t="shared" si="41"/>
        <v>-46.18516666666666</v>
      </c>
      <c r="AI245" s="116">
        <f>-IFERROR(IF($Y245=1,INDEX('[1]REMOVAL FEES'!$A$1:$C$22,MATCH(CONCATENATE("Standard Size",$P245),'[1]REMOVAL FEES'!$A$1:$A$22,0),3),IF($Y245=2,IF($P245&gt;10,(($P245-10)*1.06)+INDEX('[1]REMOVAL FEES'!$E$1:$G$22,MATCH(CONCATENATE("Large bulky, extra-large and special handling items",IF($P245&gt;=11,11,$P245)),'[1]REMOVAL FEES'!$E$1:$E$13,0),3),INDEX('[1]REMOVAL FEES'!$E$1:$G$22,MATCH(CONCATENATE("Large bulky, extra-large and special handling items",IF($P245&gt;=11,11,$P245)),'[1]REMOVAL FEES'!$E$1:$E$13,0),3))))*$AA245,FALSE)</f>
        <v>-49.300000000000004</v>
      </c>
      <c r="AJ245" s="107">
        <f t="shared" si="42"/>
        <v>-95.485166666666657</v>
      </c>
      <c r="AK245" s="107">
        <v>-55.831111111111099</v>
      </c>
      <c r="AL245" s="107">
        <v>-12.941777777777769</v>
      </c>
      <c r="AM245" s="107">
        <f t="shared" si="43"/>
        <v>-68.772888888888872</v>
      </c>
      <c r="AN245" s="116">
        <f>(-IF($V245="Yes", IF($X245="Yes", VLOOKUP($W245, '[1]Storage Fees'!A:M, 13, FALSE), VLOOKUP($W245, '[1]Storage Fees'!A:M, 10, FALSE)), IF($X245="Yes", VLOOKUP($W245, '[1]Storage Fees'!A:M, 7, FALSE), VLOOKUP($W245, '[1]Storage Fees'!A:M, 4, FALSE))) * U245)*1.5</f>
        <v>-2.6497916666666668</v>
      </c>
    </row>
    <row r="246" spans="1:40" x14ac:dyDescent="0.25">
      <c r="A246" s="99">
        <v>174</v>
      </c>
      <c r="B246" s="99" t="s">
        <v>55</v>
      </c>
      <c r="C246" s="99" t="s">
        <v>13655</v>
      </c>
      <c r="D246" s="99"/>
      <c r="E246" s="99" t="s">
        <v>201</v>
      </c>
      <c r="F246" s="99" t="s">
        <v>797</v>
      </c>
      <c r="G246" s="99" t="s">
        <v>13695</v>
      </c>
      <c r="H246" s="99">
        <v>41</v>
      </c>
      <c r="I246" s="99">
        <v>22</v>
      </c>
      <c r="J246" s="99">
        <v>5</v>
      </c>
      <c r="K246" s="101" t="str">
        <f t="shared" si="31"/>
        <v>41x22x5</v>
      </c>
      <c r="L246" s="102">
        <f t="shared" si="32"/>
        <v>32.446043165467628</v>
      </c>
      <c r="M246" s="113">
        <f t="shared" si="33"/>
        <v>32.446043165467628</v>
      </c>
      <c r="N246" s="113">
        <f t="shared" si="34"/>
        <v>33</v>
      </c>
      <c r="O246" s="99">
        <v>55</v>
      </c>
      <c r="P246" s="113">
        <f t="shared" si="35"/>
        <v>55</v>
      </c>
      <c r="Q246" s="112">
        <f t="shared" si="36"/>
        <v>880</v>
      </c>
      <c r="R246" s="112" t="str">
        <f t="shared" si="37"/>
        <v>Oversize</v>
      </c>
      <c r="S246" s="99" t="str">
        <f t="shared" si="38"/>
        <v>Extra-large 50+ to 70 lb</v>
      </c>
      <c r="T246" s="116" t="s">
        <v>13689</v>
      </c>
      <c r="U246" s="116">
        <f t="shared" si="39"/>
        <v>2.6099537037037037</v>
      </c>
      <c r="V246" s="116" t="s">
        <v>13583</v>
      </c>
      <c r="W246" s="116" t="s">
        <v>13690</v>
      </c>
      <c r="X246" s="116" t="s">
        <v>13691</v>
      </c>
      <c r="Y246" s="116">
        <v>2</v>
      </c>
      <c r="Z246" s="116">
        <v>5</v>
      </c>
      <c r="AA246" s="116">
        <v>1</v>
      </c>
      <c r="AB246" s="99"/>
      <c r="AC246" s="99"/>
      <c r="AD246" s="107">
        <v>166.92750000000001</v>
      </c>
      <c r="AE246" s="113">
        <f t="shared" si="40"/>
        <v>-25.039125000000002</v>
      </c>
      <c r="AF246" s="116">
        <f>-IFERROR(IFERROR(VLOOKUP(ROUNDUP($Q246,0),'FBA FEES'!$L$2:$Q$203,MATCH($S246,'FBA FEES'!$L$2:$Q$2,0),FALSE),VLOOKUP(ROUNDUP($Q246,0),'FBA FEES'!$C$6:$F$123,MATCH($S246,'FBA FEES'!$C$6:$F$6,0),FALSE)),0)</f>
        <v>-43.12</v>
      </c>
      <c r="AG246" s="116">
        <v>-7</v>
      </c>
      <c r="AH246" s="113">
        <f t="shared" si="41"/>
        <v>-68.159125000000003</v>
      </c>
      <c r="AI246" s="116">
        <f>-IFERROR(IF($Y246=1,INDEX('[1]REMOVAL FEES'!$A$1:$C$22,MATCH(CONCATENATE("Standard Size",$P246),'[1]REMOVAL FEES'!$A$1:$A$22,0),3),IF($Y246=2,IF($P246&gt;10,(($P246-10)*1.06)+INDEX('[1]REMOVAL FEES'!$E$1:$G$22,MATCH(CONCATENATE("Large bulky, extra-large and special handling items",IF($P246&gt;=11,11,$P246)),'[1]REMOVAL FEES'!$E$1:$E$13,0),3),INDEX('[1]REMOVAL FEES'!$E$1:$G$22,MATCH(CONCATENATE("Large bulky, extra-large and special handling items",IF($P246&gt;=11,11,$P246)),'[1]REMOVAL FEES'!$E$1:$E$13,0),3))))*$AA246,FALSE)</f>
        <v>-62.02</v>
      </c>
      <c r="AJ246" s="107">
        <f t="shared" si="42"/>
        <v>-130.179125</v>
      </c>
      <c r="AK246" s="107">
        <v>-82.619999999999976</v>
      </c>
      <c r="AL246" s="107">
        <v>-22.235647321428569</v>
      </c>
      <c r="AM246" s="107">
        <f t="shared" si="43"/>
        <v>-104.85564732142855</v>
      </c>
      <c r="AN246" s="116">
        <f>(-IF($V246="Yes", IF($X246="Yes", VLOOKUP($W246, '[1]Storage Fees'!A:M, 13, FALSE), VLOOKUP($W246, '[1]Storage Fees'!A:M, 10, FALSE)), IF($X246="Yes", VLOOKUP($W246, '[1]Storage Fees'!A:M, 7, FALSE), VLOOKUP($W246, '[1]Storage Fees'!A:M, 4, FALSE))) * U246)*1.5</f>
        <v>-3.0927951388888886</v>
      </c>
    </row>
    <row r="247" spans="1:40" x14ac:dyDescent="0.25">
      <c r="A247" s="99">
        <v>175</v>
      </c>
      <c r="B247" s="99" t="s">
        <v>55</v>
      </c>
      <c r="C247" s="99"/>
      <c r="D247" s="99"/>
      <c r="E247" s="99" t="s">
        <v>232</v>
      </c>
      <c r="F247" s="99" t="s">
        <v>230</v>
      </c>
      <c r="G247" s="99" t="s">
        <v>13656</v>
      </c>
      <c r="H247" s="99">
        <v>11</v>
      </c>
      <c r="I247" s="99">
        <v>6</v>
      </c>
      <c r="J247" s="99">
        <v>2</v>
      </c>
      <c r="K247" s="101" t="str">
        <f t="shared" si="31"/>
        <v>11x6x2</v>
      </c>
      <c r="L247" s="102">
        <f t="shared" si="32"/>
        <v>0.94964028776978415</v>
      </c>
      <c r="M247" s="113">
        <f t="shared" si="33"/>
        <v>0.94964028776978415</v>
      </c>
      <c r="N247" s="113">
        <f t="shared" si="34"/>
        <v>1</v>
      </c>
      <c r="O247" s="99">
        <v>3</v>
      </c>
      <c r="P247" s="113">
        <f t="shared" si="35"/>
        <v>3</v>
      </c>
      <c r="Q247" s="112">
        <f t="shared" si="36"/>
        <v>48</v>
      </c>
      <c r="R247" s="112" t="str">
        <f t="shared" si="37"/>
        <v>Standard-size</v>
      </c>
      <c r="S247" s="99" t="str">
        <f t="shared" si="38"/>
        <v>Large standard-size</v>
      </c>
      <c r="T247" s="116" t="s">
        <v>13701</v>
      </c>
      <c r="U247" s="116">
        <f t="shared" si="39"/>
        <v>7.6388888888888895E-2</v>
      </c>
      <c r="V247" s="116" t="s">
        <v>13583</v>
      </c>
      <c r="W247" s="116" t="s">
        <v>13690</v>
      </c>
      <c r="X247" s="99" t="s">
        <v>13583</v>
      </c>
      <c r="Y247" s="99">
        <v>1</v>
      </c>
      <c r="Z247" s="99">
        <v>2</v>
      </c>
      <c r="AA247" s="99">
        <v>1</v>
      </c>
      <c r="AB247" s="99"/>
      <c r="AC247" s="99"/>
      <c r="AD247" s="107">
        <v>25.854285714285719</v>
      </c>
      <c r="AE247" s="113">
        <f t="shared" si="40"/>
        <v>-3.8781428571428576</v>
      </c>
      <c r="AF247" s="116">
        <f>-IFERROR(IFERROR(VLOOKUP(ROUNDUP($Q247,0),'FBA FEES'!$L$2:$Q$203,MATCH($S247,'FBA FEES'!$L$2:$Q$2,0),FALSE),VLOOKUP(ROUNDUP($Q247,0),'FBA FEES'!$C$6:$F$123,MATCH($S247,'FBA FEES'!$C$6:$F$6,0),FALSE)),0)</f>
        <v>-6.62</v>
      </c>
      <c r="AG247" s="116">
        <v>-10</v>
      </c>
      <c r="AH247" s="113">
        <f t="shared" si="41"/>
        <v>-10.498142857142858</v>
      </c>
      <c r="AI247" s="116">
        <f>-IFERROR(IF($Y247=1,INDEX('[1]REMOVAL FEES'!$A$1:$C$22,MATCH(CONCATENATE("Standard Size",$P247),'[1]REMOVAL FEES'!$A$1:$A$22,0),3),IF($Y247=2,IF($P247&gt;10,(($P247-10)*1.06)+INDEX('[1]REMOVAL FEES'!$E$1:$G$22,MATCH(CONCATENATE("Large bulky, extra-large and special handling items",IF($P247&gt;=11,11,$P247)),'[1]REMOVAL FEES'!$E$1:$E$13,0),3),INDEX('[1]REMOVAL FEES'!$E$1:$G$22,MATCH(CONCATENATE("Large bulky, extra-large and special handling items",IF($P247&gt;=11,11,$P247)),'[1]REMOVAL FEES'!$E$1:$E$13,0),3))))*$AA247,FALSE)</f>
        <v>-3.95</v>
      </c>
      <c r="AJ247" s="107">
        <f t="shared" si="42"/>
        <v>-14.448142857142859</v>
      </c>
      <c r="AK247" s="107">
        <v>-6.9600000000000009</v>
      </c>
      <c r="AL247" s="107">
        <v>-1.232140306122449</v>
      </c>
      <c r="AM247" s="107">
        <f t="shared" si="43"/>
        <v>-8.1921403061224503</v>
      </c>
      <c r="AN247" s="116">
        <f>(-IF($V247="Yes", IF($X247="Yes", VLOOKUP($W247, '[1]Storage Fees'!A:M, 13, FALSE), VLOOKUP($W247, '[1]Storage Fees'!A:M, 10, FALSE)), IF($X247="Yes", VLOOKUP($W247, '[1]Storage Fees'!A:M, 7, FALSE), VLOOKUP($W247, '[1]Storage Fees'!A:M, 4, FALSE))) * U247)*1.5</f>
        <v>-0.13979166666666668</v>
      </c>
    </row>
    <row r="248" spans="1:40" x14ac:dyDescent="0.25">
      <c r="A248" s="99">
        <v>176</v>
      </c>
      <c r="B248" s="99" t="s">
        <v>55</v>
      </c>
      <c r="C248" s="99"/>
      <c r="D248" s="99"/>
      <c r="E248" s="99" t="s">
        <v>232</v>
      </c>
      <c r="F248" s="99" t="s">
        <v>233</v>
      </c>
      <c r="G248" s="99" t="s">
        <v>13695</v>
      </c>
      <c r="H248" s="99">
        <v>10</v>
      </c>
      <c r="I248" s="99">
        <v>7</v>
      </c>
      <c r="J248" s="99">
        <v>3</v>
      </c>
      <c r="K248" s="101" t="str">
        <f t="shared" si="31"/>
        <v>10x7x3</v>
      </c>
      <c r="L248" s="102">
        <f t="shared" si="32"/>
        <v>1.5107913669064748</v>
      </c>
      <c r="M248" s="113">
        <f t="shared" si="33"/>
        <v>1.5107913669064748</v>
      </c>
      <c r="N248" s="113">
        <f t="shared" si="34"/>
        <v>2</v>
      </c>
      <c r="O248" s="99">
        <v>5</v>
      </c>
      <c r="P248" s="113">
        <f t="shared" si="35"/>
        <v>5</v>
      </c>
      <c r="Q248" s="112">
        <f t="shared" si="36"/>
        <v>80</v>
      </c>
      <c r="R248" s="112" t="str">
        <f t="shared" si="37"/>
        <v>Standard-size</v>
      </c>
      <c r="S248" s="99" t="str">
        <f t="shared" si="38"/>
        <v>Large standard-size</v>
      </c>
      <c r="T248" s="116" t="s">
        <v>13693</v>
      </c>
      <c r="U248" s="116">
        <f t="shared" si="39"/>
        <v>0.12152777777777778</v>
      </c>
      <c r="V248" s="116" t="s">
        <v>13583</v>
      </c>
      <c r="W248" s="116" t="s">
        <v>13690</v>
      </c>
      <c r="X248" s="99" t="s">
        <v>13583</v>
      </c>
      <c r="Y248" s="99">
        <v>1</v>
      </c>
      <c r="Z248" s="99">
        <v>2</v>
      </c>
      <c r="AA248" s="99">
        <v>1</v>
      </c>
      <c r="AB248" s="99"/>
      <c r="AC248" s="99"/>
      <c r="AD248" s="107">
        <v>0</v>
      </c>
      <c r="AE248" s="113">
        <f t="shared" si="40"/>
        <v>0</v>
      </c>
      <c r="AF248" s="116">
        <f>-IFERROR(IFERROR(VLOOKUP(ROUNDUP($Q248,0),'FBA FEES'!$L$2:$Q$203,MATCH($S248,'FBA FEES'!$L$2:$Q$2,0),FALSE),VLOOKUP(ROUNDUP($Q248,0),'FBA FEES'!$C$6:$F$123,MATCH($S248,'FBA FEES'!$C$6:$F$6,0),FALSE)),0)</f>
        <v>-7.56</v>
      </c>
      <c r="AG248" s="116">
        <v>-10</v>
      </c>
      <c r="AH248" s="113">
        <f t="shared" si="41"/>
        <v>-7.56</v>
      </c>
      <c r="AI248" s="116">
        <f>-IFERROR(IF($Y248=1,INDEX('[1]REMOVAL FEES'!$A$1:$C$22,MATCH(CONCATENATE("Standard Size",$P248),'[1]REMOVAL FEES'!$A$1:$A$22,0),3),IF($Y248=2,IF($P248&gt;10,(($P248-10)*1.06)+INDEX('[1]REMOVAL FEES'!$E$1:$G$22,MATCH(CONCATENATE("Large bulky, extra-large and special handling items",IF($P248&gt;=11,11,$P248)),'[1]REMOVAL FEES'!$E$1:$E$13,0),3),INDEX('[1]REMOVAL FEES'!$E$1:$G$22,MATCH(CONCATENATE("Large bulky, extra-large and special handling items",IF($P248&gt;=11,11,$P248)),'[1]REMOVAL FEES'!$E$1:$E$13,0),3))))*$AA248,FALSE)</f>
        <v>-6.07</v>
      </c>
      <c r="AJ248" s="107">
        <f t="shared" si="42"/>
        <v>-13.629999999999999</v>
      </c>
      <c r="AK248" s="107">
        <v>0</v>
      </c>
      <c r="AL248" s="107">
        <v>0</v>
      </c>
      <c r="AM248" s="107">
        <f t="shared" si="43"/>
        <v>0</v>
      </c>
      <c r="AN248" s="116">
        <f>(-IF($V248="Yes", IF($X248="Yes", VLOOKUP($W248, '[1]Storage Fees'!A:M, 13, FALSE), VLOOKUP($W248, '[1]Storage Fees'!A:M, 10, FALSE)), IF($X248="Yes", VLOOKUP($W248, '[1]Storage Fees'!A:M, 7, FALSE), VLOOKUP($W248, '[1]Storage Fees'!A:M, 4, FALSE))) * U248)*1.5</f>
        <v>-0.22239583333333335</v>
      </c>
    </row>
    <row r="249" spans="1:40" x14ac:dyDescent="0.25">
      <c r="A249" s="99">
        <v>177</v>
      </c>
      <c r="B249" s="99" t="s">
        <v>55</v>
      </c>
      <c r="C249" s="99"/>
      <c r="D249" s="99"/>
      <c r="E249" s="99" t="s">
        <v>232</v>
      </c>
      <c r="F249" s="99" t="s">
        <v>235</v>
      </c>
      <c r="G249" s="99" t="s">
        <v>13695</v>
      </c>
      <c r="H249" s="99">
        <v>11</v>
      </c>
      <c r="I249" s="99">
        <v>7</v>
      </c>
      <c r="J249" s="99">
        <v>2</v>
      </c>
      <c r="K249" s="101" t="str">
        <f t="shared" si="31"/>
        <v>11x7x2</v>
      </c>
      <c r="L249" s="102">
        <f t="shared" si="32"/>
        <v>1.1079136690647482</v>
      </c>
      <c r="M249" s="113">
        <f t="shared" si="33"/>
        <v>1.1079136690647482</v>
      </c>
      <c r="N249" s="113">
        <f t="shared" si="34"/>
        <v>2</v>
      </c>
      <c r="O249" s="99">
        <v>4.8125</v>
      </c>
      <c r="P249" s="113">
        <f t="shared" si="35"/>
        <v>5</v>
      </c>
      <c r="Q249" s="112">
        <f t="shared" si="36"/>
        <v>80</v>
      </c>
      <c r="R249" s="112" t="str">
        <f t="shared" si="37"/>
        <v>Standard-size</v>
      </c>
      <c r="S249" s="99" t="str">
        <f t="shared" si="38"/>
        <v>Large standard-size</v>
      </c>
      <c r="T249" s="116" t="s">
        <v>13693</v>
      </c>
      <c r="U249" s="116">
        <f t="shared" si="39"/>
        <v>8.9120370370370364E-2</v>
      </c>
      <c r="V249" s="116" t="s">
        <v>13583</v>
      </c>
      <c r="W249" s="116" t="s">
        <v>13690</v>
      </c>
      <c r="X249" s="99" t="s">
        <v>13583</v>
      </c>
      <c r="Y249" s="99">
        <v>1</v>
      </c>
      <c r="Z249" s="99">
        <v>2</v>
      </c>
      <c r="AA249" s="99">
        <v>1</v>
      </c>
      <c r="AB249" s="99"/>
      <c r="AC249" s="99"/>
      <c r="AD249" s="107">
        <v>0</v>
      </c>
      <c r="AE249" s="113">
        <f t="shared" si="40"/>
        <v>0</v>
      </c>
      <c r="AF249" s="116">
        <f>-IFERROR(IFERROR(VLOOKUP(ROUNDUP($Q249,0),'FBA FEES'!$L$2:$Q$203,MATCH($S249,'FBA FEES'!$L$2:$Q$2,0),FALSE),VLOOKUP(ROUNDUP($Q249,0),'FBA FEES'!$C$6:$F$123,MATCH($S249,'FBA FEES'!$C$6:$F$6,0),FALSE)),0)</f>
        <v>-7.56</v>
      </c>
      <c r="AG249" s="116">
        <v>-10</v>
      </c>
      <c r="AH249" s="113">
        <f t="shared" si="41"/>
        <v>-7.56</v>
      </c>
      <c r="AI249" s="116">
        <f>-IFERROR(IF($Y249=1,INDEX('[1]REMOVAL FEES'!$A$1:$C$22,MATCH(CONCATENATE("Standard Size",$P249),'[1]REMOVAL FEES'!$A$1:$A$22,0),3),IF($Y249=2,IF($P249&gt;10,(($P249-10)*1.06)+INDEX('[1]REMOVAL FEES'!$E$1:$G$22,MATCH(CONCATENATE("Large bulky, extra-large and special handling items",IF($P249&gt;=11,11,$P249)),'[1]REMOVAL FEES'!$E$1:$E$13,0),3),INDEX('[1]REMOVAL FEES'!$E$1:$G$22,MATCH(CONCATENATE("Large bulky, extra-large and special handling items",IF($P249&gt;=11,11,$P249)),'[1]REMOVAL FEES'!$E$1:$E$13,0),3))))*$AA249,FALSE)</f>
        <v>-6.07</v>
      </c>
      <c r="AJ249" s="107">
        <f t="shared" si="42"/>
        <v>-13.629999999999999</v>
      </c>
      <c r="AK249" s="107">
        <v>0</v>
      </c>
      <c r="AL249" s="107">
        <v>0</v>
      </c>
      <c r="AM249" s="107">
        <f t="shared" si="43"/>
        <v>0</v>
      </c>
      <c r="AN249" s="116">
        <f>(-IF($V249="Yes", IF($X249="Yes", VLOOKUP($W249, '[1]Storage Fees'!A:M, 13, FALSE), VLOOKUP($W249, '[1]Storage Fees'!A:M, 10, FALSE)), IF($X249="Yes", VLOOKUP($W249, '[1]Storage Fees'!A:M, 7, FALSE), VLOOKUP($W249, '[1]Storage Fees'!A:M, 4, FALSE))) * U249)*1.5</f>
        <v>-0.16309027777777776</v>
      </c>
    </row>
    <row r="250" spans="1:40" x14ac:dyDescent="0.25">
      <c r="A250" s="99">
        <v>178</v>
      </c>
      <c r="B250" s="99" t="s">
        <v>55</v>
      </c>
      <c r="C250" s="99"/>
      <c r="D250" s="99"/>
      <c r="E250" s="99" t="s">
        <v>232</v>
      </c>
      <c r="F250" s="99" t="s">
        <v>237</v>
      </c>
      <c r="G250" s="99" t="s">
        <v>13695</v>
      </c>
      <c r="H250" s="99">
        <v>10</v>
      </c>
      <c r="I250" s="99">
        <v>10</v>
      </c>
      <c r="J250" s="99">
        <v>2</v>
      </c>
      <c r="K250" s="101" t="str">
        <f t="shared" si="31"/>
        <v>10x10x2</v>
      </c>
      <c r="L250" s="102">
        <f t="shared" si="32"/>
        <v>1.4388489208633093</v>
      </c>
      <c r="M250" s="113">
        <f t="shared" si="33"/>
        <v>1.4388489208633093</v>
      </c>
      <c r="N250" s="113">
        <f t="shared" si="34"/>
        <v>2</v>
      </c>
      <c r="O250" s="99">
        <v>6</v>
      </c>
      <c r="P250" s="113">
        <f t="shared" si="35"/>
        <v>6</v>
      </c>
      <c r="Q250" s="112">
        <f t="shared" si="36"/>
        <v>96</v>
      </c>
      <c r="R250" s="112" t="str">
        <f t="shared" si="37"/>
        <v>Standard-size</v>
      </c>
      <c r="S250" s="99" t="str">
        <f t="shared" si="38"/>
        <v>Large standard-size</v>
      </c>
      <c r="T250" s="116" t="s">
        <v>13693</v>
      </c>
      <c r="U250" s="116">
        <f t="shared" si="39"/>
        <v>0.11574074074074074</v>
      </c>
      <c r="V250" s="116" t="s">
        <v>13583</v>
      </c>
      <c r="W250" s="116" t="s">
        <v>13690</v>
      </c>
      <c r="X250" s="99" t="s">
        <v>13583</v>
      </c>
      <c r="Y250" s="99">
        <v>1</v>
      </c>
      <c r="Z250" s="99">
        <v>2</v>
      </c>
      <c r="AA250" s="99">
        <v>1</v>
      </c>
      <c r="AB250" s="99"/>
      <c r="AC250" s="99"/>
      <c r="AD250" s="107">
        <v>0</v>
      </c>
      <c r="AE250" s="113">
        <f t="shared" si="40"/>
        <v>0</v>
      </c>
      <c r="AF250" s="116">
        <f>-IFERROR(IFERROR(VLOOKUP(ROUNDUP($Q250,0),'FBA FEES'!$L$2:$Q$203,MATCH($S250,'FBA FEES'!$L$2:$Q$2,0),FALSE),VLOOKUP(ROUNDUP($Q250,0),'FBA FEES'!$C$6:$F$123,MATCH($S250,'FBA FEES'!$C$6:$F$6,0),FALSE)),0)</f>
        <v>-7.88</v>
      </c>
      <c r="AG250" s="116">
        <v>-10</v>
      </c>
      <c r="AH250" s="113">
        <f t="shared" si="41"/>
        <v>-7.88</v>
      </c>
      <c r="AI250" s="116">
        <f>-IFERROR(IF($Y250=1,INDEX('[1]REMOVAL FEES'!$A$1:$C$22,MATCH(CONCATENATE("Standard Size",$P250),'[1]REMOVAL FEES'!$A$1:$A$22,0),3),IF($Y250=2,IF($P250&gt;10,(($P250-10)*1.06)+INDEX('[1]REMOVAL FEES'!$E$1:$G$22,MATCH(CONCATENATE("Large bulky, extra-large and special handling items",IF($P250&gt;=11,11,$P250)),'[1]REMOVAL FEES'!$E$1:$E$13,0),3),INDEX('[1]REMOVAL FEES'!$E$1:$G$22,MATCH(CONCATENATE("Large bulky, extra-large and special handling items",IF($P250&gt;=11,11,$P250)),'[1]REMOVAL FEES'!$E$1:$E$13,0),3))))*$AA250,FALSE)</f>
        <v>-7.1300000000000008</v>
      </c>
      <c r="AJ250" s="107">
        <f t="shared" si="42"/>
        <v>-15.010000000000002</v>
      </c>
      <c r="AK250" s="107">
        <v>0</v>
      </c>
      <c r="AL250" s="107">
        <v>0</v>
      </c>
      <c r="AM250" s="107">
        <f t="shared" si="43"/>
        <v>0</v>
      </c>
      <c r="AN250" s="116">
        <f>(-IF($V250="Yes", IF($X250="Yes", VLOOKUP($W250, '[1]Storage Fees'!A:M, 13, FALSE), VLOOKUP($W250, '[1]Storage Fees'!A:M, 10, FALSE)), IF($X250="Yes", VLOOKUP($W250, '[1]Storage Fees'!A:M, 7, FALSE), VLOOKUP($W250, '[1]Storage Fees'!A:M, 4, FALSE))) * U250)*1.5</f>
        <v>-0.21180555555555552</v>
      </c>
    </row>
    <row r="251" spans="1:40" x14ac:dyDescent="0.25">
      <c r="A251" s="99">
        <v>179</v>
      </c>
      <c r="B251" s="99" t="s">
        <v>55</v>
      </c>
      <c r="C251" s="99"/>
      <c r="D251" s="99"/>
      <c r="E251" s="99" t="s">
        <v>232</v>
      </c>
      <c r="F251" s="99" t="s">
        <v>239</v>
      </c>
      <c r="G251" s="99" t="s">
        <v>13695</v>
      </c>
      <c r="H251" s="99">
        <v>11</v>
      </c>
      <c r="I251" s="99">
        <v>7</v>
      </c>
      <c r="J251" s="99">
        <v>3</v>
      </c>
      <c r="K251" s="101" t="str">
        <f t="shared" si="31"/>
        <v>11x7x3</v>
      </c>
      <c r="L251" s="102">
        <f t="shared" si="32"/>
        <v>1.6618705035971224</v>
      </c>
      <c r="M251" s="113">
        <f t="shared" si="33"/>
        <v>1.6618705035971224</v>
      </c>
      <c r="N251" s="113">
        <f t="shared" si="34"/>
        <v>2</v>
      </c>
      <c r="O251" s="99">
        <v>8</v>
      </c>
      <c r="P251" s="113">
        <f t="shared" si="35"/>
        <v>8</v>
      </c>
      <c r="Q251" s="112">
        <f t="shared" si="36"/>
        <v>128</v>
      </c>
      <c r="R251" s="112" t="str">
        <f t="shared" si="37"/>
        <v>Standard-size</v>
      </c>
      <c r="S251" s="99" t="str">
        <f t="shared" si="38"/>
        <v>Large standard-size</v>
      </c>
      <c r="T251" s="116" t="s">
        <v>13693</v>
      </c>
      <c r="U251" s="116">
        <f t="shared" si="39"/>
        <v>0.13368055555555555</v>
      </c>
      <c r="V251" s="116" t="s">
        <v>13583</v>
      </c>
      <c r="W251" s="116" t="s">
        <v>13690</v>
      </c>
      <c r="X251" s="99" t="s">
        <v>13583</v>
      </c>
      <c r="Y251" s="99">
        <v>1</v>
      </c>
      <c r="Z251" s="99">
        <v>2</v>
      </c>
      <c r="AA251" s="99">
        <v>1</v>
      </c>
      <c r="AB251" s="99"/>
      <c r="AC251" s="99"/>
      <c r="AD251" s="107">
        <v>0</v>
      </c>
      <c r="AE251" s="113">
        <f t="shared" si="40"/>
        <v>0</v>
      </c>
      <c r="AF251" s="116">
        <f>-IFERROR(IFERROR(VLOOKUP(ROUNDUP($Q251,0),'FBA FEES'!$L$2:$Q$203,MATCH($S251,'FBA FEES'!$L$2:$Q$2,0),FALSE),VLOOKUP(ROUNDUP($Q251,0),'FBA FEES'!$C$6:$F$123,MATCH($S251,'FBA FEES'!$C$6:$F$6,0),FALSE)),0)</f>
        <v>-8.52</v>
      </c>
      <c r="AG251" s="116">
        <v>-10</v>
      </c>
      <c r="AH251" s="113">
        <f t="shared" si="41"/>
        <v>-8.52</v>
      </c>
      <c r="AI251" s="116">
        <f>-IFERROR(IF($Y251=1,INDEX('[1]REMOVAL FEES'!$A$1:$C$22,MATCH(CONCATENATE("Standard Size",$P251),'[1]REMOVAL FEES'!$A$1:$A$22,0),3),IF($Y251=2,IF($P251&gt;10,(($P251-10)*1.06)+INDEX('[1]REMOVAL FEES'!$E$1:$G$22,MATCH(CONCATENATE("Large bulky, extra-large and special handling items",IF($P251&gt;=11,11,$P251)),'[1]REMOVAL FEES'!$E$1:$E$13,0),3),INDEX('[1]REMOVAL FEES'!$E$1:$G$22,MATCH(CONCATENATE("Large bulky, extra-large and special handling items",IF($P251&gt;=11,11,$P251)),'[1]REMOVAL FEES'!$E$1:$E$13,0),3))))*$AA251,FALSE)</f>
        <v>-9.25</v>
      </c>
      <c r="AJ251" s="107">
        <f t="shared" si="42"/>
        <v>-17.77</v>
      </c>
      <c r="AK251" s="107">
        <v>0</v>
      </c>
      <c r="AL251" s="107">
        <v>0</v>
      </c>
      <c r="AM251" s="107">
        <f t="shared" si="43"/>
        <v>0</v>
      </c>
      <c r="AN251" s="116">
        <f>(-IF($V251="Yes", IF($X251="Yes", VLOOKUP($W251, '[1]Storage Fees'!A:M, 13, FALSE), VLOOKUP($W251, '[1]Storage Fees'!A:M, 10, FALSE)), IF($X251="Yes", VLOOKUP($W251, '[1]Storage Fees'!A:M, 7, FALSE), VLOOKUP($W251, '[1]Storage Fees'!A:M, 4, FALSE))) * U251)*1.5</f>
        <v>-0.24463541666666666</v>
      </c>
    </row>
    <row r="252" spans="1:40" x14ac:dyDescent="0.25">
      <c r="A252" s="99">
        <v>180</v>
      </c>
      <c r="B252" s="99" t="s">
        <v>55</v>
      </c>
      <c r="C252" s="99"/>
      <c r="D252" s="99"/>
      <c r="E252" s="99" t="s">
        <v>232</v>
      </c>
      <c r="F252" s="99" t="s">
        <v>241</v>
      </c>
      <c r="G252" s="99" t="s">
        <v>13695</v>
      </c>
      <c r="H252" s="99">
        <v>3</v>
      </c>
      <c r="I252" s="99">
        <v>11</v>
      </c>
      <c r="J252" s="99">
        <v>12</v>
      </c>
      <c r="K252" s="101" t="str">
        <f t="shared" si="31"/>
        <v>3x11x12</v>
      </c>
      <c r="L252" s="102">
        <f t="shared" si="32"/>
        <v>2.8489208633093526</v>
      </c>
      <c r="M252" s="113">
        <f t="shared" si="33"/>
        <v>2.8489208633093526</v>
      </c>
      <c r="N252" s="113">
        <f t="shared" si="34"/>
        <v>3</v>
      </c>
      <c r="O252" s="99">
        <v>11.125</v>
      </c>
      <c r="P252" s="113">
        <f t="shared" si="35"/>
        <v>12</v>
      </c>
      <c r="Q252" s="112">
        <f t="shared" si="36"/>
        <v>192</v>
      </c>
      <c r="R252" s="112" t="str">
        <f t="shared" si="37"/>
        <v>Oversize</v>
      </c>
      <c r="S252" s="99" t="str">
        <f t="shared" si="38"/>
        <v>Large bulky</v>
      </c>
      <c r="T252" s="116" t="s">
        <v>13692</v>
      </c>
      <c r="U252" s="116">
        <f t="shared" si="39"/>
        <v>0.22916666666666666</v>
      </c>
      <c r="V252" s="116" t="s">
        <v>13583</v>
      </c>
      <c r="W252" s="116" t="s">
        <v>13690</v>
      </c>
      <c r="X252" s="116" t="s">
        <v>13691</v>
      </c>
      <c r="Y252" s="116">
        <v>2</v>
      </c>
      <c r="Z252" s="116">
        <v>3</v>
      </c>
      <c r="AA252" s="116">
        <v>1</v>
      </c>
      <c r="AB252" s="99"/>
      <c r="AC252" s="99"/>
      <c r="AD252" s="107">
        <v>0</v>
      </c>
      <c r="AE252" s="113">
        <f t="shared" si="40"/>
        <v>0</v>
      </c>
      <c r="AF252" s="116">
        <f>-IFERROR(IFERROR(VLOOKUP(ROUNDUP($Q252,0),'FBA FEES'!$L$2:$Q$203,MATCH($S252,'FBA FEES'!$L$2:$Q$2,0),FALSE),VLOOKUP(ROUNDUP($Q252,0),'FBA FEES'!$C$6:$F$123,MATCH($S252,'FBA FEES'!$C$6:$F$6,0),FALSE)),0)</f>
        <v>-13.79</v>
      </c>
      <c r="AG252" s="116">
        <v>-10</v>
      </c>
      <c r="AH252" s="113">
        <f t="shared" si="41"/>
        <v>-13.79</v>
      </c>
      <c r="AI252" s="116">
        <f>-IFERROR(IF($Y252=1,INDEX('[1]REMOVAL FEES'!$A$1:$C$22,MATCH(CONCATENATE("Standard Size",$P252),'[1]REMOVAL FEES'!$A$1:$A$22,0),3),IF($Y252=2,IF($P252&gt;10,(($P252-10)*1.06)+INDEX('[1]REMOVAL FEES'!$E$1:$G$22,MATCH(CONCATENATE("Large bulky, extra-large and special handling items",IF($P252&gt;=11,11,$P252)),'[1]REMOVAL FEES'!$E$1:$E$13,0),3),INDEX('[1]REMOVAL FEES'!$E$1:$G$22,MATCH(CONCATENATE("Large bulky, extra-large and special handling items",IF($P252&gt;=11,11,$P252)),'[1]REMOVAL FEES'!$E$1:$E$13,0),3))))*$AA252,FALSE)</f>
        <v>-16.440000000000001</v>
      </c>
      <c r="AJ252" s="107">
        <f t="shared" si="42"/>
        <v>-30.23</v>
      </c>
      <c r="AK252" s="107">
        <v>0</v>
      </c>
      <c r="AL252" s="107">
        <v>0</v>
      </c>
      <c r="AM252" s="107">
        <f t="shared" si="43"/>
        <v>0</v>
      </c>
      <c r="AN252" s="116">
        <f>(-IF($V252="Yes", IF($X252="Yes", VLOOKUP($W252, '[1]Storage Fees'!A:M, 13, FALSE), VLOOKUP($W252, '[1]Storage Fees'!A:M, 10, FALSE)), IF($X252="Yes", VLOOKUP($W252, '[1]Storage Fees'!A:M, 7, FALSE), VLOOKUP($W252, '[1]Storage Fees'!A:M, 4, FALSE))) * U252)*1.5</f>
        <v>-0.27156249999999998</v>
      </c>
    </row>
    <row r="253" spans="1:40" x14ac:dyDescent="0.25">
      <c r="A253" s="99">
        <v>181</v>
      </c>
      <c r="B253" s="99" t="s">
        <v>55</v>
      </c>
      <c r="C253" s="99"/>
      <c r="D253" s="99"/>
      <c r="E253" s="99" t="s">
        <v>232</v>
      </c>
      <c r="F253" s="99" t="s">
        <v>243</v>
      </c>
      <c r="G253" s="99" t="s">
        <v>13656</v>
      </c>
      <c r="H253" s="99">
        <v>11</v>
      </c>
      <c r="I253" s="99">
        <v>6</v>
      </c>
      <c r="J253" s="99">
        <v>2</v>
      </c>
      <c r="K253" s="101" t="str">
        <f t="shared" si="31"/>
        <v>11x6x2</v>
      </c>
      <c r="L253" s="102">
        <f t="shared" si="32"/>
        <v>0.94964028776978415</v>
      </c>
      <c r="M253" s="113">
        <f t="shared" si="33"/>
        <v>0.94964028776978415</v>
      </c>
      <c r="N253" s="113">
        <f t="shared" si="34"/>
        <v>1</v>
      </c>
      <c r="O253" s="99">
        <v>3</v>
      </c>
      <c r="P253" s="113">
        <f t="shared" si="35"/>
        <v>3</v>
      </c>
      <c r="Q253" s="112">
        <f t="shared" si="36"/>
        <v>48</v>
      </c>
      <c r="R253" s="112" t="str">
        <f t="shared" si="37"/>
        <v>Standard-size</v>
      </c>
      <c r="S253" s="99" t="str">
        <f t="shared" si="38"/>
        <v>Large standard-size</v>
      </c>
      <c r="T253" s="116" t="s">
        <v>13701</v>
      </c>
      <c r="U253" s="116">
        <f t="shared" si="39"/>
        <v>7.6388888888888895E-2</v>
      </c>
      <c r="V253" s="116" t="s">
        <v>13583</v>
      </c>
      <c r="W253" s="116" t="s">
        <v>13690</v>
      </c>
      <c r="X253" s="99" t="s">
        <v>13583</v>
      </c>
      <c r="Y253" s="99">
        <v>1</v>
      </c>
      <c r="Z253" s="99">
        <v>2</v>
      </c>
      <c r="AA253" s="99">
        <v>1</v>
      </c>
      <c r="AB253" s="99"/>
      <c r="AC253" s="99"/>
      <c r="AD253" s="107">
        <v>19.88482084526488</v>
      </c>
      <c r="AE253" s="113">
        <f t="shared" si="40"/>
        <v>-2.9827231267897321</v>
      </c>
      <c r="AF253" s="116">
        <f>-IFERROR(IFERROR(VLOOKUP(ROUNDUP($Q253,0),'FBA FEES'!$L$2:$Q$203,MATCH($S253,'FBA FEES'!$L$2:$Q$2,0),FALSE),VLOOKUP(ROUNDUP($Q253,0),'FBA FEES'!$C$6:$F$123,MATCH($S253,'FBA FEES'!$C$6:$F$6,0),FALSE)),0)</f>
        <v>-6.62</v>
      </c>
      <c r="AG253" s="116">
        <v>-10</v>
      </c>
      <c r="AH253" s="113">
        <f t="shared" si="41"/>
        <v>-9.6027231267897317</v>
      </c>
      <c r="AI253" s="116">
        <f>-IFERROR(IF($Y253=1,INDEX('[1]REMOVAL FEES'!$A$1:$C$22,MATCH(CONCATENATE("Standard Size",$P253),'[1]REMOVAL FEES'!$A$1:$A$22,0),3),IF($Y253=2,IF($P253&gt;10,(($P253-10)*1.06)+INDEX('[1]REMOVAL FEES'!$E$1:$G$22,MATCH(CONCATENATE("Large bulky, extra-large and special handling items",IF($P253&gt;=11,11,$P253)),'[1]REMOVAL FEES'!$E$1:$E$13,0),3),INDEX('[1]REMOVAL FEES'!$E$1:$G$22,MATCH(CONCATENATE("Large bulky, extra-large and special handling items",IF($P253&gt;=11,11,$P253)),'[1]REMOVAL FEES'!$E$1:$E$13,0),3))))*$AA253,FALSE)</f>
        <v>-3.95</v>
      </c>
      <c r="AJ253" s="107">
        <f t="shared" si="42"/>
        <v>-13.552723126789733</v>
      </c>
      <c r="AK253" s="107">
        <v>-5.738635857461083</v>
      </c>
      <c r="AL253" s="107">
        <v>-0.88764669188866796</v>
      </c>
      <c r="AM253" s="107">
        <f t="shared" si="43"/>
        <v>-6.6262825493497512</v>
      </c>
      <c r="AN253" s="116">
        <f>(-IF($V253="Yes", IF($X253="Yes", VLOOKUP($W253, '[1]Storage Fees'!A:M, 13, FALSE), VLOOKUP($W253, '[1]Storage Fees'!A:M, 10, FALSE)), IF($X253="Yes", VLOOKUP($W253, '[1]Storage Fees'!A:M, 7, FALSE), VLOOKUP($W253, '[1]Storage Fees'!A:M, 4, FALSE))) * U253)*1.5</f>
        <v>-0.13979166666666668</v>
      </c>
    </row>
    <row r="254" spans="1:40" x14ac:dyDescent="0.25">
      <c r="A254" s="99">
        <v>182</v>
      </c>
      <c r="B254" s="99" t="s">
        <v>55</v>
      </c>
      <c r="C254" s="99"/>
      <c r="D254" s="99"/>
      <c r="E254" s="99" t="s">
        <v>232</v>
      </c>
      <c r="F254" s="99" t="s">
        <v>245</v>
      </c>
      <c r="G254" s="99" t="s">
        <v>13656</v>
      </c>
      <c r="H254" s="99">
        <v>10</v>
      </c>
      <c r="I254" s="99">
        <v>7</v>
      </c>
      <c r="J254" s="99">
        <v>3</v>
      </c>
      <c r="K254" s="101" t="str">
        <f t="shared" si="31"/>
        <v>10x7x3</v>
      </c>
      <c r="L254" s="102">
        <f t="shared" si="32"/>
        <v>1.5107913669064748</v>
      </c>
      <c r="M254" s="113">
        <f t="shared" si="33"/>
        <v>1.5107913669064748</v>
      </c>
      <c r="N254" s="113">
        <f t="shared" si="34"/>
        <v>2</v>
      </c>
      <c r="O254" s="99">
        <v>6</v>
      </c>
      <c r="P254" s="113">
        <f t="shared" si="35"/>
        <v>6</v>
      </c>
      <c r="Q254" s="112">
        <f t="shared" si="36"/>
        <v>96</v>
      </c>
      <c r="R254" s="112" t="str">
        <f t="shared" si="37"/>
        <v>Standard-size</v>
      </c>
      <c r="S254" s="99" t="str">
        <f t="shared" si="38"/>
        <v>Large standard-size</v>
      </c>
      <c r="T254" s="116" t="s">
        <v>13693</v>
      </c>
      <c r="U254" s="116">
        <f t="shared" si="39"/>
        <v>0.12152777777777778</v>
      </c>
      <c r="V254" s="116" t="s">
        <v>13583</v>
      </c>
      <c r="W254" s="116" t="s">
        <v>13690</v>
      </c>
      <c r="X254" s="99" t="s">
        <v>13583</v>
      </c>
      <c r="Y254" s="99">
        <v>1</v>
      </c>
      <c r="Z254" s="99">
        <v>2</v>
      </c>
      <c r="AA254" s="99">
        <v>1</v>
      </c>
      <c r="AB254" s="99"/>
      <c r="AC254" s="99"/>
      <c r="AD254" s="107">
        <v>36.751249999999992</v>
      </c>
      <c r="AE254" s="113">
        <f t="shared" si="40"/>
        <v>-5.5126874999999984</v>
      </c>
      <c r="AF254" s="116">
        <f>-IFERROR(IFERROR(VLOOKUP(ROUNDUP($Q254,0),'FBA FEES'!$L$2:$Q$203,MATCH($S254,'FBA FEES'!$L$2:$Q$2,0),FALSE),VLOOKUP(ROUNDUP($Q254,0),'FBA FEES'!$C$6:$F$123,MATCH($S254,'FBA FEES'!$C$6:$F$6,0),FALSE)),0)</f>
        <v>-7.88</v>
      </c>
      <c r="AG254" s="116">
        <v>-10</v>
      </c>
      <c r="AH254" s="113">
        <f t="shared" si="41"/>
        <v>-13.392687499999997</v>
      </c>
      <c r="AI254" s="116">
        <f>-IFERROR(IF($Y254=1,INDEX('[1]REMOVAL FEES'!$A$1:$C$22,MATCH(CONCATENATE("Standard Size",$P254),'[1]REMOVAL FEES'!$A$1:$A$22,0),3),IF($Y254=2,IF($P254&gt;10,(($P254-10)*1.06)+INDEX('[1]REMOVAL FEES'!$E$1:$G$22,MATCH(CONCATENATE("Large bulky, extra-large and special handling items",IF($P254&gt;=11,11,$P254)),'[1]REMOVAL FEES'!$E$1:$E$13,0),3),INDEX('[1]REMOVAL FEES'!$E$1:$G$22,MATCH(CONCATENATE("Large bulky, extra-large and special handling items",IF($P254&gt;=11,11,$P254)),'[1]REMOVAL FEES'!$E$1:$E$13,0),3))))*$AA254,FALSE)</f>
        <v>-7.1300000000000008</v>
      </c>
      <c r="AJ254" s="107">
        <f t="shared" si="42"/>
        <v>-20.522687499999996</v>
      </c>
      <c r="AK254" s="107">
        <v>-9.9879999999999995</v>
      </c>
      <c r="AL254" s="107">
        <v>-1.1604217223861031</v>
      </c>
      <c r="AM254" s="107">
        <f t="shared" si="43"/>
        <v>-11.148421722386102</v>
      </c>
      <c r="AN254" s="116">
        <f>(-IF($V254="Yes", IF($X254="Yes", VLOOKUP($W254, '[1]Storage Fees'!A:M, 13, FALSE), VLOOKUP($W254, '[1]Storage Fees'!A:M, 10, FALSE)), IF($X254="Yes", VLOOKUP($W254, '[1]Storage Fees'!A:M, 7, FALSE), VLOOKUP($W254, '[1]Storage Fees'!A:M, 4, FALSE))) * U254)*1.5</f>
        <v>-0.22239583333333335</v>
      </c>
    </row>
    <row r="255" spans="1:40" x14ac:dyDescent="0.25">
      <c r="A255" s="99">
        <v>183</v>
      </c>
      <c r="B255" s="99" t="s">
        <v>55</v>
      </c>
      <c r="C255" s="99"/>
      <c r="D255" s="99"/>
      <c r="E255" s="99" t="s">
        <v>232</v>
      </c>
      <c r="F255" s="99" t="s">
        <v>247</v>
      </c>
      <c r="G255" s="99" t="s">
        <v>13656</v>
      </c>
      <c r="H255" s="99">
        <v>11</v>
      </c>
      <c r="I255" s="99">
        <v>7</v>
      </c>
      <c r="J255" s="99">
        <v>3</v>
      </c>
      <c r="K255" s="101" t="str">
        <f t="shared" si="31"/>
        <v>11x7x3</v>
      </c>
      <c r="L255" s="102">
        <f t="shared" si="32"/>
        <v>1.6618705035971224</v>
      </c>
      <c r="M255" s="113">
        <f t="shared" si="33"/>
        <v>1.6618705035971224</v>
      </c>
      <c r="N255" s="113">
        <f t="shared" si="34"/>
        <v>2</v>
      </c>
      <c r="O255" s="99">
        <v>5</v>
      </c>
      <c r="P255" s="113">
        <f t="shared" si="35"/>
        <v>5</v>
      </c>
      <c r="Q255" s="112">
        <f t="shared" si="36"/>
        <v>80</v>
      </c>
      <c r="R255" s="112" t="str">
        <f t="shared" si="37"/>
        <v>Standard-size</v>
      </c>
      <c r="S255" s="99" t="str">
        <f t="shared" si="38"/>
        <v>Large standard-size</v>
      </c>
      <c r="T255" s="116" t="s">
        <v>13693</v>
      </c>
      <c r="U255" s="116">
        <f t="shared" si="39"/>
        <v>0.13368055555555555</v>
      </c>
      <c r="V255" s="116" t="s">
        <v>13583</v>
      </c>
      <c r="W255" s="116" t="s">
        <v>13690</v>
      </c>
      <c r="X255" s="99" t="s">
        <v>13583</v>
      </c>
      <c r="Y255" s="99">
        <v>1</v>
      </c>
      <c r="Z255" s="99">
        <v>2</v>
      </c>
      <c r="AA255" s="99">
        <v>1</v>
      </c>
      <c r="AB255" s="99"/>
      <c r="AC255" s="99"/>
      <c r="AD255" s="107">
        <v>39.986666666666657</v>
      </c>
      <c r="AE255" s="113">
        <f t="shared" si="40"/>
        <v>-5.9979999999999984</v>
      </c>
      <c r="AF255" s="116">
        <f>-IFERROR(IFERROR(VLOOKUP(ROUNDUP($Q255,0),'FBA FEES'!$L$2:$Q$203,MATCH($S255,'FBA FEES'!$L$2:$Q$2,0),FALSE),VLOOKUP(ROUNDUP($Q255,0),'FBA FEES'!$C$6:$F$123,MATCH($S255,'FBA FEES'!$C$6:$F$6,0),FALSE)),0)</f>
        <v>-7.56</v>
      </c>
      <c r="AG255" s="116">
        <v>-10</v>
      </c>
      <c r="AH255" s="113">
        <f t="shared" si="41"/>
        <v>-13.557999999999998</v>
      </c>
      <c r="AI255" s="116">
        <f>-IFERROR(IF($Y255=1,INDEX('[1]REMOVAL FEES'!$A$1:$C$22,MATCH(CONCATENATE("Standard Size",$P255),'[1]REMOVAL FEES'!$A$1:$A$22,0),3),IF($Y255=2,IF($P255&gt;10,(($P255-10)*1.06)+INDEX('[1]REMOVAL FEES'!$E$1:$G$22,MATCH(CONCATENATE("Large bulky, extra-large and special handling items",IF($P255&gt;=11,11,$P255)),'[1]REMOVAL FEES'!$E$1:$E$13,0),3),INDEX('[1]REMOVAL FEES'!$E$1:$G$22,MATCH(CONCATENATE("Large bulky, extra-large and special handling items",IF($P255&gt;=11,11,$P255)),'[1]REMOVAL FEES'!$E$1:$E$13,0),3))))*$AA255,FALSE)</f>
        <v>-6.07</v>
      </c>
      <c r="AJ255" s="107">
        <f t="shared" si="42"/>
        <v>-19.628</v>
      </c>
      <c r="AK255" s="107">
        <v>-15.910256410256411</v>
      </c>
      <c r="AL255" s="107">
        <v>-1.4720769230769231</v>
      </c>
      <c r="AM255" s="107">
        <f t="shared" si="43"/>
        <v>-17.382333333333335</v>
      </c>
      <c r="AN255" s="116">
        <f>(-IF($V255="Yes", IF($X255="Yes", VLOOKUP($W255, '[1]Storage Fees'!A:M, 13, FALSE), VLOOKUP($W255, '[1]Storage Fees'!A:M, 10, FALSE)), IF($X255="Yes", VLOOKUP($W255, '[1]Storage Fees'!A:M, 7, FALSE), VLOOKUP($W255, '[1]Storage Fees'!A:M, 4, FALSE))) * U255)*1.5</f>
        <v>-0.24463541666666666</v>
      </c>
    </row>
    <row r="256" spans="1:40" x14ac:dyDescent="0.25">
      <c r="A256" s="99">
        <v>184</v>
      </c>
      <c r="B256" s="99" t="s">
        <v>55</v>
      </c>
      <c r="C256" s="99"/>
      <c r="D256" s="99"/>
      <c r="E256" s="99" t="s">
        <v>232</v>
      </c>
      <c r="F256" s="99" t="s">
        <v>249</v>
      </c>
      <c r="G256" s="99" t="s">
        <v>13656</v>
      </c>
      <c r="H256" s="99">
        <v>11</v>
      </c>
      <c r="I256" s="99">
        <v>7</v>
      </c>
      <c r="J256" s="99">
        <v>3</v>
      </c>
      <c r="K256" s="101" t="str">
        <f t="shared" si="31"/>
        <v>11x7x3</v>
      </c>
      <c r="L256" s="102">
        <f t="shared" si="32"/>
        <v>1.6618705035971224</v>
      </c>
      <c r="M256" s="113">
        <f t="shared" si="33"/>
        <v>1.6618705035971224</v>
      </c>
      <c r="N256" s="113">
        <f t="shared" si="34"/>
        <v>2</v>
      </c>
      <c r="O256" s="99">
        <v>6</v>
      </c>
      <c r="P256" s="113">
        <f t="shared" si="35"/>
        <v>6</v>
      </c>
      <c r="Q256" s="112">
        <f t="shared" si="36"/>
        <v>96</v>
      </c>
      <c r="R256" s="112" t="str">
        <f t="shared" si="37"/>
        <v>Standard-size</v>
      </c>
      <c r="S256" s="99" t="str">
        <f t="shared" si="38"/>
        <v>Large standard-size</v>
      </c>
      <c r="T256" s="116" t="s">
        <v>13693</v>
      </c>
      <c r="U256" s="116">
        <f t="shared" si="39"/>
        <v>0.13368055555555555</v>
      </c>
      <c r="V256" s="116" t="s">
        <v>13583</v>
      </c>
      <c r="W256" s="116" t="s">
        <v>13690</v>
      </c>
      <c r="X256" s="99" t="s">
        <v>13583</v>
      </c>
      <c r="Y256" s="99">
        <v>1</v>
      </c>
      <c r="Z256" s="99">
        <v>2</v>
      </c>
      <c r="AA256" s="99">
        <v>1</v>
      </c>
      <c r="AB256" s="99"/>
      <c r="AC256" s="99"/>
      <c r="AD256" s="107">
        <v>50.011980519480403</v>
      </c>
      <c r="AE256" s="113">
        <f t="shared" si="40"/>
        <v>-7.5017970779220597</v>
      </c>
      <c r="AF256" s="116">
        <f>-IFERROR(IFERROR(VLOOKUP(ROUNDUP($Q256,0),'FBA FEES'!$L$2:$Q$203,MATCH($S256,'FBA FEES'!$L$2:$Q$2,0),FALSE),VLOOKUP(ROUNDUP($Q256,0),'FBA FEES'!$C$6:$F$123,MATCH($S256,'FBA FEES'!$C$6:$F$6,0),FALSE)),0)</f>
        <v>-7.88</v>
      </c>
      <c r="AG256" s="116">
        <v>-10</v>
      </c>
      <c r="AH256" s="113">
        <f t="shared" si="41"/>
        <v>-15.381797077922059</v>
      </c>
      <c r="AI256" s="116">
        <f>-IFERROR(IF($Y256=1,INDEX('[1]REMOVAL FEES'!$A$1:$C$22,MATCH(CONCATENATE("Standard Size",$P256),'[1]REMOVAL FEES'!$A$1:$A$22,0),3),IF($Y256=2,IF($P256&gt;10,(($P256-10)*1.06)+INDEX('[1]REMOVAL FEES'!$E$1:$G$22,MATCH(CONCATENATE("Large bulky, extra-large and special handling items",IF($P256&gt;=11,11,$P256)),'[1]REMOVAL FEES'!$E$1:$E$13,0),3),INDEX('[1]REMOVAL FEES'!$E$1:$G$22,MATCH(CONCATENATE("Large bulky, extra-large and special handling items",IF($P256&gt;=11,11,$P256)),'[1]REMOVAL FEES'!$E$1:$E$13,0),3))))*$AA256,FALSE)</f>
        <v>-7.1300000000000008</v>
      </c>
      <c r="AJ256" s="107">
        <f t="shared" si="42"/>
        <v>-22.511797077922061</v>
      </c>
      <c r="AK256" s="107">
        <v>-14.880000000000059</v>
      </c>
      <c r="AL256" s="107">
        <v>-1.8275434510925599</v>
      </c>
      <c r="AM256" s="107">
        <f t="shared" si="43"/>
        <v>-16.707543451092619</v>
      </c>
      <c r="AN256" s="116">
        <f>(-IF($V256="Yes", IF($X256="Yes", VLOOKUP($W256, '[1]Storage Fees'!A:M, 13, FALSE), VLOOKUP($W256, '[1]Storage Fees'!A:M, 10, FALSE)), IF($X256="Yes", VLOOKUP($W256, '[1]Storage Fees'!A:M, 7, FALSE), VLOOKUP($W256, '[1]Storage Fees'!A:M, 4, FALSE))) * U256)*1.5</f>
        <v>-0.24463541666666666</v>
      </c>
    </row>
    <row r="257" spans="1:40" x14ac:dyDescent="0.25">
      <c r="A257" s="99">
        <v>185</v>
      </c>
      <c r="B257" s="99" t="s">
        <v>55</v>
      </c>
      <c r="C257" s="99"/>
      <c r="D257" s="99"/>
      <c r="E257" s="99" t="s">
        <v>232</v>
      </c>
      <c r="F257" s="99" t="s">
        <v>251</v>
      </c>
      <c r="G257" s="99" t="s">
        <v>13656</v>
      </c>
      <c r="H257" s="99">
        <v>11</v>
      </c>
      <c r="I257" s="99">
        <v>7</v>
      </c>
      <c r="J257" s="99">
        <v>3</v>
      </c>
      <c r="K257" s="101" t="str">
        <f t="shared" si="31"/>
        <v>11x7x3</v>
      </c>
      <c r="L257" s="102">
        <f t="shared" si="32"/>
        <v>1.6618705035971224</v>
      </c>
      <c r="M257" s="113">
        <f t="shared" si="33"/>
        <v>1.6618705035971224</v>
      </c>
      <c r="N257" s="113">
        <f t="shared" si="34"/>
        <v>2</v>
      </c>
      <c r="O257" s="99">
        <v>7</v>
      </c>
      <c r="P257" s="113">
        <f t="shared" si="35"/>
        <v>7</v>
      </c>
      <c r="Q257" s="112">
        <f t="shared" si="36"/>
        <v>112</v>
      </c>
      <c r="R257" s="112" t="str">
        <f t="shared" si="37"/>
        <v>Standard-size</v>
      </c>
      <c r="S257" s="99" t="str">
        <f t="shared" si="38"/>
        <v>Large standard-size</v>
      </c>
      <c r="T257" s="116" t="s">
        <v>13693</v>
      </c>
      <c r="U257" s="116">
        <f t="shared" si="39"/>
        <v>0.13368055555555555</v>
      </c>
      <c r="V257" s="116" t="s">
        <v>13583</v>
      </c>
      <c r="W257" s="116" t="s">
        <v>13690</v>
      </c>
      <c r="X257" s="99" t="s">
        <v>13583</v>
      </c>
      <c r="Y257" s="99">
        <v>1</v>
      </c>
      <c r="Z257" s="99">
        <v>2</v>
      </c>
      <c r="AA257" s="99">
        <v>1</v>
      </c>
      <c r="AB257" s="99"/>
      <c r="AC257" s="99"/>
      <c r="AD257" s="107">
        <v>51.958750000000009</v>
      </c>
      <c r="AE257" s="113">
        <f t="shared" si="40"/>
        <v>-7.7938125000000014</v>
      </c>
      <c r="AF257" s="116">
        <f>-IFERROR(IFERROR(VLOOKUP(ROUNDUP($Q257,0),'FBA FEES'!$L$2:$Q$203,MATCH($S257,'FBA FEES'!$L$2:$Q$2,0),FALSE),VLOOKUP(ROUNDUP($Q257,0),'FBA FEES'!$C$6:$F$123,MATCH($S257,'FBA FEES'!$C$6:$F$6,0),FALSE)),0)</f>
        <v>-8.1999999999999993</v>
      </c>
      <c r="AG257" s="116">
        <v>-10</v>
      </c>
      <c r="AH257" s="113">
        <f t="shared" si="41"/>
        <v>-15.993812500000001</v>
      </c>
      <c r="AI257" s="116">
        <f>-IFERROR(IF($Y257=1,INDEX('[1]REMOVAL FEES'!$A$1:$C$22,MATCH(CONCATENATE("Standard Size",$P257),'[1]REMOVAL FEES'!$A$1:$A$22,0),3),IF($Y257=2,IF($P257&gt;10,(($P257-10)*1.06)+INDEX('[1]REMOVAL FEES'!$E$1:$G$22,MATCH(CONCATENATE("Large bulky, extra-large and special handling items",IF($P257&gt;=11,11,$P257)),'[1]REMOVAL FEES'!$E$1:$E$13,0),3),INDEX('[1]REMOVAL FEES'!$E$1:$G$22,MATCH(CONCATENATE("Large bulky, extra-large and special handling items",IF($P257&gt;=11,11,$P257)),'[1]REMOVAL FEES'!$E$1:$E$13,0),3))))*$AA257,FALSE)</f>
        <v>-8.1900000000000013</v>
      </c>
      <c r="AJ257" s="107">
        <f t="shared" si="42"/>
        <v>-24.183812500000002</v>
      </c>
      <c r="AK257" s="107">
        <v>-17.55374999999999</v>
      </c>
      <c r="AL257" s="107">
        <v>-2.3976099280973449</v>
      </c>
      <c r="AM257" s="107">
        <f t="shared" si="43"/>
        <v>-19.951359928097336</v>
      </c>
      <c r="AN257" s="116">
        <f>(-IF($V257="Yes", IF($X257="Yes", VLOOKUP($W257, '[1]Storage Fees'!A:M, 13, FALSE), VLOOKUP($W257, '[1]Storage Fees'!A:M, 10, FALSE)), IF($X257="Yes", VLOOKUP($W257, '[1]Storage Fees'!A:M, 7, FALSE), VLOOKUP($W257, '[1]Storage Fees'!A:M, 4, FALSE))) * U257)*1.5</f>
        <v>-0.24463541666666666</v>
      </c>
    </row>
    <row r="258" spans="1:40" x14ac:dyDescent="0.25">
      <c r="A258" s="99">
        <v>186</v>
      </c>
      <c r="B258" s="99" t="s">
        <v>55</v>
      </c>
      <c r="C258" s="99"/>
      <c r="D258" s="99"/>
      <c r="E258" s="99" t="s">
        <v>232</v>
      </c>
      <c r="F258" s="99" t="s">
        <v>253</v>
      </c>
      <c r="G258" s="99" t="s">
        <v>13695</v>
      </c>
      <c r="H258" s="99">
        <v>11</v>
      </c>
      <c r="I258" s="99">
        <v>9</v>
      </c>
      <c r="J258" s="99">
        <v>3</v>
      </c>
      <c r="K258" s="101" t="str">
        <f t="shared" si="31"/>
        <v>11x9x3</v>
      </c>
      <c r="L258" s="102">
        <f t="shared" si="32"/>
        <v>2.1366906474820144</v>
      </c>
      <c r="M258" s="113">
        <f t="shared" si="33"/>
        <v>2.1366906474820144</v>
      </c>
      <c r="N258" s="113">
        <f t="shared" si="34"/>
        <v>3</v>
      </c>
      <c r="O258" s="99">
        <v>8</v>
      </c>
      <c r="P258" s="113">
        <f t="shared" si="35"/>
        <v>8</v>
      </c>
      <c r="Q258" s="112">
        <f t="shared" si="36"/>
        <v>128</v>
      </c>
      <c r="R258" s="112" t="str">
        <f t="shared" si="37"/>
        <v>Standard-size</v>
      </c>
      <c r="S258" s="99" t="str">
        <f t="shared" si="38"/>
        <v>Large standard-size</v>
      </c>
      <c r="T258" s="116" t="s">
        <v>13693</v>
      </c>
      <c r="U258" s="116">
        <f t="shared" si="39"/>
        <v>0.171875</v>
      </c>
      <c r="V258" s="116" t="s">
        <v>13583</v>
      </c>
      <c r="W258" s="116" t="s">
        <v>13690</v>
      </c>
      <c r="X258" s="99" t="s">
        <v>13583</v>
      </c>
      <c r="Y258" s="99">
        <v>1</v>
      </c>
      <c r="Z258" s="99">
        <v>2</v>
      </c>
      <c r="AA258" s="99">
        <v>1</v>
      </c>
      <c r="AB258" s="99"/>
      <c r="AC258" s="99"/>
      <c r="AD258" s="107">
        <v>68.972656249999986</v>
      </c>
      <c r="AE258" s="113">
        <f t="shared" si="40"/>
        <v>-10.345898437499997</v>
      </c>
      <c r="AF258" s="116">
        <f>-IFERROR(IFERROR(VLOOKUP(ROUNDUP($Q258,0),'FBA FEES'!$L$2:$Q$203,MATCH($S258,'FBA FEES'!$L$2:$Q$2,0),FALSE),VLOOKUP(ROUNDUP($Q258,0),'FBA FEES'!$C$6:$F$123,MATCH($S258,'FBA FEES'!$C$6:$F$6,0),FALSE)),0)</f>
        <v>-8.52</v>
      </c>
      <c r="AG258" s="116">
        <v>-10</v>
      </c>
      <c r="AH258" s="113">
        <f t="shared" si="41"/>
        <v>-18.865898437499997</v>
      </c>
      <c r="AI258" s="116">
        <f>-IFERROR(IF($Y258=1,INDEX('[1]REMOVAL FEES'!$A$1:$C$22,MATCH(CONCATENATE("Standard Size",$P258),'[1]REMOVAL FEES'!$A$1:$A$22,0),3),IF($Y258=2,IF($P258&gt;10,(($P258-10)*1.06)+INDEX('[1]REMOVAL FEES'!$E$1:$G$22,MATCH(CONCATENATE("Large bulky, extra-large and special handling items",IF($P258&gt;=11,11,$P258)),'[1]REMOVAL FEES'!$E$1:$E$13,0),3),INDEX('[1]REMOVAL FEES'!$E$1:$G$22,MATCH(CONCATENATE("Large bulky, extra-large and special handling items",IF($P258&gt;=11,11,$P258)),'[1]REMOVAL FEES'!$E$1:$E$13,0),3))))*$AA258,FALSE)</f>
        <v>-9.25</v>
      </c>
      <c r="AJ258" s="107">
        <f t="shared" si="42"/>
        <v>-28.115898437499997</v>
      </c>
      <c r="AK258" s="107">
        <v>-22.114374999999988</v>
      </c>
      <c r="AL258" s="107">
        <v>-2.816563020833335</v>
      </c>
      <c r="AM258" s="107">
        <f t="shared" si="43"/>
        <v>-24.930938020833324</v>
      </c>
      <c r="AN258" s="116">
        <f>(-IF($V258="Yes", IF($X258="Yes", VLOOKUP($W258, '[1]Storage Fees'!A:M, 13, FALSE), VLOOKUP($W258, '[1]Storage Fees'!A:M, 10, FALSE)), IF($X258="Yes", VLOOKUP($W258, '[1]Storage Fees'!A:M, 7, FALSE), VLOOKUP($W258, '[1]Storage Fees'!A:M, 4, FALSE))) * U258)*1.5</f>
        <v>-0.31453124999999998</v>
      </c>
    </row>
    <row r="259" spans="1:40" x14ac:dyDescent="0.25">
      <c r="A259" s="99">
        <v>187</v>
      </c>
      <c r="B259" s="99" t="s">
        <v>55</v>
      </c>
      <c r="C259" s="99"/>
      <c r="D259" s="99"/>
      <c r="E259" s="99" t="s">
        <v>232</v>
      </c>
      <c r="F259" s="99" t="s">
        <v>255</v>
      </c>
      <c r="G259" s="99" t="s">
        <v>13656</v>
      </c>
      <c r="H259" s="99">
        <v>11</v>
      </c>
      <c r="I259" s="99">
        <v>9</v>
      </c>
      <c r="J259" s="99">
        <v>4</v>
      </c>
      <c r="K259" s="101" t="str">
        <f t="shared" si="31"/>
        <v>11x9x4</v>
      </c>
      <c r="L259" s="102">
        <f t="shared" si="32"/>
        <v>2.8489208633093526</v>
      </c>
      <c r="M259" s="113">
        <f t="shared" si="33"/>
        <v>2.8489208633093526</v>
      </c>
      <c r="N259" s="113">
        <f t="shared" si="34"/>
        <v>3</v>
      </c>
      <c r="O259" s="99">
        <v>12</v>
      </c>
      <c r="P259" s="113">
        <f t="shared" si="35"/>
        <v>12</v>
      </c>
      <c r="Q259" s="112">
        <f t="shared" si="36"/>
        <v>192</v>
      </c>
      <c r="R259" s="112" t="str">
        <f t="shared" si="37"/>
        <v>Standard-size</v>
      </c>
      <c r="S259" s="99" t="str">
        <f t="shared" si="38"/>
        <v>Large standard-size</v>
      </c>
      <c r="T259" s="116" t="s">
        <v>13693</v>
      </c>
      <c r="U259" s="116">
        <f t="shared" si="39"/>
        <v>0.22916666666666666</v>
      </c>
      <c r="V259" s="116" t="s">
        <v>13583</v>
      </c>
      <c r="W259" s="116" t="s">
        <v>13690</v>
      </c>
      <c r="X259" s="99" t="s">
        <v>13583</v>
      </c>
      <c r="Y259" s="99">
        <v>1</v>
      </c>
      <c r="Z259" s="99">
        <v>2</v>
      </c>
      <c r="AA259" s="99">
        <v>1</v>
      </c>
      <c r="AB259" s="99"/>
      <c r="AC259" s="99"/>
      <c r="AD259" s="107">
        <v>81.876739130434686</v>
      </c>
      <c r="AE259" s="113">
        <f t="shared" si="40"/>
        <v>-12.281510869565203</v>
      </c>
      <c r="AF259" s="116">
        <f>-IFERROR(IFERROR(VLOOKUP(ROUNDUP($Q259,0),'FBA FEES'!$L$2:$Q$203,MATCH($S259,'FBA FEES'!$L$2:$Q$2,0),FALSE),VLOOKUP(ROUNDUP($Q259,0),'FBA FEES'!$C$6:$F$123,MATCH($S259,'FBA FEES'!$C$6:$F$6,0),FALSE)),0)</f>
        <v>-9.8000000000000007</v>
      </c>
      <c r="AG259" s="116">
        <v>-10</v>
      </c>
      <c r="AH259" s="113">
        <f t="shared" si="41"/>
        <v>-22.081510869565204</v>
      </c>
      <c r="AI259" s="116">
        <f>-IFERROR(IF($Y259=1,INDEX('[1]REMOVAL FEES'!$A$1:$C$22,MATCH(CONCATENATE("Standard Size",$P259),'[1]REMOVAL FEES'!$A$1:$A$22,0),3),IF($Y259=2,IF($P259&gt;10,(($P259-10)*1.06)+INDEX('[1]REMOVAL FEES'!$E$1:$G$22,MATCH(CONCATENATE("Large bulky, extra-large and special handling items",IF($P259&gt;=11,11,$P259)),'[1]REMOVAL FEES'!$E$1:$E$13,0),3),INDEX('[1]REMOVAL FEES'!$E$1:$G$22,MATCH(CONCATENATE("Large bulky, extra-large and special handling items",IF($P259&gt;=11,11,$P259)),'[1]REMOVAL FEES'!$E$1:$E$13,0),3))))*$AA259,FALSE)</f>
        <v>-13.490000000000002</v>
      </c>
      <c r="AJ259" s="107">
        <f t="shared" si="42"/>
        <v>-35.571510869565202</v>
      </c>
      <c r="AK259" s="107">
        <v>-26.68985507246375</v>
      </c>
      <c r="AL259" s="107">
        <v>-3.291101812662991</v>
      </c>
      <c r="AM259" s="107">
        <f t="shared" si="43"/>
        <v>-29.980956885126741</v>
      </c>
      <c r="AN259" s="116">
        <f>(-IF($V259="Yes", IF($X259="Yes", VLOOKUP($W259, '[1]Storage Fees'!A:M, 13, FALSE), VLOOKUP($W259, '[1]Storage Fees'!A:M, 10, FALSE)), IF($X259="Yes", VLOOKUP($W259, '[1]Storage Fees'!A:M, 7, FALSE), VLOOKUP($W259, '[1]Storage Fees'!A:M, 4, FALSE))) * U259)*1.5</f>
        <v>-0.41937499999999994</v>
      </c>
    </row>
    <row r="260" spans="1:40" x14ac:dyDescent="0.25">
      <c r="A260" s="99">
        <v>188</v>
      </c>
      <c r="B260" s="99" t="s">
        <v>55</v>
      </c>
      <c r="C260" s="99"/>
      <c r="D260" s="99"/>
      <c r="E260" s="99" t="s">
        <v>232</v>
      </c>
      <c r="F260" s="99" t="s">
        <v>257</v>
      </c>
      <c r="G260" s="99" t="s">
        <v>13695</v>
      </c>
      <c r="H260" s="99">
        <v>11</v>
      </c>
      <c r="I260" s="99">
        <v>7</v>
      </c>
      <c r="J260" s="99">
        <v>3</v>
      </c>
      <c r="K260" s="101" t="str">
        <f t="shared" si="31"/>
        <v>11x7x3</v>
      </c>
      <c r="L260" s="102">
        <f t="shared" si="32"/>
        <v>1.6618705035971224</v>
      </c>
      <c r="M260" s="113">
        <f t="shared" si="33"/>
        <v>1.6618705035971224</v>
      </c>
      <c r="N260" s="113">
        <f t="shared" si="34"/>
        <v>2</v>
      </c>
      <c r="O260" s="99">
        <v>9</v>
      </c>
      <c r="P260" s="113">
        <f t="shared" si="35"/>
        <v>9</v>
      </c>
      <c r="Q260" s="112">
        <f t="shared" si="36"/>
        <v>144</v>
      </c>
      <c r="R260" s="112" t="str">
        <f t="shared" si="37"/>
        <v>Standard-size</v>
      </c>
      <c r="S260" s="99" t="str">
        <f t="shared" si="38"/>
        <v>Large standard-size</v>
      </c>
      <c r="T260" s="116" t="s">
        <v>13693</v>
      </c>
      <c r="U260" s="116">
        <f t="shared" si="39"/>
        <v>0.13368055555555555</v>
      </c>
      <c r="V260" s="116" t="s">
        <v>13583</v>
      </c>
      <c r="W260" s="116" t="s">
        <v>13690</v>
      </c>
      <c r="X260" s="99" t="s">
        <v>13583</v>
      </c>
      <c r="Y260" s="99">
        <v>1</v>
      </c>
      <c r="Z260" s="99">
        <v>2</v>
      </c>
      <c r="AA260" s="99">
        <v>1</v>
      </c>
      <c r="AB260" s="99"/>
      <c r="AC260" s="99"/>
      <c r="AD260" s="107">
        <v>0</v>
      </c>
      <c r="AE260" s="113">
        <f t="shared" si="40"/>
        <v>0</v>
      </c>
      <c r="AF260" s="116">
        <f>-IFERROR(IFERROR(VLOOKUP(ROUNDUP($Q260,0),'FBA FEES'!$L$2:$Q$203,MATCH($S260,'FBA FEES'!$L$2:$Q$2,0),FALSE),VLOOKUP(ROUNDUP($Q260,0),'FBA FEES'!$C$6:$F$123,MATCH($S260,'FBA FEES'!$C$6:$F$6,0),FALSE)),0)</f>
        <v>-8.84</v>
      </c>
      <c r="AG260" s="116">
        <v>-10</v>
      </c>
      <c r="AH260" s="113">
        <f t="shared" si="41"/>
        <v>-8.84</v>
      </c>
      <c r="AI260" s="116">
        <f>-IFERROR(IF($Y260=1,INDEX('[1]REMOVAL FEES'!$A$1:$C$22,MATCH(CONCATENATE("Standard Size",$P260),'[1]REMOVAL FEES'!$A$1:$A$22,0),3),IF($Y260=2,IF($P260&gt;10,(($P260-10)*1.06)+INDEX('[1]REMOVAL FEES'!$E$1:$G$22,MATCH(CONCATENATE("Large bulky, extra-large and special handling items",IF($P260&gt;=11,11,$P260)),'[1]REMOVAL FEES'!$E$1:$E$13,0),3),INDEX('[1]REMOVAL FEES'!$E$1:$G$22,MATCH(CONCATENATE("Large bulky, extra-large and special handling items",IF($P260&gt;=11,11,$P260)),'[1]REMOVAL FEES'!$E$1:$E$13,0),3))))*$AA260,FALSE)</f>
        <v>-10.31</v>
      </c>
      <c r="AJ260" s="107">
        <f t="shared" si="42"/>
        <v>-19.149999999999999</v>
      </c>
      <c r="AK260" s="107">
        <v>0</v>
      </c>
      <c r="AL260" s="107">
        <v>0</v>
      </c>
      <c r="AM260" s="107">
        <f t="shared" si="43"/>
        <v>0</v>
      </c>
      <c r="AN260" s="116">
        <f>(-IF($V260="Yes", IF($X260="Yes", VLOOKUP($W260, '[1]Storage Fees'!A:M, 13, FALSE), VLOOKUP($W260, '[1]Storage Fees'!A:M, 10, FALSE)), IF($X260="Yes", VLOOKUP($W260, '[1]Storage Fees'!A:M, 7, FALSE), VLOOKUP($W260, '[1]Storage Fees'!A:M, 4, FALSE))) * U260)*1.5</f>
        <v>-0.24463541666666666</v>
      </c>
    </row>
    <row r="261" spans="1:40" x14ac:dyDescent="0.25">
      <c r="A261" s="99">
        <v>189</v>
      </c>
      <c r="B261" s="99" t="s">
        <v>55</v>
      </c>
      <c r="C261" s="99"/>
      <c r="D261" s="99"/>
      <c r="E261" s="99" t="s">
        <v>232</v>
      </c>
      <c r="F261" s="99" t="s">
        <v>259</v>
      </c>
      <c r="G261" s="99" t="s">
        <v>13695</v>
      </c>
      <c r="H261" s="99">
        <v>13</v>
      </c>
      <c r="I261" s="99">
        <v>13</v>
      </c>
      <c r="J261" s="99">
        <v>3</v>
      </c>
      <c r="K261" s="101" t="str">
        <f t="shared" si="31"/>
        <v>13x13x3</v>
      </c>
      <c r="L261" s="102">
        <f t="shared" si="32"/>
        <v>3.6474820143884892</v>
      </c>
      <c r="M261" s="113">
        <f t="shared" si="33"/>
        <v>3.6474820143884892</v>
      </c>
      <c r="N261" s="113">
        <f t="shared" si="34"/>
        <v>4</v>
      </c>
      <c r="O261" s="99">
        <v>13.3125</v>
      </c>
      <c r="P261" s="113">
        <f t="shared" si="35"/>
        <v>14</v>
      </c>
      <c r="Q261" s="112">
        <f t="shared" si="36"/>
        <v>224</v>
      </c>
      <c r="R261" s="112" t="str">
        <f t="shared" si="37"/>
        <v>Standard-size</v>
      </c>
      <c r="S261" s="99" t="str">
        <f t="shared" si="38"/>
        <v>Large standard-size</v>
      </c>
      <c r="T261" s="116" t="s">
        <v>13693</v>
      </c>
      <c r="U261" s="116">
        <f t="shared" si="39"/>
        <v>0.29340277777777779</v>
      </c>
      <c r="V261" s="116" t="s">
        <v>13583</v>
      </c>
      <c r="W261" s="116" t="s">
        <v>13690</v>
      </c>
      <c r="X261" s="99" t="s">
        <v>13583</v>
      </c>
      <c r="Y261" s="99">
        <v>1</v>
      </c>
      <c r="Z261" s="99">
        <v>2</v>
      </c>
      <c r="AA261" s="99">
        <v>1</v>
      </c>
      <c r="AB261" s="99"/>
      <c r="AC261" s="99"/>
      <c r="AD261" s="107">
        <v>0</v>
      </c>
      <c r="AE261" s="113">
        <f t="shared" si="40"/>
        <v>0</v>
      </c>
      <c r="AF261" s="116">
        <f>-IFERROR(IFERROR(VLOOKUP(ROUNDUP($Q261,0),'FBA FEES'!$L$2:$Q$203,MATCH($S261,'FBA FEES'!$L$2:$Q$2,0),FALSE),VLOOKUP(ROUNDUP($Q261,0),'FBA FEES'!$C$6:$F$123,MATCH($S261,'FBA FEES'!$C$6:$F$6,0),FALSE)),0)</f>
        <v>-10.44</v>
      </c>
      <c r="AG261" s="116">
        <v>-10</v>
      </c>
      <c r="AH261" s="113">
        <f t="shared" si="41"/>
        <v>-10.44</v>
      </c>
      <c r="AI261" s="116">
        <f>-IFERROR(IF($Y261=1,INDEX('[1]REMOVAL FEES'!$A$1:$C$22,MATCH(CONCATENATE("Standard Size",$P261),'[1]REMOVAL FEES'!$A$1:$A$22,0),3),IF($Y261=2,IF($P261&gt;10,(($P261-10)*1.06)+INDEX('[1]REMOVAL FEES'!$E$1:$G$22,MATCH(CONCATENATE("Large bulky, extra-large and special handling items",IF($P261&gt;=11,11,$P261)),'[1]REMOVAL FEES'!$E$1:$E$13,0),3),INDEX('[1]REMOVAL FEES'!$E$1:$G$22,MATCH(CONCATENATE("Large bulky, extra-large and special handling items",IF($P261&gt;=11,11,$P261)),'[1]REMOVAL FEES'!$E$1:$E$13,0),3))))*$AA261,FALSE)</f>
        <v>-15.610000000000001</v>
      </c>
      <c r="AJ261" s="107">
        <f t="shared" si="42"/>
        <v>-26.05</v>
      </c>
      <c r="AK261" s="107">
        <v>0</v>
      </c>
      <c r="AL261" s="107">
        <v>0</v>
      </c>
      <c r="AM261" s="107">
        <f t="shared" si="43"/>
        <v>0</v>
      </c>
      <c r="AN261" s="116">
        <f>(-IF($V261="Yes", IF($X261="Yes", VLOOKUP($W261, '[1]Storage Fees'!A:M, 13, FALSE), VLOOKUP($W261, '[1]Storage Fees'!A:M, 10, FALSE)), IF($X261="Yes", VLOOKUP($W261, '[1]Storage Fees'!A:M, 7, FALSE), VLOOKUP($W261, '[1]Storage Fees'!A:M, 4, FALSE))) * U261)*1.5</f>
        <v>-0.53692708333333328</v>
      </c>
    </row>
    <row r="262" spans="1:40" x14ac:dyDescent="0.25">
      <c r="A262" s="99">
        <v>190</v>
      </c>
      <c r="B262" s="99" t="s">
        <v>55</v>
      </c>
      <c r="C262" s="99"/>
      <c r="D262" s="99"/>
      <c r="E262" s="99" t="s">
        <v>54</v>
      </c>
      <c r="F262" s="99" t="s">
        <v>261</v>
      </c>
      <c r="G262" s="99" t="s">
        <v>13695</v>
      </c>
      <c r="H262" s="99">
        <v>24</v>
      </c>
      <c r="I262" s="99">
        <v>19</v>
      </c>
      <c r="J262" s="99">
        <v>19</v>
      </c>
      <c r="K262" s="101" t="str">
        <f t="shared" si="31"/>
        <v>24x19x19</v>
      </c>
      <c r="L262" s="102">
        <f t="shared" si="32"/>
        <v>62.330935251798564</v>
      </c>
      <c r="M262" s="113">
        <f t="shared" si="33"/>
        <v>62.330935251798564</v>
      </c>
      <c r="N262" s="113">
        <f t="shared" si="34"/>
        <v>63</v>
      </c>
      <c r="O262" s="99">
        <v>38.4375</v>
      </c>
      <c r="P262" s="113">
        <f t="shared" si="35"/>
        <v>63</v>
      </c>
      <c r="Q262" s="112">
        <f t="shared" si="36"/>
        <v>1008</v>
      </c>
      <c r="R262" s="112" t="str">
        <f t="shared" si="37"/>
        <v>Oversize</v>
      </c>
      <c r="S262" s="99" t="str">
        <f t="shared" si="38"/>
        <v>Extra-large 50+ to 70 lb</v>
      </c>
      <c r="T262" s="116" t="s">
        <v>13689</v>
      </c>
      <c r="U262" s="116">
        <f t="shared" si="39"/>
        <v>5.0138888888888893</v>
      </c>
      <c r="V262" s="116" t="s">
        <v>13583</v>
      </c>
      <c r="W262" s="116" t="s">
        <v>13690</v>
      </c>
      <c r="X262" s="116" t="s">
        <v>13691</v>
      </c>
      <c r="Y262" s="116">
        <v>2</v>
      </c>
      <c r="Z262" s="116">
        <v>5</v>
      </c>
      <c r="AA262" s="116">
        <v>1</v>
      </c>
      <c r="AB262" s="99"/>
      <c r="AC262" s="99"/>
      <c r="AD262" s="107">
        <v>151.09800000000001</v>
      </c>
      <c r="AE262" s="113">
        <f t="shared" si="40"/>
        <v>-22.6647</v>
      </c>
      <c r="AF262" s="116">
        <f>-IFERROR(IFERROR(VLOOKUP(ROUNDUP($Q262,0),'FBA FEES'!$L$2:$Q$203,MATCH($S262,'FBA FEES'!$L$2:$Q$2,0),FALSE),VLOOKUP(ROUNDUP($Q262,0),'FBA FEES'!$C$6:$F$123,MATCH($S262,'FBA FEES'!$C$6:$F$6,0),FALSE)),0)</f>
        <v>-49.12</v>
      </c>
      <c r="AG262" s="116">
        <v>-7</v>
      </c>
      <c r="AH262" s="113">
        <f t="shared" si="41"/>
        <v>-71.784700000000001</v>
      </c>
      <c r="AI262" s="116">
        <f>-IFERROR(IF($Y262=1,INDEX('[1]REMOVAL FEES'!$A$1:$C$22,MATCH(CONCATENATE("Standard Size",$P262),'[1]REMOVAL FEES'!$A$1:$A$22,0),3),IF($Y262=2,IF($P262&gt;10,(($P262-10)*1.06)+INDEX('[1]REMOVAL FEES'!$E$1:$G$22,MATCH(CONCATENATE("Large bulky, extra-large and special handling items",IF($P262&gt;=11,11,$P262)),'[1]REMOVAL FEES'!$E$1:$E$13,0),3),INDEX('[1]REMOVAL FEES'!$E$1:$G$22,MATCH(CONCATENATE("Large bulky, extra-large and special handling items",IF($P262&gt;=11,11,$P262)),'[1]REMOVAL FEES'!$E$1:$E$13,0),3))))*$AA262,FALSE)</f>
        <v>-70.5</v>
      </c>
      <c r="AJ262" s="107">
        <f t="shared" si="42"/>
        <v>-142.28469999999999</v>
      </c>
      <c r="AK262" s="107">
        <v>-60.029499999999999</v>
      </c>
      <c r="AL262" s="107">
        <v>-13.768000000000001</v>
      </c>
      <c r="AM262" s="107">
        <f t="shared" si="43"/>
        <v>-73.797499999999999</v>
      </c>
      <c r="AN262" s="116">
        <f>(-IF($V262="Yes", IF($X262="Yes", VLOOKUP($W262, '[1]Storage Fees'!A:M, 13, FALSE), VLOOKUP($W262, '[1]Storage Fees'!A:M, 10, FALSE)), IF($X262="Yes", VLOOKUP($W262, '[1]Storage Fees'!A:M, 7, FALSE), VLOOKUP($W262, '[1]Storage Fees'!A:M, 4, FALSE))) * U262)*1.5</f>
        <v>-5.9414583333333342</v>
      </c>
    </row>
    <row r="263" spans="1:40" x14ac:dyDescent="0.25">
      <c r="A263" s="99">
        <v>191</v>
      </c>
      <c r="B263" s="99" t="s">
        <v>55</v>
      </c>
      <c r="C263" s="99"/>
      <c r="D263" s="99"/>
      <c r="E263" s="99" t="s">
        <v>54</v>
      </c>
      <c r="F263" s="99" t="s">
        <v>263</v>
      </c>
      <c r="G263" s="99" t="s">
        <v>13656</v>
      </c>
      <c r="H263" s="99">
        <v>12</v>
      </c>
      <c r="I263" s="99">
        <v>12</v>
      </c>
      <c r="J263" s="99">
        <v>2</v>
      </c>
      <c r="K263" s="101" t="str">
        <f t="shared" si="31"/>
        <v>12x12x2</v>
      </c>
      <c r="L263" s="102">
        <f t="shared" si="32"/>
        <v>2.0719424460431655</v>
      </c>
      <c r="M263" s="113">
        <f t="shared" si="33"/>
        <v>2.0719424460431655</v>
      </c>
      <c r="N263" s="113">
        <f t="shared" si="34"/>
        <v>3</v>
      </c>
      <c r="O263" s="99">
        <v>1.5</v>
      </c>
      <c r="P263" s="113">
        <f t="shared" si="35"/>
        <v>3</v>
      </c>
      <c r="Q263" s="112">
        <f t="shared" si="36"/>
        <v>48</v>
      </c>
      <c r="R263" s="112" t="str">
        <f t="shared" si="37"/>
        <v>Standard-size</v>
      </c>
      <c r="S263" s="99" t="str">
        <f t="shared" si="38"/>
        <v>Large standard-size</v>
      </c>
      <c r="T263" s="116" t="s">
        <v>13701</v>
      </c>
      <c r="U263" s="116">
        <f t="shared" si="39"/>
        <v>0.16666666666666666</v>
      </c>
      <c r="V263" s="116" t="s">
        <v>13583</v>
      </c>
      <c r="W263" s="116" t="s">
        <v>13690</v>
      </c>
      <c r="X263" s="99" t="s">
        <v>13583</v>
      </c>
      <c r="Y263" s="99">
        <v>1</v>
      </c>
      <c r="Z263" s="99">
        <v>2</v>
      </c>
      <c r="AA263" s="99">
        <v>1</v>
      </c>
      <c r="AB263" s="99"/>
      <c r="AC263" s="99"/>
      <c r="AD263" s="107">
        <v>16.272106643249451</v>
      </c>
      <c r="AE263" s="113">
        <f t="shared" si="40"/>
        <v>-2.4408159964874176</v>
      </c>
      <c r="AF263" s="116">
        <f>-IFERROR(IFERROR(VLOOKUP(ROUNDUP($Q263,0),'FBA FEES'!$L$2:$Q$203,MATCH($S263,'FBA FEES'!$L$2:$Q$2,0),FALSE),VLOOKUP(ROUNDUP($Q263,0),'FBA FEES'!$C$6:$F$123,MATCH($S263,'FBA FEES'!$C$6:$F$6,0),FALSE)),0)</f>
        <v>-6.62</v>
      </c>
      <c r="AG263" s="116">
        <v>-2</v>
      </c>
      <c r="AH263" s="113">
        <f t="shared" si="41"/>
        <v>-9.0608159964874169</v>
      </c>
      <c r="AI263" s="116">
        <f>-IFERROR(IF($Y263=1,INDEX('[1]REMOVAL FEES'!$A$1:$C$22,MATCH(CONCATENATE("Standard Size",$P263),'[1]REMOVAL FEES'!$A$1:$A$22,0),3),IF($Y263=2,IF($P263&gt;10,(($P263-10)*1.06)+INDEX('[1]REMOVAL FEES'!$E$1:$G$22,MATCH(CONCATENATE("Large bulky, extra-large and special handling items",IF($P263&gt;=11,11,$P263)),'[1]REMOVAL FEES'!$E$1:$E$13,0),3),INDEX('[1]REMOVAL FEES'!$E$1:$G$22,MATCH(CONCATENATE("Large bulky, extra-large and special handling items",IF($P263&gt;=11,11,$P263)),'[1]REMOVAL FEES'!$E$1:$E$13,0),3))))*$AA263,FALSE)</f>
        <v>-3.95</v>
      </c>
      <c r="AJ263" s="107">
        <f t="shared" si="42"/>
        <v>-13.010815996487416</v>
      </c>
      <c r="AK263" s="107">
        <v>-2.459765357237012</v>
      </c>
      <c r="AL263" s="107">
        <v>-0.70158117149185362</v>
      </c>
      <c r="AM263" s="107">
        <f t="shared" si="43"/>
        <v>-3.1613465287288656</v>
      </c>
      <c r="AN263" s="116">
        <f>(-IF($V263="Yes", IF($X263="Yes", VLOOKUP($W263, '[1]Storage Fees'!A:M, 13, FALSE), VLOOKUP($W263, '[1]Storage Fees'!A:M, 10, FALSE)), IF($X263="Yes", VLOOKUP($W263, '[1]Storage Fees'!A:M, 7, FALSE), VLOOKUP($W263, '[1]Storage Fees'!A:M, 4, FALSE))) * U263)*1.5</f>
        <v>-0.30499999999999994</v>
      </c>
    </row>
    <row r="264" spans="1:40" x14ac:dyDescent="0.25">
      <c r="A264" s="99">
        <v>192</v>
      </c>
      <c r="B264" s="99" t="s">
        <v>55</v>
      </c>
      <c r="C264" s="99"/>
      <c r="D264" s="99"/>
      <c r="E264" s="99" t="s">
        <v>54</v>
      </c>
      <c r="F264" s="99" t="s">
        <v>265</v>
      </c>
      <c r="G264" s="99" t="s">
        <v>13656</v>
      </c>
      <c r="H264" s="99">
        <v>12</v>
      </c>
      <c r="I264" s="99">
        <v>12</v>
      </c>
      <c r="J264" s="99">
        <v>4</v>
      </c>
      <c r="K264" s="101" t="str">
        <f t="shared" si="31"/>
        <v>12x12x4</v>
      </c>
      <c r="L264" s="102">
        <f t="shared" si="32"/>
        <v>4.1438848920863309</v>
      </c>
      <c r="M264" s="113">
        <f t="shared" si="33"/>
        <v>4.1438848920863309</v>
      </c>
      <c r="N264" s="113">
        <f t="shared" si="34"/>
        <v>5</v>
      </c>
      <c r="O264" s="99">
        <v>3</v>
      </c>
      <c r="P264" s="113">
        <f t="shared" si="35"/>
        <v>5</v>
      </c>
      <c r="Q264" s="112">
        <f t="shared" si="36"/>
        <v>80</v>
      </c>
      <c r="R264" s="112" t="str">
        <f t="shared" si="37"/>
        <v>Standard-size</v>
      </c>
      <c r="S264" s="99" t="str">
        <f t="shared" si="38"/>
        <v>Large standard-size</v>
      </c>
      <c r="T264" s="116" t="s">
        <v>13693</v>
      </c>
      <c r="U264" s="116">
        <f t="shared" si="39"/>
        <v>0.33333333333333331</v>
      </c>
      <c r="V264" s="116" t="s">
        <v>13583</v>
      </c>
      <c r="W264" s="116" t="s">
        <v>13690</v>
      </c>
      <c r="X264" s="99" t="s">
        <v>13583</v>
      </c>
      <c r="Y264" s="99">
        <v>1</v>
      </c>
      <c r="Z264" s="99">
        <v>2</v>
      </c>
      <c r="AA264" s="99">
        <v>1</v>
      </c>
      <c r="AB264" s="99"/>
      <c r="AC264" s="99"/>
      <c r="AD264" s="107">
        <v>22.58759229747665</v>
      </c>
      <c r="AE264" s="113">
        <f t="shared" si="40"/>
        <v>-3.3881388446214973</v>
      </c>
      <c r="AF264" s="116">
        <f>-IFERROR(IFERROR(VLOOKUP(ROUNDUP($Q264,0),'FBA FEES'!$L$2:$Q$203,MATCH($S264,'FBA FEES'!$L$2:$Q$2,0),FALSE),VLOOKUP(ROUNDUP($Q264,0),'FBA FEES'!$C$6:$F$123,MATCH($S264,'FBA FEES'!$C$6:$F$6,0),FALSE)),0)</f>
        <v>-7.56</v>
      </c>
      <c r="AG264" s="116">
        <v>-2</v>
      </c>
      <c r="AH264" s="113">
        <f t="shared" si="41"/>
        <v>-10.948138844621496</v>
      </c>
      <c r="AI264" s="116">
        <f>-IFERROR(IF($Y264=1,INDEX('[1]REMOVAL FEES'!$A$1:$C$22,MATCH(CONCATENATE("Standard Size",$P264),'[1]REMOVAL FEES'!$A$1:$A$22,0),3),IF($Y264=2,IF($P264&gt;10,(($P264-10)*1.06)+INDEX('[1]REMOVAL FEES'!$E$1:$G$22,MATCH(CONCATENATE("Large bulky, extra-large and special handling items",IF($P264&gt;=11,11,$P264)),'[1]REMOVAL FEES'!$E$1:$E$13,0),3),INDEX('[1]REMOVAL FEES'!$E$1:$G$22,MATCH(CONCATENATE("Large bulky, extra-large and special handling items",IF($P264&gt;=11,11,$P264)),'[1]REMOVAL FEES'!$E$1:$E$13,0),3))))*$AA264,FALSE)</f>
        <v>-6.07</v>
      </c>
      <c r="AJ264" s="107">
        <f t="shared" si="42"/>
        <v>-17.018138844621497</v>
      </c>
      <c r="AK264" s="107">
        <v>-4.7616600265604143</v>
      </c>
      <c r="AL264" s="107">
        <v>-1.277956531545779</v>
      </c>
      <c r="AM264" s="107">
        <f t="shared" si="43"/>
        <v>-6.0396165581061929</v>
      </c>
      <c r="AN264" s="116">
        <f>(-IF($V264="Yes", IF($X264="Yes", VLOOKUP($W264, '[1]Storage Fees'!A:M, 13, FALSE), VLOOKUP($W264, '[1]Storage Fees'!A:M, 10, FALSE)), IF($X264="Yes", VLOOKUP($W264, '[1]Storage Fees'!A:M, 7, FALSE), VLOOKUP($W264, '[1]Storage Fees'!A:M, 4, FALSE))) * U264)*1.5</f>
        <v>-0.60999999999999988</v>
      </c>
    </row>
    <row r="265" spans="1:40" x14ac:dyDescent="0.25">
      <c r="A265" s="99">
        <v>193</v>
      </c>
      <c r="B265" s="99"/>
      <c r="C265" s="99" t="s">
        <v>13655</v>
      </c>
      <c r="D265" s="99"/>
      <c r="E265" s="99" t="s">
        <v>54</v>
      </c>
      <c r="F265" s="99" t="s">
        <v>1645</v>
      </c>
      <c r="G265" s="99" t="s">
        <v>13695</v>
      </c>
      <c r="H265" s="99">
        <v>0</v>
      </c>
      <c r="I265" s="99">
        <v>0</v>
      </c>
      <c r="J265" s="99">
        <v>0</v>
      </c>
      <c r="K265" s="101" t="str">
        <f t="shared" ref="K265:K328" si="44">H265&amp;"x"&amp;I265&amp;"x"&amp;J265</f>
        <v>0x0x0</v>
      </c>
      <c r="L265" s="102">
        <f t="shared" ref="L265:L328" si="45">(H265*I265*J265)/139</f>
        <v>0</v>
      </c>
      <c r="M265" s="113">
        <f t="shared" ref="M265:M328" si="46">(H265*I265*J265)/139</f>
        <v>0</v>
      </c>
      <c r="N265" s="113">
        <f t="shared" ref="N265:N328" si="47">IF(AND(M265&gt;0,M265&lt;=0.25),0.25,IF(AND(M265&gt;0.25,M265&lt;=0.5),0.5,IF(AND(M265&gt;0.5,M265&lt;=0.75),0.75,ROUNDUP(M265,0))))</f>
        <v>0</v>
      </c>
      <c r="O265" s="99">
        <v>0</v>
      </c>
      <c r="P265" s="113">
        <f t="shared" ref="P265:P328" si="48">ROUNDUP(MAX(L265,O265),0)</f>
        <v>0</v>
      </c>
      <c r="Q265" s="112">
        <f t="shared" ref="Q265:Q328" si="49">P265*16</f>
        <v>0</v>
      </c>
      <c r="R265" s="112" t="str">
        <f t="shared" ref="R265:R328" si="50">IF(RIGHT(S265,13)="standard-size","Standard-size","Oversize")</f>
        <v>Standard-size</v>
      </c>
      <c r="S265" s="99" t="str">
        <f t="shared" ref="S265:S328" si="51">IF(AND($P265&lt;=$J$50,$H265&lt;=$G$50,$I265&lt;=$H$50,$J265&lt;=$I$50),$A$50,IF(AND($P265&lt;=$J$51,$H265&lt;=$G$51,$I265&lt;=$H$51,$J265&lt;=$I$51),$A$51,IF(AND($H265&lt;=$G$52,$I265&lt;=$H$52,$J265&lt;=$I$52,$P265&lt;=$J$52),$A$52,IF(AND($P265&lt;=$J$53,OR(H$8&gt;$G$53,$I265&gt;$H$53,$J265&gt;$I$53)),$A$53,IF(AND($P265&gt;$J$53,$P265&lt;=$J$54),$A$54,IF(AND($P265&gt;$J$54,$P265&lt;=$J$55),$A$55,$A$56))))))</f>
        <v>Small standard-size</v>
      </c>
      <c r="T265" s="116" t="s">
        <v>13696</v>
      </c>
      <c r="U265" s="116">
        <f t="shared" ref="U265:U328" si="52">(H265*I265*J265)/1728</f>
        <v>0</v>
      </c>
      <c r="V265" s="116" t="s">
        <v>13583</v>
      </c>
      <c r="W265" s="116" t="s">
        <v>13690</v>
      </c>
      <c r="X265" s="99" t="s">
        <v>13583</v>
      </c>
      <c r="Y265" s="99">
        <v>1</v>
      </c>
      <c r="Z265" s="99">
        <v>1</v>
      </c>
      <c r="AA265" s="99">
        <v>1</v>
      </c>
      <c r="AB265" s="99"/>
      <c r="AC265" s="99"/>
      <c r="AD265" s="107">
        <v>0</v>
      </c>
      <c r="AE265" s="113">
        <f t="shared" ref="AE265:AE328" si="53">-AD265*0.15</f>
        <v>0</v>
      </c>
      <c r="AF265" s="116">
        <f>-IFERROR(IFERROR(VLOOKUP(ROUNDUP($Q265,0),'FBA FEES'!$L$2:$Q$203,MATCH($S265,'FBA FEES'!$L$2:$Q$2,0),FALSE),VLOOKUP(ROUNDUP($Q265,0),'FBA FEES'!$C$6:$F$123,MATCH($S265,'FBA FEES'!$C$6:$F$6,0),FALSE)),0)</f>
        <v>0</v>
      </c>
      <c r="AG265" s="116">
        <v>-2</v>
      </c>
      <c r="AH265" s="113">
        <f t="shared" ref="AH265:AH328" si="54">AE265+AF265</f>
        <v>0</v>
      </c>
      <c r="AI265" s="116">
        <f>-IFERROR(IF($Y265=1,INDEX('[1]REMOVAL FEES'!$A$1:$C$22,MATCH(CONCATENATE("Standard Size",$P265),'[1]REMOVAL FEES'!$A$1:$A$22,0),3),IF($Y265=2,IF($P265&gt;10,(($P265-10)*1.06)+INDEX('[1]REMOVAL FEES'!$E$1:$G$22,MATCH(CONCATENATE("Large bulky, extra-large and special handling items",IF($P265&gt;=11,11,$P265)),'[1]REMOVAL FEES'!$E$1:$E$13,0),3),INDEX('[1]REMOVAL FEES'!$E$1:$G$22,MATCH(CONCATENATE("Large bulky, extra-large and special handling items",IF($P265&gt;=11,11,$P265)),'[1]REMOVAL FEES'!$E$1:$E$13,0),3))))*$AA265,FALSE)</f>
        <v>0</v>
      </c>
      <c r="AJ265" s="107">
        <f t="shared" ref="AJ265:AJ328" si="55">AH265+AI265</f>
        <v>0</v>
      </c>
      <c r="AK265" s="107">
        <v>0</v>
      </c>
      <c r="AL265" s="107">
        <v>0</v>
      </c>
      <c r="AM265" s="107">
        <f t="shared" ref="AM265:AM328" si="56">AK265+AL265</f>
        <v>0</v>
      </c>
      <c r="AN265" s="116">
        <f>(-IF($V265="Yes", IF($X265="Yes", VLOOKUP($W265, '[1]Storage Fees'!A:M, 13, FALSE), VLOOKUP($W265, '[1]Storage Fees'!A:M, 10, FALSE)), IF($X265="Yes", VLOOKUP($W265, '[1]Storage Fees'!A:M, 7, FALSE), VLOOKUP($W265, '[1]Storage Fees'!A:M, 4, FALSE))) * U265)*1.5</f>
        <v>0</v>
      </c>
    </row>
    <row r="266" spans="1:40" x14ac:dyDescent="0.25">
      <c r="A266" s="99">
        <v>194</v>
      </c>
      <c r="B266" s="99"/>
      <c r="C266" s="99" t="s">
        <v>13655</v>
      </c>
      <c r="D266" s="99"/>
      <c r="E266" s="99" t="s">
        <v>175</v>
      </c>
      <c r="F266" s="99" t="s">
        <v>1647</v>
      </c>
      <c r="G266" s="99" t="s">
        <v>13695</v>
      </c>
      <c r="H266" s="99">
        <v>0</v>
      </c>
      <c r="I266" s="99">
        <v>0</v>
      </c>
      <c r="J266" s="99">
        <v>0</v>
      </c>
      <c r="K266" s="101" t="str">
        <f t="shared" si="44"/>
        <v>0x0x0</v>
      </c>
      <c r="L266" s="102">
        <f t="shared" si="45"/>
        <v>0</v>
      </c>
      <c r="M266" s="113">
        <f t="shared" si="46"/>
        <v>0</v>
      </c>
      <c r="N266" s="113">
        <f t="shared" si="47"/>
        <v>0</v>
      </c>
      <c r="O266" s="99">
        <v>0</v>
      </c>
      <c r="P266" s="113">
        <f t="shared" si="48"/>
        <v>0</v>
      </c>
      <c r="Q266" s="112">
        <f t="shared" si="49"/>
        <v>0</v>
      </c>
      <c r="R266" s="112" t="str">
        <f t="shared" si="50"/>
        <v>Standard-size</v>
      </c>
      <c r="S266" s="99" t="str">
        <f t="shared" si="51"/>
        <v>Small standard-size</v>
      </c>
      <c r="T266" s="116" t="s">
        <v>13696</v>
      </c>
      <c r="U266" s="116">
        <f t="shared" si="52"/>
        <v>0</v>
      </c>
      <c r="V266" s="116" t="s">
        <v>13583</v>
      </c>
      <c r="W266" s="116" t="s">
        <v>13690</v>
      </c>
      <c r="X266" s="99" t="s">
        <v>13583</v>
      </c>
      <c r="Y266" s="99">
        <v>1</v>
      </c>
      <c r="Z266" s="99">
        <v>1</v>
      </c>
      <c r="AA266" s="99">
        <v>1</v>
      </c>
      <c r="AB266" s="99"/>
      <c r="AC266" s="99"/>
      <c r="AD266" s="107">
        <v>23.99</v>
      </c>
      <c r="AE266" s="113">
        <f t="shared" si="53"/>
        <v>-3.5984999999999996</v>
      </c>
      <c r="AF266" s="116">
        <f>-IFERROR(IFERROR(VLOOKUP(ROUNDUP($Q266,0),'FBA FEES'!$L$2:$Q$203,MATCH($S266,'FBA FEES'!$L$2:$Q$2,0),FALSE),VLOOKUP(ROUNDUP($Q266,0),'FBA FEES'!$C$6:$F$123,MATCH($S266,'FBA FEES'!$C$6:$F$6,0),FALSE)),0)</f>
        <v>0</v>
      </c>
      <c r="AG266" s="116">
        <v>-10</v>
      </c>
      <c r="AH266" s="113">
        <f t="shared" si="54"/>
        <v>-3.5984999999999996</v>
      </c>
      <c r="AI266" s="116">
        <f>-IFERROR(IF($Y266=1,INDEX('[1]REMOVAL FEES'!$A$1:$C$22,MATCH(CONCATENATE("Standard Size",$P266),'[1]REMOVAL FEES'!$A$1:$A$22,0),3),IF($Y266=2,IF($P266&gt;10,(($P266-10)*1.06)+INDEX('[1]REMOVAL FEES'!$E$1:$G$22,MATCH(CONCATENATE("Large bulky, extra-large and special handling items",IF($P266&gt;=11,11,$P266)),'[1]REMOVAL FEES'!$E$1:$E$13,0),3),INDEX('[1]REMOVAL FEES'!$E$1:$G$22,MATCH(CONCATENATE("Large bulky, extra-large and special handling items",IF($P266&gt;=11,11,$P266)),'[1]REMOVAL FEES'!$E$1:$E$13,0),3))))*$AA266,FALSE)</f>
        <v>0</v>
      </c>
      <c r="AJ266" s="107">
        <f t="shared" si="55"/>
        <v>-3.5984999999999996</v>
      </c>
      <c r="AK266" s="107">
        <v>-4.5999999999999996</v>
      </c>
      <c r="AL266" s="107">
        <v>-1.06</v>
      </c>
      <c r="AM266" s="107">
        <f t="shared" si="56"/>
        <v>-5.66</v>
      </c>
      <c r="AN266" s="116">
        <f>(-IF($V266="Yes", IF($X266="Yes", VLOOKUP($W266, '[1]Storage Fees'!A:M, 13, FALSE), VLOOKUP($W266, '[1]Storage Fees'!A:M, 10, FALSE)), IF($X266="Yes", VLOOKUP($W266, '[1]Storage Fees'!A:M, 7, FALSE), VLOOKUP($W266, '[1]Storage Fees'!A:M, 4, FALSE))) * U266)*1.5</f>
        <v>0</v>
      </c>
    </row>
    <row r="267" spans="1:40" x14ac:dyDescent="0.25">
      <c r="A267" s="99">
        <v>195</v>
      </c>
      <c r="B267" s="99"/>
      <c r="C267" s="99" t="s">
        <v>13655</v>
      </c>
      <c r="D267" s="99"/>
      <c r="E267" s="99" t="s">
        <v>1493</v>
      </c>
      <c r="F267" s="99" t="s">
        <v>1649</v>
      </c>
      <c r="G267" s="99" t="s">
        <v>13695</v>
      </c>
      <c r="H267" s="99">
        <v>0</v>
      </c>
      <c r="I267" s="99">
        <v>0</v>
      </c>
      <c r="J267" s="99">
        <v>0</v>
      </c>
      <c r="K267" s="101" t="str">
        <f t="shared" si="44"/>
        <v>0x0x0</v>
      </c>
      <c r="L267" s="102">
        <f t="shared" si="45"/>
        <v>0</v>
      </c>
      <c r="M267" s="113">
        <f t="shared" si="46"/>
        <v>0</v>
      </c>
      <c r="N267" s="113">
        <f t="shared" si="47"/>
        <v>0</v>
      </c>
      <c r="O267" s="99">
        <v>0</v>
      </c>
      <c r="P267" s="113">
        <f t="shared" si="48"/>
        <v>0</v>
      </c>
      <c r="Q267" s="112">
        <f t="shared" si="49"/>
        <v>0</v>
      </c>
      <c r="R267" s="112" t="str">
        <f t="shared" si="50"/>
        <v>Standard-size</v>
      </c>
      <c r="S267" s="99" t="str">
        <f t="shared" si="51"/>
        <v>Small standard-size</v>
      </c>
      <c r="T267" s="116" t="s">
        <v>13696</v>
      </c>
      <c r="U267" s="116">
        <f t="shared" si="52"/>
        <v>0</v>
      </c>
      <c r="V267" s="116" t="s">
        <v>13583</v>
      </c>
      <c r="W267" s="116" t="s">
        <v>13690</v>
      </c>
      <c r="X267" s="99" t="s">
        <v>13583</v>
      </c>
      <c r="Y267" s="99">
        <v>1</v>
      </c>
      <c r="Z267" s="99">
        <v>1</v>
      </c>
      <c r="AA267" s="99">
        <v>1</v>
      </c>
      <c r="AB267" s="99"/>
      <c r="AC267" s="99"/>
      <c r="AD267" s="107">
        <v>0</v>
      </c>
      <c r="AE267" s="113">
        <f t="shared" si="53"/>
        <v>0</v>
      </c>
      <c r="AF267" s="116">
        <f>-IFERROR(IFERROR(VLOOKUP(ROUNDUP($Q267,0),'FBA FEES'!$L$2:$Q$203,MATCH($S267,'FBA FEES'!$L$2:$Q$2,0),FALSE),VLOOKUP(ROUNDUP($Q267,0),'FBA FEES'!$C$6:$F$123,MATCH($S267,'FBA FEES'!$C$6:$F$6,0),FALSE)),0)</f>
        <v>0</v>
      </c>
      <c r="AG267" s="116">
        <v>-10</v>
      </c>
      <c r="AH267" s="113">
        <f t="shared" si="54"/>
        <v>0</v>
      </c>
      <c r="AI267" s="116">
        <f>-IFERROR(IF($Y267=1,INDEX('[1]REMOVAL FEES'!$A$1:$C$22,MATCH(CONCATENATE("Standard Size",$P267),'[1]REMOVAL FEES'!$A$1:$A$22,0),3),IF($Y267=2,IF($P267&gt;10,(($P267-10)*1.06)+INDEX('[1]REMOVAL FEES'!$E$1:$G$22,MATCH(CONCATENATE("Large bulky, extra-large and special handling items",IF($P267&gt;=11,11,$P267)),'[1]REMOVAL FEES'!$E$1:$E$13,0),3),INDEX('[1]REMOVAL FEES'!$E$1:$G$22,MATCH(CONCATENATE("Large bulky, extra-large and special handling items",IF($P267&gt;=11,11,$P267)),'[1]REMOVAL FEES'!$E$1:$E$13,0),3))))*$AA267,FALSE)</f>
        <v>0</v>
      </c>
      <c r="AJ267" s="107">
        <f t="shared" si="55"/>
        <v>0</v>
      </c>
      <c r="AK267" s="107">
        <v>0</v>
      </c>
      <c r="AL267" s="107">
        <v>0</v>
      </c>
      <c r="AM267" s="107">
        <f t="shared" si="56"/>
        <v>0</v>
      </c>
      <c r="AN267" s="116">
        <f>(-IF($V267="Yes", IF($X267="Yes", VLOOKUP($W267, '[1]Storage Fees'!A:M, 13, FALSE), VLOOKUP($W267, '[1]Storage Fees'!A:M, 10, FALSE)), IF($X267="Yes", VLOOKUP($W267, '[1]Storage Fees'!A:M, 7, FALSE), VLOOKUP($W267, '[1]Storage Fees'!A:M, 4, FALSE))) * U267)*1.5</f>
        <v>0</v>
      </c>
    </row>
    <row r="268" spans="1:40" x14ac:dyDescent="0.25">
      <c r="A268" s="99">
        <v>196</v>
      </c>
      <c r="B268" s="99" t="s">
        <v>13704</v>
      </c>
      <c r="C268" s="99" t="s">
        <v>13655</v>
      </c>
      <c r="D268" s="99">
        <v>45635</v>
      </c>
      <c r="E268" s="99" t="s">
        <v>163</v>
      </c>
      <c r="F268" s="99" t="s">
        <v>800</v>
      </c>
      <c r="G268" s="99" t="s">
        <v>13695</v>
      </c>
      <c r="H268" s="99">
        <v>15</v>
      </c>
      <c r="I268" s="99">
        <v>14</v>
      </c>
      <c r="J268" s="99">
        <v>15</v>
      </c>
      <c r="K268" s="101" t="str">
        <f t="shared" si="44"/>
        <v>15x14x15</v>
      </c>
      <c r="L268" s="102">
        <f t="shared" si="45"/>
        <v>22.661870503597122</v>
      </c>
      <c r="M268" s="113">
        <f t="shared" si="46"/>
        <v>22.661870503597122</v>
      </c>
      <c r="N268" s="113">
        <f t="shared" si="47"/>
        <v>23</v>
      </c>
      <c r="O268" s="99">
        <v>34.625</v>
      </c>
      <c r="P268" s="113">
        <f t="shared" si="48"/>
        <v>35</v>
      </c>
      <c r="Q268" s="112">
        <f t="shared" si="49"/>
        <v>560</v>
      </c>
      <c r="R268" s="112" t="str">
        <f t="shared" si="50"/>
        <v>Oversize</v>
      </c>
      <c r="S268" s="99" t="str">
        <f t="shared" si="51"/>
        <v>Large bulky</v>
      </c>
      <c r="T268" s="116" t="s">
        <v>13694</v>
      </c>
      <c r="U268" s="116">
        <f t="shared" si="52"/>
        <v>1.8229166666666667</v>
      </c>
      <c r="V268" s="116" t="s">
        <v>13583</v>
      </c>
      <c r="W268" s="116" t="s">
        <v>13690</v>
      </c>
      <c r="X268" s="116" t="s">
        <v>13691</v>
      </c>
      <c r="Y268" s="116">
        <v>2</v>
      </c>
      <c r="Z268" s="116">
        <v>3</v>
      </c>
      <c r="AA268" s="116">
        <v>1</v>
      </c>
      <c r="AB268" s="99"/>
      <c r="AC268" s="99"/>
      <c r="AD268" s="107">
        <v>0</v>
      </c>
      <c r="AE268" s="113">
        <f t="shared" si="53"/>
        <v>0</v>
      </c>
      <c r="AF268" s="116">
        <f>-IFERROR(IFERROR(VLOOKUP(ROUNDUP($Q268,0),'FBA FEES'!$L$2:$Q$203,MATCH($S268,'FBA FEES'!$L$2:$Q$2,0),FALSE),VLOOKUP(ROUNDUP($Q268,0),'FBA FEES'!$C$6:$F$123,MATCH($S268,'FBA FEES'!$C$6:$F$6,0),FALSE)),0)</f>
        <v>-22.53</v>
      </c>
      <c r="AG268" s="116">
        <v>-10</v>
      </c>
      <c r="AH268" s="113">
        <f t="shared" si="54"/>
        <v>-22.53</v>
      </c>
      <c r="AI268" s="116">
        <f>-IFERROR(IF($Y268=1,INDEX('[1]REMOVAL FEES'!$A$1:$C$22,MATCH(CONCATENATE("Standard Size",$P268),'[1]REMOVAL FEES'!$A$1:$A$22,0),3),IF($Y268=2,IF($P268&gt;10,(($P268-10)*1.06)+INDEX('[1]REMOVAL FEES'!$E$1:$G$22,MATCH(CONCATENATE("Large bulky, extra-large and special handling items",IF($P268&gt;=11,11,$P268)),'[1]REMOVAL FEES'!$E$1:$E$13,0),3),INDEX('[1]REMOVAL FEES'!$E$1:$G$22,MATCH(CONCATENATE("Large bulky, extra-large and special handling items",IF($P268&gt;=11,11,$P268)),'[1]REMOVAL FEES'!$E$1:$E$13,0),3))))*$AA268,FALSE)</f>
        <v>-40.82</v>
      </c>
      <c r="AJ268" s="107">
        <f t="shared" si="55"/>
        <v>-63.35</v>
      </c>
      <c r="AK268" s="107">
        <v>0</v>
      </c>
      <c r="AL268" s="107">
        <v>0</v>
      </c>
      <c r="AM268" s="107">
        <f t="shared" si="56"/>
        <v>0</v>
      </c>
      <c r="AN268" s="116">
        <f>(-IF($V268="Yes", IF($X268="Yes", VLOOKUP($W268, '[1]Storage Fees'!A:M, 13, FALSE), VLOOKUP($W268, '[1]Storage Fees'!A:M, 10, FALSE)), IF($X268="Yes", VLOOKUP($W268, '[1]Storage Fees'!A:M, 7, FALSE), VLOOKUP($W268, '[1]Storage Fees'!A:M, 4, FALSE))) * U268)*1.5</f>
        <v>-2.16015625</v>
      </c>
    </row>
    <row r="269" spans="1:40" x14ac:dyDescent="0.25">
      <c r="A269" s="99">
        <v>197</v>
      </c>
      <c r="B269" s="99"/>
      <c r="C269" s="99" t="s">
        <v>13655</v>
      </c>
      <c r="D269" s="99"/>
      <c r="E269" s="99" t="s">
        <v>163</v>
      </c>
      <c r="F269" s="99" t="s">
        <v>1651</v>
      </c>
      <c r="G269" s="99" t="s">
        <v>13695</v>
      </c>
      <c r="H269" s="99">
        <v>0</v>
      </c>
      <c r="I269" s="99">
        <v>0</v>
      </c>
      <c r="J269" s="99">
        <v>0</v>
      </c>
      <c r="K269" s="101" t="str">
        <f t="shared" si="44"/>
        <v>0x0x0</v>
      </c>
      <c r="L269" s="102">
        <f t="shared" si="45"/>
        <v>0</v>
      </c>
      <c r="M269" s="113">
        <f t="shared" si="46"/>
        <v>0</v>
      </c>
      <c r="N269" s="113">
        <f t="shared" si="47"/>
        <v>0</v>
      </c>
      <c r="O269" s="99">
        <v>0</v>
      </c>
      <c r="P269" s="113">
        <f t="shared" si="48"/>
        <v>0</v>
      </c>
      <c r="Q269" s="112">
        <f t="shared" si="49"/>
        <v>0</v>
      </c>
      <c r="R269" s="112" t="str">
        <f t="shared" si="50"/>
        <v>Standard-size</v>
      </c>
      <c r="S269" s="99" t="str">
        <f t="shared" si="51"/>
        <v>Small standard-size</v>
      </c>
      <c r="T269" s="116" t="s">
        <v>13696</v>
      </c>
      <c r="U269" s="116">
        <f t="shared" si="52"/>
        <v>0</v>
      </c>
      <c r="V269" s="116" t="s">
        <v>13583</v>
      </c>
      <c r="W269" s="116" t="s">
        <v>13690</v>
      </c>
      <c r="X269" s="99" t="s">
        <v>13583</v>
      </c>
      <c r="Y269" s="99">
        <v>1</v>
      </c>
      <c r="Z269" s="99">
        <v>1</v>
      </c>
      <c r="AA269" s="99">
        <v>1</v>
      </c>
      <c r="AB269" s="99"/>
      <c r="AC269" s="99"/>
      <c r="AD269" s="107">
        <v>82.611111111111114</v>
      </c>
      <c r="AE269" s="113">
        <f t="shared" si="53"/>
        <v>-12.391666666666667</v>
      </c>
      <c r="AF269" s="116">
        <f>-IFERROR(IFERROR(VLOOKUP(ROUNDUP($Q269,0),'FBA FEES'!$L$2:$Q$203,MATCH($S269,'FBA FEES'!$L$2:$Q$2,0),FALSE),VLOOKUP(ROUNDUP($Q269,0),'FBA FEES'!$C$6:$F$123,MATCH($S269,'FBA FEES'!$C$6:$F$6,0),FALSE)),0)</f>
        <v>0</v>
      </c>
      <c r="AG269" s="116">
        <v>-10</v>
      </c>
      <c r="AH269" s="113">
        <f t="shared" si="54"/>
        <v>-12.391666666666667</v>
      </c>
      <c r="AI269" s="116">
        <f>-IFERROR(IF($Y269=1,INDEX('[1]REMOVAL FEES'!$A$1:$C$22,MATCH(CONCATENATE("Standard Size",$P269),'[1]REMOVAL FEES'!$A$1:$A$22,0),3),IF($Y269=2,IF($P269&gt;10,(($P269-10)*1.06)+INDEX('[1]REMOVAL FEES'!$E$1:$G$22,MATCH(CONCATENATE("Large bulky, extra-large and special handling items",IF($P269&gt;=11,11,$P269)),'[1]REMOVAL FEES'!$E$1:$E$13,0),3),INDEX('[1]REMOVAL FEES'!$E$1:$G$22,MATCH(CONCATENATE("Large bulky, extra-large and special handling items",IF($P269&gt;=11,11,$P269)),'[1]REMOVAL FEES'!$E$1:$E$13,0),3))))*$AA269,FALSE)</f>
        <v>0</v>
      </c>
      <c r="AJ269" s="107">
        <f t="shared" si="55"/>
        <v>-12.391666666666667</v>
      </c>
      <c r="AK269" s="107">
        <v>-82</v>
      </c>
      <c r="AL269" s="107">
        <v>-12.25520833333333</v>
      </c>
      <c r="AM269" s="107">
        <f t="shared" si="56"/>
        <v>-94.255208333333329</v>
      </c>
      <c r="AN269" s="116">
        <f>(-IF($V269="Yes", IF($X269="Yes", VLOOKUP($W269, '[1]Storage Fees'!A:M, 13, FALSE), VLOOKUP($W269, '[1]Storage Fees'!A:M, 10, FALSE)), IF($X269="Yes", VLOOKUP($W269, '[1]Storage Fees'!A:M, 7, FALSE), VLOOKUP($W269, '[1]Storage Fees'!A:M, 4, FALSE))) * U269)*1.5</f>
        <v>0</v>
      </c>
    </row>
    <row r="270" spans="1:40" x14ac:dyDescent="0.25">
      <c r="A270" s="99">
        <v>198</v>
      </c>
      <c r="B270" s="99"/>
      <c r="C270" s="99" t="s">
        <v>13655</v>
      </c>
      <c r="D270" s="99"/>
      <c r="E270" s="99" t="s">
        <v>163</v>
      </c>
      <c r="F270" s="99" t="s">
        <v>1653</v>
      </c>
      <c r="G270" s="99" t="s">
        <v>13695</v>
      </c>
      <c r="H270" s="99">
        <v>0</v>
      </c>
      <c r="I270" s="99">
        <v>0</v>
      </c>
      <c r="J270" s="99">
        <v>0</v>
      </c>
      <c r="K270" s="101" t="str">
        <f t="shared" si="44"/>
        <v>0x0x0</v>
      </c>
      <c r="L270" s="102">
        <f t="shared" si="45"/>
        <v>0</v>
      </c>
      <c r="M270" s="113">
        <f t="shared" si="46"/>
        <v>0</v>
      </c>
      <c r="N270" s="113">
        <f t="shared" si="47"/>
        <v>0</v>
      </c>
      <c r="O270" s="99">
        <v>0</v>
      </c>
      <c r="P270" s="113">
        <f t="shared" si="48"/>
        <v>0</v>
      </c>
      <c r="Q270" s="112">
        <f t="shared" si="49"/>
        <v>0</v>
      </c>
      <c r="R270" s="112" t="str">
        <f t="shared" si="50"/>
        <v>Standard-size</v>
      </c>
      <c r="S270" s="99" t="str">
        <f t="shared" si="51"/>
        <v>Small standard-size</v>
      </c>
      <c r="T270" s="116" t="s">
        <v>13696</v>
      </c>
      <c r="U270" s="116">
        <f t="shared" si="52"/>
        <v>0</v>
      </c>
      <c r="V270" s="116" t="s">
        <v>13583</v>
      </c>
      <c r="W270" s="116" t="s">
        <v>13690</v>
      </c>
      <c r="X270" s="99" t="s">
        <v>13583</v>
      </c>
      <c r="Y270" s="99">
        <v>1</v>
      </c>
      <c r="Z270" s="99">
        <v>1</v>
      </c>
      <c r="AA270" s="99">
        <v>1</v>
      </c>
      <c r="AB270" s="99"/>
      <c r="AC270" s="99"/>
      <c r="AD270" s="107">
        <v>111.65666666666669</v>
      </c>
      <c r="AE270" s="113">
        <f t="shared" si="53"/>
        <v>-16.748500000000003</v>
      </c>
      <c r="AF270" s="116">
        <f>-IFERROR(IFERROR(VLOOKUP(ROUNDUP($Q270,0),'FBA FEES'!$L$2:$Q$203,MATCH($S270,'FBA FEES'!$L$2:$Q$2,0),FALSE),VLOOKUP(ROUNDUP($Q270,0),'FBA FEES'!$C$6:$F$123,MATCH($S270,'FBA FEES'!$C$6:$F$6,0),FALSE)),0)</f>
        <v>0</v>
      </c>
      <c r="AG270" s="116">
        <v>-10</v>
      </c>
      <c r="AH270" s="113">
        <f t="shared" si="54"/>
        <v>-16.748500000000003</v>
      </c>
      <c r="AI270" s="116">
        <f>-IFERROR(IF($Y270=1,INDEX('[1]REMOVAL FEES'!$A$1:$C$22,MATCH(CONCATENATE("Standard Size",$P270),'[1]REMOVAL FEES'!$A$1:$A$22,0),3),IF($Y270=2,IF($P270&gt;10,(($P270-10)*1.06)+INDEX('[1]REMOVAL FEES'!$E$1:$G$22,MATCH(CONCATENATE("Large bulky, extra-large and special handling items",IF($P270&gt;=11,11,$P270)),'[1]REMOVAL FEES'!$E$1:$E$13,0),3),INDEX('[1]REMOVAL FEES'!$E$1:$G$22,MATCH(CONCATENATE("Large bulky, extra-large and special handling items",IF($P270&gt;=11,11,$P270)),'[1]REMOVAL FEES'!$E$1:$E$13,0),3))))*$AA270,FALSE)</f>
        <v>0</v>
      </c>
      <c r="AJ270" s="107">
        <f t="shared" si="55"/>
        <v>-16.748500000000003</v>
      </c>
      <c r="AK270" s="107">
        <v>-87</v>
      </c>
      <c r="AL270" s="107">
        <v>-6.1628125000000002</v>
      </c>
      <c r="AM270" s="107">
        <f t="shared" si="56"/>
        <v>-93.162812500000001</v>
      </c>
      <c r="AN270" s="116">
        <f>(-IF($V270="Yes", IF($X270="Yes", VLOOKUP($W270, '[1]Storage Fees'!A:M, 13, FALSE), VLOOKUP($W270, '[1]Storage Fees'!A:M, 10, FALSE)), IF($X270="Yes", VLOOKUP($W270, '[1]Storage Fees'!A:M, 7, FALSE), VLOOKUP($W270, '[1]Storage Fees'!A:M, 4, FALSE))) * U270)*1.5</f>
        <v>0</v>
      </c>
    </row>
    <row r="271" spans="1:40" x14ac:dyDescent="0.25">
      <c r="A271" s="99">
        <v>199</v>
      </c>
      <c r="B271" s="99"/>
      <c r="C271" s="99" t="s">
        <v>13655</v>
      </c>
      <c r="D271" s="99"/>
      <c r="E271" s="99" t="s">
        <v>163</v>
      </c>
      <c r="F271" s="99" t="s">
        <v>1655</v>
      </c>
      <c r="G271" s="99" t="s">
        <v>13695</v>
      </c>
      <c r="H271" s="99">
        <v>0</v>
      </c>
      <c r="I271" s="99">
        <v>0</v>
      </c>
      <c r="J271" s="99">
        <v>0</v>
      </c>
      <c r="K271" s="101" t="str">
        <f t="shared" si="44"/>
        <v>0x0x0</v>
      </c>
      <c r="L271" s="102">
        <f t="shared" si="45"/>
        <v>0</v>
      </c>
      <c r="M271" s="113">
        <f t="shared" si="46"/>
        <v>0</v>
      </c>
      <c r="N271" s="113">
        <f t="shared" si="47"/>
        <v>0</v>
      </c>
      <c r="O271" s="99">
        <v>0</v>
      </c>
      <c r="P271" s="113">
        <f t="shared" si="48"/>
        <v>0</v>
      </c>
      <c r="Q271" s="112">
        <f t="shared" si="49"/>
        <v>0</v>
      </c>
      <c r="R271" s="112" t="str">
        <f t="shared" si="50"/>
        <v>Standard-size</v>
      </c>
      <c r="S271" s="99" t="str">
        <f t="shared" si="51"/>
        <v>Small standard-size</v>
      </c>
      <c r="T271" s="116" t="s">
        <v>13696</v>
      </c>
      <c r="U271" s="116">
        <f t="shared" si="52"/>
        <v>0</v>
      </c>
      <c r="V271" s="116" t="s">
        <v>13583</v>
      </c>
      <c r="W271" s="116" t="s">
        <v>13690</v>
      </c>
      <c r="X271" s="99" t="s">
        <v>13583</v>
      </c>
      <c r="Y271" s="99">
        <v>1</v>
      </c>
      <c r="Z271" s="99">
        <v>1</v>
      </c>
      <c r="AA271" s="99">
        <v>1</v>
      </c>
      <c r="AB271" s="99"/>
      <c r="AC271" s="99"/>
      <c r="AD271" s="107">
        <v>182.22</v>
      </c>
      <c r="AE271" s="113">
        <f t="shared" si="53"/>
        <v>-27.332999999999998</v>
      </c>
      <c r="AF271" s="116">
        <f>-IFERROR(IFERROR(VLOOKUP(ROUNDUP($Q271,0),'FBA FEES'!$L$2:$Q$203,MATCH($S271,'FBA FEES'!$L$2:$Q$2,0),FALSE),VLOOKUP(ROUNDUP($Q271,0),'FBA FEES'!$C$6:$F$123,MATCH($S271,'FBA FEES'!$C$6:$F$6,0),FALSE)),0)</f>
        <v>0</v>
      </c>
      <c r="AG271" s="116">
        <v>-10</v>
      </c>
      <c r="AH271" s="113">
        <f t="shared" si="54"/>
        <v>-27.332999999999998</v>
      </c>
      <c r="AI271" s="116">
        <f>-IFERROR(IF($Y271=1,INDEX('[1]REMOVAL FEES'!$A$1:$C$22,MATCH(CONCATENATE("Standard Size",$P271),'[1]REMOVAL FEES'!$A$1:$A$22,0),3),IF($Y271=2,IF($P271&gt;10,(($P271-10)*1.06)+INDEX('[1]REMOVAL FEES'!$E$1:$G$22,MATCH(CONCATENATE("Large bulky, extra-large and special handling items",IF($P271&gt;=11,11,$P271)),'[1]REMOVAL FEES'!$E$1:$E$13,0),3),INDEX('[1]REMOVAL FEES'!$E$1:$G$22,MATCH(CONCATENATE("Large bulky, extra-large and special handling items",IF($P271&gt;=11,11,$P271)),'[1]REMOVAL FEES'!$E$1:$E$13,0),3))))*$AA271,FALSE)</f>
        <v>0</v>
      </c>
      <c r="AJ271" s="107">
        <f t="shared" si="55"/>
        <v>-27.332999999999998</v>
      </c>
      <c r="AK271" s="107">
        <v>-108</v>
      </c>
      <c r="AL271" s="107">
        <v>-6.9289080459770096</v>
      </c>
      <c r="AM271" s="107">
        <f t="shared" si="56"/>
        <v>-114.92890804597701</v>
      </c>
      <c r="AN271" s="116">
        <f>(-IF($V271="Yes", IF($X271="Yes", VLOOKUP($W271, '[1]Storage Fees'!A:M, 13, FALSE), VLOOKUP($W271, '[1]Storage Fees'!A:M, 10, FALSE)), IF($X271="Yes", VLOOKUP($W271, '[1]Storage Fees'!A:M, 7, FALSE), VLOOKUP($W271, '[1]Storage Fees'!A:M, 4, FALSE))) * U271)*1.5</f>
        <v>0</v>
      </c>
    </row>
    <row r="272" spans="1:40" x14ac:dyDescent="0.25">
      <c r="A272" s="99">
        <v>200</v>
      </c>
      <c r="B272" s="99"/>
      <c r="C272" s="99" t="s">
        <v>13655</v>
      </c>
      <c r="D272" s="99"/>
      <c r="E272" s="99" t="s">
        <v>163</v>
      </c>
      <c r="F272" s="99" t="s">
        <v>1657</v>
      </c>
      <c r="G272" s="99" t="s">
        <v>13695</v>
      </c>
      <c r="H272" s="99">
        <v>0</v>
      </c>
      <c r="I272" s="99">
        <v>0</v>
      </c>
      <c r="J272" s="99">
        <v>0</v>
      </c>
      <c r="K272" s="101" t="str">
        <f t="shared" si="44"/>
        <v>0x0x0</v>
      </c>
      <c r="L272" s="102">
        <f t="shared" si="45"/>
        <v>0</v>
      </c>
      <c r="M272" s="113">
        <f t="shared" si="46"/>
        <v>0</v>
      </c>
      <c r="N272" s="113">
        <f t="shared" si="47"/>
        <v>0</v>
      </c>
      <c r="O272" s="99">
        <v>0</v>
      </c>
      <c r="P272" s="113">
        <f t="shared" si="48"/>
        <v>0</v>
      </c>
      <c r="Q272" s="112">
        <f t="shared" si="49"/>
        <v>0</v>
      </c>
      <c r="R272" s="112" t="str">
        <f t="shared" si="50"/>
        <v>Standard-size</v>
      </c>
      <c r="S272" s="99" t="str">
        <f t="shared" si="51"/>
        <v>Small standard-size</v>
      </c>
      <c r="T272" s="116" t="s">
        <v>13696</v>
      </c>
      <c r="U272" s="116">
        <f t="shared" si="52"/>
        <v>0</v>
      </c>
      <c r="V272" s="116" t="s">
        <v>13583</v>
      </c>
      <c r="W272" s="116" t="s">
        <v>13690</v>
      </c>
      <c r="X272" s="99" t="s">
        <v>13583</v>
      </c>
      <c r="Y272" s="99">
        <v>1</v>
      </c>
      <c r="Z272" s="99">
        <v>1</v>
      </c>
      <c r="AA272" s="99">
        <v>1</v>
      </c>
      <c r="AB272" s="99"/>
      <c r="AC272" s="99"/>
      <c r="AD272" s="107">
        <v>148.60439999999991</v>
      </c>
      <c r="AE272" s="113">
        <f t="shared" si="53"/>
        <v>-22.290659999999985</v>
      </c>
      <c r="AF272" s="116">
        <f>-IFERROR(IFERROR(VLOOKUP(ROUNDUP($Q272,0),'FBA FEES'!$L$2:$Q$203,MATCH($S272,'FBA FEES'!$L$2:$Q$2,0),FALSE),VLOOKUP(ROUNDUP($Q272,0),'FBA FEES'!$C$6:$F$123,MATCH($S272,'FBA FEES'!$C$6:$F$6,0),FALSE)),0)</f>
        <v>0</v>
      </c>
      <c r="AG272" s="116">
        <v>-10</v>
      </c>
      <c r="AH272" s="113">
        <f t="shared" si="54"/>
        <v>-22.290659999999985</v>
      </c>
      <c r="AI272" s="116">
        <f>-IFERROR(IF($Y272=1,INDEX('[1]REMOVAL FEES'!$A$1:$C$22,MATCH(CONCATENATE("Standard Size",$P272),'[1]REMOVAL FEES'!$A$1:$A$22,0),3),IF($Y272=2,IF($P272&gt;10,(($P272-10)*1.06)+INDEX('[1]REMOVAL FEES'!$E$1:$G$22,MATCH(CONCATENATE("Large bulky, extra-large and special handling items",IF($P272&gt;=11,11,$P272)),'[1]REMOVAL FEES'!$E$1:$E$13,0),3),INDEX('[1]REMOVAL FEES'!$E$1:$G$22,MATCH(CONCATENATE("Large bulky, extra-large and special handling items",IF($P272&gt;=11,11,$P272)),'[1]REMOVAL FEES'!$E$1:$E$13,0),3))))*$AA272,FALSE)</f>
        <v>0</v>
      </c>
      <c r="AJ272" s="107">
        <f t="shared" si="55"/>
        <v>-22.290659999999985</v>
      </c>
      <c r="AK272" s="107">
        <v>-113</v>
      </c>
      <c r="AL272" s="107">
        <v>-12.821249999999999</v>
      </c>
      <c r="AM272" s="107">
        <f t="shared" si="56"/>
        <v>-125.82124999999999</v>
      </c>
      <c r="AN272" s="116">
        <f>(-IF($V272="Yes", IF($X272="Yes", VLOOKUP($W272, '[1]Storage Fees'!A:M, 13, FALSE), VLOOKUP($W272, '[1]Storage Fees'!A:M, 10, FALSE)), IF($X272="Yes", VLOOKUP($W272, '[1]Storage Fees'!A:M, 7, FALSE), VLOOKUP($W272, '[1]Storage Fees'!A:M, 4, FALSE))) * U272)*1.5</f>
        <v>0</v>
      </c>
    </row>
    <row r="273" spans="1:40" x14ac:dyDescent="0.25">
      <c r="A273" s="99">
        <v>201</v>
      </c>
      <c r="B273" s="99" t="s">
        <v>13700</v>
      </c>
      <c r="C273" s="99"/>
      <c r="D273" s="99"/>
      <c r="E273" s="99" t="s">
        <v>166</v>
      </c>
      <c r="F273" s="99" t="s">
        <v>267</v>
      </c>
      <c r="G273" s="99" t="s">
        <v>13695</v>
      </c>
      <c r="H273" s="99">
        <v>19</v>
      </c>
      <c r="I273" s="99">
        <v>14</v>
      </c>
      <c r="J273" s="99">
        <v>6</v>
      </c>
      <c r="K273" s="101" t="str">
        <f t="shared" si="44"/>
        <v>19x14x6</v>
      </c>
      <c r="L273" s="102">
        <f t="shared" si="45"/>
        <v>11.482014388489208</v>
      </c>
      <c r="M273" s="113">
        <f t="shared" si="46"/>
        <v>11.482014388489208</v>
      </c>
      <c r="N273" s="113">
        <f t="shared" si="47"/>
        <v>12</v>
      </c>
      <c r="O273" s="99">
        <v>8.3125</v>
      </c>
      <c r="P273" s="113">
        <f t="shared" si="48"/>
        <v>12</v>
      </c>
      <c r="Q273" s="112">
        <f t="shared" si="49"/>
        <v>192</v>
      </c>
      <c r="R273" s="112" t="str">
        <f t="shared" si="50"/>
        <v>Oversize</v>
      </c>
      <c r="S273" s="99" t="str">
        <f t="shared" si="51"/>
        <v>Large bulky</v>
      </c>
      <c r="T273" s="116" t="s">
        <v>13692</v>
      </c>
      <c r="U273" s="116">
        <f t="shared" si="52"/>
        <v>0.92361111111111116</v>
      </c>
      <c r="V273" s="116" t="s">
        <v>13583</v>
      </c>
      <c r="W273" s="116" t="s">
        <v>13690</v>
      </c>
      <c r="X273" s="116" t="s">
        <v>13691</v>
      </c>
      <c r="Y273" s="116">
        <v>2</v>
      </c>
      <c r="Z273" s="116">
        <v>3</v>
      </c>
      <c r="AA273" s="116">
        <v>1</v>
      </c>
      <c r="AB273" s="99"/>
      <c r="AC273" s="99"/>
      <c r="AD273" s="107">
        <v>88.613255813953401</v>
      </c>
      <c r="AE273" s="113">
        <f t="shared" si="53"/>
        <v>-13.291988372093011</v>
      </c>
      <c r="AF273" s="116">
        <f>-IFERROR(IFERROR(VLOOKUP(ROUNDUP($Q273,0),'FBA FEES'!$L$2:$Q$203,MATCH($S273,'FBA FEES'!$L$2:$Q$2,0),FALSE),VLOOKUP(ROUNDUP($Q273,0),'FBA FEES'!$C$6:$F$123,MATCH($S273,'FBA FEES'!$C$6:$F$6,0),FALSE)),0)</f>
        <v>-13.79</v>
      </c>
      <c r="AG273" s="116">
        <v>-10</v>
      </c>
      <c r="AH273" s="113">
        <f t="shared" si="54"/>
        <v>-27.081988372093008</v>
      </c>
      <c r="AI273" s="116">
        <f>-IFERROR(IF($Y273=1,INDEX('[1]REMOVAL FEES'!$A$1:$C$22,MATCH(CONCATENATE("Standard Size",$P273),'[1]REMOVAL FEES'!$A$1:$A$22,0),3),IF($Y273=2,IF($P273&gt;10,(($P273-10)*1.06)+INDEX('[1]REMOVAL FEES'!$E$1:$G$22,MATCH(CONCATENATE("Large bulky, extra-large and special handling items",IF($P273&gt;=11,11,$P273)),'[1]REMOVAL FEES'!$E$1:$E$13,0),3),INDEX('[1]REMOVAL FEES'!$E$1:$G$22,MATCH(CONCATENATE("Large bulky, extra-large and special handling items",IF($P273&gt;=11,11,$P273)),'[1]REMOVAL FEES'!$E$1:$E$13,0),3))))*$AA273,FALSE)</f>
        <v>-16.440000000000001</v>
      </c>
      <c r="AJ273" s="107">
        <f t="shared" si="55"/>
        <v>-43.521988372093006</v>
      </c>
      <c r="AK273" s="107">
        <v>-33</v>
      </c>
      <c r="AL273" s="107">
        <v>-6.4428871625195194</v>
      </c>
      <c r="AM273" s="107">
        <f t="shared" si="56"/>
        <v>-39.442887162519519</v>
      </c>
      <c r="AN273" s="116">
        <f>(-IF($V273="Yes", IF($X273="Yes", VLOOKUP($W273, '[1]Storage Fees'!A:M, 13, FALSE), VLOOKUP($W273, '[1]Storage Fees'!A:M, 10, FALSE)), IF($X273="Yes", VLOOKUP($W273, '[1]Storage Fees'!A:M, 7, FALSE), VLOOKUP($W273, '[1]Storage Fees'!A:M, 4, FALSE))) * U273)*1.5</f>
        <v>-1.0944791666666667</v>
      </c>
    </row>
    <row r="274" spans="1:40" x14ac:dyDescent="0.25">
      <c r="A274" s="99">
        <v>202</v>
      </c>
      <c r="B274" s="99" t="s">
        <v>13700</v>
      </c>
      <c r="C274" s="99" t="s">
        <v>13655</v>
      </c>
      <c r="D274" s="99"/>
      <c r="E274" s="99" t="s">
        <v>166</v>
      </c>
      <c r="F274" s="99" t="s">
        <v>803</v>
      </c>
      <c r="G274" s="99" t="s">
        <v>13656</v>
      </c>
      <c r="H274" s="99">
        <v>16</v>
      </c>
      <c r="I274" s="99">
        <v>10</v>
      </c>
      <c r="J274" s="99">
        <v>3</v>
      </c>
      <c r="K274" s="101" t="str">
        <f t="shared" si="44"/>
        <v>16x10x3</v>
      </c>
      <c r="L274" s="102">
        <f t="shared" si="45"/>
        <v>3.4532374100719423</v>
      </c>
      <c r="M274" s="113">
        <f t="shared" si="46"/>
        <v>3.4532374100719423</v>
      </c>
      <c r="N274" s="113">
        <f t="shared" si="47"/>
        <v>4</v>
      </c>
      <c r="O274" s="99">
        <v>3.5625</v>
      </c>
      <c r="P274" s="113">
        <f t="shared" si="48"/>
        <v>4</v>
      </c>
      <c r="Q274" s="112">
        <f t="shared" si="49"/>
        <v>64</v>
      </c>
      <c r="R274" s="112" t="str">
        <f t="shared" si="50"/>
        <v>Standard-size</v>
      </c>
      <c r="S274" s="99" t="str">
        <f t="shared" si="51"/>
        <v>Large standard-size</v>
      </c>
      <c r="T274" s="116" t="s">
        <v>13693</v>
      </c>
      <c r="U274" s="116">
        <f t="shared" si="52"/>
        <v>0.27777777777777779</v>
      </c>
      <c r="V274" s="116" t="s">
        <v>13583</v>
      </c>
      <c r="W274" s="116" t="s">
        <v>13690</v>
      </c>
      <c r="X274" s="99" t="s">
        <v>13583</v>
      </c>
      <c r="Y274" s="99">
        <v>1</v>
      </c>
      <c r="Z274" s="99">
        <v>2</v>
      </c>
      <c r="AA274" s="99">
        <v>1</v>
      </c>
      <c r="AB274" s="99"/>
      <c r="AC274" s="99"/>
      <c r="AD274" s="107">
        <v>73.722499999999997</v>
      </c>
      <c r="AE274" s="113">
        <f t="shared" si="53"/>
        <v>-11.058375</v>
      </c>
      <c r="AF274" s="116">
        <f>-IFERROR(IFERROR(VLOOKUP(ROUNDUP($Q274,0),'FBA FEES'!$L$2:$Q$203,MATCH($S274,'FBA FEES'!$L$2:$Q$2,0),FALSE),VLOOKUP(ROUNDUP($Q274,0),'FBA FEES'!$C$6:$F$123,MATCH($S274,'FBA FEES'!$C$6:$F$6,0),FALSE)),0)</f>
        <v>-7.24</v>
      </c>
      <c r="AG274" s="116">
        <v>-10</v>
      </c>
      <c r="AH274" s="113">
        <f t="shared" si="54"/>
        <v>-18.298375</v>
      </c>
      <c r="AI274" s="116">
        <f>-IFERROR(IF($Y274=1,INDEX('[1]REMOVAL FEES'!$A$1:$C$22,MATCH(CONCATENATE("Standard Size",$P274),'[1]REMOVAL FEES'!$A$1:$A$22,0),3),IF($Y274=2,IF($P274&gt;10,(($P274-10)*1.06)+INDEX('[1]REMOVAL FEES'!$E$1:$G$22,MATCH(CONCATENATE("Large bulky, extra-large and special handling items",IF($P274&gt;=11,11,$P274)),'[1]REMOVAL FEES'!$E$1:$E$13,0),3),INDEX('[1]REMOVAL FEES'!$E$1:$G$22,MATCH(CONCATENATE("Large bulky, extra-large and special handling items",IF($P274&gt;=11,11,$P274)),'[1]REMOVAL FEES'!$E$1:$E$13,0),3))))*$AA274,FALSE)</f>
        <v>-5.01</v>
      </c>
      <c r="AJ274" s="107">
        <f t="shared" si="55"/>
        <v>-23.308374999999998</v>
      </c>
      <c r="AK274" s="107">
        <v>-16</v>
      </c>
      <c r="AL274" s="107">
        <v>-0.94900000000000007</v>
      </c>
      <c r="AM274" s="107">
        <f t="shared" si="56"/>
        <v>-16.949000000000002</v>
      </c>
      <c r="AN274" s="116">
        <f>(-IF($V274="Yes", IF($X274="Yes", VLOOKUP($W274, '[1]Storage Fees'!A:M, 13, FALSE), VLOOKUP($W274, '[1]Storage Fees'!A:M, 10, FALSE)), IF($X274="Yes", VLOOKUP($W274, '[1]Storage Fees'!A:M, 7, FALSE), VLOOKUP($W274, '[1]Storage Fees'!A:M, 4, FALSE))) * U274)*1.5</f>
        <v>-0.5083333333333333</v>
      </c>
    </row>
    <row r="275" spans="1:40" x14ac:dyDescent="0.25">
      <c r="A275" s="99">
        <v>203</v>
      </c>
      <c r="B275" s="99" t="s">
        <v>13702</v>
      </c>
      <c r="C275" s="99" t="s">
        <v>13655</v>
      </c>
      <c r="D275" s="99" t="s">
        <v>749</v>
      </c>
      <c r="E275" s="99" t="s">
        <v>166</v>
      </c>
      <c r="F275" s="99" t="s">
        <v>806</v>
      </c>
      <c r="G275" s="99" t="s">
        <v>13695</v>
      </c>
      <c r="H275" s="99">
        <v>19</v>
      </c>
      <c r="I275" s="99">
        <v>14</v>
      </c>
      <c r="J275" s="99">
        <v>6</v>
      </c>
      <c r="K275" s="101" t="str">
        <f t="shared" si="44"/>
        <v>19x14x6</v>
      </c>
      <c r="L275" s="102">
        <f t="shared" si="45"/>
        <v>11.482014388489208</v>
      </c>
      <c r="M275" s="113">
        <f t="shared" si="46"/>
        <v>11.482014388489208</v>
      </c>
      <c r="N275" s="113">
        <f t="shared" si="47"/>
        <v>12</v>
      </c>
      <c r="O275" s="99">
        <v>10.5</v>
      </c>
      <c r="P275" s="113">
        <f t="shared" si="48"/>
        <v>12</v>
      </c>
      <c r="Q275" s="112">
        <f t="shared" si="49"/>
        <v>192</v>
      </c>
      <c r="R275" s="112" t="str">
        <f t="shared" si="50"/>
        <v>Oversize</v>
      </c>
      <c r="S275" s="99" t="str">
        <f t="shared" si="51"/>
        <v>Large bulky</v>
      </c>
      <c r="T275" s="116" t="s">
        <v>13692</v>
      </c>
      <c r="U275" s="116">
        <f t="shared" si="52"/>
        <v>0.92361111111111116</v>
      </c>
      <c r="V275" s="116" t="s">
        <v>13583</v>
      </c>
      <c r="W275" s="116" t="s">
        <v>13690</v>
      </c>
      <c r="X275" s="116" t="s">
        <v>13691</v>
      </c>
      <c r="Y275" s="116">
        <v>2</v>
      </c>
      <c r="Z275" s="116">
        <v>3</v>
      </c>
      <c r="AA275" s="116">
        <v>1</v>
      </c>
      <c r="AB275" s="99"/>
      <c r="AC275" s="99"/>
      <c r="AD275" s="107">
        <v>126.44799999999999</v>
      </c>
      <c r="AE275" s="113">
        <f t="shared" si="53"/>
        <v>-18.967199999999998</v>
      </c>
      <c r="AF275" s="116">
        <f>-IFERROR(IFERROR(VLOOKUP(ROUNDUP($Q275,0),'FBA FEES'!$L$2:$Q$203,MATCH($S275,'FBA FEES'!$L$2:$Q$2,0),FALSE),VLOOKUP(ROUNDUP($Q275,0),'FBA FEES'!$C$6:$F$123,MATCH($S275,'FBA FEES'!$C$6:$F$6,0),FALSE)),0)</f>
        <v>-13.79</v>
      </c>
      <c r="AG275" s="116">
        <v>-10</v>
      </c>
      <c r="AH275" s="113">
        <f t="shared" si="54"/>
        <v>-32.757199999999997</v>
      </c>
      <c r="AI275" s="116">
        <f>-IFERROR(IF($Y275=1,INDEX('[1]REMOVAL FEES'!$A$1:$C$22,MATCH(CONCATENATE("Standard Size",$P275),'[1]REMOVAL FEES'!$A$1:$A$22,0),3),IF($Y275=2,IF($P275&gt;10,(($P275-10)*1.06)+INDEX('[1]REMOVAL FEES'!$E$1:$G$22,MATCH(CONCATENATE("Large bulky, extra-large and special handling items",IF($P275&gt;=11,11,$P275)),'[1]REMOVAL FEES'!$E$1:$E$13,0),3),INDEX('[1]REMOVAL FEES'!$E$1:$G$22,MATCH(CONCATENATE("Large bulky, extra-large and special handling items",IF($P275&gt;=11,11,$P275)),'[1]REMOVAL FEES'!$E$1:$E$13,0),3))))*$AA275,FALSE)</f>
        <v>-16.440000000000001</v>
      </c>
      <c r="AJ275" s="107">
        <f t="shared" si="55"/>
        <v>-49.197199999999995</v>
      </c>
      <c r="AK275" s="107">
        <v>-52.19</v>
      </c>
      <c r="AL275" s="107">
        <v>-5.5079999999999991</v>
      </c>
      <c r="AM275" s="107">
        <f t="shared" si="56"/>
        <v>-57.697999999999993</v>
      </c>
      <c r="AN275" s="116">
        <f>(-IF($V275="Yes", IF($X275="Yes", VLOOKUP($W275, '[1]Storage Fees'!A:M, 13, FALSE), VLOOKUP($W275, '[1]Storage Fees'!A:M, 10, FALSE)), IF($X275="Yes", VLOOKUP($W275, '[1]Storage Fees'!A:M, 7, FALSE), VLOOKUP($W275, '[1]Storage Fees'!A:M, 4, FALSE))) * U275)*1.5</f>
        <v>-1.0944791666666667</v>
      </c>
    </row>
    <row r="276" spans="1:40" x14ac:dyDescent="0.25">
      <c r="A276" s="99">
        <v>204</v>
      </c>
      <c r="B276" s="99" t="s">
        <v>13702</v>
      </c>
      <c r="C276" s="99" t="s">
        <v>13655</v>
      </c>
      <c r="D276" s="99" t="s">
        <v>749</v>
      </c>
      <c r="E276" s="99" t="s">
        <v>166</v>
      </c>
      <c r="F276" s="99" t="s">
        <v>809</v>
      </c>
      <c r="G276" s="99" t="s">
        <v>13695</v>
      </c>
      <c r="H276" s="99">
        <v>19</v>
      </c>
      <c r="I276" s="99">
        <v>14</v>
      </c>
      <c r="J276" s="99">
        <v>6</v>
      </c>
      <c r="K276" s="101" t="str">
        <f t="shared" si="44"/>
        <v>19x14x6</v>
      </c>
      <c r="L276" s="102">
        <f t="shared" si="45"/>
        <v>11.482014388489208</v>
      </c>
      <c r="M276" s="113">
        <f t="shared" si="46"/>
        <v>11.482014388489208</v>
      </c>
      <c r="N276" s="113">
        <f t="shared" si="47"/>
        <v>12</v>
      </c>
      <c r="O276" s="99">
        <v>7</v>
      </c>
      <c r="P276" s="113">
        <f t="shared" si="48"/>
        <v>12</v>
      </c>
      <c r="Q276" s="112">
        <f t="shared" si="49"/>
        <v>192</v>
      </c>
      <c r="R276" s="112" t="str">
        <f t="shared" si="50"/>
        <v>Oversize</v>
      </c>
      <c r="S276" s="99" t="str">
        <f t="shared" si="51"/>
        <v>Large bulky</v>
      </c>
      <c r="T276" s="116" t="s">
        <v>13692</v>
      </c>
      <c r="U276" s="116">
        <f t="shared" si="52"/>
        <v>0.92361111111111116</v>
      </c>
      <c r="V276" s="116" t="s">
        <v>13583</v>
      </c>
      <c r="W276" s="116" t="s">
        <v>13690</v>
      </c>
      <c r="X276" s="116" t="s">
        <v>13691</v>
      </c>
      <c r="Y276" s="116">
        <v>2</v>
      </c>
      <c r="Z276" s="116">
        <v>3</v>
      </c>
      <c r="AA276" s="116">
        <v>1</v>
      </c>
      <c r="AB276" s="99"/>
      <c r="AC276" s="99"/>
      <c r="AD276" s="107">
        <v>0</v>
      </c>
      <c r="AE276" s="113">
        <f t="shared" si="53"/>
        <v>0</v>
      </c>
      <c r="AF276" s="116">
        <f>-IFERROR(IFERROR(VLOOKUP(ROUNDUP($Q276,0),'FBA FEES'!$L$2:$Q$203,MATCH($S276,'FBA FEES'!$L$2:$Q$2,0),FALSE),VLOOKUP(ROUNDUP($Q276,0),'FBA FEES'!$C$6:$F$123,MATCH($S276,'FBA FEES'!$C$6:$F$6,0),FALSE)),0)</f>
        <v>-13.79</v>
      </c>
      <c r="AG276" s="116">
        <v>-10</v>
      </c>
      <c r="AH276" s="113">
        <f t="shared" si="54"/>
        <v>-13.79</v>
      </c>
      <c r="AI276" s="116">
        <f>-IFERROR(IF($Y276=1,INDEX('[1]REMOVAL FEES'!$A$1:$C$22,MATCH(CONCATENATE("Standard Size",$P276),'[1]REMOVAL FEES'!$A$1:$A$22,0),3),IF($Y276=2,IF($P276&gt;10,(($P276-10)*1.06)+INDEX('[1]REMOVAL FEES'!$E$1:$G$22,MATCH(CONCATENATE("Large bulky, extra-large and special handling items",IF($P276&gt;=11,11,$P276)),'[1]REMOVAL FEES'!$E$1:$E$13,0),3),INDEX('[1]REMOVAL FEES'!$E$1:$G$22,MATCH(CONCATENATE("Large bulky, extra-large and special handling items",IF($P276&gt;=11,11,$P276)),'[1]REMOVAL FEES'!$E$1:$E$13,0),3))))*$AA276,FALSE)</f>
        <v>-16.440000000000001</v>
      </c>
      <c r="AJ276" s="107">
        <f t="shared" si="55"/>
        <v>-30.23</v>
      </c>
      <c r="AK276" s="107">
        <v>0</v>
      </c>
      <c r="AL276" s="107">
        <v>0</v>
      </c>
      <c r="AM276" s="107">
        <f t="shared" si="56"/>
        <v>0</v>
      </c>
      <c r="AN276" s="116">
        <f>(-IF($V276="Yes", IF($X276="Yes", VLOOKUP($W276, '[1]Storage Fees'!A:M, 13, FALSE), VLOOKUP($W276, '[1]Storage Fees'!A:M, 10, FALSE)), IF($X276="Yes", VLOOKUP($W276, '[1]Storage Fees'!A:M, 7, FALSE), VLOOKUP($W276, '[1]Storage Fees'!A:M, 4, FALSE))) * U276)*1.5</f>
        <v>-1.0944791666666667</v>
      </c>
    </row>
    <row r="277" spans="1:40" x14ac:dyDescent="0.25">
      <c r="A277" s="99">
        <v>205</v>
      </c>
      <c r="B277" s="99" t="s">
        <v>13700</v>
      </c>
      <c r="C277" s="99" t="s">
        <v>13655</v>
      </c>
      <c r="D277" s="99"/>
      <c r="E277" s="99" t="s">
        <v>166</v>
      </c>
      <c r="F277" s="99" t="s">
        <v>812</v>
      </c>
      <c r="G277" s="99" t="s">
        <v>13695</v>
      </c>
      <c r="H277" s="99">
        <v>19</v>
      </c>
      <c r="I277" s="99">
        <v>14</v>
      </c>
      <c r="J277" s="99">
        <v>6</v>
      </c>
      <c r="K277" s="101" t="str">
        <f t="shared" si="44"/>
        <v>19x14x6</v>
      </c>
      <c r="L277" s="102">
        <f t="shared" si="45"/>
        <v>11.482014388489208</v>
      </c>
      <c r="M277" s="113">
        <f t="shared" si="46"/>
        <v>11.482014388489208</v>
      </c>
      <c r="N277" s="113">
        <f t="shared" si="47"/>
        <v>12</v>
      </c>
      <c r="O277" s="99">
        <v>10.8125</v>
      </c>
      <c r="P277" s="113">
        <f t="shared" si="48"/>
        <v>12</v>
      </c>
      <c r="Q277" s="112">
        <f t="shared" si="49"/>
        <v>192</v>
      </c>
      <c r="R277" s="112" t="str">
        <f t="shared" si="50"/>
        <v>Oversize</v>
      </c>
      <c r="S277" s="99" t="str">
        <f t="shared" si="51"/>
        <v>Large bulky</v>
      </c>
      <c r="T277" s="116" t="s">
        <v>13692</v>
      </c>
      <c r="U277" s="116">
        <f t="shared" si="52"/>
        <v>0.92361111111111116</v>
      </c>
      <c r="V277" s="116" t="s">
        <v>13583</v>
      </c>
      <c r="W277" s="116" t="s">
        <v>13690</v>
      </c>
      <c r="X277" s="116" t="s">
        <v>13691</v>
      </c>
      <c r="Y277" s="116">
        <v>2</v>
      </c>
      <c r="Z277" s="116">
        <v>3</v>
      </c>
      <c r="AA277" s="116">
        <v>1</v>
      </c>
      <c r="AB277" s="99"/>
      <c r="AC277" s="99"/>
      <c r="AD277" s="107">
        <v>0</v>
      </c>
      <c r="AE277" s="113">
        <f t="shared" si="53"/>
        <v>0</v>
      </c>
      <c r="AF277" s="116">
        <f>-IFERROR(IFERROR(VLOOKUP(ROUNDUP($Q277,0),'FBA FEES'!$L$2:$Q$203,MATCH($S277,'FBA FEES'!$L$2:$Q$2,0),FALSE),VLOOKUP(ROUNDUP($Q277,0),'FBA FEES'!$C$6:$F$123,MATCH($S277,'FBA FEES'!$C$6:$F$6,0),FALSE)),0)</f>
        <v>-13.79</v>
      </c>
      <c r="AG277" s="116">
        <v>-10</v>
      </c>
      <c r="AH277" s="113">
        <f t="shared" si="54"/>
        <v>-13.79</v>
      </c>
      <c r="AI277" s="116">
        <f>-IFERROR(IF($Y277=1,INDEX('[1]REMOVAL FEES'!$A$1:$C$22,MATCH(CONCATENATE("Standard Size",$P277),'[1]REMOVAL FEES'!$A$1:$A$22,0),3),IF($Y277=2,IF($P277&gt;10,(($P277-10)*1.06)+INDEX('[1]REMOVAL FEES'!$E$1:$G$22,MATCH(CONCATENATE("Large bulky, extra-large and special handling items",IF($P277&gt;=11,11,$P277)),'[1]REMOVAL FEES'!$E$1:$E$13,0),3),INDEX('[1]REMOVAL FEES'!$E$1:$G$22,MATCH(CONCATENATE("Large bulky, extra-large and special handling items",IF($P277&gt;=11,11,$P277)),'[1]REMOVAL FEES'!$E$1:$E$13,0),3))))*$AA277,FALSE)</f>
        <v>-16.440000000000001</v>
      </c>
      <c r="AJ277" s="107">
        <f t="shared" si="55"/>
        <v>-30.23</v>
      </c>
      <c r="AK277" s="107">
        <v>0</v>
      </c>
      <c r="AL277" s="107">
        <v>0</v>
      </c>
      <c r="AM277" s="107">
        <f t="shared" si="56"/>
        <v>0</v>
      </c>
      <c r="AN277" s="116">
        <f>(-IF($V277="Yes", IF($X277="Yes", VLOOKUP($W277, '[1]Storage Fees'!A:M, 13, FALSE), VLOOKUP($W277, '[1]Storage Fees'!A:M, 10, FALSE)), IF($X277="Yes", VLOOKUP($W277, '[1]Storage Fees'!A:M, 7, FALSE), VLOOKUP($W277, '[1]Storage Fees'!A:M, 4, FALSE))) * U277)*1.5</f>
        <v>-1.0944791666666667</v>
      </c>
    </row>
    <row r="278" spans="1:40" x14ac:dyDescent="0.25">
      <c r="A278" s="99">
        <v>206</v>
      </c>
      <c r="B278" s="99" t="s">
        <v>13700</v>
      </c>
      <c r="C278" s="99"/>
      <c r="D278" s="99"/>
      <c r="E278" s="99" t="s">
        <v>166</v>
      </c>
      <c r="F278" s="99" t="s">
        <v>269</v>
      </c>
      <c r="G278" s="99" t="s">
        <v>13695</v>
      </c>
      <c r="H278" s="99">
        <v>19</v>
      </c>
      <c r="I278" s="99">
        <v>14</v>
      </c>
      <c r="J278" s="99">
        <v>6</v>
      </c>
      <c r="K278" s="101" t="str">
        <f t="shared" si="44"/>
        <v>19x14x6</v>
      </c>
      <c r="L278" s="102">
        <f t="shared" si="45"/>
        <v>11.482014388489208</v>
      </c>
      <c r="M278" s="113">
        <f t="shared" si="46"/>
        <v>11.482014388489208</v>
      </c>
      <c r="N278" s="113">
        <f t="shared" si="47"/>
        <v>12</v>
      </c>
      <c r="O278" s="99">
        <v>7</v>
      </c>
      <c r="P278" s="113">
        <f t="shared" si="48"/>
        <v>12</v>
      </c>
      <c r="Q278" s="112">
        <f t="shared" si="49"/>
        <v>192</v>
      </c>
      <c r="R278" s="112" t="str">
        <f t="shared" si="50"/>
        <v>Oversize</v>
      </c>
      <c r="S278" s="99" t="str">
        <f t="shared" si="51"/>
        <v>Large bulky</v>
      </c>
      <c r="T278" s="116" t="s">
        <v>13692</v>
      </c>
      <c r="U278" s="116">
        <f t="shared" si="52"/>
        <v>0.92361111111111116</v>
      </c>
      <c r="V278" s="116" t="s">
        <v>13583</v>
      </c>
      <c r="W278" s="116" t="s">
        <v>13690</v>
      </c>
      <c r="X278" s="116" t="s">
        <v>13691</v>
      </c>
      <c r="Y278" s="116">
        <v>2</v>
      </c>
      <c r="Z278" s="116">
        <v>3</v>
      </c>
      <c r="AA278" s="116">
        <v>1</v>
      </c>
      <c r="AB278" s="99"/>
      <c r="AC278" s="99"/>
      <c r="AD278" s="107">
        <v>88.522999999999996</v>
      </c>
      <c r="AE278" s="113">
        <f t="shared" si="53"/>
        <v>-13.278449999999999</v>
      </c>
      <c r="AF278" s="116">
        <f>-IFERROR(IFERROR(VLOOKUP(ROUNDUP($Q278,0),'FBA FEES'!$L$2:$Q$203,MATCH($S278,'FBA FEES'!$L$2:$Q$2,0),FALSE),VLOOKUP(ROUNDUP($Q278,0),'FBA FEES'!$C$6:$F$123,MATCH($S278,'FBA FEES'!$C$6:$F$6,0),FALSE)),0)</f>
        <v>-13.79</v>
      </c>
      <c r="AG278" s="116">
        <v>-10</v>
      </c>
      <c r="AH278" s="113">
        <f t="shared" si="54"/>
        <v>-27.068449999999999</v>
      </c>
      <c r="AI278" s="116">
        <f>-IFERROR(IF($Y278=1,INDEX('[1]REMOVAL FEES'!$A$1:$C$22,MATCH(CONCATENATE("Standard Size",$P278),'[1]REMOVAL FEES'!$A$1:$A$22,0),3),IF($Y278=2,IF($P278&gt;10,(($P278-10)*1.06)+INDEX('[1]REMOVAL FEES'!$E$1:$G$22,MATCH(CONCATENATE("Large bulky, extra-large and special handling items",IF($P278&gt;=11,11,$P278)),'[1]REMOVAL FEES'!$E$1:$E$13,0),3),INDEX('[1]REMOVAL FEES'!$E$1:$G$22,MATCH(CONCATENATE("Large bulky, extra-large and special handling items",IF($P278&gt;=11,11,$P278)),'[1]REMOVAL FEES'!$E$1:$E$13,0),3))))*$AA278,FALSE)</f>
        <v>-16.440000000000001</v>
      </c>
      <c r="AJ278" s="107">
        <f t="shared" si="55"/>
        <v>-43.508449999999996</v>
      </c>
      <c r="AK278" s="107">
        <v>-29.01</v>
      </c>
      <c r="AL278" s="107">
        <v>-5.8437500000000018</v>
      </c>
      <c r="AM278" s="107">
        <f t="shared" si="56"/>
        <v>-34.853750000000005</v>
      </c>
      <c r="AN278" s="116">
        <f>(-IF($V278="Yes", IF($X278="Yes", VLOOKUP($W278, '[1]Storage Fees'!A:M, 13, FALSE), VLOOKUP($W278, '[1]Storage Fees'!A:M, 10, FALSE)), IF($X278="Yes", VLOOKUP($W278, '[1]Storage Fees'!A:M, 7, FALSE), VLOOKUP($W278, '[1]Storage Fees'!A:M, 4, FALSE))) * U278)*1.5</f>
        <v>-1.0944791666666667</v>
      </c>
    </row>
    <row r="279" spans="1:40" x14ac:dyDescent="0.25">
      <c r="A279" s="99">
        <v>207</v>
      </c>
      <c r="B279" s="99" t="s">
        <v>13700</v>
      </c>
      <c r="C279" s="99"/>
      <c r="D279" s="99"/>
      <c r="E279" s="99" t="s">
        <v>148</v>
      </c>
      <c r="F279" s="99" t="s">
        <v>271</v>
      </c>
      <c r="G279" s="99" t="s">
        <v>13656</v>
      </c>
      <c r="H279" s="99">
        <v>25</v>
      </c>
      <c r="I279" s="99">
        <v>4</v>
      </c>
      <c r="J279" s="99">
        <v>4</v>
      </c>
      <c r="K279" s="101" t="str">
        <f t="shared" si="44"/>
        <v>25x4x4</v>
      </c>
      <c r="L279" s="102">
        <f t="shared" si="45"/>
        <v>2.8776978417266186</v>
      </c>
      <c r="M279" s="113">
        <f t="shared" si="46"/>
        <v>2.8776978417266186</v>
      </c>
      <c r="N279" s="113">
        <f t="shared" si="47"/>
        <v>3</v>
      </c>
      <c r="O279" s="99">
        <v>3</v>
      </c>
      <c r="P279" s="113">
        <f t="shared" si="48"/>
        <v>3</v>
      </c>
      <c r="Q279" s="112">
        <f t="shared" si="49"/>
        <v>48</v>
      </c>
      <c r="R279" s="112" t="str">
        <f t="shared" si="50"/>
        <v>Oversize</v>
      </c>
      <c r="S279" s="99" t="str">
        <f t="shared" si="51"/>
        <v>Large bulky</v>
      </c>
      <c r="T279" s="116" t="s">
        <v>13692</v>
      </c>
      <c r="U279" s="116">
        <f t="shared" si="52"/>
        <v>0.23148148148148148</v>
      </c>
      <c r="V279" s="116" t="s">
        <v>13583</v>
      </c>
      <c r="W279" s="116" t="s">
        <v>13690</v>
      </c>
      <c r="X279" s="116" t="s">
        <v>13691</v>
      </c>
      <c r="Y279" s="116">
        <v>2</v>
      </c>
      <c r="Z279" s="116">
        <v>3</v>
      </c>
      <c r="AA279" s="116">
        <v>1</v>
      </c>
      <c r="AB279" s="99"/>
      <c r="AC279" s="99"/>
      <c r="AD279" s="107">
        <v>35.548617511520597</v>
      </c>
      <c r="AE279" s="113">
        <f t="shared" si="53"/>
        <v>-5.3322926267280897</v>
      </c>
      <c r="AF279" s="116">
        <f>-IFERROR(IFERROR(VLOOKUP(ROUNDUP($Q279,0),'FBA FEES'!$L$2:$Q$203,MATCH($S279,'FBA FEES'!$L$2:$Q$2,0),FALSE),VLOOKUP(ROUNDUP($Q279,0),'FBA FEES'!$C$6:$F$123,MATCH($S279,'FBA FEES'!$C$6:$F$6,0),FALSE)),0)</f>
        <v>-10.37</v>
      </c>
      <c r="AG279" s="116">
        <v>-10</v>
      </c>
      <c r="AH279" s="113">
        <f t="shared" si="54"/>
        <v>-15.702292626728088</v>
      </c>
      <c r="AI279" s="116">
        <f>-IFERROR(IF($Y279=1,INDEX('[1]REMOVAL FEES'!$A$1:$C$22,MATCH(CONCATENATE("Standard Size",$P279),'[1]REMOVAL FEES'!$A$1:$A$22,0),3),IF($Y279=2,IF($P279&gt;10,(($P279-10)*1.06)+INDEX('[1]REMOVAL FEES'!$E$1:$G$22,MATCH(CONCATENATE("Large bulky, extra-large and special handling items",IF($P279&gt;=11,11,$P279)),'[1]REMOVAL FEES'!$E$1:$E$13,0),3),INDEX('[1]REMOVAL FEES'!$E$1:$G$22,MATCH(CONCATENATE("Large bulky, extra-large and special handling items",IF($P279&gt;=11,11,$P279)),'[1]REMOVAL FEES'!$E$1:$E$13,0),3))))*$AA279,FALSE)</f>
        <v>-6.36</v>
      </c>
      <c r="AJ279" s="107">
        <f t="shared" si="55"/>
        <v>-22.062292626728087</v>
      </c>
      <c r="AK279" s="107">
        <v>-9.1303225806451582</v>
      </c>
      <c r="AL279" s="107">
        <v>-5.5410334906597507</v>
      </c>
      <c r="AM279" s="107">
        <f t="shared" si="56"/>
        <v>-14.67135607130491</v>
      </c>
      <c r="AN279" s="116">
        <f>(-IF($V279="Yes", IF($X279="Yes", VLOOKUP($W279, '[1]Storage Fees'!A:M, 13, FALSE), VLOOKUP($W279, '[1]Storage Fees'!A:M, 10, FALSE)), IF($X279="Yes", VLOOKUP($W279, '[1]Storage Fees'!A:M, 7, FALSE), VLOOKUP($W279, '[1]Storage Fees'!A:M, 4, FALSE))) * U279)*1.5</f>
        <v>-0.27430555555555558</v>
      </c>
    </row>
    <row r="280" spans="1:40" x14ac:dyDescent="0.25">
      <c r="A280" s="99">
        <v>208</v>
      </c>
      <c r="B280" s="99"/>
      <c r="C280" s="99" t="s">
        <v>13655</v>
      </c>
      <c r="D280" s="99"/>
      <c r="E280" s="99" t="s">
        <v>148</v>
      </c>
      <c r="F280" s="99" t="s">
        <v>1659</v>
      </c>
      <c r="G280" s="99" t="s">
        <v>13695</v>
      </c>
      <c r="H280" s="99">
        <v>0</v>
      </c>
      <c r="I280" s="99">
        <v>0</v>
      </c>
      <c r="J280" s="99">
        <v>0</v>
      </c>
      <c r="K280" s="101" t="str">
        <f t="shared" si="44"/>
        <v>0x0x0</v>
      </c>
      <c r="L280" s="102">
        <f t="shared" si="45"/>
        <v>0</v>
      </c>
      <c r="M280" s="113">
        <f t="shared" si="46"/>
        <v>0</v>
      </c>
      <c r="N280" s="113">
        <f t="shared" si="47"/>
        <v>0</v>
      </c>
      <c r="O280" s="99">
        <v>0</v>
      </c>
      <c r="P280" s="113">
        <f t="shared" si="48"/>
        <v>0</v>
      </c>
      <c r="Q280" s="112">
        <f t="shared" si="49"/>
        <v>0</v>
      </c>
      <c r="R280" s="112" t="str">
        <f t="shared" si="50"/>
        <v>Standard-size</v>
      </c>
      <c r="S280" s="99" t="str">
        <f t="shared" si="51"/>
        <v>Small standard-size</v>
      </c>
      <c r="T280" s="116" t="s">
        <v>13696</v>
      </c>
      <c r="U280" s="116">
        <f t="shared" si="52"/>
        <v>0</v>
      </c>
      <c r="V280" s="116" t="s">
        <v>13583</v>
      </c>
      <c r="W280" s="116" t="s">
        <v>13690</v>
      </c>
      <c r="X280" s="99" t="s">
        <v>13583</v>
      </c>
      <c r="Y280" s="99">
        <v>1</v>
      </c>
      <c r="Z280" s="99">
        <v>1</v>
      </c>
      <c r="AA280" s="99">
        <v>1</v>
      </c>
      <c r="AB280" s="99"/>
      <c r="AC280" s="99"/>
      <c r="AD280" s="107">
        <v>0</v>
      </c>
      <c r="AE280" s="113">
        <f t="shared" si="53"/>
        <v>0</v>
      </c>
      <c r="AF280" s="116">
        <f>-IFERROR(IFERROR(VLOOKUP(ROUNDUP($Q280,0),'FBA FEES'!$L$2:$Q$203,MATCH($S280,'FBA FEES'!$L$2:$Q$2,0),FALSE),VLOOKUP(ROUNDUP($Q280,0),'FBA FEES'!$C$6:$F$123,MATCH($S280,'FBA FEES'!$C$6:$F$6,0),FALSE)),0)</f>
        <v>0</v>
      </c>
      <c r="AG280" s="116">
        <v>-10</v>
      </c>
      <c r="AH280" s="113">
        <f t="shared" si="54"/>
        <v>0</v>
      </c>
      <c r="AI280" s="116">
        <f>-IFERROR(IF($Y280=1,INDEX('[1]REMOVAL FEES'!$A$1:$C$22,MATCH(CONCATENATE("Standard Size",$P280),'[1]REMOVAL FEES'!$A$1:$A$22,0),3),IF($Y280=2,IF($P280&gt;10,(($P280-10)*1.06)+INDEX('[1]REMOVAL FEES'!$E$1:$G$22,MATCH(CONCATENATE("Large bulky, extra-large and special handling items",IF($P280&gt;=11,11,$P280)),'[1]REMOVAL FEES'!$E$1:$E$13,0),3),INDEX('[1]REMOVAL FEES'!$E$1:$G$22,MATCH(CONCATENATE("Large bulky, extra-large and special handling items",IF($P280&gt;=11,11,$P280)),'[1]REMOVAL FEES'!$E$1:$E$13,0),3))))*$AA280,FALSE)</f>
        <v>0</v>
      </c>
      <c r="AJ280" s="107">
        <f t="shared" si="55"/>
        <v>0</v>
      </c>
      <c r="AK280" s="107">
        <v>0</v>
      </c>
      <c r="AL280" s="107">
        <v>0</v>
      </c>
      <c r="AM280" s="107">
        <f t="shared" si="56"/>
        <v>0</v>
      </c>
      <c r="AN280" s="116">
        <f>(-IF($V280="Yes", IF($X280="Yes", VLOOKUP($W280, '[1]Storage Fees'!A:M, 13, FALSE), VLOOKUP($W280, '[1]Storage Fees'!A:M, 10, FALSE)), IF($X280="Yes", VLOOKUP($W280, '[1]Storage Fees'!A:M, 7, FALSE), VLOOKUP($W280, '[1]Storage Fees'!A:M, 4, FALSE))) * U280)*1.5</f>
        <v>0</v>
      </c>
    </row>
    <row r="281" spans="1:40" x14ac:dyDescent="0.25">
      <c r="A281" s="99">
        <v>209</v>
      </c>
      <c r="B281" s="99"/>
      <c r="C281" s="99" t="s">
        <v>13655</v>
      </c>
      <c r="D281" s="99"/>
      <c r="E281" s="99" t="s">
        <v>148</v>
      </c>
      <c r="F281" s="99" t="s">
        <v>1661</v>
      </c>
      <c r="G281" s="99" t="s">
        <v>13695</v>
      </c>
      <c r="H281" s="99">
        <v>0</v>
      </c>
      <c r="I281" s="99">
        <v>0</v>
      </c>
      <c r="J281" s="99">
        <v>0</v>
      </c>
      <c r="K281" s="101" t="str">
        <f t="shared" si="44"/>
        <v>0x0x0</v>
      </c>
      <c r="L281" s="102">
        <f t="shared" si="45"/>
        <v>0</v>
      </c>
      <c r="M281" s="113">
        <f t="shared" si="46"/>
        <v>0</v>
      </c>
      <c r="N281" s="113">
        <f t="shared" si="47"/>
        <v>0</v>
      </c>
      <c r="O281" s="99">
        <v>0</v>
      </c>
      <c r="P281" s="113">
        <f t="shared" si="48"/>
        <v>0</v>
      </c>
      <c r="Q281" s="112">
        <f t="shared" si="49"/>
        <v>0</v>
      </c>
      <c r="R281" s="112" t="str">
        <f t="shared" si="50"/>
        <v>Standard-size</v>
      </c>
      <c r="S281" s="99" t="str">
        <f t="shared" si="51"/>
        <v>Small standard-size</v>
      </c>
      <c r="T281" s="116" t="s">
        <v>13696</v>
      </c>
      <c r="U281" s="116">
        <f t="shared" si="52"/>
        <v>0</v>
      </c>
      <c r="V281" s="116" t="s">
        <v>13583</v>
      </c>
      <c r="W281" s="116" t="s">
        <v>13690</v>
      </c>
      <c r="X281" s="99" t="s">
        <v>13583</v>
      </c>
      <c r="Y281" s="99">
        <v>1</v>
      </c>
      <c r="Z281" s="99">
        <v>1</v>
      </c>
      <c r="AA281" s="99">
        <v>1</v>
      </c>
      <c r="AB281" s="99"/>
      <c r="AC281" s="99"/>
      <c r="AD281" s="107">
        <v>0</v>
      </c>
      <c r="AE281" s="113">
        <f t="shared" si="53"/>
        <v>0</v>
      </c>
      <c r="AF281" s="116">
        <f>-IFERROR(IFERROR(VLOOKUP(ROUNDUP($Q281,0),'FBA FEES'!$L$2:$Q$203,MATCH($S281,'FBA FEES'!$L$2:$Q$2,0),FALSE),VLOOKUP(ROUNDUP($Q281,0),'FBA FEES'!$C$6:$F$123,MATCH($S281,'FBA FEES'!$C$6:$F$6,0),FALSE)),0)</f>
        <v>0</v>
      </c>
      <c r="AG281" s="116">
        <v>-10</v>
      </c>
      <c r="AH281" s="113">
        <f t="shared" si="54"/>
        <v>0</v>
      </c>
      <c r="AI281" s="116">
        <f>-IFERROR(IF($Y281=1,INDEX('[1]REMOVAL FEES'!$A$1:$C$22,MATCH(CONCATENATE("Standard Size",$P281),'[1]REMOVAL FEES'!$A$1:$A$22,0),3),IF($Y281=2,IF($P281&gt;10,(($P281-10)*1.06)+INDEX('[1]REMOVAL FEES'!$E$1:$G$22,MATCH(CONCATENATE("Large bulky, extra-large and special handling items",IF($P281&gt;=11,11,$P281)),'[1]REMOVAL FEES'!$E$1:$E$13,0),3),INDEX('[1]REMOVAL FEES'!$E$1:$G$22,MATCH(CONCATENATE("Large bulky, extra-large and special handling items",IF($P281&gt;=11,11,$P281)),'[1]REMOVAL FEES'!$E$1:$E$13,0),3))))*$AA281,FALSE)</f>
        <v>0</v>
      </c>
      <c r="AJ281" s="107">
        <f t="shared" si="55"/>
        <v>0</v>
      </c>
      <c r="AK281" s="107">
        <v>0</v>
      </c>
      <c r="AL281" s="107">
        <v>0</v>
      </c>
      <c r="AM281" s="107">
        <f t="shared" si="56"/>
        <v>0</v>
      </c>
      <c r="AN281" s="116">
        <f>(-IF($V281="Yes", IF($X281="Yes", VLOOKUP($W281, '[1]Storage Fees'!A:M, 13, FALSE), VLOOKUP($W281, '[1]Storage Fees'!A:M, 10, FALSE)), IF($X281="Yes", VLOOKUP($W281, '[1]Storage Fees'!A:M, 7, FALSE), VLOOKUP($W281, '[1]Storage Fees'!A:M, 4, FALSE))) * U281)*1.5</f>
        <v>0</v>
      </c>
    </row>
    <row r="282" spans="1:40" x14ac:dyDescent="0.25">
      <c r="A282" s="99">
        <v>210</v>
      </c>
      <c r="B282" s="99"/>
      <c r="C282" s="99" t="s">
        <v>13655</v>
      </c>
      <c r="D282" s="99"/>
      <c r="E282" s="99" t="s">
        <v>148</v>
      </c>
      <c r="F282" s="99" t="s">
        <v>1663</v>
      </c>
      <c r="G282" s="99" t="s">
        <v>13695</v>
      </c>
      <c r="H282" s="99">
        <v>0</v>
      </c>
      <c r="I282" s="99">
        <v>0</v>
      </c>
      <c r="J282" s="99">
        <v>0</v>
      </c>
      <c r="K282" s="101" t="str">
        <f t="shared" si="44"/>
        <v>0x0x0</v>
      </c>
      <c r="L282" s="102">
        <f t="shared" si="45"/>
        <v>0</v>
      </c>
      <c r="M282" s="113">
        <f t="shared" si="46"/>
        <v>0</v>
      </c>
      <c r="N282" s="113">
        <f t="shared" si="47"/>
        <v>0</v>
      </c>
      <c r="O282" s="99">
        <v>0</v>
      </c>
      <c r="P282" s="113">
        <f t="shared" si="48"/>
        <v>0</v>
      </c>
      <c r="Q282" s="112">
        <f t="shared" si="49"/>
        <v>0</v>
      </c>
      <c r="R282" s="112" t="str">
        <f t="shared" si="50"/>
        <v>Standard-size</v>
      </c>
      <c r="S282" s="99" t="str">
        <f t="shared" si="51"/>
        <v>Small standard-size</v>
      </c>
      <c r="T282" s="116" t="s">
        <v>13696</v>
      </c>
      <c r="U282" s="116">
        <f t="shared" si="52"/>
        <v>0</v>
      </c>
      <c r="V282" s="116" t="s">
        <v>13583</v>
      </c>
      <c r="W282" s="116" t="s">
        <v>13690</v>
      </c>
      <c r="X282" s="99" t="s">
        <v>13583</v>
      </c>
      <c r="Y282" s="99">
        <v>1</v>
      </c>
      <c r="Z282" s="99">
        <v>1</v>
      </c>
      <c r="AA282" s="99">
        <v>1</v>
      </c>
      <c r="AB282" s="99"/>
      <c r="AC282" s="99"/>
      <c r="AD282" s="107">
        <v>0</v>
      </c>
      <c r="AE282" s="113">
        <f t="shared" si="53"/>
        <v>0</v>
      </c>
      <c r="AF282" s="116">
        <f>-IFERROR(IFERROR(VLOOKUP(ROUNDUP($Q282,0),'FBA FEES'!$L$2:$Q$203,MATCH($S282,'FBA FEES'!$L$2:$Q$2,0),FALSE),VLOOKUP(ROUNDUP($Q282,0),'FBA FEES'!$C$6:$F$123,MATCH($S282,'FBA FEES'!$C$6:$F$6,0),FALSE)),0)</f>
        <v>0</v>
      </c>
      <c r="AG282" s="116">
        <v>-10</v>
      </c>
      <c r="AH282" s="113">
        <f t="shared" si="54"/>
        <v>0</v>
      </c>
      <c r="AI282" s="116">
        <f>-IFERROR(IF($Y282=1,INDEX('[1]REMOVAL FEES'!$A$1:$C$22,MATCH(CONCATENATE("Standard Size",$P282),'[1]REMOVAL FEES'!$A$1:$A$22,0),3),IF($Y282=2,IF($P282&gt;10,(($P282-10)*1.06)+INDEX('[1]REMOVAL FEES'!$E$1:$G$22,MATCH(CONCATENATE("Large bulky, extra-large and special handling items",IF($P282&gt;=11,11,$P282)),'[1]REMOVAL FEES'!$E$1:$E$13,0),3),INDEX('[1]REMOVAL FEES'!$E$1:$G$22,MATCH(CONCATENATE("Large bulky, extra-large and special handling items",IF($P282&gt;=11,11,$P282)),'[1]REMOVAL FEES'!$E$1:$E$13,0),3))))*$AA282,FALSE)</f>
        <v>0</v>
      </c>
      <c r="AJ282" s="107">
        <f t="shared" si="55"/>
        <v>0</v>
      </c>
      <c r="AK282" s="107">
        <v>0</v>
      </c>
      <c r="AL282" s="107">
        <v>0</v>
      </c>
      <c r="AM282" s="107">
        <f t="shared" si="56"/>
        <v>0</v>
      </c>
      <c r="AN282" s="116">
        <f>(-IF($V282="Yes", IF($X282="Yes", VLOOKUP($W282, '[1]Storage Fees'!A:M, 13, FALSE), VLOOKUP($W282, '[1]Storage Fees'!A:M, 10, FALSE)), IF($X282="Yes", VLOOKUP($W282, '[1]Storage Fees'!A:M, 7, FALSE), VLOOKUP($W282, '[1]Storage Fees'!A:M, 4, FALSE))) * U282)*1.5</f>
        <v>0</v>
      </c>
    </row>
    <row r="283" spans="1:40" x14ac:dyDescent="0.25">
      <c r="A283" s="99">
        <v>211</v>
      </c>
      <c r="B283" s="99" t="s">
        <v>102</v>
      </c>
      <c r="C283" s="99" t="s">
        <v>13655</v>
      </c>
      <c r="D283" s="99" t="s">
        <v>102</v>
      </c>
      <c r="E283" s="99" t="s">
        <v>148</v>
      </c>
      <c r="F283" s="99" t="s">
        <v>815</v>
      </c>
      <c r="G283" s="99" t="s">
        <v>13695</v>
      </c>
      <c r="H283" s="99">
        <v>7</v>
      </c>
      <c r="I283" s="99">
        <v>2</v>
      </c>
      <c r="J283" s="99">
        <v>2</v>
      </c>
      <c r="K283" s="101" t="str">
        <f t="shared" si="44"/>
        <v>7x2x2</v>
      </c>
      <c r="L283" s="102">
        <f t="shared" si="45"/>
        <v>0.20143884892086331</v>
      </c>
      <c r="M283" s="113">
        <f t="shared" si="46"/>
        <v>0.20143884892086331</v>
      </c>
      <c r="N283" s="113">
        <f t="shared" si="47"/>
        <v>0.25</v>
      </c>
      <c r="O283" s="99">
        <v>2.8125</v>
      </c>
      <c r="P283" s="113">
        <f t="shared" si="48"/>
        <v>3</v>
      </c>
      <c r="Q283" s="112">
        <f t="shared" si="49"/>
        <v>48</v>
      </c>
      <c r="R283" s="112" t="str">
        <f t="shared" si="50"/>
        <v>Standard-size</v>
      </c>
      <c r="S283" s="99" t="str">
        <f t="shared" si="51"/>
        <v>Large standard-size</v>
      </c>
      <c r="T283" s="116" t="s">
        <v>13701</v>
      </c>
      <c r="U283" s="116">
        <f t="shared" si="52"/>
        <v>1.6203703703703703E-2</v>
      </c>
      <c r="V283" s="116" t="s">
        <v>13583</v>
      </c>
      <c r="W283" s="116" t="s">
        <v>13690</v>
      </c>
      <c r="X283" s="99" t="s">
        <v>13583</v>
      </c>
      <c r="Y283" s="99">
        <v>1</v>
      </c>
      <c r="Z283" s="99">
        <v>2</v>
      </c>
      <c r="AA283" s="99">
        <v>1</v>
      </c>
      <c r="AB283" s="99"/>
      <c r="AC283" s="99"/>
      <c r="AD283" s="107">
        <v>0</v>
      </c>
      <c r="AE283" s="113">
        <f t="shared" si="53"/>
        <v>0</v>
      </c>
      <c r="AF283" s="116">
        <f>-IFERROR(IFERROR(VLOOKUP(ROUNDUP($Q283,0),'FBA FEES'!$L$2:$Q$203,MATCH($S283,'FBA FEES'!$L$2:$Q$2,0),FALSE),VLOOKUP(ROUNDUP($Q283,0),'FBA FEES'!$C$6:$F$123,MATCH($S283,'FBA FEES'!$C$6:$F$6,0),FALSE)),0)</f>
        <v>-6.62</v>
      </c>
      <c r="AG283" s="116">
        <v>-10</v>
      </c>
      <c r="AH283" s="113">
        <f t="shared" si="54"/>
        <v>-6.62</v>
      </c>
      <c r="AI283" s="116">
        <f>-IFERROR(IF($Y283=1,INDEX('[1]REMOVAL FEES'!$A$1:$C$22,MATCH(CONCATENATE("Standard Size",$P283),'[1]REMOVAL FEES'!$A$1:$A$22,0),3),IF($Y283=2,IF($P283&gt;10,(($P283-10)*1.06)+INDEX('[1]REMOVAL FEES'!$E$1:$G$22,MATCH(CONCATENATE("Large bulky, extra-large and special handling items",IF($P283&gt;=11,11,$P283)),'[1]REMOVAL FEES'!$E$1:$E$13,0),3),INDEX('[1]REMOVAL FEES'!$E$1:$G$22,MATCH(CONCATENATE("Large bulky, extra-large and special handling items",IF($P283&gt;=11,11,$P283)),'[1]REMOVAL FEES'!$E$1:$E$13,0),3))))*$AA283,FALSE)</f>
        <v>-3.95</v>
      </c>
      <c r="AJ283" s="107">
        <f t="shared" si="55"/>
        <v>-10.57</v>
      </c>
      <c r="AK283" s="107">
        <v>0</v>
      </c>
      <c r="AL283" s="107">
        <v>0</v>
      </c>
      <c r="AM283" s="107">
        <f t="shared" si="56"/>
        <v>0</v>
      </c>
      <c r="AN283" s="116">
        <f>(-IF($V283="Yes", IF($X283="Yes", VLOOKUP($W283, '[1]Storage Fees'!A:M, 13, FALSE), VLOOKUP($W283, '[1]Storage Fees'!A:M, 10, FALSE)), IF($X283="Yes", VLOOKUP($W283, '[1]Storage Fees'!A:M, 7, FALSE), VLOOKUP($W283, '[1]Storage Fees'!A:M, 4, FALSE))) * U283)*1.5</f>
        <v>-2.9652777777777778E-2</v>
      </c>
    </row>
    <row r="284" spans="1:40" x14ac:dyDescent="0.25">
      <c r="A284" s="99">
        <v>212</v>
      </c>
      <c r="B284" s="99" t="s">
        <v>13700</v>
      </c>
      <c r="C284" s="99"/>
      <c r="D284" s="99"/>
      <c r="E284" s="99" t="s">
        <v>123</v>
      </c>
      <c r="F284" s="99" t="s">
        <v>273</v>
      </c>
      <c r="G284" s="99" t="s">
        <v>13695</v>
      </c>
      <c r="H284" s="99">
        <v>12</v>
      </c>
      <c r="I284" s="99">
        <v>12</v>
      </c>
      <c r="J284" s="99">
        <v>9</v>
      </c>
      <c r="K284" s="101" t="str">
        <f t="shared" si="44"/>
        <v>12x12x9</v>
      </c>
      <c r="L284" s="102">
        <f t="shared" si="45"/>
        <v>9.3237410071942453</v>
      </c>
      <c r="M284" s="113">
        <f t="shared" si="46"/>
        <v>9.3237410071942453</v>
      </c>
      <c r="N284" s="113">
        <f t="shared" si="47"/>
        <v>10</v>
      </c>
      <c r="O284" s="99">
        <v>20</v>
      </c>
      <c r="P284" s="113">
        <f t="shared" si="48"/>
        <v>20</v>
      </c>
      <c r="Q284" s="112">
        <f t="shared" si="49"/>
        <v>320</v>
      </c>
      <c r="R284" s="112" t="str">
        <f t="shared" si="50"/>
        <v>Oversize</v>
      </c>
      <c r="S284" s="99" t="str">
        <f t="shared" si="51"/>
        <v>Large bulky</v>
      </c>
      <c r="T284" s="116" t="s">
        <v>13692</v>
      </c>
      <c r="U284" s="116">
        <f t="shared" si="52"/>
        <v>0.75</v>
      </c>
      <c r="V284" s="116" t="s">
        <v>13583</v>
      </c>
      <c r="W284" s="116" t="s">
        <v>13690</v>
      </c>
      <c r="X284" s="116" t="s">
        <v>13691</v>
      </c>
      <c r="Y284" s="116">
        <v>2</v>
      </c>
      <c r="Z284" s="116">
        <v>3</v>
      </c>
      <c r="AA284" s="116">
        <v>1</v>
      </c>
      <c r="AB284" s="99"/>
      <c r="AC284" s="99"/>
      <c r="AD284" s="107">
        <v>126.8814492753622</v>
      </c>
      <c r="AE284" s="113">
        <f t="shared" si="53"/>
        <v>-19.032217391304329</v>
      </c>
      <c r="AF284" s="116">
        <f>-IFERROR(IFERROR(VLOOKUP(ROUNDUP($Q284,0),'FBA FEES'!$L$2:$Q$203,MATCH($S284,'FBA FEES'!$L$2:$Q$2,0),FALSE),VLOOKUP(ROUNDUP($Q284,0),'FBA FEES'!$C$6:$F$123,MATCH($S284,'FBA FEES'!$C$6:$F$6,0),FALSE)),0)</f>
        <v>-16.829999999999998</v>
      </c>
      <c r="AG284" s="116">
        <v>-10</v>
      </c>
      <c r="AH284" s="113">
        <f t="shared" si="54"/>
        <v>-35.862217391304327</v>
      </c>
      <c r="AI284" s="116">
        <f>-IFERROR(IF($Y284=1,INDEX('[1]REMOVAL FEES'!$A$1:$C$22,MATCH(CONCATENATE("Standard Size",$P284),'[1]REMOVAL FEES'!$A$1:$A$22,0),3),IF($Y284=2,IF($P284&gt;10,(($P284-10)*1.06)+INDEX('[1]REMOVAL FEES'!$E$1:$G$22,MATCH(CONCATENATE("Large bulky, extra-large and special handling items",IF($P284&gt;=11,11,$P284)),'[1]REMOVAL FEES'!$E$1:$E$13,0),3),INDEX('[1]REMOVAL FEES'!$E$1:$G$22,MATCH(CONCATENATE("Large bulky, extra-large and special handling items",IF($P284&gt;=11,11,$P284)),'[1]REMOVAL FEES'!$E$1:$E$13,0),3))))*$AA284,FALSE)</f>
        <v>-24.92</v>
      </c>
      <c r="AJ284" s="107">
        <f t="shared" si="55"/>
        <v>-60.782217391304329</v>
      </c>
      <c r="AK284" s="107">
        <v>-46.942318840579723</v>
      </c>
      <c r="AL284" s="107">
        <v>-10.49514119905859</v>
      </c>
      <c r="AM284" s="107">
        <f t="shared" si="56"/>
        <v>-57.43746003963831</v>
      </c>
      <c r="AN284" s="116">
        <f>(-IF($V284="Yes", IF($X284="Yes", VLOOKUP($W284, '[1]Storage Fees'!A:M, 13, FALSE), VLOOKUP($W284, '[1]Storage Fees'!A:M, 10, FALSE)), IF($X284="Yes", VLOOKUP($W284, '[1]Storage Fees'!A:M, 7, FALSE), VLOOKUP($W284, '[1]Storage Fees'!A:M, 4, FALSE))) * U284)*1.5</f>
        <v>-0.88875000000000004</v>
      </c>
    </row>
    <row r="285" spans="1:40" x14ac:dyDescent="0.25">
      <c r="A285" s="99">
        <v>213</v>
      </c>
      <c r="B285" s="99" t="s">
        <v>13702</v>
      </c>
      <c r="C285" s="99" t="s">
        <v>13655</v>
      </c>
      <c r="D285" s="99" t="s">
        <v>714</v>
      </c>
      <c r="E285" s="99" t="s">
        <v>278</v>
      </c>
      <c r="F285" s="99" t="s">
        <v>818</v>
      </c>
      <c r="G285" s="99" t="s">
        <v>13695</v>
      </c>
      <c r="H285" s="99">
        <v>14</v>
      </c>
      <c r="I285" s="99">
        <v>14</v>
      </c>
      <c r="J285" s="99">
        <v>8</v>
      </c>
      <c r="K285" s="101" t="str">
        <f t="shared" si="44"/>
        <v>14x14x8</v>
      </c>
      <c r="L285" s="102">
        <f t="shared" si="45"/>
        <v>11.280575539568344</v>
      </c>
      <c r="M285" s="113">
        <f t="shared" si="46"/>
        <v>11.280575539568344</v>
      </c>
      <c r="N285" s="113">
        <f t="shared" si="47"/>
        <v>12</v>
      </c>
      <c r="O285" s="99">
        <v>10</v>
      </c>
      <c r="P285" s="113">
        <f t="shared" si="48"/>
        <v>12</v>
      </c>
      <c r="Q285" s="112">
        <f t="shared" si="49"/>
        <v>192</v>
      </c>
      <c r="R285" s="112" t="str">
        <f t="shared" si="50"/>
        <v>Standard-size</v>
      </c>
      <c r="S285" s="99" t="str">
        <f t="shared" si="51"/>
        <v>Large standard-size</v>
      </c>
      <c r="T285" s="116" t="s">
        <v>13693</v>
      </c>
      <c r="U285" s="116">
        <f t="shared" si="52"/>
        <v>0.90740740740740744</v>
      </c>
      <c r="V285" s="116" t="s">
        <v>13583</v>
      </c>
      <c r="W285" s="116" t="s">
        <v>13690</v>
      </c>
      <c r="X285" s="99" t="s">
        <v>13583</v>
      </c>
      <c r="Y285" s="99">
        <v>1</v>
      </c>
      <c r="Z285" s="99">
        <v>2</v>
      </c>
      <c r="AA285" s="99">
        <v>1</v>
      </c>
      <c r="AB285" s="99"/>
      <c r="AC285" s="99"/>
      <c r="AD285" s="107">
        <v>47.99</v>
      </c>
      <c r="AE285" s="113">
        <f t="shared" si="53"/>
        <v>-7.1985000000000001</v>
      </c>
      <c r="AF285" s="116">
        <f>-IFERROR(IFERROR(VLOOKUP(ROUNDUP($Q285,0),'FBA FEES'!$L$2:$Q$203,MATCH($S285,'FBA FEES'!$L$2:$Q$2,0),FALSE),VLOOKUP(ROUNDUP($Q285,0),'FBA FEES'!$C$6:$F$123,MATCH($S285,'FBA FEES'!$C$6:$F$6,0),FALSE)),0)</f>
        <v>-9.8000000000000007</v>
      </c>
      <c r="AG285" s="116">
        <v>-10</v>
      </c>
      <c r="AH285" s="113">
        <f t="shared" si="54"/>
        <v>-16.9985</v>
      </c>
      <c r="AI285" s="116">
        <f>-IFERROR(IF($Y285=1,INDEX('[1]REMOVAL FEES'!$A$1:$C$22,MATCH(CONCATENATE("Standard Size",$P285),'[1]REMOVAL FEES'!$A$1:$A$22,0),3),IF($Y285=2,IF($P285&gt;10,(($P285-10)*1.06)+INDEX('[1]REMOVAL FEES'!$E$1:$G$22,MATCH(CONCATENATE("Large bulky, extra-large and special handling items",IF($P285&gt;=11,11,$P285)),'[1]REMOVAL FEES'!$E$1:$E$13,0),3),INDEX('[1]REMOVAL FEES'!$E$1:$G$22,MATCH(CONCATENATE("Large bulky, extra-large and special handling items",IF($P285&gt;=11,11,$P285)),'[1]REMOVAL FEES'!$E$1:$E$13,0),3))))*$AA285,FALSE)</f>
        <v>-13.490000000000002</v>
      </c>
      <c r="AJ285" s="107">
        <f t="shared" si="55"/>
        <v>-30.488500000000002</v>
      </c>
      <c r="AK285" s="107">
        <v>-33.610000000000007</v>
      </c>
      <c r="AL285" s="107">
        <v>-6.4325000000000019</v>
      </c>
      <c r="AM285" s="107">
        <f t="shared" si="56"/>
        <v>-40.042500000000011</v>
      </c>
      <c r="AN285" s="116">
        <f>(-IF($V285="Yes", IF($X285="Yes", VLOOKUP($W285, '[1]Storage Fees'!A:M, 13, FALSE), VLOOKUP($W285, '[1]Storage Fees'!A:M, 10, FALSE)), IF($X285="Yes", VLOOKUP($W285, '[1]Storage Fees'!A:M, 7, FALSE), VLOOKUP($W285, '[1]Storage Fees'!A:M, 4, FALSE))) * U285)*1.5</f>
        <v>-1.6605555555555556</v>
      </c>
    </row>
    <row r="286" spans="1:40" x14ac:dyDescent="0.25">
      <c r="A286" s="99">
        <v>214</v>
      </c>
      <c r="B286" s="99" t="s">
        <v>13705</v>
      </c>
      <c r="C286" s="99" t="s">
        <v>13655</v>
      </c>
      <c r="D286" s="99" t="s">
        <v>823</v>
      </c>
      <c r="E286" s="99" t="s">
        <v>278</v>
      </c>
      <c r="F286" s="99" t="s">
        <v>821</v>
      </c>
      <c r="G286" s="99" t="s">
        <v>13695</v>
      </c>
      <c r="H286" s="99">
        <v>12</v>
      </c>
      <c r="I286" s="99">
        <v>12</v>
      </c>
      <c r="J286" s="99">
        <v>9</v>
      </c>
      <c r="K286" s="101" t="str">
        <f t="shared" si="44"/>
        <v>12x12x9</v>
      </c>
      <c r="L286" s="102">
        <f t="shared" si="45"/>
        <v>9.3237410071942453</v>
      </c>
      <c r="M286" s="113">
        <f t="shared" si="46"/>
        <v>9.3237410071942453</v>
      </c>
      <c r="N286" s="113">
        <f t="shared" si="47"/>
        <v>10</v>
      </c>
      <c r="O286" s="99">
        <v>8.1875</v>
      </c>
      <c r="P286" s="113">
        <f t="shared" si="48"/>
        <v>10</v>
      </c>
      <c r="Q286" s="112">
        <f t="shared" si="49"/>
        <v>160</v>
      </c>
      <c r="R286" s="112" t="str">
        <f t="shared" si="50"/>
        <v>Oversize</v>
      </c>
      <c r="S286" s="99" t="str">
        <f t="shared" si="51"/>
        <v>Large bulky</v>
      </c>
      <c r="T286" s="116" t="s">
        <v>13692</v>
      </c>
      <c r="U286" s="116">
        <f t="shared" si="52"/>
        <v>0.75</v>
      </c>
      <c r="V286" s="116" t="s">
        <v>13583</v>
      </c>
      <c r="W286" s="116" t="s">
        <v>13690</v>
      </c>
      <c r="X286" s="116" t="s">
        <v>13691</v>
      </c>
      <c r="Y286" s="116">
        <v>2</v>
      </c>
      <c r="Z286" s="116">
        <v>3</v>
      </c>
      <c r="AA286" s="116">
        <v>1</v>
      </c>
      <c r="AB286" s="99"/>
      <c r="AC286" s="99"/>
      <c r="AD286" s="107">
        <v>0</v>
      </c>
      <c r="AE286" s="113">
        <f t="shared" si="53"/>
        <v>0</v>
      </c>
      <c r="AF286" s="116">
        <f>-IFERROR(IFERROR(VLOOKUP(ROUNDUP($Q286,0),'FBA FEES'!$L$2:$Q$203,MATCH($S286,'FBA FEES'!$L$2:$Q$2,0),FALSE),VLOOKUP(ROUNDUP($Q286,0),'FBA FEES'!$C$6:$F$123,MATCH($S286,'FBA FEES'!$C$6:$F$6,0),FALSE)),0)</f>
        <v>-13.03</v>
      </c>
      <c r="AG286" s="116">
        <v>-10</v>
      </c>
      <c r="AH286" s="113">
        <f t="shared" si="54"/>
        <v>-13.03</v>
      </c>
      <c r="AI286" s="116">
        <f>-IFERROR(IF($Y286=1,INDEX('[1]REMOVAL FEES'!$A$1:$C$22,MATCH(CONCATENATE("Standard Size",$P286),'[1]REMOVAL FEES'!$A$1:$A$22,0),3),IF($Y286=2,IF($P286&gt;10,(($P286-10)*1.06)+INDEX('[1]REMOVAL FEES'!$E$1:$G$22,MATCH(CONCATENATE("Large bulky, extra-large and special handling items",IF($P286&gt;=11,11,$P286)),'[1]REMOVAL FEES'!$E$1:$E$13,0),3),INDEX('[1]REMOVAL FEES'!$E$1:$G$22,MATCH(CONCATENATE("Large bulky, extra-large and special handling items",IF($P286&gt;=11,11,$P286)),'[1]REMOVAL FEES'!$E$1:$E$13,0),3))))*$AA286,FALSE)</f>
        <v>-10.039999999999999</v>
      </c>
      <c r="AJ286" s="107">
        <f t="shared" si="55"/>
        <v>-23.07</v>
      </c>
      <c r="AK286" s="107">
        <v>0</v>
      </c>
      <c r="AL286" s="107">
        <v>0</v>
      </c>
      <c r="AM286" s="107">
        <f t="shared" si="56"/>
        <v>0</v>
      </c>
      <c r="AN286" s="116">
        <f>(-IF($V286="Yes", IF($X286="Yes", VLOOKUP($W286, '[1]Storage Fees'!A:M, 13, FALSE), VLOOKUP($W286, '[1]Storage Fees'!A:M, 10, FALSE)), IF($X286="Yes", VLOOKUP($W286, '[1]Storage Fees'!A:M, 7, FALSE), VLOOKUP($W286, '[1]Storage Fees'!A:M, 4, FALSE))) * U286)*1.5</f>
        <v>-0.88875000000000004</v>
      </c>
    </row>
    <row r="287" spans="1:40" x14ac:dyDescent="0.25">
      <c r="A287" s="99">
        <v>215</v>
      </c>
      <c r="B287" s="99"/>
      <c r="C287" s="99" t="s">
        <v>13655</v>
      </c>
      <c r="D287" s="99"/>
      <c r="E287" s="99" t="s">
        <v>278</v>
      </c>
      <c r="F287" s="99" t="s">
        <v>1665</v>
      </c>
      <c r="G287" s="99" t="s">
        <v>13695</v>
      </c>
      <c r="H287" s="99">
        <v>0</v>
      </c>
      <c r="I287" s="99">
        <v>0</v>
      </c>
      <c r="J287" s="99">
        <v>0</v>
      </c>
      <c r="K287" s="101" t="str">
        <f t="shared" si="44"/>
        <v>0x0x0</v>
      </c>
      <c r="L287" s="102">
        <f t="shared" si="45"/>
        <v>0</v>
      </c>
      <c r="M287" s="113">
        <f t="shared" si="46"/>
        <v>0</v>
      </c>
      <c r="N287" s="113">
        <f t="shared" si="47"/>
        <v>0</v>
      </c>
      <c r="O287" s="99">
        <v>0</v>
      </c>
      <c r="P287" s="113">
        <f t="shared" si="48"/>
        <v>0</v>
      </c>
      <c r="Q287" s="112">
        <f t="shared" si="49"/>
        <v>0</v>
      </c>
      <c r="R287" s="112" t="str">
        <f t="shared" si="50"/>
        <v>Standard-size</v>
      </c>
      <c r="S287" s="99" t="str">
        <f t="shared" si="51"/>
        <v>Small standard-size</v>
      </c>
      <c r="T287" s="116" t="s">
        <v>13696</v>
      </c>
      <c r="U287" s="116">
        <f t="shared" si="52"/>
        <v>0</v>
      </c>
      <c r="V287" s="116" t="s">
        <v>13583</v>
      </c>
      <c r="W287" s="116" t="s">
        <v>13690</v>
      </c>
      <c r="X287" s="99" t="s">
        <v>13583</v>
      </c>
      <c r="Y287" s="99">
        <v>1</v>
      </c>
      <c r="Z287" s="99">
        <v>1</v>
      </c>
      <c r="AA287" s="99">
        <v>1</v>
      </c>
      <c r="AB287" s="99"/>
      <c r="AC287" s="99"/>
      <c r="AD287" s="107">
        <v>55.856666666666669</v>
      </c>
      <c r="AE287" s="113">
        <f t="shared" si="53"/>
        <v>-8.3785000000000007</v>
      </c>
      <c r="AF287" s="116">
        <f>-IFERROR(IFERROR(VLOOKUP(ROUNDUP($Q287,0),'FBA FEES'!$L$2:$Q$203,MATCH($S287,'FBA FEES'!$L$2:$Q$2,0),FALSE),VLOOKUP(ROUNDUP($Q287,0),'FBA FEES'!$C$6:$F$123,MATCH($S287,'FBA FEES'!$C$6:$F$6,0),FALSE)),0)</f>
        <v>0</v>
      </c>
      <c r="AG287" s="116">
        <v>-10</v>
      </c>
      <c r="AH287" s="113">
        <f t="shared" si="54"/>
        <v>-8.3785000000000007</v>
      </c>
      <c r="AI287" s="116">
        <f>-IFERROR(IF($Y287=1,INDEX('[1]REMOVAL FEES'!$A$1:$C$22,MATCH(CONCATENATE("Standard Size",$P287),'[1]REMOVAL FEES'!$A$1:$A$22,0),3),IF($Y287=2,IF($P287&gt;10,(($P287-10)*1.06)+INDEX('[1]REMOVAL FEES'!$E$1:$G$22,MATCH(CONCATENATE("Large bulky, extra-large and special handling items",IF($P287&gt;=11,11,$P287)),'[1]REMOVAL FEES'!$E$1:$E$13,0),3),INDEX('[1]REMOVAL FEES'!$E$1:$G$22,MATCH(CONCATENATE("Large bulky, extra-large and special handling items",IF($P287&gt;=11,11,$P287)),'[1]REMOVAL FEES'!$E$1:$E$13,0),3))))*$AA287,FALSE)</f>
        <v>0</v>
      </c>
      <c r="AJ287" s="107">
        <f t="shared" si="55"/>
        <v>-8.3785000000000007</v>
      </c>
      <c r="AK287" s="107">
        <v>-22.009999999999991</v>
      </c>
      <c r="AL287" s="107">
        <v>-7.8415277777777739</v>
      </c>
      <c r="AM287" s="107">
        <f t="shared" si="56"/>
        <v>-29.851527777777765</v>
      </c>
      <c r="AN287" s="116">
        <f>(-IF($V287="Yes", IF($X287="Yes", VLOOKUP($W287, '[1]Storage Fees'!A:M, 13, FALSE), VLOOKUP($W287, '[1]Storage Fees'!A:M, 10, FALSE)), IF($X287="Yes", VLOOKUP($W287, '[1]Storage Fees'!A:M, 7, FALSE), VLOOKUP($W287, '[1]Storage Fees'!A:M, 4, FALSE))) * U287)*1.5</f>
        <v>0</v>
      </c>
    </row>
    <row r="288" spans="1:40" x14ac:dyDescent="0.25">
      <c r="A288" s="99">
        <v>216</v>
      </c>
      <c r="B288" s="99" t="s">
        <v>283</v>
      </c>
      <c r="C288" s="99" t="s">
        <v>13655</v>
      </c>
      <c r="D288" s="99" t="s">
        <v>714</v>
      </c>
      <c r="E288" s="99" t="s">
        <v>278</v>
      </c>
      <c r="F288" s="99" t="s">
        <v>825</v>
      </c>
      <c r="G288" s="99" t="s">
        <v>13695</v>
      </c>
      <c r="H288" s="99">
        <v>34</v>
      </c>
      <c r="I288" s="99">
        <v>10</v>
      </c>
      <c r="J288" s="99">
        <v>6</v>
      </c>
      <c r="K288" s="101" t="str">
        <f t="shared" si="44"/>
        <v>34x10x6</v>
      </c>
      <c r="L288" s="102">
        <f t="shared" si="45"/>
        <v>14.676258992805755</v>
      </c>
      <c r="M288" s="113">
        <f t="shared" si="46"/>
        <v>14.676258992805755</v>
      </c>
      <c r="N288" s="113">
        <f t="shared" si="47"/>
        <v>15</v>
      </c>
      <c r="O288" s="99">
        <v>10</v>
      </c>
      <c r="P288" s="113">
        <f t="shared" si="48"/>
        <v>15</v>
      </c>
      <c r="Q288" s="112">
        <f t="shared" si="49"/>
        <v>240</v>
      </c>
      <c r="R288" s="112" t="str">
        <f t="shared" si="50"/>
        <v>Oversize</v>
      </c>
      <c r="S288" s="99" t="str">
        <f t="shared" si="51"/>
        <v>Large bulky</v>
      </c>
      <c r="T288" s="116" t="s">
        <v>13692</v>
      </c>
      <c r="U288" s="116">
        <f t="shared" si="52"/>
        <v>1.1805555555555556</v>
      </c>
      <c r="V288" s="116" t="s">
        <v>13583</v>
      </c>
      <c r="W288" s="116" t="s">
        <v>13690</v>
      </c>
      <c r="X288" s="116" t="s">
        <v>13691</v>
      </c>
      <c r="Y288" s="116">
        <v>2</v>
      </c>
      <c r="Z288" s="116">
        <v>3</v>
      </c>
      <c r="AA288" s="116">
        <v>1</v>
      </c>
      <c r="AB288" s="99"/>
      <c r="AC288" s="99"/>
      <c r="AD288" s="107">
        <v>61.073571428571427</v>
      </c>
      <c r="AE288" s="113">
        <f t="shared" si="53"/>
        <v>-9.1610357142857133</v>
      </c>
      <c r="AF288" s="116">
        <f>-IFERROR(IFERROR(VLOOKUP(ROUNDUP($Q288,0),'FBA FEES'!$L$2:$Q$203,MATCH($S288,'FBA FEES'!$L$2:$Q$2,0),FALSE),VLOOKUP(ROUNDUP($Q288,0),'FBA FEES'!$C$6:$F$123,MATCH($S288,'FBA FEES'!$C$6:$F$6,0),FALSE)),0)</f>
        <v>-14.93</v>
      </c>
      <c r="AG288" s="116">
        <v>-10</v>
      </c>
      <c r="AH288" s="113">
        <f t="shared" si="54"/>
        <v>-24.091035714285713</v>
      </c>
      <c r="AI288" s="116">
        <f>-IFERROR(IF($Y288=1,INDEX('[1]REMOVAL FEES'!$A$1:$C$22,MATCH(CONCATENATE("Standard Size",$P288),'[1]REMOVAL FEES'!$A$1:$A$22,0),3),IF($Y288=2,IF($P288&gt;10,(($P288-10)*1.06)+INDEX('[1]REMOVAL FEES'!$E$1:$G$22,MATCH(CONCATENATE("Large bulky, extra-large and special handling items",IF($P288&gt;=11,11,$P288)),'[1]REMOVAL FEES'!$E$1:$E$13,0),3),INDEX('[1]REMOVAL FEES'!$E$1:$G$22,MATCH(CONCATENATE("Large bulky, extra-large and special handling items",IF($P288&gt;=11,11,$P288)),'[1]REMOVAL FEES'!$E$1:$E$13,0),3))))*$AA288,FALSE)</f>
        <v>-19.62</v>
      </c>
      <c r="AJ288" s="107">
        <f t="shared" si="55"/>
        <v>-43.711035714285714</v>
      </c>
      <c r="AK288" s="107">
        <v>-21.95</v>
      </c>
      <c r="AL288" s="107">
        <v>-7.5471611237087446</v>
      </c>
      <c r="AM288" s="107">
        <f t="shared" si="56"/>
        <v>-29.497161123708743</v>
      </c>
      <c r="AN288" s="116">
        <f>(-IF($V288="Yes", IF($X288="Yes", VLOOKUP($W288, '[1]Storage Fees'!A:M, 13, FALSE), VLOOKUP($W288, '[1]Storage Fees'!A:M, 10, FALSE)), IF($X288="Yes", VLOOKUP($W288, '[1]Storage Fees'!A:M, 7, FALSE), VLOOKUP($W288, '[1]Storage Fees'!A:M, 4, FALSE))) * U288)*1.5</f>
        <v>-1.3989583333333333</v>
      </c>
    </row>
    <row r="289" spans="1:40" x14ac:dyDescent="0.25">
      <c r="A289" s="99">
        <v>217</v>
      </c>
      <c r="B289" s="99" t="s">
        <v>283</v>
      </c>
      <c r="C289" s="99" t="s">
        <v>13655</v>
      </c>
      <c r="D289" s="99" t="s">
        <v>714</v>
      </c>
      <c r="E289" s="99" t="s">
        <v>278</v>
      </c>
      <c r="F289" s="99" t="s">
        <v>828</v>
      </c>
      <c r="G289" s="99" t="s">
        <v>13695</v>
      </c>
      <c r="H289" s="99">
        <v>34</v>
      </c>
      <c r="I289" s="99">
        <v>11</v>
      </c>
      <c r="J289" s="99">
        <v>7</v>
      </c>
      <c r="K289" s="101" t="str">
        <f t="shared" si="44"/>
        <v>34x11x7</v>
      </c>
      <c r="L289" s="102">
        <f t="shared" si="45"/>
        <v>18.834532374100718</v>
      </c>
      <c r="M289" s="113">
        <f t="shared" si="46"/>
        <v>18.834532374100718</v>
      </c>
      <c r="N289" s="113">
        <f t="shared" si="47"/>
        <v>19</v>
      </c>
      <c r="O289" s="99">
        <v>11</v>
      </c>
      <c r="P289" s="113">
        <f t="shared" si="48"/>
        <v>19</v>
      </c>
      <c r="Q289" s="112">
        <f t="shared" si="49"/>
        <v>304</v>
      </c>
      <c r="R289" s="112" t="str">
        <f t="shared" si="50"/>
        <v>Oversize</v>
      </c>
      <c r="S289" s="99" t="str">
        <f t="shared" si="51"/>
        <v>Large bulky</v>
      </c>
      <c r="T289" s="116" t="s">
        <v>13692</v>
      </c>
      <c r="U289" s="116">
        <f t="shared" si="52"/>
        <v>1.5150462962962963</v>
      </c>
      <c r="V289" s="116" t="s">
        <v>13583</v>
      </c>
      <c r="W289" s="116" t="s">
        <v>13690</v>
      </c>
      <c r="X289" s="116" t="s">
        <v>13691</v>
      </c>
      <c r="Y289" s="116">
        <v>2</v>
      </c>
      <c r="Z289" s="116">
        <v>3</v>
      </c>
      <c r="AA289" s="116">
        <v>1</v>
      </c>
      <c r="AB289" s="99"/>
      <c r="AC289" s="99"/>
      <c r="AD289" s="107">
        <v>66.418873239436522</v>
      </c>
      <c r="AE289" s="113">
        <f t="shared" si="53"/>
        <v>-9.9628309859154776</v>
      </c>
      <c r="AF289" s="116">
        <f>-IFERROR(IFERROR(VLOOKUP(ROUNDUP($Q289,0),'FBA FEES'!$L$2:$Q$203,MATCH($S289,'FBA FEES'!$L$2:$Q$2,0),FALSE),VLOOKUP(ROUNDUP($Q289,0),'FBA FEES'!$C$6:$F$123,MATCH($S289,'FBA FEES'!$C$6:$F$6,0),FALSE)),0)</f>
        <v>-16.45</v>
      </c>
      <c r="AG289" s="116">
        <v>-10</v>
      </c>
      <c r="AH289" s="113">
        <f t="shared" si="54"/>
        <v>-26.412830985915477</v>
      </c>
      <c r="AI289" s="116">
        <f>-IFERROR(IF($Y289=1,INDEX('[1]REMOVAL FEES'!$A$1:$C$22,MATCH(CONCATENATE("Standard Size",$P289),'[1]REMOVAL FEES'!$A$1:$A$22,0),3),IF($Y289=2,IF($P289&gt;10,(($P289-10)*1.06)+INDEX('[1]REMOVAL FEES'!$E$1:$G$22,MATCH(CONCATENATE("Large bulky, extra-large and special handling items",IF($P289&gt;=11,11,$P289)),'[1]REMOVAL FEES'!$E$1:$E$13,0),3),INDEX('[1]REMOVAL FEES'!$E$1:$G$22,MATCH(CONCATENATE("Large bulky, extra-large and special handling items",IF($P289&gt;=11,11,$P289)),'[1]REMOVAL FEES'!$E$1:$E$13,0),3))))*$AA289,FALSE)</f>
        <v>-23.86</v>
      </c>
      <c r="AJ289" s="107">
        <f t="shared" si="55"/>
        <v>-50.272830985915476</v>
      </c>
      <c r="AK289" s="107">
        <v>-21.839999999999979</v>
      </c>
      <c r="AL289" s="107">
        <v>-7.2579179903479849</v>
      </c>
      <c r="AM289" s="107">
        <f t="shared" si="56"/>
        <v>-29.097917990347963</v>
      </c>
      <c r="AN289" s="116">
        <f>(-IF($V289="Yes", IF($X289="Yes", VLOOKUP($W289, '[1]Storage Fees'!A:M, 13, FALSE), VLOOKUP($W289, '[1]Storage Fees'!A:M, 10, FALSE)), IF($X289="Yes", VLOOKUP($W289, '[1]Storage Fees'!A:M, 7, FALSE), VLOOKUP($W289, '[1]Storage Fees'!A:M, 4, FALSE))) * U289)*1.5</f>
        <v>-1.7953298611111113</v>
      </c>
    </row>
    <row r="290" spans="1:40" x14ac:dyDescent="0.25">
      <c r="A290" s="99">
        <v>218</v>
      </c>
      <c r="B290" s="99"/>
      <c r="C290" s="99" t="s">
        <v>13655</v>
      </c>
      <c r="D290" s="99"/>
      <c r="E290" s="99" t="s">
        <v>278</v>
      </c>
      <c r="F290" s="99" t="s">
        <v>1667</v>
      </c>
      <c r="G290" s="99" t="s">
        <v>13695</v>
      </c>
      <c r="H290" s="99">
        <v>0</v>
      </c>
      <c r="I290" s="99">
        <v>0</v>
      </c>
      <c r="J290" s="99">
        <v>0</v>
      </c>
      <c r="K290" s="101" t="str">
        <f t="shared" si="44"/>
        <v>0x0x0</v>
      </c>
      <c r="L290" s="102">
        <f t="shared" si="45"/>
        <v>0</v>
      </c>
      <c r="M290" s="113">
        <f t="shared" si="46"/>
        <v>0</v>
      </c>
      <c r="N290" s="113">
        <f t="shared" si="47"/>
        <v>0</v>
      </c>
      <c r="O290" s="99">
        <v>0</v>
      </c>
      <c r="P290" s="113">
        <f t="shared" si="48"/>
        <v>0</v>
      </c>
      <c r="Q290" s="112">
        <f t="shared" si="49"/>
        <v>0</v>
      </c>
      <c r="R290" s="112" t="str">
        <f t="shared" si="50"/>
        <v>Standard-size</v>
      </c>
      <c r="S290" s="99" t="str">
        <f t="shared" si="51"/>
        <v>Small standard-size</v>
      </c>
      <c r="T290" s="116" t="s">
        <v>13696</v>
      </c>
      <c r="U290" s="116">
        <f t="shared" si="52"/>
        <v>0</v>
      </c>
      <c r="V290" s="116" t="s">
        <v>13583</v>
      </c>
      <c r="W290" s="116" t="s">
        <v>13690</v>
      </c>
      <c r="X290" s="99" t="s">
        <v>13583</v>
      </c>
      <c r="Y290" s="99">
        <v>1</v>
      </c>
      <c r="Z290" s="99">
        <v>1</v>
      </c>
      <c r="AA290" s="99">
        <v>1</v>
      </c>
      <c r="AB290" s="99"/>
      <c r="AC290" s="99"/>
      <c r="AD290" s="107">
        <v>0</v>
      </c>
      <c r="AE290" s="113">
        <f t="shared" si="53"/>
        <v>0</v>
      </c>
      <c r="AF290" s="116">
        <f>-IFERROR(IFERROR(VLOOKUP(ROUNDUP($Q290,0),'FBA FEES'!$L$2:$Q$203,MATCH($S290,'FBA FEES'!$L$2:$Q$2,0),FALSE),VLOOKUP(ROUNDUP($Q290,0),'FBA FEES'!$C$6:$F$123,MATCH($S290,'FBA FEES'!$C$6:$F$6,0),FALSE)),0)</f>
        <v>0</v>
      </c>
      <c r="AG290" s="116">
        <v>-10</v>
      </c>
      <c r="AH290" s="113">
        <f t="shared" si="54"/>
        <v>0</v>
      </c>
      <c r="AI290" s="116">
        <f>-IFERROR(IF($Y290=1,INDEX('[1]REMOVAL FEES'!$A$1:$C$22,MATCH(CONCATENATE("Standard Size",$P290),'[1]REMOVAL FEES'!$A$1:$A$22,0),3),IF($Y290=2,IF($P290&gt;10,(($P290-10)*1.06)+INDEX('[1]REMOVAL FEES'!$E$1:$G$22,MATCH(CONCATENATE("Large bulky, extra-large and special handling items",IF($P290&gt;=11,11,$P290)),'[1]REMOVAL FEES'!$E$1:$E$13,0),3),INDEX('[1]REMOVAL FEES'!$E$1:$G$22,MATCH(CONCATENATE("Large bulky, extra-large and special handling items",IF($P290&gt;=11,11,$P290)),'[1]REMOVAL FEES'!$E$1:$E$13,0),3))))*$AA290,FALSE)</f>
        <v>0</v>
      </c>
      <c r="AJ290" s="107">
        <f t="shared" si="55"/>
        <v>0</v>
      </c>
      <c r="AK290" s="107">
        <v>0</v>
      </c>
      <c r="AL290" s="107">
        <v>0</v>
      </c>
      <c r="AM290" s="107">
        <f t="shared" si="56"/>
        <v>0</v>
      </c>
      <c r="AN290" s="116">
        <f>(-IF($V290="Yes", IF($X290="Yes", VLOOKUP($W290, '[1]Storage Fees'!A:M, 13, FALSE), VLOOKUP($W290, '[1]Storage Fees'!A:M, 10, FALSE)), IF($X290="Yes", VLOOKUP($W290, '[1]Storage Fees'!A:M, 7, FALSE), VLOOKUP($W290, '[1]Storage Fees'!A:M, 4, FALSE))) * U290)*1.5</f>
        <v>0</v>
      </c>
    </row>
    <row r="291" spans="1:40" x14ac:dyDescent="0.25">
      <c r="A291" s="99">
        <v>219</v>
      </c>
      <c r="B291" s="99" t="s">
        <v>13705</v>
      </c>
      <c r="C291" s="99" t="s">
        <v>13655</v>
      </c>
      <c r="D291" s="99" t="s">
        <v>833</v>
      </c>
      <c r="E291" s="99" t="s">
        <v>278</v>
      </c>
      <c r="F291" s="99" t="s">
        <v>831</v>
      </c>
      <c r="G291" s="99" t="s">
        <v>13695</v>
      </c>
      <c r="H291" s="99">
        <v>20</v>
      </c>
      <c r="I291" s="99">
        <v>11</v>
      </c>
      <c r="J291" s="99">
        <v>3</v>
      </c>
      <c r="K291" s="101" t="str">
        <f t="shared" si="44"/>
        <v>20x11x3</v>
      </c>
      <c r="L291" s="102">
        <f t="shared" si="45"/>
        <v>4.7482014388489207</v>
      </c>
      <c r="M291" s="113">
        <f t="shared" si="46"/>
        <v>4.7482014388489207</v>
      </c>
      <c r="N291" s="113">
        <f t="shared" si="47"/>
        <v>5</v>
      </c>
      <c r="O291" s="99">
        <v>14</v>
      </c>
      <c r="P291" s="113">
        <f t="shared" si="48"/>
        <v>14</v>
      </c>
      <c r="Q291" s="112">
        <f t="shared" si="49"/>
        <v>224</v>
      </c>
      <c r="R291" s="112" t="str">
        <f t="shared" si="50"/>
        <v>Oversize</v>
      </c>
      <c r="S291" s="99" t="str">
        <f t="shared" si="51"/>
        <v>Large bulky</v>
      </c>
      <c r="T291" s="116" t="s">
        <v>13692</v>
      </c>
      <c r="U291" s="116">
        <f t="shared" si="52"/>
        <v>0.38194444444444442</v>
      </c>
      <c r="V291" s="116" t="s">
        <v>13583</v>
      </c>
      <c r="W291" s="116" t="s">
        <v>13690</v>
      </c>
      <c r="X291" s="116" t="s">
        <v>13691</v>
      </c>
      <c r="Y291" s="116">
        <v>2</v>
      </c>
      <c r="Z291" s="116">
        <v>3</v>
      </c>
      <c r="AA291" s="116">
        <v>1</v>
      </c>
      <c r="AB291" s="99"/>
      <c r="AC291" s="99"/>
      <c r="AD291" s="107">
        <v>0</v>
      </c>
      <c r="AE291" s="113">
        <f t="shared" si="53"/>
        <v>0</v>
      </c>
      <c r="AF291" s="116">
        <f>-IFERROR(IFERROR(VLOOKUP(ROUNDUP($Q291,0),'FBA FEES'!$L$2:$Q$203,MATCH($S291,'FBA FEES'!$L$2:$Q$2,0),FALSE),VLOOKUP(ROUNDUP($Q291,0),'FBA FEES'!$C$6:$F$123,MATCH($S291,'FBA FEES'!$C$6:$F$6,0),FALSE)),0)</f>
        <v>-14.55</v>
      </c>
      <c r="AG291" s="116">
        <v>-10</v>
      </c>
      <c r="AH291" s="113">
        <f t="shared" si="54"/>
        <v>-14.55</v>
      </c>
      <c r="AI291" s="116">
        <f>-IFERROR(IF($Y291=1,INDEX('[1]REMOVAL FEES'!$A$1:$C$22,MATCH(CONCATENATE("Standard Size",$P291),'[1]REMOVAL FEES'!$A$1:$A$22,0),3),IF($Y291=2,IF($P291&gt;10,(($P291-10)*1.06)+INDEX('[1]REMOVAL FEES'!$E$1:$G$22,MATCH(CONCATENATE("Large bulky, extra-large and special handling items",IF($P291&gt;=11,11,$P291)),'[1]REMOVAL FEES'!$E$1:$E$13,0),3),INDEX('[1]REMOVAL FEES'!$E$1:$G$22,MATCH(CONCATENATE("Large bulky, extra-large and special handling items",IF($P291&gt;=11,11,$P291)),'[1]REMOVAL FEES'!$E$1:$E$13,0),3))))*$AA291,FALSE)</f>
        <v>-18.560000000000002</v>
      </c>
      <c r="AJ291" s="107">
        <f t="shared" si="55"/>
        <v>-33.11</v>
      </c>
      <c r="AK291" s="107">
        <v>0</v>
      </c>
      <c r="AL291" s="107">
        <v>0</v>
      </c>
      <c r="AM291" s="107">
        <f t="shared" si="56"/>
        <v>0</v>
      </c>
      <c r="AN291" s="116">
        <f>(-IF($V291="Yes", IF($X291="Yes", VLOOKUP($W291, '[1]Storage Fees'!A:M, 13, FALSE), VLOOKUP($W291, '[1]Storage Fees'!A:M, 10, FALSE)), IF($X291="Yes", VLOOKUP($W291, '[1]Storage Fees'!A:M, 7, FALSE), VLOOKUP($W291, '[1]Storage Fees'!A:M, 4, FALSE))) * U291)*1.5</f>
        <v>-0.45260416666666664</v>
      </c>
    </row>
    <row r="292" spans="1:40" x14ac:dyDescent="0.25">
      <c r="A292" s="99">
        <v>220</v>
      </c>
      <c r="B292" s="99" t="s">
        <v>283</v>
      </c>
      <c r="C292" s="99" t="s">
        <v>13655</v>
      </c>
      <c r="D292" s="99" t="s">
        <v>714</v>
      </c>
      <c r="E292" s="99" t="s">
        <v>278</v>
      </c>
      <c r="F292" s="99" t="s">
        <v>835</v>
      </c>
      <c r="G292" s="99" t="s">
        <v>13695</v>
      </c>
      <c r="H292" s="99">
        <v>10</v>
      </c>
      <c r="I292" s="99">
        <v>4</v>
      </c>
      <c r="J292" s="99">
        <v>1</v>
      </c>
      <c r="K292" s="101" t="str">
        <f t="shared" si="44"/>
        <v>10x4x1</v>
      </c>
      <c r="L292" s="102">
        <f t="shared" si="45"/>
        <v>0.28776978417266186</v>
      </c>
      <c r="M292" s="113">
        <f t="shared" si="46"/>
        <v>0.28776978417266186</v>
      </c>
      <c r="N292" s="113">
        <f t="shared" si="47"/>
        <v>0.5</v>
      </c>
      <c r="O292" s="99">
        <v>2.875</v>
      </c>
      <c r="P292" s="113">
        <f t="shared" si="48"/>
        <v>3</v>
      </c>
      <c r="Q292" s="112">
        <f t="shared" si="49"/>
        <v>48</v>
      </c>
      <c r="R292" s="112" t="str">
        <f t="shared" si="50"/>
        <v>Standard-size</v>
      </c>
      <c r="S292" s="99" t="str">
        <f t="shared" si="51"/>
        <v>Large standard-size</v>
      </c>
      <c r="T292" s="116" t="s">
        <v>13701</v>
      </c>
      <c r="U292" s="116">
        <f t="shared" si="52"/>
        <v>2.3148148148148147E-2</v>
      </c>
      <c r="V292" s="116" t="s">
        <v>13583</v>
      </c>
      <c r="W292" s="116" t="s">
        <v>13690</v>
      </c>
      <c r="X292" s="99" t="s">
        <v>13583</v>
      </c>
      <c r="Y292" s="99">
        <v>1</v>
      </c>
      <c r="Z292" s="99">
        <v>2</v>
      </c>
      <c r="AA292" s="99">
        <v>1</v>
      </c>
      <c r="AB292" s="99"/>
      <c r="AC292" s="99"/>
      <c r="AD292" s="107">
        <v>0</v>
      </c>
      <c r="AE292" s="113">
        <f t="shared" si="53"/>
        <v>0</v>
      </c>
      <c r="AF292" s="116">
        <f>-IFERROR(IFERROR(VLOOKUP(ROUNDUP($Q292,0),'FBA FEES'!$L$2:$Q$203,MATCH($S292,'FBA FEES'!$L$2:$Q$2,0),FALSE),VLOOKUP(ROUNDUP($Q292,0),'FBA FEES'!$C$6:$F$123,MATCH($S292,'FBA FEES'!$C$6:$F$6,0),FALSE)),0)</f>
        <v>-6.62</v>
      </c>
      <c r="AG292" s="116">
        <v>-10</v>
      </c>
      <c r="AH292" s="113">
        <f t="shared" si="54"/>
        <v>-6.62</v>
      </c>
      <c r="AI292" s="116">
        <f>-IFERROR(IF($Y292=1,INDEX('[1]REMOVAL FEES'!$A$1:$C$22,MATCH(CONCATENATE("Standard Size",$P292),'[1]REMOVAL FEES'!$A$1:$A$22,0),3),IF($Y292=2,IF($P292&gt;10,(($P292-10)*1.06)+INDEX('[1]REMOVAL FEES'!$E$1:$G$22,MATCH(CONCATENATE("Large bulky, extra-large and special handling items",IF($P292&gt;=11,11,$P292)),'[1]REMOVAL FEES'!$E$1:$E$13,0),3),INDEX('[1]REMOVAL FEES'!$E$1:$G$22,MATCH(CONCATENATE("Large bulky, extra-large and special handling items",IF($P292&gt;=11,11,$P292)),'[1]REMOVAL FEES'!$E$1:$E$13,0),3))))*$AA292,FALSE)</f>
        <v>-3.95</v>
      </c>
      <c r="AJ292" s="107">
        <f t="shared" si="55"/>
        <v>-10.57</v>
      </c>
      <c r="AK292" s="107">
        <v>0</v>
      </c>
      <c r="AL292" s="107">
        <v>0</v>
      </c>
      <c r="AM292" s="107">
        <f t="shared" si="56"/>
        <v>0</v>
      </c>
      <c r="AN292" s="116">
        <f>(-IF($V292="Yes", IF($X292="Yes", VLOOKUP($W292, '[1]Storage Fees'!A:M, 13, FALSE), VLOOKUP($W292, '[1]Storage Fees'!A:M, 10, FALSE)), IF($X292="Yes", VLOOKUP($W292, '[1]Storage Fees'!A:M, 7, FALSE), VLOOKUP($W292, '[1]Storage Fees'!A:M, 4, FALSE))) * U292)*1.5</f>
        <v>-4.2361111111111113E-2</v>
      </c>
    </row>
    <row r="293" spans="1:40" x14ac:dyDescent="0.25">
      <c r="A293" s="99">
        <v>221</v>
      </c>
      <c r="B293" s="99"/>
      <c r="C293" s="99" t="s">
        <v>13655</v>
      </c>
      <c r="D293" s="99"/>
      <c r="E293" s="99" t="s">
        <v>278</v>
      </c>
      <c r="F293" s="99" t="s">
        <v>1669</v>
      </c>
      <c r="G293" s="99" t="s">
        <v>13695</v>
      </c>
      <c r="H293" s="99">
        <v>0</v>
      </c>
      <c r="I293" s="99">
        <v>0</v>
      </c>
      <c r="J293" s="99">
        <v>0</v>
      </c>
      <c r="K293" s="101" t="str">
        <f t="shared" si="44"/>
        <v>0x0x0</v>
      </c>
      <c r="L293" s="102">
        <f t="shared" si="45"/>
        <v>0</v>
      </c>
      <c r="M293" s="113">
        <f t="shared" si="46"/>
        <v>0</v>
      </c>
      <c r="N293" s="113">
        <f t="shared" si="47"/>
        <v>0</v>
      </c>
      <c r="O293" s="99">
        <v>0</v>
      </c>
      <c r="P293" s="113">
        <f t="shared" si="48"/>
        <v>0</v>
      </c>
      <c r="Q293" s="112">
        <f t="shared" si="49"/>
        <v>0</v>
      </c>
      <c r="R293" s="112" t="str">
        <f t="shared" si="50"/>
        <v>Standard-size</v>
      </c>
      <c r="S293" s="99" t="str">
        <f t="shared" si="51"/>
        <v>Small standard-size</v>
      </c>
      <c r="T293" s="116" t="s">
        <v>13696</v>
      </c>
      <c r="U293" s="116">
        <f t="shared" si="52"/>
        <v>0</v>
      </c>
      <c r="V293" s="116" t="s">
        <v>13583</v>
      </c>
      <c r="W293" s="116" t="s">
        <v>13690</v>
      </c>
      <c r="X293" s="99" t="s">
        <v>13583</v>
      </c>
      <c r="Y293" s="99">
        <v>1</v>
      </c>
      <c r="Z293" s="99">
        <v>1</v>
      </c>
      <c r="AA293" s="99">
        <v>1</v>
      </c>
      <c r="AB293" s="99"/>
      <c r="AC293" s="99"/>
      <c r="AD293" s="107">
        <v>0</v>
      </c>
      <c r="AE293" s="113">
        <f t="shared" si="53"/>
        <v>0</v>
      </c>
      <c r="AF293" s="116">
        <f>-IFERROR(IFERROR(VLOOKUP(ROUNDUP($Q293,0),'FBA FEES'!$L$2:$Q$203,MATCH($S293,'FBA FEES'!$L$2:$Q$2,0),FALSE),VLOOKUP(ROUNDUP($Q293,0),'FBA FEES'!$C$6:$F$123,MATCH($S293,'FBA FEES'!$C$6:$F$6,0),FALSE)),0)</f>
        <v>0</v>
      </c>
      <c r="AG293" s="116">
        <v>-10</v>
      </c>
      <c r="AH293" s="113">
        <f t="shared" si="54"/>
        <v>0</v>
      </c>
      <c r="AI293" s="116">
        <f>-IFERROR(IF($Y293=1,INDEX('[1]REMOVAL FEES'!$A$1:$C$22,MATCH(CONCATENATE("Standard Size",$P293),'[1]REMOVAL FEES'!$A$1:$A$22,0),3),IF($Y293=2,IF($P293&gt;10,(($P293-10)*1.06)+INDEX('[1]REMOVAL FEES'!$E$1:$G$22,MATCH(CONCATENATE("Large bulky, extra-large and special handling items",IF($P293&gt;=11,11,$P293)),'[1]REMOVAL FEES'!$E$1:$E$13,0),3),INDEX('[1]REMOVAL FEES'!$E$1:$G$22,MATCH(CONCATENATE("Large bulky, extra-large and special handling items",IF($P293&gt;=11,11,$P293)),'[1]REMOVAL FEES'!$E$1:$E$13,0),3))))*$AA293,FALSE)</f>
        <v>0</v>
      </c>
      <c r="AJ293" s="107">
        <f t="shared" si="55"/>
        <v>0</v>
      </c>
      <c r="AK293" s="107">
        <v>0</v>
      </c>
      <c r="AL293" s="107">
        <v>0</v>
      </c>
      <c r="AM293" s="107">
        <f t="shared" si="56"/>
        <v>0</v>
      </c>
      <c r="AN293" s="116">
        <f>(-IF($V293="Yes", IF($X293="Yes", VLOOKUP($W293, '[1]Storage Fees'!A:M, 13, FALSE), VLOOKUP($W293, '[1]Storage Fees'!A:M, 10, FALSE)), IF($X293="Yes", VLOOKUP($W293, '[1]Storage Fees'!A:M, 7, FALSE), VLOOKUP($W293, '[1]Storage Fees'!A:M, 4, FALSE))) * U293)*1.5</f>
        <v>0</v>
      </c>
    </row>
    <row r="294" spans="1:40" x14ac:dyDescent="0.25">
      <c r="A294" s="99">
        <v>222</v>
      </c>
      <c r="B294" s="99" t="s">
        <v>13705</v>
      </c>
      <c r="C294" s="99" t="s">
        <v>13655</v>
      </c>
      <c r="D294" s="99" t="s">
        <v>714</v>
      </c>
      <c r="E294" s="99" t="s">
        <v>278</v>
      </c>
      <c r="F294" s="99" t="s">
        <v>838</v>
      </c>
      <c r="G294" s="99" t="s">
        <v>13656</v>
      </c>
      <c r="H294" s="99">
        <v>24</v>
      </c>
      <c r="I294" s="99">
        <v>11</v>
      </c>
      <c r="J294" s="99">
        <v>2</v>
      </c>
      <c r="K294" s="101" t="str">
        <f t="shared" si="44"/>
        <v>24x11x2</v>
      </c>
      <c r="L294" s="102">
        <f t="shared" si="45"/>
        <v>3.7985611510791366</v>
      </c>
      <c r="M294" s="113">
        <f t="shared" si="46"/>
        <v>3.7985611510791366</v>
      </c>
      <c r="N294" s="113">
        <f t="shared" si="47"/>
        <v>4</v>
      </c>
      <c r="O294" s="99">
        <v>6</v>
      </c>
      <c r="P294" s="113">
        <f t="shared" si="48"/>
        <v>6</v>
      </c>
      <c r="Q294" s="112">
        <f t="shared" si="49"/>
        <v>96</v>
      </c>
      <c r="R294" s="112" t="str">
        <f t="shared" si="50"/>
        <v>Oversize</v>
      </c>
      <c r="S294" s="99" t="str">
        <f t="shared" si="51"/>
        <v>Large bulky</v>
      </c>
      <c r="T294" s="116" t="s">
        <v>13692</v>
      </c>
      <c r="U294" s="116">
        <f t="shared" si="52"/>
        <v>0.30555555555555558</v>
      </c>
      <c r="V294" s="116" t="s">
        <v>13583</v>
      </c>
      <c r="W294" s="116" t="s">
        <v>13690</v>
      </c>
      <c r="X294" s="116" t="s">
        <v>13691</v>
      </c>
      <c r="Y294" s="116">
        <v>2</v>
      </c>
      <c r="Z294" s="116">
        <v>3</v>
      </c>
      <c r="AA294" s="116">
        <v>1</v>
      </c>
      <c r="AB294" s="99"/>
      <c r="AC294" s="99"/>
      <c r="AD294" s="107">
        <v>48.500384615384633</v>
      </c>
      <c r="AE294" s="113">
        <f t="shared" si="53"/>
        <v>-7.2750576923076942</v>
      </c>
      <c r="AF294" s="116">
        <f>-IFERROR(IFERROR(VLOOKUP(ROUNDUP($Q294,0),'FBA FEES'!$L$2:$Q$203,MATCH($S294,'FBA FEES'!$L$2:$Q$2,0),FALSE),VLOOKUP(ROUNDUP($Q294,0),'FBA FEES'!$C$6:$F$123,MATCH($S294,'FBA FEES'!$C$6:$F$6,0),FALSE)),0)</f>
        <v>-11.51</v>
      </c>
      <c r="AG294" s="116">
        <v>-10</v>
      </c>
      <c r="AH294" s="113">
        <f t="shared" si="54"/>
        <v>-18.785057692307696</v>
      </c>
      <c r="AI294" s="116">
        <f>-IFERROR(IF($Y294=1,INDEX('[1]REMOVAL FEES'!$A$1:$C$22,MATCH(CONCATENATE("Standard Size",$P294),'[1]REMOVAL FEES'!$A$1:$A$22,0),3),IF($Y294=2,IF($P294&gt;10,(($P294-10)*1.06)+INDEX('[1]REMOVAL FEES'!$E$1:$G$22,MATCH(CONCATENATE("Large bulky, extra-large and special handling items",IF($P294&gt;=11,11,$P294)),'[1]REMOVAL FEES'!$E$1:$E$13,0),3),INDEX('[1]REMOVAL FEES'!$E$1:$G$22,MATCH(CONCATENATE("Large bulky, extra-large and special handling items",IF($P294&gt;=11,11,$P294)),'[1]REMOVAL FEES'!$E$1:$E$13,0),3))))*$AA294,FALSE)</f>
        <v>-10.039999999999999</v>
      </c>
      <c r="AJ294" s="107">
        <f t="shared" si="55"/>
        <v>-28.825057692307695</v>
      </c>
      <c r="AK294" s="107">
        <v>-26.940000000000019</v>
      </c>
      <c r="AL294" s="107">
        <v>-2.1674999999999991</v>
      </c>
      <c r="AM294" s="107">
        <f t="shared" si="56"/>
        <v>-29.107500000000019</v>
      </c>
      <c r="AN294" s="116">
        <f>(-IF($V294="Yes", IF($X294="Yes", VLOOKUP($W294, '[1]Storage Fees'!A:M, 13, FALSE), VLOOKUP($W294, '[1]Storage Fees'!A:M, 10, FALSE)), IF($X294="Yes", VLOOKUP($W294, '[1]Storage Fees'!A:M, 7, FALSE), VLOOKUP($W294, '[1]Storage Fees'!A:M, 4, FALSE))) * U294)*1.5</f>
        <v>-0.36208333333333342</v>
      </c>
    </row>
    <row r="295" spans="1:40" x14ac:dyDescent="0.25">
      <c r="A295" s="99">
        <v>223</v>
      </c>
      <c r="B295" s="99" t="s">
        <v>13705</v>
      </c>
      <c r="C295" s="99" t="s">
        <v>13655</v>
      </c>
      <c r="D295" s="99" t="s">
        <v>714</v>
      </c>
      <c r="E295" s="99" t="s">
        <v>278</v>
      </c>
      <c r="F295" s="99" t="s">
        <v>841</v>
      </c>
      <c r="G295" s="99" t="s">
        <v>13695</v>
      </c>
      <c r="H295" s="99">
        <v>26</v>
      </c>
      <c r="I295" s="99">
        <v>12</v>
      </c>
      <c r="J295" s="99">
        <v>3</v>
      </c>
      <c r="K295" s="101" t="str">
        <f t="shared" si="44"/>
        <v>26x12x3</v>
      </c>
      <c r="L295" s="102">
        <f t="shared" si="45"/>
        <v>6.7338129496402876</v>
      </c>
      <c r="M295" s="113">
        <f t="shared" si="46"/>
        <v>6.7338129496402876</v>
      </c>
      <c r="N295" s="113">
        <f t="shared" si="47"/>
        <v>7</v>
      </c>
      <c r="O295" s="99">
        <v>7</v>
      </c>
      <c r="P295" s="113">
        <f t="shared" si="48"/>
        <v>7</v>
      </c>
      <c r="Q295" s="112">
        <f t="shared" si="49"/>
        <v>112</v>
      </c>
      <c r="R295" s="112" t="str">
        <f t="shared" si="50"/>
        <v>Oversize</v>
      </c>
      <c r="S295" s="99" t="str">
        <f t="shared" si="51"/>
        <v>Large bulky</v>
      </c>
      <c r="T295" s="116" t="s">
        <v>13692</v>
      </c>
      <c r="U295" s="116">
        <f t="shared" si="52"/>
        <v>0.54166666666666663</v>
      </c>
      <c r="V295" s="116" t="s">
        <v>13583</v>
      </c>
      <c r="W295" s="116" t="s">
        <v>13690</v>
      </c>
      <c r="X295" s="116" t="s">
        <v>13691</v>
      </c>
      <c r="Y295" s="116">
        <v>2</v>
      </c>
      <c r="Z295" s="116">
        <v>3</v>
      </c>
      <c r="AA295" s="116">
        <v>1</v>
      </c>
      <c r="AB295" s="99"/>
      <c r="AC295" s="99"/>
      <c r="AD295" s="107">
        <v>53.56907692307685</v>
      </c>
      <c r="AE295" s="113">
        <f t="shared" si="53"/>
        <v>-8.0353615384615278</v>
      </c>
      <c r="AF295" s="116">
        <f>-IFERROR(IFERROR(VLOOKUP(ROUNDUP($Q295,0),'FBA FEES'!$L$2:$Q$203,MATCH($S295,'FBA FEES'!$L$2:$Q$2,0),FALSE),VLOOKUP(ROUNDUP($Q295,0),'FBA FEES'!$C$6:$F$123,MATCH($S295,'FBA FEES'!$C$6:$F$6,0),FALSE)),0)</f>
        <v>-11.89</v>
      </c>
      <c r="AG295" s="116">
        <v>-10</v>
      </c>
      <c r="AH295" s="113">
        <f t="shared" si="54"/>
        <v>-19.92536153846153</v>
      </c>
      <c r="AI295" s="116">
        <f>-IFERROR(IF($Y295=1,INDEX('[1]REMOVAL FEES'!$A$1:$C$22,MATCH(CONCATENATE("Standard Size",$P295),'[1]REMOVAL FEES'!$A$1:$A$22,0),3),IF($Y295=2,IF($P295&gt;10,(($P295-10)*1.06)+INDEX('[1]REMOVAL FEES'!$E$1:$G$22,MATCH(CONCATENATE("Large bulky, extra-large and special handling items",IF($P295&gt;=11,11,$P295)),'[1]REMOVAL FEES'!$E$1:$E$13,0),3),INDEX('[1]REMOVAL FEES'!$E$1:$G$22,MATCH(CONCATENATE("Large bulky, extra-large and special handling items",IF($P295&gt;=11,11,$P295)),'[1]REMOVAL FEES'!$E$1:$E$13,0),3))))*$AA295,FALSE)</f>
        <v>-10.039999999999999</v>
      </c>
      <c r="AJ295" s="107">
        <f t="shared" si="55"/>
        <v>-29.965361538461529</v>
      </c>
      <c r="AK295" s="107">
        <v>-29.230000000000011</v>
      </c>
      <c r="AL295" s="107">
        <v>-4.7947722410520797</v>
      </c>
      <c r="AM295" s="107">
        <f t="shared" si="56"/>
        <v>-34.024772241052091</v>
      </c>
      <c r="AN295" s="116">
        <f>(-IF($V295="Yes", IF($X295="Yes", VLOOKUP($W295, '[1]Storage Fees'!A:M, 13, FALSE), VLOOKUP($W295, '[1]Storage Fees'!A:M, 10, FALSE)), IF($X295="Yes", VLOOKUP($W295, '[1]Storage Fees'!A:M, 7, FALSE), VLOOKUP($W295, '[1]Storage Fees'!A:M, 4, FALSE))) * U295)*1.5</f>
        <v>-0.64187499999999997</v>
      </c>
    </row>
    <row r="296" spans="1:40" x14ac:dyDescent="0.25">
      <c r="A296" s="99">
        <v>224</v>
      </c>
      <c r="B296" s="99" t="s">
        <v>13700</v>
      </c>
      <c r="C296" s="99"/>
      <c r="D296" s="99" t="s">
        <v>277</v>
      </c>
      <c r="E296" s="99" t="s">
        <v>278</v>
      </c>
      <c r="F296" s="99" t="s">
        <v>275</v>
      </c>
      <c r="G296" s="99" t="s">
        <v>13695</v>
      </c>
      <c r="H296" s="99">
        <v>19</v>
      </c>
      <c r="I296" s="99">
        <v>19</v>
      </c>
      <c r="J296" s="99">
        <v>19</v>
      </c>
      <c r="K296" s="101" t="str">
        <f t="shared" si="44"/>
        <v>19x19x19</v>
      </c>
      <c r="L296" s="102">
        <f t="shared" si="45"/>
        <v>49.345323741007192</v>
      </c>
      <c r="M296" s="113">
        <f t="shared" si="46"/>
        <v>49.345323741007192</v>
      </c>
      <c r="N296" s="113">
        <f t="shared" si="47"/>
        <v>50</v>
      </c>
      <c r="O296" s="99">
        <v>33</v>
      </c>
      <c r="P296" s="113">
        <f t="shared" si="48"/>
        <v>50</v>
      </c>
      <c r="Q296" s="112">
        <f t="shared" si="49"/>
        <v>800</v>
      </c>
      <c r="R296" s="112" t="str">
        <f t="shared" si="50"/>
        <v>Oversize</v>
      </c>
      <c r="S296" s="99" t="str">
        <f t="shared" si="51"/>
        <v>Large bulky</v>
      </c>
      <c r="T296" s="116" t="s">
        <v>13694</v>
      </c>
      <c r="U296" s="116">
        <f t="shared" si="52"/>
        <v>3.9693287037037037</v>
      </c>
      <c r="V296" s="116" t="s">
        <v>13583</v>
      </c>
      <c r="W296" s="116" t="s">
        <v>13690</v>
      </c>
      <c r="X296" s="116" t="s">
        <v>13691</v>
      </c>
      <c r="Y296" s="116">
        <v>2</v>
      </c>
      <c r="Z296" s="116">
        <v>3</v>
      </c>
      <c r="AA296" s="116">
        <v>1</v>
      </c>
      <c r="AB296" s="99"/>
      <c r="AC296" s="99"/>
      <c r="AD296" s="107">
        <v>159.87408163265289</v>
      </c>
      <c r="AE296" s="113">
        <f t="shared" si="53"/>
        <v>-23.981112244897933</v>
      </c>
      <c r="AF296" s="116">
        <f>-IFERROR(IFERROR(VLOOKUP(ROUNDUP($Q296,0),'FBA FEES'!$L$2:$Q$203,MATCH($S296,'FBA FEES'!$L$2:$Q$2,0),FALSE),VLOOKUP(ROUNDUP($Q296,0),'FBA FEES'!$C$6:$F$123,MATCH($S296,'FBA FEES'!$C$6:$F$6,0),FALSE)),0)</f>
        <v>-28.23</v>
      </c>
      <c r="AG296" s="116">
        <v>-10</v>
      </c>
      <c r="AH296" s="113">
        <f t="shared" si="54"/>
        <v>-52.211112244897933</v>
      </c>
      <c r="AI296" s="116">
        <f>-IFERROR(IF($Y296=1,INDEX('[1]REMOVAL FEES'!$A$1:$C$22,MATCH(CONCATENATE("Standard Size",$P296),'[1]REMOVAL FEES'!$A$1:$A$22,0),3),IF($Y296=2,IF($P296&gt;10,(($P296-10)*1.06)+INDEX('[1]REMOVAL FEES'!$E$1:$G$22,MATCH(CONCATENATE("Large bulky, extra-large and special handling items",IF($P296&gt;=11,11,$P296)),'[1]REMOVAL FEES'!$E$1:$E$13,0),3),INDEX('[1]REMOVAL FEES'!$E$1:$G$22,MATCH(CONCATENATE("Large bulky, extra-large and special handling items",IF($P296&gt;=11,11,$P296)),'[1]REMOVAL FEES'!$E$1:$E$13,0),3))))*$AA296,FALSE)</f>
        <v>-56.720000000000006</v>
      </c>
      <c r="AJ296" s="107">
        <f t="shared" si="55"/>
        <v>-108.93111224489795</v>
      </c>
      <c r="AK296" s="107">
        <v>-78.96653061224481</v>
      </c>
      <c r="AL296" s="107">
        <v>-13.447319104308381</v>
      </c>
      <c r="AM296" s="107">
        <f t="shared" si="56"/>
        <v>-92.413849716553187</v>
      </c>
      <c r="AN296" s="116">
        <f>(-IF($V296="Yes", IF($X296="Yes", VLOOKUP($W296, '[1]Storage Fees'!A:M, 13, FALSE), VLOOKUP($W296, '[1]Storage Fees'!A:M, 10, FALSE)), IF($X296="Yes", VLOOKUP($W296, '[1]Storage Fees'!A:M, 7, FALSE), VLOOKUP($W296, '[1]Storage Fees'!A:M, 4, FALSE))) * U296)*1.5</f>
        <v>-4.703654513888889</v>
      </c>
    </row>
    <row r="297" spans="1:40" x14ac:dyDescent="0.25">
      <c r="A297" s="99">
        <v>225</v>
      </c>
      <c r="B297" s="99"/>
      <c r="C297" s="99" t="s">
        <v>13655</v>
      </c>
      <c r="D297" s="99"/>
      <c r="E297" s="99" t="s">
        <v>1673</v>
      </c>
      <c r="F297" s="99" t="s">
        <v>1671</v>
      </c>
      <c r="G297" s="99" t="s">
        <v>13695</v>
      </c>
      <c r="H297" s="99">
        <v>0</v>
      </c>
      <c r="I297" s="99">
        <v>0</v>
      </c>
      <c r="J297" s="99">
        <v>0</v>
      </c>
      <c r="K297" s="101" t="str">
        <f t="shared" si="44"/>
        <v>0x0x0</v>
      </c>
      <c r="L297" s="102">
        <f t="shared" si="45"/>
        <v>0</v>
      </c>
      <c r="M297" s="113">
        <f t="shared" si="46"/>
        <v>0</v>
      </c>
      <c r="N297" s="113">
        <f t="shared" si="47"/>
        <v>0</v>
      </c>
      <c r="O297" s="99">
        <v>0</v>
      </c>
      <c r="P297" s="113">
        <f t="shared" si="48"/>
        <v>0</v>
      </c>
      <c r="Q297" s="112">
        <f t="shared" si="49"/>
        <v>0</v>
      </c>
      <c r="R297" s="112" t="str">
        <f t="shared" si="50"/>
        <v>Standard-size</v>
      </c>
      <c r="S297" s="99" t="str">
        <f t="shared" si="51"/>
        <v>Small standard-size</v>
      </c>
      <c r="T297" s="116" t="s">
        <v>13696</v>
      </c>
      <c r="U297" s="116">
        <f t="shared" si="52"/>
        <v>0</v>
      </c>
      <c r="V297" s="116" t="s">
        <v>13583</v>
      </c>
      <c r="W297" s="116" t="s">
        <v>13690</v>
      </c>
      <c r="X297" s="99" t="s">
        <v>13583</v>
      </c>
      <c r="Y297" s="99">
        <v>1</v>
      </c>
      <c r="Z297" s="99">
        <v>1</v>
      </c>
      <c r="AA297" s="99">
        <v>1</v>
      </c>
      <c r="AB297" s="99"/>
      <c r="AC297" s="99"/>
      <c r="AD297" s="107">
        <v>0</v>
      </c>
      <c r="AE297" s="113">
        <f t="shared" si="53"/>
        <v>0</v>
      </c>
      <c r="AF297" s="116">
        <f>-IFERROR(IFERROR(VLOOKUP(ROUNDUP($Q297,0),'FBA FEES'!$L$2:$Q$203,MATCH($S297,'FBA FEES'!$L$2:$Q$2,0),FALSE),VLOOKUP(ROUNDUP($Q297,0),'FBA FEES'!$C$6:$F$123,MATCH($S297,'FBA FEES'!$C$6:$F$6,0),FALSE)),0)</f>
        <v>0</v>
      </c>
      <c r="AG297" s="116">
        <v>-10</v>
      </c>
      <c r="AH297" s="113">
        <f t="shared" si="54"/>
        <v>0</v>
      </c>
      <c r="AI297" s="116">
        <f>-IFERROR(IF($Y297=1,INDEX('[1]REMOVAL FEES'!$A$1:$C$22,MATCH(CONCATENATE("Standard Size",$P297),'[1]REMOVAL FEES'!$A$1:$A$22,0),3),IF($Y297=2,IF($P297&gt;10,(($P297-10)*1.06)+INDEX('[1]REMOVAL FEES'!$E$1:$G$22,MATCH(CONCATENATE("Large bulky, extra-large and special handling items",IF($P297&gt;=11,11,$P297)),'[1]REMOVAL FEES'!$E$1:$E$13,0),3),INDEX('[1]REMOVAL FEES'!$E$1:$G$22,MATCH(CONCATENATE("Large bulky, extra-large and special handling items",IF($P297&gt;=11,11,$P297)),'[1]REMOVAL FEES'!$E$1:$E$13,0),3))))*$AA297,FALSE)</f>
        <v>0</v>
      </c>
      <c r="AJ297" s="107">
        <f t="shared" si="55"/>
        <v>0</v>
      </c>
      <c r="AK297" s="107">
        <v>0</v>
      </c>
      <c r="AL297" s="107">
        <v>0</v>
      </c>
      <c r="AM297" s="107">
        <f t="shared" si="56"/>
        <v>0</v>
      </c>
      <c r="AN297" s="116">
        <f>(-IF($V297="Yes", IF($X297="Yes", VLOOKUP($W297, '[1]Storage Fees'!A:M, 13, FALSE), VLOOKUP($W297, '[1]Storage Fees'!A:M, 10, FALSE)), IF($X297="Yes", VLOOKUP($W297, '[1]Storage Fees'!A:M, 7, FALSE), VLOOKUP($W297, '[1]Storage Fees'!A:M, 4, FALSE))) * U297)*1.5</f>
        <v>0</v>
      </c>
    </row>
    <row r="298" spans="1:40" x14ac:dyDescent="0.25">
      <c r="A298" s="99">
        <v>226</v>
      </c>
      <c r="B298" s="99" t="s">
        <v>107</v>
      </c>
      <c r="C298" s="99"/>
      <c r="D298" s="99"/>
      <c r="E298" s="99" t="s">
        <v>282</v>
      </c>
      <c r="F298" s="99" t="s">
        <v>280</v>
      </c>
      <c r="G298" s="99" t="s">
        <v>13656</v>
      </c>
      <c r="H298" s="99">
        <v>40</v>
      </c>
      <c r="I298" s="99">
        <v>2</v>
      </c>
      <c r="J298" s="99">
        <v>2</v>
      </c>
      <c r="K298" s="101" t="str">
        <f t="shared" si="44"/>
        <v>40x2x2</v>
      </c>
      <c r="L298" s="102">
        <f t="shared" si="45"/>
        <v>1.1510791366906474</v>
      </c>
      <c r="M298" s="113">
        <f t="shared" si="46"/>
        <v>1.1510791366906474</v>
      </c>
      <c r="N298" s="113">
        <f t="shared" si="47"/>
        <v>2</v>
      </c>
      <c r="O298" s="99">
        <v>1</v>
      </c>
      <c r="P298" s="113">
        <f t="shared" si="48"/>
        <v>2</v>
      </c>
      <c r="Q298" s="112">
        <f t="shared" si="49"/>
        <v>32</v>
      </c>
      <c r="R298" s="112" t="str">
        <f t="shared" si="50"/>
        <v>Oversize</v>
      </c>
      <c r="S298" s="99" t="str">
        <f t="shared" si="51"/>
        <v>Large bulky</v>
      </c>
      <c r="T298" s="116" t="s">
        <v>13692</v>
      </c>
      <c r="U298" s="116">
        <f t="shared" si="52"/>
        <v>9.2592592592592587E-2</v>
      </c>
      <c r="V298" s="116" t="s">
        <v>13583</v>
      </c>
      <c r="W298" s="116" t="s">
        <v>13690</v>
      </c>
      <c r="X298" s="116" t="s">
        <v>13691</v>
      </c>
      <c r="Y298" s="116">
        <v>2</v>
      </c>
      <c r="Z298" s="116">
        <v>3</v>
      </c>
      <c r="AA298" s="116">
        <v>1</v>
      </c>
      <c r="AB298" s="99"/>
      <c r="AC298" s="99"/>
      <c r="AD298" s="107">
        <v>24.693404255319152</v>
      </c>
      <c r="AE298" s="113">
        <f t="shared" si="53"/>
        <v>-3.7040106382978726</v>
      </c>
      <c r="AF298" s="116">
        <f>-IFERROR(IFERROR(VLOOKUP(ROUNDUP($Q298,0),'FBA FEES'!$L$2:$Q$203,MATCH($S298,'FBA FEES'!$L$2:$Q$2,0),FALSE),VLOOKUP(ROUNDUP($Q298,0),'FBA FEES'!$C$6:$F$123,MATCH($S298,'FBA FEES'!$C$6:$F$6,0),FALSE)),0)</f>
        <v>-9.99</v>
      </c>
      <c r="AG298" s="116">
        <v>-10</v>
      </c>
      <c r="AH298" s="113">
        <f t="shared" si="54"/>
        <v>-13.694010638297872</v>
      </c>
      <c r="AI298" s="116">
        <f>-IFERROR(IF($Y298=1,INDEX('[1]REMOVAL FEES'!$A$1:$C$22,MATCH(CONCATENATE("Standard Size",$P298),'[1]REMOVAL FEES'!$A$1:$A$22,0),3),IF($Y298=2,IF($P298&gt;10,(($P298-10)*1.06)+INDEX('[1]REMOVAL FEES'!$E$1:$G$22,MATCH(CONCATENATE("Large bulky, extra-large and special handling items",IF($P298&gt;=11,11,$P298)),'[1]REMOVAL FEES'!$E$1:$E$13,0),3),INDEX('[1]REMOVAL FEES'!$E$1:$G$22,MATCH(CONCATENATE("Large bulky, extra-large and special handling items",IF($P298&gt;=11,11,$P298)),'[1]REMOVAL FEES'!$E$1:$E$13,0),3))))*$AA298,FALSE)</f>
        <v>-4.3</v>
      </c>
      <c r="AJ298" s="107">
        <f t="shared" si="55"/>
        <v>-17.994010638297873</v>
      </c>
      <c r="AK298" s="107">
        <v>-3.2476595744680852</v>
      </c>
      <c r="AL298" s="107">
        <v>-4.7846842814396053</v>
      </c>
      <c r="AM298" s="107">
        <f t="shared" si="56"/>
        <v>-8.0323438559076905</v>
      </c>
      <c r="AN298" s="116">
        <f>(-IF($V298="Yes", IF($X298="Yes", VLOOKUP($W298, '[1]Storage Fees'!A:M, 13, FALSE), VLOOKUP($W298, '[1]Storage Fees'!A:M, 10, FALSE)), IF($X298="Yes", VLOOKUP($W298, '[1]Storage Fees'!A:M, 7, FALSE), VLOOKUP($W298, '[1]Storage Fees'!A:M, 4, FALSE))) * U298)*1.5</f>
        <v>-0.10972222222222222</v>
      </c>
    </row>
    <row r="299" spans="1:40" x14ac:dyDescent="0.25">
      <c r="A299" s="99">
        <v>227</v>
      </c>
      <c r="B299" s="99" t="s">
        <v>107</v>
      </c>
      <c r="C299" s="99"/>
      <c r="D299" s="99"/>
      <c r="E299" s="99" t="s">
        <v>282</v>
      </c>
      <c r="F299" s="99" t="s">
        <v>284</v>
      </c>
      <c r="G299" s="99" t="s">
        <v>13656</v>
      </c>
      <c r="H299" s="99">
        <v>25</v>
      </c>
      <c r="I299" s="99">
        <v>2</v>
      </c>
      <c r="J299" s="99">
        <v>2</v>
      </c>
      <c r="K299" s="101" t="str">
        <f t="shared" si="44"/>
        <v>25x2x2</v>
      </c>
      <c r="L299" s="102">
        <f t="shared" si="45"/>
        <v>0.71942446043165464</v>
      </c>
      <c r="M299" s="113">
        <f t="shared" si="46"/>
        <v>0.71942446043165464</v>
      </c>
      <c r="N299" s="113">
        <f t="shared" si="47"/>
        <v>0.75</v>
      </c>
      <c r="O299" s="99">
        <v>2</v>
      </c>
      <c r="P299" s="113">
        <f t="shared" si="48"/>
        <v>2</v>
      </c>
      <c r="Q299" s="112">
        <f t="shared" si="49"/>
        <v>32</v>
      </c>
      <c r="R299" s="112" t="str">
        <f t="shared" si="50"/>
        <v>Oversize</v>
      </c>
      <c r="S299" s="99" t="str">
        <f t="shared" si="51"/>
        <v>Large bulky</v>
      </c>
      <c r="T299" s="116" t="s">
        <v>13692</v>
      </c>
      <c r="U299" s="116">
        <f t="shared" si="52"/>
        <v>5.7870370370370371E-2</v>
      </c>
      <c r="V299" s="116" t="s">
        <v>13583</v>
      </c>
      <c r="W299" s="116" t="s">
        <v>13690</v>
      </c>
      <c r="X299" s="116" t="s">
        <v>13691</v>
      </c>
      <c r="Y299" s="116">
        <v>2</v>
      </c>
      <c r="Z299" s="116">
        <v>3</v>
      </c>
      <c r="AA299" s="116">
        <v>1</v>
      </c>
      <c r="AB299" s="99"/>
      <c r="AC299" s="99"/>
      <c r="AD299" s="107">
        <v>26.99117647058824</v>
      </c>
      <c r="AE299" s="113">
        <f t="shared" si="53"/>
        <v>-4.0486764705882354</v>
      </c>
      <c r="AF299" s="116">
        <f>-IFERROR(IFERROR(VLOOKUP(ROUNDUP($Q299,0),'FBA FEES'!$L$2:$Q$203,MATCH($S299,'FBA FEES'!$L$2:$Q$2,0),FALSE),VLOOKUP(ROUNDUP($Q299,0),'FBA FEES'!$C$6:$F$123,MATCH($S299,'FBA FEES'!$C$6:$F$6,0),FALSE)),0)</f>
        <v>-9.99</v>
      </c>
      <c r="AG299" s="116">
        <v>-10</v>
      </c>
      <c r="AH299" s="113">
        <f t="shared" si="54"/>
        <v>-14.038676470588236</v>
      </c>
      <c r="AI299" s="116">
        <f>-IFERROR(IF($Y299=1,INDEX('[1]REMOVAL FEES'!$A$1:$C$22,MATCH(CONCATENATE("Standard Size",$P299),'[1]REMOVAL FEES'!$A$1:$A$22,0),3),IF($Y299=2,IF($P299&gt;10,(($P299-10)*1.06)+INDEX('[1]REMOVAL FEES'!$E$1:$G$22,MATCH(CONCATENATE("Large bulky, extra-large and special handling items",IF($P299&gt;=11,11,$P299)),'[1]REMOVAL FEES'!$E$1:$E$13,0),3),INDEX('[1]REMOVAL FEES'!$E$1:$G$22,MATCH(CONCATENATE("Large bulky, extra-large and special handling items",IF($P299&gt;=11,11,$P299)),'[1]REMOVAL FEES'!$E$1:$E$13,0),3))))*$AA299,FALSE)</f>
        <v>-4.3</v>
      </c>
      <c r="AJ299" s="107">
        <f t="shared" si="55"/>
        <v>-18.338676470588236</v>
      </c>
      <c r="AK299" s="107">
        <v>-6.0367647058823568</v>
      </c>
      <c r="AL299" s="107">
        <v>-5.2346498599439784</v>
      </c>
      <c r="AM299" s="107">
        <f t="shared" si="56"/>
        <v>-11.271414565826335</v>
      </c>
      <c r="AN299" s="116">
        <f>(-IF($V299="Yes", IF($X299="Yes", VLOOKUP($W299, '[1]Storage Fees'!A:M, 13, FALSE), VLOOKUP($W299, '[1]Storage Fees'!A:M, 10, FALSE)), IF($X299="Yes", VLOOKUP($W299, '[1]Storage Fees'!A:M, 7, FALSE), VLOOKUP($W299, '[1]Storage Fees'!A:M, 4, FALSE))) * U299)*1.5</f>
        <v>-6.8576388888888895E-2</v>
      </c>
    </row>
    <row r="300" spans="1:40" x14ac:dyDescent="0.25">
      <c r="A300" s="99">
        <v>228</v>
      </c>
      <c r="B300" s="99" t="s">
        <v>107</v>
      </c>
      <c r="C300" s="99"/>
      <c r="D300" s="99"/>
      <c r="E300" s="99" t="s">
        <v>282</v>
      </c>
      <c r="F300" s="99" t="s">
        <v>286</v>
      </c>
      <c r="G300" s="99" t="s">
        <v>13656</v>
      </c>
      <c r="H300" s="99">
        <v>25</v>
      </c>
      <c r="I300" s="99">
        <v>3</v>
      </c>
      <c r="J300" s="99">
        <v>3</v>
      </c>
      <c r="K300" s="101" t="str">
        <f t="shared" si="44"/>
        <v>25x3x3</v>
      </c>
      <c r="L300" s="102">
        <f t="shared" si="45"/>
        <v>1.6187050359712229</v>
      </c>
      <c r="M300" s="113">
        <f t="shared" si="46"/>
        <v>1.6187050359712229</v>
      </c>
      <c r="N300" s="113">
        <f t="shared" si="47"/>
        <v>2</v>
      </c>
      <c r="O300" s="99">
        <v>5</v>
      </c>
      <c r="P300" s="113">
        <f t="shared" si="48"/>
        <v>5</v>
      </c>
      <c r="Q300" s="112">
        <f t="shared" si="49"/>
        <v>80</v>
      </c>
      <c r="R300" s="112" t="str">
        <f t="shared" si="50"/>
        <v>Oversize</v>
      </c>
      <c r="S300" s="99" t="str">
        <f t="shared" si="51"/>
        <v>Large bulky</v>
      </c>
      <c r="T300" s="116" t="s">
        <v>13692</v>
      </c>
      <c r="U300" s="116">
        <f t="shared" si="52"/>
        <v>0.13020833333333334</v>
      </c>
      <c r="V300" s="116" t="s">
        <v>13583</v>
      </c>
      <c r="W300" s="116" t="s">
        <v>13690</v>
      </c>
      <c r="X300" s="116" t="s">
        <v>13691</v>
      </c>
      <c r="Y300" s="116">
        <v>2</v>
      </c>
      <c r="Z300" s="116">
        <v>3</v>
      </c>
      <c r="AA300" s="116">
        <v>1</v>
      </c>
      <c r="AB300" s="99"/>
      <c r="AC300" s="99"/>
      <c r="AD300" s="107">
        <v>41.024285714285718</v>
      </c>
      <c r="AE300" s="113">
        <f t="shared" si="53"/>
        <v>-6.1536428571428576</v>
      </c>
      <c r="AF300" s="116">
        <f>-IFERROR(IFERROR(VLOOKUP(ROUNDUP($Q300,0),'FBA FEES'!$L$2:$Q$203,MATCH($S300,'FBA FEES'!$L$2:$Q$2,0),FALSE),VLOOKUP(ROUNDUP($Q300,0),'FBA FEES'!$C$6:$F$123,MATCH($S300,'FBA FEES'!$C$6:$F$6,0),FALSE)),0)</f>
        <v>-11.129999999999999</v>
      </c>
      <c r="AG300" s="116">
        <v>-10</v>
      </c>
      <c r="AH300" s="113">
        <f t="shared" si="54"/>
        <v>-17.283642857142858</v>
      </c>
      <c r="AI300" s="116">
        <f>-IFERROR(IF($Y300=1,INDEX('[1]REMOVAL FEES'!$A$1:$C$22,MATCH(CONCATENATE("Standard Size",$P300),'[1]REMOVAL FEES'!$A$1:$A$22,0),3),IF($Y300=2,IF($P300&gt;10,(($P300-10)*1.06)+INDEX('[1]REMOVAL FEES'!$E$1:$G$22,MATCH(CONCATENATE("Large bulky, extra-large and special handling items",IF($P300&gt;=11,11,$P300)),'[1]REMOVAL FEES'!$E$1:$E$13,0),3),INDEX('[1]REMOVAL FEES'!$E$1:$G$22,MATCH(CONCATENATE("Large bulky, extra-large and special handling items",IF($P300&gt;=11,11,$P300)),'[1]REMOVAL FEES'!$E$1:$E$13,0),3))))*$AA300,FALSE)</f>
        <v>-10.039999999999999</v>
      </c>
      <c r="AJ300" s="107">
        <f t="shared" si="55"/>
        <v>-27.323642857142858</v>
      </c>
      <c r="AK300" s="107">
        <v>-14.509999999999989</v>
      </c>
      <c r="AL300" s="107">
        <v>-6.5085387487323114</v>
      </c>
      <c r="AM300" s="107">
        <f t="shared" si="56"/>
        <v>-21.018538748732301</v>
      </c>
      <c r="AN300" s="116">
        <f>(-IF($V300="Yes", IF($X300="Yes", VLOOKUP($W300, '[1]Storage Fees'!A:M, 13, FALSE), VLOOKUP($W300, '[1]Storage Fees'!A:M, 10, FALSE)), IF($X300="Yes", VLOOKUP($W300, '[1]Storage Fees'!A:M, 7, FALSE), VLOOKUP($W300, '[1]Storage Fees'!A:M, 4, FALSE))) * U300)*1.5</f>
        <v>-0.154296875</v>
      </c>
    </row>
    <row r="301" spans="1:40" x14ac:dyDescent="0.25">
      <c r="A301" s="99">
        <v>229</v>
      </c>
      <c r="B301" s="99" t="s">
        <v>107</v>
      </c>
      <c r="C301" s="99"/>
      <c r="D301" s="99"/>
      <c r="E301" s="99" t="s">
        <v>282</v>
      </c>
      <c r="F301" s="99" t="s">
        <v>288</v>
      </c>
      <c r="G301" s="99" t="s">
        <v>13656</v>
      </c>
      <c r="H301" s="99">
        <v>12</v>
      </c>
      <c r="I301" s="99">
        <v>2</v>
      </c>
      <c r="J301" s="99">
        <v>2</v>
      </c>
      <c r="K301" s="101" t="str">
        <f t="shared" si="44"/>
        <v>12x2x2</v>
      </c>
      <c r="L301" s="102">
        <f t="shared" si="45"/>
        <v>0.34532374100719426</v>
      </c>
      <c r="M301" s="113">
        <f t="shared" si="46"/>
        <v>0.34532374100719426</v>
      </c>
      <c r="N301" s="113">
        <f t="shared" si="47"/>
        <v>0.5</v>
      </c>
      <c r="O301" s="99">
        <v>2</v>
      </c>
      <c r="P301" s="113">
        <f t="shared" si="48"/>
        <v>2</v>
      </c>
      <c r="Q301" s="112">
        <f t="shared" si="49"/>
        <v>32</v>
      </c>
      <c r="R301" s="112" t="str">
        <f t="shared" si="50"/>
        <v>Standard-size</v>
      </c>
      <c r="S301" s="99" t="str">
        <f t="shared" si="51"/>
        <v>Large standard-size</v>
      </c>
      <c r="T301" s="116" t="s">
        <v>13697</v>
      </c>
      <c r="U301" s="116">
        <f t="shared" si="52"/>
        <v>2.7777777777777776E-2</v>
      </c>
      <c r="V301" s="116" t="s">
        <v>13583</v>
      </c>
      <c r="W301" s="116" t="s">
        <v>13690</v>
      </c>
      <c r="X301" s="99" t="s">
        <v>13583</v>
      </c>
      <c r="Y301" s="99">
        <v>1</v>
      </c>
      <c r="Z301" s="99">
        <v>2</v>
      </c>
      <c r="AA301" s="99">
        <v>1</v>
      </c>
      <c r="AB301" s="99"/>
      <c r="AC301" s="99"/>
      <c r="AD301" s="107">
        <v>23.672713178294511</v>
      </c>
      <c r="AE301" s="113">
        <f t="shared" si="53"/>
        <v>-3.5509069767441765</v>
      </c>
      <c r="AF301" s="116">
        <f>-IFERROR(IFERROR(VLOOKUP(ROUNDUP($Q301,0),'FBA FEES'!$L$2:$Q$203,MATCH($S301,'FBA FEES'!$L$2:$Q$2,0),FALSE),VLOOKUP(ROUNDUP($Q301,0),'FBA FEES'!$C$6:$F$123,MATCH($S301,'FBA FEES'!$C$6:$F$6,0),FALSE)),0)</f>
        <v>-5.77</v>
      </c>
      <c r="AG301" s="116">
        <v>-10</v>
      </c>
      <c r="AH301" s="113">
        <f t="shared" si="54"/>
        <v>-9.3209069767441761</v>
      </c>
      <c r="AI301" s="116">
        <f>-IFERROR(IF($Y301=1,INDEX('[1]REMOVAL FEES'!$A$1:$C$22,MATCH(CONCATENATE("Standard Size",$P301),'[1]REMOVAL FEES'!$A$1:$A$22,0),3),IF($Y301=2,IF($P301&gt;10,(($P301-10)*1.06)+INDEX('[1]REMOVAL FEES'!$E$1:$G$22,MATCH(CONCATENATE("Large bulky, extra-large and special handling items",IF($P301&gt;=11,11,$P301)),'[1]REMOVAL FEES'!$E$1:$E$13,0),3),INDEX('[1]REMOVAL FEES'!$E$1:$G$22,MATCH(CONCATENATE("Large bulky, extra-large and special handling items",IF($P301&gt;=11,11,$P301)),'[1]REMOVAL FEES'!$E$1:$E$13,0),3))))*$AA301,FALSE)</f>
        <v>-2.27</v>
      </c>
      <c r="AJ301" s="107">
        <f t="shared" si="55"/>
        <v>-11.590906976744176</v>
      </c>
      <c r="AK301" s="107">
        <v>-7.3400000000000087</v>
      </c>
      <c r="AL301" s="107">
        <v>-0.73843876752016313</v>
      </c>
      <c r="AM301" s="107">
        <f t="shared" si="56"/>
        <v>-8.0784387675201721</v>
      </c>
      <c r="AN301" s="116">
        <f>(-IF($V301="Yes", IF($X301="Yes", VLOOKUP($W301, '[1]Storage Fees'!A:M, 13, FALSE), VLOOKUP($W301, '[1]Storage Fees'!A:M, 10, FALSE)), IF($X301="Yes", VLOOKUP($W301, '[1]Storage Fees'!A:M, 7, FALSE), VLOOKUP($W301, '[1]Storage Fees'!A:M, 4, FALSE))) * U301)*1.5</f>
        <v>-5.0833333333333328E-2</v>
      </c>
    </row>
    <row r="302" spans="1:40" x14ac:dyDescent="0.25">
      <c r="A302" s="99">
        <v>230</v>
      </c>
      <c r="B302" s="99"/>
      <c r="C302" s="99" t="s">
        <v>13655</v>
      </c>
      <c r="D302" s="99"/>
      <c r="E302" s="99" t="s">
        <v>278</v>
      </c>
      <c r="F302" s="99" t="s">
        <v>1674</v>
      </c>
      <c r="G302" s="99" t="s">
        <v>13656</v>
      </c>
      <c r="H302" s="99">
        <v>0</v>
      </c>
      <c r="I302" s="99">
        <v>0</v>
      </c>
      <c r="J302" s="99">
        <v>0</v>
      </c>
      <c r="K302" s="101" t="str">
        <f t="shared" si="44"/>
        <v>0x0x0</v>
      </c>
      <c r="L302" s="102">
        <f t="shared" si="45"/>
        <v>0</v>
      </c>
      <c r="M302" s="113">
        <f t="shared" si="46"/>
        <v>0</v>
      </c>
      <c r="N302" s="113">
        <f t="shared" si="47"/>
        <v>0</v>
      </c>
      <c r="O302" s="99">
        <v>0</v>
      </c>
      <c r="P302" s="113">
        <f t="shared" si="48"/>
        <v>0</v>
      </c>
      <c r="Q302" s="112">
        <f t="shared" si="49"/>
        <v>0</v>
      </c>
      <c r="R302" s="112" t="str">
        <f t="shared" si="50"/>
        <v>Standard-size</v>
      </c>
      <c r="S302" s="99" t="str">
        <f t="shared" si="51"/>
        <v>Small standard-size</v>
      </c>
      <c r="T302" s="116" t="s">
        <v>13696</v>
      </c>
      <c r="U302" s="116">
        <f t="shared" si="52"/>
        <v>0</v>
      </c>
      <c r="V302" s="116" t="s">
        <v>13583</v>
      </c>
      <c r="W302" s="116" t="s">
        <v>13690</v>
      </c>
      <c r="X302" s="99" t="s">
        <v>13583</v>
      </c>
      <c r="Y302" s="99">
        <v>1</v>
      </c>
      <c r="Z302" s="99">
        <v>1</v>
      </c>
      <c r="AA302" s="99">
        <v>1</v>
      </c>
      <c r="AB302" s="99"/>
      <c r="AC302" s="99"/>
      <c r="AD302" s="107">
        <v>0</v>
      </c>
      <c r="AE302" s="113">
        <f t="shared" si="53"/>
        <v>0</v>
      </c>
      <c r="AF302" s="116">
        <f>-IFERROR(IFERROR(VLOOKUP(ROUNDUP($Q302,0),'FBA FEES'!$L$2:$Q$203,MATCH($S302,'FBA FEES'!$L$2:$Q$2,0),FALSE),VLOOKUP(ROUNDUP($Q302,0),'FBA FEES'!$C$6:$F$123,MATCH($S302,'FBA FEES'!$C$6:$F$6,0),FALSE)),0)</f>
        <v>0</v>
      </c>
      <c r="AG302" s="116">
        <v>-10</v>
      </c>
      <c r="AH302" s="113">
        <f t="shared" si="54"/>
        <v>0</v>
      </c>
      <c r="AI302" s="116">
        <f>-IFERROR(IF($Y302=1,INDEX('[1]REMOVAL FEES'!$A$1:$C$22,MATCH(CONCATENATE("Standard Size",$P302),'[1]REMOVAL FEES'!$A$1:$A$22,0),3),IF($Y302=2,IF($P302&gt;10,(($P302-10)*1.06)+INDEX('[1]REMOVAL FEES'!$E$1:$G$22,MATCH(CONCATENATE("Large bulky, extra-large and special handling items",IF($P302&gt;=11,11,$P302)),'[1]REMOVAL FEES'!$E$1:$E$13,0),3),INDEX('[1]REMOVAL FEES'!$E$1:$G$22,MATCH(CONCATENATE("Large bulky, extra-large and special handling items",IF($P302&gt;=11,11,$P302)),'[1]REMOVAL FEES'!$E$1:$E$13,0),3))))*$AA302,FALSE)</f>
        <v>0</v>
      </c>
      <c r="AJ302" s="107">
        <f t="shared" si="55"/>
        <v>0</v>
      </c>
      <c r="AK302" s="107">
        <v>0</v>
      </c>
      <c r="AL302" s="107">
        <v>0</v>
      </c>
      <c r="AM302" s="107">
        <f t="shared" si="56"/>
        <v>0</v>
      </c>
      <c r="AN302" s="116">
        <f>(-IF($V302="Yes", IF($X302="Yes", VLOOKUP($W302, '[1]Storage Fees'!A:M, 13, FALSE), VLOOKUP($W302, '[1]Storage Fees'!A:M, 10, FALSE)), IF($X302="Yes", VLOOKUP($W302, '[1]Storage Fees'!A:M, 7, FALSE), VLOOKUP($W302, '[1]Storage Fees'!A:M, 4, FALSE))) * U302)*1.5</f>
        <v>0</v>
      </c>
    </row>
    <row r="303" spans="1:40" x14ac:dyDescent="0.25">
      <c r="A303" s="99">
        <v>231</v>
      </c>
      <c r="B303" s="99" t="s">
        <v>107</v>
      </c>
      <c r="C303" s="99"/>
      <c r="D303" s="99"/>
      <c r="E303" s="99" t="s">
        <v>278</v>
      </c>
      <c r="F303" s="99" t="s">
        <v>290</v>
      </c>
      <c r="G303" s="99" t="s">
        <v>13656</v>
      </c>
      <c r="H303" s="99">
        <v>37</v>
      </c>
      <c r="I303" s="99">
        <v>7</v>
      </c>
      <c r="J303" s="99">
        <v>6</v>
      </c>
      <c r="K303" s="101" t="str">
        <f t="shared" si="44"/>
        <v>37x7x6</v>
      </c>
      <c r="L303" s="102">
        <f t="shared" si="45"/>
        <v>11.179856115107913</v>
      </c>
      <c r="M303" s="113">
        <f t="shared" si="46"/>
        <v>11.179856115107913</v>
      </c>
      <c r="N303" s="113">
        <f t="shared" si="47"/>
        <v>12</v>
      </c>
      <c r="O303" s="99">
        <v>11</v>
      </c>
      <c r="P303" s="113">
        <f t="shared" si="48"/>
        <v>12</v>
      </c>
      <c r="Q303" s="112">
        <f t="shared" si="49"/>
        <v>192</v>
      </c>
      <c r="R303" s="112" t="str">
        <f t="shared" si="50"/>
        <v>Oversize</v>
      </c>
      <c r="S303" s="99" t="str">
        <f t="shared" si="51"/>
        <v>Large bulky</v>
      </c>
      <c r="T303" s="116" t="s">
        <v>13692</v>
      </c>
      <c r="U303" s="116">
        <f t="shared" si="52"/>
        <v>0.89930555555555558</v>
      </c>
      <c r="V303" s="116" t="s">
        <v>13583</v>
      </c>
      <c r="W303" s="116" t="s">
        <v>13690</v>
      </c>
      <c r="X303" s="116" t="s">
        <v>13691</v>
      </c>
      <c r="Y303" s="116">
        <v>2</v>
      </c>
      <c r="Z303" s="116">
        <v>3</v>
      </c>
      <c r="AA303" s="116">
        <v>1</v>
      </c>
      <c r="AB303" s="99"/>
      <c r="AC303" s="99"/>
      <c r="AD303" s="107">
        <v>101.1027499999999</v>
      </c>
      <c r="AE303" s="113">
        <f t="shared" si="53"/>
        <v>-15.165412499999984</v>
      </c>
      <c r="AF303" s="116">
        <f>-IFERROR(IFERROR(VLOOKUP(ROUNDUP($Q303,0),'FBA FEES'!$L$2:$Q$203,MATCH($S303,'FBA FEES'!$L$2:$Q$2,0),FALSE),VLOOKUP(ROUNDUP($Q303,0),'FBA FEES'!$C$6:$F$123,MATCH($S303,'FBA FEES'!$C$6:$F$6,0),FALSE)),0)</f>
        <v>-13.79</v>
      </c>
      <c r="AG303" s="116">
        <v>-10</v>
      </c>
      <c r="AH303" s="113">
        <f t="shared" si="54"/>
        <v>-28.955412499999984</v>
      </c>
      <c r="AI303" s="116">
        <f>-IFERROR(IF($Y303=1,INDEX('[1]REMOVAL FEES'!$A$1:$C$22,MATCH(CONCATENATE("Standard Size",$P303),'[1]REMOVAL FEES'!$A$1:$A$22,0),3),IF($Y303=2,IF($P303&gt;10,(($P303-10)*1.06)+INDEX('[1]REMOVAL FEES'!$E$1:$G$22,MATCH(CONCATENATE("Large bulky, extra-large and special handling items",IF($P303&gt;=11,11,$P303)),'[1]REMOVAL FEES'!$E$1:$E$13,0),3),INDEX('[1]REMOVAL FEES'!$E$1:$G$22,MATCH(CONCATENATE("Large bulky, extra-large and special handling items",IF($P303&gt;=11,11,$P303)),'[1]REMOVAL FEES'!$E$1:$E$13,0),3))))*$AA303,FALSE)</f>
        <v>-16.440000000000001</v>
      </c>
      <c r="AJ303" s="107">
        <f t="shared" si="55"/>
        <v>-45.395412499999985</v>
      </c>
      <c r="AK303" s="107">
        <v>-39.640000000000029</v>
      </c>
      <c r="AL303" s="107">
        <v>-8.6000293883788324</v>
      </c>
      <c r="AM303" s="107">
        <f t="shared" si="56"/>
        <v>-48.240029388378858</v>
      </c>
      <c r="AN303" s="116">
        <f>(-IF($V303="Yes", IF($X303="Yes", VLOOKUP($W303, '[1]Storage Fees'!A:M, 13, FALSE), VLOOKUP($W303, '[1]Storage Fees'!A:M, 10, FALSE)), IF($X303="Yes", VLOOKUP($W303, '[1]Storage Fees'!A:M, 7, FALSE), VLOOKUP($W303, '[1]Storage Fees'!A:M, 4, FALSE))) * U303)*1.5</f>
        <v>-1.0656770833333333</v>
      </c>
    </row>
    <row r="304" spans="1:40" x14ac:dyDescent="0.25">
      <c r="A304" s="99">
        <v>232</v>
      </c>
      <c r="B304" s="99" t="s">
        <v>107</v>
      </c>
      <c r="C304" s="99"/>
      <c r="D304" s="99"/>
      <c r="E304" s="99" t="s">
        <v>278</v>
      </c>
      <c r="F304" s="99" t="s">
        <v>292</v>
      </c>
      <c r="G304" s="99" t="s">
        <v>13695</v>
      </c>
      <c r="H304" s="99">
        <v>49</v>
      </c>
      <c r="I304" s="99">
        <v>8</v>
      </c>
      <c r="J304" s="99">
        <v>6</v>
      </c>
      <c r="K304" s="101" t="str">
        <f t="shared" si="44"/>
        <v>49x8x6</v>
      </c>
      <c r="L304" s="102">
        <f t="shared" si="45"/>
        <v>16.920863309352519</v>
      </c>
      <c r="M304" s="113">
        <f t="shared" si="46"/>
        <v>16.920863309352519</v>
      </c>
      <c r="N304" s="113">
        <f t="shared" si="47"/>
        <v>17</v>
      </c>
      <c r="O304" s="99">
        <v>14</v>
      </c>
      <c r="P304" s="113">
        <f t="shared" si="48"/>
        <v>17</v>
      </c>
      <c r="Q304" s="112">
        <f t="shared" si="49"/>
        <v>272</v>
      </c>
      <c r="R304" s="112" t="str">
        <f t="shared" si="50"/>
        <v>Oversize</v>
      </c>
      <c r="S304" s="99" t="str">
        <f t="shared" si="51"/>
        <v>Large bulky</v>
      </c>
      <c r="T304" s="116" t="s">
        <v>13692</v>
      </c>
      <c r="U304" s="116">
        <f t="shared" si="52"/>
        <v>1.3611111111111112</v>
      </c>
      <c r="V304" s="116" t="s">
        <v>13583</v>
      </c>
      <c r="W304" s="116" t="s">
        <v>13690</v>
      </c>
      <c r="X304" s="116" t="s">
        <v>13691</v>
      </c>
      <c r="Y304" s="116">
        <v>2</v>
      </c>
      <c r="Z304" s="116">
        <v>3</v>
      </c>
      <c r="AA304" s="116">
        <v>1</v>
      </c>
      <c r="AB304" s="99"/>
      <c r="AC304" s="99"/>
      <c r="AD304" s="107">
        <v>109.6337704918032</v>
      </c>
      <c r="AE304" s="113">
        <f t="shared" si="53"/>
        <v>-16.445065573770481</v>
      </c>
      <c r="AF304" s="116">
        <f>-IFERROR(IFERROR(VLOOKUP(ROUNDUP($Q304,0),'FBA FEES'!$L$2:$Q$203,MATCH($S304,'FBA FEES'!$L$2:$Q$2,0),FALSE),VLOOKUP(ROUNDUP($Q304,0),'FBA FEES'!$C$6:$F$123,MATCH($S304,'FBA FEES'!$C$6:$F$6,0),FALSE)),0)</f>
        <v>-15.69</v>
      </c>
      <c r="AG304" s="116">
        <v>-10</v>
      </c>
      <c r="AH304" s="113">
        <f t="shared" si="54"/>
        <v>-32.135065573770483</v>
      </c>
      <c r="AI304" s="116">
        <f>-IFERROR(IF($Y304=1,INDEX('[1]REMOVAL FEES'!$A$1:$C$22,MATCH(CONCATENATE("Standard Size",$P304),'[1]REMOVAL FEES'!$A$1:$A$22,0),3),IF($Y304=2,IF($P304&gt;10,(($P304-10)*1.06)+INDEX('[1]REMOVAL FEES'!$E$1:$G$22,MATCH(CONCATENATE("Large bulky, extra-large and special handling items",IF($P304&gt;=11,11,$P304)),'[1]REMOVAL FEES'!$E$1:$E$13,0),3),INDEX('[1]REMOVAL FEES'!$E$1:$G$22,MATCH(CONCATENATE("Large bulky, extra-large and special handling items",IF($P304&gt;=11,11,$P304)),'[1]REMOVAL FEES'!$E$1:$E$13,0),3))))*$AA304,FALSE)</f>
        <v>-21.740000000000002</v>
      </c>
      <c r="AJ304" s="107">
        <f t="shared" si="55"/>
        <v>-53.875065573770485</v>
      </c>
      <c r="AK304" s="107">
        <v>-45.428688524590129</v>
      </c>
      <c r="AL304" s="107">
        <v>-8.9940084383480201</v>
      </c>
      <c r="AM304" s="107">
        <f t="shared" si="56"/>
        <v>-54.422696962938147</v>
      </c>
      <c r="AN304" s="116">
        <f>(-IF($V304="Yes", IF($X304="Yes", VLOOKUP($W304, '[1]Storage Fees'!A:M, 13, FALSE), VLOOKUP($W304, '[1]Storage Fees'!A:M, 10, FALSE)), IF($X304="Yes", VLOOKUP($W304, '[1]Storage Fees'!A:M, 7, FALSE), VLOOKUP($W304, '[1]Storage Fees'!A:M, 4, FALSE))) * U304)*1.5</f>
        <v>-1.6129166666666666</v>
      </c>
    </row>
    <row r="305" spans="1:40" x14ac:dyDescent="0.25">
      <c r="A305" s="99">
        <v>233</v>
      </c>
      <c r="B305" s="99" t="s">
        <v>13702</v>
      </c>
      <c r="C305" s="99" t="s">
        <v>13655</v>
      </c>
      <c r="D305" s="99" t="s">
        <v>714</v>
      </c>
      <c r="E305" s="99" t="s">
        <v>278</v>
      </c>
      <c r="F305" s="99" t="s">
        <v>844</v>
      </c>
      <c r="G305" s="99" t="s">
        <v>13656</v>
      </c>
      <c r="H305" s="99">
        <v>38</v>
      </c>
      <c r="I305" s="99">
        <v>3</v>
      </c>
      <c r="J305" s="99">
        <v>1.5</v>
      </c>
      <c r="K305" s="101" t="str">
        <f t="shared" si="44"/>
        <v>38x3x1.5</v>
      </c>
      <c r="L305" s="102">
        <f t="shared" si="45"/>
        <v>1.2302158273381294</v>
      </c>
      <c r="M305" s="113">
        <f t="shared" si="46"/>
        <v>1.2302158273381294</v>
      </c>
      <c r="N305" s="113">
        <f t="shared" si="47"/>
        <v>2</v>
      </c>
      <c r="O305" s="99">
        <v>2.5</v>
      </c>
      <c r="P305" s="113">
        <f t="shared" si="48"/>
        <v>3</v>
      </c>
      <c r="Q305" s="112">
        <f t="shared" si="49"/>
        <v>48</v>
      </c>
      <c r="R305" s="112" t="str">
        <f t="shared" si="50"/>
        <v>Oversize</v>
      </c>
      <c r="S305" s="99" t="str">
        <f t="shared" si="51"/>
        <v>Large bulky</v>
      </c>
      <c r="T305" s="116" t="s">
        <v>13692</v>
      </c>
      <c r="U305" s="116">
        <f t="shared" si="52"/>
        <v>9.8958333333333329E-2</v>
      </c>
      <c r="V305" s="116" t="s">
        <v>13583</v>
      </c>
      <c r="W305" s="116" t="s">
        <v>13690</v>
      </c>
      <c r="X305" s="116" t="s">
        <v>13691</v>
      </c>
      <c r="Y305" s="116">
        <v>2</v>
      </c>
      <c r="Z305" s="116">
        <v>3</v>
      </c>
      <c r="AA305" s="116">
        <v>1</v>
      </c>
      <c r="AB305" s="99"/>
      <c r="AC305" s="99"/>
      <c r="AD305" s="107">
        <v>29.99</v>
      </c>
      <c r="AE305" s="113">
        <f t="shared" si="53"/>
        <v>-4.4984999999999999</v>
      </c>
      <c r="AF305" s="116">
        <f>-IFERROR(IFERROR(VLOOKUP(ROUNDUP($Q305,0),'FBA FEES'!$L$2:$Q$203,MATCH($S305,'FBA FEES'!$L$2:$Q$2,0),FALSE),VLOOKUP(ROUNDUP($Q305,0),'FBA FEES'!$C$6:$F$123,MATCH($S305,'FBA FEES'!$C$6:$F$6,0),FALSE)),0)</f>
        <v>-10.37</v>
      </c>
      <c r="AG305" s="116">
        <v>-10</v>
      </c>
      <c r="AH305" s="113">
        <f t="shared" si="54"/>
        <v>-14.868499999999999</v>
      </c>
      <c r="AI305" s="116">
        <f>-IFERROR(IF($Y305=1,INDEX('[1]REMOVAL FEES'!$A$1:$C$22,MATCH(CONCATENATE("Standard Size",$P305),'[1]REMOVAL FEES'!$A$1:$A$22,0),3),IF($Y305=2,IF($P305&gt;10,(($P305-10)*1.06)+INDEX('[1]REMOVAL FEES'!$E$1:$G$22,MATCH(CONCATENATE("Large bulky, extra-large and special handling items",IF($P305&gt;=11,11,$P305)),'[1]REMOVAL FEES'!$E$1:$E$13,0),3),INDEX('[1]REMOVAL FEES'!$E$1:$G$22,MATCH(CONCATENATE("Large bulky, extra-large and special handling items",IF($P305&gt;=11,11,$P305)),'[1]REMOVAL FEES'!$E$1:$E$13,0),3))))*$AA305,FALSE)</f>
        <v>-6.36</v>
      </c>
      <c r="AJ305" s="107">
        <f t="shared" si="55"/>
        <v>-21.2285</v>
      </c>
      <c r="AK305" s="107">
        <v>-5.24</v>
      </c>
      <c r="AL305" s="107">
        <v>-5.7647619047619054</v>
      </c>
      <c r="AM305" s="107">
        <f t="shared" si="56"/>
        <v>-11.004761904761907</v>
      </c>
      <c r="AN305" s="116">
        <f>(-IF($V305="Yes", IF($X305="Yes", VLOOKUP($W305, '[1]Storage Fees'!A:M, 13, FALSE), VLOOKUP($W305, '[1]Storage Fees'!A:M, 10, FALSE)), IF($X305="Yes", VLOOKUP($W305, '[1]Storage Fees'!A:M, 7, FALSE), VLOOKUP($W305, '[1]Storage Fees'!A:M, 4, FALSE))) * U305)*1.5</f>
        <v>-0.11726562499999998</v>
      </c>
    </row>
    <row r="306" spans="1:40" x14ac:dyDescent="0.25">
      <c r="A306" s="99">
        <v>234</v>
      </c>
      <c r="B306" s="99" t="s">
        <v>13702</v>
      </c>
      <c r="C306" s="99" t="s">
        <v>13655</v>
      </c>
      <c r="D306" s="99" t="s">
        <v>749</v>
      </c>
      <c r="E306" s="99" t="s">
        <v>166</v>
      </c>
      <c r="F306" s="99" t="s">
        <v>847</v>
      </c>
      <c r="G306" s="99" t="s">
        <v>13695</v>
      </c>
      <c r="H306" s="99">
        <v>23</v>
      </c>
      <c r="I306" s="99">
        <v>17</v>
      </c>
      <c r="J306" s="99">
        <v>7</v>
      </c>
      <c r="K306" s="101" t="str">
        <f t="shared" si="44"/>
        <v>23x17x7</v>
      </c>
      <c r="L306" s="102">
        <f t="shared" si="45"/>
        <v>19.690647482014388</v>
      </c>
      <c r="M306" s="113">
        <f t="shared" si="46"/>
        <v>19.690647482014388</v>
      </c>
      <c r="N306" s="113">
        <f t="shared" si="47"/>
        <v>20</v>
      </c>
      <c r="O306" s="99">
        <v>15.4375</v>
      </c>
      <c r="P306" s="113">
        <f t="shared" si="48"/>
        <v>20</v>
      </c>
      <c r="Q306" s="112">
        <f t="shared" si="49"/>
        <v>320</v>
      </c>
      <c r="R306" s="112" t="str">
        <f t="shared" si="50"/>
        <v>Oversize</v>
      </c>
      <c r="S306" s="99" t="str">
        <f t="shared" si="51"/>
        <v>Large bulky</v>
      </c>
      <c r="T306" s="116" t="s">
        <v>13692</v>
      </c>
      <c r="U306" s="116">
        <f t="shared" si="52"/>
        <v>1.583912037037037</v>
      </c>
      <c r="V306" s="116" t="s">
        <v>13583</v>
      </c>
      <c r="W306" s="116" t="s">
        <v>13690</v>
      </c>
      <c r="X306" s="116" t="s">
        <v>13691</v>
      </c>
      <c r="Y306" s="116">
        <v>2</v>
      </c>
      <c r="Z306" s="116">
        <v>3</v>
      </c>
      <c r="AA306" s="116">
        <v>1</v>
      </c>
      <c r="AB306" s="99"/>
      <c r="AC306" s="99"/>
      <c r="AD306" s="107">
        <v>179.99</v>
      </c>
      <c r="AE306" s="113">
        <f t="shared" si="53"/>
        <v>-26.9985</v>
      </c>
      <c r="AF306" s="116">
        <f>-IFERROR(IFERROR(VLOOKUP(ROUNDUP($Q306,0),'FBA FEES'!$L$2:$Q$203,MATCH($S306,'FBA FEES'!$L$2:$Q$2,0),FALSE),VLOOKUP(ROUNDUP($Q306,0),'FBA FEES'!$C$6:$F$123,MATCH($S306,'FBA FEES'!$C$6:$F$6,0),FALSE)),0)</f>
        <v>-16.829999999999998</v>
      </c>
      <c r="AG306" s="116">
        <v>-10</v>
      </c>
      <c r="AH306" s="113">
        <f t="shared" si="54"/>
        <v>-43.828499999999998</v>
      </c>
      <c r="AI306" s="116">
        <f>-IFERROR(IF($Y306=1,INDEX('[1]REMOVAL FEES'!$A$1:$C$22,MATCH(CONCATENATE("Standard Size",$P306),'[1]REMOVAL FEES'!$A$1:$A$22,0),3),IF($Y306=2,IF($P306&gt;10,(($P306-10)*1.06)+INDEX('[1]REMOVAL FEES'!$E$1:$G$22,MATCH(CONCATENATE("Large bulky, extra-large and special handling items",IF($P306&gt;=11,11,$P306)),'[1]REMOVAL FEES'!$E$1:$E$13,0),3),INDEX('[1]REMOVAL FEES'!$E$1:$G$22,MATCH(CONCATENATE("Large bulky, extra-large and special handling items",IF($P306&gt;=11,11,$P306)),'[1]REMOVAL FEES'!$E$1:$E$13,0),3))))*$AA306,FALSE)</f>
        <v>-24.92</v>
      </c>
      <c r="AJ306" s="107">
        <f t="shared" si="55"/>
        <v>-68.748500000000007</v>
      </c>
      <c r="AK306" s="107">
        <v>-73</v>
      </c>
      <c r="AL306" s="107">
        <v>-7.9666666666666659</v>
      </c>
      <c r="AM306" s="107">
        <f t="shared" si="56"/>
        <v>-80.966666666666669</v>
      </c>
      <c r="AN306" s="116">
        <f>(-IF($V306="Yes", IF($X306="Yes", VLOOKUP($W306, '[1]Storage Fees'!A:M, 13, FALSE), VLOOKUP($W306, '[1]Storage Fees'!A:M, 10, FALSE)), IF($X306="Yes", VLOOKUP($W306, '[1]Storage Fees'!A:M, 7, FALSE), VLOOKUP($W306, '[1]Storage Fees'!A:M, 4, FALSE))) * U306)*1.5</f>
        <v>-1.8769357638888888</v>
      </c>
    </row>
    <row r="307" spans="1:40" x14ac:dyDescent="0.25">
      <c r="A307" s="99">
        <v>235</v>
      </c>
      <c r="B307" s="99" t="s">
        <v>13700</v>
      </c>
      <c r="C307" s="99" t="s">
        <v>13655</v>
      </c>
      <c r="D307" s="99" t="s">
        <v>749</v>
      </c>
      <c r="E307" s="99" t="s">
        <v>163</v>
      </c>
      <c r="F307" s="99" t="s">
        <v>850</v>
      </c>
      <c r="G307" s="99" t="s">
        <v>13695</v>
      </c>
      <c r="H307" s="99">
        <v>24</v>
      </c>
      <c r="I307" s="99">
        <v>10</v>
      </c>
      <c r="J307" s="99">
        <v>19</v>
      </c>
      <c r="K307" s="101" t="str">
        <f t="shared" si="44"/>
        <v>24x10x19</v>
      </c>
      <c r="L307" s="102">
        <f t="shared" si="45"/>
        <v>32.805755395683455</v>
      </c>
      <c r="M307" s="113">
        <f t="shared" si="46"/>
        <v>32.805755395683455</v>
      </c>
      <c r="N307" s="113">
        <f t="shared" si="47"/>
        <v>33</v>
      </c>
      <c r="O307" s="99">
        <v>36</v>
      </c>
      <c r="P307" s="113">
        <f t="shared" si="48"/>
        <v>36</v>
      </c>
      <c r="Q307" s="112">
        <f t="shared" si="49"/>
        <v>576</v>
      </c>
      <c r="R307" s="112" t="str">
        <f t="shared" si="50"/>
        <v>Oversize</v>
      </c>
      <c r="S307" s="99" t="str">
        <f t="shared" si="51"/>
        <v>Large bulky</v>
      </c>
      <c r="T307" s="116" t="s">
        <v>13694</v>
      </c>
      <c r="U307" s="116">
        <f t="shared" si="52"/>
        <v>2.6388888888888888</v>
      </c>
      <c r="V307" s="116" t="s">
        <v>13583</v>
      </c>
      <c r="W307" s="116" t="s">
        <v>13690</v>
      </c>
      <c r="X307" s="116" t="s">
        <v>13691</v>
      </c>
      <c r="Y307" s="116">
        <v>2</v>
      </c>
      <c r="Z307" s="116">
        <v>3</v>
      </c>
      <c r="AA307" s="116">
        <v>1</v>
      </c>
      <c r="AB307" s="99"/>
      <c r="AC307" s="99"/>
      <c r="AD307" s="107">
        <v>158.36324758842429</v>
      </c>
      <c r="AE307" s="113">
        <f t="shared" si="53"/>
        <v>-23.754487138263642</v>
      </c>
      <c r="AF307" s="116">
        <f>-IFERROR(IFERROR(VLOOKUP(ROUNDUP($Q307,0),'FBA FEES'!$L$2:$Q$203,MATCH($S307,'FBA FEES'!$L$2:$Q$2,0),FALSE),VLOOKUP(ROUNDUP($Q307,0),'FBA FEES'!$C$6:$F$123,MATCH($S307,'FBA FEES'!$C$6:$F$6,0),FALSE)),0)</f>
        <v>-22.91</v>
      </c>
      <c r="AG307" s="116">
        <v>-10</v>
      </c>
      <c r="AH307" s="113">
        <f t="shared" si="54"/>
        <v>-46.664487138263638</v>
      </c>
      <c r="AI307" s="116">
        <f>-IFERROR(IF($Y307=1,INDEX('[1]REMOVAL FEES'!$A$1:$C$22,MATCH(CONCATENATE("Standard Size",$P307),'[1]REMOVAL FEES'!$A$1:$A$22,0),3),IF($Y307=2,IF($P307&gt;10,(($P307-10)*1.06)+INDEX('[1]REMOVAL FEES'!$E$1:$G$22,MATCH(CONCATENATE("Large bulky, extra-large and special handling items",IF($P307&gt;=11,11,$P307)),'[1]REMOVAL FEES'!$E$1:$E$13,0),3),INDEX('[1]REMOVAL FEES'!$E$1:$G$22,MATCH(CONCATENATE("Large bulky, extra-large and special handling items",IF($P307&gt;=11,11,$P307)),'[1]REMOVAL FEES'!$E$1:$E$13,0),3))))*$AA307,FALSE)</f>
        <v>-41.88</v>
      </c>
      <c r="AJ307" s="107">
        <f t="shared" si="55"/>
        <v>-88.544487138263634</v>
      </c>
      <c r="AK307" s="107">
        <v>-90</v>
      </c>
      <c r="AL307" s="107">
        <v>-11.700553283309761</v>
      </c>
      <c r="AM307" s="107">
        <f t="shared" si="56"/>
        <v>-101.70055328330976</v>
      </c>
      <c r="AN307" s="116">
        <f>(-IF($V307="Yes", IF($X307="Yes", VLOOKUP($W307, '[1]Storage Fees'!A:M, 13, FALSE), VLOOKUP($W307, '[1]Storage Fees'!A:M, 10, FALSE)), IF($X307="Yes", VLOOKUP($W307, '[1]Storage Fees'!A:M, 7, FALSE), VLOOKUP($W307, '[1]Storage Fees'!A:M, 4, FALSE))) * U307)*1.5</f>
        <v>-3.1270833333333332</v>
      </c>
    </row>
    <row r="308" spans="1:40" x14ac:dyDescent="0.25">
      <c r="A308" s="99">
        <v>236</v>
      </c>
      <c r="B308" s="99"/>
      <c r="C308" s="99" t="s">
        <v>13655</v>
      </c>
      <c r="D308" s="99"/>
      <c r="E308" s="99" t="s">
        <v>163</v>
      </c>
      <c r="F308" s="99" t="s">
        <v>1676</v>
      </c>
      <c r="G308" s="99" t="s">
        <v>13695</v>
      </c>
      <c r="H308" s="99">
        <v>0</v>
      </c>
      <c r="I308" s="99">
        <v>0</v>
      </c>
      <c r="J308" s="99">
        <v>0</v>
      </c>
      <c r="K308" s="101" t="str">
        <f t="shared" si="44"/>
        <v>0x0x0</v>
      </c>
      <c r="L308" s="102">
        <f t="shared" si="45"/>
        <v>0</v>
      </c>
      <c r="M308" s="113">
        <f t="shared" si="46"/>
        <v>0</v>
      </c>
      <c r="N308" s="113">
        <f t="shared" si="47"/>
        <v>0</v>
      </c>
      <c r="O308" s="99">
        <v>0</v>
      </c>
      <c r="P308" s="113">
        <f t="shared" si="48"/>
        <v>0</v>
      </c>
      <c r="Q308" s="112">
        <f t="shared" si="49"/>
        <v>0</v>
      </c>
      <c r="R308" s="112" t="str">
        <f t="shared" si="50"/>
        <v>Standard-size</v>
      </c>
      <c r="S308" s="99" t="str">
        <f t="shared" si="51"/>
        <v>Small standard-size</v>
      </c>
      <c r="T308" s="116" t="s">
        <v>13696</v>
      </c>
      <c r="U308" s="116">
        <f t="shared" si="52"/>
        <v>0</v>
      </c>
      <c r="V308" s="116" t="s">
        <v>13583</v>
      </c>
      <c r="W308" s="116" t="s">
        <v>13690</v>
      </c>
      <c r="X308" s="99" t="s">
        <v>13583</v>
      </c>
      <c r="Y308" s="99">
        <v>1</v>
      </c>
      <c r="Z308" s="99">
        <v>1</v>
      </c>
      <c r="AA308" s="99">
        <v>1</v>
      </c>
      <c r="AB308" s="99"/>
      <c r="AC308" s="99"/>
      <c r="AD308" s="107">
        <v>163.55153846153831</v>
      </c>
      <c r="AE308" s="113">
        <f t="shared" si="53"/>
        <v>-24.532730769230746</v>
      </c>
      <c r="AF308" s="116">
        <f>-IFERROR(IFERROR(VLOOKUP(ROUNDUP($Q308,0),'FBA FEES'!$L$2:$Q$203,MATCH($S308,'FBA FEES'!$L$2:$Q$2,0),FALSE),VLOOKUP(ROUNDUP($Q308,0),'FBA FEES'!$C$6:$F$123,MATCH($S308,'FBA FEES'!$C$6:$F$6,0),FALSE)),0)</f>
        <v>0</v>
      </c>
      <c r="AG308" s="116">
        <v>-10</v>
      </c>
      <c r="AH308" s="113">
        <f t="shared" si="54"/>
        <v>-24.532730769230746</v>
      </c>
      <c r="AI308" s="116">
        <f>-IFERROR(IF($Y308=1,INDEX('[1]REMOVAL FEES'!$A$1:$C$22,MATCH(CONCATENATE("Standard Size",$P308),'[1]REMOVAL FEES'!$A$1:$A$22,0),3),IF($Y308=2,IF($P308&gt;10,(($P308-10)*1.06)+INDEX('[1]REMOVAL FEES'!$E$1:$G$22,MATCH(CONCATENATE("Large bulky, extra-large and special handling items",IF($P308&gt;=11,11,$P308)),'[1]REMOVAL FEES'!$E$1:$E$13,0),3),INDEX('[1]REMOVAL FEES'!$E$1:$G$22,MATCH(CONCATENATE("Large bulky, extra-large and special handling items",IF($P308&gt;=11,11,$P308)),'[1]REMOVAL FEES'!$E$1:$E$13,0),3))))*$AA308,FALSE)</f>
        <v>0</v>
      </c>
      <c r="AJ308" s="107">
        <f t="shared" si="55"/>
        <v>-24.532730769230746</v>
      </c>
      <c r="AK308" s="107">
        <v>-97</v>
      </c>
      <c r="AL308" s="107">
        <v>-13.43248237179488</v>
      </c>
      <c r="AM308" s="107">
        <f t="shared" si="56"/>
        <v>-110.43248237179488</v>
      </c>
      <c r="AN308" s="116">
        <f>(-IF($V308="Yes", IF($X308="Yes", VLOOKUP($W308, '[1]Storage Fees'!A:M, 13, FALSE), VLOOKUP($W308, '[1]Storage Fees'!A:M, 10, FALSE)), IF($X308="Yes", VLOOKUP($W308, '[1]Storage Fees'!A:M, 7, FALSE), VLOOKUP($W308, '[1]Storage Fees'!A:M, 4, FALSE))) * U308)*1.5</f>
        <v>0</v>
      </c>
    </row>
    <row r="309" spans="1:40" x14ac:dyDescent="0.25">
      <c r="A309" s="99">
        <v>237</v>
      </c>
      <c r="B309" s="99" t="s">
        <v>13700</v>
      </c>
      <c r="C309" s="99" t="s">
        <v>13655</v>
      </c>
      <c r="D309" s="99" t="s">
        <v>749</v>
      </c>
      <c r="E309" s="99" t="s">
        <v>163</v>
      </c>
      <c r="F309" s="99" t="s">
        <v>853</v>
      </c>
      <c r="G309" s="99" t="s">
        <v>13695</v>
      </c>
      <c r="H309" s="99">
        <v>15</v>
      </c>
      <c r="I309" s="99">
        <v>14</v>
      </c>
      <c r="J309" s="99">
        <v>30</v>
      </c>
      <c r="K309" s="101" t="str">
        <f t="shared" si="44"/>
        <v>15x14x30</v>
      </c>
      <c r="L309" s="102">
        <f t="shared" si="45"/>
        <v>45.323741007194243</v>
      </c>
      <c r="M309" s="113">
        <f t="shared" si="46"/>
        <v>45.323741007194243</v>
      </c>
      <c r="N309" s="113">
        <f t="shared" si="47"/>
        <v>46</v>
      </c>
      <c r="O309" s="99">
        <v>50</v>
      </c>
      <c r="P309" s="113">
        <f t="shared" si="48"/>
        <v>50</v>
      </c>
      <c r="Q309" s="112">
        <f t="shared" si="49"/>
        <v>800</v>
      </c>
      <c r="R309" s="112" t="str">
        <f t="shared" si="50"/>
        <v>Oversize</v>
      </c>
      <c r="S309" s="99" t="str">
        <f t="shared" si="51"/>
        <v>Large bulky</v>
      </c>
      <c r="T309" s="116" t="s">
        <v>13694</v>
      </c>
      <c r="U309" s="116">
        <f t="shared" si="52"/>
        <v>3.6458333333333335</v>
      </c>
      <c r="V309" s="116" t="s">
        <v>13583</v>
      </c>
      <c r="W309" s="116" t="s">
        <v>13690</v>
      </c>
      <c r="X309" s="116" t="s">
        <v>13691</v>
      </c>
      <c r="Y309" s="116">
        <v>2</v>
      </c>
      <c r="Z309" s="116">
        <v>3</v>
      </c>
      <c r="AA309" s="116">
        <v>1</v>
      </c>
      <c r="AB309" s="99"/>
      <c r="AC309" s="99"/>
      <c r="AD309" s="107">
        <v>213.53917948717961</v>
      </c>
      <c r="AE309" s="113">
        <f t="shared" si="53"/>
        <v>-32.030876923076939</v>
      </c>
      <c r="AF309" s="116">
        <f>-IFERROR(IFERROR(VLOOKUP(ROUNDUP($Q309,0),'FBA FEES'!$L$2:$Q$203,MATCH($S309,'FBA FEES'!$L$2:$Q$2,0),FALSE),VLOOKUP(ROUNDUP($Q309,0),'FBA FEES'!$C$6:$F$123,MATCH($S309,'FBA FEES'!$C$6:$F$6,0),FALSE)),0)</f>
        <v>-28.23</v>
      </c>
      <c r="AG309" s="116">
        <v>-10</v>
      </c>
      <c r="AH309" s="113">
        <f t="shared" si="54"/>
        <v>-60.260876923076935</v>
      </c>
      <c r="AI309" s="116">
        <f>-IFERROR(IF($Y309=1,INDEX('[1]REMOVAL FEES'!$A$1:$C$22,MATCH(CONCATENATE("Standard Size",$P309),'[1]REMOVAL FEES'!$A$1:$A$22,0),3),IF($Y309=2,IF($P309&gt;10,(($P309-10)*1.06)+INDEX('[1]REMOVAL FEES'!$E$1:$G$22,MATCH(CONCATENATE("Large bulky, extra-large and special handling items",IF($P309&gt;=11,11,$P309)),'[1]REMOVAL FEES'!$E$1:$E$13,0),3),INDEX('[1]REMOVAL FEES'!$E$1:$G$22,MATCH(CONCATENATE("Large bulky, extra-large and special handling items",IF($P309&gt;=11,11,$P309)),'[1]REMOVAL FEES'!$E$1:$E$13,0),3))))*$AA309,FALSE)</f>
        <v>-56.720000000000006</v>
      </c>
      <c r="AJ309" s="107">
        <f t="shared" si="55"/>
        <v>-116.98087692307695</v>
      </c>
      <c r="AK309" s="107">
        <v>-122</v>
      </c>
      <c r="AL309" s="107">
        <v>-11.485398148148141</v>
      </c>
      <c r="AM309" s="107">
        <f t="shared" si="56"/>
        <v>-133.48539814814814</v>
      </c>
      <c r="AN309" s="116">
        <f>(-IF($V309="Yes", IF($X309="Yes", VLOOKUP($W309, '[1]Storage Fees'!A:M, 13, FALSE), VLOOKUP($W309, '[1]Storage Fees'!A:M, 10, FALSE)), IF($X309="Yes", VLOOKUP($W309, '[1]Storage Fees'!A:M, 7, FALSE), VLOOKUP($W309, '[1]Storage Fees'!A:M, 4, FALSE))) * U309)*1.5</f>
        <v>-4.3203125</v>
      </c>
    </row>
    <row r="310" spans="1:40" x14ac:dyDescent="0.25">
      <c r="A310" s="99">
        <v>238</v>
      </c>
      <c r="B310" s="99"/>
      <c r="C310" s="99" t="s">
        <v>13655</v>
      </c>
      <c r="D310" s="99"/>
      <c r="E310" s="99" t="s">
        <v>1513</v>
      </c>
      <c r="F310" s="99" t="s">
        <v>1678</v>
      </c>
      <c r="G310" s="99" t="s">
        <v>13695</v>
      </c>
      <c r="H310" s="99">
        <v>0</v>
      </c>
      <c r="I310" s="99">
        <v>0</v>
      </c>
      <c r="J310" s="99">
        <v>0</v>
      </c>
      <c r="K310" s="101" t="str">
        <f t="shared" si="44"/>
        <v>0x0x0</v>
      </c>
      <c r="L310" s="102">
        <f t="shared" si="45"/>
        <v>0</v>
      </c>
      <c r="M310" s="113">
        <f t="shared" si="46"/>
        <v>0</v>
      </c>
      <c r="N310" s="113">
        <f t="shared" si="47"/>
        <v>0</v>
      </c>
      <c r="O310" s="99">
        <v>0</v>
      </c>
      <c r="P310" s="113">
        <f t="shared" si="48"/>
        <v>0</v>
      </c>
      <c r="Q310" s="112">
        <f t="shared" si="49"/>
        <v>0</v>
      </c>
      <c r="R310" s="112" t="str">
        <f t="shared" si="50"/>
        <v>Standard-size</v>
      </c>
      <c r="S310" s="99" t="str">
        <f t="shared" si="51"/>
        <v>Small standard-size</v>
      </c>
      <c r="T310" s="116" t="s">
        <v>13696</v>
      </c>
      <c r="U310" s="116">
        <f t="shared" si="52"/>
        <v>0</v>
      </c>
      <c r="V310" s="116" t="s">
        <v>13583</v>
      </c>
      <c r="W310" s="116" t="s">
        <v>13690</v>
      </c>
      <c r="X310" s="99" t="s">
        <v>13583</v>
      </c>
      <c r="Y310" s="99">
        <v>1</v>
      </c>
      <c r="Z310" s="99">
        <v>1</v>
      </c>
      <c r="AA310" s="99">
        <v>1</v>
      </c>
      <c r="AB310" s="99"/>
      <c r="AC310" s="99"/>
      <c r="AD310" s="107">
        <v>0</v>
      </c>
      <c r="AE310" s="113">
        <f t="shared" si="53"/>
        <v>0</v>
      </c>
      <c r="AF310" s="116">
        <f>-IFERROR(IFERROR(VLOOKUP(ROUNDUP($Q310,0),'FBA FEES'!$L$2:$Q$203,MATCH($S310,'FBA FEES'!$L$2:$Q$2,0),FALSE),VLOOKUP(ROUNDUP($Q310,0),'FBA FEES'!$C$6:$F$123,MATCH($S310,'FBA FEES'!$C$6:$F$6,0),FALSE)),0)</f>
        <v>0</v>
      </c>
      <c r="AG310" s="116">
        <v>-10</v>
      </c>
      <c r="AH310" s="113">
        <f t="shared" si="54"/>
        <v>0</v>
      </c>
      <c r="AI310" s="116">
        <f>-IFERROR(IF($Y310=1,INDEX('[1]REMOVAL FEES'!$A$1:$C$22,MATCH(CONCATENATE("Standard Size",$P310),'[1]REMOVAL FEES'!$A$1:$A$22,0),3),IF($Y310=2,IF($P310&gt;10,(($P310-10)*1.06)+INDEX('[1]REMOVAL FEES'!$E$1:$G$22,MATCH(CONCATENATE("Large bulky, extra-large and special handling items",IF($P310&gt;=11,11,$P310)),'[1]REMOVAL FEES'!$E$1:$E$13,0),3),INDEX('[1]REMOVAL FEES'!$E$1:$G$22,MATCH(CONCATENATE("Large bulky, extra-large and special handling items",IF($P310&gt;=11,11,$P310)),'[1]REMOVAL FEES'!$E$1:$E$13,0),3))))*$AA310,FALSE)</f>
        <v>0</v>
      </c>
      <c r="AJ310" s="107">
        <f t="shared" si="55"/>
        <v>0</v>
      </c>
      <c r="AK310" s="107">
        <v>0</v>
      </c>
      <c r="AL310" s="107">
        <v>0</v>
      </c>
      <c r="AM310" s="107">
        <f t="shared" si="56"/>
        <v>0</v>
      </c>
      <c r="AN310" s="116">
        <f>(-IF($V310="Yes", IF($X310="Yes", VLOOKUP($W310, '[1]Storage Fees'!A:M, 13, FALSE), VLOOKUP($W310, '[1]Storage Fees'!A:M, 10, FALSE)), IF($X310="Yes", VLOOKUP($W310, '[1]Storage Fees'!A:M, 7, FALSE), VLOOKUP($W310, '[1]Storage Fees'!A:M, 4, FALSE))) * U310)*1.5</f>
        <v>0</v>
      </c>
    </row>
    <row r="311" spans="1:40" x14ac:dyDescent="0.25">
      <c r="A311" s="99">
        <v>239</v>
      </c>
      <c r="B311" s="99"/>
      <c r="C311" s="99" t="s">
        <v>13655</v>
      </c>
      <c r="D311" s="99"/>
      <c r="E311" s="99" t="s">
        <v>1513</v>
      </c>
      <c r="F311" s="99" t="s">
        <v>1680</v>
      </c>
      <c r="G311" s="99" t="s">
        <v>13695</v>
      </c>
      <c r="H311" s="99">
        <v>0</v>
      </c>
      <c r="I311" s="99">
        <v>0</v>
      </c>
      <c r="J311" s="99">
        <v>0</v>
      </c>
      <c r="K311" s="101" t="str">
        <f t="shared" si="44"/>
        <v>0x0x0</v>
      </c>
      <c r="L311" s="102">
        <f t="shared" si="45"/>
        <v>0</v>
      </c>
      <c r="M311" s="113">
        <f t="shared" si="46"/>
        <v>0</v>
      </c>
      <c r="N311" s="113">
        <f t="shared" si="47"/>
        <v>0</v>
      </c>
      <c r="O311" s="99">
        <v>0</v>
      </c>
      <c r="P311" s="113">
        <f t="shared" si="48"/>
        <v>0</v>
      </c>
      <c r="Q311" s="112">
        <f t="shared" si="49"/>
        <v>0</v>
      </c>
      <c r="R311" s="112" t="str">
        <f t="shared" si="50"/>
        <v>Standard-size</v>
      </c>
      <c r="S311" s="99" t="str">
        <f t="shared" si="51"/>
        <v>Small standard-size</v>
      </c>
      <c r="T311" s="116" t="s">
        <v>13696</v>
      </c>
      <c r="U311" s="116">
        <f t="shared" si="52"/>
        <v>0</v>
      </c>
      <c r="V311" s="116" t="s">
        <v>13583</v>
      </c>
      <c r="W311" s="116" t="s">
        <v>13690</v>
      </c>
      <c r="X311" s="99" t="s">
        <v>13583</v>
      </c>
      <c r="Y311" s="99">
        <v>1</v>
      </c>
      <c r="Z311" s="99">
        <v>1</v>
      </c>
      <c r="AA311" s="99">
        <v>1</v>
      </c>
      <c r="AB311" s="99"/>
      <c r="AC311" s="99"/>
      <c r="AD311" s="107">
        <v>0</v>
      </c>
      <c r="AE311" s="113">
        <f t="shared" si="53"/>
        <v>0</v>
      </c>
      <c r="AF311" s="116">
        <f>-IFERROR(IFERROR(VLOOKUP(ROUNDUP($Q311,0),'FBA FEES'!$L$2:$Q$203,MATCH($S311,'FBA FEES'!$L$2:$Q$2,0),FALSE),VLOOKUP(ROUNDUP($Q311,0),'FBA FEES'!$C$6:$F$123,MATCH($S311,'FBA FEES'!$C$6:$F$6,0),FALSE)),0)</f>
        <v>0</v>
      </c>
      <c r="AG311" s="116">
        <v>-10</v>
      </c>
      <c r="AH311" s="113">
        <f t="shared" si="54"/>
        <v>0</v>
      </c>
      <c r="AI311" s="116">
        <f>-IFERROR(IF($Y311=1,INDEX('[1]REMOVAL FEES'!$A$1:$C$22,MATCH(CONCATENATE("Standard Size",$P311),'[1]REMOVAL FEES'!$A$1:$A$22,0),3),IF($Y311=2,IF($P311&gt;10,(($P311-10)*1.06)+INDEX('[1]REMOVAL FEES'!$E$1:$G$22,MATCH(CONCATENATE("Large bulky, extra-large and special handling items",IF($P311&gt;=11,11,$P311)),'[1]REMOVAL FEES'!$E$1:$E$13,0),3),INDEX('[1]REMOVAL FEES'!$E$1:$G$22,MATCH(CONCATENATE("Large bulky, extra-large and special handling items",IF($P311&gt;=11,11,$P311)),'[1]REMOVAL FEES'!$E$1:$E$13,0),3))))*$AA311,FALSE)</f>
        <v>0</v>
      </c>
      <c r="AJ311" s="107">
        <f t="shared" si="55"/>
        <v>0</v>
      </c>
      <c r="AK311" s="107">
        <v>0</v>
      </c>
      <c r="AL311" s="107">
        <v>0</v>
      </c>
      <c r="AM311" s="107">
        <f t="shared" si="56"/>
        <v>0</v>
      </c>
      <c r="AN311" s="116">
        <f>(-IF($V311="Yes", IF($X311="Yes", VLOOKUP($W311, '[1]Storage Fees'!A:M, 13, FALSE), VLOOKUP($W311, '[1]Storage Fees'!A:M, 10, FALSE)), IF($X311="Yes", VLOOKUP($W311, '[1]Storage Fees'!A:M, 7, FALSE), VLOOKUP($W311, '[1]Storage Fees'!A:M, 4, FALSE))) * U311)*1.5</f>
        <v>0</v>
      </c>
    </row>
    <row r="312" spans="1:40" x14ac:dyDescent="0.25">
      <c r="A312" s="99">
        <v>240</v>
      </c>
      <c r="B312" s="99"/>
      <c r="C312" s="99" t="s">
        <v>13655</v>
      </c>
      <c r="D312" s="99"/>
      <c r="E312" s="99" t="s">
        <v>278</v>
      </c>
      <c r="F312" s="99" t="s">
        <v>1682</v>
      </c>
      <c r="G312" s="99" t="s">
        <v>13695</v>
      </c>
      <c r="H312" s="99">
        <v>0</v>
      </c>
      <c r="I312" s="99">
        <v>0</v>
      </c>
      <c r="J312" s="99">
        <v>0</v>
      </c>
      <c r="K312" s="101" t="str">
        <f t="shared" si="44"/>
        <v>0x0x0</v>
      </c>
      <c r="L312" s="102">
        <f t="shared" si="45"/>
        <v>0</v>
      </c>
      <c r="M312" s="113">
        <f t="shared" si="46"/>
        <v>0</v>
      </c>
      <c r="N312" s="113">
        <f t="shared" si="47"/>
        <v>0</v>
      </c>
      <c r="O312" s="99">
        <v>0</v>
      </c>
      <c r="P312" s="113">
        <f t="shared" si="48"/>
        <v>0</v>
      </c>
      <c r="Q312" s="112">
        <f t="shared" si="49"/>
        <v>0</v>
      </c>
      <c r="R312" s="112" t="str">
        <f t="shared" si="50"/>
        <v>Standard-size</v>
      </c>
      <c r="S312" s="99" t="str">
        <f t="shared" si="51"/>
        <v>Small standard-size</v>
      </c>
      <c r="T312" s="116" t="s">
        <v>13696</v>
      </c>
      <c r="U312" s="116">
        <f t="shared" si="52"/>
        <v>0</v>
      </c>
      <c r="V312" s="116" t="s">
        <v>13583</v>
      </c>
      <c r="W312" s="116" t="s">
        <v>13690</v>
      </c>
      <c r="X312" s="99" t="s">
        <v>13583</v>
      </c>
      <c r="Y312" s="99">
        <v>1</v>
      </c>
      <c r="Z312" s="99">
        <v>1</v>
      </c>
      <c r="AA312" s="99">
        <v>1</v>
      </c>
      <c r="AB312" s="99"/>
      <c r="AC312" s="99"/>
      <c r="AD312" s="107">
        <v>0</v>
      </c>
      <c r="AE312" s="113">
        <f t="shared" si="53"/>
        <v>0</v>
      </c>
      <c r="AF312" s="116">
        <f>-IFERROR(IFERROR(VLOOKUP(ROUNDUP($Q312,0),'FBA FEES'!$L$2:$Q$203,MATCH($S312,'FBA FEES'!$L$2:$Q$2,0),FALSE),VLOOKUP(ROUNDUP($Q312,0),'FBA FEES'!$C$6:$F$123,MATCH($S312,'FBA FEES'!$C$6:$F$6,0),FALSE)),0)</f>
        <v>0</v>
      </c>
      <c r="AG312" s="116">
        <v>-10</v>
      </c>
      <c r="AH312" s="113">
        <f t="shared" si="54"/>
        <v>0</v>
      </c>
      <c r="AI312" s="116">
        <f>-IFERROR(IF($Y312=1,INDEX('[1]REMOVAL FEES'!$A$1:$C$22,MATCH(CONCATENATE("Standard Size",$P312),'[1]REMOVAL FEES'!$A$1:$A$22,0),3),IF($Y312=2,IF($P312&gt;10,(($P312-10)*1.06)+INDEX('[1]REMOVAL FEES'!$E$1:$G$22,MATCH(CONCATENATE("Large bulky, extra-large and special handling items",IF($P312&gt;=11,11,$P312)),'[1]REMOVAL FEES'!$E$1:$E$13,0),3),INDEX('[1]REMOVAL FEES'!$E$1:$G$22,MATCH(CONCATENATE("Large bulky, extra-large and special handling items",IF($P312&gt;=11,11,$P312)),'[1]REMOVAL FEES'!$E$1:$E$13,0),3))))*$AA312,FALSE)</f>
        <v>0</v>
      </c>
      <c r="AJ312" s="107">
        <f t="shared" si="55"/>
        <v>0</v>
      </c>
      <c r="AK312" s="107">
        <v>0</v>
      </c>
      <c r="AL312" s="107">
        <v>0</v>
      </c>
      <c r="AM312" s="107">
        <f t="shared" si="56"/>
        <v>0</v>
      </c>
      <c r="AN312" s="116">
        <f>(-IF($V312="Yes", IF($X312="Yes", VLOOKUP($W312, '[1]Storage Fees'!A:M, 13, FALSE), VLOOKUP($W312, '[1]Storage Fees'!A:M, 10, FALSE)), IF($X312="Yes", VLOOKUP($W312, '[1]Storage Fees'!A:M, 7, FALSE), VLOOKUP($W312, '[1]Storage Fees'!A:M, 4, FALSE))) * U312)*1.5</f>
        <v>0</v>
      </c>
    </row>
    <row r="313" spans="1:40" x14ac:dyDescent="0.25">
      <c r="A313" s="99">
        <v>241</v>
      </c>
      <c r="B313" s="99" t="s">
        <v>107</v>
      </c>
      <c r="C313" s="99"/>
      <c r="D313" s="99"/>
      <c r="E313" s="99" t="s">
        <v>296</v>
      </c>
      <c r="F313" s="99" t="s">
        <v>294</v>
      </c>
      <c r="G313" s="99" t="s">
        <v>13695</v>
      </c>
      <c r="H313" s="99">
        <v>13</v>
      </c>
      <c r="I313" s="99">
        <v>12</v>
      </c>
      <c r="J313" s="99">
        <v>4</v>
      </c>
      <c r="K313" s="101" t="str">
        <f t="shared" si="44"/>
        <v>13x12x4</v>
      </c>
      <c r="L313" s="102">
        <f t="shared" si="45"/>
        <v>4.4892086330935248</v>
      </c>
      <c r="M313" s="113">
        <f t="shared" si="46"/>
        <v>4.4892086330935248</v>
      </c>
      <c r="N313" s="113">
        <f t="shared" si="47"/>
        <v>5</v>
      </c>
      <c r="O313" s="99">
        <v>11</v>
      </c>
      <c r="P313" s="113">
        <f t="shared" si="48"/>
        <v>11</v>
      </c>
      <c r="Q313" s="112">
        <f t="shared" si="49"/>
        <v>176</v>
      </c>
      <c r="R313" s="112" t="str">
        <f t="shared" si="50"/>
        <v>Standard-size</v>
      </c>
      <c r="S313" s="99" t="str">
        <f t="shared" si="51"/>
        <v>Large standard-size</v>
      </c>
      <c r="T313" s="116" t="s">
        <v>13693</v>
      </c>
      <c r="U313" s="116">
        <f t="shared" si="52"/>
        <v>0.3611111111111111</v>
      </c>
      <c r="V313" s="116" t="s">
        <v>13583</v>
      </c>
      <c r="W313" s="116" t="s">
        <v>13690</v>
      </c>
      <c r="X313" s="99" t="s">
        <v>13583</v>
      </c>
      <c r="Y313" s="99">
        <v>1</v>
      </c>
      <c r="Z313" s="99">
        <v>2</v>
      </c>
      <c r="AA313" s="99">
        <v>1</v>
      </c>
      <c r="AB313" s="99"/>
      <c r="AC313" s="99"/>
      <c r="AD313" s="107">
        <v>94.539874371859341</v>
      </c>
      <c r="AE313" s="113">
        <f t="shared" si="53"/>
        <v>-14.1809811557789</v>
      </c>
      <c r="AF313" s="116">
        <f>-IFERROR(IFERROR(VLOOKUP(ROUNDUP($Q313,0),'FBA FEES'!$L$2:$Q$203,MATCH($S313,'FBA FEES'!$L$2:$Q$2,0),FALSE),VLOOKUP(ROUNDUP($Q313,0),'FBA FEES'!$C$6:$F$123,MATCH($S313,'FBA FEES'!$C$6:$F$6,0),FALSE)),0)</f>
        <v>-9.48</v>
      </c>
      <c r="AG313" s="116">
        <v>-10</v>
      </c>
      <c r="AH313" s="113">
        <f t="shared" si="54"/>
        <v>-23.660981155778899</v>
      </c>
      <c r="AI313" s="116">
        <f>-IFERROR(IF($Y313=1,INDEX('[1]REMOVAL FEES'!$A$1:$C$22,MATCH(CONCATENATE("Standard Size",$P313),'[1]REMOVAL FEES'!$A$1:$A$22,0),3),IF($Y313=2,IF($P313&gt;10,(($P313-10)*1.06)+INDEX('[1]REMOVAL FEES'!$E$1:$G$22,MATCH(CONCATENATE("Large bulky, extra-large and special handling items",IF($P313&gt;=11,11,$P313)),'[1]REMOVAL FEES'!$E$1:$E$13,0),3),INDEX('[1]REMOVAL FEES'!$E$1:$G$22,MATCH(CONCATENATE("Large bulky, extra-large and special handling items",IF($P313&gt;=11,11,$P313)),'[1]REMOVAL FEES'!$E$1:$E$13,0),3))))*$AA313,FALSE)</f>
        <v>-12.430000000000001</v>
      </c>
      <c r="AJ313" s="107">
        <f t="shared" si="55"/>
        <v>-36.090981155778898</v>
      </c>
      <c r="AK313" s="107">
        <v>-36.415879396984927</v>
      </c>
      <c r="AL313" s="107">
        <v>-3.220901372603755</v>
      </c>
      <c r="AM313" s="107">
        <f t="shared" si="56"/>
        <v>-39.636780769588682</v>
      </c>
      <c r="AN313" s="116">
        <f>(-IF($V313="Yes", IF($X313="Yes", VLOOKUP($W313, '[1]Storage Fees'!A:M, 13, FALSE), VLOOKUP($W313, '[1]Storage Fees'!A:M, 10, FALSE)), IF($X313="Yes", VLOOKUP($W313, '[1]Storage Fees'!A:M, 7, FALSE), VLOOKUP($W313, '[1]Storage Fees'!A:M, 4, FALSE))) * U313)*1.5</f>
        <v>-0.66083333333333327</v>
      </c>
    </row>
    <row r="314" spans="1:40" x14ac:dyDescent="0.25">
      <c r="A314" s="99">
        <v>242</v>
      </c>
      <c r="B314" s="99" t="s">
        <v>107</v>
      </c>
      <c r="C314" s="99"/>
      <c r="D314" s="99"/>
      <c r="E314" s="99" t="s">
        <v>296</v>
      </c>
      <c r="F314" s="99" t="s">
        <v>297</v>
      </c>
      <c r="G314" s="99" t="s">
        <v>13656</v>
      </c>
      <c r="H314" s="99">
        <v>14</v>
      </c>
      <c r="I314" s="99">
        <v>12</v>
      </c>
      <c r="J314" s="99">
        <v>4</v>
      </c>
      <c r="K314" s="101" t="str">
        <f t="shared" si="44"/>
        <v>14x12x4</v>
      </c>
      <c r="L314" s="102">
        <f t="shared" si="45"/>
        <v>4.8345323741007196</v>
      </c>
      <c r="M314" s="113">
        <f t="shared" si="46"/>
        <v>4.8345323741007196</v>
      </c>
      <c r="N314" s="113">
        <f t="shared" si="47"/>
        <v>5</v>
      </c>
      <c r="O314" s="99">
        <v>5</v>
      </c>
      <c r="P314" s="113">
        <f t="shared" si="48"/>
        <v>5</v>
      </c>
      <c r="Q314" s="112">
        <f t="shared" si="49"/>
        <v>80</v>
      </c>
      <c r="R314" s="112" t="str">
        <f t="shared" si="50"/>
        <v>Standard-size</v>
      </c>
      <c r="S314" s="99" t="str">
        <f t="shared" si="51"/>
        <v>Large standard-size</v>
      </c>
      <c r="T314" s="116" t="s">
        <v>13693</v>
      </c>
      <c r="U314" s="116">
        <f t="shared" si="52"/>
        <v>0.3888888888888889</v>
      </c>
      <c r="V314" s="116" t="s">
        <v>13583</v>
      </c>
      <c r="W314" s="116" t="s">
        <v>13690</v>
      </c>
      <c r="X314" s="99" t="s">
        <v>13583</v>
      </c>
      <c r="Y314" s="99">
        <v>1</v>
      </c>
      <c r="Z314" s="99">
        <v>2</v>
      </c>
      <c r="AA314" s="99">
        <v>1</v>
      </c>
      <c r="AB314" s="99"/>
      <c r="AC314" s="99"/>
      <c r="AD314" s="107">
        <v>53.759947368420903</v>
      </c>
      <c r="AE314" s="113">
        <f t="shared" si="53"/>
        <v>-8.0639921052631358</v>
      </c>
      <c r="AF314" s="116">
        <f>-IFERROR(IFERROR(VLOOKUP(ROUNDUP($Q314,0),'FBA FEES'!$L$2:$Q$203,MATCH($S314,'FBA FEES'!$L$2:$Q$2,0),FALSE),VLOOKUP(ROUNDUP($Q314,0),'FBA FEES'!$C$6:$F$123,MATCH($S314,'FBA FEES'!$C$6:$F$6,0),FALSE)),0)</f>
        <v>-7.56</v>
      </c>
      <c r="AG314" s="116">
        <v>-10</v>
      </c>
      <c r="AH314" s="113">
        <f t="shared" si="54"/>
        <v>-15.623992105263135</v>
      </c>
      <c r="AI314" s="116">
        <f>-IFERROR(IF($Y314=1,INDEX('[1]REMOVAL FEES'!$A$1:$C$22,MATCH(CONCATENATE("Standard Size",$P314),'[1]REMOVAL FEES'!$A$1:$A$22,0),3),IF($Y314=2,IF($P314&gt;10,(($P314-10)*1.06)+INDEX('[1]REMOVAL FEES'!$E$1:$G$22,MATCH(CONCATENATE("Large bulky, extra-large and special handling items",IF($P314&gt;=11,11,$P314)),'[1]REMOVAL FEES'!$E$1:$E$13,0),3),INDEX('[1]REMOVAL FEES'!$E$1:$G$22,MATCH(CONCATENATE("Large bulky, extra-large and special handling items",IF($P314&gt;=11,11,$P314)),'[1]REMOVAL FEES'!$E$1:$E$13,0),3))))*$AA314,FALSE)</f>
        <v>-6.07</v>
      </c>
      <c r="AJ314" s="107">
        <f t="shared" si="55"/>
        <v>-21.693992105263135</v>
      </c>
      <c r="AK314" s="107">
        <v>-16.267052631578991</v>
      </c>
      <c r="AL314" s="107">
        <v>-1.624316290726822</v>
      </c>
      <c r="AM314" s="107">
        <f t="shared" si="56"/>
        <v>-17.891368922305812</v>
      </c>
      <c r="AN314" s="116">
        <f>(-IF($V314="Yes", IF($X314="Yes", VLOOKUP($W314, '[1]Storage Fees'!A:M, 13, FALSE), VLOOKUP($W314, '[1]Storage Fees'!A:M, 10, FALSE)), IF($X314="Yes", VLOOKUP($W314, '[1]Storage Fees'!A:M, 7, FALSE), VLOOKUP($W314, '[1]Storage Fees'!A:M, 4, FALSE))) * U314)*1.5</f>
        <v>-0.71166666666666667</v>
      </c>
    </row>
    <row r="315" spans="1:40" x14ac:dyDescent="0.25">
      <c r="A315" s="99">
        <v>243</v>
      </c>
      <c r="B315" s="99"/>
      <c r="C315" s="99" t="s">
        <v>13655</v>
      </c>
      <c r="D315" s="99"/>
      <c r="E315" s="99" t="s">
        <v>278</v>
      </c>
      <c r="F315" s="99" t="s">
        <v>1684</v>
      </c>
      <c r="G315" s="99" t="s">
        <v>13695</v>
      </c>
      <c r="H315" s="99">
        <v>0</v>
      </c>
      <c r="I315" s="99">
        <v>0</v>
      </c>
      <c r="J315" s="99">
        <v>0</v>
      </c>
      <c r="K315" s="101" t="str">
        <f t="shared" si="44"/>
        <v>0x0x0</v>
      </c>
      <c r="L315" s="102">
        <f t="shared" si="45"/>
        <v>0</v>
      </c>
      <c r="M315" s="113">
        <f t="shared" si="46"/>
        <v>0</v>
      </c>
      <c r="N315" s="113">
        <f t="shared" si="47"/>
        <v>0</v>
      </c>
      <c r="O315" s="99">
        <v>0</v>
      </c>
      <c r="P315" s="113">
        <f t="shared" si="48"/>
        <v>0</v>
      </c>
      <c r="Q315" s="112">
        <f t="shared" si="49"/>
        <v>0</v>
      </c>
      <c r="R315" s="112" t="str">
        <f t="shared" si="50"/>
        <v>Standard-size</v>
      </c>
      <c r="S315" s="99" t="str">
        <f t="shared" si="51"/>
        <v>Small standard-size</v>
      </c>
      <c r="T315" s="116" t="s">
        <v>13696</v>
      </c>
      <c r="U315" s="116">
        <f t="shared" si="52"/>
        <v>0</v>
      </c>
      <c r="V315" s="116" t="s">
        <v>13583</v>
      </c>
      <c r="W315" s="116" t="s">
        <v>13690</v>
      </c>
      <c r="X315" s="99" t="s">
        <v>13583</v>
      </c>
      <c r="Y315" s="99">
        <v>1</v>
      </c>
      <c r="Z315" s="99">
        <v>1</v>
      </c>
      <c r="AA315" s="99">
        <v>1</v>
      </c>
      <c r="AB315" s="99"/>
      <c r="AC315" s="99"/>
      <c r="AD315" s="107">
        <v>0</v>
      </c>
      <c r="AE315" s="113">
        <f t="shared" si="53"/>
        <v>0</v>
      </c>
      <c r="AF315" s="116">
        <f>-IFERROR(IFERROR(VLOOKUP(ROUNDUP($Q315,0),'FBA FEES'!$L$2:$Q$203,MATCH($S315,'FBA FEES'!$L$2:$Q$2,0),FALSE),VLOOKUP(ROUNDUP($Q315,0),'FBA FEES'!$C$6:$F$123,MATCH($S315,'FBA FEES'!$C$6:$F$6,0),FALSE)),0)</f>
        <v>0</v>
      </c>
      <c r="AG315" s="116">
        <v>-10</v>
      </c>
      <c r="AH315" s="113">
        <f t="shared" si="54"/>
        <v>0</v>
      </c>
      <c r="AI315" s="116">
        <f>-IFERROR(IF($Y315=1,INDEX('[1]REMOVAL FEES'!$A$1:$C$22,MATCH(CONCATENATE("Standard Size",$P315),'[1]REMOVAL FEES'!$A$1:$A$22,0),3),IF($Y315=2,IF($P315&gt;10,(($P315-10)*1.06)+INDEX('[1]REMOVAL FEES'!$E$1:$G$22,MATCH(CONCATENATE("Large bulky, extra-large and special handling items",IF($P315&gt;=11,11,$P315)),'[1]REMOVAL FEES'!$E$1:$E$13,0),3),INDEX('[1]REMOVAL FEES'!$E$1:$G$22,MATCH(CONCATENATE("Large bulky, extra-large and special handling items",IF($P315&gt;=11,11,$P315)),'[1]REMOVAL FEES'!$E$1:$E$13,0),3))))*$AA315,FALSE)</f>
        <v>0</v>
      </c>
      <c r="AJ315" s="107">
        <f t="shared" si="55"/>
        <v>0</v>
      </c>
      <c r="AK315" s="107">
        <v>0</v>
      </c>
      <c r="AL315" s="107">
        <v>0</v>
      </c>
      <c r="AM315" s="107">
        <f t="shared" si="56"/>
        <v>0</v>
      </c>
      <c r="AN315" s="116">
        <f>(-IF($V315="Yes", IF($X315="Yes", VLOOKUP($W315, '[1]Storage Fees'!A:M, 13, FALSE), VLOOKUP($W315, '[1]Storage Fees'!A:M, 10, FALSE)), IF($X315="Yes", VLOOKUP($W315, '[1]Storage Fees'!A:M, 7, FALSE), VLOOKUP($W315, '[1]Storage Fees'!A:M, 4, FALSE))) * U315)*1.5</f>
        <v>0</v>
      </c>
    </row>
    <row r="316" spans="1:40" x14ac:dyDescent="0.25">
      <c r="A316" s="99">
        <v>244</v>
      </c>
      <c r="B316" s="99"/>
      <c r="C316" s="99" t="s">
        <v>13655</v>
      </c>
      <c r="D316" s="99"/>
      <c r="E316" s="99" t="s">
        <v>278</v>
      </c>
      <c r="F316" s="99" t="s">
        <v>1687</v>
      </c>
      <c r="G316" s="99" t="s">
        <v>13695</v>
      </c>
      <c r="H316" s="99">
        <v>0</v>
      </c>
      <c r="I316" s="99">
        <v>0</v>
      </c>
      <c r="J316" s="99">
        <v>0</v>
      </c>
      <c r="K316" s="101" t="str">
        <f t="shared" si="44"/>
        <v>0x0x0</v>
      </c>
      <c r="L316" s="102">
        <f t="shared" si="45"/>
        <v>0</v>
      </c>
      <c r="M316" s="113">
        <f t="shared" si="46"/>
        <v>0</v>
      </c>
      <c r="N316" s="113">
        <f t="shared" si="47"/>
        <v>0</v>
      </c>
      <c r="O316" s="99">
        <v>0</v>
      </c>
      <c r="P316" s="113">
        <f t="shared" si="48"/>
        <v>0</v>
      </c>
      <c r="Q316" s="112">
        <f t="shared" si="49"/>
        <v>0</v>
      </c>
      <c r="R316" s="112" t="str">
        <f t="shared" si="50"/>
        <v>Standard-size</v>
      </c>
      <c r="S316" s="99" t="str">
        <f t="shared" si="51"/>
        <v>Small standard-size</v>
      </c>
      <c r="T316" s="116" t="s">
        <v>13696</v>
      </c>
      <c r="U316" s="116">
        <f t="shared" si="52"/>
        <v>0</v>
      </c>
      <c r="V316" s="116" t="s">
        <v>13583</v>
      </c>
      <c r="W316" s="116" t="s">
        <v>13690</v>
      </c>
      <c r="X316" s="99" t="s">
        <v>13583</v>
      </c>
      <c r="Y316" s="99">
        <v>1</v>
      </c>
      <c r="Z316" s="99">
        <v>1</v>
      </c>
      <c r="AA316" s="99">
        <v>1</v>
      </c>
      <c r="AB316" s="99"/>
      <c r="AC316" s="99"/>
      <c r="AD316" s="107">
        <v>221.4238888888888</v>
      </c>
      <c r="AE316" s="113">
        <f t="shared" si="53"/>
        <v>-33.213583333333318</v>
      </c>
      <c r="AF316" s="116">
        <f>-IFERROR(IFERROR(VLOOKUP(ROUNDUP($Q316,0),'FBA FEES'!$L$2:$Q$203,MATCH($S316,'FBA FEES'!$L$2:$Q$2,0),FALSE),VLOOKUP(ROUNDUP($Q316,0),'FBA FEES'!$C$6:$F$123,MATCH($S316,'FBA FEES'!$C$6:$F$6,0),FALSE)),0)</f>
        <v>0</v>
      </c>
      <c r="AG316" s="116">
        <v>-10</v>
      </c>
      <c r="AH316" s="113">
        <f t="shared" si="54"/>
        <v>-33.213583333333318</v>
      </c>
      <c r="AI316" s="116">
        <f>-IFERROR(IF($Y316=1,INDEX('[1]REMOVAL FEES'!$A$1:$C$22,MATCH(CONCATENATE("Standard Size",$P316),'[1]REMOVAL FEES'!$A$1:$A$22,0),3),IF($Y316=2,IF($P316&gt;10,(($P316-10)*1.06)+INDEX('[1]REMOVAL FEES'!$E$1:$G$22,MATCH(CONCATENATE("Large bulky, extra-large and special handling items",IF($P316&gt;=11,11,$P316)),'[1]REMOVAL FEES'!$E$1:$E$13,0),3),INDEX('[1]REMOVAL FEES'!$E$1:$G$22,MATCH(CONCATENATE("Large bulky, extra-large and special handling items",IF($P316&gt;=11,11,$P316)),'[1]REMOVAL FEES'!$E$1:$E$13,0),3))))*$AA316,FALSE)</f>
        <v>0</v>
      </c>
      <c r="AJ316" s="107">
        <f t="shared" si="55"/>
        <v>-33.213583333333318</v>
      </c>
      <c r="AK316" s="107">
        <v>-116.22</v>
      </c>
      <c r="AL316" s="107">
        <v>-12.773055555555549</v>
      </c>
      <c r="AM316" s="107">
        <f t="shared" si="56"/>
        <v>-128.99305555555554</v>
      </c>
      <c r="AN316" s="116">
        <f>(-IF($V316="Yes", IF($X316="Yes", VLOOKUP($W316, '[1]Storage Fees'!A:M, 13, FALSE), VLOOKUP($W316, '[1]Storage Fees'!A:M, 10, FALSE)), IF($X316="Yes", VLOOKUP($W316, '[1]Storage Fees'!A:M, 7, FALSE), VLOOKUP($W316, '[1]Storage Fees'!A:M, 4, FALSE))) * U316)*1.5</f>
        <v>0</v>
      </c>
    </row>
    <row r="317" spans="1:40" x14ac:dyDescent="0.25">
      <c r="A317" s="99">
        <v>245</v>
      </c>
      <c r="B317" s="99" t="s">
        <v>55</v>
      </c>
      <c r="C317" s="99"/>
      <c r="D317" s="99"/>
      <c r="E317" s="99" t="s">
        <v>54</v>
      </c>
      <c r="F317" s="99" t="s">
        <v>299</v>
      </c>
      <c r="G317" s="99" t="s">
        <v>13656</v>
      </c>
      <c r="H317" s="99">
        <v>12</v>
      </c>
      <c r="I317" s="99">
        <v>7</v>
      </c>
      <c r="J317" s="99">
        <v>3</v>
      </c>
      <c r="K317" s="101" t="str">
        <f t="shared" si="44"/>
        <v>12x7x3</v>
      </c>
      <c r="L317" s="102">
        <f t="shared" si="45"/>
        <v>1.8129496402877698</v>
      </c>
      <c r="M317" s="113">
        <f t="shared" si="46"/>
        <v>1.8129496402877698</v>
      </c>
      <c r="N317" s="113">
        <f t="shared" si="47"/>
        <v>2</v>
      </c>
      <c r="O317" s="99">
        <v>0.625</v>
      </c>
      <c r="P317" s="113">
        <f t="shared" si="48"/>
        <v>2</v>
      </c>
      <c r="Q317" s="112">
        <f t="shared" si="49"/>
        <v>32</v>
      </c>
      <c r="R317" s="112" t="str">
        <f t="shared" si="50"/>
        <v>Standard-size</v>
      </c>
      <c r="S317" s="99" t="str">
        <f t="shared" si="51"/>
        <v>Large standard-size</v>
      </c>
      <c r="T317" s="116" t="s">
        <v>13697</v>
      </c>
      <c r="U317" s="116">
        <f t="shared" si="52"/>
        <v>0.14583333333333334</v>
      </c>
      <c r="V317" s="116" t="s">
        <v>13583</v>
      </c>
      <c r="W317" s="116" t="s">
        <v>13690</v>
      </c>
      <c r="X317" s="99" t="s">
        <v>13583</v>
      </c>
      <c r="Y317" s="99">
        <v>1</v>
      </c>
      <c r="Z317" s="99">
        <v>2</v>
      </c>
      <c r="AA317" s="99">
        <v>1</v>
      </c>
      <c r="AB317" s="99"/>
      <c r="AC317" s="99"/>
      <c r="AD317" s="107">
        <v>12.3296594106328</v>
      </c>
      <c r="AE317" s="113">
        <f t="shared" si="53"/>
        <v>-1.84944891159492</v>
      </c>
      <c r="AF317" s="116">
        <f>-IFERROR(IFERROR(VLOOKUP(ROUNDUP($Q317,0),'FBA FEES'!$L$2:$Q$203,MATCH($S317,'FBA FEES'!$L$2:$Q$2,0),FALSE),VLOOKUP(ROUNDUP($Q317,0),'FBA FEES'!$C$6:$F$123,MATCH($S317,'FBA FEES'!$C$6:$F$6,0),FALSE)),0)</f>
        <v>-5.77</v>
      </c>
      <c r="AG317" s="116">
        <v>-2</v>
      </c>
      <c r="AH317" s="113">
        <f t="shared" si="54"/>
        <v>-7.6194489115949198</v>
      </c>
      <c r="AI317" s="116">
        <f>-IFERROR(IF($Y317=1,INDEX('[1]REMOVAL FEES'!$A$1:$C$22,MATCH(CONCATENATE("Standard Size",$P317),'[1]REMOVAL FEES'!$A$1:$A$22,0),3),IF($Y317=2,IF($P317&gt;10,(($P317-10)*1.06)+INDEX('[1]REMOVAL FEES'!$E$1:$G$22,MATCH(CONCATENATE("Large bulky, extra-large and special handling items",IF($P317&gt;=11,11,$P317)),'[1]REMOVAL FEES'!$E$1:$E$13,0),3),INDEX('[1]REMOVAL FEES'!$E$1:$G$22,MATCH(CONCATENATE("Large bulky, extra-large and special handling items",IF($P317&gt;=11,11,$P317)),'[1]REMOVAL FEES'!$E$1:$E$13,0),3))))*$AA317,FALSE)</f>
        <v>-2.27</v>
      </c>
      <c r="AJ317" s="107">
        <f t="shared" si="55"/>
        <v>-9.8894489115949202</v>
      </c>
      <c r="AK317" s="107">
        <v>-1.0927232341181241</v>
      </c>
      <c r="AL317" s="107">
        <v>-0.48598312887393358</v>
      </c>
      <c r="AM317" s="107">
        <f t="shared" si="56"/>
        <v>-1.5787063629920577</v>
      </c>
      <c r="AN317" s="116">
        <f>(-IF($V317="Yes", IF($X317="Yes", VLOOKUP($W317, '[1]Storage Fees'!A:M, 13, FALSE), VLOOKUP($W317, '[1]Storage Fees'!A:M, 10, FALSE)), IF($X317="Yes", VLOOKUP($W317, '[1]Storage Fees'!A:M, 7, FALSE), VLOOKUP($W317, '[1]Storage Fees'!A:M, 4, FALSE))) * U317)*1.5</f>
        <v>-0.26687499999999997</v>
      </c>
    </row>
    <row r="318" spans="1:40" x14ac:dyDescent="0.25">
      <c r="A318" s="99">
        <v>246</v>
      </c>
      <c r="B318" s="99" t="s">
        <v>13700</v>
      </c>
      <c r="C318" s="99" t="s">
        <v>13655</v>
      </c>
      <c r="D318" s="99" t="s">
        <v>858</v>
      </c>
      <c r="E318" s="99" t="s">
        <v>278</v>
      </c>
      <c r="F318" s="99" t="s">
        <v>856</v>
      </c>
      <c r="G318" s="99" t="s">
        <v>13695</v>
      </c>
      <c r="H318" s="99">
        <v>31</v>
      </c>
      <c r="I318" s="99">
        <v>18</v>
      </c>
      <c r="J318" s="99">
        <v>12</v>
      </c>
      <c r="K318" s="101" t="str">
        <f t="shared" si="44"/>
        <v>31x18x12</v>
      </c>
      <c r="L318" s="102">
        <f t="shared" si="45"/>
        <v>48.172661870503596</v>
      </c>
      <c r="M318" s="113">
        <f t="shared" si="46"/>
        <v>48.172661870503596</v>
      </c>
      <c r="N318" s="113">
        <f t="shared" si="47"/>
        <v>49</v>
      </c>
      <c r="O318" s="99">
        <v>66</v>
      </c>
      <c r="P318" s="113">
        <f t="shared" si="48"/>
        <v>66</v>
      </c>
      <c r="Q318" s="112">
        <f t="shared" si="49"/>
        <v>1056</v>
      </c>
      <c r="R318" s="112" t="str">
        <f t="shared" si="50"/>
        <v>Oversize</v>
      </c>
      <c r="S318" s="99" t="str">
        <f t="shared" si="51"/>
        <v>Extra-large 50+ to 70 lb</v>
      </c>
      <c r="T318" s="116" t="s">
        <v>13689</v>
      </c>
      <c r="U318" s="116">
        <f t="shared" si="52"/>
        <v>3.875</v>
      </c>
      <c r="V318" s="116" t="s">
        <v>13583</v>
      </c>
      <c r="W318" s="116" t="s">
        <v>13690</v>
      </c>
      <c r="X318" s="116" t="s">
        <v>13691</v>
      </c>
      <c r="Y318" s="116">
        <v>2</v>
      </c>
      <c r="Z318" s="116">
        <v>5</v>
      </c>
      <c r="AA318" s="116">
        <v>1</v>
      </c>
      <c r="AB318" s="99"/>
      <c r="AC318" s="99"/>
      <c r="AD318" s="107">
        <v>275.63272727272721</v>
      </c>
      <c r="AE318" s="113">
        <f t="shared" si="53"/>
        <v>-41.344909090909077</v>
      </c>
      <c r="AF318" s="116">
        <f>-IFERROR(IFERROR(VLOOKUP(ROUNDUP($Q318,0),'FBA FEES'!$L$2:$Q$203,MATCH($S318,'FBA FEES'!$L$2:$Q$2,0),FALSE),VLOOKUP(ROUNDUP($Q318,0),'FBA FEES'!$C$6:$F$123,MATCH($S318,'FBA FEES'!$C$6:$F$6,0),FALSE)),0)</f>
        <v>-51.37</v>
      </c>
      <c r="AG318" s="116">
        <v>-10</v>
      </c>
      <c r="AH318" s="113">
        <f t="shared" si="54"/>
        <v>-92.714909090909075</v>
      </c>
      <c r="AI318" s="116">
        <f>-IFERROR(IF($Y318=1,INDEX('[1]REMOVAL FEES'!$A$1:$C$22,MATCH(CONCATENATE("Standard Size",$P318),'[1]REMOVAL FEES'!$A$1:$A$22,0),3),IF($Y318=2,IF($P318&gt;10,(($P318-10)*1.06)+INDEX('[1]REMOVAL FEES'!$E$1:$G$22,MATCH(CONCATENATE("Large bulky, extra-large and special handling items",IF($P318&gt;=11,11,$P318)),'[1]REMOVAL FEES'!$E$1:$E$13,0),3),INDEX('[1]REMOVAL FEES'!$E$1:$G$22,MATCH(CONCATENATE("Large bulky, extra-large and special handling items",IF($P318&gt;=11,11,$P318)),'[1]REMOVAL FEES'!$E$1:$E$13,0),3))))*$AA318,FALSE)</f>
        <v>-73.680000000000007</v>
      </c>
      <c r="AJ318" s="107">
        <f t="shared" si="55"/>
        <v>-166.3949090909091</v>
      </c>
      <c r="AK318" s="107">
        <v>-138.32563636363651</v>
      </c>
      <c r="AL318" s="107">
        <v>-18.674989461279448</v>
      </c>
      <c r="AM318" s="107">
        <f t="shared" si="56"/>
        <v>-157.00062582491594</v>
      </c>
      <c r="AN318" s="116">
        <f>(-IF($V318="Yes", IF($X318="Yes", VLOOKUP($W318, '[1]Storage Fees'!A:M, 13, FALSE), VLOOKUP($W318, '[1]Storage Fees'!A:M, 10, FALSE)), IF($X318="Yes", VLOOKUP($W318, '[1]Storage Fees'!A:M, 7, FALSE), VLOOKUP($W318, '[1]Storage Fees'!A:M, 4, FALSE))) * U318)*1.5</f>
        <v>-4.5918749999999999</v>
      </c>
    </row>
    <row r="319" spans="1:40" x14ac:dyDescent="0.25">
      <c r="A319" s="99">
        <v>247</v>
      </c>
      <c r="B319" s="99"/>
      <c r="C319" s="99" t="s">
        <v>13655</v>
      </c>
      <c r="D319" s="99"/>
      <c r="E319" s="99" t="s">
        <v>278</v>
      </c>
      <c r="F319" s="99" t="s">
        <v>1690</v>
      </c>
      <c r="G319" s="99" t="s">
        <v>13695</v>
      </c>
      <c r="H319" s="99">
        <v>0</v>
      </c>
      <c r="I319" s="99">
        <v>0</v>
      </c>
      <c r="J319" s="99">
        <v>0</v>
      </c>
      <c r="K319" s="101" t="str">
        <f t="shared" si="44"/>
        <v>0x0x0</v>
      </c>
      <c r="L319" s="102">
        <f t="shared" si="45"/>
        <v>0</v>
      </c>
      <c r="M319" s="113">
        <f t="shared" si="46"/>
        <v>0</v>
      </c>
      <c r="N319" s="113">
        <f t="shared" si="47"/>
        <v>0</v>
      </c>
      <c r="O319" s="99">
        <v>0</v>
      </c>
      <c r="P319" s="113">
        <f t="shared" si="48"/>
        <v>0</v>
      </c>
      <c r="Q319" s="112">
        <f t="shared" si="49"/>
        <v>0</v>
      </c>
      <c r="R319" s="112" t="str">
        <f t="shared" si="50"/>
        <v>Standard-size</v>
      </c>
      <c r="S319" s="99" t="str">
        <f t="shared" si="51"/>
        <v>Small standard-size</v>
      </c>
      <c r="T319" s="116" t="s">
        <v>13696</v>
      </c>
      <c r="U319" s="116">
        <f t="shared" si="52"/>
        <v>0</v>
      </c>
      <c r="V319" s="116" t="s">
        <v>13583</v>
      </c>
      <c r="W319" s="116" t="s">
        <v>13690</v>
      </c>
      <c r="X319" s="99" t="s">
        <v>13583</v>
      </c>
      <c r="Y319" s="99">
        <v>1</v>
      </c>
      <c r="Z319" s="99">
        <v>1</v>
      </c>
      <c r="AA319" s="99">
        <v>1</v>
      </c>
      <c r="AB319" s="99"/>
      <c r="AC319" s="99"/>
      <c r="AD319" s="107">
        <v>0</v>
      </c>
      <c r="AE319" s="113">
        <f t="shared" si="53"/>
        <v>0</v>
      </c>
      <c r="AF319" s="116">
        <f>-IFERROR(IFERROR(VLOOKUP(ROUNDUP($Q319,0),'FBA FEES'!$L$2:$Q$203,MATCH($S319,'FBA FEES'!$L$2:$Q$2,0),FALSE),VLOOKUP(ROUNDUP($Q319,0),'FBA FEES'!$C$6:$F$123,MATCH($S319,'FBA FEES'!$C$6:$F$6,0),FALSE)),0)</f>
        <v>0</v>
      </c>
      <c r="AG319" s="116">
        <v>-10</v>
      </c>
      <c r="AH319" s="113">
        <f t="shared" si="54"/>
        <v>0</v>
      </c>
      <c r="AI319" s="116">
        <f>-IFERROR(IF($Y319=1,INDEX('[1]REMOVAL FEES'!$A$1:$C$22,MATCH(CONCATENATE("Standard Size",$P319),'[1]REMOVAL FEES'!$A$1:$A$22,0),3),IF($Y319=2,IF($P319&gt;10,(($P319-10)*1.06)+INDEX('[1]REMOVAL FEES'!$E$1:$G$22,MATCH(CONCATENATE("Large bulky, extra-large and special handling items",IF($P319&gt;=11,11,$P319)),'[1]REMOVAL FEES'!$E$1:$E$13,0),3),INDEX('[1]REMOVAL FEES'!$E$1:$G$22,MATCH(CONCATENATE("Large bulky, extra-large and special handling items",IF($P319&gt;=11,11,$P319)),'[1]REMOVAL FEES'!$E$1:$E$13,0),3))))*$AA319,FALSE)</f>
        <v>0</v>
      </c>
      <c r="AJ319" s="107">
        <f t="shared" si="55"/>
        <v>0</v>
      </c>
      <c r="AK319" s="107">
        <v>0</v>
      </c>
      <c r="AL319" s="107">
        <v>0</v>
      </c>
      <c r="AM319" s="107">
        <f t="shared" si="56"/>
        <v>0</v>
      </c>
      <c r="AN319" s="116">
        <f>(-IF($V319="Yes", IF($X319="Yes", VLOOKUP($W319, '[1]Storage Fees'!A:M, 13, FALSE), VLOOKUP($W319, '[1]Storage Fees'!A:M, 10, FALSE)), IF($X319="Yes", VLOOKUP($W319, '[1]Storage Fees'!A:M, 7, FALSE), VLOOKUP($W319, '[1]Storage Fees'!A:M, 4, FALSE))) * U319)*1.5</f>
        <v>0</v>
      </c>
    </row>
    <row r="320" spans="1:40" x14ac:dyDescent="0.25">
      <c r="A320" s="99">
        <v>248</v>
      </c>
      <c r="B320" s="99"/>
      <c r="C320" s="99" t="s">
        <v>13655</v>
      </c>
      <c r="D320" s="99"/>
      <c r="E320" s="99" t="s">
        <v>278</v>
      </c>
      <c r="F320" s="99" t="s">
        <v>1692</v>
      </c>
      <c r="G320" s="99" t="s">
        <v>13695</v>
      </c>
      <c r="H320" s="99">
        <v>0</v>
      </c>
      <c r="I320" s="99">
        <v>0</v>
      </c>
      <c r="J320" s="99">
        <v>0</v>
      </c>
      <c r="K320" s="101" t="str">
        <f t="shared" si="44"/>
        <v>0x0x0</v>
      </c>
      <c r="L320" s="102">
        <f t="shared" si="45"/>
        <v>0</v>
      </c>
      <c r="M320" s="113">
        <f t="shared" si="46"/>
        <v>0</v>
      </c>
      <c r="N320" s="113">
        <f t="shared" si="47"/>
        <v>0</v>
      </c>
      <c r="O320" s="99">
        <v>0</v>
      </c>
      <c r="P320" s="113">
        <f t="shared" si="48"/>
        <v>0</v>
      </c>
      <c r="Q320" s="112">
        <f t="shared" si="49"/>
        <v>0</v>
      </c>
      <c r="R320" s="112" t="str">
        <f t="shared" si="50"/>
        <v>Standard-size</v>
      </c>
      <c r="S320" s="99" t="str">
        <f t="shared" si="51"/>
        <v>Small standard-size</v>
      </c>
      <c r="T320" s="116" t="s">
        <v>13696</v>
      </c>
      <c r="U320" s="116">
        <f t="shared" si="52"/>
        <v>0</v>
      </c>
      <c r="V320" s="116" t="s">
        <v>13583</v>
      </c>
      <c r="W320" s="116" t="s">
        <v>13690</v>
      </c>
      <c r="X320" s="99" t="s">
        <v>13583</v>
      </c>
      <c r="Y320" s="99">
        <v>1</v>
      </c>
      <c r="Z320" s="99">
        <v>1</v>
      </c>
      <c r="AA320" s="99">
        <v>1</v>
      </c>
      <c r="AB320" s="99"/>
      <c r="AC320" s="99"/>
      <c r="AD320" s="107">
        <v>0</v>
      </c>
      <c r="AE320" s="113">
        <f t="shared" si="53"/>
        <v>0</v>
      </c>
      <c r="AF320" s="116">
        <f>-IFERROR(IFERROR(VLOOKUP(ROUNDUP($Q320,0),'FBA FEES'!$L$2:$Q$203,MATCH($S320,'FBA FEES'!$L$2:$Q$2,0),FALSE),VLOOKUP(ROUNDUP($Q320,0),'FBA FEES'!$C$6:$F$123,MATCH($S320,'FBA FEES'!$C$6:$F$6,0),FALSE)),0)</f>
        <v>0</v>
      </c>
      <c r="AG320" s="116">
        <v>-10</v>
      </c>
      <c r="AH320" s="113">
        <f t="shared" si="54"/>
        <v>0</v>
      </c>
      <c r="AI320" s="116">
        <f>-IFERROR(IF($Y320=1,INDEX('[1]REMOVAL FEES'!$A$1:$C$22,MATCH(CONCATENATE("Standard Size",$P320),'[1]REMOVAL FEES'!$A$1:$A$22,0),3),IF($Y320=2,IF($P320&gt;10,(($P320-10)*1.06)+INDEX('[1]REMOVAL FEES'!$E$1:$G$22,MATCH(CONCATENATE("Large bulky, extra-large and special handling items",IF($P320&gt;=11,11,$P320)),'[1]REMOVAL FEES'!$E$1:$E$13,0),3),INDEX('[1]REMOVAL FEES'!$E$1:$G$22,MATCH(CONCATENATE("Large bulky, extra-large and special handling items",IF($P320&gt;=11,11,$P320)),'[1]REMOVAL FEES'!$E$1:$E$13,0),3))))*$AA320,FALSE)</f>
        <v>0</v>
      </c>
      <c r="AJ320" s="107">
        <f t="shared" si="55"/>
        <v>0</v>
      </c>
      <c r="AK320" s="107">
        <v>0</v>
      </c>
      <c r="AL320" s="107">
        <v>0</v>
      </c>
      <c r="AM320" s="107">
        <f t="shared" si="56"/>
        <v>0</v>
      </c>
      <c r="AN320" s="116">
        <f>(-IF($V320="Yes", IF($X320="Yes", VLOOKUP($W320, '[1]Storage Fees'!A:M, 13, FALSE), VLOOKUP($W320, '[1]Storage Fees'!A:M, 10, FALSE)), IF($X320="Yes", VLOOKUP($W320, '[1]Storage Fees'!A:M, 7, FALSE), VLOOKUP($W320, '[1]Storage Fees'!A:M, 4, FALSE))) * U320)*1.5</f>
        <v>0</v>
      </c>
    </row>
    <row r="321" spans="1:40" x14ac:dyDescent="0.25">
      <c r="A321" s="99">
        <v>249</v>
      </c>
      <c r="B321" s="99"/>
      <c r="C321" s="99" t="s">
        <v>13655</v>
      </c>
      <c r="D321" s="99"/>
      <c r="E321" s="99" t="s">
        <v>278</v>
      </c>
      <c r="F321" s="99" t="s">
        <v>1694</v>
      </c>
      <c r="G321" s="99" t="s">
        <v>13695</v>
      </c>
      <c r="H321" s="99">
        <v>0</v>
      </c>
      <c r="I321" s="99">
        <v>0</v>
      </c>
      <c r="J321" s="99">
        <v>0</v>
      </c>
      <c r="K321" s="101" t="str">
        <f t="shared" si="44"/>
        <v>0x0x0</v>
      </c>
      <c r="L321" s="102">
        <f t="shared" si="45"/>
        <v>0</v>
      </c>
      <c r="M321" s="113">
        <f t="shared" si="46"/>
        <v>0</v>
      </c>
      <c r="N321" s="113">
        <f t="shared" si="47"/>
        <v>0</v>
      </c>
      <c r="O321" s="99">
        <v>0</v>
      </c>
      <c r="P321" s="113">
        <f t="shared" si="48"/>
        <v>0</v>
      </c>
      <c r="Q321" s="112">
        <f t="shared" si="49"/>
        <v>0</v>
      </c>
      <c r="R321" s="112" t="str">
        <f t="shared" si="50"/>
        <v>Standard-size</v>
      </c>
      <c r="S321" s="99" t="str">
        <f t="shared" si="51"/>
        <v>Small standard-size</v>
      </c>
      <c r="T321" s="116" t="s">
        <v>13696</v>
      </c>
      <c r="U321" s="116">
        <f t="shared" si="52"/>
        <v>0</v>
      </c>
      <c r="V321" s="116" t="s">
        <v>13583</v>
      </c>
      <c r="W321" s="116" t="s">
        <v>13690</v>
      </c>
      <c r="X321" s="99" t="s">
        <v>13583</v>
      </c>
      <c r="Y321" s="99">
        <v>1</v>
      </c>
      <c r="Z321" s="99">
        <v>1</v>
      </c>
      <c r="AA321" s="99">
        <v>1</v>
      </c>
      <c r="AB321" s="99"/>
      <c r="AC321" s="99"/>
      <c r="AD321" s="107">
        <v>0</v>
      </c>
      <c r="AE321" s="113">
        <f t="shared" si="53"/>
        <v>0</v>
      </c>
      <c r="AF321" s="116">
        <f>-IFERROR(IFERROR(VLOOKUP(ROUNDUP($Q321,0),'FBA FEES'!$L$2:$Q$203,MATCH($S321,'FBA FEES'!$L$2:$Q$2,0),FALSE),VLOOKUP(ROUNDUP($Q321,0),'FBA FEES'!$C$6:$F$123,MATCH($S321,'FBA FEES'!$C$6:$F$6,0),FALSE)),0)</f>
        <v>0</v>
      </c>
      <c r="AG321" s="116">
        <v>-10</v>
      </c>
      <c r="AH321" s="113">
        <f t="shared" si="54"/>
        <v>0</v>
      </c>
      <c r="AI321" s="116">
        <f>-IFERROR(IF($Y321=1,INDEX('[1]REMOVAL FEES'!$A$1:$C$22,MATCH(CONCATENATE("Standard Size",$P321),'[1]REMOVAL FEES'!$A$1:$A$22,0),3),IF($Y321=2,IF($P321&gt;10,(($P321-10)*1.06)+INDEX('[1]REMOVAL FEES'!$E$1:$G$22,MATCH(CONCATENATE("Large bulky, extra-large and special handling items",IF($P321&gt;=11,11,$P321)),'[1]REMOVAL FEES'!$E$1:$E$13,0),3),INDEX('[1]REMOVAL FEES'!$E$1:$G$22,MATCH(CONCATENATE("Large bulky, extra-large and special handling items",IF($P321&gt;=11,11,$P321)),'[1]REMOVAL FEES'!$E$1:$E$13,0),3))))*$AA321,FALSE)</f>
        <v>0</v>
      </c>
      <c r="AJ321" s="107">
        <f t="shared" si="55"/>
        <v>0</v>
      </c>
      <c r="AK321" s="107">
        <v>0</v>
      </c>
      <c r="AL321" s="107">
        <v>0</v>
      </c>
      <c r="AM321" s="107">
        <f t="shared" si="56"/>
        <v>0</v>
      </c>
      <c r="AN321" s="116">
        <f>(-IF($V321="Yes", IF($X321="Yes", VLOOKUP($W321, '[1]Storage Fees'!A:M, 13, FALSE), VLOOKUP($W321, '[1]Storage Fees'!A:M, 10, FALSE)), IF($X321="Yes", VLOOKUP($W321, '[1]Storage Fees'!A:M, 7, FALSE), VLOOKUP($W321, '[1]Storage Fees'!A:M, 4, FALSE))) * U321)*1.5</f>
        <v>0</v>
      </c>
    </row>
    <row r="322" spans="1:40" x14ac:dyDescent="0.25">
      <c r="A322" s="99">
        <v>250</v>
      </c>
      <c r="B322" s="99" t="s">
        <v>13705</v>
      </c>
      <c r="C322" s="99" t="s">
        <v>13655</v>
      </c>
      <c r="D322" s="99" t="s">
        <v>718</v>
      </c>
      <c r="E322" s="99" t="s">
        <v>278</v>
      </c>
      <c r="F322" s="99" t="s">
        <v>860</v>
      </c>
      <c r="G322" s="99" t="s">
        <v>13695</v>
      </c>
      <c r="H322" s="99">
        <v>25</v>
      </c>
      <c r="I322" s="99">
        <v>14</v>
      </c>
      <c r="J322" s="99">
        <v>4</v>
      </c>
      <c r="K322" s="101" t="str">
        <f t="shared" si="44"/>
        <v>25x14x4</v>
      </c>
      <c r="L322" s="102">
        <f t="shared" si="45"/>
        <v>10.071942446043165</v>
      </c>
      <c r="M322" s="113">
        <f t="shared" si="46"/>
        <v>10.071942446043165</v>
      </c>
      <c r="N322" s="113">
        <f t="shared" si="47"/>
        <v>11</v>
      </c>
      <c r="O322" s="99">
        <v>23.1875</v>
      </c>
      <c r="P322" s="113">
        <f t="shared" si="48"/>
        <v>24</v>
      </c>
      <c r="Q322" s="112">
        <f t="shared" si="49"/>
        <v>384</v>
      </c>
      <c r="R322" s="112" t="str">
        <f t="shared" si="50"/>
        <v>Oversize</v>
      </c>
      <c r="S322" s="99" t="str">
        <f t="shared" si="51"/>
        <v>Large bulky</v>
      </c>
      <c r="T322" s="116" t="s">
        <v>13692</v>
      </c>
      <c r="U322" s="116">
        <f t="shared" si="52"/>
        <v>0.81018518518518523</v>
      </c>
      <c r="V322" s="116" t="s">
        <v>13583</v>
      </c>
      <c r="W322" s="116" t="s">
        <v>13690</v>
      </c>
      <c r="X322" s="116" t="s">
        <v>13691</v>
      </c>
      <c r="Y322" s="116">
        <v>2</v>
      </c>
      <c r="Z322" s="116">
        <v>3</v>
      </c>
      <c r="AA322" s="116">
        <v>1</v>
      </c>
      <c r="AB322" s="99"/>
      <c r="AC322" s="99"/>
      <c r="AD322" s="107">
        <v>0</v>
      </c>
      <c r="AE322" s="113">
        <f t="shared" si="53"/>
        <v>0</v>
      </c>
      <c r="AF322" s="116">
        <f>-IFERROR(IFERROR(VLOOKUP(ROUNDUP($Q322,0),'FBA FEES'!$L$2:$Q$203,MATCH($S322,'FBA FEES'!$L$2:$Q$2,0),FALSE),VLOOKUP(ROUNDUP($Q322,0),'FBA FEES'!$C$6:$F$123,MATCH($S322,'FBA FEES'!$C$6:$F$6,0),FALSE)),0)</f>
        <v>-18.350000000000001</v>
      </c>
      <c r="AG322" s="116">
        <v>-10</v>
      </c>
      <c r="AH322" s="113">
        <f t="shared" si="54"/>
        <v>-18.350000000000001</v>
      </c>
      <c r="AI322" s="116">
        <f>-IFERROR(IF($Y322=1,INDEX('[1]REMOVAL FEES'!$A$1:$C$22,MATCH(CONCATENATE("Standard Size",$P322),'[1]REMOVAL FEES'!$A$1:$A$22,0),3),IF($Y322=2,IF($P322&gt;10,(($P322-10)*1.06)+INDEX('[1]REMOVAL FEES'!$E$1:$G$22,MATCH(CONCATENATE("Large bulky, extra-large and special handling items",IF($P322&gt;=11,11,$P322)),'[1]REMOVAL FEES'!$E$1:$E$13,0),3),INDEX('[1]REMOVAL FEES'!$E$1:$G$22,MATCH(CONCATENATE("Large bulky, extra-large and special handling items",IF($P322&gt;=11,11,$P322)),'[1]REMOVAL FEES'!$E$1:$E$13,0),3))))*$AA322,FALSE)</f>
        <v>-29.16</v>
      </c>
      <c r="AJ322" s="107">
        <f t="shared" si="55"/>
        <v>-47.510000000000005</v>
      </c>
      <c r="AK322" s="107">
        <v>0</v>
      </c>
      <c r="AL322" s="107">
        <v>0</v>
      </c>
      <c r="AM322" s="107">
        <f t="shared" si="56"/>
        <v>0</v>
      </c>
      <c r="AN322" s="116">
        <f>(-IF($V322="Yes", IF($X322="Yes", VLOOKUP($W322, '[1]Storage Fees'!A:M, 13, FALSE), VLOOKUP($W322, '[1]Storage Fees'!A:M, 10, FALSE)), IF($X322="Yes", VLOOKUP($W322, '[1]Storage Fees'!A:M, 7, FALSE), VLOOKUP($W322, '[1]Storage Fees'!A:M, 4, FALSE))) * U322)*1.5</f>
        <v>-0.96006944444444464</v>
      </c>
    </row>
    <row r="323" spans="1:40" x14ac:dyDescent="0.25">
      <c r="A323" s="99">
        <v>251</v>
      </c>
      <c r="B323" s="99" t="s">
        <v>13705</v>
      </c>
      <c r="C323" s="99" t="s">
        <v>13655</v>
      </c>
      <c r="D323" s="99" t="s">
        <v>865</v>
      </c>
      <c r="E323" s="99" t="s">
        <v>278</v>
      </c>
      <c r="F323" s="99" t="s">
        <v>863</v>
      </c>
      <c r="G323" s="99" t="s">
        <v>13695</v>
      </c>
      <c r="H323" s="99">
        <v>24</v>
      </c>
      <c r="I323" s="99">
        <v>3</v>
      </c>
      <c r="J323" s="99">
        <v>2</v>
      </c>
      <c r="K323" s="101" t="str">
        <f t="shared" si="44"/>
        <v>24x3x2</v>
      </c>
      <c r="L323" s="102">
        <f t="shared" si="45"/>
        <v>1.0359712230215827</v>
      </c>
      <c r="M323" s="113">
        <f t="shared" si="46"/>
        <v>1.0359712230215827</v>
      </c>
      <c r="N323" s="113">
        <f t="shared" si="47"/>
        <v>2</v>
      </c>
      <c r="O323" s="99">
        <v>16</v>
      </c>
      <c r="P323" s="113">
        <f t="shared" si="48"/>
        <v>16</v>
      </c>
      <c r="Q323" s="112">
        <f t="shared" si="49"/>
        <v>256</v>
      </c>
      <c r="R323" s="112" t="str">
        <f t="shared" si="50"/>
        <v>Oversize</v>
      </c>
      <c r="S323" s="99" t="str">
        <f t="shared" si="51"/>
        <v>Large bulky</v>
      </c>
      <c r="T323" s="116" t="s">
        <v>13692</v>
      </c>
      <c r="U323" s="116">
        <f t="shared" si="52"/>
        <v>8.3333333333333329E-2</v>
      </c>
      <c r="V323" s="116" t="s">
        <v>13583</v>
      </c>
      <c r="W323" s="116" t="s">
        <v>13690</v>
      </c>
      <c r="X323" s="116" t="s">
        <v>13691</v>
      </c>
      <c r="Y323" s="116">
        <v>2</v>
      </c>
      <c r="Z323" s="116">
        <v>3</v>
      </c>
      <c r="AA323" s="116">
        <v>1</v>
      </c>
      <c r="AB323" s="99"/>
      <c r="AC323" s="99"/>
      <c r="AD323" s="107">
        <v>0</v>
      </c>
      <c r="AE323" s="113">
        <f t="shared" si="53"/>
        <v>0</v>
      </c>
      <c r="AF323" s="116">
        <f>-IFERROR(IFERROR(VLOOKUP(ROUNDUP($Q323,0),'FBA FEES'!$L$2:$Q$203,MATCH($S323,'FBA FEES'!$L$2:$Q$2,0),FALSE),VLOOKUP(ROUNDUP($Q323,0),'FBA FEES'!$C$6:$F$123,MATCH($S323,'FBA FEES'!$C$6:$F$6,0),FALSE)),0)</f>
        <v>-15.309999999999999</v>
      </c>
      <c r="AG323" s="116">
        <v>-10</v>
      </c>
      <c r="AH323" s="113">
        <f t="shared" si="54"/>
        <v>-15.309999999999999</v>
      </c>
      <c r="AI323" s="116">
        <f>-IFERROR(IF($Y323=1,INDEX('[1]REMOVAL FEES'!$A$1:$C$22,MATCH(CONCATENATE("Standard Size",$P323),'[1]REMOVAL FEES'!$A$1:$A$22,0),3),IF($Y323=2,IF($P323&gt;10,(($P323-10)*1.06)+INDEX('[1]REMOVAL FEES'!$E$1:$G$22,MATCH(CONCATENATE("Large bulky, extra-large and special handling items",IF($P323&gt;=11,11,$P323)),'[1]REMOVAL FEES'!$E$1:$E$13,0),3),INDEX('[1]REMOVAL FEES'!$E$1:$G$22,MATCH(CONCATENATE("Large bulky, extra-large and special handling items",IF($P323&gt;=11,11,$P323)),'[1]REMOVAL FEES'!$E$1:$E$13,0),3))))*$AA323,FALSE)</f>
        <v>-20.68</v>
      </c>
      <c r="AJ323" s="107">
        <f t="shared" si="55"/>
        <v>-35.989999999999995</v>
      </c>
      <c r="AK323" s="107">
        <v>0</v>
      </c>
      <c r="AL323" s="107">
        <v>0</v>
      </c>
      <c r="AM323" s="107">
        <f t="shared" si="56"/>
        <v>0</v>
      </c>
      <c r="AN323" s="116">
        <f>(-IF($V323="Yes", IF($X323="Yes", VLOOKUP($W323, '[1]Storage Fees'!A:M, 13, FALSE), VLOOKUP($W323, '[1]Storage Fees'!A:M, 10, FALSE)), IF($X323="Yes", VLOOKUP($W323, '[1]Storage Fees'!A:M, 7, FALSE), VLOOKUP($W323, '[1]Storage Fees'!A:M, 4, FALSE))) * U323)*1.5</f>
        <v>-9.8749999999999991E-2</v>
      </c>
    </row>
    <row r="324" spans="1:40" x14ac:dyDescent="0.25">
      <c r="A324" s="99">
        <v>252</v>
      </c>
      <c r="B324" s="99" t="s">
        <v>107</v>
      </c>
      <c r="C324" s="99" t="s">
        <v>13655</v>
      </c>
      <c r="D324" s="99" t="s">
        <v>718</v>
      </c>
      <c r="E324" s="99" t="s">
        <v>869</v>
      </c>
      <c r="F324" s="110" t="s">
        <v>867</v>
      </c>
      <c r="G324" s="99" t="s">
        <v>13656</v>
      </c>
      <c r="H324" s="99">
        <v>9</v>
      </c>
      <c r="I324" s="99">
        <v>5</v>
      </c>
      <c r="J324" s="99">
        <v>3</v>
      </c>
      <c r="K324" s="101" t="str">
        <f t="shared" si="44"/>
        <v>9x5x3</v>
      </c>
      <c r="L324" s="102">
        <f t="shared" si="45"/>
        <v>0.97122302158273377</v>
      </c>
      <c r="M324" s="113">
        <f t="shared" si="46"/>
        <v>0.97122302158273377</v>
      </c>
      <c r="N324" s="113">
        <f t="shared" si="47"/>
        <v>1</v>
      </c>
      <c r="O324" s="99">
        <v>1.25</v>
      </c>
      <c r="P324" s="113">
        <f t="shared" si="48"/>
        <v>2</v>
      </c>
      <c r="Q324" s="112">
        <f t="shared" si="49"/>
        <v>32</v>
      </c>
      <c r="R324" s="112" t="str">
        <f t="shared" si="50"/>
        <v>Standard-size</v>
      </c>
      <c r="S324" s="99" t="str">
        <f t="shared" si="51"/>
        <v>Large standard-size</v>
      </c>
      <c r="T324" s="116" t="s">
        <v>13697</v>
      </c>
      <c r="U324" s="116">
        <f t="shared" si="52"/>
        <v>7.8125E-2</v>
      </c>
      <c r="V324" s="116" t="s">
        <v>13583</v>
      </c>
      <c r="W324" s="116" t="s">
        <v>13690</v>
      </c>
      <c r="X324" s="99" t="s">
        <v>13583</v>
      </c>
      <c r="Y324" s="99">
        <v>1</v>
      </c>
      <c r="Z324" s="99">
        <v>2</v>
      </c>
      <c r="AA324" s="99">
        <v>1</v>
      </c>
      <c r="AB324" s="99"/>
      <c r="AC324" s="99"/>
      <c r="AD324" s="107">
        <v>13.99</v>
      </c>
      <c r="AE324" s="113">
        <f t="shared" si="53"/>
        <v>-2.0985</v>
      </c>
      <c r="AF324" s="116">
        <f>-IFERROR(IFERROR(VLOOKUP(ROUNDUP($Q324,0),'FBA FEES'!$L$2:$Q$203,MATCH($S324,'FBA FEES'!$L$2:$Q$2,0),FALSE),VLOOKUP(ROUNDUP($Q324,0),'FBA FEES'!$C$6:$F$123,MATCH($S324,'FBA FEES'!$C$6:$F$6,0),FALSE)),0)</f>
        <v>-5.77</v>
      </c>
      <c r="AG324" s="116">
        <v>-10</v>
      </c>
      <c r="AH324" s="113">
        <f t="shared" si="54"/>
        <v>-7.8684999999999992</v>
      </c>
      <c r="AI324" s="116">
        <f>-IFERROR(IF($Y324=1,INDEX('[1]REMOVAL FEES'!$A$1:$C$22,MATCH(CONCATENATE("Standard Size",$P324),'[1]REMOVAL FEES'!$A$1:$A$22,0),3),IF($Y324=2,IF($P324&gt;10,(($P324-10)*1.06)+INDEX('[1]REMOVAL FEES'!$E$1:$G$22,MATCH(CONCATENATE("Large bulky, extra-large and special handling items",IF($P324&gt;=11,11,$P324)),'[1]REMOVAL FEES'!$E$1:$E$13,0),3),INDEX('[1]REMOVAL FEES'!$E$1:$G$22,MATCH(CONCATENATE("Large bulky, extra-large and special handling items",IF($P324&gt;=11,11,$P324)),'[1]REMOVAL FEES'!$E$1:$E$13,0),3))))*$AA324,FALSE)</f>
        <v>-2.27</v>
      </c>
      <c r="AJ324" s="107">
        <f t="shared" si="55"/>
        <v>-10.138499999999999</v>
      </c>
      <c r="AK324" s="107">
        <v>-2.4500000000000002</v>
      </c>
      <c r="AL324" s="107">
        <v>-0.6</v>
      </c>
      <c r="AM324" s="107">
        <f t="shared" si="56"/>
        <v>-3.0500000000000003</v>
      </c>
      <c r="AN324" s="116">
        <f>(-IF($V324="Yes", IF($X324="Yes", VLOOKUP($W324, '[1]Storage Fees'!A:M, 13, FALSE), VLOOKUP($W324, '[1]Storage Fees'!A:M, 10, FALSE)), IF($X324="Yes", VLOOKUP($W324, '[1]Storage Fees'!A:M, 7, FALSE), VLOOKUP($W324, '[1]Storage Fees'!A:M, 4, FALSE))) * U324)*1.5</f>
        <v>-0.14296874999999998</v>
      </c>
    </row>
    <row r="325" spans="1:40" x14ac:dyDescent="0.25">
      <c r="A325" s="99">
        <v>253</v>
      </c>
      <c r="B325" s="99" t="s">
        <v>107</v>
      </c>
      <c r="C325" s="99" t="s">
        <v>13655</v>
      </c>
      <c r="D325" s="99" t="s">
        <v>718</v>
      </c>
      <c r="E325" s="99" t="s">
        <v>869</v>
      </c>
      <c r="F325" s="110" t="s">
        <v>871</v>
      </c>
      <c r="G325" s="99" t="s">
        <v>13656</v>
      </c>
      <c r="H325" s="99">
        <v>16</v>
      </c>
      <c r="I325" s="99">
        <v>5</v>
      </c>
      <c r="J325" s="99">
        <v>4</v>
      </c>
      <c r="K325" s="101" t="str">
        <f t="shared" si="44"/>
        <v>16x5x4</v>
      </c>
      <c r="L325" s="102">
        <f t="shared" si="45"/>
        <v>2.3021582733812949</v>
      </c>
      <c r="M325" s="113">
        <f t="shared" si="46"/>
        <v>2.3021582733812949</v>
      </c>
      <c r="N325" s="113">
        <f t="shared" si="47"/>
        <v>3</v>
      </c>
      <c r="O325" s="99">
        <v>2.9375</v>
      </c>
      <c r="P325" s="113">
        <f t="shared" si="48"/>
        <v>3</v>
      </c>
      <c r="Q325" s="112">
        <f t="shared" si="49"/>
        <v>48</v>
      </c>
      <c r="R325" s="112" t="str">
        <f t="shared" si="50"/>
        <v>Standard-size</v>
      </c>
      <c r="S325" s="99" t="str">
        <f t="shared" si="51"/>
        <v>Large standard-size</v>
      </c>
      <c r="T325" s="116" t="s">
        <v>13701</v>
      </c>
      <c r="U325" s="116">
        <f t="shared" si="52"/>
        <v>0.18518518518518517</v>
      </c>
      <c r="V325" s="116" t="s">
        <v>13583</v>
      </c>
      <c r="W325" s="116" t="s">
        <v>13690</v>
      </c>
      <c r="X325" s="99" t="s">
        <v>13583</v>
      </c>
      <c r="Y325" s="99">
        <v>1</v>
      </c>
      <c r="Z325" s="99">
        <v>2</v>
      </c>
      <c r="AA325" s="99">
        <v>1</v>
      </c>
      <c r="AB325" s="99"/>
      <c r="AC325" s="99"/>
      <c r="AD325" s="107">
        <v>18.989999999999998</v>
      </c>
      <c r="AE325" s="113">
        <f t="shared" si="53"/>
        <v>-2.8484999999999996</v>
      </c>
      <c r="AF325" s="116">
        <f>-IFERROR(IFERROR(VLOOKUP(ROUNDUP($Q325,0),'FBA FEES'!$L$2:$Q$203,MATCH($S325,'FBA FEES'!$L$2:$Q$2,0),FALSE),VLOOKUP(ROUNDUP($Q325,0),'FBA FEES'!$C$6:$F$123,MATCH($S325,'FBA FEES'!$C$6:$F$6,0),FALSE)),0)</f>
        <v>-6.62</v>
      </c>
      <c r="AG325" s="116">
        <v>-10</v>
      </c>
      <c r="AH325" s="113">
        <f t="shared" si="54"/>
        <v>-9.4684999999999988</v>
      </c>
      <c r="AI325" s="116">
        <f>-IFERROR(IF($Y325=1,INDEX('[1]REMOVAL FEES'!$A$1:$C$22,MATCH(CONCATENATE("Standard Size",$P325),'[1]REMOVAL FEES'!$A$1:$A$22,0),3),IF($Y325=2,IF($P325&gt;10,(($P325-10)*1.06)+INDEX('[1]REMOVAL FEES'!$E$1:$G$22,MATCH(CONCATENATE("Large bulky, extra-large and special handling items",IF($P325&gt;=11,11,$P325)),'[1]REMOVAL FEES'!$E$1:$E$13,0),3),INDEX('[1]REMOVAL FEES'!$E$1:$G$22,MATCH(CONCATENATE("Large bulky, extra-large and special handling items",IF($P325&gt;=11,11,$P325)),'[1]REMOVAL FEES'!$E$1:$E$13,0),3))))*$AA325,FALSE)</f>
        <v>-3.95</v>
      </c>
      <c r="AJ325" s="107">
        <f t="shared" si="55"/>
        <v>-13.418499999999998</v>
      </c>
      <c r="AK325" s="107">
        <v>-6.160000000000001</v>
      </c>
      <c r="AL325" s="107">
        <v>-0.85799999999999987</v>
      </c>
      <c r="AM325" s="107">
        <f t="shared" si="56"/>
        <v>-7.0180000000000007</v>
      </c>
      <c r="AN325" s="116">
        <f>(-IF($V325="Yes", IF($X325="Yes", VLOOKUP($W325, '[1]Storage Fees'!A:M, 13, FALSE), VLOOKUP($W325, '[1]Storage Fees'!A:M, 10, FALSE)), IF($X325="Yes", VLOOKUP($W325, '[1]Storage Fees'!A:M, 7, FALSE), VLOOKUP($W325, '[1]Storage Fees'!A:M, 4, FALSE))) * U325)*1.5</f>
        <v>-0.33888888888888891</v>
      </c>
    </row>
    <row r="326" spans="1:40" x14ac:dyDescent="0.25">
      <c r="A326" s="99">
        <v>254</v>
      </c>
      <c r="B326" s="99" t="s">
        <v>107</v>
      </c>
      <c r="C326" s="99" t="s">
        <v>13655</v>
      </c>
      <c r="D326" s="99" t="s">
        <v>718</v>
      </c>
      <c r="E326" s="99" t="s">
        <v>869</v>
      </c>
      <c r="F326" s="99" t="s">
        <v>874</v>
      </c>
      <c r="G326" s="99" t="s">
        <v>13656</v>
      </c>
      <c r="H326" s="99">
        <v>17</v>
      </c>
      <c r="I326" s="99">
        <v>9</v>
      </c>
      <c r="J326" s="99">
        <v>5</v>
      </c>
      <c r="K326" s="101" t="str">
        <f t="shared" si="44"/>
        <v>17x9x5</v>
      </c>
      <c r="L326" s="102">
        <f t="shared" si="45"/>
        <v>5.5035971223021587</v>
      </c>
      <c r="M326" s="113">
        <f t="shared" si="46"/>
        <v>5.5035971223021587</v>
      </c>
      <c r="N326" s="113">
        <f t="shared" si="47"/>
        <v>6</v>
      </c>
      <c r="O326" s="99">
        <v>5</v>
      </c>
      <c r="P326" s="113">
        <f t="shared" si="48"/>
        <v>6</v>
      </c>
      <c r="Q326" s="112">
        <f t="shared" si="49"/>
        <v>96</v>
      </c>
      <c r="R326" s="112" t="str">
        <f t="shared" si="50"/>
        <v>Standard-size</v>
      </c>
      <c r="S326" s="99" t="str">
        <f t="shared" si="51"/>
        <v>Large standard-size</v>
      </c>
      <c r="T326" s="116" t="s">
        <v>13693</v>
      </c>
      <c r="U326" s="116">
        <f t="shared" si="52"/>
        <v>0.44270833333333331</v>
      </c>
      <c r="V326" s="116" t="s">
        <v>13583</v>
      </c>
      <c r="W326" s="116" t="s">
        <v>13690</v>
      </c>
      <c r="X326" s="99" t="s">
        <v>13583</v>
      </c>
      <c r="Y326" s="99">
        <v>1</v>
      </c>
      <c r="Z326" s="99">
        <v>2</v>
      </c>
      <c r="AA326" s="99">
        <v>1</v>
      </c>
      <c r="AB326" s="99"/>
      <c r="AC326" s="99"/>
      <c r="AD326" s="107">
        <v>35.061428571428578</v>
      </c>
      <c r="AE326" s="113">
        <f t="shared" si="53"/>
        <v>-5.259214285714287</v>
      </c>
      <c r="AF326" s="116">
        <f>-IFERROR(IFERROR(VLOOKUP(ROUNDUP($Q326,0),'FBA FEES'!$L$2:$Q$203,MATCH($S326,'FBA FEES'!$L$2:$Q$2,0),FALSE),VLOOKUP(ROUNDUP($Q326,0),'FBA FEES'!$C$6:$F$123,MATCH($S326,'FBA FEES'!$C$6:$F$6,0),FALSE)),0)</f>
        <v>-7.88</v>
      </c>
      <c r="AG326" s="116">
        <v>-10</v>
      </c>
      <c r="AH326" s="113">
        <f t="shared" si="54"/>
        <v>-13.139214285714287</v>
      </c>
      <c r="AI326" s="116">
        <f>-IFERROR(IF($Y326=1,INDEX('[1]REMOVAL FEES'!$A$1:$C$22,MATCH(CONCATENATE("Standard Size",$P326),'[1]REMOVAL FEES'!$A$1:$A$22,0),3),IF($Y326=2,IF($P326&gt;10,(($P326-10)*1.06)+INDEX('[1]REMOVAL FEES'!$E$1:$G$22,MATCH(CONCATENATE("Large bulky, extra-large and special handling items",IF($P326&gt;=11,11,$P326)),'[1]REMOVAL FEES'!$E$1:$E$13,0),3),INDEX('[1]REMOVAL FEES'!$E$1:$G$22,MATCH(CONCATENATE("Large bulky, extra-large and special handling items",IF($P326&gt;=11,11,$P326)),'[1]REMOVAL FEES'!$E$1:$E$13,0),3))))*$AA326,FALSE)</f>
        <v>-7.1300000000000008</v>
      </c>
      <c r="AJ326" s="107">
        <f t="shared" si="55"/>
        <v>-20.269214285714288</v>
      </c>
      <c r="AK326" s="107">
        <v>-11.59</v>
      </c>
      <c r="AL326" s="107">
        <v>-1.5128571428571429</v>
      </c>
      <c r="AM326" s="107">
        <f t="shared" si="56"/>
        <v>-13.102857142857143</v>
      </c>
      <c r="AN326" s="116">
        <f>(-IF($V326="Yes", IF($X326="Yes", VLOOKUP($W326, '[1]Storage Fees'!A:M, 13, FALSE), VLOOKUP($W326, '[1]Storage Fees'!A:M, 10, FALSE)), IF($X326="Yes", VLOOKUP($W326, '[1]Storage Fees'!A:M, 7, FALSE), VLOOKUP($W326, '[1]Storage Fees'!A:M, 4, FALSE))) * U326)*1.5</f>
        <v>-0.81015624999999991</v>
      </c>
    </row>
    <row r="327" spans="1:40" x14ac:dyDescent="0.25">
      <c r="A327" s="99">
        <v>255</v>
      </c>
      <c r="B327" s="99" t="s">
        <v>107</v>
      </c>
      <c r="C327" s="99" t="s">
        <v>13655</v>
      </c>
      <c r="D327" s="99" t="s">
        <v>718</v>
      </c>
      <c r="E327" s="99" t="s">
        <v>869</v>
      </c>
      <c r="F327" s="99" t="s">
        <v>877</v>
      </c>
      <c r="G327" s="99" t="s">
        <v>13656</v>
      </c>
      <c r="H327" s="99">
        <v>10</v>
      </c>
      <c r="I327" s="99">
        <v>3</v>
      </c>
      <c r="J327" s="99">
        <v>3</v>
      </c>
      <c r="K327" s="101" t="str">
        <f t="shared" si="44"/>
        <v>10x3x3</v>
      </c>
      <c r="L327" s="102">
        <f t="shared" si="45"/>
        <v>0.64748201438848918</v>
      </c>
      <c r="M327" s="113">
        <f t="shared" si="46"/>
        <v>0.64748201438848918</v>
      </c>
      <c r="N327" s="113">
        <f t="shared" si="47"/>
        <v>0.75</v>
      </c>
      <c r="O327" s="99">
        <v>1.5</v>
      </c>
      <c r="P327" s="113">
        <f t="shared" si="48"/>
        <v>2</v>
      </c>
      <c r="Q327" s="112">
        <f t="shared" si="49"/>
        <v>32</v>
      </c>
      <c r="R327" s="112" t="str">
        <f t="shared" si="50"/>
        <v>Standard-size</v>
      </c>
      <c r="S327" s="99" t="str">
        <f t="shared" si="51"/>
        <v>Large standard-size</v>
      </c>
      <c r="T327" s="116" t="s">
        <v>13697</v>
      </c>
      <c r="U327" s="116">
        <f t="shared" si="52"/>
        <v>5.2083333333333336E-2</v>
      </c>
      <c r="V327" s="116" t="s">
        <v>13583</v>
      </c>
      <c r="W327" s="116" t="s">
        <v>13690</v>
      </c>
      <c r="X327" s="99" t="s">
        <v>13583</v>
      </c>
      <c r="Y327" s="99">
        <v>1</v>
      </c>
      <c r="Z327" s="99">
        <v>2</v>
      </c>
      <c r="AA327" s="99">
        <v>1</v>
      </c>
      <c r="AB327" s="99"/>
      <c r="AC327" s="99"/>
      <c r="AD327" s="107">
        <v>14.64</v>
      </c>
      <c r="AE327" s="113">
        <f t="shared" si="53"/>
        <v>-2.1960000000000002</v>
      </c>
      <c r="AF327" s="116">
        <f>-IFERROR(IFERROR(VLOOKUP(ROUNDUP($Q327,0),'FBA FEES'!$L$2:$Q$203,MATCH($S327,'FBA FEES'!$L$2:$Q$2,0),FALSE),VLOOKUP(ROUNDUP($Q327,0),'FBA FEES'!$C$6:$F$123,MATCH($S327,'FBA FEES'!$C$6:$F$6,0),FALSE)),0)</f>
        <v>-5.77</v>
      </c>
      <c r="AG327" s="116">
        <v>-10</v>
      </c>
      <c r="AH327" s="113">
        <f t="shared" si="54"/>
        <v>-7.9659999999999993</v>
      </c>
      <c r="AI327" s="116">
        <f>-IFERROR(IF($Y327=1,INDEX('[1]REMOVAL FEES'!$A$1:$C$22,MATCH(CONCATENATE("Standard Size",$P327),'[1]REMOVAL FEES'!$A$1:$A$22,0),3),IF($Y327=2,IF($P327&gt;10,(($P327-10)*1.06)+INDEX('[1]REMOVAL FEES'!$E$1:$G$22,MATCH(CONCATENATE("Large bulky, extra-large and special handling items",IF($P327&gt;=11,11,$P327)),'[1]REMOVAL FEES'!$E$1:$E$13,0),3),INDEX('[1]REMOVAL FEES'!$E$1:$G$22,MATCH(CONCATENATE("Large bulky, extra-large and special handling items",IF($P327&gt;=11,11,$P327)),'[1]REMOVAL FEES'!$E$1:$E$13,0),3))))*$AA327,FALSE)</f>
        <v>-2.27</v>
      </c>
      <c r="AJ327" s="107">
        <f t="shared" si="55"/>
        <v>-10.235999999999999</v>
      </c>
      <c r="AK327" s="107">
        <v>-2.72</v>
      </c>
      <c r="AL327" s="107">
        <v>-0.59999999999999987</v>
      </c>
      <c r="AM327" s="107">
        <f t="shared" si="56"/>
        <v>-3.3200000000000003</v>
      </c>
      <c r="AN327" s="116">
        <f>(-IF($V327="Yes", IF($X327="Yes", VLOOKUP($W327, '[1]Storage Fees'!A:M, 13, FALSE), VLOOKUP($W327, '[1]Storage Fees'!A:M, 10, FALSE)), IF($X327="Yes", VLOOKUP($W327, '[1]Storage Fees'!A:M, 7, FALSE), VLOOKUP($W327, '[1]Storage Fees'!A:M, 4, FALSE))) * U327)*1.5</f>
        <v>-9.5312499999999994E-2</v>
      </c>
    </row>
    <row r="328" spans="1:40" x14ac:dyDescent="0.25">
      <c r="A328" s="99">
        <v>256</v>
      </c>
      <c r="B328" s="99" t="s">
        <v>107</v>
      </c>
      <c r="C328" s="99" t="s">
        <v>13655</v>
      </c>
      <c r="D328" s="99" t="s">
        <v>718</v>
      </c>
      <c r="E328" s="99" t="s">
        <v>869</v>
      </c>
      <c r="F328" s="110" t="s">
        <v>880</v>
      </c>
      <c r="G328" s="99" t="s">
        <v>13656</v>
      </c>
      <c r="H328" s="99">
        <v>16</v>
      </c>
      <c r="I328" s="99">
        <v>5</v>
      </c>
      <c r="J328" s="99">
        <v>4</v>
      </c>
      <c r="K328" s="101" t="str">
        <f t="shared" si="44"/>
        <v>16x5x4</v>
      </c>
      <c r="L328" s="102">
        <f t="shared" si="45"/>
        <v>2.3021582733812949</v>
      </c>
      <c r="M328" s="113">
        <f t="shared" si="46"/>
        <v>2.3021582733812949</v>
      </c>
      <c r="N328" s="113">
        <f t="shared" si="47"/>
        <v>3</v>
      </c>
      <c r="O328" s="99">
        <v>3</v>
      </c>
      <c r="P328" s="113">
        <f t="shared" si="48"/>
        <v>3</v>
      </c>
      <c r="Q328" s="112">
        <f t="shared" si="49"/>
        <v>48</v>
      </c>
      <c r="R328" s="112" t="str">
        <f t="shared" si="50"/>
        <v>Standard-size</v>
      </c>
      <c r="S328" s="99" t="str">
        <f t="shared" si="51"/>
        <v>Large standard-size</v>
      </c>
      <c r="T328" s="116" t="s">
        <v>13701</v>
      </c>
      <c r="U328" s="116">
        <f t="shared" si="52"/>
        <v>0.18518518518518517</v>
      </c>
      <c r="V328" s="116" t="s">
        <v>13583</v>
      </c>
      <c r="W328" s="116" t="s">
        <v>13690</v>
      </c>
      <c r="X328" s="99" t="s">
        <v>13583</v>
      </c>
      <c r="Y328" s="99">
        <v>1</v>
      </c>
      <c r="Z328" s="99">
        <v>2</v>
      </c>
      <c r="AA328" s="99">
        <v>1</v>
      </c>
      <c r="AB328" s="99"/>
      <c r="AC328" s="99"/>
      <c r="AD328" s="107">
        <v>22.83285714285714</v>
      </c>
      <c r="AE328" s="113">
        <f t="shared" si="53"/>
        <v>-3.4249285714285711</v>
      </c>
      <c r="AF328" s="116">
        <f>-IFERROR(IFERROR(VLOOKUP(ROUNDUP($Q328,0),'FBA FEES'!$L$2:$Q$203,MATCH($S328,'FBA FEES'!$L$2:$Q$2,0),FALSE),VLOOKUP(ROUNDUP($Q328,0),'FBA FEES'!$C$6:$F$123,MATCH($S328,'FBA FEES'!$C$6:$F$6,0),FALSE)),0)</f>
        <v>-6.62</v>
      </c>
      <c r="AG328" s="116">
        <v>-10</v>
      </c>
      <c r="AH328" s="113">
        <f t="shared" si="54"/>
        <v>-10.044928571428571</v>
      </c>
      <c r="AI328" s="116">
        <f>-IFERROR(IF($Y328=1,INDEX('[1]REMOVAL FEES'!$A$1:$C$22,MATCH(CONCATENATE("Standard Size",$P328),'[1]REMOVAL FEES'!$A$1:$A$22,0),3),IF($Y328=2,IF($P328&gt;10,(($P328-10)*1.06)+INDEX('[1]REMOVAL FEES'!$E$1:$G$22,MATCH(CONCATENATE("Large bulky, extra-large and special handling items",IF($P328&gt;=11,11,$P328)),'[1]REMOVAL FEES'!$E$1:$E$13,0),3),INDEX('[1]REMOVAL FEES'!$E$1:$G$22,MATCH(CONCATENATE("Large bulky, extra-large and special handling items",IF($P328&gt;=11,11,$P328)),'[1]REMOVAL FEES'!$E$1:$E$13,0),3))))*$AA328,FALSE)</f>
        <v>-3.95</v>
      </c>
      <c r="AJ328" s="107">
        <f t="shared" si="55"/>
        <v>-13.99492857142857</v>
      </c>
      <c r="AK328" s="107">
        <v>-6</v>
      </c>
      <c r="AL328" s="107">
        <v>-0.84299999999999997</v>
      </c>
      <c r="AM328" s="107">
        <f t="shared" si="56"/>
        <v>-6.843</v>
      </c>
      <c r="AN328" s="116">
        <f>(-IF($V328="Yes", IF($X328="Yes", VLOOKUP($W328, '[1]Storage Fees'!A:M, 13, FALSE), VLOOKUP($W328, '[1]Storage Fees'!A:M, 10, FALSE)), IF($X328="Yes", VLOOKUP($W328, '[1]Storage Fees'!A:M, 7, FALSE), VLOOKUP($W328, '[1]Storage Fees'!A:M, 4, FALSE))) * U328)*1.5</f>
        <v>-0.33888888888888891</v>
      </c>
    </row>
    <row r="329" spans="1:40" x14ac:dyDescent="0.25">
      <c r="A329" s="99">
        <v>257</v>
      </c>
      <c r="B329" s="99"/>
      <c r="C329" s="99" t="s">
        <v>13655</v>
      </c>
      <c r="D329" s="99"/>
      <c r="E329" s="99" t="s">
        <v>278</v>
      </c>
      <c r="F329" s="99" t="s">
        <v>1696</v>
      </c>
      <c r="G329" s="99" t="s">
        <v>13695</v>
      </c>
      <c r="H329" s="99">
        <v>0</v>
      </c>
      <c r="I329" s="99">
        <v>0</v>
      </c>
      <c r="J329" s="99">
        <v>0</v>
      </c>
      <c r="K329" s="101" t="str">
        <f t="shared" ref="K329:K392" si="57">H329&amp;"x"&amp;I329&amp;"x"&amp;J329</f>
        <v>0x0x0</v>
      </c>
      <c r="L329" s="102">
        <f t="shared" ref="L329:L392" si="58">(H329*I329*J329)/139</f>
        <v>0</v>
      </c>
      <c r="M329" s="113">
        <f t="shared" ref="M329:M392" si="59">(H329*I329*J329)/139</f>
        <v>0</v>
      </c>
      <c r="N329" s="113">
        <f t="shared" ref="N329:N392" si="60">IF(AND(M329&gt;0,M329&lt;=0.25),0.25,IF(AND(M329&gt;0.25,M329&lt;=0.5),0.5,IF(AND(M329&gt;0.5,M329&lt;=0.75),0.75,ROUNDUP(M329,0))))</f>
        <v>0</v>
      </c>
      <c r="O329" s="99">
        <v>0</v>
      </c>
      <c r="P329" s="113">
        <f t="shared" ref="P329:P392" si="61">ROUNDUP(MAX(L329,O329),0)</f>
        <v>0</v>
      </c>
      <c r="Q329" s="112">
        <f t="shared" ref="Q329:Q392" si="62">P329*16</f>
        <v>0</v>
      </c>
      <c r="R329" s="112" t="str">
        <f t="shared" ref="R329:R392" si="63">IF(RIGHT(S329,13)="standard-size","Standard-size","Oversize")</f>
        <v>Standard-size</v>
      </c>
      <c r="S329" s="99" t="str">
        <f t="shared" ref="S329:S392" si="64">IF(AND($P329&lt;=$J$50,$H329&lt;=$G$50,$I329&lt;=$H$50,$J329&lt;=$I$50),$A$50,IF(AND($P329&lt;=$J$51,$H329&lt;=$G$51,$I329&lt;=$H$51,$J329&lt;=$I$51),$A$51,IF(AND($H329&lt;=$G$52,$I329&lt;=$H$52,$J329&lt;=$I$52,$P329&lt;=$J$52),$A$52,IF(AND($P329&lt;=$J$53,OR(H$8&gt;$G$53,$I329&gt;$H$53,$J329&gt;$I$53)),$A$53,IF(AND($P329&gt;$J$53,$P329&lt;=$J$54),$A$54,IF(AND($P329&gt;$J$54,$P329&lt;=$J$55),$A$55,$A$56))))))</f>
        <v>Small standard-size</v>
      </c>
      <c r="T329" s="116" t="s">
        <v>13696</v>
      </c>
      <c r="U329" s="116">
        <f t="shared" ref="U329:U392" si="65">(H329*I329*J329)/1728</f>
        <v>0</v>
      </c>
      <c r="V329" s="116" t="s">
        <v>13583</v>
      </c>
      <c r="W329" s="116" t="s">
        <v>13690</v>
      </c>
      <c r="X329" s="99" t="s">
        <v>13583</v>
      </c>
      <c r="Y329" s="99">
        <v>1</v>
      </c>
      <c r="Z329" s="99">
        <v>1</v>
      </c>
      <c r="AA329" s="99">
        <v>1</v>
      </c>
      <c r="AB329" s="99"/>
      <c r="AC329" s="99"/>
      <c r="AD329" s="107">
        <v>0</v>
      </c>
      <c r="AE329" s="113">
        <f t="shared" ref="AE329:AE392" si="66">-AD329*0.15</f>
        <v>0</v>
      </c>
      <c r="AF329" s="116">
        <f>-IFERROR(IFERROR(VLOOKUP(ROUNDUP($Q329,0),'FBA FEES'!$L$2:$Q$203,MATCH($S329,'FBA FEES'!$L$2:$Q$2,0),FALSE),VLOOKUP(ROUNDUP($Q329,0),'FBA FEES'!$C$6:$F$123,MATCH($S329,'FBA FEES'!$C$6:$F$6,0),FALSE)),0)</f>
        <v>0</v>
      </c>
      <c r="AG329" s="116">
        <v>-10</v>
      </c>
      <c r="AH329" s="113">
        <f t="shared" ref="AH329:AH392" si="67">AE329+AF329</f>
        <v>0</v>
      </c>
      <c r="AI329" s="116">
        <f>-IFERROR(IF($Y329=1,INDEX('[1]REMOVAL FEES'!$A$1:$C$22,MATCH(CONCATENATE("Standard Size",$P329),'[1]REMOVAL FEES'!$A$1:$A$22,0),3),IF($Y329=2,IF($P329&gt;10,(($P329-10)*1.06)+INDEX('[1]REMOVAL FEES'!$E$1:$G$22,MATCH(CONCATENATE("Large bulky, extra-large and special handling items",IF($P329&gt;=11,11,$P329)),'[1]REMOVAL FEES'!$E$1:$E$13,0),3),INDEX('[1]REMOVAL FEES'!$E$1:$G$22,MATCH(CONCATENATE("Large bulky, extra-large and special handling items",IF($P329&gt;=11,11,$P329)),'[1]REMOVAL FEES'!$E$1:$E$13,0),3))))*$AA329,FALSE)</f>
        <v>0</v>
      </c>
      <c r="AJ329" s="107">
        <f t="shared" ref="AJ329:AJ392" si="68">AH329+AI329</f>
        <v>0</v>
      </c>
      <c r="AK329" s="107">
        <v>0</v>
      </c>
      <c r="AL329" s="107">
        <v>0</v>
      </c>
      <c r="AM329" s="107">
        <f t="shared" ref="AM329:AM392" si="69">AK329+AL329</f>
        <v>0</v>
      </c>
      <c r="AN329" s="116">
        <f>(-IF($V329="Yes", IF($X329="Yes", VLOOKUP($W329, '[1]Storage Fees'!A:M, 13, FALSE), VLOOKUP($W329, '[1]Storage Fees'!A:M, 10, FALSE)), IF($X329="Yes", VLOOKUP($W329, '[1]Storage Fees'!A:M, 7, FALSE), VLOOKUP($W329, '[1]Storage Fees'!A:M, 4, FALSE))) * U329)*1.5</f>
        <v>0</v>
      </c>
    </row>
    <row r="330" spans="1:40" x14ac:dyDescent="0.25">
      <c r="A330" s="99">
        <v>258</v>
      </c>
      <c r="B330" s="99"/>
      <c r="C330" s="99" t="s">
        <v>13655</v>
      </c>
      <c r="D330" s="99"/>
      <c r="E330" s="99" t="s">
        <v>278</v>
      </c>
      <c r="F330" s="99" t="s">
        <v>1698</v>
      </c>
      <c r="G330" s="99" t="s">
        <v>13695</v>
      </c>
      <c r="H330" s="99">
        <v>0</v>
      </c>
      <c r="I330" s="99">
        <v>0</v>
      </c>
      <c r="J330" s="99">
        <v>0</v>
      </c>
      <c r="K330" s="101" t="str">
        <f t="shared" si="57"/>
        <v>0x0x0</v>
      </c>
      <c r="L330" s="102">
        <f t="shared" si="58"/>
        <v>0</v>
      </c>
      <c r="M330" s="113">
        <f t="shared" si="59"/>
        <v>0</v>
      </c>
      <c r="N330" s="113">
        <f t="shared" si="60"/>
        <v>0</v>
      </c>
      <c r="O330" s="99">
        <v>0</v>
      </c>
      <c r="P330" s="113">
        <f t="shared" si="61"/>
        <v>0</v>
      </c>
      <c r="Q330" s="112">
        <f t="shared" si="62"/>
        <v>0</v>
      </c>
      <c r="R330" s="112" t="str">
        <f t="shared" si="63"/>
        <v>Standard-size</v>
      </c>
      <c r="S330" s="99" t="str">
        <f t="shared" si="64"/>
        <v>Small standard-size</v>
      </c>
      <c r="T330" s="116" t="s">
        <v>13696</v>
      </c>
      <c r="U330" s="116">
        <f t="shared" si="65"/>
        <v>0</v>
      </c>
      <c r="V330" s="116" t="s">
        <v>13583</v>
      </c>
      <c r="W330" s="116" t="s">
        <v>13690</v>
      </c>
      <c r="X330" s="99" t="s">
        <v>13583</v>
      </c>
      <c r="Y330" s="99">
        <v>1</v>
      </c>
      <c r="Z330" s="99">
        <v>1</v>
      </c>
      <c r="AA330" s="99">
        <v>1</v>
      </c>
      <c r="AB330" s="99"/>
      <c r="AC330" s="99"/>
      <c r="AD330" s="107">
        <v>0</v>
      </c>
      <c r="AE330" s="113">
        <f t="shared" si="66"/>
        <v>0</v>
      </c>
      <c r="AF330" s="116">
        <f>-IFERROR(IFERROR(VLOOKUP(ROUNDUP($Q330,0),'FBA FEES'!$L$2:$Q$203,MATCH($S330,'FBA FEES'!$L$2:$Q$2,0),FALSE),VLOOKUP(ROUNDUP($Q330,0),'FBA FEES'!$C$6:$F$123,MATCH($S330,'FBA FEES'!$C$6:$F$6,0),FALSE)),0)</f>
        <v>0</v>
      </c>
      <c r="AG330" s="116">
        <v>-10</v>
      </c>
      <c r="AH330" s="113">
        <f t="shared" si="67"/>
        <v>0</v>
      </c>
      <c r="AI330" s="116">
        <f>-IFERROR(IF($Y330=1,INDEX('[1]REMOVAL FEES'!$A$1:$C$22,MATCH(CONCATENATE("Standard Size",$P330),'[1]REMOVAL FEES'!$A$1:$A$22,0),3),IF($Y330=2,IF($P330&gt;10,(($P330-10)*1.06)+INDEX('[1]REMOVAL FEES'!$E$1:$G$22,MATCH(CONCATENATE("Large bulky, extra-large and special handling items",IF($P330&gt;=11,11,$P330)),'[1]REMOVAL FEES'!$E$1:$E$13,0),3),INDEX('[1]REMOVAL FEES'!$E$1:$G$22,MATCH(CONCATENATE("Large bulky, extra-large and special handling items",IF($P330&gt;=11,11,$P330)),'[1]REMOVAL FEES'!$E$1:$E$13,0),3))))*$AA330,FALSE)</f>
        <v>0</v>
      </c>
      <c r="AJ330" s="107">
        <f t="shared" si="68"/>
        <v>0</v>
      </c>
      <c r="AK330" s="107">
        <v>0</v>
      </c>
      <c r="AL330" s="107">
        <v>0</v>
      </c>
      <c r="AM330" s="107">
        <f t="shared" si="69"/>
        <v>0</v>
      </c>
      <c r="AN330" s="116">
        <f>(-IF($V330="Yes", IF($X330="Yes", VLOOKUP($W330, '[1]Storage Fees'!A:M, 13, FALSE), VLOOKUP($W330, '[1]Storage Fees'!A:M, 10, FALSE)), IF($X330="Yes", VLOOKUP($W330, '[1]Storage Fees'!A:M, 7, FALSE), VLOOKUP($W330, '[1]Storage Fees'!A:M, 4, FALSE))) * U330)*1.5</f>
        <v>0</v>
      </c>
    </row>
    <row r="331" spans="1:40" x14ac:dyDescent="0.25">
      <c r="A331" s="99">
        <v>259</v>
      </c>
      <c r="B331" s="99"/>
      <c r="C331" s="99" t="s">
        <v>13655</v>
      </c>
      <c r="D331" s="99"/>
      <c r="E331" s="99" t="s">
        <v>278</v>
      </c>
      <c r="F331" s="99" t="s">
        <v>1700</v>
      </c>
      <c r="G331" s="99" t="s">
        <v>13695</v>
      </c>
      <c r="H331" s="99">
        <v>0</v>
      </c>
      <c r="I331" s="99">
        <v>0</v>
      </c>
      <c r="J331" s="99">
        <v>0</v>
      </c>
      <c r="K331" s="101" t="str">
        <f t="shared" si="57"/>
        <v>0x0x0</v>
      </c>
      <c r="L331" s="102">
        <f t="shared" si="58"/>
        <v>0</v>
      </c>
      <c r="M331" s="113">
        <f t="shared" si="59"/>
        <v>0</v>
      </c>
      <c r="N331" s="113">
        <f t="shared" si="60"/>
        <v>0</v>
      </c>
      <c r="O331" s="99">
        <v>0</v>
      </c>
      <c r="P331" s="113">
        <f t="shared" si="61"/>
        <v>0</v>
      </c>
      <c r="Q331" s="112">
        <f t="shared" si="62"/>
        <v>0</v>
      </c>
      <c r="R331" s="112" t="str">
        <f t="shared" si="63"/>
        <v>Standard-size</v>
      </c>
      <c r="S331" s="99" t="str">
        <f t="shared" si="64"/>
        <v>Small standard-size</v>
      </c>
      <c r="T331" s="116" t="s">
        <v>13696</v>
      </c>
      <c r="U331" s="116">
        <f t="shared" si="65"/>
        <v>0</v>
      </c>
      <c r="V331" s="116" t="s">
        <v>13583</v>
      </c>
      <c r="W331" s="116" t="s">
        <v>13690</v>
      </c>
      <c r="X331" s="99" t="s">
        <v>13583</v>
      </c>
      <c r="Y331" s="99">
        <v>1</v>
      </c>
      <c r="Z331" s="99">
        <v>1</v>
      </c>
      <c r="AA331" s="99">
        <v>1</v>
      </c>
      <c r="AB331" s="99"/>
      <c r="AC331" s="99"/>
      <c r="AD331" s="107">
        <v>0</v>
      </c>
      <c r="AE331" s="113">
        <f t="shared" si="66"/>
        <v>0</v>
      </c>
      <c r="AF331" s="116">
        <f>-IFERROR(IFERROR(VLOOKUP(ROUNDUP($Q331,0),'FBA FEES'!$L$2:$Q$203,MATCH($S331,'FBA FEES'!$L$2:$Q$2,0),FALSE),VLOOKUP(ROUNDUP($Q331,0),'FBA FEES'!$C$6:$F$123,MATCH($S331,'FBA FEES'!$C$6:$F$6,0),FALSE)),0)</f>
        <v>0</v>
      </c>
      <c r="AG331" s="116">
        <v>-10</v>
      </c>
      <c r="AH331" s="113">
        <f t="shared" si="67"/>
        <v>0</v>
      </c>
      <c r="AI331" s="116">
        <f>-IFERROR(IF($Y331=1,INDEX('[1]REMOVAL FEES'!$A$1:$C$22,MATCH(CONCATENATE("Standard Size",$P331),'[1]REMOVAL FEES'!$A$1:$A$22,0),3),IF($Y331=2,IF($P331&gt;10,(($P331-10)*1.06)+INDEX('[1]REMOVAL FEES'!$E$1:$G$22,MATCH(CONCATENATE("Large bulky, extra-large and special handling items",IF($P331&gt;=11,11,$P331)),'[1]REMOVAL FEES'!$E$1:$E$13,0),3),INDEX('[1]REMOVAL FEES'!$E$1:$G$22,MATCH(CONCATENATE("Large bulky, extra-large and special handling items",IF($P331&gt;=11,11,$P331)),'[1]REMOVAL FEES'!$E$1:$E$13,0),3))))*$AA331,FALSE)</f>
        <v>0</v>
      </c>
      <c r="AJ331" s="107">
        <f t="shared" si="68"/>
        <v>0</v>
      </c>
      <c r="AK331" s="107">
        <v>0</v>
      </c>
      <c r="AL331" s="107">
        <v>0</v>
      </c>
      <c r="AM331" s="107">
        <f t="shared" si="69"/>
        <v>0</v>
      </c>
      <c r="AN331" s="116">
        <f>(-IF($V331="Yes", IF($X331="Yes", VLOOKUP($W331, '[1]Storage Fees'!A:M, 13, FALSE), VLOOKUP($W331, '[1]Storage Fees'!A:M, 10, FALSE)), IF($X331="Yes", VLOOKUP($W331, '[1]Storage Fees'!A:M, 7, FALSE), VLOOKUP($W331, '[1]Storage Fees'!A:M, 4, FALSE))) * U331)*1.5</f>
        <v>0</v>
      </c>
    </row>
    <row r="332" spans="1:40" x14ac:dyDescent="0.25">
      <c r="A332" s="99">
        <v>260</v>
      </c>
      <c r="B332" s="99"/>
      <c r="C332" s="99" t="s">
        <v>13655</v>
      </c>
      <c r="D332" s="99"/>
      <c r="E332" s="99" t="s">
        <v>278</v>
      </c>
      <c r="F332" s="99" t="s">
        <v>1702</v>
      </c>
      <c r="G332" s="99" t="s">
        <v>13695</v>
      </c>
      <c r="H332" s="99">
        <v>0</v>
      </c>
      <c r="I332" s="99">
        <v>0</v>
      </c>
      <c r="J332" s="99">
        <v>0</v>
      </c>
      <c r="K332" s="101" t="str">
        <f t="shared" si="57"/>
        <v>0x0x0</v>
      </c>
      <c r="L332" s="102">
        <f t="shared" si="58"/>
        <v>0</v>
      </c>
      <c r="M332" s="113">
        <f t="shared" si="59"/>
        <v>0</v>
      </c>
      <c r="N332" s="113">
        <f t="shared" si="60"/>
        <v>0</v>
      </c>
      <c r="O332" s="99">
        <v>0</v>
      </c>
      <c r="P332" s="113">
        <f t="shared" si="61"/>
        <v>0</v>
      </c>
      <c r="Q332" s="112">
        <f t="shared" si="62"/>
        <v>0</v>
      </c>
      <c r="R332" s="112" t="str">
        <f t="shared" si="63"/>
        <v>Standard-size</v>
      </c>
      <c r="S332" s="99" t="str">
        <f t="shared" si="64"/>
        <v>Small standard-size</v>
      </c>
      <c r="T332" s="116" t="s">
        <v>13696</v>
      </c>
      <c r="U332" s="116">
        <f t="shared" si="65"/>
        <v>0</v>
      </c>
      <c r="V332" s="116" t="s">
        <v>13583</v>
      </c>
      <c r="W332" s="116" t="s">
        <v>13690</v>
      </c>
      <c r="X332" s="99" t="s">
        <v>13583</v>
      </c>
      <c r="Y332" s="99">
        <v>1</v>
      </c>
      <c r="Z332" s="99">
        <v>1</v>
      </c>
      <c r="AA332" s="99">
        <v>1</v>
      </c>
      <c r="AB332" s="99"/>
      <c r="AC332" s="99"/>
      <c r="AD332" s="107">
        <v>0</v>
      </c>
      <c r="AE332" s="113">
        <f t="shared" si="66"/>
        <v>0</v>
      </c>
      <c r="AF332" s="116">
        <f>-IFERROR(IFERROR(VLOOKUP(ROUNDUP($Q332,0),'FBA FEES'!$L$2:$Q$203,MATCH($S332,'FBA FEES'!$L$2:$Q$2,0),FALSE),VLOOKUP(ROUNDUP($Q332,0),'FBA FEES'!$C$6:$F$123,MATCH($S332,'FBA FEES'!$C$6:$F$6,0),FALSE)),0)</f>
        <v>0</v>
      </c>
      <c r="AG332" s="116">
        <v>-10</v>
      </c>
      <c r="AH332" s="113">
        <f t="shared" si="67"/>
        <v>0</v>
      </c>
      <c r="AI332" s="116">
        <f>-IFERROR(IF($Y332=1,INDEX('[1]REMOVAL FEES'!$A$1:$C$22,MATCH(CONCATENATE("Standard Size",$P332),'[1]REMOVAL FEES'!$A$1:$A$22,0),3),IF($Y332=2,IF($P332&gt;10,(($P332-10)*1.06)+INDEX('[1]REMOVAL FEES'!$E$1:$G$22,MATCH(CONCATENATE("Large bulky, extra-large and special handling items",IF($P332&gt;=11,11,$P332)),'[1]REMOVAL FEES'!$E$1:$E$13,0),3),INDEX('[1]REMOVAL FEES'!$E$1:$G$22,MATCH(CONCATENATE("Large bulky, extra-large and special handling items",IF($P332&gt;=11,11,$P332)),'[1]REMOVAL FEES'!$E$1:$E$13,0),3))))*$AA332,FALSE)</f>
        <v>0</v>
      </c>
      <c r="AJ332" s="107">
        <f t="shared" si="68"/>
        <v>0</v>
      </c>
      <c r="AK332" s="107">
        <v>0</v>
      </c>
      <c r="AL332" s="107">
        <v>0</v>
      </c>
      <c r="AM332" s="107">
        <f t="shared" si="69"/>
        <v>0</v>
      </c>
      <c r="AN332" s="116">
        <f>(-IF($V332="Yes", IF($X332="Yes", VLOOKUP($W332, '[1]Storage Fees'!A:M, 13, FALSE), VLOOKUP($W332, '[1]Storage Fees'!A:M, 10, FALSE)), IF($X332="Yes", VLOOKUP($W332, '[1]Storage Fees'!A:M, 7, FALSE), VLOOKUP($W332, '[1]Storage Fees'!A:M, 4, FALSE))) * U332)*1.5</f>
        <v>0</v>
      </c>
    </row>
    <row r="333" spans="1:40" x14ac:dyDescent="0.25">
      <c r="A333" s="99">
        <v>261</v>
      </c>
      <c r="B333" s="99"/>
      <c r="C333" s="99" t="s">
        <v>13655</v>
      </c>
      <c r="D333" s="99"/>
      <c r="E333" s="99" t="s">
        <v>278</v>
      </c>
      <c r="F333" s="99" t="s">
        <v>1704</v>
      </c>
      <c r="G333" s="99" t="s">
        <v>13695</v>
      </c>
      <c r="H333" s="99">
        <v>0</v>
      </c>
      <c r="I333" s="99">
        <v>0</v>
      </c>
      <c r="J333" s="99">
        <v>0</v>
      </c>
      <c r="K333" s="101" t="str">
        <f t="shared" si="57"/>
        <v>0x0x0</v>
      </c>
      <c r="L333" s="102">
        <f t="shared" si="58"/>
        <v>0</v>
      </c>
      <c r="M333" s="113">
        <f t="shared" si="59"/>
        <v>0</v>
      </c>
      <c r="N333" s="113">
        <f t="shared" si="60"/>
        <v>0</v>
      </c>
      <c r="O333" s="99">
        <v>0</v>
      </c>
      <c r="P333" s="113">
        <f t="shared" si="61"/>
        <v>0</v>
      </c>
      <c r="Q333" s="112">
        <f t="shared" si="62"/>
        <v>0</v>
      </c>
      <c r="R333" s="112" t="str">
        <f t="shared" si="63"/>
        <v>Standard-size</v>
      </c>
      <c r="S333" s="99" t="str">
        <f t="shared" si="64"/>
        <v>Small standard-size</v>
      </c>
      <c r="T333" s="116" t="s">
        <v>13696</v>
      </c>
      <c r="U333" s="116">
        <f t="shared" si="65"/>
        <v>0</v>
      </c>
      <c r="V333" s="116" t="s">
        <v>13583</v>
      </c>
      <c r="W333" s="116" t="s">
        <v>13690</v>
      </c>
      <c r="X333" s="99" t="s">
        <v>13583</v>
      </c>
      <c r="Y333" s="99">
        <v>1</v>
      </c>
      <c r="Z333" s="99">
        <v>1</v>
      </c>
      <c r="AA333" s="99">
        <v>1</v>
      </c>
      <c r="AB333" s="99"/>
      <c r="AC333" s="99"/>
      <c r="AD333" s="107">
        <v>0</v>
      </c>
      <c r="AE333" s="113">
        <f t="shared" si="66"/>
        <v>0</v>
      </c>
      <c r="AF333" s="116">
        <f>-IFERROR(IFERROR(VLOOKUP(ROUNDUP($Q333,0),'FBA FEES'!$L$2:$Q$203,MATCH($S333,'FBA FEES'!$L$2:$Q$2,0),FALSE),VLOOKUP(ROUNDUP($Q333,0),'FBA FEES'!$C$6:$F$123,MATCH($S333,'FBA FEES'!$C$6:$F$6,0),FALSE)),0)</f>
        <v>0</v>
      </c>
      <c r="AG333" s="116">
        <v>-10</v>
      </c>
      <c r="AH333" s="113">
        <f t="shared" si="67"/>
        <v>0</v>
      </c>
      <c r="AI333" s="116">
        <f>-IFERROR(IF($Y333=1,INDEX('[1]REMOVAL FEES'!$A$1:$C$22,MATCH(CONCATENATE("Standard Size",$P333),'[1]REMOVAL FEES'!$A$1:$A$22,0),3),IF($Y333=2,IF($P333&gt;10,(($P333-10)*1.06)+INDEX('[1]REMOVAL FEES'!$E$1:$G$22,MATCH(CONCATENATE("Large bulky, extra-large and special handling items",IF($P333&gt;=11,11,$P333)),'[1]REMOVAL FEES'!$E$1:$E$13,0),3),INDEX('[1]REMOVAL FEES'!$E$1:$G$22,MATCH(CONCATENATE("Large bulky, extra-large and special handling items",IF($P333&gt;=11,11,$P333)),'[1]REMOVAL FEES'!$E$1:$E$13,0),3))))*$AA333,FALSE)</f>
        <v>0</v>
      </c>
      <c r="AJ333" s="107">
        <f t="shared" si="68"/>
        <v>0</v>
      </c>
      <c r="AK333" s="107">
        <v>0</v>
      </c>
      <c r="AL333" s="107">
        <v>0</v>
      </c>
      <c r="AM333" s="107">
        <f t="shared" si="69"/>
        <v>0</v>
      </c>
      <c r="AN333" s="116">
        <f>(-IF($V333="Yes", IF($X333="Yes", VLOOKUP($W333, '[1]Storage Fees'!A:M, 13, FALSE), VLOOKUP($W333, '[1]Storage Fees'!A:M, 10, FALSE)), IF($X333="Yes", VLOOKUP($W333, '[1]Storage Fees'!A:M, 7, FALSE), VLOOKUP($W333, '[1]Storage Fees'!A:M, 4, FALSE))) * U333)*1.5</f>
        <v>0</v>
      </c>
    </row>
    <row r="334" spans="1:40" x14ac:dyDescent="0.25">
      <c r="A334" s="99">
        <v>262</v>
      </c>
      <c r="B334" s="99" t="s">
        <v>13705</v>
      </c>
      <c r="C334" s="99" t="s">
        <v>13655</v>
      </c>
      <c r="D334" s="99" t="s">
        <v>865</v>
      </c>
      <c r="E334" s="99" t="s">
        <v>278</v>
      </c>
      <c r="F334" s="99" t="s">
        <v>883</v>
      </c>
      <c r="G334" s="99" t="s">
        <v>13695</v>
      </c>
      <c r="H334" s="99">
        <v>26</v>
      </c>
      <c r="I334" s="99">
        <v>16</v>
      </c>
      <c r="J334" s="99">
        <v>16</v>
      </c>
      <c r="K334" s="101" t="str">
        <f t="shared" si="57"/>
        <v>26x16x16</v>
      </c>
      <c r="L334" s="102">
        <f t="shared" si="58"/>
        <v>47.884892086330936</v>
      </c>
      <c r="M334" s="113">
        <f t="shared" si="59"/>
        <v>47.884892086330936</v>
      </c>
      <c r="N334" s="113">
        <f t="shared" si="60"/>
        <v>48</v>
      </c>
      <c r="O334" s="99">
        <v>99.25</v>
      </c>
      <c r="P334" s="113">
        <f t="shared" si="61"/>
        <v>100</v>
      </c>
      <c r="Q334" s="112">
        <f t="shared" si="62"/>
        <v>1600</v>
      </c>
      <c r="R334" s="112" t="str">
        <f t="shared" si="63"/>
        <v>Oversize</v>
      </c>
      <c r="S334" s="99" t="str">
        <f t="shared" si="64"/>
        <v>Extra-large 70+ to 150 lb</v>
      </c>
      <c r="T334" s="116" t="s">
        <v>13703</v>
      </c>
      <c r="U334" s="116">
        <f t="shared" si="65"/>
        <v>3.8518518518518516</v>
      </c>
      <c r="V334" s="116" t="s">
        <v>13583</v>
      </c>
      <c r="W334" s="116" t="s">
        <v>13690</v>
      </c>
      <c r="X334" s="116" t="s">
        <v>13691</v>
      </c>
      <c r="Y334" s="116">
        <v>2</v>
      </c>
      <c r="Z334" s="116">
        <v>6</v>
      </c>
      <c r="AA334" s="116">
        <v>1</v>
      </c>
      <c r="AB334" s="99"/>
      <c r="AC334" s="99"/>
      <c r="AD334" s="107">
        <v>0</v>
      </c>
      <c r="AE334" s="113">
        <f t="shared" si="66"/>
        <v>0</v>
      </c>
      <c r="AF334" s="116">
        <f>-IFERROR(IFERROR(VLOOKUP(ROUNDUP($Q334,0),'FBA FEES'!$L$2:$Q$203,MATCH($S334,'FBA FEES'!$L$2:$Q$2,0),FALSE),VLOOKUP(ROUNDUP($Q334,0),'FBA FEES'!$C$6:$F$123,MATCH($S334,'FBA FEES'!$C$6:$F$6,0),FALSE)),0)</f>
        <v>-76.56</v>
      </c>
      <c r="AG334" s="116">
        <v>-10</v>
      </c>
      <c r="AH334" s="113">
        <f t="shared" si="67"/>
        <v>-76.56</v>
      </c>
      <c r="AI334" s="116">
        <f>-IFERROR(IF($Y334=1,INDEX('[1]REMOVAL FEES'!$A$1:$C$22,MATCH(CONCATENATE("Standard Size",$P334),'[1]REMOVAL FEES'!$A$1:$A$22,0),3),IF($Y334=2,IF($P334&gt;10,(($P334-10)*1.06)+INDEX('[1]REMOVAL FEES'!$E$1:$G$22,MATCH(CONCATENATE("Large bulky, extra-large and special handling items",IF($P334&gt;=11,11,$P334)),'[1]REMOVAL FEES'!$E$1:$E$13,0),3),INDEX('[1]REMOVAL FEES'!$E$1:$G$22,MATCH(CONCATENATE("Large bulky, extra-large and special handling items",IF($P334&gt;=11,11,$P334)),'[1]REMOVAL FEES'!$E$1:$E$13,0),3))))*$AA334,FALSE)</f>
        <v>-109.72</v>
      </c>
      <c r="AJ334" s="107">
        <f t="shared" si="68"/>
        <v>-186.28</v>
      </c>
      <c r="AK334" s="107">
        <v>0</v>
      </c>
      <c r="AL334" s="107">
        <v>0</v>
      </c>
      <c r="AM334" s="107">
        <f t="shared" si="69"/>
        <v>0</v>
      </c>
      <c r="AN334" s="116">
        <f>(-IF($V334="Yes", IF($X334="Yes", VLOOKUP($W334, '[1]Storage Fees'!A:M, 13, FALSE), VLOOKUP($W334, '[1]Storage Fees'!A:M, 10, FALSE)), IF($X334="Yes", VLOOKUP($W334, '[1]Storage Fees'!A:M, 7, FALSE), VLOOKUP($W334, '[1]Storage Fees'!A:M, 4, FALSE))) * U334)*1.5</f>
        <v>-4.5644444444444439</v>
      </c>
    </row>
    <row r="335" spans="1:40" x14ac:dyDescent="0.25">
      <c r="A335" s="99">
        <v>263</v>
      </c>
      <c r="B335" s="99" t="s">
        <v>13705</v>
      </c>
      <c r="C335" s="99" t="s">
        <v>13655</v>
      </c>
      <c r="D335" s="99" t="s">
        <v>714</v>
      </c>
      <c r="E335" s="99" t="s">
        <v>278</v>
      </c>
      <c r="F335" s="99" t="s">
        <v>887</v>
      </c>
      <c r="G335" s="99" t="s">
        <v>13695</v>
      </c>
      <c r="H335" s="99">
        <v>12</v>
      </c>
      <c r="I335" s="99">
        <v>12</v>
      </c>
      <c r="J335" s="99">
        <v>13</v>
      </c>
      <c r="K335" s="101" t="str">
        <f t="shared" si="57"/>
        <v>12x12x13</v>
      </c>
      <c r="L335" s="102">
        <f t="shared" si="58"/>
        <v>13.467625899280575</v>
      </c>
      <c r="M335" s="113">
        <f t="shared" si="59"/>
        <v>13.467625899280575</v>
      </c>
      <c r="N335" s="113">
        <f t="shared" si="60"/>
        <v>14</v>
      </c>
      <c r="O335" s="99">
        <v>17.875</v>
      </c>
      <c r="P335" s="113">
        <f t="shared" si="61"/>
        <v>18</v>
      </c>
      <c r="Q335" s="112">
        <f t="shared" si="62"/>
        <v>288</v>
      </c>
      <c r="R335" s="112" t="str">
        <f t="shared" si="63"/>
        <v>Oversize</v>
      </c>
      <c r="S335" s="99" t="str">
        <f t="shared" si="64"/>
        <v>Large bulky</v>
      </c>
      <c r="T335" s="116" t="s">
        <v>13692</v>
      </c>
      <c r="U335" s="116">
        <f t="shared" si="65"/>
        <v>1.0833333333333333</v>
      </c>
      <c r="V335" s="116" t="s">
        <v>13583</v>
      </c>
      <c r="W335" s="116" t="s">
        <v>13690</v>
      </c>
      <c r="X335" s="116" t="s">
        <v>13691</v>
      </c>
      <c r="Y335" s="116">
        <v>2</v>
      </c>
      <c r="Z335" s="116">
        <v>3</v>
      </c>
      <c r="AA335" s="116">
        <v>1</v>
      </c>
      <c r="AB335" s="99"/>
      <c r="AC335" s="99"/>
      <c r="AD335" s="107">
        <v>0</v>
      </c>
      <c r="AE335" s="113">
        <f t="shared" si="66"/>
        <v>0</v>
      </c>
      <c r="AF335" s="116">
        <f>-IFERROR(IFERROR(VLOOKUP(ROUNDUP($Q335,0),'FBA FEES'!$L$2:$Q$203,MATCH($S335,'FBA FEES'!$L$2:$Q$2,0),FALSE),VLOOKUP(ROUNDUP($Q335,0),'FBA FEES'!$C$6:$F$123,MATCH($S335,'FBA FEES'!$C$6:$F$6,0),FALSE)),0)</f>
        <v>-16.07</v>
      </c>
      <c r="AG335" s="116">
        <v>-10</v>
      </c>
      <c r="AH335" s="113">
        <f t="shared" si="67"/>
        <v>-16.07</v>
      </c>
      <c r="AI335" s="116">
        <f>-IFERROR(IF($Y335=1,INDEX('[1]REMOVAL FEES'!$A$1:$C$22,MATCH(CONCATENATE("Standard Size",$P335),'[1]REMOVAL FEES'!$A$1:$A$22,0),3),IF($Y335=2,IF($P335&gt;10,(($P335-10)*1.06)+INDEX('[1]REMOVAL FEES'!$E$1:$G$22,MATCH(CONCATENATE("Large bulky, extra-large and special handling items",IF($P335&gt;=11,11,$P335)),'[1]REMOVAL FEES'!$E$1:$E$13,0),3),INDEX('[1]REMOVAL FEES'!$E$1:$G$22,MATCH(CONCATENATE("Large bulky, extra-large and special handling items",IF($P335&gt;=11,11,$P335)),'[1]REMOVAL FEES'!$E$1:$E$13,0),3))))*$AA335,FALSE)</f>
        <v>-22.8</v>
      </c>
      <c r="AJ335" s="107">
        <f t="shared" si="68"/>
        <v>-38.870000000000005</v>
      </c>
      <c r="AK335" s="107">
        <v>0</v>
      </c>
      <c r="AL335" s="107">
        <v>0</v>
      </c>
      <c r="AM335" s="107">
        <f t="shared" si="69"/>
        <v>0</v>
      </c>
      <c r="AN335" s="116">
        <f>(-IF($V335="Yes", IF($X335="Yes", VLOOKUP($W335, '[1]Storage Fees'!A:M, 13, FALSE), VLOOKUP($W335, '[1]Storage Fees'!A:M, 10, FALSE)), IF($X335="Yes", VLOOKUP($W335, '[1]Storage Fees'!A:M, 7, FALSE), VLOOKUP($W335, '[1]Storage Fees'!A:M, 4, FALSE))) * U335)*1.5</f>
        <v>-1.2837499999999999</v>
      </c>
    </row>
    <row r="336" spans="1:40" x14ac:dyDescent="0.25">
      <c r="A336" s="99">
        <v>264</v>
      </c>
      <c r="B336" s="99"/>
      <c r="C336" s="99" t="s">
        <v>13655</v>
      </c>
      <c r="D336" s="99"/>
      <c r="E336" s="99" t="s">
        <v>278</v>
      </c>
      <c r="F336" s="99" t="s">
        <v>1706</v>
      </c>
      <c r="G336" s="99" t="s">
        <v>13695</v>
      </c>
      <c r="H336" s="99">
        <v>0</v>
      </c>
      <c r="I336" s="99">
        <v>0</v>
      </c>
      <c r="J336" s="99">
        <v>0</v>
      </c>
      <c r="K336" s="101" t="str">
        <f t="shared" si="57"/>
        <v>0x0x0</v>
      </c>
      <c r="L336" s="102">
        <f t="shared" si="58"/>
        <v>0</v>
      </c>
      <c r="M336" s="113">
        <f t="shared" si="59"/>
        <v>0</v>
      </c>
      <c r="N336" s="113">
        <f t="shared" si="60"/>
        <v>0</v>
      </c>
      <c r="O336" s="99">
        <v>0</v>
      </c>
      <c r="P336" s="113">
        <f t="shared" si="61"/>
        <v>0</v>
      </c>
      <c r="Q336" s="112">
        <f t="shared" si="62"/>
        <v>0</v>
      </c>
      <c r="R336" s="112" t="str">
        <f t="shared" si="63"/>
        <v>Standard-size</v>
      </c>
      <c r="S336" s="99" t="str">
        <f t="shared" si="64"/>
        <v>Small standard-size</v>
      </c>
      <c r="T336" s="116" t="s">
        <v>13696</v>
      </c>
      <c r="U336" s="116">
        <f t="shared" si="65"/>
        <v>0</v>
      </c>
      <c r="V336" s="116" t="s">
        <v>13583</v>
      </c>
      <c r="W336" s="116" t="s">
        <v>13690</v>
      </c>
      <c r="X336" s="99" t="s">
        <v>13583</v>
      </c>
      <c r="Y336" s="99">
        <v>1</v>
      </c>
      <c r="Z336" s="99">
        <v>1</v>
      </c>
      <c r="AA336" s="99">
        <v>1</v>
      </c>
      <c r="AB336" s="99"/>
      <c r="AC336" s="99"/>
      <c r="AD336" s="107">
        <v>0</v>
      </c>
      <c r="AE336" s="113">
        <f t="shared" si="66"/>
        <v>0</v>
      </c>
      <c r="AF336" s="116">
        <f>-IFERROR(IFERROR(VLOOKUP(ROUNDUP($Q336,0),'FBA FEES'!$L$2:$Q$203,MATCH($S336,'FBA FEES'!$L$2:$Q$2,0),FALSE),VLOOKUP(ROUNDUP($Q336,0),'FBA FEES'!$C$6:$F$123,MATCH($S336,'FBA FEES'!$C$6:$F$6,0),FALSE)),0)</f>
        <v>0</v>
      </c>
      <c r="AG336" s="116">
        <v>-10</v>
      </c>
      <c r="AH336" s="113">
        <f t="shared" si="67"/>
        <v>0</v>
      </c>
      <c r="AI336" s="116">
        <f>-IFERROR(IF($Y336=1,INDEX('[1]REMOVAL FEES'!$A$1:$C$22,MATCH(CONCATENATE("Standard Size",$P336),'[1]REMOVAL FEES'!$A$1:$A$22,0),3),IF($Y336=2,IF($P336&gt;10,(($P336-10)*1.06)+INDEX('[1]REMOVAL FEES'!$E$1:$G$22,MATCH(CONCATENATE("Large bulky, extra-large and special handling items",IF($P336&gt;=11,11,$P336)),'[1]REMOVAL FEES'!$E$1:$E$13,0),3),INDEX('[1]REMOVAL FEES'!$E$1:$G$22,MATCH(CONCATENATE("Large bulky, extra-large and special handling items",IF($P336&gt;=11,11,$P336)),'[1]REMOVAL FEES'!$E$1:$E$13,0),3))))*$AA336,FALSE)</f>
        <v>0</v>
      </c>
      <c r="AJ336" s="107">
        <f t="shared" si="68"/>
        <v>0</v>
      </c>
      <c r="AK336" s="107">
        <v>0</v>
      </c>
      <c r="AL336" s="107">
        <v>0</v>
      </c>
      <c r="AM336" s="107">
        <f t="shared" si="69"/>
        <v>0</v>
      </c>
      <c r="AN336" s="116">
        <f>(-IF($V336="Yes", IF($X336="Yes", VLOOKUP($W336, '[1]Storage Fees'!A:M, 13, FALSE), VLOOKUP($W336, '[1]Storage Fees'!A:M, 10, FALSE)), IF($X336="Yes", VLOOKUP($W336, '[1]Storage Fees'!A:M, 7, FALSE), VLOOKUP($W336, '[1]Storage Fees'!A:M, 4, FALSE))) * U336)*1.5</f>
        <v>0</v>
      </c>
    </row>
    <row r="337" spans="1:40" x14ac:dyDescent="0.25">
      <c r="A337" s="99">
        <v>265</v>
      </c>
      <c r="B337" s="99"/>
      <c r="C337" s="99" t="s">
        <v>13655</v>
      </c>
      <c r="D337" s="99"/>
      <c r="E337" s="99" t="s">
        <v>278</v>
      </c>
      <c r="F337" s="99" t="s">
        <v>1708</v>
      </c>
      <c r="G337" s="99" t="s">
        <v>13695</v>
      </c>
      <c r="H337" s="99">
        <v>0</v>
      </c>
      <c r="I337" s="99">
        <v>0</v>
      </c>
      <c r="J337" s="99">
        <v>0</v>
      </c>
      <c r="K337" s="101" t="str">
        <f t="shared" si="57"/>
        <v>0x0x0</v>
      </c>
      <c r="L337" s="102">
        <f t="shared" si="58"/>
        <v>0</v>
      </c>
      <c r="M337" s="113">
        <f t="shared" si="59"/>
        <v>0</v>
      </c>
      <c r="N337" s="113">
        <f t="shared" si="60"/>
        <v>0</v>
      </c>
      <c r="O337" s="99">
        <v>0</v>
      </c>
      <c r="P337" s="113">
        <f t="shared" si="61"/>
        <v>0</v>
      </c>
      <c r="Q337" s="112">
        <f t="shared" si="62"/>
        <v>0</v>
      </c>
      <c r="R337" s="112" t="str">
        <f t="shared" si="63"/>
        <v>Standard-size</v>
      </c>
      <c r="S337" s="99" t="str">
        <f t="shared" si="64"/>
        <v>Small standard-size</v>
      </c>
      <c r="T337" s="116" t="s">
        <v>13696</v>
      </c>
      <c r="U337" s="116">
        <f t="shared" si="65"/>
        <v>0</v>
      </c>
      <c r="V337" s="116" t="s">
        <v>13583</v>
      </c>
      <c r="W337" s="116" t="s">
        <v>13690</v>
      </c>
      <c r="X337" s="99" t="s">
        <v>13583</v>
      </c>
      <c r="Y337" s="99">
        <v>1</v>
      </c>
      <c r="Z337" s="99">
        <v>1</v>
      </c>
      <c r="AA337" s="99">
        <v>1</v>
      </c>
      <c r="AB337" s="99"/>
      <c r="AC337" s="99"/>
      <c r="AD337" s="107">
        <v>0</v>
      </c>
      <c r="AE337" s="113">
        <f t="shared" si="66"/>
        <v>0</v>
      </c>
      <c r="AF337" s="116">
        <f>-IFERROR(IFERROR(VLOOKUP(ROUNDUP($Q337,0),'FBA FEES'!$L$2:$Q$203,MATCH($S337,'FBA FEES'!$L$2:$Q$2,0),FALSE),VLOOKUP(ROUNDUP($Q337,0),'FBA FEES'!$C$6:$F$123,MATCH($S337,'FBA FEES'!$C$6:$F$6,0),FALSE)),0)</f>
        <v>0</v>
      </c>
      <c r="AG337" s="116">
        <v>-10</v>
      </c>
      <c r="AH337" s="113">
        <f t="shared" si="67"/>
        <v>0</v>
      </c>
      <c r="AI337" s="116">
        <f>-IFERROR(IF($Y337=1,INDEX('[1]REMOVAL FEES'!$A$1:$C$22,MATCH(CONCATENATE("Standard Size",$P337),'[1]REMOVAL FEES'!$A$1:$A$22,0),3),IF($Y337=2,IF($P337&gt;10,(($P337-10)*1.06)+INDEX('[1]REMOVAL FEES'!$E$1:$G$22,MATCH(CONCATENATE("Large bulky, extra-large and special handling items",IF($P337&gt;=11,11,$P337)),'[1]REMOVAL FEES'!$E$1:$E$13,0),3),INDEX('[1]REMOVAL FEES'!$E$1:$G$22,MATCH(CONCATENATE("Large bulky, extra-large and special handling items",IF($P337&gt;=11,11,$P337)),'[1]REMOVAL FEES'!$E$1:$E$13,0),3))))*$AA337,FALSE)</f>
        <v>0</v>
      </c>
      <c r="AJ337" s="107">
        <f t="shared" si="68"/>
        <v>0</v>
      </c>
      <c r="AK337" s="107">
        <v>0</v>
      </c>
      <c r="AL337" s="107">
        <v>0</v>
      </c>
      <c r="AM337" s="107">
        <f t="shared" si="69"/>
        <v>0</v>
      </c>
      <c r="AN337" s="116">
        <f>(-IF($V337="Yes", IF($X337="Yes", VLOOKUP($W337, '[1]Storage Fees'!A:M, 13, FALSE), VLOOKUP($W337, '[1]Storage Fees'!A:M, 10, FALSE)), IF($X337="Yes", VLOOKUP($W337, '[1]Storage Fees'!A:M, 7, FALSE), VLOOKUP($W337, '[1]Storage Fees'!A:M, 4, FALSE))) * U337)*1.5</f>
        <v>0</v>
      </c>
    </row>
    <row r="338" spans="1:40" x14ac:dyDescent="0.25">
      <c r="A338" s="99">
        <v>266</v>
      </c>
      <c r="B338" s="99"/>
      <c r="C338" s="99" t="s">
        <v>13655</v>
      </c>
      <c r="D338" s="99"/>
      <c r="E338" s="99" t="s">
        <v>296</v>
      </c>
      <c r="F338" s="99" t="s">
        <v>1710</v>
      </c>
      <c r="G338" s="99" t="s">
        <v>13695</v>
      </c>
      <c r="H338" s="99">
        <v>0</v>
      </c>
      <c r="I338" s="99">
        <v>0</v>
      </c>
      <c r="J338" s="99">
        <v>0</v>
      </c>
      <c r="K338" s="101" t="str">
        <f t="shared" si="57"/>
        <v>0x0x0</v>
      </c>
      <c r="L338" s="102">
        <f t="shared" si="58"/>
        <v>0</v>
      </c>
      <c r="M338" s="113">
        <f t="shared" si="59"/>
        <v>0</v>
      </c>
      <c r="N338" s="113">
        <f t="shared" si="60"/>
        <v>0</v>
      </c>
      <c r="O338" s="99">
        <v>0</v>
      </c>
      <c r="P338" s="113">
        <f t="shared" si="61"/>
        <v>0</v>
      </c>
      <c r="Q338" s="112">
        <f t="shared" si="62"/>
        <v>0</v>
      </c>
      <c r="R338" s="112" t="str">
        <f t="shared" si="63"/>
        <v>Standard-size</v>
      </c>
      <c r="S338" s="99" t="str">
        <f t="shared" si="64"/>
        <v>Small standard-size</v>
      </c>
      <c r="T338" s="116" t="s">
        <v>13696</v>
      </c>
      <c r="U338" s="116">
        <f t="shared" si="65"/>
        <v>0</v>
      </c>
      <c r="V338" s="116" t="s">
        <v>13583</v>
      </c>
      <c r="W338" s="116" t="s">
        <v>13690</v>
      </c>
      <c r="X338" s="99" t="s">
        <v>13583</v>
      </c>
      <c r="Y338" s="99">
        <v>1</v>
      </c>
      <c r="Z338" s="99">
        <v>1</v>
      </c>
      <c r="AA338" s="99">
        <v>1</v>
      </c>
      <c r="AB338" s="99"/>
      <c r="AC338" s="99"/>
      <c r="AD338" s="107">
        <v>0</v>
      </c>
      <c r="AE338" s="113">
        <f t="shared" si="66"/>
        <v>0</v>
      </c>
      <c r="AF338" s="116">
        <f>-IFERROR(IFERROR(VLOOKUP(ROUNDUP($Q338,0),'FBA FEES'!$L$2:$Q$203,MATCH($S338,'FBA FEES'!$L$2:$Q$2,0),FALSE),VLOOKUP(ROUNDUP($Q338,0),'FBA FEES'!$C$6:$F$123,MATCH($S338,'FBA FEES'!$C$6:$F$6,0),FALSE)),0)</f>
        <v>0</v>
      </c>
      <c r="AG338" s="116">
        <v>-10</v>
      </c>
      <c r="AH338" s="113">
        <f t="shared" si="67"/>
        <v>0</v>
      </c>
      <c r="AI338" s="116">
        <f>-IFERROR(IF($Y338=1,INDEX('[1]REMOVAL FEES'!$A$1:$C$22,MATCH(CONCATENATE("Standard Size",$P338),'[1]REMOVAL FEES'!$A$1:$A$22,0),3),IF($Y338=2,IF($P338&gt;10,(($P338-10)*1.06)+INDEX('[1]REMOVAL FEES'!$E$1:$G$22,MATCH(CONCATENATE("Large bulky, extra-large and special handling items",IF($P338&gt;=11,11,$P338)),'[1]REMOVAL FEES'!$E$1:$E$13,0),3),INDEX('[1]REMOVAL FEES'!$E$1:$G$22,MATCH(CONCATENATE("Large bulky, extra-large and special handling items",IF($P338&gt;=11,11,$P338)),'[1]REMOVAL FEES'!$E$1:$E$13,0),3))))*$AA338,FALSE)</f>
        <v>0</v>
      </c>
      <c r="AJ338" s="107">
        <f t="shared" si="68"/>
        <v>0</v>
      </c>
      <c r="AK338" s="107">
        <v>0</v>
      </c>
      <c r="AL338" s="107">
        <v>0</v>
      </c>
      <c r="AM338" s="107">
        <f t="shared" si="69"/>
        <v>0</v>
      </c>
      <c r="AN338" s="116">
        <f>(-IF($V338="Yes", IF($X338="Yes", VLOOKUP($W338, '[1]Storage Fees'!A:M, 13, FALSE), VLOOKUP($W338, '[1]Storage Fees'!A:M, 10, FALSE)), IF($X338="Yes", VLOOKUP($W338, '[1]Storage Fees'!A:M, 7, FALSE), VLOOKUP($W338, '[1]Storage Fees'!A:M, 4, FALSE))) * U338)*1.5</f>
        <v>0</v>
      </c>
    </row>
    <row r="339" spans="1:40" x14ac:dyDescent="0.25">
      <c r="A339" s="99">
        <v>267</v>
      </c>
      <c r="B339" s="99"/>
      <c r="C339" s="99" t="s">
        <v>13655</v>
      </c>
      <c r="D339" s="99"/>
      <c r="E339" s="99" t="s">
        <v>296</v>
      </c>
      <c r="F339" s="99" t="s">
        <v>1712</v>
      </c>
      <c r="G339" s="99" t="s">
        <v>13695</v>
      </c>
      <c r="H339" s="99">
        <v>0</v>
      </c>
      <c r="I339" s="99">
        <v>0</v>
      </c>
      <c r="J339" s="99">
        <v>0</v>
      </c>
      <c r="K339" s="101" t="str">
        <f t="shared" si="57"/>
        <v>0x0x0</v>
      </c>
      <c r="L339" s="102">
        <f t="shared" si="58"/>
        <v>0</v>
      </c>
      <c r="M339" s="113">
        <f t="shared" si="59"/>
        <v>0</v>
      </c>
      <c r="N339" s="113">
        <f t="shared" si="60"/>
        <v>0</v>
      </c>
      <c r="O339" s="99">
        <v>0</v>
      </c>
      <c r="P339" s="113">
        <f t="shared" si="61"/>
        <v>0</v>
      </c>
      <c r="Q339" s="112">
        <f t="shared" si="62"/>
        <v>0</v>
      </c>
      <c r="R339" s="112" t="str">
        <f t="shared" si="63"/>
        <v>Standard-size</v>
      </c>
      <c r="S339" s="99" t="str">
        <f t="shared" si="64"/>
        <v>Small standard-size</v>
      </c>
      <c r="T339" s="116" t="s">
        <v>13696</v>
      </c>
      <c r="U339" s="116">
        <f t="shared" si="65"/>
        <v>0</v>
      </c>
      <c r="V339" s="116" t="s">
        <v>13583</v>
      </c>
      <c r="W339" s="116" t="s">
        <v>13690</v>
      </c>
      <c r="X339" s="99" t="s">
        <v>13583</v>
      </c>
      <c r="Y339" s="99">
        <v>1</v>
      </c>
      <c r="Z339" s="99">
        <v>1</v>
      </c>
      <c r="AA339" s="99">
        <v>1</v>
      </c>
      <c r="AB339" s="99"/>
      <c r="AC339" s="99"/>
      <c r="AD339" s="107">
        <v>0</v>
      </c>
      <c r="AE339" s="113">
        <f t="shared" si="66"/>
        <v>0</v>
      </c>
      <c r="AF339" s="116">
        <f>-IFERROR(IFERROR(VLOOKUP(ROUNDUP($Q339,0),'FBA FEES'!$L$2:$Q$203,MATCH($S339,'FBA FEES'!$L$2:$Q$2,0),FALSE),VLOOKUP(ROUNDUP($Q339,0),'FBA FEES'!$C$6:$F$123,MATCH($S339,'FBA FEES'!$C$6:$F$6,0),FALSE)),0)</f>
        <v>0</v>
      </c>
      <c r="AG339" s="116">
        <v>-10</v>
      </c>
      <c r="AH339" s="113">
        <f t="shared" si="67"/>
        <v>0</v>
      </c>
      <c r="AI339" s="116">
        <f>-IFERROR(IF($Y339=1,INDEX('[1]REMOVAL FEES'!$A$1:$C$22,MATCH(CONCATENATE("Standard Size",$P339),'[1]REMOVAL FEES'!$A$1:$A$22,0),3),IF($Y339=2,IF($P339&gt;10,(($P339-10)*1.06)+INDEX('[1]REMOVAL FEES'!$E$1:$G$22,MATCH(CONCATENATE("Large bulky, extra-large and special handling items",IF($P339&gt;=11,11,$P339)),'[1]REMOVAL FEES'!$E$1:$E$13,0),3),INDEX('[1]REMOVAL FEES'!$E$1:$G$22,MATCH(CONCATENATE("Large bulky, extra-large and special handling items",IF($P339&gt;=11,11,$P339)),'[1]REMOVAL FEES'!$E$1:$E$13,0),3))))*$AA339,FALSE)</f>
        <v>0</v>
      </c>
      <c r="AJ339" s="107">
        <f t="shared" si="68"/>
        <v>0</v>
      </c>
      <c r="AK339" s="107">
        <v>0</v>
      </c>
      <c r="AL339" s="107">
        <v>0</v>
      </c>
      <c r="AM339" s="107">
        <f t="shared" si="69"/>
        <v>0</v>
      </c>
      <c r="AN339" s="116">
        <f>(-IF($V339="Yes", IF($X339="Yes", VLOOKUP($W339, '[1]Storage Fees'!A:M, 13, FALSE), VLOOKUP($W339, '[1]Storage Fees'!A:M, 10, FALSE)), IF($X339="Yes", VLOOKUP($W339, '[1]Storage Fees'!A:M, 7, FALSE), VLOOKUP($W339, '[1]Storage Fees'!A:M, 4, FALSE))) * U339)*1.5</f>
        <v>0</v>
      </c>
    </row>
    <row r="340" spans="1:40" x14ac:dyDescent="0.25">
      <c r="A340" s="99">
        <v>268</v>
      </c>
      <c r="B340" s="99"/>
      <c r="C340" s="99" t="s">
        <v>13655</v>
      </c>
      <c r="D340" s="99"/>
      <c r="E340" s="99" t="s">
        <v>296</v>
      </c>
      <c r="F340" s="99" t="s">
        <v>1714</v>
      </c>
      <c r="G340" s="99" t="s">
        <v>13695</v>
      </c>
      <c r="H340" s="99">
        <v>0</v>
      </c>
      <c r="I340" s="99">
        <v>0</v>
      </c>
      <c r="J340" s="99">
        <v>0</v>
      </c>
      <c r="K340" s="101" t="str">
        <f t="shared" si="57"/>
        <v>0x0x0</v>
      </c>
      <c r="L340" s="102">
        <f t="shared" si="58"/>
        <v>0</v>
      </c>
      <c r="M340" s="113">
        <f t="shared" si="59"/>
        <v>0</v>
      </c>
      <c r="N340" s="113">
        <f t="shared" si="60"/>
        <v>0</v>
      </c>
      <c r="O340" s="99">
        <v>0</v>
      </c>
      <c r="P340" s="113">
        <f t="shared" si="61"/>
        <v>0</v>
      </c>
      <c r="Q340" s="112">
        <f t="shared" si="62"/>
        <v>0</v>
      </c>
      <c r="R340" s="112" t="str">
        <f t="shared" si="63"/>
        <v>Standard-size</v>
      </c>
      <c r="S340" s="99" t="str">
        <f t="shared" si="64"/>
        <v>Small standard-size</v>
      </c>
      <c r="T340" s="116" t="s">
        <v>13696</v>
      </c>
      <c r="U340" s="116">
        <f t="shared" si="65"/>
        <v>0</v>
      </c>
      <c r="V340" s="116" t="s">
        <v>13583</v>
      </c>
      <c r="W340" s="116" t="s">
        <v>13690</v>
      </c>
      <c r="X340" s="99" t="s">
        <v>13583</v>
      </c>
      <c r="Y340" s="99">
        <v>1</v>
      </c>
      <c r="Z340" s="99">
        <v>1</v>
      </c>
      <c r="AA340" s="99">
        <v>1</v>
      </c>
      <c r="AB340" s="99"/>
      <c r="AC340" s="99"/>
      <c r="AD340" s="107">
        <v>0</v>
      </c>
      <c r="AE340" s="113">
        <f t="shared" si="66"/>
        <v>0</v>
      </c>
      <c r="AF340" s="116">
        <f>-IFERROR(IFERROR(VLOOKUP(ROUNDUP($Q340,0),'FBA FEES'!$L$2:$Q$203,MATCH($S340,'FBA FEES'!$L$2:$Q$2,0),FALSE),VLOOKUP(ROUNDUP($Q340,0),'FBA FEES'!$C$6:$F$123,MATCH($S340,'FBA FEES'!$C$6:$F$6,0),FALSE)),0)</f>
        <v>0</v>
      </c>
      <c r="AG340" s="116">
        <v>-10</v>
      </c>
      <c r="AH340" s="113">
        <f t="shared" si="67"/>
        <v>0</v>
      </c>
      <c r="AI340" s="116">
        <f>-IFERROR(IF($Y340=1,INDEX('[1]REMOVAL FEES'!$A$1:$C$22,MATCH(CONCATENATE("Standard Size",$P340),'[1]REMOVAL FEES'!$A$1:$A$22,0),3),IF($Y340=2,IF($P340&gt;10,(($P340-10)*1.06)+INDEX('[1]REMOVAL FEES'!$E$1:$G$22,MATCH(CONCATENATE("Large bulky, extra-large and special handling items",IF($P340&gt;=11,11,$P340)),'[1]REMOVAL FEES'!$E$1:$E$13,0),3),INDEX('[1]REMOVAL FEES'!$E$1:$G$22,MATCH(CONCATENATE("Large bulky, extra-large and special handling items",IF($P340&gt;=11,11,$P340)),'[1]REMOVAL FEES'!$E$1:$E$13,0),3))))*$AA340,FALSE)</f>
        <v>0</v>
      </c>
      <c r="AJ340" s="107">
        <f t="shared" si="68"/>
        <v>0</v>
      </c>
      <c r="AK340" s="107">
        <v>0</v>
      </c>
      <c r="AL340" s="107">
        <v>0</v>
      </c>
      <c r="AM340" s="107">
        <f t="shared" si="69"/>
        <v>0</v>
      </c>
      <c r="AN340" s="116">
        <f>(-IF($V340="Yes", IF($X340="Yes", VLOOKUP($W340, '[1]Storage Fees'!A:M, 13, FALSE), VLOOKUP($W340, '[1]Storage Fees'!A:M, 10, FALSE)), IF($X340="Yes", VLOOKUP($W340, '[1]Storage Fees'!A:M, 7, FALSE), VLOOKUP($W340, '[1]Storage Fees'!A:M, 4, FALSE))) * U340)*1.5</f>
        <v>0</v>
      </c>
    </row>
    <row r="341" spans="1:40" x14ac:dyDescent="0.25">
      <c r="A341" s="99">
        <v>269</v>
      </c>
      <c r="B341" s="99"/>
      <c r="C341" s="99" t="s">
        <v>13655</v>
      </c>
      <c r="D341" s="99"/>
      <c r="E341" s="99" t="s">
        <v>296</v>
      </c>
      <c r="F341" s="99" t="s">
        <v>1716</v>
      </c>
      <c r="G341" s="99" t="s">
        <v>13695</v>
      </c>
      <c r="H341" s="99">
        <v>0</v>
      </c>
      <c r="I341" s="99">
        <v>0</v>
      </c>
      <c r="J341" s="99">
        <v>0</v>
      </c>
      <c r="K341" s="101" t="str">
        <f t="shared" si="57"/>
        <v>0x0x0</v>
      </c>
      <c r="L341" s="102">
        <f t="shared" si="58"/>
        <v>0</v>
      </c>
      <c r="M341" s="113">
        <f t="shared" si="59"/>
        <v>0</v>
      </c>
      <c r="N341" s="113">
        <f t="shared" si="60"/>
        <v>0</v>
      </c>
      <c r="O341" s="99">
        <v>0</v>
      </c>
      <c r="P341" s="113">
        <f t="shared" si="61"/>
        <v>0</v>
      </c>
      <c r="Q341" s="112">
        <f t="shared" si="62"/>
        <v>0</v>
      </c>
      <c r="R341" s="112" t="str">
        <f t="shared" si="63"/>
        <v>Standard-size</v>
      </c>
      <c r="S341" s="99" t="str">
        <f t="shared" si="64"/>
        <v>Small standard-size</v>
      </c>
      <c r="T341" s="116" t="s">
        <v>13696</v>
      </c>
      <c r="U341" s="116">
        <f t="shared" si="65"/>
        <v>0</v>
      </c>
      <c r="V341" s="116" t="s">
        <v>13583</v>
      </c>
      <c r="W341" s="116" t="s">
        <v>13690</v>
      </c>
      <c r="X341" s="99" t="s">
        <v>13583</v>
      </c>
      <c r="Y341" s="99">
        <v>1</v>
      </c>
      <c r="Z341" s="99">
        <v>1</v>
      </c>
      <c r="AA341" s="99">
        <v>1</v>
      </c>
      <c r="AB341" s="99"/>
      <c r="AC341" s="99"/>
      <c r="AD341" s="107">
        <v>0</v>
      </c>
      <c r="AE341" s="113">
        <f t="shared" si="66"/>
        <v>0</v>
      </c>
      <c r="AF341" s="116">
        <f>-IFERROR(IFERROR(VLOOKUP(ROUNDUP($Q341,0),'FBA FEES'!$L$2:$Q$203,MATCH($S341,'FBA FEES'!$L$2:$Q$2,0),FALSE),VLOOKUP(ROUNDUP($Q341,0),'FBA FEES'!$C$6:$F$123,MATCH($S341,'FBA FEES'!$C$6:$F$6,0),FALSE)),0)</f>
        <v>0</v>
      </c>
      <c r="AG341" s="116">
        <v>-10</v>
      </c>
      <c r="AH341" s="113">
        <f t="shared" si="67"/>
        <v>0</v>
      </c>
      <c r="AI341" s="116">
        <f>-IFERROR(IF($Y341=1,INDEX('[1]REMOVAL FEES'!$A$1:$C$22,MATCH(CONCATENATE("Standard Size",$P341),'[1]REMOVAL FEES'!$A$1:$A$22,0),3),IF($Y341=2,IF($P341&gt;10,(($P341-10)*1.06)+INDEX('[1]REMOVAL FEES'!$E$1:$G$22,MATCH(CONCATENATE("Large bulky, extra-large and special handling items",IF($P341&gt;=11,11,$P341)),'[1]REMOVAL FEES'!$E$1:$E$13,0),3),INDEX('[1]REMOVAL FEES'!$E$1:$G$22,MATCH(CONCATENATE("Large bulky, extra-large and special handling items",IF($P341&gt;=11,11,$P341)),'[1]REMOVAL FEES'!$E$1:$E$13,0),3))))*$AA341,FALSE)</f>
        <v>0</v>
      </c>
      <c r="AJ341" s="107">
        <f t="shared" si="68"/>
        <v>0</v>
      </c>
      <c r="AK341" s="107">
        <v>0</v>
      </c>
      <c r="AL341" s="107">
        <v>0</v>
      </c>
      <c r="AM341" s="107">
        <f t="shared" si="69"/>
        <v>0</v>
      </c>
      <c r="AN341" s="116">
        <f>(-IF($V341="Yes", IF($X341="Yes", VLOOKUP($W341, '[1]Storage Fees'!A:M, 13, FALSE), VLOOKUP($W341, '[1]Storage Fees'!A:M, 10, FALSE)), IF($X341="Yes", VLOOKUP($W341, '[1]Storage Fees'!A:M, 7, FALSE), VLOOKUP($W341, '[1]Storage Fees'!A:M, 4, FALSE))) * U341)*1.5</f>
        <v>0</v>
      </c>
    </row>
    <row r="342" spans="1:40" x14ac:dyDescent="0.25">
      <c r="A342" s="99">
        <v>270</v>
      </c>
      <c r="B342" s="99"/>
      <c r="C342" s="99" t="s">
        <v>13655</v>
      </c>
      <c r="D342" s="99"/>
      <c r="E342" s="99" t="s">
        <v>296</v>
      </c>
      <c r="F342" s="99" t="s">
        <v>1718</v>
      </c>
      <c r="G342" s="99" t="s">
        <v>13695</v>
      </c>
      <c r="H342" s="99">
        <v>0</v>
      </c>
      <c r="I342" s="99">
        <v>0</v>
      </c>
      <c r="J342" s="99">
        <v>0</v>
      </c>
      <c r="K342" s="101" t="str">
        <f t="shared" si="57"/>
        <v>0x0x0</v>
      </c>
      <c r="L342" s="102">
        <f t="shared" si="58"/>
        <v>0</v>
      </c>
      <c r="M342" s="113">
        <f t="shared" si="59"/>
        <v>0</v>
      </c>
      <c r="N342" s="113">
        <f t="shared" si="60"/>
        <v>0</v>
      </c>
      <c r="O342" s="99">
        <v>0</v>
      </c>
      <c r="P342" s="113">
        <f t="shared" si="61"/>
        <v>0</v>
      </c>
      <c r="Q342" s="112">
        <f t="shared" si="62"/>
        <v>0</v>
      </c>
      <c r="R342" s="112" t="str">
        <f t="shared" si="63"/>
        <v>Standard-size</v>
      </c>
      <c r="S342" s="99" t="str">
        <f t="shared" si="64"/>
        <v>Small standard-size</v>
      </c>
      <c r="T342" s="116" t="s">
        <v>13696</v>
      </c>
      <c r="U342" s="116">
        <f t="shared" si="65"/>
        <v>0</v>
      </c>
      <c r="V342" s="116" t="s">
        <v>13583</v>
      </c>
      <c r="W342" s="116" t="s">
        <v>13690</v>
      </c>
      <c r="X342" s="99" t="s">
        <v>13583</v>
      </c>
      <c r="Y342" s="99">
        <v>1</v>
      </c>
      <c r="Z342" s="99">
        <v>1</v>
      </c>
      <c r="AA342" s="99">
        <v>1</v>
      </c>
      <c r="AB342" s="99"/>
      <c r="AC342" s="99"/>
      <c r="AD342" s="107">
        <v>0</v>
      </c>
      <c r="AE342" s="113">
        <f t="shared" si="66"/>
        <v>0</v>
      </c>
      <c r="AF342" s="116">
        <f>-IFERROR(IFERROR(VLOOKUP(ROUNDUP($Q342,0),'FBA FEES'!$L$2:$Q$203,MATCH($S342,'FBA FEES'!$L$2:$Q$2,0),FALSE),VLOOKUP(ROUNDUP($Q342,0),'FBA FEES'!$C$6:$F$123,MATCH($S342,'FBA FEES'!$C$6:$F$6,0),FALSE)),0)</f>
        <v>0</v>
      </c>
      <c r="AG342" s="116">
        <v>-10</v>
      </c>
      <c r="AH342" s="113">
        <f t="shared" si="67"/>
        <v>0</v>
      </c>
      <c r="AI342" s="116">
        <f>-IFERROR(IF($Y342=1,INDEX('[1]REMOVAL FEES'!$A$1:$C$22,MATCH(CONCATENATE("Standard Size",$P342),'[1]REMOVAL FEES'!$A$1:$A$22,0),3),IF($Y342=2,IF($P342&gt;10,(($P342-10)*1.06)+INDEX('[1]REMOVAL FEES'!$E$1:$G$22,MATCH(CONCATENATE("Large bulky, extra-large and special handling items",IF($P342&gt;=11,11,$P342)),'[1]REMOVAL FEES'!$E$1:$E$13,0),3),INDEX('[1]REMOVAL FEES'!$E$1:$G$22,MATCH(CONCATENATE("Large bulky, extra-large and special handling items",IF($P342&gt;=11,11,$P342)),'[1]REMOVAL FEES'!$E$1:$E$13,0),3))))*$AA342,FALSE)</f>
        <v>0</v>
      </c>
      <c r="AJ342" s="107">
        <f t="shared" si="68"/>
        <v>0</v>
      </c>
      <c r="AK342" s="107">
        <v>0</v>
      </c>
      <c r="AL342" s="107">
        <v>0</v>
      </c>
      <c r="AM342" s="107">
        <f t="shared" si="69"/>
        <v>0</v>
      </c>
      <c r="AN342" s="116">
        <f>(-IF($V342="Yes", IF($X342="Yes", VLOOKUP($W342, '[1]Storage Fees'!A:M, 13, FALSE), VLOOKUP($W342, '[1]Storage Fees'!A:M, 10, FALSE)), IF($X342="Yes", VLOOKUP($W342, '[1]Storage Fees'!A:M, 7, FALSE), VLOOKUP($W342, '[1]Storage Fees'!A:M, 4, FALSE))) * U342)*1.5</f>
        <v>0</v>
      </c>
    </row>
    <row r="343" spans="1:40" x14ac:dyDescent="0.25">
      <c r="A343" s="99">
        <v>271</v>
      </c>
      <c r="B343" s="99" t="s">
        <v>13700</v>
      </c>
      <c r="C343" s="99"/>
      <c r="D343" s="99" t="s">
        <v>119</v>
      </c>
      <c r="E343" s="99" t="s">
        <v>296</v>
      </c>
      <c r="F343" s="99" t="s">
        <v>301</v>
      </c>
      <c r="G343" s="99" t="s">
        <v>13695</v>
      </c>
      <c r="H343" s="99">
        <v>13</v>
      </c>
      <c r="I343" s="99">
        <v>13</v>
      </c>
      <c r="J343" s="99">
        <v>8</v>
      </c>
      <c r="K343" s="101" t="str">
        <f t="shared" si="57"/>
        <v>13x13x8</v>
      </c>
      <c r="L343" s="102">
        <f t="shared" si="58"/>
        <v>9.7266187050359711</v>
      </c>
      <c r="M343" s="113">
        <f t="shared" si="59"/>
        <v>9.7266187050359711</v>
      </c>
      <c r="N343" s="113">
        <f t="shared" si="60"/>
        <v>10</v>
      </c>
      <c r="O343" s="99">
        <v>30</v>
      </c>
      <c r="P343" s="113">
        <f t="shared" si="61"/>
        <v>30</v>
      </c>
      <c r="Q343" s="112">
        <f t="shared" si="62"/>
        <v>480</v>
      </c>
      <c r="R343" s="112" t="str">
        <f t="shared" si="63"/>
        <v>Oversize</v>
      </c>
      <c r="S343" s="99" t="str">
        <f t="shared" si="64"/>
        <v>Large bulky</v>
      </c>
      <c r="T343" s="116" t="s">
        <v>13692</v>
      </c>
      <c r="U343" s="116">
        <f t="shared" si="65"/>
        <v>0.78240740740740744</v>
      </c>
      <c r="V343" s="116" t="s">
        <v>13583</v>
      </c>
      <c r="W343" s="116" t="s">
        <v>13690</v>
      </c>
      <c r="X343" s="116" t="s">
        <v>13691</v>
      </c>
      <c r="Y343" s="116">
        <v>2</v>
      </c>
      <c r="Z343" s="116">
        <v>3</v>
      </c>
      <c r="AA343" s="116">
        <v>1</v>
      </c>
      <c r="AB343" s="99"/>
      <c r="AC343" s="99"/>
      <c r="AD343" s="107">
        <v>158.10640485436869</v>
      </c>
      <c r="AE343" s="113">
        <f t="shared" si="66"/>
        <v>-23.715960728155302</v>
      </c>
      <c r="AF343" s="116">
        <f>-IFERROR(IFERROR(VLOOKUP(ROUNDUP($Q343,0),'FBA FEES'!$L$2:$Q$203,MATCH($S343,'FBA FEES'!$L$2:$Q$2,0),FALSE),VLOOKUP(ROUNDUP($Q343,0),'FBA FEES'!$C$6:$F$123,MATCH($S343,'FBA FEES'!$C$6:$F$6,0),FALSE)),0)</f>
        <v>-20.63</v>
      </c>
      <c r="AG343" s="116">
        <v>-10</v>
      </c>
      <c r="AH343" s="113">
        <f t="shared" si="67"/>
        <v>-44.345960728155305</v>
      </c>
      <c r="AI343" s="116">
        <f>-IFERROR(IF($Y343=1,INDEX('[1]REMOVAL FEES'!$A$1:$C$22,MATCH(CONCATENATE("Standard Size",$P343),'[1]REMOVAL FEES'!$A$1:$A$22,0),3),IF($Y343=2,IF($P343&gt;10,(($P343-10)*1.06)+INDEX('[1]REMOVAL FEES'!$E$1:$G$22,MATCH(CONCATENATE("Large bulky, extra-large and special handling items",IF($P343&gt;=11,11,$P343)),'[1]REMOVAL FEES'!$E$1:$E$13,0),3),INDEX('[1]REMOVAL FEES'!$E$1:$G$22,MATCH(CONCATENATE("Large bulky, extra-large and special handling items",IF($P343&gt;=11,11,$P343)),'[1]REMOVAL FEES'!$E$1:$E$13,0),3))))*$AA343,FALSE)</f>
        <v>-35.520000000000003</v>
      </c>
      <c r="AJ343" s="107">
        <f t="shared" si="68"/>
        <v>-79.865960728155301</v>
      </c>
      <c r="AK343" s="107">
        <v>-59.580000000000133</v>
      </c>
      <c r="AL343" s="107">
        <v>-11.887116141073999</v>
      </c>
      <c r="AM343" s="107">
        <f t="shared" si="69"/>
        <v>-71.467116141074129</v>
      </c>
      <c r="AN343" s="116">
        <f>(-IF($V343="Yes", IF($X343="Yes", VLOOKUP($W343, '[1]Storage Fees'!A:M, 13, FALSE), VLOOKUP($W343, '[1]Storage Fees'!A:M, 10, FALSE)), IF($X343="Yes", VLOOKUP($W343, '[1]Storage Fees'!A:M, 7, FALSE), VLOOKUP($W343, '[1]Storage Fees'!A:M, 4, FALSE))) * U343)*1.5</f>
        <v>-0.92715277777777794</v>
      </c>
    </row>
    <row r="344" spans="1:40" x14ac:dyDescent="0.25">
      <c r="A344" s="99">
        <v>272</v>
      </c>
      <c r="B344" s="99" t="s">
        <v>13700</v>
      </c>
      <c r="C344" s="99"/>
      <c r="D344" s="99" t="s">
        <v>119</v>
      </c>
      <c r="E344" s="99" t="s">
        <v>296</v>
      </c>
      <c r="F344" s="99" t="s">
        <v>303</v>
      </c>
      <c r="G344" s="99" t="s">
        <v>13695</v>
      </c>
      <c r="H344" s="99">
        <v>13</v>
      </c>
      <c r="I344" s="99">
        <v>13</v>
      </c>
      <c r="J344" s="99">
        <v>8</v>
      </c>
      <c r="K344" s="101" t="str">
        <f t="shared" si="57"/>
        <v>13x13x8</v>
      </c>
      <c r="L344" s="102">
        <f t="shared" si="58"/>
        <v>9.7266187050359711</v>
      </c>
      <c r="M344" s="113">
        <f t="shared" si="59"/>
        <v>9.7266187050359711</v>
      </c>
      <c r="N344" s="113">
        <f t="shared" si="60"/>
        <v>10</v>
      </c>
      <c r="O344" s="99">
        <v>36</v>
      </c>
      <c r="P344" s="113">
        <f t="shared" si="61"/>
        <v>36</v>
      </c>
      <c r="Q344" s="112">
        <f t="shared" si="62"/>
        <v>576</v>
      </c>
      <c r="R344" s="112" t="str">
        <f t="shared" si="63"/>
        <v>Oversize</v>
      </c>
      <c r="S344" s="99" t="str">
        <f t="shared" si="64"/>
        <v>Large bulky</v>
      </c>
      <c r="T344" s="116" t="s">
        <v>13694</v>
      </c>
      <c r="U344" s="116">
        <f t="shared" si="65"/>
        <v>0.78240740740740744</v>
      </c>
      <c r="V344" s="116" t="s">
        <v>13583</v>
      </c>
      <c r="W344" s="116" t="s">
        <v>13690</v>
      </c>
      <c r="X344" s="116" t="s">
        <v>13691</v>
      </c>
      <c r="Y344" s="116">
        <v>2</v>
      </c>
      <c r="Z344" s="116">
        <v>3</v>
      </c>
      <c r="AA344" s="116">
        <v>1</v>
      </c>
      <c r="AB344" s="99"/>
      <c r="AC344" s="99"/>
      <c r="AD344" s="107">
        <v>180.8424390243901</v>
      </c>
      <c r="AE344" s="113">
        <f t="shared" si="66"/>
        <v>-27.126365853658516</v>
      </c>
      <c r="AF344" s="116">
        <f>-IFERROR(IFERROR(VLOOKUP(ROUNDUP($Q344,0),'FBA FEES'!$L$2:$Q$203,MATCH($S344,'FBA FEES'!$L$2:$Q$2,0),FALSE),VLOOKUP(ROUNDUP($Q344,0),'FBA FEES'!$C$6:$F$123,MATCH($S344,'FBA FEES'!$C$6:$F$6,0),FALSE)),0)</f>
        <v>-22.91</v>
      </c>
      <c r="AG344" s="116">
        <v>-10</v>
      </c>
      <c r="AH344" s="113">
        <f t="shared" si="67"/>
        <v>-50.036365853658516</v>
      </c>
      <c r="AI344" s="116">
        <f>-IFERROR(IF($Y344=1,INDEX('[1]REMOVAL FEES'!$A$1:$C$22,MATCH(CONCATENATE("Standard Size",$P344),'[1]REMOVAL FEES'!$A$1:$A$22,0),3),IF($Y344=2,IF($P344&gt;10,(($P344-10)*1.06)+INDEX('[1]REMOVAL FEES'!$E$1:$G$22,MATCH(CONCATENATE("Large bulky, extra-large and special handling items",IF($P344&gt;=11,11,$P344)),'[1]REMOVAL FEES'!$E$1:$E$13,0),3),INDEX('[1]REMOVAL FEES'!$E$1:$G$22,MATCH(CONCATENATE("Large bulky, extra-large and special handling items",IF($P344&gt;=11,11,$P344)),'[1]REMOVAL FEES'!$E$1:$E$13,0),3))))*$AA344,FALSE)</f>
        <v>-41.88</v>
      </c>
      <c r="AJ344" s="107">
        <f t="shared" si="68"/>
        <v>-91.916365853658519</v>
      </c>
      <c r="AK344" s="107">
        <v>-74.409999999999982</v>
      </c>
      <c r="AL344" s="107">
        <v>-15.14459152319464</v>
      </c>
      <c r="AM344" s="107">
        <f t="shared" si="69"/>
        <v>-89.554591523194617</v>
      </c>
      <c r="AN344" s="116">
        <f>(-IF($V344="Yes", IF($X344="Yes", VLOOKUP($W344, '[1]Storage Fees'!A:M, 13, FALSE), VLOOKUP($W344, '[1]Storage Fees'!A:M, 10, FALSE)), IF($X344="Yes", VLOOKUP($W344, '[1]Storage Fees'!A:M, 7, FALSE), VLOOKUP($W344, '[1]Storage Fees'!A:M, 4, FALSE))) * U344)*1.5</f>
        <v>-0.92715277777777794</v>
      </c>
    </row>
    <row r="345" spans="1:40" x14ac:dyDescent="0.25">
      <c r="A345" s="99">
        <v>273</v>
      </c>
      <c r="B345" s="99"/>
      <c r="C345" s="99" t="s">
        <v>13655</v>
      </c>
      <c r="D345" s="99"/>
      <c r="E345" s="99" t="s">
        <v>296</v>
      </c>
      <c r="F345" s="99" t="s">
        <v>690</v>
      </c>
      <c r="G345" s="99" t="s">
        <v>13695</v>
      </c>
      <c r="H345" s="99">
        <v>0</v>
      </c>
      <c r="I345" s="99">
        <v>0</v>
      </c>
      <c r="J345" s="99">
        <v>0</v>
      </c>
      <c r="K345" s="101" t="str">
        <f t="shared" si="57"/>
        <v>0x0x0</v>
      </c>
      <c r="L345" s="102">
        <f t="shared" si="58"/>
        <v>0</v>
      </c>
      <c r="M345" s="113">
        <f t="shared" si="59"/>
        <v>0</v>
      </c>
      <c r="N345" s="113">
        <f t="shared" si="60"/>
        <v>0</v>
      </c>
      <c r="O345" s="99">
        <v>0</v>
      </c>
      <c r="P345" s="113">
        <f t="shared" si="61"/>
        <v>0</v>
      </c>
      <c r="Q345" s="112">
        <f t="shared" si="62"/>
        <v>0</v>
      </c>
      <c r="R345" s="112" t="str">
        <f t="shared" si="63"/>
        <v>Standard-size</v>
      </c>
      <c r="S345" s="99" t="str">
        <f t="shared" si="64"/>
        <v>Small standard-size</v>
      </c>
      <c r="T345" s="116" t="s">
        <v>13696</v>
      </c>
      <c r="U345" s="116">
        <f t="shared" si="65"/>
        <v>0</v>
      </c>
      <c r="V345" s="116" t="s">
        <v>13583</v>
      </c>
      <c r="W345" s="116" t="s">
        <v>13690</v>
      </c>
      <c r="X345" s="99" t="s">
        <v>13583</v>
      </c>
      <c r="Y345" s="99">
        <v>1</v>
      </c>
      <c r="Z345" s="99">
        <v>1</v>
      </c>
      <c r="AA345" s="99">
        <v>1</v>
      </c>
      <c r="AB345" s="99"/>
      <c r="AC345" s="99"/>
      <c r="AD345" s="107">
        <v>179.85644444444429</v>
      </c>
      <c r="AE345" s="113">
        <f t="shared" si="66"/>
        <v>-26.978466666666645</v>
      </c>
      <c r="AF345" s="116">
        <f>-IFERROR(IFERROR(VLOOKUP(ROUNDUP($Q345,0),'FBA FEES'!$L$2:$Q$203,MATCH($S345,'FBA FEES'!$L$2:$Q$2,0),FALSE),VLOOKUP(ROUNDUP($Q345,0),'FBA FEES'!$C$6:$F$123,MATCH($S345,'FBA FEES'!$C$6:$F$6,0),FALSE)),0)</f>
        <v>0</v>
      </c>
      <c r="AG345" s="116">
        <v>-10</v>
      </c>
      <c r="AH345" s="113">
        <f t="shared" si="67"/>
        <v>-26.978466666666645</v>
      </c>
      <c r="AI345" s="116">
        <f>-IFERROR(IF($Y345=1,INDEX('[1]REMOVAL FEES'!$A$1:$C$22,MATCH(CONCATENATE("Standard Size",$P345),'[1]REMOVAL FEES'!$A$1:$A$22,0),3),IF($Y345=2,IF($P345&gt;10,(($P345-10)*1.06)+INDEX('[1]REMOVAL FEES'!$E$1:$G$22,MATCH(CONCATENATE("Large bulky, extra-large and special handling items",IF($P345&gt;=11,11,$P345)),'[1]REMOVAL FEES'!$E$1:$E$13,0),3),INDEX('[1]REMOVAL FEES'!$E$1:$G$22,MATCH(CONCATENATE("Large bulky, extra-large and special handling items",IF($P345&gt;=11,11,$P345)),'[1]REMOVAL FEES'!$E$1:$E$13,0),3))))*$AA345,FALSE)</f>
        <v>0</v>
      </c>
      <c r="AJ345" s="107">
        <f t="shared" si="68"/>
        <v>-26.978466666666645</v>
      </c>
      <c r="AK345" s="107">
        <v>-80.669777777777725</v>
      </c>
      <c r="AL345" s="107">
        <v>-17.607040888047131</v>
      </c>
      <c r="AM345" s="107">
        <f t="shared" si="69"/>
        <v>-98.276818665824862</v>
      </c>
      <c r="AN345" s="116">
        <f>(-IF($V345="Yes", IF($X345="Yes", VLOOKUP($W345, '[1]Storage Fees'!A:M, 13, FALSE), VLOOKUP($W345, '[1]Storage Fees'!A:M, 10, FALSE)), IF($X345="Yes", VLOOKUP($W345, '[1]Storage Fees'!A:M, 7, FALSE), VLOOKUP($W345, '[1]Storage Fees'!A:M, 4, FALSE))) * U345)*1.5</f>
        <v>0</v>
      </c>
    </row>
    <row r="346" spans="1:40" x14ac:dyDescent="0.25">
      <c r="A346" s="99">
        <v>274</v>
      </c>
      <c r="B346" s="99"/>
      <c r="C346" s="99" t="s">
        <v>13655</v>
      </c>
      <c r="D346" s="99"/>
      <c r="E346" s="99" t="s">
        <v>296</v>
      </c>
      <c r="F346" s="99" t="s">
        <v>1720</v>
      </c>
      <c r="G346" s="99" t="s">
        <v>13695</v>
      </c>
      <c r="H346" s="99">
        <v>0</v>
      </c>
      <c r="I346" s="99">
        <v>0</v>
      </c>
      <c r="J346" s="99">
        <v>0</v>
      </c>
      <c r="K346" s="101" t="str">
        <f t="shared" si="57"/>
        <v>0x0x0</v>
      </c>
      <c r="L346" s="102">
        <f t="shared" si="58"/>
        <v>0</v>
      </c>
      <c r="M346" s="113">
        <f t="shared" si="59"/>
        <v>0</v>
      </c>
      <c r="N346" s="113">
        <f t="shared" si="60"/>
        <v>0</v>
      </c>
      <c r="O346" s="99">
        <v>0</v>
      </c>
      <c r="P346" s="113">
        <f t="shared" si="61"/>
        <v>0</v>
      </c>
      <c r="Q346" s="112">
        <f t="shared" si="62"/>
        <v>0</v>
      </c>
      <c r="R346" s="112" t="str">
        <f t="shared" si="63"/>
        <v>Standard-size</v>
      </c>
      <c r="S346" s="99" t="str">
        <f t="shared" si="64"/>
        <v>Small standard-size</v>
      </c>
      <c r="T346" s="116" t="s">
        <v>13696</v>
      </c>
      <c r="U346" s="116">
        <f t="shared" si="65"/>
        <v>0</v>
      </c>
      <c r="V346" s="116" t="s">
        <v>13583</v>
      </c>
      <c r="W346" s="116" t="s">
        <v>13690</v>
      </c>
      <c r="X346" s="99" t="s">
        <v>13583</v>
      </c>
      <c r="Y346" s="99">
        <v>1</v>
      </c>
      <c r="Z346" s="99">
        <v>1</v>
      </c>
      <c r="AA346" s="99">
        <v>1</v>
      </c>
      <c r="AB346" s="99"/>
      <c r="AC346" s="99"/>
      <c r="AD346" s="107">
        <v>0</v>
      </c>
      <c r="AE346" s="113">
        <f t="shared" si="66"/>
        <v>0</v>
      </c>
      <c r="AF346" s="116">
        <f>-IFERROR(IFERROR(VLOOKUP(ROUNDUP($Q346,0),'FBA FEES'!$L$2:$Q$203,MATCH($S346,'FBA FEES'!$L$2:$Q$2,0),FALSE),VLOOKUP(ROUNDUP($Q346,0),'FBA FEES'!$C$6:$F$123,MATCH($S346,'FBA FEES'!$C$6:$F$6,0),FALSE)),0)</f>
        <v>0</v>
      </c>
      <c r="AG346" s="116">
        <v>-10</v>
      </c>
      <c r="AH346" s="113">
        <f t="shared" si="67"/>
        <v>0</v>
      </c>
      <c r="AI346" s="116">
        <f>-IFERROR(IF($Y346=1,INDEX('[1]REMOVAL FEES'!$A$1:$C$22,MATCH(CONCATENATE("Standard Size",$P346),'[1]REMOVAL FEES'!$A$1:$A$22,0),3),IF($Y346=2,IF($P346&gt;10,(($P346-10)*1.06)+INDEX('[1]REMOVAL FEES'!$E$1:$G$22,MATCH(CONCATENATE("Large bulky, extra-large and special handling items",IF($P346&gt;=11,11,$P346)),'[1]REMOVAL FEES'!$E$1:$E$13,0),3),INDEX('[1]REMOVAL FEES'!$E$1:$G$22,MATCH(CONCATENATE("Large bulky, extra-large and special handling items",IF($P346&gt;=11,11,$P346)),'[1]REMOVAL FEES'!$E$1:$E$13,0),3))))*$AA346,FALSE)</f>
        <v>0</v>
      </c>
      <c r="AJ346" s="107">
        <f t="shared" si="68"/>
        <v>0</v>
      </c>
      <c r="AK346" s="107">
        <v>0</v>
      </c>
      <c r="AL346" s="107">
        <v>0</v>
      </c>
      <c r="AM346" s="107">
        <f t="shared" si="69"/>
        <v>0</v>
      </c>
      <c r="AN346" s="116">
        <f>(-IF($V346="Yes", IF($X346="Yes", VLOOKUP($W346, '[1]Storage Fees'!A:M, 13, FALSE), VLOOKUP($W346, '[1]Storage Fees'!A:M, 10, FALSE)), IF($X346="Yes", VLOOKUP($W346, '[1]Storage Fees'!A:M, 7, FALSE), VLOOKUP($W346, '[1]Storage Fees'!A:M, 4, FALSE))) * U346)*1.5</f>
        <v>0</v>
      </c>
    </row>
    <row r="347" spans="1:40" x14ac:dyDescent="0.25">
      <c r="A347" s="99">
        <v>275</v>
      </c>
      <c r="B347" s="99" t="s">
        <v>107</v>
      </c>
      <c r="C347" s="99" t="s">
        <v>13655</v>
      </c>
      <c r="D347" s="99" t="s">
        <v>718</v>
      </c>
      <c r="E347" s="99" t="s">
        <v>869</v>
      </c>
      <c r="F347" s="99" t="s">
        <v>890</v>
      </c>
      <c r="G347" s="99" t="s">
        <v>13656</v>
      </c>
      <c r="H347" s="99">
        <v>9</v>
      </c>
      <c r="I347" s="99">
        <v>3</v>
      </c>
      <c r="J347" s="99">
        <v>3</v>
      </c>
      <c r="K347" s="101" t="str">
        <f t="shared" si="57"/>
        <v>9x3x3</v>
      </c>
      <c r="L347" s="102">
        <f t="shared" si="58"/>
        <v>0.58273381294964033</v>
      </c>
      <c r="M347" s="113">
        <f t="shared" si="59"/>
        <v>0.58273381294964033</v>
      </c>
      <c r="N347" s="113">
        <f t="shared" si="60"/>
        <v>0.75</v>
      </c>
      <c r="O347" s="99">
        <v>0.75</v>
      </c>
      <c r="P347" s="113">
        <f t="shared" si="61"/>
        <v>1</v>
      </c>
      <c r="Q347" s="112">
        <f t="shared" si="62"/>
        <v>16</v>
      </c>
      <c r="R347" s="112" t="str">
        <f t="shared" si="63"/>
        <v>Standard-size</v>
      </c>
      <c r="S347" s="99" t="str">
        <f t="shared" si="64"/>
        <v>Large standard-size</v>
      </c>
      <c r="T347" s="116" t="s">
        <v>13698</v>
      </c>
      <c r="U347" s="116">
        <f t="shared" si="65"/>
        <v>4.6875E-2</v>
      </c>
      <c r="V347" s="116" t="s">
        <v>13583</v>
      </c>
      <c r="W347" s="116" t="s">
        <v>13690</v>
      </c>
      <c r="X347" s="99" t="s">
        <v>13583</v>
      </c>
      <c r="Y347" s="99">
        <v>1</v>
      </c>
      <c r="Z347" s="99">
        <v>2</v>
      </c>
      <c r="AA347" s="99">
        <v>1</v>
      </c>
      <c r="AB347" s="99"/>
      <c r="AC347" s="99"/>
      <c r="AD347" s="107">
        <v>10.003043478260871</v>
      </c>
      <c r="AE347" s="113">
        <f t="shared" si="66"/>
        <v>-1.5004565217391306</v>
      </c>
      <c r="AF347" s="116">
        <f>-IFERROR(IFERROR(VLOOKUP(ROUNDUP($Q347,0),'FBA FEES'!$L$2:$Q$203,MATCH($S347,'FBA FEES'!$L$2:$Q$2,0),FALSE),VLOOKUP(ROUNDUP($Q347,0),'FBA FEES'!$C$6:$F$123,MATCH($S347,'FBA FEES'!$C$6:$F$6,0),FALSE)),0)</f>
        <v>-4.55</v>
      </c>
      <c r="AG347" s="116">
        <v>-10</v>
      </c>
      <c r="AH347" s="113">
        <f t="shared" si="67"/>
        <v>-6.0504565217391306</v>
      </c>
      <c r="AI347" s="116">
        <f>-IFERROR(IF($Y347=1,INDEX('[1]REMOVAL FEES'!$A$1:$C$22,MATCH(CONCATENATE("Standard Size",$P347),'[1]REMOVAL FEES'!$A$1:$A$22,0),3),IF($Y347=2,IF($P347&gt;10,(($P347-10)*1.06)+INDEX('[1]REMOVAL FEES'!$E$1:$G$22,MATCH(CONCATENATE("Large bulky, extra-large and special handling items",IF($P347&gt;=11,11,$P347)),'[1]REMOVAL FEES'!$E$1:$E$13,0),3),INDEX('[1]REMOVAL FEES'!$E$1:$G$22,MATCH(CONCATENATE("Large bulky, extra-large and special handling items",IF($P347&gt;=11,11,$P347)),'[1]REMOVAL FEES'!$E$1:$E$13,0),3))))*$AA347,FALSE)</f>
        <v>-1.53</v>
      </c>
      <c r="AJ347" s="107">
        <f t="shared" si="68"/>
        <v>-7.5804565217391309</v>
      </c>
      <c r="AK347" s="107">
        <v>-1.620434782608696</v>
      </c>
      <c r="AL347" s="107">
        <v>-0.61078260869565215</v>
      </c>
      <c r="AM347" s="107">
        <f t="shared" si="69"/>
        <v>-2.231217391304348</v>
      </c>
      <c r="AN347" s="116">
        <f>(-IF($V347="Yes", IF($X347="Yes", VLOOKUP($W347, '[1]Storage Fees'!A:M, 13, FALSE), VLOOKUP($W347, '[1]Storage Fees'!A:M, 10, FALSE)), IF($X347="Yes", VLOOKUP($W347, '[1]Storage Fees'!A:M, 7, FALSE), VLOOKUP($W347, '[1]Storage Fees'!A:M, 4, FALSE))) * U347)*1.5</f>
        <v>-8.5781250000000003E-2</v>
      </c>
    </row>
    <row r="348" spans="1:40" x14ac:dyDescent="0.25">
      <c r="A348" s="99">
        <v>276</v>
      </c>
      <c r="B348" s="99" t="s">
        <v>107</v>
      </c>
      <c r="C348" s="99" t="s">
        <v>13655</v>
      </c>
      <c r="D348" s="99" t="s">
        <v>718</v>
      </c>
      <c r="E348" s="99" t="s">
        <v>869</v>
      </c>
      <c r="F348" s="99" t="s">
        <v>893</v>
      </c>
      <c r="G348" s="99" t="s">
        <v>13656</v>
      </c>
      <c r="H348" s="99">
        <v>15</v>
      </c>
      <c r="I348" s="99">
        <v>6</v>
      </c>
      <c r="J348" s="99">
        <v>3</v>
      </c>
      <c r="K348" s="101" t="str">
        <f t="shared" si="57"/>
        <v>15x6x3</v>
      </c>
      <c r="L348" s="102">
        <f t="shared" si="58"/>
        <v>1.9424460431654675</v>
      </c>
      <c r="M348" s="113">
        <f t="shared" si="59"/>
        <v>1.9424460431654675</v>
      </c>
      <c r="N348" s="113">
        <f t="shared" si="60"/>
        <v>2</v>
      </c>
      <c r="O348" s="99">
        <v>3</v>
      </c>
      <c r="P348" s="113">
        <f t="shared" si="61"/>
        <v>3</v>
      </c>
      <c r="Q348" s="112">
        <f t="shared" si="62"/>
        <v>48</v>
      </c>
      <c r="R348" s="112" t="str">
        <f t="shared" si="63"/>
        <v>Standard-size</v>
      </c>
      <c r="S348" s="99" t="str">
        <f t="shared" si="64"/>
        <v>Large standard-size</v>
      </c>
      <c r="T348" s="116" t="s">
        <v>13701</v>
      </c>
      <c r="U348" s="116">
        <f t="shared" si="65"/>
        <v>0.15625</v>
      </c>
      <c r="V348" s="116" t="s">
        <v>13583</v>
      </c>
      <c r="W348" s="116" t="s">
        <v>13690</v>
      </c>
      <c r="X348" s="99" t="s">
        <v>13583</v>
      </c>
      <c r="Y348" s="99">
        <v>1</v>
      </c>
      <c r="Z348" s="99">
        <v>2</v>
      </c>
      <c r="AA348" s="99">
        <v>1</v>
      </c>
      <c r="AB348" s="99"/>
      <c r="AC348" s="99"/>
      <c r="AD348" s="107">
        <v>22.99</v>
      </c>
      <c r="AE348" s="113">
        <f t="shared" si="66"/>
        <v>-3.4484999999999997</v>
      </c>
      <c r="AF348" s="116">
        <f>-IFERROR(IFERROR(VLOOKUP(ROUNDUP($Q348,0),'FBA FEES'!$L$2:$Q$203,MATCH($S348,'FBA FEES'!$L$2:$Q$2,0),FALSE),VLOOKUP(ROUNDUP($Q348,0),'FBA FEES'!$C$6:$F$123,MATCH($S348,'FBA FEES'!$C$6:$F$6,0),FALSE)),0)</f>
        <v>-6.62</v>
      </c>
      <c r="AG348" s="116">
        <v>-10</v>
      </c>
      <c r="AH348" s="113">
        <f t="shared" si="67"/>
        <v>-10.0685</v>
      </c>
      <c r="AI348" s="116">
        <f>-IFERROR(IF($Y348=1,INDEX('[1]REMOVAL FEES'!$A$1:$C$22,MATCH(CONCATENATE("Standard Size",$P348),'[1]REMOVAL FEES'!$A$1:$A$22,0),3),IF($Y348=2,IF($P348&gt;10,(($P348-10)*1.06)+INDEX('[1]REMOVAL FEES'!$E$1:$G$22,MATCH(CONCATENATE("Large bulky, extra-large and special handling items",IF($P348&gt;=11,11,$P348)),'[1]REMOVAL FEES'!$E$1:$E$13,0),3),INDEX('[1]REMOVAL FEES'!$E$1:$G$22,MATCH(CONCATENATE("Large bulky, extra-large and special handling items",IF($P348&gt;=11,11,$P348)),'[1]REMOVAL FEES'!$E$1:$E$13,0),3))))*$AA348,FALSE)</f>
        <v>-3.95</v>
      </c>
      <c r="AJ348" s="107">
        <f t="shared" si="68"/>
        <v>-14.0185</v>
      </c>
      <c r="AK348" s="107">
        <v>-6.16</v>
      </c>
      <c r="AL348" s="107">
        <v>-0.8630000000000001</v>
      </c>
      <c r="AM348" s="107">
        <f t="shared" si="69"/>
        <v>-7.0230000000000006</v>
      </c>
      <c r="AN348" s="116">
        <f>(-IF($V348="Yes", IF($X348="Yes", VLOOKUP($W348, '[1]Storage Fees'!A:M, 13, FALSE), VLOOKUP($W348, '[1]Storage Fees'!A:M, 10, FALSE)), IF($X348="Yes", VLOOKUP($W348, '[1]Storage Fees'!A:M, 7, FALSE), VLOOKUP($W348, '[1]Storage Fees'!A:M, 4, FALSE))) * U348)*1.5</f>
        <v>-0.28593749999999996</v>
      </c>
    </row>
    <row r="349" spans="1:40" x14ac:dyDescent="0.25">
      <c r="A349" s="99">
        <v>277</v>
      </c>
      <c r="B349" s="99"/>
      <c r="C349" s="99" t="s">
        <v>13655</v>
      </c>
      <c r="D349" s="99"/>
      <c r="E349" s="99" t="s">
        <v>950</v>
      </c>
      <c r="F349" s="99" t="s">
        <v>1722</v>
      </c>
      <c r="G349" s="99" t="s">
        <v>13695</v>
      </c>
      <c r="H349" s="99">
        <v>0</v>
      </c>
      <c r="I349" s="99">
        <v>0</v>
      </c>
      <c r="J349" s="99">
        <v>0</v>
      </c>
      <c r="K349" s="101" t="str">
        <f t="shared" si="57"/>
        <v>0x0x0</v>
      </c>
      <c r="L349" s="102">
        <f t="shared" si="58"/>
        <v>0</v>
      </c>
      <c r="M349" s="113">
        <f t="shared" si="59"/>
        <v>0</v>
      </c>
      <c r="N349" s="113">
        <f t="shared" si="60"/>
        <v>0</v>
      </c>
      <c r="O349" s="99">
        <v>0</v>
      </c>
      <c r="P349" s="113">
        <f t="shared" si="61"/>
        <v>0</v>
      </c>
      <c r="Q349" s="112">
        <f t="shared" si="62"/>
        <v>0</v>
      </c>
      <c r="R349" s="112" t="str">
        <f t="shared" si="63"/>
        <v>Standard-size</v>
      </c>
      <c r="S349" s="99" t="str">
        <f t="shared" si="64"/>
        <v>Small standard-size</v>
      </c>
      <c r="T349" s="116" t="s">
        <v>13696</v>
      </c>
      <c r="U349" s="116">
        <f t="shared" si="65"/>
        <v>0</v>
      </c>
      <c r="V349" s="116" t="s">
        <v>13583</v>
      </c>
      <c r="W349" s="116" t="s">
        <v>13690</v>
      </c>
      <c r="X349" s="99" t="s">
        <v>13583</v>
      </c>
      <c r="Y349" s="99">
        <v>1</v>
      </c>
      <c r="Z349" s="99">
        <v>1</v>
      </c>
      <c r="AA349" s="99">
        <v>1</v>
      </c>
      <c r="AB349" s="99"/>
      <c r="AC349" s="99"/>
      <c r="AD349" s="107">
        <v>0</v>
      </c>
      <c r="AE349" s="113">
        <f t="shared" si="66"/>
        <v>0</v>
      </c>
      <c r="AF349" s="116">
        <f>-IFERROR(IFERROR(VLOOKUP(ROUNDUP($Q349,0),'FBA FEES'!$L$2:$Q$203,MATCH($S349,'FBA FEES'!$L$2:$Q$2,0),FALSE),VLOOKUP(ROUNDUP($Q349,0),'FBA FEES'!$C$6:$F$123,MATCH($S349,'FBA FEES'!$C$6:$F$6,0),FALSE)),0)</f>
        <v>0</v>
      </c>
      <c r="AG349" s="116">
        <v>-10</v>
      </c>
      <c r="AH349" s="113">
        <f t="shared" si="67"/>
        <v>0</v>
      </c>
      <c r="AI349" s="116">
        <f>-IFERROR(IF($Y349=1,INDEX('[1]REMOVAL FEES'!$A$1:$C$22,MATCH(CONCATENATE("Standard Size",$P349),'[1]REMOVAL FEES'!$A$1:$A$22,0),3),IF($Y349=2,IF($P349&gt;10,(($P349-10)*1.06)+INDEX('[1]REMOVAL FEES'!$E$1:$G$22,MATCH(CONCATENATE("Large bulky, extra-large and special handling items",IF($P349&gt;=11,11,$P349)),'[1]REMOVAL FEES'!$E$1:$E$13,0),3),INDEX('[1]REMOVAL FEES'!$E$1:$G$22,MATCH(CONCATENATE("Large bulky, extra-large and special handling items",IF($P349&gt;=11,11,$P349)),'[1]REMOVAL FEES'!$E$1:$E$13,0),3))))*$AA349,FALSE)</f>
        <v>0</v>
      </c>
      <c r="AJ349" s="107">
        <f t="shared" si="68"/>
        <v>0</v>
      </c>
      <c r="AK349" s="107">
        <v>0</v>
      </c>
      <c r="AL349" s="107">
        <v>0</v>
      </c>
      <c r="AM349" s="107">
        <f t="shared" si="69"/>
        <v>0</v>
      </c>
      <c r="AN349" s="116">
        <f>(-IF($V349="Yes", IF($X349="Yes", VLOOKUP($W349, '[1]Storage Fees'!A:M, 13, FALSE), VLOOKUP($W349, '[1]Storage Fees'!A:M, 10, FALSE)), IF($X349="Yes", VLOOKUP($W349, '[1]Storage Fees'!A:M, 7, FALSE), VLOOKUP($W349, '[1]Storage Fees'!A:M, 4, FALSE))) * U349)*1.5</f>
        <v>0</v>
      </c>
    </row>
    <row r="350" spans="1:40" x14ac:dyDescent="0.25">
      <c r="A350" s="99">
        <v>278</v>
      </c>
      <c r="B350" s="99"/>
      <c r="C350" s="99" t="s">
        <v>13655</v>
      </c>
      <c r="D350" s="99"/>
      <c r="E350" s="99" t="s">
        <v>950</v>
      </c>
      <c r="F350" s="99" t="s">
        <v>1725</v>
      </c>
      <c r="G350" s="99" t="s">
        <v>13695</v>
      </c>
      <c r="H350" s="99">
        <v>0</v>
      </c>
      <c r="I350" s="99">
        <v>0</v>
      </c>
      <c r="J350" s="99">
        <v>0</v>
      </c>
      <c r="K350" s="101" t="str">
        <f t="shared" si="57"/>
        <v>0x0x0</v>
      </c>
      <c r="L350" s="102">
        <f t="shared" si="58"/>
        <v>0</v>
      </c>
      <c r="M350" s="113">
        <f t="shared" si="59"/>
        <v>0</v>
      </c>
      <c r="N350" s="113">
        <f t="shared" si="60"/>
        <v>0</v>
      </c>
      <c r="O350" s="99">
        <v>0</v>
      </c>
      <c r="P350" s="113">
        <f t="shared" si="61"/>
        <v>0</v>
      </c>
      <c r="Q350" s="112">
        <f t="shared" si="62"/>
        <v>0</v>
      </c>
      <c r="R350" s="112" t="str">
        <f t="shared" si="63"/>
        <v>Standard-size</v>
      </c>
      <c r="S350" s="99" t="str">
        <f t="shared" si="64"/>
        <v>Small standard-size</v>
      </c>
      <c r="T350" s="116" t="s">
        <v>13696</v>
      </c>
      <c r="U350" s="116">
        <f t="shared" si="65"/>
        <v>0</v>
      </c>
      <c r="V350" s="116" t="s">
        <v>13583</v>
      </c>
      <c r="W350" s="116" t="s">
        <v>13690</v>
      </c>
      <c r="X350" s="99" t="s">
        <v>13583</v>
      </c>
      <c r="Y350" s="99">
        <v>1</v>
      </c>
      <c r="Z350" s="99">
        <v>1</v>
      </c>
      <c r="AA350" s="99">
        <v>1</v>
      </c>
      <c r="AB350" s="99"/>
      <c r="AC350" s="99"/>
      <c r="AD350" s="107">
        <v>0</v>
      </c>
      <c r="AE350" s="113">
        <f t="shared" si="66"/>
        <v>0</v>
      </c>
      <c r="AF350" s="116">
        <f>-IFERROR(IFERROR(VLOOKUP(ROUNDUP($Q350,0),'FBA FEES'!$L$2:$Q$203,MATCH($S350,'FBA FEES'!$L$2:$Q$2,0),FALSE),VLOOKUP(ROUNDUP($Q350,0),'FBA FEES'!$C$6:$F$123,MATCH($S350,'FBA FEES'!$C$6:$F$6,0),FALSE)),0)</f>
        <v>0</v>
      </c>
      <c r="AG350" s="116">
        <v>-10</v>
      </c>
      <c r="AH350" s="113">
        <f t="shared" si="67"/>
        <v>0</v>
      </c>
      <c r="AI350" s="116">
        <f>-IFERROR(IF($Y350=1,INDEX('[1]REMOVAL FEES'!$A$1:$C$22,MATCH(CONCATENATE("Standard Size",$P350),'[1]REMOVAL FEES'!$A$1:$A$22,0),3),IF($Y350=2,IF($P350&gt;10,(($P350-10)*1.06)+INDEX('[1]REMOVAL FEES'!$E$1:$G$22,MATCH(CONCATENATE("Large bulky, extra-large and special handling items",IF($P350&gt;=11,11,$P350)),'[1]REMOVAL FEES'!$E$1:$E$13,0),3),INDEX('[1]REMOVAL FEES'!$E$1:$G$22,MATCH(CONCATENATE("Large bulky, extra-large and special handling items",IF($P350&gt;=11,11,$P350)),'[1]REMOVAL FEES'!$E$1:$E$13,0),3))))*$AA350,FALSE)</f>
        <v>0</v>
      </c>
      <c r="AJ350" s="107">
        <f t="shared" si="68"/>
        <v>0</v>
      </c>
      <c r="AK350" s="107">
        <v>0</v>
      </c>
      <c r="AL350" s="107">
        <v>0</v>
      </c>
      <c r="AM350" s="107">
        <f t="shared" si="69"/>
        <v>0</v>
      </c>
      <c r="AN350" s="116">
        <f>(-IF($V350="Yes", IF($X350="Yes", VLOOKUP($W350, '[1]Storage Fees'!A:M, 13, FALSE), VLOOKUP($W350, '[1]Storage Fees'!A:M, 10, FALSE)), IF($X350="Yes", VLOOKUP($W350, '[1]Storage Fees'!A:M, 7, FALSE), VLOOKUP($W350, '[1]Storage Fees'!A:M, 4, FALSE))) * U350)*1.5</f>
        <v>0</v>
      </c>
    </row>
    <row r="351" spans="1:40" x14ac:dyDescent="0.25">
      <c r="A351" s="99">
        <v>279</v>
      </c>
      <c r="B351" s="99"/>
      <c r="C351" s="99" t="s">
        <v>13655</v>
      </c>
      <c r="D351" s="99"/>
      <c r="E351" s="99" t="s">
        <v>950</v>
      </c>
      <c r="F351" s="99" t="s">
        <v>1727</v>
      </c>
      <c r="G351" s="99" t="s">
        <v>13695</v>
      </c>
      <c r="H351" s="99">
        <v>0</v>
      </c>
      <c r="I351" s="99">
        <v>0</v>
      </c>
      <c r="J351" s="99">
        <v>0</v>
      </c>
      <c r="K351" s="101" t="str">
        <f t="shared" si="57"/>
        <v>0x0x0</v>
      </c>
      <c r="L351" s="102">
        <f t="shared" si="58"/>
        <v>0</v>
      </c>
      <c r="M351" s="113">
        <f t="shared" si="59"/>
        <v>0</v>
      </c>
      <c r="N351" s="113">
        <f t="shared" si="60"/>
        <v>0</v>
      </c>
      <c r="O351" s="99">
        <v>0</v>
      </c>
      <c r="P351" s="113">
        <f t="shared" si="61"/>
        <v>0</v>
      </c>
      <c r="Q351" s="112">
        <f t="shared" si="62"/>
        <v>0</v>
      </c>
      <c r="R351" s="112" t="str">
        <f t="shared" si="63"/>
        <v>Standard-size</v>
      </c>
      <c r="S351" s="99" t="str">
        <f t="shared" si="64"/>
        <v>Small standard-size</v>
      </c>
      <c r="T351" s="116" t="s">
        <v>13696</v>
      </c>
      <c r="U351" s="116">
        <f t="shared" si="65"/>
        <v>0</v>
      </c>
      <c r="V351" s="116" t="s">
        <v>13583</v>
      </c>
      <c r="W351" s="116" t="s">
        <v>13690</v>
      </c>
      <c r="X351" s="99" t="s">
        <v>13583</v>
      </c>
      <c r="Y351" s="99">
        <v>1</v>
      </c>
      <c r="Z351" s="99">
        <v>1</v>
      </c>
      <c r="AA351" s="99">
        <v>1</v>
      </c>
      <c r="AB351" s="99"/>
      <c r="AC351" s="99"/>
      <c r="AD351" s="107">
        <v>0</v>
      </c>
      <c r="AE351" s="113">
        <f t="shared" si="66"/>
        <v>0</v>
      </c>
      <c r="AF351" s="116">
        <f>-IFERROR(IFERROR(VLOOKUP(ROUNDUP($Q351,0),'FBA FEES'!$L$2:$Q$203,MATCH($S351,'FBA FEES'!$L$2:$Q$2,0),FALSE),VLOOKUP(ROUNDUP($Q351,0),'FBA FEES'!$C$6:$F$123,MATCH($S351,'FBA FEES'!$C$6:$F$6,0),FALSE)),0)</f>
        <v>0</v>
      </c>
      <c r="AG351" s="116">
        <v>-10</v>
      </c>
      <c r="AH351" s="113">
        <f t="shared" si="67"/>
        <v>0</v>
      </c>
      <c r="AI351" s="116">
        <f>-IFERROR(IF($Y351=1,INDEX('[1]REMOVAL FEES'!$A$1:$C$22,MATCH(CONCATENATE("Standard Size",$P351),'[1]REMOVAL FEES'!$A$1:$A$22,0),3),IF($Y351=2,IF($P351&gt;10,(($P351-10)*1.06)+INDEX('[1]REMOVAL FEES'!$E$1:$G$22,MATCH(CONCATENATE("Large bulky, extra-large and special handling items",IF($P351&gt;=11,11,$P351)),'[1]REMOVAL FEES'!$E$1:$E$13,0),3),INDEX('[1]REMOVAL FEES'!$E$1:$G$22,MATCH(CONCATENATE("Large bulky, extra-large and special handling items",IF($P351&gt;=11,11,$P351)),'[1]REMOVAL FEES'!$E$1:$E$13,0),3))))*$AA351,FALSE)</f>
        <v>0</v>
      </c>
      <c r="AJ351" s="107">
        <f t="shared" si="68"/>
        <v>0</v>
      </c>
      <c r="AK351" s="107">
        <v>0</v>
      </c>
      <c r="AL351" s="107">
        <v>0</v>
      </c>
      <c r="AM351" s="107">
        <f t="shared" si="69"/>
        <v>0</v>
      </c>
      <c r="AN351" s="116">
        <f>(-IF($V351="Yes", IF($X351="Yes", VLOOKUP($W351, '[1]Storage Fees'!A:M, 13, FALSE), VLOOKUP($W351, '[1]Storage Fees'!A:M, 10, FALSE)), IF($X351="Yes", VLOOKUP($W351, '[1]Storage Fees'!A:M, 7, FALSE), VLOOKUP($W351, '[1]Storage Fees'!A:M, 4, FALSE))) * U351)*1.5</f>
        <v>0</v>
      </c>
    </row>
    <row r="352" spans="1:40" x14ac:dyDescent="0.25">
      <c r="A352" s="99">
        <v>280</v>
      </c>
      <c r="B352" s="99"/>
      <c r="C352" s="99" t="s">
        <v>13655</v>
      </c>
      <c r="D352" s="99"/>
      <c r="E352" s="99" t="s">
        <v>950</v>
      </c>
      <c r="F352" s="99" t="s">
        <v>1729</v>
      </c>
      <c r="G352" s="99" t="s">
        <v>13695</v>
      </c>
      <c r="H352" s="99">
        <v>0</v>
      </c>
      <c r="I352" s="99">
        <v>0</v>
      </c>
      <c r="J352" s="99">
        <v>0</v>
      </c>
      <c r="K352" s="101" t="str">
        <f t="shared" si="57"/>
        <v>0x0x0</v>
      </c>
      <c r="L352" s="102">
        <f t="shared" si="58"/>
        <v>0</v>
      </c>
      <c r="M352" s="113">
        <f t="shared" si="59"/>
        <v>0</v>
      </c>
      <c r="N352" s="113">
        <f t="shared" si="60"/>
        <v>0</v>
      </c>
      <c r="O352" s="99">
        <v>0</v>
      </c>
      <c r="P352" s="113">
        <f t="shared" si="61"/>
        <v>0</v>
      </c>
      <c r="Q352" s="112">
        <f t="shared" si="62"/>
        <v>0</v>
      </c>
      <c r="R352" s="112" t="str">
        <f t="shared" si="63"/>
        <v>Standard-size</v>
      </c>
      <c r="S352" s="99" t="str">
        <f t="shared" si="64"/>
        <v>Small standard-size</v>
      </c>
      <c r="T352" s="116" t="s">
        <v>13696</v>
      </c>
      <c r="U352" s="116">
        <f t="shared" si="65"/>
        <v>0</v>
      </c>
      <c r="V352" s="116" t="s">
        <v>13583</v>
      </c>
      <c r="W352" s="116" t="s">
        <v>13690</v>
      </c>
      <c r="X352" s="99" t="s">
        <v>13583</v>
      </c>
      <c r="Y352" s="99">
        <v>1</v>
      </c>
      <c r="Z352" s="99">
        <v>1</v>
      </c>
      <c r="AA352" s="99">
        <v>1</v>
      </c>
      <c r="AB352" s="99"/>
      <c r="AC352" s="99"/>
      <c r="AD352" s="107">
        <v>0</v>
      </c>
      <c r="AE352" s="113">
        <f t="shared" si="66"/>
        <v>0</v>
      </c>
      <c r="AF352" s="116">
        <f>-IFERROR(IFERROR(VLOOKUP(ROUNDUP($Q352,0),'FBA FEES'!$L$2:$Q$203,MATCH($S352,'FBA FEES'!$L$2:$Q$2,0),FALSE),VLOOKUP(ROUNDUP($Q352,0),'FBA FEES'!$C$6:$F$123,MATCH($S352,'FBA FEES'!$C$6:$F$6,0),FALSE)),0)</f>
        <v>0</v>
      </c>
      <c r="AG352" s="116">
        <v>-10</v>
      </c>
      <c r="AH352" s="113">
        <f t="shared" si="67"/>
        <v>0</v>
      </c>
      <c r="AI352" s="116">
        <f>-IFERROR(IF($Y352=1,INDEX('[1]REMOVAL FEES'!$A$1:$C$22,MATCH(CONCATENATE("Standard Size",$P352),'[1]REMOVAL FEES'!$A$1:$A$22,0),3),IF($Y352=2,IF($P352&gt;10,(($P352-10)*1.06)+INDEX('[1]REMOVAL FEES'!$E$1:$G$22,MATCH(CONCATENATE("Large bulky, extra-large and special handling items",IF($P352&gt;=11,11,$P352)),'[1]REMOVAL FEES'!$E$1:$E$13,0),3),INDEX('[1]REMOVAL FEES'!$E$1:$G$22,MATCH(CONCATENATE("Large bulky, extra-large and special handling items",IF($P352&gt;=11,11,$P352)),'[1]REMOVAL FEES'!$E$1:$E$13,0),3))))*$AA352,FALSE)</f>
        <v>0</v>
      </c>
      <c r="AJ352" s="107">
        <f t="shared" si="68"/>
        <v>0</v>
      </c>
      <c r="AK352" s="107">
        <v>0</v>
      </c>
      <c r="AL352" s="107">
        <v>0</v>
      </c>
      <c r="AM352" s="107">
        <f t="shared" si="69"/>
        <v>0</v>
      </c>
      <c r="AN352" s="116">
        <f>(-IF($V352="Yes", IF($X352="Yes", VLOOKUP($W352, '[1]Storage Fees'!A:M, 13, FALSE), VLOOKUP($W352, '[1]Storage Fees'!A:M, 10, FALSE)), IF($X352="Yes", VLOOKUP($W352, '[1]Storage Fees'!A:M, 7, FALSE), VLOOKUP($W352, '[1]Storage Fees'!A:M, 4, FALSE))) * U352)*1.5</f>
        <v>0</v>
      </c>
    </row>
    <row r="353" spans="1:40" x14ac:dyDescent="0.25">
      <c r="A353" s="99">
        <v>281</v>
      </c>
      <c r="B353" s="99"/>
      <c r="C353" s="99" t="s">
        <v>13655</v>
      </c>
      <c r="D353" s="99"/>
      <c r="E353" s="99" t="s">
        <v>950</v>
      </c>
      <c r="F353" s="99" t="s">
        <v>1731</v>
      </c>
      <c r="G353" s="99" t="s">
        <v>13695</v>
      </c>
      <c r="H353" s="99">
        <v>0</v>
      </c>
      <c r="I353" s="99">
        <v>0</v>
      </c>
      <c r="J353" s="99">
        <v>0</v>
      </c>
      <c r="K353" s="101" t="str">
        <f t="shared" si="57"/>
        <v>0x0x0</v>
      </c>
      <c r="L353" s="102">
        <f t="shared" si="58"/>
        <v>0</v>
      </c>
      <c r="M353" s="113">
        <f t="shared" si="59"/>
        <v>0</v>
      </c>
      <c r="N353" s="113">
        <f t="shared" si="60"/>
        <v>0</v>
      </c>
      <c r="O353" s="99">
        <v>0</v>
      </c>
      <c r="P353" s="113">
        <f t="shared" si="61"/>
        <v>0</v>
      </c>
      <c r="Q353" s="112">
        <f t="shared" si="62"/>
        <v>0</v>
      </c>
      <c r="R353" s="112" t="str">
        <f t="shared" si="63"/>
        <v>Standard-size</v>
      </c>
      <c r="S353" s="99" t="str">
        <f t="shared" si="64"/>
        <v>Small standard-size</v>
      </c>
      <c r="T353" s="116" t="s">
        <v>13696</v>
      </c>
      <c r="U353" s="116">
        <f t="shared" si="65"/>
        <v>0</v>
      </c>
      <c r="V353" s="116" t="s">
        <v>13583</v>
      </c>
      <c r="W353" s="116" t="s">
        <v>13690</v>
      </c>
      <c r="X353" s="99" t="s">
        <v>13583</v>
      </c>
      <c r="Y353" s="99">
        <v>1</v>
      </c>
      <c r="Z353" s="99">
        <v>1</v>
      </c>
      <c r="AA353" s="99">
        <v>1</v>
      </c>
      <c r="AB353" s="99"/>
      <c r="AC353" s="99"/>
      <c r="AD353" s="107">
        <v>0</v>
      </c>
      <c r="AE353" s="113">
        <f t="shared" si="66"/>
        <v>0</v>
      </c>
      <c r="AF353" s="116">
        <f>-IFERROR(IFERROR(VLOOKUP(ROUNDUP($Q353,0),'FBA FEES'!$L$2:$Q$203,MATCH($S353,'FBA FEES'!$L$2:$Q$2,0),FALSE),VLOOKUP(ROUNDUP($Q353,0),'FBA FEES'!$C$6:$F$123,MATCH($S353,'FBA FEES'!$C$6:$F$6,0),FALSE)),0)</f>
        <v>0</v>
      </c>
      <c r="AG353" s="116">
        <v>-10</v>
      </c>
      <c r="AH353" s="113">
        <f t="shared" si="67"/>
        <v>0</v>
      </c>
      <c r="AI353" s="116">
        <f>-IFERROR(IF($Y353=1,INDEX('[1]REMOVAL FEES'!$A$1:$C$22,MATCH(CONCATENATE("Standard Size",$P353),'[1]REMOVAL FEES'!$A$1:$A$22,0),3),IF($Y353=2,IF($P353&gt;10,(($P353-10)*1.06)+INDEX('[1]REMOVAL FEES'!$E$1:$G$22,MATCH(CONCATENATE("Large bulky, extra-large and special handling items",IF($P353&gt;=11,11,$P353)),'[1]REMOVAL FEES'!$E$1:$E$13,0),3),INDEX('[1]REMOVAL FEES'!$E$1:$G$22,MATCH(CONCATENATE("Large bulky, extra-large and special handling items",IF($P353&gt;=11,11,$P353)),'[1]REMOVAL FEES'!$E$1:$E$13,0),3))))*$AA353,FALSE)</f>
        <v>0</v>
      </c>
      <c r="AJ353" s="107">
        <f t="shared" si="68"/>
        <v>0</v>
      </c>
      <c r="AK353" s="107">
        <v>0</v>
      </c>
      <c r="AL353" s="107">
        <v>0</v>
      </c>
      <c r="AM353" s="107">
        <f t="shared" si="69"/>
        <v>0</v>
      </c>
      <c r="AN353" s="116">
        <f>(-IF($V353="Yes", IF($X353="Yes", VLOOKUP($W353, '[1]Storage Fees'!A:M, 13, FALSE), VLOOKUP($W353, '[1]Storage Fees'!A:M, 10, FALSE)), IF($X353="Yes", VLOOKUP($W353, '[1]Storage Fees'!A:M, 7, FALSE), VLOOKUP($W353, '[1]Storage Fees'!A:M, 4, FALSE))) * U353)*1.5</f>
        <v>0</v>
      </c>
    </row>
    <row r="354" spans="1:40" x14ac:dyDescent="0.25">
      <c r="A354" s="99">
        <v>282</v>
      </c>
      <c r="B354" s="99"/>
      <c r="C354" s="99" t="s">
        <v>13655</v>
      </c>
      <c r="D354" s="99"/>
      <c r="E354" s="99" t="s">
        <v>950</v>
      </c>
      <c r="F354" s="99" t="s">
        <v>1733</v>
      </c>
      <c r="G354" s="99" t="s">
        <v>13695</v>
      </c>
      <c r="H354" s="99">
        <v>0</v>
      </c>
      <c r="I354" s="99">
        <v>0</v>
      </c>
      <c r="J354" s="99">
        <v>0</v>
      </c>
      <c r="K354" s="101" t="str">
        <f t="shared" si="57"/>
        <v>0x0x0</v>
      </c>
      <c r="L354" s="102">
        <f t="shared" si="58"/>
        <v>0</v>
      </c>
      <c r="M354" s="113">
        <f t="shared" si="59"/>
        <v>0</v>
      </c>
      <c r="N354" s="113">
        <f t="shared" si="60"/>
        <v>0</v>
      </c>
      <c r="O354" s="99">
        <v>0</v>
      </c>
      <c r="P354" s="113">
        <f t="shared" si="61"/>
        <v>0</v>
      </c>
      <c r="Q354" s="112">
        <f t="shared" si="62"/>
        <v>0</v>
      </c>
      <c r="R354" s="112" t="str">
        <f t="shared" si="63"/>
        <v>Standard-size</v>
      </c>
      <c r="S354" s="99" t="str">
        <f t="shared" si="64"/>
        <v>Small standard-size</v>
      </c>
      <c r="T354" s="116" t="s">
        <v>13696</v>
      </c>
      <c r="U354" s="116">
        <f t="shared" si="65"/>
        <v>0</v>
      </c>
      <c r="V354" s="116" t="s">
        <v>13583</v>
      </c>
      <c r="W354" s="116" t="s">
        <v>13690</v>
      </c>
      <c r="X354" s="99" t="s">
        <v>13583</v>
      </c>
      <c r="Y354" s="99">
        <v>1</v>
      </c>
      <c r="Z354" s="99">
        <v>1</v>
      </c>
      <c r="AA354" s="99">
        <v>1</v>
      </c>
      <c r="AB354" s="99"/>
      <c r="AC354" s="99"/>
      <c r="AD354" s="107">
        <v>0</v>
      </c>
      <c r="AE354" s="113">
        <f t="shared" si="66"/>
        <v>0</v>
      </c>
      <c r="AF354" s="116">
        <f>-IFERROR(IFERROR(VLOOKUP(ROUNDUP($Q354,0),'FBA FEES'!$L$2:$Q$203,MATCH($S354,'FBA FEES'!$L$2:$Q$2,0),FALSE),VLOOKUP(ROUNDUP($Q354,0),'FBA FEES'!$C$6:$F$123,MATCH($S354,'FBA FEES'!$C$6:$F$6,0),FALSE)),0)</f>
        <v>0</v>
      </c>
      <c r="AG354" s="116">
        <v>-10</v>
      </c>
      <c r="AH354" s="113">
        <f t="shared" si="67"/>
        <v>0</v>
      </c>
      <c r="AI354" s="116">
        <f>-IFERROR(IF($Y354=1,INDEX('[1]REMOVAL FEES'!$A$1:$C$22,MATCH(CONCATENATE("Standard Size",$P354),'[1]REMOVAL FEES'!$A$1:$A$22,0),3),IF($Y354=2,IF($P354&gt;10,(($P354-10)*1.06)+INDEX('[1]REMOVAL FEES'!$E$1:$G$22,MATCH(CONCATENATE("Large bulky, extra-large and special handling items",IF($P354&gt;=11,11,$P354)),'[1]REMOVAL FEES'!$E$1:$E$13,0),3),INDEX('[1]REMOVAL FEES'!$E$1:$G$22,MATCH(CONCATENATE("Large bulky, extra-large and special handling items",IF($P354&gt;=11,11,$P354)),'[1]REMOVAL FEES'!$E$1:$E$13,0),3))))*$AA354,FALSE)</f>
        <v>0</v>
      </c>
      <c r="AJ354" s="107">
        <f t="shared" si="68"/>
        <v>0</v>
      </c>
      <c r="AK354" s="107">
        <v>0</v>
      </c>
      <c r="AL354" s="107">
        <v>0</v>
      </c>
      <c r="AM354" s="107">
        <f t="shared" si="69"/>
        <v>0</v>
      </c>
      <c r="AN354" s="116">
        <f>(-IF($V354="Yes", IF($X354="Yes", VLOOKUP($W354, '[1]Storage Fees'!A:M, 13, FALSE), VLOOKUP($W354, '[1]Storage Fees'!A:M, 10, FALSE)), IF($X354="Yes", VLOOKUP($W354, '[1]Storage Fees'!A:M, 7, FALSE), VLOOKUP($W354, '[1]Storage Fees'!A:M, 4, FALSE))) * U354)*1.5</f>
        <v>0</v>
      </c>
    </row>
    <row r="355" spans="1:40" x14ac:dyDescent="0.25">
      <c r="A355" s="99">
        <v>283</v>
      </c>
      <c r="B355" s="99" t="s">
        <v>107</v>
      </c>
      <c r="C355" s="99"/>
      <c r="D355" s="99"/>
      <c r="E355" s="99" t="s">
        <v>278</v>
      </c>
      <c r="F355" s="99" t="s">
        <v>305</v>
      </c>
      <c r="G355" s="99" t="s">
        <v>13695</v>
      </c>
      <c r="H355" s="99">
        <v>13</v>
      </c>
      <c r="I355" s="99">
        <v>7</v>
      </c>
      <c r="J355" s="99">
        <v>2</v>
      </c>
      <c r="K355" s="101" t="str">
        <f t="shared" si="57"/>
        <v>13x7x2</v>
      </c>
      <c r="L355" s="102">
        <f t="shared" si="58"/>
        <v>1.3093525179856116</v>
      </c>
      <c r="M355" s="113">
        <f t="shared" si="59"/>
        <v>1.3093525179856116</v>
      </c>
      <c r="N355" s="113">
        <f t="shared" si="60"/>
        <v>2</v>
      </c>
      <c r="O355" s="99">
        <v>19</v>
      </c>
      <c r="P355" s="113">
        <f t="shared" si="61"/>
        <v>19</v>
      </c>
      <c r="Q355" s="112">
        <f t="shared" si="62"/>
        <v>304</v>
      </c>
      <c r="R355" s="112" t="str">
        <f t="shared" si="63"/>
        <v>Standard-size</v>
      </c>
      <c r="S355" s="99" t="str">
        <f t="shared" si="64"/>
        <v>Large standard-size</v>
      </c>
      <c r="T355" s="116" t="s">
        <v>13693</v>
      </c>
      <c r="U355" s="116">
        <f t="shared" si="65"/>
        <v>0.10532407407407407</v>
      </c>
      <c r="V355" s="116" t="s">
        <v>13583</v>
      </c>
      <c r="W355" s="116" t="s">
        <v>13690</v>
      </c>
      <c r="X355" s="99" t="s">
        <v>13583</v>
      </c>
      <c r="Y355" s="99">
        <v>1</v>
      </c>
      <c r="Z355" s="99">
        <v>2</v>
      </c>
      <c r="AA355" s="99">
        <v>1</v>
      </c>
      <c r="AB355" s="99"/>
      <c r="AC355" s="99"/>
      <c r="AD355" s="107">
        <v>77.118823529411614</v>
      </c>
      <c r="AE355" s="113">
        <f t="shared" si="66"/>
        <v>-11.567823529411742</v>
      </c>
      <c r="AF355" s="116">
        <f>-IFERROR(IFERROR(VLOOKUP(ROUNDUP($Q355,0),'FBA FEES'!$L$2:$Q$203,MATCH($S355,'FBA FEES'!$L$2:$Q$2,0),FALSE),VLOOKUP(ROUNDUP($Q355,0),'FBA FEES'!$C$6:$F$123,MATCH($S355,'FBA FEES'!$C$6:$F$6,0),FALSE)),0)</f>
        <v>-12.04</v>
      </c>
      <c r="AG355" s="116">
        <v>-10</v>
      </c>
      <c r="AH355" s="113">
        <f t="shared" si="67"/>
        <v>-23.607823529411739</v>
      </c>
      <c r="AI355" s="116">
        <f>-IFERROR(IF($Y355=1,INDEX('[1]REMOVAL FEES'!$A$1:$C$22,MATCH(CONCATENATE("Standard Size",$P355),'[1]REMOVAL FEES'!$A$1:$A$22,0),3),IF($Y355=2,IF($P355&gt;10,(($P355-10)*1.06)+INDEX('[1]REMOVAL FEES'!$E$1:$G$22,MATCH(CONCATENATE("Large bulky, extra-large and special handling items",IF($P355&gt;=11,11,$P355)),'[1]REMOVAL FEES'!$E$1:$E$13,0),3),INDEX('[1]REMOVAL FEES'!$E$1:$G$22,MATCH(CONCATENATE("Large bulky, extra-large and special handling items",IF($P355&gt;=11,11,$P355)),'[1]REMOVAL FEES'!$E$1:$E$13,0),3))))*$AA355,FALSE)</f>
        <v>-20.91</v>
      </c>
      <c r="AJ355" s="107">
        <f t="shared" si="68"/>
        <v>-44.517823529411743</v>
      </c>
      <c r="AK355" s="107">
        <v>-30.944999999999961</v>
      </c>
      <c r="AL355" s="107">
        <v>-4.9921704014939374</v>
      </c>
      <c r="AM355" s="107">
        <f t="shared" si="69"/>
        <v>-35.937170401493901</v>
      </c>
      <c r="AN355" s="116">
        <f>(-IF($V355="Yes", IF($X355="Yes", VLOOKUP($W355, '[1]Storage Fees'!A:M, 13, FALSE), VLOOKUP($W355, '[1]Storage Fees'!A:M, 10, FALSE)), IF($X355="Yes", VLOOKUP($W355, '[1]Storage Fees'!A:M, 7, FALSE), VLOOKUP($W355, '[1]Storage Fees'!A:M, 4, FALSE))) * U355)*1.5</f>
        <v>-0.19274305555555554</v>
      </c>
    </row>
    <row r="356" spans="1:40" x14ac:dyDescent="0.25">
      <c r="A356" s="99">
        <v>284</v>
      </c>
      <c r="B356" s="99"/>
      <c r="C356" s="99" t="s">
        <v>13655</v>
      </c>
      <c r="D356" s="99"/>
      <c r="E356" s="99" t="s">
        <v>278</v>
      </c>
      <c r="F356" s="99" t="s">
        <v>1735</v>
      </c>
      <c r="G356" s="99" t="s">
        <v>13695</v>
      </c>
      <c r="H356" s="99">
        <v>0</v>
      </c>
      <c r="I356" s="99">
        <v>0</v>
      </c>
      <c r="J356" s="99">
        <v>0</v>
      </c>
      <c r="K356" s="101" t="str">
        <f t="shared" si="57"/>
        <v>0x0x0</v>
      </c>
      <c r="L356" s="102">
        <f t="shared" si="58"/>
        <v>0</v>
      </c>
      <c r="M356" s="113">
        <f t="shared" si="59"/>
        <v>0</v>
      </c>
      <c r="N356" s="113">
        <f t="shared" si="60"/>
        <v>0</v>
      </c>
      <c r="O356" s="99">
        <v>0</v>
      </c>
      <c r="P356" s="113">
        <f t="shared" si="61"/>
        <v>0</v>
      </c>
      <c r="Q356" s="112">
        <f t="shared" si="62"/>
        <v>0</v>
      </c>
      <c r="R356" s="112" t="str">
        <f t="shared" si="63"/>
        <v>Standard-size</v>
      </c>
      <c r="S356" s="99" t="str">
        <f t="shared" si="64"/>
        <v>Small standard-size</v>
      </c>
      <c r="T356" s="116" t="s">
        <v>13696</v>
      </c>
      <c r="U356" s="116">
        <f t="shared" si="65"/>
        <v>0</v>
      </c>
      <c r="V356" s="116" t="s">
        <v>13583</v>
      </c>
      <c r="W356" s="116" t="s">
        <v>13690</v>
      </c>
      <c r="X356" s="99" t="s">
        <v>13583</v>
      </c>
      <c r="Y356" s="99">
        <v>1</v>
      </c>
      <c r="Z356" s="99">
        <v>1</v>
      </c>
      <c r="AA356" s="99">
        <v>1</v>
      </c>
      <c r="AB356" s="99"/>
      <c r="AC356" s="99"/>
      <c r="AD356" s="107">
        <v>0</v>
      </c>
      <c r="AE356" s="113">
        <f t="shared" si="66"/>
        <v>0</v>
      </c>
      <c r="AF356" s="116">
        <f>-IFERROR(IFERROR(VLOOKUP(ROUNDUP($Q356,0),'FBA FEES'!$L$2:$Q$203,MATCH($S356,'FBA FEES'!$L$2:$Q$2,0),FALSE),VLOOKUP(ROUNDUP($Q356,0),'FBA FEES'!$C$6:$F$123,MATCH($S356,'FBA FEES'!$C$6:$F$6,0),FALSE)),0)</f>
        <v>0</v>
      </c>
      <c r="AG356" s="116">
        <v>-10</v>
      </c>
      <c r="AH356" s="113">
        <f t="shared" si="67"/>
        <v>0</v>
      </c>
      <c r="AI356" s="116">
        <f>-IFERROR(IF($Y356=1,INDEX('[1]REMOVAL FEES'!$A$1:$C$22,MATCH(CONCATENATE("Standard Size",$P356),'[1]REMOVAL FEES'!$A$1:$A$22,0),3),IF($Y356=2,IF($P356&gt;10,(($P356-10)*1.06)+INDEX('[1]REMOVAL FEES'!$E$1:$G$22,MATCH(CONCATENATE("Large bulky, extra-large and special handling items",IF($P356&gt;=11,11,$P356)),'[1]REMOVAL FEES'!$E$1:$E$13,0),3),INDEX('[1]REMOVAL FEES'!$E$1:$G$22,MATCH(CONCATENATE("Large bulky, extra-large and special handling items",IF($P356&gt;=11,11,$P356)),'[1]REMOVAL FEES'!$E$1:$E$13,0),3))))*$AA356,FALSE)</f>
        <v>0</v>
      </c>
      <c r="AJ356" s="107">
        <f t="shared" si="68"/>
        <v>0</v>
      </c>
      <c r="AK356" s="107">
        <v>0</v>
      </c>
      <c r="AL356" s="107">
        <v>0</v>
      </c>
      <c r="AM356" s="107">
        <f t="shared" si="69"/>
        <v>0</v>
      </c>
      <c r="AN356" s="116">
        <f>(-IF($V356="Yes", IF($X356="Yes", VLOOKUP($W356, '[1]Storage Fees'!A:M, 13, FALSE), VLOOKUP($W356, '[1]Storage Fees'!A:M, 10, FALSE)), IF($X356="Yes", VLOOKUP($W356, '[1]Storage Fees'!A:M, 7, FALSE), VLOOKUP($W356, '[1]Storage Fees'!A:M, 4, FALSE))) * U356)*1.5</f>
        <v>0</v>
      </c>
    </row>
    <row r="357" spans="1:40" x14ac:dyDescent="0.25">
      <c r="A357" s="99">
        <v>285</v>
      </c>
      <c r="B357" s="99" t="s">
        <v>102</v>
      </c>
      <c r="C357" s="99" t="s">
        <v>13655</v>
      </c>
      <c r="D357" s="99" t="s">
        <v>749</v>
      </c>
      <c r="E357" s="99" t="s">
        <v>163</v>
      </c>
      <c r="F357" s="99" t="s">
        <v>896</v>
      </c>
      <c r="G357" s="99" t="s">
        <v>13695</v>
      </c>
      <c r="H357" s="99">
        <v>7</v>
      </c>
      <c r="I357" s="99">
        <v>7</v>
      </c>
      <c r="J357" s="99">
        <v>7</v>
      </c>
      <c r="K357" s="101" t="str">
        <f t="shared" si="57"/>
        <v>7x7x7</v>
      </c>
      <c r="L357" s="102">
        <f t="shared" si="58"/>
        <v>2.4676258992805757</v>
      </c>
      <c r="M357" s="113">
        <f t="shared" si="59"/>
        <v>2.4676258992805757</v>
      </c>
      <c r="N357" s="113">
        <f t="shared" si="60"/>
        <v>3</v>
      </c>
      <c r="O357" s="99">
        <v>2.625</v>
      </c>
      <c r="P357" s="113">
        <f t="shared" si="61"/>
        <v>3</v>
      </c>
      <c r="Q357" s="112">
        <f t="shared" si="62"/>
        <v>48</v>
      </c>
      <c r="R357" s="112" t="str">
        <f t="shared" si="63"/>
        <v>Standard-size</v>
      </c>
      <c r="S357" s="99" t="str">
        <f t="shared" si="64"/>
        <v>Large standard-size</v>
      </c>
      <c r="T357" s="116" t="s">
        <v>13701</v>
      </c>
      <c r="U357" s="116">
        <f t="shared" si="65"/>
        <v>0.19849537037037038</v>
      </c>
      <c r="V357" s="116" t="s">
        <v>13583</v>
      </c>
      <c r="W357" s="116" t="s">
        <v>13690</v>
      </c>
      <c r="X357" s="99" t="s">
        <v>13583</v>
      </c>
      <c r="Y357" s="99">
        <v>1</v>
      </c>
      <c r="Z357" s="99">
        <v>2</v>
      </c>
      <c r="AA357" s="99">
        <v>1</v>
      </c>
      <c r="AB357" s="99"/>
      <c r="AC357" s="99"/>
      <c r="AD357" s="107">
        <v>0</v>
      </c>
      <c r="AE357" s="113">
        <f t="shared" si="66"/>
        <v>0</v>
      </c>
      <c r="AF357" s="116">
        <f>-IFERROR(IFERROR(VLOOKUP(ROUNDUP($Q357,0),'FBA FEES'!$L$2:$Q$203,MATCH($S357,'FBA FEES'!$L$2:$Q$2,0),FALSE),VLOOKUP(ROUNDUP($Q357,0),'FBA FEES'!$C$6:$F$123,MATCH($S357,'FBA FEES'!$C$6:$F$6,0),FALSE)),0)</f>
        <v>-6.62</v>
      </c>
      <c r="AG357" s="116">
        <v>-10</v>
      </c>
      <c r="AH357" s="113">
        <f t="shared" si="67"/>
        <v>-6.62</v>
      </c>
      <c r="AI357" s="116">
        <f>-IFERROR(IF($Y357=1,INDEX('[1]REMOVAL FEES'!$A$1:$C$22,MATCH(CONCATENATE("Standard Size",$P357),'[1]REMOVAL FEES'!$A$1:$A$22,0),3),IF($Y357=2,IF($P357&gt;10,(($P357-10)*1.06)+INDEX('[1]REMOVAL FEES'!$E$1:$G$22,MATCH(CONCATENATE("Large bulky, extra-large and special handling items",IF($P357&gt;=11,11,$P357)),'[1]REMOVAL FEES'!$E$1:$E$13,0),3),INDEX('[1]REMOVAL FEES'!$E$1:$G$22,MATCH(CONCATENATE("Large bulky, extra-large and special handling items",IF($P357&gt;=11,11,$P357)),'[1]REMOVAL FEES'!$E$1:$E$13,0),3))))*$AA357,FALSE)</f>
        <v>-3.95</v>
      </c>
      <c r="AJ357" s="107">
        <f t="shared" si="68"/>
        <v>-10.57</v>
      </c>
      <c r="AK357" s="107">
        <v>0</v>
      </c>
      <c r="AL357" s="107">
        <v>0</v>
      </c>
      <c r="AM357" s="107">
        <f t="shared" si="69"/>
        <v>0</v>
      </c>
      <c r="AN357" s="116">
        <f>(-IF($V357="Yes", IF($X357="Yes", VLOOKUP($W357, '[1]Storage Fees'!A:M, 13, FALSE), VLOOKUP($W357, '[1]Storage Fees'!A:M, 10, FALSE)), IF($X357="Yes", VLOOKUP($W357, '[1]Storage Fees'!A:M, 7, FALSE), VLOOKUP($W357, '[1]Storage Fees'!A:M, 4, FALSE))) * U357)*1.5</f>
        <v>-0.36324652777777777</v>
      </c>
    </row>
    <row r="358" spans="1:40" x14ac:dyDescent="0.25">
      <c r="A358" s="99">
        <v>286</v>
      </c>
      <c r="B358" s="99"/>
      <c r="C358" s="99" t="s">
        <v>13655</v>
      </c>
      <c r="D358" s="99"/>
      <c r="E358" s="99" t="s">
        <v>278</v>
      </c>
      <c r="F358" s="99" t="s">
        <v>1737</v>
      </c>
      <c r="G358" s="99" t="s">
        <v>13695</v>
      </c>
      <c r="H358" s="99">
        <v>0</v>
      </c>
      <c r="I358" s="99">
        <v>0</v>
      </c>
      <c r="J358" s="99">
        <v>0</v>
      </c>
      <c r="K358" s="101" t="str">
        <f t="shared" si="57"/>
        <v>0x0x0</v>
      </c>
      <c r="L358" s="102">
        <f t="shared" si="58"/>
        <v>0</v>
      </c>
      <c r="M358" s="113">
        <f t="shared" si="59"/>
        <v>0</v>
      </c>
      <c r="N358" s="113">
        <f t="shared" si="60"/>
        <v>0</v>
      </c>
      <c r="O358" s="99">
        <v>0</v>
      </c>
      <c r="P358" s="113">
        <f t="shared" si="61"/>
        <v>0</v>
      </c>
      <c r="Q358" s="112">
        <f t="shared" si="62"/>
        <v>0</v>
      </c>
      <c r="R358" s="112" t="str">
        <f t="shared" si="63"/>
        <v>Standard-size</v>
      </c>
      <c r="S358" s="99" t="str">
        <f t="shared" si="64"/>
        <v>Small standard-size</v>
      </c>
      <c r="T358" s="116" t="s">
        <v>13696</v>
      </c>
      <c r="U358" s="116">
        <f t="shared" si="65"/>
        <v>0</v>
      </c>
      <c r="V358" s="116" t="s">
        <v>13583</v>
      </c>
      <c r="W358" s="116" t="s">
        <v>13690</v>
      </c>
      <c r="X358" s="99" t="s">
        <v>13583</v>
      </c>
      <c r="Y358" s="99">
        <v>1</v>
      </c>
      <c r="Z358" s="99">
        <v>1</v>
      </c>
      <c r="AA358" s="99">
        <v>1</v>
      </c>
      <c r="AB358" s="99"/>
      <c r="AC358" s="99"/>
      <c r="AD358" s="107">
        <v>0</v>
      </c>
      <c r="AE358" s="113">
        <f t="shared" si="66"/>
        <v>0</v>
      </c>
      <c r="AF358" s="116">
        <f>-IFERROR(IFERROR(VLOOKUP(ROUNDUP($Q358,0),'FBA FEES'!$L$2:$Q$203,MATCH($S358,'FBA FEES'!$L$2:$Q$2,0),FALSE),VLOOKUP(ROUNDUP($Q358,0),'FBA FEES'!$C$6:$F$123,MATCH($S358,'FBA FEES'!$C$6:$F$6,0),FALSE)),0)</f>
        <v>0</v>
      </c>
      <c r="AG358" s="116">
        <v>-10</v>
      </c>
      <c r="AH358" s="113">
        <f t="shared" si="67"/>
        <v>0</v>
      </c>
      <c r="AI358" s="116">
        <f>-IFERROR(IF($Y358=1,INDEX('[1]REMOVAL FEES'!$A$1:$C$22,MATCH(CONCATENATE("Standard Size",$P358),'[1]REMOVAL FEES'!$A$1:$A$22,0),3),IF($Y358=2,IF($P358&gt;10,(($P358-10)*1.06)+INDEX('[1]REMOVAL FEES'!$E$1:$G$22,MATCH(CONCATENATE("Large bulky, extra-large and special handling items",IF($P358&gt;=11,11,$P358)),'[1]REMOVAL FEES'!$E$1:$E$13,0),3),INDEX('[1]REMOVAL FEES'!$E$1:$G$22,MATCH(CONCATENATE("Large bulky, extra-large and special handling items",IF($P358&gt;=11,11,$P358)),'[1]REMOVAL FEES'!$E$1:$E$13,0),3))))*$AA358,FALSE)</f>
        <v>0</v>
      </c>
      <c r="AJ358" s="107">
        <f t="shared" si="68"/>
        <v>0</v>
      </c>
      <c r="AK358" s="107">
        <v>0</v>
      </c>
      <c r="AL358" s="107">
        <v>0</v>
      </c>
      <c r="AM358" s="107">
        <f t="shared" si="69"/>
        <v>0</v>
      </c>
      <c r="AN358" s="116">
        <f>(-IF($V358="Yes", IF($X358="Yes", VLOOKUP($W358, '[1]Storage Fees'!A:M, 13, FALSE), VLOOKUP($W358, '[1]Storage Fees'!A:M, 10, FALSE)), IF($X358="Yes", VLOOKUP($W358, '[1]Storage Fees'!A:M, 7, FALSE), VLOOKUP($W358, '[1]Storage Fees'!A:M, 4, FALSE))) * U358)*1.5</f>
        <v>0</v>
      </c>
    </row>
    <row r="359" spans="1:40" x14ac:dyDescent="0.25">
      <c r="A359" s="99">
        <v>287</v>
      </c>
      <c r="B359" s="99" t="s">
        <v>107</v>
      </c>
      <c r="C359" s="99"/>
      <c r="D359" s="99"/>
      <c r="E359" s="99" t="s">
        <v>296</v>
      </c>
      <c r="F359" s="99" t="s">
        <v>307</v>
      </c>
      <c r="G359" s="99" t="s">
        <v>13695</v>
      </c>
      <c r="H359" s="99">
        <v>13</v>
      </c>
      <c r="I359" s="99">
        <v>11</v>
      </c>
      <c r="J359" s="99">
        <v>3</v>
      </c>
      <c r="K359" s="101" t="str">
        <f t="shared" si="57"/>
        <v>13x11x3</v>
      </c>
      <c r="L359" s="102">
        <f t="shared" si="58"/>
        <v>3.0863309352517985</v>
      </c>
      <c r="M359" s="113">
        <f t="shared" si="59"/>
        <v>3.0863309352517985</v>
      </c>
      <c r="N359" s="113">
        <f t="shared" si="60"/>
        <v>4</v>
      </c>
      <c r="O359" s="99">
        <v>5</v>
      </c>
      <c r="P359" s="113">
        <f t="shared" si="61"/>
        <v>5</v>
      </c>
      <c r="Q359" s="112">
        <f t="shared" si="62"/>
        <v>80</v>
      </c>
      <c r="R359" s="112" t="str">
        <f t="shared" si="63"/>
        <v>Standard-size</v>
      </c>
      <c r="S359" s="99" t="str">
        <f t="shared" si="64"/>
        <v>Large standard-size</v>
      </c>
      <c r="T359" s="116" t="s">
        <v>13693</v>
      </c>
      <c r="U359" s="116">
        <f t="shared" si="65"/>
        <v>0.2482638888888889</v>
      </c>
      <c r="V359" s="116" t="s">
        <v>13583</v>
      </c>
      <c r="W359" s="116" t="s">
        <v>13690</v>
      </c>
      <c r="X359" s="99" t="s">
        <v>13583</v>
      </c>
      <c r="Y359" s="99">
        <v>1</v>
      </c>
      <c r="Z359" s="99">
        <v>2</v>
      </c>
      <c r="AA359" s="99">
        <v>1</v>
      </c>
      <c r="AB359" s="99"/>
      <c r="AC359" s="99"/>
      <c r="AD359" s="107">
        <v>111.87888888888889</v>
      </c>
      <c r="AE359" s="113">
        <f t="shared" si="66"/>
        <v>-16.781833333333335</v>
      </c>
      <c r="AF359" s="116">
        <f>-IFERROR(IFERROR(VLOOKUP(ROUNDUP($Q359,0),'FBA FEES'!$L$2:$Q$203,MATCH($S359,'FBA FEES'!$L$2:$Q$2,0),FALSE),VLOOKUP(ROUNDUP($Q359,0),'FBA FEES'!$C$6:$F$123,MATCH($S359,'FBA FEES'!$C$6:$F$6,0),FALSE)),0)</f>
        <v>-7.56</v>
      </c>
      <c r="AG359" s="116">
        <v>-10</v>
      </c>
      <c r="AH359" s="113">
        <f t="shared" si="67"/>
        <v>-24.341833333333334</v>
      </c>
      <c r="AI359" s="116">
        <f>-IFERROR(IF($Y359=1,INDEX('[1]REMOVAL FEES'!$A$1:$C$22,MATCH(CONCATENATE("Standard Size",$P359),'[1]REMOVAL FEES'!$A$1:$A$22,0),3),IF($Y359=2,IF($P359&gt;10,(($P359-10)*1.06)+INDEX('[1]REMOVAL FEES'!$E$1:$G$22,MATCH(CONCATENATE("Large bulky, extra-large and special handling items",IF($P359&gt;=11,11,$P359)),'[1]REMOVAL FEES'!$E$1:$E$13,0),3),INDEX('[1]REMOVAL FEES'!$E$1:$G$22,MATCH(CONCATENATE("Large bulky, extra-large and special handling items",IF($P359&gt;=11,11,$P359)),'[1]REMOVAL FEES'!$E$1:$E$13,0),3))))*$AA359,FALSE)</f>
        <v>-6.07</v>
      </c>
      <c r="AJ359" s="107">
        <f t="shared" si="68"/>
        <v>-30.411833333333334</v>
      </c>
      <c r="AK359" s="107">
        <v>-47.491111111111117</v>
      </c>
      <c r="AL359" s="107">
        <v>-1.809444444444444</v>
      </c>
      <c r="AM359" s="107">
        <f t="shared" si="69"/>
        <v>-49.300555555555562</v>
      </c>
      <c r="AN359" s="116">
        <f>(-IF($V359="Yes", IF($X359="Yes", VLOOKUP($W359, '[1]Storage Fees'!A:M, 13, FALSE), VLOOKUP($W359, '[1]Storage Fees'!A:M, 10, FALSE)), IF($X359="Yes", VLOOKUP($W359, '[1]Storage Fees'!A:M, 7, FALSE), VLOOKUP($W359, '[1]Storage Fees'!A:M, 4, FALSE))) * U359)*1.5</f>
        <v>-0.45432291666666669</v>
      </c>
    </row>
    <row r="360" spans="1:40" x14ac:dyDescent="0.25">
      <c r="A360" s="99">
        <v>288</v>
      </c>
      <c r="B360" s="99" t="s">
        <v>107</v>
      </c>
      <c r="C360" s="99"/>
      <c r="D360" s="99"/>
      <c r="E360" s="99" t="s">
        <v>296</v>
      </c>
      <c r="F360" s="99" t="s">
        <v>309</v>
      </c>
      <c r="G360" s="99" t="s">
        <v>13695</v>
      </c>
      <c r="H360" s="99">
        <v>14</v>
      </c>
      <c r="I360" s="99">
        <v>12</v>
      </c>
      <c r="J360" s="99">
        <v>4</v>
      </c>
      <c r="K360" s="101" t="str">
        <f t="shared" si="57"/>
        <v>14x12x4</v>
      </c>
      <c r="L360" s="102">
        <f t="shared" si="58"/>
        <v>4.8345323741007196</v>
      </c>
      <c r="M360" s="113">
        <f t="shared" si="59"/>
        <v>4.8345323741007196</v>
      </c>
      <c r="N360" s="113">
        <f t="shared" si="60"/>
        <v>5</v>
      </c>
      <c r="O360" s="99">
        <v>8</v>
      </c>
      <c r="P360" s="113">
        <f t="shared" si="61"/>
        <v>8</v>
      </c>
      <c r="Q360" s="112">
        <f t="shared" si="62"/>
        <v>128</v>
      </c>
      <c r="R360" s="112" t="str">
        <f t="shared" si="63"/>
        <v>Standard-size</v>
      </c>
      <c r="S360" s="99" t="str">
        <f t="shared" si="64"/>
        <v>Large standard-size</v>
      </c>
      <c r="T360" s="116" t="s">
        <v>13693</v>
      </c>
      <c r="U360" s="116">
        <f t="shared" si="65"/>
        <v>0.3888888888888889</v>
      </c>
      <c r="V360" s="116" t="s">
        <v>13583</v>
      </c>
      <c r="W360" s="116" t="s">
        <v>13690</v>
      </c>
      <c r="X360" s="99" t="s">
        <v>13583</v>
      </c>
      <c r="Y360" s="99">
        <v>1</v>
      </c>
      <c r="Z360" s="99">
        <v>2</v>
      </c>
      <c r="AA360" s="99">
        <v>1</v>
      </c>
      <c r="AB360" s="99"/>
      <c r="AC360" s="99"/>
      <c r="AD360" s="107">
        <v>157.7692857142857</v>
      </c>
      <c r="AE360" s="113">
        <f t="shared" si="66"/>
        <v>-23.665392857142855</v>
      </c>
      <c r="AF360" s="116">
        <f>-IFERROR(IFERROR(VLOOKUP(ROUNDUP($Q360,0),'FBA FEES'!$L$2:$Q$203,MATCH($S360,'FBA FEES'!$L$2:$Q$2,0),FALSE),VLOOKUP(ROUNDUP($Q360,0),'FBA FEES'!$C$6:$F$123,MATCH($S360,'FBA FEES'!$C$6:$F$6,0),FALSE)),0)</f>
        <v>-8.52</v>
      </c>
      <c r="AG360" s="116">
        <v>-10</v>
      </c>
      <c r="AH360" s="113">
        <f t="shared" si="67"/>
        <v>-32.185392857142858</v>
      </c>
      <c r="AI360" s="116">
        <f>-IFERROR(IF($Y360=1,INDEX('[1]REMOVAL FEES'!$A$1:$C$22,MATCH(CONCATENATE("Standard Size",$P360),'[1]REMOVAL FEES'!$A$1:$A$22,0),3),IF($Y360=2,IF($P360&gt;10,(($P360-10)*1.06)+INDEX('[1]REMOVAL FEES'!$E$1:$G$22,MATCH(CONCATENATE("Large bulky, extra-large and special handling items",IF($P360&gt;=11,11,$P360)),'[1]REMOVAL FEES'!$E$1:$E$13,0),3),INDEX('[1]REMOVAL FEES'!$E$1:$G$22,MATCH(CONCATENATE("Large bulky, extra-large and special handling items",IF($P360&gt;=11,11,$P360)),'[1]REMOVAL FEES'!$E$1:$E$13,0),3))))*$AA360,FALSE)</f>
        <v>-9.25</v>
      </c>
      <c r="AJ360" s="107">
        <f t="shared" si="68"/>
        <v>-41.435392857142858</v>
      </c>
      <c r="AK360" s="107">
        <v>-79.911071428571432</v>
      </c>
      <c r="AL360" s="107">
        <v>-2.3649623015873011</v>
      </c>
      <c r="AM360" s="107">
        <f t="shared" si="69"/>
        <v>-82.27603373015873</v>
      </c>
      <c r="AN360" s="116">
        <f>(-IF($V360="Yes", IF($X360="Yes", VLOOKUP($W360, '[1]Storage Fees'!A:M, 13, FALSE), VLOOKUP($W360, '[1]Storage Fees'!A:M, 10, FALSE)), IF($X360="Yes", VLOOKUP($W360, '[1]Storage Fees'!A:M, 7, FALSE), VLOOKUP($W360, '[1]Storage Fees'!A:M, 4, FALSE))) * U360)*1.5</f>
        <v>-0.71166666666666667</v>
      </c>
    </row>
    <row r="361" spans="1:40" x14ac:dyDescent="0.25">
      <c r="A361" s="99">
        <v>289</v>
      </c>
      <c r="B361" s="99" t="s">
        <v>107</v>
      </c>
      <c r="C361" s="99"/>
      <c r="D361" s="99"/>
      <c r="E361" s="99" t="s">
        <v>296</v>
      </c>
      <c r="F361" s="99" t="s">
        <v>311</v>
      </c>
      <c r="G361" s="99" t="s">
        <v>13695</v>
      </c>
      <c r="H361" s="99">
        <v>12</v>
      </c>
      <c r="I361" s="99">
        <v>12</v>
      </c>
      <c r="J361" s="99">
        <v>10</v>
      </c>
      <c r="K361" s="101" t="str">
        <f t="shared" si="57"/>
        <v>12x12x10</v>
      </c>
      <c r="L361" s="102">
        <f t="shared" si="58"/>
        <v>10.359712230215827</v>
      </c>
      <c r="M361" s="113">
        <f t="shared" si="59"/>
        <v>10.359712230215827</v>
      </c>
      <c r="N361" s="113">
        <f t="shared" si="60"/>
        <v>11</v>
      </c>
      <c r="O361" s="99">
        <v>12</v>
      </c>
      <c r="P361" s="113">
        <f t="shared" si="61"/>
        <v>12</v>
      </c>
      <c r="Q361" s="112">
        <f t="shared" si="62"/>
        <v>192</v>
      </c>
      <c r="R361" s="112" t="str">
        <f t="shared" si="63"/>
        <v>Oversize</v>
      </c>
      <c r="S361" s="99" t="str">
        <f t="shared" si="64"/>
        <v>Large bulky</v>
      </c>
      <c r="T361" s="116" t="s">
        <v>13692</v>
      </c>
      <c r="U361" s="116">
        <f t="shared" si="65"/>
        <v>0.83333333333333337</v>
      </c>
      <c r="V361" s="116" t="s">
        <v>13583</v>
      </c>
      <c r="W361" s="116" t="s">
        <v>13690</v>
      </c>
      <c r="X361" s="116" t="s">
        <v>13691</v>
      </c>
      <c r="Y361" s="116">
        <v>2</v>
      </c>
      <c r="Z361" s="116">
        <v>3</v>
      </c>
      <c r="AA361" s="116">
        <v>1</v>
      </c>
      <c r="AB361" s="99"/>
      <c r="AC361" s="99"/>
      <c r="AD361" s="107">
        <v>236.596857142857</v>
      </c>
      <c r="AE361" s="113">
        <f t="shared" si="66"/>
        <v>-35.489528571428551</v>
      </c>
      <c r="AF361" s="116">
        <f>-IFERROR(IFERROR(VLOOKUP(ROUNDUP($Q361,0),'FBA FEES'!$L$2:$Q$203,MATCH($S361,'FBA FEES'!$L$2:$Q$2,0),FALSE),VLOOKUP(ROUNDUP($Q361,0),'FBA FEES'!$C$6:$F$123,MATCH($S361,'FBA FEES'!$C$6:$F$6,0),FALSE)),0)</f>
        <v>-13.79</v>
      </c>
      <c r="AG361" s="116">
        <v>-10</v>
      </c>
      <c r="AH361" s="113">
        <f t="shared" si="67"/>
        <v>-49.27952857142855</v>
      </c>
      <c r="AI361" s="116">
        <f>-IFERROR(IF($Y361=1,INDEX('[1]REMOVAL FEES'!$A$1:$C$22,MATCH(CONCATENATE("Standard Size",$P361),'[1]REMOVAL FEES'!$A$1:$A$22,0),3),IF($Y361=2,IF($P361&gt;10,(($P361-10)*1.06)+INDEX('[1]REMOVAL FEES'!$E$1:$G$22,MATCH(CONCATENATE("Large bulky, extra-large and special handling items",IF($P361&gt;=11,11,$P361)),'[1]REMOVAL FEES'!$E$1:$E$13,0),3),INDEX('[1]REMOVAL FEES'!$E$1:$G$22,MATCH(CONCATENATE("Large bulky, extra-large and special handling items",IF($P361&gt;=11,11,$P361)),'[1]REMOVAL FEES'!$E$1:$E$13,0),3))))*$AA361,FALSE)</f>
        <v>-16.440000000000001</v>
      </c>
      <c r="AJ361" s="107">
        <f t="shared" si="68"/>
        <v>-65.719528571428555</v>
      </c>
      <c r="AK361" s="107">
        <v>-129.24914285714291</v>
      </c>
      <c r="AL361" s="107">
        <v>-8.4941587301587305</v>
      </c>
      <c r="AM361" s="107">
        <f t="shared" si="69"/>
        <v>-137.74330158730163</v>
      </c>
      <c r="AN361" s="116">
        <f>(-IF($V361="Yes", IF($X361="Yes", VLOOKUP($W361, '[1]Storage Fees'!A:M, 13, FALSE), VLOOKUP($W361, '[1]Storage Fees'!A:M, 10, FALSE)), IF($X361="Yes", VLOOKUP($W361, '[1]Storage Fees'!A:M, 7, FALSE), VLOOKUP($W361, '[1]Storage Fees'!A:M, 4, FALSE))) * U361)*1.5</f>
        <v>-0.98750000000000016</v>
      </c>
    </row>
    <row r="362" spans="1:40" x14ac:dyDescent="0.25">
      <c r="A362" s="99">
        <v>290</v>
      </c>
      <c r="B362" s="99" t="s">
        <v>107</v>
      </c>
      <c r="C362" s="99"/>
      <c r="D362" s="99"/>
      <c r="E362" s="99" t="s">
        <v>296</v>
      </c>
      <c r="F362" s="99" t="s">
        <v>313</v>
      </c>
      <c r="G362" s="99" t="s">
        <v>13656</v>
      </c>
      <c r="H362" s="99">
        <v>14</v>
      </c>
      <c r="I362" s="99">
        <v>12</v>
      </c>
      <c r="J362" s="99">
        <v>4</v>
      </c>
      <c r="K362" s="101" t="str">
        <f t="shared" si="57"/>
        <v>14x12x4</v>
      </c>
      <c r="L362" s="102">
        <f t="shared" si="58"/>
        <v>4.8345323741007196</v>
      </c>
      <c r="M362" s="113">
        <f t="shared" si="59"/>
        <v>4.8345323741007196</v>
      </c>
      <c r="N362" s="113">
        <f t="shared" si="60"/>
        <v>5</v>
      </c>
      <c r="O362" s="99">
        <v>7</v>
      </c>
      <c r="P362" s="113">
        <f t="shared" si="61"/>
        <v>7</v>
      </c>
      <c r="Q362" s="112">
        <f t="shared" si="62"/>
        <v>112</v>
      </c>
      <c r="R362" s="112" t="str">
        <f t="shared" si="63"/>
        <v>Standard-size</v>
      </c>
      <c r="S362" s="99" t="str">
        <f t="shared" si="64"/>
        <v>Large standard-size</v>
      </c>
      <c r="T362" s="116" t="s">
        <v>13693</v>
      </c>
      <c r="U362" s="116">
        <f t="shared" si="65"/>
        <v>0.3888888888888889</v>
      </c>
      <c r="V362" s="116" t="s">
        <v>13583</v>
      </c>
      <c r="W362" s="116" t="s">
        <v>13690</v>
      </c>
      <c r="X362" s="99" t="s">
        <v>13583</v>
      </c>
      <c r="Y362" s="99">
        <v>1</v>
      </c>
      <c r="Z362" s="99">
        <v>2</v>
      </c>
      <c r="AA362" s="99">
        <v>1</v>
      </c>
      <c r="AB362" s="99"/>
      <c r="AC362" s="99"/>
      <c r="AD362" s="107">
        <v>69.141702127659514</v>
      </c>
      <c r="AE362" s="113">
        <f t="shared" si="66"/>
        <v>-10.371255319148927</v>
      </c>
      <c r="AF362" s="116">
        <f>-IFERROR(IFERROR(VLOOKUP(ROUNDUP($Q362,0),'FBA FEES'!$L$2:$Q$203,MATCH($S362,'FBA FEES'!$L$2:$Q$2,0),FALSE),VLOOKUP(ROUNDUP($Q362,0),'FBA FEES'!$C$6:$F$123,MATCH($S362,'FBA FEES'!$C$6:$F$6,0),FALSE)),0)</f>
        <v>-8.1999999999999993</v>
      </c>
      <c r="AG362" s="116">
        <v>-10</v>
      </c>
      <c r="AH362" s="113">
        <f t="shared" si="67"/>
        <v>-18.571255319148925</v>
      </c>
      <c r="AI362" s="116">
        <f>-IFERROR(IF($Y362=1,INDEX('[1]REMOVAL FEES'!$A$1:$C$22,MATCH(CONCATENATE("Standard Size",$P362),'[1]REMOVAL FEES'!$A$1:$A$22,0),3),IF($Y362=2,IF($P362&gt;10,(($P362-10)*1.06)+INDEX('[1]REMOVAL FEES'!$E$1:$G$22,MATCH(CONCATENATE("Large bulky, extra-large and special handling items",IF($P362&gt;=11,11,$P362)),'[1]REMOVAL FEES'!$E$1:$E$13,0),3),INDEX('[1]REMOVAL FEES'!$E$1:$G$22,MATCH(CONCATENATE("Large bulky, extra-large and special handling items",IF($P362&gt;=11,11,$P362)),'[1]REMOVAL FEES'!$E$1:$E$13,0),3))))*$AA362,FALSE)</f>
        <v>-8.1900000000000013</v>
      </c>
      <c r="AJ362" s="107">
        <f t="shared" si="68"/>
        <v>-26.761255319148926</v>
      </c>
      <c r="AK362" s="107">
        <v>-26.769999999999971</v>
      </c>
      <c r="AL362" s="107">
        <v>-2.247659574468083</v>
      </c>
      <c r="AM362" s="107">
        <f t="shared" si="69"/>
        <v>-29.017659574468055</v>
      </c>
      <c r="AN362" s="116">
        <f>(-IF($V362="Yes", IF($X362="Yes", VLOOKUP($W362, '[1]Storage Fees'!A:M, 13, FALSE), VLOOKUP($W362, '[1]Storage Fees'!A:M, 10, FALSE)), IF($X362="Yes", VLOOKUP($W362, '[1]Storage Fees'!A:M, 7, FALSE), VLOOKUP($W362, '[1]Storage Fees'!A:M, 4, FALSE))) * U362)*1.5</f>
        <v>-0.71166666666666667</v>
      </c>
    </row>
    <row r="363" spans="1:40" x14ac:dyDescent="0.25">
      <c r="A363" s="99">
        <v>291</v>
      </c>
      <c r="B363" s="99" t="s">
        <v>107</v>
      </c>
      <c r="C363" s="99"/>
      <c r="D363" s="99"/>
      <c r="E363" s="99" t="s">
        <v>296</v>
      </c>
      <c r="F363" s="99" t="s">
        <v>315</v>
      </c>
      <c r="G363" s="99" t="s">
        <v>13695</v>
      </c>
      <c r="H363" s="99">
        <v>14</v>
      </c>
      <c r="I363" s="99">
        <v>12</v>
      </c>
      <c r="J363" s="99">
        <v>4</v>
      </c>
      <c r="K363" s="101" t="str">
        <f t="shared" si="57"/>
        <v>14x12x4</v>
      </c>
      <c r="L363" s="102">
        <f t="shared" si="58"/>
        <v>4.8345323741007196</v>
      </c>
      <c r="M363" s="113">
        <f t="shared" si="59"/>
        <v>4.8345323741007196</v>
      </c>
      <c r="N363" s="113">
        <f t="shared" si="60"/>
        <v>5</v>
      </c>
      <c r="O363" s="99">
        <v>9</v>
      </c>
      <c r="P363" s="113">
        <f t="shared" si="61"/>
        <v>9</v>
      </c>
      <c r="Q363" s="112">
        <f t="shared" si="62"/>
        <v>144</v>
      </c>
      <c r="R363" s="112" t="str">
        <f t="shared" si="63"/>
        <v>Standard-size</v>
      </c>
      <c r="S363" s="99" t="str">
        <f t="shared" si="64"/>
        <v>Large standard-size</v>
      </c>
      <c r="T363" s="116" t="s">
        <v>13693</v>
      </c>
      <c r="U363" s="116">
        <f t="shared" si="65"/>
        <v>0.3888888888888889</v>
      </c>
      <c r="V363" s="116" t="s">
        <v>13583</v>
      </c>
      <c r="W363" s="116" t="s">
        <v>13690</v>
      </c>
      <c r="X363" s="99" t="s">
        <v>13583</v>
      </c>
      <c r="Y363" s="99">
        <v>1</v>
      </c>
      <c r="Z363" s="99">
        <v>2</v>
      </c>
      <c r="AA363" s="99">
        <v>1</v>
      </c>
      <c r="AB363" s="99"/>
      <c r="AC363" s="99"/>
      <c r="AD363" s="107">
        <v>76.809423076922968</v>
      </c>
      <c r="AE363" s="113">
        <f t="shared" si="66"/>
        <v>-11.521413461538446</v>
      </c>
      <c r="AF363" s="116">
        <f>-IFERROR(IFERROR(VLOOKUP(ROUNDUP($Q363,0),'FBA FEES'!$L$2:$Q$203,MATCH($S363,'FBA FEES'!$L$2:$Q$2,0),FALSE),VLOOKUP(ROUNDUP($Q363,0),'FBA FEES'!$C$6:$F$123,MATCH($S363,'FBA FEES'!$C$6:$F$6,0),FALSE)),0)</f>
        <v>-8.84</v>
      </c>
      <c r="AG363" s="116">
        <v>-10</v>
      </c>
      <c r="AH363" s="113">
        <f t="shared" si="67"/>
        <v>-20.361413461538447</v>
      </c>
      <c r="AI363" s="116">
        <f>-IFERROR(IF($Y363=1,INDEX('[1]REMOVAL FEES'!$A$1:$C$22,MATCH(CONCATENATE("Standard Size",$P363),'[1]REMOVAL FEES'!$A$1:$A$22,0),3),IF($Y363=2,IF($P363&gt;10,(($P363-10)*1.06)+INDEX('[1]REMOVAL FEES'!$E$1:$G$22,MATCH(CONCATENATE("Large bulky, extra-large and special handling items",IF($P363&gt;=11,11,$P363)),'[1]REMOVAL FEES'!$E$1:$E$13,0),3),INDEX('[1]REMOVAL FEES'!$E$1:$G$22,MATCH(CONCATENATE("Large bulky, extra-large and special handling items",IF($P363&gt;=11,11,$P363)),'[1]REMOVAL FEES'!$E$1:$E$13,0),3))))*$AA363,FALSE)</f>
        <v>-10.31</v>
      </c>
      <c r="AJ363" s="107">
        <f t="shared" si="68"/>
        <v>-30.671413461538449</v>
      </c>
      <c r="AK363" s="107">
        <v>-30.48038461538458</v>
      </c>
      <c r="AL363" s="107">
        <v>-2.555043269230767</v>
      </c>
      <c r="AM363" s="107">
        <f t="shared" si="69"/>
        <v>-33.035427884615345</v>
      </c>
      <c r="AN363" s="116">
        <f>(-IF($V363="Yes", IF($X363="Yes", VLOOKUP($W363, '[1]Storage Fees'!A:M, 13, FALSE), VLOOKUP($W363, '[1]Storage Fees'!A:M, 10, FALSE)), IF($X363="Yes", VLOOKUP($W363, '[1]Storage Fees'!A:M, 7, FALSE), VLOOKUP($W363, '[1]Storage Fees'!A:M, 4, FALSE))) * U363)*1.5</f>
        <v>-0.71166666666666667</v>
      </c>
    </row>
    <row r="364" spans="1:40" x14ac:dyDescent="0.25">
      <c r="A364" s="99">
        <v>292</v>
      </c>
      <c r="B364" s="99" t="s">
        <v>107</v>
      </c>
      <c r="C364" s="99"/>
      <c r="D364" s="99"/>
      <c r="E364" s="99" t="s">
        <v>296</v>
      </c>
      <c r="F364" s="99" t="s">
        <v>317</v>
      </c>
      <c r="G364" s="99" t="s">
        <v>13695</v>
      </c>
      <c r="H364" s="99">
        <v>13</v>
      </c>
      <c r="I364" s="99">
        <v>12</v>
      </c>
      <c r="J364" s="99">
        <v>4</v>
      </c>
      <c r="K364" s="101" t="str">
        <f t="shared" si="57"/>
        <v>13x12x4</v>
      </c>
      <c r="L364" s="102">
        <f t="shared" si="58"/>
        <v>4.4892086330935248</v>
      </c>
      <c r="M364" s="113">
        <f t="shared" si="59"/>
        <v>4.4892086330935248</v>
      </c>
      <c r="N364" s="113">
        <f t="shared" si="60"/>
        <v>5</v>
      </c>
      <c r="O364" s="99">
        <v>9</v>
      </c>
      <c r="P364" s="113">
        <f t="shared" si="61"/>
        <v>9</v>
      </c>
      <c r="Q364" s="112">
        <f t="shared" si="62"/>
        <v>144</v>
      </c>
      <c r="R364" s="112" t="str">
        <f t="shared" si="63"/>
        <v>Standard-size</v>
      </c>
      <c r="S364" s="99" t="str">
        <f t="shared" si="64"/>
        <v>Large standard-size</v>
      </c>
      <c r="T364" s="116" t="s">
        <v>13693</v>
      </c>
      <c r="U364" s="116">
        <f t="shared" si="65"/>
        <v>0.3611111111111111</v>
      </c>
      <c r="V364" s="116" t="s">
        <v>13583</v>
      </c>
      <c r="W364" s="116" t="s">
        <v>13690</v>
      </c>
      <c r="X364" s="99" t="s">
        <v>13583</v>
      </c>
      <c r="Y364" s="99">
        <v>1</v>
      </c>
      <c r="Z364" s="99">
        <v>2</v>
      </c>
      <c r="AA364" s="99">
        <v>1</v>
      </c>
      <c r="AB364" s="99"/>
      <c r="AC364" s="99"/>
      <c r="AD364" s="107">
        <v>79.114444444444331</v>
      </c>
      <c r="AE364" s="113">
        <f t="shared" si="66"/>
        <v>-11.86716666666665</v>
      </c>
      <c r="AF364" s="116">
        <f>-IFERROR(IFERROR(VLOOKUP(ROUNDUP($Q364,0),'FBA FEES'!$L$2:$Q$203,MATCH($S364,'FBA FEES'!$L$2:$Q$2,0),FALSE),VLOOKUP(ROUNDUP($Q364,0),'FBA FEES'!$C$6:$F$123,MATCH($S364,'FBA FEES'!$C$6:$F$6,0),FALSE)),0)</f>
        <v>-8.84</v>
      </c>
      <c r="AG364" s="116">
        <v>-10</v>
      </c>
      <c r="AH364" s="113">
        <f t="shared" si="67"/>
        <v>-20.707166666666652</v>
      </c>
      <c r="AI364" s="116">
        <f>-IFERROR(IF($Y364=1,INDEX('[1]REMOVAL FEES'!$A$1:$C$22,MATCH(CONCATENATE("Standard Size",$P364),'[1]REMOVAL FEES'!$A$1:$A$22,0),3),IF($Y364=2,IF($P364&gt;10,(($P364-10)*1.06)+INDEX('[1]REMOVAL FEES'!$E$1:$G$22,MATCH(CONCATENATE("Large bulky, extra-large and special handling items",IF($P364&gt;=11,11,$P364)),'[1]REMOVAL FEES'!$E$1:$E$13,0),3),INDEX('[1]REMOVAL FEES'!$E$1:$G$22,MATCH(CONCATENATE("Large bulky, extra-large and special handling items",IF($P364&gt;=11,11,$P364)),'[1]REMOVAL FEES'!$E$1:$E$13,0),3))))*$AA364,FALSE)</f>
        <v>-10.31</v>
      </c>
      <c r="AJ364" s="107">
        <f t="shared" si="68"/>
        <v>-31.017166666666654</v>
      </c>
      <c r="AK364" s="107">
        <v>-34.479259259259273</v>
      </c>
      <c r="AL364" s="107">
        <v>-2.961635802469138</v>
      </c>
      <c r="AM364" s="107">
        <f t="shared" si="69"/>
        <v>-37.440895061728412</v>
      </c>
      <c r="AN364" s="116">
        <f>(-IF($V364="Yes", IF($X364="Yes", VLOOKUP($W364, '[1]Storage Fees'!A:M, 13, FALSE), VLOOKUP($W364, '[1]Storage Fees'!A:M, 10, FALSE)), IF($X364="Yes", VLOOKUP($W364, '[1]Storage Fees'!A:M, 7, FALSE), VLOOKUP($W364, '[1]Storage Fees'!A:M, 4, FALSE))) * U364)*1.5</f>
        <v>-0.66083333333333327</v>
      </c>
    </row>
    <row r="365" spans="1:40" x14ac:dyDescent="0.25">
      <c r="A365" s="99">
        <v>293</v>
      </c>
      <c r="B365" s="99" t="s">
        <v>107</v>
      </c>
      <c r="C365" s="99"/>
      <c r="D365" s="99"/>
      <c r="E365" s="99" t="s">
        <v>296</v>
      </c>
      <c r="F365" s="99" t="s">
        <v>319</v>
      </c>
      <c r="G365" s="99" t="s">
        <v>13695</v>
      </c>
      <c r="H365" s="99">
        <v>14</v>
      </c>
      <c r="I365" s="99">
        <v>12</v>
      </c>
      <c r="J365" s="99">
        <v>4</v>
      </c>
      <c r="K365" s="101" t="str">
        <f t="shared" si="57"/>
        <v>14x12x4</v>
      </c>
      <c r="L365" s="102">
        <f t="shared" si="58"/>
        <v>4.8345323741007196</v>
      </c>
      <c r="M365" s="113">
        <f t="shared" si="59"/>
        <v>4.8345323741007196</v>
      </c>
      <c r="N365" s="113">
        <f t="shared" si="60"/>
        <v>5</v>
      </c>
      <c r="O365" s="99">
        <v>10</v>
      </c>
      <c r="P365" s="113">
        <f t="shared" si="61"/>
        <v>10</v>
      </c>
      <c r="Q365" s="112">
        <f t="shared" si="62"/>
        <v>160</v>
      </c>
      <c r="R365" s="112" t="str">
        <f t="shared" si="63"/>
        <v>Standard-size</v>
      </c>
      <c r="S365" s="99" t="str">
        <f t="shared" si="64"/>
        <v>Large standard-size</v>
      </c>
      <c r="T365" s="116" t="s">
        <v>13693</v>
      </c>
      <c r="U365" s="116">
        <f t="shared" si="65"/>
        <v>0.3888888888888889</v>
      </c>
      <c r="V365" s="116" t="s">
        <v>13583</v>
      </c>
      <c r="W365" s="116" t="s">
        <v>13690</v>
      </c>
      <c r="X365" s="99" t="s">
        <v>13583</v>
      </c>
      <c r="Y365" s="99">
        <v>1</v>
      </c>
      <c r="Z365" s="99">
        <v>2</v>
      </c>
      <c r="AA365" s="99">
        <v>1</v>
      </c>
      <c r="AB365" s="99"/>
      <c r="AC365" s="99"/>
      <c r="AD365" s="107">
        <v>86.572499999999891</v>
      </c>
      <c r="AE365" s="113">
        <f t="shared" si="66"/>
        <v>-12.985874999999984</v>
      </c>
      <c r="AF365" s="116">
        <f>-IFERROR(IFERROR(VLOOKUP(ROUNDUP($Q365,0),'FBA FEES'!$L$2:$Q$203,MATCH($S365,'FBA FEES'!$L$2:$Q$2,0),FALSE),VLOOKUP(ROUNDUP($Q365,0),'FBA FEES'!$C$6:$F$123,MATCH($S365,'FBA FEES'!$C$6:$F$6,0),FALSE)),0)</f>
        <v>-9.16</v>
      </c>
      <c r="AG365" s="116">
        <v>-10</v>
      </c>
      <c r="AH365" s="113">
        <f t="shared" si="67"/>
        <v>-22.145874999999982</v>
      </c>
      <c r="AI365" s="116">
        <f>-IFERROR(IF($Y365=1,INDEX('[1]REMOVAL FEES'!$A$1:$C$22,MATCH(CONCATENATE("Standard Size",$P365),'[1]REMOVAL FEES'!$A$1:$A$22,0),3),IF($Y365=2,IF($P365&gt;10,(($P365-10)*1.06)+INDEX('[1]REMOVAL FEES'!$E$1:$G$22,MATCH(CONCATENATE("Large bulky, extra-large and special handling items",IF($P365&gt;=11,11,$P365)),'[1]REMOVAL FEES'!$E$1:$E$13,0),3),INDEX('[1]REMOVAL FEES'!$E$1:$G$22,MATCH(CONCATENATE("Large bulky, extra-large and special handling items",IF($P365&gt;=11,11,$P365)),'[1]REMOVAL FEES'!$E$1:$E$13,0),3))))*$AA365,FALSE)</f>
        <v>-11.370000000000001</v>
      </c>
      <c r="AJ365" s="107">
        <f t="shared" si="68"/>
        <v>-33.51587499999998</v>
      </c>
      <c r="AK365" s="107">
        <v>-37.38454545454546</v>
      </c>
      <c r="AL365" s="107">
        <v>-2.656883838383838</v>
      </c>
      <c r="AM365" s="107">
        <f t="shared" si="69"/>
        <v>-40.041429292929301</v>
      </c>
      <c r="AN365" s="116">
        <f>(-IF($V365="Yes", IF($X365="Yes", VLOOKUP($W365, '[1]Storage Fees'!A:M, 13, FALSE), VLOOKUP($W365, '[1]Storage Fees'!A:M, 10, FALSE)), IF($X365="Yes", VLOOKUP($W365, '[1]Storage Fees'!A:M, 7, FALSE), VLOOKUP($W365, '[1]Storage Fees'!A:M, 4, FALSE))) * U365)*1.5</f>
        <v>-0.71166666666666667</v>
      </c>
    </row>
    <row r="366" spans="1:40" x14ac:dyDescent="0.25">
      <c r="A366" s="99">
        <v>294</v>
      </c>
      <c r="B366" s="99" t="s">
        <v>13702</v>
      </c>
      <c r="C366" s="99" t="s">
        <v>13655</v>
      </c>
      <c r="D366" s="99" t="s">
        <v>865</v>
      </c>
      <c r="E366" s="99" t="s">
        <v>148</v>
      </c>
      <c r="F366" s="99" t="s">
        <v>899</v>
      </c>
      <c r="G366" s="99" t="s">
        <v>13695</v>
      </c>
      <c r="H366" s="99">
        <v>6</v>
      </c>
      <c r="I366" s="99">
        <v>6</v>
      </c>
      <c r="J366" s="99">
        <v>6</v>
      </c>
      <c r="K366" s="101" t="str">
        <f t="shared" si="57"/>
        <v>6x6x6</v>
      </c>
      <c r="L366" s="102">
        <f t="shared" si="58"/>
        <v>1.5539568345323742</v>
      </c>
      <c r="M366" s="113">
        <f t="shared" si="59"/>
        <v>1.5539568345323742</v>
      </c>
      <c r="N366" s="113">
        <f t="shared" si="60"/>
        <v>2</v>
      </c>
      <c r="O366" s="99">
        <v>3.5</v>
      </c>
      <c r="P366" s="113">
        <f t="shared" si="61"/>
        <v>4</v>
      </c>
      <c r="Q366" s="112">
        <f t="shared" si="62"/>
        <v>64</v>
      </c>
      <c r="R366" s="112" t="str">
        <f t="shared" si="63"/>
        <v>Standard-size</v>
      </c>
      <c r="S366" s="99" t="str">
        <f t="shared" si="64"/>
        <v>Large standard-size</v>
      </c>
      <c r="T366" s="116" t="s">
        <v>13693</v>
      </c>
      <c r="U366" s="116">
        <f t="shared" si="65"/>
        <v>0.125</v>
      </c>
      <c r="V366" s="116" t="s">
        <v>13583</v>
      </c>
      <c r="W366" s="116" t="s">
        <v>13690</v>
      </c>
      <c r="X366" s="99" t="s">
        <v>13583</v>
      </c>
      <c r="Y366" s="99">
        <v>1</v>
      </c>
      <c r="Z366" s="99">
        <v>2</v>
      </c>
      <c r="AA366" s="99">
        <v>1</v>
      </c>
      <c r="AB366" s="99"/>
      <c r="AC366" s="99"/>
      <c r="AD366" s="107">
        <v>0</v>
      </c>
      <c r="AE366" s="113">
        <f t="shared" si="66"/>
        <v>0</v>
      </c>
      <c r="AF366" s="116">
        <f>-IFERROR(IFERROR(VLOOKUP(ROUNDUP($Q366,0),'FBA FEES'!$L$2:$Q$203,MATCH($S366,'FBA FEES'!$L$2:$Q$2,0),FALSE),VLOOKUP(ROUNDUP($Q366,0),'FBA FEES'!$C$6:$F$123,MATCH($S366,'FBA FEES'!$C$6:$F$6,0),FALSE)),0)</f>
        <v>-7.24</v>
      </c>
      <c r="AG366" s="116">
        <v>-10</v>
      </c>
      <c r="AH366" s="113">
        <f t="shared" si="67"/>
        <v>-7.24</v>
      </c>
      <c r="AI366" s="116">
        <f>-IFERROR(IF($Y366=1,INDEX('[1]REMOVAL FEES'!$A$1:$C$22,MATCH(CONCATENATE("Standard Size",$P366),'[1]REMOVAL FEES'!$A$1:$A$22,0),3),IF($Y366=2,IF($P366&gt;10,(($P366-10)*1.06)+INDEX('[1]REMOVAL FEES'!$E$1:$G$22,MATCH(CONCATENATE("Large bulky, extra-large and special handling items",IF($P366&gt;=11,11,$P366)),'[1]REMOVAL FEES'!$E$1:$E$13,0),3),INDEX('[1]REMOVAL FEES'!$E$1:$G$22,MATCH(CONCATENATE("Large bulky, extra-large and special handling items",IF($P366&gt;=11,11,$P366)),'[1]REMOVAL FEES'!$E$1:$E$13,0),3))))*$AA366,FALSE)</f>
        <v>-5.01</v>
      </c>
      <c r="AJ366" s="107">
        <f t="shared" si="68"/>
        <v>-12.25</v>
      </c>
      <c r="AK366" s="107">
        <v>0</v>
      </c>
      <c r="AL366" s="107">
        <v>0</v>
      </c>
      <c r="AM366" s="107">
        <f t="shared" si="69"/>
        <v>0</v>
      </c>
      <c r="AN366" s="116">
        <f>(-IF($V366="Yes", IF($X366="Yes", VLOOKUP($W366, '[1]Storage Fees'!A:M, 13, FALSE), VLOOKUP($W366, '[1]Storage Fees'!A:M, 10, FALSE)), IF($X366="Yes", VLOOKUP($W366, '[1]Storage Fees'!A:M, 7, FALSE), VLOOKUP($W366, '[1]Storage Fees'!A:M, 4, FALSE))) * U366)*1.5</f>
        <v>-0.22875000000000001</v>
      </c>
    </row>
    <row r="367" spans="1:40" x14ac:dyDescent="0.25">
      <c r="A367" s="99">
        <v>295</v>
      </c>
      <c r="B367" s="99"/>
      <c r="C367" s="99" t="s">
        <v>13655</v>
      </c>
      <c r="D367" s="99"/>
      <c r="E367" s="99" t="s">
        <v>1741</v>
      </c>
      <c r="F367" s="99" t="s">
        <v>1739</v>
      </c>
      <c r="G367" s="99" t="s">
        <v>13695</v>
      </c>
      <c r="H367" s="99">
        <v>0</v>
      </c>
      <c r="I367" s="99">
        <v>0</v>
      </c>
      <c r="J367" s="99">
        <v>0</v>
      </c>
      <c r="K367" s="101" t="str">
        <f t="shared" si="57"/>
        <v>0x0x0</v>
      </c>
      <c r="L367" s="102">
        <f t="shared" si="58"/>
        <v>0</v>
      </c>
      <c r="M367" s="113">
        <f t="shared" si="59"/>
        <v>0</v>
      </c>
      <c r="N367" s="113">
        <f t="shared" si="60"/>
        <v>0</v>
      </c>
      <c r="O367" s="99">
        <v>0</v>
      </c>
      <c r="P367" s="113">
        <f t="shared" si="61"/>
        <v>0</v>
      </c>
      <c r="Q367" s="112">
        <f t="shared" si="62"/>
        <v>0</v>
      </c>
      <c r="R367" s="112" t="str">
        <f t="shared" si="63"/>
        <v>Standard-size</v>
      </c>
      <c r="S367" s="99" t="str">
        <f t="shared" si="64"/>
        <v>Small standard-size</v>
      </c>
      <c r="T367" s="116" t="s">
        <v>13696</v>
      </c>
      <c r="U367" s="116">
        <f t="shared" si="65"/>
        <v>0</v>
      </c>
      <c r="V367" s="116" t="s">
        <v>13583</v>
      </c>
      <c r="W367" s="116" t="s">
        <v>13690</v>
      </c>
      <c r="X367" s="99" t="s">
        <v>13583</v>
      </c>
      <c r="Y367" s="99">
        <v>1</v>
      </c>
      <c r="Z367" s="99">
        <v>1</v>
      </c>
      <c r="AA367" s="99">
        <v>1</v>
      </c>
      <c r="AB367" s="99"/>
      <c r="AC367" s="99"/>
      <c r="AD367" s="107">
        <v>185.3703713888888</v>
      </c>
      <c r="AE367" s="113">
        <f t="shared" si="66"/>
        <v>-27.805555708333319</v>
      </c>
      <c r="AF367" s="116">
        <f>-IFERROR(IFERROR(VLOOKUP(ROUNDUP($Q367,0),'FBA FEES'!$L$2:$Q$203,MATCH($S367,'FBA FEES'!$L$2:$Q$2,0),FALSE),VLOOKUP(ROUNDUP($Q367,0),'FBA FEES'!$C$6:$F$123,MATCH($S367,'FBA FEES'!$C$6:$F$6,0),FALSE)),0)</f>
        <v>0</v>
      </c>
      <c r="AG367" s="116">
        <v>-10</v>
      </c>
      <c r="AH367" s="113">
        <f t="shared" si="67"/>
        <v>-27.805555708333319</v>
      </c>
      <c r="AI367" s="116">
        <f>-IFERROR(IF($Y367=1,INDEX('[1]REMOVAL FEES'!$A$1:$C$22,MATCH(CONCATENATE("Standard Size",$P367),'[1]REMOVAL FEES'!$A$1:$A$22,0),3),IF($Y367=2,IF($P367&gt;10,(($P367-10)*1.06)+INDEX('[1]REMOVAL FEES'!$E$1:$G$22,MATCH(CONCATENATE("Large bulky, extra-large and special handling items",IF($P367&gt;=11,11,$P367)),'[1]REMOVAL FEES'!$E$1:$E$13,0),3),INDEX('[1]REMOVAL FEES'!$E$1:$G$22,MATCH(CONCATENATE("Large bulky, extra-large and special handling items",IF($P367&gt;=11,11,$P367)),'[1]REMOVAL FEES'!$E$1:$E$13,0),3))))*$AA367,FALSE)</f>
        <v>0</v>
      </c>
      <c r="AJ367" s="107">
        <f t="shared" si="68"/>
        <v>-27.805555708333319</v>
      </c>
      <c r="AK367" s="107">
        <v>-103</v>
      </c>
      <c r="AL367" s="107">
        <v>-19.834252825261171</v>
      </c>
      <c r="AM367" s="107">
        <f t="shared" si="69"/>
        <v>-122.83425282526117</v>
      </c>
      <c r="AN367" s="116">
        <f>(-IF($V367="Yes", IF($X367="Yes", VLOOKUP($W367, '[1]Storage Fees'!A:M, 13, FALSE), VLOOKUP($W367, '[1]Storage Fees'!A:M, 10, FALSE)), IF($X367="Yes", VLOOKUP($W367, '[1]Storage Fees'!A:M, 7, FALSE), VLOOKUP($W367, '[1]Storage Fees'!A:M, 4, FALSE))) * U367)*1.5</f>
        <v>0</v>
      </c>
    </row>
    <row r="368" spans="1:40" x14ac:dyDescent="0.25">
      <c r="A368" s="99">
        <v>296</v>
      </c>
      <c r="B368" s="99" t="s">
        <v>107</v>
      </c>
      <c r="C368" s="99" t="s">
        <v>13655</v>
      </c>
      <c r="D368" s="99" t="s">
        <v>718</v>
      </c>
      <c r="E368" s="99" t="s">
        <v>869</v>
      </c>
      <c r="F368" s="99" t="s">
        <v>902</v>
      </c>
      <c r="G368" s="99" t="s">
        <v>13656</v>
      </c>
      <c r="H368" s="99">
        <v>17</v>
      </c>
      <c r="I368" s="99">
        <v>9</v>
      </c>
      <c r="J368" s="99">
        <v>5</v>
      </c>
      <c r="K368" s="101" t="str">
        <f t="shared" si="57"/>
        <v>17x9x5</v>
      </c>
      <c r="L368" s="102">
        <f t="shared" si="58"/>
        <v>5.5035971223021587</v>
      </c>
      <c r="M368" s="113">
        <f t="shared" si="59"/>
        <v>5.5035971223021587</v>
      </c>
      <c r="N368" s="113">
        <f t="shared" si="60"/>
        <v>6</v>
      </c>
      <c r="O368" s="99">
        <v>5</v>
      </c>
      <c r="P368" s="113">
        <f t="shared" si="61"/>
        <v>6</v>
      </c>
      <c r="Q368" s="112">
        <f t="shared" si="62"/>
        <v>96</v>
      </c>
      <c r="R368" s="112" t="str">
        <f t="shared" si="63"/>
        <v>Standard-size</v>
      </c>
      <c r="S368" s="99" t="str">
        <f t="shared" si="64"/>
        <v>Large standard-size</v>
      </c>
      <c r="T368" s="116" t="s">
        <v>13693</v>
      </c>
      <c r="U368" s="116">
        <f t="shared" si="65"/>
        <v>0.44270833333333331</v>
      </c>
      <c r="V368" s="116" t="s">
        <v>13583</v>
      </c>
      <c r="W368" s="116" t="s">
        <v>13690</v>
      </c>
      <c r="X368" s="99" t="s">
        <v>13583</v>
      </c>
      <c r="Y368" s="99">
        <v>1</v>
      </c>
      <c r="Z368" s="99">
        <v>2</v>
      </c>
      <c r="AA368" s="99">
        <v>1</v>
      </c>
      <c r="AB368" s="99"/>
      <c r="AC368" s="99"/>
      <c r="AD368" s="107">
        <v>34.847142857142863</v>
      </c>
      <c r="AE368" s="113">
        <f t="shared" si="66"/>
        <v>-5.2270714285714295</v>
      </c>
      <c r="AF368" s="116">
        <f>-IFERROR(IFERROR(VLOOKUP(ROUNDUP($Q368,0),'FBA FEES'!$L$2:$Q$203,MATCH($S368,'FBA FEES'!$L$2:$Q$2,0),FALSE),VLOOKUP(ROUNDUP($Q368,0),'FBA FEES'!$C$6:$F$123,MATCH($S368,'FBA FEES'!$C$6:$F$6,0),FALSE)),0)</f>
        <v>-7.88</v>
      </c>
      <c r="AG368" s="116">
        <v>-10</v>
      </c>
      <c r="AH368" s="113">
        <f t="shared" si="67"/>
        <v>-13.10707142857143</v>
      </c>
      <c r="AI368" s="116">
        <f>-IFERROR(IF($Y368=1,INDEX('[1]REMOVAL FEES'!$A$1:$C$22,MATCH(CONCATENATE("Standard Size",$P368),'[1]REMOVAL FEES'!$A$1:$A$22,0),3),IF($Y368=2,IF($P368&gt;10,(($P368-10)*1.06)+INDEX('[1]REMOVAL FEES'!$E$1:$G$22,MATCH(CONCATENATE("Large bulky, extra-large and special handling items",IF($P368&gt;=11,11,$P368)),'[1]REMOVAL FEES'!$E$1:$E$13,0),3),INDEX('[1]REMOVAL FEES'!$E$1:$G$22,MATCH(CONCATENATE("Large bulky, extra-large and special handling items",IF($P368&gt;=11,11,$P368)),'[1]REMOVAL FEES'!$E$1:$E$13,0),3))))*$AA368,FALSE)</f>
        <v>-7.1300000000000008</v>
      </c>
      <c r="AJ368" s="107">
        <f t="shared" si="68"/>
        <v>-20.237071428571433</v>
      </c>
      <c r="AK368" s="107">
        <v>-11.59</v>
      </c>
      <c r="AL368" s="107">
        <v>-1.5128571428571429</v>
      </c>
      <c r="AM368" s="107">
        <f t="shared" si="69"/>
        <v>-13.102857142857143</v>
      </c>
      <c r="AN368" s="116">
        <f>(-IF($V368="Yes", IF($X368="Yes", VLOOKUP($W368, '[1]Storage Fees'!A:M, 13, FALSE), VLOOKUP($W368, '[1]Storage Fees'!A:M, 10, FALSE)), IF($X368="Yes", VLOOKUP($W368, '[1]Storage Fees'!A:M, 7, FALSE), VLOOKUP($W368, '[1]Storage Fees'!A:M, 4, FALSE))) * U368)*1.5</f>
        <v>-0.81015624999999991</v>
      </c>
    </row>
    <row r="369" spans="1:40" x14ac:dyDescent="0.25">
      <c r="A369" s="99">
        <v>297</v>
      </c>
      <c r="B369" s="99" t="s">
        <v>55</v>
      </c>
      <c r="C369" s="99" t="s">
        <v>13655</v>
      </c>
      <c r="D369" s="99" t="s">
        <v>907</v>
      </c>
      <c r="E369" s="99" t="s">
        <v>908</v>
      </c>
      <c r="F369" s="99" t="s">
        <v>905</v>
      </c>
      <c r="G369" s="99" t="s">
        <v>13695</v>
      </c>
      <c r="H369" s="99">
        <v>49</v>
      </c>
      <c r="I369" s="99">
        <v>25</v>
      </c>
      <c r="J369" s="99">
        <v>2</v>
      </c>
      <c r="K369" s="101" t="str">
        <f t="shared" si="57"/>
        <v>49x25x2</v>
      </c>
      <c r="L369" s="102">
        <f t="shared" si="58"/>
        <v>17.625899280575538</v>
      </c>
      <c r="M369" s="113">
        <f t="shared" si="59"/>
        <v>17.625899280575538</v>
      </c>
      <c r="N369" s="113">
        <f t="shared" si="60"/>
        <v>18</v>
      </c>
      <c r="O369" s="99">
        <v>13</v>
      </c>
      <c r="P369" s="113">
        <f t="shared" si="61"/>
        <v>18</v>
      </c>
      <c r="Q369" s="112">
        <f t="shared" si="62"/>
        <v>288</v>
      </c>
      <c r="R369" s="112" t="str">
        <f t="shared" si="63"/>
        <v>Oversize</v>
      </c>
      <c r="S369" s="99" t="str">
        <f t="shared" si="64"/>
        <v>Large bulky</v>
      </c>
      <c r="T369" s="116" t="s">
        <v>13692</v>
      </c>
      <c r="U369" s="116">
        <f t="shared" si="65"/>
        <v>1.4178240740740742</v>
      </c>
      <c r="V369" s="116" t="s">
        <v>13583</v>
      </c>
      <c r="W369" s="116" t="s">
        <v>13690</v>
      </c>
      <c r="X369" s="116" t="s">
        <v>13691</v>
      </c>
      <c r="Y369" s="116">
        <v>2</v>
      </c>
      <c r="Z369" s="116">
        <v>3</v>
      </c>
      <c r="AA369" s="116">
        <v>1</v>
      </c>
      <c r="AB369" s="99"/>
      <c r="AC369" s="99"/>
      <c r="AD369" s="107">
        <v>0</v>
      </c>
      <c r="AE369" s="113">
        <f t="shared" si="66"/>
        <v>0</v>
      </c>
      <c r="AF369" s="116">
        <f>-IFERROR(IFERROR(VLOOKUP(ROUNDUP($Q369,0),'FBA FEES'!$L$2:$Q$203,MATCH($S369,'FBA FEES'!$L$2:$Q$2,0),FALSE),VLOOKUP(ROUNDUP($Q369,0),'FBA FEES'!$C$6:$F$123,MATCH($S369,'FBA FEES'!$C$6:$F$6,0),FALSE)),0)</f>
        <v>-16.07</v>
      </c>
      <c r="AG369" s="116">
        <v>-10</v>
      </c>
      <c r="AH369" s="113">
        <f t="shared" si="67"/>
        <v>-16.07</v>
      </c>
      <c r="AI369" s="116">
        <f>-IFERROR(IF($Y369=1,INDEX('[1]REMOVAL FEES'!$A$1:$C$22,MATCH(CONCATENATE("Standard Size",$P369),'[1]REMOVAL FEES'!$A$1:$A$22,0),3),IF($Y369=2,IF($P369&gt;10,(($P369-10)*1.06)+INDEX('[1]REMOVAL FEES'!$E$1:$G$22,MATCH(CONCATENATE("Large bulky, extra-large and special handling items",IF($P369&gt;=11,11,$P369)),'[1]REMOVAL FEES'!$E$1:$E$13,0),3),INDEX('[1]REMOVAL FEES'!$E$1:$G$22,MATCH(CONCATENATE("Large bulky, extra-large and special handling items",IF($P369&gt;=11,11,$P369)),'[1]REMOVAL FEES'!$E$1:$E$13,0),3))))*$AA369,FALSE)</f>
        <v>-22.8</v>
      </c>
      <c r="AJ369" s="107">
        <f t="shared" si="68"/>
        <v>-38.870000000000005</v>
      </c>
      <c r="AK369" s="107">
        <v>0</v>
      </c>
      <c r="AL369" s="107">
        <v>0</v>
      </c>
      <c r="AM369" s="107">
        <f t="shared" si="69"/>
        <v>0</v>
      </c>
      <c r="AN369" s="116">
        <f>(-IF($V369="Yes", IF($X369="Yes", VLOOKUP($W369, '[1]Storage Fees'!A:M, 13, FALSE), VLOOKUP($W369, '[1]Storage Fees'!A:M, 10, FALSE)), IF($X369="Yes", VLOOKUP($W369, '[1]Storage Fees'!A:M, 7, FALSE), VLOOKUP($W369, '[1]Storage Fees'!A:M, 4, FALSE))) * U369)*1.5</f>
        <v>-1.6801215277777779</v>
      </c>
    </row>
    <row r="370" spans="1:40" x14ac:dyDescent="0.25">
      <c r="A370" s="99">
        <v>298</v>
      </c>
      <c r="B370" s="99"/>
      <c r="C370" s="99" t="s">
        <v>13655</v>
      </c>
      <c r="D370" s="99"/>
      <c r="E370" s="99" t="s">
        <v>908</v>
      </c>
      <c r="F370" s="99" t="s">
        <v>1742</v>
      </c>
      <c r="G370" s="99" t="s">
        <v>13695</v>
      </c>
      <c r="H370" s="99">
        <v>0</v>
      </c>
      <c r="I370" s="99">
        <v>0</v>
      </c>
      <c r="J370" s="99">
        <v>0</v>
      </c>
      <c r="K370" s="101" t="str">
        <f t="shared" si="57"/>
        <v>0x0x0</v>
      </c>
      <c r="L370" s="102">
        <f t="shared" si="58"/>
        <v>0</v>
      </c>
      <c r="M370" s="113">
        <f t="shared" si="59"/>
        <v>0</v>
      </c>
      <c r="N370" s="113">
        <f t="shared" si="60"/>
        <v>0</v>
      </c>
      <c r="O370" s="99">
        <v>0</v>
      </c>
      <c r="P370" s="113">
        <f t="shared" si="61"/>
        <v>0</v>
      </c>
      <c r="Q370" s="112">
        <f t="shared" si="62"/>
        <v>0</v>
      </c>
      <c r="R370" s="112" t="str">
        <f t="shared" si="63"/>
        <v>Standard-size</v>
      </c>
      <c r="S370" s="99" t="str">
        <f t="shared" si="64"/>
        <v>Small standard-size</v>
      </c>
      <c r="T370" s="116" t="s">
        <v>13696</v>
      </c>
      <c r="U370" s="116">
        <f t="shared" si="65"/>
        <v>0</v>
      </c>
      <c r="V370" s="116" t="s">
        <v>13583</v>
      </c>
      <c r="W370" s="116" t="s">
        <v>13690</v>
      </c>
      <c r="X370" s="99" t="s">
        <v>13583</v>
      </c>
      <c r="Y370" s="99">
        <v>1</v>
      </c>
      <c r="Z370" s="99">
        <v>1</v>
      </c>
      <c r="AA370" s="99">
        <v>1</v>
      </c>
      <c r="AB370" s="99"/>
      <c r="AC370" s="99"/>
      <c r="AD370" s="107">
        <v>0</v>
      </c>
      <c r="AE370" s="113">
        <f t="shared" si="66"/>
        <v>0</v>
      </c>
      <c r="AF370" s="116">
        <f>-IFERROR(IFERROR(VLOOKUP(ROUNDUP($Q370,0),'FBA FEES'!$L$2:$Q$203,MATCH($S370,'FBA FEES'!$L$2:$Q$2,0),FALSE),VLOOKUP(ROUNDUP($Q370,0),'FBA FEES'!$C$6:$F$123,MATCH($S370,'FBA FEES'!$C$6:$F$6,0),FALSE)),0)</f>
        <v>0</v>
      </c>
      <c r="AG370" s="116">
        <v>-10</v>
      </c>
      <c r="AH370" s="113">
        <f t="shared" si="67"/>
        <v>0</v>
      </c>
      <c r="AI370" s="116">
        <f>-IFERROR(IF($Y370=1,INDEX('[1]REMOVAL FEES'!$A$1:$C$22,MATCH(CONCATENATE("Standard Size",$P370),'[1]REMOVAL FEES'!$A$1:$A$22,0),3),IF($Y370=2,IF($P370&gt;10,(($P370-10)*1.06)+INDEX('[1]REMOVAL FEES'!$E$1:$G$22,MATCH(CONCATENATE("Large bulky, extra-large and special handling items",IF($P370&gt;=11,11,$P370)),'[1]REMOVAL FEES'!$E$1:$E$13,0),3),INDEX('[1]REMOVAL FEES'!$E$1:$G$22,MATCH(CONCATENATE("Large bulky, extra-large and special handling items",IF($P370&gt;=11,11,$P370)),'[1]REMOVAL FEES'!$E$1:$E$13,0),3))))*$AA370,FALSE)</f>
        <v>0</v>
      </c>
      <c r="AJ370" s="107">
        <f t="shared" si="68"/>
        <v>0</v>
      </c>
      <c r="AK370" s="107">
        <v>0</v>
      </c>
      <c r="AL370" s="107">
        <v>0</v>
      </c>
      <c r="AM370" s="107">
        <f t="shared" si="69"/>
        <v>0</v>
      </c>
      <c r="AN370" s="116">
        <f>(-IF($V370="Yes", IF($X370="Yes", VLOOKUP($W370, '[1]Storage Fees'!A:M, 13, FALSE), VLOOKUP($W370, '[1]Storage Fees'!A:M, 10, FALSE)), IF($X370="Yes", VLOOKUP($W370, '[1]Storage Fees'!A:M, 7, FALSE), VLOOKUP($W370, '[1]Storage Fees'!A:M, 4, FALSE))) * U370)*1.5</f>
        <v>0</v>
      </c>
    </row>
    <row r="371" spans="1:40" x14ac:dyDescent="0.25">
      <c r="A371" s="99">
        <v>299</v>
      </c>
      <c r="B371" s="99" t="s">
        <v>55</v>
      </c>
      <c r="C371" s="99" t="s">
        <v>13655</v>
      </c>
      <c r="D371" s="99" t="s">
        <v>907</v>
      </c>
      <c r="E371" s="99" t="s">
        <v>908</v>
      </c>
      <c r="F371" s="99" t="s">
        <v>910</v>
      </c>
      <c r="G371" s="99" t="s">
        <v>13695</v>
      </c>
      <c r="H371" s="99">
        <v>47</v>
      </c>
      <c r="I371" s="99">
        <v>25</v>
      </c>
      <c r="J371" s="99">
        <v>2</v>
      </c>
      <c r="K371" s="101" t="str">
        <f t="shared" si="57"/>
        <v>47x25x2</v>
      </c>
      <c r="L371" s="102">
        <f t="shared" si="58"/>
        <v>16.906474820143885</v>
      </c>
      <c r="M371" s="113">
        <f t="shared" si="59"/>
        <v>16.906474820143885</v>
      </c>
      <c r="N371" s="113">
        <f t="shared" si="60"/>
        <v>17</v>
      </c>
      <c r="O371" s="99">
        <v>10</v>
      </c>
      <c r="P371" s="113">
        <f t="shared" si="61"/>
        <v>17</v>
      </c>
      <c r="Q371" s="112">
        <f t="shared" si="62"/>
        <v>272</v>
      </c>
      <c r="R371" s="112" t="str">
        <f t="shared" si="63"/>
        <v>Oversize</v>
      </c>
      <c r="S371" s="99" t="str">
        <f t="shared" si="64"/>
        <v>Large bulky</v>
      </c>
      <c r="T371" s="116" t="s">
        <v>13692</v>
      </c>
      <c r="U371" s="116">
        <f t="shared" si="65"/>
        <v>1.3599537037037037</v>
      </c>
      <c r="V371" s="116" t="s">
        <v>13583</v>
      </c>
      <c r="W371" s="116" t="s">
        <v>13690</v>
      </c>
      <c r="X371" s="116" t="s">
        <v>13691</v>
      </c>
      <c r="Y371" s="116">
        <v>2</v>
      </c>
      <c r="Z371" s="116">
        <v>3</v>
      </c>
      <c r="AA371" s="116">
        <v>1</v>
      </c>
      <c r="AB371" s="99"/>
      <c r="AC371" s="99"/>
      <c r="AD371" s="107">
        <v>0</v>
      </c>
      <c r="AE371" s="113">
        <f t="shared" si="66"/>
        <v>0</v>
      </c>
      <c r="AF371" s="116">
        <f>-IFERROR(IFERROR(VLOOKUP(ROUNDUP($Q371,0),'FBA FEES'!$L$2:$Q$203,MATCH($S371,'FBA FEES'!$L$2:$Q$2,0),FALSE),VLOOKUP(ROUNDUP($Q371,0),'FBA FEES'!$C$6:$F$123,MATCH($S371,'FBA FEES'!$C$6:$F$6,0),FALSE)),0)</f>
        <v>-15.69</v>
      </c>
      <c r="AG371" s="116">
        <v>-10</v>
      </c>
      <c r="AH371" s="113">
        <f t="shared" si="67"/>
        <v>-15.69</v>
      </c>
      <c r="AI371" s="116">
        <f>-IFERROR(IF($Y371=1,INDEX('[1]REMOVAL FEES'!$A$1:$C$22,MATCH(CONCATENATE("Standard Size",$P371),'[1]REMOVAL FEES'!$A$1:$A$22,0),3),IF($Y371=2,IF($P371&gt;10,(($P371-10)*1.06)+INDEX('[1]REMOVAL FEES'!$E$1:$G$22,MATCH(CONCATENATE("Large bulky, extra-large and special handling items",IF($P371&gt;=11,11,$P371)),'[1]REMOVAL FEES'!$E$1:$E$13,0),3),INDEX('[1]REMOVAL FEES'!$E$1:$G$22,MATCH(CONCATENATE("Large bulky, extra-large and special handling items",IF($P371&gt;=11,11,$P371)),'[1]REMOVAL FEES'!$E$1:$E$13,0),3))))*$AA371,FALSE)</f>
        <v>-21.740000000000002</v>
      </c>
      <c r="AJ371" s="107">
        <f t="shared" si="68"/>
        <v>-37.43</v>
      </c>
      <c r="AK371" s="107">
        <v>0</v>
      </c>
      <c r="AL371" s="107">
        <v>0</v>
      </c>
      <c r="AM371" s="107">
        <f t="shared" si="69"/>
        <v>0</v>
      </c>
      <c r="AN371" s="116">
        <f>(-IF($V371="Yes", IF($X371="Yes", VLOOKUP($W371, '[1]Storage Fees'!A:M, 13, FALSE), VLOOKUP($W371, '[1]Storage Fees'!A:M, 10, FALSE)), IF($X371="Yes", VLOOKUP($W371, '[1]Storage Fees'!A:M, 7, FALSE), VLOOKUP($W371, '[1]Storage Fees'!A:M, 4, FALSE))) * U371)*1.5</f>
        <v>-1.6115451388888891</v>
      </c>
    </row>
    <row r="372" spans="1:40" x14ac:dyDescent="0.25">
      <c r="A372" s="99">
        <v>300</v>
      </c>
      <c r="B372" s="99"/>
      <c r="C372" s="99" t="s">
        <v>13655</v>
      </c>
      <c r="D372" s="99"/>
      <c r="E372" s="99" t="s">
        <v>908</v>
      </c>
      <c r="F372" s="99" t="s">
        <v>1744</v>
      </c>
      <c r="G372" s="99" t="s">
        <v>13695</v>
      </c>
      <c r="H372" s="99">
        <v>0</v>
      </c>
      <c r="I372" s="99">
        <v>0</v>
      </c>
      <c r="J372" s="99">
        <v>0</v>
      </c>
      <c r="K372" s="101" t="str">
        <f t="shared" si="57"/>
        <v>0x0x0</v>
      </c>
      <c r="L372" s="102">
        <f t="shared" si="58"/>
        <v>0</v>
      </c>
      <c r="M372" s="113">
        <f t="shared" si="59"/>
        <v>0</v>
      </c>
      <c r="N372" s="113">
        <f t="shared" si="60"/>
        <v>0</v>
      </c>
      <c r="O372" s="99">
        <v>0</v>
      </c>
      <c r="P372" s="113">
        <f t="shared" si="61"/>
        <v>0</v>
      </c>
      <c r="Q372" s="112">
        <f t="shared" si="62"/>
        <v>0</v>
      </c>
      <c r="R372" s="112" t="str">
        <f t="shared" si="63"/>
        <v>Standard-size</v>
      </c>
      <c r="S372" s="99" t="str">
        <f t="shared" si="64"/>
        <v>Small standard-size</v>
      </c>
      <c r="T372" s="116" t="s">
        <v>13696</v>
      </c>
      <c r="U372" s="116">
        <f t="shared" si="65"/>
        <v>0</v>
      </c>
      <c r="V372" s="116" t="s">
        <v>13583</v>
      </c>
      <c r="W372" s="116" t="s">
        <v>13690</v>
      </c>
      <c r="X372" s="99" t="s">
        <v>13583</v>
      </c>
      <c r="Y372" s="99">
        <v>1</v>
      </c>
      <c r="Z372" s="99">
        <v>1</v>
      </c>
      <c r="AA372" s="99">
        <v>1</v>
      </c>
      <c r="AB372" s="99"/>
      <c r="AC372" s="99"/>
      <c r="AD372" s="107">
        <v>0</v>
      </c>
      <c r="AE372" s="113">
        <f t="shared" si="66"/>
        <v>0</v>
      </c>
      <c r="AF372" s="116">
        <f>-IFERROR(IFERROR(VLOOKUP(ROUNDUP($Q372,0),'FBA FEES'!$L$2:$Q$203,MATCH($S372,'FBA FEES'!$L$2:$Q$2,0),FALSE),VLOOKUP(ROUNDUP($Q372,0),'FBA FEES'!$C$6:$F$123,MATCH($S372,'FBA FEES'!$C$6:$F$6,0),FALSE)),0)</f>
        <v>0</v>
      </c>
      <c r="AG372" s="116">
        <v>-10</v>
      </c>
      <c r="AH372" s="113">
        <f t="shared" si="67"/>
        <v>0</v>
      </c>
      <c r="AI372" s="116">
        <f>-IFERROR(IF($Y372=1,INDEX('[1]REMOVAL FEES'!$A$1:$C$22,MATCH(CONCATENATE("Standard Size",$P372),'[1]REMOVAL FEES'!$A$1:$A$22,0),3),IF($Y372=2,IF($P372&gt;10,(($P372-10)*1.06)+INDEX('[1]REMOVAL FEES'!$E$1:$G$22,MATCH(CONCATENATE("Large bulky, extra-large and special handling items",IF($P372&gt;=11,11,$P372)),'[1]REMOVAL FEES'!$E$1:$E$13,0),3),INDEX('[1]REMOVAL FEES'!$E$1:$G$22,MATCH(CONCATENATE("Large bulky, extra-large and special handling items",IF($P372&gt;=11,11,$P372)),'[1]REMOVAL FEES'!$E$1:$E$13,0),3))))*$AA372,FALSE)</f>
        <v>0</v>
      </c>
      <c r="AJ372" s="107">
        <f t="shared" si="68"/>
        <v>0</v>
      </c>
      <c r="AK372" s="107">
        <v>0</v>
      </c>
      <c r="AL372" s="107">
        <v>0</v>
      </c>
      <c r="AM372" s="107">
        <f t="shared" si="69"/>
        <v>0</v>
      </c>
      <c r="AN372" s="116">
        <f>(-IF($V372="Yes", IF($X372="Yes", VLOOKUP($W372, '[1]Storage Fees'!A:M, 13, FALSE), VLOOKUP($W372, '[1]Storage Fees'!A:M, 10, FALSE)), IF($X372="Yes", VLOOKUP($W372, '[1]Storage Fees'!A:M, 7, FALSE), VLOOKUP($W372, '[1]Storage Fees'!A:M, 4, FALSE))) * U372)*1.5</f>
        <v>0</v>
      </c>
    </row>
    <row r="373" spans="1:40" x14ac:dyDescent="0.25">
      <c r="A373" s="99">
        <v>301</v>
      </c>
      <c r="B373" s="99"/>
      <c r="C373" s="99" t="s">
        <v>13655</v>
      </c>
      <c r="D373" s="99"/>
      <c r="E373" s="99" t="s">
        <v>908</v>
      </c>
      <c r="F373" s="99" t="s">
        <v>1746</v>
      </c>
      <c r="G373" s="99" t="s">
        <v>13695</v>
      </c>
      <c r="H373" s="99">
        <v>0</v>
      </c>
      <c r="I373" s="99">
        <v>0</v>
      </c>
      <c r="J373" s="99">
        <v>0</v>
      </c>
      <c r="K373" s="101" t="str">
        <f t="shared" si="57"/>
        <v>0x0x0</v>
      </c>
      <c r="L373" s="102">
        <f t="shared" si="58"/>
        <v>0</v>
      </c>
      <c r="M373" s="113">
        <f t="shared" si="59"/>
        <v>0</v>
      </c>
      <c r="N373" s="113">
        <f t="shared" si="60"/>
        <v>0</v>
      </c>
      <c r="O373" s="99">
        <v>0</v>
      </c>
      <c r="P373" s="113">
        <f t="shared" si="61"/>
        <v>0</v>
      </c>
      <c r="Q373" s="112">
        <f t="shared" si="62"/>
        <v>0</v>
      </c>
      <c r="R373" s="112" t="str">
        <f t="shared" si="63"/>
        <v>Standard-size</v>
      </c>
      <c r="S373" s="99" t="str">
        <f t="shared" si="64"/>
        <v>Small standard-size</v>
      </c>
      <c r="T373" s="116" t="s">
        <v>13696</v>
      </c>
      <c r="U373" s="116">
        <f t="shared" si="65"/>
        <v>0</v>
      </c>
      <c r="V373" s="116" t="s">
        <v>13583</v>
      </c>
      <c r="W373" s="116" t="s">
        <v>13690</v>
      </c>
      <c r="X373" s="99" t="s">
        <v>13583</v>
      </c>
      <c r="Y373" s="99">
        <v>1</v>
      </c>
      <c r="Z373" s="99">
        <v>1</v>
      </c>
      <c r="AA373" s="99">
        <v>1</v>
      </c>
      <c r="AB373" s="99"/>
      <c r="AC373" s="99"/>
      <c r="AD373" s="107">
        <v>0</v>
      </c>
      <c r="AE373" s="113">
        <f t="shared" si="66"/>
        <v>0</v>
      </c>
      <c r="AF373" s="116">
        <f>-IFERROR(IFERROR(VLOOKUP(ROUNDUP($Q373,0),'FBA FEES'!$L$2:$Q$203,MATCH($S373,'FBA FEES'!$L$2:$Q$2,0),FALSE),VLOOKUP(ROUNDUP($Q373,0),'FBA FEES'!$C$6:$F$123,MATCH($S373,'FBA FEES'!$C$6:$F$6,0),FALSE)),0)</f>
        <v>0</v>
      </c>
      <c r="AG373" s="116">
        <v>-10</v>
      </c>
      <c r="AH373" s="113">
        <f t="shared" si="67"/>
        <v>0</v>
      </c>
      <c r="AI373" s="116">
        <f>-IFERROR(IF($Y373=1,INDEX('[1]REMOVAL FEES'!$A$1:$C$22,MATCH(CONCATENATE("Standard Size",$P373),'[1]REMOVAL FEES'!$A$1:$A$22,0),3),IF($Y373=2,IF($P373&gt;10,(($P373-10)*1.06)+INDEX('[1]REMOVAL FEES'!$E$1:$G$22,MATCH(CONCATENATE("Large bulky, extra-large and special handling items",IF($P373&gt;=11,11,$P373)),'[1]REMOVAL FEES'!$E$1:$E$13,0),3),INDEX('[1]REMOVAL FEES'!$E$1:$G$22,MATCH(CONCATENATE("Large bulky, extra-large and special handling items",IF($P373&gt;=11,11,$P373)),'[1]REMOVAL FEES'!$E$1:$E$13,0),3))))*$AA373,FALSE)</f>
        <v>0</v>
      </c>
      <c r="AJ373" s="107">
        <f t="shared" si="68"/>
        <v>0</v>
      </c>
      <c r="AK373" s="107">
        <v>0</v>
      </c>
      <c r="AL373" s="107">
        <v>0</v>
      </c>
      <c r="AM373" s="107">
        <f t="shared" si="69"/>
        <v>0</v>
      </c>
      <c r="AN373" s="116">
        <f>(-IF($V373="Yes", IF($X373="Yes", VLOOKUP($W373, '[1]Storage Fees'!A:M, 13, FALSE), VLOOKUP($W373, '[1]Storage Fees'!A:M, 10, FALSE)), IF($X373="Yes", VLOOKUP($W373, '[1]Storage Fees'!A:M, 7, FALSE), VLOOKUP($W373, '[1]Storage Fees'!A:M, 4, FALSE))) * U373)*1.5</f>
        <v>0</v>
      </c>
    </row>
    <row r="374" spans="1:40" x14ac:dyDescent="0.25">
      <c r="A374" s="99">
        <v>302</v>
      </c>
      <c r="B374" s="99"/>
      <c r="C374" s="99" t="s">
        <v>13655</v>
      </c>
      <c r="D374" s="99"/>
      <c r="E374" s="99" t="s">
        <v>908</v>
      </c>
      <c r="F374" s="99" t="s">
        <v>1748</v>
      </c>
      <c r="G374" s="99" t="s">
        <v>13695</v>
      </c>
      <c r="H374" s="99">
        <v>0</v>
      </c>
      <c r="I374" s="99">
        <v>0</v>
      </c>
      <c r="J374" s="99">
        <v>0</v>
      </c>
      <c r="K374" s="101" t="str">
        <f t="shared" si="57"/>
        <v>0x0x0</v>
      </c>
      <c r="L374" s="102">
        <f t="shared" si="58"/>
        <v>0</v>
      </c>
      <c r="M374" s="113">
        <f t="shared" si="59"/>
        <v>0</v>
      </c>
      <c r="N374" s="113">
        <f t="shared" si="60"/>
        <v>0</v>
      </c>
      <c r="O374" s="99">
        <v>0</v>
      </c>
      <c r="P374" s="113">
        <f t="shared" si="61"/>
        <v>0</v>
      </c>
      <c r="Q374" s="112">
        <f t="shared" si="62"/>
        <v>0</v>
      </c>
      <c r="R374" s="112" t="str">
        <f t="shared" si="63"/>
        <v>Standard-size</v>
      </c>
      <c r="S374" s="99" t="str">
        <f t="shared" si="64"/>
        <v>Small standard-size</v>
      </c>
      <c r="T374" s="116" t="s">
        <v>13696</v>
      </c>
      <c r="U374" s="116">
        <f t="shared" si="65"/>
        <v>0</v>
      </c>
      <c r="V374" s="116" t="s">
        <v>13583</v>
      </c>
      <c r="W374" s="116" t="s">
        <v>13690</v>
      </c>
      <c r="X374" s="99" t="s">
        <v>13583</v>
      </c>
      <c r="Y374" s="99">
        <v>1</v>
      </c>
      <c r="Z374" s="99">
        <v>1</v>
      </c>
      <c r="AA374" s="99">
        <v>1</v>
      </c>
      <c r="AB374" s="99"/>
      <c r="AC374" s="99"/>
      <c r="AD374" s="107">
        <v>0</v>
      </c>
      <c r="AE374" s="113">
        <f t="shared" si="66"/>
        <v>0</v>
      </c>
      <c r="AF374" s="116">
        <f>-IFERROR(IFERROR(VLOOKUP(ROUNDUP($Q374,0),'FBA FEES'!$L$2:$Q$203,MATCH($S374,'FBA FEES'!$L$2:$Q$2,0),FALSE),VLOOKUP(ROUNDUP($Q374,0),'FBA FEES'!$C$6:$F$123,MATCH($S374,'FBA FEES'!$C$6:$F$6,0),FALSE)),0)</f>
        <v>0</v>
      </c>
      <c r="AG374" s="116">
        <v>-10</v>
      </c>
      <c r="AH374" s="113">
        <f t="shared" si="67"/>
        <v>0</v>
      </c>
      <c r="AI374" s="116">
        <f>-IFERROR(IF($Y374=1,INDEX('[1]REMOVAL FEES'!$A$1:$C$22,MATCH(CONCATENATE("Standard Size",$P374),'[1]REMOVAL FEES'!$A$1:$A$22,0),3),IF($Y374=2,IF($P374&gt;10,(($P374-10)*1.06)+INDEX('[1]REMOVAL FEES'!$E$1:$G$22,MATCH(CONCATENATE("Large bulky, extra-large and special handling items",IF($P374&gt;=11,11,$P374)),'[1]REMOVAL FEES'!$E$1:$E$13,0),3),INDEX('[1]REMOVAL FEES'!$E$1:$G$22,MATCH(CONCATENATE("Large bulky, extra-large and special handling items",IF($P374&gt;=11,11,$P374)),'[1]REMOVAL FEES'!$E$1:$E$13,0),3))))*$AA374,FALSE)</f>
        <v>0</v>
      </c>
      <c r="AJ374" s="107">
        <f t="shared" si="68"/>
        <v>0</v>
      </c>
      <c r="AK374" s="107">
        <v>0</v>
      </c>
      <c r="AL374" s="107">
        <v>0</v>
      </c>
      <c r="AM374" s="107">
        <f t="shared" si="69"/>
        <v>0</v>
      </c>
      <c r="AN374" s="116">
        <f>(-IF($V374="Yes", IF($X374="Yes", VLOOKUP($W374, '[1]Storage Fees'!A:M, 13, FALSE), VLOOKUP($W374, '[1]Storage Fees'!A:M, 10, FALSE)), IF($X374="Yes", VLOOKUP($W374, '[1]Storage Fees'!A:M, 7, FALSE), VLOOKUP($W374, '[1]Storage Fees'!A:M, 4, FALSE))) * U374)*1.5</f>
        <v>0</v>
      </c>
    </row>
    <row r="375" spans="1:40" x14ac:dyDescent="0.25">
      <c r="A375" s="99">
        <v>303</v>
      </c>
      <c r="B375" s="99"/>
      <c r="C375" s="99" t="s">
        <v>13655</v>
      </c>
      <c r="D375" s="99"/>
      <c r="E375" s="99" t="s">
        <v>908</v>
      </c>
      <c r="F375" s="99" t="s">
        <v>1750</v>
      </c>
      <c r="G375" s="99" t="s">
        <v>13695</v>
      </c>
      <c r="H375" s="99">
        <v>0</v>
      </c>
      <c r="I375" s="99">
        <v>0</v>
      </c>
      <c r="J375" s="99">
        <v>0</v>
      </c>
      <c r="K375" s="101" t="str">
        <f t="shared" si="57"/>
        <v>0x0x0</v>
      </c>
      <c r="L375" s="102">
        <f t="shared" si="58"/>
        <v>0</v>
      </c>
      <c r="M375" s="113">
        <f t="shared" si="59"/>
        <v>0</v>
      </c>
      <c r="N375" s="113">
        <f t="shared" si="60"/>
        <v>0</v>
      </c>
      <c r="O375" s="99">
        <v>0</v>
      </c>
      <c r="P375" s="113">
        <f t="shared" si="61"/>
        <v>0</v>
      </c>
      <c r="Q375" s="112">
        <f t="shared" si="62"/>
        <v>0</v>
      </c>
      <c r="R375" s="112" t="str">
        <f t="shared" si="63"/>
        <v>Standard-size</v>
      </c>
      <c r="S375" s="99" t="str">
        <f t="shared" si="64"/>
        <v>Small standard-size</v>
      </c>
      <c r="T375" s="116" t="s">
        <v>13696</v>
      </c>
      <c r="U375" s="116">
        <f t="shared" si="65"/>
        <v>0</v>
      </c>
      <c r="V375" s="116" t="s">
        <v>13583</v>
      </c>
      <c r="W375" s="116" t="s">
        <v>13690</v>
      </c>
      <c r="X375" s="99" t="s">
        <v>13583</v>
      </c>
      <c r="Y375" s="99">
        <v>1</v>
      </c>
      <c r="Z375" s="99">
        <v>1</v>
      </c>
      <c r="AA375" s="99">
        <v>1</v>
      </c>
      <c r="AB375" s="99"/>
      <c r="AC375" s="99"/>
      <c r="AD375" s="107">
        <v>0</v>
      </c>
      <c r="AE375" s="113">
        <f t="shared" si="66"/>
        <v>0</v>
      </c>
      <c r="AF375" s="116">
        <f>-IFERROR(IFERROR(VLOOKUP(ROUNDUP($Q375,0),'FBA FEES'!$L$2:$Q$203,MATCH($S375,'FBA FEES'!$L$2:$Q$2,0),FALSE),VLOOKUP(ROUNDUP($Q375,0),'FBA FEES'!$C$6:$F$123,MATCH($S375,'FBA FEES'!$C$6:$F$6,0),FALSE)),0)</f>
        <v>0</v>
      </c>
      <c r="AG375" s="116">
        <v>-10</v>
      </c>
      <c r="AH375" s="113">
        <f t="shared" si="67"/>
        <v>0</v>
      </c>
      <c r="AI375" s="116">
        <f>-IFERROR(IF($Y375=1,INDEX('[1]REMOVAL FEES'!$A$1:$C$22,MATCH(CONCATENATE("Standard Size",$P375),'[1]REMOVAL FEES'!$A$1:$A$22,0),3),IF($Y375=2,IF($P375&gt;10,(($P375-10)*1.06)+INDEX('[1]REMOVAL FEES'!$E$1:$G$22,MATCH(CONCATENATE("Large bulky, extra-large and special handling items",IF($P375&gt;=11,11,$P375)),'[1]REMOVAL FEES'!$E$1:$E$13,0),3),INDEX('[1]REMOVAL FEES'!$E$1:$G$22,MATCH(CONCATENATE("Large bulky, extra-large and special handling items",IF($P375&gt;=11,11,$P375)),'[1]REMOVAL FEES'!$E$1:$E$13,0),3))))*$AA375,FALSE)</f>
        <v>0</v>
      </c>
      <c r="AJ375" s="107">
        <f t="shared" si="68"/>
        <v>0</v>
      </c>
      <c r="AK375" s="107">
        <v>0</v>
      </c>
      <c r="AL375" s="107">
        <v>0</v>
      </c>
      <c r="AM375" s="107">
        <f t="shared" si="69"/>
        <v>0</v>
      </c>
      <c r="AN375" s="116">
        <f>(-IF($V375="Yes", IF($X375="Yes", VLOOKUP($W375, '[1]Storage Fees'!A:M, 13, FALSE), VLOOKUP($W375, '[1]Storage Fees'!A:M, 10, FALSE)), IF($X375="Yes", VLOOKUP($W375, '[1]Storage Fees'!A:M, 7, FALSE), VLOOKUP($W375, '[1]Storage Fees'!A:M, 4, FALSE))) * U375)*1.5</f>
        <v>0</v>
      </c>
    </row>
    <row r="376" spans="1:40" x14ac:dyDescent="0.25">
      <c r="A376" s="99">
        <v>304</v>
      </c>
      <c r="B376" s="99" t="s">
        <v>107</v>
      </c>
      <c r="C376" s="99"/>
      <c r="D376" s="99"/>
      <c r="E376" s="99" t="s">
        <v>296</v>
      </c>
      <c r="F376" s="99" t="s">
        <v>321</v>
      </c>
      <c r="G376" s="99" t="s">
        <v>13695</v>
      </c>
      <c r="H376" s="99">
        <v>13</v>
      </c>
      <c r="I376" s="99">
        <v>13</v>
      </c>
      <c r="J376" s="99">
        <v>10</v>
      </c>
      <c r="K376" s="101" t="str">
        <f t="shared" si="57"/>
        <v>13x13x10</v>
      </c>
      <c r="L376" s="102">
        <f t="shared" si="58"/>
        <v>12.158273381294965</v>
      </c>
      <c r="M376" s="113">
        <f t="shared" si="59"/>
        <v>12.158273381294965</v>
      </c>
      <c r="N376" s="113">
        <f t="shared" si="60"/>
        <v>13</v>
      </c>
      <c r="O376" s="99">
        <v>19</v>
      </c>
      <c r="P376" s="113">
        <f t="shared" si="61"/>
        <v>19</v>
      </c>
      <c r="Q376" s="112">
        <f t="shared" si="62"/>
        <v>304</v>
      </c>
      <c r="R376" s="112" t="str">
        <f t="shared" si="63"/>
        <v>Oversize</v>
      </c>
      <c r="S376" s="99" t="str">
        <f t="shared" si="64"/>
        <v>Large bulky</v>
      </c>
      <c r="T376" s="116" t="s">
        <v>13692</v>
      </c>
      <c r="U376" s="116">
        <f t="shared" si="65"/>
        <v>0.9780092592592593</v>
      </c>
      <c r="V376" s="116" t="s">
        <v>13583</v>
      </c>
      <c r="W376" s="116" t="s">
        <v>13690</v>
      </c>
      <c r="X376" s="116" t="s">
        <v>13691</v>
      </c>
      <c r="Y376" s="116">
        <v>2</v>
      </c>
      <c r="Z376" s="116">
        <v>3</v>
      </c>
      <c r="AA376" s="116">
        <v>1</v>
      </c>
      <c r="AB376" s="99"/>
      <c r="AC376" s="99"/>
      <c r="AD376" s="107">
        <v>145.86672131147529</v>
      </c>
      <c r="AE376" s="113">
        <f t="shared" si="66"/>
        <v>-21.880008196721292</v>
      </c>
      <c r="AF376" s="116">
        <f>-IFERROR(IFERROR(VLOOKUP(ROUNDUP($Q376,0),'FBA FEES'!$L$2:$Q$203,MATCH($S376,'FBA FEES'!$L$2:$Q$2,0),FALSE),VLOOKUP(ROUNDUP($Q376,0),'FBA FEES'!$C$6:$F$123,MATCH($S376,'FBA FEES'!$C$6:$F$6,0),FALSE)),0)</f>
        <v>-16.45</v>
      </c>
      <c r="AG376" s="116">
        <v>-10</v>
      </c>
      <c r="AH376" s="113">
        <f t="shared" si="67"/>
        <v>-38.330008196721295</v>
      </c>
      <c r="AI376" s="116">
        <f>-IFERROR(IF($Y376=1,INDEX('[1]REMOVAL FEES'!$A$1:$C$22,MATCH(CONCATENATE("Standard Size",$P376),'[1]REMOVAL FEES'!$A$1:$A$22,0),3),IF($Y376=2,IF($P376&gt;10,(($P376-10)*1.06)+INDEX('[1]REMOVAL FEES'!$E$1:$G$22,MATCH(CONCATENATE("Large bulky, extra-large and special handling items",IF($P376&gt;=11,11,$P376)),'[1]REMOVAL FEES'!$E$1:$E$13,0),3),INDEX('[1]REMOVAL FEES'!$E$1:$G$22,MATCH(CONCATENATE("Large bulky, extra-large and special handling items",IF($P376&gt;=11,11,$P376)),'[1]REMOVAL FEES'!$E$1:$E$13,0),3))))*$AA376,FALSE)</f>
        <v>-23.86</v>
      </c>
      <c r="AJ376" s="107">
        <f t="shared" si="68"/>
        <v>-62.190008196721294</v>
      </c>
      <c r="AK376" s="107">
        <v>-72.568360655737777</v>
      </c>
      <c r="AL376" s="107">
        <v>-9.0042162795992606</v>
      </c>
      <c r="AM376" s="107">
        <f t="shared" si="69"/>
        <v>-81.57257693533704</v>
      </c>
      <c r="AN376" s="116">
        <f>(-IF($V376="Yes", IF($X376="Yes", VLOOKUP($W376, '[1]Storage Fees'!A:M, 13, FALSE), VLOOKUP($W376, '[1]Storage Fees'!A:M, 10, FALSE)), IF($X376="Yes", VLOOKUP($W376, '[1]Storage Fees'!A:M, 7, FALSE), VLOOKUP($W376, '[1]Storage Fees'!A:M, 4, FALSE))) * U376)*1.5</f>
        <v>-1.1589409722222221</v>
      </c>
    </row>
    <row r="377" spans="1:40" x14ac:dyDescent="0.25">
      <c r="A377" s="99">
        <v>305</v>
      </c>
      <c r="B377" s="99" t="s">
        <v>107</v>
      </c>
      <c r="C377" s="99"/>
      <c r="D377" s="99"/>
      <c r="E377" s="99" t="s">
        <v>296</v>
      </c>
      <c r="F377" s="99" t="s">
        <v>323</v>
      </c>
      <c r="G377" s="99" t="s">
        <v>13656</v>
      </c>
      <c r="H377" s="99">
        <v>13</v>
      </c>
      <c r="I377" s="99">
        <v>11</v>
      </c>
      <c r="J377" s="99">
        <v>4</v>
      </c>
      <c r="K377" s="101" t="str">
        <f t="shared" si="57"/>
        <v>13x11x4</v>
      </c>
      <c r="L377" s="102">
        <f t="shared" si="58"/>
        <v>4.1151079136690649</v>
      </c>
      <c r="M377" s="113">
        <f t="shared" si="59"/>
        <v>4.1151079136690649</v>
      </c>
      <c r="N377" s="113">
        <f t="shared" si="60"/>
        <v>5</v>
      </c>
      <c r="O377" s="99">
        <v>6</v>
      </c>
      <c r="P377" s="113">
        <f t="shared" si="61"/>
        <v>6</v>
      </c>
      <c r="Q377" s="112">
        <f t="shared" si="62"/>
        <v>96</v>
      </c>
      <c r="R377" s="112" t="str">
        <f t="shared" si="63"/>
        <v>Standard-size</v>
      </c>
      <c r="S377" s="99" t="str">
        <f t="shared" si="64"/>
        <v>Large standard-size</v>
      </c>
      <c r="T377" s="116" t="s">
        <v>13693</v>
      </c>
      <c r="U377" s="116">
        <f t="shared" si="65"/>
        <v>0.33101851851851855</v>
      </c>
      <c r="V377" s="116" t="s">
        <v>13583</v>
      </c>
      <c r="W377" s="116" t="s">
        <v>13690</v>
      </c>
      <c r="X377" s="99" t="s">
        <v>13583</v>
      </c>
      <c r="Y377" s="99">
        <v>1</v>
      </c>
      <c r="Z377" s="99">
        <v>2</v>
      </c>
      <c r="AA377" s="99">
        <v>1</v>
      </c>
      <c r="AB377" s="99"/>
      <c r="AC377" s="99"/>
      <c r="AD377" s="107">
        <v>60.955634408602421</v>
      </c>
      <c r="AE377" s="113">
        <f t="shared" si="66"/>
        <v>-9.1433451612903625</v>
      </c>
      <c r="AF377" s="116">
        <f>-IFERROR(IFERROR(VLOOKUP(ROUNDUP($Q377,0),'FBA FEES'!$L$2:$Q$203,MATCH($S377,'FBA FEES'!$L$2:$Q$2,0),FALSE),VLOOKUP(ROUNDUP($Q377,0),'FBA FEES'!$C$6:$F$123,MATCH($S377,'FBA FEES'!$C$6:$F$6,0),FALSE)),0)</f>
        <v>-7.88</v>
      </c>
      <c r="AG377" s="116">
        <v>-10</v>
      </c>
      <c r="AH377" s="113">
        <f t="shared" si="67"/>
        <v>-17.023345161290361</v>
      </c>
      <c r="AI377" s="116">
        <f>-IFERROR(IF($Y377=1,INDEX('[1]REMOVAL FEES'!$A$1:$C$22,MATCH(CONCATENATE("Standard Size",$P377),'[1]REMOVAL FEES'!$A$1:$A$22,0),3),IF($Y377=2,IF($P377&gt;10,(($P377-10)*1.06)+INDEX('[1]REMOVAL FEES'!$E$1:$G$22,MATCH(CONCATENATE("Large bulky, extra-large and special handling items",IF($P377&gt;=11,11,$P377)),'[1]REMOVAL FEES'!$E$1:$E$13,0),3),INDEX('[1]REMOVAL FEES'!$E$1:$G$22,MATCH(CONCATENATE("Large bulky, extra-large and special handling items",IF($P377&gt;=11,11,$P377)),'[1]REMOVAL FEES'!$E$1:$E$13,0),3))))*$AA377,FALSE)</f>
        <v>-7.1300000000000008</v>
      </c>
      <c r="AJ377" s="107">
        <f t="shared" si="68"/>
        <v>-24.15334516129036</v>
      </c>
      <c r="AK377" s="107">
        <v>-22.302016129032321</v>
      </c>
      <c r="AL377" s="107">
        <v>-2.0985030116246808</v>
      </c>
      <c r="AM377" s="107">
        <f t="shared" si="69"/>
        <v>-24.400519140657003</v>
      </c>
      <c r="AN377" s="116">
        <f>(-IF($V377="Yes", IF($X377="Yes", VLOOKUP($W377, '[1]Storage Fees'!A:M, 13, FALSE), VLOOKUP($W377, '[1]Storage Fees'!A:M, 10, FALSE)), IF($X377="Yes", VLOOKUP($W377, '[1]Storage Fees'!A:M, 7, FALSE), VLOOKUP($W377, '[1]Storage Fees'!A:M, 4, FALSE))) * U377)*1.5</f>
        <v>-0.60576388888888899</v>
      </c>
    </row>
    <row r="378" spans="1:40" x14ac:dyDescent="0.25">
      <c r="A378" s="99">
        <v>306</v>
      </c>
      <c r="B378" s="99"/>
      <c r="C378" s="99" t="s">
        <v>13655</v>
      </c>
      <c r="D378" s="99"/>
      <c r="E378" s="99" t="s">
        <v>166</v>
      </c>
      <c r="F378" s="99" t="s">
        <v>1752</v>
      </c>
      <c r="G378" s="99" t="s">
        <v>13695</v>
      </c>
      <c r="H378" s="99">
        <v>0</v>
      </c>
      <c r="I378" s="99">
        <v>0</v>
      </c>
      <c r="J378" s="99">
        <v>0</v>
      </c>
      <c r="K378" s="101" t="str">
        <f t="shared" si="57"/>
        <v>0x0x0</v>
      </c>
      <c r="L378" s="102">
        <f t="shared" si="58"/>
        <v>0</v>
      </c>
      <c r="M378" s="113">
        <f t="shared" si="59"/>
        <v>0</v>
      </c>
      <c r="N378" s="113">
        <f t="shared" si="60"/>
        <v>0</v>
      </c>
      <c r="O378" s="99">
        <v>0</v>
      </c>
      <c r="P378" s="113">
        <f t="shared" si="61"/>
        <v>0</v>
      </c>
      <c r="Q378" s="112">
        <f t="shared" si="62"/>
        <v>0</v>
      </c>
      <c r="R378" s="112" t="str">
        <f t="shared" si="63"/>
        <v>Standard-size</v>
      </c>
      <c r="S378" s="99" t="str">
        <f t="shared" si="64"/>
        <v>Small standard-size</v>
      </c>
      <c r="T378" s="116" t="s">
        <v>13696</v>
      </c>
      <c r="U378" s="116">
        <f t="shared" si="65"/>
        <v>0</v>
      </c>
      <c r="V378" s="116" t="s">
        <v>13583</v>
      </c>
      <c r="W378" s="116" t="s">
        <v>13690</v>
      </c>
      <c r="X378" s="99" t="s">
        <v>13583</v>
      </c>
      <c r="Y378" s="99">
        <v>1</v>
      </c>
      <c r="Z378" s="99">
        <v>1</v>
      </c>
      <c r="AA378" s="99">
        <v>1</v>
      </c>
      <c r="AB378" s="99"/>
      <c r="AC378" s="99"/>
      <c r="AD378" s="107">
        <v>0</v>
      </c>
      <c r="AE378" s="113">
        <f t="shared" si="66"/>
        <v>0</v>
      </c>
      <c r="AF378" s="116">
        <f>-IFERROR(IFERROR(VLOOKUP(ROUNDUP($Q378,0),'FBA FEES'!$L$2:$Q$203,MATCH($S378,'FBA FEES'!$L$2:$Q$2,0),FALSE),VLOOKUP(ROUNDUP($Q378,0),'FBA FEES'!$C$6:$F$123,MATCH($S378,'FBA FEES'!$C$6:$F$6,0),FALSE)),0)</f>
        <v>0</v>
      </c>
      <c r="AG378" s="116">
        <v>-10</v>
      </c>
      <c r="AH378" s="113">
        <f t="shared" si="67"/>
        <v>0</v>
      </c>
      <c r="AI378" s="116">
        <f>-IFERROR(IF($Y378=1,INDEX('[1]REMOVAL FEES'!$A$1:$C$22,MATCH(CONCATENATE("Standard Size",$P378),'[1]REMOVAL FEES'!$A$1:$A$22,0),3),IF($Y378=2,IF($P378&gt;10,(($P378-10)*1.06)+INDEX('[1]REMOVAL FEES'!$E$1:$G$22,MATCH(CONCATENATE("Large bulky, extra-large and special handling items",IF($P378&gt;=11,11,$P378)),'[1]REMOVAL FEES'!$E$1:$E$13,0),3),INDEX('[1]REMOVAL FEES'!$E$1:$G$22,MATCH(CONCATENATE("Large bulky, extra-large and special handling items",IF($P378&gt;=11,11,$P378)),'[1]REMOVAL FEES'!$E$1:$E$13,0),3))))*$AA378,FALSE)</f>
        <v>0</v>
      </c>
      <c r="AJ378" s="107">
        <f t="shared" si="68"/>
        <v>0</v>
      </c>
      <c r="AK378" s="107">
        <v>0</v>
      </c>
      <c r="AL378" s="107">
        <v>0</v>
      </c>
      <c r="AM378" s="107">
        <f t="shared" si="69"/>
        <v>0</v>
      </c>
      <c r="AN378" s="116">
        <f>(-IF($V378="Yes", IF($X378="Yes", VLOOKUP($W378, '[1]Storage Fees'!A:M, 13, FALSE), VLOOKUP($W378, '[1]Storage Fees'!A:M, 10, FALSE)), IF($X378="Yes", VLOOKUP($W378, '[1]Storage Fees'!A:M, 7, FALSE), VLOOKUP($W378, '[1]Storage Fees'!A:M, 4, FALSE))) * U378)*1.5</f>
        <v>0</v>
      </c>
    </row>
    <row r="379" spans="1:40" x14ac:dyDescent="0.25">
      <c r="A379" s="99">
        <v>307</v>
      </c>
      <c r="B379" s="99" t="s">
        <v>13702</v>
      </c>
      <c r="C379" s="99" t="s">
        <v>13655</v>
      </c>
      <c r="D379" s="99" t="s">
        <v>749</v>
      </c>
      <c r="E379" s="99" t="s">
        <v>166</v>
      </c>
      <c r="F379" s="99" t="s">
        <v>913</v>
      </c>
      <c r="G379" s="99" t="s">
        <v>13695</v>
      </c>
      <c r="H379" s="99">
        <v>19</v>
      </c>
      <c r="I379" s="99">
        <v>14</v>
      </c>
      <c r="J379" s="99">
        <v>6</v>
      </c>
      <c r="K379" s="101" t="str">
        <f t="shared" si="57"/>
        <v>19x14x6</v>
      </c>
      <c r="L379" s="102">
        <f t="shared" si="58"/>
        <v>11.482014388489208</v>
      </c>
      <c r="M379" s="113">
        <f t="shared" si="59"/>
        <v>11.482014388489208</v>
      </c>
      <c r="N379" s="113">
        <f t="shared" si="60"/>
        <v>12</v>
      </c>
      <c r="O379" s="99">
        <v>8</v>
      </c>
      <c r="P379" s="113">
        <f t="shared" si="61"/>
        <v>12</v>
      </c>
      <c r="Q379" s="112">
        <f t="shared" si="62"/>
        <v>192</v>
      </c>
      <c r="R379" s="112" t="str">
        <f t="shared" si="63"/>
        <v>Oversize</v>
      </c>
      <c r="S379" s="99" t="str">
        <f t="shared" si="64"/>
        <v>Large bulky</v>
      </c>
      <c r="T379" s="116" t="s">
        <v>13692</v>
      </c>
      <c r="U379" s="116">
        <f t="shared" si="65"/>
        <v>0.92361111111111116</v>
      </c>
      <c r="V379" s="116" t="s">
        <v>13583</v>
      </c>
      <c r="W379" s="116" t="s">
        <v>13690</v>
      </c>
      <c r="X379" s="116" t="s">
        <v>13691</v>
      </c>
      <c r="Y379" s="116">
        <v>2</v>
      </c>
      <c r="Z379" s="116">
        <v>3</v>
      </c>
      <c r="AA379" s="116">
        <v>1</v>
      </c>
      <c r="AB379" s="99"/>
      <c r="AC379" s="99"/>
      <c r="AD379" s="107">
        <v>0</v>
      </c>
      <c r="AE379" s="113">
        <f t="shared" si="66"/>
        <v>0</v>
      </c>
      <c r="AF379" s="116">
        <f>-IFERROR(IFERROR(VLOOKUP(ROUNDUP($Q379,0),'FBA FEES'!$L$2:$Q$203,MATCH($S379,'FBA FEES'!$L$2:$Q$2,0),FALSE),VLOOKUP(ROUNDUP($Q379,0),'FBA FEES'!$C$6:$F$123,MATCH($S379,'FBA FEES'!$C$6:$F$6,0),FALSE)),0)</f>
        <v>-13.79</v>
      </c>
      <c r="AG379" s="116">
        <v>-10</v>
      </c>
      <c r="AH379" s="113">
        <f t="shared" si="67"/>
        <v>-13.79</v>
      </c>
      <c r="AI379" s="116">
        <f>-IFERROR(IF($Y379=1,INDEX('[1]REMOVAL FEES'!$A$1:$C$22,MATCH(CONCATENATE("Standard Size",$P379),'[1]REMOVAL FEES'!$A$1:$A$22,0),3),IF($Y379=2,IF($P379&gt;10,(($P379-10)*1.06)+INDEX('[1]REMOVAL FEES'!$E$1:$G$22,MATCH(CONCATENATE("Large bulky, extra-large and special handling items",IF($P379&gt;=11,11,$P379)),'[1]REMOVAL FEES'!$E$1:$E$13,0),3),INDEX('[1]REMOVAL FEES'!$E$1:$G$22,MATCH(CONCATENATE("Large bulky, extra-large and special handling items",IF($P379&gt;=11,11,$P379)),'[1]REMOVAL FEES'!$E$1:$E$13,0),3))))*$AA379,FALSE)</f>
        <v>-16.440000000000001</v>
      </c>
      <c r="AJ379" s="107">
        <f t="shared" si="68"/>
        <v>-30.23</v>
      </c>
      <c r="AK379" s="107">
        <v>0</v>
      </c>
      <c r="AL379" s="107">
        <v>0</v>
      </c>
      <c r="AM379" s="107">
        <f t="shared" si="69"/>
        <v>0</v>
      </c>
      <c r="AN379" s="116">
        <f>(-IF($V379="Yes", IF($X379="Yes", VLOOKUP($W379, '[1]Storage Fees'!A:M, 13, FALSE), VLOOKUP($W379, '[1]Storage Fees'!A:M, 10, FALSE)), IF($X379="Yes", VLOOKUP($W379, '[1]Storage Fees'!A:M, 7, FALSE), VLOOKUP($W379, '[1]Storage Fees'!A:M, 4, FALSE))) * U379)*1.5</f>
        <v>-1.0944791666666667</v>
      </c>
    </row>
    <row r="380" spans="1:40" x14ac:dyDescent="0.25">
      <c r="A380" s="99">
        <v>308</v>
      </c>
      <c r="B380" s="99" t="s">
        <v>283</v>
      </c>
      <c r="C380" s="99" t="s">
        <v>13655</v>
      </c>
      <c r="D380" s="99" t="s">
        <v>865</v>
      </c>
      <c r="E380" s="99" t="s">
        <v>278</v>
      </c>
      <c r="F380" s="99" t="s">
        <v>916</v>
      </c>
      <c r="G380" s="99" t="s">
        <v>13695</v>
      </c>
      <c r="H380" s="99">
        <v>13</v>
      </c>
      <c r="I380" s="99">
        <v>5</v>
      </c>
      <c r="J380" s="99">
        <v>3</v>
      </c>
      <c r="K380" s="101" t="str">
        <f t="shared" si="57"/>
        <v>13x5x3</v>
      </c>
      <c r="L380" s="102">
        <f t="shared" si="58"/>
        <v>1.4028776978417266</v>
      </c>
      <c r="M380" s="113">
        <f t="shared" si="59"/>
        <v>1.4028776978417266</v>
      </c>
      <c r="N380" s="113">
        <f t="shared" si="60"/>
        <v>2</v>
      </c>
      <c r="O380" s="99">
        <v>27</v>
      </c>
      <c r="P380" s="113">
        <f t="shared" si="61"/>
        <v>27</v>
      </c>
      <c r="Q380" s="112">
        <f t="shared" si="62"/>
        <v>432</v>
      </c>
      <c r="R380" s="112" t="str">
        <f t="shared" si="63"/>
        <v>Oversize</v>
      </c>
      <c r="S380" s="99" t="str">
        <f t="shared" si="64"/>
        <v>Large bulky</v>
      </c>
      <c r="T380" s="116" t="s">
        <v>13692</v>
      </c>
      <c r="U380" s="116">
        <f t="shared" si="65"/>
        <v>0.11284722222222222</v>
      </c>
      <c r="V380" s="116" t="s">
        <v>13583</v>
      </c>
      <c r="W380" s="116" t="s">
        <v>13690</v>
      </c>
      <c r="X380" s="116" t="s">
        <v>13691</v>
      </c>
      <c r="Y380" s="116">
        <v>2</v>
      </c>
      <c r="Z380" s="116">
        <v>3</v>
      </c>
      <c r="AA380" s="116">
        <v>1</v>
      </c>
      <c r="AB380" s="99"/>
      <c r="AC380" s="99"/>
      <c r="AD380" s="107">
        <v>0</v>
      </c>
      <c r="AE380" s="113">
        <f t="shared" si="66"/>
        <v>0</v>
      </c>
      <c r="AF380" s="116">
        <f>-IFERROR(IFERROR(VLOOKUP(ROUNDUP($Q380,0),'FBA FEES'!$L$2:$Q$203,MATCH($S380,'FBA FEES'!$L$2:$Q$2,0),FALSE),VLOOKUP(ROUNDUP($Q380,0),'FBA FEES'!$C$6:$F$123,MATCH($S380,'FBA FEES'!$C$6:$F$6,0),FALSE)),0)</f>
        <v>-19.490000000000002</v>
      </c>
      <c r="AG380" s="116">
        <v>-10</v>
      </c>
      <c r="AH380" s="113">
        <f t="shared" si="67"/>
        <v>-19.490000000000002</v>
      </c>
      <c r="AI380" s="116">
        <f>-IFERROR(IF($Y380=1,INDEX('[1]REMOVAL FEES'!$A$1:$C$22,MATCH(CONCATENATE("Standard Size",$P380),'[1]REMOVAL FEES'!$A$1:$A$22,0),3),IF($Y380=2,IF($P380&gt;10,(($P380-10)*1.06)+INDEX('[1]REMOVAL FEES'!$E$1:$G$22,MATCH(CONCATENATE("Large bulky, extra-large and special handling items",IF($P380&gt;=11,11,$P380)),'[1]REMOVAL FEES'!$E$1:$E$13,0),3),INDEX('[1]REMOVAL FEES'!$E$1:$G$22,MATCH(CONCATENATE("Large bulky, extra-large and special handling items",IF($P380&gt;=11,11,$P380)),'[1]REMOVAL FEES'!$E$1:$E$13,0),3))))*$AA380,FALSE)</f>
        <v>-32.340000000000003</v>
      </c>
      <c r="AJ380" s="107">
        <f t="shared" si="68"/>
        <v>-51.830000000000005</v>
      </c>
      <c r="AK380" s="107">
        <v>0</v>
      </c>
      <c r="AL380" s="107">
        <v>0</v>
      </c>
      <c r="AM380" s="107">
        <f t="shared" si="69"/>
        <v>0</v>
      </c>
      <c r="AN380" s="116">
        <f>(-IF($V380="Yes", IF($X380="Yes", VLOOKUP($W380, '[1]Storage Fees'!A:M, 13, FALSE), VLOOKUP($W380, '[1]Storage Fees'!A:M, 10, FALSE)), IF($X380="Yes", VLOOKUP($W380, '[1]Storage Fees'!A:M, 7, FALSE), VLOOKUP($W380, '[1]Storage Fees'!A:M, 4, FALSE))) * U380)*1.5</f>
        <v>-0.13372395833333334</v>
      </c>
    </row>
    <row r="381" spans="1:40" x14ac:dyDescent="0.25">
      <c r="A381" s="99">
        <v>309</v>
      </c>
      <c r="B381" s="99"/>
      <c r="C381" s="99" t="s">
        <v>13655</v>
      </c>
      <c r="D381" s="99"/>
      <c r="E381" s="99" t="s">
        <v>278</v>
      </c>
      <c r="F381" s="99" t="s">
        <v>1754</v>
      </c>
      <c r="G381" s="99" t="s">
        <v>13695</v>
      </c>
      <c r="H381" s="99">
        <v>0</v>
      </c>
      <c r="I381" s="99">
        <v>0</v>
      </c>
      <c r="J381" s="99">
        <v>0</v>
      </c>
      <c r="K381" s="101" t="str">
        <f t="shared" si="57"/>
        <v>0x0x0</v>
      </c>
      <c r="L381" s="102">
        <f t="shared" si="58"/>
        <v>0</v>
      </c>
      <c r="M381" s="113">
        <f t="shared" si="59"/>
        <v>0</v>
      </c>
      <c r="N381" s="113">
        <f t="shared" si="60"/>
        <v>0</v>
      </c>
      <c r="O381" s="99">
        <v>0</v>
      </c>
      <c r="P381" s="113">
        <f t="shared" si="61"/>
        <v>0</v>
      </c>
      <c r="Q381" s="112">
        <f t="shared" si="62"/>
        <v>0</v>
      </c>
      <c r="R381" s="112" t="str">
        <f t="shared" si="63"/>
        <v>Standard-size</v>
      </c>
      <c r="S381" s="99" t="str">
        <f t="shared" si="64"/>
        <v>Small standard-size</v>
      </c>
      <c r="T381" s="116" t="s">
        <v>13696</v>
      </c>
      <c r="U381" s="116">
        <f t="shared" si="65"/>
        <v>0</v>
      </c>
      <c r="V381" s="116" t="s">
        <v>13583</v>
      </c>
      <c r="W381" s="116" t="s">
        <v>13690</v>
      </c>
      <c r="X381" s="99" t="s">
        <v>13583</v>
      </c>
      <c r="Y381" s="99">
        <v>1</v>
      </c>
      <c r="Z381" s="99">
        <v>1</v>
      </c>
      <c r="AA381" s="99">
        <v>1</v>
      </c>
      <c r="AB381" s="99"/>
      <c r="AC381" s="99"/>
      <c r="AD381" s="107">
        <v>134.55194444444501</v>
      </c>
      <c r="AE381" s="113">
        <f t="shared" si="66"/>
        <v>-20.182791666666752</v>
      </c>
      <c r="AF381" s="116">
        <f>-IFERROR(IFERROR(VLOOKUP(ROUNDUP($Q381,0),'FBA FEES'!$L$2:$Q$203,MATCH($S381,'FBA FEES'!$L$2:$Q$2,0),FALSE),VLOOKUP(ROUNDUP($Q381,0),'FBA FEES'!$C$6:$F$123,MATCH($S381,'FBA FEES'!$C$6:$F$6,0),FALSE)),0)</f>
        <v>0</v>
      </c>
      <c r="AG381" s="116">
        <v>-10</v>
      </c>
      <c r="AH381" s="113">
        <f t="shared" si="67"/>
        <v>-20.182791666666752</v>
      </c>
      <c r="AI381" s="116">
        <f>-IFERROR(IF($Y381=1,INDEX('[1]REMOVAL FEES'!$A$1:$C$22,MATCH(CONCATENATE("Standard Size",$P381),'[1]REMOVAL FEES'!$A$1:$A$22,0),3),IF($Y381=2,IF($P381&gt;10,(($P381-10)*1.06)+INDEX('[1]REMOVAL FEES'!$E$1:$G$22,MATCH(CONCATENATE("Large bulky, extra-large and special handling items",IF($P381&gt;=11,11,$P381)),'[1]REMOVAL FEES'!$E$1:$E$13,0),3),INDEX('[1]REMOVAL FEES'!$E$1:$G$22,MATCH(CONCATENATE("Large bulky, extra-large and special handling items",IF($P381&gt;=11,11,$P381)),'[1]REMOVAL FEES'!$E$1:$E$13,0),3))))*$AA381,FALSE)</f>
        <v>0</v>
      </c>
      <c r="AJ381" s="107">
        <f t="shared" si="68"/>
        <v>-20.182791666666752</v>
      </c>
      <c r="AK381" s="107">
        <v>-69.770000000000309</v>
      </c>
      <c r="AL381" s="107">
        <v>-11.755995487316911</v>
      </c>
      <c r="AM381" s="107">
        <f t="shared" si="69"/>
        <v>-81.525995487317218</v>
      </c>
      <c r="AN381" s="116">
        <f>(-IF($V381="Yes", IF($X381="Yes", VLOOKUP($W381, '[1]Storage Fees'!A:M, 13, FALSE), VLOOKUP($W381, '[1]Storage Fees'!A:M, 10, FALSE)), IF($X381="Yes", VLOOKUP($W381, '[1]Storage Fees'!A:M, 7, FALSE), VLOOKUP($W381, '[1]Storage Fees'!A:M, 4, FALSE))) * U381)*1.5</f>
        <v>0</v>
      </c>
    </row>
    <row r="382" spans="1:40" x14ac:dyDescent="0.25">
      <c r="A382" s="99">
        <v>310</v>
      </c>
      <c r="B382" s="99" t="s">
        <v>13702</v>
      </c>
      <c r="C382" s="99" t="s">
        <v>13655</v>
      </c>
      <c r="D382" s="99" t="s">
        <v>865</v>
      </c>
      <c r="E382" s="99" t="s">
        <v>148</v>
      </c>
      <c r="F382" s="99" t="s">
        <v>919</v>
      </c>
      <c r="G382" s="99" t="s">
        <v>13695</v>
      </c>
      <c r="H382" s="99">
        <v>9</v>
      </c>
      <c r="I382" s="99">
        <v>2</v>
      </c>
      <c r="J382" s="99">
        <v>2</v>
      </c>
      <c r="K382" s="101" t="str">
        <f t="shared" si="57"/>
        <v>9x2x2</v>
      </c>
      <c r="L382" s="102">
        <f t="shared" si="58"/>
        <v>0.25899280575539568</v>
      </c>
      <c r="M382" s="113">
        <f t="shared" si="59"/>
        <v>0.25899280575539568</v>
      </c>
      <c r="N382" s="113">
        <f t="shared" si="60"/>
        <v>0.5</v>
      </c>
      <c r="O382" s="99">
        <v>2.75</v>
      </c>
      <c r="P382" s="113">
        <f t="shared" si="61"/>
        <v>3</v>
      </c>
      <c r="Q382" s="112">
        <f t="shared" si="62"/>
        <v>48</v>
      </c>
      <c r="R382" s="112" t="str">
        <f t="shared" si="63"/>
        <v>Standard-size</v>
      </c>
      <c r="S382" s="99" t="str">
        <f t="shared" si="64"/>
        <v>Large standard-size</v>
      </c>
      <c r="T382" s="116" t="s">
        <v>13701</v>
      </c>
      <c r="U382" s="116">
        <f t="shared" si="65"/>
        <v>2.0833333333333332E-2</v>
      </c>
      <c r="V382" s="116" t="s">
        <v>13583</v>
      </c>
      <c r="W382" s="116" t="s">
        <v>13690</v>
      </c>
      <c r="X382" s="99" t="s">
        <v>13583</v>
      </c>
      <c r="Y382" s="99">
        <v>1</v>
      </c>
      <c r="Z382" s="99">
        <v>2</v>
      </c>
      <c r="AA382" s="99">
        <v>1</v>
      </c>
      <c r="AB382" s="99"/>
      <c r="AC382" s="99"/>
      <c r="AD382" s="107">
        <v>0</v>
      </c>
      <c r="AE382" s="113">
        <f t="shared" si="66"/>
        <v>0</v>
      </c>
      <c r="AF382" s="116">
        <f>-IFERROR(IFERROR(VLOOKUP(ROUNDUP($Q382,0),'FBA FEES'!$L$2:$Q$203,MATCH($S382,'FBA FEES'!$L$2:$Q$2,0),FALSE),VLOOKUP(ROUNDUP($Q382,0),'FBA FEES'!$C$6:$F$123,MATCH($S382,'FBA FEES'!$C$6:$F$6,0),FALSE)),0)</f>
        <v>-6.62</v>
      </c>
      <c r="AG382" s="116">
        <v>-10</v>
      </c>
      <c r="AH382" s="113">
        <f t="shared" si="67"/>
        <v>-6.62</v>
      </c>
      <c r="AI382" s="116">
        <f>-IFERROR(IF($Y382=1,INDEX('[1]REMOVAL FEES'!$A$1:$C$22,MATCH(CONCATENATE("Standard Size",$P382),'[1]REMOVAL FEES'!$A$1:$A$22,0),3),IF($Y382=2,IF($P382&gt;10,(($P382-10)*1.06)+INDEX('[1]REMOVAL FEES'!$E$1:$G$22,MATCH(CONCATENATE("Large bulky, extra-large and special handling items",IF($P382&gt;=11,11,$P382)),'[1]REMOVAL FEES'!$E$1:$E$13,0),3),INDEX('[1]REMOVAL FEES'!$E$1:$G$22,MATCH(CONCATENATE("Large bulky, extra-large and special handling items",IF($P382&gt;=11,11,$P382)),'[1]REMOVAL FEES'!$E$1:$E$13,0),3))))*$AA382,FALSE)</f>
        <v>-3.95</v>
      </c>
      <c r="AJ382" s="107">
        <f t="shared" si="68"/>
        <v>-10.57</v>
      </c>
      <c r="AK382" s="107">
        <v>0</v>
      </c>
      <c r="AL382" s="107">
        <v>0</v>
      </c>
      <c r="AM382" s="107">
        <f t="shared" si="69"/>
        <v>0</v>
      </c>
      <c r="AN382" s="116">
        <f>(-IF($V382="Yes", IF($X382="Yes", VLOOKUP($W382, '[1]Storage Fees'!A:M, 13, FALSE), VLOOKUP($W382, '[1]Storage Fees'!A:M, 10, FALSE)), IF($X382="Yes", VLOOKUP($W382, '[1]Storage Fees'!A:M, 7, FALSE), VLOOKUP($W382, '[1]Storage Fees'!A:M, 4, FALSE))) * U382)*1.5</f>
        <v>-3.8124999999999992E-2</v>
      </c>
    </row>
    <row r="383" spans="1:40" x14ac:dyDescent="0.25">
      <c r="A383" s="99">
        <v>311</v>
      </c>
      <c r="B383" s="99" t="s">
        <v>107</v>
      </c>
      <c r="C383" s="99"/>
      <c r="D383" s="99"/>
      <c r="E383" s="99" t="s">
        <v>278</v>
      </c>
      <c r="F383" s="99" t="s">
        <v>325</v>
      </c>
      <c r="G383" s="99" t="s">
        <v>13656</v>
      </c>
      <c r="H383" s="99">
        <v>14</v>
      </c>
      <c r="I383" s="99">
        <v>12</v>
      </c>
      <c r="J383" s="99">
        <v>4</v>
      </c>
      <c r="K383" s="101" t="str">
        <f t="shared" si="57"/>
        <v>14x12x4</v>
      </c>
      <c r="L383" s="102">
        <f t="shared" si="58"/>
        <v>4.8345323741007196</v>
      </c>
      <c r="M383" s="113">
        <f t="shared" si="59"/>
        <v>4.8345323741007196</v>
      </c>
      <c r="N383" s="113">
        <f t="shared" si="60"/>
        <v>5</v>
      </c>
      <c r="O383" s="99">
        <v>3</v>
      </c>
      <c r="P383" s="113">
        <f t="shared" si="61"/>
        <v>5</v>
      </c>
      <c r="Q383" s="112">
        <f t="shared" si="62"/>
        <v>80</v>
      </c>
      <c r="R383" s="112" t="str">
        <f t="shared" si="63"/>
        <v>Standard-size</v>
      </c>
      <c r="S383" s="99" t="str">
        <f t="shared" si="64"/>
        <v>Large standard-size</v>
      </c>
      <c r="T383" s="116" t="s">
        <v>13693</v>
      </c>
      <c r="U383" s="116">
        <f t="shared" si="65"/>
        <v>0.3888888888888889</v>
      </c>
      <c r="V383" s="116" t="s">
        <v>13583</v>
      </c>
      <c r="W383" s="116" t="s">
        <v>13690</v>
      </c>
      <c r="X383" s="99" t="s">
        <v>13583</v>
      </c>
      <c r="Y383" s="99">
        <v>1</v>
      </c>
      <c r="Z383" s="99">
        <v>2</v>
      </c>
      <c r="AA383" s="99">
        <v>1</v>
      </c>
      <c r="AB383" s="99"/>
      <c r="AC383" s="99"/>
      <c r="AD383" s="107">
        <v>28.342245762711709</v>
      </c>
      <c r="AE383" s="113">
        <f t="shared" si="66"/>
        <v>-4.2513368644067562</v>
      </c>
      <c r="AF383" s="116">
        <f>-IFERROR(IFERROR(VLOOKUP(ROUNDUP($Q383,0),'FBA FEES'!$L$2:$Q$203,MATCH($S383,'FBA FEES'!$L$2:$Q$2,0),FALSE),VLOOKUP(ROUNDUP($Q383,0),'FBA FEES'!$C$6:$F$123,MATCH($S383,'FBA FEES'!$C$6:$F$6,0),FALSE)),0)</f>
        <v>-7.56</v>
      </c>
      <c r="AG383" s="116">
        <v>-10</v>
      </c>
      <c r="AH383" s="113">
        <f t="shared" si="67"/>
        <v>-11.811336864406755</v>
      </c>
      <c r="AI383" s="116">
        <f>-IFERROR(IF($Y383=1,INDEX('[1]REMOVAL FEES'!$A$1:$C$22,MATCH(CONCATENATE("Standard Size",$P383),'[1]REMOVAL FEES'!$A$1:$A$22,0),3),IF($Y383=2,IF($P383&gt;10,(($P383-10)*1.06)+INDEX('[1]REMOVAL FEES'!$E$1:$G$22,MATCH(CONCATENATE("Large bulky, extra-large and special handling items",IF($P383&gt;=11,11,$P383)),'[1]REMOVAL FEES'!$E$1:$E$13,0),3),INDEX('[1]REMOVAL FEES'!$E$1:$G$22,MATCH(CONCATENATE("Large bulky, extra-large and special handling items",IF($P383&gt;=11,11,$P383)),'[1]REMOVAL FEES'!$E$1:$E$13,0),3))))*$AA383,FALSE)</f>
        <v>-6.07</v>
      </c>
      <c r="AJ383" s="107">
        <f t="shared" si="68"/>
        <v>-17.881336864406755</v>
      </c>
      <c r="AK383" s="107">
        <v>-7.0347457627118581</v>
      </c>
      <c r="AL383" s="107">
        <v>-1.3680339487489881</v>
      </c>
      <c r="AM383" s="107">
        <f t="shared" si="69"/>
        <v>-8.4027797114608465</v>
      </c>
      <c r="AN383" s="116">
        <f>(-IF($V383="Yes", IF($X383="Yes", VLOOKUP($W383, '[1]Storage Fees'!A:M, 13, FALSE), VLOOKUP($W383, '[1]Storage Fees'!A:M, 10, FALSE)), IF($X383="Yes", VLOOKUP($W383, '[1]Storage Fees'!A:M, 7, FALSE), VLOOKUP($W383, '[1]Storage Fees'!A:M, 4, FALSE))) * U383)*1.5</f>
        <v>-0.71166666666666667</v>
      </c>
    </row>
    <row r="384" spans="1:40" x14ac:dyDescent="0.25">
      <c r="A384" s="99">
        <v>312</v>
      </c>
      <c r="B384" s="99" t="s">
        <v>107</v>
      </c>
      <c r="C384" s="99"/>
      <c r="D384" s="99"/>
      <c r="E384" s="99" t="s">
        <v>278</v>
      </c>
      <c r="F384" s="99" t="s">
        <v>327</v>
      </c>
      <c r="G384" s="99" t="s">
        <v>13656</v>
      </c>
      <c r="H384" s="99">
        <v>25</v>
      </c>
      <c r="I384" s="99">
        <v>9</v>
      </c>
      <c r="J384" s="99">
        <v>4</v>
      </c>
      <c r="K384" s="101" t="str">
        <f t="shared" si="57"/>
        <v>25x9x4</v>
      </c>
      <c r="L384" s="102">
        <f t="shared" si="58"/>
        <v>6.4748201438848918</v>
      </c>
      <c r="M384" s="113">
        <f t="shared" si="59"/>
        <v>6.4748201438848918</v>
      </c>
      <c r="N384" s="113">
        <f t="shared" si="60"/>
        <v>7</v>
      </c>
      <c r="O384" s="99">
        <v>5</v>
      </c>
      <c r="P384" s="113">
        <f t="shared" si="61"/>
        <v>7</v>
      </c>
      <c r="Q384" s="112">
        <f t="shared" si="62"/>
        <v>112</v>
      </c>
      <c r="R384" s="112" t="str">
        <f t="shared" si="63"/>
        <v>Oversize</v>
      </c>
      <c r="S384" s="99" t="str">
        <f t="shared" si="64"/>
        <v>Large bulky</v>
      </c>
      <c r="T384" s="116" t="s">
        <v>13692</v>
      </c>
      <c r="U384" s="116">
        <f t="shared" si="65"/>
        <v>0.52083333333333337</v>
      </c>
      <c r="V384" s="116" t="s">
        <v>13583</v>
      </c>
      <c r="W384" s="116" t="s">
        <v>13690</v>
      </c>
      <c r="X384" s="116" t="s">
        <v>13691</v>
      </c>
      <c r="Y384" s="116">
        <v>2</v>
      </c>
      <c r="Z384" s="116">
        <v>3</v>
      </c>
      <c r="AA384" s="116">
        <v>1</v>
      </c>
      <c r="AB384" s="99"/>
      <c r="AC384" s="99"/>
      <c r="AD384" s="107">
        <v>49.335873015872949</v>
      </c>
      <c r="AE384" s="113">
        <f t="shared" si="66"/>
        <v>-7.4003809523809423</v>
      </c>
      <c r="AF384" s="116">
        <f>-IFERROR(IFERROR(VLOOKUP(ROUNDUP($Q384,0),'FBA FEES'!$L$2:$Q$203,MATCH($S384,'FBA FEES'!$L$2:$Q$2,0),FALSE),VLOOKUP(ROUNDUP($Q384,0),'FBA FEES'!$C$6:$F$123,MATCH($S384,'FBA FEES'!$C$6:$F$6,0),FALSE)),0)</f>
        <v>-11.89</v>
      </c>
      <c r="AG384" s="116">
        <v>-10</v>
      </c>
      <c r="AH384" s="113">
        <f t="shared" si="67"/>
        <v>-19.290380952380943</v>
      </c>
      <c r="AI384" s="116">
        <f>-IFERROR(IF($Y384=1,INDEX('[1]REMOVAL FEES'!$A$1:$C$22,MATCH(CONCATENATE("Standard Size",$P384),'[1]REMOVAL FEES'!$A$1:$A$22,0),3),IF($Y384=2,IF($P384&gt;10,(($P384-10)*1.06)+INDEX('[1]REMOVAL FEES'!$E$1:$G$22,MATCH(CONCATENATE("Large bulky, extra-large and special handling items",IF($P384&gt;=11,11,$P384)),'[1]REMOVAL FEES'!$E$1:$E$13,0),3),INDEX('[1]REMOVAL FEES'!$E$1:$G$22,MATCH(CONCATENATE("Large bulky, extra-large and special handling items",IF($P384&gt;=11,11,$P384)),'[1]REMOVAL FEES'!$E$1:$E$13,0),3))))*$AA384,FALSE)</f>
        <v>-10.039999999999999</v>
      </c>
      <c r="AJ384" s="107">
        <f t="shared" si="68"/>
        <v>-29.330380952380942</v>
      </c>
      <c r="AK384" s="107">
        <v>-12.990000000000011</v>
      </c>
      <c r="AL384" s="107">
        <v>-7.2449238893088097</v>
      </c>
      <c r="AM384" s="107">
        <f t="shared" si="69"/>
        <v>-20.234923889308821</v>
      </c>
      <c r="AN384" s="116">
        <f>(-IF($V384="Yes", IF($X384="Yes", VLOOKUP($W384, '[1]Storage Fees'!A:M, 13, FALSE), VLOOKUP($W384, '[1]Storage Fees'!A:M, 10, FALSE)), IF($X384="Yes", VLOOKUP($W384, '[1]Storage Fees'!A:M, 7, FALSE), VLOOKUP($W384, '[1]Storage Fees'!A:M, 4, FALSE))) * U384)*1.5</f>
        <v>-0.6171875</v>
      </c>
    </row>
    <row r="385" spans="1:40" x14ac:dyDescent="0.25">
      <c r="A385" s="99">
        <v>313</v>
      </c>
      <c r="B385" s="99" t="s">
        <v>107</v>
      </c>
      <c r="C385" s="99"/>
      <c r="D385" s="99"/>
      <c r="E385" s="99" t="s">
        <v>278</v>
      </c>
      <c r="F385" s="99" t="s">
        <v>329</v>
      </c>
      <c r="G385" s="99" t="s">
        <v>13656</v>
      </c>
      <c r="H385" s="99">
        <v>49</v>
      </c>
      <c r="I385" s="99">
        <v>9</v>
      </c>
      <c r="J385" s="99">
        <v>4</v>
      </c>
      <c r="K385" s="101" t="str">
        <f t="shared" si="57"/>
        <v>49x9x4</v>
      </c>
      <c r="L385" s="102">
        <f t="shared" si="58"/>
        <v>12.690647482014388</v>
      </c>
      <c r="M385" s="113">
        <f t="shared" si="59"/>
        <v>12.690647482014388</v>
      </c>
      <c r="N385" s="113">
        <f t="shared" si="60"/>
        <v>13</v>
      </c>
      <c r="O385" s="99">
        <v>16</v>
      </c>
      <c r="P385" s="113">
        <f t="shared" si="61"/>
        <v>16</v>
      </c>
      <c r="Q385" s="112">
        <f t="shared" si="62"/>
        <v>256</v>
      </c>
      <c r="R385" s="112" t="str">
        <f t="shared" si="63"/>
        <v>Oversize</v>
      </c>
      <c r="S385" s="99" t="str">
        <f t="shared" si="64"/>
        <v>Large bulky</v>
      </c>
      <c r="T385" s="116" t="s">
        <v>13692</v>
      </c>
      <c r="U385" s="116">
        <f t="shared" si="65"/>
        <v>1.0208333333333333</v>
      </c>
      <c r="V385" s="116" t="s">
        <v>13583</v>
      </c>
      <c r="W385" s="116" t="s">
        <v>13690</v>
      </c>
      <c r="X385" s="116" t="s">
        <v>13691</v>
      </c>
      <c r="Y385" s="116">
        <v>2</v>
      </c>
      <c r="Z385" s="116">
        <v>3</v>
      </c>
      <c r="AA385" s="116">
        <v>1</v>
      </c>
      <c r="AB385" s="99"/>
      <c r="AC385" s="99"/>
      <c r="AD385" s="107">
        <v>67.65103896103885</v>
      </c>
      <c r="AE385" s="113">
        <f t="shared" si="66"/>
        <v>-10.147655844155826</v>
      </c>
      <c r="AF385" s="116">
        <f>-IFERROR(IFERROR(VLOOKUP(ROUNDUP($Q385,0),'FBA FEES'!$L$2:$Q$203,MATCH($S385,'FBA FEES'!$L$2:$Q$2,0),FALSE),VLOOKUP(ROUNDUP($Q385,0),'FBA FEES'!$C$6:$F$123,MATCH($S385,'FBA FEES'!$C$6:$F$6,0),FALSE)),0)</f>
        <v>-15.309999999999999</v>
      </c>
      <c r="AG385" s="116">
        <v>-10</v>
      </c>
      <c r="AH385" s="113">
        <f t="shared" si="67"/>
        <v>-25.457655844155823</v>
      </c>
      <c r="AI385" s="116">
        <f>-IFERROR(IF($Y385=1,INDEX('[1]REMOVAL FEES'!$A$1:$C$22,MATCH(CONCATENATE("Standard Size",$P385),'[1]REMOVAL FEES'!$A$1:$A$22,0),3),IF($Y385=2,IF($P385&gt;10,(($P385-10)*1.06)+INDEX('[1]REMOVAL FEES'!$E$1:$G$22,MATCH(CONCATENATE("Large bulky, extra-large and special handling items",IF($P385&gt;=11,11,$P385)),'[1]REMOVAL FEES'!$E$1:$E$13,0),3),INDEX('[1]REMOVAL FEES'!$E$1:$G$22,MATCH(CONCATENATE("Large bulky, extra-large and special handling items",IF($P385&gt;=11,11,$P385)),'[1]REMOVAL FEES'!$E$1:$E$13,0),3))))*$AA385,FALSE)</f>
        <v>-20.68</v>
      </c>
      <c r="AJ385" s="107">
        <f t="shared" si="68"/>
        <v>-46.137655844155823</v>
      </c>
      <c r="AK385" s="107">
        <v>-24.550389610389601</v>
      </c>
      <c r="AL385" s="107">
        <v>-9.1039523809523857</v>
      </c>
      <c r="AM385" s="107">
        <f t="shared" si="69"/>
        <v>-33.654341991341987</v>
      </c>
      <c r="AN385" s="116">
        <f>(-IF($V385="Yes", IF($X385="Yes", VLOOKUP($W385, '[1]Storage Fees'!A:M, 13, FALSE), VLOOKUP($W385, '[1]Storage Fees'!A:M, 10, FALSE)), IF($X385="Yes", VLOOKUP($W385, '[1]Storage Fees'!A:M, 7, FALSE), VLOOKUP($W385, '[1]Storage Fees'!A:M, 4, FALSE))) * U385)*1.5</f>
        <v>-1.2096874999999998</v>
      </c>
    </row>
    <row r="386" spans="1:40" x14ac:dyDescent="0.25">
      <c r="A386" s="99">
        <v>314</v>
      </c>
      <c r="B386" s="99" t="s">
        <v>107</v>
      </c>
      <c r="C386" s="99"/>
      <c r="D386" s="99"/>
      <c r="E386" s="99" t="s">
        <v>278</v>
      </c>
      <c r="F386" s="99" t="s">
        <v>331</v>
      </c>
      <c r="G386" s="99" t="s">
        <v>13656</v>
      </c>
      <c r="H386" s="99">
        <v>13</v>
      </c>
      <c r="I386" s="99">
        <v>12</v>
      </c>
      <c r="J386" s="99">
        <v>4</v>
      </c>
      <c r="K386" s="101" t="str">
        <f t="shared" si="57"/>
        <v>13x12x4</v>
      </c>
      <c r="L386" s="102">
        <f t="shared" si="58"/>
        <v>4.4892086330935248</v>
      </c>
      <c r="M386" s="113">
        <f t="shared" si="59"/>
        <v>4.4892086330935248</v>
      </c>
      <c r="N386" s="113">
        <f t="shared" si="60"/>
        <v>5</v>
      </c>
      <c r="O386" s="99">
        <v>3</v>
      </c>
      <c r="P386" s="113">
        <f t="shared" si="61"/>
        <v>5</v>
      </c>
      <c r="Q386" s="112">
        <f t="shared" si="62"/>
        <v>80</v>
      </c>
      <c r="R386" s="112" t="str">
        <f t="shared" si="63"/>
        <v>Standard-size</v>
      </c>
      <c r="S386" s="99" t="str">
        <f t="shared" si="64"/>
        <v>Large standard-size</v>
      </c>
      <c r="T386" s="116" t="s">
        <v>13693</v>
      </c>
      <c r="U386" s="116">
        <f t="shared" si="65"/>
        <v>0.3611111111111111</v>
      </c>
      <c r="V386" s="116" t="s">
        <v>13583</v>
      </c>
      <c r="W386" s="116" t="s">
        <v>13690</v>
      </c>
      <c r="X386" s="99" t="s">
        <v>13583</v>
      </c>
      <c r="Y386" s="99">
        <v>1</v>
      </c>
      <c r="Z386" s="99">
        <v>2</v>
      </c>
      <c r="AA386" s="99">
        <v>1</v>
      </c>
      <c r="AB386" s="99"/>
      <c r="AC386" s="99"/>
      <c r="AD386" s="107">
        <v>28.700404040403981</v>
      </c>
      <c r="AE386" s="113">
        <f t="shared" si="66"/>
        <v>-4.3050606060605974</v>
      </c>
      <c r="AF386" s="116">
        <f>-IFERROR(IFERROR(VLOOKUP(ROUNDUP($Q386,0),'FBA FEES'!$L$2:$Q$203,MATCH($S386,'FBA FEES'!$L$2:$Q$2,0),FALSE),VLOOKUP(ROUNDUP($Q386,0),'FBA FEES'!$C$6:$F$123,MATCH($S386,'FBA FEES'!$C$6:$F$6,0),FALSE)),0)</f>
        <v>-7.56</v>
      </c>
      <c r="AG386" s="116">
        <v>-10</v>
      </c>
      <c r="AH386" s="113">
        <f t="shared" si="67"/>
        <v>-11.865060606060597</v>
      </c>
      <c r="AI386" s="116">
        <f>-IFERROR(IF($Y386=1,INDEX('[1]REMOVAL FEES'!$A$1:$C$22,MATCH(CONCATENATE("Standard Size",$P386),'[1]REMOVAL FEES'!$A$1:$A$22,0),3),IF($Y386=2,IF($P386&gt;10,(($P386-10)*1.06)+INDEX('[1]REMOVAL FEES'!$E$1:$G$22,MATCH(CONCATENATE("Large bulky, extra-large and special handling items",IF($P386&gt;=11,11,$P386)),'[1]REMOVAL FEES'!$E$1:$E$13,0),3),INDEX('[1]REMOVAL FEES'!$E$1:$G$22,MATCH(CONCATENATE("Large bulky, extra-large and special handling items",IF($P386&gt;=11,11,$P386)),'[1]REMOVAL FEES'!$E$1:$E$13,0),3))))*$AA386,FALSE)</f>
        <v>-6.07</v>
      </c>
      <c r="AJ386" s="107">
        <f t="shared" si="68"/>
        <v>-17.935060606060595</v>
      </c>
      <c r="AK386" s="107">
        <v>-7.0618181818181851</v>
      </c>
      <c r="AL386" s="107">
        <v>-1.1943771786492381</v>
      </c>
      <c r="AM386" s="107">
        <f t="shared" si="69"/>
        <v>-8.256195360467423</v>
      </c>
      <c r="AN386" s="116">
        <f>(-IF($V386="Yes", IF($X386="Yes", VLOOKUP($W386, '[1]Storage Fees'!A:M, 13, FALSE), VLOOKUP($W386, '[1]Storage Fees'!A:M, 10, FALSE)), IF($X386="Yes", VLOOKUP($W386, '[1]Storage Fees'!A:M, 7, FALSE), VLOOKUP($W386, '[1]Storage Fees'!A:M, 4, FALSE))) * U386)*1.5</f>
        <v>-0.66083333333333327</v>
      </c>
    </row>
    <row r="387" spans="1:40" x14ac:dyDescent="0.25">
      <c r="A387" s="99">
        <v>315</v>
      </c>
      <c r="B387" s="99"/>
      <c r="C387" s="99" t="s">
        <v>13655</v>
      </c>
      <c r="D387" s="99"/>
      <c r="E387" s="99" t="s">
        <v>278</v>
      </c>
      <c r="F387" s="99" t="s">
        <v>1756</v>
      </c>
      <c r="G387" s="99" t="s">
        <v>13656</v>
      </c>
      <c r="H387" s="99">
        <v>0</v>
      </c>
      <c r="I387" s="99">
        <v>0</v>
      </c>
      <c r="J387" s="99">
        <v>0</v>
      </c>
      <c r="K387" s="101" t="str">
        <f t="shared" si="57"/>
        <v>0x0x0</v>
      </c>
      <c r="L387" s="102">
        <f t="shared" si="58"/>
        <v>0</v>
      </c>
      <c r="M387" s="113">
        <f t="shared" si="59"/>
        <v>0</v>
      </c>
      <c r="N387" s="113">
        <f t="shared" si="60"/>
        <v>0</v>
      </c>
      <c r="O387" s="99">
        <v>0</v>
      </c>
      <c r="P387" s="113">
        <f t="shared" si="61"/>
        <v>0</v>
      </c>
      <c r="Q387" s="112">
        <f t="shared" si="62"/>
        <v>0</v>
      </c>
      <c r="R387" s="112" t="str">
        <f t="shared" si="63"/>
        <v>Standard-size</v>
      </c>
      <c r="S387" s="99" t="str">
        <f t="shared" si="64"/>
        <v>Small standard-size</v>
      </c>
      <c r="T387" s="116" t="s">
        <v>13696</v>
      </c>
      <c r="U387" s="116">
        <f t="shared" si="65"/>
        <v>0</v>
      </c>
      <c r="V387" s="116" t="s">
        <v>13583</v>
      </c>
      <c r="W387" s="116" t="s">
        <v>13690</v>
      </c>
      <c r="X387" s="99" t="s">
        <v>13583</v>
      </c>
      <c r="Y387" s="99">
        <v>1</v>
      </c>
      <c r="Z387" s="99">
        <v>1</v>
      </c>
      <c r="AA387" s="99">
        <v>1</v>
      </c>
      <c r="AB387" s="99"/>
      <c r="AC387" s="99"/>
      <c r="AD387" s="107">
        <v>0</v>
      </c>
      <c r="AE387" s="113">
        <f t="shared" si="66"/>
        <v>0</v>
      </c>
      <c r="AF387" s="116">
        <f>-IFERROR(IFERROR(VLOOKUP(ROUNDUP($Q387,0),'FBA FEES'!$L$2:$Q$203,MATCH($S387,'FBA FEES'!$L$2:$Q$2,0),FALSE),VLOOKUP(ROUNDUP($Q387,0),'FBA FEES'!$C$6:$F$123,MATCH($S387,'FBA FEES'!$C$6:$F$6,0),FALSE)),0)</f>
        <v>0</v>
      </c>
      <c r="AG387" s="116">
        <v>-10</v>
      </c>
      <c r="AH387" s="113">
        <f t="shared" si="67"/>
        <v>0</v>
      </c>
      <c r="AI387" s="116">
        <f>-IFERROR(IF($Y387=1,INDEX('[1]REMOVAL FEES'!$A$1:$C$22,MATCH(CONCATENATE("Standard Size",$P387),'[1]REMOVAL FEES'!$A$1:$A$22,0),3),IF($Y387=2,IF($P387&gt;10,(($P387-10)*1.06)+INDEX('[1]REMOVAL FEES'!$E$1:$G$22,MATCH(CONCATENATE("Large bulky, extra-large and special handling items",IF($P387&gt;=11,11,$P387)),'[1]REMOVAL FEES'!$E$1:$E$13,0),3),INDEX('[1]REMOVAL FEES'!$E$1:$G$22,MATCH(CONCATENATE("Large bulky, extra-large and special handling items",IF($P387&gt;=11,11,$P387)),'[1]REMOVAL FEES'!$E$1:$E$13,0),3))))*$AA387,FALSE)</f>
        <v>0</v>
      </c>
      <c r="AJ387" s="107">
        <f t="shared" si="68"/>
        <v>0</v>
      </c>
      <c r="AK387" s="107">
        <v>0</v>
      </c>
      <c r="AL387" s="107">
        <v>0</v>
      </c>
      <c r="AM387" s="107">
        <f t="shared" si="69"/>
        <v>0</v>
      </c>
      <c r="AN387" s="116">
        <f>(-IF($V387="Yes", IF($X387="Yes", VLOOKUP($W387, '[1]Storage Fees'!A:M, 13, FALSE), VLOOKUP($W387, '[1]Storage Fees'!A:M, 10, FALSE)), IF($X387="Yes", VLOOKUP($W387, '[1]Storage Fees'!A:M, 7, FALSE), VLOOKUP($W387, '[1]Storage Fees'!A:M, 4, FALSE))) * U387)*1.5</f>
        <v>0</v>
      </c>
    </row>
    <row r="388" spans="1:40" x14ac:dyDescent="0.25">
      <c r="A388" s="99">
        <v>316</v>
      </c>
      <c r="B388" s="99"/>
      <c r="C388" s="99" t="s">
        <v>13655</v>
      </c>
      <c r="D388" s="99"/>
      <c r="E388" s="99" t="s">
        <v>278</v>
      </c>
      <c r="F388" s="99" t="s">
        <v>1758</v>
      </c>
      <c r="G388" s="99" t="s">
        <v>13695</v>
      </c>
      <c r="H388" s="99">
        <v>0</v>
      </c>
      <c r="I388" s="99">
        <v>0</v>
      </c>
      <c r="J388" s="99">
        <v>0</v>
      </c>
      <c r="K388" s="101" t="str">
        <f t="shared" si="57"/>
        <v>0x0x0</v>
      </c>
      <c r="L388" s="102">
        <f t="shared" si="58"/>
        <v>0</v>
      </c>
      <c r="M388" s="113">
        <f t="shared" si="59"/>
        <v>0</v>
      </c>
      <c r="N388" s="113">
        <f t="shared" si="60"/>
        <v>0</v>
      </c>
      <c r="O388" s="99">
        <v>0</v>
      </c>
      <c r="P388" s="113">
        <f t="shared" si="61"/>
        <v>0</v>
      </c>
      <c r="Q388" s="112">
        <f t="shared" si="62"/>
        <v>0</v>
      </c>
      <c r="R388" s="112" t="str">
        <f t="shared" si="63"/>
        <v>Standard-size</v>
      </c>
      <c r="S388" s="99" t="str">
        <f t="shared" si="64"/>
        <v>Small standard-size</v>
      </c>
      <c r="T388" s="116" t="s">
        <v>13696</v>
      </c>
      <c r="U388" s="116">
        <f t="shared" si="65"/>
        <v>0</v>
      </c>
      <c r="V388" s="116" t="s">
        <v>13583</v>
      </c>
      <c r="W388" s="116" t="s">
        <v>13690</v>
      </c>
      <c r="X388" s="99" t="s">
        <v>13583</v>
      </c>
      <c r="Y388" s="99">
        <v>1</v>
      </c>
      <c r="Z388" s="99">
        <v>1</v>
      </c>
      <c r="AA388" s="99">
        <v>1</v>
      </c>
      <c r="AB388" s="99"/>
      <c r="AC388" s="99"/>
      <c r="AD388" s="107">
        <v>0</v>
      </c>
      <c r="AE388" s="113">
        <f t="shared" si="66"/>
        <v>0</v>
      </c>
      <c r="AF388" s="116">
        <f>-IFERROR(IFERROR(VLOOKUP(ROUNDUP($Q388,0),'FBA FEES'!$L$2:$Q$203,MATCH($S388,'FBA FEES'!$L$2:$Q$2,0),FALSE),VLOOKUP(ROUNDUP($Q388,0),'FBA FEES'!$C$6:$F$123,MATCH($S388,'FBA FEES'!$C$6:$F$6,0),FALSE)),0)</f>
        <v>0</v>
      </c>
      <c r="AG388" s="116">
        <v>-10</v>
      </c>
      <c r="AH388" s="113">
        <f t="shared" si="67"/>
        <v>0</v>
      </c>
      <c r="AI388" s="116">
        <f>-IFERROR(IF($Y388=1,INDEX('[1]REMOVAL FEES'!$A$1:$C$22,MATCH(CONCATENATE("Standard Size",$P388),'[1]REMOVAL FEES'!$A$1:$A$22,0),3),IF($Y388=2,IF($P388&gt;10,(($P388-10)*1.06)+INDEX('[1]REMOVAL FEES'!$E$1:$G$22,MATCH(CONCATENATE("Large bulky, extra-large and special handling items",IF($P388&gt;=11,11,$P388)),'[1]REMOVAL FEES'!$E$1:$E$13,0),3),INDEX('[1]REMOVAL FEES'!$E$1:$G$22,MATCH(CONCATENATE("Large bulky, extra-large and special handling items",IF($P388&gt;=11,11,$P388)),'[1]REMOVAL FEES'!$E$1:$E$13,0),3))))*$AA388,FALSE)</f>
        <v>0</v>
      </c>
      <c r="AJ388" s="107">
        <f t="shared" si="68"/>
        <v>0</v>
      </c>
      <c r="AK388" s="107">
        <v>0</v>
      </c>
      <c r="AL388" s="107">
        <v>0</v>
      </c>
      <c r="AM388" s="107">
        <f t="shared" si="69"/>
        <v>0</v>
      </c>
      <c r="AN388" s="116">
        <f>(-IF($V388="Yes", IF($X388="Yes", VLOOKUP($W388, '[1]Storage Fees'!A:M, 13, FALSE), VLOOKUP($W388, '[1]Storage Fees'!A:M, 10, FALSE)), IF($X388="Yes", VLOOKUP($W388, '[1]Storage Fees'!A:M, 7, FALSE), VLOOKUP($W388, '[1]Storage Fees'!A:M, 4, FALSE))) * U388)*1.5</f>
        <v>0</v>
      </c>
    </row>
    <row r="389" spans="1:40" x14ac:dyDescent="0.25">
      <c r="A389" s="99">
        <v>317</v>
      </c>
      <c r="B389" s="99"/>
      <c r="C389" s="99" t="s">
        <v>13655</v>
      </c>
      <c r="D389" s="99"/>
      <c r="E389" s="99" t="s">
        <v>278</v>
      </c>
      <c r="F389" s="99" t="s">
        <v>1760</v>
      </c>
      <c r="G389" s="99" t="s">
        <v>13695</v>
      </c>
      <c r="H389" s="99">
        <v>0</v>
      </c>
      <c r="I389" s="99">
        <v>0</v>
      </c>
      <c r="J389" s="99">
        <v>0</v>
      </c>
      <c r="K389" s="101" t="str">
        <f t="shared" si="57"/>
        <v>0x0x0</v>
      </c>
      <c r="L389" s="102">
        <f t="shared" si="58"/>
        <v>0</v>
      </c>
      <c r="M389" s="113">
        <f t="shared" si="59"/>
        <v>0</v>
      </c>
      <c r="N389" s="113">
        <f t="shared" si="60"/>
        <v>0</v>
      </c>
      <c r="O389" s="99">
        <v>0</v>
      </c>
      <c r="P389" s="113">
        <f t="shared" si="61"/>
        <v>0</v>
      </c>
      <c r="Q389" s="112">
        <f t="shared" si="62"/>
        <v>0</v>
      </c>
      <c r="R389" s="112" t="str">
        <f t="shared" si="63"/>
        <v>Standard-size</v>
      </c>
      <c r="S389" s="99" t="str">
        <f t="shared" si="64"/>
        <v>Small standard-size</v>
      </c>
      <c r="T389" s="116" t="s">
        <v>13696</v>
      </c>
      <c r="U389" s="116">
        <f t="shared" si="65"/>
        <v>0</v>
      </c>
      <c r="V389" s="116" t="s">
        <v>13583</v>
      </c>
      <c r="W389" s="116" t="s">
        <v>13690</v>
      </c>
      <c r="X389" s="99" t="s">
        <v>13583</v>
      </c>
      <c r="Y389" s="99">
        <v>1</v>
      </c>
      <c r="Z389" s="99">
        <v>1</v>
      </c>
      <c r="AA389" s="99">
        <v>1</v>
      </c>
      <c r="AB389" s="99"/>
      <c r="AC389" s="99"/>
      <c r="AD389" s="107">
        <v>0</v>
      </c>
      <c r="AE389" s="113">
        <f t="shared" si="66"/>
        <v>0</v>
      </c>
      <c r="AF389" s="116">
        <f>-IFERROR(IFERROR(VLOOKUP(ROUNDUP($Q389,0),'FBA FEES'!$L$2:$Q$203,MATCH($S389,'FBA FEES'!$L$2:$Q$2,0),FALSE),VLOOKUP(ROUNDUP($Q389,0),'FBA FEES'!$C$6:$F$123,MATCH($S389,'FBA FEES'!$C$6:$F$6,0),FALSE)),0)</f>
        <v>0</v>
      </c>
      <c r="AG389" s="116">
        <v>-10</v>
      </c>
      <c r="AH389" s="113">
        <f t="shared" si="67"/>
        <v>0</v>
      </c>
      <c r="AI389" s="116">
        <f>-IFERROR(IF($Y389=1,INDEX('[1]REMOVAL FEES'!$A$1:$C$22,MATCH(CONCATENATE("Standard Size",$P389),'[1]REMOVAL FEES'!$A$1:$A$22,0),3),IF($Y389=2,IF($P389&gt;10,(($P389-10)*1.06)+INDEX('[1]REMOVAL FEES'!$E$1:$G$22,MATCH(CONCATENATE("Large bulky, extra-large and special handling items",IF($P389&gt;=11,11,$P389)),'[1]REMOVAL FEES'!$E$1:$E$13,0),3),INDEX('[1]REMOVAL FEES'!$E$1:$G$22,MATCH(CONCATENATE("Large bulky, extra-large and special handling items",IF($P389&gt;=11,11,$P389)),'[1]REMOVAL FEES'!$E$1:$E$13,0),3))))*$AA389,FALSE)</f>
        <v>0</v>
      </c>
      <c r="AJ389" s="107">
        <f t="shared" si="68"/>
        <v>0</v>
      </c>
      <c r="AK389" s="107">
        <v>0</v>
      </c>
      <c r="AL389" s="107">
        <v>0</v>
      </c>
      <c r="AM389" s="107">
        <f t="shared" si="69"/>
        <v>0</v>
      </c>
      <c r="AN389" s="116">
        <f>(-IF($V389="Yes", IF($X389="Yes", VLOOKUP($W389, '[1]Storage Fees'!A:M, 13, FALSE), VLOOKUP($W389, '[1]Storage Fees'!A:M, 10, FALSE)), IF($X389="Yes", VLOOKUP($W389, '[1]Storage Fees'!A:M, 7, FALSE), VLOOKUP($W389, '[1]Storage Fees'!A:M, 4, FALSE))) * U389)*1.5</f>
        <v>0</v>
      </c>
    </row>
    <row r="390" spans="1:40" x14ac:dyDescent="0.25">
      <c r="A390" s="99">
        <v>318</v>
      </c>
      <c r="B390" s="99"/>
      <c r="C390" s="99" t="s">
        <v>13655</v>
      </c>
      <c r="D390" s="99"/>
      <c r="E390" s="99" t="s">
        <v>278</v>
      </c>
      <c r="F390" s="99" t="s">
        <v>1762</v>
      </c>
      <c r="G390" s="99" t="s">
        <v>13695</v>
      </c>
      <c r="H390" s="99">
        <v>0</v>
      </c>
      <c r="I390" s="99">
        <v>0</v>
      </c>
      <c r="J390" s="99">
        <v>0</v>
      </c>
      <c r="K390" s="101" t="str">
        <f t="shared" si="57"/>
        <v>0x0x0</v>
      </c>
      <c r="L390" s="102">
        <f t="shared" si="58"/>
        <v>0</v>
      </c>
      <c r="M390" s="113">
        <f t="shared" si="59"/>
        <v>0</v>
      </c>
      <c r="N390" s="113">
        <f t="shared" si="60"/>
        <v>0</v>
      </c>
      <c r="O390" s="99">
        <v>0</v>
      </c>
      <c r="P390" s="113">
        <f t="shared" si="61"/>
        <v>0</v>
      </c>
      <c r="Q390" s="112">
        <f t="shared" si="62"/>
        <v>0</v>
      </c>
      <c r="R390" s="112" t="str">
        <f t="shared" si="63"/>
        <v>Standard-size</v>
      </c>
      <c r="S390" s="99" t="str">
        <f t="shared" si="64"/>
        <v>Small standard-size</v>
      </c>
      <c r="T390" s="116" t="s">
        <v>13696</v>
      </c>
      <c r="U390" s="116">
        <f t="shared" si="65"/>
        <v>0</v>
      </c>
      <c r="V390" s="116" t="s">
        <v>13583</v>
      </c>
      <c r="W390" s="116" t="s">
        <v>13690</v>
      </c>
      <c r="X390" s="99" t="s">
        <v>13583</v>
      </c>
      <c r="Y390" s="99">
        <v>1</v>
      </c>
      <c r="Z390" s="99">
        <v>1</v>
      </c>
      <c r="AA390" s="99">
        <v>1</v>
      </c>
      <c r="AB390" s="99"/>
      <c r="AC390" s="99"/>
      <c r="AD390" s="107">
        <v>0</v>
      </c>
      <c r="AE390" s="113">
        <f t="shared" si="66"/>
        <v>0</v>
      </c>
      <c r="AF390" s="116">
        <f>-IFERROR(IFERROR(VLOOKUP(ROUNDUP($Q390,0),'FBA FEES'!$L$2:$Q$203,MATCH($S390,'FBA FEES'!$L$2:$Q$2,0),FALSE),VLOOKUP(ROUNDUP($Q390,0),'FBA FEES'!$C$6:$F$123,MATCH($S390,'FBA FEES'!$C$6:$F$6,0),FALSE)),0)</f>
        <v>0</v>
      </c>
      <c r="AG390" s="116">
        <v>-10</v>
      </c>
      <c r="AH390" s="113">
        <f t="shared" si="67"/>
        <v>0</v>
      </c>
      <c r="AI390" s="116">
        <f>-IFERROR(IF($Y390=1,INDEX('[1]REMOVAL FEES'!$A$1:$C$22,MATCH(CONCATENATE("Standard Size",$P390),'[1]REMOVAL FEES'!$A$1:$A$22,0),3),IF($Y390=2,IF($P390&gt;10,(($P390-10)*1.06)+INDEX('[1]REMOVAL FEES'!$E$1:$G$22,MATCH(CONCATENATE("Large bulky, extra-large and special handling items",IF($P390&gt;=11,11,$P390)),'[1]REMOVAL FEES'!$E$1:$E$13,0),3),INDEX('[1]REMOVAL FEES'!$E$1:$G$22,MATCH(CONCATENATE("Large bulky, extra-large and special handling items",IF($P390&gt;=11,11,$P390)),'[1]REMOVAL FEES'!$E$1:$E$13,0),3))))*$AA390,FALSE)</f>
        <v>0</v>
      </c>
      <c r="AJ390" s="107">
        <f t="shared" si="68"/>
        <v>0</v>
      </c>
      <c r="AK390" s="107">
        <v>0</v>
      </c>
      <c r="AL390" s="107">
        <v>0</v>
      </c>
      <c r="AM390" s="107">
        <f t="shared" si="69"/>
        <v>0</v>
      </c>
      <c r="AN390" s="116">
        <f>(-IF($V390="Yes", IF($X390="Yes", VLOOKUP($W390, '[1]Storage Fees'!A:M, 13, FALSE), VLOOKUP($W390, '[1]Storage Fees'!A:M, 10, FALSE)), IF($X390="Yes", VLOOKUP($W390, '[1]Storage Fees'!A:M, 7, FALSE), VLOOKUP($W390, '[1]Storage Fees'!A:M, 4, FALSE))) * U390)*1.5</f>
        <v>0</v>
      </c>
    </row>
    <row r="391" spans="1:40" x14ac:dyDescent="0.25">
      <c r="A391" s="99">
        <v>319</v>
      </c>
      <c r="B391" s="99"/>
      <c r="C391" s="99" t="s">
        <v>13655</v>
      </c>
      <c r="D391" s="99"/>
      <c r="E391" s="99" t="s">
        <v>148</v>
      </c>
      <c r="F391" s="99" t="s">
        <v>1764</v>
      </c>
      <c r="G391" s="99" t="s">
        <v>13695</v>
      </c>
      <c r="H391" s="99">
        <v>0</v>
      </c>
      <c r="I391" s="99">
        <v>0</v>
      </c>
      <c r="J391" s="99">
        <v>0</v>
      </c>
      <c r="K391" s="101" t="str">
        <f t="shared" si="57"/>
        <v>0x0x0</v>
      </c>
      <c r="L391" s="102">
        <f t="shared" si="58"/>
        <v>0</v>
      </c>
      <c r="M391" s="113">
        <f t="shared" si="59"/>
        <v>0</v>
      </c>
      <c r="N391" s="113">
        <f t="shared" si="60"/>
        <v>0</v>
      </c>
      <c r="O391" s="99">
        <v>0</v>
      </c>
      <c r="P391" s="113">
        <f t="shared" si="61"/>
        <v>0</v>
      </c>
      <c r="Q391" s="112">
        <f t="shared" si="62"/>
        <v>0</v>
      </c>
      <c r="R391" s="112" t="str">
        <f t="shared" si="63"/>
        <v>Standard-size</v>
      </c>
      <c r="S391" s="99" t="str">
        <f t="shared" si="64"/>
        <v>Small standard-size</v>
      </c>
      <c r="T391" s="116" t="s">
        <v>13696</v>
      </c>
      <c r="U391" s="116">
        <f t="shared" si="65"/>
        <v>0</v>
      </c>
      <c r="V391" s="116" t="s">
        <v>13583</v>
      </c>
      <c r="W391" s="116" t="s">
        <v>13690</v>
      </c>
      <c r="X391" s="99" t="s">
        <v>13583</v>
      </c>
      <c r="Y391" s="99">
        <v>1</v>
      </c>
      <c r="Z391" s="99">
        <v>1</v>
      </c>
      <c r="AA391" s="99">
        <v>1</v>
      </c>
      <c r="AB391" s="99"/>
      <c r="AC391" s="99"/>
      <c r="AD391" s="107">
        <v>0</v>
      </c>
      <c r="AE391" s="113">
        <f t="shared" si="66"/>
        <v>0</v>
      </c>
      <c r="AF391" s="116">
        <f>-IFERROR(IFERROR(VLOOKUP(ROUNDUP($Q391,0),'FBA FEES'!$L$2:$Q$203,MATCH($S391,'FBA FEES'!$L$2:$Q$2,0),FALSE),VLOOKUP(ROUNDUP($Q391,0),'FBA FEES'!$C$6:$F$123,MATCH($S391,'FBA FEES'!$C$6:$F$6,0),FALSE)),0)</f>
        <v>0</v>
      </c>
      <c r="AG391" s="116">
        <v>-10</v>
      </c>
      <c r="AH391" s="113">
        <f t="shared" si="67"/>
        <v>0</v>
      </c>
      <c r="AI391" s="116">
        <f>-IFERROR(IF($Y391=1,INDEX('[1]REMOVAL FEES'!$A$1:$C$22,MATCH(CONCATENATE("Standard Size",$P391),'[1]REMOVAL FEES'!$A$1:$A$22,0),3),IF($Y391=2,IF($P391&gt;10,(($P391-10)*1.06)+INDEX('[1]REMOVAL FEES'!$E$1:$G$22,MATCH(CONCATENATE("Large bulky, extra-large and special handling items",IF($P391&gt;=11,11,$P391)),'[1]REMOVAL FEES'!$E$1:$E$13,0),3),INDEX('[1]REMOVAL FEES'!$E$1:$G$22,MATCH(CONCATENATE("Large bulky, extra-large and special handling items",IF($P391&gt;=11,11,$P391)),'[1]REMOVAL FEES'!$E$1:$E$13,0),3))))*$AA391,FALSE)</f>
        <v>0</v>
      </c>
      <c r="AJ391" s="107">
        <f t="shared" si="68"/>
        <v>0</v>
      </c>
      <c r="AK391" s="107">
        <v>0</v>
      </c>
      <c r="AL391" s="107">
        <v>0</v>
      </c>
      <c r="AM391" s="107">
        <f t="shared" si="69"/>
        <v>0</v>
      </c>
      <c r="AN391" s="116">
        <f>(-IF($V391="Yes", IF($X391="Yes", VLOOKUP($W391, '[1]Storage Fees'!A:M, 13, FALSE), VLOOKUP($W391, '[1]Storage Fees'!A:M, 10, FALSE)), IF($X391="Yes", VLOOKUP($W391, '[1]Storage Fees'!A:M, 7, FALSE), VLOOKUP($W391, '[1]Storage Fees'!A:M, 4, FALSE))) * U391)*1.5</f>
        <v>0</v>
      </c>
    </row>
    <row r="392" spans="1:40" x14ac:dyDescent="0.25">
      <c r="A392" s="99">
        <v>320</v>
      </c>
      <c r="B392" s="99" t="s">
        <v>107</v>
      </c>
      <c r="C392" s="99"/>
      <c r="D392" s="99"/>
      <c r="E392" s="99" t="s">
        <v>282</v>
      </c>
      <c r="F392" s="99" t="s">
        <v>333</v>
      </c>
      <c r="G392" s="99" t="s">
        <v>13656</v>
      </c>
      <c r="H392" s="99">
        <v>12</v>
      </c>
      <c r="I392" s="99">
        <v>4</v>
      </c>
      <c r="J392" s="99">
        <v>2</v>
      </c>
      <c r="K392" s="101" t="str">
        <f t="shared" si="57"/>
        <v>12x4x2</v>
      </c>
      <c r="L392" s="102">
        <f t="shared" si="58"/>
        <v>0.69064748201438853</v>
      </c>
      <c r="M392" s="113">
        <f t="shared" si="59"/>
        <v>0.69064748201438853</v>
      </c>
      <c r="N392" s="113">
        <f t="shared" si="60"/>
        <v>0.75</v>
      </c>
      <c r="O392" s="99">
        <v>2</v>
      </c>
      <c r="P392" s="113">
        <f t="shared" si="61"/>
        <v>2</v>
      </c>
      <c r="Q392" s="112">
        <f t="shared" si="62"/>
        <v>32</v>
      </c>
      <c r="R392" s="112" t="str">
        <f t="shared" si="63"/>
        <v>Standard-size</v>
      </c>
      <c r="S392" s="99" t="str">
        <f t="shared" si="64"/>
        <v>Large standard-size</v>
      </c>
      <c r="T392" s="116" t="s">
        <v>13697</v>
      </c>
      <c r="U392" s="116">
        <f t="shared" si="65"/>
        <v>5.5555555555555552E-2</v>
      </c>
      <c r="V392" s="116" t="s">
        <v>13583</v>
      </c>
      <c r="W392" s="116" t="s">
        <v>13690</v>
      </c>
      <c r="X392" s="99" t="s">
        <v>13583</v>
      </c>
      <c r="Y392" s="99">
        <v>1</v>
      </c>
      <c r="Z392" s="99">
        <v>2</v>
      </c>
      <c r="AA392" s="99">
        <v>1</v>
      </c>
      <c r="AB392" s="99"/>
      <c r="AC392" s="99"/>
      <c r="AD392" s="107">
        <v>20.44406779661017</v>
      </c>
      <c r="AE392" s="113">
        <f t="shared" si="66"/>
        <v>-3.0666101694915255</v>
      </c>
      <c r="AF392" s="116">
        <f>-IFERROR(IFERROR(VLOOKUP(ROUNDUP($Q392,0),'FBA FEES'!$L$2:$Q$203,MATCH($S392,'FBA FEES'!$L$2:$Q$2,0),FALSE),VLOOKUP(ROUNDUP($Q392,0),'FBA FEES'!$C$6:$F$123,MATCH($S392,'FBA FEES'!$C$6:$F$6,0),FALSE)),0)</f>
        <v>-5.77</v>
      </c>
      <c r="AG392" s="116">
        <v>-10</v>
      </c>
      <c r="AH392" s="113">
        <f t="shared" si="67"/>
        <v>-8.8366101694915251</v>
      </c>
      <c r="AI392" s="116">
        <f>-IFERROR(IF($Y392=1,INDEX('[1]REMOVAL FEES'!$A$1:$C$22,MATCH(CONCATENATE("Standard Size",$P392),'[1]REMOVAL FEES'!$A$1:$A$22,0),3),IF($Y392=2,IF($P392&gt;10,(($P392-10)*1.06)+INDEX('[1]REMOVAL FEES'!$E$1:$G$22,MATCH(CONCATENATE("Large bulky, extra-large and special handling items",IF($P392&gt;=11,11,$P392)),'[1]REMOVAL FEES'!$E$1:$E$13,0),3),INDEX('[1]REMOVAL FEES'!$E$1:$G$22,MATCH(CONCATENATE("Large bulky, extra-large and special handling items",IF($P392&gt;=11,11,$P392)),'[1]REMOVAL FEES'!$E$1:$E$13,0),3))))*$AA392,FALSE)</f>
        <v>-2.27</v>
      </c>
      <c r="AJ392" s="107">
        <f t="shared" si="68"/>
        <v>-11.106610169491525</v>
      </c>
      <c r="AK392" s="107">
        <v>-4.3400000000000034</v>
      </c>
      <c r="AL392" s="107">
        <v>-0.92578329297820949</v>
      </c>
      <c r="AM392" s="107">
        <f t="shared" si="69"/>
        <v>-5.2657832929782131</v>
      </c>
      <c r="AN392" s="116">
        <f>(-IF($V392="Yes", IF($X392="Yes", VLOOKUP($W392, '[1]Storage Fees'!A:M, 13, FALSE), VLOOKUP($W392, '[1]Storage Fees'!A:M, 10, FALSE)), IF($X392="Yes", VLOOKUP($W392, '[1]Storage Fees'!A:M, 7, FALSE), VLOOKUP($W392, '[1]Storage Fees'!A:M, 4, FALSE))) * U392)*1.5</f>
        <v>-0.10166666666666666</v>
      </c>
    </row>
    <row r="393" spans="1:40" x14ac:dyDescent="0.25">
      <c r="A393" s="99">
        <v>321</v>
      </c>
      <c r="B393" s="99" t="s">
        <v>13700</v>
      </c>
      <c r="C393" s="99" t="s">
        <v>13655</v>
      </c>
      <c r="D393" s="99"/>
      <c r="E393" s="99" t="s">
        <v>148</v>
      </c>
      <c r="F393" s="99" t="s">
        <v>922</v>
      </c>
      <c r="G393" s="99" t="s">
        <v>13656</v>
      </c>
      <c r="H393" s="99">
        <v>37</v>
      </c>
      <c r="I393" s="99">
        <v>4</v>
      </c>
      <c r="J393" s="99">
        <v>4</v>
      </c>
      <c r="K393" s="101" t="str">
        <f t="shared" ref="K393:K456" si="70">H393&amp;"x"&amp;I393&amp;"x"&amp;J393</f>
        <v>37x4x4</v>
      </c>
      <c r="L393" s="102">
        <f t="shared" ref="L393:L456" si="71">(H393*I393*J393)/139</f>
        <v>4.2589928057553958</v>
      </c>
      <c r="M393" s="113">
        <f t="shared" ref="M393:M456" si="72">(H393*I393*J393)/139</f>
        <v>4.2589928057553958</v>
      </c>
      <c r="N393" s="113">
        <f t="shared" ref="N393:N456" si="73">IF(AND(M393&gt;0,M393&lt;=0.25),0.25,IF(AND(M393&gt;0.25,M393&lt;=0.5),0.5,IF(AND(M393&gt;0.5,M393&lt;=0.75),0.75,ROUNDUP(M393,0))))</f>
        <v>5</v>
      </c>
      <c r="O393" s="99">
        <v>7</v>
      </c>
      <c r="P393" s="113">
        <f t="shared" ref="P393:P456" si="74">ROUNDUP(MAX(L393,O393),0)</f>
        <v>7</v>
      </c>
      <c r="Q393" s="112">
        <f t="shared" ref="Q393:Q456" si="75">P393*16</f>
        <v>112</v>
      </c>
      <c r="R393" s="112" t="str">
        <f t="shared" ref="R393:R456" si="76">IF(RIGHT(S393,13)="standard-size","Standard-size","Oversize")</f>
        <v>Oversize</v>
      </c>
      <c r="S393" s="99" t="str">
        <f t="shared" ref="S393:S456" si="77">IF(AND($P393&lt;=$J$50,$H393&lt;=$G$50,$I393&lt;=$H$50,$J393&lt;=$I$50),$A$50,IF(AND($P393&lt;=$J$51,$H393&lt;=$G$51,$I393&lt;=$H$51,$J393&lt;=$I$51),$A$51,IF(AND($H393&lt;=$G$52,$I393&lt;=$H$52,$J393&lt;=$I$52,$P393&lt;=$J$52),$A$52,IF(AND($P393&lt;=$J$53,OR(H$8&gt;$G$53,$I393&gt;$H$53,$J393&gt;$I$53)),$A$53,IF(AND($P393&gt;$J$53,$P393&lt;=$J$54),$A$54,IF(AND($P393&gt;$J$54,$P393&lt;=$J$55),$A$55,$A$56))))))</f>
        <v>Large bulky</v>
      </c>
      <c r="T393" s="116" t="s">
        <v>13692</v>
      </c>
      <c r="U393" s="116">
        <f t="shared" ref="U393:U456" si="78">(H393*I393*J393)/1728</f>
        <v>0.34259259259259262</v>
      </c>
      <c r="V393" s="116" t="s">
        <v>13583</v>
      </c>
      <c r="W393" s="116" t="s">
        <v>13690</v>
      </c>
      <c r="X393" s="116" t="s">
        <v>13691</v>
      </c>
      <c r="Y393" s="116">
        <v>2</v>
      </c>
      <c r="Z393" s="116">
        <v>3</v>
      </c>
      <c r="AA393" s="116">
        <v>1</v>
      </c>
      <c r="AB393" s="99"/>
      <c r="AC393" s="99"/>
      <c r="AD393" s="107">
        <v>43.76</v>
      </c>
      <c r="AE393" s="113">
        <f t="shared" ref="AE393:AE456" si="79">-AD393*0.15</f>
        <v>-6.5639999999999992</v>
      </c>
      <c r="AF393" s="116">
        <f>-IFERROR(IFERROR(VLOOKUP(ROUNDUP($Q393,0),'FBA FEES'!$L$2:$Q$203,MATCH($S393,'FBA FEES'!$L$2:$Q$2,0),FALSE),VLOOKUP(ROUNDUP($Q393,0),'FBA FEES'!$C$6:$F$123,MATCH($S393,'FBA FEES'!$C$6:$F$6,0),FALSE)),0)</f>
        <v>-11.89</v>
      </c>
      <c r="AG393" s="116">
        <v>-10</v>
      </c>
      <c r="AH393" s="113">
        <f t="shared" ref="AH393:AH456" si="80">AE393+AF393</f>
        <v>-18.454000000000001</v>
      </c>
      <c r="AI393" s="116">
        <f>-IFERROR(IF($Y393=1,INDEX('[1]REMOVAL FEES'!$A$1:$C$22,MATCH(CONCATENATE("Standard Size",$P393),'[1]REMOVAL FEES'!$A$1:$A$22,0),3),IF($Y393=2,IF($P393&gt;10,(($P393-10)*1.06)+INDEX('[1]REMOVAL FEES'!$E$1:$G$22,MATCH(CONCATENATE("Large bulky, extra-large and special handling items",IF($P393&gt;=11,11,$P393)),'[1]REMOVAL FEES'!$E$1:$E$13,0),3),INDEX('[1]REMOVAL FEES'!$E$1:$G$22,MATCH(CONCATENATE("Large bulky, extra-large and special handling items",IF($P393&gt;=11,11,$P393)),'[1]REMOVAL FEES'!$E$1:$E$13,0),3))))*$AA393,FALSE)</f>
        <v>-10.039999999999999</v>
      </c>
      <c r="AJ393" s="107">
        <f t="shared" ref="AJ393:AJ456" si="81">AH393+AI393</f>
        <v>-28.494</v>
      </c>
      <c r="AK393" s="107">
        <v>-14.18000000000001</v>
      </c>
      <c r="AL393" s="107">
        <v>-6.9004888888888898</v>
      </c>
      <c r="AM393" s="107">
        <f t="shared" ref="AM393:AM456" si="82">AK393+AL393</f>
        <v>-21.080488888888901</v>
      </c>
      <c r="AN393" s="116">
        <f>(-IF($V393="Yes", IF($X393="Yes", VLOOKUP($W393, '[1]Storage Fees'!A:M, 13, FALSE), VLOOKUP($W393, '[1]Storage Fees'!A:M, 10, FALSE)), IF($X393="Yes", VLOOKUP($W393, '[1]Storage Fees'!A:M, 7, FALSE), VLOOKUP($W393, '[1]Storage Fees'!A:M, 4, FALSE))) * U393)*1.5</f>
        <v>-0.40597222222222229</v>
      </c>
    </row>
    <row r="394" spans="1:40" x14ac:dyDescent="0.25">
      <c r="A394" s="99">
        <v>322</v>
      </c>
      <c r="B394" s="99"/>
      <c r="C394" s="99" t="s">
        <v>13655</v>
      </c>
      <c r="D394" s="99"/>
      <c r="E394" s="99" t="s">
        <v>278</v>
      </c>
      <c r="F394" s="99" t="s">
        <v>1766</v>
      </c>
      <c r="G394" s="99" t="s">
        <v>13695</v>
      </c>
      <c r="H394" s="99">
        <v>0</v>
      </c>
      <c r="I394" s="99">
        <v>0</v>
      </c>
      <c r="J394" s="99">
        <v>0</v>
      </c>
      <c r="K394" s="101" t="str">
        <f t="shared" si="70"/>
        <v>0x0x0</v>
      </c>
      <c r="L394" s="102">
        <f t="shared" si="71"/>
        <v>0</v>
      </c>
      <c r="M394" s="113">
        <f t="shared" si="72"/>
        <v>0</v>
      </c>
      <c r="N394" s="113">
        <f t="shared" si="73"/>
        <v>0</v>
      </c>
      <c r="O394" s="99">
        <v>0</v>
      </c>
      <c r="P394" s="113">
        <f t="shared" si="74"/>
        <v>0</v>
      </c>
      <c r="Q394" s="112">
        <f t="shared" si="75"/>
        <v>0</v>
      </c>
      <c r="R394" s="112" t="str">
        <f t="shared" si="76"/>
        <v>Standard-size</v>
      </c>
      <c r="S394" s="99" t="str">
        <f t="shared" si="77"/>
        <v>Small standard-size</v>
      </c>
      <c r="T394" s="116" t="s">
        <v>13696</v>
      </c>
      <c r="U394" s="116">
        <f t="shared" si="78"/>
        <v>0</v>
      </c>
      <c r="V394" s="116" t="s">
        <v>13583</v>
      </c>
      <c r="W394" s="116" t="s">
        <v>13690</v>
      </c>
      <c r="X394" s="99" t="s">
        <v>13583</v>
      </c>
      <c r="Y394" s="99">
        <v>1</v>
      </c>
      <c r="Z394" s="99">
        <v>1</v>
      </c>
      <c r="AA394" s="99">
        <v>1</v>
      </c>
      <c r="AB394" s="99"/>
      <c r="AC394" s="99"/>
      <c r="AD394" s="107">
        <v>0</v>
      </c>
      <c r="AE394" s="113">
        <f t="shared" si="79"/>
        <v>0</v>
      </c>
      <c r="AF394" s="116">
        <f>-IFERROR(IFERROR(VLOOKUP(ROUNDUP($Q394,0),'FBA FEES'!$L$2:$Q$203,MATCH($S394,'FBA FEES'!$L$2:$Q$2,0),FALSE),VLOOKUP(ROUNDUP($Q394,0),'FBA FEES'!$C$6:$F$123,MATCH($S394,'FBA FEES'!$C$6:$F$6,0),FALSE)),0)</f>
        <v>0</v>
      </c>
      <c r="AG394" s="116">
        <v>-10</v>
      </c>
      <c r="AH394" s="113">
        <f t="shared" si="80"/>
        <v>0</v>
      </c>
      <c r="AI394" s="116">
        <f>-IFERROR(IF($Y394=1,INDEX('[1]REMOVAL FEES'!$A$1:$C$22,MATCH(CONCATENATE("Standard Size",$P394),'[1]REMOVAL FEES'!$A$1:$A$22,0),3),IF($Y394=2,IF($P394&gt;10,(($P394-10)*1.06)+INDEX('[1]REMOVAL FEES'!$E$1:$G$22,MATCH(CONCATENATE("Large bulky, extra-large and special handling items",IF($P394&gt;=11,11,$P394)),'[1]REMOVAL FEES'!$E$1:$E$13,0),3),INDEX('[1]REMOVAL FEES'!$E$1:$G$22,MATCH(CONCATENATE("Large bulky, extra-large and special handling items",IF($P394&gt;=11,11,$P394)),'[1]REMOVAL FEES'!$E$1:$E$13,0),3))))*$AA394,FALSE)</f>
        <v>0</v>
      </c>
      <c r="AJ394" s="107">
        <f t="shared" si="81"/>
        <v>0</v>
      </c>
      <c r="AK394" s="107">
        <v>0</v>
      </c>
      <c r="AL394" s="107">
        <v>0</v>
      </c>
      <c r="AM394" s="107">
        <f t="shared" si="82"/>
        <v>0</v>
      </c>
      <c r="AN394" s="116">
        <f>(-IF($V394="Yes", IF($X394="Yes", VLOOKUP($W394, '[1]Storage Fees'!A:M, 13, FALSE), VLOOKUP($W394, '[1]Storage Fees'!A:M, 10, FALSE)), IF($X394="Yes", VLOOKUP($W394, '[1]Storage Fees'!A:M, 7, FALSE), VLOOKUP($W394, '[1]Storage Fees'!A:M, 4, FALSE))) * U394)*1.5</f>
        <v>0</v>
      </c>
    </row>
    <row r="395" spans="1:40" x14ac:dyDescent="0.25">
      <c r="A395" s="99">
        <v>323</v>
      </c>
      <c r="B395" s="99" t="s">
        <v>107</v>
      </c>
      <c r="C395" s="99"/>
      <c r="D395" s="99"/>
      <c r="E395" s="99" t="s">
        <v>278</v>
      </c>
      <c r="F395" s="99" t="s">
        <v>335</v>
      </c>
      <c r="G395" s="99" t="s">
        <v>13656</v>
      </c>
      <c r="H395" s="99">
        <v>36</v>
      </c>
      <c r="I395" s="99">
        <v>8</v>
      </c>
      <c r="J395" s="99">
        <v>3</v>
      </c>
      <c r="K395" s="101" t="str">
        <f t="shared" si="70"/>
        <v>36x8x3</v>
      </c>
      <c r="L395" s="102">
        <f t="shared" si="71"/>
        <v>6.2158273381294968</v>
      </c>
      <c r="M395" s="113">
        <f t="shared" si="72"/>
        <v>6.2158273381294968</v>
      </c>
      <c r="N395" s="113">
        <f t="shared" si="73"/>
        <v>7</v>
      </c>
      <c r="O395" s="99">
        <v>11.5</v>
      </c>
      <c r="P395" s="113">
        <f t="shared" si="74"/>
        <v>12</v>
      </c>
      <c r="Q395" s="112">
        <f t="shared" si="75"/>
        <v>192</v>
      </c>
      <c r="R395" s="112" t="str">
        <f t="shared" si="76"/>
        <v>Oversize</v>
      </c>
      <c r="S395" s="99" t="str">
        <f t="shared" si="77"/>
        <v>Large bulky</v>
      </c>
      <c r="T395" s="116" t="s">
        <v>13692</v>
      </c>
      <c r="U395" s="116">
        <f t="shared" si="78"/>
        <v>0.5</v>
      </c>
      <c r="V395" s="116" t="s">
        <v>13583</v>
      </c>
      <c r="W395" s="116" t="s">
        <v>13690</v>
      </c>
      <c r="X395" s="116" t="s">
        <v>13691</v>
      </c>
      <c r="Y395" s="116">
        <v>2</v>
      </c>
      <c r="Z395" s="116">
        <v>3</v>
      </c>
      <c r="AA395" s="116">
        <v>1</v>
      </c>
      <c r="AB395" s="99"/>
      <c r="AC395" s="99"/>
      <c r="AD395" s="107">
        <v>65.203150684931387</v>
      </c>
      <c r="AE395" s="113">
        <f t="shared" si="79"/>
        <v>-9.7804726027397084</v>
      </c>
      <c r="AF395" s="116">
        <f>-IFERROR(IFERROR(VLOOKUP(ROUNDUP($Q395,0),'FBA FEES'!$L$2:$Q$203,MATCH($S395,'FBA FEES'!$L$2:$Q$2,0),FALSE),VLOOKUP(ROUNDUP($Q395,0),'FBA FEES'!$C$6:$F$123,MATCH($S395,'FBA FEES'!$C$6:$F$6,0),FALSE)),0)</f>
        <v>-13.79</v>
      </c>
      <c r="AG395" s="116">
        <v>-10</v>
      </c>
      <c r="AH395" s="113">
        <f t="shared" si="80"/>
        <v>-23.570472602739706</v>
      </c>
      <c r="AI395" s="116">
        <f>-IFERROR(IF($Y395=1,INDEX('[1]REMOVAL FEES'!$A$1:$C$22,MATCH(CONCATENATE("Standard Size",$P395),'[1]REMOVAL FEES'!$A$1:$A$22,0),3),IF($Y395=2,IF($P395&gt;10,(($P395-10)*1.06)+INDEX('[1]REMOVAL FEES'!$E$1:$G$22,MATCH(CONCATENATE("Large bulky, extra-large and special handling items",IF($P395&gt;=11,11,$P395)),'[1]REMOVAL FEES'!$E$1:$E$13,0),3),INDEX('[1]REMOVAL FEES'!$E$1:$G$22,MATCH(CONCATENATE("Large bulky, extra-large and special handling items",IF($P395&gt;=11,11,$P395)),'[1]REMOVAL FEES'!$E$1:$E$13,0),3))))*$AA395,FALSE)</f>
        <v>-16.440000000000001</v>
      </c>
      <c r="AJ395" s="107">
        <f t="shared" si="81"/>
        <v>-40.010472602739711</v>
      </c>
      <c r="AK395" s="107">
        <v>-18.30999999999996</v>
      </c>
      <c r="AL395" s="107">
        <v>-7.1862109042226043</v>
      </c>
      <c r="AM395" s="107">
        <f t="shared" si="82"/>
        <v>-25.496210904222565</v>
      </c>
      <c r="AN395" s="116">
        <f>(-IF($V395="Yes", IF($X395="Yes", VLOOKUP($W395, '[1]Storage Fees'!A:M, 13, FALSE), VLOOKUP($W395, '[1]Storage Fees'!A:M, 10, FALSE)), IF($X395="Yes", VLOOKUP($W395, '[1]Storage Fees'!A:M, 7, FALSE), VLOOKUP($W395, '[1]Storage Fees'!A:M, 4, FALSE))) * U395)*1.5</f>
        <v>-0.59250000000000003</v>
      </c>
    </row>
    <row r="396" spans="1:40" x14ac:dyDescent="0.25">
      <c r="A396" s="99">
        <v>324</v>
      </c>
      <c r="B396" s="99"/>
      <c r="C396" s="99" t="s">
        <v>13655</v>
      </c>
      <c r="D396" s="99"/>
      <c r="E396" s="99" t="s">
        <v>278</v>
      </c>
      <c r="F396" s="99" t="s">
        <v>1768</v>
      </c>
      <c r="G396" s="99" t="s">
        <v>13695</v>
      </c>
      <c r="H396" s="99">
        <v>0</v>
      </c>
      <c r="I396" s="99">
        <v>0</v>
      </c>
      <c r="J396" s="99">
        <v>0</v>
      </c>
      <c r="K396" s="101" t="str">
        <f t="shared" si="70"/>
        <v>0x0x0</v>
      </c>
      <c r="L396" s="102">
        <f t="shared" si="71"/>
        <v>0</v>
      </c>
      <c r="M396" s="113">
        <f t="shared" si="72"/>
        <v>0</v>
      </c>
      <c r="N396" s="113">
        <f t="shared" si="73"/>
        <v>0</v>
      </c>
      <c r="O396" s="99">
        <v>0</v>
      </c>
      <c r="P396" s="113">
        <f t="shared" si="74"/>
        <v>0</v>
      </c>
      <c r="Q396" s="112">
        <f t="shared" si="75"/>
        <v>0</v>
      </c>
      <c r="R396" s="112" t="str">
        <f t="shared" si="76"/>
        <v>Standard-size</v>
      </c>
      <c r="S396" s="99" t="str">
        <f t="shared" si="77"/>
        <v>Small standard-size</v>
      </c>
      <c r="T396" s="116" t="s">
        <v>13696</v>
      </c>
      <c r="U396" s="116">
        <f t="shared" si="78"/>
        <v>0</v>
      </c>
      <c r="V396" s="116" t="s">
        <v>13583</v>
      </c>
      <c r="W396" s="116" t="s">
        <v>13690</v>
      </c>
      <c r="X396" s="99" t="s">
        <v>13583</v>
      </c>
      <c r="Y396" s="99">
        <v>1</v>
      </c>
      <c r="Z396" s="99">
        <v>1</v>
      </c>
      <c r="AA396" s="99">
        <v>1</v>
      </c>
      <c r="AB396" s="99"/>
      <c r="AC396" s="99"/>
      <c r="AD396" s="107">
        <v>0</v>
      </c>
      <c r="AE396" s="113">
        <f t="shared" si="79"/>
        <v>0</v>
      </c>
      <c r="AF396" s="116">
        <f>-IFERROR(IFERROR(VLOOKUP(ROUNDUP($Q396,0),'FBA FEES'!$L$2:$Q$203,MATCH($S396,'FBA FEES'!$L$2:$Q$2,0),FALSE),VLOOKUP(ROUNDUP($Q396,0),'FBA FEES'!$C$6:$F$123,MATCH($S396,'FBA FEES'!$C$6:$F$6,0),FALSE)),0)</f>
        <v>0</v>
      </c>
      <c r="AG396" s="116">
        <v>-10</v>
      </c>
      <c r="AH396" s="113">
        <f t="shared" si="80"/>
        <v>0</v>
      </c>
      <c r="AI396" s="116">
        <f>-IFERROR(IF($Y396=1,INDEX('[1]REMOVAL FEES'!$A$1:$C$22,MATCH(CONCATENATE("Standard Size",$P396),'[1]REMOVAL FEES'!$A$1:$A$22,0),3),IF($Y396=2,IF($P396&gt;10,(($P396-10)*1.06)+INDEX('[1]REMOVAL FEES'!$E$1:$G$22,MATCH(CONCATENATE("Large bulky, extra-large and special handling items",IF($P396&gt;=11,11,$P396)),'[1]REMOVAL FEES'!$E$1:$E$13,0),3),INDEX('[1]REMOVAL FEES'!$E$1:$G$22,MATCH(CONCATENATE("Large bulky, extra-large and special handling items",IF($P396&gt;=11,11,$P396)),'[1]REMOVAL FEES'!$E$1:$E$13,0),3))))*$AA396,FALSE)</f>
        <v>0</v>
      </c>
      <c r="AJ396" s="107">
        <f t="shared" si="81"/>
        <v>0</v>
      </c>
      <c r="AK396" s="107">
        <v>0</v>
      </c>
      <c r="AL396" s="107">
        <v>0</v>
      </c>
      <c r="AM396" s="107">
        <f t="shared" si="82"/>
        <v>0</v>
      </c>
      <c r="AN396" s="116">
        <f>(-IF($V396="Yes", IF($X396="Yes", VLOOKUP($W396, '[1]Storage Fees'!A:M, 13, FALSE), VLOOKUP($W396, '[1]Storage Fees'!A:M, 10, FALSE)), IF($X396="Yes", VLOOKUP($W396, '[1]Storage Fees'!A:M, 7, FALSE), VLOOKUP($W396, '[1]Storage Fees'!A:M, 4, FALSE))) * U396)*1.5</f>
        <v>0</v>
      </c>
    </row>
    <row r="397" spans="1:40" x14ac:dyDescent="0.25">
      <c r="A397" s="99">
        <v>325</v>
      </c>
      <c r="B397" s="99"/>
      <c r="C397" s="99" t="s">
        <v>13655</v>
      </c>
      <c r="D397" s="99"/>
      <c r="E397" s="99" t="s">
        <v>278</v>
      </c>
      <c r="F397" s="99" t="s">
        <v>1770</v>
      </c>
      <c r="G397" s="99" t="s">
        <v>13695</v>
      </c>
      <c r="H397" s="99">
        <v>0</v>
      </c>
      <c r="I397" s="99">
        <v>0</v>
      </c>
      <c r="J397" s="99">
        <v>0</v>
      </c>
      <c r="K397" s="101" t="str">
        <f t="shared" si="70"/>
        <v>0x0x0</v>
      </c>
      <c r="L397" s="102">
        <f t="shared" si="71"/>
        <v>0</v>
      </c>
      <c r="M397" s="113">
        <f t="shared" si="72"/>
        <v>0</v>
      </c>
      <c r="N397" s="113">
        <f t="shared" si="73"/>
        <v>0</v>
      </c>
      <c r="O397" s="99">
        <v>0</v>
      </c>
      <c r="P397" s="113">
        <f t="shared" si="74"/>
        <v>0</v>
      </c>
      <c r="Q397" s="112">
        <f t="shared" si="75"/>
        <v>0</v>
      </c>
      <c r="R397" s="112" t="str">
        <f t="shared" si="76"/>
        <v>Standard-size</v>
      </c>
      <c r="S397" s="99" t="str">
        <f t="shared" si="77"/>
        <v>Small standard-size</v>
      </c>
      <c r="T397" s="116" t="s">
        <v>13696</v>
      </c>
      <c r="U397" s="116">
        <f t="shared" si="78"/>
        <v>0</v>
      </c>
      <c r="V397" s="116" t="s">
        <v>13583</v>
      </c>
      <c r="W397" s="116" t="s">
        <v>13690</v>
      </c>
      <c r="X397" s="99" t="s">
        <v>13583</v>
      </c>
      <c r="Y397" s="99">
        <v>1</v>
      </c>
      <c r="Z397" s="99">
        <v>1</v>
      </c>
      <c r="AA397" s="99">
        <v>1</v>
      </c>
      <c r="AB397" s="99"/>
      <c r="AC397" s="99"/>
      <c r="AD397" s="107">
        <v>0</v>
      </c>
      <c r="AE397" s="113">
        <f t="shared" si="79"/>
        <v>0</v>
      </c>
      <c r="AF397" s="116">
        <f>-IFERROR(IFERROR(VLOOKUP(ROUNDUP($Q397,0),'FBA FEES'!$L$2:$Q$203,MATCH($S397,'FBA FEES'!$L$2:$Q$2,0),FALSE),VLOOKUP(ROUNDUP($Q397,0),'FBA FEES'!$C$6:$F$123,MATCH($S397,'FBA FEES'!$C$6:$F$6,0),FALSE)),0)</f>
        <v>0</v>
      </c>
      <c r="AG397" s="116">
        <v>-10</v>
      </c>
      <c r="AH397" s="113">
        <f t="shared" si="80"/>
        <v>0</v>
      </c>
      <c r="AI397" s="116">
        <f>-IFERROR(IF($Y397=1,INDEX('[1]REMOVAL FEES'!$A$1:$C$22,MATCH(CONCATENATE("Standard Size",$P397),'[1]REMOVAL FEES'!$A$1:$A$22,0),3),IF($Y397=2,IF($P397&gt;10,(($P397-10)*1.06)+INDEX('[1]REMOVAL FEES'!$E$1:$G$22,MATCH(CONCATENATE("Large bulky, extra-large and special handling items",IF($P397&gt;=11,11,$P397)),'[1]REMOVAL FEES'!$E$1:$E$13,0),3),INDEX('[1]REMOVAL FEES'!$E$1:$G$22,MATCH(CONCATENATE("Large bulky, extra-large and special handling items",IF($P397&gt;=11,11,$P397)),'[1]REMOVAL FEES'!$E$1:$E$13,0),3))))*$AA397,FALSE)</f>
        <v>0</v>
      </c>
      <c r="AJ397" s="107">
        <f t="shared" si="81"/>
        <v>0</v>
      </c>
      <c r="AK397" s="107">
        <v>0</v>
      </c>
      <c r="AL397" s="107">
        <v>0</v>
      </c>
      <c r="AM397" s="107">
        <f t="shared" si="82"/>
        <v>0</v>
      </c>
      <c r="AN397" s="116">
        <f>(-IF($V397="Yes", IF($X397="Yes", VLOOKUP($W397, '[1]Storage Fees'!A:M, 13, FALSE), VLOOKUP($W397, '[1]Storage Fees'!A:M, 10, FALSE)), IF($X397="Yes", VLOOKUP($W397, '[1]Storage Fees'!A:M, 7, FALSE), VLOOKUP($W397, '[1]Storage Fees'!A:M, 4, FALSE))) * U397)*1.5</f>
        <v>0</v>
      </c>
    </row>
    <row r="398" spans="1:40" x14ac:dyDescent="0.25">
      <c r="A398" s="99">
        <v>326</v>
      </c>
      <c r="B398" s="99"/>
      <c r="C398" s="99" t="s">
        <v>13655</v>
      </c>
      <c r="D398" s="99"/>
      <c r="E398" s="99" t="s">
        <v>278</v>
      </c>
      <c r="F398" s="99" t="s">
        <v>1772</v>
      </c>
      <c r="G398" s="99" t="s">
        <v>13695</v>
      </c>
      <c r="H398" s="99">
        <v>0</v>
      </c>
      <c r="I398" s="99">
        <v>0</v>
      </c>
      <c r="J398" s="99">
        <v>0</v>
      </c>
      <c r="K398" s="101" t="str">
        <f t="shared" si="70"/>
        <v>0x0x0</v>
      </c>
      <c r="L398" s="102">
        <f t="shared" si="71"/>
        <v>0</v>
      </c>
      <c r="M398" s="113">
        <f t="shared" si="72"/>
        <v>0</v>
      </c>
      <c r="N398" s="113">
        <f t="shared" si="73"/>
        <v>0</v>
      </c>
      <c r="O398" s="99">
        <v>0</v>
      </c>
      <c r="P398" s="113">
        <f t="shared" si="74"/>
        <v>0</v>
      </c>
      <c r="Q398" s="112">
        <f t="shared" si="75"/>
        <v>0</v>
      </c>
      <c r="R398" s="112" t="str">
        <f t="shared" si="76"/>
        <v>Standard-size</v>
      </c>
      <c r="S398" s="99" t="str">
        <f t="shared" si="77"/>
        <v>Small standard-size</v>
      </c>
      <c r="T398" s="116" t="s">
        <v>13696</v>
      </c>
      <c r="U398" s="116">
        <f t="shared" si="78"/>
        <v>0</v>
      </c>
      <c r="V398" s="116" t="s">
        <v>13583</v>
      </c>
      <c r="W398" s="116" t="s">
        <v>13690</v>
      </c>
      <c r="X398" s="99" t="s">
        <v>13583</v>
      </c>
      <c r="Y398" s="99">
        <v>1</v>
      </c>
      <c r="Z398" s="99">
        <v>1</v>
      </c>
      <c r="AA398" s="99">
        <v>1</v>
      </c>
      <c r="AB398" s="99"/>
      <c r="AC398" s="99"/>
      <c r="AD398" s="107">
        <v>0</v>
      </c>
      <c r="AE398" s="113">
        <f t="shared" si="79"/>
        <v>0</v>
      </c>
      <c r="AF398" s="116">
        <f>-IFERROR(IFERROR(VLOOKUP(ROUNDUP($Q398,0),'FBA FEES'!$L$2:$Q$203,MATCH($S398,'FBA FEES'!$L$2:$Q$2,0),FALSE),VLOOKUP(ROUNDUP($Q398,0),'FBA FEES'!$C$6:$F$123,MATCH($S398,'FBA FEES'!$C$6:$F$6,0),FALSE)),0)</f>
        <v>0</v>
      </c>
      <c r="AG398" s="116">
        <v>-10</v>
      </c>
      <c r="AH398" s="113">
        <f t="shared" si="80"/>
        <v>0</v>
      </c>
      <c r="AI398" s="116">
        <f>-IFERROR(IF($Y398=1,INDEX('[1]REMOVAL FEES'!$A$1:$C$22,MATCH(CONCATENATE("Standard Size",$P398),'[1]REMOVAL FEES'!$A$1:$A$22,0),3),IF($Y398=2,IF($P398&gt;10,(($P398-10)*1.06)+INDEX('[1]REMOVAL FEES'!$E$1:$G$22,MATCH(CONCATENATE("Large bulky, extra-large and special handling items",IF($P398&gt;=11,11,$P398)),'[1]REMOVAL FEES'!$E$1:$E$13,0),3),INDEX('[1]REMOVAL FEES'!$E$1:$G$22,MATCH(CONCATENATE("Large bulky, extra-large and special handling items",IF($P398&gt;=11,11,$P398)),'[1]REMOVAL FEES'!$E$1:$E$13,0),3))))*$AA398,FALSE)</f>
        <v>0</v>
      </c>
      <c r="AJ398" s="107">
        <f t="shared" si="81"/>
        <v>0</v>
      </c>
      <c r="AK398" s="107">
        <v>0</v>
      </c>
      <c r="AL398" s="107">
        <v>0</v>
      </c>
      <c r="AM398" s="107">
        <f t="shared" si="82"/>
        <v>0</v>
      </c>
      <c r="AN398" s="116">
        <f>(-IF($V398="Yes", IF($X398="Yes", VLOOKUP($W398, '[1]Storage Fees'!A:M, 13, FALSE), VLOOKUP($W398, '[1]Storage Fees'!A:M, 10, FALSE)), IF($X398="Yes", VLOOKUP($W398, '[1]Storage Fees'!A:M, 7, FALSE), VLOOKUP($W398, '[1]Storage Fees'!A:M, 4, FALSE))) * U398)*1.5</f>
        <v>0</v>
      </c>
    </row>
    <row r="399" spans="1:40" x14ac:dyDescent="0.25">
      <c r="A399" s="99">
        <v>327</v>
      </c>
      <c r="B399" s="99"/>
      <c r="C399" s="99" t="s">
        <v>13655</v>
      </c>
      <c r="D399" s="99"/>
      <c r="E399" s="99" t="s">
        <v>278</v>
      </c>
      <c r="F399" s="99" t="s">
        <v>1774</v>
      </c>
      <c r="G399" s="99" t="s">
        <v>13695</v>
      </c>
      <c r="H399" s="99">
        <v>0</v>
      </c>
      <c r="I399" s="99">
        <v>0</v>
      </c>
      <c r="J399" s="99">
        <v>0</v>
      </c>
      <c r="K399" s="101" t="str">
        <f t="shared" si="70"/>
        <v>0x0x0</v>
      </c>
      <c r="L399" s="102">
        <f t="shared" si="71"/>
        <v>0</v>
      </c>
      <c r="M399" s="113">
        <f t="shared" si="72"/>
        <v>0</v>
      </c>
      <c r="N399" s="113">
        <f t="shared" si="73"/>
        <v>0</v>
      </c>
      <c r="O399" s="99">
        <v>0</v>
      </c>
      <c r="P399" s="113">
        <f t="shared" si="74"/>
        <v>0</v>
      </c>
      <c r="Q399" s="112">
        <f t="shared" si="75"/>
        <v>0</v>
      </c>
      <c r="R399" s="112" t="str">
        <f t="shared" si="76"/>
        <v>Standard-size</v>
      </c>
      <c r="S399" s="99" t="str">
        <f t="shared" si="77"/>
        <v>Small standard-size</v>
      </c>
      <c r="T399" s="116" t="s">
        <v>13696</v>
      </c>
      <c r="U399" s="116">
        <f t="shared" si="78"/>
        <v>0</v>
      </c>
      <c r="V399" s="116" t="s">
        <v>13583</v>
      </c>
      <c r="W399" s="116" t="s">
        <v>13690</v>
      </c>
      <c r="X399" s="99" t="s">
        <v>13583</v>
      </c>
      <c r="Y399" s="99">
        <v>1</v>
      </c>
      <c r="Z399" s="99">
        <v>1</v>
      </c>
      <c r="AA399" s="99">
        <v>1</v>
      </c>
      <c r="AB399" s="99"/>
      <c r="AC399" s="99"/>
      <c r="AD399" s="107">
        <v>0</v>
      </c>
      <c r="AE399" s="113">
        <f t="shared" si="79"/>
        <v>0</v>
      </c>
      <c r="AF399" s="116">
        <f>-IFERROR(IFERROR(VLOOKUP(ROUNDUP($Q399,0),'FBA FEES'!$L$2:$Q$203,MATCH($S399,'FBA FEES'!$L$2:$Q$2,0),FALSE),VLOOKUP(ROUNDUP($Q399,0),'FBA FEES'!$C$6:$F$123,MATCH($S399,'FBA FEES'!$C$6:$F$6,0),FALSE)),0)</f>
        <v>0</v>
      </c>
      <c r="AG399" s="116">
        <v>-10</v>
      </c>
      <c r="AH399" s="113">
        <f t="shared" si="80"/>
        <v>0</v>
      </c>
      <c r="AI399" s="116">
        <f>-IFERROR(IF($Y399=1,INDEX('[1]REMOVAL FEES'!$A$1:$C$22,MATCH(CONCATENATE("Standard Size",$P399),'[1]REMOVAL FEES'!$A$1:$A$22,0),3),IF($Y399=2,IF($P399&gt;10,(($P399-10)*1.06)+INDEX('[1]REMOVAL FEES'!$E$1:$G$22,MATCH(CONCATENATE("Large bulky, extra-large and special handling items",IF($P399&gt;=11,11,$P399)),'[1]REMOVAL FEES'!$E$1:$E$13,0),3),INDEX('[1]REMOVAL FEES'!$E$1:$G$22,MATCH(CONCATENATE("Large bulky, extra-large and special handling items",IF($P399&gt;=11,11,$P399)),'[1]REMOVAL FEES'!$E$1:$E$13,0),3))))*$AA399,FALSE)</f>
        <v>0</v>
      </c>
      <c r="AJ399" s="107">
        <f t="shared" si="81"/>
        <v>0</v>
      </c>
      <c r="AK399" s="107">
        <v>0</v>
      </c>
      <c r="AL399" s="107">
        <v>0</v>
      </c>
      <c r="AM399" s="107">
        <f t="shared" si="82"/>
        <v>0</v>
      </c>
      <c r="AN399" s="116">
        <f>(-IF($V399="Yes", IF($X399="Yes", VLOOKUP($W399, '[1]Storage Fees'!A:M, 13, FALSE), VLOOKUP($W399, '[1]Storage Fees'!A:M, 10, FALSE)), IF($X399="Yes", VLOOKUP($W399, '[1]Storage Fees'!A:M, 7, FALSE), VLOOKUP($W399, '[1]Storage Fees'!A:M, 4, FALSE))) * U399)*1.5</f>
        <v>0</v>
      </c>
    </row>
    <row r="400" spans="1:40" x14ac:dyDescent="0.25">
      <c r="A400" s="99">
        <v>328</v>
      </c>
      <c r="B400" s="99"/>
      <c r="C400" s="99" t="s">
        <v>13655</v>
      </c>
      <c r="D400" s="99"/>
      <c r="E400" s="99" t="s">
        <v>278</v>
      </c>
      <c r="F400" s="99" t="s">
        <v>1776</v>
      </c>
      <c r="G400" s="99" t="s">
        <v>13695</v>
      </c>
      <c r="H400" s="99">
        <v>0</v>
      </c>
      <c r="I400" s="99">
        <v>0</v>
      </c>
      <c r="J400" s="99">
        <v>0</v>
      </c>
      <c r="K400" s="101" t="str">
        <f t="shared" si="70"/>
        <v>0x0x0</v>
      </c>
      <c r="L400" s="102">
        <f t="shared" si="71"/>
        <v>0</v>
      </c>
      <c r="M400" s="113">
        <f t="shared" si="72"/>
        <v>0</v>
      </c>
      <c r="N400" s="113">
        <f t="shared" si="73"/>
        <v>0</v>
      </c>
      <c r="O400" s="99">
        <v>0</v>
      </c>
      <c r="P400" s="113">
        <f t="shared" si="74"/>
        <v>0</v>
      </c>
      <c r="Q400" s="112">
        <f t="shared" si="75"/>
        <v>0</v>
      </c>
      <c r="R400" s="112" t="str">
        <f t="shared" si="76"/>
        <v>Standard-size</v>
      </c>
      <c r="S400" s="99" t="str">
        <f t="shared" si="77"/>
        <v>Small standard-size</v>
      </c>
      <c r="T400" s="116" t="s">
        <v>13696</v>
      </c>
      <c r="U400" s="116">
        <f t="shared" si="78"/>
        <v>0</v>
      </c>
      <c r="V400" s="116" t="s">
        <v>13583</v>
      </c>
      <c r="W400" s="116" t="s">
        <v>13690</v>
      </c>
      <c r="X400" s="99" t="s">
        <v>13583</v>
      </c>
      <c r="Y400" s="99">
        <v>1</v>
      </c>
      <c r="Z400" s="99">
        <v>1</v>
      </c>
      <c r="AA400" s="99">
        <v>1</v>
      </c>
      <c r="AB400" s="99"/>
      <c r="AC400" s="99"/>
      <c r="AD400" s="107">
        <v>0</v>
      </c>
      <c r="AE400" s="113">
        <f t="shared" si="79"/>
        <v>0</v>
      </c>
      <c r="AF400" s="116">
        <f>-IFERROR(IFERROR(VLOOKUP(ROUNDUP($Q400,0),'FBA FEES'!$L$2:$Q$203,MATCH($S400,'FBA FEES'!$L$2:$Q$2,0),FALSE),VLOOKUP(ROUNDUP($Q400,0),'FBA FEES'!$C$6:$F$123,MATCH($S400,'FBA FEES'!$C$6:$F$6,0),FALSE)),0)</f>
        <v>0</v>
      </c>
      <c r="AG400" s="116">
        <v>-10</v>
      </c>
      <c r="AH400" s="113">
        <f t="shared" si="80"/>
        <v>0</v>
      </c>
      <c r="AI400" s="116">
        <f>-IFERROR(IF($Y400=1,INDEX('[1]REMOVAL FEES'!$A$1:$C$22,MATCH(CONCATENATE("Standard Size",$P400),'[1]REMOVAL FEES'!$A$1:$A$22,0),3),IF($Y400=2,IF($P400&gt;10,(($P400-10)*1.06)+INDEX('[1]REMOVAL FEES'!$E$1:$G$22,MATCH(CONCATENATE("Large bulky, extra-large and special handling items",IF($P400&gt;=11,11,$P400)),'[1]REMOVAL FEES'!$E$1:$E$13,0),3),INDEX('[1]REMOVAL FEES'!$E$1:$G$22,MATCH(CONCATENATE("Large bulky, extra-large and special handling items",IF($P400&gt;=11,11,$P400)),'[1]REMOVAL FEES'!$E$1:$E$13,0),3))))*$AA400,FALSE)</f>
        <v>0</v>
      </c>
      <c r="AJ400" s="107">
        <f t="shared" si="81"/>
        <v>0</v>
      </c>
      <c r="AK400" s="107">
        <v>0</v>
      </c>
      <c r="AL400" s="107">
        <v>0</v>
      </c>
      <c r="AM400" s="107">
        <f t="shared" si="82"/>
        <v>0</v>
      </c>
      <c r="AN400" s="116">
        <f>(-IF($V400="Yes", IF($X400="Yes", VLOOKUP($W400, '[1]Storage Fees'!A:M, 13, FALSE), VLOOKUP($W400, '[1]Storage Fees'!A:M, 10, FALSE)), IF($X400="Yes", VLOOKUP($W400, '[1]Storage Fees'!A:M, 7, FALSE), VLOOKUP($W400, '[1]Storage Fees'!A:M, 4, FALSE))) * U400)*1.5</f>
        <v>0</v>
      </c>
    </row>
    <row r="401" spans="1:40" x14ac:dyDescent="0.25">
      <c r="A401" s="99">
        <v>329</v>
      </c>
      <c r="B401" s="99" t="s">
        <v>55</v>
      </c>
      <c r="C401" s="99" t="s">
        <v>13655</v>
      </c>
      <c r="D401" s="99" t="s">
        <v>823</v>
      </c>
      <c r="E401" s="99" t="s">
        <v>296</v>
      </c>
      <c r="F401" s="99" t="s">
        <v>925</v>
      </c>
      <c r="G401" s="99" t="s">
        <v>13695</v>
      </c>
      <c r="H401" s="99">
        <v>10</v>
      </c>
      <c r="I401" s="99">
        <v>10</v>
      </c>
      <c r="J401" s="99">
        <v>4</v>
      </c>
      <c r="K401" s="101" t="str">
        <f t="shared" si="70"/>
        <v>10x10x4</v>
      </c>
      <c r="L401" s="102">
        <f t="shared" si="71"/>
        <v>2.8776978417266186</v>
      </c>
      <c r="M401" s="113">
        <f t="shared" si="72"/>
        <v>2.8776978417266186</v>
      </c>
      <c r="N401" s="113">
        <f t="shared" si="73"/>
        <v>3</v>
      </c>
      <c r="O401" s="99">
        <v>0.875</v>
      </c>
      <c r="P401" s="113">
        <f t="shared" si="74"/>
        <v>3</v>
      </c>
      <c r="Q401" s="112">
        <f t="shared" si="75"/>
        <v>48</v>
      </c>
      <c r="R401" s="112" t="str">
        <f t="shared" si="76"/>
        <v>Standard-size</v>
      </c>
      <c r="S401" s="99" t="str">
        <f t="shared" si="77"/>
        <v>Large standard-size</v>
      </c>
      <c r="T401" s="116" t="s">
        <v>13701</v>
      </c>
      <c r="U401" s="116">
        <f t="shared" si="78"/>
        <v>0.23148148148148148</v>
      </c>
      <c r="V401" s="116" t="s">
        <v>13583</v>
      </c>
      <c r="W401" s="116" t="s">
        <v>13690</v>
      </c>
      <c r="X401" s="99" t="s">
        <v>13583</v>
      </c>
      <c r="Y401" s="99">
        <v>1</v>
      </c>
      <c r="Z401" s="99">
        <v>2</v>
      </c>
      <c r="AA401" s="99">
        <v>1</v>
      </c>
      <c r="AB401" s="99"/>
      <c r="AC401" s="99"/>
      <c r="AD401" s="107">
        <v>0</v>
      </c>
      <c r="AE401" s="113">
        <f t="shared" si="79"/>
        <v>0</v>
      </c>
      <c r="AF401" s="116">
        <f>-IFERROR(IFERROR(VLOOKUP(ROUNDUP($Q401,0),'FBA FEES'!$L$2:$Q$203,MATCH($S401,'FBA FEES'!$L$2:$Q$2,0),FALSE),VLOOKUP(ROUNDUP($Q401,0),'FBA FEES'!$C$6:$F$123,MATCH($S401,'FBA FEES'!$C$6:$F$6,0),FALSE)),0)</f>
        <v>-6.62</v>
      </c>
      <c r="AG401" s="116">
        <v>-10</v>
      </c>
      <c r="AH401" s="113">
        <f t="shared" si="80"/>
        <v>-6.62</v>
      </c>
      <c r="AI401" s="116">
        <f>-IFERROR(IF($Y401=1,INDEX('[1]REMOVAL FEES'!$A$1:$C$22,MATCH(CONCATENATE("Standard Size",$P401),'[1]REMOVAL FEES'!$A$1:$A$22,0),3),IF($Y401=2,IF($P401&gt;10,(($P401-10)*1.06)+INDEX('[1]REMOVAL FEES'!$E$1:$G$22,MATCH(CONCATENATE("Large bulky, extra-large and special handling items",IF($P401&gt;=11,11,$P401)),'[1]REMOVAL FEES'!$E$1:$E$13,0),3),INDEX('[1]REMOVAL FEES'!$E$1:$G$22,MATCH(CONCATENATE("Large bulky, extra-large and special handling items",IF($P401&gt;=11,11,$P401)),'[1]REMOVAL FEES'!$E$1:$E$13,0),3))))*$AA401,FALSE)</f>
        <v>-3.95</v>
      </c>
      <c r="AJ401" s="107">
        <f t="shared" si="81"/>
        <v>-10.57</v>
      </c>
      <c r="AK401" s="107">
        <v>0</v>
      </c>
      <c r="AL401" s="107">
        <v>0</v>
      </c>
      <c r="AM401" s="107">
        <f t="shared" si="82"/>
        <v>0</v>
      </c>
      <c r="AN401" s="116">
        <f>(-IF($V401="Yes", IF($X401="Yes", VLOOKUP($W401, '[1]Storage Fees'!A:M, 13, FALSE), VLOOKUP($W401, '[1]Storage Fees'!A:M, 10, FALSE)), IF($X401="Yes", VLOOKUP($W401, '[1]Storage Fees'!A:M, 7, FALSE), VLOOKUP($W401, '[1]Storage Fees'!A:M, 4, FALSE))) * U401)*1.5</f>
        <v>-0.42361111111111105</v>
      </c>
    </row>
    <row r="402" spans="1:40" x14ac:dyDescent="0.25">
      <c r="A402" s="99">
        <v>330</v>
      </c>
      <c r="B402" s="99"/>
      <c r="C402" s="99" t="s">
        <v>13655</v>
      </c>
      <c r="D402" s="99"/>
      <c r="E402" s="99" t="s">
        <v>296</v>
      </c>
      <c r="F402" s="99" t="s">
        <v>1778</v>
      </c>
      <c r="G402" s="99" t="s">
        <v>13695</v>
      </c>
      <c r="H402" s="99">
        <v>0</v>
      </c>
      <c r="I402" s="99">
        <v>0</v>
      </c>
      <c r="J402" s="99">
        <v>0</v>
      </c>
      <c r="K402" s="101" t="str">
        <f t="shared" si="70"/>
        <v>0x0x0</v>
      </c>
      <c r="L402" s="102">
        <f t="shared" si="71"/>
        <v>0</v>
      </c>
      <c r="M402" s="113">
        <f t="shared" si="72"/>
        <v>0</v>
      </c>
      <c r="N402" s="113">
        <f t="shared" si="73"/>
        <v>0</v>
      </c>
      <c r="O402" s="99">
        <v>0</v>
      </c>
      <c r="P402" s="113">
        <f t="shared" si="74"/>
        <v>0</v>
      </c>
      <c r="Q402" s="112">
        <f t="shared" si="75"/>
        <v>0</v>
      </c>
      <c r="R402" s="112" t="str">
        <f t="shared" si="76"/>
        <v>Standard-size</v>
      </c>
      <c r="S402" s="99" t="str">
        <f t="shared" si="77"/>
        <v>Small standard-size</v>
      </c>
      <c r="T402" s="116" t="s">
        <v>13696</v>
      </c>
      <c r="U402" s="116">
        <f t="shared" si="78"/>
        <v>0</v>
      </c>
      <c r="V402" s="116" t="s">
        <v>13583</v>
      </c>
      <c r="W402" s="116" t="s">
        <v>13690</v>
      </c>
      <c r="X402" s="99" t="s">
        <v>13583</v>
      </c>
      <c r="Y402" s="99">
        <v>1</v>
      </c>
      <c r="Z402" s="99">
        <v>1</v>
      </c>
      <c r="AA402" s="99">
        <v>1</v>
      </c>
      <c r="AB402" s="99"/>
      <c r="AC402" s="99"/>
      <c r="AD402" s="107">
        <v>0</v>
      </c>
      <c r="AE402" s="113">
        <f t="shared" si="79"/>
        <v>0</v>
      </c>
      <c r="AF402" s="116">
        <f>-IFERROR(IFERROR(VLOOKUP(ROUNDUP($Q402,0),'FBA FEES'!$L$2:$Q$203,MATCH($S402,'FBA FEES'!$L$2:$Q$2,0),FALSE),VLOOKUP(ROUNDUP($Q402,0),'FBA FEES'!$C$6:$F$123,MATCH($S402,'FBA FEES'!$C$6:$F$6,0),FALSE)),0)</f>
        <v>0</v>
      </c>
      <c r="AG402" s="116">
        <v>-10</v>
      </c>
      <c r="AH402" s="113">
        <f t="shared" si="80"/>
        <v>0</v>
      </c>
      <c r="AI402" s="116">
        <f>-IFERROR(IF($Y402=1,INDEX('[1]REMOVAL FEES'!$A$1:$C$22,MATCH(CONCATENATE("Standard Size",$P402),'[1]REMOVAL FEES'!$A$1:$A$22,0),3),IF($Y402=2,IF($P402&gt;10,(($P402-10)*1.06)+INDEX('[1]REMOVAL FEES'!$E$1:$G$22,MATCH(CONCATENATE("Large bulky, extra-large and special handling items",IF($P402&gt;=11,11,$P402)),'[1]REMOVAL FEES'!$E$1:$E$13,0),3),INDEX('[1]REMOVAL FEES'!$E$1:$G$22,MATCH(CONCATENATE("Large bulky, extra-large and special handling items",IF($P402&gt;=11,11,$P402)),'[1]REMOVAL FEES'!$E$1:$E$13,0),3))))*$AA402,FALSE)</f>
        <v>0</v>
      </c>
      <c r="AJ402" s="107">
        <f t="shared" si="81"/>
        <v>0</v>
      </c>
      <c r="AK402" s="107">
        <v>0</v>
      </c>
      <c r="AL402" s="107">
        <v>0</v>
      </c>
      <c r="AM402" s="107">
        <f t="shared" si="82"/>
        <v>0</v>
      </c>
      <c r="AN402" s="116">
        <f>(-IF($V402="Yes", IF($X402="Yes", VLOOKUP($W402, '[1]Storage Fees'!A:M, 13, FALSE), VLOOKUP($W402, '[1]Storage Fees'!A:M, 10, FALSE)), IF($X402="Yes", VLOOKUP($W402, '[1]Storage Fees'!A:M, 7, FALSE), VLOOKUP($W402, '[1]Storage Fees'!A:M, 4, FALSE))) * U402)*1.5</f>
        <v>0</v>
      </c>
    </row>
    <row r="403" spans="1:40" x14ac:dyDescent="0.25">
      <c r="A403" s="99">
        <v>331</v>
      </c>
      <c r="B403" s="99"/>
      <c r="C403" s="99" t="s">
        <v>13655</v>
      </c>
      <c r="D403" s="99"/>
      <c r="E403" s="99" t="s">
        <v>296</v>
      </c>
      <c r="F403" s="99" t="s">
        <v>1780</v>
      </c>
      <c r="G403" s="99" t="s">
        <v>13695</v>
      </c>
      <c r="H403" s="99">
        <v>0</v>
      </c>
      <c r="I403" s="99">
        <v>0</v>
      </c>
      <c r="J403" s="99">
        <v>0</v>
      </c>
      <c r="K403" s="101" t="str">
        <f t="shared" si="70"/>
        <v>0x0x0</v>
      </c>
      <c r="L403" s="102">
        <f t="shared" si="71"/>
        <v>0</v>
      </c>
      <c r="M403" s="113">
        <f t="shared" si="72"/>
        <v>0</v>
      </c>
      <c r="N403" s="113">
        <f t="shared" si="73"/>
        <v>0</v>
      </c>
      <c r="O403" s="99">
        <v>0</v>
      </c>
      <c r="P403" s="113">
        <f t="shared" si="74"/>
        <v>0</v>
      </c>
      <c r="Q403" s="112">
        <f t="shared" si="75"/>
        <v>0</v>
      </c>
      <c r="R403" s="112" t="str">
        <f t="shared" si="76"/>
        <v>Standard-size</v>
      </c>
      <c r="S403" s="99" t="str">
        <f t="shared" si="77"/>
        <v>Small standard-size</v>
      </c>
      <c r="T403" s="116" t="s">
        <v>13696</v>
      </c>
      <c r="U403" s="116">
        <f t="shared" si="78"/>
        <v>0</v>
      </c>
      <c r="V403" s="116" t="s">
        <v>13583</v>
      </c>
      <c r="W403" s="116" t="s">
        <v>13690</v>
      </c>
      <c r="X403" s="99" t="s">
        <v>13583</v>
      </c>
      <c r="Y403" s="99">
        <v>1</v>
      </c>
      <c r="Z403" s="99">
        <v>1</v>
      </c>
      <c r="AA403" s="99">
        <v>1</v>
      </c>
      <c r="AB403" s="99"/>
      <c r="AC403" s="99"/>
      <c r="AD403" s="107">
        <v>0</v>
      </c>
      <c r="AE403" s="113">
        <f t="shared" si="79"/>
        <v>0</v>
      </c>
      <c r="AF403" s="116">
        <f>-IFERROR(IFERROR(VLOOKUP(ROUNDUP($Q403,0),'FBA FEES'!$L$2:$Q$203,MATCH($S403,'FBA FEES'!$L$2:$Q$2,0),FALSE),VLOOKUP(ROUNDUP($Q403,0),'FBA FEES'!$C$6:$F$123,MATCH($S403,'FBA FEES'!$C$6:$F$6,0),FALSE)),0)</f>
        <v>0</v>
      </c>
      <c r="AG403" s="116">
        <v>-10</v>
      </c>
      <c r="AH403" s="113">
        <f t="shared" si="80"/>
        <v>0</v>
      </c>
      <c r="AI403" s="116">
        <f>-IFERROR(IF($Y403=1,INDEX('[1]REMOVAL FEES'!$A$1:$C$22,MATCH(CONCATENATE("Standard Size",$P403),'[1]REMOVAL FEES'!$A$1:$A$22,0),3),IF($Y403=2,IF($P403&gt;10,(($P403-10)*1.06)+INDEX('[1]REMOVAL FEES'!$E$1:$G$22,MATCH(CONCATENATE("Large bulky, extra-large and special handling items",IF($P403&gt;=11,11,$P403)),'[1]REMOVAL FEES'!$E$1:$E$13,0),3),INDEX('[1]REMOVAL FEES'!$E$1:$G$22,MATCH(CONCATENATE("Large bulky, extra-large and special handling items",IF($P403&gt;=11,11,$P403)),'[1]REMOVAL FEES'!$E$1:$E$13,0),3))))*$AA403,FALSE)</f>
        <v>0</v>
      </c>
      <c r="AJ403" s="107">
        <f t="shared" si="81"/>
        <v>0</v>
      </c>
      <c r="AK403" s="107">
        <v>0</v>
      </c>
      <c r="AL403" s="107">
        <v>0</v>
      </c>
      <c r="AM403" s="107">
        <f t="shared" si="82"/>
        <v>0</v>
      </c>
      <c r="AN403" s="116">
        <f>(-IF($V403="Yes", IF($X403="Yes", VLOOKUP($W403, '[1]Storage Fees'!A:M, 13, FALSE), VLOOKUP($W403, '[1]Storage Fees'!A:M, 10, FALSE)), IF($X403="Yes", VLOOKUP($W403, '[1]Storage Fees'!A:M, 7, FALSE), VLOOKUP($W403, '[1]Storage Fees'!A:M, 4, FALSE))) * U403)*1.5</f>
        <v>0</v>
      </c>
    </row>
    <row r="404" spans="1:40" x14ac:dyDescent="0.25">
      <c r="A404" s="99">
        <v>332</v>
      </c>
      <c r="B404" s="99"/>
      <c r="C404" s="99" t="s">
        <v>13655</v>
      </c>
      <c r="D404" s="99"/>
      <c r="E404" s="99" t="s">
        <v>296</v>
      </c>
      <c r="F404" s="99" t="s">
        <v>1782</v>
      </c>
      <c r="G404" s="99" t="s">
        <v>13695</v>
      </c>
      <c r="H404" s="99">
        <v>0</v>
      </c>
      <c r="I404" s="99">
        <v>0</v>
      </c>
      <c r="J404" s="99">
        <v>0</v>
      </c>
      <c r="K404" s="101" t="str">
        <f t="shared" si="70"/>
        <v>0x0x0</v>
      </c>
      <c r="L404" s="102">
        <f t="shared" si="71"/>
        <v>0</v>
      </c>
      <c r="M404" s="113">
        <f t="shared" si="72"/>
        <v>0</v>
      </c>
      <c r="N404" s="113">
        <f t="shared" si="73"/>
        <v>0</v>
      </c>
      <c r="O404" s="99">
        <v>0</v>
      </c>
      <c r="P404" s="113">
        <f t="shared" si="74"/>
        <v>0</v>
      </c>
      <c r="Q404" s="112">
        <f t="shared" si="75"/>
        <v>0</v>
      </c>
      <c r="R404" s="112" t="str">
        <f t="shared" si="76"/>
        <v>Standard-size</v>
      </c>
      <c r="S404" s="99" t="str">
        <f t="shared" si="77"/>
        <v>Small standard-size</v>
      </c>
      <c r="T404" s="116" t="s">
        <v>13696</v>
      </c>
      <c r="U404" s="116">
        <f t="shared" si="78"/>
        <v>0</v>
      </c>
      <c r="V404" s="116" t="s">
        <v>13583</v>
      </c>
      <c r="W404" s="116" t="s">
        <v>13690</v>
      </c>
      <c r="X404" s="99" t="s">
        <v>13583</v>
      </c>
      <c r="Y404" s="99">
        <v>1</v>
      </c>
      <c r="Z404" s="99">
        <v>1</v>
      </c>
      <c r="AA404" s="99">
        <v>1</v>
      </c>
      <c r="AB404" s="99"/>
      <c r="AC404" s="99"/>
      <c r="AD404" s="107">
        <v>0</v>
      </c>
      <c r="AE404" s="113">
        <f t="shared" si="79"/>
        <v>0</v>
      </c>
      <c r="AF404" s="116">
        <f>-IFERROR(IFERROR(VLOOKUP(ROUNDUP($Q404,0),'FBA FEES'!$L$2:$Q$203,MATCH($S404,'FBA FEES'!$L$2:$Q$2,0),FALSE),VLOOKUP(ROUNDUP($Q404,0),'FBA FEES'!$C$6:$F$123,MATCH($S404,'FBA FEES'!$C$6:$F$6,0),FALSE)),0)</f>
        <v>0</v>
      </c>
      <c r="AG404" s="116">
        <v>-10</v>
      </c>
      <c r="AH404" s="113">
        <f t="shared" si="80"/>
        <v>0</v>
      </c>
      <c r="AI404" s="116">
        <f>-IFERROR(IF($Y404=1,INDEX('[1]REMOVAL FEES'!$A$1:$C$22,MATCH(CONCATENATE("Standard Size",$P404),'[1]REMOVAL FEES'!$A$1:$A$22,0),3),IF($Y404=2,IF($P404&gt;10,(($P404-10)*1.06)+INDEX('[1]REMOVAL FEES'!$E$1:$G$22,MATCH(CONCATENATE("Large bulky, extra-large and special handling items",IF($P404&gt;=11,11,$P404)),'[1]REMOVAL FEES'!$E$1:$E$13,0),3),INDEX('[1]REMOVAL FEES'!$E$1:$G$22,MATCH(CONCATENATE("Large bulky, extra-large and special handling items",IF($P404&gt;=11,11,$P404)),'[1]REMOVAL FEES'!$E$1:$E$13,0),3))))*$AA404,FALSE)</f>
        <v>0</v>
      </c>
      <c r="AJ404" s="107">
        <f t="shared" si="81"/>
        <v>0</v>
      </c>
      <c r="AK404" s="107">
        <v>0</v>
      </c>
      <c r="AL404" s="107">
        <v>0</v>
      </c>
      <c r="AM404" s="107">
        <f t="shared" si="82"/>
        <v>0</v>
      </c>
      <c r="AN404" s="116">
        <f>(-IF($V404="Yes", IF($X404="Yes", VLOOKUP($W404, '[1]Storage Fees'!A:M, 13, FALSE), VLOOKUP($W404, '[1]Storage Fees'!A:M, 10, FALSE)), IF($X404="Yes", VLOOKUP($W404, '[1]Storage Fees'!A:M, 7, FALSE), VLOOKUP($W404, '[1]Storage Fees'!A:M, 4, FALSE))) * U404)*1.5</f>
        <v>0</v>
      </c>
    </row>
    <row r="405" spans="1:40" x14ac:dyDescent="0.25">
      <c r="A405" s="99">
        <v>333</v>
      </c>
      <c r="B405" s="99"/>
      <c r="C405" s="99" t="s">
        <v>13655</v>
      </c>
      <c r="D405" s="99"/>
      <c r="E405" s="99" t="s">
        <v>296</v>
      </c>
      <c r="F405" s="99" t="s">
        <v>1784</v>
      </c>
      <c r="G405" s="99" t="s">
        <v>13695</v>
      </c>
      <c r="H405" s="99">
        <v>0</v>
      </c>
      <c r="I405" s="99">
        <v>0</v>
      </c>
      <c r="J405" s="99">
        <v>0</v>
      </c>
      <c r="K405" s="101" t="str">
        <f t="shared" si="70"/>
        <v>0x0x0</v>
      </c>
      <c r="L405" s="102">
        <f t="shared" si="71"/>
        <v>0</v>
      </c>
      <c r="M405" s="113">
        <f t="shared" si="72"/>
        <v>0</v>
      </c>
      <c r="N405" s="113">
        <f t="shared" si="73"/>
        <v>0</v>
      </c>
      <c r="O405" s="99">
        <v>0</v>
      </c>
      <c r="P405" s="113">
        <f t="shared" si="74"/>
        <v>0</v>
      </c>
      <c r="Q405" s="112">
        <f t="shared" si="75"/>
        <v>0</v>
      </c>
      <c r="R405" s="112" t="str">
        <f t="shared" si="76"/>
        <v>Standard-size</v>
      </c>
      <c r="S405" s="99" t="str">
        <f t="shared" si="77"/>
        <v>Small standard-size</v>
      </c>
      <c r="T405" s="116" t="s">
        <v>13696</v>
      </c>
      <c r="U405" s="116">
        <f t="shared" si="78"/>
        <v>0</v>
      </c>
      <c r="V405" s="116" t="s">
        <v>13583</v>
      </c>
      <c r="W405" s="116" t="s">
        <v>13690</v>
      </c>
      <c r="X405" s="99" t="s">
        <v>13583</v>
      </c>
      <c r="Y405" s="99">
        <v>1</v>
      </c>
      <c r="Z405" s="99">
        <v>1</v>
      </c>
      <c r="AA405" s="99">
        <v>1</v>
      </c>
      <c r="AB405" s="99"/>
      <c r="AC405" s="99"/>
      <c r="AD405" s="107">
        <v>0</v>
      </c>
      <c r="AE405" s="113">
        <f t="shared" si="79"/>
        <v>0</v>
      </c>
      <c r="AF405" s="116">
        <f>-IFERROR(IFERROR(VLOOKUP(ROUNDUP($Q405,0),'FBA FEES'!$L$2:$Q$203,MATCH($S405,'FBA FEES'!$L$2:$Q$2,0),FALSE),VLOOKUP(ROUNDUP($Q405,0),'FBA FEES'!$C$6:$F$123,MATCH($S405,'FBA FEES'!$C$6:$F$6,0),FALSE)),0)</f>
        <v>0</v>
      </c>
      <c r="AG405" s="116">
        <v>-10</v>
      </c>
      <c r="AH405" s="113">
        <f t="shared" si="80"/>
        <v>0</v>
      </c>
      <c r="AI405" s="116">
        <f>-IFERROR(IF($Y405=1,INDEX('[1]REMOVAL FEES'!$A$1:$C$22,MATCH(CONCATENATE("Standard Size",$P405),'[1]REMOVAL FEES'!$A$1:$A$22,0),3),IF($Y405=2,IF($P405&gt;10,(($P405-10)*1.06)+INDEX('[1]REMOVAL FEES'!$E$1:$G$22,MATCH(CONCATENATE("Large bulky, extra-large and special handling items",IF($P405&gt;=11,11,$P405)),'[1]REMOVAL FEES'!$E$1:$E$13,0),3),INDEX('[1]REMOVAL FEES'!$E$1:$G$22,MATCH(CONCATENATE("Large bulky, extra-large and special handling items",IF($P405&gt;=11,11,$P405)),'[1]REMOVAL FEES'!$E$1:$E$13,0),3))))*$AA405,FALSE)</f>
        <v>0</v>
      </c>
      <c r="AJ405" s="107">
        <f t="shared" si="81"/>
        <v>0</v>
      </c>
      <c r="AK405" s="107">
        <v>0</v>
      </c>
      <c r="AL405" s="107">
        <v>0</v>
      </c>
      <c r="AM405" s="107">
        <f t="shared" si="82"/>
        <v>0</v>
      </c>
      <c r="AN405" s="116">
        <f>(-IF($V405="Yes", IF($X405="Yes", VLOOKUP($W405, '[1]Storage Fees'!A:M, 13, FALSE), VLOOKUP($W405, '[1]Storage Fees'!A:M, 10, FALSE)), IF($X405="Yes", VLOOKUP($W405, '[1]Storage Fees'!A:M, 7, FALSE), VLOOKUP($W405, '[1]Storage Fees'!A:M, 4, FALSE))) * U405)*1.5</f>
        <v>0</v>
      </c>
    </row>
    <row r="406" spans="1:40" x14ac:dyDescent="0.25">
      <c r="A406" s="99">
        <v>334</v>
      </c>
      <c r="B406" s="99"/>
      <c r="C406" s="99" t="s">
        <v>13655</v>
      </c>
      <c r="D406" s="99"/>
      <c r="E406" s="99" t="s">
        <v>296</v>
      </c>
      <c r="F406" s="99" t="s">
        <v>1786</v>
      </c>
      <c r="G406" s="99" t="s">
        <v>13695</v>
      </c>
      <c r="H406" s="99">
        <v>0</v>
      </c>
      <c r="I406" s="99">
        <v>0</v>
      </c>
      <c r="J406" s="99">
        <v>0</v>
      </c>
      <c r="K406" s="101" t="str">
        <f t="shared" si="70"/>
        <v>0x0x0</v>
      </c>
      <c r="L406" s="102">
        <f t="shared" si="71"/>
        <v>0</v>
      </c>
      <c r="M406" s="113">
        <f t="shared" si="72"/>
        <v>0</v>
      </c>
      <c r="N406" s="113">
        <f t="shared" si="73"/>
        <v>0</v>
      </c>
      <c r="O406" s="99">
        <v>0</v>
      </c>
      <c r="P406" s="113">
        <f t="shared" si="74"/>
        <v>0</v>
      </c>
      <c r="Q406" s="112">
        <f t="shared" si="75"/>
        <v>0</v>
      </c>
      <c r="R406" s="112" t="str">
        <f t="shared" si="76"/>
        <v>Standard-size</v>
      </c>
      <c r="S406" s="99" t="str">
        <f t="shared" si="77"/>
        <v>Small standard-size</v>
      </c>
      <c r="T406" s="116" t="s">
        <v>13696</v>
      </c>
      <c r="U406" s="116">
        <f t="shared" si="78"/>
        <v>0</v>
      </c>
      <c r="V406" s="116" t="s">
        <v>13583</v>
      </c>
      <c r="W406" s="116" t="s">
        <v>13690</v>
      </c>
      <c r="X406" s="99" t="s">
        <v>13583</v>
      </c>
      <c r="Y406" s="99">
        <v>1</v>
      </c>
      <c r="Z406" s="99">
        <v>1</v>
      </c>
      <c r="AA406" s="99">
        <v>1</v>
      </c>
      <c r="AB406" s="99"/>
      <c r="AC406" s="99"/>
      <c r="AD406" s="107">
        <v>0</v>
      </c>
      <c r="AE406" s="113">
        <f t="shared" si="79"/>
        <v>0</v>
      </c>
      <c r="AF406" s="116">
        <f>-IFERROR(IFERROR(VLOOKUP(ROUNDUP($Q406,0),'FBA FEES'!$L$2:$Q$203,MATCH($S406,'FBA FEES'!$L$2:$Q$2,0),FALSE),VLOOKUP(ROUNDUP($Q406,0),'FBA FEES'!$C$6:$F$123,MATCH($S406,'FBA FEES'!$C$6:$F$6,0),FALSE)),0)</f>
        <v>0</v>
      </c>
      <c r="AG406" s="116">
        <v>-10</v>
      </c>
      <c r="AH406" s="113">
        <f t="shared" si="80"/>
        <v>0</v>
      </c>
      <c r="AI406" s="116">
        <f>-IFERROR(IF($Y406=1,INDEX('[1]REMOVAL FEES'!$A$1:$C$22,MATCH(CONCATENATE("Standard Size",$P406),'[1]REMOVAL FEES'!$A$1:$A$22,0),3),IF($Y406=2,IF($P406&gt;10,(($P406-10)*1.06)+INDEX('[1]REMOVAL FEES'!$E$1:$G$22,MATCH(CONCATENATE("Large bulky, extra-large and special handling items",IF($P406&gt;=11,11,$P406)),'[1]REMOVAL FEES'!$E$1:$E$13,0),3),INDEX('[1]REMOVAL FEES'!$E$1:$G$22,MATCH(CONCATENATE("Large bulky, extra-large and special handling items",IF($P406&gt;=11,11,$P406)),'[1]REMOVAL FEES'!$E$1:$E$13,0),3))))*$AA406,FALSE)</f>
        <v>0</v>
      </c>
      <c r="AJ406" s="107">
        <f t="shared" si="81"/>
        <v>0</v>
      </c>
      <c r="AK406" s="107">
        <v>0</v>
      </c>
      <c r="AL406" s="107">
        <v>0</v>
      </c>
      <c r="AM406" s="107">
        <f t="shared" si="82"/>
        <v>0</v>
      </c>
      <c r="AN406" s="116">
        <f>(-IF($V406="Yes", IF($X406="Yes", VLOOKUP($W406, '[1]Storage Fees'!A:M, 13, FALSE), VLOOKUP($W406, '[1]Storage Fees'!A:M, 10, FALSE)), IF($X406="Yes", VLOOKUP($W406, '[1]Storage Fees'!A:M, 7, FALSE), VLOOKUP($W406, '[1]Storage Fees'!A:M, 4, FALSE))) * U406)*1.5</f>
        <v>0</v>
      </c>
    </row>
    <row r="407" spans="1:40" x14ac:dyDescent="0.25">
      <c r="A407" s="99">
        <v>335</v>
      </c>
      <c r="B407" s="99" t="s">
        <v>55</v>
      </c>
      <c r="C407" s="99" t="s">
        <v>13655</v>
      </c>
      <c r="D407" s="99" t="s">
        <v>823</v>
      </c>
      <c r="E407" s="99" t="s">
        <v>296</v>
      </c>
      <c r="F407" s="99" t="s">
        <v>928</v>
      </c>
      <c r="G407" s="99" t="s">
        <v>13695</v>
      </c>
      <c r="H407" s="99">
        <v>10</v>
      </c>
      <c r="I407" s="99">
        <v>5</v>
      </c>
      <c r="J407" s="99">
        <v>3</v>
      </c>
      <c r="K407" s="101" t="str">
        <f t="shared" si="70"/>
        <v>10x5x3</v>
      </c>
      <c r="L407" s="102">
        <f t="shared" si="71"/>
        <v>1.079136690647482</v>
      </c>
      <c r="M407" s="113">
        <f t="shared" si="72"/>
        <v>1.079136690647482</v>
      </c>
      <c r="N407" s="113">
        <f t="shared" si="73"/>
        <v>2</v>
      </c>
      <c r="O407" s="99">
        <v>1.5</v>
      </c>
      <c r="P407" s="113">
        <f t="shared" si="74"/>
        <v>2</v>
      </c>
      <c r="Q407" s="112">
        <f t="shared" si="75"/>
        <v>32</v>
      </c>
      <c r="R407" s="112" t="str">
        <f t="shared" si="76"/>
        <v>Standard-size</v>
      </c>
      <c r="S407" s="99" t="str">
        <f t="shared" si="77"/>
        <v>Large standard-size</v>
      </c>
      <c r="T407" s="116" t="s">
        <v>13697</v>
      </c>
      <c r="U407" s="116">
        <f t="shared" si="78"/>
        <v>8.6805555555555552E-2</v>
      </c>
      <c r="V407" s="116" t="s">
        <v>13583</v>
      </c>
      <c r="W407" s="116" t="s">
        <v>13690</v>
      </c>
      <c r="X407" s="99" t="s">
        <v>13583</v>
      </c>
      <c r="Y407" s="99">
        <v>1</v>
      </c>
      <c r="Z407" s="99">
        <v>2</v>
      </c>
      <c r="AA407" s="99">
        <v>1</v>
      </c>
      <c r="AB407" s="99"/>
      <c r="AC407" s="99"/>
      <c r="AD407" s="107">
        <v>0</v>
      </c>
      <c r="AE407" s="113">
        <f t="shared" si="79"/>
        <v>0</v>
      </c>
      <c r="AF407" s="116">
        <f>-IFERROR(IFERROR(VLOOKUP(ROUNDUP($Q407,0),'FBA FEES'!$L$2:$Q$203,MATCH($S407,'FBA FEES'!$L$2:$Q$2,0),FALSE),VLOOKUP(ROUNDUP($Q407,0),'FBA FEES'!$C$6:$F$123,MATCH($S407,'FBA FEES'!$C$6:$F$6,0),FALSE)),0)</f>
        <v>-5.77</v>
      </c>
      <c r="AG407" s="116">
        <v>-10</v>
      </c>
      <c r="AH407" s="113">
        <f t="shared" si="80"/>
        <v>-5.77</v>
      </c>
      <c r="AI407" s="116">
        <f>-IFERROR(IF($Y407=1,INDEX('[1]REMOVAL FEES'!$A$1:$C$22,MATCH(CONCATENATE("Standard Size",$P407),'[1]REMOVAL FEES'!$A$1:$A$22,0),3),IF($Y407=2,IF($P407&gt;10,(($P407-10)*1.06)+INDEX('[1]REMOVAL FEES'!$E$1:$G$22,MATCH(CONCATENATE("Large bulky, extra-large and special handling items",IF($P407&gt;=11,11,$P407)),'[1]REMOVAL FEES'!$E$1:$E$13,0),3),INDEX('[1]REMOVAL FEES'!$E$1:$G$22,MATCH(CONCATENATE("Large bulky, extra-large and special handling items",IF($P407&gt;=11,11,$P407)),'[1]REMOVAL FEES'!$E$1:$E$13,0),3))))*$AA407,FALSE)</f>
        <v>-2.27</v>
      </c>
      <c r="AJ407" s="107">
        <f t="shared" si="81"/>
        <v>-8.0399999999999991</v>
      </c>
      <c r="AK407" s="107">
        <v>0</v>
      </c>
      <c r="AL407" s="107">
        <v>0</v>
      </c>
      <c r="AM407" s="107">
        <f t="shared" si="82"/>
        <v>0</v>
      </c>
      <c r="AN407" s="116">
        <f>(-IF($V407="Yes", IF($X407="Yes", VLOOKUP($W407, '[1]Storage Fees'!A:M, 13, FALSE), VLOOKUP($W407, '[1]Storage Fees'!A:M, 10, FALSE)), IF($X407="Yes", VLOOKUP($W407, '[1]Storage Fees'!A:M, 7, FALSE), VLOOKUP($W407, '[1]Storage Fees'!A:M, 4, FALSE))) * U407)*1.5</f>
        <v>-0.15885416666666666</v>
      </c>
    </row>
    <row r="408" spans="1:40" x14ac:dyDescent="0.25">
      <c r="A408" s="99">
        <v>336</v>
      </c>
      <c r="B408" s="99"/>
      <c r="C408" s="99" t="s">
        <v>13655</v>
      </c>
      <c r="D408" s="99"/>
      <c r="E408" s="99" t="s">
        <v>163</v>
      </c>
      <c r="F408" s="99" t="s">
        <v>1788</v>
      </c>
      <c r="G408" s="99" t="s">
        <v>13695</v>
      </c>
      <c r="H408" s="99">
        <v>0</v>
      </c>
      <c r="I408" s="99">
        <v>0</v>
      </c>
      <c r="J408" s="99">
        <v>0</v>
      </c>
      <c r="K408" s="101" t="str">
        <f t="shared" si="70"/>
        <v>0x0x0</v>
      </c>
      <c r="L408" s="102">
        <f t="shared" si="71"/>
        <v>0</v>
      </c>
      <c r="M408" s="113">
        <f t="shared" si="72"/>
        <v>0</v>
      </c>
      <c r="N408" s="113">
        <f t="shared" si="73"/>
        <v>0</v>
      </c>
      <c r="O408" s="99">
        <v>0</v>
      </c>
      <c r="P408" s="113">
        <f t="shared" si="74"/>
        <v>0</v>
      </c>
      <c r="Q408" s="112">
        <f t="shared" si="75"/>
        <v>0</v>
      </c>
      <c r="R408" s="112" t="str">
        <f t="shared" si="76"/>
        <v>Standard-size</v>
      </c>
      <c r="S408" s="99" t="str">
        <f t="shared" si="77"/>
        <v>Small standard-size</v>
      </c>
      <c r="T408" s="116" t="s">
        <v>13696</v>
      </c>
      <c r="U408" s="116">
        <f t="shared" si="78"/>
        <v>0</v>
      </c>
      <c r="V408" s="116" t="s">
        <v>13583</v>
      </c>
      <c r="W408" s="116" t="s">
        <v>13690</v>
      </c>
      <c r="X408" s="99" t="s">
        <v>13583</v>
      </c>
      <c r="Y408" s="99">
        <v>1</v>
      </c>
      <c r="Z408" s="99">
        <v>1</v>
      </c>
      <c r="AA408" s="99">
        <v>1</v>
      </c>
      <c r="AB408" s="99"/>
      <c r="AC408" s="99"/>
      <c r="AD408" s="107">
        <v>0</v>
      </c>
      <c r="AE408" s="113">
        <f t="shared" si="79"/>
        <v>0</v>
      </c>
      <c r="AF408" s="116">
        <f>-IFERROR(IFERROR(VLOOKUP(ROUNDUP($Q408,0),'FBA FEES'!$L$2:$Q$203,MATCH($S408,'FBA FEES'!$L$2:$Q$2,0),FALSE),VLOOKUP(ROUNDUP($Q408,0),'FBA FEES'!$C$6:$F$123,MATCH($S408,'FBA FEES'!$C$6:$F$6,0),FALSE)),0)</f>
        <v>0</v>
      </c>
      <c r="AG408" s="116">
        <v>-10</v>
      </c>
      <c r="AH408" s="113">
        <f t="shared" si="80"/>
        <v>0</v>
      </c>
      <c r="AI408" s="116">
        <f>-IFERROR(IF($Y408=1,INDEX('[1]REMOVAL FEES'!$A$1:$C$22,MATCH(CONCATENATE("Standard Size",$P408),'[1]REMOVAL FEES'!$A$1:$A$22,0),3),IF($Y408=2,IF($P408&gt;10,(($P408-10)*1.06)+INDEX('[1]REMOVAL FEES'!$E$1:$G$22,MATCH(CONCATENATE("Large bulky, extra-large and special handling items",IF($P408&gt;=11,11,$P408)),'[1]REMOVAL FEES'!$E$1:$E$13,0),3),INDEX('[1]REMOVAL FEES'!$E$1:$G$22,MATCH(CONCATENATE("Large bulky, extra-large and special handling items",IF($P408&gt;=11,11,$P408)),'[1]REMOVAL FEES'!$E$1:$E$13,0),3))))*$AA408,FALSE)</f>
        <v>0</v>
      </c>
      <c r="AJ408" s="107">
        <f t="shared" si="81"/>
        <v>0</v>
      </c>
      <c r="AK408" s="107">
        <v>0</v>
      </c>
      <c r="AL408" s="107">
        <v>0</v>
      </c>
      <c r="AM408" s="107">
        <f t="shared" si="82"/>
        <v>0</v>
      </c>
      <c r="AN408" s="116">
        <f>(-IF($V408="Yes", IF($X408="Yes", VLOOKUP($W408, '[1]Storage Fees'!A:M, 13, FALSE), VLOOKUP($W408, '[1]Storage Fees'!A:M, 10, FALSE)), IF($X408="Yes", VLOOKUP($W408, '[1]Storage Fees'!A:M, 7, FALSE), VLOOKUP($W408, '[1]Storage Fees'!A:M, 4, FALSE))) * U408)*1.5</f>
        <v>0</v>
      </c>
    </row>
    <row r="409" spans="1:40" x14ac:dyDescent="0.25">
      <c r="A409" s="99">
        <v>337</v>
      </c>
      <c r="B409" s="99"/>
      <c r="C409" s="99" t="s">
        <v>13655</v>
      </c>
      <c r="D409" s="99"/>
      <c r="E409" s="99" t="s">
        <v>163</v>
      </c>
      <c r="F409" s="99" t="s">
        <v>1791</v>
      </c>
      <c r="G409" s="99" t="s">
        <v>13695</v>
      </c>
      <c r="H409" s="99">
        <v>0</v>
      </c>
      <c r="I409" s="99">
        <v>0</v>
      </c>
      <c r="J409" s="99">
        <v>0</v>
      </c>
      <c r="K409" s="101" t="str">
        <f t="shared" si="70"/>
        <v>0x0x0</v>
      </c>
      <c r="L409" s="102">
        <f t="shared" si="71"/>
        <v>0</v>
      </c>
      <c r="M409" s="113">
        <f t="shared" si="72"/>
        <v>0</v>
      </c>
      <c r="N409" s="113">
        <f t="shared" si="73"/>
        <v>0</v>
      </c>
      <c r="O409" s="99">
        <v>0</v>
      </c>
      <c r="P409" s="113">
        <f t="shared" si="74"/>
        <v>0</v>
      </c>
      <c r="Q409" s="112">
        <f t="shared" si="75"/>
        <v>0</v>
      </c>
      <c r="R409" s="112" t="str">
        <f t="shared" si="76"/>
        <v>Standard-size</v>
      </c>
      <c r="S409" s="99" t="str">
        <f t="shared" si="77"/>
        <v>Small standard-size</v>
      </c>
      <c r="T409" s="116" t="s">
        <v>13696</v>
      </c>
      <c r="U409" s="116">
        <f t="shared" si="78"/>
        <v>0</v>
      </c>
      <c r="V409" s="116" t="s">
        <v>13583</v>
      </c>
      <c r="W409" s="116" t="s">
        <v>13690</v>
      </c>
      <c r="X409" s="99" t="s">
        <v>13583</v>
      </c>
      <c r="Y409" s="99">
        <v>1</v>
      </c>
      <c r="Z409" s="99">
        <v>1</v>
      </c>
      <c r="AA409" s="99">
        <v>1</v>
      </c>
      <c r="AB409" s="99"/>
      <c r="AC409" s="99"/>
      <c r="AD409" s="107">
        <v>0</v>
      </c>
      <c r="AE409" s="113">
        <f t="shared" si="79"/>
        <v>0</v>
      </c>
      <c r="AF409" s="116">
        <f>-IFERROR(IFERROR(VLOOKUP(ROUNDUP($Q409,0),'FBA FEES'!$L$2:$Q$203,MATCH($S409,'FBA FEES'!$L$2:$Q$2,0),FALSE),VLOOKUP(ROUNDUP($Q409,0),'FBA FEES'!$C$6:$F$123,MATCH($S409,'FBA FEES'!$C$6:$F$6,0),FALSE)),0)</f>
        <v>0</v>
      </c>
      <c r="AG409" s="116">
        <v>-10</v>
      </c>
      <c r="AH409" s="113">
        <f t="shared" si="80"/>
        <v>0</v>
      </c>
      <c r="AI409" s="116">
        <f>-IFERROR(IF($Y409=1,INDEX('[1]REMOVAL FEES'!$A$1:$C$22,MATCH(CONCATENATE("Standard Size",$P409),'[1]REMOVAL FEES'!$A$1:$A$22,0),3),IF($Y409=2,IF($P409&gt;10,(($P409-10)*1.06)+INDEX('[1]REMOVAL FEES'!$E$1:$G$22,MATCH(CONCATENATE("Large bulky, extra-large and special handling items",IF($P409&gt;=11,11,$P409)),'[1]REMOVAL FEES'!$E$1:$E$13,0),3),INDEX('[1]REMOVAL FEES'!$E$1:$G$22,MATCH(CONCATENATE("Large bulky, extra-large and special handling items",IF($P409&gt;=11,11,$P409)),'[1]REMOVAL FEES'!$E$1:$E$13,0),3))))*$AA409,FALSE)</f>
        <v>0</v>
      </c>
      <c r="AJ409" s="107">
        <f t="shared" si="81"/>
        <v>0</v>
      </c>
      <c r="AK409" s="107">
        <v>0</v>
      </c>
      <c r="AL409" s="107">
        <v>0</v>
      </c>
      <c r="AM409" s="107">
        <f t="shared" si="82"/>
        <v>0</v>
      </c>
      <c r="AN409" s="116">
        <f>(-IF($V409="Yes", IF($X409="Yes", VLOOKUP($W409, '[1]Storage Fees'!A:M, 13, FALSE), VLOOKUP($W409, '[1]Storage Fees'!A:M, 10, FALSE)), IF($X409="Yes", VLOOKUP($W409, '[1]Storage Fees'!A:M, 7, FALSE), VLOOKUP($W409, '[1]Storage Fees'!A:M, 4, FALSE))) * U409)*1.5</f>
        <v>0</v>
      </c>
    </row>
    <row r="410" spans="1:40" x14ac:dyDescent="0.25">
      <c r="A410" s="99">
        <v>338</v>
      </c>
      <c r="B410" s="99" t="s">
        <v>13699</v>
      </c>
      <c r="C410" s="99" t="s">
        <v>13655</v>
      </c>
      <c r="D410" s="99" t="s">
        <v>933</v>
      </c>
      <c r="E410" s="99" t="s">
        <v>278</v>
      </c>
      <c r="F410" s="99" t="s">
        <v>931</v>
      </c>
      <c r="G410" s="99" t="s">
        <v>13695</v>
      </c>
      <c r="H410" s="99">
        <v>29</v>
      </c>
      <c r="I410" s="99">
        <v>11</v>
      </c>
      <c r="J410" s="99">
        <v>5</v>
      </c>
      <c r="K410" s="101" t="str">
        <f t="shared" si="70"/>
        <v>29x11x5</v>
      </c>
      <c r="L410" s="102">
        <f t="shared" si="71"/>
        <v>11.474820143884893</v>
      </c>
      <c r="M410" s="113">
        <f t="shared" si="72"/>
        <v>11.474820143884893</v>
      </c>
      <c r="N410" s="113">
        <f t="shared" si="73"/>
        <v>12</v>
      </c>
      <c r="O410" s="99">
        <v>25</v>
      </c>
      <c r="P410" s="113">
        <f t="shared" si="74"/>
        <v>25</v>
      </c>
      <c r="Q410" s="112">
        <f t="shared" si="75"/>
        <v>400</v>
      </c>
      <c r="R410" s="112" t="str">
        <f t="shared" si="76"/>
        <v>Oversize</v>
      </c>
      <c r="S410" s="99" t="str">
        <f t="shared" si="77"/>
        <v>Large bulky</v>
      </c>
      <c r="T410" s="116" t="s">
        <v>13692</v>
      </c>
      <c r="U410" s="116">
        <f t="shared" si="78"/>
        <v>0.92303240740740744</v>
      </c>
      <c r="V410" s="116" t="s">
        <v>13583</v>
      </c>
      <c r="W410" s="116" t="s">
        <v>13690</v>
      </c>
      <c r="X410" s="116" t="s">
        <v>13691</v>
      </c>
      <c r="Y410" s="116">
        <v>2</v>
      </c>
      <c r="Z410" s="116">
        <v>3</v>
      </c>
      <c r="AA410" s="116">
        <v>1</v>
      </c>
      <c r="AB410" s="99"/>
      <c r="AC410" s="99"/>
      <c r="AD410" s="107">
        <v>123.36809749999981</v>
      </c>
      <c r="AE410" s="113">
        <f t="shared" si="79"/>
        <v>-18.505214624999969</v>
      </c>
      <c r="AF410" s="116">
        <f>-IFERROR(IFERROR(VLOOKUP(ROUNDUP($Q410,0),'FBA FEES'!$L$2:$Q$203,MATCH($S410,'FBA FEES'!$L$2:$Q$2,0),FALSE),VLOOKUP(ROUNDUP($Q410,0),'FBA FEES'!$C$6:$F$123,MATCH($S410,'FBA FEES'!$C$6:$F$6,0),FALSE)),0)</f>
        <v>-18.73</v>
      </c>
      <c r="AG410" s="116">
        <v>-10</v>
      </c>
      <c r="AH410" s="113">
        <f t="shared" si="80"/>
        <v>-37.235214624999969</v>
      </c>
      <c r="AI410" s="116">
        <f>-IFERROR(IF($Y410=1,INDEX('[1]REMOVAL FEES'!$A$1:$C$22,MATCH(CONCATENATE("Standard Size",$P410),'[1]REMOVAL FEES'!$A$1:$A$22,0),3),IF($Y410=2,IF($P410&gt;10,(($P410-10)*1.06)+INDEX('[1]REMOVAL FEES'!$E$1:$G$22,MATCH(CONCATENATE("Large bulky, extra-large and special handling items",IF($P410&gt;=11,11,$P410)),'[1]REMOVAL FEES'!$E$1:$E$13,0),3),INDEX('[1]REMOVAL FEES'!$E$1:$G$22,MATCH(CONCATENATE("Large bulky, extra-large and special handling items",IF($P410&gt;=11,11,$P410)),'[1]REMOVAL FEES'!$E$1:$E$13,0),3))))*$AA410,FALSE)</f>
        <v>-30.22</v>
      </c>
      <c r="AJ410" s="107">
        <f t="shared" si="81"/>
        <v>-67.455214624999968</v>
      </c>
      <c r="AK410" s="107">
        <v>-57.909999999999897</v>
      </c>
      <c r="AL410" s="107">
        <v>-11.62657084950029</v>
      </c>
      <c r="AM410" s="107">
        <f t="shared" si="82"/>
        <v>-69.53657084950018</v>
      </c>
      <c r="AN410" s="116">
        <f>(-IF($V410="Yes", IF($X410="Yes", VLOOKUP($W410, '[1]Storage Fees'!A:M, 13, FALSE), VLOOKUP($W410, '[1]Storage Fees'!A:M, 10, FALSE)), IF($X410="Yes", VLOOKUP($W410, '[1]Storage Fees'!A:M, 7, FALSE), VLOOKUP($W410, '[1]Storage Fees'!A:M, 4, FALSE))) * U410)*1.5</f>
        <v>-1.093793402777778</v>
      </c>
    </row>
    <row r="411" spans="1:40" x14ac:dyDescent="0.25">
      <c r="A411" s="99">
        <v>339</v>
      </c>
      <c r="B411" s="99" t="s">
        <v>13704</v>
      </c>
      <c r="C411" s="99" t="s">
        <v>13655</v>
      </c>
      <c r="D411" s="99">
        <v>45590</v>
      </c>
      <c r="E411" s="99" t="s">
        <v>163</v>
      </c>
      <c r="F411" s="99" t="s">
        <v>936</v>
      </c>
      <c r="G411" s="99" t="s">
        <v>13695</v>
      </c>
      <c r="H411" s="99">
        <v>15</v>
      </c>
      <c r="I411" s="99">
        <v>15</v>
      </c>
      <c r="J411" s="99">
        <v>17</v>
      </c>
      <c r="K411" s="101" t="str">
        <f t="shared" si="70"/>
        <v>15x15x17</v>
      </c>
      <c r="L411" s="102">
        <f t="shared" si="71"/>
        <v>27.517985611510792</v>
      </c>
      <c r="M411" s="113">
        <f t="shared" si="72"/>
        <v>27.517985611510792</v>
      </c>
      <c r="N411" s="113">
        <f t="shared" si="73"/>
        <v>28</v>
      </c>
      <c r="O411" s="99">
        <v>26.875</v>
      </c>
      <c r="P411" s="113">
        <f t="shared" si="74"/>
        <v>28</v>
      </c>
      <c r="Q411" s="112">
        <f t="shared" si="75"/>
        <v>448</v>
      </c>
      <c r="R411" s="112" t="str">
        <f t="shared" si="76"/>
        <v>Oversize</v>
      </c>
      <c r="S411" s="99" t="str">
        <f t="shared" si="77"/>
        <v>Large bulky</v>
      </c>
      <c r="T411" s="116" t="s">
        <v>13692</v>
      </c>
      <c r="U411" s="116">
        <f t="shared" si="78"/>
        <v>2.2135416666666665</v>
      </c>
      <c r="V411" s="116" t="s">
        <v>13583</v>
      </c>
      <c r="W411" s="116" t="s">
        <v>13690</v>
      </c>
      <c r="X411" s="116" t="s">
        <v>13691</v>
      </c>
      <c r="Y411" s="116">
        <v>2</v>
      </c>
      <c r="Z411" s="116">
        <v>3</v>
      </c>
      <c r="AA411" s="116">
        <v>1</v>
      </c>
      <c r="AB411" s="99"/>
      <c r="AC411" s="99"/>
      <c r="AD411" s="107">
        <v>0</v>
      </c>
      <c r="AE411" s="113">
        <f t="shared" si="79"/>
        <v>0</v>
      </c>
      <c r="AF411" s="116">
        <f>-IFERROR(IFERROR(VLOOKUP(ROUNDUP($Q411,0),'FBA FEES'!$L$2:$Q$203,MATCH($S411,'FBA FEES'!$L$2:$Q$2,0),FALSE),VLOOKUP(ROUNDUP($Q411,0),'FBA FEES'!$C$6:$F$123,MATCH($S411,'FBA FEES'!$C$6:$F$6,0),FALSE)),0)</f>
        <v>-19.869999999999997</v>
      </c>
      <c r="AG411" s="116">
        <v>-10</v>
      </c>
      <c r="AH411" s="113">
        <f t="shared" si="80"/>
        <v>-19.869999999999997</v>
      </c>
      <c r="AI411" s="116">
        <f>-IFERROR(IF($Y411=1,INDEX('[1]REMOVAL FEES'!$A$1:$C$22,MATCH(CONCATENATE("Standard Size",$P411),'[1]REMOVAL FEES'!$A$1:$A$22,0),3),IF($Y411=2,IF($P411&gt;10,(($P411-10)*1.06)+INDEX('[1]REMOVAL FEES'!$E$1:$G$22,MATCH(CONCATENATE("Large bulky, extra-large and special handling items",IF($P411&gt;=11,11,$P411)),'[1]REMOVAL FEES'!$E$1:$E$13,0),3),INDEX('[1]REMOVAL FEES'!$E$1:$G$22,MATCH(CONCATENATE("Large bulky, extra-large and special handling items",IF($P411&gt;=11,11,$P411)),'[1]REMOVAL FEES'!$E$1:$E$13,0),3))))*$AA411,FALSE)</f>
        <v>-33.400000000000006</v>
      </c>
      <c r="AJ411" s="107">
        <f t="shared" si="81"/>
        <v>-53.27</v>
      </c>
      <c r="AK411" s="107">
        <v>0</v>
      </c>
      <c r="AL411" s="107">
        <v>0</v>
      </c>
      <c r="AM411" s="107">
        <f t="shared" si="82"/>
        <v>0</v>
      </c>
      <c r="AN411" s="116">
        <f>(-IF($V411="Yes", IF($X411="Yes", VLOOKUP($W411, '[1]Storage Fees'!A:M, 13, FALSE), VLOOKUP($W411, '[1]Storage Fees'!A:M, 10, FALSE)), IF($X411="Yes", VLOOKUP($W411, '[1]Storage Fees'!A:M, 7, FALSE), VLOOKUP($W411, '[1]Storage Fees'!A:M, 4, FALSE))) * U411)*1.5</f>
        <v>-2.623046875</v>
      </c>
    </row>
    <row r="412" spans="1:40" x14ac:dyDescent="0.25">
      <c r="A412" s="99">
        <v>340</v>
      </c>
      <c r="B412" s="99" t="s">
        <v>13704</v>
      </c>
      <c r="C412" s="99" t="s">
        <v>13655</v>
      </c>
      <c r="D412" s="99">
        <v>45635</v>
      </c>
      <c r="E412" s="99" t="s">
        <v>163</v>
      </c>
      <c r="F412" s="99" t="s">
        <v>939</v>
      </c>
      <c r="G412" s="99" t="s">
        <v>13695</v>
      </c>
      <c r="H412" s="99">
        <v>15</v>
      </c>
      <c r="I412" s="99">
        <v>15</v>
      </c>
      <c r="J412" s="99">
        <v>17</v>
      </c>
      <c r="K412" s="101" t="str">
        <f t="shared" si="70"/>
        <v>15x15x17</v>
      </c>
      <c r="L412" s="102">
        <f t="shared" si="71"/>
        <v>27.517985611510792</v>
      </c>
      <c r="M412" s="113">
        <f t="shared" si="72"/>
        <v>27.517985611510792</v>
      </c>
      <c r="N412" s="113">
        <f t="shared" si="73"/>
        <v>28</v>
      </c>
      <c r="O412" s="99">
        <v>29.875</v>
      </c>
      <c r="P412" s="113">
        <f t="shared" si="74"/>
        <v>30</v>
      </c>
      <c r="Q412" s="112">
        <f t="shared" si="75"/>
        <v>480</v>
      </c>
      <c r="R412" s="112" t="str">
        <f t="shared" si="76"/>
        <v>Oversize</v>
      </c>
      <c r="S412" s="99" t="str">
        <f t="shared" si="77"/>
        <v>Large bulky</v>
      </c>
      <c r="T412" s="116" t="s">
        <v>13692</v>
      </c>
      <c r="U412" s="116">
        <f t="shared" si="78"/>
        <v>2.2135416666666665</v>
      </c>
      <c r="V412" s="116" t="s">
        <v>13583</v>
      </c>
      <c r="W412" s="116" t="s">
        <v>13690</v>
      </c>
      <c r="X412" s="116" t="s">
        <v>13691</v>
      </c>
      <c r="Y412" s="116">
        <v>2</v>
      </c>
      <c r="Z412" s="116">
        <v>3</v>
      </c>
      <c r="AA412" s="116">
        <v>1</v>
      </c>
      <c r="AB412" s="99"/>
      <c r="AC412" s="99"/>
      <c r="AD412" s="107">
        <v>0</v>
      </c>
      <c r="AE412" s="113">
        <f t="shared" si="79"/>
        <v>0</v>
      </c>
      <c r="AF412" s="116">
        <f>-IFERROR(IFERROR(VLOOKUP(ROUNDUP($Q412,0),'FBA FEES'!$L$2:$Q$203,MATCH($S412,'FBA FEES'!$L$2:$Q$2,0),FALSE),VLOOKUP(ROUNDUP($Q412,0),'FBA FEES'!$C$6:$F$123,MATCH($S412,'FBA FEES'!$C$6:$F$6,0),FALSE)),0)</f>
        <v>-20.63</v>
      </c>
      <c r="AG412" s="116">
        <v>-10</v>
      </c>
      <c r="AH412" s="113">
        <f t="shared" si="80"/>
        <v>-20.63</v>
      </c>
      <c r="AI412" s="116">
        <f>-IFERROR(IF($Y412=1,INDEX('[1]REMOVAL FEES'!$A$1:$C$22,MATCH(CONCATENATE("Standard Size",$P412),'[1]REMOVAL FEES'!$A$1:$A$22,0),3),IF($Y412=2,IF($P412&gt;10,(($P412-10)*1.06)+INDEX('[1]REMOVAL FEES'!$E$1:$G$22,MATCH(CONCATENATE("Large bulky, extra-large and special handling items",IF($P412&gt;=11,11,$P412)),'[1]REMOVAL FEES'!$E$1:$E$13,0),3),INDEX('[1]REMOVAL FEES'!$E$1:$G$22,MATCH(CONCATENATE("Large bulky, extra-large and special handling items",IF($P412&gt;=11,11,$P412)),'[1]REMOVAL FEES'!$E$1:$E$13,0),3))))*$AA412,FALSE)</f>
        <v>-35.520000000000003</v>
      </c>
      <c r="AJ412" s="107">
        <f t="shared" si="81"/>
        <v>-56.150000000000006</v>
      </c>
      <c r="AK412" s="107">
        <v>0</v>
      </c>
      <c r="AL412" s="107">
        <v>0</v>
      </c>
      <c r="AM412" s="107">
        <f t="shared" si="82"/>
        <v>0</v>
      </c>
      <c r="AN412" s="116">
        <f>(-IF($V412="Yes", IF($X412="Yes", VLOOKUP($W412, '[1]Storage Fees'!A:M, 13, FALSE), VLOOKUP($W412, '[1]Storage Fees'!A:M, 10, FALSE)), IF($X412="Yes", VLOOKUP($W412, '[1]Storage Fees'!A:M, 7, FALSE), VLOOKUP($W412, '[1]Storage Fees'!A:M, 4, FALSE))) * U412)*1.5</f>
        <v>-2.623046875</v>
      </c>
    </row>
    <row r="413" spans="1:40" x14ac:dyDescent="0.25">
      <c r="A413" s="99">
        <v>341</v>
      </c>
      <c r="B413" s="99" t="s">
        <v>283</v>
      </c>
      <c r="C413" s="99" t="s">
        <v>13655</v>
      </c>
      <c r="D413" s="99" t="s">
        <v>865</v>
      </c>
      <c r="E413" s="99" t="s">
        <v>278</v>
      </c>
      <c r="F413" s="99" t="s">
        <v>942</v>
      </c>
      <c r="G413" s="99" t="s">
        <v>13695</v>
      </c>
      <c r="H413" s="99">
        <v>18</v>
      </c>
      <c r="I413" s="99">
        <v>13</v>
      </c>
      <c r="J413" s="99">
        <v>10</v>
      </c>
      <c r="K413" s="101" t="str">
        <f t="shared" si="70"/>
        <v>18x13x10</v>
      </c>
      <c r="L413" s="102">
        <f t="shared" si="71"/>
        <v>16.834532374100718</v>
      </c>
      <c r="M413" s="113">
        <f t="shared" si="72"/>
        <v>16.834532374100718</v>
      </c>
      <c r="N413" s="113">
        <f t="shared" si="73"/>
        <v>17</v>
      </c>
      <c r="O413" s="99">
        <v>39</v>
      </c>
      <c r="P413" s="113">
        <f t="shared" si="74"/>
        <v>39</v>
      </c>
      <c r="Q413" s="112">
        <f t="shared" si="75"/>
        <v>624</v>
      </c>
      <c r="R413" s="112" t="str">
        <f t="shared" si="76"/>
        <v>Oversize</v>
      </c>
      <c r="S413" s="99" t="str">
        <f t="shared" si="77"/>
        <v>Large bulky</v>
      </c>
      <c r="T413" s="116" t="s">
        <v>13694</v>
      </c>
      <c r="U413" s="116">
        <f t="shared" si="78"/>
        <v>1.3541666666666667</v>
      </c>
      <c r="V413" s="116" t="s">
        <v>13583</v>
      </c>
      <c r="W413" s="116" t="s">
        <v>13690</v>
      </c>
      <c r="X413" s="116" t="s">
        <v>13691</v>
      </c>
      <c r="Y413" s="116">
        <v>2</v>
      </c>
      <c r="Z413" s="116">
        <v>3</v>
      </c>
      <c r="AA413" s="116">
        <v>1</v>
      </c>
      <c r="AB413" s="99"/>
      <c r="AC413" s="99"/>
      <c r="AD413" s="107">
        <v>0</v>
      </c>
      <c r="AE413" s="113">
        <f t="shared" si="79"/>
        <v>0</v>
      </c>
      <c r="AF413" s="116">
        <f>-IFERROR(IFERROR(VLOOKUP(ROUNDUP($Q413,0),'FBA FEES'!$L$2:$Q$203,MATCH($S413,'FBA FEES'!$L$2:$Q$2,0),FALSE),VLOOKUP(ROUNDUP($Q413,0),'FBA FEES'!$C$6:$F$123,MATCH($S413,'FBA FEES'!$C$6:$F$6,0),FALSE)),0)</f>
        <v>-24.049999999999997</v>
      </c>
      <c r="AG413" s="116">
        <v>-10</v>
      </c>
      <c r="AH413" s="113">
        <f t="shared" si="80"/>
        <v>-24.049999999999997</v>
      </c>
      <c r="AI413" s="116">
        <f>-IFERROR(IF($Y413=1,INDEX('[1]REMOVAL FEES'!$A$1:$C$22,MATCH(CONCATENATE("Standard Size",$P413),'[1]REMOVAL FEES'!$A$1:$A$22,0),3),IF($Y413=2,IF($P413&gt;10,(($P413-10)*1.06)+INDEX('[1]REMOVAL FEES'!$E$1:$G$22,MATCH(CONCATENATE("Large bulky, extra-large and special handling items",IF($P413&gt;=11,11,$P413)),'[1]REMOVAL FEES'!$E$1:$E$13,0),3),INDEX('[1]REMOVAL FEES'!$E$1:$G$22,MATCH(CONCATENATE("Large bulky, extra-large and special handling items",IF($P413&gt;=11,11,$P413)),'[1]REMOVAL FEES'!$E$1:$E$13,0),3))))*$AA413,FALSE)</f>
        <v>-45.06</v>
      </c>
      <c r="AJ413" s="107">
        <f t="shared" si="81"/>
        <v>-69.11</v>
      </c>
      <c r="AK413" s="107">
        <v>0</v>
      </c>
      <c r="AL413" s="107">
        <v>0</v>
      </c>
      <c r="AM413" s="107">
        <f t="shared" si="82"/>
        <v>0</v>
      </c>
      <c r="AN413" s="116">
        <f>(-IF($V413="Yes", IF($X413="Yes", VLOOKUP($W413, '[1]Storage Fees'!A:M, 13, FALSE), VLOOKUP($W413, '[1]Storage Fees'!A:M, 10, FALSE)), IF($X413="Yes", VLOOKUP($W413, '[1]Storage Fees'!A:M, 7, FALSE), VLOOKUP($W413, '[1]Storage Fees'!A:M, 4, FALSE))) * U413)*1.5</f>
        <v>-1.6046875</v>
      </c>
    </row>
    <row r="414" spans="1:40" x14ac:dyDescent="0.25">
      <c r="A414" s="99">
        <v>342</v>
      </c>
      <c r="B414" s="99"/>
      <c r="C414" s="99" t="s">
        <v>13655</v>
      </c>
      <c r="D414" s="99"/>
      <c r="E414" s="99" t="s">
        <v>91</v>
      </c>
      <c r="F414" s="99" t="s">
        <v>1793</v>
      </c>
      <c r="G414" s="99" t="s">
        <v>13695</v>
      </c>
      <c r="H414" s="99">
        <v>0</v>
      </c>
      <c r="I414" s="99">
        <v>0</v>
      </c>
      <c r="J414" s="99">
        <v>0</v>
      </c>
      <c r="K414" s="101" t="str">
        <f t="shared" si="70"/>
        <v>0x0x0</v>
      </c>
      <c r="L414" s="102">
        <f t="shared" si="71"/>
        <v>0</v>
      </c>
      <c r="M414" s="113">
        <f t="shared" si="72"/>
        <v>0</v>
      </c>
      <c r="N414" s="113">
        <f t="shared" si="73"/>
        <v>0</v>
      </c>
      <c r="O414" s="99">
        <v>0</v>
      </c>
      <c r="P414" s="113">
        <f t="shared" si="74"/>
        <v>0</v>
      </c>
      <c r="Q414" s="112">
        <f t="shared" si="75"/>
        <v>0</v>
      </c>
      <c r="R414" s="112" t="str">
        <f t="shared" si="76"/>
        <v>Standard-size</v>
      </c>
      <c r="S414" s="99" t="str">
        <f t="shared" si="77"/>
        <v>Small standard-size</v>
      </c>
      <c r="T414" s="116" t="s">
        <v>13696</v>
      </c>
      <c r="U414" s="116">
        <f t="shared" si="78"/>
        <v>0</v>
      </c>
      <c r="V414" s="116" t="s">
        <v>13583</v>
      </c>
      <c r="W414" s="116" t="s">
        <v>13690</v>
      </c>
      <c r="X414" s="99" t="s">
        <v>13583</v>
      </c>
      <c r="Y414" s="99">
        <v>1</v>
      </c>
      <c r="Z414" s="99">
        <v>1</v>
      </c>
      <c r="AA414" s="99">
        <v>1</v>
      </c>
      <c r="AB414" s="99"/>
      <c r="AC414" s="99"/>
      <c r="AD414" s="107">
        <v>0</v>
      </c>
      <c r="AE414" s="113">
        <f t="shared" si="79"/>
        <v>0</v>
      </c>
      <c r="AF414" s="116">
        <f>-IFERROR(IFERROR(VLOOKUP(ROUNDUP($Q414,0),'FBA FEES'!$L$2:$Q$203,MATCH($S414,'FBA FEES'!$L$2:$Q$2,0),FALSE),VLOOKUP(ROUNDUP($Q414,0),'FBA FEES'!$C$6:$F$123,MATCH($S414,'FBA FEES'!$C$6:$F$6,0),FALSE)),0)</f>
        <v>0</v>
      </c>
      <c r="AG414" s="116">
        <v>-10</v>
      </c>
      <c r="AH414" s="113">
        <f t="shared" si="80"/>
        <v>0</v>
      </c>
      <c r="AI414" s="116">
        <f>-IFERROR(IF($Y414=1,INDEX('[1]REMOVAL FEES'!$A$1:$C$22,MATCH(CONCATENATE("Standard Size",$P414),'[1]REMOVAL FEES'!$A$1:$A$22,0),3),IF($Y414=2,IF($P414&gt;10,(($P414-10)*1.06)+INDEX('[1]REMOVAL FEES'!$E$1:$G$22,MATCH(CONCATENATE("Large bulky, extra-large and special handling items",IF($P414&gt;=11,11,$P414)),'[1]REMOVAL FEES'!$E$1:$E$13,0),3),INDEX('[1]REMOVAL FEES'!$E$1:$G$22,MATCH(CONCATENATE("Large bulky, extra-large and special handling items",IF($P414&gt;=11,11,$P414)),'[1]REMOVAL FEES'!$E$1:$E$13,0),3))))*$AA414,FALSE)</f>
        <v>0</v>
      </c>
      <c r="AJ414" s="107">
        <f t="shared" si="81"/>
        <v>0</v>
      </c>
      <c r="AK414" s="107">
        <v>0</v>
      </c>
      <c r="AL414" s="107">
        <v>0</v>
      </c>
      <c r="AM414" s="107">
        <f t="shared" si="82"/>
        <v>0</v>
      </c>
      <c r="AN414" s="116">
        <f>(-IF($V414="Yes", IF($X414="Yes", VLOOKUP($W414, '[1]Storage Fees'!A:M, 13, FALSE), VLOOKUP($W414, '[1]Storage Fees'!A:M, 10, FALSE)), IF($X414="Yes", VLOOKUP($W414, '[1]Storage Fees'!A:M, 7, FALSE), VLOOKUP($W414, '[1]Storage Fees'!A:M, 4, FALSE))) * U414)*1.5</f>
        <v>0</v>
      </c>
    </row>
    <row r="415" spans="1:40" x14ac:dyDescent="0.25">
      <c r="A415" s="99">
        <v>343</v>
      </c>
      <c r="B415" s="99"/>
      <c r="C415" s="99" t="s">
        <v>13655</v>
      </c>
      <c r="D415" s="99"/>
      <c r="E415" s="99" t="s">
        <v>1797</v>
      </c>
      <c r="F415" s="99" t="s">
        <v>1795</v>
      </c>
      <c r="G415" s="99" t="s">
        <v>13695</v>
      </c>
      <c r="H415" s="99">
        <v>0</v>
      </c>
      <c r="I415" s="99">
        <v>0</v>
      </c>
      <c r="J415" s="99">
        <v>0</v>
      </c>
      <c r="K415" s="101" t="str">
        <f t="shared" si="70"/>
        <v>0x0x0</v>
      </c>
      <c r="L415" s="102">
        <f t="shared" si="71"/>
        <v>0</v>
      </c>
      <c r="M415" s="113">
        <f t="shared" si="72"/>
        <v>0</v>
      </c>
      <c r="N415" s="113">
        <f t="shared" si="73"/>
        <v>0</v>
      </c>
      <c r="O415" s="99">
        <v>0</v>
      </c>
      <c r="P415" s="113">
        <f t="shared" si="74"/>
        <v>0</v>
      </c>
      <c r="Q415" s="112">
        <f t="shared" si="75"/>
        <v>0</v>
      </c>
      <c r="R415" s="112" t="str">
        <f t="shared" si="76"/>
        <v>Standard-size</v>
      </c>
      <c r="S415" s="99" t="str">
        <f t="shared" si="77"/>
        <v>Small standard-size</v>
      </c>
      <c r="T415" s="116" t="s">
        <v>13696</v>
      </c>
      <c r="U415" s="116">
        <f t="shared" si="78"/>
        <v>0</v>
      </c>
      <c r="V415" s="116" t="s">
        <v>13583</v>
      </c>
      <c r="W415" s="116" t="s">
        <v>13690</v>
      </c>
      <c r="X415" s="99" t="s">
        <v>13583</v>
      </c>
      <c r="Y415" s="99">
        <v>1</v>
      </c>
      <c r="Z415" s="99">
        <v>1</v>
      </c>
      <c r="AA415" s="99">
        <v>1</v>
      </c>
      <c r="AB415" s="99"/>
      <c r="AC415" s="99"/>
      <c r="AD415" s="107">
        <v>0</v>
      </c>
      <c r="AE415" s="113">
        <f t="shared" si="79"/>
        <v>0</v>
      </c>
      <c r="AF415" s="116">
        <f>-IFERROR(IFERROR(VLOOKUP(ROUNDUP($Q415,0),'FBA FEES'!$L$2:$Q$203,MATCH($S415,'FBA FEES'!$L$2:$Q$2,0),FALSE),VLOOKUP(ROUNDUP($Q415,0),'FBA FEES'!$C$6:$F$123,MATCH($S415,'FBA FEES'!$C$6:$F$6,0),FALSE)),0)</f>
        <v>0</v>
      </c>
      <c r="AG415" s="116">
        <v>-10</v>
      </c>
      <c r="AH415" s="113">
        <f t="shared" si="80"/>
        <v>0</v>
      </c>
      <c r="AI415" s="116">
        <f>-IFERROR(IF($Y415=1,INDEX('[1]REMOVAL FEES'!$A$1:$C$22,MATCH(CONCATENATE("Standard Size",$P415),'[1]REMOVAL FEES'!$A$1:$A$22,0),3),IF($Y415=2,IF($P415&gt;10,(($P415-10)*1.06)+INDEX('[1]REMOVAL FEES'!$E$1:$G$22,MATCH(CONCATENATE("Large bulky, extra-large and special handling items",IF($P415&gt;=11,11,$P415)),'[1]REMOVAL FEES'!$E$1:$E$13,0),3),INDEX('[1]REMOVAL FEES'!$E$1:$G$22,MATCH(CONCATENATE("Large bulky, extra-large and special handling items",IF($P415&gt;=11,11,$P415)),'[1]REMOVAL FEES'!$E$1:$E$13,0),3))))*$AA415,FALSE)</f>
        <v>0</v>
      </c>
      <c r="AJ415" s="107">
        <f t="shared" si="81"/>
        <v>0</v>
      </c>
      <c r="AK415" s="107">
        <v>0</v>
      </c>
      <c r="AL415" s="107">
        <v>0</v>
      </c>
      <c r="AM415" s="107">
        <f t="shared" si="82"/>
        <v>0</v>
      </c>
      <c r="AN415" s="116">
        <f>(-IF($V415="Yes", IF($X415="Yes", VLOOKUP($W415, '[1]Storage Fees'!A:M, 13, FALSE), VLOOKUP($W415, '[1]Storage Fees'!A:M, 10, FALSE)), IF($X415="Yes", VLOOKUP($W415, '[1]Storage Fees'!A:M, 7, FALSE), VLOOKUP($W415, '[1]Storage Fees'!A:M, 4, FALSE))) * U415)*1.5</f>
        <v>0</v>
      </c>
    </row>
    <row r="416" spans="1:40" x14ac:dyDescent="0.25">
      <c r="A416" s="99">
        <v>344</v>
      </c>
      <c r="B416" s="99"/>
      <c r="C416" s="99" t="s">
        <v>13655</v>
      </c>
      <c r="D416" s="99"/>
      <c r="E416" s="99" t="s">
        <v>1797</v>
      </c>
      <c r="F416" s="99" t="s">
        <v>1798</v>
      </c>
      <c r="G416" s="99" t="s">
        <v>13695</v>
      </c>
      <c r="H416" s="99">
        <v>0</v>
      </c>
      <c r="I416" s="99">
        <v>0</v>
      </c>
      <c r="J416" s="99">
        <v>0</v>
      </c>
      <c r="K416" s="101" t="str">
        <f t="shared" si="70"/>
        <v>0x0x0</v>
      </c>
      <c r="L416" s="102">
        <f t="shared" si="71"/>
        <v>0</v>
      </c>
      <c r="M416" s="113">
        <f t="shared" si="72"/>
        <v>0</v>
      </c>
      <c r="N416" s="113">
        <f t="shared" si="73"/>
        <v>0</v>
      </c>
      <c r="O416" s="99">
        <v>0</v>
      </c>
      <c r="P416" s="113">
        <f t="shared" si="74"/>
        <v>0</v>
      </c>
      <c r="Q416" s="112">
        <f t="shared" si="75"/>
        <v>0</v>
      </c>
      <c r="R416" s="112" t="str">
        <f t="shared" si="76"/>
        <v>Standard-size</v>
      </c>
      <c r="S416" s="99" t="str">
        <f t="shared" si="77"/>
        <v>Small standard-size</v>
      </c>
      <c r="T416" s="116" t="s">
        <v>13696</v>
      </c>
      <c r="U416" s="116">
        <f t="shared" si="78"/>
        <v>0</v>
      </c>
      <c r="V416" s="116" t="s">
        <v>13583</v>
      </c>
      <c r="W416" s="116" t="s">
        <v>13690</v>
      </c>
      <c r="X416" s="99" t="s">
        <v>13583</v>
      </c>
      <c r="Y416" s="99">
        <v>1</v>
      </c>
      <c r="Z416" s="99">
        <v>1</v>
      </c>
      <c r="AA416" s="99">
        <v>1</v>
      </c>
      <c r="AB416" s="99"/>
      <c r="AC416" s="99"/>
      <c r="AD416" s="107">
        <v>0</v>
      </c>
      <c r="AE416" s="113">
        <f t="shared" si="79"/>
        <v>0</v>
      </c>
      <c r="AF416" s="116">
        <f>-IFERROR(IFERROR(VLOOKUP(ROUNDUP($Q416,0),'FBA FEES'!$L$2:$Q$203,MATCH($S416,'FBA FEES'!$L$2:$Q$2,0),FALSE),VLOOKUP(ROUNDUP($Q416,0),'FBA FEES'!$C$6:$F$123,MATCH($S416,'FBA FEES'!$C$6:$F$6,0),FALSE)),0)</f>
        <v>0</v>
      </c>
      <c r="AG416" s="116">
        <v>-10</v>
      </c>
      <c r="AH416" s="113">
        <f t="shared" si="80"/>
        <v>0</v>
      </c>
      <c r="AI416" s="116">
        <f>-IFERROR(IF($Y416=1,INDEX('[1]REMOVAL FEES'!$A$1:$C$22,MATCH(CONCATENATE("Standard Size",$P416),'[1]REMOVAL FEES'!$A$1:$A$22,0),3),IF($Y416=2,IF($P416&gt;10,(($P416-10)*1.06)+INDEX('[1]REMOVAL FEES'!$E$1:$G$22,MATCH(CONCATENATE("Large bulky, extra-large and special handling items",IF($P416&gt;=11,11,$P416)),'[1]REMOVAL FEES'!$E$1:$E$13,0),3),INDEX('[1]REMOVAL FEES'!$E$1:$G$22,MATCH(CONCATENATE("Large bulky, extra-large and special handling items",IF($P416&gt;=11,11,$P416)),'[1]REMOVAL FEES'!$E$1:$E$13,0),3))))*$AA416,FALSE)</f>
        <v>0</v>
      </c>
      <c r="AJ416" s="107">
        <f t="shared" si="81"/>
        <v>0</v>
      </c>
      <c r="AK416" s="107">
        <v>0</v>
      </c>
      <c r="AL416" s="107">
        <v>0</v>
      </c>
      <c r="AM416" s="107">
        <f t="shared" si="82"/>
        <v>0</v>
      </c>
      <c r="AN416" s="116">
        <f>(-IF($V416="Yes", IF($X416="Yes", VLOOKUP($W416, '[1]Storage Fees'!A:M, 13, FALSE), VLOOKUP($W416, '[1]Storage Fees'!A:M, 10, FALSE)), IF($X416="Yes", VLOOKUP($W416, '[1]Storage Fees'!A:M, 7, FALSE), VLOOKUP($W416, '[1]Storage Fees'!A:M, 4, FALSE))) * U416)*1.5</f>
        <v>0</v>
      </c>
    </row>
    <row r="417" spans="1:40" x14ac:dyDescent="0.25">
      <c r="A417" s="99">
        <v>345</v>
      </c>
      <c r="B417" s="99"/>
      <c r="C417" s="99" t="s">
        <v>13655</v>
      </c>
      <c r="D417" s="99"/>
      <c r="E417" s="99" t="s">
        <v>1797</v>
      </c>
      <c r="F417" s="99" t="s">
        <v>1800</v>
      </c>
      <c r="G417" s="99" t="s">
        <v>13695</v>
      </c>
      <c r="H417" s="99">
        <v>0</v>
      </c>
      <c r="I417" s="99">
        <v>0</v>
      </c>
      <c r="J417" s="99">
        <v>0</v>
      </c>
      <c r="K417" s="101" t="str">
        <f t="shared" si="70"/>
        <v>0x0x0</v>
      </c>
      <c r="L417" s="102">
        <f t="shared" si="71"/>
        <v>0</v>
      </c>
      <c r="M417" s="113">
        <f t="shared" si="72"/>
        <v>0</v>
      </c>
      <c r="N417" s="113">
        <f t="shared" si="73"/>
        <v>0</v>
      </c>
      <c r="O417" s="99">
        <v>0</v>
      </c>
      <c r="P417" s="113">
        <f t="shared" si="74"/>
        <v>0</v>
      </c>
      <c r="Q417" s="112">
        <f t="shared" si="75"/>
        <v>0</v>
      </c>
      <c r="R417" s="112" t="str">
        <f t="shared" si="76"/>
        <v>Standard-size</v>
      </c>
      <c r="S417" s="99" t="str">
        <f t="shared" si="77"/>
        <v>Small standard-size</v>
      </c>
      <c r="T417" s="116" t="s">
        <v>13696</v>
      </c>
      <c r="U417" s="116">
        <f t="shared" si="78"/>
        <v>0</v>
      </c>
      <c r="V417" s="116" t="s">
        <v>13583</v>
      </c>
      <c r="W417" s="116" t="s">
        <v>13690</v>
      </c>
      <c r="X417" s="99" t="s">
        <v>13583</v>
      </c>
      <c r="Y417" s="99">
        <v>1</v>
      </c>
      <c r="Z417" s="99">
        <v>1</v>
      </c>
      <c r="AA417" s="99">
        <v>1</v>
      </c>
      <c r="AB417" s="99"/>
      <c r="AC417" s="99"/>
      <c r="AD417" s="107">
        <v>0</v>
      </c>
      <c r="AE417" s="113">
        <f t="shared" si="79"/>
        <v>0</v>
      </c>
      <c r="AF417" s="116">
        <f>-IFERROR(IFERROR(VLOOKUP(ROUNDUP($Q417,0),'FBA FEES'!$L$2:$Q$203,MATCH($S417,'FBA FEES'!$L$2:$Q$2,0),FALSE),VLOOKUP(ROUNDUP($Q417,0),'FBA FEES'!$C$6:$F$123,MATCH($S417,'FBA FEES'!$C$6:$F$6,0),FALSE)),0)</f>
        <v>0</v>
      </c>
      <c r="AG417" s="116">
        <v>-10</v>
      </c>
      <c r="AH417" s="113">
        <f t="shared" si="80"/>
        <v>0</v>
      </c>
      <c r="AI417" s="116">
        <f>-IFERROR(IF($Y417=1,INDEX('[1]REMOVAL FEES'!$A$1:$C$22,MATCH(CONCATENATE("Standard Size",$P417),'[1]REMOVAL FEES'!$A$1:$A$22,0),3),IF($Y417=2,IF($P417&gt;10,(($P417-10)*1.06)+INDEX('[1]REMOVAL FEES'!$E$1:$G$22,MATCH(CONCATENATE("Large bulky, extra-large and special handling items",IF($P417&gt;=11,11,$P417)),'[1]REMOVAL FEES'!$E$1:$E$13,0),3),INDEX('[1]REMOVAL FEES'!$E$1:$G$22,MATCH(CONCATENATE("Large bulky, extra-large and special handling items",IF($P417&gt;=11,11,$P417)),'[1]REMOVAL FEES'!$E$1:$E$13,0),3))))*$AA417,FALSE)</f>
        <v>0</v>
      </c>
      <c r="AJ417" s="107">
        <f t="shared" si="81"/>
        <v>0</v>
      </c>
      <c r="AK417" s="107">
        <v>0</v>
      </c>
      <c r="AL417" s="107">
        <v>0</v>
      </c>
      <c r="AM417" s="107">
        <f t="shared" si="82"/>
        <v>0</v>
      </c>
      <c r="AN417" s="116">
        <f>(-IF($V417="Yes", IF($X417="Yes", VLOOKUP($W417, '[1]Storage Fees'!A:M, 13, FALSE), VLOOKUP($W417, '[1]Storage Fees'!A:M, 10, FALSE)), IF($X417="Yes", VLOOKUP($W417, '[1]Storage Fees'!A:M, 7, FALSE), VLOOKUP($W417, '[1]Storage Fees'!A:M, 4, FALSE))) * U417)*1.5</f>
        <v>0</v>
      </c>
    </row>
    <row r="418" spans="1:40" x14ac:dyDescent="0.25">
      <c r="A418" s="99">
        <v>346</v>
      </c>
      <c r="B418" s="99"/>
      <c r="C418" s="99" t="s">
        <v>13655</v>
      </c>
      <c r="D418" s="99"/>
      <c r="E418" s="99" t="s">
        <v>1797</v>
      </c>
      <c r="F418" s="99" t="s">
        <v>1802</v>
      </c>
      <c r="G418" s="99" t="s">
        <v>13695</v>
      </c>
      <c r="H418" s="99">
        <v>0</v>
      </c>
      <c r="I418" s="99">
        <v>0</v>
      </c>
      <c r="J418" s="99">
        <v>0</v>
      </c>
      <c r="K418" s="101" t="str">
        <f t="shared" si="70"/>
        <v>0x0x0</v>
      </c>
      <c r="L418" s="102">
        <f t="shared" si="71"/>
        <v>0</v>
      </c>
      <c r="M418" s="113">
        <f t="shared" si="72"/>
        <v>0</v>
      </c>
      <c r="N418" s="113">
        <f t="shared" si="73"/>
        <v>0</v>
      </c>
      <c r="O418" s="99">
        <v>0</v>
      </c>
      <c r="P418" s="113">
        <f t="shared" si="74"/>
        <v>0</v>
      </c>
      <c r="Q418" s="112">
        <f t="shared" si="75"/>
        <v>0</v>
      </c>
      <c r="R418" s="112" t="str">
        <f t="shared" si="76"/>
        <v>Standard-size</v>
      </c>
      <c r="S418" s="99" t="str">
        <f t="shared" si="77"/>
        <v>Small standard-size</v>
      </c>
      <c r="T418" s="116" t="s">
        <v>13696</v>
      </c>
      <c r="U418" s="116">
        <f t="shared" si="78"/>
        <v>0</v>
      </c>
      <c r="V418" s="116" t="s">
        <v>13583</v>
      </c>
      <c r="W418" s="116" t="s">
        <v>13690</v>
      </c>
      <c r="X418" s="99" t="s">
        <v>13583</v>
      </c>
      <c r="Y418" s="99">
        <v>1</v>
      </c>
      <c r="Z418" s="99">
        <v>1</v>
      </c>
      <c r="AA418" s="99">
        <v>1</v>
      </c>
      <c r="AB418" s="99"/>
      <c r="AC418" s="99"/>
      <c r="AD418" s="107">
        <v>0</v>
      </c>
      <c r="AE418" s="113">
        <f t="shared" si="79"/>
        <v>0</v>
      </c>
      <c r="AF418" s="116">
        <f>-IFERROR(IFERROR(VLOOKUP(ROUNDUP($Q418,0),'FBA FEES'!$L$2:$Q$203,MATCH($S418,'FBA FEES'!$L$2:$Q$2,0),FALSE),VLOOKUP(ROUNDUP($Q418,0),'FBA FEES'!$C$6:$F$123,MATCH($S418,'FBA FEES'!$C$6:$F$6,0),FALSE)),0)</f>
        <v>0</v>
      </c>
      <c r="AG418" s="116">
        <v>-10</v>
      </c>
      <c r="AH418" s="113">
        <f t="shared" si="80"/>
        <v>0</v>
      </c>
      <c r="AI418" s="116">
        <f>-IFERROR(IF($Y418=1,INDEX('[1]REMOVAL FEES'!$A$1:$C$22,MATCH(CONCATENATE("Standard Size",$P418),'[1]REMOVAL FEES'!$A$1:$A$22,0),3),IF($Y418=2,IF($P418&gt;10,(($P418-10)*1.06)+INDEX('[1]REMOVAL FEES'!$E$1:$G$22,MATCH(CONCATENATE("Large bulky, extra-large and special handling items",IF($P418&gt;=11,11,$P418)),'[1]REMOVAL FEES'!$E$1:$E$13,0),3),INDEX('[1]REMOVAL FEES'!$E$1:$G$22,MATCH(CONCATENATE("Large bulky, extra-large and special handling items",IF($P418&gt;=11,11,$P418)),'[1]REMOVAL FEES'!$E$1:$E$13,0),3))))*$AA418,FALSE)</f>
        <v>0</v>
      </c>
      <c r="AJ418" s="107">
        <f t="shared" si="81"/>
        <v>0</v>
      </c>
      <c r="AK418" s="107">
        <v>0</v>
      </c>
      <c r="AL418" s="107">
        <v>0</v>
      </c>
      <c r="AM418" s="107">
        <f t="shared" si="82"/>
        <v>0</v>
      </c>
      <c r="AN418" s="116">
        <f>(-IF($V418="Yes", IF($X418="Yes", VLOOKUP($W418, '[1]Storage Fees'!A:M, 13, FALSE), VLOOKUP($W418, '[1]Storage Fees'!A:M, 10, FALSE)), IF($X418="Yes", VLOOKUP($W418, '[1]Storage Fees'!A:M, 7, FALSE), VLOOKUP($W418, '[1]Storage Fees'!A:M, 4, FALSE))) * U418)*1.5</f>
        <v>0</v>
      </c>
    </row>
    <row r="419" spans="1:40" x14ac:dyDescent="0.25">
      <c r="A419" s="99">
        <v>347</v>
      </c>
      <c r="B419" s="99"/>
      <c r="C419" s="99" t="s">
        <v>13655</v>
      </c>
      <c r="D419" s="99"/>
      <c r="E419" s="99" t="s">
        <v>1797</v>
      </c>
      <c r="F419" s="99" t="s">
        <v>1804</v>
      </c>
      <c r="G419" s="99" t="s">
        <v>13695</v>
      </c>
      <c r="H419" s="99">
        <v>0</v>
      </c>
      <c r="I419" s="99">
        <v>0</v>
      </c>
      <c r="J419" s="99">
        <v>0</v>
      </c>
      <c r="K419" s="101" t="str">
        <f t="shared" si="70"/>
        <v>0x0x0</v>
      </c>
      <c r="L419" s="102">
        <f t="shared" si="71"/>
        <v>0</v>
      </c>
      <c r="M419" s="113">
        <f t="shared" si="72"/>
        <v>0</v>
      </c>
      <c r="N419" s="113">
        <f t="shared" si="73"/>
        <v>0</v>
      </c>
      <c r="O419" s="99">
        <v>0</v>
      </c>
      <c r="P419" s="113">
        <f t="shared" si="74"/>
        <v>0</v>
      </c>
      <c r="Q419" s="112">
        <f t="shared" si="75"/>
        <v>0</v>
      </c>
      <c r="R419" s="112" t="str">
        <f t="shared" si="76"/>
        <v>Standard-size</v>
      </c>
      <c r="S419" s="99" t="str">
        <f t="shared" si="77"/>
        <v>Small standard-size</v>
      </c>
      <c r="T419" s="116" t="s">
        <v>13696</v>
      </c>
      <c r="U419" s="116">
        <f t="shared" si="78"/>
        <v>0</v>
      </c>
      <c r="V419" s="116" t="s">
        <v>13583</v>
      </c>
      <c r="W419" s="116" t="s">
        <v>13690</v>
      </c>
      <c r="X419" s="99" t="s">
        <v>13583</v>
      </c>
      <c r="Y419" s="99">
        <v>1</v>
      </c>
      <c r="Z419" s="99">
        <v>1</v>
      </c>
      <c r="AA419" s="99">
        <v>1</v>
      </c>
      <c r="AB419" s="99"/>
      <c r="AC419" s="99"/>
      <c r="AD419" s="107">
        <v>0</v>
      </c>
      <c r="AE419" s="113">
        <f t="shared" si="79"/>
        <v>0</v>
      </c>
      <c r="AF419" s="116">
        <f>-IFERROR(IFERROR(VLOOKUP(ROUNDUP($Q419,0),'FBA FEES'!$L$2:$Q$203,MATCH($S419,'FBA FEES'!$L$2:$Q$2,0),FALSE),VLOOKUP(ROUNDUP($Q419,0),'FBA FEES'!$C$6:$F$123,MATCH($S419,'FBA FEES'!$C$6:$F$6,0),FALSE)),0)</f>
        <v>0</v>
      </c>
      <c r="AG419" s="116">
        <v>-10</v>
      </c>
      <c r="AH419" s="113">
        <f t="shared" si="80"/>
        <v>0</v>
      </c>
      <c r="AI419" s="116">
        <f>-IFERROR(IF($Y419=1,INDEX('[1]REMOVAL FEES'!$A$1:$C$22,MATCH(CONCATENATE("Standard Size",$P419),'[1]REMOVAL FEES'!$A$1:$A$22,0),3),IF($Y419=2,IF($P419&gt;10,(($P419-10)*1.06)+INDEX('[1]REMOVAL FEES'!$E$1:$G$22,MATCH(CONCATENATE("Large bulky, extra-large and special handling items",IF($P419&gt;=11,11,$P419)),'[1]REMOVAL FEES'!$E$1:$E$13,0),3),INDEX('[1]REMOVAL FEES'!$E$1:$G$22,MATCH(CONCATENATE("Large bulky, extra-large and special handling items",IF($P419&gt;=11,11,$P419)),'[1]REMOVAL FEES'!$E$1:$E$13,0),3))))*$AA419,FALSE)</f>
        <v>0</v>
      </c>
      <c r="AJ419" s="107">
        <f t="shared" si="81"/>
        <v>0</v>
      </c>
      <c r="AK419" s="107">
        <v>0</v>
      </c>
      <c r="AL419" s="107">
        <v>0</v>
      </c>
      <c r="AM419" s="107">
        <f t="shared" si="82"/>
        <v>0</v>
      </c>
      <c r="AN419" s="116">
        <f>(-IF($V419="Yes", IF($X419="Yes", VLOOKUP($W419, '[1]Storage Fees'!A:M, 13, FALSE), VLOOKUP($W419, '[1]Storage Fees'!A:M, 10, FALSE)), IF($X419="Yes", VLOOKUP($W419, '[1]Storage Fees'!A:M, 7, FALSE), VLOOKUP($W419, '[1]Storage Fees'!A:M, 4, FALSE))) * U419)*1.5</f>
        <v>0</v>
      </c>
    </row>
    <row r="420" spans="1:40" x14ac:dyDescent="0.25">
      <c r="A420" s="99">
        <v>348</v>
      </c>
      <c r="B420" s="99"/>
      <c r="C420" s="99" t="s">
        <v>13655</v>
      </c>
      <c r="D420" s="99"/>
      <c r="E420" s="99" t="s">
        <v>1797</v>
      </c>
      <c r="F420" s="99" t="s">
        <v>1806</v>
      </c>
      <c r="G420" s="99" t="s">
        <v>13695</v>
      </c>
      <c r="H420" s="99">
        <v>0</v>
      </c>
      <c r="I420" s="99">
        <v>0</v>
      </c>
      <c r="J420" s="99">
        <v>0</v>
      </c>
      <c r="K420" s="101" t="str">
        <f t="shared" si="70"/>
        <v>0x0x0</v>
      </c>
      <c r="L420" s="102">
        <f t="shared" si="71"/>
        <v>0</v>
      </c>
      <c r="M420" s="113">
        <f t="shared" si="72"/>
        <v>0</v>
      </c>
      <c r="N420" s="113">
        <f t="shared" si="73"/>
        <v>0</v>
      </c>
      <c r="O420" s="99">
        <v>0</v>
      </c>
      <c r="P420" s="113">
        <f t="shared" si="74"/>
        <v>0</v>
      </c>
      <c r="Q420" s="112">
        <f t="shared" si="75"/>
        <v>0</v>
      </c>
      <c r="R420" s="112" t="str">
        <f t="shared" si="76"/>
        <v>Standard-size</v>
      </c>
      <c r="S420" s="99" t="str">
        <f t="shared" si="77"/>
        <v>Small standard-size</v>
      </c>
      <c r="T420" s="116" t="s">
        <v>13696</v>
      </c>
      <c r="U420" s="116">
        <f t="shared" si="78"/>
        <v>0</v>
      </c>
      <c r="V420" s="116" t="s">
        <v>13583</v>
      </c>
      <c r="W420" s="116" t="s">
        <v>13690</v>
      </c>
      <c r="X420" s="99" t="s">
        <v>13583</v>
      </c>
      <c r="Y420" s="99">
        <v>1</v>
      </c>
      <c r="Z420" s="99">
        <v>1</v>
      </c>
      <c r="AA420" s="99">
        <v>1</v>
      </c>
      <c r="AB420" s="99"/>
      <c r="AC420" s="99"/>
      <c r="AD420" s="107">
        <v>0</v>
      </c>
      <c r="AE420" s="113">
        <f t="shared" si="79"/>
        <v>0</v>
      </c>
      <c r="AF420" s="116">
        <f>-IFERROR(IFERROR(VLOOKUP(ROUNDUP($Q420,0),'FBA FEES'!$L$2:$Q$203,MATCH($S420,'FBA FEES'!$L$2:$Q$2,0),FALSE),VLOOKUP(ROUNDUP($Q420,0),'FBA FEES'!$C$6:$F$123,MATCH($S420,'FBA FEES'!$C$6:$F$6,0),FALSE)),0)</f>
        <v>0</v>
      </c>
      <c r="AG420" s="116">
        <v>-10</v>
      </c>
      <c r="AH420" s="113">
        <f t="shared" si="80"/>
        <v>0</v>
      </c>
      <c r="AI420" s="116">
        <f>-IFERROR(IF($Y420=1,INDEX('[1]REMOVAL FEES'!$A$1:$C$22,MATCH(CONCATENATE("Standard Size",$P420),'[1]REMOVAL FEES'!$A$1:$A$22,0),3),IF($Y420=2,IF($P420&gt;10,(($P420-10)*1.06)+INDEX('[1]REMOVAL FEES'!$E$1:$G$22,MATCH(CONCATENATE("Large bulky, extra-large and special handling items",IF($P420&gt;=11,11,$P420)),'[1]REMOVAL FEES'!$E$1:$E$13,0),3),INDEX('[1]REMOVAL FEES'!$E$1:$G$22,MATCH(CONCATENATE("Large bulky, extra-large and special handling items",IF($P420&gt;=11,11,$P420)),'[1]REMOVAL FEES'!$E$1:$E$13,0),3))))*$AA420,FALSE)</f>
        <v>0</v>
      </c>
      <c r="AJ420" s="107">
        <f t="shared" si="81"/>
        <v>0</v>
      </c>
      <c r="AK420" s="107">
        <v>0</v>
      </c>
      <c r="AL420" s="107">
        <v>0</v>
      </c>
      <c r="AM420" s="107">
        <f t="shared" si="82"/>
        <v>0</v>
      </c>
      <c r="AN420" s="116">
        <f>(-IF($V420="Yes", IF($X420="Yes", VLOOKUP($W420, '[1]Storage Fees'!A:M, 13, FALSE), VLOOKUP($W420, '[1]Storage Fees'!A:M, 10, FALSE)), IF($X420="Yes", VLOOKUP($W420, '[1]Storage Fees'!A:M, 7, FALSE), VLOOKUP($W420, '[1]Storage Fees'!A:M, 4, FALSE))) * U420)*1.5</f>
        <v>0</v>
      </c>
    </row>
    <row r="421" spans="1:40" x14ac:dyDescent="0.25">
      <c r="A421" s="99">
        <v>349</v>
      </c>
      <c r="B421" s="99"/>
      <c r="C421" s="99" t="s">
        <v>13655</v>
      </c>
      <c r="D421" s="99"/>
      <c r="E421" s="99" t="s">
        <v>1797</v>
      </c>
      <c r="F421" s="99" t="s">
        <v>1808</v>
      </c>
      <c r="G421" s="99" t="s">
        <v>13695</v>
      </c>
      <c r="H421" s="99">
        <v>0</v>
      </c>
      <c r="I421" s="99">
        <v>0</v>
      </c>
      <c r="J421" s="99">
        <v>0</v>
      </c>
      <c r="K421" s="101" t="str">
        <f t="shared" si="70"/>
        <v>0x0x0</v>
      </c>
      <c r="L421" s="102">
        <f t="shared" si="71"/>
        <v>0</v>
      </c>
      <c r="M421" s="113">
        <f t="shared" si="72"/>
        <v>0</v>
      </c>
      <c r="N421" s="113">
        <f t="shared" si="73"/>
        <v>0</v>
      </c>
      <c r="O421" s="99">
        <v>0</v>
      </c>
      <c r="P421" s="113">
        <f t="shared" si="74"/>
        <v>0</v>
      </c>
      <c r="Q421" s="112">
        <f t="shared" si="75"/>
        <v>0</v>
      </c>
      <c r="R421" s="112" t="str">
        <f t="shared" si="76"/>
        <v>Standard-size</v>
      </c>
      <c r="S421" s="99" t="str">
        <f t="shared" si="77"/>
        <v>Small standard-size</v>
      </c>
      <c r="T421" s="116" t="s">
        <v>13696</v>
      </c>
      <c r="U421" s="116">
        <f t="shared" si="78"/>
        <v>0</v>
      </c>
      <c r="V421" s="116" t="s">
        <v>13583</v>
      </c>
      <c r="W421" s="116" t="s">
        <v>13690</v>
      </c>
      <c r="X421" s="99" t="s">
        <v>13583</v>
      </c>
      <c r="Y421" s="99">
        <v>1</v>
      </c>
      <c r="Z421" s="99">
        <v>1</v>
      </c>
      <c r="AA421" s="99">
        <v>1</v>
      </c>
      <c r="AB421" s="99"/>
      <c r="AC421" s="99"/>
      <c r="AD421" s="107">
        <v>0</v>
      </c>
      <c r="AE421" s="113">
        <f t="shared" si="79"/>
        <v>0</v>
      </c>
      <c r="AF421" s="116">
        <f>-IFERROR(IFERROR(VLOOKUP(ROUNDUP($Q421,0),'FBA FEES'!$L$2:$Q$203,MATCH($S421,'FBA FEES'!$L$2:$Q$2,0),FALSE),VLOOKUP(ROUNDUP($Q421,0),'FBA FEES'!$C$6:$F$123,MATCH($S421,'FBA FEES'!$C$6:$F$6,0),FALSE)),0)</f>
        <v>0</v>
      </c>
      <c r="AG421" s="116">
        <v>-10</v>
      </c>
      <c r="AH421" s="113">
        <f t="shared" si="80"/>
        <v>0</v>
      </c>
      <c r="AI421" s="116">
        <f>-IFERROR(IF($Y421=1,INDEX('[1]REMOVAL FEES'!$A$1:$C$22,MATCH(CONCATENATE("Standard Size",$P421),'[1]REMOVAL FEES'!$A$1:$A$22,0),3),IF($Y421=2,IF($P421&gt;10,(($P421-10)*1.06)+INDEX('[1]REMOVAL FEES'!$E$1:$G$22,MATCH(CONCATENATE("Large bulky, extra-large and special handling items",IF($P421&gt;=11,11,$P421)),'[1]REMOVAL FEES'!$E$1:$E$13,0),3),INDEX('[1]REMOVAL FEES'!$E$1:$G$22,MATCH(CONCATENATE("Large bulky, extra-large and special handling items",IF($P421&gt;=11,11,$P421)),'[1]REMOVAL FEES'!$E$1:$E$13,0),3))))*$AA421,FALSE)</f>
        <v>0</v>
      </c>
      <c r="AJ421" s="107">
        <f t="shared" si="81"/>
        <v>0</v>
      </c>
      <c r="AK421" s="107">
        <v>0</v>
      </c>
      <c r="AL421" s="107">
        <v>0</v>
      </c>
      <c r="AM421" s="107">
        <f t="shared" si="82"/>
        <v>0</v>
      </c>
      <c r="AN421" s="116">
        <f>(-IF($V421="Yes", IF($X421="Yes", VLOOKUP($W421, '[1]Storage Fees'!A:M, 13, FALSE), VLOOKUP($W421, '[1]Storage Fees'!A:M, 10, FALSE)), IF($X421="Yes", VLOOKUP($W421, '[1]Storage Fees'!A:M, 7, FALSE), VLOOKUP($W421, '[1]Storage Fees'!A:M, 4, FALSE))) * U421)*1.5</f>
        <v>0</v>
      </c>
    </row>
    <row r="422" spans="1:40" x14ac:dyDescent="0.25">
      <c r="A422" s="99">
        <v>350</v>
      </c>
      <c r="B422" s="99"/>
      <c r="C422" s="99" t="s">
        <v>13655</v>
      </c>
      <c r="D422" s="99"/>
      <c r="E422" s="99" t="s">
        <v>1797</v>
      </c>
      <c r="F422" s="99" t="s">
        <v>1810</v>
      </c>
      <c r="G422" s="99" t="s">
        <v>13695</v>
      </c>
      <c r="H422" s="99">
        <v>0</v>
      </c>
      <c r="I422" s="99">
        <v>0</v>
      </c>
      <c r="J422" s="99">
        <v>0</v>
      </c>
      <c r="K422" s="101" t="str">
        <f t="shared" si="70"/>
        <v>0x0x0</v>
      </c>
      <c r="L422" s="102">
        <f t="shared" si="71"/>
        <v>0</v>
      </c>
      <c r="M422" s="113">
        <f t="shared" si="72"/>
        <v>0</v>
      </c>
      <c r="N422" s="113">
        <f t="shared" si="73"/>
        <v>0</v>
      </c>
      <c r="O422" s="99">
        <v>0</v>
      </c>
      <c r="P422" s="113">
        <f t="shared" si="74"/>
        <v>0</v>
      </c>
      <c r="Q422" s="112">
        <f t="shared" si="75"/>
        <v>0</v>
      </c>
      <c r="R422" s="112" t="str">
        <f t="shared" si="76"/>
        <v>Standard-size</v>
      </c>
      <c r="S422" s="99" t="str">
        <f t="shared" si="77"/>
        <v>Small standard-size</v>
      </c>
      <c r="T422" s="116" t="s">
        <v>13696</v>
      </c>
      <c r="U422" s="116">
        <f t="shared" si="78"/>
        <v>0</v>
      </c>
      <c r="V422" s="116" t="s">
        <v>13583</v>
      </c>
      <c r="W422" s="116" t="s">
        <v>13690</v>
      </c>
      <c r="X422" s="99" t="s">
        <v>13583</v>
      </c>
      <c r="Y422" s="99">
        <v>1</v>
      </c>
      <c r="Z422" s="99">
        <v>1</v>
      </c>
      <c r="AA422" s="99">
        <v>1</v>
      </c>
      <c r="AB422" s="99"/>
      <c r="AC422" s="99"/>
      <c r="AD422" s="107">
        <v>0</v>
      </c>
      <c r="AE422" s="113">
        <f t="shared" si="79"/>
        <v>0</v>
      </c>
      <c r="AF422" s="116">
        <f>-IFERROR(IFERROR(VLOOKUP(ROUNDUP($Q422,0),'FBA FEES'!$L$2:$Q$203,MATCH($S422,'FBA FEES'!$L$2:$Q$2,0),FALSE),VLOOKUP(ROUNDUP($Q422,0),'FBA FEES'!$C$6:$F$123,MATCH($S422,'FBA FEES'!$C$6:$F$6,0),FALSE)),0)</f>
        <v>0</v>
      </c>
      <c r="AG422" s="116">
        <v>-10</v>
      </c>
      <c r="AH422" s="113">
        <f t="shared" si="80"/>
        <v>0</v>
      </c>
      <c r="AI422" s="116">
        <f>-IFERROR(IF($Y422=1,INDEX('[1]REMOVAL FEES'!$A$1:$C$22,MATCH(CONCATENATE("Standard Size",$P422),'[1]REMOVAL FEES'!$A$1:$A$22,0),3),IF($Y422=2,IF($P422&gt;10,(($P422-10)*1.06)+INDEX('[1]REMOVAL FEES'!$E$1:$G$22,MATCH(CONCATENATE("Large bulky, extra-large and special handling items",IF($P422&gt;=11,11,$P422)),'[1]REMOVAL FEES'!$E$1:$E$13,0),3),INDEX('[1]REMOVAL FEES'!$E$1:$G$22,MATCH(CONCATENATE("Large bulky, extra-large and special handling items",IF($P422&gt;=11,11,$P422)),'[1]REMOVAL FEES'!$E$1:$E$13,0),3))))*$AA422,FALSE)</f>
        <v>0</v>
      </c>
      <c r="AJ422" s="107">
        <f t="shared" si="81"/>
        <v>0</v>
      </c>
      <c r="AK422" s="107">
        <v>0</v>
      </c>
      <c r="AL422" s="107">
        <v>0</v>
      </c>
      <c r="AM422" s="107">
        <f t="shared" si="82"/>
        <v>0</v>
      </c>
      <c r="AN422" s="116">
        <f>(-IF($V422="Yes", IF($X422="Yes", VLOOKUP($W422, '[1]Storage Fees'!A:M, 13, FALSE), VLOOKUP($W422, '[1]Storage Fees'!A:M, 10, FALSE)), IF($X422="Yes", VLOOKUP($W422, '[1]Storage Fees'!A:M, 7, FALSE), VLOOKUP($W422, '[1]Storage Fees'!A:M, 4, FALSE))) * U422)*1.5</f>
        <v>0</v>
      </c>
    </row>
    <row r="423" spans="1:40" x14ac:dyDescent="0.25">
      <c r="A423" s="99">
        <v>351</v>
      </c>
      <c r="B423" s="99"/>
      <c r="C423" s="99" t="s">
        <v>13655</v>
      </c>
      <c r="D423" s="99"/>
      <c r="E423" s="99" t="s">
        <v>1797</v>
      </c>
      <c r="F423" s="99" t="s">
        <v>1812</v>
      </c>
      <c r="G423" s="99" t="s">
        <v>13695</v>
      </c>
      <c r="H423" s="99">
        <v>0</v>
      </c>
      <c r="I423" s="99">
        <v>0</v>
      </c>
      <c r="J423" s="99">
        <v>0</v>
      </c>
      <c r="K423" s="101" t="str">
        <f t="shared" si="70"/>
        <v>0x0x0</v>
      </c>
      <c r="L423" s="102">
        <f t="shared" si="71"/>
        <v>0</v>
      </c>
      <c r="M423" s="113">
        <f t="shared" si="72"/>
        <v>0</v>
      </c>
      <c r="N423" s="113">
        <f t="shared" si="73"/>
        <v>0</v>
      </c>
      <c r="O423" s="99">
        <v>0</v>
      </c>
      <c r="P423" s="113">
        <f t="shared" si="74"/>
        <v>0</v>
      </c>
      <c r="Q423" s="112">
        <f t="shared" si="75"/>
        <v>0</v>
      </c>
      <c r="R423" s="112" t="str">
        <f t="shared" si="76"/>
        <v>Standard-size</v>
      </c>
      <c r="S423" s="99" t="str">
        <f t="shared" si="77"/>
        <v>Small standard-size</v>
      </c>
      <c r="T423" s="116" t="s">
        <v>13696</v>
      </c>
      <c r="U423" s="116">
        <f t="shared" si="78"/>
        <v>0</v>
      </c>
      <c r="V423" s="116" t="s">
        <v>13583</v>
      </c>
      <c r="W423" s="116" t="s">
        <v>13690</v>
      </c>
      <c r="X423" s="99" t="s">
        <v>13583</v>
      </c>
      <c r="Y423" s="99">
        <v>1</v>
      </c>
      <c r="Z423" s="99">
        <v>1</v>
      </c>
      <c r="AA423" s="99">
        <v>1</v>
      </c>
      <c r="AB423" s="99"/>
      <c r="AC423" s="99"/>
      <c r="AD423" s="107">
        <v>0</v>
      </c>
      <c r="AE423" s="113">
        <f t="shared" si="79"/>
        <v>0</v>
      </c>
      <c r="AF423" s="116">
        <f>-IFERROR(IFERROR(VLOOKUP(ROUNDUP($Q423,0),'FBA FEES'!$L$2:$Q$203,MATCH($S423,'FBA FEES'!$L$2:$Q$2,0),FALSE),VLOOKUP(ROUNDUP($Q423,0),'FBA FEES'!$C$6:$F$123,MATCH($S423,'FBA FEES'!$C$6:$F$6,0),FALSE)),0)</f>
        <v>0</v>
      </c>
      <c r="AG423" s="116">
        <v>-10</v>
      </c>
      <c r="AH423" s="113">
        <f t="shared" si="80"/>
        <v>0</v>
      </c>
      <c r="AI423" s="116">
        <f>-IFERROR(IF($Y423=1,INDEX('[1]REMOVAL FEES'!$A$1:$C$22,MATCH(CONCATENATE("Standard Size",$P423),'[1]REMOVAL FEES'!$A$1:$A$22,0),3),IF($Y423=2,IF($P423&gt;10,(($P423-10)*1.06)+INDEX('[1]REMOVAL FEES'!$E$1:$G$22,MATCH(CONCATENATE("Large bulky, extra-large and special handling items",IF($P423&gt;=11,11,$P423)),'[1]REMOVAL FEES'!$E$1:$E$13,0),3),INDEX('[1]REMOVAL FEES'!$E$1:$G$22,MATCH(CONCATENATE("Large bulky, extra-large and special handling items",IF($P423&gt;=11,11,$P423)),'[1]REMOVAL FEES'!$E$1:$E$13,0),3))))*$AA423,FALSE)</f>
        <v>0</v>
      </c>
      <c r="AJ423" s="107">
        <f t="shared" si="81"/>
        <v>0</v>
      </c>
      <c r="AK423" s="107">
        <v>0</v>
      </c>
      <c r="AL423" s="107">
        <v>0</v>
      </c>
      <c r="AM423" s="107">
        <f t="shared" si="82"/>
        <v>0</v>
      </c>
      <c r="AN423" s="116">
        <f>(-IF($V423="Yes", IF($X423="Yes", VLOOKUP($W423, '[1]Storage Fees'!A:M, 13, FALSE), VLOOKUP($W423, '[1]Storage Fees'!A:M, 10, FALSE)), IF($X423="Yes", VLOOKUP($W423, '[1]Storage Fees'!A:M, 7, FALSE), VLOOKUP($W423, '[1]Storage Fees'!A:M, 4, FALSE))) * U423)*1.5</f>
        <v>0</v>
      </c>
    </row>
    <row r="424" spans="1:40" x14ac:dyDescent="0.25">
      <c r="A424" s="99">
        <v>352</v>
      </c>
      <c r="B424" s="99"/>
      <c r="C424" s="99" t="s">
        <v>13655</v>
      </c>
      <c r="D424" s="99"/>
      <c r="E424" s="99" t="s">
        <v>278</v>
      </c>
      <c r="F424" s="99" t="s">
        <v>1814</v>
      </c>
      <c r="G424" s="99" t="s">
        <v>13695</v>
      </c>
      <c r="H424" s="99">
        <v>0</v>
      </c>
      <c r="I424" s="99">
        <v>0</v>
      </c>
      <c r="J424" s="99">
        <v>0</v>
      </c>
      <c r="K424" s="101" t="str">
        <f t="shared" si="70"/>
        <v>0x0x0</v>
      </c>
      <c r="L424" s="102">
        <f t="shared" si="71"/>
        <v>0</v>
      </c>
      <c r="M424" s="113">
        <f t="shared" si="72"/>
        <v>0</v>
      </c>
      <c r="N424" s="113">
        <f t="shared" si="73"/>
        <v>0</v>
      </c>
      <c r="O424" s="99">
        <v>0</v>
      </c>
      <c r="P424" s="113">
        <f t="shared" si="74"/>
        <v>0</v>
      </c>
      <c r="Q424" s="112">
        <f t="shared" si="75"/>
        <v>0</v>
      </c>
      <c r="R424" s="112" t="str">
        <f t="shared" si="76"/>
        <v>Standard-size</v>
      </c>
      <c r="S424" s="99" t="str">
        <f t="shared" si="77"/>
        <v>Small standard-size</v>
      </c>
      <c r="T424" s="116" t="s">
        <v>13696</v>
      </c>
      <c r="U424" s="116">
        <f t="shared" si="78"/>
        <v>0</v>
      </c>
      <c r="V424" s="116" t="s">
        <v>13583</v>
      </c>
      <c r="W424" s="116" t="s">
        <v>13690</v>
      </c>
      <c r="X424" s="99" t="s">
        <v>13583</v>
      </c>
      <c r="Y424" s="99">
        <v>1</v>
      </c>
      <c r="Z424" s="99">
        <v>1</v>
      </c>
      <c r="AA424" s="99">
        <v>1</v>
      </c>
      <c r="AB424" s="99"/>
      <c r="AC424" s="99"/>
      <c r="AD424" s="107">
        <v>0</v>
      </c>
      <c r="AE424" s="113">
        <f t="shared" si="79"/>
        <v>0</v>
      </c>
      <c r="AF424" s="116">
        <f>-IFERROR(IFERROR(VLOOKUP(ROUNDUP($Q424,0),'FBA FEES'!$L$2:$Q$203,MATCH($S424,'FBA FEES'!$L$2:$Q$2,0),FALSE),VLOOKUP(ROUNDUP($Q424,0),'FBA FEES'!$C$6:$F$123,MATCH($S424,'FBA FEES'!$C$6:$F$6,0),FALSE)),0)</f>
        <v>0</v>
      </c>
      <c r="AG424" s="116">
        <v>-10</v>
      </c>
      <c r="AH424" s="113">
        <f t="shared" si="80"/>
        <v>0</v>
      </c>
      <c r="AI424" s="116">
        <f>-IFERROR(IF($Y424=1,INDEX('[1]REMOVAL FEES'!$A$1:$C$22,MATCH(CONCATENATE("Standard Size",$P424),'[1]REMOVAL FEES'!$A$1:$A$22,0),3),IF($Y424=2,IF($P424&gt;10,(($P424-10)*1.06)+INDEX('[1]REMOVAL FEES'!$E$1:$G$22,MATCH(CONCATENATE("Large bulky, extra-large and special handling items",IF($P424&gt;=11,11,$P424)),'[1]REMOVAL FEES'!$E$1:$E$13,0),3),INDEX('[1]REMOVAL FEES'!$E$1:$G$22,MATCH(CONCATENATE("Large bulky, extra-large and special handling items",IF($P424&gt;=11,11,$P424)),'[1]REMOVAL FEES'!$E$1:$E$13,0),3))))*$AA424,FALSE)</f>
        <v>0</v>
      </c>
      <c r="AJ424" s="107">
        <f t="shared" si="81"/>
        <v>0</v>
      </c>
      <c r="AK424" s="107">
        <v>0</v>
      </c>
      <c r="AL424" s="107">
        <v>0</v>
      </c>
      <c r="AM424" s="107">
        <f t="shared" si="82"/>
        <v>0</v>
      </c>
      <c r="AN424" s="116">
        <f>(-IF($V424="Yes", IF($X424="Yes", VLOOKUP($W424, '[1]Storage Fees'!A:M, 13, FALSE), VLOOKUP($W424, '[1]Storage Fees'!A:M, 10, FALSE)), IF($X424="Yes", VLOOKUP($W424, '[1]Storage Fees'!A:M, 7, FALSE), VLOOKUP($W424, '[1]Storage Fees'!A:M, 4, FALSE))) * U424)*1.5</f>
        <v>0</v>
      </c>
    </row>
    <row r="425" spans="1:40" x14ac:dyDescent="0.25">
      <c r="A425" s="99">
        <v>353</v>
      </c>
      <c r="B425" s="99"/>
      <c r="C425" s="99" t="s">
        <v>13655</v>
      </c>
      <c r="D425" s="99"/>
      <c r="E425" s="99" t="s">
        <v>278</v>
      </c>
      <c r="F425" s="99" t="s">
        <v>1816</v>
      </c>
      <c r="G425" s="99" t="s">
        <v>13695</v>
      </c>
      <c r="H425" s="99">
        <v>0</v>
      </c>
      <c r="I425" s="99">
        <v>0</v>
      </c>
      <c r="J425" s="99">
        <v>0</v>
      </c>
      <c r="K425" s="101" t="str">
        <f t="shared" si="70"/>
        <v>0x0x0</v>
      </c>
      <c r="L425" s="102">
        <f t="shared" si="71"/>
        <v>0</v>
      </c>
      <c r="M425" s="113">
        <f t="shared" si="72"/>
        <v>0</v>
      </c>
      <c r="N425" s="113">
        <f t="shared" si="73"/>
        <v>0</v>
      </c>
      <c r="O425" s="99">
        <v>0</v>
      </c>
      <c r="P425" s="113">
        <f t="shared" si="74"/>
        <v>0</v>
      </c>
      <c r="Q425" s="112">
        <f t="shared" si="75"/>
        <v>0</v>
      </c>
      <c r="R425" s="112" t="str">
        <f t="shared" si="76"/>
        <v>Standard-size</v>
      </c>
      <c r="S425" s="99" t="str">
        <f t="shared" si="77"/>
        <v>Small standard-size</v>
      </c>
      <c r="T425" s="116" t="s">
        <v>13696</v>
      </c>
      <c r="U425" s="116">
        <f t="shared" si="78"/>
        <v>0</v>
      </c>
      <c r="V425" s="116" t="s">
        <v>13583</v>
      </c>
      <c r="W425" s="116" t="s">
        <v>13690</v>
      </c>
      <c r="X425" s="99" t="s">
        <v>13583</v>
      </c>
      <c r="Y425" s="99">
        <v>1</v>
      </c>
      <c r="Z425" s="99">
        <v>1</v>
      </c>
      <c r="AA425" s="99">
        <v>1</v>
      </c>
      <c r="AB425" s="99"/>
      <c r="AC425" s="99"/>
      <c r="AD425" s="107">
        <v>0</v>
      </c>
      <c r="AE425" s="113">
        <f t="shared" si="79"/>
        <v>0</v>
      </c>
      <c r="AF425" s="116">
        <f>-IFERROR(IFERROR(VLOOKUP(ROUNDUP($Q425,0),'FBA FEES'!$L$2:$Q$203,MATCH($S425,'FBA FEES'!$L$2:$Q$2,0),FALSE),VLOOKUP(ROUNDUP($Q425,0),'FBA FEES'!$C$6:$F$123,MATCH($S425,'FBA FEES'!$C$6:$F$6,0),FALSE)),0)</f>
        <v>0</v>
      </c>
      <c r="AG425" s="116">
        <v>-10</v>
      </c>
      <c r="AH425" s="113">
        <f t="shared" si="80"/>
        <v>0</v>
      </c>
      <c r="AI425" s="116">
        <f>-IFERROR(IF($Y425=1,INDEX('[1]REMOVAL FEES'!$A$1:$C$22,MATCH(CONCATENATE("Standard Size",$P425),'[1]REMOVAL FEES'!$A$1:$A$22,0),3),IF($Y425=2,IF($P425&gt;10,(($P425-10)*1.06)+INDEX('[1]REMOVAL FEES'!$E$1:$G$22,MATCH(CONCATENATE("Large bulky, extra-large and special handling items",IF($P425&gt;=11,11,$P425)),'[1]REMOVAL FEES'!$E$1:$E$13,0),3),INDEX('[1]REMOVAL FEES'!$E$1:$G$22,MATCH(CONCATENATE("Large bulky, extra-large and special handling items",IF($P425&gt;=11,11,$P425)),'[1]REMOVAL FEES'!$E$1:$E$13,0),3))))*$AA425,FALSE)</f>
        <v>0</v>
      </c>
      <c r="AJ425" s="107">
        <f t="shared" si="81"/>
        <v>0</v>
      </c>
      <c r="AK425" s="107">
        <v>0</v>
      </c>
      <c r="AL425" s="107">
        <v>0</v>
      </c>
      <c r="AM425" s="107">
        <f t="shared" si="82"/>
        <v>0</v>
      </c>
      <c r="AN425" s="116">
        <f>(-IF($V425="Yes", IF($X425="Yes", VLOOKUP($W425, '[1]Storage Fees'!A:M, 13, FALSE), VLOOKUP($W425, '[1]Storage Fees'!A:M, 10, FALSE)), IF($X425="Yes", VLOOKUP($W425, '[1]Storage Fees'!A:M, 7, FALSE), VLOOKUP($W425, '[1]Storage Fees'!A:M, 4, FALSE))) * U425)*1.5</f>
        <v>0</v>
      </c>
    </row>
    <row r="426" spans="1:40" x14ac:dyDescent="0.25">
      <c r="A426" s="99">
        <v>354</v>
      </c>
      <c r="B426" s="99"/>
      <c r="C426" s="99" t="s">
        <v>13655</v>
      </c>
      <c r="D426" s="99"/>
      <c r="E426" s="99" t="s">
        <v>278</v>
      </c>
      <c r="F426" s="99" t="s">
        <v>1818</v>
      </c>
      <c r="G426" s="99" t="s">
        <v>13695</v>
      </c>
      <c r="H426" s="99">
        <v>0</v>
      </c>
      <c r="I426" s="99">
        <v>0</v>
      </c>
      <c r="J426" s="99">
        <v>0</v>
      </c>
      <c r="K426" s="101" t="str">
        <f t="shared" si="70"/>
        <v>0x0x0</v>
      </c>
      <c r="L426" s="102">
        <f t="shared" si="71"/>
        <v>0</v>
      </c>
      <c r="M426" s="113">
        <f t="shared" si="72"/>
        <v>0</v>
      </c>
      <c r="N426" s="113">
        <f t="shared" si="73"/>
        <v>0</v>
      </c>
      <c r="O426" s="99">
        <v>0</v>
      </c>
      <c r="P426" s="113">
        <f t="shared" si="74"/>
        <v>0</v>
      </c>
      <c r="Q426" s="112">
        <f t="shared" si="75"/>
        <v>0</v>
      </c>
      <c r="R426" s="112" t="str">
        <f t="shared" si="76"/>
        <v>Standard-size</v>
      </c>
      <c r="S426" s="99" t="str">
        <f t="shared" si="77"/>
        <v>Small standard-size</v>
      </c>
      <c r="T426" s="116" t="s">
        <v>13696</v>
      </c>
      <c r="U426" s="116">
        <f t="shared" si="78"/>
        <v>0</v>
      </c>
      <c r="V426" s="116" t="s">
        <v>13583</v>
      </c>
      <c r="W426" s="116" t="s">
        <v>13690</v>
      </c>
      <c r="X426" s="99" t="s">
        <v>13583</v>
      </c>
      <c r="Y426" s="99">
        <v>1</v>
      </c>
      <c r="Z426" s="99">
        <v>1</v>
      </c>
      <c r="AA426" s="99">
        <v>1</v>
      </c>
      <c r="AB426" s="99"/>
      <c r="AC426" s="99"/>
      <c r="AD426" s="107">
        <v>0</v>
      </c>
      <c r="AE426" s="113">
        <f t="shared" si="79"/>
        <v>0</v>
      </c>
      <c r="AF426" s="116">
        <f>-IFERROR(IFERROR(VLOOKUP(ROUNDUP($Q426,0),'FBA FEES'!$L$2:$Q$203,MATCH($S426,'FBA FEES'!$L$2:$Q$2,0),FALSE),VLOOKUP(ROUNDUP($Q426,0),'FBA FEES'!$C$6:$F$123,MATCH($S426,'FBA FEES'!$C$6:$F$6,0),FALSE)),0)</f>
        <v>0</v>
      </c>
      <c r="AG426" s="116">
        <v>-10</v>
      </c>
      <c r="AH426" s="113">
        <f t="shared" si="80"/>
        <v>0</v>
      </c>
      <c r="AI426" s="116">
        <f>-IFERROR(IF($Y426=1,INDEX('[1]REMOVAL FEES'!$A$1:$C$22,MATCH(CONCATENATE("Standard Size",$P426),'[1]REMOVAL FEES'!$A$1:$A$22,0),3),IF($Y426=2,IF($P426&gt;10,(($P426-10)*1.06)+INDEX('[1]REMOVAL FEES'!$E$1:$G$22,MATCH(CONCATENATE("Large bulky, extra-large and special handling items",IF($P426&gt;=11,11,$P426)),'[1]REMOVAL FEES'!$E$1:$E$13,0),3),INDEX('[1]REMOVAL FEES'!$E$1:$G$22,MATCH(CONCATENATE("Large bulky, extra-large and special handling items",IF($P426&gt;=11,11,$P426)),'[1]REMOVAL FEES'!$E$1:$E$13,0),3))))*$AA426,FALSE)</f>
        <v>0</v>
      </c>
      <c r="AJ426" s="107">
        <f t="shared" si="81"/>
        <v>0</v>
      </c>
      <c r="AK426" s="107">
        <v>0</v>
      </c>
      <c r="AL426" s="107">
        <v>0</v>
      </c>
      <c r="AM426" s="107">
        <f t="shared" si="82"/>
        <v>0</v>
      </c>
      <c r="AN426" s="116">
        <f>(-IF($V426="Yes", IF($X426="Yes", VLOOKUP($W426, '[1]Storage Fees'!A:M, 13, FALSE), VLOOKUP($W426, '[1]Storage Fees'!A:M, 10, FALSE)), IF($X426="Yes", VLOOKUP($W426, '[1]Storage Fees'!A:M, 7, FALSE), VLOOKUP($W426, '[1]Storage Fees'!A:M, 4, FALSE))) * U426)*1.5</f>
        <v>0</v>
      </c>
    </row>
    <row r="427" spans="1:40" x14ac:dyDescent="0.25">
      <c r="A427" s="99">
        <v>355</v>
      </c>
      <c r="B427" s="99" t="s">
        <v>13705</v>
      </c>
      <c r="C427" s="99" t="s">
        <v>13655</v>
      </c>
      <c r="D427" s="99" t="s">
        <v>823</v>
      </c>
      <c r="E427" s="99" t="s">
        <v>278</v>
      </c>
      <c r="F427" s="99" t="s">
        <v>945</v>
      </c>
      <c r="G427" s="99" t="s">
        <v>13695</v>
      </c>
      <c r="H427" s="99">
        <v>15</v>
      </c>
      <c r="I427" s="99">
        <v>13</v>
      </c>
      <c r="J427" s="99">
        <v>11</v>
      </c>
      <c r="K427" s="101" t="str">
        <f t="shared" si="70"/>
        <v>15x13x11</v>
      </c>
      <c r="L427" s="102">
        <f t="shared" si="71"/>
        <v>15.431654676258994</v>
      </c>
      <c r="M427" s="113">
        <f t="shared" si="72"/>
        <v>15.431654676258994</v>
      </c>
      <c r="N427" s="113">
        <f t="shared" si="73"/>
        <v>16</v>
      </c>
      <c r="O427" s="99">
        <v>9.0625</v>
      </c>
      <c r="P427" s="113">
        <f t="shared" si="74"/>
        <v>16</v>
      </c>
      <c r="Q427" s="112">
        <f t="shared" si="75"/>
        <v>256</v>
      </c>
      <c r="R427" s="112" t="str">
        <f t="shared" si="76"/>
        <v>Oversize</v>
      </c>
      <c r="S427" s="99" t="str">
        <f t="shared" si="77"/>
        <v>Large bulky</v>
      </c>
      <c r="T427" s="116" t="s">
        <v>13692</v>
      </c>
      <c r="U427" s="116">
        <f t="shared" si="78"/>
        <v>1.2413194444444444</v>
      </c>
      <c r="V427" s="116" t="s">
        <v>13583</v>
      </c>
      <c r="W427" s="116" t="s">
        <v>13690</v>
      </c>
      <c r="X427" s="116" t="s">
        <v>13691</v>
      </c>
      <c r="Y427" s="116">
        <v>2</v>
      </c>
      <c r="Z427" s="116">
        <v>3</v>
      </c>
      <c r="AA427" s="116">
        <v>1</v>
      </c>
      <c r="AB427" s="99"/>
      <c r="AC427" s="99"/>
      <c r="AD427" s="107">
        <v>0</v>
      </c>
      <c r="AE427" s="113">
        <f t="shared" si="79"/>
        <v>0</v>
      </c>
      <c r="AF427" s="116">
        <f>-IFERROR(IFERROR(VLOOKUP(ROUNDUP($Q427,0),'FBA FEES'!$L$2:$Q$203,MATCH($S427,'FBA FEES'!$L$2:$Q$2,0),FALSE),VLOOKUP(ROUNDUP($Q427,0),'FBA FEES'!$C$6:$F$123,MATCH($S427,'FBA FEES'!$C$6:$F$6,0),FALSE)),0)</f>
        <v>-15.309999999999999</v>
      </c>
      <c r="AG427" s="116">
        <v>-10</v>
      </c>
      <c r="AH427" s="113">
        <f t="shared" si="80"/>
        <v>-15.309999999999999</v>
      </c>
      <c r="AI427" s="116">
        <f>-IFERROR(IF($Y427=1,INDEX('[1]REMOVAL FEES'!$A$1:$C$22,MATCH(CONCATENATE("Standard Size",$P427),'[1]REMOVAL FEES'!$A$1:$A$22,0),3),IF($Y427=2,IF($P427&gt;10,(($P427-10)*1.06)+INDEX('[1]REMOVAL FEES'!$E$1:$G$22,MATCH(CONCATENATE("Large bulky, extra-large and special handling items",IF($P427&gt;=11,11,$P427)),'[1]REMOVAL FEES'!$E$1:$E$13,0),3),INDEX('[1]REMOVAL FEES'!$E$1:$G$22,MATCH(CONCATENATE("Large bulky, extra-large and special handling items",IF($P427&gt;=11,11,$P427)),'[1]REMOVAL FEES'!$E$1:$E$13,0),3))))*$AA427,FALSE)</f>
        <v>-20.68</v>
      </c>
      <c r="AJ427" s="107">
        <f t="shared" si="81"/>
        <v>-35.989999999999995</v>
      </c>
      <c r="AK427" s="107">
        <v>0</v>
      </c>
      <c r="AL427" s="107">
        <v>0</v>
      </c>
      <c r="AM427" s="107">
        <f t="shared" si="82"/>
        <v>0</v>
      </c>
      <c r="AN427" s="116">
        <f>(-IF($V427="Yes", IF($X427="Yes", VLOOKUP($W427, '[1]Storage Fees'!A:M, 13, FALSE), VLOOKUP($W427, '[1]Storage Fees'!A:M, 10, FALSE)), IF($X427="Yes", VLOOKUP($W427, '[1]Storage Fees'!A:M, 7, FALSE), VLOOKUP($W427, '[1]Storage Fees'!A:M, 4, FALSE))) * U427)*1.5</f>
        <v>-1.4709635416666667</v>
      </c>
    </row>
    <row r="428" spans="1:40" x14ac:dyDescent="0.25">
      <c r="A428" s="99">
        <v>356</v>
      </c>
      <c r="B428" s="99"/>
      <c r="C428" s="99" t="s">
        <v>13655</v>
      </c>
      <c r="D428" s="99"/>
      <c r="E428" s="99" t="s">
        <v>278</v>
      </c>
      <c r="F428" s="99" t="s">
        <v>1820</v>
      </c>
      <c r="G428" s="99" t="s">
        <v>13695</v>
      </c>
      <c r="H428" s="99">
        <v>0</v>
      </c>
      <c r="I428" s="99">
        <v>0</v>
      </c>
      <c r="J428" s="99">
        <v>0</v>
      </c>
      <c r="K428" s="101" t="str">
        <f t="shared" si="70"/>
        <v>0x0x0</v>
      </c>
      <c r="L428" s="102">
        <f t="shared" si="71"/>
        <v>0</v>
      </c>
      <c r="M428" s="113">
        <f t="shared" si="72"/>
        <v>0</v>
      </c>
      <c r="N428" s="113">
        <f t="shared" si="73"/>
        <v>0</v>
      </c>
      <c r="O428" s="99">
        <v>0</v>
      </c>
      <c r="P428" s="113">
        <f t="shared" si="74"/>
        <v>0</v>
      </c>
      <c r="Q428" s="112">
        <f t="shared" si="75"/>
        <v>0</v>
      </c>
      <c r="R428" s="112" t="str">
        <f t="shared" si="76"/>
        <v>Standard-size</v>
      </c>
      <c r="S428" s="99" t="str">
        <f t="shared" si="77"/>
        <v>Small standard-size</v>
      </c>
      <c r="T428" s="116" t="s">
        <v>13696</v>
      </c>
      <c r="U428" s="116">
        <f t="shared" si="78"/>
        <v>0</v>
      </c>
      <c r="V428" s="116" t="s">
        <v>13583</v>
      </c>
      <c r="W428" s="116" t="s">
        <v>13690</v>
      </c>
      <c r="X428" s="99" t="s">
        <v>13583</v>
      </c>
      <c r="Y428" s="99">
        <v>1</v>
      </c>
      <c r="Z428" s="99">
        <v>1</v>
      </c>
      <c r="AA428" s="99">
        <v>1</v>
      </c>
      <c r="AB428" s="99"/>
      <c r="AC428" s="99"/>
      <c r="AD428" s="107">
        <v>0</v>
      </c>
      <c r="AE428" s="113">
        <f t="shared" si="79"/>
        <v>0</v>
      </c>
      <c r="AF428" s="116">
        <f>-IFERROR(IFERROR(VLOOKUP(ROUNDUP($Q428,0),'FBA FEES'!$L$2:$Q$203,MATCH($S428,'FBA FEES'!$L$2:$Q$2,0),FALSE),VLOOKUP(ROUNDUP($Q428,0),'FBA FEES'!$C$6:$F$123,MATCH($S428,'FBA FEES'!$C$6:$F$6,0),FALSE)),0)</f>
        <v>0</v>
      </c>
      <c r="AG428" s="116">
        <v>-10</v>
      </c>
      <c r="AH428" s="113">
        <f t="shared" si="80"/>
        <v>0</v>
      </c>
      <c r="AI428" s="116">
        <f>-IFERROR(IF($Y428=1,INDEX('[1]REMOVAL FEES'!$A$1:$C$22,MATCH(CONCATENATE("Standard Size",$P428),'[1]REMOVAL FEES'!$A$1:$A$22,0),3),IF($Y428=2,IF($P428&gt;10,(($P428-10)*1.06)+INDEX('[1]REMOVAL FEES'!$E$1:$G$22,MATCH(CONCATENATE("Large bulky, extra-large and special handling items",IF($P428&gt;=11,11,$P428)),'[1]REMOVAL FEES'!$E$1:$E$13,0),3),INDEX('[1]REMOVAL FEES'!$E$1:$G$22,MATCH(CONCATENATE("Large bulky, extra-large and special handling items",IF($P428&gt;=11,11,$P428)),'[1]REMOVAL FEES'!$E$1:$E$13,0),3))))*$AA428,FALSE)</f>
        <v>0</v>
      </c>
      <c r="AJ428" s="107">
        <f t="shared" si="81"/>
        <v>0</v>
      </c>
      <c r="AK428" s="107">
        <v>0</v>
      </c>
      <c r="AL428" s="107">
        <v>0</v>
      </c>
      <c r="AM428" s="107">
        <f t="shared" si="82"/>
        <v>0</v>
      </c>
      <c r="AN428" s="116">
        <f>(-IF($V428="Yes", IF($X428="Yes", VLOOKUP($W428, '[1]Storage Fees'!A:M, 13, FALSE), VLOOKUP($W428, '[1]Storage Fees'!A:M, 10, FALSE)), IF($X428="Yes", VLOOKUP($W428, '[1]Storage Fees'!A:M, 7, FALSE), VLOOKUP($W428, '[1]Storage Fees'!A:M, 4, FALSE))) * U428)*1.5</f>
        <v>0</v>
      </c>
    </row>
    <row r="429" spans="1:40" x14ac:dyDescent="0.25">
      <c r="A429" s="99">
        <v>357</v>
      </c>
      <c r="B429" s="99" t="s">
        <v>13705</v>
      </c>
      <c r="C429" s="99" t="s">
        <v>13655</v>
      </c>
      <c r="D429" s="99">
        <v>44374</v>
      </c>
      <c r="E429" s="99" t="s">
        <v>950</v>
      </c>
      <c r="F429" s="99" t="s">
        <v>948</v>
      </c>
      <c r="G429" s="99" t="s">
        <v>13695</v>
      </c>
      <c r="H429" s="99">
        <v>37</v>
      </c>
      <c r="I429" s="99">
        <v>2</v>
      </c>
      <c r="J429" s="99">
        <v>2</v>
      </c>
      <c r="K429" s="101" t="str">
        <f t="shared" si="70"/>
        <v>37x2x2</v>
      </c>
      <c r="L429" s="102">
        <f t="shared" si="71"/>
        <v>1.064748201438849</v>
      </c>
      <c r="M429" s="113">
        <f t="shared" si="72"/>
        <v>1.064748201438849</v>
      </c>
      <c r="N429" s="113">
        <f t="shared" si="73"/>
        <v>2</v>
      </c>
      <c r="O429" s="99">
        <v>13.8125</v>
      </c>
      <c r="P429" s="113">
        <f t="shared" si="74"/>
        <v>14</v>
      </c>
      <c r="Q429" s="112">
        <f t="shared" si="75"/>
        <v>224</v>
      </c>
      <c r="R429" s="112" t="str">
        <f t="shared" si="76"/>
        <v>Oversize</v>
      </c>
      <c r="S429" s="99" t="str">
        <f t="shared" si="77"/>
        <v>Large bulky</v>
      </c>
      <c r="T429" s="116" t="s">
        <v>13692</v>
      </c>
      <c r="U429" s="116">
        <f t="shared" si="78"/>
        <v>8.5648148148148154E-2</v>
      </c>
      <c r="V429" s="116" t="s">
        <v>13583</v>
      </c>
      <c r="W429" s="116" t="s">
        <v>13690</v>
      </c>
      <c r="X429" s="116" t="s">
        <v>13691</v>
      </c>
      <c r="Y429" s="116">
        <v>2</v>
      </c>
      <c r="Z429" s="116">
        <v>3</v>
      </c>
      <c r="AA429" s="116">
        <v>1</v>
      </c>
      <c r="AB429" s="99"/>
      <c r="AC429" s="99"/>
      <c r="AD429" s="107">
        <v>0</v>
      </c>
      <c r="AE429" s="113">
        <f t="shared" si="79"/>
        <v>0</v>
      </c>
      <c r="AF429" s="116">
        <f>-IFERROR(IFERROR(VLOOKUP(ROUNDUP($Q429,0),'FBA FEES'!$L$2:$Q$203,MATCH($S429,'FBA FEES'!$L$2:$Q$2,0),FALSE),VLOOKUP(ROUNDUP($Q429,0),'FBA FEES'!$C$6:$F$123,MATCH($S429,'FBA FEES'!$C$6:$F$6,0),FALSE)),0)</f>
        <v>-14.55</v>
      </c>
      <c r="AG429" s="116">
        <v>-10</v>
      </c>
      <c r="AH429" s="113">
        <f t="shared" si="80"/>
        <v>-14.55</v>
      </c>
      <c r="AI429" s="116">
        <f>-IFERROR(IF($Y429=1,INDEX('[1]REMOVAL FEES'!$A$1:$C$22,MATCH(CONCATENATE("Standard Size",$P429),'[1]REMOVAL FEES'!$A$1:$A$22,0),3),IF($Y429=2,IF($P429&gt;10,(($P429-10)*1.06)+INDEX('[1]REMOVAL FEES'!$E$1:$G$22,MATCH(CONCATENATE("Large bulky, extra-large and special handling items",IF($P429&gt;=11,11,$P429)),'[1]REMOVAL FEES'!$E$1:$E$13,0),3),INDEX('[1]REMOVAL FEES'!$E$1:$G$22,MATCH(CONCATENATE("Large bulky, extra-large and special handling items",IF($P429&gt;=11,11,$P429)),'[1]REMOVAL FEES'!$E$1:$E$13,0),3))))*$AA429,FALSE)</f>
        <v>-18.560000000000002</v>
      </c>
      <c r="AJ429" s="107">
        <f t="shared" si="81"/>
        <v>-33.11</v>
      </c>
      <c r="AK429" s="107">
        <v>0</v>
      </c>
      <c r="AL429" s="107">
        <v>0</v>
      </c>
      <c r="AM429" s="107">
        <f t="shared" si="82"/>
        <v>0</v>
      </c>
      <c r="AN429" s="116">
        <f>(-IF($V429="Yes", IF($X429="Yes", VLOOKUP($W429, '[1]Storage Fees'!A:M, 13, FALSE), VLOOKUP($W429, '[1]Storage Fees'!A:M, 10, FALSE)), IF($X429="Yes", VLOOKUP($W429, '[1]Storage Fees'!A:M, 7, FALSE), VLOOKUP($W429, '[1]Storage Fees'!A:M, 4, FALSE))) * U429)*1.5</f>
        <v>-0.10149305555555557</v>
      </c>
    </row>
    <row r="430" spans="1:40" x14ac:dyDescent="0.25">
      <c r="A430" s="99">
        <v>358</v>
      </c>
      <c r="B430" s="99" t="s">
        <v>13705</v>
      </c>
      <c r="C430" s="99" t="s">
        <v>13655</v>
      </c>
      <c r="D430" s="99">
        <v>44374</v>
      </c>
      <c r="E430" s="99" t="s">
        <v>950</v>
      </c>
      <c r="F430" s="99" t="s">
        <v>952</v>
      </c>
      <c r="G430" s="99" t="s">
        <v>13695</v>
      </c>
      <c r="H430" s="99">
        <v>49</v>
      </c>
      <c r="I430" s="99">
        <v>2</v>
      </c>
      <c r="J430" s="99">
        <v>2</v>
      </c>
      <c r="K430" s="101" t="str">
        <f t="shared" si="70"/>
        <v>49x2x2</v>
      </c>
      <c r="L430" s="102">
        <f t="shared" si="71"/>
        <v>1.4100719424460431</v>
      </c>
      <c r="M430" s="113">
        <f t="shared" si="72"/>
        <v>1.4100719424460431</v>
      </c>
      <c r="N430" s="113">
        <f t="shared" si="73"/>
        <v>2</v>
      </c>
      <c r="O430" s="99">
        <v>17.8125</v>
      </c>
      <c r="P430" s="113">
        <f t="shared" si="74"/>
        <v>18</v>
      </c>
      <c r="Q430" s="112">
        <f t="shared" si="75"/>
        <v>288</v>
      </c>
      <c r="R430" s="112" t="str">
        <f t="shared" si="76"/>
        <v>Oversize</v>
      </c>
      <c r="S430" s="99" t="str">
        <f t="shared" si="77"/>
        <v>Large bulky</v>
      </c>
      <c r="T430" s="116" t="s">
        <v>13692</v>
      </c>
      <c r="U430" s="116">
        <f t="shared" si="78"/>
        <v>0.11342592592592593</v>
      </c>
      <c r="V430" s="116" t="s">
        <v>13583</v>
      </c>
      <c r="W430" s="116" t="s">
        <v>13690</v>
      </c>
      <c r="X430" s="116" t="s">
        <v>13691</v>
      </c>
      <c r="Y430" s="116">
        <v>2</v>
      </c>
      <c r="Z430" s="116">
        <v>3</v>
      </c>
      <c r="AA430" s="116">
        <v>1</v>
      </c>
      <c r="AB430" s="99"/>
      <c r="AC430" s="99"/>
      <c r="AD430" s="107">
        <v>0</v>
      </c>
      <c r="AE430" s="113">
        <f t="shared" si="79"/>
        <v>0</v>
      </c>
      <c r="AF430" s="116">
        <f>-IFERROR(IFERROR(VLOOKUP(ROUNDUP($Q430,0),'FBA FEES'!$L$2:$Q$203,MATCH($S430,'FBA FEES'!$L$2:$Q$2,0),FALSE),VLOOKUP(ROUNDUP($Q430,0),'FBA FEES'!$C$6:$F$123,MATCH($S430,'FBA FEES'!$C$6:$F$6,0),FALSE)),0)</f>
        <v>-16.07</v>
      </c>
      <c r="AG430" s="116">
        <v>-10</v>
      </c>
      <c r="AH430" s="113">
        <f t="shared" si="80"/>
        <v>-16.07</v>
      </c>
      <c r="AI430" s="116">
        <f>-IFERROR(IF($Y430=1,INDEX('[1]REMOVAL FEES'!$A$1:$C$22,MATCH(CONCATENATE("Standard Size",$P430),'[1]REMOVAL FEES'!$A$1:$A$22,0),3),IF($Y430=2,IF($P430&gt;10,(($P430-10)*1.06)+INDEX('[1]REMOVAL FEES'!$E$1:$G$22,MATCH(CONCATENATE("Large bulky, extra-large and special handling items",IF($P430&gt;=11,11,$P430)),'[1]REMOVAL FEES'!$E$1:$E$13,0),3),INDEX('[1]REMOVAL FEES'!$E$1:$G$22,MATCH(CONCATENATE("Large bulky, extra-large and special handling items",IF($P430&gt;=11,11,$P430)),'[1]REMOVAL FEES'!$E$1:$E$13,0),3))))*$AA430,FALSE)</f>
        <v>-22.8</v>
      </c>
      <c r="AJ430" s="107">
        <f t="shared" si="81"/>
        <v>-38.870000000000005</v>
      </c>
      <c r="AK430" s="107">
        <v>0</v>
      </c>
      <c r="AL430" s="107">
        <v>0</v>
      </c>
      <c r="AM430" s="107">
        <f t="shared" si="82"/>
        <v>0</v>
      </c>
      <c r="AN430" s="116">
        <f>(-IF($V430="Yes", IF($X430="Yes", VLOOKUP($W430, '[1]Storage Fees'!A:M, 13, FALSE), VLOOKUP($W430, '[1]Storage Fees'!A:M, 10, FALSE)), IF($X430="Yes", VLOOKUP($W430, '[1]Storage Fees'!A:M, 7, FALSE), VLOOKUP($W430, '[1]Storage Fees'!A:M, 4, FALSE))) * U430)*1.5</f>
        <v>-0.13440972222222225</v>
      </c>
    </row>
    <row r="431" spans="1:40" x14ac:dyDescent="0.25">
      <c r="A431" s="99">
        <v>359</v>
      </c>
      <c r="B431" s="99"/>
      <c r="C431" s="99" t="s">
        <v>13655</v>
      </c>
      <c r="D431" s="99"/>
      <c r="E431" s="99" t="s">
        <v>950</v>
      </c>
      <c r="F431" s="99" t="s">
        <v>1822</v>
      </c>
      <c r="G431" s="99" t="s">
        <v>13695</v>
      </c>
      <c r="H431" s="99">
        <v>0</v>
      </c>
      <c r="I431" s="99">
        <v>0</v>
      </c>
      <c r="J431" s="99">
        <v>0</v>
      </c>
      <c r="K431" s="101" t="str">
        <f t="shared" si="70"/>
        <v>0x0x0</v>
      </c>
      <c r="L431" s="102">
        <f t="shared" si="71"/>
        <v>0</v>
      </c>
      <c r="M431" s="113">
        <f t="shared" si="72"/>
        <v>0</v>
      </c>
      <c r="N431" s="113">
        <f t="shared" si="73"/>
        <v>0</v>
      </c>
      <c r="O431" s="99">
        <v>0</v>
      </c>
      <c r="P431" s="113">
        <f t="shared" si="74"/>
        <v>0</v>
      </c>
      <c r="Q431" s="112">
        <f t="shared" si="75"/>
        <v>0</v>
      </c>
      <c r="R431" s="112" t="str">
        <f t="shared" si="76"/>
        <v>Standard-size</v>
      </c>
      <c r="S431" s="99" t="str">
        <f t="shared" si="77"/>
        <v>Small standard-size</v>
      </c>
      <c r="T431" s="116" t="s">
        <v>13696</v>
      </c>
      <c r="U431" s="116">
        <f t="shared" si="78"/>
        <v>0</v>
      </c>
      <c r="V431" s="116" t="s">
        <v>13583</v>
      </c>
      <c r="W431" s="116" t="s">
        <v>13690</v>
      </c>
      <c r="X431" s="99" t="s">
        <v>13583</v>
      </c>
      <c r="Y431" s="99">
        <v>1</v>
      </c>
      <c r="Z431" s="99">
        <v>1</v>
      </c>
      <c r="AA431" s="99">
        <v>1</v>
      </c>
      <c r="AB431" s="99"/>
      <c r="AC431" s="99"/>
      <c r="AD431" s="107">
        <v>0</v>
      </c>
      <c r="AE431" s="113">
        <f t="shared" si="79"/>
        <v>0</v>
      </c>
      <c r="AF431" s="116">
        <f>-IFERROR(IFERROR(VLOOKUP(ROUNDUP($Q431,0),'FBA FEES'!$L$2:$Q$203,MATCH($S431,'FBA FEES'!$L$2:$Q$2,0),FALSE),VLOOKUP(ROUNDUP($Q431,0),'FBA FEES'!$C$6:$F$123,MATCH($S431,'FBA FEES'!$C$6:$F$6,0),FALSE)),0)</f>
        <v>0</v>
      </c>
      <c r="AG431" s="116">
        <v>-10</v>
      </c>
      <c r="AH431" s="113">
        <f t="shared" si="80"/>
        <v>0</v>
      </c>
      <c r="AI431" s="116">
        <f>-IFERROR(IF($Y431=1,INDEX('[1]REMOVAL FEES'!$A$1:$C$22,MATCH(CONCATENATE("Standard Size",$P431),'[1]REMOVAL FEES'!$A$1:$A$22,0),3),IF($Y431=2,IF($P431&gt;10,(($P431-10)*1.06)+INDEX('[1]REMOVAL FEES'!$E$1:$G$22,MATCH(CONCATENATE("Large bulky, extra-large and special handling items",IF($P431&gt;=11,11,$P431)),'[1]REMOVAL FEES'!$E$1:$E$13,0),3),INDEX('[1]REMOVAL FEES'!$E$1:$G$22,MATCH(CONCATENATE("Large bulky, extra-large and special handling items",IF($P431&gt;=11,11,$P431)),'[1]REMOVAL FEES'!$E$1:$E$13,0),3))))*$AA431,FALSE)</f>
        <v>0</v>
      </c>
      <c r="AJ431" s="107">
        <f t="shared" si="81"/>
        <v>0</v>
      </c>
      <c r="AK431" s="107">
        <v>0</v>
      </c>
      <c r="AL431" s="107">
        <v>0</v>
      </c>
      <c r="AM431" s="107">
        <f t="shared" si="82"/>
        <v>0</v>
      </c>
      <c r="AN431" s="116">
        <f>(-IF($V431="Yes", IF($X431="Yes", VLOOKUP($W431, '[1]Storage Fees'!A:M, 13, FALSE), VLOOKUP($W431, '[1]Storage Fees'!A:M, 10, FALSE)), IF($X431="Yes", VLOOKUP($W431, '[1]Storage Fees'!A:M, 7, FALSE), VLOOKUP($W431, '[1]Storage Fees'!A:M, 4, FALSE))) * U431)*1.5</f>
        <v>0</v>
      </c>
    </row>
    <row r="432" spans="1:40" x14ac:dyDescent="0.25">
      <c r="A432" s="99">
        <v>360</v>
      </c>
      <c r="B432" s="99" t="s">
        <v>13705</v>
      </c>
      <c r="C432" s="99" t="s">
        <v>13655</v>
      </c>
      <c r="D432" s="99">
        <v>44374</v>
      </c>
      <c r="E432" s="99" t="s">
        <v>950</v>
      </c>
      <c r="F432" s="99" t="s">
        <v>955</v>
      </c>
      <c r="G432" s="99" t="s">
        <v>13695</v>
      </c>
      <c r="H432" s="99">
        <v>37</v>
      </c>
      <c r="I432" s="99">
        <v>2</v>
      </c>
      <c r="J432" s="99">
        <v>2</v>
      </c>
      <c r="K432" s="101" t="str">
        <f t="shared" si="70"/>
        <v>37x2x2</v>
      </c>
      <c r="L432" s="102">
        <f t="shared" si="71"/>
        <v>1.064748201438849</v>
      </c>
      <c r="M432" s="113">
        <f t="shared" si="72"/>
        <v>1.064748201438849</v>
      </c>
      <c r="N432" s="113">
        <f t="shared" si="73"/>
        <v>2</v>
      </c>
      <c r="O432" s="99">
        <v>19.25</v>
      </c>
      <c r="P432" s="113">
        <f t="shared" si="74"/>
        <v>20</v>
      </c>
      <c r="Q432" s="112">
        <f t="shared" si="75"/>
        <v>320</v>
      </c>
      <c r="R432" s="112" t="str">
        <f t="shared" si="76"/>
        <v>Oversize</v>
      </c>
      <c r="S432" s="99" t="str">
        <f t="shared" si="77"/>
        <v>Large bulky</v>
      </c>
      <c r="T432" s="116" t="s">
        <v>13692</v>
      </c>
      <c r="U432" s="116">
        <f t="shared" si="78"/>
        <v>8.5648148148148154E-2</v>
      </c>
      <c r="V432" s="116" t="s">
        <v>13583</v>
      </c>
      <c r="W432" s="116" t="s">
        <v>13690</v>
      </c>
      <c r="X432" s="116" t="s">
        <v>13691</v>
      </c>
      <c r="Y432" s="116">
        <v>2</v>
      </c>
      <c r="Z432" s="116">
        <v>3</v>
      </c>
      <c r="AA432" s="116">
        <v>1</v>
      </c>
      <c r="AB432" s="99"/>
      <c r="AC432" s="99"/>
      <c r="AD432" s="107">
        <v>0</v>
      </c>
      <c r="AE432" s="113">
        <f t="shared" si="79"/>
        <v>0</v>
      </c>
      <c r="AF432" s="116">
        <f>-IFERROR(IFERROR(VLOOKUP(ROUNDUP($Q432,0),'FBA FEES'!$L$2:$Q$203,MATCH($S432,'FBA FEES'!$L$2:$Q$2,0),FALSE),VLOOKUP(ROUNDUP($Q432,0),'FBA FEES'!$C$6:$F$123,MATCH($S432,'FBA FEES'!$C$6:$F$6,0),FALSE)),0)</f>
        <v>-16.829999999999998</v>
      </c>
      <c r="AG432" s="116">
        <v>-10</v>
      </c>
      <c r="AH432" s="113">
        <f t="shared" si="80"/>
        <v>-16.829999999999998</v>
      </c>
      <c r="AI432" s="116">
        <f>-IFERROR(IF($Y432=1,INDEX('[1]REMOVAL FEES'!$A$1:$C$22,MATCH(CONCATENATE("Standard Size",$P432),'[1]REMOVAL FEES'!$A$1:$A$22,0),3),IF($Y432=2,IF($P432&gt;10,(($P432-10)*1.06)+INDEX('[1]REMOVAL FEES'!$E$1:$G$22,MATCH(CONCATENATE("Large bulky, extra-large and special handling items",IF($P432&gt;=11,11,$P432)),'[1]REMOVAL FEES'!$E$1:$E$13,0),3),INDEX('[1]REMOVAL FEES'!$E$1:$G$22,MATCH(CONCATENATE("Large bulky, extra-large and special handling items",IF($P432&gt;=11,11,$P432)),'[1]REMOVAL FEES'!$E$1:$E$13,0),3))))*$AA432,FALSE)</f>
        <v>-24.92</v>
      </c>
      <c r="AJ432" s="107">
        <f t="shared" si="81"/>
        <v>-41.75</v>
      </c>
      <c r="AK432" s="107">
        <v>0</v>
      </c>
      <c r="AL432" s="107">
        <v>0</v>
      </c>
      <c r="AM432" s="107">
        <f t="shared" si="82"/>
        <v>0</v>
      </c>
      <c r="AN432" s="116">
        <f>(-IF($V432="Yes", IF($X432="Yes", VLOOKUP($W432, '[1]Storage Fees'!A:M, 13, FALSE), VLOOKUP($W432, '[1]Storage Fees'!A:M, 10, FALSE)), IF($X432="Yes", VLOOKUP($W432, '[1]Storage Fees'!A:M, 7, FALSE), VLOOKUP($W432, '[1]Storage Fees'!A:M, 4, FALSE))) * U432)*1.5</f>
        <v>-0.10149305555555557</v>
      </c>
    </row>
    <row r="433" spans="1:40" x14ac:dyDescent="0.25">
      <c r="A433" s="99">
        <v>361</v>
      </c>
      <c r="B433" s="99" t="s">
        <v>13705</v>
      </c>
      <c r="C433" s="99" t="s">
        <v>13655</v>
      </c>
      <c r="D433" s="99">
        <v>44374</v>
      </c>
      <c r="E433" s="99" t="s">
        <v>950</v>
      </c>
      <c r="F433" s="99" t="s">
        <v>958</v>
      </c>
      <c r="G433" s="99" t="s">
        <v>13695</v>
      </c>
      <c r="H433" s="99">
        <v>49</v>
      </c>
      <c r="I433" s="99">
        <v>2</v>
      </c>
      <c r="J433" s="99">
        <v>2</v>
      </c>
      <c r="K433" s="101" t="str">
        <f t="shared" si="70"/>
        <v>49x2x2</v>
      </c>
      <c r="L433" s="102">
        <f t="shared" si="71"/>
        <v>1.4100719424460431</v>
      </c>
      <c r="M433" s="113">
        <f t="shared" si="72"/>
        <v>1.4100719424460431</v>
      </c>
      <c r="N433" s="113">
        <f t="shared" si="73"/>
        <v>2</v>
      </c>
      <c r="O433" s="99">
        <v>25.3125</v>
      </c>
      <c r="P433" s="113">
        <f t="shared" si="74"/>
        <v>26</v>
      </c>
      <c r="Q433" s="112">
        <f t="shared" si="75"/>
        <v>416</v>
      </c>
      <c r="R433" s="112" t="str">
        <f t="shared" si="76"/>
        <v>Oversize</v>
      </c>
      <c r="S433" s="99" t="str">
        <f t="shared" si="77"/>
        <v>Large bulky</v>
      </c>
      <c r="T433" s="116" t="s">
        <v>13692</v>
      </c>
      <c r="U433" s="116">
        <f t="shared" si="78"/>
        <v>0.11342592592592593</v>
      </c>
      <c r="V433" s="116" t="s">
        <v>13583</v>
      </c>
      <c r="W433" s="116" t="s">
        <v>13690</v>
      </c>
      <c r="X433" s="116" t="s">
        <v>13691</v>
      </c>
      <c r="Y433" s="116">
        <v>2</v>
      </c>
      <c r="Z433" s="116">
        <v>3</v>
      </c>
      <c r="AA433" s="116">
        <v>1</v>
      </c>
      <c r="AB433" s="99"/>
      <c r="AC433" s="99"/>
      <c r="AD433" s="107">
        <v>0</v>
      </c>
      <c r="AE433" s="113">
        <f t="shared" si="79"/>
        <v>0</v>
      </c>
      <c r="AF433" s="116">
        <f>-IFERROR(IFERROR(VLOOKUP(ROUNDUP($Q433,0),'FBA FEES'!$L$2:$Q$203,MATCH($S433,'FBA FEES'!$L$2:$Q$2,0),FALSE),VLOOKUP(ROUNDUP($Q433,0),'FBA FEES'!$C$6:$F$123,MATCH($S433,'FBA FEES'!$C$6:$F$6,0),FALSE)),0)</f>
        <v>-19.11</v>
      </c>
      <c r="AG433" s="116">
        <v>-10</v>
      </c>
      <c r="AH433" s="113">
        <f t="shared" si="80"/>
        <v>-19.11</v>
      </c>
      <c r="AI433" s="116">
        <f>-IFERROR(IF($Y433=1,INDEX('[1]REMOVAL FEES'!$A$1:$C$22,MATCH(CONCATENATE("Standard Size",$P433),'[1]REMOVAL FEES'!$A$1:$A$22,0),3),IF($Y433=2,IF($P433&gt;10,(($P433-10)*1.06)+INDEX('[1]REMOVAL FEES'!$E$1:$G$22,MATCH(CONCATENATE("Large bulky, extra-large and special handling items",IF($P433&gt;=11,11,$P433)),'[1]REMOVAL FEES'!$E$1:$E$13,0),3),INDEX('[1]REMOVAL FEES'!$E$1:$G$22,MATCH(CONCATENATE("Large bulky, extra-large and special handling items",IF($P433&gt;=11,11,$P433)),'[1]REMOVAL FEES'!$E$1:$E$13,0),3))))*$AA433,FALSE)</f>
        <v>-31.28</v>
      </c>
      <c r="AJ433" s="107">
        <f t="shared" si="81"/>
        <v>-50.39</v>
      </c>
      <c r="AK433" s="107">
        <v>0</v>
      </c>
      <c r="AL433" s="107">
        <v>0</v>
      </c>
      <c r="AM433" s="107">
        <f t="shared" si="82"/>
        <v>0</v>
      </c>
      <c r="AN433" s="116">
        <f>(-IF($V433="Yes", IF($X433="Yes", VLOOKUP($W433, '[1]Storage Fees'!A:M, 13, FALSE), VLOOKUP($W433, '[1]Storage Fees'!A:M, 10, FALSE)), IF($X433="Yes", VLOOKUP($W433, '[1]Storage Fees'!A:M, 7, FALSE), VLOOKUP($W433, '[1]Storage Fees'!A:M, 4, FALSE))) * U433)*1.5</f>
        <v>-0.13440972222222225</v>
      </c>
    </row>
    <row r="434" spans="1:40" x14ac:dyDescent="0.25">
      <c r="A434" s="99">
        <v>362</v>
      </c>
      <c r="B434" s="99" t="s">
        <v>283</v>
      </c>
      <c r="C434" s="99" t="s">
        <v>13655</v>
      </c>
      <c r="D434" s="99" t="s">
        <v>823</v>
      </c>
      <c r="E434" s="99" t="s">
        <v>278</v>
      </c>
      <c r="F434" s="99" t="s">
        <v>961</v>
      </c>
      <c r="G434" s="99" t="s">
        <v>13695</v>
      </c>
      <c r="H434" s="99">
        <v>18</v>
      </c>
      <c r="I434" s="99">
        <v>16</v>
      </c>
      <c r="J434" s="99">
        <v>8</v>
      </c>
      <c r="K434" s="101" t="str">
        <f t="shared" si="70"/>
        <v>18x16x8</v>
      </c>
      <c r="L434" s="102">
        <f t="shared" si="71"/>
        <v>16.575539568345324</v>
      </c>
      <c r="M434" s="113">
        <f t="shared" si="72"/>
        <v>16.575539568345324</v>
      </c>
      <c r="N434" s="113">
        <f t="shared" si="73"/>
        <v>17</v>
      </c>
      <c r="O434" s="99">
        <v>22.625</v>
      </c>
      <c r="P434" s="113">
        <f t="shared" si="74"/>
        <v>23</v>
      </c>
      <c r="Q434" s="112">
        <f t="shared" si="75"/>
        <v>368</v>
      </c>
      <c r="R434" s="112" t="str">
        <f t="shared" si="76"/>
        <v>Oversize</v>
      </c>
      <c r="S434" s="99" t="str">
        <f t="shared" si="77"/>
        <v>Large bulky</v>
      </c>
      <c r="T434" s="116" t="s">
        <v>13692</v>
      </c>
      <c r="U434" s="116">
        <f t="shared" si="78"/>
        <v>1.3333333333333333</v>
      </c>
      <c r="V434" s="116" t="s">
        <v>13583</v>
      </c>
      <c r="W434" s="116" t="s">
        <v>13690</v>
      </c>
      <c r="X434" s="116" t="s">
        <v>13691</v>
      </c>
      <c r="Y434" s="116">
        <v>2</v>
      </c>
      <c r="Z434" s="116">
        <v>3</v>
      </c>
      <c r="AA434" s="116">
        <v>1</v>
      </c>
      <c r="AB434" s="99"/>
      <c r="AC434" s="99"/>
      <c r="AD434" s="107">
        <v>0</v>
      </c>
      <c r="AE434" s="113">
        <f t="shared" si="79"/>
        <v>0</v>
      </c>
      <c r="AF434" s="116">
        <f>-IFERROR(IFERROR(VLOOKUP(ROUNDUP($Q434,0),'FBA FEES'!$L$2:$Q$203,MATCH($S434,'FBA FEES'!$L$2:$Q$2,0),FALSE),VLOOKUP(ROUNDUP($Q434,0),'FBA FEES'!$C$6:$F$123,MATCH($S434,'FBA FEES'!$C$6:$F$6,0),FALSE)),0)</f>
        <v>-17.97</v>
      </c>
      <c r="AG434" s="116">
        <v>-10</v>
      </c>
      <c r="AH434" s="113">
        <f t="shared" si="80"/>
        <v>-17.97</v>
      </c>
      <c r="AI434" s="116">
        <f>-IFERROR(IF($Y434=1,INDEX('[1]REMOVAL FEES'!$A$1:$C$22,MATCH(CONCATENATE("Standard Size",$P434),'[1]REMOVAL FEES'!$A$1:$A$22,0),3),IF($Y434=2,IF($P434&gt;10,(($P434-10)*1.06)+INDEX('[1]REMOVAL FEES'!$E$1:$G$22,MATCH(CONCATENATE("Large bulky, extra-large and special handling items",IF($P434&gt;=11,11,$P434)),'[1]REMOVAL FEES'!$E$1:$E$13,0),3),INDEX('[1]REMOVAL FEES'!$E$1:$G$22,MATCH(CONCATENATE("Large bulky, extra-large and special handling items",IF($P434&gt;=11,11,$P434)),'[1]REMOVAL FEES'!$E$1:$E$13,0),3))))*$AA434,FALSE)</f>
        <v>-28.1</v>
      </c>
      <c r="AJ434" s="107">
        <f t="shared" si="81"/>
        <v>-46.07</v>
      </c>
      <c r="AK434" s="107">
        <v>0</v>
      </c>
      <c r="AL434" s="107">
        <v>0</v>
      </c>
      <c r="AM434" s="107">
        <f t="shared" si="82"/>
        <v>0</v>
      </c>
      <c r="AN434" s="116">
        <f>(-IF($V434="Yes", IF($X434="Yes", VLOOKUP($W434, '[1]Storage Fees'!A:M, 13, FALSE), VLOOKUP($W434, '[1]Storage Fees'!A:M, 10, FALSE)), IF($X434="Yes", VLOOKUP($W434, '[1]Storage Fees'!A:M, 7, FALSE), VLOOKUP($W434, '[1]Storage Fees'!A:M, 4, FALSE))) * U434)*1.5</f>
        <v>-1.5799999999999998</v>
      </c>
    </row>
    <row r="435" spans="1:40" x14ac:dyDescent="0.25">
      <c r="A435" s="99">
        <v>363</v>
      </c>
      <c r="B435" s="99" t="s">
        <v>283</v>
      </c>
      <c r="C435" s="99" t="s">
        <v>13655</v>
      </c>
      <c r="D435" s="99" t="s">
        <v>823</v>
      </c>
      <c r="E435" s="99" t="s">
        <v>278</v>
      </c>
      <c r="F435" s="99" t="s">
        <v>964</v>
      </c>
      <c r="G435" s="99" t="s">
        <v>13695</v>
      </c>
      <c r="H435" s="99">
        <v>26</v>
      </c>
      <c r="I435" s="99">
        <v>16</v>
      </c>
      <c r="J435" s="99">
        <v>8</v>
      </c>
      <c r="K435" s="101" t="str">
        <f t="shared" si="70"/>
        <v>26x16x8</v>
      </c>
      <c r="L435" s="102">
        <f t="shared" si="71"/>
        <v>23.942446043165468</v>
      </c>
      <c r="M435" s="113">
        <f t="shared" si="72"/>
        <v>23.942446043165468</v>
      </c>
      <c r="N435" s="113">
        <f t="shared" si="73"/>
        <v>24</v>
      </c>
      <c r="O435" s="99">
        <v>26.75</v>
      </c>
      <c r="P435" s="113">
        <f t="shared" si="74"/>
        <v>27</v>
      </c>
      <c r="Q435" s="112">
        <f t="shared" si="75"/>
        <v>432</v>
      </c>
      <c r="R435" s="112" t="str">
        <f t="shared" si="76"/>
        <v>Oversize</v>
      </c>
      <c r="S435" s="99" t="str">
        <f t="shared" si="77"/>
        <v>Large bulky</v>
      </c>
      <c r="T435" s="116" t="s">
        <v>13692</v>
      </c>
      <c r="U435" s="116">
        <f t="shared" si="78"/>
        <v>1.9259259259259258</v>
      </c>
      <c r="V435" s="116" t="s">
        <v>13583</v>
      </c>
      <c r="W435" s="116" t="s">
        <v>13690</v>
      </c>
      <c r="X435" s="116" t="s">
        <v>13691</v>
      </c>
      <c r="Y435" s="116">
        <v>2</v>
      </c>
      <c r="Z435" s="116">
        <v>3</v>
      </c>
      <c r="AA435" s="116">
        <v>1</v>
      </c>
      <c r="AB435" s="99"/>
      <c r="AC435" s="99"/>
      <c r="AD435" s="107">
        <v>0</v>
      </c>
      <c r="AE435" s="113">
        <f t="shared" si="79"/>
        <v>0</v>
      </c>
      <c r="AF435" s="116">
        <f>-IFERROR(IFERROR(VLOOKUP(ROUNDUP($Q435,0),'FBA FEES'!$L$2:$Q$203,MATCH($S435,'FBA FEES'!$L$2:$Q$2,0),FALSE),VLOOKUP(ROUNDUP($Q435,0),'FBA FEES'!$C$6:$F$123,MATCH($S435,'FBA FEES'!$C$6:$F$6,0),FALSE)),0)</f>
        <v>-19.490000000000002</v>
      </c>
      <c r="AG435" s="116">
        <v>-10</v>
      </c>
      <c r="AH435" s="113">
        <f t="shared" si="80"/>
        <v>-19.490000000000002</v>
      </c>
      <c r="AI435" s="116">
        <f>-IFERROR(IF($Y435=1,INDEX('[1]REMOVAL FEES'!$A$1:$C$22,MATCH(CONCATENATE("Standard Size",$P435),'[1]REMOVAL FEES'!$A$1:$A$22,0),3),IF($Y435=2,IF($P435&gt;10,(($P435-10)*1.06)+INDEX('[1]REMOVAL FEES'!$E$1:$G$22,MATCH(CONCATENATE("Large bulky, extra-large and special handling items",IF($P435&gt;=11,11,$P435)),'[1]REMOVAL FEES'!$E$1:$E$13,0),3),INDEX('[1]REMOVAL FEES'!$E$1:$G$22,MATCH(CONCATENATE("Large bulky, extra-large and special handling items",IF($P435&gt;=11,11,$P435)),'[1]REMOVAL FEES'!$E$1:$E$13,0),3))))*$AA435,FALSE)</f>
        <v>-32.340000000000003</v>
      </c>
      <c r="AJ435" s="107">
        <f t="shared" si="81"/>
        <v>-51.830000000000005</v>
      </c>
      <c r="AK435" s="107">
        <v>0</v>
      </c>
      <c r="AL435" s="107">
        <v>0</v>
      </c>
      <c r="AM435" s="107">
        <f t="shared" si="82"/>
        <v>0</v>
      </c>
      <c r="AN435" s="116">
        <f>(-IF($V435="Yes", IF($X435="Yes", VLOOKUP($W435, '[1]Storage Fees'!A:M, 13, FALSE), VLOOKUP($W435, '[1]Storage Fees'!A:M, 10, FALSE)), IF($X435="Yes", VLOOKUP($W435, '[1]Storage Fees'!A:M, 7, FALSE), VLOOKUP($W435, '[1]Storage Fees'!A:M, 4, FALSE))) * U435)*1.5</f>
        <v>-2.2822222222222219</v>
      </c>
    </row>
    <row r="436" spans="1:40" x14ac:dyDescent="0.25">
      <c r="A436" s="99">
        <v>364</v>
      </c>
      <c r="B436" s="99" t="s">
        <v>283</v>
      </c>
      <c r="C436" s="99" t="s">
        <v>13655</v>
      </c>
      <c r="D436" s="99" t="s">
        <v>823</v>
      </c>
      <c r="E436" s="99" t="s">
        <v>278</v>
      </c>
      <c r="F436" s="99" t="s">
        <v>967</v>
      </c>
      <c r="G436" s="99" t="s">
        <v>13695</v>
      </c>
      <c r="H436" s="99">
        <v>30</v>
      </c>
      <c r="I436" s="99">
        <v>25</v>
      </c>
      <c r="J436" s="99">
        <v>8</v>
      </c>
      <c r="K436" s="101" t="str">
        <f t="shared" si="70"/>
        <v>30x25x8</v>
      </c>
      <c r="L436" s="102">
        <f t="shared" si="71"/>
        <v>43.165467625899282</v>
      </c>
      <c r="M436" s="113">
        <f t="shared" si="72"/>
        <v>43.165467625899282</v>
      </c>
      <c r="N436" s="113">
        <f t="shared" si="73"/>
        <v>44</v>
      </c>
      <c r="O436" s="99">
        <v>37.4375</v>
      </c>
      <c r="P436" s="113">
        <f t="shared" si="74"/>
        <v>44</v>
      </c>
      <c r="Q436" s="112">
        <f t="shared" si="75"/>
        <v>704</v>
      </c>
      <c r="R436" s="112" t="str">
        <f t="shared" si="76"/>
        <v>Oversize</v>
      </c>
      <c r="S436" s="99" t="str">
        <f t="shared" si="77"/>
        <v>Large bulky</v>
      </c>
      <c r="T436" s="116" t="s">
        <v>13694</v>
      </c>
      <c r="U436" s="116">
        <f t="shared" si="78"/>
        <v>3.4722222222222223</v>
      </c>
      <c r="V436" s="116" t="s">
        <v>13583</v>
      </c>
      <c r="W436" s="116" t="s">
        <v>13690</v>
      </c>
      <c r="X436" s="116" t="s">
        <v>13691</v>
      </c>
      <c r="Y436" s="116">
        <v>2</v>
      </c>
      <c r="Z436" s="116">
        <v>3</v>
      </c>
      <c r="AA436" s="116">
        <v>1</v>
      </c>
      <c r="AB436" s="99"/>
      <c r="AC436" s="99"/>
      <c r="AD436" s="107">
        <v>0</v>
      </c>
      <c r="AE436" s="113">
        <f t="shared" si="79"/>
        <v>0</v>
      </c>
      <c r="AF436" s="116">
        <f>-IFERROR(IFERROR(VLOOKUP(ROUNDUP($Q436,0),'FBA FEES'!$L$2:$Q$203,MATCH($S436,'FBA FEES'!$L$2:$Q$2,0),FALSE),VLOOKUP(ROUNDUP($Q436,0),'FBA FEES'!$C$6:$F$123,MATCH($S436,'FBA FEES'!$C$6:$F$6,0),FALSE)),0)</f>
        <v>-25.95</v>
      </c>
      <c r="AG436" s="116">
        <v>-10</v>
      </c>
      <c r="AH436" s="113">
        <f t="shared" si="80"/>
        <v>-25.95</v>
      </c>
      <c r="AI436" s="116">
        <f>-IFERROR(IF($Y436=1,INDEX('[1]REMOVAL FEES'!$A$1:$C$22,MATCH(CONCATENATE("Standard Size",$P436),'[1]REMOVAL FEES'!$A$1:$A$22,0),3),IF($Y436=2,IF($P436&gt;10,(($P436-10)*1.06)+INDEX('[1]REMOVAL FEES'!$E$1:$G$22,MATCH(CONCATENATE("Large bulky, extra-large and special handling items",IF($P436&gt;=11,11,$P436)),'[1]REMOVAL FEES'!$E$1:$E$13,0),3),INDEX('[1]REMOVAL FEES'!$E$1:$G$22,MATCH(CONCATENATE("Large bulky, extra-large and special handling items",IF($P436&gt;=11,11,$P436)),'[1]REMOVAL FEES'!$E$1:$E$13,0),3))))*$AA436,FALSE)</f>
        <v>-50.36</v>
      </c>
      <c r="AJ436" s="107">
        <f t="shared" si="81"/>
        <v>-76.31</v>
      </c>
      <c r="AK436" s="107">
        <v>0</v>
      </c>
      <c r="AL436" s="107">
        <v>0</v>
      </c>
      <c r="AM436" s="107">
        <f t="shared" si="82"/>
        <v>0</v>
      </c>
      <c r="AN436" s="116">
        <f>(-IF($V436="Yes", IF($X436="Yes", VLOOKUP($W436, '[1]Storage Fees'!A:M, 13, FALSE), VLOOKUP($W436, '[1]Storage Fees'!A:M, 10, FALSE)), IF($X436="Yes", VLOOKUP($W436, '[1]Storage Fees'!A:M, 7, FALSE), VLOOKUP($W436, '[1]Storage Fees'!A:M, 4, FALSE))) * U436)*1.5</f>
        <v>-4.1145833333333339</v>
      </c>
    </row>
    <row r="437" spans="1:40" x14ac:dyDescent="0.25">
      <c r="A437" s="99">
        <v>365</v>
      </c>
      <c r="B437" s="99" t="s">
        <v>283</v>
      </c>
      <c r="C437" s="99" t="s">
        <v>13655</v>
      </c>
      <c r="D437" s="99" t="s">
        <v>823</v>
      </c>
      <c r="E437" s="99" t="s">
        <v>278</v>
      </c>
      <c r="F437" s="99" t="s">
        <v>970</v>
      </c>
      <c r="G437" s="99" t="s">
        <v>13695</v>
      </c>
      <c r="H437" s="99">
        <v>32</v>
      </c>
      <c r="I437" s="99">
        <v>30</v>
      </c>
      <c r="J437" s="99">
        <v>8</v>
      </c>
      <c r="K437" s="101" t="str">
        <f t="shared" si="70"/>
        <v>32x30x8</v>
      </c>
      <c r="L437" s="102">
        <f t="shared" si="71"/>
        <v>55.251798561151077</v>
      </c>
      <c r="M437" s="113">
        <f t="shared" si="72"/>
        <v>55.251798561151077</v>
      </c>
      <c r="N437" s="113">
        <f t="shared" si="73"/>
        <v>56</v>
      </c>
      <c r="O437" s="99">
        <v>45.75</v>
      </c>
      <c r="P437" s="113">
        <f t="shared" si="74"/>
        <v>56</v>
      </c>
      <c r="Q437" s="112">
        <f t="shared" si="75"/>
        <v>896</v>
      </c>
      <c r="R437" s="112" t="str">
        <f t="shared" si="76"/>
        <v>Oversize</v>
      </c>
      <c r="S437" s="99" t="str">
        <f t="shared" si="77"/>
        <v>Extra-large 50+ to 70 lb</v>
      </c>
      <c r="T437" s="116" t="s">
        <v>13689</v>
      </c>
      <c r="U437" s="116">
        <f t="shared" si="78"/>
        <v>4.4444444444444446</v>
      </c>
      <c r="V437" s="116" t="s">
        <v>13583</v>
      </c>
      <c r="W437" s="116" t="s">
        <v>13690</v>
      </c>
      <c r="X437" s="116" t="s">
        <v>13691</v>
      </c>
      <c r="Y437" s="116">
        <v>2</v>
      </c>
      <c r="Z437" s="116">
        <v>5</v>
      </c>
      <c r="AA437" s="116">
        <v>1</v>
      </c>
      <c r="AB437" s="99"/>
      <c r="AC437" s="99"/>
      <c r="AD437" s="107">
        <v>0</v>
      </c>
      <c r="AE437" s="113">
        <f t="shared" si="79"/>
        <v>0</v>
      </c>
      <c r="AF437" s="116">
        <f>-IFERROR(IFERROR(VLOOKUP(ROUNDUP($Q437,0),'FBA FEES'!$L$2:$Q$203,MATCH($S437,'FBA FEES'!$L$2:$Q$2,0),FALSE),VLOOKUP(ROUNDUP($Q437,0),'FBA FEES'!$C$6:$F$123,MATCH($S437,'FBA FEES'!$C$6:$F$6,0),FALSE)),0)</f>
        <v>-43.87</v>
      </c>
      <c r="AG437" s="116">
        <v>-10</v>
      </c>
      <c r="AH437" s="113">
        <f t="shared" si="80"/>
        <v>-43.87</v>
      </c>
      <c r="AI437" s="116">
        <f>-IFERROR(IF($Y437=1,INDEX('[1]REMOVAL FEES'!$A$1:$C$22,MATCH(CONCATENATE("Standard Size",$P437),'[1]REMOVAL FEES'!$A$1:$A$22,0),3),IF($Y437=2,IF($P437&gt;10,(($P437-10)*1.06)+INDEX('[1]REMOVAL FEES'!$E$1:$G$22,MATCH(CONCATENATE("Large bulky, extra-large and special handling items",IF($P437&gt;=11,11,$P437)),'[1]REMOVAL FEES'!$E$1:$E$13,0),3),INDEX('[1]REMOVAL FEES'!$E$1:$G$22,MATCH(CONCATENATE("Large bulky, extra-large and special handling items",IF($P437&gt;=11,11,$P437)),'[1]REMOVAL FEES'!$E$1:$E$13,0),3))))*$AA437,FALSE)</f>
        <v>-63.080000000000005</v>
      </c>
      <c r="AJ437" s="107">
        <f t="shared" si="81"/>
        <v>-106.95</v>
      </c>
      <c r="AK437" s="107">
        <v>0</v>
      </c>
      <c r="AL437" s="107">
        <v>0</v>
      </c>
      <c r="AM437" s="107">
        <f t="shared" si="82"/>
        <v>0</v>
      </c>
      <c r="AN437" s="116">
        <f>(-IF($V437="Yes", IF($X437="Yes", VLOOKUP($W437, '[1]Storage Fees'!A:M, 13, FALSE), VLOOKUP($W437, '[1]Storage Fees'!A:M, 10, FALSE)), IF($X437="Yes", VLOOKUP($W437, '[1]Storage Fees'!A:M, 7, FALSE), VLOOKUP($W437, '[1]Storage Fees'!A:M, 4, FALSE))) * U437)*1.5</f>
        <v>-5.2666666666666675</v>
      </c>
    </row>
    <row r="438" spans="1:40" x14ac:dyDescent="0.25">
      <c r="A438" s="99">
        <v>366</v>
      </c>
      <c r="B438" s="99"/>
      <c r="C438" s="99" t="s">
        <v>13655</v>
      </c>
      <c r="D438" s="99"/>
      <c r="E438" s="99" t="s">
        <v>1797</v>
      </c>
      <c r="F438" s="99" t="s">
        <v>1824</v>
      </c>
      <c r="G438" s="99" t="s">
        <v>13695</v>
      </c>
      <c r="H438" s="99">
        <v>0</v>
      </c>
      <c r="I438" s="99">
        <v>0</v>
      </c>
      <c r="J438" s="99">
        <v>0</v>
      </c>
      <c r="K438" s="101" t="str">
        <f t="shared" si="70"/>
        <v>0x0x0</v>
      </c>
      <c r="L438" s="102">
        <f t="shared" si="71"/>
        <v>0</v>
      </c>
      <c r="M438" s="113">
        <f t="shared" si="72"/>
        <v>0</v>
      </c>
      <c r="N438" s="113">
        <f t="shared" si="73"/>
        <v>0</v>
      </c>
      <c r="O438" s="99">
        <v>0</v>
      </c>
      <c r="P438" s="113">
        <f t="shared" si="74"/>
        <v>0</v>
      </c>
      <c r="Q438" s="112">
        <f t="shared" si="75"/>
        <v>0</v>
      </c>
      <c r="R438" s="112" t="str">
        <f t="shared" si="76"/>
        <v>Standard-size</v>
      </c>
      <c r="S438" s="99" t="str">
        <f t="shared" si="77"/>
        <v>Small standard-size</v>
      </c>
      <c r="T438" s="116" t="s">
        <v>13696</v>
      </c>
      <c r="U438" s="116">
        <f t="shared" si="78"/>
        <v>0</v>
      </c>
      <c r="V438" s="116" t="s">
        <v>13583</v>
      </c>
      <c r="W438" s="116" t="s">
        <v>13690</v>
      </c>
      <c r="X438" s="99" t="s">
        <v>13583</v>
      </c>
      <c r="Y438" s="99">
        <v>1</v>
      </c>
      <c r="Z438" s="99">
        <v>1</v>
      </c>
      <c r="AA438" s="99">
        <v>1</v>
      </c>
      <c r="AB438" s="99"/>
      <c r="AC438" s="99"/>
      <c r="AD438" s="107">
        <v>0</v>
      </c>
      <c r="AE438" s="113">
        <f t="shared" si="79"/>
        <v>0</v>
      </c>
      <c r="AF438" s="116">
        <f>-IFERROR(IFERROR(VLOOKUP(ROUNDUP($Q438,0),'FBA FEES'!$L$2:$Q$203,MATCH($S438,'FBA FEES'!$L$2:$Q$2,0),FALSE),VLOOKUP(ROUNDUP($Q438,0),'FBA FEES'!$C$6:$F$123,MATCH($S438,'FBA FEES'!$C$6:$F$6,0),FALSE)),0)</f>
        <v>0</v>
      </c>
      <c r="AG438" s="116">
        <v>-10</v>
      </c>
      <c r="AH438" s="113">
        <f t="shared" si="80"/>
        <v>0</v>
      </c>
      <c r="AI438" s="116">
        <f>-IFERROR(IF($Y438=1,INDEX('[1]REMOVAL FEES'!$A$1:$C$22,MATCH(CONCATENATE("Standard Size",$P438),'[1]REMOVAL FEES'!$A$1:$A$22,0),3),IF($Y438=2,IF($P438&gt;10,(($P438-10)*1.06)+INDEX('[1]REMOVAL FEES'!$E$1:$G$22,MATCH(CONCATENATE("Large bulky, extra-large and special handling items",IF($P438&gt;=11,11,$P438)),'[1]REMOVAL FEES'!$E$1:$E$13,0),3),INDEX('[1]REMOVAL FEES'!$E$1:$G$22,MATCH(CONCATENATE("Large bulky, extra-large and special handling items",IF($P438&gt;=11,11,$P438)),'[1]REMOVAL FEES'!$E$1:$E$13,0),3))))*$AA438,FALSE)</f>
        <v>0</v>
      </c>
      <c r="AJ438" s="107">
        <f t="shared" si="81"/>
        <v>0</v>
      </c>
      <c r="AK438" s="107">
        <v>0</v>
      </c>
      <c r="AL438" s="107">
        <v>0</v>
      </c>
      <c r="AM438" s="107">
        <f t="shared" si="82"/>
        <v>0</v>
      </c>
      <c r="AN438" s="116">
        <f>(-IF($V438="Yes", IF($X438="Yes", VLOOKUP($W438, '[1]Storage Fees'!A:M, 13, FALSE), VLOOKUP($W438, '[1]Storage Fees'!A:M, 10, FALSE)), IF($X438="Yes", VLOOKUP($W438, '[1]Storage Fees'!A:M, 7, FALSE), VLOOKUP($W438, '[1]Storage Fees'!A:M, 4, FALSE))) * U438)*1.5</f>
        <v>0</v>
      </c>
    </row>
    <row r="439" spans="1:40" x14ac:dyDescent="0.25">
      <c r="A439" s="99">
        <v>367</v>
      </c>
      <c r="B439" s="99"/>
      <c r="C439" s="99" t="s">
        <v>13655</v>
      </c>
      <c r="D439" s="99"/>
      <c r="E439" s="99" t="s">
        <v>908</v>
      </c>
      <c r="F439" s="99" t="s">
        <v>1826</v>
      </c>
      <c r="G439" s="99" t="s">
        <v>13695</v>
      </c>
      <c r="H439" s="99">
        <v>0</v>
      </c>
      <c r="I439" s="99">
        <v>0</v>
      </c>
      <c r="J439" s="99">
        <v>0</v>
      </c>
      <c r="K439" s="101" t="str">
        <f t="shared" si="70"/>
        <v>0x0x0</v>
      </c>
      <c r="L439" s="102">
        <f t="shared" si="71"/>
        <v>0</v>
      </c>
      <c r="M439" s="113">
        <f t="shared" si="72"/>
        <v>0</v>
      </c>
      <c r="N439" s="113">
        <f t="shared" si="73"/>
        <v>0</v>
      </c>
      <c r="O439" s="99">
        <v>0</v>
      </c>
      <c r="P439" s="113">
        <f t="shared" si="74"/>
        <v>0</v>
      </c>
      <c r="Q439" s="112">
        <f t="shared" si="75"/>
        <v>0</v>
      </c>
      <c r="R439" s="112" t="str">
        <f t="shared" si="76"/>
        <v>Standard-size</v>
      </c>
      <c r="S439" s="99" t="str">
        <f t="shared" si="77"/>
        <v>Small standard-size</v>
      </c>
      <c r="T439" s="116" t="s">
        <v>13696</v>
      </c>
      <c r="U439" s="116">
        <f t="shared" si="78"/>
        <v>0</v>
      </c>
      <c r="V439" s="116" t="s">
        <v>13583</v>
      </c>
      <c r="W439" s="116" t="s">
        <v>13690</v>
      </c>
      <c r="X439" s="99" t="s">
        <v>13583</v>
      </c>
      <c r="Y439" s="99">
        <v>1</v>
      </c>
      <c r="Z439" s="99">
        <v>1</v>
      </c>
      <c r="AA439" s="99">
        <v>1</v>
      </c>
      <c r="AB439" s="99"/>
      <c r="AC439" s="99"/>
      <c r="AD439" s="107">
        <v>0</v>
      </c>
      <c r="AE439" s="113">
        <f t="shared" si="79"/>
        <v>0</v>
      </c>
      <c r="AF439" s="116">
        <f>-IFERROR(IFERROR(VLOOKUP(ROUNDUP($Q439,0),'FBA FEES'!$L$2:$Q$203,MATCH($S439,'FBA FEES'!$L$2:$Q$2,0),FALSE),VLOOKUP(ROUNDUP($Q439,0),'FBA FEES'!$C$6:$F$123,MATCH($S439,'FBA FEES'!$C$6:$F$6,0),FALSE)),0)</f>
        <v>0</v>
      </c>
      <c r="AG439" s="116">
        <v>-10</v>
      </c>
      <c r="AH439" s="113">
        <f t="shared" si="80"/>
        <v>0</v>
      </c>
      <c r="AI439" s="116">
        <f>-IFERROR(IF($Y439=1,INDEX('[1]REMOVAL FEES'!$A$1:$C$22,MATCH(CONCATENATE("Standard Size",$P439),'[1]REMOVAL FEES'!$A$1:$A$22,0),3),IF($Y439=2,IF($P439&gt;10,(($P439-10)*1.06)+INDEX('[1]REMOVAL FEES'!$E$1:$G$22,MATCH(CONCATENATE("Large bulky, extra-large and special handling items",IF($P439&gt;=11,11,$P439)),'[1]REMOVAL FEES'!$E$1:$E$13,0),3),INDEX('[1]REMOVAL FEES'!$E$1:$G$22,MATCH(CONCATENATE("Large bulky, extra-large and special handling items",IF($P439&gt;=11,11,$P439)),'[1]REMOVAL FEES'!$E$1:$E$13,0),3))))*$AA439,FALSE)</f>
        <v>0</v>
      </c>
      <c r="AJ439" s="107">
        <f t="shared" si="81"/>
        <v>0</v>
      </c>
      <c r="AK439" s="107">
        <v>0</v>
      </c>
      <c r="AL439" s="107">
        <v>0</v>
      </c>
      <c r="AM439" s="107">
        <f t="shared" si="82"/>
        <v>0</v>
      </c>
      <c r="AN439" s="116">
        <f>(-IF($V439="Yes", IF($X439="Yes", VLOOKUP($W439, '[1]Storage Fees'!A:M, 13, FALSE), VLOOKUP($W439, '[1]Storage Fees'!A:M, 10, FALSE)), IF($X439="Yes", VLOOKUP($W439, '[1]Storage Fees'!A:M, 7, FALSE), VLOOKUP($W439, '[1]Storage Fees'!A:M, 4, FALSE))) * U439)*1.5</f>
        <v>0</v>
      </c>
    </row>
    <row r="440" spans="1:40" x14ac:dyDescent="0.25">
      <c r="A440" s="99">
        <v>368</v>
      </c>
      <c r="B440" s="99"/>
      <c r="C440" s="99" t="s">
        <v>13655</v>
      </c>
      <c r="D440" s="99"/>
      <c r="E440" s="99" t="s">
        <v>296</v>
      </c>
      <c r="F440" s="99" t="s">
        <v>1828</v>
      </c>
      <c r="G440" s="99" t="s">
        <v>13695</v>
      </c>
      <c r="H440" s="99">
        <v>0</v>
      </c>
      <c r="I440" s="99">
        <v>0</v>
      </c>
      <c r="J440" s="99">
        <v>0</v>
      </c>
      <c r="K440" s="101" t="str">
        <f t="shared" si="70"/>
        <v>0x0x0</v>
      </c>
      <c r="L440" s="102">
        <f t="shared" si="71"/>
        <v>0</v>
      </c>
      <c r="M440" s="113">
        <f t="shared" si="72"/>
        <v>0</v>
      </c>
      <c r="N440" s="113">
        <f t="shared" si="73"/>
        <v>0</v>
      </c>
      <c r="O440" s="99">
        <v>0</v>
      </c>
      <c r="P440" s="113">
        <f t="shared" si="74"/>
        <v>0</v>
      </c>
      <c r="Q440" s="112">
        <f t="shared" si="75"/>
        <v>0</v>
      </c>
      <c r="R440" s="112" t="str">
        <f t="shared" si="76"/>
        <v>Standard-size</v>
      </c>
      <c r="S440" s="99" t="str">
        <f t="shared" si="77"/>
        <v>Small standard-size</v>
      </c>
      <c r="T440" s="116" t="s">
        <v>13696</v>
      </c>
      <c r="U440" s="116">
        <f t="shared" si="78"/>
        <v>0</v>
      </c>
      <c r="V440" s="116" t="s">
        <v>13583</v>
      </c>
      <c r="W440" s="116" t="s">
        <v>13690</v>
      </c>
      <c r="X440" s="99" t="s">
        <v>13583</v>
      </c>
      <c r="Y440" s="99">
        <v>1</v>
      </c>
      <c r="Z440" s="99">
        <v>1</v>
      </c>
      <c r="AA440" s="99">
        <v>1</v>
      </c>
      <c r="AB440" s="99"/>
      <c r="AC440" s="99"/>
      <c r="AD440" s="107">
        <v>0</v>
      </c>
      <c r="AE440" s="113">
        <f t="shared" si="79"/>
        <v>0</v>
      </c>
      <c r="AF440" s="116">
        <f>-IFERROR(IFERROR(VLOOKUP(ROUNDUP($Q440,0),'FBA FEES'!$L$2:$Q$203,MATCH($S440,'FBA FEES'!$L$2:$Q$2,0),FALSE),VLOOKUP(ROUNDUP($Q440,0),'FBA FEES'!$C$6:$F$123,MATCH($S440,'FBA FEES'!$C$6:$F$6,0),FALSE)),0)</f>
        <v>0</v>
      </c>
      <c r="AG440" s="116">
        <v>-10</v>
      </c>
      <c r="AH440" s="113">
        <f t="shared" si="80"/>
        <v>0</v>
      </c>
      <c r="AI440" s="116">
        <f>-IFERROR(IF($Y440=1,INDEX('[1]REMOVAL FEES'!$A$1:$C$22,MATCH(CONCATENATE("Standard Size",$P440),'[1]REMOVAL FEES'!$A$1:$A$22,0),3),IF($Y440=2,IF($P440&gt;10,(($P440-10)*1.06)+INDEX('[1]REMOVAL FEES'!$E$1:$G$22,MATCH(CONCATENATE("Large bulky, extra-large and special handling items",IF($P440&gt;=11,11,$P440)),'[1]REMOVAL FEES'!$E$1:$E$13,0),3),INDEX('[1]REMOVAL FEES'!$E$1:$G$22,MATCH(CONCATENATE("Large bulky, extra-large and special handling items",IF($P440&gt;=11,11,$P440)),'[1]REMOVAL FEES'!$E$1:$E$13,0),3))))*$AA440,FALSE)</f>
        <v>0</v>
      </c>
      <c r="AJ440" s="107">
        <f t="shared" si="81"/>
        <v>0</v>
      </c>
      <c r="AK440" s="107">
        <v>0</v>
      </c>
      <c r="AL440" s="107">
        <v>0</v>
      </c>
      <c r="AM440" s="107">
        <f t="shared" si="82"/>
        <v>0</v>
      </c>
      <c r="AN440" s="116">
        <f>(-IF($V440="Yes", IF($X440="Yes", VLOOKUP($W440, '[1]Storage Fees'!A:M, 13, FALSE), VLOOKUP($W440, '[1]Storage Fees'!A:M, 10, FALSE)), IF($X440="Yes", VLOOKUP($W440, '[1]Storage Fees'!A:M, 7, FALSE), VLOOKUP($W440, '[1]Storage Fees'!A:M, 4, FALSE))) * U440)*1.5</f>
        <v>0</v>
      </c>
    </row>
    <row r="441" spans="1:40" x14ac:dyDescent="0.25">
      <c r="A441" s="99">
        <v>369</v>
      </c>
      <c r="B441" s="99" t="s">
        <v>283</v>
      </c>
      <c r="C441" s="99" t="s">
        <v>13655</v>
      </c>
      <c r="D441" s="99" t="s">
        <v>823</v>
      </c>
      <c r="E441" s="99" t="s">
        <v>278</v>
      </c>
      <c r="F441" s="99" t="s">
        <v>973</v>
      </c>
      <c r="G441" s="99" t="s">
        <v>13695</v>
      </c>
      <c r="H441" s="99">
        <v>30</v>
      </c>
      <c r="I441" s="99">
        <v>19.5</v>
      </c>
      <c r="J441" s="99">
        <v>5</v>
      </c>
      <c r="K441" s="101" t="str">
        <f t="shared" si="70"/>
        <v>30x19.5x5</v>
      </c>
      <c r="L441" s="102">
        <f t="shared" si="71"/>
        <v>21.043165467625901</v>
      </c>
      <c r="M441" s="113">
        <f t="shared" si="72"/>
        <v>21.043165467625901</v>
      </c>
      <c r="N441" s="113">
        <f t="shared" si="73"/>
        <v>22</v>
      </c>
      <c r="O441" s="99">
        <v>21.8125</v>
      </c>
      <c r="P441" s="113">
        <f t="shared" si="74"/>
        <v>22</v>
      </c>
      <c r="Q441" s="112">
        <f t="shared" si="75"/>
        <v>352</v>
      </c>
      <c r="R441" s="112" t="str">
        <f t="shared" si="76"/>
        <v>Oversize</v>
      </c>
      <c r="S441" s="99" t="str">
        <f t="shared" si="77"/>
        <v>Large bulky</v>
      </c>
      <c r="T441" s="116" t="s">
        <v>13692</v>
      </c>
      <c r="U441" s="116">
        <f t="shared" si="78"/>
        <v>1.6927083333333333</v>
      </c>
      <c r="V441" s="116" t="s">
        <v>13583</v>
      </c>
      <c r="W441" s="116" t="s">
        <v>13690</v>
      </c>
      <c r="X441" s="116" t="s">
        <v>13691</v>
      </c>
      <c r="Y441" s="116">
        <v>2</v>
      </c>
      <c r="Z441" s="116">
        <v>3</v>
      </c>
      <c r="AA441" s="116">
        <v>1</v>
      </c>
      <c r="AB441" s="99"/>
      <c r="AC441" s="99"/>
      <c r="AD441" s="107">
        <v>0</v>
      </c>
      <c r="AE441" s="113">
        <f t="shared" si="79"/>
        <v>0</v>
      </c>
      <c r="AF441" s="116">
        <f>-IFERROR(IFERROR(VLOOKUP(ROUNDUP($Q441,0),'FBA FEES'!$L$2:$Q$203,MATCH($S441,'FBA FEES'!$L$2:$Q$2,0),FALSE),VLOOKUP(ROUNDUP($Q441,0),'FBA FEES'!$C$6:$F$123,MATCH($S441,'FBA FEES'!$C$6:$F$6,0),FALSE)),0)</f>
        <v>-17.59</v>
      </c>
      <c r="AG441" s="116">
        <v>-10</v>
      </c>
      <c r="AH441" s="113">
        <f t="shared" si="80"/>
        <v>-17.59</v>
      </c>
      <c r="AI441" s="116">
        <f>-IFERROR(IF($Y441=1,INDEX('[1]REMOVAL FEES'!$A$1:$C$22,MATCH(CONCATENATE("Standard Size",$P441),'[1]REMOVAL FEES'!$A$1:$A$22,0),3),IF($Y441=2,IF($P441&gt;10,(($P441-10)*1.06)+INDEX('[1]REMOVAL FEES'!$E$1:$G$22,MATCH(CONCATENATE("Large bulky, extra-large and special handling items",IF($P441&gt;=11,11,$P441)),'[1]REMOVAL FEES'!$E$1:$E$13,0),3),INDEX('[1]REMOVAL FEES'!$E$1:$G$22,MATCH(CONCATENATE("Large bulky, extra-large and special handling items",IF($P441&gt;=11,11,$P441)),'[1]REMOVAL FEES'!$E$1:$E$13,0),3))))*$AA441,FALSE)</f>
        <v>-27.04</v>
      </c>
      <c r="AJ441" s="107">
        <f t="shared" si="81"/>
        <v>-44.629999999999995</v>
      </c>
      <c r="AK441" s="107">
        <v>0</v>
      </c>
      <c r="AL441" s="107">
        <v>0</v>
      </c>
      <c r="AM441" s="107">
        <f t="shared" si="82"/>
        <v>0</v>
      </c>
      <c r="AN441" s="116">
        <f>(-IF($V441="Yes", IF($X441="Yes", VLOOKUP($W441, '[1]Storage Fees'!A:M, 13, FALSE), VLOOKUP($W441, '[1]Storage Fees'!A:M, 10, FALSE)), IF($X441="Yes", VLOOKUP($W441, '[1]Storage Fees'!A:M, 7, FALSE), VLOOKUP($W441, '[1]Storage Fees'!A:M, 4, FALSE))) * U441)*1.5</f>
        <v>-2.005859375</v>
      </c>
    </row>
    <row r="442" spans="1:40" x14ac:dyDescent="0.25">
      <c r="A442" s="99">
        <v>370</v>
      </c>
      <c r="B442" s="99" t="s">
        <v>283</v>
      </c>
      <c r="C442" s="99" t="s">
        <v>13655</v>
      </c>
      <c r="D442" s="99" t="s">
        <v>823</v>
      </c>
      <c r="E442" s="99" t="s">
        <v>278</v>
      </c>
      <c r="F442" s="99" t="s">
        <v>976</v>
      </c>
      <c r="G442" s="99" t="s">
        <v>13695</v>
      </c>
      <c r="H442" s="99">
        <v>17.5</v>
      </c>
      <c r="I442" s="99">
        <v>13</v>
      </c>
      <c r="J442" s="99">
        <v>4</v>
      </c>
      <c r="K442" s="101" t="str">
        <f t="shared" si="70"/>
        <v>17.5x13x4</v>
      </c>
      <c r="L442" s="102">
        <f t="shared" si="71"/>
        <v>6.5467625899280577</v>
      </c>
      <c r="M442" s="113">
        <f t="shared" si="72"/>
        <v>6.5467625899280577</v>
      </c>
      <c r="N442" s="113">
        <f t="shared" si="73"/>
        <v>7</v>
      </c>
      <c r="O442" s="99">
        <v>11.3125</v>
      </c>
      <c r="P442" s="113">
        <f t="shared" si="74"/>
        <v>12</v>
      </c>
      <c r="Q442" s="112">
        <f t="shared" si="75"/>
        <v>192</v>
      </c>
      <c r="R442" s="112" t="str">
        <f t="shared" si="76"/>
        <v>Standard-size</v>
      </c>
      <c r="S442" s="99" t="str">
        <f t="shared" si="77"/>
        <v>Large standard-size</v>
      </c>
      <c r="T442" s="116" t="s">
        <v>13693</v>
      </c>
      <c r="U442" s="116">
        <f t="shared" si="78"/>
        <v>0.52662037037037035</v>
      </c>
      <c r="V442" s="116" t="s">
        <v>13583</v>
      </c>
      <c r="W442" s="116" t="s">
        <v>13690</v>
      </c>
      <c r="X442" s="99" t="s">
        <v>13583</v>
      </c>
      <c r="Y442" s="99">
        <v>1</v>
      </c>
      <c r="Z442" s="99">
        <v>2</v>
      </c>
      <c r="AA442" s="99">
        <v>1</v>
      </c>
      <c r="AB442" s="99"/>
      <c r="AC442" s="99"/>
      <c r="AD442" s="107">
        <v>0</v>
      </c>
      <c r="AE442" s="113">
        <f t="shared" si="79"/>
        <v>0</v>
      </c>
      <c r="AF442" s="116">
        <f>-IFERROR(IFERROR(VLOOKUP(ROUNDUP($Q442,0),'FBA FEES'!$L$2:$Q$203,MATCH($S442,'FBA FEES'!$L$2:$Q$2,0),FALSE),VLOOKUP(ROUNDUP($Q442,0),'FBA FEES'!$C$6:$F$123,MATCH($S442,'FBA FEES'!$C$6:$F$6,0),FALSE)),0)</f>
        <v>-9.8000000000000007</v>
      </c>
      <c r="AG442" s="116">
        <v>-10</v>
      </c>
      <c r="AH442" s="113">
        <f t="shared" si="80"/>
        <v>-9.8000000000000007</v>
      </c>
      <c r="AI442" s="116">
        <f>-IFERROR(IF($Y442=1,INDEX('[1]REMOVAL FEES'!$A$1:$C$22,MATCH(CONCATENATE("Standard Size",$P442),'[1]REMOVAL FEES'!$A$1:$A$22,0),3),IF($Y442=2,IF($P442&gt;10,(($P442-10)*1.06)+INDEX('[1]REMOVAL FEES'!$E$1:$G$22,MATCH(CONCATENATE("Large bulky, extra-large and special handling items",IF($P442&gt;=11,11,$P442)),'[1]REMOVAL FEES'!$E$1:$E$13,0),3),INDEX('[1]REMOVAL FEES'!$E$1:$G$22,MATCH(CONCATENATE("Large bulky, extra-large and special handling items",IF($P442&gt;=11,11,$P442)),'[1]REMOVAL FEES'!$E$1:$E$13,0),3))))*$AA442,FALSE)</f>
        <v>-13.490000000000002</v>
      </c>
      <c r="AJ442" s="107">
        <f t="shared" si="81"/>
        <v>-23.290000000000003</v>
      </c>
      <c r="AK442" s="107">
        <v>0</v>
      </c>
      <c r="AL442" s="107">
        <v>0</v>
      </c>
      <c r="AM442" s="107">
        <f t="shared" si="82"/>
        <v>0</v>
      </c>
      <c r="AN442" s="116">
        <f>(-IF($V442="Yes", IF($X442="Yes", VLOOKUP($W442, '[1]Storage Fees'!A:M, 13, FALSE), VLOOKUP($W442, '[1]Storage Fees'!A:M, 10, FALSE)), IF($X442="Yes", VLOOKUP($W442, '[1]Storage Fees'!A:M, 7, FALSE), VLOOKUP($W442, '[1]Storage Fees'!A:M, 4, FALSE))) * U442)*1.5</f>
        <v>-0.96371527777777766</v>
      </c>
    </row>
    <row r="443" spans="1:40" x14ac:dyDescent="0.25">
      <c r="A443" s="99">
        <v>371</v>
      </c>
      <c r="B443" s="99" t="s">
        <v>283</v>
      </c>
      <c r="C443" s="99" t="s">
        <v>13655</v>
      </c>
      <c r="D443" s="99" t="s">
        <v>823</v>
      </c>
      <c r="E443" s="99" t="s">
        <v>278</v>
      </c>
      <c r="F443" s="99" t="s">
        <v>979</v>
      </c>
      <c r="G443" s="99" t="s">
        <v>13695</v>
      </c>
      <c r="H443" s="99">
        <v>15</v>
      </c>
      <c r="I443" s="99">
        <v>15</v>
      </c>
      <c r="J443" s="99">
        <v>4</v>
      </c>
      <c r="K443" s="101" t="str">
        <f t="shared" si="70"/>
        <v>15x15x4</v>
      </c>
      <c r="L443" s="102">
        <f t="shared" si="71"/>
        <v>6.4748201438848918</v>
      </c>
      <c r="M443" s="113">
        <f t="shared" si="72"/>
        <v>6.4748201438848918</v>
      </c>
      <c r="N443" s="113">
        <f t="shared" si="73"/>
        <v>7</v>
      </c>
      <c r="O443" s="99">
        <v>12.8125</v>
      </c>
      <c r="P443" s="113">
        <f t="shared" si="74"/>
        <v>13</v>
      </c>
      <c r="Q443" s="112">
        <f t="shared" si="75"/>
        <v>208</v>
      </c>
      <c r="R443" s="112" t="str">
        <f t="shared" si="76"/>
        <v>Oversize</v>
      </c>
      <c r="S443" s="99" t="str">
        <f t="shared" si="77"/>
        <v>Large bulky</v>
      </c>
      <c r="T443" s="116" t="s">
        <v>13692</v>
      </c>
      <c r="U443" s="116">
        <f t="shared" si="78"/>
        <v>0.52083333333333337</v>
      </c>
      <c r="V443" s="116" t="s">
        <v>13583</v>
      </c>
      <c r="W443" s="116" t="s">
        <v>13690</v>
      </c>
      <c r="X443" s="116" t="s">
        <v>13691</v>
      </c>
      <c r="Y443" s="116">
        <v>2</v>
      </c>
      <c r="Z443" s="116">
        <v>3</v>
      </c>
      <c r="AA443" s="116">
        <v>1</v>
      </c>
      <c r="AB443" s="99"/>
      <c r="AC443" s="99"/>
      <c r="AD443" s="107">
        <v>0</v>
      </c>
      <c r="AE443" s="113">
        <f t="shared" si="79"/>
        <v>0</v>
      </c>
      <c r="AF443" s="116">
        <f>-IFERROR(IFERROR(VLOOKUP(ROUNDUP($Q443,0),'FBA FEES'!$L$2:$Q$203,MATCH($S443,'FBA FEES'!$L$2:$Q$2,0),FALSE),VLOOKUP(ROUNDUP($Q443,0),'FBA FEES'!$C$6:$F$123,MATCH($S443,'FBA FEES'!$C$6:$F$6,0),FALSE)),0)</f>
        <v>-14.17</v>
      </c>
      <c r="AG443" s="116">
        <v>-10</v>
      </c>
      <c r="AH443" s="113">
        <f t="shared" si="80"/>
        <v>-14.17</v>
      </c>
      <c r="AI443" s="116">
        <f>-IFERROR(IF($Y443=1,INDEX('[1]REMOVAL FEES'!$A$1:$C$22,MATCH(CONCATENATE("Standard Size",$P443),'[1]REMOVAL FEES'!$A$1:$A$22,0),3),IF($Y443=2,IF($P443&gt;10,(($P443-10)*1.06)+INDEX('[1]REMOVAL FEES'!$E$1:$G$22,MATCH(CONCATENATE("Large bulky, extra-large and special handling items",IF($P443&gt;=11,11,$P443)),'[1]REMOVAL FEES'!$E$1:$E$13,0),3),INDEX('[1]REMOVAL FEES'!$E$1:$G$22,MATCH(CONCATENATE("Large bulky, extra-large and special handling items",IF($P443&gt;=11,11,$P443)),'[1]REMOVAL FEES'!$E$1:$E$13,0),3))))*$AA443,FALSE)</f>
        <v>-17.5</v>
      </c>
      <c r="AJ443" s="107">
        <f t="shared" si="81"/>
        <v>-31.67</v>
      </c>
      <c r="AK443" s="107">
        <v>0</v>
      </c>
      <c r="AL443" s="107">
        <v>0</v>
      </c>
      <c r="AM443" s="107">
        <f t="shared" si="82"/>
        <v>0</v>
      </c>
      <c r="AN443" s="116">
        <f>(-IF($V443="Yes", IF($X443="Yes", VLOOKUP($W443, '[1]Storage Fees'!A:M, 13, FALSE), VLOOKUP($W443, '[1]Storage Fees'!A:M, 10, FALSE)), IF($X443="Yes", VLOOKUP($W443, '[1]Storage Fees'!A:M, 7, FALSE), VLOOKUP($W443, '[1]Storage Fees'!A:M, 4, FALSE))) * U443)*1.5</f>
        <v>-0.6171875</v>
      </c>
    </row>
    <row r="444" spans="1:40" x14ac:dyDescent="0.25">
      <c r="A444" s="99">
        <v>372</v>
      </c>
      <c r="B444" s="99" t="s">
        <v>283</v>
      </c>
      <c r="C444" s="99" t="s">
        <v>13655</v>
      </c>
      <c r="D444" s="99" t="s">
        <v>823</v>
      </c>
      <c r="E444" s="99" t="s">
        <v>278</v>
      </c>
      <c r="F444" s="99" t="s">
        <v>982</v>
      </c>
      <c r="G444" s="99" t="s">
        <v>13695</v>
      </c>
      <c r="H444" s="99">
        <v>17</v>
      </c>
      <c r="I444" s="99">
        <v>17</v>
      </c>
      <c r="J444" s="99">
        <v>5</v>
      </c>
      <c r="K444" s="101" t="str">
        <f t="shared" si="70"/>
        <v>17x17x5</v>
      </c>
      <c r="L444" s="102">
        <f t="shared" si="71"/>
        <v>10.39568345323741</v>
      </c>
      <c r="M444" s="113">
        <f t="shared" si="72"/>
        <v>10.39568345323741</v>
      </c>
      <c r="N444" s="113">
        <f t="shared" si="73"/>
        <v>11</v>
      </c>
      <c r="O444" s="99">
        <v>15.25</v>
      </c>
      <c r="P444" s="113">
        <f t="shared" si="74"/>
        <v>16</v>
      </c>
      <c r="Q444" s="112">
        <f t="shared" si="75"/>
        <v>256</v>
      </c>
      <c r="R444" s="112" t="str">
        <f t="shared" si="76"/>
        <v>Oversize</v>
      </c>
      <c r="S444" s="99" t="str">
        <f t="shared" si="77"/>
        <v>Large bulky</v>
      </c>
      <c r="T444" s="116" t="s">
        <v>13692</v>
      </c>
      <c r="U444" s="116">
        <f t="shared" si="78"/>
        <v>0.83622685185185186</v>
      </c>
      <c r="V444" s="116" t="s">
        <v>13583</v>
      </c>
      <c r="W444" s="116" t="s">
        <v>13690</v>
      </c>
      <c r="X444" s="116" t="s">
        <v>13691</v>
      </c>
      <c r="Y444" s="116">
        <v>2</v>
      </c>
      <c r="Z444" s="116">
        <v>3</v>
      </c>
      <c r="AA444" s="116">
        <v>1</v>
      </c>
      <c r="AB444" s="99"/>
      <c r="AC444" s="99"/>
      <c r="AD444" s="107">
        <v>0</v>
      </c>
      <c r="AE444" s="113">
        <f t="shared" si="79"/>
        <v>0</v>
      </c>
      <c r="AF444" s="116">
        <f>-IFERROR(IFERROR(VLOOKUP(ROUNDUP($Q444,0),'FBA FEES'!$L$2:$Q$203,MATCH($S444,'FBA FEES'!$L$2:$Q$2,0),FALSE),VLOOKUP(ROUNDUP($Q444,0),'FBA FEES'!$C$6:$F$123,MATCH($S444,'FBA FEES'!$C$6:$F$6,0),FALSE)),0)</f>
        <v>-15.309999999999999</v>
      </c>
      <c r="AG444" s="116">
        <v>-10</v>
      </c>
      <c r="AH444" s="113">
        <f t="shared" si="80"/>
        <v>-15.309999999999999</v>
      </c>
      <c r="AI444" s="116">
        <f>-IFERROR(IF($Y444=1,INDEX('[1]REMOVAL FEES'!$A$1:$C$22,MATCH(CONCATENATE("Standard Size",$P444),'[1]REMOVAL FEES'!$A$1:$A$22,0),3),IF($Y444=2,IF($P444&gt;10,(($P444-10)*1.06)+INDEX('[1]REMOVAL FEES'!$E$1:$G$22,MATCH(CONCATENATE("Large bulky, extra-large and special handling items",IF($P444&gt;=11,11,$P444)),'[1]REMOVAL FEES'!$E$1:$E$13,0),3),INDEX('[1]REMOVAL FEES'!$E$1:$G$22,MATCH(CONCATENATE("Large bulky, extra-large and special handling items",IF($P444&gt;=11,11,$P444)),'[1]REMOVAL FEES'!$E$1:$E$13,0),3))))*$AA444,FALSE)</f>
        <v>-20.68</v>
      </c>
      <c r="AJ444" s="107">
        <f t="shared" si="81"/>
        <v>-35.989999999999995</v>
      </c>
      <c r="AK444" s="107">
        <v>0</v>
      </c>
      <c r="AL444" s="107">
        <v>0</v>
      </c>
      <c r="AM444" s="107">
        <f t="shared" si="82"/>
        <v>0</v>
      </c>
      <c r="AN444" s="116">
        <f>(-IF($V444="Yes", IF($X444="Yes", VLOOKUP($W444, '[1]Storage Fees'!A:M, 13, FALSE), VLOOKUP($W444, '[1]Storage Fees'!A:M, 10, FALSE)), IF($X444="Yes", VLOOKUP($W444, '[1]Storage Fees'!A:M, 7, FALSE), VLOOKUP($W444, '[1]Storage Fees'!A:M, 4, FALSE))) * U444)*1.5</f>
        <v>-0.99092881944444455</v>
      </c>
    </row>
    <row r="445" spans="1:40" x14ac:dyDescent="0.25">
      <c r="A445" s="99">
        <v>373</v>
      </c>
      <c r="B445" s="99" t="s">
        <v>13705</v>
      </c>
      <c r="C445" s="99" t="s">
        <v>13655</v>
      </c>
      <c r="D445" s="99" t="s">
        <v>865</v>
      </c>
      <c r="E445" s="99" t="s">
        <v>278</v>
      </c>
      <c r="F445" s="99" t="s">
        <v>985</v>
      </c>
      <c r="G445" s="99" t="s">
        <v>13695</v>
      </c>
      <c r="H445" s="99">
        <v>25</v>
      </c>
      <c r="I445" s="99">
        <v>11.5</v>
      </c>
      <c r="J445" s="99">
        <v>11.5</v>
      </c>
      <c r="K445" s="101" t="str">
        <f t="shared" si="70"/>
        <v>25x11.5x11.5</v>
      </c>
      <c r="L445" s="102">
        <f t="shared" si="71"/>
        <v>23.785971223021583</v>
      </c>
      <c r="M445" s="113">
        <f t="shared" si="72"/>
        <v>23.785971223021583</v>
      </c>
      <c r="N445" s="113">
        <f t="shared" si="73"/>
        <v>24</v>
      </c>
      <c r="O445" s="99">
        <v>40.875</v>
      </c>
      <c r="P445" s="113">
        <f t="shared" si="74"/>
        <v>41</v>
      </c>
      <c r="Q445" s="112">
        <f t="shared" si="75"/>
        <v>656</v>
      </c>
      <c r="R445" s="112" t="str">
        <f t="shared" si="76"/>
        <v>Oversize</v>
      </c>
      <c r="S445" s="99" t="str">
        <f t="shared" si="77"/>
        <v>Large bulky</v>
      </c>
      <c r="T445" s="116" t="s">
        <v>13694</v>
      </c>
      <c r="U445" s="116">
        <f t="shared" si="78"/>
        <v>1.9133391203703705</v>
      </c>
      <c r="V445" s="116" t="s">
        <v>13583</v>
      </c>
      <c r="W445" s="116" t="s">
        <v>13690</v>
      </c>
      <c r="X445" s="116" t="s">
        <v>13691</v>
      </c>
      <c r="Y445" s="116">
        <v>2</v>
      </c>
      <c r="Z445" s="116">
        <v>3</v>
      </c>
      <c r="AA445" s="116">
        <v>1</v>
      </c>
      <c r="AB445" s="99"/>
      <c r="AC445" s="99"/>
      <c r="AD445" s="107">
        <v>0</v>
      </c>
      <c r="AE445" s="113">
        <f t="shared" si="79"/>
        <v>0</v>
      </c>
      <c r="AF445" s="116">
        <f>-IFERROR(IFERROR(VLOOKUP(ROUNDUP($Q445,0),'FBA FEES'!$L$2:$Q$203,MATCH($S445,'FBA FEES'!$L$2:$Q$2,0),FALSE),VLOOKUP(ROUNDUP($Q445,0),'FBA FEES'!$C$6:$F$123,MATCH($S445,'FBA FEES'!$C$6:$F$6,0),FALSE)),0)</f>
        <v>-24.81</v>
      </c>
      <c r="AG445" s="116">
        <v>-10</v>
      </c>
      <c r="AH445" s="113">
        <f t="shared" si="80"/>
        <v>-24.81</v>
      </c>
      <c r="AI445" s="116">
        <f>-IFERROR(IF($Y445=1,INDEX('[1]REMOVAL FEES'!$A$1:$C$22,MATCH(CONCATENATE("Standard Size",$P445),'[1]REMOVAL FEES'!$A$1:$A$22,0),3),IF($Y445=2,IF($P445&gt;10,(($P445-10)*1.06)+INDEX('[1]REMOVAL FEES'!$E$1:$G$22,MATCH(CONCATENATE("Large bulky, extra-large and special handling items",IF($P445&gt;=11,11,$P445)),'[1]REMOVAL FEES'!$E$1:$E$13,0),3),INDEX('[1]REMOVAL FEES'!$E$1:$G$22,MATCH(CONCATENATE("Large bulky, extra-large and special handling items",IF($P445&gt;=11,11,$P445)),'[1]REMOVAL FEES'!$E$1:$E$13,0),3))))*$AA445,FALSE)</f>
        <v>-47.18</v>
      </c>
      <c r="AJ445" s="107">
        <f t="shared" si="81"/>
        <v>-71.989999999999995</v>
      </c>
      <c r="AK445" s="107">
        <v>0</v>
      </c>
      <c r="AL445" s="107">
        <v>0</v>
      </c>
      <c r="AM445" s="107">
        <f t="shared" si="82"/>
        <v>0</v>
      </c>
      <c r="AN445" s="116">
        <f>(-IF($V445="Yes", IF($X445="Yes", VLOOKUP($W445, '[1]Storage Fees'!A:M, 13, FALSE), VLOOKUP($W445, '[1]Storage Fees'!A:M, 10, FALSE)), IF($X445="Yes", VLOOKUP($W445, '[1]Storage Fees'!A:M, 7, FALSE), VLOOKUP($W445, '[1]Storage Fees'!A:M, 4, FALSE))) * U445)*1.5</f>
        <v>-2.2673068576388893</v>
      </c>
    </row>
    <row r="446" spans="1:40" x14ac:dyDescent="0.25">
      <c r="A446" s="99">
        <v>374</v>
      </c>
      <c r="B446" s="99"/>
      <c r="C446" s="99" t="s">
        <v>13655</v>
      </c>
      <c r="D446" s="99"/>
      <c r="E446" s="99" t="s">
        <v>278</v>
      </c>
      <c r="F446" s="99" t="s">
        <v>1830</v>
      </c>
      <c r="G446" s="99" t="s">
        <v>13695</v>
      </c>
      <c r="H446" s="99">
        <v>0</v>
      </c>
      <c r="I446" s="99">
        <v>0</v>
      </c>
      <c r="J446" s="99">
        <v>0</v>
      </c>
      <c r="K446" s="101" t="str">
        <f t="shared" si="70"/>
        <v>0x0x0</v>
      </c>
      <c r="L446" s="102">
        <f t="shared" si="71"/>
        <v>0</v>
      </c>
      <c r="M446" s="113">
        <f t="shared" si="72"/>
        <v>0</v>
      </c>
      <c r="N446" s="113">
        <f t="shared" si="73"/>
        <v>0</v>
      </c>
      <c r="O446" s="99">
        <v>0</v>
      </c>
      <c r="P446" s="113">
        <f t="shared" si="74"/>
        <v>0</v>
      </c>
      <c r="Q446" s="112">
        <f t="shared" si="75"/>
        <v>0</v>
      </c>
      <c r="R446" s="112" t="str">
        <f t="shared" si="76"/>
        <v>Standard-size</v>
      </c>
      <c r="S446" s="99" t="str">
        <f t="shared" si="77"/>
        <v>Small standard-size</v>
      </c>
      <c r="T446" s="116" t="s">
        <v>13696</v>
      </c>
      <c r="U446" s="116">
        <f t="shared" si="78"/>
        <v>0</v>
      </c>
      <c r="V446" s="116" t="s">
        <v>13583</v>
      </c>
      <c r="W446" s="116" t="s">
        <v>13690</v>
      </c>
      <c r="X446" s="99" t="s">
        <v>13583</v>
      </c>
      <c r="Y446" s="99">
        <v>1</v>
      </c>
      <c r="Z446" s="99">
        <v>1</v>
      </c>
      <c r="AA446" s="99">
        <v>1</v>
      </c>
      <c r="AB446" s="99"/>
      <c r="AC446" s="99"/>
      <c r="AD446" s="107">
        <v>0</v>
      </c>
      <c r="AE446" s="113">
        <f t="shared" si="79"/>
        <v>0</v>
      </c>
      <c r="AF446" s="116">
        <f>-IFERROR(IFERROR(VLOOKUP(ROUNDUP($Q446,0),'FBA FEES'!$L$2:$Q$203,MATCH($S446,'FBA FEES'!$L$2:$Q$2,0),FALSE),VLOOKUP(ROUNDUP($Q446,0),'FBA FEES'!$C$6:$F$123,MATCH($S446,'FBA FEES'!$C$6:$F$6,0),FALSE)),0)</f>
        <v>0</v>
      </c>
      <c r="AG446" s="116">
        <v>-10</v>
      </c>
      <c r="AH446" s="113">
        <f t="shared" si="80"/>
        <v>0</v>
      </c>
      <c r="AI446" s="116">
        <f>-IFERROR(IF($Y446=1,INDEX('[1]REMOVAL FEES'!$A$1:$C$22,MATCH(CONCATENATE("Standard Size",$P446),'[1]REMOVAL FEES'!$A$1:$A$22,0),3),IF($Y446=2,IF($P446&gt;10,(($P446-10)*1.06)+INDEX('[1]REMOVAL FEES'!$E$1:$G$22,MATCH(CONCATENATE("Large bulky, extra-large and special handling items",IF($P446&gt;=11,11,$P446)),'[1]REMOVAL FEES'!$E$1:$E$13,0),3),INDEX('[1]REMOVAL FEES'!$E$1:$G$22,MATCH(CONCATENATE("Large bulky, extra-large and special handling items",IF($P446&gt;=11,11,$P446)),'[1]REMOVAL FEES'!$E$1:$E$13,0),3))))*$AA446,FALSE)</f>
        <v>0</v>
      </c>
      <c r="AJ446" s="107">
        <f t="shared" si="81"/>
        <v>0</v>
      </c>
      <c r="AK446" s="107">
        <v>0</v>
      </c>
      <c r="AL446" s="107">
        <v>0</v>
      </c>
      <c r="AM446" s="107">
        <f t="shared" si="82"/>
        <v>0</v>
      </c>
      <c r="AN446" s="116">
        <f>(-IF($V446="Yes", IF($X446="Yes", VLOOKUP($W446, '[1]Storage Fees'!A:M, 13, FALSE), VLOOKUP($W446, '[1]Storage Fees'!A:M, 10, FALSE)), IF($X446="Yes", VLOOKUP($W446, '[1]Storage Fees'!A:M, 7, FALSE), VLOOKUP($W446, '[1]Storage Fees'!A:M, 4, FALSE))) * U446)*1.5</f>
        <v>0</v>
      </c>
    </row>
    <row r="447" spans="1:40" x14ac:dyDescent="0.25">
      <c r="A447" s="99">
        <v>375</v>
      </c>
      <c r="B447" s="99" t="s">
        <v>13699</v>
      </c>
      <c r="C447" s="99" t="s">
        <v>13655</v>
      </c>
      <c r="D447" s="99" t="s">
        <v>990</v>
      </c>
      <c r="E447" s="99" t="s">
        <v>278</v>
      </c>
      <c r="F447" s="99" t="s">
        <v>988</v>
      </c>
      <c r="G447" s="99" t="s">
        <v>13695</v>
      </c>
      <c r="H447" s="99">
        <v>34</v>
      </c>
      <c r="I447" s="99">
        <v>14</v>
      </c>
      <c r="J447" s="99">
        <v>12</v>
      </c>
      <c r="K447" s="101" t="str">
        <f t="shared" si="70"/>
        <v>34x14x12</v>
      </c>
      <c r="L447" s="102">
        <f t="shared" si="71"/>
        <v>41.093525179856115</v>
      </c>
      <c r="M447" s="113">
        <f t="shared" si="72"/>
        <v>41.093525179856115</v>
      </c>
      <c r="N447" s="113">
        <f t="shared" si="73"/>
        <v>42</v>
      </c>
      <c r="O447" s="99">
        <v>28</v>
      </c>
      <c r="P447" s="113">
        <f t="shared" si="74"/>
        <v>42</v>
      </c>
      <c r="Q447" s="112">
        <f t="shared" si="75"/>
        <v>672</v>
      </c>
      <c r="R447" s="112" t="str">
        <f t="shared" si="76"/>
        <v>Oversize</v>
      </c>
      <c r="S447" s="99" t="str">
        <f t="shared" si="77"/>
        <v>Large bulky</v>
      </c>
      <c r="T447" s="116" t="s">
        <v>13694</v>
      </c>
      <c r="U447" s="116">
        <f t="shared" si="78"/>
        <v>3.3055555555555554</v>
      </c>
      <c r="V447" s="116" t="s">
        <v>13583</v>
      </c>
      <c r="W447" s="116" t="s">
        <v>13690</v>
      </c>
      <c r="X447" s="116" t="s">
        <v>13691</v>
      </c>
      <c r="Y447" s="116">
        <v>2</v>
      </c>
      <c r="Z447" s="116">
        <v>3</v>
      </c>
      <c r="AA447" s="116">
        <v>1</v>
      </c>
      <c r="AB447" s="99"/>
      <c r="AC447" s="99"/>
      <c r="AD447" s="107">
        <v>195.79920930232601</v>
      </c>
      <c r="AE447" s="113">
        <f t="shared" si="79"/>
        <v>-29.369881395348898</v>
      </c>
      <c r="AF447" s="116">
        <f>-IFERROR(IFERROR(VLOOKUP(ROUNDUP($Q447,0),'FBA FEES'!$L$2:$Q$203,MATCH($S447,'FBA FEES'!$L$2:$Q$2,0),FALSE),VLOOKUP(ROUNDUP($Q447,0),'FBA FEES'!$C$6:$F$123,MATCH($S447,'FBA FEES'!$C$6:$F$6,0),FALSE)),0)</f>
        <v>-25.189999999999998</v>
      </c>
      <c r="AG447" s="116">
        <v>-10</v>
      </c>
      <c r="AH447" s="113">
        <f t="shared" si="80"/>
        <v>-54.559881395348896</v>
      </c>
      <c r="AI447" s="116">
        <f>-IFERROR(IF($Y447=1,INDEX('[1]REMOVAL FEES'!$A$1:$C$22,MATCH(CONCATENATE("Standard Size",$P447),'[1]REMOVAL FEES'!$A$1:$A$22,0),3),IF($Y447=2,IF($P447&gt;10,(($P447-10)*1.06)+INDEX('[1]REMOVAL FEES'!$E$1:$G$22,MATCH(CONCATENATE("Large bulky, extra-large and special handling items",IF($P447&gt;=11,11,$P447)),'[1]REMOVAL FEES'!$E$1:$E$13,0),3),INDEX('[1]REMOVAL FEES'!$E$1:$G$22,MATCH(CONCATENATE("Large bulky, extra-large and special handling items",IF($P447&gt;=11,11,$P447)),'[1]REMOVAL FEES'!$E$1:$E$13,0),3))))*$AA447,FALSE)</f>
        <v>-48.24</v>
      </c>
      <c r="AJ447" s="107">
        <f t="shared" si="81"/>
        <v>-102.7998813953489</v>
      </c>
      <c r="AK447" s="107">
        <v>-62.695813953488383</v>
      </c>
      <c r="AL447" s="107">
        <v>-12.09414195866807</v>
      </c>
      <c r="AM447" s="107">
        <f t="shared" si="82"/>
        <v>-74.789955912156458</v>
      </c>
      <c r="AN447" s="116">
        <f>(-IF($V447="Yes", IF($X447="Yes", VLOOKUP($W447, '[1]Storage Fees'!A:M, 13, FALSE), VLOOKUP($W447, '[1]Storage Fees'!A:M, 10, FALSE)), IF($X447="Yes", VLOOKUP($W447, '[1]Storage Fees'!A:M, 7, FALSE), VLOOKUP($W447, '[1]Storage Fees'!A:M, 4, FALSE))) * U447)*1.5</f>
        <v>-3.9170833333333333</v>
      </c>
    </row>
    <row r="448" spans="1:40" x14ac:dyDescent="0.25">
      <c r="A448" s="99">
        <v>376</v>
      </c>
      <c r="B448" s="99"/>
      <c r="C448" s="99" t="s">
        <v>13655</v>
      </c>
      <c r="D448" s="99"/>
      <c r="E448" s="99" t="s">
        <v>278</v>
      </c>
      <c r="F448" s="99" t="s">
        <v>1833</v>
      </c>
      <c r="G448" s="99" t="s">
        <v>13695</v>
      </c>
      <c r="H448" s="99">
        <v>0</v>
      </c>
      <c r="I448" s="99">
        <v>0</v>
      </c>
      <c r="J448" s="99">
        <v>0</v>
      </c>
      <c r="K448" s="101" t="str">
        <f t="shared" si="70"/>
        <v>0x0x0</v>
      </c>
      <c r="L448" s="102">
        <f t="shared" si="71"/>
        <v>0</v>
      </c>
      <c r="M448" s="113">
        <f t="shared" si="72"/>
        <v>0</v>
      </c>
      <c r="N448" s="113">
        <f t="shared" si="73"/>
        <v>0</v>
      </c>
      <c r="O448" s="99">
        <v>0</v>
      </c>
      <c r="P448" s="113">
        <f t="shared" si="74"/>
        <v>0</v>
      </c>
      <c r="Q448" s="112">
        <f t="shared" si="75"/>
        <v>0</v>
      </c>
      <c r="R448" s="112" t="str">
        <f t="shared" si="76"/>
        <v>Standard-size</v>
      </c>
      <c r="S448" s="99" t="str">
        <f t="shared" si="77"/>
        <v>Small standard-size</v>
      </c>
      <c r="T448" s="116" t="s">
        <v>13696</v>
      </c>
      <c r="U448" s="116">
        <f t="shared" si="78"/>
        <v>0</v>
      </c>
      <c r="V448" s="116" t="s">
        <v>13583</v>
      </c>
      <c r="W448" s="116" t="s">
        <v>13690</v>
      </c>
      <c r="X448" s="99" t="s">
        <v>13583</v>
      </c>
      <c r="Y448" s="99">
        <v>1</v>
      </c>
      <c r="Z448" s="99">
        <v>1</v>
      </c>
      <c r="AA448" s="99">
        <v>1</v>
      </c>
      <c r="AB448" s="99"/>
      <c r="AC448" s="99"/>
      <c r="AD448" s="107">
        <v>185.01114779270739</v>
      </c>
      <c r="AE448" s="113">
        <f t="shared" si="79"/>
        <v>-27.751672168906108</v>
      </c>
      <c r="AF448" s="116">
        <f>-IFERROR(IFERROR(VLOOKUP(ROUNDUP($Q448,0),'FBA FEES'!$L$2:$Q$203,MATCH($S448,'FBA FEES'!$L$2:$Q$2,0),FALSE),VLOOKUP(ROUNDUP($Q448,0),'FBA FEES'!$C$6:$F$123,MATCH($S448,'FBA FEES'!$C$6:$F$6,0),FALSE)),0)</f>
        <v>0</v>
      </c>
      <c r="AG448" s="116">
        <v>-10</v>
      </c>
      <c r="AH448" s="113">
        <f t="shared" si="80"/>
        <v>-27.751672168906108</v>
      </c>
      <c r="AI448" s="116">
        <f>-IFERROR(IF($Y448=1,INDEX('[1]REMOVAL FEES'!$A$1:$C$22,MATCH(CONCATENATE("Standard Size",$P448),'[1]REMOVAL FEES'!$A$1:$A$22,0),3),IF($Y448=2,IF($P448&gt;10,(($P448-10)*1.06)+INDEX('[1]REMOVAL FEES'!$E$1:$G$22,MATCH(CONCATENATE("Large bulky, extra-large and special handling items",IF($P448&gt;=11,11,$P448)),'[1]REMOVAL FEES'!$E$1:$E$13,0),3),INDEX('[1]REMOVAL FEES'!$E$1:$G$22,MATCH(CONCATENATE("Large bulky, extra-large and special handling items",IF($P448&gt;=11,11,$P448)),'[1]REMOVAL FEES'!$E$1:$E$13,0),3))))*$AA448,FALSE)</f>
        <v>0</v>
      </c>
      <c r="AJ448" s="107">
        <f t="shared" si="81"/>
        <v>-27.751672168906108</v>
      </c>
      <c r="AK448" s="107">
        <v>-61.020038387716141</v>
      </c>
      <c r="AL448" s="107">
        <v>-14.40399867468437</v>
      </c>
      <c r="AM448" s="107">
        <f t="shared" si="82"/>
        <v>-75.424037062400515</v>
      </c>
      <c r="AN448" s="116">
        <f>(-IF($V448="Yes", IF($X448="Yes", VLOOKUP($W448, '[1]Storage Fees'!A:M, 13, FALSE), VLOOKUP($W448, '[1]Storage Fees'!A:M, 10, FALSE)), IF($X448="Yes", VLOOKUP($W448, '[1]Storage Fees'!A:M, 7, FALSE), VLOOKUP($W448, '[1]Storage Fees'!A:M, 4, FALSE))) * U448)*1.5</f>
        <v>0</v>
      </c>
    </row>
    <row r="449" spans="1:40" x14ac:dyDescent="0.25">
      <c r="A449" s="99">
        <v>377</v>
      </c>
      <c r="B449" s="99"/>
      <c r="C449" s="99" t="s">
        <v>13655</v>
      </c>
      <c r="D449" s="99"/>
      <c r="E449" s="99" t="s">
        <v>278</v>
      </c>
      <c r="F449" s="99" t="s">
        <v>1836</v>
      </c>
      <c r="G449" s="99" t="s">
        <v>13695</v>
      </c>
      <c r="H449" s="99">
        <v>0</v>
      </c>
      <c r="I449" s="99">
        <v>0</v>
      </c>
      <c r="J449" s="99">
        <v>0</v>
      </c>
      <c r="K449" s="101" t="str">
        <f t="shared" si="70"/>
        <v>0x0x0</v>
      </c>
      <c r="L449" s="102">
        <f t="shared" si="71"/>
        <v>0</v>
      </c>
      <c r="M449" s="113">
        <f t="shared" si="72"/>
        <v>0</v>
      </c>
      <c r="N449" s="113">
        <f t="shared" si="73"/>
        <v>0</v>
      </c>
      <c r="O449" s="99">
        <v>0</v>
      </c>
      <c r="P449" s="113">
        <f t="shared" si="74"/>
        <v>0</v>
      </c>
      <c r="Q449" s="112">
        <f t="shared" si="75"/>
        <v>0</v>
      </c>
      <c r="R449" s="112" t="str">
        <f t="shared" si="76"/>
        <v>Standard-size</v>
      </c>
      <c r="S449" s="99" t="str">
        <f t="shared" si="77"/>
        <v>Small standard-size</v>
      </c>
      <c r="T449" s="116" t="s">
        <v>13696</v>
      </c>
      <c r="U449" s="116">
        <f t="shared" si="78"/>
        <v>0</v>
      </c>
      <c r="V449" s="116" t="s">
        <v>13583</v>
      </c>
      <c r="W449" s="116" t="s">
        <v>13690</v>
      </c>
      <c r="X449" s="99" t="s">
        <v>13583</v>
      </c>
      <c r="Y449" s="99">
        <v>1</v>
      </c>
      <c r="Z449" s="99">
        <v>1</v>
      </c>
      <c r="AA449" s="99">
        <v>1</v>
      </c>
      <c r="AB449" s="99"/>
      <c r="AC449" s="99"/>
      <c r="AD449" s="107">
        <v>0</v>
      </c>
      <c r="AE449" s="113">
        <f t="shared" si="79"/>
        <v>0</v>
      </c>
      <c r="AF449" s="116">
        <f>-IFERROR(IFERROR(VLOOKUP(ROUNDUP($Q449,0),'FBA FEES'!$L$2:$Q$203,MATCH($S449,'FBA FEES'!$L$2:$Q$2,0),FALSE),VLOOKUP(ROUNDUP($Q449,0),'FBA FEES'!$C$6:$F$123,MATCH($S449,'FBA FEES'!$C$6:$F$6,0),FALSE)),0)</f>
        <v>0</v>
      </c>
      <c r="AG449" s="116">
        <v>-10</v>
      </c>
      <c r="AH449" s="113">
        <f t="shared" si="80"/>
        <v>0</v>
      </c>
      <c r="AI449" s="116">
        <f>-IFERROR(IF($Y449=1,INDEX('[1]REMOVAL FEES'!$A$1:$C$22,MATCH(CONCATENATE("Standard Size",$P449),'[1]REMOVAL FEES'!$A$1:$A$22,0),3),IF($Y449=2,IF($P449&gt;10,(($P449-10)*1.06)+INDEX('[1]REMOVAL FEES'!$E$1:$G$22,MATCH(CONCATENATE("Large bulky, extra-large and special handling items",IF($P449&gt;=11,11,$P449)),'[1]REMOVAL FEES'!$E$1:$E$13,0),3),INDEX('[1]REMOVAL FEES'!$E$1:$G$22,MATCH(CONCATENATE("Large bulky, extra-large and special handling items",IF($P449&gt;=11,11,$P449)),'[1]REMOVAL FEES'!$E$1:$E$13,0),3))))*$AA449,FALSE)</f>
        <v>0</v>
      </c>
      <c r="AJ449" s="107">
        <f t="shared" si="81"/>
        <v>0</v>
      </c>
      <c r="AK449" s="107">
        <v>0</v>
      </c>
      <c r="AL449" s="107">
        <v>0</v>
      </c>
      <c r="AM449" s="107">
        <f t="shared" si="82"/>
        <v>0</v>
      </c>
      <c r="AN449" s="116">
        <f>(-IF($V449="Yes", IF($X449="Yes", VLOOKUP($W449, '[1]Storage Fees'!A:M, 13, FALSE), VLOOKUP($W449, '[1]Storage Fees'!A:M, 10, FALSE)), IF($X449="Yes", VLOOKUP($W449, '[1]Storage Fees'!A:M, 7, FALSE), VLOOKUP($W449, '[1]Storage Fees'!A:M, 4, FALSE))) * U449)*1.5</f>
        <v>0</v>
      </c>
    </row>
    <row r="450" spans="1:40" x14ac:dyDescent="0.25">
      <c r="A450" s="99">
        <v>378</v>
      </c>
      <c r="B450" s="99"/>
      <c r="C450" s="99" t="s">
        <v>13655</v>
      </c>
      <c r="D450" s="99"/>
      <c r="E450" s="99" t="s">
        <v>278</v>
      </c>
      <c r="F450" s="99" t="s">
        <v>1838</v>
      </c>
      <c r="G450" s="99" t="s">
        <v>13695</v>
      </c>
      <c r="H450" s="99">
        <v>0</v>
      </c>
      <c r="I450" s="99">
        <v>0</v>
      </c>
      <c r="J450" s="99">
        <v>0</v>
      </c>
      <c r="K450" s="101" t="str">
        <f t="shared" si="70"/>
        <v>0x0x0</v>
      </c>
      <c r="L450" s="102">
        <f t="shared" si="71"/>
        <v>0</v>
      </c>
      <c r="M450" s="113">
        <f t="shared" si="72"/>
        <v>0</v>
      </c>
      <c r="N450" s="113">
        <f t="shared" si="73"/>
        <v>0</v>
      </c>
      <c r="O450" s="99">
        <v>0</v>
      </c>
      <c r="P450" s="113">
        <f t="shared" si="74"/>
        <v>0</v>
      </c>
      <c r="Q450" s="112">
        <f t="shared" si="75"/>
        <v>0</v>
      </c>
      <c r="R450" s="112" t="str">
        <f t="shared" si="76"/>
        <v>Standard-size</v>
      </c>
      <c r="S450" s="99" t="str">
        <f t="shared" si="77"/>
        <v>Small standard-size</v>
      </c>
      <c r="T450" s="116" t="s">
        <v>13696</v>
      </c>
      <c r="U450" s="116">
        <f t="shared" si="78"/>
        <v>0</v>
      </c>
      <c r="V450" s="116" t="s">
        <v>13583</v>
      </c>
      <c r="W450" s="116" t="s">
        <v>13690</v>
      </c>
      <c r="X450" s="99" t="s">
        <v>13583</v>
      </c>
      <c r="Y450" s="99">
        <v>1</v>
      </c>
      <c r="Z450" s="99">
        <v>1</v>
      </c>
      <c r="AA450" s="99">
        <v>1</v>
      </c>
      <c r="AB450" s="99"/>
      <c r="AC450" s="99"/>
      <c r="AD450" s="107">
        <v>0</v>
      </c>
      <c r="AE450" s="113">
        <f t="shared" si="79"/>
        <v>0</v>
      </c>
      <c r="AF450" s="116">
        <f>-IFERROR(IFERROR(VLOOKUP(ROUNDUP($Q450,0),'FBA FEES'!$L$2:$Q$203,MATCH($S450,'FBA FEES'!$L$2:$Q$2,0),FALSE),VLOOKUP(ROUNDUP($Q450,0),'FBA FEES'!$C$6:$F$123,MATCH($S450,'FBA FEES'!$C$6:$F$6,0),FALSE)),0)</f>
        <v>0</v>
      </c>
      <c r="AG450" s="116">
        <v>-10</v>
      </c>
      <c r="AH450" s="113">
        <f t="shared" si="80"/>
        <v>0</v>
      </c>
      <c r="AI450" s="116">
        <f>-IFERROR(IF($Y450=1,INDEX('[1]REMOVAL FEES'!$A$1:$C$22,MATCH(CONCATENATE("Standard Size",$P450),'[1]REMOVAL FEES'!$A$1:$A$22,0),3),IF($Y450=2,IF($P450&gt;10,(($P450-10)*1.06)+INDEX('[1]REMOVAL FEES'!$E$1:$G$22,MATCH(CONCATENATE("Large bulky, extra-large and special handling items",IF($P450&gt;=11,11,$P450)),'[1]REMOVAL FEES'!$E$1:$E$13,0),3),INDEX('[1]REMOVAL FEES'!$E$1:$G$22,MATCH(CONCATENATE("Large bulky, extra-large and special handling items",IF($P450&gt;=11,11,$P450)),'[1]REMOVAL FEES'!$E$1:$E$13,0),3))))*$AA450,FALSE)</f>
        <v>0</v>
      </c>
      <c r="AJ450" s="107">
        <f t="shared" si="81"/>
        <v>0</v>
      </c>
      <c r="AK450" s="107">
        <v>0</v>
      </c>
      <c r="AL450" s="107">
        <v>0</v>
      </c>
      <c r="AM450" s="107">
        <f t="shared" si="82"/>
        <v>0</v>
      </c>
      <c r="AN450" s="116">
        <f>(-IF($V450="Yes", IF($X450="Yes", VLOOKUP($W450, '[1]Storage Fees'!A:M, 13, FALSE), VLOOKUP($W450, '[1]Storage Fees'!A:M, 10, FALSE)), IF($X450="Yes", VLOOKUP($W450, '[1]Storage Fees'!A:M, 7, FALSE), VLOOKUP($W450, '[1]Storage Fees'!A:M, 4, FALSE))) * U450)*1.5</f>
        <v>0</v>
      </c>
    </row>
    <row r="451" spans="1:40" x14ac:dyDescent="0.25">
      <c r="A451" s="99">
        <v>379</v>
      </c>
      <c r="B451" s="99" t="s">
        <v>283</v>
      </c>
      <c r="C451" s="99" t="s">
        <v>13655</v>
      </c>
      <c r="D451" s="99" t="s">
        <v>714</v>
      </c>
      <c r="E451" s="99" t="s">
        <v>278</v>
      </c>
      <c r="F451" s="99" t="s">
        <v>992</v>
      </c>
      <c r="G451" s="99" t="s">
        <v>13695</v>
      </c>
      <c r="H451" s="99">
        <v>21</v>
      </c>
      <c r="I451" s="99">
        <v>18</v>
      </c>
      <c r="J451" s="99">
        <v>4</v>
      </c>
      <c r="K451" s="101" t="str">
        <f t="shared" si="70"/>
        <v>21x18x4</v>
      </c>
      <c r="L451" s="102">
        <f t="shared" si="71"/>
        <v>10.877697841726619</v>
      </c>
      <c r="M451" s="113">
        <f t="shared" si="72"/>
        <v>10.877697841726619</v>
      </c>
      <c r="N451" s="113">
        <f t="shared" si="73"/>
        <v>11</v>
      </c>
      <c r="O451" s="99">
        <v>13.9375</v>
      </c>
      <c r="P451" s="113">
        <f t="shared" si="74"/>
        <v>14</v>
      </c>
      <c r="Q451" s="112">
        <f t="shared" si="75"/>
        <v>224</v>
      </c>
      <c r="R451" s="112" t="str">
        <f t="shared" si="76"/>
        <v>Oversize</v>
      </c>
      <c r="S451" s="99" t="str">
        <f t="shared" si="77"/>
        <v>Large bulky</v>
      </c>
      <c r="T451" s="116" t="s">
        <v>13692</v>
      </c>
      <c r="U451" s="116">
        <f t="shared" si="78"/>
        <v>0.875</v>
      </c>
      <c r="V451" s="116" t="s">
        <v>13583</v>
      </c>
      <c r="W451" s="116" t="s">
        <v>13690</v>
      </c>
      <c r="X451" s="116" t="s">
        <v>13691</v>
      </c>
      <c r="Y451" s="116">
        <v>2</v>
      </c>
      <c r="Z451" s="116">
        <v>3</v>
      </c>
      <c r="AA451" s="116">
        <v>1</v>
      </c>
      <c r="AB451" s="99"/>
      <c r="AC451" s="99"/>
      <c r="AD451" s="107">
        <v>0</v>
      </c>
      <c r="AE451" s="113">
        <f t="shared" si="79"/>
        <v>0</v>
      </c>
      <c r="AF451" s="116">
        <f>-IFERROR(IFERROR(VLOOKUP(ROUNDUP($Q451,0),'FBA FEES'!$L$2:$Q$203,MATCH($S451,'FBA FEES'!$L$2:$Q$2,0),FALSE),VLOOKUP(ROUNDUP($Q451,0),'FBA FEES'!$C$6:$F$123,MATCH($S451,'FBA FEES'!$C$6:$F$6,0),FALSE)),0)</f>
        <v>-14.55</v>
      </c>
      <c r="AG451" s="116">
        <v>-10</v>
      </c>
      <c r="AH451" s="113">
        <f t="shared" si="80"/>
        <v>-14.55</v>
      </c>
      <c r="AI451" s="116">
        <f>-IFERROR(IF($Y451=1,INDEX('[1]REMOVAL FEES'!$A$1:$C$22,MATCH(CONCATENATE("Standard Size",$P451),'[1]REMOVAL FEES'!$A$1:$A$22,0),3),IF($Y451=2,IF($P451&gt;10,(($P451-10)*1.06)+INDEX('[1]REMOVAL FEES'!$E$1:$G$22,MATCH(CONCATENATE("Large bulky, extra-large and special handling items",IF($P451&gt;=11,11,$P451)),'[1]REMOVAL FEES'!$E$1:$E$13,0),3),INDEX('[1]REMOVAL FEES'!$E$1:$G$22,MATCH(CONCATENATE("Large bulky, extra-large and special handling items",IF($P451&gt;=11,11,$P451)),'[1]REMOVAL FEES'!$E$1:$E$13,0),3))))*$AA451,FALSE)</f>
        <v>-18.560000000000002</v>
      </c>
      <c r="AJ451" s="107">
        <f t="shared" si="81"/>
        <v>-33.11</v>
      </c>
      <c r="AK451" s="107">
        <v>0</v>
      </c>
      <c r="AL451" s="107">
        <v>0</v>
      </c>
      <c r="AM451" s="107">
        <f t="shared" si="82"/>
        <v>0</v>
      </c>
      <c r="AN451" s="116">
        <f>(-IF($V451="Yes", IF($X451="Yes", VLOOKUP($W451, '[1]Storage Fees'!A:M, 13, FALSE), VLOOKUP($W451, '[1]Storage Fees'!A:M, 10, FALSE)), IF($X451="Yes", VLOOKUP($W451, '[1]Storage Fees'!A:M, 7, FALSE), VLOOKUP($W451, '[1]Storage Fees'!A:M, 4, FALSE))) * U451)*1.5</f>
        <v>-1.036875</v>
      </c>
    </row>
    <row r="452" spans="1:40" x14ac:dyDescent="0.25">
      <c r="A452" s="99">
        <v>380</v>
      </c>
      <c r="B452" s="99" t="s">
        <v>283</v>
      </c>
      <c r="C452" s="99" t="s">
        <v>13655</v>
      </c>
      <c r="D452" s="99" t="s">
        <v>823</v>
      </c>
      <c r="E452" s="99" t="s">
        <v>278</v>
      </c>
      <c r="F452" s="99" t="s">
        <v>995</v>
      </c>
      <c r="G452" s="99" t="s">
        <v>13695</v>
      </c>
      <c r="H452" s="99">
        <v>30</v>
      </c>
      <c r="I452" s="99">
        <v>4</v>
      </c>
      <c r="J452" s="99">
        <v>26</v>
      </c>
      <c r="K452" s="101" t="str">
        <f t="shared" si="70"/>
        <v>30x4x26</v>
      </c>
      <c r="L452" s="102">
        <f t="shared" si="71"/>
        <v>22.446043165467625</v>
      </c>
      <c r="M452" s="113">
        <f t="shared" si="72"/>
        <v>22.446043165467625</v>
      </c>
      <c r="N452" s="113">
        <f t="shared" si="73"/>
        <v>23</v>
      </c>
      <c r="O452" s="99">
        <v>19.0625</v>
      </c>
      <c r="P452" s="113">
        <f t="shared" si="74"/>
        <v>23</v>
      </c>
      <c r="Q452" s="112">
        <f t="shared" si="75"/>
        <v>368</v>
      </c>
      <c r="R452" s="112" t="str">
        <f t="shared" si="76"/>
        <v>Oversize</v>
      </c>
      <c r="S452" s="99" t="str">
        <f t="shared" si="77"/>
        <v>Large bulky</v>
      </c>
      <c r="T452" s="116" t="s">
        <v>13692</v>
      </c>
      <c r="U452" s="116">
        <f t="shared" si="78"/>
        <v>1.8055555555555556</v>
      </c>
      <c r="V452" s="116" t="s">
        <v>13583</v>
      </c>
      <c r="W452" s="116" t="s">
        <v>13690</v>
      </c>
      <c r="X452" s="116" t="s">
        <v>13691</v>
      </c>
      <c r="Y452" s="116">
        <v>2</v>
      </c>
      <c r="Z452" s="116">
        <v>3</v>
      </c>
      <c r="AA452" s="116">
        <v>1</v>
      </c>
      <c r="AB452" s="99"/>
      <c r="AC452" s="99"/>
      <c r="AD452" s="107">
        <v>0</v>
      </c>
      <c r="AE452" s="113">
        <f t="shared" si="79"/>
        <v>0</v>
      </c>
      <c r="AF452" s="116">
        <f>-IFERROR(IFERROR(VLOOKUP(ROUNDUP($Q452,0),'FBA FEES'!$L$2:$Q$203,MATCH($S452,'FBA FEES'!$L$2:$Q$2,0),FALSE),VLOOKUP(ROUNDUP($Q452,0),'FBA FEES'!$C$6:$F$123,MATCH($S452,'FBA FEES'!$C$6:$F$6,0),FALSE)),0)</f>
        <v>-17.97</v>
      </c>
      <c r="AG452" s="116">
        <v>-10</v>
      </c>
      <c r="AH452" s="113">
        <f t="shared" si="80"/>
        <v>-17.97</v>
      </c>
      <c r="AI452" s="116">
        <f>-IFERROR(IF($Y452=1,INDEX('[1]REMOVAL FEES'!$A$1:$C$22,MATCH(CONCATENATE("Standard Size",$P452),'[1]REMOVAL FEES'!$A$1:$A$22,0),3),IF($Y452=2,IF($P452&gt;10,(($P452-10)*1.06)+INDEX('[1]REMOVAL FEES'!$E$1:$G$22,MATCH(CONCATENATE("Large bulky, extra-large and special handling items",IF($P452&gt;=11,11,$P452)),'[1]REMOVAL FEES'!$E$1:$E$13,0),3),INDEX('[1]REMOVAL FEES'!$E$1:$G$22,MATCH(CONCATENATE("Large bulky, extra-large and special handling items",IF($P452&gt;=11,11,$P452)),'[1]REMOVAL FEES'!$E$1:$E$13,0),3))))*$AA452,FALSE)</f>
        <v>-28.1</v>
      </c>
      <c r="AJ452" s="107">
        <f t="shared" si="81"/>
        <v>-46.07</v>
      </c>
      <c r="AK452" s="107">
        <v>0</v>
      </c>
      <c r="AL452" s="107">
        <v>0</v>
      </c>
      <c r="AM452" s="107">
        <f t="shared" si="82"/>
        <v>0</v>
      </c>
      <c r="AN452" s="116">
        <f>(-IF($V452="Yes", IF($X452="Yes", VLOOKUP($W452, '[1]Storage Fees'!A:M, 13, FALSE), VLOOKUP($W452, '[1]Storage Fees'!A:M, 10, FALSE)), IF($X452="Yes", VLOOKUP($W452, '[1]Storage Fees'!A:M, 7, FALSE), VLOOKUP($W452, '[1]Storage Fees'!A:M, 4, FALSE))) * U452)*1.5</f>
        <v>-2.1395833333333334</v>
      </c>
    </row>
    <row r="453" spans="1:40" x14ac:dyDescent="0.25">
      <c r="A453" s="99">
        <v>381</v>
      </c>
      <c r="B453" s="99"/>
      <c r="C453" s="99" t="s">
        <v>13655</v>
      </c>
      <c r="D453" s="99"/>
      <c r="E453" s="99" t="s">
        <v>278</v>
      </c>
      <c r="F453" s="99" t="s">
        <v>1840</v>
      </c>
      <c r="G453" s="99" t="s">
        <v>13695</v>
      </c>
      <c r="H453" s="99">
        <v>0</v>
      </c>
      <c r="I453" s="99">
        <v>0</v>
      </c>
      <c r="J453" s="99">
        <v>0</v>
      </c>
      <c r="K453" s="101" t="str">
        <f t="shared" si="70"/>
        <v>0x0x0</v>
      </c>
      <c r="L453" s="102">
        <f t="shared" si="71"/>
        <v>0</v>
      </c>
      <c r="M453" s="113">
        <f t="shared" si="72"/>
        <v>0</v>
      </c>
      <c r="N453" s="113">
        <f t="shared" si="73"/>
        <v>0</v>
      </c>
      <c r="O453" s="99">
        <v>0</v>
      </c>
      <c r="P453" s="113">
        <f t="shared" si="74"/>
        <v>0</v>
      </c>
      <c r="Q453" s="112">
        <f t="shared" si="75"/>
        <v>0</v>
      </c>
      <c r="R453" s="112" t="str">
        <f t="shared" si="76"/>
        <v>Standard-size</v>
      </c>
      <c r="S453" s="99" t="str">
        <f t="shared" si="77"/>
        <v>Small standard-size</v>
      </c>
      <c r="T453" s="116" t="s">
        <v>13696</v>
      </c>
      <c r="U453" s="116">
        <f t="shared" si="78"/>
        <v>0</v>
      </c>
      <c r="V453" s="116" t="s">
        <v>13583</v>
      </c>
      <c r="W453" s="116" t="s">
        <v>13690</v>
      </c>
      <c r="X453" s="99" t="s">
        <v>13583</v>
      </c>
      <c r="Y453" s="99">
        <v>1</v>
      </c>
      <c r="Z453" s="99">
        <v>1</v>
      </c>
      <c r="AA453" s="99">
        <v>1</v>
      </c>
      <c r="AB453" s="99"/>
      <c r="AC453" s="99"/>
      <c r="AD453" s="107">
        <v>0</v>
      </c>
      <c r="AE453" s="113">
        <f t="shared" si="79"/>
        <v>0</v>
      </c>
      <c r="AF453" s="116">
        <f>-IFERROR(IFERROR(VLOOKUP(ROUNDUP($Q453,0),'FBA FEES'!$L$2:$Q$203,MATCH($S453,'FBA FEES'!$L$2:$Q$2,0),FALSE),VLOOKUP(ROUNDUP($Q453,0),'FBA FEES'!$C$6:$F$123,MATCH($S453,'FBA FEES'!$C$6:$F$6,0),FALSE)),0)</f>
        <v>0</v>
      </c>
      <c r="AG453" s="116">
        <v>-10</v>
      </c>
      <c r="AH453" s="113">
        <f t="shared" si="80"/>
        <v>0</v>
      </c>
      <c r="AI453" s="116">
        <f>-IFERROR(IF($Y453=1,INDEX('[1]REMOVAL FEES'!$A$1:$C$22,MATCH(CONCATENATE("Standard Size",$P453),'[1]REMOVAL FEES'!$A$1:$A$22,0),3),IF($Y453=2,IF($P453&gt;10,(($P453-10)*1.06)+INDEX('[1]REMOVAL FEES'!$E$1:$G$22,MATCH(CONCATENATE("Large bulky, extra-large and special handling items",IF($P453&gt;=11,11,$P453)),'[1]REMOVAL FEES'!$E$1:$E$13,0),3),INDEX('[1]REMOVAL FEES'!$E$1:$G$22,MATCH(CONCATENATE("Large bulky, extra-large and special handling items",IF($P453&gt;=11,11,$P453)),'[1]REMOVAL FEES'!$E$1:$E$13,0),3))))*$AA453,FALSE)</f>
        <v>0</v>
      </c>
      <c r="AJ453" s="107">
        <f t="shared" si="81"/>
        <v>0</v>
      </c>
      <c r="AK453" s="107">
        <v>0</v>
      </c>
      <c r="AL453" s="107">
        <v>0</v>
      </c>
      <c r="AM453" s="107">
        <f t="shared" si="82"/>
        <v>0</v>
      </c>
      <c r="AN453" s="116">
        <f>(-IF($V453="Yes", IF($X453="Yes", VLOOKUP($W453, '[1]Storage Fees'!A:M, 13, FALSE), VLOOKUP($W453, '[1]Storage Fees'!A:M, 10, FALSE)), IF($X453="Yes", VLOOKUP($W453, '[1]Storage Fees'!A:M, 7, FALSE), VLOOKUP($W453, '[1]Storage Fees'!A:M, 4, FALSE))) * U453)*1.5</f>
        <v>0</v>
      </c>
    </row>
    <row r="454" spans="1:40" x14ac:dyDescent="0.25">
      <c r="A454" s="99">
        <v>382</v>
      </c>
      <c r="B454" s="99"/>
      <c r="C454" s="99" t="s">
        <v>13655</v>
      </c>
      <c r="D454" s="99"/>
      <c r="E454" s="99" t="s">
        <v>278</v>
      </c>
      <c r="F454" s="99" t="s">
        <v>1842</v>
      </c>
      <c r="G454" s="99" t="s">
        <v>13695</v>
      </c>
      <c r="H454" s="99">
        <v>0</v>
      </c>
      <c r="I454" s="99">
        <v>0</v>
      </c>
      <c r="J454" s="99">
        <v>0</v>
      </c>
      <c r="K454" s="101" t="str">
        <f t="shared" si="70"/>
        <v>0x0x0</v>
      </c>
      <c r="L454" s="102">
        <f t="shared" si="71"/>
        <v>0</v>
      </c>
      <c r="M454" s="113">
        <f t="shared" si="72"/>
        <v>0</v>
      </c>
      <c r="N454" s="113">
        <f t="shared" si="73"/>
        <v>0</v>
      </c>
      <c r="O454" s="99">
        <v>0</v>
      </c>
      <c r="P454" s="113">
        <f t="shared" si="74"/>
        <v>0</v>
      </c>
      <c r="Q454" s="112">
        <f t="shared" si="75"/>
        <v>0</v>
      </c>
      <c r="R454" s="112" t="str">
        <f t="shared" si="76"/>
        <v>Standard-size</v>
      </c>
      <c r="S454" s="99" t="str">
        <f t="shared" si="77"/>
        <v>Small standard-size</v>
      </c>
      <c r="T454" s="116" t="s">
        <v>13696</v>
      </c>
      <c r="U454" s="116">
        <f t="shared" si="78"/>
        <v>0</v>
      </c>
      <c r="V454" s="116" t="s">
        <v>13583</v>
      </c>
      <c r="W454" s="116" t="s">
        <v>13690</v>
      </c>
      <c r="X454" s="99" t="s">
        <v>13583</v>
      </c>
      <c r="Y454" s="99">
        <v>1</v>
      </c>
      <c r="Z454" s="99">
        <v>1</v>
      </c>
      <c r="AA454" s="99">
        <v>1</v>
      </c>
      <c r="AB454" s="99"/>
      <c r="AC454" s="99"/>
      <c r="AD454" s="107">
        <v>0</v>
      </c>
      <c r="AE454" s="113">
        <f t="shared" si="79"/>
        <v>0</v>
      </c>
      <c r="AF454" s="116">
        <f>-IFERROR(IFERROR(VLOOKUP(ROUNDUP($Q454,0),'FBA FEES'!$L$2:$Q$203,MATCH($S454,'FBA FEES'!$L$2:$Q$2,0),FALSE),VLOOKUP(ROUNDUP($Q454,0),'FBA FEES'!$C$6:$F$123,MATCH($S454,'FBA FEES'!$C$6:$F$6,0),FALSE)),0)</f>
        <v>0</v>
      </c>
      <c r="AG454" s="116">
        <v>-10</v>
      </c>
      <c r="AH454" s="113">
        <f t="shared" si="80"/>
        <v>0</v>
      </c>
      <c r="AI454" s="116">
        <f>-IFERROR(IF($Y454=1,INDEX('[1]REMOVAL FEES'!$A$1:$C$22,MATCH(CONCATENATE("Standard Size",$P454),'[1]REMOVAL FEES'!$A$1:$A$22,0),3),IF($Y454=2,IF($P454&gt;10,(($P454-10)*1.06)+INDEX('[1]REMOVAL FEES'!$E$1:$G$22,MATCH(CONCATENATE("Large bulky, extra-large and special handling items",IF($P454&gt;=11,11,$P454)),'[1]REMOVAL FEES'!$E$1:$E$13,0),3),INDEX('[1]REMOVAL FEES'!$E$1:$G$22,MATCH(CONCATENATE("Large bulky, extra-large and special handling items",IF($P454&gt;=11,11,$P454)),'[1]REMOVAL FEES'!$E$1:$E$13,0),3))))*$AA454,FALSE)</f>
        <v>0</v>
      </c>
      <c r="AJ454" s="107">
        <f t="shared" si="81"/>
        <v>0</v>
      </c>
      <c r="AK454" s="107">
        <v>0</v>
      </c>
      <c r="AL454" s="107">
        <v>0</v>
      </c>
      <c r="AM454" s="107">
        <f t="shared" si="82"/>
        <v>0</v>
      </c>
      <c r="AN454" s="116">
        <f>(-IF($V454="Yes", IF($X454="Yes", VLOOKUP($W454, '[1]Storage Fees'!A:M, 13, FALSE), VLOOKUP($W454, '[1]Storage Fees'!A:M, 10, FALSE)), IF($X454="Yes", VLOOKUP($W454, '[1]Storage Fees'!A:M, 7, FALSE), VLOOKUP($W454, '[1]Storage Fees'!A:M, 4, FALSE))) * U454)*1.5</f>
        <v>0</v>
      </c>
    </row>
    <row r="455" spans="1:40" x14ac:dyDescent="0.25">
      <c r="A455" s="99">
        <v>383</v>
      </c>
      <c r="B455" s="99" t="s">
        <v>55</v>
      </c>
      <c r="C455" s="99" t="s">
        <v>13655</v>
      </c>
      <c r="D455" s="99" t="s">
        <v>718</v>
      </c>
      <c r="E455" s="99" t="s">
        <v>91</v>
      </c>
      <c r="F455" s="99" t="s">
        <v>998</v>
      </c>
      <c r="G455" s="99" t="s">
        <v>13695</v>
      </c>
      <c r="H455" s="99">
        <v>14</v>
      </c>
      <c r="I455" s="99">
        <v>12</v>
      </c>
      <c r="J455" s="99">
        <v>11</v>
      </c>
      <c r="K455" s="101" t="str">
        <f t="shared" si="70"/>
        <v>14x12x11</v>
      </c>
      <c r="L455" s="102">
        <f t="shared" si="71"/>
        <v>13.294964028776979</v>
      </c>
      <c r="M455" s="113">
        <f t="shared" si="72"/>
        <v>13.294964028776979</v>
      </c>
      <c r="N455" s="113">
        <f t="shared" si="73"/>
        <v>14</v>
      </c>
      <c r="O455" s="99">
        <v>47</v>
      </c>
      <c r="P455" s="113">
        <f t="shared" si="74"/>
        <v>47</v>
      </c>
      <c r="Q455" s="112">
        <f t="shared" si="75"/>
        <v>752</v>
      </c>
      <c r="R455" s="112" t="str">
        <f t="shared" si="76"/>
        <v>Oversize</v>
      </c>
      <c r="S455" s="99" t="str">
        <f t="shared" si="77"/>
        <v>Large bulky</v>
      </c>
      <c r="T455" s="116" t="s">
        <v>13694</v>
      </c>
      <c r="U455" s="116">
        <f t="shared" si="78"/>
        <v>1.0694444444444444</v>
      </c>
      <c r="V455" s="116" t="s">
        <v>13583</v>
      </c>
      <c r="W455" s="116" t="s">
        <v>13690</v>
      </c>
      <c r="X455" s="116" t="s">
        <v>13691</v>
      </c>
      <c r="Y455" s="116">
        <v>2</v>
      </c>
      <c r="Z455" s="116">
        <v>3</v>
      </c>
      <c r="AA455" s="116">
        <v>1</v>
      </c>
      <c r="AB455" s="99"/>
      <c r="AC455" s="99"/>
      <c r="AD455" s="107">
        <v>128.8471428571429</v>
      </c>
      <c r="AE455" s="113">
        <f t="shared" si="79"/>
        <v>-19.327071428571433</v>
      </c>
      <c r="AF455" s="116">
        <f>-IFERROR(IFERROR(VLOOKUP(ROUNDUP($Q455,0),'FBA FEES'!$L$2:$Q$203,MATCH($S455,'FBA FEES'!$L$2:$Q$2,0),FALSE),VLOOKUP(ROUNDUP($Q455,0),'FBA FEES'!$C$6:$F$123,MATCH($S455,'FBA FEES'!$C$6:$F$6,0),FALSE)),0)</f>
        <v>-27.09</v>
      </c>
      <c r="AG455" s="116">
        <v>-10</v>
      </c>
      <c r="AH455" s="113">
        <f t="shared" si="80"/>
        <v>-46.417071428571433</v>
      </c>
      <c r="AI455" s="116">
        <f>-IFERROR(IF($Y455=1,INDEX('[1]REMOVAL FEES'!$A$1:$C$22,MATCH(CONCATENATE("Standard Size",$P455),'[1]REMOVAL FEES'!$A$1:$A$22,0),3),IF($Y455=2,IF($P455&gt;10,(($P455-10)*1.06)+INDEX('[1]REMOVAL FEES'!$E$1:$G$22,MATCH(CONCATENATE("Large bulky, extra-large and special handling items",IF($P455&gt;=11,11,$P455)),'[1]REMOVAL FEES'!$E$1:$E$13,0),3),INDEX('[1]REMOVAL FEES'!$E$1:$G$22,MATCH(CONCATENATE("Large bulky, extra-large and special handling items",IF($P455&gt;=11,11,$P455)),'[1]REMOVAL FEES'!$E$1:$E$13,0),3))))*$AA455,FALSE)</f>
        <v>-53.54</v>
      </c>
      <c r="AJ455" s="107">
        <f t="shared" si="81"/>
        <v>-99.957071428571425</v>
      </c>
      <c r="AK455" s="107">
        <v>-53.73</v>
      </c>
      <c r="AL455" s="107">
        <v>-20.837499999999999</v>
      </c>
      <c r="AM455" s="107">
        <f t="shared" si="82"/>
        <v>-74.567499999999995</v>
      </c>
      <c r="AN455" s="116">
        <f>(-IF($V455="Yes", IF($X455="Yes", VLOOKUP($W455, '[1]Storage Fees'!A:M, 13, FALSE), VLOOKUP($W455, '[1]Storage Fees'!A:M, 10, FALSE)), IF($X455="Yes", VLOOKUP($W455, '[1]Storage Fees'!A:M, 7, FALSE), VLOOKUP($W455, '[1]Storage Fees'!A:M, 4, FALSE))) * U455)*1.5</f>
        <v>-1.2672916666666667</v>
      </c>
    </row>
    <row r="456" spans="1:40" x14ac:dyDescent="0.25">
      <c r="A456" s="99">
        <v>384</v>
      </c>
      <c r="B456" s="99"/>
      <c r="C456" s="99" t="s">
        <v>13655</v>
      </c>
      <c r="D456" s="99"/>
      <c r="E456" s="99" t="s">
        <v>282</v>
      </c>
      <c r="F456" s="99" t="s">
        <v>1844</v>
      </c>
      <c r="G456" s="99" t="s">
        <v>13695</v>
      </c>
      <c r="H456" s="99">
        <v>0</v>
      </c>
      <c r="I456" s="99">
        <v>0</v>
      </c>
      <c r="J456" s="99">
        <v>0</v>
      </c>
      <c r="K456" s="101" t="str">
        <f t="shared" si="70"/>
        <v>0x0x0</v>
      </c>
      <c r="L456" s="102">
        <f t="shared" si="71"/>
        <v>0</v>
      </c>
      <c r="M456" s="113">
        <f t="shared" si="72"/>
        <v>0</v>
      </c>
      <c r="N456" s="113">
        <f t="shared" si="73"/>
        <v>0</v>
      </c>
      <c r="O456" s="99">
        <v>0</v>
      </c>
      <c r="P456" s="113">
        <f t="shared" si="74"/>
        <v>0</v>
      </c>
      <c r="Q456" s="112">
        <f t="shared" si="75"/>
        <v>0</v>
      </c>
      <c r="R456" s="112" t="str">
        <f t="shared" si="76"/>
        <v>Standard-size</v>
      </c>
      <c r="S456" s="99" t="str">
        <f t="shared" si="77"/>
        <v>Small standard-size</v>
      </c>
      <c r="T456" s="116" t="s">
        <v>13696</v>
      </c>
      <c r="U456" s="116">
        <f t="shared" si="78"/>
        <v>0</v>
      </c>
      <c r="V456" s="116" t="s">
        <v>13583</v>
      </c>
      <c r="W456" s="116" t="s">
        <v>13690</v>
      </c>
      <c r="X456" s="99" t="s">
        <v>13583</v>
      </c>
      <c r="Y456" s="99">
        <v>1</v>
      </c>
      <c r="Z456" s="99">
        <v>1</v>
      </c>
      <c r="AA456" s="99">
        <v>1</v>
      </c>
      <c r="AB456" s="99"/>
      <c r="AC456" s="99"/>
      <c r="AD456" s="107">
        <v>0</v>
      </c>
      <c r="AE456" s="113">
        <f t="shared" si="79"/>
        <v>0</v>
      </c>
      <c r="AF456" s="116">
        <f>-IFERROR(IFERROR(VLOOKUP(ROUNDUP($Q456,0),'FBA FEES'!$L$2:$Q$203,MATCH($S456,'FBA FEES'!$L$2:$Q$2,0),FALSE),VLOOKUP(ROUNDUP($Q456,0),'FBA FEES'!$C$6:$F$123,MATCH($S456,'FBA FEES'!$C$6:$F$6,0),FALSE)),0)</f>
        <v>0</v>
      </c>
      <c r="AG456" s="116">
        <v>-10</v>
      </c>
      <c r="AH456" s="113">
        <f t="shared" si="80"/>
        <v>0</v>
      </c>
      <c r="AI456" s="116">
        <f>-IFERROR(IF($Y456=1,INDEX('[1]REMOVAL FEES'!$A$1:$C$22,MATCH(CONCATENATE("Standard Size",$P456),'[1]REMOVAL FEES'!$A$1:$A$22,0),3),IF($Y456=2,IF($P456&gt;10,(($P456-10)*1.06)+INDEX('[1]REMOVAL FEES'!$E$1:$G$22,MATCH(CONCATENATE("Large bulky, extra-large and special handling items",IF($P456&gt;=11,11,$P456)),'[1]REMOVAL FEES'!$E$1:$E$13,0),3),INDEX('[1]REMOVAL FEES'!$E$1:$G$22,MATCH(CONCATENATE("Large bulky, extra-large and special handling items",IF($P456&gt;=11,11,$P456)),'[1]REMOVAL FEES'!$E$1:$E$13,0),3))))*$AA456,FALSE)</f>
        <v>0</v>
      </c>
      <c r="AJ456" s="107">
        <f t="shared" si="81"/>
        <v>0</v>
      </c>
      <c r="AK456" s="107">
        <v>0</v>
      </c>
      <c r="AL456" s="107">
        <v>0</v>
      </c>
      <c r="AM456" s="107">
        <f t="shared" si="82"/>
        <v>0</v>
      </c>
      <c r="AN456" s="116">
        <f>(-IF($V456="Yes", IF($X456="Yes", VLOOKUP($W456, '[1]Storage Fees'!A:M, 13, FALSE), VLOOKUP($W456, '[1]Storage Fees'!A:M, 10, FALSE)), IF($X456="Yes", VLOOKUP($W456, '[1]Storage Fees'!A:M, 7, FALSE), VLOOKUP($W456, '[1]Storage Fees'!A:M, 4, FALSE))) * U456)*1.5</f>
        <v>0</v>
      </c>
    </row>
    <row r="457" spans="1:40" x14ac:dyDescent="0.25">
      <c r="A457" s="99">
        <v>385</v>
      </c>
      <c r="B457" s="99"/>
      <c r="C457" s="99" t="s">
        <v>13655</v>
      </c>
      <c r="D457" s="99"/>
      <c r="E457" s="99" t="s">
        <v>282</v>
      </c>
      <c r="F457" s="99" t="s">
        <v>1846</v>
      </c>
      <c r="G457" s="99" t="s">
        <v>13695</v>
      </c>
      <c r="H457" s="99">
        <v>0</v>
      </c>
      <c r="I457" s="99">
        <v>0</v>
      </c>
      <c r="J457" s="99">
        <v>0</v>
      </c>
      <c r="K457" s="101" t="str">
        <f t="shared" ref="K457:K520" si="83">H457&amp;"x"&amp;I457&amp;"x"&amp;J457</f>
        <v>0x0x0</v>
      </c>
      <c r="L457" s="102">
        <f t="shared" ref="L457:L520" si="84">(H457*I457*J457)/139</f>
        <v>0</v>
      </c>
      <c r="M457" s="113">
        <f t="shared" ref="M457:M520" si="85">(H457*I457*J457)/139</f>
        <v>0</v>
      </c>
      <c r="N457" s="113">
        <f t="shared" ref="N457:N520" si="86">IF(AND(M457&gt;0,M457&lt;=0.25),0.25,IF(AND(M457&gt;0.25,M457&lt;=0.5),0.5,IF(AND(M457&gt;0.5,M457&lt;=0.75),0.75,ROUNDUP(M457,0))))</f>
        <v>0</v>
      </c>
      <c r="O457" s="99">
        <v>0</v>
      </c>
      <c r="P457" s="113">
        <f t="shared" ref="P457:P520" si="87">ROUNDUP(MAX(L457,O457),0)</f>
        <v>0</v>
      </c>
      <c r="Q457" s="112">
        <f t="shared" ref="Q457:Q520" si="88">P457*16</f>
        <v>0</v>
      </c>
      <c r="R457" s="112" t="str">
        <f t="shared" ref="R457:R520" si="89">IF(RIGHT(S457,13)="standard-size","Standard-size","Oversize")</f>
        <v>Standard-size</v>
      </c>
      <c r="S457" s="99" t="str">
        <f t="shared" ref="S457:S520" si="90">IF(AND($P457&lt;=$J$50,$H457&lt;=$G$50,$I457&lt;=$H$50,$J457&lt;=$I$50),$A$50,IF(AND($P457&lt;=$J$51,$H457&lt;=$G$51,$I457&lt;=$H$51,$J457&lt;=$I$51),$A$51,IF(AND($H457&lt;=$G$52,$I457&lt;=$H$52,$J457&lt;=$I$52,$P457&lt;=$J$52),$A$52,IF(AND($P457&lt;=$J$53,OR(H$8&gt;$G$53,$I457&gt;$H$53,$J457&gt;$I$53)),$A$53,IF(AND($P457&gt;$J$53,$P457&lt;=$J$54),$A$54,IF(AND($P457&gt;$J$54,$P457&lt;=$J$55),$A$55,$A$56))))))</f>
        <v>Small standard-size</v>
      </c>
      <c r="T457" s="116" t="s">
        <v>13696</v>
      </c>
      <c r="U457" s="116">
        <f t="shared" ref="U457:U520" si="91">(H457*I457*J457)/1728</f>
        <v>0</v>
      </c>
      <c r="V457" s="116" t="s">
        <v>13583</v>
      </c>
      <c r="W457" s="116" t="s">
        <v>13690</v>
      </c>
      <c r="X457" s="99" t="s">
        <v>13583</v>
      </c>
      <c r="Y457" s="99">
        <v>1</v>
      </c>
      <c r="Z457" s="99">
        <v>1</v>
      </c>
      <c r="AA457" s="99">
        <v>1</v>
      </c>
      <c r="AB457" s="99"/>
      <c r="AC457" s="99"/>
      <c r="AD457" s="107">
        <v>0</v>
      </c>
      <c r="AE457" s="113">
        <f t="shared" ref="AE457:AE520" si="92">-AD457*0.15</f>
        <v>0</v>
      </c>
      <c r="AF457" s="116">
        <f>-IFERROR(IFERROR(VLOOKUP(ROUNDUP($Q457,0),'FBA FEES'!$L$2:$Q$203,MATCH($S457,'FBA FEES'!$L$2:$Q$2,0),FALSE),VLOOKUP(ROUNDUP($Q457,0),'FBA FEES'!$C$6:$F$123,MATCH($S457,'FBA FEES'!$C$6:$F$6,0),FALSE)),0)</f>
        <v>0</v>
      </c>
      <c r="AG457" s="116">
        <v>-10</v>
      </c>
      <c r="AH457" s="113">
        <f t="shared" ref="AH457:AH520" si="93">AE457+AF457</f>
        <v>0</v>
      </c>
      <c r="AI457" s="116">
        <f>-IFERROR(IF($Y457=1,INDEX('[1]REMOVAL FEES'!$A$1:$C$22,MATCH(CONCATENATE("Standard Size",$P457),'[1]REMOVAL FEES'!$A$1:$A$22,0),3),IF($Y457=2,IF($P457&gt;10,(($P457-10)*1.06)+INDEX('[1]REMOVAL FEES'!$E$1:$G$22,MATCH(CONCATENATE("Large bulky, extra-large and special handling items",IF($P457&gt;=11,11,$P457)),'[1]REMOVAL FEES'!$E$1:$E$13,0),3),INDEX('[1]REMOVAL FEES'!$E$1:$G$22,MATCH(CONCATENATE("Large bulky, extra-large and special handling items",IF($P457&gt;=11,11,$P457)),'[1]REMOVAL FEES'!$E$1:$E$13,0),3))))*$AA457,FALSE)</f>
        <v>0</v>
      </c>
      <c r="AJ457" s="107">
        <f t="shared" ref="AJ457:AJ520" si="94">AH457+AI457</f>
        <v>0</v>
      </c>
      <c r="AK457" s="107">
        <v>0</v>
      </c>
      <c r="AL457" s="107">
        <v>0</v>
      </c>
      <c r="AM457" s="107">
        <f t="shared" ref="AM457:AM520" si="95">AK457+AL457</f>
        <v>0</v>
      </c>
      <c r="AN457" s="116">
        <f>(-IF($V457="Yes", IF($X457="Yes", VLOOKUP($W457, '[1]Storage Fees'!A:M, 13, FALSE), VLOOKUP($W457, '[1]Storage Fees'!A:M, 10, FALSE)), IF($X457="Yes", VLOOKUP($W457, '[1]Storage Fees'!A:M, 7, FALSE), VLOOKUP($W457, '[1]Storage Fees'!A:M, 4, FALSE))) * U457)*1.5</f>
        <v>0</v>
      </c>
    </row>
    <row r="458" spans="1:40" x14ac:dyDescent="0.25">
      <c r="A458" s="99">
        <v>386</v>
      </c>
      <c r="B458" s="99" t="s">
        <v>13699</v>
      </c>
      <c r="C458" s="99" t="s">
        <v>13655</v>
      </c>
      <c r="D458" s="99" t="s">
        <v>1003</v>
      </c>
      <c r="E458" s="99" t="s">
        <v>278</v>
      </c>
      <c r="F458" s="99" t="s">
        <v>1001</v>
      </c>
      <c r="G458" s="99" t="s">
        <v>13695</v>
      </c>
      <c r="H458" s="99">
        <v>21</v>
      </c>
      <c r="I458" s="99">
        <v>14</v>
      </c>
      <c r="J458" s="99">
        <v>9</v>
      </c>
      <c r="K458" s="101" t="str">
        <f t="shared" si="83"/>
        <v>21x14x9</v>
      </c>
      <c r="L458" s="102">
        <f t="shared" si="84"/>
        <v>19.035971223021583</v>
      </c>
      <c r="M458" s="113">
        <f t="shared" si="85"/>
        <v>19.035971223021583</v>
      </c>
      <c r="N458" s="113">
        <f t="shared" si="86"/>
        <v>20</v>
      </c>
      <c r="O458" s="99">
        <v>25</v>
      </c>
      <c r="P458" s="113">
        <f t="shared" si="87"/>
        <v>25</v>
      </c>
      <c r="Q458" s="112">
        <f t="shared" si="88"/>
        <v>400</v>
      </c>
      <c r="R458" s="112" t="str">
        <f t="shared" si="89"/>
        <v>Oversize</v>
      </c>
      <c r="S458" s="99" t="str">
        <f t="shared" si="90"/>
        <v>Large bulky</v>
      </c>
      <c r="T458" s="116" t="s">
        <v>13692</v>
      </c>
      <c r="U458" s="116">
        <f t="shared" si="91"/>
        <v>1.53125</v>
      </c>
      <c r="V458" s="116" t="s">
        <v>13583</v>
      </c>
      <c r="W458" s="116" t="s">
        <v>13690</v>
      </c>
      <c r="X458" s="116" t="s">
        <v>13691</v>
      </c>
      <c r="Y458" s="116">
        <v>2</v>
      </c>
      <c r="Z458" s="116">
        <v>3</v>
      </c>
      <c r="AA458" s="116">
        <v>1</v>
      </c>
      <c r="AB458" s="99"/>
      <c r="AC458" s="99"/>
      <c r="AD458" s="107">
        <v>111.8575342465752</v>
      </c>
      <c r="AE458" s="113">
        <f t="shared" si="92"/>
        <v>-16.77863013698628</v>
      </c>
      <c r="AF458" s="116">
        <f>-IFERROR(IFERROR(VLOOKUP(ROUNDUP($Q458,0),'FBA FEES'!$L$2:$Q$203,MATCH($S458,'FBA FEES'!$L$2:$Q$2,0),FALSE),VLOOKUP(ROUNDUP($Q458,0),'FBA FEES'!$C$6:$F$123,MATCH($S458,'FBA FEES'!$C$6:$F$6,0),FALSE)),0)</f>
        <v>-18.73</v>
      </c>
      <c r="AG458" s="116">
        <v>-10</v>
      </c>
      <c r="AH458" s="113">
        <f t="shared" si="93"/>
        <v>-35.508630136986284</v>
      </c>
      <c r="AI458" s="116">
        <f>-IFERROR(IF($Y458=1,INDEX('[1]REMOVAL FEES'!$A$1:$C$22,MATCH(CONCATENATE("Standard Size",$P458),'[1]REMOVAL FEES'!$A$1:$A$22,0),3),IF($Y458=2,IF($P458&gt;10,(($P458-10)*1.06)+INDEX('[1]REMOVAL FEES'!$E$1:$G$22,MATCH(CONCATENATE("Large bulky, extra-large and special handling items",IF($P458&gt;=11,11,$P458)),'[1]REMOVAL FEES'!$E$1:$E$13,0),3),INDEX('[1]REMOVAL FEES'!$E$1:$G$22,MATCH(CONCATENATE("Large bulky, extra-large and special handling items",IF($P458&gt;=11,11,$P458)),'[1]REMOVAL FEES'!$E$1:$E$13,0),3))))*$AA458,FALSE)</f>
        <v>-30.22</v>
      </c>
      <c r="AJ458" s="107">
        <f t="shared" si="94"/>
        <v>-65.728630136986283</v>
      </c>
      <c r="AK458" s="107">
        <v>-46.287260273972578</v>
      </c>
      <c r="AL458" s="107">
        <v>-11.690071756894129</v>
      </c>
      <c r="AM458" s="107">
        <f t="shared" si="95"/>
        <v>-57.977332030866705</v>
      </c>
      <c r="AN458" s="116">
        <f>(-IF($V458="Yes", IF($X458="Yes", VLOOKUP($W458, '[1]Storage Fees'!A:M, 13, FALSE), VLOOKUP($W458, '[1]Storage Fees'!A:M, 10, FALSE)), IF($X458="Yes", VLOOKUP($W458, '[1]Storage Fees'!A:M, 7, FALSE), VLOOKUP($W458, '[1]Storage Fees'!A:M, 4, FALSE))) * U458)*1.5</f>
        <v>-1.8145312499999999</v>
      </c>
    </row>
    <row r="459" spans="1:40" x14ac:dyDescent="0.25">
      <c r="A459" s="99">
        <v>387</v>
      </c>
      <c r="B459" s="99" t="s">
        <v>13699</v>
      </c>
      <c r="C459" s="99" t="s">
        <v>13655</v>
      </c>
      <c r="D459" s="99" t="s">
        <v>1007</v>
      </c>
      <c r="E459" s="99" t="s">
        <v>278</v>
      </c>
      <c r="F459" s="99" t="s">
        <v>1005</v>
      </c>
      <c r="G459" s="99" t="s">
        <v>13695</v>
      </c>
      <c r="H459" s="99">
        <v>29</v>
      </c>
      <c r="I459" s="99">
        <v>16</v>
      </c>
      <c r="J459" s="99">
        <v>9</v>
      </c>
      <c r="K459" s="101" t="str">
        <f t="shared" si="83"/>
        <v>29x16x9</v>
      </c>
      <c r="L459" s="102">
        <f t="shared" si="84"/>
        <v>30.043165467625901</v>
      </c>
      <c r="M459" s="113">
        <f t="shared" si="85"/>
        <v>30.043165467625901</v>
      </c>
      <c r="N459" s="113">
        <f t="shared" si="86"/>
        <v>31</v>
      </c>
      <c r="O459" s="99">
        <v>36</v>
      </c>
      <c r="P459" s="113">
        <f t="shared" si="87"/>
        <v>36</v>
      </c>
      <c r="Q459" s="112">
        <f t="shared" si="88"/>
        <v>576</v>
      </c>
      <c r="R459" s="112" t="str">
        <f t="shared" si="89"/>
        <v>Oversize</v>
      </c>
      <c r="S459" s="99" t="str">
        <f t="shared" si="90"/>
        <v>Large bulky</v>
      </c>
      <c r="T459" s="116" t="s">
        <v>13694</v>
      </c>
      <c r="U459" s="116">
        <f t="shared" si="91"/>
        <v>2.4166666666666665</v>
      </c>
      <c r="V459" s="116" t="s">
        <v>13583</v>
      </c>
      <c r="W459" s="116" t="s">
        <v>13690</v>
      </c>
      <c r="X459" s="116" t="s">
        <v>13691</v>
      </c>
      <c r="Y459" s="116">
        <v>2</v>
      </c>
      <c r="Z459" s="116">
        <v>3</v>
      </c>
      <c r="AA459" s="116">
        <v>1</v>
      </c>
      <c r="AB459" s="99"/>
      <c r="AC459" s="99"/>
      <c r="AD459" s="107">
        <v>132.09364705882351</v>
      </c>
      <c r="AE459" s="113">
        <f t="shared" si="92"/>
        <v>-19.814047058823526</v>
      </c>
      <c r="AF459" s="116">
        <f>-IFERROR(IFERROR(VLOOKUP(ROUNDUP($Q459,0),'FBA FEES'!$L$2:$Q$203,MATCH($S459,'FBA FEES'!$L$2:$Q$2,0),FALSE),VLOOKUP(ROUNDUP($Q459,0),'FBA FEES'!$C$6:$F$123,MATCH($S459,'FBA FEES'!$C$6:$F$6,0),FALSE)),0)</f>
        <v>-22.91</v>
      </c>
      <c r="AG459" s="116">
        <v>-10</v>
      </c>
      <c r="AH459" s="113">
        <f t="shared" si="93"/>
        <v>-42.72404705882353</v>
      </c>
      <c r="AI459" s="116">
        <f>-IFERROR(IF($Y459=1,INDEX('[1]REMOVAL FEES'!$A$1:$C$22,MATCH(CONCATENATE("Standard Size",$P459),'[1]REMOVAL FEES'!$A$1:$A$22,0),3),IF($Y459=2,IF($P459&gt;10,(($P459-10)*1.06)+INDEX('[1]REMOVAL FEES'!$E$1:$G$22,MATCH(CONCATENATE("Large bulky, extra-large and special handling items",IF($P459&gt;=11,11,$P459)),'[1]REMOVAL FEES'!$E$1:$E$13,0),3),INDEX('[1]REMOVAL FEES'!$E$1:$G$22,MATCH(CONCATENATE("Large bulky, extra-large and special handling items",IF($P459&gt;=11,11,$P459)),'[1]REMOVAL FEES'!$E$1:$E$13,0),3))))*$AA459,FALSE)</f>
        <v>-41.88</v>
      </c>
      <c r="AJ459" s="107">
        <f t="shared" si="94"/>
        <v>-84.604047058823539</v>
      </c>
      <c r="AK459" s="107">
        <v>-61.720000000000013</v>
      </c>
      <c r="AL459" s="107">
        <v>-14.533647058823529</v>
      </c>
      <c r="AM459" s="107">
        <f t="shared" si="95"/>
        <v>-76.253647058823546</v>
      </c>
      <c r="AN459" s="116">
        <f>(-IF($V459="Yes", IF($X459="Yes", VLOOKUP($W459, '[1]Storage Fees'!A:M, 13, FALSE), VLOOKUP($W459, '[1]Storage Fees'!A:M, 10, FALSE)), IF($X459="Yes", VLOOKUP($W459, '[1]Storage Fees'!A:M, 7, FALSE), VLOOKUP($W459, '[1]Storage Fees'!A:M, 4, FALSE))) * U459)*1.5</f>
        <v>-2.86375</v>
      </c>
    </row>
    <row r="460" spans="1:40" x14ac:dyDescent="0.25">
      <c r="A460" s="99">
        <v>388</v>
      </c>
      <c r="B460" s="99" t="s">
        <v>13699</v>
      </c>
      <c r="C460" s="99" t="s">
        <v>13655</v>
      </c>
      <c r="D460" s="99" t="s">
        <v>1011</v>
      </c>
      <c r="E460" s="99" t="s">
        <v>278</v>
      </c>
      <c r="F460" s="99" t="s">
        <v>1009</v>
      </c>
      <c r="G460" s="99" t="s">
        <v>13695</v>
      </c>
      <c r="H460" s="99">
        <v>38</v>
      </c>
      <c r="I460" s="99">
        <v>15</v>
      </c>
      <c r="J460" s="99">
        <v>10</v>
      </c>
      <c r="K460" s="101" t="str">
        <f t="shared" si="83"/>
        <v>38x15x10</v>
      </c>
      <c r="L460" s="102">
        <f t="shared" si="84"/>
        <v>41.007194244604314</v>
      </c>
      <c r="M460" s="113">
        <f t="shared" si="85"/>
        <v>41.007194244604314</v>
      </c>
      <c r="N460" s="113">
        <f t="shared" si="86"/>
        <v>42</v>
      </c>
      <c r="O460" s="99">
        <v>48</v>
      </c>
      <c r="P460" s="113">
        <f t="shared" si="87"/>
        <v>48</v>
      </c>
      <c r="Q460" s="112">
        <f t="shared" si="88"/>
        <v>768</v>
      </c>
      <c r="R460" s="112" t="str">
        <f t="shared" si="89"/>
        <v>Oversize</v>
      </c>
      <c r="S460" s="99" t="str">
        <f t="shared" si="90"/>
        <v>Large bulky</v>
      </c>
      <c r="T460" s="116" t="s">
        <v>13694</v>
      </c>
      <c r="U460" s="116">
        <f t="shared" si="91"/>
        <v>3.2986111111111112</v>
      </c>
      <c r="V460" s="116" t="s">
        <v>13583</v>
      </c>
      <c r="W460" s="116" t="s">
        <v>13690</v>
      </c>
      <c r="X460" s="116" t="s">
        <v>13691</v>
      </c>
      <c r="Y460" s="116">
        <v>2</v>
      </c>
      <c r="Z460" s="116">
        <v>3</v>
      </c>
      <c r="AA460" s="116">
        <v>1</v>
      </c>
      <c r="AB460" s="99"/>
      <c r="AC460" s="99"/>
      <c r="AD460" s="107">
        <v>178.67413461538459</v>
      </c>
      <c r="AE460" s="113">
        <f t="shared" si="92"/>
        <v>-26.801120192307689</v>
      </c>
      <c r="AF460" s="116">
        <f>-IFERROR(IFERROR(VLOOKUP(ROUNDUP($Q460,0),'FBA FEES'!$L$2:$Q$203,MATCH($S460,'FBA FEES'!$L$2:$Q$2,0),FALSE),VLOOKUP(ROUNDUP($Q460,0),'FBA FEES'!$C$6:$F$123,MATCH($S460,'FBA FEES'!$C$6:$F$6,0),FALSE)),0)</f>
        <v>-27.47</v>
      </c>
      <c r="AG460" s="116">
        <v>-10</v>
      </c>
      <c r="AH460" s="113">
        <f t="shared" si="93"/>
        <v>-54.271120192307691</v>
      </c>
      <c r="AI460" s="116">
        <f>-IFERROR(IF($Y460=1,INDEX('[1]REMOVAL FEES'!$A$1:$C$22,MATCH(CONCATENATE("Standard Size",$P460),'[1]REMOVAL FEES'!$A$1:$A$22,0),3),IF($Y460=2,IF($P460&gt;10,(($P460-10)*1.06)+INDEX('[1]REMOVAL FEES'!$E$1:$G$22,MATCH(CONCATENATE("Large bulky, extra-large and special handling items",IF($P460&gt;=11,11,$P460)),'[1]REMOVAL FEES'!$E$1:$E$13,0),3),INDEX('[1]REMOVAL FEES'!$E$1:$G$22,MATCH(CONCATENATE("Large bulky, extra-large and special handling items",IF($P460&gt;=11,11,$P460)),'[1]REMOVAL FEES'!$E$1:$E$13,0),3))))*$AA460,FALSE)</f>
        <v>-54.6</v>
      </c>
      <c r="AJ460" s="107">
        <f t="shared" si="94"/>
        <v>-108.8711201923077</v>
      </c>
      <c r="AK460" s="107">
        <v>-84.128076923076904</v>
      </c>
      <c r="AL460" s="107">
        <v>-16.07528654418498</v>
      </c>
      <c r="AM460" s="107">
        <f t="shared" si="95"/>
        <v>-100.20336346726188</v>
      </c>
      <c r="AN460" s="116">
        <f>(-IF($V460="Yes", IF($X460="Yes", VLOOKUP($W460, '[1]Storage Fees'!A:M, 13, FALSE), VLOOKUP($W460, '[1]Storage Fees'!A:M, 10, FALSE)), IF($X460="Yes", VLOOKUP($W460, '[1]Storage Fees'!A:M, 7, FALSE), VLOOKUP($W460, '[1]Storage Fees'!A:M, 4, FALSE))) * U460)*1.5</f>
        <v>-3.908854166666667</v>
      </c>
    </row>
    <row r="461" spans="1:40" x14ac:dyDescent="0.25">
      <c r="A461" s="99">
        <v>389</v>
      </c>
      <c r="B461" s="99" t="s">
        <v>13699</v>
      </c>
      <c r="C461" s="99" t="s">
        <v>13655</v>
      </c>
      <c r="D461" s="99" t="s">
        <v>1016</v>
      </c>
      <c r="E461" s="99" t="s">
        <v>278</v>
      </c>
      <c r="F461" s="99" t="s">
        <v>1014</v>
      </c>
      <c r="G461" s="99" t="s">
        <v>13695</v>
      </c>
      <c r="H461" s="99">
        <v>44</v>
      </c>
      <c r="I461" s="99">
        <v>15</v>
      </c>
      <c r="J461" s="99">
        <v>14</v>
      </c>
      <c r="K461" s="101" t="str">
        <f t="shared" si="83"/>
        <v>44x15x14</v>
      </c>
      <c r="L461" s="102">
        <f t="shared" si="84"/>
        <v>66.474820143884898</v>
      </c>
      <c r="M461" s="113">
        <f t="shared" si="85"/>
        <v>66.474820143884898</v>
      </c>
      <c r="N461" s="113">
        <f t="shared" si="86"/>
        <v>67</v>
      </c>
      <c r="O461" s="99">
        <v>58</v>
      </c>
      <c r="P461" s="113">
        <f t="shared" si="87"/>
        <v>67</v>
      </c>
      <c r="Q461" s="112">
        <f t="shared" si="88"/>
        <v>1072</v>
      </c>
      <c r="R461" s="112" t="str">
        <f t="shared" si="89"/>
        <v>Oversize</v>
      </c>
      <c r="S461" s="99" t="str">
        <f t="shared" si="90"/>
        <v>Extra-large 50+ to 70 lb</v>
      </c>
      <c r="T461" s="116" t="s">
        <v>13689</v>
      </c>
      <c r="U461" s="116">
        <f t="shared" si="91"/>
        <v>5.3472222222222223</v>
      </c>
      <c r="V461" s="116" t="s">
        <v>13583</v>
      </c>
      <c r="W461" s="116" t="s">
        <v>13690</v>
      </c>
      <c r="X461" s="116" t="s">
        <v>13691</v>
      </c>
      <c r="Y461" s="116">
        <v>2</v>
      </c>
      <c r="Z461" s="116">
        <v>5</v>
      </c>
      <c r="AA461" s="116">
        <v>1</v>
      </c>
      <c r="AB461" s="99"/>
      <c r="AC461" s="99"/>
      <c r="AD461" s="107">
        <v>244.53306666666671</v>
      </c>
      <c r="AE461" s="113">
        <f t="shared" si="92"/>
        <v>-36.679960000000008</v>
      </c>
      <c r="AF461" s="116">
        <f>-IFERROR(IFERROR(VLOOKUP(ROUNDUP($Q461,0),'FBA FEES'!$L$2:$Q$203,MATCH($S461,'FBA FEES'!$L$2:$Q$2,0),FALSE),VLOOKUP(ROUNDUP($Q461,0),'FBA FEES'!$C$6:$F$123,MATCH($S461,'FBA FEES'!$C$6:$F$6,0),FALSE)),0)</f>
        <v>-52.12</v>
      </c>
      <c r="AG461" s="116">
        <v>-10</v>
      </c>
      <c r="AH461" s="113">
        <f t="shared" si="93"/>
        <v>-88.799959999999999</v>
      </c>
      <c r="AI461" s="116">
        <f>-IFERROR(IF($Y461=1,INDEX('[1]REMOVAL FEES'!$A$1:$C$22,MATCH(CONCATENATE("Standard Size",$P461),'[1]REMOVAL FEES'!$A$1:$A$22,0),3),IF($Y461=2,IF($P461&gt;10,(($P461-10)*1.06)+INDEX('[1]REMOVAL FEES'!$E$1:$G$22,MATCH(CONCATENATE("Large bulky, extra-large and special handling items",IF($P461&gt;=11,11,$P461)),'[1]REMOVAL FEES'!$E$1:$E$13,0),3),INDEX('[1]REMOVAL FEES'!$E$1:$G$22,MATCH(CONCATENATE("Large bulky, extra-large and special handling items",IF($P461&gt;=11,11,$P461)),'[1]REMOVAL FEES'!$E$1:$E$13,0),3))))*$AA461,FALSE)</f>
        <v>-74.740000000000009</v>
      </c>
      <c r="AJ461" s="107">
        <f t="shared" si="94"/>
        <v>-163.53996000000001</v>
      </c>
      <c r="AK461" s="107">
        <v>-102.7026666666667</v>
      </c>
      <c r="AL461" s="107">
        <v>-19.952409301346819</v>
      </c>
      <c r="AM461" s="107">
        <f t="shared" si="95"/>
        <v>-122.65507596801352</v>
      </c>
      <c r="AN461" s="116">
        <f>(-IF($V461="Yes", IF($X461="Yes", VLOOKUP($W461, '[1]Storage Fees'!A:M, 13, FALSE), VLOOKUP($W461, '[1]Storage Fees'!A:M, 10, FALSE)), IF($X461="Yes", VLOOKUP($W461, '[1]Storage Fees'!A:M, 7, FALSE), VLOOKUP($W461, '[1]Storage Fees'!A:M, 4, FALSE))) * U461)*1.5</f>
        <v>-6.3364583333333329</v>
      </c>
    </row>
    <row r="462" spans="1:40" x14ac:dyDescent="0.25">
      <c r="A462" s="99">
        <v>390</v>
      </c>
      <c r="B462" s="99" t="s">
        <v>107</v>
      </c>
      <c r="C462" s="99"/>
      <c r="D462" s="99"/>
      <c r="E462" s="99" t="s">
        <v>278</v>
      </c>
      <c r="F462" s="99" t="s">
        <v>338</v>
      </c>
      <c r="G462" s="99" t="s">
        <v>13695</v>
      </c>
      <c r="H462" s="99">
        <v>17</v>
      </c>
      <c r="I462" s="99">
        <v>7</v>
      </c>
      <c r="J462" s="99">
        <v>2</v>
      </c>
      <c r="K462" s="101" t="str">
        <f t="shared" si="83"/>
        <v>17x7x2</v>
      </c>
      <c r="L462" s="102">
        <f t="shared" si="84"/>
        <v>1.7122302158273381</v>
      </c>
      <c r="M462" s="113">
        <f t="shared" si="85"/>
        <v>1.7122302158273381</v>
      </c>
      <c r="N462" s="113">
        <f t="shared" si="86"/>
        <v>2</v>
      </c>
      <c r="O462" s="99">
        <v>26</v>
      </c>
      <c r="P462" s="113">
        <f t="shared" si="87"/>
        <v>26</v>
      </c>
      <c r="Q462" s="112">
        <f t="shared" si="88"/>
        <v>416</v>
      </c>
      <c r="R462" s="112" t="str">
        <f t="shared" si="89"/>
        <v>Oversize</v>
      </c>
      <c r="S462" s="99" t="str">
        <f t="shared" si="90"/>
        <v>Large bulky</v>
      </c>
      <c r="T462" s="116" t="s">
        <v>13692</v>
      </c>
      <c r="U462" s="116">
        <f t="shared" si="91"/>
        <v>0.13773148148148148</v>
      </c>
      <c r="V462" s="116" t="s">
        <v>13583</v>
      </c>
      <c r="W462" s="116" t="s">
        <v>13690</v>
      </c>
      <c r="X462" s="116" t="s">
        <v>13691</v>
      </c>
      <c r="Y462" s="116">
        <v>2</v>
      </c>
      <c r="Z462" s="116">
        <v>3</v>
      </c>
      <c r="AA462" s="116">
        <v>1</v>
      </c>
      <c r="AB462" s="99"/>
      <c r="AC462" s="99"/>
      <c r="AD462" s="107">
        <v>111.4615384615384</v>
      </c>
      <c r="AE462" s="113">
        <f t="shared" si="92"/>
        <v>-16.719230769230759</v>
      </c>
      <c r="AF462" s="116">
        <f>-IFERROR(IFERROR(VLOOKUP(ROUNDUP($Q462,0),'FBA FEES'!$L$2:$Q$203,MATCH($S462,'FBA FEES'!$L$2:$Q$2,0),FALSE),VLOOKUP(ROUNDUP($Q462,0),'FBA FEES'!$C$6:$F$123,MATCH($S462,'FBA FEES'!$C$6:$F$6,0),FALSE)),0)</f>
        <v>-19.11</v>
      </c>
      <c r="AG462" s="116">
        <v>-10</v>
      </c>
      <c r="AH462" s="113">
        <f t="shared" si="93"/>
        <v>-35.829230769230762</v>
      </c>
      <c r="AI462" s="116">
        <f>-IFERROR(IF($Y462=1,INDEX('[1]REMOVAL FEES'!$A$1:$C$22,MATCH(CONCATENATE("Standard Size",$P462),'[1]REMOVAL FEES'!$A$1:$A$22,0),3),IF($Y462=2,IF($P462&gt;10,(($P462-10)*1.06)+INDEX('[1]REMOVAL FEES'!$E$1:$G$22,MATCH(CONCATENATE("Large bulky, extra-large and special handling items",IF($P462&gt;=11,11,$P462)),'[1]REMOVAL FEES'!$E$1:$E$13,0),3),INDEX('[1]REMOVAL FEES'!$E$1:$G$22,MATCH(CONCATENATE("Large bulky, extra-large and special handling items",IF($P462&gt;=11,11,$P462)),'[1]REMOVAL FEES'!$E$1:$E$13,0),3))))*$AA462,FALSE)</f>
        <v>-31.28</v>
      </c>
      <c r="AJ462" s="107">
        <f t="shared" si="94"/>
        <v>-67.109230769230763</v>
      </c>
      <c r="AK462" s="107">
        <v>-40.642564102564108</v>
      </c>
      <c r="AL462" s="107">
        <v>-11.39526381766381</v>
      </c>
      <c r="AM462" s="107">
        <f t="shared" si="95"/>
        <v>-52.037827920227919</v>
      </c>
      <c r="AN462" s="116">
        <f>(-IF($V462="Yes", IF($X462="Yes", VLOOKUP($W462, '[1]Storage Fees'!A:M, 13, FALSE), VLOOKUP($W462, '[1]Storage Fees'!A:M, 10, FALSE)), IF($X462="Yes", VLOOKUP($W462, '[1]Storage Fees'!A:M, 7, FALSE), VLOOKUP($W462, '[1]Storage Fees'!A:M, 4, FALSE))) * U462)*1.5</f>
        <v>-0.16321180555555556</v>
      </c>
    </row>
    <row r="463" spans="1:40" x14ac:dyDescent="0.25">
      <c r="A463" s="99">
        <v>391</v>
      </c>
      <c r="B463" s="99" t="s">
        <v>107</v>
      </c>
      <c r="C463" s="99"/>
      <c r="D463" s="99"/>
      <c r="E463" s="99" t="s">
        <v>278</v>
      </c>
      <c r="F463" s="99" t="s">
        <v>340</v>
      </c>
      <c r="G463" s="99" t="s">
        <v>13695</v>
      </c>
      <c r="H463" s="99">
        <v>21</v>
      </c>
      <c r="I463" s="99">
        <v>7</v>
      </c>
      <c r="J463" s="99">
        <v>2</v>
      </c>
      <c r="K463" s="101" t="str">
        <f t="shared" si="83"/>
        <v>21x7x2</v>
      </c>
      <c r="L463" s="102">
        <f t="shared" si="84"/>
        <v>2.1151079136690649</v>
      </c>
      <c r="M463" s="113">
        <f t="shared" si="85"/>
        <v>2.1151079136690649</v>
      </c>
      <c r="N463" s="113">
        <f t="shared" si="86"/>
        <v>3</v>
      </c>
      <c r="O463" s="99">
        <v>30</v>
      </c>
      <c r="P463" s="113">
        <f t="shared" si="87"/>
        <v>30</v>
      </c>
      <c r="Q463" s="112">
        <f t="shared" si="88"/>
        <v>480</v>
      </c>
      <c r="R463" s="112" t="str">
        <f t="shared" si="89"/>
        <v>Oversize</v>
      </c>
      <c r="S463" s="99" t="str">
        <f t="shared" si="90"/>
        <v>Large bulky</v>
      </c>
      <c r="T463" s="116" t="s">
        <v>13692</v>
      </c>
      <c r="U463" s="116">
        <f t="shared" si="91"/>
        <v>0.1701388888888889</v>
      </c>
      <c r="V463" s="116" t="s">
        <v>13583</v>
      </c>
      <c r="W463" s="116" t="s">
        <v>13690</v>
      </c>
      <c r="X463" s="116" t="s">
        <v>13691</v>
      </c>
      <c r="Y463" s="116">
        <v>2</v>
      </c>
      <c r="Z463" s="116">
        <v>3</v>
      </c>
      <c r="AA463" s="116">
        <v>1</v>
      </c>
      <c r="AB463" s="99"/>
      <c r="AC463" s="99"/>
      <c r="AD463" s="107">
        <v>121.74317757009329</v>
      </c>
      <c r="AE463" s="113">
        <f t="shared" si="92"/>
        <v>-18.261476635513993</v>
      </c>
      <c r="AF463" s="116">
        <f>-IFERROR(IFERROR(VLOOKUP(ROUNDUP($Q463,0),'FBA FEES'!$L$2:$Q$203,MATCH($S463,'FBA FEES'!$L$2:$Q$2,0),FALSE),VLOOKUP(ROUNDUP($Q463,0),'FBA FEES'!$C$6:$F$123,MATCH($S463,'FBA FEES'!$C$6:$F$6,0),FALSE)),0)</f>
        <v>-20.63</v>
      </c>
      <c r="AG463" s="116">
        <v>-10</v>
      </c>
      <c r="AH463" s="113">
        <f t="shared" si="93"/>
        <v>-38.891476635513996</v>
      </c>
      <c r="AI463" s="116">
        <f>-IFERROR(IF($Y463=1,INDEX('[1]REMOVAL FEES'!$A$1:$C$22,MATCH(CONCATENATE("Standard Size",$P463),'[1]REMOVAL FEES'!$A$1:$A$22,0),3),IF($Y463=2,IF($P463&gt;10,(($P463-10)*1.06)+INDEX('[1]REMOVAL FEES'!$E$1:$G$22,MATCH(CONCATENATE("Large bulky, extra-large and special handling items",IF($P463&gt;=11,11,$P463)),'[1]REMOVAL FEES'!$E$1:$E$13,0),3),INDEX('[1]REMOVAL FEES'!$E$1:$G$22,MATCH(CONCATENATE("Large bulky, extra-large and special handling items",IF($P463&gt;=11,11,$P463)),'[1]REMOVAL FEES'!$E$1:$E$13,0),3))))*$AA463,FALSE)</f>
        <v>-35.520000000000003</v>
      </c>
      <c r="AJ463" s="107">
        <f t="shared" si="94"/>
        <v>-74.411476635513992</v>
      </c>
      <c r="AK463" s="107">
        <v>-47.948785046728887</v>
      </c>
      <c r="AL463" s="107">
        <v>-10.21394794335025</v>
      </c>
      <c r="AM463" s="107">
        <f t="shared" si="95"/>
        <v>-58.162732990079135</v>
      </c>
      <c r="AN463" s="116">
        <f>(-IF($V463="Yes", IF($X463="Yes", VLOOKUP($W463, '[1]Storage Fees'!A:M, 13, FALSE), VLOOKUP($W463, '[1]Storage Fees'!A:M, 10, FALSE)), IF($X463="Yes", VLOOKUP($W463, '[1]Storage Fees'!A:M, 7, FALSE), VLOOKUP($W463, '[1]Storage Fees'!A:M, 4, FALSE))) * U463)*1.5</f>
        <v>-0.20161458333333332</v>
      </c>
    </row>
    <row r="464" spans="1:40" x14ac:dyDescent="0.25">
      <c r="A464" s="99">
        <v>392</v>
      </c>
      <c r="B464" s="99" t="s">
        <v>107</v>
      </c>
      <c r="C464" s="99"/>
      <c r="D464" s="99"/>
      <c r="E464" s="99" t="s">
        <v>278</v>
      </c>
      <c r="F464" s="99" t="s">
        <v>342</v>
      </c>
      <c r="G464" s="99" t="s">
        <v>13656</v>
      </c>
      <c r="H464" s="99">
        <v>7</v>
      </c>
      <c r="I464" s="99">
        <v>5</v>
      </c>
      <c r="J464" s="99">
        <v>2</v>
      </c>
      <c r="K464" s="101" t="str">
        <f t="shared" si="83"/>
        <v>7x5x2</v>
      </c>
      <c r="L464" s="102">
        <f t="shared" si="84"/>
        <v>0.50359712230215825</v>
      </c>
      <c r="M464" s="113">
        <f t="shared" si="85"/>
        <v>0.50359712230215825</v>
      </c>
      <c r="N464" s="113">
        <f t="shared" si="86"/>
        <v>0.75</v>
      </c>
      <c r="O464" s="99">
        <v>6</v>
      </c>
      <c r="P464" s="113">
        <f t="shared" si="87"/>
        <v>6</v>
      </c>
      <c r="Q464" s="112">
        <f t="shared" si="88"/>
        <v>96</v>
      </c>
      <c r="R464" s="112" t="str">
        <f t="shared" si="89"/>
        <v>Standard-size</v>
      </c>
      <c r="S464" s="99" t="str">
        <f t="shared" si="90"/>
        <v>Large standard-size</v>
      </c>
      <c r="T464" s="116" t="s">
        <v>13693</v>
      </c>
      <c r="U464" s="116">
        <f t="shared" si="91"/>
        <v>4.0509259259259259E-2</v>
      </c>
      <c r="V464" s="116" t="s">
        <v>13583</v>
      </c>
      <c r="W464" s="116" t="s">
        <v>13690</v>
      </c>
      <c r="X464" s="99" t="s">
        <v>13583</v>
      </c>
      <c r="Y464" s="99">
        <v>1</v>
      </c>
      <c r="Z464" s="99">
        <v>2</v>
      </c>
      <c r="AA464" s="99">
        <v>1</v>
      </c>
      <c r="AB464" s="99"/>
      <c r="AC464" s="99"/>
      <c r="AD464" s="107">
        <v>36.732694677871059</v>
      </c>
      <c r="AE464" s="113">
        <f t="shared" si="92"/>
        <v>-5.5099042016806585</v>
      </c>
      <c r="AF464" s="116">
        <f>-IFERROR(IFERROR(VLOOKUP(ROUNDUP($Q464,0),'FBA FEES'!$L$2:$Q$203,MATCH($S464,'FBA FEES'!$L$2:$Q$2,0),FALSE),VLOOKUP(ROUNDUP($Q464,0),'FBA FEES'!$C$6:$F$123,MATCH($S464,'FBA FEES'!$C$6:$F$6,0),FALSE)),0)</f>
        <v>-7.88</v>
      </c>
      <c r="AG464" s="116">
        <v>-10</v>
      </c>
      <c r="AH464" s="113">
        <f t="shared" si="93"/>
        <v>-13.389904201680658</v>
      </c>
      <c r="AI464" s="116">
        <f>-IFERROR(IF($Y464=1,INDEX('[1]REMOVAL FEES'!$A$1:$C$22,MATCH(CONCATENATE("Standard Size",$P464),'[1]REMOVAL FEES'!$A$1:$A$22,0),3),IF($Y464=2,IF($P464&gt;10,(($P464-10)*1.06)+INDEX('[1]REMOVAL FEES'!$E$1:$G$22,MATCH(CONCATENATE("Large bulky, extra-large and special handling items",IF($P464&gt;=11,11,$P464)),'[1]REMOVAL FEES'!$E$1:$E$13,0),3),INDEX('[1]REMOVAL FEES'!$E$1:$G$22,MATCH(CONCATENATE("Large bulky, extra-large and special handling items",IF($P464&gt;=11,11,$P464)),'[1]REMOVAL FEES'!$E$1:$E$13,0),3))))*$AA464,FALSE)</f>
        <v>-7.1300000000000008</v>
      </c>
      <c r="AJ464" s="107">
        <f t="shared" si="94"/>
        <v>-20.51990420168066</v>
      </c>
      <c r="AK464" s="107">
        <v>-11.661764705882369</v>
      </c>
      <c r="AL464" s="107">
        <v>-1.7666752558166141</v>
      </c>
      <c r="AM464" s="107">
        <f t="shared" si="95"/>
        <v>-13.428439961698983</v>
      </c>
      <c r="AN464" s="116">
        <f>(-IF($V464="Yes", IF($X464="Yes", VLOOKUP($W464, '[1]Storage Fees'!A:M, 13, FALSE), VLOOKUP($W464, '[1]Storage Fees'!A:M, 10, FALSE)), IF($X464="Yes", VLOOKUP($W464, '[1]Storage Fees'!A:M, 7, FALSE), VLOOKUP($W464, '[1]Storage Fees'!A:M, 4, FALSE))) * U464)*1.5</f>
        <v>-7.4131944444444445E-2</v>
      </c>
    </row>
    <row r="465" spans="1:40" x14ac:dyDescent="0.25">
      <c r="A465" s="99">
        <v>393</v>
      </c>
      <c r="B465" s="99" t="s">
        <v>107</v>
      </c>
      <c r="C465" s="99"/>
      <c r="D465" s="99"/>
      <c r="E465" s="99" t="s">
        <v>278</v>
      </c>
      <c r="F465" s="99" t="s">
        <v>344</v>
      </c>
      <c r="G465" s="99" t="s">
        <v>13656</v>
      </c>
      <c r="H465" s="99">
        <v>6</v>
      </c>
      <c r="I465" s="99">
        <v>6</v>
      </c>
      <c r="J465" s="99">
        <v>3</v>
      </c>
      <c r="K465" s="101" t="str">
        <f t="shared" si="83"/>
        <v>6x6x3</v>
      </c>
      <c r="L465" s="102">
        <f t="shared" si="84"/>
        <v>0.7769784172661871</v>
      </c>
      <c r="M465" s="113">
        <f t="shared" si="85"/>
        <v>0.7769784172661871</v>
      </c>
      <c r="N465" s="113">
        <f t="shared" si="86"/>
        <v>1</v>
      </c>
      <c r="O465" s="99">
        <v>10</v>
      </c>
      <c r="P465" s="113">
        <f t="shared" si="87"/>
        <v>10</v>
      </c>
      <c r="Q465" s="112">
        <f t="shared" si="88"/>
        <v>160</v>
      </c>
      <c r="R465" s="112" t="str">
        <f t="shared" si="89"/>
        <v>Standard-size</v>
      </c>
      <c r="S465" s="99" t="str">
        <f t="shared" si="90"/>
        <v>Large standard-size</v>
      </c>
      <c r="T465" s="116" t="s">
        <v>13693</v>
      </c>
      <c r="U465" s="116">
        <f t="shared" si="91"/>
        <v>6.25E-2</v>
      </c>
      <c r="V465" s="116" t="s">
        <v>13583</v>
      </c>
      <c r="W465" s="116" t="s">
        <v>13690</v>
      </c>
      <c r="X465" s="99" t="s">
        <v>13583</v>
      </c>
      <c r="Y465" s="99">
        <v>1</v>
      </c>
      <c r="Z465" s="99">
        <v>2</v>
      </c>
      <c r="AA465" s="99">
        <v>1</v>
      </c>
      <c r="AB465" s="99"/>
      <c r="AC465" s="99"/>
      <c r="AD465" s="107">
        <v>46.697499999999913</v>
      </c>
      <c r="AE465" s="113">
        <f t="shared" si="92"/>
        <v>-7.0046249999999866</v>
      </c>
      <c r="AF465" s="116">
        <f>-IFERROR(IFERROR(VLOOKUP(ROUNDUP($Q465,0),'FBA FEES'!$L$2:$Q$203,MATCH($S465,'FBA FEES'!$L$2:$Q$2,0),FALSE),VLOOKUP(ROUNDUP($Q465,0),'FBA FEES'!$C$6:$F$123,MATCH($S465,'FBA FEES'!$C$6:$F$6,0),FALSE)),0)</f>
        <v>-9.16</v>
      </c>
      <c r="AG465" s="116">
        <v>-10</v>
      </c>
      <c r="AH465" s="113">
        <f t="shared" si="93"/>
        <v>-16.164624999999987</v>
      </c>
      <c r="AI465" s="116">
        <f>-IFERROR(IF($Y465=1,INDEX('[1]REMOVAL FEES'!$A$1:$C$22,MATCH(CONCATENATE("Standard Size",$P465),'[1]REMOVAL FEES'!$A$1:$A$22,0),3),IF($Y465=2,IF($P465&gt;10,(($P465-10)*1.06)+INDEX('[1]REMOVAL FEES'!$E$1:$G$22,MATCH(CONCATENATE("Large bulky, extra-large and special handling items",IF($P465&gt;=11,11,$P465)),'[1]REMOVAL FEES'!$E$1:$E$13,0),3),INDEX('[1]REMOVAL FEES'!$E$1:$G$22,MATCH(CONCATENATE("Large bulky, extra-large and special handling items",IF($P465&gt;=11,11,$P465)),'[1]REMOVAL FEES'!$E$1:$E$13,0),3))))*$AA465,FALSE)</f>
        <v>-11.370000000000001</v>
      </c>
      <c r="AJ465" s="107">
        <f t="shared" si="94"/>
        <v>-27.534624999999988</v>
      </c>
      <c r="AK465" s="107">
        <v>-18.277826086956509</v>
      </c>
      <c r="AL465" s="107">
        <v>-2.892180480072462</v>
      </c>
      <c r="AM465" s="107">
        <f t="shared" si="95"/>
        <v>-21.17000656702897</v>
      </c>
      <c r="AN465" s="116">
        <f>(-IF($V465="Yes", IF($X465="Yes", VLOOKUP($W465, '[1]Storage Fees'!A:M, 13, FALSE), VLOOKUP($W465, '[1]Storage Fees'!A:M, 10, FALSE)), IF($X465="Yes", VLOOKUP($W465, '[1]Storage Fees'!A:M, 7, FALSE), VLOOKUP($W465, '[1]Storage Fees'!A:M, 4, FALSE))) * U465)*1.5</f>
        <v>-0.114375</v>
      </c>
    </row>
    <row r="466" spans="1:40" x14ac:dyDescent="0.25">
      <c r="A466" s="99">
        <v>394</v>
      </c>
      <c r="B466" s="99" t="s">
        <v>107</v>
      </c>
      <c r="C466" s="99" t="s">
        <v>13655</v>
      </c>
      <c r="D466" s="99" t="s">
        <v>718</v>
      </c>
      <c r="E466" s="99" t="s">
        <v>869</v>
      </c>
      <c r="F466" s="99" t="s">
        <v>1018</v>
      </c>
      <c r="G466" s="99" t="s">
        <v>13656</v>
      </c>
      <c r="H466" s="99">
        <v>19</v>
      </c>
      <c r="I466" s="99">
        <v>10</v>
      </c>
      <c r="J466" s="99">
        <v>4</v>
      </c>
      <c r="K466" s="101" t="str">
        <f t="shared" si="83"/>
        <v>19x10x4</v>
      </c>
      <c r="L466" s="102">
        <f t="shared" si="84"/>
        <v>5.4676258992805753</v>
      </c>
      <c r="M466" s="113">
        <f t="shared" si="85"/>
        <v>5.4676258992805753</v>
      </c>
      <c r="N466" s="113">
        <f t="shared" si="86"/>
        <v>6</v>
      </c>
      <c r="O466" s="99">
        <v>5.5625</v>
      </c>
      <c r="P466" s="113">
        <f t="shared" si="87"/>
        <v>6</v>
      </c>
      <c r="Q466" s="112">
        <f t="shared" si="88"/>
        <v>96</v>
      </c>
      <c r="R466" s="112" t="str">
        <f t="shared" si="89"/>
        <v>Oversize</v>
      </c>
      <c r="S466" s="99" t="str">
        <f t="shared" si="90"/>
        <v>Large bulky</v>
      </c>
      <c r="T466" s="116" t="s">
        <v>13692</v>
      </c>
      <c r="U466" s="116">
        <f t="shared" si="91"/>
        <v>0.43981481481481483</v>
      </c>
      <c r="V466" s="116" t="s">
        <v>13583</v>
      </c>
      <c r="W466" s="116" t="s">
        <v>13690</v>
      </c>
      <c r="X466" s="116" t="s">
        <v>13691</v>
      </c>
      <c r="Y466" s="116">
        <v>2</v>
      </c>
      <c r="Z466" s="116">
        <v>3</v>
      </c>
      <c r="AA466" s="116">
        <v>1</v>
      </c>
      <c r="AB466" s="99"/>
      <c r="AC466" s="99"/>
      <c r="AD466" s="107">
        <v>36.369999999999997</v>
      </c>
      <c r="AE466" s="113">
        <f t="shared" si="92"/>
        <v>-5.4554999999999998</v>
      </c>
      <c r="AF466" s="116">
        <f>-IFERROR(IFERROR(VLOOKUP(ROUNDUP($Q466,0),'FBA FEES'!$L$2:$Q$203,MATCH($S466,'FBA FEES'!$L$2:$Q$2,0),FALSE),VLOOKUP(ROUNDUP($Q466,0),'FBA FEES'!$C$6:$F$123,MATCH($S466,'FBA FEES'!$C$6:$F$6,0),FALSE)),0)</f>
        <v>-11.51</v>
      </c>
      <c r="AG466" s="116">
        <v>-10</v>
      </c>
      <c r="AH466" s="113">
        <f t="shared" si="93"/>
        <v>-16.965499999999999</v>
      </c>
      <c r="AI466" s="116">
        <f>-IFERROR(IF($Y466=1,INDEX('[1]REMOVAL FEES'!$A$1:$C$22,MATCH(CONCATENATE("Standard Size",$P466),'[1]REMOVAL FEES'!$A$1:$A$22,0),3),IF($Y466=2,IF($P466&gt;10,(($P466-10)*1.06)+INDEX('[1]REMOVAL FEES'!$E$1:$G$22,MATCH(CONCATENATE("Large bulky, extra-large and special handling items",IF($P466&gt;=11,11,$P466)),'[1]REMOVAL FEES'!$E$1:$E$13,0),3),INDEX('[1]REMOVAL FEES'!$E$1:$G$22,MATCH(CONCATENATE("Large bulky, extra-large and special handling items",IF($P466&gt;=11,11,$P466)),'[1]REMOVAL FEES'!$E$1:$E$13,0),3))))*$AA466,FALSE)</f>
        <v>-10.039999999999999</v>
      </c>
      <c r="AJ466" s="107">
        <f t="shared" si="94"/>
        <v>-27.005499999999998</v>
      </c>
      <c r="AK466" s="107">
        <v>-11.69</v>
      </c>
      <c r="AL466" s="107">
        <v>-2.0828571428571432</v>
      </c>
      <c r="AM466" s="107">
        <f t="shared" si="95"/>
        <v>-13.772857142857143</v>
      </c>
      <c r="AN466" s="116">
        <f>(-IF($V466="Yes", IF($X466="Yes", VLOOKUP($W466, '[1]Storage Fees'!A:M, 13, FALSE), VLOOKUP($W466, '[1]Storage Fees'!A:M, 10, FALSE)), IF($X466="Yes", VLOOKUP($W466, '[1]Storage Fees'!A:M, 7, FALSE), VLOOKUP($W466, '[1]Storage Fees'!A:M, 4, FALSE))) * U466)*1.5</f>
        <v>-0.52118055555555554</v>
      </c>
    </row>
    <row r="467" spans="1:40" x14ac:dyDescent="0.25">
      <c r="A467" s="99">
        <v>395</v>
      </c>
      <c r="B467" s="99" t="s">
        <v>13702</v>
      </c>
      <c r="C467" s="99" t="s">
        <v>13655</v>
      </c>
      <c r="D467" s="99" t="s">
        <v>865</v>
      </c>
      <c r="E467" s="99" t="s">
        <v>148</v>
      </c>
      <c r="F467" s="99" t="s">
        <v>1021</v>
      </c>
      <c r="G467" s="99" t="s">
        <v>13695</v>
      </c>
      <c r="H467" s="99">
        <v>16</v>
      </c>
      <c r="I467" s="99">
        <v>11</v>
      </c>
      <c r="J467" s="99">
        <v>11</v>
      </c>
      <c r="K467" s="101" t="str">
        <f t="shared" si="83"/>
        <v>16x11x11</v>
      </c>
      <c r="L467" s="102">
        <f t="shared" si="84"/>
        <v>13.928057553956835</v>
      </c>
      <c r="M467" s="113">
        <f t="shared" si="85"/>
        <v>13.928057553956835</v>
      </c>
      <c r="N467" s="113">
        <f t="shared" si="86"/>
        <v>14</v>
      </c>
      <c r="O467" s="99">
        <v>16.4375</v>
      </c>
      <c r="P467" s="113">
        <f t="shared" si="87"/>
        <v>17</v>
      </c>
      <c r="Q467" s="112">
        <f t="shared" si="88"/>
        <v>272</v>
      </c>
      <c r="R467" s="112" t="str">
        <f t="shared" si="89"/>
        <v>Oversize</v>
      </c>
      <c r="S467" s="99" t="str">
        <f t="shared" si="90"/>
        <v>Large bulky</v>
      </c>
      <c r="T467" s="116" t="s">
        <v>13692</v>
      </c>
      <c r="U467" s="116">
        <f t="shared" si="91"/>
        <v>1.1203703703703705</v>
      </c>
      <c r="V467" s="116" t="s">
        <v>13583</v>
      </c>
      <c r="W467" s="116" t="s">
        <v>13690</v>
      </c>
      <c r="X467" s="116" t="s">
        <v>13691</v>
      </c>
      <c r="Y467" s="116">
        <v>2</v>
      </c>
      <c r="Z467" s="116">
        <v>3</v>
      </c>
      <c r="AA467" s="116">
        <v>1</v>
      </c>
      <c r="AB467" s="99"/>
      <c r="AC467" s="99"/>
      <c r="AD467" s="107">
        <v>0</v>
      </c>
      <c r="AE467" s="113">
        <f t="shared" si="92"/>
        <v>0</v>
      </c>
      <c r="AF467" s="116">
        <f>-IFERROR(IFERROR(VLOOKUP(ROUNDUP($Q467,0),'FBA FEES'!$L$2:$Q$203,MATCH($S467,'FBA FEES'!$L$2:$Q$2,0),FALSE),VLOOKUP(ROUNDUP($Q467,0),'FBA FEES'!$C$6:$F$123,MATCH($S467,'FBA FEES'!$C$6:$F$6,0),FALSE)),0)</f>
        <v>-15.69</v>
      </c>
      <c r="AG467" s="116">
        <v>-10</v>
      </c>
      <c r="AH467" s="113">
        <f t="shared" si="93"/>
        <v>-15.69</v>
      </c>
      <c r="AI467" s="116">
        <f>-IFERROR(IF($Y467=1,INDEX('[1]REMOVAL FEES'!$A$1:$C$22,MATCH(CONCATENATE("Standard Size",$P467),'[1]REMOVAL FEES'!$A$1:$A$22,0),3),IF($Y467=2,IF($P467&gt;10,(($P467-10)*1.06)+INDEX('[1]REMOVAL FEES'!$E$1:$G$22,MATCH(CONCATENATE("Large bulky, extra-large and special handling items",IF($P467&gt;=11,11,$P467)),'[1]REMOVAL FEES'!$E$1:$E$13,0),3),INDEX('[1]REMOVAL FEES'!$E$1:$G$22,MATCH(CONCATENATE("Large bulky, extra-large and special handling items",IF($P467&gt;=11,11,$P467)),'[1]REMOVAL FEES'!$E$1:$E$13,0),3))))*$AA467,FALSE)</f>
        <v>-21.740000000000002</v>
      </c>
      <c r="AJ467" s="107">
        <f t="shared" si="94"/>
        <v>-37.43</v>
      </c>
      <c r="AK467" s="107">
        <v>0</v>
      </c>
      <c r="AL467" s="107">
        <v>0</v>
      </c>
      <c r="AM467" s="107">
        <f t="shared" si="95"/>
        <v>0</v>
      </c>
      <c r="AN467" s="116">
        <f>(-IF($V467="Yes", IF($X467="Yes", VLOOKUP($W467, '[1]Storage Fees'!A:M, 13, FALSE), VLOOKUP($W467, '[1]Storage Fees'!A:M, 10, FALSE)), IF($X467="Yes", VLOOKUP($W467, '[1]Storage Fees'!A:M, 7, FALSE), VLOOKUP($W467, '[1]Storage Fees'!A:M, 4, FALSE))) * U467)*1.5</f>
        <v>-1.327638888888889</v>
      </c>
    </row>
    <row r="468" spans="1:40" x14ac:dyDescent="0.25">
      <c r="A468" s="99">
        <v>396</v>
      </c>
      <c r="B468" s="99" t="s">
        <v>13702</v>
      </c>
      <c r="C468" s="99" t="s">
        <v>13655</v>
      </c>
      <c r="D468" s="99" t="s">
        <v>718</v>
      </c>
      <c r="E468" s="99" t="s">
        <v>278</v>
      </c>
      <c r="F468" s="99" t="s">
        <v>1024</v>
      </c>
      <c r="G468" s="99" t="s">
        <v>13695</v>
      </c>
      <c r="H468" s="99">
        <v>33</v>
      </c>
      <c r="I468" s="99">
        <v>3</v>
      </c>
      <c r="J468" s="99">
        <v>2</v>
      </c>
      <c r="K468" s="101" t="str">
        <f t="shared" si="83"/>
        <v>33x3x2</v>
      </c>
      <c r="L468" s="102">
        <f t="shared" si="84"/>
        <v>1.4244604316546763</v>
      </c>
      <c r="M468" s="113">
        <f t="shared" si="85"/>
        <v>1.4244604316546763</v>
      </c>
      <c r="N468" s="113">
        <f t="shared" si="86"/>
        <v>2</v>
      </c>
      <c r="O468" s="99">
        <v>3</v>
      </c>
      <c r="P468" s="113">
        <f t="shared" si="87"/>
        <v>3</v>
      </c>
      <c r="Q468" s="112">
        <f t="shared" si="88"/>
        <v>48</v>
      </c>
      <c r="R468" s="112" t="str">
        <f t="shared" si="89"/>
        <v>Oversize</v>
      </c>
      <c r="S468" s="99" t="str">
        <f t="shared" si="90"/>
        <v>Large bulky</v>
      </c>
      <c r="T468" s="116" t="s">
        <v>13692</v>
      </c>
      <c r="U468" s="116">
        <f t="shared" si="91"/>
        <v>0.11458333333333333</v>
      </c>
      <c r="V468" s="116" t="s">
        <v>13583</v>
      </c>
      <c r="W468" s="116" t="s">
        <v>13690</v>
      </c>
      <c r="X468" s="116" t="s">
        <v>13691</v>
      </c>
      <c r="Y468" s="116">
        <v>2</v>
      </c>
      <c r="Z468" s="116">
        <v>3</v>
      </c>
      <c r="AA468" s="116">
        <v>1</v>
      </c>
      <c r="AB468" s="99"/>
      <c r="AC468" s="99"/>
      <c r="AD468" s="107">
        <v>0</v>
      </c>
      <c r="AE468" s="113">
        <f t="shared" si="92"/>
        <v>0</v>
      </c>
      <c r="AF468" s="116">
        <f>-IFERROR(IFERROR(VLOOKUP(ROUNDUP($Q468,0),'FBA FEES'!$L$2:$Q$203,MATCH($S468,'FBA FEES'!$L$2:$Q$2,0),FALSE),VLOOKUP(ROUNDUP($Q468,0),'FBA FEES'!$C$6:$F$123,MATCH($S468,'FBA FEES'!$C$6:$F$6,0),FALSE)),0)</f>
        <v>-10.37</v>
      </c>
      <c r="AG468" s="116">
        <v>-10</v>
      </c>
      <c r="AH468" s="113">
        <f t="shared" si="93"/>
        <v>-10.37</v>
      </c>
      <c r="AI468" s="116">
        <f>-IFERROR(IF($Y468=1,INDEX('[1]REMOVAL FEES'!$A$1:$C$22,MATCH(CONCATENATE("Standard Size",$P468),'[1]REMOVAL FEES'!$A$1:$A$22,0),3),IF($Y468=2,IF($P468&gt;10,(($P468-10)*1.06)+INDEX('[1]REMOVAL FEES'!$E$1:$G$22,MATCH(CONCATENATE("Large bulky, extra-large and special handling items",IF($P468&gt;=11,11,$P468)),'[1]REMOVAL FEES'!$E$1:$E$13,0),3),INDEX('[1]REMOVAL FEES'!$E$1:$G$22,MATCH(CONCATENATE("Large bulky, extra-large and special handling items",IF($P468&gt;=11,11,$P468)),'[1]REMOVAL FEES'!$E$1:$E$13,0),3))))*$AA468,FALSE)</f>
        <v>-6.36</v>
      </c>
      <c r="AJ468" s="107">
        <f t="shared" si="94"/>
        <v>-16.73</v>
      </c>
      <c r="AK468" s="107">
        <v>0</v>
      </c>
      <c r="AL468" s="107">
        <v>0</v>
      </c>
      <c r="AM468" s="107">
        <f t="shared" si="95"/>
        <v>0</v>
      </c>
      <c r="AN468" s="116">
        <f>(-IF($V468="Yes", IF($X468="Yes", VLOOKUP($W468, '[1]Storage Fees'!A:M, 13, FALSE), VLOOKUP($W468, '[1]Storage Fees'!A:M, 10, FALSE)), IF($X468="Yes", VLOOKUP($W468, '[1]Storage Fees'!A:M, 7, FALSE), VLOOKUP($W468, '[1]Storage Fees'!A:M, 4, FALSE))) * U468)*1.5</f>
        <v>-0.13578124999999999</v>
      </c>
    </row>
    <row r="469" spans="1:40" x14ac:dyDescent="0.25">
      <c r="A469" s="99">
        <v>397</v>
      </c>
      <c r="B469" s="99"/>
      <c r="C469" s="99" t="s">
        <v>13655</v>
      </c>
      <c r="D469" s="99"/>
      <c r="E469" s="99" t="s">
        <v>278</v>
      </c>
      <c r="F469" s="99" t="s">
        <v>1848</v>
      </c>
      <c r="G469" s="99" t="s">
        <v>13656</v>
      </c>
      <c r="H469" s="99">
        <v>0</v>
      </c>
      <c r="I469" s="99">
        <v>0</v>
      </c>
      <c r="J469" s="99">
        <v>0</v>
      </c>
      <c r="K469" s="101" t="str">
        <f t="shared" si="83"/>
        <v>0x0x0</v>
      </c>
      <c r="L469" s="102">
        <f t="shared" si="84"/>
        <v>0</v>
      </c>
      <c r="M469" s="113">
        <f t="shared" si="85"/>
        <v>0</v>
      </c>
      <c r="N469" s="113">
        <f t="shared" si="86"/>
        <v>0</v>
      </c>
      <c r="O469" s="99">
        <v>0</v>
      </c>
      <c r="P469" s="113">
        <f t="shared" si="87"/>
        <v>0</v>
      </c>
      <c r="Q469" s="112">
        <f t="shared" si="88"/>
        <v>0</v>
      </c>
      <c r="R469" s="112" t="str">
        <f t="shared" si="89"/>
        <v>Standard-size</v>
      </c>
      <c r="S469" s="99" t="str">
        <f t="shared" si="90"/>
        <v>Small standard-size</v>
      </c>
      <c r="T469" s="116" t="s">
        <v>13696</v>
      </c>
      <c r="U469" s="116">
        <f t="shared" si="91"/>
        <v>0</v>
      </c>
      <c r="V469" s="116" t="s">
        <v>13583</v>
      </c>
      <c r="W469" s="116" t="s">
        <v>13690</v>
      </c>
      <c r="X469" s="99" t="s">
        <v>13583</v>
      </c>
      <c r="Y469" s="99">
        <v>1</v>
      </c>
      <c r="Z469" s="99">
        <v>1</v>
      </c>
      <c r="AA469" s="99">
        <v>1</v>
      </c>
      <c r="AB469" s="99"/>
      <c r="AC469" s="99"/>
      <c r="AD469" s="107">
        <v>23.19</v>
      </c>
      <c r="AE469" s="113">
        <f t="shared" si="92"/>
        <v>-3.4784999999999999</v>
      </c>
      <c r="AF469" s="116">
        <f>-IFERROR(IFERROR(VLOOKUP(ROUNDUP($Q469,0),'FBA FEES'!$L$2:$Q$203,MATCH($S469,'FBA FEES'!$L$2:$Q$2,0),FALSE),VLOOKUP(ROUNDUP($Q469,0),'FBA FEES'!$C$6:$F$123,MATCH($S469,'FBA FEES'!$C$6:$F$6,0),FALSE)),0)</f>
        <v>0</v>
      </c>
      <c r="AG469" s="116">
        <v>-10</v>
      </c>
      <c r="AH469" s="113">
        <f t="shared" si="93"/>
        <v>-3.4784999999999999</v>
      </c>
      <c r="AI469" s="116">
        <f>-IFERROR(IF($Y469=1,INDEX('[1]REMOVAL FEES'!$A$1:$C$22,MATCH(CONCATENATE("Standard Size",$P469),'[1]REMOVAL FEES'!$A$1:$A$22,0),3),IF($Y469=2,IF($P469&gt;10,(($P469-10)*1.06)+INDEX('[1]REMOVAL FEES'!$E$1:$G$22,MATCH(CONCATENATE("Large bulky, extra-large and special handling items",IF($P469&gt;=11,11,$P469)),'[1]REMOVAL FEES'!$E$1:$E$13,0),3),INDEX('[1]REMOVAL FEES'!$E$1:$G$22,MATCH(CONCATENATE("Large bulky, extra-large and special handling items",IF($P469&gt;=11,11,$P469)),'[1]REMOVAL FEES'!$E$1:$E$13,0),3))))*$AA469,FALSE)</f>
        <v>0</v>
      </c>
      <c r="AJ469" s="107">
        <f t="shared" si="94"/>
        <v>-3.4784999999999999</v>
      </c>
      <c r="AK469" s="107">
        <v>-2.8679999999999999</v>
      </c>
      <c r="AL469" s="107">
        <v>-4.4773809523809529</v>
      </c>
      <c r="AM469" s="107">
        <f t="shared" si="95"/>
        <v>-7.3453809523809532</v>
      </c>
      <c r="AN469" s="116">
        <f>(-IF($V469="Yes", IF($X469="Yes", VLOOKUP($W469, '[1]Storage Fees'!A:M, 13, FALSE), VLOOKUP($W469, '[1]Storage Fees'!A:M, 10, FALSE)), IF($X469="Yes", VLOOKUP($W469, '[1]Storage Fees'!A:M, 7, FALSE), VLOOKUP($W469, '[1]Storage Fees'!A:M, 4, FALSE))) * U469)*1.5</f>
        <v>0</v>
      </c>
    </row>
    <row r="470" spans="1:40" x14ac:dyDescent="0.25">
      <c r="A470" s="99">
        <v>398</v>
      </c>
      <c r="B470" s="99"/>
      <c r="C470" s="99" t="s">
        <v>13655</v>
      </c>
      <c r="D470" s="99"/>
      <c r="E470" s="99" t="s">
        <v>278</v>
      </c>
      <c r="F470" s="99" t="s">
        <v>1850</v>
      </c>
      <c r="G470" s="99" t="s">
        <v>13695</v>
      </c>
      <c r="H470" s="99">
        <v>0</v>
      </c>
      <c r="I470" s="99">
        <v>0</v>
      </c>
      <c r="J470" s="99">
        <v>0</v>
      </c>
      <c r="K470" s="101" t="str">
        <f t="shared" si="83"/>
        <v>0x0x0</v>
      </c>
      <c r="L470" s="102">
        <f t="shared" si="84"/>
        <v>0</v>
      </c>
      <c r="M470" s="113">
        <f t="shared" si="85"/>
        <v>0</v>
      </c>
      <c r="N470" s="113">
        <f t="shared" si="86"/>
        <v>0</v>
      </c>
      <c r="O470" s="99">
        <v>0</v>
      </c>
      <c r="P470" s="113">
        <f t="shared" si="87"/>
        <v>0</v>
      </c>
      <c r="Q470" s="112">
        <f t="shared" si="88"/>
        <v>0</v>
      </c>
      <c r="R470" s="112" t="str">
        <f t="shared" si="89"/>
        <v>Standard-size</v>
      </c>
      <c r="S470" s="99" t="str">
        <f t="shared" si="90"/>
        <v>Small standard-size</v>
      </c>
      <c r="T470" s="116" t="s">
        <v>13696</v>
      </c>
      <c r="U470" s="116">
        <f t="shared" si="91"/>
        <v>0</v>
      </c>
      <c r="V470" s="116" t="s">
        <v>13583</v>
      </c>
      <c r="W470" s="116" t="s">
        <v>13690</v>
      </c>
      <c r="X470" s="99" t="s">
        <v>13583</v>
      </c>
      <c r="Y470" s="99">
        <v>1</v>
      </c>
      <c r="Z470" s="99">
        <v>1</v>
      </c>
      <c r="AA470" s="99">
        <v>1</v>
      </c>
      <c r="AB470" s="99"/>
      <c r="AC470" s="99"/>
      <c r="AD470" s="107">
        <v>0</v>
      </c>
      <c r="AE470" s="113">
        <f t="shared" si="92"/>
        <v>0</v>
      </c>
      <c r="AF470" s="116">
        <f>-IFERROR(IFERROR(VLOOKUP(ROUNDUP($Q470,0),'FBA FEES'!$L$2:$Q$203,MATCH($S470,'FBA FEES'!$L$2:$Q$2,0),FALSE),VLOOKUP(ROUNDUP($Q470,0),'FBA FEES'!$C$6:$F$123,MATCH($S470,'FBA FEES'!$C$6:$F$6,0),FALSE)),0)</f>
        <v>0</v>
      </c>
      <c r="AG470" s="116">
        <v>-10</v>
      </c>
      <c r="AH470" s="113">
        <f t="shared" si="93"/>
        <v>0</v>
      </c>
      <c r="AI470" s="116">
        <f>-IFERROR(IF($Y470=1,INDEX('[1]REMOVAL FEES'!$A$1:$C$22,MATCH(CONCATENATE("Standard Size",$P470),'[1]REMOVAL FEES'!$A$1:$A$22,0),3),IF($Y470=2,IF($P470&gt;10,(($P470-10)*1.06)+INDEX('[1]REMOVAL FEES'!$E$1:$G$22,MATCH(CONCATENATE("Large bulky, extra-large and special handling items",IF($P470&gt;=11,11,$P470)),'[1]REMOVAL FEES'!$E$1:$E$13,0),3),INDEX('[1]REMOVAL FEES'!$E$1:$G$22,MATCH(CONCATENATE("Large bulky, extra-large and special handling items",IF($P470&gt;=11,11,$P470)),'[1]REMOVAL FEES'!$E$1:$E$13,0),3))))*$AA470,FALSE)</f>
        <v>0</v>
      </c>
      <c r="AJ470" s="107">
        <f t="shared" si="94"/>
        <v>0</v>
      </c>
      <c r="AK470" s="107">
        <v>0</v>
      </c>
      <c r="AL470" s="107">
        <v>0</v>
      </c>
      <c r="AM470" s="107">
        <f t="shared" si="95"/>
        <v>0</v>
      </c>
      <c r="AN470" s="116">
        <f>(-IF($V470="Yes", IF($X470="Yes", VLOOKUP($W470, '[1]Storage Fees'!A:M, 13, FALSE), VLOOKUP($W470, '[1]Storage Fees'!A:M, 10, FALSE)), IF($X470="Yes", VLOOKUP($W470, '[1]Storage Fees'!A:M, 7, FALSE), VLOOKUP($W470, '[1]Storage Fees'!A:M, 4, FALSE))) * U470)*1.5</f>
        <v>0</v>
      </c>
    </row>
    <row r="471" spans="1:40" x14ac:dyDescent="0.25">
      <c r="A471" s="99">
        <v>399</v>
      </c>
      <c r="B471" s="99" t="s">
        <v>102</v>
      </c>
      <c r="C471" s="99" t="s">
        <v>13655</v>
      </c>
      <c r="D471" s="99"/>
      <c r="E471" s="99" t="s">
        <v>148</v>
      </c>
      <c r="F471" s="99" t="s">
        <v>1027</v>
      </c>
      <c r="G471" s="99" t="s">
        <v>13695</v>
      </c>
      <c r="H471" s="99">
        <v>12</v>
      </c>
      <c r="I471" s="99">
        <v>13</v>
      </c>
      <c r="J471" s="99">
        <v>4</v>
      </c>
      <c r="K471" s="101" t="str">
        <f t="shared" si="83"/>
        <v>12x13x4</v>
      </c>
      <c r="L471" s="102">
        <f t="shared" si="84"/>
        <v>4.4892086330935248</v>
      </c>
      <c r="M471" s="113">
        <f t="shared" si="85"/>
        <v>4.4892086330935248</v>
      </c>
      <c r="N471" s="113">
        <f t="shared" si="86"/>
        <v>5</v>
      </c>
      <c r="O471" s="99">
        <v>15.8125</v>
      </c>
      <c r="P471" s="113">
        <f t="shared" si="87"/>
        <v>16</v>
      </c>
      <c r="Q471" s="112">
        <f t="shared" si="88"/>
        <v>256</v>
      </c>
      <c r="R471" s="112" t="str">
        <f t="shared" si="89"/>
        <v>Standard-size</v>
      </c>
      <c r="S471" s="99" t="str">
        <f t="shared" si="90"/>
        <v>Large standard-size</v>
      </c>
      <c r="T471" s="116" t="s">
        <v>13693</v>
      </c>
      <c r="U471" s="116">
        <f t="shared" si="91"/>
        <v>0.3611111111111111</v>
      </c>
      <c r="V471" s="116" t="s">
        <v>13583</v>
      </c>
      <c r="W471" s="116" t="s">
        <v>13690</v>
      </c>
      <c r="X471" s="99" t="s">
        <v>13583</v>
      </c>
      <c r="Y471" s="99">
        <v>1</v>
      </c>
      <c r="Z471" s="99">
        <v>2</v>
      </c>
      <c r="AA471" s="99">
        <v>1</v>
      </c>
      <c r="AB471" s="99"/>
      <c r="AC471" s="99"/>
      <c r="AD471" s="107">
        <v>0</v>
      </c>
      <c r="AE471" s="113">
        <f t="shared" si="92"/>
        <v>0</v>
      </c>
      <c r="AF471" s="116">
        <f>-IFERROR(IFERROR(VLOOKUP(ROUNDUP($Q471,0),'FBA FEES'!$L$2:$Q$203,MATCH($S471,'FBA FEES'!$L$2:$Q$2,0),FALSE),VLOOKUP(ROUNDUP($Q471,0),'FBA FEES'!$C$6:$F$123,MATCH($S471,'FBA FEES'!$C$6:$F$6,0),FALSE)),0)</f>
        <v>-11.08</v>
      </c>
      <c r="AG471" s="116">
        <v>-10</v>
      </c>
      <c r="AH471" s="113">
        <f t="shared" si="93"/>
        <v>-11.08</v>
      </c>
      <c r="AI471" s="116">
        <f>-IFERROR(IF($Y471=1,INDEX('[1]REMOVAL FEES'!$A$1:$C$22,MATCH(CONCATENATE("Standard Size",$P471),'[1]REMOVAL FEES'!$A$1:$A$22,0),3),IF($Y471=2,IF($P471&gt;10,(($P471-10)*1.06)+INDEX('[1]REMOVAL FEES'!$E$1:$G$22,MATCH(CONCATENATE("Large bulky, extra-large and special handling items",IF($P471&gt;=11,11,$P471)),'[1]REMOVAL FEES'!$E$1:$E$13,0),3),INDEX('[1]REMOVAL FEES'!$E$1:$G$22,MATCH(CONCATENATE("Large bulky, extra-large and special handling items",IF($P471&gt;=11,11,$P471)),'[1]REMOVAL FEES'!$E$1:$E$13,0),3))))*$AA471,FALSE)</f>
        <v>-17.73</v>
      </c>
      <c r="AJ471" s="107">
        <f t="shared" si="94"/>
        <v>-28.810000000000002</v>
      </c>
      <c r="AK471" s="107">
        <v>0</v>
      </c>
      <c r="AL471" s="107">
        <v>0</v>
      </c>
      <c r="AM471" s="107">
        <f t="shared" si="95"/>
        <v>0</v>
      </c>
      <c r="AN471" s="116">
        <f>(-IF($V471="Yes", IF($X471="Yes", VLOOKUP($W471, '[1]Storage Fees'!A:M, 13, FALSE), VLOOKUP($W471, '[1]Storage Fees'!A:M, 10, FALSE)), IF($X471="Yes", VLOOKUP($W471, '[1]Storage Fees'!A:M, 7, FALSE), VLOOKUP($W471, '[1]Storage Fees'!A:M, 4, FALSE))) * U471)*1.5</f>
        <v>-0.66083333333333327</v>
      </c>
    </row>
    <row r="472" spans="1:40" x14ac:dyDescent="0.25">
      <c r="A472" s="99">
        <v>400</v>
      </c>
      <c r="B472" s="99" t="s">
        <v>102</v>
      </c>
      <c r="C472" s="99" t="s">
        <v>13655</v>
      </c>
      <c r="D472" s="99"/>
      <c r="E472" s="99" t="s">
        <v>148</v>
      </c>
      <c r="F472" s="99" t="s">
        <v>1030</v>
      </c>
      <c r="G472" s="99" t="s">
        <v>13695</v>
      </c>
      <c r="H472" s="99">
        <v>12</v>
      </c>
      <c r="I472" s="99">
        <v>12</v>
      </c>
      <c r="J472" s="99">
        <v>6</v>
      </c>
      <c r="K472" s="101" t="str">
        <f t="shared" si="83"/>
        <v>12x12x6</v>
      </c>
      <c r="L472" s="102">
        <f t="shared" si="84"/>
        <v>6.2158273381294968</v>
      </c>
      <c r="M472" s="113">
        <f t="shared" si="85"/>
        <v>6.2158273381294968</v>
      </c>
      <c r="N472" s="113">
        <f t="shared" si="86"/>
        <v>7</v>
      </c>
      <c r="O472" s="99">
        <v>21.3125</v>
      </c>
      <c r="P472" s="113">
        <f t="shared" si="87"/>
        <v>22</v>
      </c>
      <c r="Q472" s="112">
        <f t="shared" si="88"/>
        <v>352</v>
      </c>
      <c r="R472" s="112" t="str">
        <f t="shared" si="89"/>
        <v>Oversize</v>
      </c>
      <c r="S472" s="99" t="str">
        <f t="shared" si="90"/>
        <v>Large bulky</v>
      </c>
      <c r="T472" s="116" t="s">
        <v>13692</v>
      </c>
      <c r="U472" s="116">
        <f t="shared" si="91"/>
        <v>0.5</v>
      </c>
      <c r="V472" s="116" t="s">
        <v>13583</v>
      </c>
      <c r="W472" s="116" t="s">
        <v>13690</v>
      </c>
      <c r="X472" s="116" t="s">
        <v>13691</v>
      </c>
      <c r="Y472" s="116">
        <v>2</v>
      </c>
      <c r="Z472" s="116">
        <v>3</v>
      </c>
      <c r="AA472" s="116">
        <v>1</v>
      </c>
      <c r="AB472" s="99"/>
      <c r="AC472" s="99"/>
      <c r="AD472" s="107">
        <v>0</v>
      </c>
      <c r="AE472" s="113">
        <f t="shared" si="92"/>
        <v>0</v>
      </c>
      <c r="AF472" s="116">
        <f>-IFERROR(IFERROR(VLOOKUP(ROUNDUP($Q472,0),'FBA FEES'!$L$2:$Q$203,MATCH($S472,'FBA FEES'!$L$2:$Q$2,0),FALSE),VLOOKUP(ROUNDUP($Q472,0),'FBA FEES'!$C$6:$F$123,MATCH($S472,'FBA FEES'!$C$6:$F$6,0),FALSE)),0)</f>
        <v>-17.59</v>
      </c>
      <c r="AG472" s="116">
        <v>-10</v>
      </c>
      <c r="AH472" s="113">
        <f t="shared" si="93"/>
        <v>-17.59</v>
      </c>
      <c r="AI472" s="116">
        <f>-IFERROR(IF($Y472=1,INDEX('[1]REMOVAL FEES'!$A$1:$C$22,MATCH(CONCATENATE("Standard Size",$P472),'[1]REMOVAL FEES'!$A$1:$A$22,0),3),IF($Y472=2,IF($P472&gt;10,(($P472-10)*1.06)+INDEX('[1]REMOVAL FEES'!$E$1:$G$22,MATCH(CONCATENATE("Large bulky, extra-large and special handling items",IF($P472&gt;=11,11,$P472)),'[1]REMOVAL FEES'!$E$1:$E$13,0),3),INDEX('[1]REMOVAL FEES'!$E$1:$G$22,MATCH(CONCATENATE("Large bulky, extra-large and special handling items",IF($P472&gt;=11,11,$P472)),'[1]REMOVAL FEES'!$E$1:$E$13,0),3))))*$AA472,FALSE)</f>
        <v>-27.04</v>
      </c>
      <c r="AJ472" s="107">
        <f t="shared" si="94"/>
        <v>-44.629999999999995</v>
      </c>
      <c r="AK472" s="107">
        <v>0</v>
      </c>
      <c r="AL472" s="107">
        <v>0</v>
      </c>
      <c r="AM472" s="107">
        <f t="shared" si="95"/>
        <v>0</v>
      </c>
      <c r="AN472" s="116">
        <f>(-IF($V472="Yes", IF($X472="Yes", VLOOKUP($W472, '[1]Storage Fees'!A:M, 13, FALSE), VLOOKUP($W472, '[1]Storage Fees'!A:M, 10, FALSE)), IF($X472="Yes", VLOOKUP($W472, '[1]Storage Fees'!A:M, 7, FALSE), VLOOKUP($W472, '[1]Storage Fees'!A:M, 4, FALSE))) * U472)*1.5</f>
        <v>-0.59250000000000003</v>
      </c>
    </row>
    <row r="473" spans="1:40" x14ac:dyDescent="0.25">
      <c r="A473" s="99">
        <v>401</v>
      </c>
      <c r="B473" s="99" t="s">
        <v>13705</v>
      </c>
      <c r="C473" s="99" t="s">
        <v>13655</v>
      </c>
      <c r="D473" s="99" t="s">
        <v>714</v>
      </c>
      <c r="E473" s="99" t="s">
        <v>278</v>
      </c>
      <c r="F473" s="99" t="s">
        <v>1033</v>
      </c>
      <c r="G473" s="99" t="s">
        <v>13695</v>
      </c>
      <c r="H473" s="99">
        <v>13</v>
      </c>
      <c r="I473" s="99">
        <v>11.5</v>
      </c>
      <c r="J473" s="99">
        <v>3.5</v>
      </c>
      <c r="K473" s="101" t="str">
        <f t="shared" si="83"/>
        <v>13x11.5x3.5</v>
      </c>
      <c r="L473" s="102">
        <f t="shared" si="84"/>
        <v>3.764388489208633</v>
      </c>
      <c r="M473" s="113">
        <f t="shared" si="85"/>
        <v>3.764388489208633</v>
      </c>
      <c r="N473" s="113">
        <f t="shared" si="86"/>
        <v>4</v>
      </c>
      <c r="O473" s="99">
        <v>31.75</v>
      </c>
      <c r="P473" s="113">
        <f t="shared" si="87"/>
        <v>32</v>
      </c>
      <c r="Q473" s="112">
        <f t="shared" si="88"/>
        <v>512</v>
      </c>
      <c r="R473" s="112" t="str">
        <f t="shared" si="89"/>
        <v>Oversize</v>
      </c>
      <c r="S473" s="99" t="str">
        <f t="shared" si="90"/>
        <v>Large bulky</v>
      </c>
      <c r="T473" s="116" t="s">
        <v>13694</v>
      </c>
      <c r="U473" s="116">
        <f t="shared" si="91"/>
        <v>0.30280671296296297</v>
      </c>
      <c r="V473" s="116" t="s">
        <v>13583</v>
      </c>
      <c r="W473" s="116" t="s">
        <v>13690</v>
      </c>
      <c r="X473" s="116" t="s">
        <v>13691</v>
      </c>
      <c r="Y473" s="116">
        <v>2</v>
      </c>
      <c r="Z473" s="116">
        <v>3</v>
      </c>
      <c r="AA473" s="116">
        <v>1</v>
      </c>
      <c r="AB473" s="99"/>
      <c r="AC473" s="99"/>
      <c r="AD473" s="107">
        <v>0</v>
      </c>
      <c r="AE473" s="113">
        <f t="shared" si="92"/>
        <v>0</v>
      </c>
      <c r="AF473" s="116">
        <f>-IFERROR(IFERROR(VLOOKUP(ROUNDUP($Q473,0),'FBA FEES'!$L$2:$Q$203,MATCH($S473,'FBA FEES'!$L$2:$Q$2,0),FALSE),VLOOKUP(ROUNDUP($Q473,0),'FBA FEES'!$C$6:$F$123,MATCH($S473,'FBA FEES'!$C$6:$F$6,0),FALSE)),0)</f>
        <v>-21.39</v>
      </c>
      <c r="AG473" s="116">
        <v>-10</v>
      </c>
      <c r="AH473" s="113">
        <f t="shared" si="93"/>
        <v>-21.39</v>
      </c>
      <c r="AI473" s="116">
        <f>-IFERROR(IF($Y473=1,INDEX('[1]REMOVAL FEES'!$A$1:$C$22,MATCH(CONCATENATE("Standard Size",$P473),'[1]REMOVAL FEES'!$A$1:$A$22,0),3),IF($Y473=2,IF($P473&gt;10,(($P473-10)*1.06)+INDEX('[1]REMOVAL FEES'!$E$1:$G$22,MATCH(CONCATENATE("Large bulky, extra-large and special handling items",IF($P473&gt;=11,11,$P473)),'[1]REMOVAL FEES'!$E$1:$E$13,0),3),INDEX('[1]REMOVAL FEES'!$E$1:$G$22,MATCH(CONCATENATE("Large bulky, extra-large and special handling items",IF($P473&gt;=11,11,$P473)),'[1]REMOVAL FEES'!$E$1:$E$13,0),3))))*$AA473,FALSE)</f>
        <v>-37.64</v>
      </c>
      <c r="AJ473" s="107">
        <f t="shared" si="94"/>
        <v>-59.03</v>
      </c>
      <c r="AK473" s="107">
        <v>0</v>
      </c>
      <c r="AL473" s="107">
        <v>0</v>
      </c>
      <c r="AM473" s="107">
        <f t="shared" si="95"/>
        <v>0</v>
      </c>
      <c r="AN473" s="116">
        <f>(-IF($V473="Yes", IF($X473="Yes", VLOOKUP($W473, '[1]Storage Fees'!A:M, 13, FALSE), VLOOKUP($W473, '[1]Storage Fees'!A:M, 10, FALSE)), IF($X473="Yes", VLOOKUP($W473, '[1]Storage Fees'!A:M, 7, FALSE), VLOOKUP($W473, '[1]Storage Fees'!A:M, 4, FALSE))) * U473)*1.5</f>
        <v>-0.35882595486111113</v>
      </c>
    </row>
    <row r="474" spans="1:40" x14ac:dyDescent="0.25">
      <c r="A474" s="99">
        <v>402</v>
      </c>
      <c r="B474" s="99"/>
      <c r="C474" s="99" t="s">
        <v>13655</v>
      </c>
      <c r="D474" s="99"/>
      <c r="E474" s="99" t="s">
        <v>278</v>
      </c>
      <c r="F474" s="99" t="s">
        <v>1852</v>
      </c>
      <c r="G474" s="99" t="s">
        <v>13695</v>
      </c>
      <c r="H474" s="99">
        <v>0</v>
      </c>
      <c r="I474" s="99">
        <v>0</v>
      </c>
      <c r="J474" s="99">
        <v>0</v>
      </c>
      <c r="K474" s="101" t="str">
        <f t="shared" si="83"/>
        <v>0x0x0</v>
      </c>
      <c r="L474" s="102">
        <f t="shared" si="84"/>
        <v>0</v>
      </c>
      <c r="M474" s="113">
        <f t="shared" si="85"/>
        <v>0</v>
      </c>
      <c r="N474" s="113">
        <f t="shared" si="86"/>
        <v>0</v>
      </c>
      <c r="O474" s="99">
        <v>0</v>
      </c>
      <c r="P474" s="113">
        <f t="shared" si="87"/>
        <v>0</v>
      </c>
      <c r="Q474" s="112">
        <f t="shared" si="88"/>
        <v>0</v>
      </c>
      <c r="R474" s="112" t="str">
        <f t="shared" si="89"/>
        <v>Standard-size</v>
      </c>
      <c r="S474" s="99" t="str">
        <f t="shared" si="90"/>
        <v>Small standard-size</v>
      </c>
      <c r="T474" s="116" t="s">
        <v>13696</v>
      </c>
      <c r="U474" s="116">
        <f t="shared" si="91"/>
        <v>0</v>
      </c>
      <c r="V474" s="116" t="s">
        <v>13583</v>
      </c>
      <c r="W474" s="116" t="s">
        <v>13690</v>
      </c>
      <c r="X474" s="99" t="s">
        <v>13583</v>
      </c>
      <c r="Y474" s="99">
        <v>1</v>
      </c>
      <c r="Z474" s="99">
        <v>1</v>
      </c>
      <c r="AA474" s="99">
        <v>1</v>
      </c>
      <c r="AB474" s="99"/>
      <c r="AC474" s="99"/>
      <c r="AD474" s="107">
        <v>0</v>
      </c>
      <c r="AE474" s="113">
        <f t="shared" si="92"/>
        <v>0</v>
      </c>
      <c r="AF474" s="116">
        <f>-IFERROR(IFERROR(VLOOKUP(ROUNDUP($Q474,0),'FBA FEES'!$L$2:$Q$203,MATCH($S474,'FBA FEES'!$L$2:$Q$2,0),FALSE),VLOOKUP(ROUNDUP($Q474,0),'FBA FEES'!$C$6:$F$123,MATCH($S474,'FBA FEES'!$C$6:$F$6,0),FALSE)),0)</f>
        <v>0</v>
      </c>
      <c r="AG474" s="116">
        <v>-10</v>
      </c>
      <c r="AH474" s="113">
        <f t="shared" si="93"/>
        <v>0</v>
      </c>
      <c r="AI474" s="116">
        <f>-IFERROR(IF($Y474=1,INDEX('[1]REMOVAL FEES'!$A$1:$C$22,MATCH(CONCATENATE("Standard Size",$P474),'[1]REMOVAL FEES'!$A$1:$A$22,0),3),IF($Y474=2,IF($P474&gt;10,(($P474-10)*1.06)+INDEX('[1]REMOVAL FEES'!$E$1:$G$22,MATCH(CONCATENATE("Large bulky, extra-large and special handling items",IF($P474&gt;=11,11,$P474)),'[1]REMOVAL FEES'!$E$1:$E$13,0),3),INDEX('[1]REMOVAL FEES'!$E$1:$G$22,MATCH(CONCATENATE("Large bulky, extra-large and special handling items",IF($P474&gt;=11,11,$P474)),'[1]REMOVAL FEES'!$E$1:$E$13,0),3))))*$AA474,FALSE)</f>
        <v>0</v>
      </c>
      <c r="AJ474" s="107">
        <f t="shared" si="94"/>
        <v>0</v>
      </c>
      <c r="AK474" s="107">
        <v>0</v>
      </c>
      <c r="AL474" s="107">
        <v>0</v>
      </c>
      <c r="AM474" s="107">
        <f t="shared" si="95"/>
        <v>0</v>
      </c>
      <c r="AN474" s="116">
        <f>(-IF($V474="Yes", IF($X474="Yes", VLOOKUP($W474, '[1]Storage Fees'!A:M, 13, FALSE), VLOOKUP($W474, '[1]Storage Fees'!A:M, 10, FALSE)), IF($X474="Yes", VLOOKUP($W474, '[1]Storage Fees'!A:M, 7, FALSE), VLOOKUP($W474, '[1]Storage Fees'!A:M, 4, FALSE))) * U474)*1.5</f>
        <v>0</v>
      </c>
    </row>
    <row r="475" spans="1:40" x14ac:dyDescent="0.25">
      <c r="A475" s="99">
        <v>403</v>
      </c>
      <c r="B475" s="99"/>
      <c r="C475" s="99" t="s">
        <v>13655</v>
      </c>
      <c r="D475" s="99"/>
      <c r="E475" s="99" t="s">
        <v>278</v>
      </c>
      <c r="F475" s="99" t="s">
        <v>1854</v>
      </c>
      <c r="G475" s="99" t="s">
        <v>13695</v>
      </c>
      <c r="H475" s="99">
        <v>0</v>
      </c>
      <c r="I475" s="99">
        <v>0</v>
      </c>
      <c r="J475" s="99">
        <v>0</v>
      </c>
      <c r="K475" s="101" t="str">
        <f t="shared" si="83"/>
        <v>0x0x0</v>
      </c>
      <c r="L475" s="102">
        <f t="shared" si="84"/>
        <v>0</v>
      </c>
      <c r="M475" s="113">
        <f t="shared" si="85"/>
        <v>0</v>
      </c>
      <c r="N475" s="113">
        <f t="shared" si="86"/>
        <v>0</v>
      </c>
      <c r="O475" s="99">
        <v>0</v>
      </c>
      <c r="P475" s="113">
        <f t="shared" si="87"/>
        <v>0</v>
      </c>
      <c r="Q475" s="112">
        <f t="shared" si="88"/>
        <v>0</v>
      </c>
      <c r="R475" s="112" t="str">
        <f t="shared" si="89"/>
        <v>Standard-size</v>
      </c>
      <c r="S475" s="99" t="str">
        <f t="shared" si="90"/>
        <v>Small standard-size</v>
      </c>
      <c r="T475" s="116" t="s">
        <v>13696</v>
      </c>
      <c r="U475" s="116">
        <f t="shared" si="91"/>
        <v>0</v>
      </c>
      <c r="V475" s="116" t="s">
        <v>13583</v>
      </c>
      <c r="W475" s="116" t="s">
        <v>13690</v>
      </c>
      <c r="X475" s="99" t="s">
        <v>13583</v>
      </c>
      <c r="Y475" s="99">
        <v>1</v>
      </c>
      <c r="Z475" s="99">
        <v>1</v>
      </c>
      <c r="AA475" s="99">
        <v>1</v>
      </c>
      <c r="AB475" s="99"/>
      <c r="AC475" s="99"/>
      <c r="AD475" s="107">
        <v>0</v>
      </c>
      <c r="AE475" s="113">
        <f t="shared" si="92"/>
        <v>0</v>
      </c>
      <c r="AF475" s="116">
        <f>-IFERROR(IFERROR(VLOOKUP(ROUNDUP($Q475,0),'FBA FEES'!$L$2:$Q$203,MATCH($S475,'FBA FEES'!$L$2:$Q$2,0),FALSE),VLOOKUP(ROUNDUP($Q475,0),'FBA FEES'!$C$6:$F$123,MATCH($S475,'FBA FEES'!$C$6:$F$6,0),FALSE)),0)</f>
        <v>0</v>
      </c>
      <c r="AG475" s="116">
        <v>-10</v>
      </c>
      <c r="AH475" s="113">
        <f t="shared" si="93"/>
        <v>0</v>
      </c>
      <c r="AI475" s="116">
        <f>-IFERROR(IF($Y475=1,INDEX('[1]REMOVAL FEES'!$A$1:$C$22,MATCH(CONCATENATE("Standard Size",$P475),'[1]REMOVAL FEES'!$A$1:$A$22,0),3),IF($Y475=2,IF($P475&gt;10,(($P475-10)*1.06)+INDEX('[1]REMOVAL FEES'!$E$1:$G$22,MATCH(CONCATENATE("Large bulky, extra-large and special handling items",IF($P475&gt;=11,11,$P475)),'[1]REMOVAL FEES'!$E$1:$E$13,0),3),INDEX('[1]REMOVAL FEES'!$E$1:$G$22,MATCH(CONCATENATE("Large bulky, extra-large and special handling items",IF($P475&gt;=11,11,$P475)),'[1]REMOVAL FEES'!$E$1:$E$13,0),3))))*$AA475,FALSE)</f>
        <v>0</v>
      </c>
      <c r="AJ475" s="107">
        <f t="shared" si="94"/>
        <v>0</v>
      </c>
      <c r="AK475" s="107">
        <v>0</v>
      </c>
      <c r="AL475" s="107">
        <v>0</v>
      </c>
      <c r="AM475" s="107">
        <f t="shared" si="95"/>
        <v>0</v>
      </c>
      <c r="AN475" s="116">
        <f>(-IF($V475="Yes", IF($X475="Yes", VLOOKUP($W475, '[1]Storage Fees'!A:M, 13, FALSE), VLOOKUP($W475, '[1]Storage Fees'!A:M, 10, FALSE)), IF($X475="Yes", VLOOKUP($W475, '[1]Storage Fees'!A:M, 7, FALSE), VLOOKUP($W475, '[1]Storage Fees'!A:M, 4, FALSE))) * U475)*1.5</f>
        <v>0</v>
      </c>
    </row>
    <row r="476" spans="1:40" x14ac:dyDescent="0.25">
      <c r="A476" s="99">
        <v>404</v>
      </c>
      <c r="B476" s="99" t="s">
        <v>13705</v>
      </c>
      <c r="C476" s="99" t="s">
        <v>13655</v>
      </c>
      <c r="D476" s="99" t="s">
        <v>865</v>
      </c>
      <c r="E476" s="99" t="s">
        <v>278</v>
      </c>
      <c r="F476" s="99" t="s">
        <v>1036</v>
      </c>
      <c r="G476" s="99" t="s">
        <v>13695</v>
      </c>
      <c r="H476" s="99">
        <v>12.5</v>
      </c>
      <c r="I476" s="99">
        <v>12.5</v>
      </c>
      <c r="J476" s="99">
        <v>1</v>
      </c>
      <c r="K476" s="101" t="str">
        <f t="shared" si="83"/>
        <v>12.5x12.5x1</v>
      </c>
      <c r="L476" s="102">
        <f t="shared" si="84"/>
        <v>1.1241007194244603</v>
      </c>
      <c r="M476" s="113">
        <f t="shared" si="85"/>
        <v>1.1241007194244603</v>
      </c>
      <c r="N476" s="113">
        <f t="shared" si="86"/>
        <v>2</v>
      </c>
      <c r="O476" s="99">
        <v>20.5625</v>
      </c>
      <c r="P476" s="113">
        <f t="shared" si="87"/>
        <v>21</v>
      </c>
      <c r="Q476" s="112">
        <f t="shared" si="88"/>
        <v>336</v>
      </c>
      <c r="R476" s="112" t="str">
        <f t="shared" si="89"/>
        <v>Oversize</v>
      </c>
      <c r="S476" s="99" t="str">
        <f t="shared" si="90"/>
        <v>Large bulky</v>
      </c>
      <c r="T476" s="116" t="s">
        <v>13692</v>
      </c>
      <c r="U476" s="116">
        <f t="shared" si="91"/>
        <v>9.0422453703703706E-2</v>
      </c>
      <c r="V476" s="116" t="s">
        <v>13583</v>
      </c>
      <c r="W476" s="116" t="s">
        <v>13690</v>
      </c>
      <c r="X476" s="116" t="s">
        <v>13691</v>
      </c>
      <c r="Y476" s="116">
        <v>2</v>
      </c>
      <c r="Z476" s="116">
        <v>3</v>
      </c>
      <c r="AA476" s="116">
        <v>1</v>
      </c>
      <c r="AB476" s="99"/>
      <c r="AC476" s="99"/>
      <c r="AD476" s="107">
        <v>0</v>
      </c>
      <c r="AE476" s="113">
        <f t="shared" si="92"/>
        <v>0</v>
      </c>
      <c r="AF476" s="116">
        <f>-IFERROR(IFERROR(VLOOKUP(ROUNDUP($Q476,0),'FBA FEES'!$L$2:$Q$203,MATCH($S476,'FBA FEES'!$L$2:$Q$2,0),FALSE),VLOOKUP(ROUNDUP($Q476,0),'FBA FEES'!$C$6:$F$123,MATCH($S476,'FBA FEES'!$C$6:$F$6,0),FALSE)),0)</f>
        <v>-17.21</v>
      </c>
      <c r="AG476" s="116">
        <v>-10</v>
      </c>
      <c r="AH476" s="113">
        <f t="shared" si="93"/>
        <v>-17.21</v>
      </c>
      <c r="AI476" s="116">
        <f>-IFERROR(IF($Y476=1,INDEX('[1]REMOVAL FEES'!$A$1:$C$22,MATCH(CONCATENATE("Standard Size",$P476),'[1]REMOVAL FEES'!$A$1:$A$22,0),3),IF($Y476=2,IF($P476&gt;10,(($P476-10)*1.06)+INDEX('[1]REMOVAL FEES'!$E$1:$G$22,MATCH(CONCATENATE("Large bulky, extra-large and special handling items",IF($P476&gt;=11,11,$P476)),'[1]REMOVAL FEES'!$E$1:$E$13,0),3),INDEX('[1]REMOVAL FEES'!$E$1:$G$22,MATCH(CONCATENATE("Large bulky, extra-large and special handling items",IF($P476&gt;=11,11,$P476)),'[1]REMOVAL FEES'!$E$1:$E$13,0),3))))*$AA476,FALSE)</f>
        <v>-25.98</v>
      </c>
      <c r="AJ476" s="107">
        <f t="shared" si="94"/>
        <v>-43.19</v>
      </c>
      <c r="AK476" s="107">
        <v>0</v>
      </c>
      <c r="AL476" s="107">
        <v>0</v>
      </c>
      <c r="AM476" s="107">
        <f t="shared" si="95"/>
        <v>0</v>
      </c>
      <c r="AN476" s="116">
        <f>(-IF($V476="Yes", IF($X476="Yes", VLOOKUP($W476, '[1]Storage Fees'!A:M, 13, FALSE), VLOOKUP($W476, '[1]Storage Fees'!A:M, 10, FALSE)), IF($X476="Yes", VLOOKUP($W476, '[1]Storage Fees'!A:M, 7, FALSE), VLOOKUP($W476, '[1]Storage Fees'!A:M, 4, FALSE))) * U476)*1.5</f>
        <v>-0.1071506076388889</v>
      </c>
    </row>
    <row r="477" spans="1:40" x14ac:dyDescent="0.25">
      <c r="A477" s="99">
        <v>405</v>
      </c>
      <c r="B477" s="99"/>
      <c r="C477" s="99" t="s">
        <v>13655</v>
      </c>
      <c r="D477" s="99"/>
      <c r="E477" s="99" t="s">
        <v>278</v>
      </c>
      <c r="F477" s="99" t="s">
        <v>1856</v>
      </c>
      <c r="G477" s="99" t="s">
        <v>13695</v>
      </c>
      <c r="H477" s="99">
        <v>0</v>
      </c>
      <c r="I477" s="99">
        <v>0</v>
      </c>
      <c r="J477" s="99">
        <v>0</v>
      </c>
      <c r="K477" s="101" t="str">
        <f t="shared" si="83"/>
        <v>0x0x0</v>
      </c>
      <c r="L477" s="102">
        <f t="shared" si="84"/>
        <v>0</v>
      </c>
      <c r="M477" s="113">
        <f t="shared" si="85"/>
        <v>0</v>
      </c>
      <c r="N477" s="113">
        <f t="shared" si="86"/>
        <v>0</v>
      </c>
      <c r="O477" s="99">
        <v>0</v>
      </c>
      <c r="P477" s="113">
        <f t="shared" si="87"/>
        <v>0</v>
      </c>
      <c r="Q477" s="112">
        <f t="shared" si="88"/>
        <v>0</v>
      </c>
      <c r="R477" s="112" t="str">
        <f t="shared" si="89"/>
        <v>Standard-size</v>
      </c>
      <c r="S477" s="99" t="str">
        <f t="shared" si="90"/>
        <v>Small standard-size</v>
      </c>
      <c r="T477" s="116" t="s">
        <v>13696</v>
      </c>
      <c r="U477" s="116">
        <f t="shared" si="91"/>
        <v>0</v>
      </c>
      <c r="V477" s="116" t="s">
        <v>13583</v>
      </c>
      <c r="W477" s="116" t="s">
        <v>13690</v>
      </c>
      <c r="X477" s="99" t="s">
        <v>13583</v>
      </c>
      <c r="Y477" s="99">
        <v>1</v>
      </c>
      <c r="Z477" s="99">
        <v>1</v>
      </c>
      <c r="AA477" s="99">
        <v>1</v>
      </c>
      <c r="AB477" s="99"/>
      <c r="AC477" s="99"/>
      <c r="AD477" s="107">
        <v>0</v>
      </c>
      <c r="AE477" s="113">
        <f t="shared" si="92"/>
        <v>0</v>
      </c>
      <c r="AF477" s="116">
        <f>-IFERROR(IFERROR(VLOOKUP(ROUNDUP($Q477,0),'FBA FEES'!$L$2:$Q$203,MATCH($S477,'FBA FEES'!$L$2:$Q$2,0),FALSE),VLOOKUP(ROUNDUP($Q477,0),'FBA FEES'!$C$6:$F$123,MATCH($S477,'FBA FEES'!$C$6:$F$6,0),FALSE)),0)</f>
        <v>0</v>
      </c>
      <c r="AG477" s="116">
        <v>-10</v>
      </c>
      <c r="AH477" s="113">
        <f t="shared" si="93"/>
        <v>0</v>
      </c>
      <c r="AI477" s="116">
        <f>-IFERROR(IF($Y477=1,INDEX('[1]REMOVAL FEES'!$A$1:$C$22,MATCH(CONCATENATE("Standard Size",$P477),'[1]REMOVAL FEES'!$A$1:$A$22,0),3),IF($Y477=2,IF($P477&gt;10,(($P477-10)*1.06)+INDEX('[1]REMOVAL FEES'!$E$1:$G$22,MATCH(CONCATENATE("Large bulky, extra-large and special handling items",IF($P477&gt;=11,11,$P477)),'[1]REMOVAL FEES'!$E$1:$E$13,0),3),INDEX('[1]REMOVAL FEES'!$E$1:$G$22,MATCH(CONCATENATE("Large bulky, extra-large and special handling items",IF($P477&gt;=11,11,$P477)),'[1]REMOVAL FEES'!$E$1:$E$13,0),3))))*$AA477,FALSE)</f>
        <v>0</v>
      </c>
      <c r="AJ477" s="107">
        <f t="shared" si="94"/>
        <v>0</v>
      </c>
      <c r="AK477" s="107">
        <v>0</v>
      </c>
      <c r="AL477" s="107">
        <v>0</v>
      </c>
      <c r="AM477" s="107">
        <f t="shared" si="95"/>
        <v>0</v>
      </c>
      <c r="AN477" s="116">
        <f>(-IF($V477="Yes", IF($X477="Yes", VLOOKUP($W477, '[1]Storage Fees'!A:M, 13, FALSE), VLOOKUP($W477, '[1]Storage Fees'!A:M, 10, FALSE)), IF($X477="Yes", VLOOKUP($W477, '[1]Storage Fees'!A:M, 7, FALSE), VLOOKUP($W477, '[1]Storage Fees'!A:M, 4, FALSE))) * U477)*1.5</f>
        <v>0</v>
      </c>
    </row>
    <row r="478" spans="1:40" x14ac:dyDescent="0.25">
      <c r="A478" s="99">
        <v>406</v>
      </c>
      <c r="B478" s="99" t="s">
        <v>13705</v>
      </c>
      <c r="C478" s="99" t="s">
        <v>13655</v>
      </c>
      <c r="D478" s="99" t="s">
        <v>865</v>
      </c>
      <c r="E478" s="99" t="s">
        <v>278</v>
      </c>
      <c r="F478" s="99" t="s">
        <v>1039</v>
      </c>
      <c r="G478" s="99" t="s">
        <v>13695</v>
      </c>
      <c r="H478" s="99">
        <v>7</v>
      </c>
      <c r="I478" s="99">
        <v>7</v>
      </c>
      <c r="J478" s="99">
        <v>2</v>
      </c>
      <c r="K478" s="101" t="str">
        <f t="shared" si="83"/>
        <v>7x7x2</v>
      </c>
      <c r="L478" s="102">
        <f t="shared" si="84"/>
        <v>0.70503597122302153</v>
      </c>
      <c r="M478" s="113">
        <f t="shared" si="85"/>
        <v>0.70503597122302153</v>
      </c>
      <c r="N478" s="113">
        <f t="shared" si="86"/>
        <v>0.75</v>
      </c>
      <c r="O478" s="99">
        <v>8.1875</v>
      </c>
      <c r="P478" s="113">
        <f t="shared" si="87"/>
        <v>9</v>
      </c>
      <c r="Q478" s="112">
        <f t="shared" si="88"/>
        <v>144</v>
      </c>
      <c r="R478" s="112" t="str">
        <f t="shared" si="89"/>
        <v>Standard-size</v>
      </c>
      <c r="S478" s="99" t="str">
        <f t="shared" si="90"/>
        <v>Large standard-size</v>
      </c>
      <c r="T478" s="116" t="s">
        <v>13693</v>
      </c>
      <c r="U478" s="116">
        <f t="shared" si="91"/>
        <v>5.6712962962962965E-2</v>
      </c>
      <c r="V478" s="116" t="s">
        <v>13583</v>
      </c>
      <c r="W478" s="116" t="s">
        <v>13690</v>
      </c>
      <c r="X478" s="99" t="s">
        <v>13583</v>
      </c>
      <c r="Y478" s="99">
        <v>1</v>
      </c>
      <c r="Z478" s="99">
        <v>2</v>
      </c>
      <c r="AA478" s="99">
        <v>1</v>
      </c>
      <c r="AB478" s="99"/>
      <c r="AC478" s="99"/>
      <c r="AD478" s="107">
        <v>0</v>
      </c>
      <c r="AE478" s="113">
        <f t="shared" si="92"/>
        <v>0</v>
      </c>
      <c r="AF478" s="116">
        <f>-IFERROR(IFERROR(VLOOKUP(ROUNDUP($Q478,0),'FBA FEES'!$L$2:$Q$203,MATCH($S478,'FBA FEES'!$L$2:$Q$2,0),FALSE),VLOOKUP(ROUNDUP($Q478,0),'FBA FEES'!$C$6:$F$123,MATCH($S478,'FBA FEES'!$C$6:$F$6,0),FALSE)),0)</f>
        <v>-8.84</v>
      </c>
      <c r="AG478" s="116">
        <v>-10</v>
      </c>
      <c r="AH478" s="113">
        <f t="shared" si="93"/>
        <v>-8.84</v>
      </c>
      <c r="AI478" s="116">
        <f>-IFERROR(IF($Y478=1,INDEX('[1]REMOVAL FEES'!$A$1:$C$22,MATCH(CONCATENATE("Standard Size",$P478),'[1]REMOVAL FEES'!$A$1:$A$22,0),3),IF($Y478=2,IF($P478&gt;10,(($P478-10)*1.06)+INDEX('[1]REMOVAL FEES'!$E$1:$G$22,MATCH(CONCATENATE("Large bulky, extra-large and special handling items",IF($P478&gt;=11,11,$P478)),'[1]REMOVAL FEES'!$E$1:$E$13,0),3),INDEX('[1]REMOVAL FEES'!$E$1:$G$22,MATCH(CONCATENATE("Large bulky, extra-large and special handling items",IF($P478&gt;=11,11,$P478)),'[1]REMOVAL FEES'!$E$1:$E$13,0),3))))*$AA478,FALSE)</f>
        <v>-10.31</v>
      </c>
      <c r="AJ478" s="107">
        <f t="shared" si="94"/>
        <v>-19.149999999999999</v>
      </c>
      <c r="AK478" s="107">
        <v>0</v>
      </c>
      <c r="AL478" s="107">
        <v>0</v>
      </c>
      <c r="AM478" s="107">
        <f t="shared" si="95"/>
        <v>0</v>
      </c>
      <c r="AN478" s="116">
        <f>(-IF($V478="Yes", IF($X478="Yes", VLOOKUP($W478, '[1]Storage Fees'!A:M, 13, FALSE), VLOOKUP($W478, '[1]Storage Fees'!A:M, 10, FALSE)), IF($X478="Yes", VLOOKUP($W478, '[1]Storage Fees'!A:M, 7, FALSE), VLOOKUP($W478, '[1]Storage Fees'!A:M, 4, FALSE))) * U478)*1.5</f>
        <v>-0.10378472222222222</v>
      </c>
    </row>
    <row r="479" spans="1:40" x14ac:dyDescent="0.25">
      <c r="A479" s="99">
        <v>407</v>
      </c>
      <c r="B479" s="99"/>
      <c r="C479" s="99" t="s">
        <v>13655</v>
      </c>
      <c r="D479" s="99"/>
      <c r="E479" s="99" t="s">
        <v>278</v>
      </c>
      <c r="F479" s="99" t="s">
        <v>1858</v>
      </c>
      <c r="G479" s="99" t="s">
        <v>13695</v>
      </c>
      <c r="H479" s="99">
        <v>0</v>
      </c>
      <c r="I479" s="99">
        <v>0</v>
      </c>
      <c r="J479" s="99">
        <v>0</v>
      </c>
      <c r="K479" s="101" t="str">
        <f t="shared" si="83"/>
        <v>0x0x0</v>
      </c>
      <c r="L479" s="102">
        <f t="shared" si="84"/>
        <v>0</v>
      </c>
      <c r="M479" s="113">
        <f t="shared" si="85"/>
        <v>0</v>
      </c>
      <c r="N479" s="113">
        <f t="shared" si="86"/>
        <v>0</v>
      </c>
      <c r="O479" s="99">
        <v>0</v>
      </c>
      <c r="P479" s="113">
        <f t="shared" si="87"/>
        <v>0</v>
      </c>
      <c r="Q479" s="112">
        <f t="shared" si="88"/>
        <v>0</v>
      </c>
      <c r="R479" s="112" t="str">
        <f t="shared" si="89"/>
        <v>Standard-size</v>
      </c>
      <c r="S479" s="99" t="str">
        <f t="shared" si="90"/>
        <v>Small standard-size</v>
      </c>
      <c r="T479" s="116" t="s">
        <v>13696</v>
      </c>
      <c r="U479" s="116">
        <f t="shared" si="91"/>
        <v>0</v>
      </c>
      <c r="V479" s="116" t="s">
        <v>13583</v>
      </c>
      <c r="W479" s="116" t="s">
        <v>13690</v>
      </c>
      <c r="X479" s="99" t="s">
        <v>13583</v>
      </c>
      <c r="Y479" s="99">
        <v>1</v>
      </c>
      <c r="Z479" s="99">
        <v>1</v>
      </c>
      <c r="AA479" s="99">
        <v>1</v>
      </c>
      <c r="AB479" s="99"/>
      <c r="AC479" s="99"/>
      <c r="AD479" s="107">
        <v>0</v>
      </c>
      <c r="AE479" s="113">
        <f t="shared" si="92"/>
        <v>0</v>
      </c>
      <c r="AF479" s="116">
        <f>-IFERROR(IFERROR(VLOOKUP(ROUNDUP($Q479,0),'FBA FEES'!$L$2:$Q$203,MATCH($S479,'FBA FEES'!$L$2:$Q$2,0),FALSE),VLOOKUP(ROUNDUP($Q479,0),'FBA FEES'!$C$6:$F$123,MATCH($S479,'FBA FEES'!$C$6:$F$6,0),FALSE)),0)</f>
        <v>0</v>
      </c>
      <c r="AG479" s="116">
        <v>-10</v>
      </c>
      <c r="AH479" s="113">
        <f t="shared" si="93"/>
        <v>0</v>
      </c>
      <c r="AI479" s="116">
        <f>-IFERROR(IF($Y479=1,INDEX('[1]REMOVAL FEES'!$A$1:$C$22,MATCH(CONCATENATE("Standard Size",$P479),'[1]REMOVAL FEES'!$A$1:$A$22,0),3),IF($Y479=2,IF($P479&gt;10,(($P479-10)*1.06)+INDEX('[1]REMOVAL FEES'!$E$1:$G$22,MATCH(CONCATENATE("Large bulky, extra-large and special handling items",IF($P479&gt;=11,11,$P479)),'[1]REMOVAL FEES'!$E$1:$E$13,0),3),INDEX('[1]REMOVAL FEES'!$E$1:$G$22,MATCH(CONCATENATE("Large bulky, extra-large and special handling items",IF($P479&gt;=11,11,$P479)),'[1]REMOVAL FEES'!$E$1:$E$13,0),3))))*$AA479,FALSE)</f>
        <v>0</v>
      </c>
      <c r="AJ479" s="107">
        <f t="shared" si="94"/>
        <v>0</v>
      </c>
      <c r="AK479" s="107">
        <v>0</v>
      </c>
      <c r="AL479" s="107">
        <v>0</v>
      </c>
      <c r="AM479" s="107">
        <f t="shared" si="95"/>
        <v>0</v>
      </c>
      <c r="AN479" s="116">
        <f>(-IF($V479="Yes", IF($X479="Yes", VLOOKUP($W479, '[1]Storage Fees'!A:M, 13, FALSE), VLOOKUP($W479, '[1]Storage Fees'!A:M, 10, FALSE)), IF($X479="Yes", VLOOKUP($W479, '[1]Storage Fees'!A:M, 7, FALSE), VLOOKUP($W479, '[1]Storage Fees'!A:M, 4, FALSE))) * U479)*1.5</f>
        <v>0</v>
      </c>
    </row>
    <row r="480" spans="1:40" x14ac:dyDescent="0.25">
      <c r="A480" s="99">
        <v>408</v>
      </c>
      <c r="B480" s="99"/>
      <c r="C480" s="99" t="s">
        <v>13655</v>
      </c>
      <c r="D480" s="99"/>
      <c r="E480" s="99" t="s">
        <v>278</v>
      </c>
      <c r="F480" s="99" t="s">
        <v>1860</v>
      </c>
      <c r="G480" s="99" t="s">
        <v>13695</v>
      </c>
      <c r="H480" s="99">
        <v>0</v>
      </c>
      <c r="I480" s="99">
        <v>0</v>
      </c>
      <c r="J480" s="99">
        <v>0</v>
      </c>
      <c r="K480" s="101" t="str">
        <f t="shared" si="83"/>
        <v>0x0x0</v>
      </c>
      <c r="L480" s="102">
        <f t="shared" si="84"/>
        <v>0</v>
      </c>
      <c r="M480" s="113">
        <f t="shared" si="85"/>
        <v>0</v>
      </c>
      <c r="N480" s="113">
        <f t="shared" si="86"/>
        <v>0</v>
      </c>
      <c r="O480" s="99">
        <v>0</v>
      </c>
      <c r="P480" s="113">
        <f t="shared" si="87"/>
        <v>0</v>
      </c>
      <c r="Q480" s="112">
        <f t="shared" si="88"/>
        <v>0</v>
      </c>
      <c r="R480" s="112" t="str">
        <f t="shared" si="89"/>
        <v>Standard-size</v>
      </c>
      <c r="S480" s="99" t="str">
        <f t="shared" si="90"/>
        <v>Small standard-size</v>
      </c>
      <c r="T480" s="116" t="s">
        <v>13696</v>
      </c>
      <c r="U480" s="116">
        <f t="shared" si="91"/>
        <v>0</v>
      </c>
      <c r="V480" s="116" t="s">
        <v>13583</v>
      </c>
      <c r="W480" s="116" t="s">
        <v>13690</v>
      </c>
      <c r="X480" s="99" t="s">
        <v>13583</v>
      </c>
      <c r="Y480" s="99">
        <v>1</v>
      </c>
      <c r="Z480" s="99">
        <v>1</v>
      </c>
      <c r="AA480" s="99">
        <v>1</v>
      </c>
      <c r="AB480" s="99"/>
      <c r="AC480" s="99"/>
      <c r="AD480" s="107">
        <v>0</v>
      </c>
      <c r="AE480" s="113">
        <f t="shared" si="92"/>
        <v>0</v>
      </c>
      <c r="AF480" s="116">
        <f>-IFERROR(IFERROR(VLOOKUP(ROUNDUP($Q480,0),'FBA FEES'!$L$2:$Q$203,MATCH($S480,'FBA FEES'!$L$2:$Q$2,0),FALSE),VLOOKUP(ROUNDUP($Q480,0),'FBA FEES'!$C$6:$F$123,MATCH($S480,'FBA FEES'!$C$6:$F$6,0),FALSE)),0)</f>
        <v>0</v>
      </c>
      <c r="AG480" s="116">
        <v>-10</v>
      </c>
      <c r="AH480" s="113">
        <f t="shared" si="93"/>
        <v>0</v>
      </c>
      <c r="AI480" s="116">
        <f>-IFERROR(IF($Y480=1,INDEX('[1]REMOVAL FEES'!$A$1:$C$22,MATCH(CONCATENATE("Standard Size",$P480),'[1]REMOVAL FEES'!$A$1:$A$22,0),3),IF($Y480=2,IF($P480&gt;10,(($P480-10)*1.06)+INDEX('[1]REMOVAL FEES'!$E$1:$G$22,MATCH(CONCATENATE("Large bulky, extra-large and special handling items",IF($P480&gt;=11,11,$P480)),'[1]REMOVAL FEES'!$E$1:$E$13,0),3),INDEX('[1]REMOVAL FEES'!$E$1:$G$22,MATCH(CONCATENATE("Large bulky, extra-large and special handling items",IF($P480&gt;=11,11,$P480)),'[1]REMOVAL FEES'!$E$1:$E$13,0),3))))*$AA480,FALSE)</f>
        <v>0</v>
      </c>
      <c r="AJ480" s="107">
        <f t="shared" si="94"/>
        <v>0</v>
      </c>
      <c r="AK480" s="107">
        <v>0</v>
      </c>
      <c r="AL480" s="107">
        <v>0</v>
      </c>
      <c r="AM480" s="107">
        <f t="shared" si="95"/>
        <v>0</v>
      </c>
      <c r="AN480" s="116">
        <f>(-IF($V480="Yes", IF($X480="Yes", VLOOKUP($W480, '[1]Storage Fees'!A:M, 13, FALSE), VLOOKUP($W480, '[1]Storage Fees'!A:M, 10, FALSE)), IF($X480="Yes", VLOOKUP($W480, '[1]Storage Fees'!A:M, 7, FALSE), VLOOKUP($W480, '[1]Storage Fees'!A:M, 4, FALSE))) * U480)*1.5</f>
        <v>0</v>
      </c>
    </row>
    <row r="481" spans="1:40" x14ac:dyDescent="0.25">
      <c r="A481" s="99">
        <v>409</v>
      </c>
      <c r="B481" s="99" t="s">
        <v>107</v>
      </c>
      <c r="C481" s="99" t="s">
        <v>13655</v>
      </c>
      <c r="D481" s="99" t="s">
        <v>714</v>
      </c>
      <c r="E481" s="99" t="s">
        <v>278</v>
      </c>
      <c r="F481" s="99" t="s">
        <v>1042</v>
      </c>
      <c r="G481" s="99" t="s">
        <v>13656</v>
      </c>
      <c r="H481" s="99">
        <v>39</v>
      </c>
      <c r="I481" s="99">
        <v>25</v>
      </c>
      <c r="J481" s="99">
        <v>4</v>
      </c>
      <c r="K481" s="101" t="str">
        <f t="shared" si="83"/>
        <v>39x25x4</v>
      </c>
      <c r="L481" s="102">
        <f t="shared" si="84"/>
        <v>28.057553956834532</v>
      </c>
      <c r="M481" s="113">
        <f t="shared" si="85"/>
        <v>28.057553956834532</v>
      </c>
      <c r="N481" s="113">
        <f t="shared" si="86"/>
        <v>29</v>
      </c>
      <c r="O481" s="99">
        <v>21</v>
      </c>
      <c r="P481" s="113">
        <f t="shared" si="87"/>
        <v>29</v>
      </c>
      <c r="Q481" s="112">
        <f t="shared" si="88"/>
        <v>464</v>
      </c>
      <c r="R481" s="112" t="str">
        <f t="shared" si="89"/>
        <v>Oversize</v>
      </c>
      <c r="S481" s="99" t="str">
        <f t="shared" si="90"/>
        <v>Large bulky</v>
      </c>
      <c r="T481" s="116" t="s">
        <v>13692</v>
      </c>
      <c r="U481" s="116">
        <f t="shared" si="91"/>
        <v>2.2569444444444446</v>
      </c>
      <c r="V481" s="116" t="s">
        <v>13583</v>
      </c>
      <c r="W481" s="116" t="s">
        <v>13690</v>
      </c>
      <c r="X481" s="116" t="s">
        <v>13691</v>
      </c>
      <c r="Y481" s="116">
        <v>2</v>
      </c>
      <c r="Z481" s="116">
        <v>3</v>
      </c>
      <c r="AA481" s="116">
        <v>1</v>
      </c>
      <c r="AB481" s="99"/>
      <c r="AC481" s="99"/>
      <c r="AD481" s="107">
        <v>47.99</v>
      </c>
      <c r="AE481" s="113">
        <f t="shared" si="92"/>
        <v>-7.1985000000000001</v>
      </c>
      <c r="AF481" s="116">
        <f>-IFERROR(IFERROR(VLOOKUP(ROUNDUP($Q481,0),'FBA FEES'!$L$2:$Q$203,MATCH($S481,'FBA FEES'!$L$2:$Q$2,0),FALSE),VLOOKUP(ROUNDUP($Q481,0),'FBA FEES'!$C$6:$F$123,MATCH($S481,'FBA FEES'!$C$6:$F$6,0),FALSE)),0)</f>
        <v>-20.25</v>
      </c>
      <c r="AG481" s="116">
        <v>-10</v>
      </c>
      <c r="AH481" s="113">
        <f t="shared" si="93"/>
        <v>-27.448499999999999</v>
      </c>
      <c r="AI481" s="116">
        <f>-IFERROR(IF($Y481=1,INDEX('[1]REMOVAL FEES'!$A$1:$C$22,MATCH(CONCATENATE("Standard Size",$P481),'[1]REMOVAL FEES'!$A$1:$A$22,0),3),IF($Y481=2,IF($P481&gt;10,(($P481-10)*1.06)+INDEX('[1]REMOVAL FEES'!$E$1:$G$22,MATCH(CONCATENATE("Large bulky, extra-large and special handling items",IF($P481&gt;=11,11,$P481)),'[1]REMOVAL FEES'!$E$1:$E$13,0),3),INDEX('[1]REMOVAL FEES'!$E$1:$G$22,MATCH(CONCATENATE("Large bulky, extra-large and special handling items",IF($P481&gt;=11,11,$P481)),'[1]REMOVAL FEES'!$E$1:$E$13,0),3))))*$AA481,FALSE)</f>
        <v>-34.46</v>
      </c>
      <c r="AJ481" s="107">
        <f t="shared" si="94"/>
        <v>-61.908500000000004</v>
      </c>
      <c r="AK481" s="107">
        <v>-39.17</v>
      </c>
      <c r="AL481" s="107">
        <v>-8.1787500000000009</v>
      </c>
      <c r="AM481" s="107">
        <f t="shared" si="95"/>
        <v>-47.348750000000003</v>
      </c>
      <c r="AN481" s="116">
        <f>(-IF($V481="Yes", IF($X481="Yes", VLOOKUP($W481, '[1]Storage Fees'!A:M, 13, FALSE), VLOOKUP($W481, '[1]Storage Fees'!A:M, 10, FALSE)), IF($X481="Yes", VLOOKUP($W481, '[1]Storage Fees'!A:M, 7, FALSE), VLOOKUP($W481, '[1]Storage Fees'!A:M, 4, FALSE))) * U481)*1.5</f>
        <v>-2.674479166666667</v>
      </c>
    </row>
    <row r="482" spans="1:40" x14ac:dyDescent="0.25">
      <c r="A482" s="99">
        <v>410</v>
      </c>
      <c r="B482" s="99"/>
      <c r="C482" s="99" t="s">
        <v>13655</v>
      </c>
      <c r="D482" s="99"/>
      <c r="E482" s="99" t="s">
        <v>278</v>
      </c>
      <c r="F482" s="99" t="s">
        <v>1863</v>
      </c>
      <c r="G482" s="99" t="s">
        <v>13695</v>
      </c>
      <c r="H482" s="99">
        <v>0</v>
      </c>
      <c r="I482" s="99">
        <v>0</v>
      </c>
      <c r="J482" s="99">
        <v>0</v>
      </c>
      <c r="K482" s="101" t="str">
        <f t="shared" si="83"/>
        <v>0x0x0</v>
      </c>
      <c r="L482" s="102">
        <f t="shared" si="84"/>
        <v>0</v>
      </c>
      <c r="M482" s="113">
        <f t="shared" si="85"/>
        <v>0</v>
      </c>
      <c r="N482" s="113">
        <f t="shared" si="86"/>
        <v>0</v>
      </c>
      <c r="O482" s="99">
        <v>0</v>
      </c>
      <c r="P482" s="113">
        <f t="shared" si="87"/>
        <v>0</v>
      </c>
      <c r="Q482" s="112">
        <f t="shared" si="88"/>
        <v>0</v>
      </c>
      <c r="R482" s="112" t="str">
        <f t="shared" si="89"/>
        <v>Standard-size</v>
      </c>
      <c r="S482" s="99" t="str">
        <f t="shared" si="90"/>
        <v>Small standard-size</v>
      </c>
      <c r="T482" s="116" t="s">
        <v>13696</v>
      </c>
      <c r="U482" s="116">
        <f t="shared" si="91"/>
        <v>0</v>
      </c>
      <c r="V482" s="116" t="s">
        <v>13583</v>
      </c>
      <c r="W482" s="116" t="s">
        <v>13690</v>
      </c>
      <c r="X482" s="99" t="s">
        <v>13583</v>
      </c>
      <c r="Y482" s="99">
        <v>1</v>
      </c>
      <c r="Z482" s="99">
        <v>1</v>
      </c>
      <c r="AA482" s="99">
        <v>1</v>
      </c>
      <c r="AB482" s="99"/>
      <c r="AC482" s="99"/>
      <c r="AD482" s="107">
        <v>181.4638865248231</v>
      </c>
      <c r="AE482" s="113">
        <f t="shared" si="92"/>
        <v>-27.219582978723462</v>
      </c>
      <c r="AF482" s="116">
        <f>-IFERROR(IFERROR(VLOOKUP(ROUNDUP($Q482,0),'FBA FEES'!$L$2:$Q$203,MATCH($S482,'FBA FEES'!$L$2:$Q$2,0),FALSE),VLOOKUP(ROUNDUP($Q482,0),'FBA FEES'!$C$6:$F$123,MATCH($S482,'FBA FEES'!$C$6:$F$6,0),FALSE)),0)</f>
        <v>0</v>
      </c>
      <c r="AG482" s="116">
        <v>-10</v>
      </c>
      <c r="AH482" s="113">
        <f t="shared" si="93"/>
        <v>-27.219582978723462</v>
      </c>
      <c r="AI482" s="116">
        <f>-IFERROR(IF($Y482=1,INDEX('[1]REMOVAL FEES'!$A$1:$C$22,MATCH(CONCATENATE("Standard Size",$P482),'[1]REMOVAL FEES'!$A$1:$A$22,0),3),IF($Y482=2,IF($P482&gt;10,(($P482-10)*1.06)+INDEX('[1]REMOVAL FEES'!$E$1:$G$22,MATCH(CONCATENATE("Large bulky, extra-large and special handling items",IF($P482&gt;=11,11,$P482)),'[1]REMOVAL FEES'!$E$1:$E$13,0),3),INDEX('[1]REMOVAL FEES'!$E$1:$G$22,MATCH(CONCATENATE("Large bulky, extra-large and special handling items",IF($P482&gt;=11,11,$P482)),'[1]REMOVAL FEES'!$E$1:$E$13,0),3))))*$AA482,FALSE)</f>
        <v>0</v>
      </c>
      <c r="AJ482" s="107">
        <f t="shared" si="94"/>
        <v>-27.219582978723462</v>
      </c>
      <c r="AK482" s="107">
        <v>-57.480851063829789</v>
      </c>
      <c r="AL482" s="107">
        <v>-16.752620778453249</v>
      </c>
      <c r="AM482" s="107">
        <f t="shared" si="95"/>
        <v>-74.233471842283038</v>
      </c>
      <c r="AN482" s="116">
        <f>(-IF($V482="Yes", IF($X482="Yes", VLOOKUP($W482, '[1]Storage Fees'!A:M, 13, FALSE), VLOOKUP($W482, '[1]Storage Fees'!A:M, 10, FALSE)), IF($X482="Yes", VLOOKUP($W482, '[1]Storage Fees'!A:M, 7, FALSE), VLOOKUP($W482, '[1]Storage Fees'!A:M, 4, FALSE))) * U482)*1.5</f>
        <v>0</v>
      </c>
    </row>
    <row r="483" spans="1:40" x14ac:dyDescent="0.25">
      <c r="A483" s="99">
        <v>411</v>
      </c>
      <c r="B483" s="99"/>
      <c r="C483" s="99" t="s">
        <v>13655</v>
      </c>
      <c r="D483" s="99"/>
      <c r="E483" s="99" t="s">
        <v>278</v>
      </c>
      <c r="F483" s="99" t="s">
        <v>1866</v>
      </c>
      <c r="G483" s="99" t="s">
        <v>13695</v>
      </c>
      <c r="H483" s="99">
        <v>0</v>
      </c>
      <c r="I483" s="99">
        <v>0</v>
      </c>
      <c r="J483" s="99">
        <v>0</v>
      </c>
      <c r="K483" s="101" t="str">
        <f t="shared" si="83"/>
        <v>0x0x0</v>
      </c>
      <c r="L483" s="102">
        <f t="shared" si="84"/>
        <v>0</v>
      </c>
      <c r="M483" s="113">
        <f t="shared" si="85"/>
        <v>0</v>
      </c>
      <c r="N483" s="113">
        <f t="shared" si="86"/>
        <v>0</v>
      </c>
      <c r="O483" s="99">
        <v>0</v>
      </c>
      <c r="P483" s="113">
        <f t="shared" si="87"/>
        <v>0</v>
      </c>
      <c r="Q483" s="112">
        <f t="shared" si="88"/>
        <v>0</v>
      </c>
      <c r="R483" s="112" t="str">
        <f t="shared" si="89"/>
        <v>Standard-size</v>
      </c>
      <c r="S483" s="99" t="str">
        <f t="shared" si="90"/>
        <v>Small standard-size</v>
      </c>
      <c r="T483" s="116" t="s">
        <v>13696</v>
      </c>
      <c r="U483" s="116">
        <f t="shared" si="91"/>
        <v>0</v>
      </c>
      <c r="V483" s="116" t="s">
        <v>13583</v>
      </c>
      <c r="W483" s="116" t="s">
        <v>13690</v>
      </c>
      <c r="X483" s="99" t="s">
        <v>13583</v>
      </c>
      <c r="Y483" s="99">
        <v>1</v>
      </c>
      <c r="Z483" s="99">
        <v>1</v>
      </c>
      <c r="AA483" s="99">
        <v>1</v>
      </c>
      <c r="AB483" s="99"/>
      <c r="AC483" s="99"/>
      <c r="AD483" s="107">
        <v>232.54352941176509</v>
      </c>
      <c r="AE483" s="113">
        <f t="shared" si="92"/>
        <v>-34.88152941176476</v>
      </c>
      <c r="AF483" s="116">
        <f>-IFERROR(IFERROR(VLOOKUP(ROUNDUP($Q483,0),'FBA FEES'!$L$2:$Q$203,MATCH($S483,'FBA FEES'!$L$2:$Q$2,0),FALSE),VLOOKUP(ROUNDUP($Q483,0),'FBA FEES'!$C$6:$F$123,MATCH($S483,'FBA FEES'!$C$6:$F$6,0),FALSE)),0)</f>
        <v>0</v>
      </c>
      <c r="AG483" s="116">
        <v>-10</v>
      </c>
      <c r="AH483" s="113">
        <f t="shared" si="93"/>
        <v>-34.88152941176476</v>
      </c>
      <c r="AI483" s="116">
        <f>-IFERROR(IF($Y483=1,INDEX('[1]REMOVAL FEES'!$A$1:$C$22,MATCH(CONCATENATE("Standard Size",$P483),'[1]REMOVAL FEES'!$A$1:$A$22,0),3),IF($Y483=2,IF($P483&gt;10,(($P483-10)*1.06)+INDEX('[1]REMOVAL FEES'!$E$1:$G$22,MATCH(CONCATENATE("Large bulky, extra-large and special handling items",IF($P483&gt;=11,11,$P483)),'[1]REMOVAL FEES'!$E$1:$E$13,0),3),INDEX('[1]REMOVAL FEES'!$E$1:$G$22,MATCH(CONCATENATE("Large bulky, extra-large and special handling items",IF($P483&gt;=11,11,$P483)),'[1]REMOVAL FEES'!$E$1:$E$13,0),3))))*$AA483,FALSE)</f>
        <v>0</v>
      </c>
      <c r="AJ483" s="107">
        <f t="shared" si="94"/>
        <v>-34.88152941176476</v>
      </c>
      <c r="AK483" s="107">
        <v>-72.348562091503254</v>
      </c>
      <c r="AL483" s="107">
        <v>-19.008039196320549</v>
      </c>
      <c r="AM483" s="107">
        <f t="shared" si="95"/>
        <v>-91.356601287823807</v>
      </c>
      <c r="AN483" s="116">
        <f>(-IF($V483="Yes", IF($X483="Yes", VLOOKUP($W483, '[1]Storage Fees'!A:M, 13, FALSE), VLOOKUP($W483, '[1]Storage Fees'!A:M, 10, FALSE)), IF($X483="Yes", VLOOKUP($W483, '[1]Storage Fees'!A:M, 7, FALSE), VLOOKUP($W483, '[1]Storage Fees'!A:M, 4, FALSE))) * U483)*1.5</f>
        <v>0</v>
      </c>
    </row>
    <row r="484" spans="1:40" x14ac:dyDescent="0.25">
      <c r="A484" s="99">
        <v>412</v>
      </c>
      <c r="B484" s="99"/>
      <c r="C484" s="99" t="s">
        <v>13655</v>
      </c>
      <c r="D484" s="99"/>
      <c r="E484" s="99" t="s">
        <v>278</v>
      </c>
      <c r="F484" s="99" t="s">
        <v>1869</v>
      </c>
      <c r="G484" s="99" t="s">
        <v>13695</v>
      </c>
      <c r="H484" s="99">
        <v>0</v>
      </c>
      <c r="I484" s="99">
        <v>0</v>
      </c>
      <c r="J484" s="99">
        <v>0</v>
      </c>
      <c r="K484" s="101" t="str">
        <f t="shared" si="83"/>
        <v>0x0x0</v>
      </c>
      <c r="L484" s="102">
        <f t="shared" si="84"/>
        <v>0</v>
      </c>
      <c r="M484" s="113">
        <f t="shared" si="85"/>
        <v>0</v>
      </c>
      <c r="N484" s="113">
        <f t="shared" si="86"/>
        <v>0</v>
      </c>
      <c r="O484" s="99">
        <v>0</v>
      </c>
      <c r="P484" s="113">
        <f t="shared" si="87"/>
        <v>0</v>
      </c>
      <c r="Q484" s="112">
        <f t="shared" si="88"/>
        <v>0</v>
      </c>
      <c r="R484" s="112" t="str">
        <f t="shared" si="89"/>
        <v>Standard-size</v>
      </c>
      <c r="S484" s="99" t="str">
        <f t="shared" si="90"/>
        <v>Small standard-size</v>
      </c>
      <c r="T484" s="116" t="s">
        <v>13696</v>
      </c>
      <c r="U484" s="116">
        <f t="shared" si="91"/>
        <v>0</v>
      </c>
      <c r="V484" s="116" t="s">
        <v>13583</v>
      </c>
      <c r="W484" s="116" t="s">
        <v>13690</v>
      </c>
      <c r="X484" s="99" t="s">
        <v>13583</v>
      </c>
      <c r="Y484" s="99">
        <v>1</v>
      </c>
      <c r="Z484" s="99">
        <v>1</v>
      </c>
      <c r="AA484" s="99">
        <v>1</v>
      </c>
      <c r="AB484" s="99"/>
      <c r="AC484" s="99"/>
      <c r="AD484" s="107">
        <v>275.38121739130492</v>
      </c>
      <c r="AE484" s="113">
        <f t="shared" si="92"/>
        <v>-41.307182608695733</v>
      </c>
      <c r="AF484" s="116">
        <f>-IFERROR(IFERROR(VLOOKUP(ROUNDUP($Q484,0),'FBA FEES'!$L$2:$Q$203,MATCH($S484,'FBA FEES'!$L$2:$Q$2,0),FALSE),VLOOKUP(ROUNDUP($Q484,0),'FBA FEES'!$C$6:$F$123,MATCH($S484,'FBA FEES'!$C$6:$F$6,0),FALSE)),0)</f>
        <v>0</v>
      </c>
      <c r="AG484" s="116">
        <v>-10</v>
      </c>
      <c r="AH484" s="113">
        <f t="shared" si="93"/>
        <v>-41.307182608695733</v>
      </c>
      <c r="AI484" s="116">
        <f>-IFERROR(IF($Y484=1,INDEX('[1]REMOVAL FEES'!$A$1:$C$22,MATCH(CONCATENATE("Standard Size",$P484),'[1]REMOVAL FEES'!$A$1:$A$22,0),3),IF($Y484=2,IF($P484&gt;10,(($P484-10)*1.06)+INDEX('[1]REMOVAL FEES'!$E$1:$G$22,MATCH(CONCATENATE("Large bulky, extra-large and special handling items",IF($P484&gt;=11,11,$P484)),'[1]REMOVAL FEES'!$E$1:$E$13,0),3),INDEX('[1]REMOVAL FEES'!$E$1:$G$22,MATCH(CONCATENATE("Large bulky, extra-large and special handling items",IF($P484&gt;=11,11,$P484)),'[1]REMOVAL FEES'!$E$1:$E$13,0),3))))*$AA484,FALSE)</f>
        <v>0</v>
      </c>
      <c r="AJ484" s="107">
        <f t="shared" si="94"/>
        <v>-41.307182608695733</v>
      </c>
      <c r="AK484" s="107">
        <v>-87.527999999999921</v>
      </c>
      <c r="AL484" s="107">
        <v>-16.526330810373221</v>
      </c>
      <c r="AM484" s="107">
        <f t="shared" si="95"/>
        <v>-104.05433081037314</v>
      </c>
      <c r="AN484" s="116">
        <f>(-IF($V484="Yes", IF($X484="Yes", VLOOKUP($W484, '[1]Storage Fees'!A:M, 13, FALSE), VLOOKUP($W484, '[1]Storage Fees'!A:M, 10, FALSE)), IF($X484="Yes", VLOOKUP($W484, '[1]Storage Fees'!A:M, 7, FALSE), VLOOKUP($W484, '[1]Storage Fees'!A:M, 4, FALSE))) * U484)*1.5</f>
        <v>0</v>
      </c>
    </row>
    <row r="485" spans="1:40" x14ac:dyDescent="0.25">
      <c r="A485" s="99">
        <v>413</v>
      </c>
      <c r="B485" s="99" t="s">
        <v>55</v>
      </c>
      <c r="C485" s="99"/>
      <c r="D485" s="99"/>
      <c r="E485" s="99" t="s">
        <v>91</v>
      </c>
      <c r="F485" s="99" t="s">
        <v>346</v>
      </c>
      <c r="G485" s="99" t="s">
        <v>13695</v>
      </c>
      <c r="H485" s="99">
        <v>14</v>
      </c>
      <c r="I485" s="99">
        <v>12</v>
      </c>
      <c r="J485" s="99">
        <v>11</v>
      </c>
      <c r="K485" s="101" t="str">
        <f t="shared" si="83"/>
        <v>14x12x11</v>
      </c>
      <c r="L485" s="102">
        <f t="shared" si="84"/>
        <v>13.294964028776979</v>
      </c>
      <c r="M485" s="113">
        <f t="shared" si="85"/>
        <v>13.294964028776979</v>
      </c>
      <c r="N485" s="113">
        <f t="shared" si="86"/>
        <v>14</v>
      </c>
      <c r="O485" s="99">
        <v>47</v>
      </c>
      <c r="P485" s="113">
        <f t="shared" si="87"/>
        <v>47</v>
      </c>
      <c r="Q485" s="112">
        <f t="shared" si="88"/>
        <v>752</v>
      </c>
      <c r="R485" s="112" t="str">
        <f t="shared" si="89"/>
        <v>Oversize</v>
      </c>
      <c r="S485" s="99" t="str">
        <f t="shared" si="90"/>
        <v>Large bulky</v>
      </c>
      <c r="T485" s="116" t="s">
        <v>13694</v>
      </c>
      <c r="U485" s="116">
        <f t="shared" si="91"/>
        <v>1.0694444444444444</v>
      </c>
      <c r="V485" s="116" t="s">
        <v>13583</v>
      </c>
      <c r="W485" s="116" t="s">
        <v>13690</v>
      </c>
      <c r="X485" s="116" t="s">
        <v>13691</v>
      </c>
      <c r="Y485" s="116">
        <v>2</v>
      </c>
      <c r="Z485" s="116">
        <v>3</v>
      </c>
      <c r="AA485" s="116">
        <v>1</v>
      </c>
      <c r="AB485" s="99"/>
      <c r="AC485" s="99"/>
      <c r="AD485" s="107">
        <v>199.56142857142859</v>
      </c>
      <c r="AE485" s="113">
        <f t="shared" si="92"/>
        <v>-29.934214285714287</v>
      </c>
      <c r="AF485" s="116">
        <f>-IFERROR(IFERROR(VLOOKUP(ROUNDUP($Q485,0),'FBA FEES'!$L$2:$Q$203,MATCH($S485,'FBA FEES'!$L$2:$Q$2,0),FALSE),VLOOKUP(ROUNDUP($Q485,0),'FBA FEES'!$C$6:$F$123,MATCH($S485,'FBA FEES'!$C$6:$F$6,0),FALSE)),0)</f>
        <v>-27.09</v>
      </c>
      <c r="AG485" s="116">
        <v>-10</v>
      </c>
      <c r="AH485" s="113">
        <f t="shared" si="93"/>
        <v>-57.024214285714287</v>
      </c>
      <c r="AI485" s="116">
        <f>-IFERROR(IF($Y485=1,INDEX('[1]REMOVAL FEES'!$A$1:$C$22,MATCH(CONCATENATE("Standard Size",$P485),'[1]REMOVAL FEES'!$A$1:$A$22,0),3),IF($Y485=2,IF($P485&gt;10,(($P485-10)*1.06)+INDEX('[1]REMOVAL FEES'!$E$1:$G$22,MATCH(CONCATENATE("Large bulky, extra-large and special handling items",IF($P485&gt;=11,11,$P485)),'[1]REMOVAL FEES'!$E$1:$E$13,0),3),INDEX('[1]REMOVAL FEES'!$E$1:$G$22,MATCH(CONCATENATE("Large bulky, extra-large and special handling items",IF($P485&gt;=11,11,$P485)),'[1]REMOVAL FEES'!$E$1:$E$13,0),3))))*$AA485,FALSE)</f>
        <v>-53.54</v>
      </c>
      <c r="AJ485" s="107">
        <f t="shared" si="94"/>
        <v>-110.56421428571429</v>
      </c>
      <c r="AK485" s="107">
        <v>-93.39</v>
      </c>
      <c r="AL485" s="107">
        <v>-18.84</v>
      </c>
      <c r="AM485" s="107">
        <f t="shared" si="95"/>
        <v>-112.23</v>
      </c>
      <c r="AN485" s="116">
        <f>(-IF($V485="Yes", IF($X485="Yes", VLOOKUP($W485, '[1]Storage Fees'!A:M, 13, FALSE), VLOOKUP($W485, '[1]Storage Fees'!A:M, 10, FALSE)), IF($X485="Yes", VLOOKUP($W485, '[1]Storage Fees'!A:M, 7, FALSE), VLOOKUP($W485, '[1]Storage Fees'!A:M, 4, FALSE))) * U485)*1.5</f>
        <v>-1.2672916666666667</v>
      </c>
    </row>
    <row r="486" spans="1:40" x14ac:dyDescent="0.25">
      <c r="A486" s="99">
        <v>414</v>
      </c>
      <c r="B486" s="99" t="s">
        <v>13700</v>
      </c>
      <c r="C486" s="99"/>
      <c r="D486" s="99"/>
      <c r="E486" s="99" t="s">
        <v>123</v>
      </c>
      <c r="F486" s="99" t="s">
        <v>348</v>
      </c>
      <c r="G486" s="99" t="s">
        <v>13695</v>
      </c>
      <c r="H486" s="99">
        <v>15</v>
      </c>
      <c r="I486" s="99">
        <v>13</v>
      </c>
      <c r="J486" s="99">
        <v>13</v>
      </c>
      <c r="K486" s="101" t="str">
        <f t="shared" si="83"/>
        <v>15x13x13</v>
      </c>
      <c r="L486" s="102">
        <f t="shared" si="84"/>
        <v>18.237410071942445</v>
      </c>
      <c r="M486" s="113">
        <f t="shared" si="85"/>
        <v>18.237410071942445</v>
      </c>
      <c r="N486" s="113">
        <f t="shared" si="86"/>
        <v>19</v>
      </c>
      <c r="O486" s="99">
        <v>28</v>
      </c>
      <c r="P486" s="113">
        <f t="shared" si="87"/>
        <v>28</v>
      </c>
      <c r="Q486" s="112">
        <f t="shared" si="88"/>
        <v>448</v>
      </c>
      <c r="R486" s="112" t="str">
        <f t="shared" si="89"/>
        <v>Oversize</v>
      </c>
      <c r="S486" s="99" t="str">
        <f t="shared" si="90"/>
        <v>Large bulky</v>
      </c>
      <c r="T486" s="116" t="s">
        <v>13692</v>
      </c>
      <c r="U486" s="116">
        <f t="shared" si="91"/>
        <v>1.4670138888888888</v>
      </c>
      <c r="V486" s="116" t="s">
        <v>13583</v>
      </c>
      <c r="W486" s="116" t="s">
        <v>13690</v>
      </c>
      <c r="X486" s="116" t="s">
        <v>13691</v>
      </c>
      <c r="Y486" s="116">
        <v>2</v>
      </c>
      <c r="Z486" s="116">
        <v>3</v>
      </c>
      <c r="AA486" s="116">
        <v>1</v>
      </c>
      <c r="AB486" s="99"/>
      <c r="AC486" s="99"/>
      <c r="AD486" s="107">
        <v>183.4846315789473</v>
      </c>
      <c r="AE486" s="113">
        <f t="shared" si="92"/>
        <v>-27.522694736842094</v>
      </c>
      <c r="AF486" s="118">
        <f>-IFERROR(IFERROR(VLOOKUP(ROUNDUP($Q486,0),'FBA FEES'!$L$2:$Q$203,MATCH($S486,'FBA FEES'!$L$2:$Q$2,0),FALSE),VLOOKUP(ROUNDUP($Q486,0),'FBA FEES'!$C$6:$F$123,MATCH($S486,'FBA FEES'!$C$6:$F$6,0),FALSE)),0)</f>
        <v>-19.869999999999997</v>
      </c>
      <c r="AG486" s="116">
        <v>-10</v>
      </c>
      <c r="AH486" s="113">
        <f t="shared" si="93"/>
        <v>-47.392694736842088</v>
      </c>
      <c r="AI486" s="118">
        <f>-IFERROR(IF($Y486=1,INDEX('[1]REMOVAL FEES'!$A$1:$C$22,MATCH(CONCATENATE("Standard Size",$P486),'[1]REMOVAL FEES'!$A$1:$A$22,0),3),IF($Y486=2,IF($P486&gt;10,(($P486-10)*1.06)+INDEX('[1]REMOVAL FEES'!$E$1:$G$22,MATCH(CONCATENATE("Large bulky, extra-large and special handling items",IF($P486&gt;=11,11,$P486)),'[1]REMOVAL FEES'!$E$1:$E$13,0),3),INDEX('[1]REMOVAL FEES'!$E$1:$G$22,MATCH(CONCATENATE("Large bulky, extra-large and special handling items",IF($P486&gt;=11,11,$P486)),'[1]REMOVAL FEES'!$E$1:$E$13,0),3))))*$AA486,FALSE)</f>
        <v>-33.400000000000006</v>
      </c>
      <c r="AJ486" s="107">
        <f t="shared" si="94"/>
        <v>-80.792694736842094</v>
      </c>
      <c r="AK486" s="107">
        <v>-80.755789473684018</v>
      </c>
      <c r="AL486" s="107">
        <v>-11.341109292414689</v>
      </c>
      <c r="AM486" s="107">
        <f t="shared" si="95"/>
        <v>-92.096898766098704</v>
      </c>
      <c r="AN486" s="118">
        <f>(-IF($V486="Yes", IF($X486="Yes", VLOOKUP($W486, '[1]Storage Fees'!A:M, 13, FALSE), VLOOKUP($W486, '[1]Storage Fees'!A:M, 10, FALSE)), IF($X486="Yes", VLOOKUP($W486, '[1]Storage Fees'!A:M, 7, FALSE), VLOOKUP($W486, '[1]Storage Fees'!A:M, 4, FALSE))) * U486)*1.5</f>
        <v>-1.7384114583333332</v>
      </c>
    </row>
    <row r="487" spans="1:40" x14ac:dyDescent="0.25">
      <c r="A487" s="99">
        <v>415</v>
      </c>
      <c r="B487" s="99" t="s">
        <v>13700</v>
      </c>
      <c r="C487" s="99"/>
      <c r="D487" s="99"/>
      <c r="E487" s="99" t="s">
        <v>148</v>
      </c>
      <c r="F487" s="99" t="s">
        <v>350</v>
      </c>
      <c r="G487" s="99" t="s">
        <v>13656</v>
      </c>
      <c r="H487" s="99">
        <v>13</v>
      </c>
      <c r="I487" s="99">
        <v>12</v>
      </c>
      <c r="J487" s="99">
        <v>4</v>
      </c>
      <c r="K487" s="101" t="str">
        <f t="shared" si="83"/>
        <v>13x12x4</v>
      </c>
      <c r="L487" s="102">
        <f t="shared" si="84"/>
        <v>4.4892086330935248</v>
      </c>
      <c r="M487" s="113">
        <f t="shared" si="85"/>
        <v>4.4892086330935248</v>
      </c>
      <c r="N487" s="113">
        <f t="shared" si="86"/>
        <v>5</v>
      </c>
      <c r="O487" s="99">
        <v>6</v>
      </c>
      <c r="P487" s="113">
        <f t="shared" si="87"/>
        <v>6</v>
      </c>
      <c r="Q487" s="112">
        <f t="shared" si="88"/>
        <v>96</v>
      </c>
      <c r="R487" s="112" t="str">
        <f t="shared" si="89"/>
        <v>Standard-size</v>
      </c>
      <c r="S487" s="99" t="str">
        <f t="shared" si="90"/>
        <v>Large standard-size</v>
      </c>
      <c r="T487" s="116" t="s">
        <v>13693</v>
      </c>
      <c r="U487" s="116">
        <f t="shared" si="91"/>
        <v>0.3611111111111111</v>
      </c>
      <c r="V487" s="116" t="s">
        <v>13583</v>
      </c>
      <c r="W487" s="116" t="s">
        <v>13690</v>
      </c>
      <c r="X487" s="99" t="s">
        <v>13583</v>
      </c>
      <c r="Y487" s="99">
        <v>1</v>
      </c>
      <c r="Z487" s="99">
        <v>2</v>
      </c>
      <c r="AA487" s="99">
        <v>1</v>
      </c>
      <c r="AB487" s="99"/>
      <c r="AC487" s="99"/>
      <c r="AD487" s="107">
        <v>53.844058823529267</v>
      </c>
      <c r="AE487" s="113">
        <f t="shared" si="92"/>
        <v>-8.0766088235293889</v>
      </c>
      <c r="AF487" s="116">
        <f>-IFERROR(IFERROR(VLOOKUP(ROUNDUP($Q487,0),'FBA FEES'!$L$2:$Q$203,MATCH($S487,'FBA FEES'!$L$2:$Q$2,0),FALSE),VLOOKUP(ROUNDUP($Q487,0),'FBA FEES'!$C$6:$F$123,MATCH($S487,'FBA FEES'!$C$6:$F$6,0),FALSE)),0)</f>
        <v>-7.88</v>
      </c>
      <c r="AG487" s="116">
        <v>-10</v>
      </c>
      <c r="AH487" s="113">
        <f t="shared" si="93"/>
        <v>-15.95660882352939</v>
      </c>
      <c r="AI487" s="116">
        <f>-IFERROR(IF($Y487=1,INDEX('[1]REMOVAL FEES'!$A$1:$C$22,MATCH(CONCATENATE("Standard Size",$P487),'[1]REMOVAL FEES'!$A$1:$A$22,0),3),IF($Y487=2,IF($P487&gt;10,(($P487-10)*1.06)+INDEX('[1]REMOVAL FEES'!$E$1:$G$22,MATCH(CONCATENATE("Large bulky, extra-large and special handling items",IF($P487&gt;=11,11,$P487)),'[1]REMOVAL FEES'!$E$1:$E$13,0),3),INDEX('[1]REMOVAL FEES'!$E$1:$G$22,MATCH(CONCATENATE("Large bulky, extra-large and special handling items",IF($P487&gt;=11,11,$P487)),'[1]REMOVAL FEES'!$E$1:$E$13,0),3))))*$AA487,FALSE)</f>
        <v>-7.1300000000000008</v>
      </c>
      <c r="AJ487" s="107">
        <f t="shared" si="94"/>
        <v>-23.086608823529389</v>
      </c>
      <c r="AK487" s="107">
        <v>-20.377843137254921</v>
      </c>
      <c r="AL487" s="107">
        <v>-2.020625453885259</v>
      </c>
      <c r="AM487" s="107">
        <f t="shared" si="95"/>
        <v>-22.39846859114018</v>
      </c>
      <c r="AN487" s="116">
        <f>(-IF($V487="Yes", IF($X487="Yes", VLOOKUP($W487, '[1]Storage Fees'!A:M, 13, FALSE), VLOOKUP($W487, '[1]Storage Fees'!A:M, 10, FALSE)), IF($X487="Yes", VLOOKUP($W487, '[1]Storage Fees'!A:M, 7, FALSE), VLOOKUP($W487, '[1]Storage Fees'!A:M, 4, FALSE))) * U487)*1.5</f>
        <v>-0.66083333333333327</v>
      </c>
    </row>
    <row r="488" spans="1:40" x14ac:dyDescent="0.25">
      <c r="A488" s="99">
        <v>416</v>
      </c>
      <c r="B488" s="99" t="s">
        <v>55</v>
      </c>
      <c r="C488" s="99"/>
      <c r="D488" s="99"/>
      <c r="E488" s="99" t="s">
        <v>54</v>
      </c>
      <c r="F488" s="99" t="s">
        <v>352</v>
      </c>
      <c r="G488" s="99" t="s">
        <v>13656</v>
      </c>
      <c r="H488" s="99">
        <v>12</v>
      </c>
      <c r="I488" s="99">
        <v>12</v>
      </c>
      <c r="J488" s="99">
        <v>2</v>
      </c>
      <c r="K488" s="101" t="str">
        <f t="shared" si="83"/>
        <v>12x12x2</v>
      </c>
      <c r="L488" s="102">
        <f t="shared" si="84"/>
        <v>2.0719424460431655</v>
      </c>
      <c r="M488" s="113">
        <f t="shared" si="85"/>
        <v>2.0719424460431655</v>
      </c>
      <c r="N488" s="113">
        <f t="shared" si="86"/>
        <v>3</v>
      </c>
      <c r="O488" s="99">
        <v>1.5</v>
      </c>
      <c r="P488" s="113">
        <f t="shared" si="87"/>
        <v>3</v>
      </c>
      <c r="Q488" s="112">
        <f t="shared" si="88"/>
        <v>48</v>
      </c>
      <c r="R488" s="112" t="str">
        <f t="shared" si="89"/>
        <v>Standard-size</v>
      </c>
      <c r="S488" s="99" t="str">
        <f t="shared" si="90"/>
        <v>Large standard-size</v>
      </c>
      <c r="T488" s="116" t="s">
        <v>13701</v>
      </c>
      <c r="U488" s="116">
        <f t="shared" si="91"/>
        <v>0.16666666666666666</v>
      </c>
      <c r="V488" s="116" t="s">
        <v>13583</v>
      </c>
      <c r="W488" s="116" t="s">
        <v>13690</v>
      </c>
      <c r="X488" s="99" t="s">
        <v>13583</v>
      </c>
      <c r="Y488" s="99">
        <v>1</v>
      </c>
      <c r="Z488" s="99">
        <v>2</v>
      </c>
      <c r="AA488" s="99">
        <v>1</v>
      </c>
      <c r="AB488" s="99"/>
      <c r="AC488" s="99"/>
      <c r="AD488" s="107">
        <v>15.496721854304621</v>
      </c>
      <c r="AE488" s="113">
        <f t="shared" si="92"/>
        <v>-2.3245082781456929</v>
      </c>
      <c r="AF488" s="116">
        <f>-IFERROR(IFERROR(VLOOKUP(ROUNDUP($Q488,0),'FBA FEES'!$L$2:$Q$203,MATCH($S488,'FBA FEES'!$L$2:$Q$2,0),FALSE),VLOOKUP(ROUNDUP($Q488,0),'FBA FEES'!$C$6:$F$123,MATCH($S488,'FBA FEES'!$C$6:$F$6,0),FALSE)),0)</f>
        <v>-6.62</v>
      </c>
      <c r="AG488" s="116">
        <v>-2</v>
      </c>
      <c r="AH488" s="113">
        <f t="shared" si="93"/>
        <v>-8.9445082781456939</v>
      </c>
      <c r="AI488" s="116">
        <f>-IFERROR(IF($Y488=1,INDEX('[1]REMOVAL FEES'!$A$1:$C$22,MATCH(CONCATENATE("Standard Size",$P488),'[1]REMOVAL FEES'!$A$1:$A$22,0),3),IF($Y488=2,IF($P488&gt;10,(($P488-10)*1.06)+INDEX('[1]REMOVAL FEES'!$E$1:$G$22,MATCH(CONCATENATE("Large bulky, extra-large and special handling items",IF($P488&gt;=11,11,$P488)),'[1]REMOVAL FEES'!$E$1:$E$13,0),3),INDEX('[1]REMOVAL FEES'!$E$1:$G$22,MATCH(CONCATENATE("Large bulky, extra-large and special handling items",IF($P488&gt;=11,11,$P488)),'[1]REMOVAL FEES'!$E$1:$E$13,0),3))))*$AA488,FALSE)</f>
        <v>-3.95</v>
      </c>
      <c r="AJ488" s="107">
        <f t="shared" si="94"/>
        <v>-12.894508278145693</v>
      </c>
      <c r="AK488" s="107">
        <v>-2.6672847682119198</v>
      </c>
      <c r="AL488" s="107">
        <v>-0.61610154525386196</v>
      </c>
      <c r="AM488" s="107">
        <f t="shared" si="95"/>
        <v>-3.2833863134657819</v>
      </c>
      <c r="AN488" s="116">
        <f>(-IF($V488="Yes", IF($X488="Yes", VLOOKUP($W488, '[1]Storage Fees'!A:M, 13, FALSE), VLOOKUP($W488, '[1]Storage Fees'!A:M, 10, FALSE)), IF($X488="Yes", VLOOKUP($W488, '[1]Storage Fees'!A:M, 7, FALSE), VLOOKUP($W488, '[1]Storage Fees'!A:M, 4, FALSE))) * U488)*1.5</f>
        <v>-0.30499999999999994</v>
      </c>
    </row>
    <row r="489" spans="1:40" x14ac:dyDescent="0.25">
      <c r="A489" s="99">
        <v>417</v>
      </c>
      <c r="B489" s="99"/>
      <c r="C489" s="99" t="s">
        <v>13655</v>
      </c>
      <c r="D489" s="99"/>
      <c r="E489" s="99" t="s">
        <v>1874</v>
      </c>
      <c r="F489" s="99" t="s">
        <v>1872</v>
      </c>
      <c r="G489" s="99" t="s">
        <v>13695</v>
      </c>
      <c r="H489" s="99">
        <v>0</v>
      </c>
      <c r="I489" s="99">
        <v>0</v>
      </c>
      <c r="J489" s="99">
        <v>0</v>
      </c>
      <c r="K489" s="101" t="str">
        <f t="shared" si="83"/>
        <v>0x0x0</v>
      </c>
      <c r="L489" s="102">
        <f t="shared" si="84"/>
        <v>0</v>
      </c>
      <c r="M489" s="113">
        <f t="shared" si="85"/>
        <v>0</v>
      </c>
      <c r="N489" s="113">
        <f t="shared" si="86"/>
        <v>0</v>
      </c>
      <c r="O489" s="99">
        <v>0</v>
      </c>
      <c r="P489" s="113">
        <f t="shared" si="87"/>
        <v>0</v>
      </c>
      <c r="Q489" s="112">
        <f t="shared" si="88"/>
        <v>0</v>
      </c>
      <c r="R489" s="112" t="str">
        <f t="shared" si="89"/>
        <v>Standard-size</v>
      </c>
      <c r="S489" s="99" t="str">
        <f t="shared" si="90"/>
        <v>Small standard-size</v>
      </c>
      <c r="T489" s="116" t="s">
        <v>13696</v>
      </c>
      <c r="U489" s="116">
        <f t="shared" si="91"/>
        <v>0</v>
      </c>
      <c r="V489" s="116" t="s">
        <v>13583</v>
      </c>
      <c r="W489" s="116" t="s">
        <v>13690</v>
      </c>
      <c r="X489" s="99" t="s">
        <v>13583</v>
      </c>
      <c r="Y489" s="99">
        <v>1</v>
      </c>
      <c r="Z489" s="99">
        <v>1</v>
      </c>
      <c r="AA489" s="99">
        <v>1</v>
      </c>
      <c r="AB489" s="99"/>
      <c r="AC489" s="99"/>
      <c r="AD489" s="107">
        <v>0</v>
      </c>
      <c r="AE489" s="113">
        <f t="shared" si="92"/>
        <v>0</v>
      </c>
      <c r="AF489" s="116">
        <f>-IFERROR(IFERROR(VLOOKUP(ROUNDUP($Q489,0),'FBA FEES'!$L$2:$Q$203,MATCH($S489,'FBA FEES'!$L$2:$Q$2,0),FALSE),VLOOKUP(ROUNDUP($Q489,0),'FBA FEES'!$C$6:$F$123,MATCH($S489,'FBA FEES'!$C$6:$F$6,0),FALSE)),0)</f>
        <v>0</v>
      </c>
      <c r="AG489" s="116">
        <v>-10</v>
      </c>
      <c r="AH489" s="113">
        <f t="shared" si="93"/>
        <v>0</v>
      </c>
      <c r="AI489" s="116">
        <f>-IFERROR(IF($Y489=1,INDEX('[1]REMOVAL FEES'!$A$1:$C$22,MATCH(CONCATENATE("Standard Size",$P489),'[1]REMOVAL FEES'!$A$1:$A$22,0),3),IF($Y489=2,IF($P489&gt;10,(($P489-10)*1.06)+INDEX('[1]REMOVAL FEES'!$E$1:$G$22,MATCH(CONCATENATE("Large bulky, extra-large and special handling items",IF($P489&gt;=11,11,$P489)),'[1]REMOVAL FEES'!$E$1:$E$13,0),3),INDEX('[1]REMOVAL FEES'!$E$1:$G$22,MATCH(CONCATENATE("Large bulky, extra-large and special handling items",IF($P489&gt;=11,11,$P489)),'[1]REMOVAL FEES'!$E$1:$E$13,0),3))))*$AA489,FALSE)</f>
        <v>0</v>
      </c>
      <c r="AJ489" s="107">
        <f t="shared" si="94"/>
        <v>0</v>
      </c>
      <c r="AK489" s="107">
        <v>0</v>
      </c>
      <c r="AL489" s="107">
        <v>0</v>
      </c>
      <c r="AM489" s="107">
        <f t="shared" si="95"/>
        <v>0</v>
      </c>
      <c r="AN489" s="116">
        <f>(-IF($V489="Yes", IF($X489="Yes", VLOOKUP($W489, '[1]Storage Fees'!A:M, 13, FALSE), VLOOKUP($W489, '[1]Storage Fees'!A:M, 10, FALSE)), IF($X489="Yes", VLOOKUP($W489, '[1]Storage Fees'!A:M, 7, FALSE), VLOOKUP($W489, '[1]Storage Fees'!A:M, 4, FALSE))) * U489)*1.5</f>
        <v>0</v>
      </c>
    </row>
    <row r="490" spans="1:40" x14ac:dyDescent="0.25">
      <c r="A490" s="99">
        <v>418</v>
      </c>
      <c r="B490" s="99"/>
      <c r="C490" s="99" t="s">
        <v>13655</v>
      </c>
      <c r="D490" s="99"/>
      <c r="E490" s="99" t="s">
        <v>1874</v>
      </c>
      <c r="F490" s="99" t="s">
        <v>1875</v>
      </c>
      <c r="G490" s="99" t="s">
        <v>13695</v>
      </c>
      <c r="H490" s="99">
        <v>0</v>
      </c>
      <c r="I490" s="99">
        <v>0</v>
      </c>
      <c r="J490" s="99">
        <v>0</v>
      </c>
      <c r="K490" s="101" t="str">
        <f t="shared" si="83"/>
        <v>0x0x0</v>
      </c>
      <c r="L490" s="102">
        <f t="shared" si="84"/>
        <v>0</v>
      </c>
      <c r="M490" s="113">
        <f t="shared" si="85"/>
        <v>0</v>
      </c>
      <c r="N490" s="113">
        <f t="shared" si="86"/>
        <v>0</v>
      </c>
      <c r="O490" s="99">
        <v>0</v>
      </c>
      <c r="P490" s="113">
        <f t="shared" si="87"/>
        <v>0</v>
      </c>
      <c r="Q490" s="112">
        <f t="shared" si="88"/>
        <v>0</v>
      </c>
      <c r="R490" s="112" t="str">
        <f t="shared" si="89"/>
        <v>Standard-size</v>
      </c>
      <c r="S490" s="99" t="str">
        <f t="shared" si="90"/>
        <v>Small standard-size</v>
      </c>
      <c r="T490" s="116" t="s">
        <v>13696</v>
      </c>
      <c r="U490" s="116">
        <f t="shared" si="91"/>
        <v>0</v>
      </c>
      <c r="V490" s="116" t="s">
        <v>13583</v>
      </c>
      <c r="W490" s="116" t="s">
        <v>13690</v>
      </c>
      <c r="X490" s="99" t="s">
        <v>13583</v>
      </c>
      <c r="Y490" s="99">
        <v>1</v>
      </c>
      <c r="Z490" s="99">
        <v>1</v>
      </c>
      <c r="AA490" s="99">
        <v>1</v>
      </c>
      <c r="AB490" s="99"/>
      <c r="AC490" s="99"/>
      <c r="AD490" s="107">
        <v>0</v>
      </c>
      <c r="AE490" s="113">
        <f t="shared" si="92"/>
        <v>0</v>
      </c>
      <c r="AF490" s="116">
        <f>-IFERROR(IFERROR(VLOOKUP(ROUNDUP($Q490,0),'FBA FEES'!$L$2:$Q$203,MATCH($S490,'FBA FEES'!$L$2:$Q$2,0),FALSE),VLOOKUP(ROUNDUP($Q490,0),'FBA FEES'!$C$6:$F$123,MATCH($S490,'FBA FEES'!$C$6:$F$6,0),FALSE)),0)</f>
        <v>0</v>
      </c>
      <c r="AG490" s="116">
        <v>-10</v>
      </c>
      <c r="AH490" s="113">
        <f t="shared" si="93"/>
        <v>0</v>
      </c>
      <c r="AI490" s="116">
        <f>-IFERROR(IF($Y490=1,INDEX('[1]REMOVAL FEES'!$A$1:$C$22,MATCH(CONCATENATE("Standard Size",$P490),'[1]REMOVAL FEES'!$A$1:$A$22,0),3),IF($Y490=2,IF($P490&gt;10,(($P490-10)*1.06)+INDEX('[1]REMOVAL FEES'!$E$1:$G$22,MATCH(CONCATENATE("Large bulky, extra-large and special handling items",IF($P490&gt;=11,11,$P490)),'[1]REMOVAL FEES'!$E$1:$E$13,0),3),INDEX('[1]REMOVAL FEES'!$E$1:$G$22,MATCH(CONCATENATE("Large bulky, extra-large and special handling items",IF($P490&gt;=11,11,$P490)),'[1]REMOVAL FEES'!$E$1:$E$13,0),3))))*$AA490,FALSE)</f>
        <v>0</v>
      </c>
      <c r="AJ490" s="107">
        <f t="shared" si="94"/>
        <v>0</v>
      </c>
      <c r="AK490" s="107">
        <v>0</v>
      </c>
      <c r="AL490" s="107">
        <v>0</v>
      </c>
      <c r="AM490" s="107">
        <f t="shared" si="95"/>
        <v>0</v>
      </c>
      <c r="AN490" s="116">
        <f>(-IF($V490="Yes", IF($X490="Yes", VLOOKUP($W490, '[1]Storage Fees'!A:M, 13, FALSE), VLOOKUP($W490, '[1]Storage Fees'!A:M, 10, FALSE)), IF($X490="Yes", VLOOKUP($W490, '[1]Storage Fees'!A:M, 7, FALSE), VLOOKUP($W490, '[1]Storage Fees'!A:M, 4, FALSE))) * U490)*1.5</f>
        <v>0</v>
      </c>
    </row>
    <row r="491" spans="1:40" x14ac:dyDescent="0.25">
      <c r="A491" s="99">
        <v>419</v>
      </c>
      <c r="B491" s="99"/>
      <c r="C491" s="99" t="s">
        <v>13655</v>
      </c>
      <c r="D491" s="99"/>
      <c r="E491" s="99" t="s">
        <v>1874</v>
      </c>
      <c r="F491" s="99" t="s">
        <v>1877</v>
      </c>
      <c r="G491" s="99" t="s">
        <v>13695</v>
      </c>
      <c r="H491" s="99">
        <v>0</v>
      </c>
      <c r="I491" s="99">
        <v>0</v>
      </c>
      <c r="J491" s="99">
        <v>0</v>
      </c>
      <c r="K491" s="101" t="str">
        <f t="shared" si="83"/>
        <v>0x0x0</v>
      </c>
      <c r="L491" s="102">
        <f t="shared" si="84"/>
        <v>0</v>
      </c>
      <c r="M491" s="113">
        <f t="shared" si="85"/>
        <v>0</v>
      </c>
      <c r="N491" s="113">
        <f t="shared" si="86"/>
        <v>0</v>
      </c>
      <c r="O491" s="99">
        <v>0</v>
      </c>
      <c r="P491" s="113">
        <f t="shared" si="87"/>
        <v>0</v>
      </c>
      <c r="Q491" s="112">
        <f t="shared" si="88"/>
        <v>0</v>
      </c>
      <c r="R491" s="112" t="str">
        <f t="shared" si="89"/>
        <v>Standard-size</v>
      </c>
      <c r="S491" s="99" t="str">
        <f t="shared" si="90"/>
        <v>Small standard-size</v>
      </c>
      <c r="T491" s="116" t="s">
        <v>13696</v>
      </c>
      <c r="U491" s="116">
        <f t="shared" si="91"/>
        <v>0</v>
      </c>
      <c r="V491" s="116" t="s">
        <v>13583</v>
      </c>
      <c r="W491" s="116" t="s">
        <v>13690</v>
      </c>
      <c r="X491" s="99" t="s">
        <v>13583</v>
      </c>
      <c r="Y491" s="99">
        <v>1</v>
      </c>
      <c r="Z491" s="99">
        <v>1</v>
      </c>
      <c r="AA491" s="99">
        <v>1</v>
      </c>
      <c r="AB491" s="99"/>
      <c r="AC491" s="99"/>
      <c r="AD491" s="107">
        <v>0</v>
      </c>
      <c r="AE491" s="113">
        <f t="shared" si="92"/>
        <v>0</v>
      </c>
      <c r="AF491" s="116">
        <f>-IFERROR(IFERROR(VLOOKUP(ROUNDUP($Q491,0),'FBA FEES'!$L$2:$Q$203,MATCH($S491,'FBA FEES'!$L$2:$Q$2,0),FALSE),VLOOKUP(ROUNDUP($Q491,0),'FBA FEES'!$C$6:$F$123,MATCH($S491,'FBA FEES'!$C$6:$F$6,0),FALSE)),0)</f>
        <v>0</v>
      </c>
      <c r="AG491" s="116">
        <v>-10</v>
      </c>
      <c r="AH491" s="113">
        <f t="shared" si="93"/>
        <v>0</v>
      </c>
      <c r="AI491" s="116">
        <f>-IFERROR(IF($Y491=1,INDEX('[1]REMOVAL FEES'!$A$1:$C$22,MATCH(CONCATENATE("Standard Size",$P491),'[1]REMOVAL FEES'!$A$1:$A$22,0),3),IF($Y491=2,IF($P491&gt;10,(($P491-10)*1.06)+INDEX('[1]REMOVAL FEES'!$E$1:$G$22,MATCH(CONCATENATE("Large bulky, extra-large and special handling items",IF($P491&gt;=11,11,$P491)),'[1]REMOVAL FEES'!$E$1:$E$13,0),3),INDEX('[1]REMOVAL FEES'!$E$1:$G$22,MATCH(CONCATENATE("Large bulky, extra-large and special handling items",IF($P491&gt;=11,11,$P491)),'[1]REMOVAL FEES'!$E$1:$E$13,0),3))))*$AA491,FALSE)</f>
        <v>0</v>
      </c>
      <c r="AJ491" s="107">
        <f t="shared" si="94"/>
        <v>0</v>
      </c>
      <c r="AK491" s="107">
        <v>0</v>
      </c>
      <c r="AL491" s="107">
        <v>0</v>
      </c>
      <c r="AM491" s="107">
        <f t="shared" si="95"/>
        <v>0</v>
      </c>
      <c r="AN491" s="116">
        <f>(-IF($V491="Yes", IF($X491="Yes", VLOOKUP($W491, '[1]Storage Fees'!A:M, 13, FALSE), VLOOKUP($W491, '[1]Storage Fees'!A:M, 10, FALSE)), IF($X491="Yes", VLOOKUP($W491, '[1]Storage Fees'!A:M, 7, FALSE), VLOOKUP($W491, '[1]Storage Fees'!A:M, 4, FALSE))) * U491)*1.5</f>
        <v>0</v>
      </c>
    </row>
    <row r="492" spans="1:40" x14ac:dyDescent="0.25">
      <c r="A492" s="99">
        <v>420</v>
      </c>
      <c r="B492" s="99"/>
      <c r="C492" s="99" t="s">
        <v>13655</v>
      </c>
      <c r="D492" s="99"/>
      <c r="E492" s="99" t="s">
        <v>1874</v>
      </c>
      <c r="F492" s="99" t="s">
        <v>1879</v>
      </c>
      <c r="G492" s="99" t="s">
        <v>13695</v>
      </c>
      <c r="H492" s="99">
        <v>0</v>
      </c>
      <c r="I492" s="99">
        <v>0</v>
      </c>
      <c r="J492" s="99">
        <v>0</v>
      </c>
      <c r="K492" s="101" t="str">
        <f t="shared" si="83"/>
        <v>0x0x0</v>
      </c>
      <c r="L492" s="102">
        <f t="shared" si="84"/>
        <v>0</v>
      </c>
      <c r="M492" s="113">
        <f t="shared" si="85"/>
        <v>0</v>
      </c>
      <c r="N492" s="113">
        <f t="shared" si="86"/>
        <v>0</v>
      </c>
      <c r="O492" s="99">
        <v>0</v>
      </c>
      <c r="P492" s="113">
        <f t="shared" si="87"/>
        <v>0</v>
      </c>
      <c r="Q492" s="112">
        <f t="shared" si="88"/>
        <v>0</v>
      </c>
      <c r="R492" s="112" t="str">
        <f t="shared" si="89"/>
        <v>Standard-size</v>
      </c>
      <c r="S492" s="99" t="str">
        <f t="shared" si="90"/>
        <v>Small standard-size</v>
      </c>
      <c r="T492" s="116" t="s">
        <v>13696</v>
      </c>
      <c r="U492" s="116">
        <f t="shared" si="91"/>
        <v>0</v>
      </c>
      <c r="V492" s="116" t="s">
        <v>13583</v>
      </c>
      <c r="W492" s="116" t="s">
        <v>13690</v>
      </c>
      <c r="X492" s="99" t="s">
        <v>13583</v>
      </c>
      <c r="Y492" s="99">
        <v>1</v>
      </c>
      <c r="Z492" s="99">
        <v>1</v>
      </c>
      <c r="AA492" s="99">
        <v>1</v>
      </c>
      <c r="AB492" s="99"/>
      <c r="AC492" s="99"/>
      <c r="AD492" s="107">
        <v>0</v>
      </c>
      <c r="AE492" s="113">
        <f t="shared" si="92"/>
        <v>0</v>
      </c>
      <c r="AF492" s="116">
        <f>-IFERROR(IFERROR(VLOOKUP(ROUNDUP($Q492,0),'FBA FEES'!$L$2:$Q$203,MATCH($S492,'FBA FEES'!$L$2:$Q$2,0),FALSE),VLOOKUP(ROUNDUP($Q492,0),'FBA FEES'!$C$6:$F$123,MATCH($S492,'FBA FEES'!$C$6:$F$6,0),FALSE)),0)</f>
        <v>0</v>
      </c>
      <c r="AG492" s="116">
        <v>-10</v>
      </c>
      <c r="AH492" s="113">
        <f t="shared" si="93"/>
        <v>0</v>
      </c>
      <c r="AI492" s="116">
        <f>-IFERROR(IF($Y492=1,INDEX('[1]REMOVAL FEES'!$A$1:$C$22,MATCH(CONCATENATE("Standard Size",$P492),'[1]REMOVAL FEES'!$A$1:$A$22,0),3),IF($Y492=2,IF($P492&gt;10,(($P492-10)*1.06)+INDEX('[1]REMOVAL FEES'!$E$1:$G$22,MATCH(CONCATENATE("Large bulky, extra-large and special handling items",IF($P492&gt;=11,11,$P492)),'[1]REMOVAL FEES'!$E$1:$E$13,0),3),INDEX('[1]REMOVAL FEES'!$E$1:$G$22,MATCH(CONCATENATE("Large bulky, extra-large and special handling items",IF($P492&gt;=11,11,$P492)),'[1]REMOVAL FEES'!$E$1:$E$13,0),3))))*$AA492,FALSE)</f>
        <v>0</v>
      </c>
      <c r="AJ492" s="107">
        <f t="shared" si="94"/>
        <v>0</v>
      </c>
      <c r="AK492" s="107">
        <v>0</v>
      </c>
      <c r="AL492" s="107">
        <v>0</v>
      </c>
      <c r="AM492" s="107">
        <f t="shared" si="95"/>
        <v>0</v>
      </c>
      <c r="AN492" s="116">
        <f>(-IF($V492="Yes", IF($X492="Yes", VLOOKUP($W492, '[1]Storage Fees'!A:M, 13, FALSE), VLOOKUP($W492, '[1]Storage Fees'!A:M, 10, FALSE)), IF($X492="Yes", VLOOKUP($W492, '[1]Storage Fees'!A:M, 7, FALSE), VLOOKUP($W492, '[1]Storage Fees'!A:M, 4, FALSE))) * U492)*1.5</f>
        <v>0</v>
      </c>
    </row>
    <row r="493" spans="1:40" x14ac:dyDescent="0.25">
      <c r="A493" s="99">
        <v>421</v>
      </c>
      <c r="B493" s="99"/>
      <c r="C493" s="99" t="s">
        <v>13655</v>
      </c>
      <c r="D493" s="99"/>
      <c r="E493" s="99" t="s">
        <v>1874</v>
      </c>
      <c r="F493" s="99" t="s">
        <v>1881</v>
      </c>
      <c r="G493" s="99" t="s">
        <v>13695</v>
      </c>
      <c r="H493" s="99">
        <v>0</v>
      </c>
      <c r="I493" s="99">
        <v>0</v>
      </c>
      <c r="J493" s="99">
        <v>0</v>
      </c>
      <c r="K493" s="101" t="str">
        <f t="shared" si="83"/>
        <v>0x0x0</v>
      </c>
      <c r="L493" s="102">
        <f t="shared" si="84"/>
        <v>0</v>
      </c>
      <c r="M493" s="113">
        <f t="shared" si="85"/>
        <v>0</v>
      </c>
      <c r="N493" s="113">
        <f t="shared" si="86"/>
        <v>0</v>
      </c>
      <c r="O493" s="99">
        <v>0</v>
      </c>
      <c r="P493" s="113">
        <f t="shared" si="87"/>
        <v>0</v>
      </c>
      <c r="Q493" s="112">
        <f t="shared" si="88"/>
        <v>0</v>
      </c>
      <c r="R493" s="112" t="str">
        <f t="shared" si="89"/>
        <v>Standard-size</v>
      </c>
      <c r="S493" s="99" t="str">
        <f t="shared" si="90"/>
        <v>Small standard-size</v>
      </c>
      <c r="T493" s="116" t="s">
        <v>13696</v>
      </c>
      <c r="U493" s="116">
        <f t="shared" si="91"/>
        <v>0</v>
      </c>
      <c r="V493" s="116" t="s">
        <v>13583</v>
      </c>
      <c r="W493" s="116" t="s">
        <v>13690</v>
      </c>
      <c r="X493" s="99" t="s">
        <v>13583</v>
      </c>
      <c r="Y493" s="99">
        <v>1</v>
      </c>
      <c r="Z493" s="99">
        <v>1</v>
      </c>
      <c r="AA493" s="99">
        <v>1</v>
      </c>
      <c r="AB493" s="99"/>
      <c r="AC493" s="99"/>
      <c r="AD493" s="107">
        <v>0</v>
      </c>
      <c r="AE493" s="113">
        <f t="shared" si="92"/>
        <v>0</v>
      </c>
      <c r="AF493" s="116">
        <f>-IFERROR(IFERROR(VLOOKUP(ROUNDUP($Q493,0),'FBA FEES'!$L$2:$Q$203,MATCH($S493,'FBA FEES'!$L$2:$Q$2,0),FALSE),VLOOKUP(ROUNDUP($Q493,0),'FBA FEES'!$C$6:$F$123,MATCH($S493,'FBA FEES'!$C$6:$F$6,0),FALSE)),0)</f>
        <v>0</v>
      </c>
      <c r="AG493" s="116">
        <v>-10</v>
      </c>
      <c r="AH493" s="113">
        <f t="shared" si="93"/>
        <v>0</v>
      </c>
      <c r="AI493" s="116">
        <f>-IFERROR(IF($Y493=1,INDEX('[1]REMOVAL FEES'!$A$1:$C$22,MATCH(CONCATENATE("Standard Size",$P493),'[1]REMOVAL FEES'!$A$1:$A$22,0),3),IF($Y493=2,IF($P493&gt;10,(($P493-10)*1.06)+INDEX('[1]REMOVAL FEES'!$E$1:$G$22,MATCH(CONCATENATE("Large bulky, extra-large and special handling items",IF($P493&gt;=11,11,$P493)),'[1]REMOVAL FEES'!$E$1:$E$13,0),3),INDEX('[1]REMOVAL FEES'!$E$1:$G$22,MATCH(CONCATENATE("Large bulky, extra-large and special handling items",IF($P493&gt;=11,11,$P493)),'[1]REMOVAL FEES'!$E$1:$E$13,0),3))))*$AA493,FALSE)</f>
        <v>0</v>
      </c>
      <c r="AJ493" s="107">
        <f t="shared" si="94"/>
        <v>0</v>
      </c>
      <c r="AK493" s="107">
        <v>0</v>
      </c>
      <c r="AL493" s="107">
        <v>0</v>
      </c>
      <c r="AM493" s="107">
        <f t="shared" si="95"/>
        <v>0</v>
      </c>
      <c r="AN493" s="116">
        <f>(-IF($V493="Yes", IF($X493="Yes", VLOOKUP($W493, '[1]Storage Fees'!A:M, 13, FALSE), VLOOKUP($W493, '[1]Storage Fees'!A:M, 10, FALSE)), IF($X493="Yes", VLOOKUP($W493, '[1]Storage Fees'!A:M, 7, FALSE), VLOOKUP($W493, '[1]Storage Fees'!A:M, 4, FALSE))) * U493)*1.5</f>
        <v>0</v>
      </c>
    </row>
    <row r="494" spans="1:40" x14ac:dyDescent="0.25">
      <c r="A494" s="99">
        <v>422</v>
      </c>
      <c r="B494" s="99"/>
      <c r="C494" s="99" t="s">
        <v>13655</v>
      </c>
      <c r="D494" s="99"/>
      <c r="E494" s="99" t="s">
        <v>1874</v>
      </c>
      <c r="F494" s="99" t="s">
        <v>1883</v>
      </c>
      <c r="G494" s="99" t="s">
        <v>13695</v>
      </c>
      <c r="H494" s="99">
        <v>0</v>
      </c>
      <c r="I494" s="99">
        <v>0</v>
      </c>
      <c r="J494" s="99">
        <v>0</v>
      </c>
      <c r="K494" s="101" t="str">
        <f t="shared" si="83"/>
        <v>0x0x0</v>
      </c>
      <c r="L494" s="102">
        <f t="shared" si="84"/>
        <v>0</v>
      </c>
      <c r="M494" s="113">
        <f t="shared" si="85"/>
        <v>0</v>
      </c>
      <c r="N494" s="113">
        <f t="shared" si="86"/>
        <v>0</v>
      </c>
      <c r="O494" s="99">
        <v>0</v>
      </c>
      <c r="P494" s="113">
        <f t="shared" si="87"/>
        <v>0</v>
      </c>
      <c r="Q494" s="112">
        <f t="shared" si="88"/>
        <v>0</v>
      </c>
      <c r="R494" s="112" t="str">
        <f t="shared" si="89"/>
        <v>Standard-size</v>
      </c>
      <c r="S494" s="99" t="str">
        <f t="shared" si="90"/>
        <v>Small standard-size</v>
      </c>
      <c r="T494" s="116" t="s">
        <v>13696</v>
      </c>
      <c r="U494" s="116">
        <f t="shared" si="91"/>
        <v>0</v>
      </c>
      <c r="V494" s="116" t="s">
        <v>13583</v>
      </c>
      <c r="W494" s="116" t="s">
        <v>13690</v>
      </c>
      <c r="X494" s="99" t="s">
        <v>13583</v>
      </c>
      <c r="Y494" s="99">
        <v>1</v>
      </c>
      <c r="Z494" s="99">
        <v>1</v>
      </c>
      <c r="AA494" s="99">
        <v>1</v>
      </c>
      <c r="AB494" s="99"/>
      <c r="AC494" s="99"/>
      <c r="AD494" s="107">
        <v>0</v>
      </c>
      <c r="AE494" s="113">
        <f t="shared" si="92"/>
        <v>0</v>
      </c>
      <c r="AF494" s="116">
        <f>-IFERROR(IFERROR(VLOOKUP(ROUNDUP($Q494,0),'FBA FEES'!$L$2:$Q$203,MATCH($S494,'FBA FEES'!$L$2:$Q$2,0),FALSE),VLOOKUP(ROUNDUP($Q494,0),'FBA FEES'!$C$6:$F$123,MATCH($S494,'FBA FEES'!$C$6:$F$6,0),FALSE)),0)</f>
        <v>0</v>
      </c>
      <c r="AG494" s="116">
        <v>-10</v>
      </c>
      <c r="AH494" s="113">
        <f t="shared" si="93"/>
        <v>0</v>
      </c>
      <c r="AI494" s="116">
        <f>-IFERROR(IF($Y494=1,INDEX('[1]REMOVAL FEES'!$A$1:$C$22,MATCH(CONCATENATE("Standard Size",$P494),'[1]REMOVAL FEES'!$A$1:$A$22,0),3),IF($Y494=2,IF($P494&gt;10,(($P494-10)*1.06)+INDEX('[1]REMOVAL FEES'!$E$1:$G$22,MATCH(CONCATENATE("Large bulky, extra-large and special handling items",IF($P494&gt;=11,11,$P494)),'[1]REMOVAL FEES'!$E$1:$E$13,0),3),INDEX('[1]REMOVAL FEES'!$E$1:$G$22,MATCH(CONCATENATE("Large bulky, extra-large and special handling items",IF($P494&gt;=11,11,$P494)),'[1]REMOVAL FEES'!$E$1:$E$13,0),3))))*$AA494,FALSE)</f>
        <v>0</v>
      </c>
      <c r="AJ494" s="107">
        <f t="shared" si="94"/>
        <v>0</v>
      </c>
      <c r="AK494" s="107">
        <v>0</v>
      </c>
      <c r="AL494" s="107">
        <v>0</v>
      </c>
      <c r="AM494" s="107">
        <f t="shared" si="95"/>
        <v>0</v>
      </c>
      <c r="AN494" s="116">
        <f>(-IF($V494="Yes", IF($X494="Yes", VLOOKUP($W494, '[1]Storage Fees'!A:M, 13, FALSE), VLOOKUP($W494, '[1]Storage Fees'!A:M, 10, FALSE)), IF($X494="Yes", VLOOKUP($W494, '[1]Storage Fees'!A:M, 7, FALSE), VLOOKUP($W494, '[1]Storage Fees'!A:M, 4, FALSE))) * U494)*1.5</f>
        <v>0</v>
      </c>
    </row>
    <row r="495" spans="1:40" x14ac:dyDescent="0.25">
      <c r="A495" s="99">
        <v>423</v>
      </c>
      <c r="B495" s="99"/>
      <c r="C495" s="99" t="s">
        <v>13655</v>
      </c>
      <c r="D495" s="99"/>
      <c r="E495" s="99" t="s">
        <v>1874</v>
      </c>
      <c r="F495" s="99" t="s">
        <v>1885</v>
      </c>
      <c r="G495" s="99" t="s">
        <v>13695</v>
      </c>
      <c r="H495" s="99">
        <v>0</v>
      </c>
      <c r="I495" s="99">
        <v>0</v>
      </c>
      <c r="J495" s="99">
        <v>0</v>
      </c>
      <c r="K495" s="101" t="str">
        <f t="shared" si="83"/>
        <v>0x0x0</v>
      </c>
      <c r="L495" s="102">
        <f t="shared" si="84"/>
        <v>0</v>
      </c>
      <c r="M495" s="113">
        <f t="shared" si="85"/>
        <v>0</v>
      </c>
      <c r="N495" s="113">
        <f t="shared" si="86"/>
        <v>0</v>
      </c>
      <c r="O495" s="99">
        <v>0</v>
      </c>
      <c r="P495" s="113">
        <f t="shared" si="87"/>
        <v>0</v>
      </c>
      <c r="Q495" s="112">
        <f t="shared" si="88"/>
        <v>0</v>
      </c>
      <c r="R495" s="112" t="str">
        <f t="shared" si="89"/>
        <v>Standard-size</v>
      </c>
      <c r="S495" s="99" t="str">
        <f t="shared" si="90"/>
        <v>Small standard-size</v>
      </c>
      <c r="T495" s="116" t="s">
        <v>13696</v>
      </c>
      <c r="U495" s="116">
        <f t="shared" si="91"/>
        <v>0</v>
      </c>
      <c r="V495" s="116" t="s">
        <v>13583</v>
      </c>
      <c r="W495" s="116" t="s">
        <v>13690</v>
      </c>
      <c r="X495" s="99" t="s">
        <v>13583</v>
      </c>
      <c r="Y495" s="99">
        <v>1</v>
      </c>
      <c r="Z495" s="99">
        <v>1</v>
      </c>
      <c r="AA495" s="99">
        <v>1</v>
      </c>
      <c r="AB495" s="99"/>
      <c r="AC495" s="99"/>
      <c r="AD495" s="107">
        <v>0</v>
      </c>
      <c r="AE495" s="113">
        <f t="shared" si="92"/>
        <v>0</v>
      </c>
      <c r="AF495" s="116">
        <f>-IFERROR(IFERROR(VLOOKUP(ROUNDUP($Q495,0),'FBA FEES'!$L$2:$Q$203,MATCH($S495,'FBA FEES'!$L$2:$Q$2,0),FALSE),VLOOKUP(ROUNDUP($Q495,0),'FBA FEES'!$C$6:$F$123,MATCH($S495,'FBA FEES'!$C$6:$F$6,0),FALSE)),0)</f>
        <v>0</v>
      </c>
      <c r="AG495" s="116">
        <v>-10</v>
      </c>
      <c r="AH495" s="113">
        <f t="shared" si="93"/>
        <v>0</v>
      </c>
      <c r="AI495" s="116">
        <f>-IFERROR(IF($Y495=1,INDEX('[1]REMOVAL FEES'!$A$1:$C$22,MATCH(CONCATENATE("Standard Size",$P495),'[1]REMOVAL FEES'!$A$1:$A$22,0),3),IF($Y495=2,IF($P495&gt;10,(($P495-10)*1.06)+INDEX('[1]REMOVAL FEES'!$E$1:$G$22,MATCH(CONCATENATE("Large bulky, extra-large and special handling items",IF($P495&gt;=11,11,$P495)),'[1]REMOVAL FEES'!$E$1:$E$13,0),3),INDEX('[1]REMOVAL FEES'!$E$1:$G$22,MATCH(CONCATENATE("Large bulky, extra-large and special handling items",IF($P495&gt;=11,11,$P495)),'[1]REMOVAL FEES'!$E$1:$E$13,0),3))))*$AA495,FALSE)</f>
        <v>0</v>
      </c>
      <c r="AJ495" s="107">
        <f t="shared" si="94"/>
        <v>0</v>
      </c>
      <c r="AK495" s="107">
        <v>0</v>
      </c>
      <c r="AL495" s="107">
        <v>0</v>
      </c>
      <c r="AM495" s="107">
        <f t="shared" si="95"/>
        <v>0</v>
      </c>
      <c r="AN495" s="116">
        <f>(-IF($V495="Yes", IF($X495="Yes", VLOOKUP($W495, '[1]Storage Fees'!A:M, 13, FALSE), VLOOKUP($W495, '[1]Storage Fees'!A:M, 10, FALSE)), IF($X495="Yes", VLOOKUP($W495, '[1]Storage Fees'!A:M, 7, FALSE), VLOOKUP($W495, '[1]Storage Fees'!A:M, 4, FALSE))) * U495)*1.5</f>
        <v>0</v>
      </c>
    </row>
    <row r="496" spans="1:40" x14ac:dyDescent="0.25">
      <c r="A496" s="99">
        <v>424</v>
      </c>
      <c r="B496" s="99"/>
      <c r="C496" s="99" t="s">
        <v>13655</v>
      </c>
      <c r="D496" s="99"/>
      <c r="E496" s="99" t="s">
        <v>1874</v>
      </c>
      <c r="F496" s="99" t="s">
        <v>1887</v>
      </c>
      <c r="G496" s="99" t="s">
        <v>13695</v>
      </c>
      <c r="H496" s="99">
        <v>0</v>
      </c>
      <c r="I496" s="99">
        <v>0</v>
      </c>
      <c r="J496" s="99">
        <v>0</v>
      </c>
      <c r="K496" s="101" t="str">
        <f t="shared" si="83"/>
        <v>0x0x0</v>
      </c>
      <c r="L496" s="102">
        <f t="shared" si="84"/>
        <v>0</v>
      </c>
      <c r="M496" s="113">
        <f t="shared" si="85"/>
        <v>0</v>
      </c>
      <c r="N496" s="113">
        <f t="shared" si="86"/>
        <v>0</v>
      </c>
      <c r="O496" s="99">
        <v>0</v>
      </c>
      <c r="P496" s="113">
        <f t="shared" si="87"/>
        <v>0</v>
      </c>
      <c r="Q496" s="112">
        <f t="shared" si="88"/>
        <v>0</v>
      </c>
      <c r="R496" s="112" t="str">
        <f t="shared" si="89"/>
        <v>Standard-size</v>
      </c>
      <c r="S496" s="99" t="str">
        <f t="shared" si="90"/>
        <v>Small standard-size</v>
      </c>
      <c r="T496" s="116" t="s">
        <v>13696</v>
      </c>
      <c r="U496" s="116">
        <f t="shared" si="91"/>
        <v>0</v>
      </c>
      <c r="V496" s="116" t="s">
        <v>13583</v>
      </c>
      <c r="W496" s="116" t="s">
        <v>13690</v>
      </c>
      <c r="X496" s="99" t="s">
        <v>13583</v>
      </c>
      <c r="Y496" s="99">
        <v>1</v>
      </c>
      <c r="Z496" s="99">
        <v>1</v>
      </c>
      <c r="AA496" s="99">
        <v>1</v>
      </c>
      <c r="AB496" s="99"/>
      <c r="AC496" s="99"/>
      <c r="AD496" s="107">
        <v>0</v>
      </c>
      <c r="AE496" s="113">
        <f t="shared" si="92"/>
        <v>0</v>
      </c>
      <c r="AF496" s="116">
        <f>-IFERROR(IFERROR(VLOOKUP(ROUNDUP($Q496,0),'FBA FEES'!$L$2:$Q$203,MATCH($S496,'FBA FEES'!$L$2:$Q$2,0),FALSE),VLOOKUP(ROUNDUP($Q496,0),'FBA FEES'!$C$6:$F$123,MATCH($S496,'FBA FEES'!$C$6:$F$6,0),FALSE)),0)</f>
        <v>0</v>
      </c>
      <c r="AG496" s="116">
        <v>-10</v>
      </c>
      <c r="AH496" s="113">
        <f t="shared" si="93"/>
        <v>0</v>
      </c>
      <c r="AI496" s="116">
        <f>-IFERROR(IF($Y496=1,INDEX('[1]REMOVAL FEES'!$A$1:$C$22,MATCH(CONCATENATE("Standard Size",$P496),'[1]REMOVAL FEES'!$A$1:$A$22,0),3),IF($Y496=2,IF($P496&gt;10,(($P496-10)*1.06)+INDEX('[1]REMOVAL FEES'!$E$1:$G$22,MATCH(CONCATENATE("Large bulky, extra-large and special handling items",IF($P496&gt;=11,11,$P496)),'[1]REMOVAL FEES'!$E$1:$E$13,0),3),INDEX('[1]REMOVAL FEES'!$E$1:$G$22,MATCH(CONCATENATE("Large bulky, extra-large and special handling items",IF($P496&gt;=11,11,$P496)),'[1]REMOVAL FEES'!$E$1:$E$13,0),3))))*$AA496,FALSE)</f>
        <v>0</v>
      </c>
      <c r="AJ496" s="107">
        <f t="shared" si="94"/>
        <v>0</v>
      </c>
      <c r="AK496" s="107">
        <v>0</v>
      </c>
      <c r="AL496" s="107">
        <v>0</v>
      </c>
      <c r="AM496" s="107">
        <f t="shared" si="95"/>
        <v>0</v>
      </c>
      <c r="AN496" s="116">
        <f>(-IF($V496="Yes", IF($X496="Yes", VLOOKUP($W496, '[1]Storage Fees'!A:M, 13, FALSE), VLOOKUP($W496, '[1]Storage Fees'!A:M, 10, FALSE)), IF($X496="Yes", VLOOKUP($W496, '[1]Storage Fees'!A:M, 7, FALSE), VLOOKUP($W496, '[1]Storage Fees'!A:M, 4, FALSE))) * U496)*1.5</f>
        <v>0</v>
      </c>
    </row>
    <row r="497" spans="1:40" x14ac:dyDescent="0.25">
      <c r="A497" s="99">
        <v>425</v>
      </c>
      <c r="B497" s="99"/>
      <c r="C497" s="99" t="s">
        <v>13655</v>
      </c>
      <c r="D497" s="99"/>
      <c r="E497" s="99" t="s">
        <v>1874</v>
      </c>
      <c r="F497" s="99" t="s">
        <v>1889</v>
      </c>
      <c r="G497" s="99" t="s">
        <v>13695</v>
      </c>
      <c r="H497" s="99">
        <v>0</v>
      </c>
      <c r="I497" s="99">
        <v>0</v>
      </c>
      <c r="J497" s="99">
        <v>0</v>
      </c>
      <c r="K497" s="101" t="str">
        <f t="shared" si="83"/>
        <v>0x0x0</v>
      </c>
      <c r="L497" s="102">
        <f t="shared" si="84"/>
        <v>0</v>
      </c>
      <c r="M497" s="113">
        <f t="shared" si="85"/>
        <v>0</v>
      </c>
      <c r="N497" s="113">
        <f t="shared" si="86"/>
        <v>0</v>
      </c>
      <c r="O497" s="99">
        <v>0</v>
      </c>
      <c r="P497" s="113">
        <f t="shared" si="87"/>
        <v>0</v>
      </c>
      <c r="Q497" s="112">
        <f t="shared" si="88"/>
        <v>0</v>
      </c>
      <c r="R497" s="112" t="str">
        <f t="shared" si="89"/>
        <v>Standard-size</v>
      </c>
      <c r="S497" s="99" t="str">
        <f t="shared" si="90"/>
        <v>Small standard-size</v>
      </c>
      <c r="T497" s="116" t="s">
        <v>13696</v>
      </c>
      <c r="U497" s="116">
        <f t="shared" si="91"/>
        <v>0</v>
      </c>
      <c r="V497" s="116" t="s">
        <v>13583</v>
      </c>
      <c r="W497" s="116" t="s">
        <v>13690</v>
      </c>
      <c r="X497" s="99" t="s">
        <v>13583</v>
      </c>
      <c r="Y497" s="99">
        <v>1</v>
      </c>
      <c r="Z497" s="99">
        <v>1</v>
      </c>
      <c r="AA497" s="99">
        <v>1</v>
      </c>
      <c r="AB497" s="99"/>
      <c r="AC497" s="99"/>
      <c r="AD497" s="107">
        <v>0</v>
      </c>
      <c r="AE497" s="113">
        <f t="shared" si="92"/>
        <v>0</v>
      </c>
      <c r="AF497" s="116">
        <f>-IFERROR(IFERROR(VLOOKUP(ROUNDUP($Q497,0),'FBA FEES'!$L$2:$Q$203,MATCH($S497,'FBA FEES'!$L$2:$Q$2,0),FALSE),VLOOKUP(ROUNDUP($Q497,0),'FBA FEES'!$C$6:$F$123,MATCH($S497,'FBA FEES'!$C$6:$F$6,0),FALSE)),0)</f>
        <v>0</v>
      </c>
      <c r="AG497" s="116">
        <v>-10</v>
      </c>
      <c r="AH497" s="113">
        <f t="shared" si="93"/>
        <v>0</v>
      </c>
      <c r="AI497" s="116">
        <f>-IFERROR(IF($Y497=1,INDEX('[1]REMOVAL FEES'!$A$1:$C$22,MATCH(CONCATENATE("Standard Size",$P497),'[1]REMOVAL FEES'!$A$1:$A$22,0),3),IF($Y497=2,IF($P497&gt;10,(($P497-10)*1.06)+INDEX('[1]REMOVAL FEES'!$E$1:$G$22,MATCH(CONCATENATE("Large bulky, extra-large and special handling items",IF($P497&gt;=11,11,$P497)),'[1]REMOVAL FEES'!$E$1:$E$13,0),3),INDEX('[1]REMOVAL FEES'!$E$1:$G$22,MATCH(CONCATENATE("Large bulky, extra-large and special handling items",IF($P497&gt;=11,11,$P497)),'[1]REMOVAL FEES'!$E$1:$E$13,0),3))))*$AA497,FALSE)</f>
        <v>0</v>
      </c>
      <c r="AJ497" s="107">
        <f t="shared" si="94"/>
        <v>0</v>
      </c>
      <c r="AK497" s="107">
        <v>0</v>
      </c>
      <c r="AL497" s="107">
        <v>0</v>
      </c>
      <c r="AM497" s="107">
        <f t="shared" si="95"/>
        <v>0</v>
      </c>
      <c r="AN497" s="116">
        <f>(-IF($V497="Yes", IF($X497="Yes", VLOOKUP($W497, '[1]Storage Fees'!A:M, 13, FALSE), VLOOKUP($W497, '[1]Storage Fees'!A:M, 10, FALSE)), IF($X497="Yes", VLOOKUP($W497, '[1]Storage Fees'!A:M, 7, FALSE), VLOOKUP($W497, '[1]Storage Fees'!A:M, 4, FALSE))) * U497)*1.5</f>
        <v>0</v>
      </c>
    </row>
    <row r="498" spans="1:40" x14ac:dyDescent="0.25">
      <c r="A498" s="99">
        <v>426</v>
      </c>
      <c r="B498" s="99"/>
      <c r="C498" s="99" t="s">
        <v>13655</v>
      </c>
      <c r="D498" s="99"/>
      <c r="E498" s="99" t="s">
        <v>1874</v>
      </c>
      <c r="F498" s="99" t="s">
        <v>1891</v>
      </c>
      <c r="G498" s="99" t="s">
        <v>13695</v>
      </c>
      <c r="H498" s="99">
        <v>0</v>
      </c>
      <c r="I498" s="99">
        <v>0</v>
      </c>
      <c r="J498" s="99">
        <v>0</v>
      </c>
      <c r="K498" s="101" t="str">
        <f t="shared" si="83"/>
        <v>0x0x0</v>
      </c>
      <c r="L498" s="102">
        <f t="shared" si="84"/>
        <v>0</v>
      </c>
      <c r="M498" s="113">
        <f t="shared" si="85"/>
        <v>0</v>
      </c>
      <c r="N498" s="113">
        <f t="shared" si="86"/>
        <v>0</v>
      </c>
      <c r="O498" s="99">
        <v>0</v>
      </c>
      <c r="P498" s="113">
        <f t="shared" si="87"/>
        <v>0</v>
      </c>
      <c r="Q498" s="112">
        <f t="shared" si="88"/>
        <v>0</v>
      </c>
      <c r="R498" s="112" t="str">
        <f t="shared" si="89"/>
        <v>Standard-size</v>
      </c>
      <c r="S498" s="99" t="str">
        <f t="shared" si="90"/>
        <v>Small standard-size</v>
      </c>
      <c r="T498" s="116" t="s">
        <v>13696</v>
      </c>
      <c r="U498" s="116">
        <f t="shared" si="91"/>
        <v>0</v>
      </c>
      <c r="V498" s="116" t="s">
        <v>13583</v>
      </c>
      <c r="W498" s="116" t="s">
        <v>13690</v>
      </c>
      <c r="X498" s="99" t="s">
        <v>13583</v>
      </c>
      <c r="Y498" s="99">
        <v>1</v>
      </c>
      <c r="Z498" s="99">
        <v>1</v>
      </c>
      <c r="AA498" s="99">
        <v>1</v>
      </c>
      <c r="AB498" s="99"/>
      <c r="AC498" s="99"/>
      <c r="AD498" s="107">
        <v>0</v>
      </c>
      <c r="AE498" s="113">
        <f t="shared" si="92"/>
        <v>0</v>
      </c>
      <c r="AF498" s="116">
        <f>-IFERROR(IFERROR(VLOOKUP(ROUNDUP($Q498,0),'FBA FEES'!$L$2:$Q$203,MATCH($S498,'FBA FEES'!$L$2:$Q$2,0),FALSE),VLOOKUP(ROUNDUP($Q498,0),'FBA FEES'!$C$6:$F$123,MATCH($S498,'FBA FEES'!$C$6:$F$6,0),FALSE)),0)</f>
        <v>0</v>
      </c>
      <c r="AG498" s="116">
        <v>-10</v>
      </c>
      <c r="AH498" s="113">
        <f t="shared" si="93"/>
        <v>0</v>
      </c>
      <c r="AI498" s="116">
        <f>-IFERROR(IF($Y498=1,INDEX('[1]REMOVAL FEES'!$A$1:$C$22,MATCH(CONCATENATE("Standard Size",$P498),'[1]REMOVAL FEES'!$A$1:$A$22,0),3),IF($Y498=2,IF($P498&gt;10,(($P498-10)*1.06)+INDEX('[1]REMOVAL FEES'!$E$1:$G$22,MATCH(CONCATENATE("Large bulky, extra-large and special handling items",IF($P498&gt;=11,11,$P498)),'[1]REMOVAL FEES'!$E$1:$E$13,0),3),INDEX('[1]REMOVAL FEES'!$E$1:$G$22,MATCH(CONCATENATE("Large bulky, extra-large and special handling items",IF($P498&gt;=11,11,$P498)),'[1]REMOVAL FEES'!$E$1:$E$13,0),3))))*$AA498,FALSE)</f>
        <v>0</v>
      </c>
      <c r="AJ498" s="107">
        <f t="shared" si="94"/>
        <v>0</v>
      </c>
      <c r="AK498" s="107">
        <v>0</v>
      </c>
      <c r="AL498" s="107">
        <v>0</v>
      </c>
      <c r="AM498" s="107">
        <f t="shared" si="95"/>
        <v>0</v>
      </c>
      <c r="AN498" s="116">
        <f>(-IF($V498="Yes", IF($X498="Yes", VLOOKUP($W498, '[1]Storage Fees'!A:M, 13, FALSE), VLOOKUP($W498, '[1]Storage Fees'!A:M, 10, FALSE)), IF($X498="Yes", VLOOKUP($W498, '[1]Storage Fees'!A:M, 7, FALSE), VLOOKUP($W498, '[1]Storage Fees'!A:M, 4, FALSE))) * U498)*1.5</f>
        <v>0</v>
      </c>
    </row>
    <row r="499" spans="1:40" x14ac:dyDescent="0.25">
      <c r="A499" s="99">
        <v>427</v>
      </c>
      <c r="B499" s="99"/>
      <c r="C499" s="99" t="s">
        <v>13655</v>
      </c>
      <c r="D499" s="99"/>
      <c r="E499" s="99" t="s">
        <v>1874</v>
      </c>
      <c r="F499" s="99" t="s">
        <v>1893</v>
      </c>
      <c r="G499" s="99" t="s">
        <v>13695</v>
      </c>
      <c r="H499" s="99">
        <v>0</v>
      </c>
      <c r="I499" s="99">
        <v>0</v>
      </c>
      <c r="J499" s="99">
        <v>0</v>
      </c>
      <c r="K499" s="101" t="str">
        <f t="shared" si="83"/>
        <v>0x0x0</v>
      </c>
      <c r="L499" s="102">
        <f t="shared" si="84"/>
        <v>0</v>
      </c>
      <c r="M499" s="113">
        <f t="shared" si="85"/>
        <v>0</v>
      </c>
      <c r="N499" s="113">
        <f t="shared" si="86"/>
        <v>0</v>
      </c>
      <c r="O499" s="99">
        <v>0</v>
      </c>
      <c r="P499" s="113">
        <f t="shared" si="87"/>
        <v>0</v>
      </c>
      <c r="Q499" s="112">
        <f t="shared" si="88"/>
        <v>0</v>
      </c>
      <c r="R499" s="112" t="str">
        <f t="shared" si="89"/>
        <v>Standard-size</v>
      </c>
      <c r="S499" s="99" t="str">
        <f t="shared" si="90"/>
        <v>Small standard-size</v>
      </c>
      <c r="T499" s="116" t="s">
        <v>13696</v>
      </c>
      <c r="U499" s="116">
        <f t="shared" si="91"/>
        <v>0</v>
      </c>
      <c r="V499" s="116" t="s">
        <v>13583</v>
      </c>
      <c r="W499" s="116" t="s">
        <v>13690</v>
      </c>
      <c r="X499" s="99" t="s">
        <v>13583</v>
      </c>
      <c r="Y499" s="99">
        <v>1</v>
      </c>
      <c r="Z499" s="99">
        <v>1</v>
      </c>
      <c r="AA499" s="99">
        <v>1</v>
      </c>
      <c r="AB499" s="99"/>
      <c r="AC499" s="99"/>
      <c r="AD499" s="107">
        <v>0</v>
      </c>
      <c r="AE499" s="113">
        <f t="shared" si="92"/>
        <v>0</v>
      </c>
      <c r="AF499" s="116">
        <f>-IFERROR(IFERROR(VLOOKUP(ROUNDUP($Q499,0),'FBA FEES'!$L$2:$Q$203,MATCH($S499,'FBA FEES'!$L$2:$Q$2,0),FALSE),VLOOKUP(ROUNDUP($Q499,0),'FBA FEES'!$C$6:$F$123,MATCH($S499,'FBA FEES'!$C$6:$F$6,0),FALSE)),0)</f>
        <v>0</v>
      </c>
      <c r="AG499" s="116">
        <v>-10</v>
      </c>
      <c r="AH499" s="113">
        <f t="shared" si="93"/>
        <v>0</v>
      </c>
      <c r="AI499" s="116">
        <f>-IFERROR(IF($Y499=1,INDEX('[1]REMOVAL FEES'!$A$1:$C$22,MATCH(CONCATENATE("Standard Size",$P499),'[1]REMOVAL FEES'!$A$1:$A$22,0),3),IF($Y499=2,IF($P499&gt;10,(($P499-10)*1.06)+INDEX('[1]REMOVAL FEES'!$E$1:$G$22,MATCH(CONCATENATE("Large bulky, extra-large and special handling items",IF($P499&gt;=11,11,$P499)),'[1]REMOVAL FEES'!$E$1:$E$13,0),3),INDEX('[1]REMOVAL FEES'!$E$1:$G$22,MATCH(CONCATENATE("Large bulky, extra-large and special handling items",IF($P499&gt;=11,11,$P499)),'[1]REMOVAL FEES'!$E$1:$E$13,0),3))))*$AA499,FALSE)</f>
        <v>0</v>
      </c>
      <c r="AJ499" s="107">
        <f t="shared" si="94"/>
        <v>0</v>
      </c>
      <c r="AK499" s="107">
        <v>0</v>
      </c>
      <c r="AL499" s="107">
        <v>0</v>
      </c>
      <c r="AM499" s="107">
        <f t="shared" si="95"/>
        <v>0</v>
      </c>
      <c r="AN499" s="116">
        <f>(-IF($V499="Yes", IF($X499="Yes", VLOOKUP($W499, '[1]Storage Fees'!A:M, 13, FALSE), VLOOKUP($W499, '[1]Storage Fees'!A:M, 10, FALSE)), IF($X499="Yes", VLOOKUP($W499, '[1]Storage Fees'!A:M, 7, FALSE), VLOOKUP($W499, '[1]Storage Fees'!A:M, 4, FALSE))) * U499)*1.5</f>
        <v>0</v>
      </c>
    </row>
    <row r="500" spans="1:40" x14ac:dyDescent="0.25">
      <c r="A500" s="99">
        <v>428</v>
      </c>
      <c r="B500" s="99"/>
      <c r="C500" s="99" t="s">
        <v>13655</v>
      </c>
      <c r="D500" s="99"/>
      <c r="E500" s="99" t="s">
        <v>1874</v>
      </c>
      <c r="F500" s="99" t="s">
        <v>1895</v>
      </c>
      <c r="G500" s="99" t="s">
        <v>13695</v>
      </c>
      <c r="H500" s="99">
        <v>0</v>
      </c>
      <c r="I500" s="99">
        <v>0</v>
      </c>
      <c r="J500" s="99">
        <v>0</v>
      </c>
      <c r="K500" s="101" t="str">
        <f t="shared" si="83"/>
        <v>0x0x0</v>
      </c>
      <c r="L500" s="102">
        <f t="shared" si="84"/>
        <v>0</v>
      </c>
      <c r="M500" s="113">
        <f t="shared" si="85"/>
        <v>0</v>
      </c>
      <c r="N500" s="113">
        <f t="shared" si="86"/>
        <v>0</v>
      </c>
      <c r="O500" s="99">
        <v>0</v>
      </c>
      <c r="P500" s="113">
        <f t="shared" si="87"/>
        <v>0</v>
      </c>
      <c r="Q500" s="112">
        <f t="shared" si="88"/>
        <v>0</v>
      </c>
      <c r="R500" s="112" t="str">
        <f t="shared" si="89"/>
        <v>Standard-size</v>
      </c>
      <c r="S500" s="99" t="str">
        <f t="shared" si="90"/>
        <v>Small standard-size</v>
      </c>
      <c r="T500" s="116" t="s">
        <v>13696</v>
      </c>
      <c r="U500" s="116">
        <f t="shared" si="91"/>
        <v>0</v>
      </c>
      <c r="V500" s="116" t="s">
        <v>13583</v>
      </c>
      <c r="W500" s="116" t="s">
        <v>13690</v>
      </c>
      <c r="X500" s="99" t="s">
        <v>13583</v>
      </c>
      <c r="Y500" s="99">
        <v>1</v>
      </c>
      <c r="Z500" s="99">
        <v>1</v>
      </c>
      <c r="AA500" s="99">
        <v>1</v>
      </c>
      <c r="AB500" s="99"/>
      <c r="AC500" s="99"/>
      <c r="AD500" s="107">
        <v>0</v>
      </c>
      <c r="AE500" s="113">
        <f t="shared" si="92"/>
        <v>0</v>
      </c>
      <c r="AF500" s="116">
        <f>-IFERROR(IFERROR(VLOOKUP(ROUNDUP($Q500,0),'FBA FEES'!$L$2:$Q$203,MATCH($S500,'FBA FEES'!$L$2:$Q$2,0),FALSE),VLOOKUP(ROUNDUP($Q500,0),'FBA FEES'!$C$6:$F$123,MATCH($S500,'FBA FEES'!$C$6:$F$6,0),FALSE)),0)</f>
        <v>0</v>
      </c>
      <c r="AG500" s="116">
        <v>-10</v>
      </c>
      <c r="AH500" s="113">
        <f t="shared" si="93"/>
        <v>0</v>
      </c>
      <c r="AI500" s="116">
        <f>-IFERROR(IF($Y500=1,INDEX('[1]REMOVAL FEES'!$A$1:$C$22,MATCH(CONCATENATE("Standard Size",$P500),'[1]REMOVAL FEES'!$A$1:$A$22,0),3),IF($Y500=2,IF($P500&gt;10,(($P500-10)*1.06)+INDEX('[1]REMOVAL FEES'!$E$1:$G$22,MATCH(CONCATENATE("Large bulky, extra-large and special handling items",IF($P500&gt;=11,11,$P500)),'[1]REMOVAL FEES'!$E$1:$E$13,0),3),INDEX('[1]REMOVAL FEES'!$E$1:$G$22,MATCH(CONCATENATE("Large bulky, extra-large and special handling items",IF($P500&gt;=11,11,$P500)),'[1]REMOVAL FEES'!$E$1:$E$13,0),3))))*$AA500,FALSE)</f>
        <v>0</v>
      </c>
      <c r="AJ500" s="107">
        <f t="shared" si="94"/>
        <v>0</v>
      </c>
      <c r="AK500" s="107">
        <v>0</v>
      </c>
      <c r="AL500" s="107">
        <v>0</v>
      </c>
      <c r="AM500" s="107">
        <f t="shared" si="95"/>
        <v>0</v>
      </c>
      <c r="AN500" s="116">
        <f>(-IF($V500="Yes", IF($X500="Yes", VLOOKUP($W500, '[1]Storage Fees'!A:M, 13, FALSE), VLOOKUP($W500, '[1]Storage Fees'!A:M, 10, FALSE)), IF($X500="Yes", VLOOKUP($W500, '[1]Storage Fees'!A:M, 7, FALSE), VLOOKUP($W500, '[1]Storage Fees'!A:M, 4, FALSE))) * U500)*1.5</f>
        <v>0</v>
      </c>
    </row>
    <row r="501" spans="1:40" x14ac:dyDescent="0.25">
      <c r="A501" s="99">
        <v>429</v>
      </c>
      <c r="B501" s="99"/>
      <c r="C501" s="99" t="s">
        <v>13655</v>
      </c>
      <c r="D501" s="99"/>
      <c r="E501" s="99" t="s">
        <v>1874</v>
      </c>
      <c r="F501" s="99" t="s">
        <v>1897</v>
      </c>
      <c r="G501" s="99" t="s">
        <v>13695</v>
      </c>
      <c r="H501" s="99">
        <v>0</v>
      </c>
      <c r="I501" s="99">
        <v>0</v>
      </c>
      <c r="J501" s="99">
        <v>0</v>
      </c>
      <c r="K501" s="101" t="str">
        <f t="shared" si="83"/>
        <v>0x0x0</v>
      </c>
      <c r="L501" s="102">
        <f t="shared" si="84"/>
        <v>0</v>
      </c>
      <c r="M501" s="113">
        <f t="shared" si="85"/>
        <v>0</v>
      </c>
      <c r="N501" s="113">
        <f t="shared" si="86"/>
        <v>0</v>
      </c>
      <c r="O501" s="99">
        <v>0</v>
      </c>
      <c r="P501" s="113">
        <f t="shared" si="87"/>
        <v>0</v>
      </c>
      <c r="Q501" s="112">
        <f t="shared" si="88"/>
        <v>0</v>
      </c>
      <c r="R501" s="112" t="str">
        <f t="shared" si="89"/>
        <v>Standard-size</v>
      </c>
      <c r="S501" s="99" t="str">
        <f t="shared" si="90"/>
        <v>Small standard-size</v>
      </c>
      <c r="T501" s="116" t="s">
        <v>13696</v>
      </c>
      <c r="U501" s="116">
        <f t="shared" si="91"/>
        <v>0</v>
      </c>
      <c r="V501" s="116" t="s">
        <v>13583</v>
      </c>
      <c r="W501" s="116" t="s">
        <v>13690</v>
      </c>
      <c r="X501" s="99" t="s">
        <v>13583</v>
      </c>
      <c r="Y501" s="99">
        <v>1</v>
      </c>
      <c r="Z501" s="99">
        <v>1</v>
      </c>
      <c r="AA501" s="99">
        <v>1</v>
      </c>
      <c r="AB501" s="99"/>
      <c r="AC501" s="99"/>
      <c r="AD501" s="107">
        <v>0</v>
      </c>
      <c r="AE501" s="113">
        <f t="shared" si="92"/>
        <v>0</v>
      </c>
      <c r="AF501" s="116">
        <f>-IFERROR(IFERROR(VLOOKUP(ROUNDUP($Q501,0),'FBA FEES'!$L$2:$Q$203,MATCH($S501,'FBA FEES'!$L$2:$Q$2,0),FALSE),VLOOKUP(ROUNDUP($Q501,0),'FBA FEES'!$C$6:$F$123,MATCH($S501,'FBA FEES'!$C$6:$F$6,0),FALSE)),0)</f>
        <v>0</v>
      </c>
      <c r="AG501" s="116">
        <v>-10</v>
      </c>
      <c r="AH501" s="113">
        <f t="shared" si="93"/>
        <v>0</v>
      </c>
      <c r="AI501" s="116">
        <f>-IFERROR(IF($Y501=1,INDEX('[1]REMOVAL FEES'!$A$1:$C$22,MATCH(CONCATENATE("Standard Size",$P501),'[1]REMOVAL FEES'!$A$1:$A$22,0),3),IF($Y501=2,IF($P501&gt;10,(($P501-10)*1.06)+INDEX('[1]REMOVAL FEES'!$E$1:$G$22,MATCH(CONCATENATE("Large bulky, extra-large and special handling items",IF($P501&gt;=11,11,$P501)),'[1]REMOVAL FEES'!$E$1:$E$13,0),3),INDEX('[1]REMOVAL FEES'!$E$1:$G$22,MATCH(CONCATENATE("Large bulky, extra-large and special handling items",IF($P501&gt;=11,11,$P501)),'[1]REMOVAL FEES'!$E$1:$E$13,0),3))))*$AA501,FALSE)</f>
        <v>0</v>
      </c>
      <c r="AJ501" s="107">
        <f t="shared" si="94"/>
        <v>0</v>
      </c>
      <c r="AK501" s="107">
        <v>0</v>
      </c>
      <c r="AL501" s="107">
        <v>0</v>
      </c>
      <c r="AM501" s="107">
        <f t="shared" si="95"/>
        <v>0</v>
      </c>
      <c r="AN501" s="116">
        <f>(-IF($V501="Yes", IF($X501="Yes", VLOOKUP($W501, '[1]Storage Fees'!A:M, 13, FALSE), VLOOKUP($W501, '[1]Storage Fees'!A:M, 10, FALSE)), IF($X501="Yes", VLOOKUP($W501, '[1]Storage Fees'!A:M, 7, FALSE), VLOOKUP($W501, '[1]Storage Fees'!A:M, 4, FALSE))) * U501)*1.5</f>
        <v>0</v>
      </c>
    </row>
    <row r="502" spans="1:40" x14ac:dyDescent="0.25">
      <c r="A502" s="99">
        <v>430</v>
      </c>
      <c r="B502" s="99"/>
      <c r="C502" s="99" t="s">
        <v>13655</v>
      </c>
      <c r="D502" s="99"/>
      <c r="E502" s="99" t="s">
        <v>1874</v>
      </c>
      <c r="F502" s="99" t="s">
        <v>1899</v>
      </c>
      <c r="G502" s="99" t="s">
        <v>13695</v>
      </c>
      <c r="H502" s="99">
        <v>0</v>
      </c>
      <c r="I502" s="99">
        <v>0</v>
      </c>
      <c r="J502" s="99">
        <v>0</v>
      </c>
      <c r="K502" s="101" t="str">
        <f t="shared" si="83"/>
        <v>0x0x0</v>
      </c>
      <c r="L502" s="102">
        <f t="shared" si="84"/>
        <v>0</v>
      </c>
      <c r="M502" s="113">
        <f t="shared" si="85"/>
        <v>0</v>
      </c>
      <c r="N502" s="113">
        <f t="shared" si="86"/>
        <v>0</v>
      </c>
      <c r="O502" s="99">
        <v>0</v>
      </c>
      <c r="P502" s="113">
        <f t="shared" si="87"/>
        <v>0</v>
      </c>
      <c r="Q502" s="112">
        <f t="shared" si="88"/>
        <v>0</v>
      </c>
      <c r="R502" s="112" t="str">
        <f t="shared" si="89"/>
        <v>Standard-size</v>
      </c>
      <c r="S502" s="99" t="str">
        <f t="shared" si="90"/>
        <v>Small standard-size</v>
      </c>
      <c r="T502" s="116" t="s">
        <v>13696</v>
      </c>
      <c r="U502" s="116">
        <f t="shared" si="91"/>
        <v>0</v>
      </c>
      <c r="V502" s="116" t="s">
        <v>13583</v>
      </c>
      <c r="W502" s="116" t="s">
        <v>13690</v>
      </c>
      <c r="X502" s="99" t="s">
        <v>13583</v>
      </c>
      <c r="Y502" s="99">
        <v>1</v>
      </c>
      <c r="Z502" s="99">
        <v>1</v>
      </c>
      <c r="AA502" s="99">
        <v>1</v>
      </c>
      <c r="AB502" s="99"/>
      <c r="AC502" s="99"/>
      <c r="AD502" s="107">
        <v>16.37650215303081</v>
      </c>
      <c r="AE502" s="113">
        <f t="shared" si="92"/>
        <v>-2.4564753229546215</v>
      </c>
      <c r="AF502" s="116">
        <f>-IFERROR(IFERROR(VLOOKUP(ROUNDUP($Q502,0),'FBA FEES'!$L$2:$Q$203,MATCH($S502,'FBA FEES'!$L$2:$Q$2,0),FALSE),VLOOKUP(ROUNDUP($Q502,0),'FBA FEES'!$C$6:$F$123,MATCH($S502,'FBA FEES'!$C$6:$F$6,0),FALSE)),0)</f>
        <v>0</v>
      </c>
      <c r="AG502" s="116">
        <v>-10</v>
      </c>
      <c r="AH502" s="113">
        <f t="shared" si="93"/>
        <v>-2.4564753229546215</v>
      </c>
      <c r="AI502" s="116">
        <f>-IFERROR(IF($Y502=1,INDEX('[1]REMOVAL FEES'!$A$1:$C$22,MATCH(CONCATENATE("Standard Size",$P502),'[1]REMOVAL FEES'!$A$1:$A$22,0),3),IF($Y502=2,IF($P502&gt;10,(($P502-10)*1.06)+INDEX('[1]REMOVAL FEES'!$E$1:$G$22,MATCH(CONCATENATE("Large bulky, extra-large and special handling items",IF($P502&gt;=11,11,$P502)),'[1]REMOVAL FEES'!$E$1:$E$13,0),3),INDEX('[1]REMOVAL FEES'!$E$1:$G$22,MATCH(CONCATENATE("Large bulky, extra-large and special handling items",IF($P502&gt;=11,11,$P502)),'[1]REMOVAL FEES'!$E$1:$E$13,0),3))))*$AA502,FALSE)</f>
        <v>0</v>
      </c>
      <c r="AJ502" s="107">
        <f t="shared" si="94"/>
        <v>-2.4564753229546215</v>
      </c>
      <c r="AK502" s="107">
        <v>-3.4</v>
      </c>
      <c r="AL502" s="107">
        <v>-0.90281467373302438</v>
      </c>
      <c r="AM502" s="107">
        <f t="shared" si="95"/>
        <v>-4.3028146737330246</v>
      </c>
      <c r="AN502" s="116">
        <f>(-IF($V502="Yes", IF($X502="Yes", VLOOKUP($W502, '[1]Storage Fees'!A:M, 13, FALSE), VLOOKUP($W502, '[1]Storage Fees'!A:M, 10, FALSE)), IF($X502="Yes", VLOOKUP($W502, '[1]Storage Fees'!A:M, 7, FALSE), VLOOKUP($W502, '[1]Storage Fees'!A:M, 4, FALSE))) * U502)*1.5</f>
        <v>0</v>
      </c>
    </row>
    <row r="503" spans="1:40" x14ac:dyDescent="0.25">
      <c r="A503" s="99">
        <v>431</v>
      </c>
      <c r="B503" s="99"/>
      <c r="C503" s="99" t="s">
        <v>13655</v>
      </c>
      <c r="D503" s="99"/>
      <c r="E503" s="99" t="s">
        <v>1874</v>
      </c>
      <c r="F503" s="99" t="s">
        <v>1901</v>
      </c>
      <c r="G503" s="99" t="s">
        <v>13695</v>
      </c>
      <c r="H503" s="99">
        <v>0</v>
      </c>
      <c r="I503" s="99">
        <v>0</v>
      </c>
      <c r="J503" s="99">
        <v>0</v>
      </c>
      <c r="K503" s="101" t="str">
        <f t="shared" si="83"/>
        <v>0x0x0</v>
      </c>
      <c r="L503" s="102">
        <f t="shared" si="84"/>
        <v>0</v>
      </c>
      <c r="M503" s="113">
        <f t="shared" si="85"/>
        <v>0</v>
      </c>
      <c r="N503" s="113">
        <f t="shared" si="86"/>
        <v>0</v>
      </c>
      <c r="O503" s="99">
        <v>0</v>
      </c>
      <c r="P503" s="113">
        <f t="shared" si="87"/>
        <v>0</v>
      </c>
      <c r="Q503" s="112">
        <f t="shared" si="88"/>
        <v>0</v>
      </c>
      <c r="R503" s="112" t="str">
        <f t="shared" si="89"/>
        <v>Standard-size</v>
      </c>
      <c r="S503" s="99" t="str">
        <f t="shared" si="90"/>
        <v>Small standard-size</v>
      </c>
      <c r="T503" s="116" t="s">
        <v>13696</v>
      </c>
      <c r="U503" s="116">
        <f t="shared" si="91"/>
        <v>0</v>
      </c>
      <c r="V503" s="116" t="s">
        <v>13583</v>
      </c>
      <c r="W503" s="116" t="s">
        <v>13690</v>
      </c>
      <c r="X503" s="99" t="s">
        <v>13583</v>
      </c>
      <c r="Y503" s="99">
        <v>1</v>
      </c>
      <c r="Z503" s="99">
        <v>1</v>
      </c>
      <c r="AA503" s="99">
        <v>1</v>
      </c>
      <c r="AB503" s="99"/>
      <c r="AC503" s="99"/>
      <c r="AD503" s="107">
        <v>0</v>
      </c>
      <c r="AE503" s="113">
        <f t="shared" si="92"/>
        <v>0</v>
      </c>
      <c r="AF503" s="116">
        <f>-IFERROR(IFERROR(VLOOKUP(ROUNDUP($Q503,0),'FBA FEES'!$L$2:$Q$203,MATCH($S503,'FBA FEES'!$L$2:$Q$2,0),FALSE),VLOOKUP(ROUNDUP($Q503,0),'FBA FEES'!$C$6:$F$123,MATCH($S503,'FBA FEES'!$C$6:$F$6,0),FALSE)),0)</f>
        <v>0</v>
      </c>
      <c r="AG503" s="116">
        <v>-10</v>
      </c>
      <c r="AH503" s="113">
        <f t="shared" si="93"/>
        <v>0</v>
      </c>
      <c r="AI503" s="116">
        <f>-IFERROR(IF($Y503=1,INDEX('[1]REMOVAL FEES'!$A$1:$C$22,MATCH(CONCATENATE("Standard Size",$P503),'[1]REMOVAL FEES'!$A$1:$A$22,0),3),IF($Y503=2,IF($P503&gt;10,(($P503-10)*1.06)+INDEX('[1]REMOVAL FEES'!$E$1:$G$22,MATCH(CONCATENATE("Large bulky, extra-large and special handling items",IF($P503&gt;=11,11,$P503)),'[1]REMOVAL FEES'!$E$1:$E$13,0),3),INDEX('[1]REMOVAL FEES'!$E$1:$G$22,MATCH(CONCATENATE("Large bulky, extra-large and special handling items",IF($P503&gt;=11,11,$P503)),'[1]REMOVAL FEES'!$E$1:$E$13,0),3))))*$AA503,FALSE)</f>
        <v>0</v>
      </c>
      <c r="AJ503" s="107">
        <f t="shared" si="94"/>
        <v>0</v>
      </c>
      <c r="AK503" s="107">
        <v>0</v>
      </c>
      <c r="AL503" s="107">
        <v>0</v>
      </c>
      <c r="AM503" s="107">
        <f t="shared" si="95"/>
        <v>0</v>
      </c>
      <c r="AN503" s="116">
        <f>(-IF($V503="Yes", IF($X503="Yes", VLOOKUP($W503, '[1]Storage Fees'!A:M, 13, FALSE), VLOOKUP($W503, '[1]Storage Fees'!A:M, 10, FALSE)), IF($X503="Yes", VLOOKUP($W503, '[1]Storage Fees'!A:M, 7, FALSE), VLOOKUP($W503, '[1]Storage Fees'!A:M, 4, FALSE))) * U503)*1.5</f>
        <v>0</v>
      </c>
    </row>
    <row r="504" spans="1:40" x14ac:dyDescent="0.25">
      <c r="A504" s="99">
        <v>432</v>
      </c>
      <c r="B504" s="99"/>
      <c r="C504" s="99" t="s">
        <v>13655</v>
      </c>
      <c r="D504" s="99"/>
      <c r="E504" s="99" t="s">
        <v>1874</v>
      </c>
      <c r="F504" s="99" t="s">
        <v>1902</v>
      </c>
      <c r="G504" s="99" t="s">
        <v>13695</v>
      </c>
      <c r="H504" s="99">
        <v>0</v>
      </c>
      <c r="I504" s="99">
        <v>0</v>
      </c>
      <c r="J504" s="99">
        <v>0</v>
      </c>
      <c r="K504" s="101" t="str">
        <f t="shared" si="83"/>
        <v>0x0x0</v>
      </c>
      <c r="L504" s="102">
        <f t="shared" si="84"/>
        <v>0</v>
      </c>
      <c r="M504" s="113">
        <f t="shared" si="85"/>
        <v>0</v>
      </c>
      <c r="N504" s="113">
        <f t="shared" si="86"/>
        <v>0</v>
      </c>
      <c r="O504" s="99">
        <v>0</v>
      </c>
      <c r="P504" s="113">
        <f t="shared" si="87"/>
        <v>0</v>
      </c>
      <c r="Q504" s="112">
        <f t="shared" si="88"/>
        <v>0</v>
      </c>
      <c r="R504" s="112" t="str">
        <f t="shared" si="89"/>
        <v>Standard-size</v>
      </c>
      <c r="S504" s="99" t="str">
        <f t="shared" si="90"/>
        <v>Small standard-size</v>
      </c>
      <c r="T504" s="116" t="s">
        <v>13696</v>
      </c>
      <c r="U504" s="116">
        <f t="shared" si="91"/>
        <v>0</v>
      </c>
      <c r="V504" s="116" t="s">
        <v>13583</v>
      </c>
      <c r="W504" s="116" t="s">
        <v>13690</v>
      </c>
      <c r="X504" s="99" t="s">
        <v>13583</v>
      </c>
      <c r="Y504" s="99">
        <v>1</v>
      </c>
      <c r="Z504" s="99">
        <v>1</v>
      </c>
      <c r="AA504" s="99">
        <v>1</v>
      </c>
      <c r="AB504" s="99"/>
      <c r="AC504" s="99"/>
      <c r="AD504" s="107">
        <v>0</v>
      </c>
      <c r="AE504" s="113">
        <f t="shared" si="92"/>
        <v>0</v>
      </c>
      <c r="AF504" s="116">
        <f>-IFERROR(IFERROR(VLOOKUP(ROUNDUP($Q504,0),'FBA FEES'!$L$2:$Q$203,MATCH($S504,'FBA FEES'!$L$2:$Q$2,0),FALSE),VLOOKUP(ROUNDUP($Q504,0),'FBA FEES'!$C$6:$F$123,MATCH($S504,'FBA FEES'!$C$6:$F$6,0),FALSE)),0)</f>
        <v>0</v>
      </c>
      <c r="AG504" s="116">
        <v>-10</v>
      </c>
      <c r="AH504" s="113">
        <f t="shared" si="93"/>
        <v>0</v>
      </c>
      <c r="AI504" s="116">
        <f>-IFERROR(IF($Y504=1,INDEX('[1]REMOVAL FEES'!$A$1:$C$22,MATCH(CONCATENATE("Standard Size",$P504),'[1]REMOVAL FEES'!$A$1:$A$22,0),3),IF($Y504=2,IF($P504&gt;10,(($P504-10)*1.06)+INDEX('[1]REMOVAL FEES'!$E$1:$G$22,MATCH(CONCATENATE("Large bulky, extra-large and special handling items",IF($P504&gt;=11,11,$P504)),'[1]REMOVAL FEES'!$E$1:$E$13,0),3),INDEX('[1]REMOVAL FEES'!$E$1:$G$22,MATCH(CONCATENATE("Large bulky, extra-large and special handling items",IF($P504&gt;=11,11,$P504)),'[1]REMOVAL FEES'!$E$1:$E$13,0),3))))*$AA504,FALSE)</f>
        <v>0</v>
      </c>
      <c r="AJ504" s="107">
        <f t="shared" si="94"/>
        <v>0</v>
      </c>
      <c r="AK504" s="107">
        <v>0</v>
      </c>
      <c r="AL504" s="107">
        <v>0</v>
      </c>
      <c r="AM504" s="107">
        <f t="shared" si="95"/>
        <v>0</v>
      </c>
      <c r="AN504" s="116">
        <f>(-IF($V504="Yes", IF($X504="Yes", VLOOKUP($W504, '[1]Storage Fees'!A:M, 13, FALSE), VLOOKUP($W504, '[1]Storage Fees'!A:M, 10, FALSE)), IF($X504="Yes", VLOOKUP($W504, '[1]Storage Fees'!A:M, 7, FALSE), VLOOKUP($W504, '[1]Storage Fees'!A:M, 4, FALSE))) * U504)*1.5</f>
        <v>0</v>
      </c>
    </row>
    <row r="505" spans="1:40" x14ac:dyDescent="0.25">
      <c r="A505" s="99">
        <v>433</v>
      </c>
      <c r="B505" s="99"/>
      <c r="C505" s="99" t="s">
        <v>13655</v>
      </c>
      <c r="D505" s="99"/>
      <c r="E505" s="99" t="s">
        <v>1906</v>
      </c>
      <c r="F505" s="99" t="s">
        <v>1904</v>
      </c>
      <c r="G505" s="99" t="s">
        <v>13656</v>
      </c>
      <c r="H505" s="99">
        <v>0</v>
      </c>
      <c r="I505" s="99">
        <v>0</v>
      </c>
      <c r="J505" s="99">
        <v>0</v>
      </c>
      <c r="K505" s="101" t="str">
        <f t="shared" si="83"/>
        <v>0x0x0</v>
      </c>
      <c r="L505" s="102">
        <f t="shared" si="84"/>
        <v>0</v>
      </c>
      <c r="M505" s="113">
        <f t="shared" si="85"/>
        <v>0</v>
      </c>
      <c r="N505" s="113">
        <f t="shared" si="86"/>
        <v>0</v>
      </c>
      <c r="O505" s="99">
        <v>0</v>
      </c>
      <c r="P505" s="113">
        <f t="shared" si="87"/>
        <v>0</v>
      </c>
      <c r="Q505" s="112">
        <f t="shared" si="88"/>
        <v>0</v>
      </c>
      <c r="R505" s="112" t="str">
        <f t="shared" si="89"/>
        <v>Standard-size</v>
      </c>
      <c r="S505" s="99" t="str">
        <f t="shared" si="90"/>
        <v>Small standard-size</v>
      </c>
      <c r="T505" s="116" t="s">
        <v>13696</v>
      </c>
      <c r="U505" s="116">
        <f t="shared" si="91"/>
        <v>0</v>
      </c>
      <c r="V505" s="116" t="s">
        <v>13583</v>
      </c>
      <c r="W505" s="116" t="s">
        <v>13690</v>
      </c>
      <c r="X505" s="99" t="s">
        <v>13583</v>
      </c>
      <c r="Y505" s="99">
        <v>1</v>
      </c>
      <c r="Z505" s="99">
        <v>1</v>
      </c>
      <c r="AA505" s="99">
        <v>1</v>
      </c>
      <c r="AB505" s="99"/>
      <c r="AC505" s="99"/>
      <c r="AD505" s="107">
        <v>16.989999999999998</v>
      </c>
      <c r="AE505" s="113">
        <f t="shared" si="92"/>
        <v>-2.5484999999999998</v>
      </c>
      <c r="AF505" s="116">
        <f>-IFERROR(IFERROR(VLOOKUP(ROUNDUP($Q505,0),'FBA FEES'!$L$2:$Q$203,MATCH($S505,'FBA FEES'!$L$2:$Q$2,0),FALSE),VLOOKUP(ROUNDUP($Q505,0),'FBA FEES'!$C$6:$F$123,MATCH($S505,'FBA FEES'!$C$6:$F$6,0),FALSE)),0)</f>
        <v>0</v>
      </c>
      <c r="AG505" s="116">
        <v>-10</v>
      </c>
      <c r="AH505" s="113">
        <f t="shared" si="93"/>
        <v>-2.5484999999999998</v>
      </c>
      <c r="AI505" s="116">
        <f>-IFERROR(IF($Y505=1,INDEX('[1]REMOVAL FEES'!$A$1:$C$22,MATCH(CONCATENATE("Standard Size",$P505),'[1]REMOVAL FEES'!$A$1:$A$22,0),3),IF($Y505=2,IF($P505&gt;10,(($P505-10)*1.06)+INDEX('[1]REMOVAL FEES'!$E$1:$G$22,MATCH(CONCATENATE("Large bulky, extra-large and special handling items",IF($P505&gt;=11,11,$P505)),'[1]REMOVAL FEES'!$E$1:$E$13,0),3),INDEX('[1]REMOVAL FEES'!$E$1:$G$22,MATCH(CONCATENATE("Large bulky, extra-large and special handling items",IF($P505&gt;=11,11,$P505)),'[1]REMOVAL FEES'!$E$1:$E$13,0),3))))*$AA505,FALSE)</f>
        <v>0</v>
      </c>
      <c r="AJ505" s="107">
        <f t="shared" si="94"/>
        <v>-2.5484999999999998</v>
      </c>
      <c r="AK505" s="107">
        <v>-10.17</v>
      </c>
      <c r="AL505" s="107">
        <v>-0.5431383458646617</v>
      </c>
      <c r="AM505" s="107">
        <f t="shared" si="95"/>
        <v>-10.713138345864662</v>
      </c>
      <c r="AN505" s="116">
        <f>(-IF($V505="Yes", IF($X505="Yes", VLOOKUP($W505, '[1]Storage Fees'!A:M, 13, FALSE), VLOOKUP($W505, '[1]Storage Fees'!A:M, 10, FALSE)), IF($X505="Yes", VLOOKUP($W505, '[1]Storage Fees'!A:M, 7, FALSE), VLOOKUP($W505, '[1]Storage Fees'!A:M, 4, FALSE))) * U505)*1.5</f>
        <v>0</v>
      </c>
    </row>
    <row r="506" spans="1:40" x14ac:dyDescent="0.25">
      <c r="A506" s="99">
        <v>434</v>
      </c>
      <c r="B506" s="99"/>
      <c r="C506" s="99" t="s">
        <v>13655</v>
      </c>
      <c r="D506" s="99"/>
      <c r="E506" s="99" t="s">
        <v>278</v>
      </c>
      <c r="F506" s="99" t="s">
        <v>1907</v>
      </c>
      <c r="G506" s="99" t="s">
        <v>13656</v>
      </c>
      <c r="H506" s="99">
        <v>0</v>
      </c>
      <c r="I506" s="99">
        <v>0</v>
      </c>
      <c r="J506" s="99">
        <v>0</v>
      </c>
      <c r="K506" s="101" t="str">
        <f t="shared" si="83"/>
        <v>0x0x0</v>
      </c>
      <c r="L506" s="102">
        <f t="shared" si="84"/>
        <v>0</v>
      </c>
      <c r="M506" s="113">
        <f t="shared" si="85"/>
        <v>0</v>
      </c>
      <c r="N506" s="113">
        <f t="shared" si="86"/>
        <v>0</v>
      </c>
      <c r="O506" s="99">
        <v>0</v>
      </c>
      <c r="P506" s="113">
        <f t="shared" si="87"/>
        <v>0</v>
      </c>
      <c r="Q506" s="112">
        <f t="shared" si="88"/>
        <v>0</v>
      </c>
      <c r="R506" s="112" t="str">
        <f t="shared" si="89"/>
        <v>Standard-size</v>
      </c>
      <c r="S506" s="99" t="str">
        <f t="shared" si="90"/>
        <v>Small standard-size</v>
      </c>
      <c r="T506" s="116" t="s">
        <v>13696</v>
      </c>
      <c r="U506" s="116">
        <f t="shared" si="91"/>
        <v>0</v>
      </c>
      <c r="V506" s="116" t="s">
        <v>13583</v>
      </c>
      <c r="W506" s="116" t="s">
        <v>13690</v>
      </c>
      <c r="X506" s="99" t="s">
        <v>13583</v>
      </c>
      <c r="Y506" s="99">
        <v>1</v>
      </c>
      <c r="Z506" s="99">
        <v>1</v>
      </c>
      <c r="AA506" s="99">
        <v>1</v>
      </c>
      <c r="AB506" s="99"/>
      <c r="AC506" s="99"/>
      <c r="AD506" s="107">
        <v>0</v>
      </c>
      <c r="AE506" s="113">
        <f t="shared" si="92"/>
        <v>0</v>
      </c>
      <c r="AF506" s="116">
        <f>-IFERROR(IFERROR(VLOOKUP(ROUNDUP($Q506,0),'FBA FEES'!$L$2:$Q$203,MATCH($S506,'FBA FEES'!$L$2:$Q$2,0),FALSE),VLOOKUP(ROUNDUP($Q506,0),'FBA FEES'!$C$6:$F$123,MATCH($S506,'FBA FEES'!$C$6:$F$6,0),FALSE)),0)</f>
        <v>0</v>
      </c>
      <c r="AG506" s="116">
        <v>-10</v>
      </c>
      <c r="AH506" s="113">
        <f t="shared" si="93"/>
        <v>0</v>
      </c>
      <c r="AI506" s="116">
        <f>-IFERROR(IF($Y506=1,INDEX('[1]REMOVAL FEES'!$A$1:$C$22,MATCH(CONCATENATE("Standard Size",$P506),'[1]REMOVAL FEES'!$A$1:$A$22,0),3),IF($Y506=2,IF($P506&gt;10,(($P506-10)*1.06)+INDEX('[1]REMOVAL FEES'!$E$1:$G$22,MATCH(CONCATENATE("Large bulky, extra-large and special handling items",IF($P506&gt;=11,11,$P506)),'[1]REMOVAL FEES'!$E$1:$E$13,0),3),INDEX('[1]REMOVAL FEES'!$E$1:$G$22,MATCH(CONCATENATE("Large bulky, extra-large and special handling items",IF($P506&gt;=11,11,$P506)),'[1]REMOVAL FEES'!$E$1:$E$13,0),3))))*$AA506,FALSE)</f>
        <v>0</v>
      </c>
      <c r="AJ506" s="107">
        <f t="shared" si="94"/>
        <v>0</v>
      </c>
      <c r="AK506" s="107">
        <v>0</v>
      </c>
      <c r="AL506" s="107">
        <v>0</v>
      </c>
      <c r="AM506" s="107">
        <f t="shared" si="95"/>
        <v>0</v>
      </c>
      <c r="AN506" s="116">
        <f>(-IF($V506="Yes", IF($X506="Yes", VLOOKUP($W506, '[1]Storage Fees'!A:M, 13, FALSE), VLOOKUP($W506, '[1]Storage Fees'!A:M, 10, FALSE)), IF($X506="Yes", VLOOKUP($W506, '[1]Storage Fees'!A:M, 7, FALSE), VLOOKUP($W506, '[1]Storage Fees'!A:M, 4, FALSE))) * U506)*1.5</f>
        <v>0</v>
      </c>
    </row>
    <row r="507" spans="1:40" x14ac:dyDescent="0.25">
      <c r="A507" s="99">
        <v>435</v>
      </c>
      <c r="B507" s="99"/>
      <c r="C507" s="99" t="s">
        <v>13655</v>
      </c>
      <c r="D507" s="99"/>
      <c r="E507" s="99" t="s">
        <v>1906</v>
      </c>
      <c r="F507" s="99" t="s">
        <v>1909</v>
      </c>
      <c r="G507" s="99" t="s">
        <v>13695</v>
      </c>
      <c r="H507" s="99">
        <v>0</v>
      </c>
      <c r="I507" s="99">
        <v>0</v>
      </c>
      <c r="J507" s="99">
        <v>0</v>
      </c>
      <c r="K507" s="101" t="str">
        <f t="shared" si="83"/>
        <v>0x0x0</v>
      </c>
      <c r="L507" s="102">
        <f t="shared" si="84"/>
        <v>0</v>
      </c>
      <c r="M507" s="113">
        <f t="shared" si="85"/>
        <v>0</v>
      </c>
      <c r="N507" s="113">
        <f t="shared" si="86"/>
        <v>0</v>
      </c>
      <c r="O507" s="99">
        <v>0</v>
      </c>
      <c r="P507" s="113">
        <f t="shared" si="87"/>
        <v>0</v>
      </c>
      <c r="Q507" s="112">
        <f t="shared" si="88"/>
        <v>0</v>
      </c>
      <c r="R507" s="112" t="str">
        <f t="shared" si="89"/>
        <v>Standard-size</v>
      </c>
      <c r="S507" s="99" t="str">
        <f t="shared" si="90"/>
        <v>Small standard-size</v>
      </c>
      <c r="T507" s="116" t="s">
        <v>13696</v>
      </c>
      <c r="U507" s="116">
        <f t="shared" si="91"/>
        <v>0</v>
      </c>
      <c r="V507" s="116" t="s">
        <v>13583</v>
      </c>
      <c r="W507" s="116" t="s">
        <v>13690</v>
      </c>
      <c r="X507" s="99" t="s">
        <v>13583</v>
      </c>
      <c r="Y507" s="99">
        <v>1</v>
      </c>
      <c r="Z507" s="99">
        <v>1</v>
      </c>
      <c r="AA507" s="99">
        <v>1</v>
      </c>
      <c r="AB507" s="99"/>
      <c r="AC507" s="99"/>
      <c r="AD507" s="107">
        <v>0</v>
      </c>
      <c r="AE507" s="113">
        <f t="shared" si="92"/>
        <v>0</v>
      </c>
      <c r="AF507" s="116">
        <f>-IFERROR(IFERROR(VLOOKUP(ROUNDUP($Q507,0),'FBA FEES'!$L$2:$Q$203,MATCH($S507,'FBA FEES'!$L$2:$Q$2,0),FALSE),VLOOKUP(ROUNDUP($Q507,0),'FBA FEES'!$C$6:$F$123,MATCH($S507,'FBA FEES'!$C$6:$F$6,0),FALSE)),0)</f>
        <v>0</v>
      </c>
      <c r="AG507" s="116">
        <v>-10</v>
      </c>
      <c r="AH507" s="113">
        <f t="shared" si="93"/>
        <v>0</v>
      </c>
      <c r="AI507" s="116">
        <f>-IFERROR(IF($Y507=1,INDEX('[1]REMOVAL FEES'!$A$1:$C$22,MATCH(CONCATENATE("Standard Size",$P507),'[1]REMOVAL FEES'!$A$1:$A$22,0),3),IF($Y507=2,IF($P507&gt;10,(($P507-10)*1.06)+INDEX('[1]REMOVAL FEES'!$E$1:$G$22,MATCH(CONCATENATE("Large bulky, extra-large and special handling items",IF($P507&gt;=11,11,$P507)),'[1]REMOVAL FEES'!$E$1:$E$13,0),3),INDEX('[1]REMOVAL FEES'!$E$1:$G$22,MATCH(CONCATENATE("Large bulky, extra-large and special handling items",IF($P507&gt;=11,11,$P507)),'[1]REMOVAL FEES'!$E$1:$E$13,0),3))))*$AA507,FALSE)</f>
        <v>0</v>
      </c>
      <c r="AJ507" s="107">
        <f t="shared" si="94"/>
        <v>0</v>
      </c>
      <c r="AK507" s="107">
        <v>0</v>
      </c>
      <c r="AL507" s="107">
        <v>0</v>
      </c>
      <c r="AM507" s="107">
        <f t="shared" si="95"/>
        <v>0</v>
      </c>
      <c r="AN507" s="116">
        <f>(-IF($V507="Yes", IF($X507="Yes", VLOOKUP($W507, '[1]Storage Fees'!A:M, 13, FALSE), VLOOKUP($W507, '[1]Storage Fees'!A:M, 10, FALSE)), IF($X507="Yes", VLOOKUP($W507, '[1]Storage Fees'!A:M, 7, FALSE), VLOOKUP($W507, '[1]Storage Fees'!A:M, 4, FALSE))) * U507)*1.5</f>
        <v>0</v>
      </c>
    </row>
    <row r="508" spans="1:40" x14ac:dyDescent="0.25">
      <c r="A508" s="99">
        <v>436</v>
      </c>
      <c r="B508" s="99"/>
      <c r="C508" s="99" t="s">
        <v>13655</v>
      </c>
      <c r="D508" s="99"/>
      <c r="E508" s="99" t="s">
        <v>1906</v>
      </c>
      <c r="F508" s="99" t="s">
        <v>1911</v>
      </c>
      <c r="G508" s="99" t="s">
        <v>13695</v>
      </c>
      <c r="H508" s="99">
        <v>0</v>
      </c>
      <c r="I508" s="99">
        <v>0</v>
      </c>
      <c r="J508" s="99">
        <v>0</v>
      </c>
      <c r="K508" s="101" t="str">
        <f t="shared" si="83"/>
        <v>0x0x0</v>
      </c>
      <c r="L508" s="102">
        <f t="shared" si="84"/>
        <v>0</v>
      </c>
      <c r="M508" s="113">
        <f t="shared" si="85"/>
        <v>0</v>
      </c>
      <c r="N508" s="113">
        <f t="shared" si="86"/>
        <v>0</v>
      </c>
      <c r="O508" s="99">
        <v>0</v>
      </c>
      <c r="P508" s="113">
        <f t="shared" si="87"/>
        <v>0</v>
      </c>
      <c r="Q508" s="112">
        <f t="shared" si="88"/>
        <v>0</v>
      </c>
      <c r="R508" s="112" t="str">
        <f t="shared" si="89"/>
        <v>Standard-size</v>
      </c>
      <c r="S508" s="99" t="str">
        <f t="shared" si="90"/>
        <v>Small standard-size</v>
      </c>
      <c r="T508" s="116" t="s">
        <v>13696</v>
      </c>
      <c r="U508" s="116">
        <f t="shared" si="91"/>
        <v>0</v>
      </c>
      <c r="V508" s="116" t="s">
        <v>13583</v>
      </c>
      <c r="W508" s="116" t="s">
        <v>13690</v>
      </c>
      <c r="X508" s="99" t="s">
        <v>13583</v>
      </c>
      <c r="Y508" s="99">
        <v>1</v>
      </c>
      <c r="Z508" s="99">
        <v>1</v>
      </c>
      <c r="AA508" s="99">
        <v>1</v>
      </c>
      <c r="AB508" s="99"/>
      <c r="AC508" s="99"/>
      <c r="AD508" s="107">
        <v>0</v>
      </c>
      <c r="AE508" s="113">
        <f t="shared" si="92"/>
        <v>0</v>
      </c>
      <c r="AF508" s="116">
        <f>-IFERROR(IFERROR(VLOOKUP(ROUNDUP($Q508,0),'FBA FEES'!$L$2:$Q$203,MATCH($S508,'FBA FEES'!$L$2:$Q$2,0),FALSE),VLOOKUP(ROUNDUP($Q508,0),'FBA FEES'!$C$6:$F$123,MATCH($S508,'FBA FEES'!$C$6:$F$6,0),FALSE)),0)</f>
        <v>0</v>
      </c>
      <c r="AG508" s="116">
        <v>-10</v>
      </c>
      <c r="AH508" s="113">
        <f t="shared" si="93"/>
        <v>0</v>
      </c>
      <c r="AI508" s="116">
        <f>-IFERROR(IF($Y508=1,INDEX('[1]REMOVAL FEES'!$A$1:$C$22,MATCH(CONCATENATE("Standard Size",$P508),'[1]REMOVAL FEES'!$A$1:$A$22,0),3),IF($Y508=2,IF($P508&gt;10,(($P508-10)*1.06)+INDEX('[1]REMOVAL FEES'!$E$1:$G$22,MATCH(CONCATENATE("Large bulky, extra-large and special handling items",IF($P508&gt;=11,11,$P508)),'[1]REMOVAL FEES'!$E$1:$E$13,0),3),INDEX('[1]REMOVAL FEES'!$E$1:$G$22,MATCH(CONCATENATE("Large bulky, extra-large and special handling items",IF($P508&gt;=11,11,$P508)),'[1]REMOVAL FEES'!$E$1:$E$13,0),3))))*$AA508,FALSE)</f>
        <v>0</v>
      </c>
      <c r="AJ508" s="107">
        <f t="shared" si="94"/>
        <v>0</v>
      </c>
      <c r="AK508" s="107">
        <v>0</v>
      </c>
      <c r="AL508" s="107">
        <v>0</v>
      </c>
      <c r="AM508" s="107">
        <f t="shared" si="95"/>
        <v>0</v>
      </c>
      <c r="AN508" s="116">
        <f>(-IF($V508="Yes", IF($X508="Yes", VLOOKUP($W508, '[1]Storage Fees'!A:M, 13, FALSE), VLOOKUP($W508, '[1]Storage Fees'!A:M, 10, FALSE)), IF($X508="Yes", VLOOKUP($W508, '[1]Storage Fees'!A:M, 7, FALSE), VLOOKUP($W508, '[1]Storage Fees'!A:M, 4, FALSE))) * U508)*1.5</f>
        <v>0</v>
      </c>
    </row>
    <row r="509" spans="1:40" x14ac:dyDescent="0.25">
      <c r="A509" s="99">
        <v>437</v>
      </c>
      <c r="B509" s="99"/>
      <c r="C509" s="99" t="s">
        <v>13655</v>
      </c>
      <c r="D509" s="99"/>
      <c r="E509" s="99" t="s">
        <v>1906</v>
      </c>
      <c r="F509" s="99" t="s">
        <v>1913</v>
      </c>
      <c r="G509" s="99" t="s">
        <v>13695</v>
      </c>
      <c r="H509" s="99">
        <v>0</v>
      </c>
      <c r="I509" s="99">
        <v>0</v>
      </c>
      <c r="J509" s="99">
        <v>0</v>
      </c>
      <c r="K509" s="101" t="str">
        <f t="shared" si="83"/>
        <v>0x0x0</v>
      </c>
      <c r="L509" s="102">
        <f t="shared" si="84"/>
        <v>0</v>
      </c>
      <c r="M509" s="113">
        <f t="shared" si="85"/>
        <v>0</v>
      </c>
      <c r="N509" s="113">
        <f t="shared" si="86"/>
        <v>0</v>
      </c>
      <c r="O509" s="99">
        <v>0</v>
      </c>
      <c r="P509" s="113">
        <f t="shared" si="87"/>
        <v>0</v>
      </c>
      <c r="Q509" s="112">
        <f t="shared" si="88"/>
        <v>0</v>
      </c>
      <c r="R509" s="112" t="str">
        <f t="shared" si="89"/>
        <v>Standard-size</v>
      </c>
      <c r="S509" s="99" t="str">
        <f t="shared" si="90"/>
        <v>Small standard-size</v>
      </c>
      <c r="T509" s="116" t="s">
        <v>13696</v>
      </c>
      <c r="U509" s="116">
        <f t="shared" si="91"/>
        <v>0</v>
      </c>
      <c r="V509" s="116" t="s">
        <v>13583</v>
      </c>
      <c r="W509" s="116" t="s">
        <v>13690</v>
      </c>
      <c r="X509" s="99" t="s">
        <v>13583</v>
      </c>
      <c r="Y509" s="99">
        <v>1</v>
      </c>
      <c r="Z509" s="99">
        <v>1</v>
      </c>
      <c r="AA509" s="99">
        <v>1</v>
      </c>
      <c r="AB509" s="99"/>
      <c r="AC509" s="99"/>
      <c r="AD509" s="107">
        <v>0</v>
      </c>
      <c r="AE509" s="113">
        <f t="shared" si="92"/>
        <v>0</v>
      </c>
      <c r="AF509" s="116">
        <f>-IFERROR(IFERROR(VLOOKUP(ROUNDUP($Q509,0),'FBA FEES'!$L$2:$Q$203,MATCH($S509,'FBA FEES'!$L$2:$Q$2,0),FALSE),VLOOKUP(ROUNDUP($Q509,0),'FBA FEES'!$C$6:$F$123,MATCH($S509,'FBA FEES'!$C$6:$F$6,0),FALSE)),0)</f>
        <v>0</v>
      </c>
      <c r="AG509" s="116">
        <v>-10</v>
      </c>
      <c r="AH509" s="113">
        <f t="shared" si="93"/>
        <v>0</v>
      </c>
      <c r="AI509" s="116">
        <f>-IFERROR(IF($Y509=1,INDEX('[1]REMOVAL FEES'!$A$1:$C$22,MATCH(CONCATENATE("Standard Size",$P509),'[1]REMOVAL FEES'!$A$1:$A$22,0),3),IF($Y509=2,IF($P509&gt;10,(($P509-10)*1.06)+INDEX('[1]REMOVAL FEES'!$E$1:$G$22,MATCH(CONCATENATE("Large bulky, extra-large and special handling items",IF($P509&gt;=11,11,$P509)),'[1]REMOVAL FEES'!$E$1:$E$13,0),3),INDEX('[1]REMOVAL FEES'!$E$1:$G$22,MATCH(CONCATENATE("Large bulky, extra-large and special handling items",IF($P509&gt;=11,11,$P509)),'[1]REMOVAL FEES'!$E$1:$E$13,0),3))))*$AA509,FALSE)</f>
        <v>0</v>
      </c>
      <c r="AJ509" s="107">
        <f t="shared" si="94"/>
        <v>0</v>
      </c>
      <c r="AK509" s="107">
        <v>0</v>
      </c>
      <c r="AL509" s="107">
        <v>0</v>
      </c>
      <c r="AM509" s="107">
        <f t="shared" si="95"/>
        <v>0</v>
      </c>
      <c r="AN509" s="116">
        <f>(-IF($V509="Yes", IF($X509="Yes", VLOOKUP($W509, '[1]Storage Fees'!A:M, 13, FALSE), VLOOKUP($W509, '[1]Storage Fees'!A:M, 10, FALSE)), IF($X509="Yes", VLOOKUP($W509, '[1]Storage Fees'!A:M, 7, FALSE), VLOOKUP($W509, '[1]Storage Fees'!A:M, 4, FALSE))) * U509)*1.5</f>
        <v>0</v>
      </c>
    </row>
    <row r="510" spans="1:40" x14ac:dyDescent="0.25">
      <c r="A510" s="99">
        <v>438</v>
      </c>
      <c r="B510" s="99" t="s">
        <v>13705</v>
      </c>
      <c r="C510" s="99" t="s">
        <v>13655</v>
      </c>
      <c r="D510" s="99" t="s">
        <v>1047</v>
      </c>
      <c r="E510" s="99" t="s">
        <v>278</v>
      </c>
      <c r="F510" s="99" t="s">
        <v>1045</v>
      </c>
      <c r="G510" s="99" t="s">
        <v>13695</v>
      </c>
      <c r="H510" s="99">
        <v>34</v>
      </c>
      <c r="I510" s="99">
        <v>14</v>
      </c>
      <c r="J510" s="99">
        <v>13</v>
      </c>
      <c r="K510" s="101" t="str">
        <f t="shared" si="83"/>
        <v>34x14x13</v>
      </c>
      <c r="L510" s="102">
        <f t="shared" si="84"/>
        <v>44.517985611510788</v>
      </c>
      <c r="M510" s="113">
        <f t="shared" si="85"/>
        <v>44.517985611510788</v>
      </c>
      <c r="N510" s="113">
        <f t="shared" si="86"/>
        <v>45</v>
      </c>
      <c r="O510" s="99">
        <v>45</v>
      </c>
      <c r="P510" s="113">
        <f t="shared" si="87"/>
        <v>45</v>
      </c>
      <c r="Q510" s="112">
        <f t="shared" si="88"/>
        <v>720</v>
      </c>
      <c r="R510" s="112" t="str">
        <f t="shared" si="89"/>
        <v>Oversize</v>
      </c>
      <c r="S510" s="99" t="str">
        <f t="shared" si="90"/>
        <v>Large bulky</v>
      </c>
      <c r="T510" s="116" t="s">
        <v>13694</v>
      </c>
      <c r="U510" s="116">
        <f t="shared" si="91"/>
        <v>3.5810185185185186</v>
      </c>
      <c r="V510" s="116" t="s">
        <v>13583</v>
      </c>
      <c r="W510" s="116" t="s">
        <v>13690</v>
      </c>
      <c r="X510" s="116" t="s">
        <v>13691</v>
      </c>
      <c r="Y510" s="116">
        <v>2</v>
      </c>
      <c r="Z510" s="116">
        <v>3</v>
      </c>
      <c r="AA510" s="116">
        <v>1</v>
      </c>
      <c r="AB510" s="99"/>
      <c r="AC510" s="99"/>
      <c r="AD510" s="107">
        <v>0</v>
      </c>
      <c r="AE510" s="113">
        <f t="shared" si="92"/>
        <v>0</v>
      </c>
      <c r="AF510" s="116">
        <f>-IFERROR(IFERROR(VLOOKUP(ROUNDUP($Q510,0),'FBA FEES'!$L$2:$Q$203,MATCH($S510,'FBA FEES'!$L$2:$Q$2,0),FALSE),VLOOKUP(ROUNDUP($Q510,0),'FBA FEES'!$C$6:$F$123,MATCH($S510,'FBA FEES'!$C$6:$F$6,0),FALSE)),0)</f>
        <v>-26.33</v>
      </c>
      <c r="AG510" s="116">
        <v>-10</v>
      </c>
      <c r="AH510" s="113">
        <f t="shared" si="93"/>
        <v>-26.33</v>
      </c>
      <c r="AI510" s="116">
        <f>-IFERROR(IF($Y510=1,INDEX('[1]REMOVAL FEES'!$A$1:$C$22,MATCH(CONCATENATE("Standard Size",$P510),'[1]REMOVAL FEES'!$A$1:$A$22,0),3),IF($Y510=2,IF($P510&gt;10,(($P510-10)*1.06)+INDEX('[1]REMOVAL FEES'!$E$1:$G$22,MATCH(CONCATENATE("Large bulky, extra-large and special handling items",IF($P510&gt;=11,11,$P510)),'[1]REMOVAL FEES'!$E$1:$E$13,0),3),INDEX('[1]REMOVAL FEES'!$E$1:$G$22,MATCH(CONCATENATE("Large bulky, extra-large and special handling items",IF($P510&gt;=11,11,$P510)),'[1]REMOVAL FEES'!$E$1:$E$13,0),3))))*$AA510,FALSE)</f>
        <v>-51.42</v>
      </c>
      <c r="AJ510" s="107">
        <f t="shared" si="94"/>
        <v>-77.75</v>
      </c>
      <c r="AK510" s="107">
        <v>0</v>
      </c>
      <c r="AL510" s="107">
        <v>0</v>
      </c>
      <c r="AM510" s="107">
        <f t="shared" si="95"/>
        <v>0</v>
      </c>
      <c r="AN510" s="116">
        <f>(-IF($V510="Yes", IF($X510="Yes", VLOOKUP($W510, '[1]Storage Fees'!A:M, 13, FALSE), VLOOKUP($W510, '[1]Storage Fees'!A:M, 10, FALSE)), IF($X510="Yes", VLOOKUP($W510, '[1]Storage Fees'!A:M, 7, FALSE), VLOOKUP($W510, '[1]Storage Fees'!A:M, 4, FALSE))) * U510)*1.5</f>
        <v>-4.2435069444444444</v>
      </c>
    </row>
    <row r="511" spans="1:40" x14ac:dyDescent="0.25">
      <c r="A511" s="99">
        <v>439</v>
      </c>
      <c r="B511" s="99" t="s">
        <v>102</v>
      </c>
      <c r="C511" s="99" t="s">
        <v>13655</v>
      </c>
      <c r="D511" s="99" t="s">
        <v>1047</v>
      </c>
      <c r="E511" s="99" t="s">
        <v>278</v>
      </c>
      <c r="F511" s="99" t="s">
        <v>1049</v>
      </c>
      <c r="G511" s="99" t="s">
        <v>13695</v>
      </c>
      <c r="H511" s="99">
        <v>25</v>
      </c>
      <c r="I511" s="99">
        <v>25</v>
      </c>
      <c r="J511" s="99">
        <v>5</v>
      </c>
      <c r="K511" s="101" t="str">
        <f t="shared" si="83"/>
        <v>25x25x5</v>
      </c>
      <c r="L511" s="102">
        <f t="shared" si="84"/>
        <v>22.482014388489208</v>
      </c>
      <c r="M511" s="113">
        <f t="shared" si="85"/>
        <v>22.482014388489208</v>
      </c>
      <c r="N511" s="113">
        <f t="shared" si="86"/>
        <v>23</v>
      </c>
      <c r="O511" s="99">
        <v>18</v>
      </c>
      <c r="P511" s="113">
        <f t="shared" si="87"/>
        <v>23</v>
      </c>
      <c r="Q511" s="112">
        <f t="shared" si="88"/>
        <v>368</v>
      </c>
      <c r="R511" s="112" t="str">
        <f t="shared" si="89"/>
        <v>Oversize</v>
      </c>
      <c r="S511" s="99" t="str">
        <f t="shared" si="90"/>
        <v>Large bulky</v>
      </c>
      <c r="T511" s="116" t="s">
        <v>13692</v>
      </c>
      <c r="U511" s="116">
        <f t="shared" si="91"/>
        <v>1.8084490740740742</v>
      </c>
      <c r="V511" s="116" t="s">
        <v>13583</v>
      </c>
      <c r="W511" s="116" t="s">
        <v>13690</v>
      </c>
      <c r="X511" s="116" t="s">
        <v>13691</v>
      </c>
      <c r="Y511" s="116">
        <v>2</v>
      </c>
      <c r="Z511" s="116">
        <v>3</v>
      </c>
      <c r="AA511" s="116">
        <v>1</v>
      </c>
      <c r="AB511" s="99"/>
      <c r="AC511" s="99"/>
      <c r="AD511" s="107">
        <v>0</v>
      </c>
      <c r="AE511" s="113">
        <f t="shared" si="92"/>
        <v>0</v>
      </c>
      <c r="AF511" s="116">
        <f>-IFERROR(IFERROR(VLOOKUP(ROUNDUP($Q511,0),'FBA FEES'!$L$2:$Q$203,MATCH($S511,'FBA FEES'!$L$2:$Q$2,0),FALSE),VLOOKUP(ROUNDUP($Q511,0),'FBA FEES'!$C$6:$F$123,MATCH($S511,'FBA FEES'!$C$6:$F$6,0),FALSE)),0)</f>
        <v>-17.97</v>
      </c>
      <c r="AG511" s="116">
        <v>-10</v>
      </c>
      <c r="AH511" s="113">
        <f t="shared" si="93"/>
        <v>-17.97</v>
      </c>
      <c r="AI511" s="116">
        <f>-IFERROR(IF($Y511=1,INDEX('[1]REMOVAL FEES'!$A$1:$C$22,MATCH(CONCATENATE("Standard Size",$P511),'[1]REMOVAL FEES'!$A$1:$A$22,0),3),IF($Y511=2,IF($P511&gt;10,(($P511-10)*1.06)+INDEX('[1]REMOVAL FEES'!$E$1:$G$22,MATCH(CONCATENATE("Large bulky, extra-large and special handling items",IF($P511&gt;=11,11,$P511)),'[1]REMOVAL FEES'!$E$1:$E$13,0),3),INDEX('[1]REMOVAL FEES'!$E$1:$G$22,MATCH(CONCATENATE("Large bulky, extra-large and special handling items",IF($P511&gt;=11,11,$P511)),'[1]REMOVAL FEES'!$E$1:$E$13,0),3))))*$AA511,FALSE)</f>
        <v>-28.1</v>
      </c>
      <c r="AJ511" s="107">
        <f t="shared" si="94"/>
        <v>-46.07</v>
      </c>
      <c r="AK511" s="107">
        <v>0</v>
      </c>
      <c r="AL511" s="107">
        <v>0</v>
      </c>
      <c r="AM511" s="107">
        <f t="shared" si="95"/>
        <v>0</v>
      </c>
      <c r="AN511" s="116">
        <f>(-IF($V511="Yes", IF($X511="Yes", VLOOKUP($W511, '[1]Storage Fees'!A:M, 13, FALSE), VLOOKUP($W511, '[1]Storage Fees'!A:M, 10, FALSE)), IF($X511="Yes", VLOOKUP($W511, '[1]Storage Fees'!A:M, 7, FALSE), VLOOKUP($W511, '[1]Storage Fees'!A:M, 4, FALSE))) * U511)*1.5</f>
        <v>-2.1430121527777777</v>
      </c>
    </row>
    <row r="512" spans="1:40" x14ac:dyDescent="0.25">
      <c r="A512" s="99">
        <v>440</v>
      </c>
      <c r="B512" s="99" t="s">
        <v>107</v>
      </c>
      <c r="C512" s="99" t="s">
        <v>13655</v>
      </c>
      <c r="D512" s="99" t="s">
        <v>1054</v>
      </c>
      <c r="E512" s="99" t="s">
        <v>278</v>
      </c>
      <c r="F512" s="99" t="s">
        <v>1052</v>
      </c>
      <c r="G512" s="99" t="s">
        <v>13695</v>
      </c>
      <c r="H512" s="99">
        <v>31</v>
      </c>
      <c r="I512" s="99">
        <v>31</v>
      </c>
      <c r="J512" s="99">
        <v>5</v>
      </c>
      <c r="K512" s="101" t="str">
        <f t="shared" si="83"/>
        <v>31x31x5</v>
      </c>
      <c r="L512" s="102">
        <f t="shared" si="84"/>
        <v>34.568345323741006</v>
      </c>
      <c r="M512" s="113">
        <f t="shared" si="85"/>
        <v>34.568345323741006</v>
      </c>
      <c r="N512" s="113">
        <f t="shared" si="86"/>
        <v>35</v>
      </c>
      <c r="O512" s="99">
        <v>43</v>
      </c>
      <c r="P512" s="113">
        <f t="shared" si="87"/>
        <v>43</v>
      </c>
      <c r="Q512" s="112">
        <f t="shared" si="88"/>
        <v>688</v>
      </c>
      <c r="R512" s="112" t="str">
        <f t="shared" si="89"/>
        <v>Oversize</v>
      </c>
      <c r="S512" s="99" t="str">
        <f t="shared" si="90"/>
        <v>Large bulky</v>
      </c>
      <c r="T512" s="116" t="s">
        <v>13694</v>
      </c>
      <c r="U512" s="116">
        <f t="shared" si="91"/>
        <v>2.7806712962962963</v>
      </c>
      <c r="V512" s="116" t="s">
        <v>13583</v>
      </c>
      <c r="W512" s="116" t="s">
        <v>13690</v>
      </c>
      <c r="X512" s="116" t="s">
        <v>13691</v>
      </c>
      <c r="Y512" s="116">
        <v>2</v>
      </c>
      <c r="Z512" s="116">
        <v>3</v>
      </c>
      <c r="AA512" s="116">
        <v>1</v>
      </c>
      <c r="AB512" s="99"/>
      <c r="AC512" s="99"/>
      <c r="AD512" s="107">
        <v>159.99</v>
      </c>
      <c r="AE512" s="113">
        <f t="shared" si="92"/>
        <v>-23.9985</v>
      </c>
      <c r="AF512" s="116">
        <f>-IFERROR(IFERROR(VLOOKUP(ROUNDUP($Q512,0),'FBA FEES'!$L$2:$Q$203,MATCH($S512,'FBA FEES'!$L$2:$Q$2,0),FALSE),VLOOKUP(ROUNDUP($Q512,0),'FBA FEES'!$C$6:$F$123,MATCH($S512,'FBA FEES'!$C$6:$F$6,0),FALSE)),0)</f>
        <v>-25.57</v>
      </c>
      <c r="AG512" s="116">
        <v>-10</v>
      </c>
      <c r="AH512" s="113">
        <f t="shared" si="93"/>
        <v>-49.5685</v>
      </c>
      <c r="AI512" s="116">
        <f>-IFERROR(IF($Y512=1,INDEX('[1]REMOVAL FEES'!$A$1:$C$22,MATCH(CONCATENATE("Standard Size",$P512),'[1]REMOVAL FEES'!$A$1:$A$22,0),3),IF($Y512=2,IF($P512&gt;10,(($P512-10)*1.06)+INDEX('[1]REMOVAL FEES'!$E$1:$G$22,MATCH(CONCATENATE("Large bulky, extra-large and special handling items",IF($P512&gt;=11,11,$P512)),'[1]REMOVAL FEES'!$E$1:$E$13,0),3),INDEX('[1]REMOVAL FEES'!$E$1:$G$22,MATCH(CONCATENATE("Large bulky, extra-large and special handling items",IF($P512&gt;=11,11,$P512)),'[1]REMOVAL FEES'!$E$1:$E$13,0),3))))*$AA512,FALSE)</f>
        <v>-49.300000000000004</v>
      </c>
      <c r="AJ512" s="107">
        <f t="shared" si="94"/>
        <v>-98.868500000000012</v>
      </c>
      <c r="AK512" s="107">
        <v>-81.61</v>
      </c>
      <c r="AL512" s="107">
        <v>-26.821000000000002</v>
      </c>
      <c r="AM512" s="107">
        <f t="shared" si="95"/>
        <v>-108.431</v>
      </c>
      <c r="AN512" s="116">
        <f>(-IF($V512="Yes", IF($X512="Yes", VLOOKUP($W512, '[1]Storage Fees'!A:M, 13, FALSE), VLOOKUP($W512, '[1]Storage Fees'!A:M, 10, FALSE)), IF($X512="Yes", VLOOKUP($W512, '[1]Storage Fees'!A:M, 7, FALSE), VLOOKUP($W512, '[1]Storage Fees'!A:M, 4, FALSE))) * U512)*1.5</f>
        <v>-3.2950954861111112</v>
      </c>
    </row>
    <row r="513" spans="1:40" x14ac:dyDescent="0.25">
      <c r="A513" s="99">
        <v>441</v>
      </c>
      <c r="B513" s="99" t="s">
        <v>283</v>
      </c>
      <c r="C513" s="99" t="s">
        <v>13655</v>
      </c>
      <c r="D513" s="99" t="s">
        <v>714</v>
      </c>
      <c r="E513" s="99" t="s">
        <v>278</v>
      </c>
      <c r="F513" s="99" t="s">
        <v>1056</v>
      </c>
      <c r="G513" s="99" t="s">
        <v>13695</v>
      </c>
      <c r="H513" s="99">
        <v>26</v>
      </c>
      <c r="I513" s="99">
        <v>22</v>
      </c>
      <c r="J513" s="99">
        <v>3</v>
      </c>
      <c r="K513" s="101" t="str">
        <f t="shared" si="83"/>
        <v>26x22x3</v>
      </c>
      <c r="L513" s="102">
        <f t="shared" si="84"/>
        <v>12.345323741007194</v>
      </c>
      <c r="M513" s="113">
        <f t="shared" si="85"/>
        <v>12.345323741007194</v>
      </c>
      <c r="N513" s="113">
        <f t="shared" si="86"/>
        <v>13</v>
      </c>
      <c r="O513" s="99">
        <v>23</v>
      </c>
      <c r="P513" s="113">
        <f t="shared" si="87"/>
        <v>23</v>
      </c>
      <c r="Q513" s="112">
        <f t="shared" si="88"/>
        <v>368</v>
      </c>
      <c r="R513" s="112" t="str">
        <f t="shared" si="89"/>
        <v>Oversize</v>
      </c>
      <c r="S513" s="99" t="str">
        <f t="shared" si="90"/>
        <v>Large bulky</v>
      </c>
      <c r="T513" s="116" t="s">
        <v>13692</v>
      </c>
      <c r="U513" s="116">
        <f t="shared" si="91"/>
        <v>0.99305555555555558</v>
      </c>
      <c r="V513" s="116" t="s">
        <v>13583</v>
      </c>
      <c r="W513" s="116" t="s">
        <v>13690</v>
      </c>
      <c r="X513" s="116" t="s">
        <v>13691</v>
      </c>
      <c r="Y513" s="116">
        <v>2</v>
      </c>
      <c r="Z513" s="116">
        <v>3</v>
      </c>
      <c r="AA513" s="116">
        <v>1</v>
      </c>
      <c r="AB513" s="99"/>
      <c r="AC513" s="99"/>
      <c r="AD513" s="107">
        <v>0</v>
      </c>
      <c r="AE513" s="113">
        <f t="shared" si="92"/>
        <v>0</v>
      </c>
      <c r="AF513" s="116">
        <f>-IFERROR(IFERROR(VLOOKUP(ROUNDUP($Q513,0),'FBA FEES'!$L$2:$Q$203,MATCH($S513,'FBA FEES'!$L$2:$Q$2,0),FALSE),VLOOKUP(ROUNDUP($Q513,0),'FBA FEES'!$C$6:$F$123,MATCH($S513,'FBA FEES'!$C$6:$F$6,0),FALSE)),0)</f>
        <v>-17.97</v>
      </c>
      <c r="AG513" s="116">
        <v>-10</v>
      </c>
      <c r="AH513" s="113">
        <f t="shared" si="93"/>
        <v>-17.97</v>
      </c>
      <c r="AI513" s="116">
        <f>-IFERROR(IF($Y513=1,INDEX('[1]REMOVAL FEES'!$A$1:$C$22,MATCH(CONCATENATE("Standard Size",$P513),'[1]REMOVAL FEES'!$A$1:$A$22,0),3),IF($Y513=2,IF($P513&gt;10,(($P513-10)*1.06)+INDEX('[1]REMOVAL FEES'!$E$1:$G$22,MATCH(CONCATENATE("Large bulky, extra-large and special handling items",IF($P513&gt;=11,11,$P513)),'[1]REMOVAL FEES'!$E$1:$E$13,0),3),INDEX('[1]REMOVAL FEES'!$E$1:$G$22,MATCH(CONCATENATE("Large bulky, extra-large and special handling items",IF($P513&gt;=11,11,$P513)),'[1]REMOVAL FEES'!$E$1:$E$13,0),3))))*$AA513,FALSE)</f>
        <v>-28.1</v>
      </c>
      <c r="AJ513" s="107">
        <f t="shared" si="94"/>
        <v>-46.07</v>
      </c>
      <c r="AK513" s="107">
        <v>0</v>
      </c>
      <c r="AL513" s="107">
        <v>0</v>
      </c>
      <c r="AM513" s="107">
        <f t="shared" si="95"/>
        <v>0</v>
      </c>
      <c r="AN513" s="116">
        <f>(-IF($V513="Yes", IF($X513="Yes", VLOOKUP($W513, '[1]Storage Fees'!A:M, 13, FALSE), VLOOKUP($W513, '[1]Storage Fees'!A:M, 10, FALSE)), IF($X513="Yes", VLOOKUP($W513, '[1]Storage Fees'!A:M, 7, FALSE), VLOOKUP($W513, '[1]Storage Fees'!A:M, 4, FALSE))) * U513)*1.5</f>
        <v>-1.1767708333333333</v>
      </c>
    </row>
    <row r="514" spans="1:40" x14ac:dyDescent="0.25">
      <c r="A514" s="99">
        <v>442</v>
      </c>
      <c r="B514" s="99"/>
      <c r="C514" s="99" t="s">
        <v>13655</v>
      </c>
      <c r="D514" s="99"/>
      <c r="E514" s="99" t="s">
        <v>278</v>
      </c>
      <c r="F514" s="99" t="s">
        <v>1915</v>
      </c>
      <c r="G514" s="99" t="s">
        <v>13695</v>
      </c>
      <c r="H514" s="99">
        <v>0</v>
      </c>
      <c r="I514" s="99">
        <v>0</v>
      </c>
      <c r="J514" s="99">
        <v>0</v>
      </c>
      <c r="K514" s="101" t="str">
        <f t="shared" si="83"/>
        <v>0x0x0</v>
      </c>
      <c r="L514" s="102">
        <f t="shared" si="84"/>
        <v>0</v>
      </c>
      <c r="M514" s="113">
        <f t="shared" si="85"/>
        <v>0</v>
      </c>
      <c r="N514" s="113">
        <f t="shared" si="86"/>
        <v>0</v>
      </c>
      <c r="O514" s="99">
        <v>0</v>
      </c>
      <c r="P514" s="113">
        <f t="shared" si="87"/>
        <v>0</v>
      </c>
      <c r="Q514" s="112">
        <f t="shared" si="88"/>
        <v>0</v>
      </c>
      <c r="R514" s="112" t="str">
        <f t="shared" si="89"/>
        <v>Standard-size</v>
      </c>
      <c r="S514" s="99" t="str">
        <f t="shared" si="90"/>
        <v>Small standard-size</v>
      </c>
      <c r="T514" s="116" t="s">
        <v>13696</v>
      </c>
      <c r="U514" s="116">
        <f t="shared" si="91"/>
        <v>0</v>
      </c>
      <c r="V514" s="116" t="s">
        <v>13583</v>
      </c>
      <c r="W514" s="116" t="s">
        <v>13690</v>
      </c>
      <c r="X514" s="99" t="s">
        <v>13583</v>
      </c>
      <c r="Y514" s="99">
        <v>1</v>
      </c>
      <c r="Z514" s="99">
        <v>1</v>
      </c>
      <c r="AA514" s="99">
        <v>1</v>
      </c>
      <c r="AB514" s="99"/>
      <c r="AC514" s="99"/>
      <c r="AD514" s="107">
        <v>0</v>
      </c>
      <c r="AE514" s="113">
        <f t="shared" si="92"/>
        <v>0</v>
      </c>
      <c r="AF514" s="116">
        <f>-IFERROR(IFERROR(VLOOKUP(ROUNDUP($Q514,0),'FBA FEES'!$L$2:$Q$203,MATCH($S514,'FBA FEES'!$L$2:$Q$2,0),FALSE),VLOOKUP(ROUNDUP($Q514,0),'FBA FEES'!$C$6:$F$123,MATCH($S514,'FBA FEES'!$C$6:$F$6,0),FALSE)),0)</f>
        <v>0</v>
      </c>
      <c r="AG514" s="116">
        <v>-10</v>
      </c>
      <c r="AH514" s="113">
        <f t="shared" si="93"/>
        <v>0</v>
      </c>
      <c r="AI514" s="116">
        <f>-IFERROR(IF($Y514=1,INDEX('[1]REMOVAL FEES'!$A$1:$C$22,MATCH(CONCATENATE("Standard Size",$P514),'[1]REMOVAL FEES'!$A$1:$A$22,0),3),IF($Y514=2,IF($P514&gt;10,(($P514-10)*1.06)+INDEX('[1]REMOVAL FEES'!$E$1:$G$22,MATCH(CONCATENATE("Large bulky, extra-large and special handling items",IF($P514&gt;=11,11,$P514)),'[1]REMOVAL FEES'!$E$1:$E$13,0),3),INDEX('[1]REMOVAL FEES'!$E$1:$G$22,MATCH(CONCATENATE("Large bulky, extra-large and special handling items",IF($P514&gt;=11,11,$P514)),'[1]REMOVAL FEES'!$E$1:$E$13,0),3))))*$AA514,FALSE)</f>
        <v>0</v>
      </c>
      <c r="AJ514" s="107">
        <f t="shared" si="94"/>
        <v>0</v>
      </c>
      <c r="AK514" s="107">
        <v>0</v>
      </c>
      <c r="AL514" s="107">
        <v>0</v>
      </c>
      <c r="AM514" s="107">
        <f t="shared" si="95"/>
        <v>0</v>
      </c>
      <c r="AN514" s="116">
        <f>(-IF($V514="Yes", IF($X514="Yes", VLOOKUP($W514, '[1]Storage Fees'!A:M, 13, FALSE), VLOOKUP($W514, '[1]Storage Fees'!A:M, 10, FALSE)), IF($X514="Yes", VLOOKUP($W514, '[1]Storage Fees'!A:M, 7, FALSE), VLOOKUP($W514, '[1]Storage Fees'!A:M, 4, FALSE))) * U514)*1.5</f>
        <v>0</v>
      </c>
    </row>
    <row r="515" spans="1:40" x14ac:dyDescent="0.25">
      <c r="A515" s="99">
        <v>443</v>
      </c>
      <c r="B515" s="99"/>
      <c r="C515" s="99" t="s">
        <v>13655</v>
      </c>
      <c r="D515" s="99"/>
      <c r="E515" s="99" t="s">
        <v>278</v>
      </c>
      <c r="F515" s="99" t="s">
        <v>1917</v>
      </c>
      <c r="G515" s="99" t="s">
        <v>13695</v>
      </c>
      <c r="H515" s="99">
        <v>0</v>
      </c>
      <c r="I515" s="99">
        <v>0</v>
      </c>
      <c r="J515" s="99">
        <v>0</v>
      </c>
      <c r="K515" s="101" t="str">
        <f t="shared" si="83"/>
        <v>0x0x0</v>
      </c>
      <c r="L515" s="102">
        <f t="shared" si="84"/>
        <v>0</v>
      </c>
      <c r="M515" s="113">
        <f t="shared" si="85"/>
        <v>0</v>
      </c>
      <c r="N515" s="113">
        <f t="shared" si="86"/>
        <v>0</v>
      </c>
      <c r="O515" s="99">
        <v>0</v>
      </c>
      <c r="P515" s="113">
        <f t="shared" si="87"/>
        <v>0</v>
      </c>
      <c r="Q515" s="112">
        <f t="shared" si="88"/>
        <v>0</v>
      </c>
      <c r="R515" s="112" t="str">
        <f t="shared" si="89"/>
        <v>Standard-size</v>
      </c>
      <c r="S515" s="99" t="str">
        <f t="shared" si="90"/>
        <v>Small standard-size</v>
      </c>
      <c r="T515" s="116" t="s">
        <v>13696</v>
      </c>
      <c r="U515" s="116">
        <f t="shared" si="91"/>
        <v>0</v>
      </c>
      <c r="V515" s="116" t="s">
        <v>13583</v>
      </c>
      <c r="W515" s="116" t="s">
        <v>13690</v>
      </c>
      <c r="X515" s="99" t="s">
        <v>13583</v>
      </c>
      <c r="Y515" s="99">
        <v>1</v>
      </c>
      <c r="Z515" s="99">
        <v>1</v>
      </c>
      <c r="AA515" s="99">
        <v>1</v>
      </c>
      <c r="AB515" s="99"/>
      <c r="AC515" s="99"/>
      <c r="AD515" s="107">
        <v>0</v>
      </c>
      <c r="AE515" s="113">
        <f t="shared" si="92"/>
        <v>0</v>
      </c>
      <c r="AF515" s="116">
        <f>-IFERROR(IFERROR(VLOOKUP(ROUNDUP($Q515,0),'FBA FEES'!$L$2:$Q$203,MATCH($S515,'FBA FEES'!$L$2:$Q$2,0),FALSE),VLOOKUP(ROUNDUP($Q515,0),'FBA FEES'!$C$6:$F$123,MATCH($S515,'FBA FEES'!$C$6:$F$6,0),FALSE)),0)</f>
        <v>0</v>
      </c>
      <c r="AG515" s="116">
        <v>-10</v>
      </c>
      <c r="AH515" s="113">
        <f t="shared" si="93"/>
        <v>0</v>
      </c>
      <c r="AI515" s="116">
        <f>-IFERROR(IF($Y515=1,INDEX('[1]REMOVAL FEES'!$A$1:$C$22,MATCH(CONCATENATE("Standard Size",$P515),'[1]REMOVAL FEES'!$A$1:$A$22,0),3),IF($Y515=2,IF($P515&gt;10,(($P515-10)*1.06)+INDEX('[1]REMOVAL FEES'!$E$1:$G$22,MATCH(CONCATENATE("Large bulky, extra-large and special handling items",IF($P515&gt;=11,11,$P515)),'[1]REMOVAL FEES'!$E$1:$E$13,0),3),INDEX('[1]REMOVAL FEES'!$E$1:$G$22,MATCH(CONCATENATE("Large bulky, extra-large and special handling items",IF($P515&gt;=11,11,$P515)),'[1]REMOVAL FEES'!$E$1:$E$13,0),3))))*$AA515,FALSE)</f>
        <v>0</v>
      </c>
      <c r="AJ515" s="107">
        <f t="shared" si="94"/>
        <v>0</v>
      </c>
      <c r="AK515" s="107">
        <v>0</v>
      </c>
      <c r="AL515" s="107">
        <v>0</v>
      </c>
      <c r="AM515" s="107">
        <f t="shared" si="95"/>
        <v>0</v>
      </c>
      <c r="AN515" s="116">
        <f>(-IF($V515="Yes", IF($X515="Yes", VLOOKUP($W515, '[1]Storage Fees'!A:M, 13, FALSE), VLOOKUP($W515, '[1]Storage Fees'!A:M, 10, FALSE)), IF($X515="Yes", VLOOKUP($W515, '[1]Storage Fees'!A:M, 7, FALSE), VLOOKUP($W515, '[1]Storage Fees'!A:M, 4, FALSE))) * U515)*1.5</f>
        <v>0</v>
      </c>
    </row>
    <row r="516" spans="1:40" x14ac:dyDescent="0.25">
      <c r="A516" s="99">
        <v>444</v>
      </c>
      <c r="B516" s="99" t="s">
        <v>13700</v>
      </c>
      <c r="C516" s="99" t="s">
        <v>13655</v>
      </c>
      <c r="D516" s="99" t="s">
        <v>1061</v>
      </c>
      <c r="E516" s="99" t="s">
        <v>278</v>
      </c>
      <c r="F516" s="99" t="s">
        <v>1059</v>
      </c>
      <c r="G516" s="99" t="s">
        <v>13695</v>
      </c>
      <c r="H516" s="99">
        <v>37</v>
      </c>
      <c r="I516" s="99">
        <v>37</v>
      </c>
      <c r="J516" s="99">
        <v>9</v>
      </c>
      <c r="K516" s="101" t="str">
        <f t="shared" si="83"/>
        <v>37x37x9</v>
      </c>
      <c r="L516" s="102">
        <f t="shared" si="84"/>
        <v>88.640287769784166</v>
      </c>
      <c r="M516" s="113">
        <f t="shared" si="85"/>
        <v>88.640287769784166</v>
      </c>
      <c r="N516" s="113">
        <f t="shared" si="86"/>
        <v>89</v>
      </c>
      <c r="O516" s="99">
        <v>38</v>
      </c>
      <c r="P516" s="113">
        <f t="shared" si="87"/>
        <v>89</v>
      </c>
      <c r="Q516" s="112">
        <f t="shared" si="88"/>
        <v>1424</v>
      </c>
      <c r="R516" s="112" t="str">
        <f t="shared" si="89"/>
        <v>Oversize</v>
      </c>
      <c r="S516" s="99" t="str">
        <f t="shared" si="90"/>
        <v>Extra-large 70+ to 150 lb</v>
      </c>
      <c r="T516" s="116" t="s">
        <v>13703</v>
      </c>
      <c r="U516" s="116">
        <f t="shared" si="91"/>
        <v>7.130208333333333</v>
      </c>
      <c r="V516" s="116" t="s">
        <v>13583</v>
      </c>
      <c r="W516" s="116" t="s">
        <v>13690</v>
      </c>
      <c r="X516" s="116" t="s">
        <v>13691</v>
      </c>
      <c r="Y516" s="116">
        <v>2</v>
      </c>
      <c r="Z516" s="116">
        <v>6</v>
      </c>
      <c r="AA516" s="116">
        <v>1</v>
      </c>
      <c r="AB516" s="99"/>
      <c r="AC516" s="99"/>
      <c r="AD516" s="107">
        <v>0</v>
      </c>
      <c r="AE516" s="113">
        <f t="shared" si="92"/>
        <v>0</v>
      </c>
      <c r="AF516" s="116">
        <f>-IFERROR(IFERROR(VLOOKUP(ROUNDUP($Q516,0),'FBA FEES'!$L$2:$Q$203,MATCH($S516,'FBA FEES'!$L$2:$Q$2,0),FALSE),VLOOKUP(ROUNDUP($Q516,0),'FBA FEES'!$C$6:$F$123,MATCH($S516,'FBA FEES'!$C$6:$F$6,0),FALSE)),0)</f>
        <v>-68.31</v>
      </c>
      <c r="AG516" s="116">
        <v>-10</v>
      </c>
      <c r="AH516" s="113">
        <f t="shared" si="93"/>
        <v>-68.31</v>
      </c>
      <c r="AI516" s="116">
        <f>-IFERROR(IF($Y516=1,INDEX('[1]REMOVAL FEES'!$A$1:$C$22,MATCH(CONCATENATE("Standard Size",$P516),'[1]REMOVAL FEES'!$A$1:$A$22,0),3),IF($Y516=2,IF($P516&gt;10,(($P516-10)*1.06)+INDEX('[1]REMOVAL FEES'!$E$1:$G$22,MATCH(CONCATENATE("Large bulky, extra-large and special handling items",IF($P516&gt;=11,11,$P516)),'[1]REMOVAL FEES'!$E$1:$E$13,0),3),INDEX('[1]REMOVAL FEES'!$E$1:$G$22,MATCH(CONCATENATE("Large bulky, extra-large and special handling items",IF($P516&gt;=11,11,$P516)),'[1]REMOVAL FEES'!$E$1:$E$13,0),3))))*$AA516,FALSE)</f>
        <v>-98.06</v>
      </c>
      <c r="AJ516" s="107">
        <f t="shared" si="94"/>
        <v>-166.37</v>
      </c>
      <c r="AK516" s="107">
        <v>0</v>
      </c>
      <c r="AL516" s="107">
        <v>0</v>
      </c>
      <c r="AM516" s="107">
        <f t="shared" si="95"/>
        <v>0</v>
      </c>
      <c r="AN516" s="116">
        <f>(-IF($V516="Yes", IF($X516="Yes", VLOOKUP($W516, '[1]Storage Fees'!A:M, 13, FALSE), VLOOKUP($W516, '[1]Storage Fees'!A:M, 10, FALSE)), IF($X516="Yes", VLOOKUP($W516, '[1]Storage Fees'!A:M, 7, FALSE), VLOOKUP($W516, '[1]Storage Fees'!A:M, 4, FALSE))) * U516)*1.5</f>
        <v>-8.4492968749999999</v>
      </c>
    </row>
    <row r="517" spans="1:40" x14ac:dyDescent="0.25">
      <c r="A517" s="99">
        <v>445</v>
      </c>
      <c r="B517" s="99"/>
      <c r="C517" s="99" t="s">
        <v>13655</v>
      </c>
      <c r="D517" s="99"/>
      <c r="E517" s="99" t="s">
        <v>278</v>
      </c>
      <c r="F517" s="99" t="s">
        <v>1920</v>
      </c>
      <c r="G517" s="99" t="s">
        <v>13695</v>
      </c>
      <c r="H517" s="99">
        <v>0</v>
      </c>
      <c r="I517" s="99">
        <v>0</v>
      </c>
      <c r="J517" s="99">
        <v>0</v>
      </c>
      <c r="K517" s="101" t="str">
        <f t="shared" si="83"/>
        <v>0x0x0</v>
      </c>
      <c r="L517" s="102">
        <f t="shared" si="84"/>
        <v>0</v>
      </c>
      <c r="M517" s="113">
        <f t="shared" si="85"/>
        <v>0</v>
      </c>
      <c r="N517" s="113">
        <f t="shared" si="86"/>
        <v>0</v>
      </c>
      <c r="O517" s="99">
        <v>0</v>
      </c>
      <c r="P517" s="113">
        <f t="shared" si="87"/>
        <v>0</v>
      </c>
      <c r="Q517" s="112">
        <f t="shared" si="88"/>
        <v>0</v>
      </c>
      <c r="R517" s="112" t="str">
        <f t="shared" si="89"/>
        <v>Standard-size</v>
      </c>
      <c r="S517" s="99" t="str">
        <f t="shared" si="90"/>
        <v>Small standard-size</v>
      </c>
      <c r="T517" s="116" t="s">
        <v>13696</v>
      </c>
      <c r="U517" s="116">
        <f t="shared" si="91"/>
        <v>0</v>
      </c>
      <c r="V517" s="116" t="s">
        <v>13583</v>
      </c>
      <c r="W517" s="116" t="s">
        <v>13690</v>
      </c>
      <c r="X517" s="99" t="s">
        <v>13583</v>
      </c>
      <c r="Y517" s="99">
        <v>1</v>
      </c>
      <c r="Z517" s="99">
        <v>1</v>
      </c>
      <c r="AA517" s="99">
        <v>1</v>
      </c>
      <c r="AB517" s="99"/>
      <c r="AC517" s="99"/>
      <c r="AD517" s="107">
        <v>0</v>
      </c>
      <c r="AE517" s="113">
        <f t="shared" si="92"/>
        <v>0</v>
      </c>
      <c r="AF517" s="116">
        <f>-IFERROR(IFERROR(VLOOKUP(ROUNDUP($Q517,0),'FBA FEES'!$L$2:$Q$203,MATCH($S517,'FBA FEES'!$L$2:$Q$2,0),FALSE),VLOOKUP(ROUNDUP($Q517,0),'FBA FEES'!$C$6:$F$123,MATCH($S517,'FBA FEES'!$C$6:$F$6,0),FALSE)),0)</f>
        <v>0</v>
      </c>
      <c r="AG517" s="116">
        <v>-10</v>
      </c>
      <c r="AH517" s="113">
        <f t="shared" si="93"/>
        <v>0</v>
      </c>
      <c r="AI517" s="116">
        <f>-IFERROR(IF($Y517=1,INDEX('[1]REMOVAL FEES'!$A$1:$C$22,MATCH(CONCATENATE("Standard Size",$P517),'[1]REMOVAL FEES'!$A$1:$A$22,0),3),IF($Y517=2,IF($P517&gt;10,(($P517-10)*1.06)+INDEX('[1]REMOVAL FEES'!$E$1:$G$22,MATCH(CONCATENATE("Large bulky, extra-large and special handling items",IF($P517&gt;=11,11,$P517)),'[1]REMOVAL FEES'!$E$1:$E$13,0),3),INDEX('[1]REMOVAL FEES'!$E$1:$G$22,MATCH(CONCATENATE("Large bulky, extra-large and special handling items",IF($P517&gt;=11,11,$P517)),'[1]REMOVAL FEES'!$E$1:$E$13,0),3))))*$AA517,FALSE)</f>
        <v>0</v>
      </c>
      <c r="AJ517" s="107">
        <f t="shared" si="94"/>
        <v>0</v>
      </c>
      <c r="AK517" s="107">
        <v>0</v>
      </c>
      <c r="AL517" s="107">
        <v>0</v>
      </c>
      <c r="AM517" s="107">
        <f t="shared" si="95"/>
        <v>0</v>
      </c>
      <c r="AN517" s="116">
        <f>(-IF($V517="Yes", IF($X517="Yes", VLOOKUP($W517, '[1]Storage Fees'!A:M, 13, FALSE), VLOOKUP($W517, '[1]Storage Fees'!A:M, 10, FALSE)), IF($X517="Yes", VLOOKUP($W517, '[1]Storage Fees'!A:M, 7, FALSE), VLOOKUP($W517, '[1]Storage Fees'!A:M, 4, FALSE))) * U517)*1.5</f>
        <v>0</v>
      </c>
    </row>
    <row r="518" spans="1:40" x14ac:dyDescent="0.25">
      <c r="A518" s="99">
        <v>446</v>
      </c>
      <c r="B518" s="99" t="s">
        <v>13699</v>
      </c>
      <c r="C518" s="99" t="s">
        <v>13655</v>
      </c>
      <c r="D518" s="99" t="s">
        <v>1065</v>
      </c>
      <c r="E518" s="99" t="s">
        <v>278</v>
      </c>
      <c r="F518" s="99" t="s">
        <v>1063</v>
      </c>
      <c r="G518" s="99" t="s">
        <v>13695</v>
      </c>
      <c r="H518" s="99">
        <v>37</v>
      </c>
      <c r="I518" s="99">
        <v>12</v>
      </c>
      <c r="J518" s="99">
        <v>8</v>
      </c>
      <c r="K518" s="101" t="str">
        <f t="shared" si="83"/>
        <v>37x12x8</v>
      </c>
      <c r="L518" s="102">
        <f t="shared" si="84"/>
        <v>25.553956834532375</v>
      </c>
      <c r="M518" s="113">
        <f t="shared" si="85"/>
        <v>25.553956834532375</v>
      </c>
      <c r="N518" s="113">
        <f t="shared" si="86"/>
        <v>26</v>
      </c>
      <c r="O518" s="99">
        <v>27</v>
      </c>
      <c r="P518" s="113">
        <f t="shared" si="87"/>
        <v>27</v>
      </c>
      <c r="Q518" s="112">
        <f t="shared" si="88"/>
        <v>432</v>
      </c>
      <c r="R518" s="112" t="str">
        <f t="shared" si="89"/>
        <v>Oversize</v>
      </c>
      <c r="S518" s="99" t="str">
        <f t="shared" si="90"/>
        <v>Large bulky</v>
      </c>
      <c r="T518" s="116" t="s">
        <v>13692</v>
      </c>
      <c r="U518" s="116">
        <f t="shared" si="91"/>
        <v>2.0555555555555554</v>
      </c>
      <c r="V518" s="116" t="s">
        <v>13583</v>
      </c>
      <c r="W518" s="116" t="s">
        <v>13690</v>
      </c>
      <c r="X518" s="116" t="s">
        <v>13691</v>
      </c>
      <c r="Y518" s="116">
        <v>2</v>
      </c>
      <c r="Z518" s="116">
        <v>3</v>
      </c>
      <c r="AA518" s="116">
        <v>1</v>
      </c>
      <c r="AB518" s="99"/>
      <c r="AC518" s="99"/>
      <c r="AD518" s="107">
        <v>155.92900344827581</v>
      </c>
      <c r="AE518" s="113">
        <f t="shared" si="92"/>
        <v>-23.389350517241372</v>
      </c>
      <c r="AF518" s="116">
        <f>-IFERROR(IFERROR(VLOOKUP(ROUNDUP($Q518,0),'FBA FEES'!$L$2:$Q$203,MATCH($S518,'FBA FEES'!$L$2:$Q$2,0),FALSE),VLOOKUP(ROUNDUP($Q518,0),'FBA FEES'!$C$6:$F$123,MATCH($S518,'FBA FEES'!$C$6:$F$6,0),FALSE)),0)</f>
        <v>-19.490000000000002</v>
      </c>
      <c r="AG518" s="116">
        <v>-10</v>
      </c>
      <c r="AH518" s="113">
        <f t="shared" si="93"/>
        <v>-42.879350517241377</v>
      </c>
      <c r="AI518" s="116">
        <f>-IFERROR(IF($Y518=1,INDEX('[1]REMOVAL FEES'!$A$1:$C$22,MATCH(CONCATENATE("Standard Size",$P518),'[1]REMOVAL FEES'!$A$1:$A$22,0),3),IF($Y518=2,IF($P518&gt;10,(($P518-10)*1.06)+INDEX('[1]REMOVAL FEES'!$E$1:$G$22,MATCH(CONCATENATE("Large bulky, extra-large and special handling items",IF($P518&gt;=11,11,$P518)),'[1]REMOVAL FEES'!$E$1:$E$13,0),3),INDEX('[1]REMOVAL FEES'!$E$1:$G$22,MATCH(CONCATENATE("Large bulky, extra-large and special handling items",IF($P518&gt;=11,11,$P518)),'[1]REMOVAL FEES'!$E$1:$E$13,0),3))))*$AA518,FALSE)</f>
        <v>-32.340000000000003</v>
      </c>
      <c r="AJ518" s="107">
        <f t="shared" si="94"/>
        <v>-75.219350517241381</v>
      </c>
      <c r="AK518" s="107">
        <v>-79.569999999999865</v>
      </c>
      <c r="AL518" s="107">
        <v>-12.370605640057301</v>
      </c>
      <c r="AM518" s="107">
        <f t="shared" si="95"/>
        <v>-91.940605640057171</v>
      </c>
      <c r="AN518" s="116">
        <f>(-IF($V518="Yes", IF($X518="Yes", VLOOKUP($W518, '[1]Storage Fees'!A:M, 13, FALSE), VLOOKUP($W518, '[1]Storage Fees'!A:M, 10, FALSE)), IF($X518="Yes", VLOOKUP($W518, '[1]Storage Fees'!A:M, 7, FALSE), VLOOKUP($W518, '[1]Storage Fees'!A:M, 4, FALSE))) * U518)*1.5</f>
        <v>-2.4358333333333331</v>
      </c>
    </row>
    <row r="519" spans="1:40" x14ac:dyDescent="0.25">
      <c r="A519" s="99">
        <v>447</v>
      </c>
      <c r="B519" s="99" t="s">
        <v>283</v>
      </c>
      <c r="C519" s="99" t="s">
        <v>13655</v>
      </c>
      <c r="D519" s="99" t="s">
        <v>718</v>
      </c>
      <c r="E519" s="99" t="s">
        <v>278</v>
      </c>
      <c r="F519" s="99" t="s">
        <v>1068</v>
      </c>
      <c r="G519" s="99" t="s">
        <v>13656</v>
      </c>
      <c r="H519" s="99">
        <v>34</v>
      </c>
      <c r="I519" s="99">
        <v>12</v>
      </c>
      <c r="J519" s="99">
        <v>5</v>
      </c>
      <c r="K519" s="101" t="str">
        <f t="shared" si="83"/>
        <v>34x12x5</v>
      </c>
      <c r="L519" s="102">
        <f t="shared" si="84"/>
        <v>14.676258992805755</v>
      </c>
      <c r="M519" s="113">
        <f t="shared" si="85"/>
        <v>14.676258992805755</v>
      </c>
      <c r="N519" s="113">
        <f t="shared" si="86"/>
        <v>15</v>
      </c>
      <c r="O519" s="99">
        <v>13</v>
      </c>
      <c r="P519" s="113">
        <f t="shared" si="87"/>
        <v>15</v>
      </c>
      <c r="Q519" s="112">
        <f t="shared" si="88"/>
        <v>240</v>
      </c>
      <c r="R519" s="112" t="str">
        <f t="shared" si="89"/>
        <v>Oversize</v>
      </c>
      <c r="S519" s="99" t="str">
        <f t="shared" si="90"/>
        <v>Large bulky</v>
      </c>
      <c r="T519" s="116" t="s">
        <v>13692</v>
      </c>
      <c r="U519" s="116">
        <f t="shared" si="91"/>
        <v>1.1805555555555556</v>
      </c>
      <c r="V519" s="116" t="s">
        <v>13583</v>
      </c>
      <c r="W519" s="116" t="s">
        <v>13690</v>
      </c>
      <c r="X519" s="116" t="s">
        <v>13691</v>
      </c>
      <c r="Y519" s="116">
        <v>2</v>
      </c>
      <c r="Z519" s="116">
        <v>3</v>
      </c>
      <c r="AA519" s="116">
        <v>1</v>
      </c>
      <c r="AB519" s="99"/>
      <c r="AC519" s="99"/>
      <c r="AD519" s="107">
        <v>0</v>
      </c>
      <c r="AE519" s="113">
        <f t="shared" si="92"/>
        <v>0</v>
      </c>
      <c r="AF519" s="116">
        <f>-IFERROR(IFERROR(VLOOKUP(ROUNDUP($Q519,0),'FBA FEES'!$L$2:$Q$203,MATCH($S519,'FBA FEES'!$L$2:$Q$2,0),FALSE),VLOOKUP(ROUNDUP($Q519,0),'FBA FEES'!$C$6:$F$123,MATCH($S519,'FBA FEES'!$C$6:$F$6,0),FALSE)),0)</f>
        <v>-14.93</v>
      </c>
      <c r="AG519" s="116">
        <v>-10</v>
      </c>
      <c r="AH519" s="113">
        <f t="shared" si="93"/>
        <v>-14.93</v>
      </c>
      <c r="AI519" s="116">
        <f>-IFERROR(IF($Y519=1,INDEX('[1]REMOVAL FEES'!$A$1:$C$22,MATCH(CONCATENATE("Standard Size",$P519),'[1]REMOVAL FEES'!$A$1:$A$22,0),3),IF($Y519=2,IF($P519&gt;10,(($P519-10)*1.06)+INDEX('[1]REMOVAL FEES'!$E$1:$G$22,MATCH(CONCATENATE("Large bulky, extra-large and special handling items",IF($P519&gt;=11,11,$P519)),'[1]REMOVAL FEES'!$E$1:$E$13,0),3),INDEX('[1]REMOVAL FEES'!$E$1:$G$22,MATCH(CONCATENATE("Large bulky, extra-large and special handling items",IF($P519&gt;=11,11,$P519)),'[1]REMOVAL FEES'!$E$1:$E$13,0),3))))*$AA519,FALSE)</f>
        <v>-19.62</v>
      </c>
      <c r="AJ519" s="107">
        <f t="shared" si="94"/>
        <v>-34.549999999999997</v>
      </c>
      <c r="AK519" s="107">
        <v>0</v>
      </c>
      <c r="AL519" s="107">
        <v>0</v>
      </c>
      <c r="AM519" s="107">
        <f t="shared" si="95"/>
        <v>0</v>
      </c>
      <c r="AN519" s="116">
        <f>(-IF($V519="Yes", IF($X519="Yes", VLOOKUP($W519, '[1]Storage Fees'!A:M, 13, FALSE), VLOOKUP($W519, '[1]Storage Fees'!A:M, 10, FALSE)), IF($X519="Yes", VLOOKUP($W519, '[1]Storage Fees'!A:M, 7, FALSE), VLOOKUP($W519, '[1]Storage Fees'!A:M, 4, FALSE))) * U519)*1.5</f>
        <v>-1.3989583333333333</v>
      </c>
    </row>
    <row r="520" spans="1:40" x14ac:dyDescent="0.25">
      <c r="A520" s="99">
        <v>448</v>
      </c>
      <c r="B520" s="99"/>
      <c r="C520" s="99" t="s">
        <v>13655</v>
      </c>
      <c r="D520" s="99"/>
      <c r="E520" s="99" t="s">
        <v>278</v>
      </c>
      <c r="F520" s="99" t="s">
        <v>1922</v>
      </c>
      <c r="G520" s="99" t="s">
        <v>13695</v>
      </c>
      <c r="H520" s="99">
        <v>0</v>
      </c>
      <c r="I520" s="99">
        <v>0</v>
      </c>
      <c r="J520" s="99">
        <v>0</v>
      </c>
      <c r="K520" s="101" t="str">
        <f t="shared" si="83"/>
        <v>0x0x0</v>
      </c>
      <c r="L520" s="102">
        <f t="shared" si="84"/>
        <v>0</v>
      </c>
      <c r="M520" s="113">
        <f t="shared" si="85"/>
        <v>0</v>
      </c>
      <c r="N520" s="113">
        <f t="shared" si="86"/>
        <v>0</v>
      </c>
      <c r="O520" s="99">
        <v>0</v>
      </c>
      <c r="P520" s="113">
        <f t="shared" si="87"/>
        <v>0</v>
      </c>
      <c r="Q520" s="112">
        <f t="shared" si="88"/>
        <v>0</v>
      </c>
      <c r="R520" s="112" t="str">
        <f t="shared" si="89"/>
        <v>Standard-size</v>
      </c>
      <c r="S520" s="99" t="str">
        <f t="shared" si="90"/>
        <v>Small standard-size</v>
      </c>
      <c r="T520" s="116" t="s">
        <v>13696</v>
      </c>
      <c r="U520" s="116">
        <f t="shared" si="91"/>
        <v>0</v>
      </c>
      <c r="V520" s="116" t="s">
        <v>13583</v>
      </c>
      <c r="W520" s="116" t="s">
        <v>13690</v>
      </c>
      <c r="X520" s="99" t="s">
        <v>13583</v>
      </c>
      <c r="Y520" s="99">
        <v>1</v>
      </c>
      <c r="Z520" s="99">
        <v>1</v>
      </c>
      <c r="AA520" s="99">
        <v>1</v>
      </c>
      <c r="AB520" s="99"/>
      <c r="AC520" s="99"/>
      <c r="AD520" s="107">
        <v>0</v>
      </c>
      <c r="AE520" s="113">
        <f t="shared" si="92"/>
        <v>0</v>
      </c>
      <c r="AF520" s="116">
        <f>-IFERROR(IFERROR(VLOOKUP(ROUNDUP($Q520,0),'FBA FEES'!$L$2:$Q$203,MATCH($S520,'FBA FEES'!$L$2:$Q$2,0),FALSE),VLOOKUP(ROUNDUP($Q520,0),'FBA FEES'!$C$6:$F$123,MATCH($S520,'FBA FEES'!$C$6:$F$6,0),FALSE)),0)</f>
        <v>0</v>
      </c>
      <c r="AG520" s="116">
        <v>-10</v>
      </c>
      <c r="AH520" s="113">
        <f t="shared" si="93"/>
        <v>0</v>
      </c>
      <c r="AI520" s="116">
        <f>-IFERROR(IF($Y520=1,INDEX('[1]REMOVAL FEES'!$A$1:$C$22,MATCH(CONCATENATE("Standard Size",$P520),'[1]REMOVAL FEES'!$A$1:$A$22,0),3),IF($Y520=2,IF($P520&gt;10,(($P520-10)*1.06)+INDEX('[1]REMOVAL FEES'!$E$1:$G$22,MATCH(CONCATENATE("Large bulky, extra-large and special handling items",IF($P520&gt;=11,11,$P520)),'[1]REMOVAL FEES'!$E$1:$E$13,0),3),INDEX('[1]REMOVAL FEES'!$E$1:$G$22,MATCH(CONCATENATE("Large bulky, extra-large and special handling items",IF($P520&gt;=11,11,$P520)),'[1]REMOVAL FEES'!$E$1:$E$13,0),3))))*$AA520,FALSE)</f>
        <v>0</v>
      </c>
      <c r="AJ520" s="107">
        <f t="shared" si="94"/>
        <v>0</v>
      </c>
      <c r="AK520" s="107">
        <v>0</v>
      </c>
      <c r="AL520" s="107">
        <v>0</v>
      </c>
      <c r="AM520" s="107">
        <f t="shared" si="95"/>
        <v>0</v>
      </c>
      <c r="AN520" s="116">
        <f>(-IF($V520="Yes", IF($X520="Yes", VLOOKUP($W520, '[1]Storage Fees'!A:M, 13, FALSE), VLOOKUP($W520, '[1]Storage Fees'!A:M, 10, FALSE)), IF($X520="Yes", VLOOKUP($W520, '[1]Storage Fees'!A:M, 7, FALSE), VLOOKUP($W520, '[1]Storage Fees'!A:M, 4, FALSE))) * U520)*1.5</f>
        <v>0</v>
      </c>
    </row>
    <row r="521" spans="1:40" x14ac:dyDescent="0.25">
      <c r="A521" s="99">
        <v>449</v>
      </c>
      <c r="B521" s="99" t="s">
        <v>283</v>
      </c>
      <c r="C521" s="99" t="s">
        <v>13655</v>
      </c>
      <c r="D521" s="99" t="s">
        <v>714</v>
      </c>
      <c r="E521" s="99" t="s">
        <v>278</v>
      </c>
      <c r="F521" s="99" t="s">
        <v>1071</v>
      </c>
      <c r="G521" s="99" t="s">
        <v>13695</v>
      </c>
      <c r="H521" s="99">
        <v>19</v>
      </c>
      <c r="I521" s="99">
        <v>15</v>
      </c>
      <c r="J521" s="99">
        <v>2</v>
      </c>
      <c r="K521" s="101" t="str">
        <f t="shared" ref="K521:K584" si="96">H521&amp;"x"&amp;I521&amp;"x"&amp;J521</f>
        <v>19x15x2</v>
      </c>
      <c r="L521" s="102">
        <f t="shared" ref="L521:L584" si="97">(H521*I521*J521)/139</f>
        <v>4.1007194244604319</v>
      </c>
      <c r="M521" s="113">
        <f t="shared" ref="M521:M584" si="98">(H521*I521*J521)/139</f>
        <v>4.1007194244604319</v>
      </c>
      <c r="N521" s="113">
        <f t="shared" ref="N521:N584" si="99">IF(AND(M521&gt;0,M521&lt;=0.25),0.25,IF(AND(M521&gt;0.25,M521&lt;=0.5),0.5,IF(AND(M521&gt;0.5,M521&lt;=0.75),0.75,ROUNDUP(M521,0))))</f>
        <v>5</v>
      </c>
      <c r="O521" s="99">
        <v>20</v>
      </c>
      <c r="P521" s="113">
        <f t="shared" ref="P521:P584" si="100">ROUNDUP(MAX(L521,O521),0)</f>
        <v>20</v>
      </c>
      <c r="Q521" s="112">
        <f t="shared" ref="Q521:Q584" si="101">P521*16</f>
        <v>320</v>
      </c>
      <c r="R521" s="112" t="str">
        <f t="shared" ref="R521:R584" si="102">IF(RIGHT(S521,13)="standard-size","Standard-size","Oversize")</f>
        <v>Oversize</v>
      </c>
      <c r="S521" s="99" t="str">
        <f t="shared" ref="S521:S584" si="103">IF(AND($P521&lt;=$J$50,$H521&lt;=$G$50,$I521&lt;=$H$50,$J521&lt;=$I$50),$A$50,IF(AND($P521&lt;=$J$51,$H521&lt;=$G$51,$I521&lt;=$H$51,$J521&lt;=$I$51),$A$51,IF(AND($H521&lt;=$G$52,$I521&lt;=$H$52,$J521&lt;=$I$52,$P521&lt;=$J$52),$A$52,IF(AND($P521&lt;=$J$53,OR(H$8&gt;$G$53,$I521&gt;$H$53,$J521&gt;$I$53)),$A$53,IF(AND($P521&gt;$J$53,$P521&lt;=$J$54),$A$54,IF(AND($P521&gt;$J$54,$P521&lt;=$J$55),$A$55,$A$56))))))</f>
        <v>Large bulky</v>
      </c>
      <c r="T521" s="116" t="s">
        <v>13692</v>
      </c>
      <c r="U521" s="116">
        <f t="shared" ref="U521:U584" si="104">(H521*I521*J521)/1728</f>
        <v>0.3298611111111111</v>
      </c>
      <c r="V521" s="116" t="s">
        <v>13583</v>
      </c>
      <c r="W521" s="116" t="s">
        <v>13690</v>
      </c>
      <c r="X521" s="116" t="s">
        <v>13691</v>
      </c>
      <c r="Y521" s="116">
        <v>2</v>
      </c>
      <c r="Z521" s="116">
        <v>3</v>
      </c>
      <c r="AA521" s="116">
        <v>1</v>
      </c>
      <c r="AB521" s="99"/>
      <c r="AC521" s="99"/>
      <c r="AD521" s="107">
        <v>0</v>
      </c>
      <c r="AE521" s="113">
        <f t="shared" ref="AE521:AE584" si="105">-AD521*0.15</f>
        <v>0</v>
      </c>
      <c r="AF521" s="116">
        <f>-IFERROR(IFERROR(VLOOKUP(ROUNDUP($Q521,0),'FBA FEES'!$L$2:$Q$203,MATCH($S521,'FBA FEES'!$L$2:$Q$2,0),FALSE),VLOOKUP(ROUNDUP($Q521,0),'FBA FEES'!$C$6:$F$123,MATCH($S521,'FBA FEES'!$C$6:$F$6,0),FALSE)),0)</f>
        <v>-16.829999999999998</v>
      </c>
      <c r="AG521" s="116">
        <v>-10</v>
      </c>
      <c r="AH521" s="113">
        <f t="shared" ref="AH521:AH584" si="106">AE521+AF521</f>
        <v>-16.829999999999998</v>
      </c>
      <c r="AI521" s="116">
        <f>-IFERROR(IF($Y521=1,INDEX('[1]REMOVAL FEES'!$A$1:$C$22,MATCH(CONCATENATE("Standard Size",$P521),'[1]REMOVAL FEES'!$A$1:$A$22,0),3),IF($Y521=2,IF($P521&gt;10,(($P521-10)*1.06)+INDEX('[1]REMOVAL FEES'!$E$1:$G$22,MATCH(CONCATENATE("Large bulky, extra-large and special handling items",IF($P521&gt;=11,11,$P521)),'[1]REMOVAL FEES'!$E$1:$E$13,0),3),INDEX('[1]REMOVAL FEES'!$E$1:$G$22,MATCH(CONCATENATE("Large bulky, extra-large and special handling items",IF($P521&gt;=11,11,$P521)),'[1]REMOVAL FEES'!$E$1:$E$13,0),3))))*$AA521,FALSE)</f>
        <v>-24.92</v>
      </c>
      <c r="AJ521" s="107">
        <f t="shared" ref="AJ521:AJ584" si="107">AH521+AI521</f>
        <v>-41.75</v>
      </c>
      <c r="AK521" s="107">
        <v>0</v>
      </c>
      <c r="AL521" s="107">
        <v>0</v>
      </c>
      <c r="AM521" s="107">
        <f t="shared" ref="AM521:AM584" si="108">AK521+AL521</f>
        <v>0</v>
      </c>
      <c r="AN521" s="116">
        <f>(-IF($V521="Yes", IF($X521="Yes", VLOOKUP($W521, '[1]Storage Fees'!A:M, 13, FALSE), VLOOKUP($W521, '[1]Storage Fees'!A:M, 10, FALSE)), IF($X521="Yes", VLOOKUP($W521, '[1]Storage Fees'!A:M, 7, FALSE), VLOOKUP($W521, '[1]Storage Fees'!A:M, 4, FALSE))) * U521)*1.5</f>
        <v>-0.39088541666666665</v>
      </c>
    </row>
    <row r="522" spans="1:40" x14ac:dyDescent="0.25">
      <c r="A522" s="99">
        <v>450</v>
      </c>
      <c r="B522" s="99"/>
      <c r="C522" s="99" t="s">
        <v>13655</v>
      </c>
      <c r="D522" s="99"/>
      <c r="E522" s="99" t="s">
        <v>278</v>
      </c>
      <c r="F522" s="99" t="s">
        <v>1924</v>
      </c>
      <c r="G522" s="99" t="s">
        <v>13695</v>
      </c>
      <c r="H522" s="99">
        <v>0</v>
      </c>
      <c r="I522" s="99">
        <v>0</v>
      </c>
      <c r="J522" s="99">
        <v>0</v>
      </c>
      <c r="K522" s="101" t="str">
        <f t="shared" si="96"/>
        <v>0x0x0</v>
      </c>
      <c r="L522" s="102">
        <f t="shared" si="97"/>
        <v>0</v>
      </c>
      <c r="M522" s="113">
        <f t="shared" si="98"/>
        <v>0</v>
      </c>
      <c r="N522" s="113">
        <f t="shared" si="99"/>
        <v>0</v>
      </c>
      <c r="O522" s="99">
        <v>0</v>
      </c>
      <c r="P522" s="113">
        <f t="shared" si="100"/>
        <v>0</v>
      </c>
      <c r="Q522" s="112">
        <f t="shared" si="101"/>
        <v>0</v>
      </c>
      <c r="R522" s="112" t="str">
        <f t="shared" si="102"/>
        <v>Standard-size</v>
      </c>
      <c r="S522" s="99" t="str">
        <f t="shared" si="103"/>
        <v>Small standard-size</v>
      </c>
      <c r="T522" s="116" t="s">
        <v>13696</v>
      </c>
      <c r="U522" s="116">
        <f t="shared" si="104"/>
        <v>0</v>
      </c>
      <c r="V522" s="116" t="s">
        <v>13583</v>
      </c>
      <c r="W522" s="116" t="s">
        <v>13690</v>
      </c>
      <c r="X522" s="99" t="s">
        <v>13583</v>
      </c>
      <c r="Y522" s="99">
        <v>1</v>
      </c>
      <c r="Z522" s="99">
        <v>1</v>
      </c>
      <c r="AA522" s="99">
        <v>1</v>
      </c>
      <c r="AB522" s="99"/>
      <c r="AC522" s="99"/>
      <c r="AD522" s="107">
        <v>0</v>
      </c>
      <c r="AE522" s="113">
        <f t="shared" si="105"/>
        <v>0</v>
      </c>
      <c r="AF522" s="116">
        <f>-IFERROR(IFERROR(VLOOKUP(ROUNDUP($Q522,0),'FBA FEES'!$L$2:$Q$203,MATCH($S522,'FBA FEES'!$L$2:$Q$2,0),FALSE),VLOOKUP(ROUNDUP($Q522,0),'FBA FEES'!$C$6:$F$123,MATCH($S522,'FBA FEES'!$C$6:$F$6,0),FALSE)),0)</f>
        <v>0</v>
      </c>
      <c r="AG522" s="116">
        <v>-10</v>
      </c>
      <c r="AH522" s="113">
        <f t="shared" si="106"/>
        <v>0</v>
      </c>
      <c r="AI522" s="116">
        <f>-IFERROR(IF($Y522=1,INDEX('[1]REMOVAL FEES'!$A$1:$C$22,MATCH(CONCATENATE("Standard Size",$P522),'[1]REMOVAL FEES'!$A$1:$A$22,0),3),IF($Y522=2,IF($P522&gt;10,(($P522-10)*1.06)+INDEX('[1]REMOVAL FEES'!$E$1:$G$22,MATCH(CONCATENATE("Large bulky, extra-large and special handling items",IF($P522&gt;=11,11,$P522)),'[1]REMOVAL FEES'!$E$1:$E$13,0),3),INDEX('[1]REMOVAL FEES'!$E$1:$G$22,MATCH(CONCATENATE("Large bulky, extra-large and special handling items",IF($P522&gt;=11,11,$P522)),'[1]REMOVAL FEES'!$E$1:$E$13,0),3))))*$AA522,FALSE)</f>
        <v>0</v>
      </c>
      <c r="AJ522" s="107">
        <f t="shared" si="107"/>
        <v>0</v>
      </c>
      <c r="AK522" s="107">
        <v>0</v>
      </c>
      <c r="AL522" s="107">
        <v>0</v>
      </c>
      <c r="AM522" s="107">
        <f t="shared" si="108"/>
        <v>0</v>
      </c>
      <c r="AN522" s="116">
        <f>(-IF($V522="Yes", IF($X522="Yes", VLOOKUP($W522, '[1]Storage Fees'!A:M, 13, FALSE), VLOOKUP($W522, '[1]Storage Fees'!A:M, 10, FALSE)), IF($X522="Yes", VLOOKUP($W522, '[1]Storage Fees'!A:M, 7, FALSE), VLOOKUP($W522, '[1]Storage Fees'!A:M, 4, FALSE))) * U522)*1.5</f>
        <v>0</v>
      </c>
    </row>
    <row r="523" spans="1:40" x14ac:dyDescent="0.25">
      <c r="A523" s="99">
        <v>451</v>
      </c>
      <c r="B523" s="99"/>
      <c r="C523" s="99" t="s">
        <v>13655</v>
      </c>
      <c r="D523" s="99"/>
      <c r="E523" s="99" t="s">
        <v>278</v>
      </c>
      <c r="F523" s="99" t="s">
        <v>1926</v>
      </c>
      <c r="G523" s="99" t="s">
        <v>13695</v>
      </c>
      <c r="H523" s="99">
        <v>0</v>
      </c>
      <c r="I523" s="99">
        <v>0</v>
      </c>
      <c r="J523" s="99">
        <v>0</v>
      </c>
      <c r="K523" s="101" t="str">
        <f t="shared" si="96"/>
        <v>0x0x0</v>
      </c>
      <c r="L523" s="102">
        <f t="shared" si="97"/>
        <v>0</v>
      </c>
      <c r="M523" s="113">
        <f t="shared" si="98"/>
        <v>0</v>
      </c>
      <c r="N523" s="113">
        <f t="shared" si="99"/>
        <v>0</v>
      </c>
      <c r="O523" s="99">
        <v>0</v>
      </c>
      <c r="P523" s="113">
        <f t="shared" si="100"/>
        <v>0</v>
      </c>
      <c r="Q523" s="112">
        <f t="shared" si="101"/>
        <v>0</v>
      </c>
      <c r="R523" s="112" t="str">
        <f t="shared" si="102"/>
        <v>Standard-size</v>
      </c>
      <c r="S523" s="99" t="str">
        <f t="shared" si="103"/>
        <v>Small standard-size</v>
      </c>
      <c r="T523" s="116" t="s">
        <v>13696</v>
      </c>
      <c r="U523" s="116">
        <f t="shared" si="104"/>
        <v>0</v>
      </c>
      <c r="V523" s="116" t="s">
        <v>13583</v>
      </c>
      <c r="W523" s="116" t="s">
        <v>13690</v>
      </c>
      <c r="X523" s="99" t="s">
        <v>13583</v>
      </c>
      <c r="Y523" s="99">
        <v>1</v>
      </c>
      <c r="Z523" s="99">
        <v>1</v>
      </c>
      <c r="AA523" s="99">
        <v>1</v>
      </c>
      <c r="AB523" s="99"/>
      <c r="AC523" s="99"/>
      <c r="AD523" s="107">
        <v>0</v>
      </c>
      <c r="AE523" s="113">
        <f t="shared" si="105"/>
        <v>0</v>
      </c>
      <c r="AF523" s="116">
        <f>-IFERROR(IFERROR(VLOOKUP(ROUNDUP($Q523,0),'FBA FEES'!$L$2:$Q$203,MATCH($S523,'FBA FEES'!$L$2:$Q$2,0),FALSE),VLOOKUP(ROUNDUP($Q523,0),'FBA FEES'!$C$6:$F$123,MATCH($S523,'FBA FEES'!$C$6:$F$6,0),FALSE)),0)</f>
        <v>0</v>
      </c>
      <c r="AG523" s="116">
        <v>-10</v>
      </c>
      <c r="AH523" s="113">
        <f t="shared" si="106"/>
        <v>0</v>
      </c>
      <c r="AI523" s="116">
        <f>-IFERROR(IF($Y523=1,INDEX('[1]REMOVAL FEES'!$A$1:$C$22,MATCH(CONCATENATE("Standard Size",$P523),'[1]REMOVAL FEES'!$A$1:$A$22,0),3),IF($Y523=2,IF($P523&gt;10,(($P523-10)*1.06)+INDEX('[1]REMOVAL FEES'!$E$1:$G$22,MATCH(CONCATENATE("Large bulky, extra-large and special handling items",IF($P523&gt;=11,11,$P523)),'[1]REMOVAL FEES'!$E$1:$E$13,0),3),INDEX('[1]REMOVAL FEES'!$E$1:$G$22,MATCH(CONCATENATE("Large bulky, extra-large and special handling items",IF($P523&gt;=11,11,$P523)),'[1]REMOVAL FEES'!$E$1:$E$13,0),3))))*$AA523,FALSE)</f>
        <v>0</v>
      </c>
      <c r="AJ523" s="107">
        <f t="shared" si="107"/>
        <v>0</v>
      </c>
      <c r="AK523" s="107">
        <v>0</v>
      </c>
      <c r="AL523" s="107">
        <v>0</v>
      </c>
      <c r="AM523" s="107">
        <f t="shared" si="108"/>
        <v>0</v>
      </c>
      <c r="AN523" s="116">
        <f>(-IF($V523="Yes", IF($X523="Yes", VLOOKUP($W523, '[1]Storage Fees'!A:M, 13, FALSE), VLOOKUP($W523, '[1]Storage Fees'!A:M, 10, FALSE)), IF($X523="Yes", VLOOKUP($W523, '[1]Storage Fees'!A:M, 7, FALSE), VLOOKUP($W523, '[1]Storage Fees'!A:M, 4, FALSE))) * U523)*1.5</f>
        <v>0</v>
      </c>
    </row>
    <row r="524" spans="1:40" x14ac:dyDescent="0.25">
      <c r="A524" s="99">
        <v>452</v>
      </c>
      <c r="B524" s="99" t="s">
        <v>13700</v>
      </c>
      <c r="C524" s="99" t="s">
        <v>13655</v>
      </c>
      <c r="D524" s="99" t="s">
        <v>1076</v>
      </c>
      <c r="E524" s="99" t="s">
        <v>278</v>
      </c>
      <c r="F524" s="99" t="s">
        <v>1074</v>
      </c>
      <c r="G524" s="99" t="s">
        <v>13695</v>
      </c>
      <c r="H524" s="99">
        <v>23</v>
      </c>
      <c r="I524" s="99">
        <v>19</v>
      </c>
      <c r="J524" s="99">
        <v>19</v>
      </c>
      <c r="K524" s="101" t="str">
        <f t="shared" si="96"/>
        <v>23x19x19</v>
      </c>
      <c r="L524" s="102">
        <f t="shared" si="97"/>
        <v>59.733812949640289</v>
      </c>
      <c r="M524" s="113">
        <f t="shared" si="98"/>
        <v>59.733812949640289</v>
      </c>
      <c r="N524" s="113">
        <f t="shared" si="99"/>
        <v>60</v>
      </c>
      <c r="O524" s="99">
        <v>42</v>
      </c>
      <c r="P524" s="113">
        <f t="shared" si="100"/>
        <v>60</v>
      </c>
      <c r="Q524" s="112">
        <f t="shared" si="101"/>
        <v>960</v>
      </c>
      <c r="R524" s="112" t="str">
        <f t="shared" si="102"/>
        <v>Oversize</v>
      </c>
      <c r="S524" s="99" t="str">
        <f t="shared" si="103"/>
        <v>Extra-large 50+ to 70 lb</v>
      </c>
      <c r="T524" s="116" t="s">
        <v>13689</v>
      </c>
      <c r="U524" s="116">
        <f t="shared" si="104"/>
        <v>4.8049768518518521</v>
      </c>
      <c r="V524" s="116" t="s">
        <v>13583</v>
      </c>
      <c r="W524" s="116" t="s">
        <v>13690</v>
      </c>
      <c r="X524" s="116" t="s">
        <v>13691</v>
      </c>
      <c r="Y524" s="116">
        <v>2</v>
      </c>
      <c r="Z524" s="116">
        <v>5</v>
      </c>
      <c r="AA524" s="116">
        <v>1</v>
      </c>
      <c r="AB524" s="99"/>
      <c r="AC524" s="99"/>
      <c r="AD524" s="107">
        <v>208.81705882352929</v>
      </c>
      <c r="AE524" s="113">
        <f t="shared" si="105"/>
        <v>-31.322558823529391</v>
      </c>
      <c r="AF524" s="116">
        <f>-IFERROR(IFERROR(VLOOKUP(ROUNDUP($Q524,0),'FBA FEES'!$L$2:$Q$203,MATCH($S524,'FBA FEES'!$L$2:$Q$2,0),FALSE),VLOOKUP(ROUNDUP($Q524,0),'FBA FEES'!$C$6:$F$123,MATCH($S524,'FBA FEES'!$C$6:$F$6,0),FALSE)),0)</f>
        <v>-46.87</v>
      </c>
      <c r="AG524" s="116">
        <v>-10</v>
      </c>
      <c r="AH524" s="113">
        <f t="shared" si="106"/>
        <v>-78.192558823529396</v>
      </c>
      <c r="AI524" s="116">
        <f>-IFERROR(IF($Y524=1,INDEX('[1]REMOVAL FEES'!$A$1:$C$22,MATCH(CONCATENATE("Standard Size",$P524),'[1]REMOVAL FEES'!$A$1:$A$22,0),3),IF($Y524=2,IF($P524&gt;10,(($P524-10)*1.06)+INDEX('[1]REMOVAL FEES'!$E$1:$G$22,MATCH(CONCATENATE("Large bulky, extra-large and special handling items",IF($P524&gt;=11,11,$P524)),'[1]REMOVAL FEES'!$E$1:$E$13,0),3),INDEX('[1]REMOVAL FEES'!$E$1:$G$22,MATCH(CONCATENATE("Large bulky, extra-large and special handling items",IF($P524&gt;=11,11,$P524)),'[1]REMOVAL FEES'!$E$1:$E$13,0),3))))*$AA524,FALSE)</f>
        <v>-67.319999999999993</v>
      </c>
      <c r="AJ524" s="107">
        <f t="shared" si="107"/>
        <v>-145.51255882352939</v>
      </c>
      <c r="AK524" s="107">
        <v>-87.905882352941191</v>
      </c>
      <c r="AL524" s="107">
        <v>-16.45283660130719</v>
      </c>
      <c r="AM524" s="107">
        <f t="shared" si="108"/>
        <v>-104.35871895424839</v>
      </c>
      <c r="AN524" s="116">
        <f>(-IF($V524="Yes", IF($X524="Yes", VLOOKUP($W524, '[1]Storage Fees'!A:M, 13, FALSE), VLOOKUP($W524, '[1]Storage Fees'!A:M, 10, FALSE)), IF($X524="Yes", VLOOKUP($W524, '[1]Storage Fees'!A:M, 7, FALSE), VLOOKUP($W524, '[1]Storage Fees'!A:M, 4, FALSE))) * U524)*1.5</f>
        <v>-5.6938975694444451</v>
      </c>
    </row>
    <row r="525" spans="1:40" x14ac:dyDescent="0.25">
      <c r="A525" s="99">
        <v>453</v>
      </c>
      <c r="B525" s="99" t="s">
        <v>283</v>
      </c>
      <c r="C525" s="99" t="s">
        <v>13655</v>
      </c>
      <c r="D525" s="99" t="s">
        <v>865</v>
      </c>
      <c r="E525" s="99" t="s">
        <v>278</v>
      </c>
      <c r="F525" s="99" t="s">
        <v>1078</v>
      </c>
      <c r="G525" s="99" t="s">
        <v>13695</v>
      </c>
      <c r="H525" s="99">
        <v>43</v>
      </c>
      <c r="I525" s="99">
        <v>11</v>
      </c>
      <c r="J525" s="99">
        <v>9</v>
      </c>
      <c r="K525" s="101" t="str">
        <f t="shared" si="96"/>
        <v>43x11x9</v>
      </c>
      <c r="L525" s="102">
        <f t="shared" si="97"/>
        <v>30.625899280575538</v>
      </c>
      <c r="M525" s="113">
        <f t="shared" si="98"/>
        <v>30.625899280575538</v>
      </c>
      <c r="N525" s="113">
        <f t="shared" si="99"/>
        <v>31</v>
      </c>
      <c r="O525" s="99">
        <v>28</v>
      </c>
      <c r="P525" s="113">
        <f t="shared" si="100"/>
        <v>31</v>
      </c>
      <c r="Q525" s="112">
        <f t="shared" si="101"/>
        <v>496</v>
      </c>
      <c r="R525" s="112" t="str">
        <f t="shared" si="102"/>
        <v>Oversize</v>
      </c>
      <c r="S525" s="99" t="str">
        <f t="shared" si="103"/>
        <v>Large bulky</v>
      </c>
      <c r="T525" s="116" t="s">
        <v>13694</v>
      </c>
      <c r="U525" s="116">
        <f t="shared" si="104"/>
        <v>2.4635416666666665</v>
      </c>
      <c r="V525" s="116" t="s">
        <v>13583</v>
      </c>
      <c r="W525" s="116" t="s">
        <v>13690</v>
      </c>
      <c r="X525" s="116" t="s">
        <v>13691</v>
      </c>
      <c r="Y525" s="116">
        <v>2</v>
      </c>
      <c r="Z525" s="116">
        <v>3</v>
      </c>
      <c r="AA525" s="116">
        <v>1</v>
      </c>
      <c r="AB525" s="99"/>
      <c r="AC525" s="99"/>
      <c r="AD525" s="107">
        <v>0</v>
      </c>
      <c r="AE525" s="113">
        <f t="shared" si="105"/>
        <v>0</v>
      </c>
      <c r="AF525" s="116">
        <f>-IFERROR(IFERROR(VLOOKUP(ROUNDUP($Q525,0),'FBA FEES'!$L$2:$Q$203,MATCH($S525,'FBA FEES'!$L$2:$Q$2,0),FALSE),VLOOKUP(ROUNDUP($Q525,0),'FBA FEES'!$C$6:$F$123,MATCH($S525,'FBA FEES'!$C$6:$F$6,0),FALSE)),0)</f>
        <v>-21.009999999999998</v>
      </c>
      <c r="AG525" s="116">
        <v>-10</v>
      </c>
      <c r="AH525" s="113">
        <f t="shared" si="106"/>
        <v>-21.009999999999998</v>
      </c>
      <c r="AI525" s="116">
        <f>-IFERROR(IF($Y525=1,INDEX('[1]REMOVAL FEES'!$A$1:$C$22,MATCH(CONCATENATE("Standard Size",$P525),'[1]REMOVAL FEES'!$A$1:$A$22,0),3),IF($Y525=2,IF($P525&gt;10,(($P525-10)*1.06)+INDEX('[1]REMOVAL FEES'!$E$1:$G$22,MATCH(CONCATENATE("Large bulky, extra-large and special handling items",IF($P525&gt;=11,11,$P525)),'[1]REMOVAL FEES'!$E$1:$E$13,0),3),INDEX('[1]REMOVAL FEES'!$E$1:$G$22,MATCH(CONCATENATE("Large bulky, extra-large and special handling items",IF($P525&gt;=11,11,$P525)),'[1]REMOVAL FEES'!$E$1:$E$13,0),3))))*$AA525,FALSE)</f>
        <v>-36.58</v>
      </c>
      <c r="AJ525" s="107">
        <f t="shared" si="107"/>
        <v>-57.589999999999996</v>
      </c>
      <c r="AK525" s="107">
        <v>0</v>
      </c>
      <c r="AL525" s="107">
        <v>0</v>
      </c>
      <c r="AM525" s="107">
        <f t="shared" si="108"/>
        <v>0</v>
      </c>
      <c r="AN525" s="116">
        <f>(-IF($V525="Yes", IF($X525="Yes", VLOOKUP($W525, '[1]Storage Fees'!A:M, 13, FALSE), VLOOKUP($W525, '[1]Storage Fees'!A:M, 10, FALSE)), IF($X525="Yes", VLOOKUP($W525, '[1]Storage Fees'!A:M, 7, FALSE), VLOOKUP($W525, '[1]Storage Fees'!A:M, 4, FALSE))) * U525)*1.5</f>
        <v>-2.9192968749999997</v>
      </c>
    </row>
    <row r="526" spans="1:40" x14ac:dyDescent="0.25">
      <c r="A526" s="99">
        <v>454</v>
      </c>
      <c r="B526" s="99"/>
      <c r="C526" s="99" t="s">
        <v>13655</v>
      </c>
      <c r="D526" s="99"/>
      <c r="E526" s="99" t="s">
        <v>278</v>
      </c>
      <c r="F526" s="99" t="s">
        <v>1928</v>
      </c>
      <c r="G526" s="99" t="s">
        <v>13695</v>
      </c>
      <c r="H526" s="99">
        <v>0</v>
      </c>
      <c r="I526" s="99">
        <v>0</v>
      </c>
      <c r="J526" s="99">
        <v>0</v>
      </c>
      <c r="K526" s="101" t="str">
        <f t="shared" si="96"/>
        <v>0x0x0</v>
      </c>
      <c r="L526" s="102">
        <f t="shared" si="97"/>
        <v>0</v>
      </c>
      <c r="M526" s="113">
        <f t="shared" si="98"/>
        <v>0</v>
      </c>
      <c r="N526" s="113">
        <f t="shared" si="99"/>
        <v>0</v>
      </c>
      <c r="O526" s="99">
        <v>0</v>
      </c>
      <c r="P526" s="113">
        <f t="shared" si="100"/>
        <v>0</v>
      </c>
      <c r="Q526" s="112">
        <f t="shared" si="101"/>
        <v>0</v>
      </c>
      <c r="R526" s="112" t="str">
        <f t="shared" si="102"/>
        <v>Standard-size</v>
      </c>
      <c r="S526" s="99" t="str">
        <f t="shared" si="103"/>
        <v>Small standard-size</v>
      </c>
      <c r="T526" s="116" t="s">
        <v>13696</v>
      </c>
      <c r="U526" s="116">
        <f t="shared" si="104"/>
        <v>0</v>
      </c>
      <c r="V526" s="116" t="s">
        <v>13583</v>
      </c>
      <c r="W526" s="116" t="s">
        <v>13690</v>
      </c>
      <c r="X526" s="99" t="s">
        <v>13583</v>
      </c>
      <c r="Y526" s="99">
        <v>1</v>
      </c>
      <c r="Z526" s="99">
        <v>1</v>
      </c>
      <c r="AA526" s="99">
        <v>1</v>
      </c>
      <c r="AB526" s="99"/>
      <c r="AC526" s="99"/>
      <c r="AD526" s="107">
        <v>0</v>
      </c>
      <c r="AE526" s="113">
        <f t="shared" si="105"/>
        <v>0</v>
      </c>
      <c r="AF526" s="116">
        <f>-IFERROR(IFERROR(VLOOKUP(ROUNDUP($Q526,0),'FBA FEES'!$L$2:$Q$203,MATCH($S526,'FBA FEES'!$L$2:$Q$2,0),FALSE),VLOOKUP(ROUNDUP($Q526,0),'FBA FEES'!$C$6:$F$123,MATCH($S526,'FBA FEES'!$C$6:$F$6,0),FALSE)),0)</f>
        <v>0</v>
      </c>
      <c r="AG526" s="116">
        <v>-10</v>
      </c>
      <c r="AH526" s="113">
        <f t="shared" si="106"/>
        <v>0</v>
      </c>
      <c r="AI526" s="116">
        <f>-IFERROR(IF($Y526=1,INDEX('[1]REMOVAL FEES'!$A$1:$C$22,MATCH(CONCATENATE("Standard Size",$P526),'[1]REMOVAL FEES'!$A$1:$A$22,0),3),IF($Y526=2,IF($P526&gt;10,(($P526-10)*1.06)+INDEX('[1]REMOVAL FEES'!$E$1:$G$22,MATCH(CONCATENATE("Large bulky, extra-large and special handling items",IF($P526&gt;=11,11,$P526)),'[1]REMOVAL FEES'!$E$1:$E$13,0),3),INDEX('[1]REMOVAL FEES'!$E$1:$G$22,MATCH(CONCATENATE("Large bulky, extra-large and special handling items",IF($P526&gt;=11,11,$P526)),'[1]REMOVAL FEES'!$E$1:$E$13,0),3))))*$AA526,FALSE)</f>
        <v>0</v>
      </c>
      <c r="AJ526" s="107">
        <f t="shared" si="107"/>
        <v>0</v>
      </c>
      <c r="AK526" s="107">
        <v>0</v>
      </c>
      <c r="AL526" s="107">
        <v>0</v>
      </c>
      <c r="AM526" s="107">
        <f t="shared" si="108"/>
        <v>0</v>
      </c>
      <c r="AN526" s="116">
        <f>(-IF($V526="Yes", IF($X526="Yes", VLOOKUP($W526, '[1]Storage Fees'!A:M, 13, FALSE), VLOOKUP($W526, '[1]Storage Fees'!A:M, 10, FALSE)), IF($X526="Yes", VLOOKUP($W526, '[1]Storage Fees'!A:M, 7, FALSE), VLOOKUP($W526, '[1]Storage Fees'!A:M, 4, FALSE))) * U526)*1.5</f>
        <v>0</v>
      </c>
    </row>
    <row r="527" spans="1:40" x14ac:dyDescent="0.25">
      <c r="A527" s="99">
        <v>455</v>
      </c>
      <c r="B527" s="99" t="s">
        <v>283</v>
      </c>
      <c r="C527" s="99" t="s">
        <v>13655</v>
      </c>
      <c r="D527" s="99" t="s">
        <v>718</v>
      </c>
      <c r="E527" s="99" t="s">
        <v>278</v>
      </c>
      <c r="F527" s="99" t="s">
        <v>1081</v>
      </c>
      <c r="G527" s="99" t="s">
        <v>13695</v>
      </c>
      <c r="H527" s="99">
        <v>34</v>
      </c>
      <c r="I527" s="99">
        <v>26</v>
      </c>
      <c r="J527" s="99">
        <v>7</v>
      </c>
      <c r="K527" s="101" t="str">
        <f t="shared" si="96"/>
        <v>34x26x7</v>
      </c>
      <c r="L527" s="102">
        <f t="shared" si="97"/>
        <v>44.517985611510788</v>
      </c>
      <c r="M527" s="113">
        <f t="shared" si="98"/>
        <v>44.517985611510788</v>
      </c>
      <c r="N527" s="113">
        <f t="shared" si="99"/>
        <v>45</v>
      </c>
      <c r="O527" s="99">
        <v>14</v>
      </c>
      <c r="P527" s="113">
        <f t="shared" si="100"/>
        <v>45</v>
      </c>
      <c r="Q527" s="112">
        <f t="shared" si="101"/>
        <v>720</v>
      </c>
      <c r="R527" s="112" t="str">
        <f t="shared" si="102"/>
        <v>Oversize</v>
      </c>
      <c r="S527" s="99" t="str">
        <f t="shared" si="103"/>
        <v>Large bulky</v>
      </c>
      <c r="T527" s="116" t="s">
        <v>13694</v>
      </c>
      <c r="U527" s="116">
        <f t="shared" si="104"/>
        <v>3.5810185185185186</v>
      </c>
      <c r="V527" s="116" t="s">
        <v>13583</v>
      </c>
      <c r="W527" s="116" t="s">
        <v>13690</v>
      </c>
      <c r="X527" s="116" t="s">
        <v>13691</v>
      </c>
      <c r="Y527" s="116">
        <v>2</v>
      </c>
      <c r="Z527" s="116">
        <v>3</v>
      </c>
      <c r="AA527" s="116">
        <v>1</v>
      </c>
      <c r="AB527" s="99"/>
      <c r="AC527" s="99"/>
      <c r="AD527" s="107">
        <v>0</v>
      </c>
      <c r="AE527" s="113">
        <f t="shared" si="105"/>
        <v>0</v>
      </c>
      <c r="AF527" s="116">
        <f>-IFERROR(IFERROR(VLOOKUP(ROUNDUP($Q527,0),'FBA FEES'!$L$2:$Q$203,MATCH($S527,'FBA FEES'!$L$2:$Q$2,0),FALSE),VLOOKUP(ROUNDUP($Q527,0),'FBA FEES'!$C$6:$F$123,MATCH($S527,'FBA FEES'!$C$6:$F$6,0),FALSE)),0)</f>
        <v>-26.33</v>
      </c>
      <c r="AG527" s="116">
        <v>-10</v>
      </c>
      <c r="AH527" s="113">
        <f t="shared" si="106"/>
        <v>-26.33</v>
      </c>
      <c r="AI527" s="116">
        <f>-IFERROR(IF($Y527=1,INDEX('[1]REMOVAL FEES'!$A$1:$C$22,MATCH(CONCATENATE("Standard Size",$P527),'[1]REMOVAL FEES'!$A$1:$A$22,0),3),IF($Y527=2,IF($P527&gt;10,(($P527-10)*1.06)+INDEX('[1]REMOVAL FEES'!$E$1:$G$22,MATCH(CONCATENATE("Large bulky, extra-large and special handling items",IF($P527&gt;=11,11,$P527)),'[1]REMOVAL FEES'!$E$1:$E$13,0),3),INDEX('[1]REMOVAL FEES'!$E$1:$G$22,MATCH(CONCATENATE("Large bulky, extra-large and special handling items",IF($P527&gt;=11,11,$P527)),'[1]REMOVAL FEES'!$E$1:$E$13,0),3))))*$AA527,FALSE)</f>
        <v>-51.42</v>
      </c>
      <c r="AJ527" s="107">
        <f t="shared" si="107"/>
        <v>-77.75</v>
      </c>
      <c r="AK527" s="107">
        <v>0</v>
      </c>
      <c r="AL527" s="107">
        <v>0</v>
      </c>
      <c r="AM527" s="107">
        <f t="shared" si="108"/>
        <v>0</v>
      </c>
      <c r="AN527" s="116">
        <f>(-IF($V527="Yes", IF($X527="Yes", VLOOKUP($W527, '[1]Storage Fees'!A:M, 13, FALSE), VLOOKUP($W527, '[1]Storage Fees'!A:M, 10, FALSE)), IF($X527="Yes", VLOOKUP($W527, '[1]Storage Fees'!A:M, 7, FALSE), VLOOKUP($W527, '[1]Storage Fees'!A:M, 4, FALSE))) * U527)*1.5</f>
        <v>-4.2435069444444444</v>
      </c>
    </row>
    <row r="528" spans="1:40" x14ac:dyDescent="0.25">
      <c r="A528" s="99">
        <v>456</v>
      </c>
      <c r="B528" s="99" t="s">
        <v>283</v>
      </c>
      <c r="C528" s="99" t="s">
        <v>13655</v>
      </c>
      <c r="D528" s="99" t="s">
        <v>714</v>
      </c>
      <c r="E528" s="99" t="s">
        <v>278</v>
      </c>
      <c r="F528" s="99" t="s">
        <v>1084</v>
      </c>
      <c r="G528" s="99" t="s">
        <v>13695</v>
      </c>
      <c r="H528" s="99">
        <v>27</v>
      </c>
      <c r="I528" s="99">
        <v>18</v>
      </c>
      <c r="J528" s="99">
        <v>19</v>
      </c>
      <c r="K528" s="101" t="str">
        <f t="shared" si="96"/>
        <v>27x18x19</v>
      </c>
      <c r="L528" s="102">
        <f t="shared" si="97"/>
        <v>66.431654676258987</v>
      </c>
      <c r="M528" s="113">
        <f t="shared" si="98"/>
        <v>66.431654676258987</v>
      </c>
      <c r="N528" s="113">
        <f t="shared" si="99"/>
        <v>67</v>
      </c>
      <c r="O528" s="99">
        <v>42</v>
      </c>
      <c r="P528" s="113">
        <f t="shared" si="100"/>
        <v>67</v>
      </c>
      <c r="Q528" s="112">
        <f t="shared" si="101"/>
        <v>1072</v>
      </c>
      <c r="R528" s="112" t="str">
        <f t="shared" si="102"/>
        <v>Oversize</v>
      </c>
      <c r="S528" s="99" t="str">
        <f t="shared" si="103"/>
        <v>Extra-large 50+ to 70 lb</v>
      </c>
      <c r="T528" s="116" t="s">
        <v>13689</v>
      </c>
      <c r="U528" s="116">
        <f t="shared" si="104"/>
        <v>5.34375</v>
      </c>
      <c r="V528" s="116" t="s">
        <v>13583</v>
      </c>
      <c r="W528" s="116" t="s">
        <v>13690</v>
      </c>
      <c r="X528" s="116" t="s">
        <v>13691</v>
      </c>
      <c r="Y528" s="116">
        <v>2</v>
      </c>
      <c r="Z528" s="116">
        <v>5</v>
      </c>
      <c r="AA528" s="116">
        <v>1</v>
      </c>
      <c r="AB528" s="99"/>
      <c r="AC528" s="99"/>
      <c r="AD528" s="107">
        <v>0</v>
      </c>
      <c r="AE528" s="113">
        <f t="shared" si="105"/>
        <v>0</v>
      </c>
      <c r="AF528" s="116">
        <f>-IFERROR(IFERROR(VLOOKUP(ROUNDUP($Q528,0),'FBA FEES'!$L$2:$Q$203,MATCH($S528,'FBA FEES'!$L$2:$Q$2,0),FALSE),VLOOKUP(ROUNDUP($Q528,0),'FBA FEES'!$C$6:$F$123,MATCH($S528,'FBA FEES'!$C$6:$F$6,0),FALSE)),0)</f>
        <v>-52.12</v>
      </c>
      <c r="AG528" s="116">
        <v>-10</v>
      </c>
      <c r="AH528" s="113">
        <f t="shared" si="106"/>
        <v>-52.12</v>
      </c>
      <c r="AI528" s="116">
        <f>-IFERROR(IF($Y528=1,INDEX('[1]REMOVAL FEES'!$A$1:$C$22,MATCH(CONCATENATE("Standard Size",$P528),'[1]REMOVAL FEES'!$A$1:$A$22,0),3),IF($Y528=2,IF($P528&gt;10,(($P528-10)*1.06)+INDEX('[1]REMOVAL FEES'!$E$1:$G$22,MATCH(CONCATENATE("Large bulky, extra-large and special handling items",IF($P528&gt;=11,11,$P528)),'[1]REMOVAL FEES'!$E$1:$E$13,0),3),INDEX('[1]REMOVAL FEES'!$E$1:$G$22,MATCH(CONCATENATE("Large bulky, extra-large and special handling items",IF($P528&gt;=11,11,$P528)),'[1]REMOVAL FEES'!$E$1:$E$13,0),3))))*$AA528,FALSE)</f>
        <v>-74.740000000000009</v>
      </c>
      <c r="AJ528" s="107">
        <f t="shared" si="107"/>
        <v>-126.86000000000001</v>
      </c>
      <c r="AK528" s="107">
        <v>0</v>
      </c>
      <c r="AL528" s="107">
        <v>0</v>
      </c>
      <c r="AM528" s="107">
        <f t="shared" si="108"/>
        <v>0</v>
      </c>
      <c r="AN528" s="116">
        <f>(-IF($V528="Yes", IF($X528="Yes", VLOOKUP($W528, '[1]Storage Fees'!A:M, 13, FALSE), VLOOKUP($W528, '[1]Storage Fees'!A:M, 10, FALSE)), IF($X528="Yes", VLOOKUP($W528, '[1]Storage Fees'!A:M, 7, FALSE), VLOOKUP($W528, '[1]Storage Fees'!A:M, 4, FALSE))) * U528)*1.5</f>
        <v>-6.3323437499999997</v>
      </c>
    </row>
    <row r="529" spans="1:40" x14ac:dyDescent="0.25">
      <c r="A529" s="99">
        <v>457</v>
      </c>
      <c r="B529" s="99" t="s">
        <v>102</v>
      </c>
      <c r="C529" s="99" t="s">
        <v>13655</v>
      </c>
      <c r="D529" s="99" t="s">
        <v>102</v>
      </c>
      <c r="E529" s="99" t="s">
        <v>278</v>
      </c>
      <c r="F529" s="99" t="s">
        <v>1087</v>
      </c>
      <c r="G529" s="99" t="s">
        <v>13695</v>
      </c>
      <c r="H529" s="99">
        <v>41</v>
      </c>
      <c r="I529" s="99">
        <v>11</v>
      </c>
      <c r="J529" s="99">
        <v>9</v>
      </c>
      <c r="K529" s="101" t="str">
        <f t="shared" si="96"/>
        <v>41x11x9</v>
      </c>
      <c r="L529" s="102">
        <f t="shared" si="97"/>
        <v>29.201438848920862</v>
      </c>
      <c r="M529" s="113">
        <f t="shared" si="98"/>
        <v>29.201438848920862</v>
      </c>
      <c r="N529" s="113">
        <f t="shared" si="99"/>
        <v>30</v>
      </c>
      <c r="O529" s="99">
        <v>28</v>
      </c>
      <c r="P529" s="113">
        <f t="shared" si="100"/>
        <v>30</v>
      </c>
      <c r="Q529" s="112">
        <f t="shared" si="101"/>
        <v>480</v>
      </c>
      <c r="R529" s="112" t="str">
        <f t="shared" si="102"/>
        <v>Oversize</v>
      </c>
      <c r="S529" s="99" t="str">
        <f t="shared" si="103"/>
        <v>Large bulky</v>
      </c>
      <c r="T529" s="116" t="s">
        <v>13692</v>
      </c>
      <c r="U529" s="116">
        <f t="shared" si="104"/>
        <v>2.3489583333333335</v>
      </c>
      <c r="V529" s="116" t="s">
        <v>13583</v>
      </c>
      <c r="W529" s="116" t="s">
        <v>13690</v>
      </c>
      <c r="X529" s="116" t="s">
        <v>13691</v>
      </c>
      <c r="Y529" s="116">
        <v>2</v>
      </c>
      <c r="Z529" s="116">
        <v>3</v>
      </c>
      <c r="AA529" s="116">
        <v>1</v>
      </c>
      <c r="AB529" s="99"/>
      <c r="AC529" s="99"/>
      <c r="AD529" s="107">
        <v>0</v>
      </c>
      <c r="AE529" s="113">
        <f t="shared" si="105"/>
        <v>0</v>
      </c>
      <c r="AF529" s="116">
        <f>-IFERROR(IFERROR(VLOOKUP(ROUNDUP($Q529,0),'FBA FEES'!$L$2:$Q$203,MATCH($S529,'FBA FEES'!$L$2:$Q$2,0),FALSE),VLOOKUP(ROUNDUP($Q529,0),'FBA FEES'!$C$6:$F$123,MATCH($S529,'FBA FEES'!$C$6:$F$6,0),FALSE)),0)</f>
        <v>-20.63</v>
      </c>
      <c r="AG529" s="116">
        <v>-10</v>
      </c>
      <c r="AH529" s="113">
        <f t="shared" si="106"/>
        <v>-20.63</v>
      </c>
      <c r="AI529" s="116">
        <f>-IFERROR(IF($Y529=1,INDEX('[1]REMOVAL FEES'!$A$1:$C$22,MATCH(CONCATENATE("Standard Size",$P529),'[1]REMOVAL FEES'!$A$1:$A$22,0),3),IF($Y529=2,IF($P529&gt;10,(($P529-10)*1.06)+INDEX('[1]REMOVAL FEES'!$E$1:$G$22,MATCH(CONCATENATE("Large bulky, extra-large and special handling items",IF($P529&gt;=11,11,$P529)),'[1]REMOVAL FEES'!$E$1:$E$13,0),3),INDEX('[1]REMOVAL FEES'!$E$1:$G$22,MATCH(CONCATENATE("Large bulky, extra-large and special handling items",IF($P529&gt;=11,11,$P529)),'[1]REMOVAL FEES'!$E$1:$E$13,0),3))))*$AA529,FALSE)</f>
        <v>-35.520000000000003</v>
      </c>
      <c r="AJ529" s="107">
        <f t="shared" si="107"/>
        <v>-56.150000000000006</v>
      </c>
      <c r="AK529" s="107">
        <v>0</v>
      </c>
      <c r="AL529" s="107">
        <v>0</v>
      </c>
      <c r="AM529" s="107">
        <f t="shared" si="108"/>
        <v>0</v>
      </c>
      <c r="AN529" s="116">
        <f>(-IF($V529="Yes", IF($X529="Yes", VLOOKUP($W529, '[1]Storage Fees'!A:M, 13, FALSE), VLOOKUP($W529, '[1]Storage Fees'!A:M, 10, FALSE)), IF($X529="Yes", VLOOKUP($W529, '[1]Storage Fees'!A:M, 7, FALSE), VLOOKUP($W529, '[1]Storage Fees'!A:M, 4, FALSE))) * U529)*1.5</f>
        <v>-2.7835156250000006</v>
      </c>
    </row>
    <row r="530" spans="1:40" x14ac:dyDescent="0.25">
      <c r="A530" s="99">
        <v>458</v>
      </c>
      <c r="B530" s="99" t="s">
        <v>13705</v>
      </c>
      <c r="C530" s="99" t="s">
        <v>13655</v>
      </c>
      <c r="D530" s="99" t="s">
        <v>718</v>
      </c>
      <c r="E530" s="99" t="s">
        <v>278</v>
      </c>
      <c r="F530" s="99" t="s">
        <v>1090</v>
      </c>
      <c r="G530" s="99" t="s">
        <v>13656</v>
      </c>
      <c r="H530" s="99">
        <v>37</v>
      </c>
      <c r="I530" s="99">
        <v>14</v>
      </c>
      <c r="J530" s="99">
        <v>10</v>
      </c>
      <c r="K530" s="101" t="str">
        <f t="shared" si="96"/>
        <v>37x14x10</v>
      </c>
      <c r="L530" s="102">
        <f t="shared" si="97"/>
        <v>37.266187050359711</v>
      </c>
      <c r="M530" s="113">
        <f t="shared" si="98"/>
        <v>37.266187050359711</v>
      </c>
      <c r="N530" s="113">
        <f t="shared" si="99"/>
        <v>38</v>
      </c>
      <c r="O530" s="99">
        <v>18</v>
      </c>
      <c r="P530" s="113">
        <f t="shared" si="100"/>
        <v>38</v>
      </c>
      <c r="Q530" s="112">
        <f t="shared" si="101"/>
        <v>608</v>
      </c>
      <c r="R530" s="112" t="str">
        <f t="shared" si="102"/>
        <v>Oversize</v>
      </c>
      <c r="S530" s="99" t="str">
        <f t="shared" si="103"/>
        <v>Large bulky</v>
      </c>
      <c r="T530" s="116" t="s">
        <v>13694</v>
      </c>
      <c r="U530" s="116">
        <f t="shared" si="104"/>
        <v>2.9976851851851851</v>
      </c>
      <c r="V530" s="116" t="s">
        <v>13583</v>
      </c>
      <c r="W530" s="116" t="s">
        <v>13690</v>
      </c>
      <c r="X530" s="116" t="s">
        <v>13691</v>
      </c>
      <c r="Y530" s="116">
        <v>2</v>
      </c>
      <c r="Z530" s="116">
        <v>3</v>
      </c>
      <c r="AA530" s="116">
        <v>1</v>
      </c>
      <c r="AB530" s="99"/>
      <c r="AC530" s="99"/>
      <c r="AD530" s="107">
        <v>0</v>
      </c>
      <c r="AE530" s="113">
        <f t="shared" si="105"/>
        <v>0</v>
      </c>
      <c r="AF530" s="116">
        <f>-IFERROR(IFERROR(VLOOKUP(ROUNDUP($Q530,0),'FBA FEES'!$L$2:$Q$203,MATCH($S530,'FBA FEES'!$L$2:$Q$2,0),FALSE),VLOOKUP(ROUNDUP($Q530,0),'FBA FEES'!$C$6:$F$123,MATCH($S530,'FBA FEES'!$C$6:$F$6,0),FALSE)),0)</f>
        <v>-23.67</v>
      </c>
      <c r="AG530" s="116">
        <v>-10</v>
      </c>
      <c r="AH530" s="113">
        <f t="shared" si="106"/>
        <v>-23.67</v>
      </c>
      <c r="AI530" s="116">
        <f>-IFERROR(IF($Y530=1,INDEX('[1]REMOVAL FEES'!$A$1:$C$22,MATCH(CONCATENATE("Standard Size",$P530),'[1]REMOVAL FEES'!$A$1:$A$22,0),3),IF($Y530=2,IF($P530&gt;10,(($P530-10)*1.06)+INDEX('[1]REMOVAL FEES'!$E$1:$G$22,MATCH(CONCATENATE("Large bulky, extra-large and special handling items",IF($P530&gt;=11,11,$P530)),'[1]REMOVAL FEES'!$E$1:$E$13,0),3),INDEX('[1]REMOVAL FEES'!$E$1:$G$22,MATCH(CONCATENATE("Large bulky, extra-large and special handling items",IF($P530&gt;=11,11,$P530)),'[1]REMOVAL FEES'!$E$1:$E$13,0),3))))*$AA530,FALSE)</f>
        <v>-44</v>
      </c>
      <c r="AJ530" s="107">
        <f t="shared" si="107"/>
        <v>-67.67</v>
      </c>
      <c r="AK530" s="107">
        <v>0</v>
      </c>
      <c r="AL530" s="107">
        <v>0</v>
      </c>
      <c r="AM530" s="107">
        <f t="shared" si="108"/>
        <v>0</v>
      </c>
      <c r="AN530" s="116">
        <f>(-IF($V530="Yes", IF($X530="Yes", VLOOKUP($W530, '[1]Storage Fees'!A:M, 13, FALSE), VLOOKUP($W530, '[1]Storage Fees'!A:M, 10, FALSE)), IF($X530="Yes", VLOOKUP($W530, '[1]Storage Fees'!A:M, 7, FALSE), VLOOKUP($W530, '[1]Storage Fees'!A:M, 4, FALSE))) * U530)*1.5</f>
        <v>-3.5522569444444443</v>
      </c>
    </row>
    <row r="531" spans="1:40" x14ac:dyDescent="0.25">
      <c r="A531" s="99">
        <v>459</v>
      </c>
      <c r="B531" s="99" t="s">
        <v>13705</v>
      </c>
      <c r="C531" s="99" t="s">
        <v>13655</v>
      </c>
      <c r="D531" s="99" t="s">
        <v>718</v>
      </c>
      <c r="E531" s="99" t="s">
        <v>278</v>
      </c>
      <c r="F531" s="99" t="s">
        <v>1093</v>
      </c>
      <c r="G531" s="99" t="s">
        <v>13695</v>
      </c>
      <c r="H531" s="99">
        <v>40</v>
      </c>
      <c r="I531" s="99">
        <v>12</v>
      </c>
      <c r="J531" s="99">
        <v>6</v>
      </c>
      <c r="K531" s="101" t="str">
        <f t="shared" si="96"/>
        <v>40x12x6</v>
      </c>
      <c r="L531" s="102">
        <f t="shared" si="97"/>
        <v>20.719424460431654</v>
      </c>
      <c r="M531" s="113">
        <f t="shared" si="98"/>
        <v>20.719424460431654</v>
      </c>
      <c r="N531" s="113">
        <f t="shared" si="99"/>
        <v>21</v>
      </c>
      <c r="O531" s="99">
        <v>22</v>
      </c>
      <c r="P531" s="113">
        <f t="shared" si="100"/>
        <v>22</v>
      </c>
      <c r="Q531" s="112">
        <f t="shared" si="101"/>
        <v>352</v>
      </c>
      <c r="R531" s="112" t="str">
        <f t="shared" si="102"/>
        <v>Oversize</v>
      </c>
      <c r="S531" s="99" t="str">
        <f t="shared" si="103"/>
        <v>Large bulky</v>
      </c>
      <c r="T531" s="116" t="s">
        <v>13692</v>
      </c>
      <c r="U531" s="116">
        <f t="shared" si="104"/>
        <v>1.6666666666666667</v>
      </c>
      <c r="V531" s="116" t="s">
        <v>13583</v>
      </c>
      <c r="W531" s="116" t="s">
        <v>13690</v>
      </c>
      <c r="X531" s="116" t="s">
        <v>13691</v>
      </c>
      <c r="Y531" s="116">
        <v>2</v>
      </c>
      <c r="Z531" s="116">
        <v>3</v>
      </c>
      <c r="AA531" s="116">
        <v>1</v>
      </c>
      <c r="AB531" s="99"/>
      <c r="AC531" s="99"/>
      <c r="AD531" s="107">
        <v>0</v>
      </c>
      <c r="AE531" s="113">
        <f t="shared" si="105"/>
        <v>0</v>
      </c>
      <c r="AF531" s="116">
        <f>-IFERROR(IFERROR(VLOOKUP(ROUNDUP($Q531,0),'FBA FEES'!$L$2:$Q$203,MATCH($S531,'FBA FEES'!$L$2:$Q$2,0),FALSE),VLOOKUP(ROUNDUP($Q531,0),'FBA FEES'!$C$6:$F$123,MATCH($S531,'FBA FEES'!$C$6:$F$6,0),FALSE)),0)</f>
        <v>-17.59</v>
      </c>
      <c r="AG531" s="116">
        <v>-10</v>
      </c>
      <c r="AH531" s="113">
        <f t="shared" si="106"/>
        <v>-17.59</v>
      </c>
      <c r="AI531" s="116">
        <f>-IFERROR(IF($Y531=1,INDEX('[1]REMOVAL FEES'!$A$1:$C$22,MATCH(CONCATENATE("Standard Size",$P531),'[1]REMOVAL FEES'!$A$1:$A$22,0),3),IF($Y531=2,IF($P531&gt;10,(($P531-10)*1.06)+INDEX('[1]REMOVAL FEES'!$E$1:$G$22,MATCH(CONCATENATE("Large bulky, extra-large and special handling items",IF($P531&gt;=11,11,$P531)),'[1]REMOVAL FEES'!$E$1:$E$13,0),3),INDEX('[1]REMOVAL FEES'!$E$1:$G$22,MATCH(CONCATENATE("Large bulky, extra-large and special handling items",IF($P531&gt;=11,11,$P531)),'[1]REMOVAL FEES'!$E$1:$E$13,0),3))))*$AA531,FALSE)</f>
        <v>-27.04</v>
      </c>
      <c r="AJ531" s="107">
        <f t="shared" si="107"/>
        <v>-44.629999999999995</v>
      </c>
      <c r="AK531" s="107">
        <v>0</v>
      </c>
      <c r="AL531" s="107">
        <v>0</v>
      </c>
      <c r="AM531" s="107">
        <f t="shared" si="108"/>
        <v>0</v>
      </c>
      <c r="AN531" s="116">
        <f>(-IF($V531="Yes", IF($X531="Yes", VLOOKUP($W531, '[1]Storage Fees'!A:M, 13, FALSE), VLOOKUP($W531, '[1]Storage Fees'!A:M, 10, FALSE)), IF($X531="Yes", VLOOKUP($W531, '[1]Storage Fees'!A:M, 7, FALSE), VLOOKUP($W531, '[1]Storage Fees'!A:M, 4, FALSE))) * U531)*1.5</f>
        <v>-1.9750000000000003</v>
      </c>
    </row>
    <row r="532" spans="1:40" x14ac:dyDescent="0.25">
      <c r="A532" s="99">
        <v>460</v>
      </c>
      <c r="B532" s="99"/>
      <c r="C532" s="99" t="s">
        <v>13655</v>
      </c>
      <c r="D532" s="99"/>
      <c r="E532" s="99" t="s">
        <v>278</v>
      </c>
      <c r="F532" s="99" t="s">
        <v>1930</v>
      </c>
      <c r="G532" s="99" t="s">
        <v>13695</v>
      </c>
      <c r="H532" s="99">
        <v>0</v>
      </c>
      <c r="I532" s="99">
        <v>0</v>
      </c>
      <c r="J532" s="99">
        <v>0</v>
      </c>
      <c r="K532" s="101" t="str">
        <f t="shared" si="96"/>
        <v>0x0x0</v>
      </c>
      <c r="L532" s="102">
        <f t="shared" si="97"/>
        <v>0</v>
      </c>
      <c r="M532" s="113">
        <f t="shared" si="98"/>
        <v>0</v>
      </c>
      <c r="N532" s="113">
        <f t="shared" si="99"/>
        <v>0</v>
      </c>
      <c r="O532" s="99">
        <v>0</v>
      </c>
      <c r="P532" s="113">
        <f t="shared" si="100"/>
        <v>0</v>
      </c>
      <c r="Q532" s="112">
        <f t="shared" si="101"/>
        <v>0</v>
      </c>
      <c r="R532" s="112" t="str">
        <f t="shared" si="102"/>
        <v>Standard-size</v>
      </c>
      <c r="S532" s="99" t="str">
        <f t="shared" si="103"/>
        <v>Small standard-size</v>
      </c>
      <c r="T532" s="116" t="s">
        <v>13696</v>
      </c>
      <c r="U532" s="116">
        <f t="shared" si="104"/>
        <v>0</v>
      </c>
      <c r="V532" s="116" t="s">
        <v>13583</v>
      </c>
      <c r="W532" s="116" t="s">
        <v>13690</v>
      </c>
      <c r="X532" s="99" t="s">
        <v>13583</v>
      </c>
      <c r="Y532" s="99">
        <v>1</v>
      </c>
      <c r="Z532" s="99">
        <v>1</v>
      </c>
      <c r="AA532" s="99">
        <v>1</v>
      </c>
      <c r="AB532" s="99"/>
      <c r="AC532" s="99"/>
      <c r="AD532" s="107">
        <v>0</v>
      </c>
      <c r="AE532" s="113">
        <f t="shared" si="105"/>
        <v>0</v>
      </c>
      <c r="AF532" s="116">
        <f>-IFERROR(IFERROR(VLOOKUP(ROUNDUP($Q532,0),'FBA FEES'!$L$2:$Q$203,MATCH($S532,'FBA FEES'!$L$2:$Q$2,0),FALSE),VLOOKUP(ROUNDUP($Q532,0),'FBA FEES'!$C$6:$F$123,MATCH($S532,'FBA FEES'!$C$6:$F$6,0),FALSE)),0)</f>
        <v>0</v>
      </c>
      <c r="AG532" s="116">
        <v>-10</v>
      </c>
      <c r="AH532" s="113">
        <f t="shared" si="106"/>
        <v>0</v>
      </c>
      <c r="AI532" s="116">
        <f>-IFERROR(IF($Y532=1,INDEX('[1]REMOVAL FEES'!$A$1:$C$22,MATCH(CONCATENATE("Standard Size",$P532),'[1]REMOVAL FEES'!$A$1:$A$22,0),3),IF($Y532=2,IF($P532&gt;10,(($P532-10)*1.06)+INDEX('[1]REMOVAL FEES'!$E$1:$G$22,MATCH(CONCATENATE("Large bulky, extra-large and special handling items",IF($P532&gt;=11,11,$P532)),'[1]REMOVAL FEES'!$E$1:$E$13,0),3),INDEX('[1]REMOVAL FEES'!$E$1:$G$22,MATCH(CONCATENATE("Large bulky, extra-large and special handling items",IF($P532&gt;=11,11,$P532)),'[1]REMOVAL FEES'!$E$1:$E$13,0),3))))*$AA532,FALSE)</f>
        <v>0</v>
      </c>
      <c r="AJ532" s="107">
        <f t="shared" si="107"/>
        <v>0</v>
      </c>
      <c r="AK532" s="107">
        <v>0</v>
      </c>
      <c r="AL532" s="107">
        <v>0</v>
      </c>
      <c r="AM532" s="107">
        <f t="shared" si="108"/>
        <v>0</v>
      </c>
      <c r="AN532" s="116">
        <f>(-IF($V532="Yes", IF($X532="Yes", VLOOKUP($W532, '[1]Storage Fees'!A:M, 13, FALSE), VLOOKUP($W532, '[1]Storage Fees'!A:M, 10, FALSE)), IF($X532="Yes", VLOOKUP($W532, '[1]Storage Fees'!A:M, 7, FALSE), VLOOKUP($W532, '[1]Storage Fees'!A:M, 4, FALSE))) * U532)*1.5</f>
        <v>0</v>
      </c>
    </row>
    <row r="533" spans="1:40" x14ac:dyDescent="0.25">
      <c r="A533" s="99">
        <v>461</v>
      </c>
      <c r="B533" s="99"/>
      <c r="C533" s="99" t="s">
        <v>13655</v>
      </c>
      <c r="D533" s="99"/>
      <c r="E533" s="99" t="s">
        <v>278</v>
      </c>
      <c r="F533" s="99" t="s">
        <v>1932</v>
      </c>
      <c r="G533" s="99" t="s">
        <v>13656</v>
      </c>
      <c r="H533" s="99">
        <v>0</v>
      </c>
      <c r="I533" s="99">
        <v>0</v>
      </c>
      <c r="J533" s="99">
        <v>0</v>
      </c>
      <c r="K533" s="101" t="str">
        <f t="shared" si="96"/>
        <v>0x0x0</v>
      </c>
      <c r="L533" s="102">
        <f t="shared" si="97"/>
        <v>0</v>
      </c>
      <c r="M533" s="113">
        <f t="shared" si="98"/>
        <v>0</v>
      </c>
      <c r="N533" s="113">
        <f t="shared" si="99"/>
        <v>0</v>
      </c>
      <c r="O533" s="99">
        <v>0</v>
      </c>
      <c r="P533" s="113">
        <f t="shared" si="100"/>
        <v>0</v>
      </c>
      <c r="Q533" s="112">
        <f t="shared" si="101"/>
        <v>0</v>
      </c>
      <c r="R533" s="112" t="str">
        <f t="shared" si="102"/>
        <v>Standard-size</v>
      </c>
      <c r="S533" s="99" t="str">
        <f t="shared" si="103"/>
        <v>Small standard-size</v>
      </c>
      <c r="T533" s="116" t="s">
        <v>13696</v>
      </c>
      <c r="U533" s="116">
        <f t="shared" si="104"/>
        <v>0</v>
      </c>
      <c r="V533" s="116" t="s">
        <v>13583</v>
      </c>
      <c r="W533" s="116" t="s">
        <v>13690</v>
      </c>
      <c r="X533" s="99" t="s">
        <v>13583</v>
      </c>
      <c r="Y533" s="99">
        <v>1</v>
      </c>
      <c r="Z533" s="99">
        <v>1</v>
      </c>
      <c r="AA533" s="99">
        <v>1</v>
      </c>
      <c r="AB533" s="99"/>
      <c r="AC533" s="99"/>
      <c r="AD533" s="107">
        <v>0</v>
      </c>
      <c r="AE533" s="113">
        <f t="shared" si="105"/>
        <v>0</v>
      </c>
      <c r="AF533" s="116">
        <f>-IFERROR(IFERROR(VLOOKUP(ROUNDUP($Q533,0),'FBA FEES'!$L$2:$Q$203,MATCH($S533,'FBA FEES'!$L$2:$Q$2,0),FALSE),VLOOKUP(ROUNDUP($Q533,0),'FBA FEES'!$C$6:$F$123,MATCH($S533,'FBA FEES'!$C$6:$F$6,0),FALSE)),0)</f>
        <v>0</v>
      </c>
      <c r="AG533" s="116">
        <v>-10</v>
      </c>
      <c r="AH533" s="113">
        <f t="shared" si="106"/>
        <v>0</v>
      </c>
      <c r="AI533" s="116">
        <f>-IFERROR(IF($Y533=1,INDEX('[1]REMOVAL FEES'!$A$1:$C$22,MATCH(CONCATENATE("Standard Size",$P533),'[1]REMOVAL FEES'!$A$1:$A$22,0),3),IF($Y533=2,IF($P533&gt;10,(($P533-10)*1.06)+INDEX('[1]REMOVAL FEES'!$E$1:$G$22,MATCH(CONCATENATE("Large bulky, extra-large and special handling items",IF($P533&gt;=11,11,$P533)),'[1]REMOVAL FEES'!$E$1:$E$13,0),3),INDEX('[1]REMOVAL FEES'!$E$1:$G$22,MATCH(CONCATENATE("Large bulky, extra-large and special handling items",IF($P533&gt;=11,11,$P533)),'[1]REMOVAL FEES'!$E$1:$E$13,0),3))))*$AA533,FALSE)</f>
        <v>0</v>
      </c>
      <c r="AJ533" s="107">
        <f t="shared" si="107"/>
        <v>0</v>
      </c>
      <c r="AK533" s="107">
        <v>0</v>
      </c>
      <c r="AL533" s="107">
        <v>0</v>
      </c>
      <c r="AM533" s="107">
        <f t="shared" si="108"/>
        <v>0</v>
      </c>
      <c r="AN533" s="116">
        <f>(-IF($V533="Yes", IF($X533="Yes", VLOOKUP($W533, '[1]Storage Fees'!A:M, 13, FALSE), VLOOKUP($W533, '[1]Storage Fees'!A:M, 10, FALSE)), IF($X533="Yes", VLOOKUP($W533, '[1]Storage Fees'!A:M, 7, FALSE), VLOOKUP($W533, '[1]Storage Fees'!A:M, 4, FALSE))) * U533)*1.5</f>
        <v>0</v>
      </c>
    </row>
    <row r="534" spans="1:40" x14ac:dyDescent="0.25">
      <c r="A534" s="99">
        <v>462</v>
      </c>
      <c r="B534" s="99" t="s">
        <v>13705</v>
      </c>
      <c r="C534" s="99" t="s">
        <v>13655</v>
      </c>
      <c r="D534" s="99" t="s">
        <v>1047</v>
      </c>
      <c r="E534" s="99" t="s">
        <v>278</v>
      </c>
      <c r="F534" s="99" t="s">
        <v>1096</v>
      </c>
      <c r="G534" s="99" t="s">
        <v>13695</v>
      </c>
      <c r="H534" s="99">
        <v>33</v>
      </c>
      <c r="I534" s="99">
        <v>33</v>
      </c>
      <c r="J534" s="99">
        <v>4</v>
      </c>
      <c r="K534" s="101" t="str">
        <f t="shared" si="96"/>
        <v>33x33x4</v>
      </c>
      <c r="L534" s="102">
        <f t="shared" si="97"/>
        <v>31.338129496402878</v>
      </c>
      <c r="M534" s="113">
        <f t="shared" si="98"/>
        <v>31.338129496402878</v>
      </c>
      <c r="N534" s="113">
        <f t="shared" si="99"/>
        <v>32</v>
      </c>
      <c r="O534" s="99">
        <v>27</v>
      </c>
      <c r="P534" s="113">
        <f t="shared" si="100"/>
        <v>32</v>
      </c>
      <c r="Q534" s="112">
        <f t="shared" si="101"/>
        <v>512</v>
      </c>
      <c r="R534" s="112" t="str">
        <f t="shared" si="102"/>
        <v>Oversize</v>
      </c>
      <c r="S534" s="99" t="str">
        <f t="shared" si="103"/>
        <v>Large bulky</v>
      </c>
      <c r="T534" s="116" t="s">
        <v>13694</v>
      </c>
      <c r="U534" s="116">
        <f t="shared" si="104"/>
        <v>2.5208333333333335</v>
      </c>
      <c r="V534" s="116" t="s">
        <v>13583</v>
      </c>
      <c r="W534" s="116" t="s">
        <v>13690</v>
      </c>
      <c r="X534" s="116" t="s">
        <v>13691</v>
      </c>
      <c r="Y534" s="116">
        <v>2</v>
      </c>
      <c r="Z534" s="116">
        <v>3</v>
      </c>
      <c r="AA534" s="116">
        <v>1</v>
      </c>
      <c r="AB534" s="99"/>
      <c r="AC534" s="99"/>
      <c r="AD534" s="107">
        <v>0</v>
      </c>
      <c r="AE534" s="113">
        <f t="shared" si="105"/>
        <v>0</v>
      </c>
      <c r="AF534" s="116">
        <f>-IFERROR(IFERROR(VLOOKUP(ROUNDUP($Q534,0),'FBA FEES'!$L$2:$Q$203,MATCH($S534,'FBA FEES'!$L$2:$Q$2,0),FALSE),VLOOKUP(ROUNDUP($Q534,0),'FBA FEES'!$C$6:$F$123,MATCH($S534,'FBA FEES'!$C$6:$F$6,0),FALSE)),0)</f>
        <v>-21.39</v>
      </c>
      <c r="AG534" s="116">
        <v>-10</v>
      </c>
      <c r="AH534" s="113">
        <f t="shared" si="106"/>
        <v>-21.39</v>
      </c>
      <c r="AI534" s="116">
        <f>-IFERROR(IF($Y534=1,INDEX('[1]REMOVAL FEES'!$A$1:$C$22,MATCH(CONCATENATE("Standard Size",$P534),'[1]REMOVAL FEES'!$A$1:$A$22,0),3),IF($Y534=2,IF($P534&gt;10,(($P534-10)*1.06)+INDEX('[1]REMOVAL FEES'!$E$1:$G$22,MATCH(CONCATENATE("Large bulky, extra-large and special handling items",IF($P534&gt;=11,11,$P534)),'[1]REMOVAL FEES'!$E$1:$E$13,0),3),INDEX('[1]REMOVAL FEES'!$E$1:$G$22,MATCH(CONCATENATE("Large bulky, extra-large and special handling items",IF($P534&gt;=11,11,$P534)),'[1]REMOVAL FEES'!$E$1:$E$13,0),3))))*$AA534,FALSE)</f>
        <v>-37.64</v>
      </c>
      <c r="AJ534" s="107">
        <f t="shared" si="107"/>
        <v>-59.03</v>
      </c>
      <c r="AK534" s="107">
        <v>0</v>
      </c>
      <c r="AL534" s="107">
        <v>0</v>
      </c>
      <c r="AM534" s="107">
        <f t="shared" si="108"/>
        <v>0</v>
      </c>
      <c r="AN534" s="116">
        <f>(-IF($V534="Yes", IF($X534="Yes", VLOOKUP($W534, '[1]Storage Fees'!A:M, 13, FALSE), VLOOKUP($W534, '[1]Storage Fees'!A:M, 10, FALSE)), IF($X534="Yes", VLOOKUP($W534, '[1]Storage Fees'!A:M, 7, FALSE), VLOOKUP($W534, '[1]Storage Fees'!A:M, 4, FALSE))) * U534)*1.5</f>
        <v>-2.9871875000000001</v>
      </c>
    </row>
    <row r="535" spans="1:40" x14ac:dyDescent="0.25">
      <c r="A535" s="99">
        <v>463</v>
      </c>
      <c r="B535" s="99" t="s">
        <v>102</v>
      </c>
      <c r="C535" s="99" t="s">
        <v>13655</v>
      </c>
      <c r="D535" s="99" t="s">
        <v>102</v>
      </c>
      <c r="E535" s="99" t="s">
        <v>278</v>
      </c>
      <c r="F535" s="99" t="s">
        <v>1099</v>
      </c>
      <c r="G535" s="99" t="s">
        <v>13695</v>
      </c>
      <c r="H535" s="99">
        <v>47</v>
      </c>
      <c r="I535" s="99">
        <v>7</v>
      </c>
      <c r="J535" s="99">
        <v>5</v>
      </c>
      <c r="K535" s="101" t="str">
        <f t="shared" si="96"/>
        <v>47x7x5</v>
      </c>
      <c r="L535" s="102">
        <f t="shared" si="97"/>
        <v>11.83453237410072</v>
      </c>
      <c r="M535" s="113">
        <f t="shared" si="98"/>
        <v>11.83453237410072</v>
      </c>
      <c r="N535" s="113">
        <f t="shared" si="99"/>
        <v>12</v>
      </c>
      <c r="O535" s="99">
        <v>16</v>
      </c>
      <c r="P535" s="113">
        <f t="shared" si="100"/>
        <v>16</v>
      </c>
      <c r="Q535" s="112">
        <f t="shared" si="101"/>
        <v>256</v>
      </c>
      <c r="R535" s="112" t="str">
        <f t="shared" si="102"/>
        <v>Oversize</v>
      </c>
      <c r="S535" s="99" t="str">
        <f t="shared" si="103"/>
        <v>Large bulky</v>
      </c>
      <c r="T535" s="116" t="s">
        <v>13692</v>
      </c>
      <c r="U535" s="116">
        <f t="shared" si="104"/>
        <v>0.95196759259259256</v>
      </c>
      <c r="V535" s="116" t="s">
        <v>13583</v>
      </c>
      <c r="W535" s="116" t="s">
        <v>13690</v>
      </c>
      <c r="X535" s="116" t="s">
        <v>13691</v>
      </c>
      <c r="Y535" s="116">
        <v>2</v>
      </c>
      <c r="Z535" s="116">
        <v>3</v>
      </c>
      <c r="AA535" s="116">
        <v>1</v>
      </c>
      <c r="AB535" s="99"/>
      <c r="AC535" s="99"/>
      <c r="AD535" s="107">
        <v>0</v>
      </c>
      <c r="AE535" s="113">
        <f t="shared" si="105"/>
        <v>0</v>
      </c>
      <c r="AF535" s="116">
        <f>-IFERROR(IFERROR(VLOOKUP(ROUNDUP($Q535,0),'FBA FEES'!$L$2:$Q$203,MATCH($S535,'FBA FEES'!$L$2:$Q$2,0),FALSE),VLOOKUP(ROUNDUP($Q535,0),'FBA FEES'!$C$6:$F$123,MATCH($S535,'FBA FEES'!$C$6:$F$6,0),FALSE)),0)</f>
        <v>-15.309999999999999</v>
      </c>
      <c r="AG535" s="116">
        <v>-10</v>
      </c>
      <c r="AH535" s="113">
        <f t="shared" si="106"/>
        <v>-15.309999999999999</v>
      </c>
      <c r="AI535" s="116">
        <f>-IFERROR(IF($Y535=1,INDEX('[1]REMOVAL FEES'!$A$1:$C$22,MATCH(CONCATENATE("Standard Size",$P535),'[1]REMOVAL FEES'!$A$1:$A$22,0),3),IF($Y535=2,IF($P535&gt;10,(($P535-10)*1.06)+INDEX('[1]REMOVAL FEES'!$E$1:$G$22,MATCH(CONCATENATE("Large bulky, extra-large and special handling items",IF($P535&gt;=11,11,$P535)),'[1]REMOVAL FEES'!$E$1:$E$13,0),3),INDEX('[1]REMOVAL FEES'!$E$1:$G$22,MATCH(CONCATENATE("Large bulky, extra-large and special handling items",IF($P535&gt;=11,11,$P535)),'[1]REMOVAL FEES'!$E$1:$E$13,0),3))))*$AA535,FALSE)</f>
        <v>-20.68</v>
      </c>
      <c r="AJ535" s="107">
        <f t="shared" si="107"/>
        <v>-35.989999999999995</v>
      </c>
      <c r="AK535" s="107">
        <v>0</v>
      </c>
      <c r="AL535" s="107">
        <v>0</v>
      </c>
      <c r="AM535" s="107">
        <f t="shared" si="108"/>
        <v>0</v>
      </c>
      <c r="AN535" s="116">
        <f>(-IF($V535="Yes", IF($X535="Yes", VLOOKUP($W535, '[1]Storage Fees'!A:M, 13, FALSE), VLOOKUP($W535, '[1]Storage Fees'!A:M, 10, FALSE)), IF($X535="Yes", VLOOKUP($W535, '[1]Storage Fees'!A:M, 7, FALSE), VLOOKUP($W535, '[1]Storage Fees'!A:M, 4, FALSE))) * U535)*1.5</f>
        <v>-1.1280815972222222</v>
      </c>
    </row>
    <row r="536" spans="1:40" x14ac:dyDescent="0.25">
      <c r="A536" s="99">
        <v>464</v>
      </c>
      <c r="B536" s="99"/>
      <c r="C536" s="99" t="s">
        <v>13655</v>
      </c>
      <c r="D536" s="99"/>
      <c r="E536" s="99" t="s">
        <v>148</v>
      </c>
      <c r="F536" s="99" t="s">
        <v>1934</v>
      </c>
      <c r="G536" s="99" t="s">
        <v>13656</v>
      </c>
      <c r="H536" s="99">
        <v>0</v>
      </c>
      <c r="I536" s="99">
        <v>0</v>
      </c>
      <c r="J536" s="99">
        <v>0</v>
      </c>
      <c r="K536" s="101" t="str">
        <f t="shared" si="96"/>
        <v>0x0x0</v>
      </c>
      <c r="L536" s="102">
        <f t="shared" si="97"/>
        <v>0</v>
      </c>
      <c r="M536" s="113">
        <f t="shared" si="98"/>
        <v>0</v>
      </c>
      <c r="N536" s="113">
        <f t="shared" si="99"/>
        <v>0</v>
      </c>
      <c r="O536" s="99">
        <v>0</v>
      </c>
      <c r="P536" s="113">
        <f t="shared" si="100"/>
        <v>0</v>
      </c>
      <c r="Q536" s="112">
        <f t="shared" si="101"/>
        <v>0</v>
      </c>
      <c r="R536" s="112" t="str">
        <f t="shared" si="102"/>
        <v>Standard-size</v>
      </c>
      <c r="S536" s="99" t="str">
        <f t="shared" si="103"/>
        <v>Small standard-size</v>
      </c>
      <c r="T536" s="116" t="s">
        <v>13696</v>
      </c>
      <c r="U536" s="116">
        <f t="shared" si="104"/>
        <v>0</v>
      </c>
      <c r="V536" s="116" t="s">
        <v>13583</v>
      </c>
      <c r="W536" s="116" t="s">
        <v>13690</v>
      </c>
      <c r="X536" s="99" t="s">
        <v>13583</v>
      </c>
      <c r="Y536" s="99">
        <v>1</v>
      </c>
      <c r="Z536" s="99">
        <v>1</v>
      </c>
      <c r="AA536" s="99">
        <v>1</v>
      </c>
      <c r="AB536" s="99"/>
      <c r="AC536" s="99"/>
      <c r="AD536" s="107">
        <v>75.415384615384568</v>
      </c>
      <c r="AE536" s="113">
        <f t="shared" si="105"/>
        <v>-11.312307692307686</v>
      </c>
      <c r="AF536" s="116">
        <f>-IFERROR(IFERROR(VLOOKUP(ROUNDUP($Q536,0),'FBA FEES'!$L$2:$Q$203,MATCH($S536,'FBA FEES'!$L$2:$Q$2,0),FALSE),VLOOKUP(ROUNDUP($Q536,0),'FBA FEES'!$C$6:$F$123,MATCH($S536,'FBA FEES'!$C$6:$F$6,0),FALSE)),0)</f>
        <v>0</v>
      </c>
      <c r="AG536" s="116">
        <v>-10</v>
      </c>
      <c r="AH536" s="113">
        <f t="shared" si="106"/>
        <v>-11.312307692307686</v>
      </c>
      <c r="AI536" s="116">
        <f>-IFERROR(IF($Y536=1,INDEX('[1]REMOVAL FEES'!$A$1:$C$22,MATCH(CONCATENATE("Standard Size",$P536),'[1]REMOVAL FEES'!$A$1:$A$22,0),3),IF($Y536=2,IF($P536&gt;10,(($P536-10)*1.06)+INDEX('[1]REMOVAL FEES'!$E$1:$G$22,MATCH(CONCATENATE("Large bulky, extra-large and special handling items",IF($P536&gt;=11,11,$P536)),'[1]REMOVAL FEES'!$E$1:$E$13,0),3),INDEX('[1]REMOVAL FEES'!$E$1:$G$22,MATCH(CONCATENATE("Large bulky, extra-large and special handling items",IF($P536&gt;=11,11,$P536)),'[1]REMOVAL FEES'!$E$1:$E$13,0),3))))*$AA536,FALSE)</f>
        <v>0</v>
      </c>
      <c r="AJ536" s="107">
        <f t="shared" si="107"/>
        <v>-11.312307692307686</v>
      </c>
      <c r="AK536" s="107">
        <v>-32.481025641025639</v>
      </c>
      <c r="AL536" s="107">
        <v>-7.501319978632476</v>
      </c>
      <c r="AM536" s="107">
        <f t="shared" si="108"/>
        <v>-39.982345619658112</v>
      </c>
      <c r="AN536" s="116">
        <f>(-IF($V536="Yes", IF($X536="Yes", VLOOKUP($W536, '[1]Storage Fees'!A:M, 13, FALSE), VLOOKUP($W536, '[1]Storage Fees'!A:M, 10, FALSE)), IF($X536="Yes", VLOOKUP($W536, '[1]Storage Fees'!A:M, 7, FALSE), VLOOKUP($W536, '[1]Storage Fees'!A:M, 4, FALSE))) * U536)*1.5</f>
        <v>0</v>
      </c>
    </row>
    <row r="537" spans="1:40" x14ac:dyDescent="0.25">
      <c r="A537" s="99">
        <v>465</v>
      </c>
      <c r="B537" s="99" t="s">
        <v>13705</v>
      </c>
      <c r="C537" s="99" t="s">
        <v>13655</v>
      </c>
      <c r="D537" s="99" t="s">
        <v>718</v>
      </c>
      <c r="E537" s="99" t="s">
        <v>278</v>
      </c>
      <c r="F537" s="99" t="s">
        <v>1102</v>
      </c>
      <c r="G537" s="99" t="s">
        <v>13695</v>
      </c>
      <c r="H537" s="99">
        <v>33</v>
      </c>
      <c r="I537" s="99">
        <v>25</v>
      </c>
      <c r="J537" s="99">
        <v>3</v>
      </c>
      <c r="K537" s="101" t="str">
        <f t="shared" si="96"/>
        <v>33x25x3</v>
      </c>
      <c r="L537" s="102">
        <f t="shared" si="97"/>
        <v>17.805755395683452</v>
      </c>
      <c r="M537" s="113">
        <f t="shared" si="98"/>
        <v>17.805755395683452</v>
      </c>
      <c r="N537" s="113">
        <f t="shared" si="99"/>
        <v>18</v>
      </c>
      <c r="O537" s="99">
        <v>13</v>
      </c>
      <c r="P537" s="113">
        <f t="shared" si="100"/>
        <v>18</v>
      </c>
      <c r="Q537" s="112">
        <f t="shared" si="101"/>
        <v>288</v>
      </c>
      <c r="R537" s="112" t="str">
        <f t="shared" si="102"/>
        <v>Oversize</v>
      </c>
      <c r="S537" s="99" t="str">
        <f t="shared" si="103"/>
        <v>Large bulky</v>
      </c>
      <c r="T537" s="116" t="s">
        <v>13692</v>
      </c>
      <c r="U537" s="116">
        <f t="shared" si="104"/>
        <v>1.4322916666666667</v>
      </c>
      <c r="V537" s="116" t="s">
        <v>13583</v>
      </c>
      <c r="W537" s="116" t="s">
        <v>13690</v>
      </c>
      <c r="X537" s="116" t="s">
        <v>13691</v>
      </c>
      <c r="Y537" s="116">
        <v>2</v>
      </c>
      <c r="Z537" s="116">
        <v>3</v>
      </c>
      <c r="AA537" s="116">
        <v>1</v>
      </c>
      <c r="AB537" s="99"/>
      <c r="AC537" s="99"/>
      <c r="AD537" s="107">
        <v>0</v>
      </c>
      <c r="AE537" s="113">
        <f t="shared" si="105"/>
        <v>0</v>
      </c>
      <c r="AF537" s="116">
        <f>-IFERROR(IFERROR(VLOOKUP(ROUNDUP($Q537,0),'FBA FEES'!$L$2:$Q$203,MATCH($S537,'FBA FEES'!$L$2:$Q$2,0),FALSE),VLOOKUP(ROUNDUP($Q537,0),'FBA FEES'!$C$6:$F$123,MATCH($S537,'FBA FEES'!$C$6:$F$6,0),FALSE)),0)</f>
        <v>-16.07</v>
      </c>
      <c r="AG537" s="116">
        <v>-10</v>
      </c>
      <c r="AH537" s="113">
        <f t="shared" si="106"/>
        <v>-16.07</v>
      </c>
      <c r="AI537" s="116">
        <f>-IFERROR(IF($Y537=1,INDEX('[1]REMOVAL FEES'!$A$1:$C$22,MATCH(CONCATENATE("Standard Size",$P537),'[1]REMOVAL FEES'!$A$1:$A$22,0),3),IF($Y537=2,IF($P537&gt;10,(($P537-10)*1.06)+INDEX('[1]REMOVAL FEES'!$E$1:$G$22,MATCH(CONCATENATE("Large bulky, extra-large and special handling items",IF($P537&gt;=11,11,$P537)),'[1]REMOVAL FEES'!$E$1:$E$13,0),3),INDEX('[1]REMOVAL FEES'!$E$1:$G$22,MATCH(CONCATENATE("Large bulky, extra-large and special handling items",IF($P537&gt;=11,11,$P537)),'[1]REMOVAL FEES'!$E$1:$E$13,0),3))))*$AA537,FALSE)</f>
        <v>-22.8</v>
      </c>
      <c r="AJ537" s="107">
        <f t="shared" si="107"/>
        <v>-38.870000000000005</v>
      </c>
      <c r="AK537" s="107">
        <v>0</v>
      </c>
      <c r="AL537" s="107">
        <v>0</v>
      </c>
      <c r="AM537" s="107">
        <f t="shared" si="108"/>
        <v>0</v>
      </c>
      <c r="AN537" s="116">
        <f>(-IF($V537="Yes", IF($X537="Yes", VLOOKUP($W537, '[1]Storage Fees'!A:M, 13, FALSE), VLOOKUP($W537, '[1]Storage Fees'!A:M, 10, FALSE)), IF($X537="Yes", VLOOKUP($W537, '[1]Storage Fees'!A:M, 7, FALSE), VLOOKUP($W537, '[1]Storage Fees'!A:M, 4, FALSE))) * U537)*1.5</f>
        <v>-1.697265625</v>
      </c>
    </row>
    <row r="538" spans="1:40" x14ac:dyDescent="0.25">
      <c r="A538" s="99">
        <v>466</v>
      </c>
      <c r="B538" s="99" t="s">
        <v>102</v>
      </c>
      <c r="C538" s="99" t="s">
        <v>13655</v>
      </c>
      <c r="D538" s="99"/>
      <c r="E538" s="99" t="s">
        <v>278</v>
      </c>
      <c r="F538" s="99" t="s">
        <v>1105</v>
      </c>
      <c r="G538" s="99" t="s">
        <v>13656</v>
      </c>
      <c r="H538" s="99">
        <v>33</v>
      </c>
      <c r="I538" s="99">
        <v>9</v>
      </c>
      <c r="J538" s="99">
        <v>4</v>
      </c>
      <c r="K538" s="101" t="str">
        <f t="shared" si="96"/>
        <v>33x9x4</v>
      </c>
      <c r="L538" s="102">
        <f t="shared" si="97"/>
        <v>8.5467625899280577</v>
      </c>
      <c r="M538" s="113">
        <f t="shared" si="98"/>
        <v>8.5467625899280577</v>
      </c>
      <c r="N538" s="113">
        <f t="shared" si="99"/>
        <v>9</v>
      </c>
      <c r="O538" s="99">
        <v>6</v>
      </c>
      <c r="P538" s="113">
        <f t="shared" si="100"/>
        <v>9</v>
      </c>
      <c r="Q538" s="112">
        <f t="shared" si="101"/>
        <v>144</v>
      </c>
      <c r="R538" s="112" t="str">
        <f t="shared" si="102"/>
        <v>Oversize</v>
      </c>
      <c r="S538" s="99" t="str">
        <f t="shared" si="103"/>
        <v>Large bulky</v>
      </c>
      <c r="T538" s="116" t="s">
        <v>13692</v>
      </c>
      <c r="U538" s="116">
        <f t="shared" si="104"/>
        <v>0.6875</v>
      </c>
      <c r="V538" s="116" t="s">
        <v>13583</v>
      </c>
      <c r="W538" s="116" t="s">
        <v>13690</v>
      </c>
      <c r="X538" s="116" t="s">
        <v>13691</v>
      </c>
      <c r="Y538" s="116">
        <v>2</v>
      </c>
      <c r="Z538" s="116">
        <v>3</v>
      </c>
      <c r="AA538" s="116">
        <v>1</v>
      </c>
      <c r="AB538" s="99"/>
      <c r="AC538" s="99"/>
      <c r="AD538" s="107">
        <v>29.99</v>
      </c>
      <c r="AE538" s="113">
        <f t="shared" si="105"/>
        <v>-4.4984999999999999</v>
      </c>
      <c r="AF538" s="116">
        <f>-IFERROR(IFERROR(VLOOKUP(ROUNDUP($Q538,0),'FBA FEES'!$L$2:$Q$203,MATCH($S538,'FBA FEES'!$L$2:$Q$2,0),FALSE),VLOOKUP(ROUNDUP($Q538,0),'FBA FEES'!$C$6:$F$123,MATCH($S538,'FBA FEES'!$C$6:$F$6,0),FALSE)),0)</f>
        <v>-12.649999999999999</v>
      </c>
      <c r="AG538" s="116">
        <v>-10</v>
      </c>
      <c r="AH538" s="113">
        <f t="shared" si="106"/>
        <v>-17.148499999999999</v>
      </c>
      <c r="AI538" s="116">
        <f>-IFERROR(IF($Y538=1,INDEX('[1]REMOVAL FEES'!$A$1:$C$22,MATCH(CONCATENATE("Standard Size",$P538),'[1]REMOVAL FEES'!$A$1:$A$22,0),3),IF($Y538=2,IF($P538&gt;10,(($P538-10)*1.06)+INDEX('[1]REMOVAL FEES'!$E$1:$G$22,MATCH(CONCATENATE("Large bulky, extra-large and special handling items",IF($P538&gt;=11,11,$P538)),'[1]REMOVAL FEES'!$E$1:$E$13,0),3),INDEX('[1]REMOVAL FEES'!$E$1:$G$22,MATCH(CONCATENATE("Large bulky, extra-large and special handling items",IF($P538&gt;=11,11,$P538)),'[1]REMOVAL FEES'!$E$1:$E$13,0),3))))*$AA538,FALSE)</f>
        <v>-10.039999999999999</v>
      </c>
      <c r="AJ538" s="107">
        <f t="shared" si="107"/>
        <v>-27.188499999999998</v>
      </c>
      <c r="AK538" s="107">
        <v>-10.220000000000001</v>
      </c>
      <c r="AL538" s="107">
        <v>-6.6002777777777766</v>
      </c>
      <c r="AM538" s="107">
        <f t="shared" si="108"/>
        <v>-16.820277777777775</v>
      </c>
      <c r="AN538" s="116">
        <f>(-IF($V538="Yes", IF($X538="Yes", VLOOKUP($W538, '[1]Storage Fees'!A:M, 13, FALSE), VLOOKUP($W538, '[1]Storage Fees'!A:M, 10, FALSE)), IF($X538="Yes", VLOOKUP($W538, '[1]Storage Fees'!A:M, 7, FALSE), VLOOKUP($W538, '[1]Storage Fees'!A:M, 4, FALSE))) * U538)*1.5</f>
        <v>-0.81468750000000012</v>
      </c>
    </row>
    <row r="539" spans="1:40" x14ac:dyDescent="0.25">
      <c r="A539" s="99">
        <v>467</v>
      </c>
      <c r="B539" s="99" t="s">
        <v>107</v>
      </c>
      <c r="C539" s="99"/>
      <c r="D539" s="99"/>
      <c r="E539" s="99" t="s">
        <v>278</v>
      </c>
      <c r="F539" s="99" t="s">
        <v>354</v>
      </c>
      <c r="G539" s="99" t="s">
        <v>13695</v>
      </c>
      <c r="H539" s="99">
        <v>29</v>
      </c>
      <c r="I539" s="99">
        <v>23</v>
      </c>
      <c r="J539" s="99">
        <v>4</v>
      </c>
      <c r="K539" s="101" t="str">
        <f t="shared" si="96"/>
        <v>29x23x4</v>
      </c>
      <c r="L539" s="102">
        <f t="shared" si="97"/>
        <v>19.194244604316548</v>
      </c>
      <c r="M539" s="113">
        <f t="shared" si="98"/>
        <v>19.194244604316548</v>
      </c>
      <c r="N539" s="113">
        <f t="shared" si="99"/>
        <v>20</v>
      </c>
      <c r="O539" s="99">
        <v>12</v>
      </c>
      <c r="P539" s="113">
        <f t="shared" si="100"/>
        <v>20</v>
      </c>
      <c r="Q539" s="112">
        <f t="shared" si="101"/>
        <v>320</v>
      </c>
      <c r="R539" s="112" t="str">
        <f t="shared" si="102"/>
        <v>Oversize</v>
      </c>
      <c r="S539" s="99" t="str">
        <f t="shared" si="103"/>
        <v>Large bulky</v>
      </c>
      <c r="T539" s="116" t="s">
        <v>13692</v>
      </c>
      <c r="U539" s="116">
        <f t="shared" si="104"/>
        <v>1.5439814814814814</v>
      </c>
      <c r="V539" s="116" t="s">
        <v>13583</v>
      </c>
      <c r="W539" s="116" t="s">
        <v>13690</v>
      </c>
      <c r="X539" s="116" t="s">
        <v>13691</v>
      </c>
      <c r="Y539" s="116">
        <v>2</v>
      </c>
      <c r="Z539" s="116">
        <v>3</v>
      </c>
      <c r="AA539" s="116">
        <v>1</v>
      </c>
      <c r="AB539" s="99"/>
      <c r="AC539" s="99"/>
      <c r="AD539" s="107">
        <v>125.0932869565216</v>
      </c>
      <c r="AE539" s="113">
        <f t="shared" si="105"/>
        <v>-18.763993043478237</v>
      </c>
      <c r="AF539" s="116">
        <f>-IFERROR(IFERROR(VLOOKUP(ROUNDUP($Q539,0),'FBA FEES'!$L$2:$Q$203,MATCH($S539,'FBA FEES'!$L$2:$Q$2,0),FALSE),VLOOKUP(ROUNDUP($Q539,0),'FBA FEES'!$C$6:$F$123,MATCH($S539,'FBA FEES'!$C$6:$F$6,0),FALSE)),0)</f>
        <v>-16.829999999999998</v>
      </c>
      <c r="AG539" s="116">
        <v>-10</v>
      </c>
      <c r="AH539" s="113">
        <f t="shared" si="106"/>
        <v>-35.593993043478235</v>
      </c>
      <c r="AI539" s="116">
        <f>-IFERROR(IF($Y539=1,INDEX('[1]REMOVAL FEES'!$A$1:$C$22,MATCH(CONCATENATE("Standard Size",$P539),'[1]REMOVAL FEES'!$A$1:$A$22,0),3),IF($Y539=2,IF($P539&gt;10,(($P539-10)*1.06)+INDEX('[1]REMOVAL FEES'!$E$1:$G$22,MATCH(CONCATENATE("Large bulky, extra-large and special handling items",IF($P539&gt;=11,11,$P539)),'[1]REMOVAL FEES'!$E$1:$E$13,0),3),INDEX('[1]REMOVAL FEES'!$E$1:$G$22,MATCH(CONCATENATE("Large bulky, extra-large and special handling items",IF($P539&gt;=11,11,$P539)),'[1]REMOVAL FEES'!$E$1:$E$13,0),3))))*$AA539,FALSE)</f>
        <v>-24.92</v>
      </c>
      <c r="AJ539" s="107">
        <f t="shared" si="107"/>
        <v>-60.513993043478237</v>
      </c>
      <c r="AK539" s="107">
        <v>-46.732608695652267</v>
      </c>
      <c r="AL539" s="107">
        <v>-9.9540640568207888</v>
      </c>
      <c r="AM539" s="107">
        <f t="shared" si="108"/>
        <v>-56.686672752473058</v>
      </c>
      <c r="AN539" s="116">
        <f>(-IF($V539="Yes", IF($X539="Yes", VLOOKUP($W539, '[1]Storage Fees'!A:M, 13, FALSE), VLOOKUP($W539, '[1]Storage Fees'!A:M, 10, FALSE)), IF($X539="Yes", VLOOKUP($W539, '[1]Storage Fees'!A:M, 7, FALSE), VLOOKUP($W539, '[1]Storage Fees'!A:M, 4, FALSE))) * U539)*1.5</f>
        <v>-1.8296180555555557</v>
      </c>
    </row>
    <row r="540" spans="1:40" x14ac:dyDescent="0.25">
      <c r="A540" s="99">
        <v>468</v>
      </c>
      <c r="B540" s="99"/>
      <c r="C540" s="99" t="s">
        <v>13655</v>
      </c>
      <c r="D540" s="99"/>
      <c r="E540" s="99" t="s">
        <v>278</v>
      </c>
      <c r="F540" s="99" t="s">
        <v>1936</v>
      </c>
      <c r="G540" s="99" t="s">
        <v>13656</v>
      </c>
      <c r="H540" s="99">
        <v>0</v>
      </c>
      <c r="I540" s="99">
        <v>0</v>
      </c>
      <c r="J540" s="99">
        <v>0</v>
      </c>
      <c r="K540" s="101" t="str">
        <f t="shared" si="96"/>
        <v>0x0x0</v>
      </c>
      <c r="L540" s="102">
        <f t="shared" si="97"/>
        <v>0</v>
      </c>
      <c r="M540" s="113">
        <f t="shared" si="98"/>
        <v>0</v>
      </c>
      <c r="N540" s="113">
        <f t="shared" si="99"/>
        <v>0</v>
      </c>
      <c r="O540" s="99">
        <v>0</v>
      </c>
      <c r="P540" s="113">
        <f t="shared" si="100"/>
        <v>0</v>
      </c>
      <c r="Q540" s="112">
        <f t="shared" si="101"/>
        <v>0</v>
      </c>
      <c r="R540" s="112" t="str">
        <f t="shared" si="102"/>
        <v>Standard-size</v>
      </c>
      <c r="S540" s="99" t="str">
        <f t="shared" si="103"/>
        <v>Small standard-size</v>
      </c>
      <c r="T540" s="116" t="s">
        <v>13696</v>
      </c>
      <c r="U540" s="116">
        <f t="shared" si="104"/>
        <v>0</v>
      </c>
      <c r="V540" s="116" t="s">
        <v>13583</v>
      </c>
      <c r="W540" s="116" t="s">
        <v>13690</v>
      </c>
      <c r="X540" s="99" t="s">
        <v>13583</v>
      </c>
      <c r="Y540" s="99">
        <v>1</v>
      </c>
      <c r="Z540" s="99">
        <v>1</v>
      </c>
      <c r="AA540" s="99">
        <v>1</v>
      </c>
      <c r="AB540" s="99"/>
      <c r="AC540" s="99"/>
      <c r="AD540" s="107">
        <v>23.563181818181821</v>
      </c>
      <c r="AE540" s="113">
        <f t="shared" si="105"/>
        <v>-3.5344772727272731</v>
      </c>
      <c r="AF540" s="116">
        <f>-IFERROR(IFERROR(VLOOKUP(ROUNDUP($Q540,0),'FBA FEES'!$L$2:$Q$203,MATCH($S540,'FBA FEES'!$L$2:$Q$2,0),FALSE),VLOOKUP(ROUNDUP($Q540,0),'FBA FEES'!$C$6:$F$123,MATCH($S540,'FBA FEES'!$C$6:$F$6,0),FALSE)),0)</f>
        <v>0</v>
      </c>
      <c r="AG540" s="116">
        <v>-10</v>
      </c>
      <c r="AH540" s="113">
        <f t="shared" si="106"/>
        <v>-3.5344772727272731</v>
      </c>
      <c r="AI540" s="116">
        <f>-IFERROR(IF($Y540=1,INDEX('[1]REMOVAL FEES'!$A$1:$C$22,MATCH(CONCATENATE("Standard Size",$P540),'[1]REMOVAL FEES'!$A$1:$A$22,0),3),IF($Y540=2,IF($P540&gt;10,(($P540-10)*1.06)+INDEX('[1]REMOVAL FEES'!$E$1:$G$22,MATCH(CONCATENATE("Large bulky, extra-large and special handling items",IF($P540&gt;=11,11,$P540)),'[1]REMOVAL FEES'!$E$1:$E$13,0),3),INDEX('[1]REMOVAL FEES'!$E$1:$G$22,MATCH(CONCATENATE("Large bulky, extra-large and special handling items",IF($P540&gt;=11,11,$P540)),'[1]REMOVAL FEES'!$E$1:$E$13,0),3))))*$AA540,FALSE)</f>
        <v>0</v>
      </c>
      <c r="AJ540" s="107">
        <f t="shared" si="107"/>
        <v>-3.5344772727272731</v>
      </c>
      <c r="AK540" s="107">
        <v>-6.97</v>
      </c>
      <c r="AL540" s="107">
        <v>-1.24923076923077</v>
      </c>
      <c r="AM540" s="107">
        <f t="shared" si="108"/>
        <v>-8.2192307692307693</v>
      </c>
      <c r="AN540" s="116">
        <f>(-IF($V540="Yes", IF($X540="Yes", VLOOKUP($W540, '[1]Storage Fees'!A:M, 13, FALSE), VLOOKUP($W540, '[1]Storage Fees'!A:M, 10, FALSE)), IF($X540="Yes", VLOOKUP($W540, '[1]Storage Fees'!A:M, 7, FALSE), VLOOKUP($W540, '[1]Storage Fees'!A:M, 4, FALSE))) * U540)*1.5</f>
        <v>0</v>
      </c>
    </row>
    <row r="541" spans="1:40" x14ac:dyDescent="0.25">
      <c r="A541" s="99">
        <v>469</v>
      </c>
      <c r="B541" s="99" t="s">
        <v>13705</v>
      </c>
      <c r="C541" s="99" t="s">
        <v>13655</v>
      </c>
      <c r="D541" s="99" t="s">
        <v>718</v>
      </c>
      <c r="E541" s="99" t="s">
        <v>278</v>
      </c>
      <c r="F541" s="99" t="s">
        <v>1108</v>
      </c>
      <c r="G541" s="99" t="s">
        <v>13656</v>
      </c>
      <c r="H541" s="99">
        <v>18</v>
      </c>
      <c r="I541" s="99">
        <v>8</v>
      </c>
      <c r="J541" s="99">
        <v>4</v>
      </c>
      <c r="K541" s="101" t="str">
        <f t="shared" si="96"/>
        <v>18x8x4</v>
      </c>
      <c r="L541" s="102">
        <f t="shared" si="97"/>
        <v>4.1438848920863309</v>
      </c>
      <c r="M541" s="113">
        <f t="shared" si="98"/>
        <v>4.1438848920863309</v>
      </c>
      <c r="N541" s="113">
        <f t="shared" si="99"/>
        <v>5</v>
      </c>
      <c r="O541" s="99">
        <v>4</v>
      </c>
      <c r="P541" s="113">
        <f t="shared" si="100"/>
        <v>5</v>
      </c>
      <c r="Q541" s="112">
        <f t="shared" si="101"/>
        <v>80</v>
      </c>
      <c r="R541" s="112" t="str">
        <f t="shared" si="102"/>
        <v>Standard-size</v>
      </c>
      <c r="S541" s="99" t="str">
        <f t="shared" si="103"/>
        <v>Large standard-size</v>
      </c>
      <c r="T541" s="116" t="s">
        <v>13693</v>
      </c>
      <c r="U541" s="116">
        <f t="shared" si="104"/>
        <v>0.33333333333333331</v>
      </c>
      <c r="V541" s="116" t="s">
        <v>13583</v>
      </c>
      <c r="W541" s="116" t="s">
        <v>13690</v>
      </c>
      <c r="X541" s="99" t="s">
        <v>13583</v>
      </c>
      <c r="Y541" s="99">
        <v>1</v>
      </c>
      <c r="Z541" s="99">
        <v>2</v>
      </c>
      <c r="AA541" s="99">
        <v>1</v>
      </c>
      <c r="AB541" s="99"/>
      <c r="AC541" s="99"/>
      <c r="AD541" s="107">
        <v>27.101111111111109</v>
      </c>
      <c r="AE541" s="113">
        <f t="shared" si="105"/>
        <v>-4.0651666666666664</v>
      </c>
      <c r="AF541" s="116">
        <f>-IFERROR(IFERROR(VLOOKUP(ROUNDUP($Q541,0),'FBA FEES'!$L$2:$Q$203,MATCH($S541,'FBA FEES'!$L$2:$Q$2,0),FALSE),VLOOKUP(ROUNDUP($Q541,0),'FBA FEES'!$C$6:$F$123,MATCH($S541,'FBA FEES'!$C$6:$F$6,0),FALSE)),0)</f>
        <v>-7.56</v>
      </c>
      <c r="AG541" s="116">
        <v>-10</v>
      </c>
      <c r="AH541" s="113">
        <f t="shared" si="106"/>
        <v>-11.625166666666665</v>
      </c>
      <c r="AI541" s="116">
        <f>-IFERROR(IF($Y541=1,INDEX('[1]REMOVAL FEES'!$A$1:$C$22,MATCH(CONCATENATE("Standard Size",$P541),'[1]REMOVAL FEES'!$A$1:$A$22,0),3),IF($Y541=2,IF($P541&gt;10,(($P541-10)*1.06)+INDEX('[1]REMOVAL FEES'!$E$1:$G$22,MATCH(CONCATENATE("Large bulky, extra-large and special handling items",IF($P541&gt;=11,11,$P541)),'[1]REMOVAL FEES'!$E$1:$E$13,0),3),INDEX('[1]REMOVAL FEES'!$E$1:$G$22,MATCH(CONCATENATE("Large bulky, extra-large and special handling items",IF($P541&gt;=11,11,$P541)),'[1]REMOVAL FEES'!$E$1:$E$13,0),3))))*$AA541,FALSE)</f>
        <v>-6.07</v>
      </c>
      <c r="AJ541" s="107">
        <f t="shared" si="107"/>
        <v>-17.695166666666665</v>
      </c>
      <c r="AK541" s="107">
        <v>-10.463333333333329</v>
      </c>
      <c r="AL541" s="107">
        <v>-1.4119999999999999</v>
      </c>
      <c r="AM541" s="107">
        <f t="shared" si="108"/>
        <v>-11.87533333333333</v>
      </c>
      <c r="AN541" s="116">
        <f>(-IF($V541="Yes", IF($X541="Yes", VLOOKUP($W541, '[1]Storage Fees'!A:M, 13, FALSE), VLOOKUP($W541, '[1]Storage Fees'!A:M, 10, FALSE)), IF($X541="Yes", VLOOKUP($W541, '[1]Storage Fees'!A:M, 7, FALSE), VLOOKUP($W541, '[1]Storage Fees'!A:M, 4, FALSE))) * U541)*1.5</f>
        <v>-0.60999999999999988</v>
      </c>
    </row>
    <row r="542" spans="1:40" x14ac:dyDescent="0.25">
      <c r="A542" s="99">
        <v>470</v>
      </c>
      <c r="B542" s="99" t="s">
        <v>283</v>
      </c>
      <c r="C542" s="99" t="s">
        <v>13655</v>
      </c>
      <c r="D542" s="99" t="s">
        <v>718</v>
      </c>
      <c r="E542" s="99" t="s">
        <v>278</v>
      </c>
      <c r="F542" s="99" t="s">
        <v>1111</v>
      </c>
      <c r="G542" s="99" t="s">
        <v>13695</v>
      </c>
      <c r="H542" s="99">
        <v>47</v>
      </c>
      <c r="I542" s="99">
        <v>22</v>
      </c>
      <c r="J542" s="99">
        <v>3</v>
      </c>
      <c r="K542" s="101" t="str">
        <f t="shared" si="96"/>
        <v>47x22x3</v>
      </c>
      <c r="L542" s="102">
        <f t="shared" si="97"/>
        <v>22.31654676258993</v>
      </c>
      <c r="M542" s="113">
        <f t="shared" si="98"/>
        <v>22.31654676258993</v>
      </c>
      <c r="N542" s="113">
        <f t="shared" si="99"/>
        <v>23</v>
      </c>
      <c r="O542" s="99">
        <v>31</v>
      </c>
      <c r="P542" s="113">
        <f t="shared" si="100"/>
        <v>31</v>
      </c>
      <c r="Q542" s="112">
        <f t="shared" si="101"/>
        <v>496</v>
      </c>
      <c r="R542" s="112" t="str">
        <f t="shared" si="102"/>
        <v>Oversize</v>
      </c>
      <c r="S542" s="99" t="str">
        <f t="shared" si="103"/>
        <v>Large bulky</v>
      </c>
      <c r="T542" s="116" t="s">
        <v>13694</v>
      </c>
      <c r="U542" s="116">
        <f t="shared" si="104"/>
        <v>1.7951388888888888</v>
      </c>
      <c r="V542" s="116" t="s">
        <v>13583</v>
      </c>
      <c r="W542" s="116" t="s">
        <v>13690</v>
      </c>
      <c r="X542" s="116" t="s">
        <v>13691</v>
      </c>
      <c r="Y542" s="116">
        <v>2</v>
      </c>
      <c r="Z542" s="116">
        <v>3</v>
      </c>
      <c r="AA542" s="116">
        <v>1</v>
      </c>
      <c r="AB542" s="99"/>
      <c r="AC542" s="99"/>
      <c r="AD542" s="107">
        <v>0</v>
      </c>
      <c r="AE542" s="113">
        <f t="shared" si="105"/>
        <v>0</v>
      </c>
      <c r="AF542" s="116">
        <f>-IFERROR(IFERROR(VLOOKUP(ROUNDUP($Q542,0),'FBA FEES'!$L$2:$Q$203,MATCH($S542,'FBA FEES'!$L$2:$Q$2,0),FALSE),VLOOKUP(ROUNDUP($Q542,0),'FBA FEES'!$C$6:$F$123,MATCH($S542,'FBA FEES'!$C$6:$F$6,0),FALSE)),0)</f>
        <v>-21.009999999999998</v>
      </c>
      <c r="AG542" s="116">
        <v>-10</v>
      </c>
      <c r="AH542" s="113">
        <f t="shared" si="106"/>
        <v>-21.009999999999998</v>
      </c>
      <c r="AI542" s="116">
        <f>-IFERROR(IF($Y542=1,INDEX('[1]REMOVAL FEES'!$A$1:$C$22,MATCH(CONCATENATE("Standard Size",$P542),'[1]REMOVAL FEES'!$A$1:$A$22,0),3),IF($Y542=2,IF($P542&gt;10,(($P542-10)*1.06)+INDEX('[1]REMOVAL FEES'!$E$1:$G$22,MATCH(CONCATENATE("Large bulky, extra-large and special handling items",IF($P542&gt;=11,11,$P542)),'[1]REMOVAL FEES'!$E$1:$E$13,0),3),INDEX('[1]REMOVAL FEES'!$E$1:$G$22,MATCH(CONCATENATE("Large bulky, extra-large and special handling items",IF($P542&gt;=11,11,$P542)),'[1]REMOVAL FEES'!$E$1:$E$13,0),3))))*$AA542,FALSE)</f>
        <v>-36.58</v>
      </c>
      <c r="AJ542" s="107">
        <f t="shared" si="107"/>
        <v>-57.589999999999996</v>
      </c>
      <c r="AK542" s="107">
        <v>0</v>
      </c>
      <c r="AL542" s="107">
        <v>0</v>
      </c>
      <c r="AM542" s="107">
        <f t="shared" si="108"/>
        <v>0</v>
      </c>
      <c r="AN542" s="116">
        <f>(-IF($V542="Yes", IF($X542="Yes", VLOOKUP($W542, '[1]Storage Fees'!A:M, 13, FALSE), VLOOKUP($W542, '[1]Storage Fees'!A:M, 10, FALSE)), IF($X542="Yes", VLOOKUP($W542, '[1]Storage Fees'!A:M, 7, FALSE), VLOOKUP($W542, '[1]Storage Fees'!A:M, 4, FALSE))) * U542)*1.5</f>
        <v>-2.1272395833333331</v>
      </c>
    </row>
    <row r="543" spans="1:40" x14ac:dyDescent="0.25">
      <c r="A543" s="99">
        <v>471</v>
      </c>
      <c r="B543" s="99"/>
      <c r="C543" s="99" t="s">
        <v>13655</v>
      </c>
      <c r="D543" s="99"/>
      <c r="E543" s="99" t="s">
        <v>278</v>
      </c>
      <c r="F543" s="99" t="s">
        <v>1938</v>
      </c>
      <c r="G543" s="99" t="s">
        <v>13695</v>
      </c>
      <c r="H543" s="99">
        <v>0</v>
      </c>
      <c r="I543" s="99">
        <v>0</v>
      </c>
      <c r="J543" s="99">
        <v>0</v>
      </c>
      <c r="K543" s="101" t="str">
        <f t="shared" si="96"/>
        <v>0x0x0</v>
      </c>
      <c r="L543" s="102">
        <f t="shared" si="97"/>
        <v>0</v>
      </c>
      <c r="M543" s="113">
        <f t="shared" si="98"/>
        <v>0</v>
      </c>
      <c r="N543" s="113">
        <f t="shared" si="99"/>
        <v>0</v>
      </c>
      <c r="O543" s="99">
        <v>0</v>
      </c>
      <c r="P543" s="113">
        <f t="shared" si="100"/>
        <v>0</v>
      </c>
      <c r="Q543" s="112">
        <f t="shared" si="101"/>
        <v>0</v>
      </c>
      <c r="R543" s="112" t="str">
        <f t="shared" si="102"/>
        <v>Standard-size</v>
      </c>
      <c r="S543" s="99" t="str">
        <f t="shared" si="103"/>
        <v>Small standard-size</v>
      </c>
      <c r="T543" s="116" t="s">
        <v>13696</v>
      </c>
      <c r="U543" s="116">
        <f t="shared" si="104"/>
        <v>0</v>
      </c>
      <c r="V543" s="116" t="s">
        <v>13583</v>
      </c>
      <c r="W543" s="116" t="s">
        <v>13690</v>
      </c>
      <c r="X543" s="99" t="s">
        <v>13583</v>
      </c>
      <c r="Y543" s="99">
        <v>1</v>
      </c>
      <c r="Z543" s="99">
        <v>1</v>
      </c>
      <c r="AA543" s="99">
        <v>1</v>
      </c>
      <c r="AB543" s="99"/>
      <c r="AC543" s="99"/>
      <c r="AD543" s="107">
        <v>0</v>
      </c>
      <c r="AE543" s="113">
        <f t="shared" si="105"/>
        <v>0</v>
      </c>
      <c r="AF543" s="116">
        <f>-IFERROR(IFERROR(VLOOKUP(ROUNDUP($Q543,0),'FBA FEES'!$L$2:$Q$203,MATCH($S543,'FBA FEES'!$L$2:$Q$2,0),FALSE),VLOOKUP(ROUNDUP($Q543,0),'FBA FEES'!$C$6:$F$123,MATCH($S543,'FBA FEES'!$C$6:$F$6,0),FALSE)),0)</f>
        <v>0</v>
      </c>
      <c r="AG543" s="116">
        <v>-10</v>
      </c>
      <c r="AH543" s="113">
        <f t="shared" si="106"/>
        <v>0</v>
      </c>
      <c r="AI543" s="116">
        <f>-IFERROR(IF($Y543=1,INDEX('[1]REMOVAL FEES'!$A$1:$C$22,MATCH(CONCATENATE("Standard Size",$P543),'[1]REMOVAL FEES'!$A$1:$A$22,0),3),IF($Y543=2,IF($P543&gt;10,(($P543-10)*1.06)+INDEX('[1]REMOVAL FEES'!$E$1:$G$22,MATCH(CONCATENATE("Large bulky, extra-large and special handling items",IF($P543&gt;=11,11,$P543)),'[1]REMOVAL FEES'!$E$1:$E$13,0),3),INDEX('[1]REMOVAL FEES'!$E$1:$G$22,MATCH(CONCATENATE("Large bulky, extra-large and special handling items",IF($P543&gt;=11,11,$P543)),'[1]REMOVAL FEES'!$E$1:$E$13,0),3))))*$AA543,FALSE)</f>
        <v>0</v>
      </c>
      <c r="AJ543" s="107">
        <f t="shared" si="107"/>
        <v>0</v>
      </c>
      <c r="AK543" s="107">
        <v>0</v>
      </c>
      <c r="AL543" s="107">
        <v>0</v>
      </c>
      <c r="AM543" s="107">
        <f t="shared" si="108"/>
        <v>0</v>
      </c>
      <c r="AN543" s="116">
        <f>(-IF($V543="Yes", IF($X543="Yes", VLOOKUP($W543, '[1]Storage Fees'!A:M, 13, FALSE), VLOOKUP($W543, '[1]Storage Fees'!A:M, 10, FALSE)), IF($X543="Yes", VLOOKUP($W543, '[1]Storage Fees'!A:M, 7, FALSE), VLOOKUP($W543, '[1]Storage Fees'!A:M, 4, FALSE))) * U543)*1.5</f>
        <v>0</v>
      </c>
    </row>
    <row r="544" spans="1:40" x14ac:dyDescent="0.25">
      <c r="A544" s="99">
        <v>472</v>
      </c>
      <c r="B544" s="99" t="s">
        <v>13702</v>
      </c>
      <c r="C544" s="99" t="s">
        <v>13655</v>
      </c>
      <c r="D544" s="99" t="s">
        <v>718</v>
      </c>
      <c r="E544" s="99" t="s">
        <v>278</v>
      </c>
      <c r="F544" s="99" t="s">
        <v>1114</v>
      </c>
      <c r="G544" s="99" t="s">
        <v>13656</v>
      </c>
      <c r="H544" s="99">
        <v>38</v>
      </c>
      <c r="I544" s="99">
        <v>12</v>
      </c>
      <c r="J544" s="99">
        <v>6</v>
      </c>
      <c r="K544" s="101" t="str">
        <f t="shared" si="96"/>
        <v>38x12x6</v>
      </c>
      <c r="L544" s="102">
        <f t="shared" si="97"/>
        <v>19.68345323741007</v>
      </c>
      <c r="M544" s="113">
        <f t="shared" si="98"/>
        <v>19.68345323741007</v>
      </c>
      <c r="N544" s="113">
        <f t="shared" si="99"/>
        <v>20</v>
      </c>
      <c r="O544" s="99">
        <v>10</v>
      </c>
      <c r="P544" s="113">
        <f t="shared" si="100"/>
        <v>20</v>
      </c>
      <c r="Q544" s="112">
        <f t="shared" si="101"/>
        <v>320</v>
      </c>
      <c r="R544" s="112" t="str">
        <f t="shared" si="102"/>
        <v>Oversize</v>
      </c>
      <c r="S544" s="99" t="str">
        <f t="shared" si="103"/>
        <v>Large bulky</v>
      </c>
      <c r="T544" s="116" t="s">
        <v>13692</v>
      </c>
      <c r="U544" s="116">
        <f t="shared" si="104"/>
        <v>1.5833333333333333</v>
      </c>
      <c r="V544" s="116" t="s">
        <v>13583</v>
      </c>
      <c r="W544" s="116" t="s">
        <v>13690</v>
      </c>
      <c r="X544" s="116" t="s">
        <v>13691</v>
      </c>
      <c r="Y544" s="116">
        <v>2</v>
      </c>
      <c r="Z544" s="116">
        <v>3</v>
      </c>
      <c r="AA544" s="116">
        <v>1</v>
      </c>
      <c r="AB544" s="99"/>
      <c r="AC544" s="99"/>
      <c r="AD544" s="107">
        <v>0</v>
      </c>
      <c r="AE544" s="113">
        <f t="shared" si="105"/>
        <v>0</v>
      </c>
      <c r="AF544" s="116">
        <f>-IFERROR(IFERROR(VLOOKUP(ROUNDUP($Q544,0),'FBA FEES'!$L$2:$Q$203,MATCH($S544,'FBA FEES'!$L$2:$Q$2,0),FALSE),VLOOKUP(ROUNDUP($Q544,0),'FBA FEES'!$C$6:$F$123,MATCH($S544,'FBA FEES'!$C$6:$F$6,0),FALSE)),0)</f>
        <v>-16.829999999999998</v>
      </c>
      <c r="AG544" s="116">
        <v>-10</v>
      </c>
      <c r="AH544" s="113">
        <f t="shared" si="106"/>
        <v>-16.829999999999998</v>
      </c>
      <c r="AI544" s="116">
        <f>-IFERROR(IF($Y544=1,INDEX('[1]REMOVAL FEES'!$A$1:$C$22,MATCH(CONCATENATE("Standard Size",$P544),'[1]REMOVAL FEES'!$A$1:$A$22,0),3),IF($Y544=2,IF($P544&gt;10,(($P544-10)*1.06)+INDEX('[1]REMOVAL FEES'!$E$1:$G$22,MATCH(CONCATENATE("Large bulky, extra-large and special handling items",IF($P544&gt;=11,11,$P544)),'[1]REMOVAL FEES'!$E$1:$E$13,0),3),INDEX('[1]REMOVAL FEES'!$E$1:$G$22,MATCH(CONCATENATE("Large bulky, extra-large and special handling items",IF($P544&gt;=11,11,$P544)),'[1]REMOVAL FEES'!$E$1:$E$13,0),3))))*$AA544,FALSE)</f>
        <v>-24.92</v>
      </c>
      <c r="AJ544" s="107">
        <f t="shared" si="107"/>
        <v>-41.75</v>
      </c>
      <c r="AK544" s="107">
        <v>0</v>
      </c>
      <c r="AL544" s="107">
        <v>0</v>
      </c>
      <c r="AM544" s="107">
        <f t="shared" si="108"/>
        <v>0</v>
      </c>
      <c r="AN544" s="116">
        <f>(-IF($V544="Yes", IF($X544="Yes", VLOOKUP($W544, '[1]Storage Fees'!A:M, 13, FALSE), VLOOKUP($W544, '[1]Storage Fees'!A:M, 10, FALSE)), IF($X544="Yes", VLOOKUP($W544, '[1]Storage Fees'!A:M, 7, FALSE), VLOOKUP($W544, '[1]Storage Fees'!A:M, 4, FALSE))) * U544)*1.5</f>
        <v>-1.8762499999999998</v>
      </c>
    </row>
    <row r="545" spans="1:40" x14ac:dyDescent="0.25">
      <c r="A545" s="99">
        <v>473</v>
      </c>
      <c r="B545" s="99" t="s">
        <v>102</v>
      </c>
      <c r="C545" s="99" t="s">
        <v>13655</v>
      </c>
      <c r="D545" s="99"/>
      <c r="E545" s="99" t="s">
        <v>278</v>
      </c>
      <c r="F545" s="99" t="s">
        <v>1117</v>
      </c>
      <c r="G545" s="99" t="s">
        <v>13656</v>
      </c>
      <c r="H545" s="99">
        <v>23</v>
      </c>
      <c r="I545" s="99">
        <v>23</v>
      </c>
      <c r="J545" s="99">
        <v>3</v>
      </c>
      <c r="K545" s="101" t="str">
        <f t="shared" si="96"/>
        <v>23x23x3</v>
      </c>
      <c r="L545" s="102">
        <f t="shared" si="97"/>
        <v>11.417266187050359</v>
      </c>
      <c r="M545" s="113">
        <f t="shared" si="98"/>
        <v>11.417266187050359</v>
      </c>
      <c r="N545" s="113">
        <f t="shared" si="99"/>
        <v>12</v>
      </c>
      <c r="O545" s="99">
        <v>10</v>
      </c>
      <c r="P545" s="113">
        <f t="shared" si="100"/>
        <v>12</v>
      </c>
      <c r="Q545" s="112">
        <f t="shared" si="101"/>
        <v>192</v>
      </c>
      <c r="R545" s="112" t="str">
        <f t="shared" si="102"/>
        <v>Oversize</v>
      </c>
      <c r="S545" s="99" t="str">
        <f t="shared" si="103"/>
        <v>Large bulky</v>
      </c>
      <c r="T545" s="116" t="s">
        <v>13692</v>
      </c>
      <c r="U545" s="116">
        <f t="shared" si="104"/>
        <v>0.91840277777777779</v>
      </c>
      <c r="V545" s="116" t="s">
        <v>13583</v>
      </c>
      <c r="W545" s="116" t="s">
        <v>13690</v>
      </c>
      <c r="X545" s="116" t="s">
        <v>13691</v>
      </c>
      <c r="Y545" s="116">
        <v>2</v>
      </c>
      <c r="Z545" s="116">
        <v>3</v>
      </c>
      <c r="AA545" s="116">
        <v>1</v>
      </c>
      <c r="AB545" s="99"/>
      <c r="AC545" s="99"/>
      <c r="AD545" s="107">
        <v>39.99</v>
      </c>
      <c r="AE545" s="113">
        <f t="shared" si="105"/>
        <v>-5.9984999999999999</v>
      </c>
      <c r="AF545" s="116">
        <f>-IFERROR(IFERROR(VLOOKUP(ROUNDUP($Q545,0),'FBA FEES'!$L$2:$Q$203,MATCH($S545,'FBA FEES'!$L$2:$Q$2,0),FALSE),VLOOKUP(ROUNDUP($Q545,0),'FBA FEES'!$C$6:$F$123,MATCH($S545,'FBA FEES'!$C$6:$F$6,0),FALSE)),0)</f>
        <v>-13.79</v>
      </c>
      <c r="AG545" s="116">
        <v>-10</v>
      </c>
      <c r="AH545" s="113">
        <f t="shared" si="106"/>
        <v>-19.788499999999999</v>
      </c>
      <c r="AI545" s="116">
        <f>-IFERROR(IF($Y545=1,INDEX('[1]REMOVAL FEES'!$A$1:$C$22,MATCH(CONCATENATE("Standard Size",$P545),'[1]REMOVAL FEES'!$A$1:$A$22,0),3),IF($Y545=2,IF($P545&gt;10,(($P545-10)*1.06)+INDEX('[1]REMOVAL FEES'!$E$1:$G$22,MATCH(CONCATENATE("Large bulky, extra-large and special handling items",IF($P545&gt;=11,11,$P545)),'[1]REMOVAL FEES'!$E$1:$E$13,0),3),INDEX('[1]REMOVAL FEES'!$E$1:$G$22,MATCH(CONCATENATE("Large bulky, extra-large and special handling items",IF($P545&gt;=11,11,$P545)),'[1]REMOVAL FEES'!$E$1:$E$13,0),3))))*$AA545,FALSE)</f>
        <v>-16.440000000000001</v>
      </c>
      <c r="AJ545" s="107">
        <f t="shared" si="107"/>
        <v>-36.228499999999997</v>
      </c>
      <c r="AK545" s="107">
        <v>0</v>
      </c>
      <c r="AL545" s="107">
        <v>0</v>
      </c>
      <c r="AM545" s="107">
        <f t="shared" si="108"/>
        <v>0</v>
      </c>
      <c r="AN545" s="116">
        <f>(-IF($V545="Yes", IF($X545="Yes", VLOOKUP($W545, '[1]Storage Fees'!A:M, 13, FALSE), VLOOKUP($W545, '[1]Storage Fees'!A:M, 10, FALSE)), IF($X545="Yes", VLOOKUP($W545, '[1]Storage Fees'!A:M, 7, FALSE), VLOOKUP($W545, '[1]Storage Fees'!A:M, 4, FALSE))) * U545)*1.5</f>
        <v>-1.0883072916666667</v>
      </c>
    </row>
    <row r="546" spans="1:40" x14ac:dyDescent="0.25">
      <c r="A546" s="99">
        <v>474</v>
      </c>
      <c r="B546" s="99"/>
      <c r="C546" s="99" t="s">
        <v>13655</v>
      </c>
      <c r="D546" s="99"/>
      <c r="E546" s="99" t="s">
        <v>296</v>
      </c>
      <c r="F546" s="99" t="s">
        <v>1941</v>
      </c>
      <c r="G546" s="99" t="s">
        <v>13695</v>
      </c>
      <c r="H546" s="99">
        <v>0</v>
      </c>
      <c r="I546" s="99">
        <v>0</v>
      </c>
      <c r="J546" s="99">
        <v>0</v>
      </c>
      <c r="K546" s="101" t="str">
        <f t="shared" si="96"/>
        <v>0x0x0</v>
      </c>
      <c r="L546" s="102">
        <f t="shared" si="97"/>
        <v>0</v>
      </c>
      <c r="M546" s="113">
        <f t="shared" si="98"/>
        <v>0</v>
      </c>
      <c r="N546" s="113">
        <f t="shared" si="99"/>
        <v>0</v>
      </c>
      <c r="O546" s="99">
        <v>0</v>
      </c>
      <c r="P546" s="113">
        <f t="shared" si="100"/>
        <v>0</v>
      </c>
      <c r="Q546" s="112">
        <f t="shared" si="101"/>
        <v>0</v>
      </c>
      <c r="R546" s="112" t="str">
        <f t="shared" si="102"/>
        <v>Standard-size</v>
      </c>
      <c r="S546" s="99" t="str">
        <f t="shared" si="103"/>
        <v>Small standard-size</v>
      </c>
      <c r="T546" s="116" t="s">
        <v>13696</v>
      </c>
      <c r="U546" s="116">
        <f t="shared" si="104"/>
        <v>0</v>
      </c>
      <c r="V546" s="116" t="s">
        <v>13583</v>
      </c>
      <c r="W546" s="116" t="s">
        <v>13690</v>
      </c>
      <c r="X546" s="99" t="s">
        <v>13583</v>
      </c>
      <c r="Y546" s="99">
        <v>1</v>
      </c>
      <c r="Z546" s="99">
        <v>1</v>
      </c>
      <c r="AA546" s="99">
        <v>1</v>
      </c>
      <c r="AB546" s="99"/>
      <c r="AC546" s="99"/>
      <c r="AD546" s="107">
        <v>0</v>
      </c>
      <c r="AE546" s="113">
        <f t="shared" si="105"/>
        <v>0</v>
      </c>
      <c r="AF546" s="116">
        <f>-IFERROR(IFERROR(VLOOKUP(ROUNDUP($Q546,0),'FBA FEES'!$L$2:$Q$203,MATCH($S546,'FBA FEES'!$L$2:$Q$2,0),FALSE),VLOOKUP(ROUNDUP($Q546,0),'FBA FEES'!$C$6:$F$123,MATCH($S546,'FBA FEES'!$C$6:$F$6,0),FALSE)),0)</f>
        <v>0</v>
      </c>
      <c r="AG546" s="116">
        <v>-10</v>
      </c>
      <c r="AH546" s="113">
        <f t="shared" si="106"/>
        <v>0</v>
      </c>
      <c r="AI546" s="116">
        <f>-IFERROR(IF($Y546=1,INDEX('[1]REMOVAL FEES'!$A$1:$C$22,MATCH(CONCATENATE("Standard Size",$P546),'[1]REMOVAL FEES'!$A$1:$A$22,0),3),IF($Y546=2,IF($P546&gt;10,(($P546-10)*1.06)+INDEX('[1]REMOVAL FEES'!$E$1:$G$22,MATCH(CONCATENATE("Large bulky, extra-large and special handling items",IF($P546&gt;=11,11,$P546)),'[1]REMOVAL FEES'!$E$1:$E$13,0),3),INDEX('[1]REMOVAL FEES'!$E$1:$G$22,MATCH(CONCATENATE("Large bulky, extra-large and special handling items",IF($P546&gt;=11,11,$P546)),'[1]REMOVAL FEES'!$E$1:$E$13,0),3))))*$AA546,FALSE)</f>
        <v>0</v>
      </c>
      <c r="AJ546" s="107">
        <f t="shared" si="107"/>
        <v>0</v>
      </c>
      <c r="AK546" s="107">
        <v>0</v>
      </c>
      <c r="AL546" s="107">
        <v>0</v>
      </c>
      <c r="AM546" s="107">
        <f t="shared" si="108"/>
        <v>0</v>
      </c>
      <c r="AN546" s="116">
        <f>(-IF($V546="Yes", IF($X546="Yes", VLOOKUP($W546, '[1]Storage Fees'!A:M, 13, FALSE), VLOOKUP($W546, '[1]Storage Fees'!A:M, 10, FALSE)), IF($X546="Yes", VLOOKUP($W546, '[1]Storage Fees'!A:M, 7, FALSE), VLOOKUP($W546, '[1]Storage Fees'!A:M, 4, FALSE))) * U546)*1.5</f>
        <v>0</v>
      </c>
    </row>
    <row r="547" spans="1:40" x14ac:dyDescent="0.25">
      <c r="A547" s="99">
        <v>475</v>
      </c>
      <c r="B547" s="99"/>
      <c r="C547" s="99" t="s">
        <v>13655</v>
      </c>
      <c r="D547" s="99"/>
      <c r="E547" s="99" t="s">
        <v>296</v>
      </c>
      <c r="F547" s="99" t="s">
        <v>1943</v>
      </c>
      <c r="G547" s="99" t="s">
        <v>13695</v>
      </c>
      <c r="H547" s="99">
        <v>0</v>
      </c>
      <c r="I547" s="99">
        <v>0</v>
      </c>
      <c r="J547" s="99">
        <v>0</v>
      </c>
      <c r="K547" s="101" t="str">
        <f t="shared" si="96"/>
        <v>0x0x0</v>
      </c>
      <c r="L547" s="102">
        <f t="shared" si="97"/>
        <v>0</v>
      </c>
      <c r="M547" s="113">
        <f t="shared" si="98"/>
        <v>0</v>
      </c>
      <c r="N547" s="113">
        <f t="shared" si="99"/>
        <v>0</v>
      </c>
      <c r="O547" s="99">
        <v>0</v>
      </c>
      <c r="P547" s="113">
        <f t="shared" si="100"/>
        <v>0</v>
      </c>
      <c r="Q547" s="112">
        <f t="shared" si="101"/>
        <v>0</v>
      </c>
      <c r="R547" s="112" t="str">
        <f t="shared" si="102"/>
        <v>Standard-size</v>
      </c>
      <c r="S547" s="99" t="str">
        <f t="shared" si="103"/>
        <v>Small standard-size</v>
      </c>
      <c r="T547" s="116" t="s">
        <v>13696</v>
      </c>
      <c r="U547" s="116">
        <f t="shared" si="104"/>
        <v>0</v>
      </c>
      <c r="V547" s="116" t="s">
        <v>13583</v>
      </c>
      <c r="W547" s="116" t="s">
        <v>13690</v>
      </c>
      <c r="X547" s="99" t="s">
        <v>13583</v>
      </c>
      <c r="Y547" s="99">
        <v>1</v>
      </c>
      <c r="Z547" s="99">
        <v>1</v>
      </c>
      <c r="AA547" s="99">
        <v>1</v>
      </c>
      <c r="AB547" s="99"/>
      <c r="AC547" s="99"/>
      <c r="AD547" s="107">
        <v>0</v>
      </c>
      <c r="AE547" s="113">
        <f t="shared" si="105"/>
        <v>0</v>
      </c>
      <c r="AF547" s="116">
        <f>-IFERROR(IFERROR(VLOOKUP(ROUNDUP($Q547,0),'FBA FEES'!$L$2:$Q$203,MATCH($S547,'FBA FEES'!$L$2:$Q$2,0),FALSE),VLOOKUP(ROUNDUP($Q547,0),'FBA FEES'!$C$6:$F$123,MATCH($S547,'FBA FEES'!$C$6:$F$6,0),FALSE)),0)</f>
        <v>0</v>
      </c>
      <c r="AG547" s="116">
        <v>-10</v>
      </c>
      <c r="AH547" s="113">
        <f t="shared" si="106"/>
        <v>0</v>
      </c>
      <c r="AI547" s="116">
        <f>-IFERROR(IF($Y547=1,INDEX('[1]REMOVAL FEES'!$A$1:$C$22,MATCH(CONCATENATE("Standard Size",$P547),'[1]REMOVAL FEES'!$A$1:$A$22,0),3),IF($Y547=2,IF($P547&gt;10,(($P547-10)*1.06)+INDEX('[1]REMOVAL FEES'!$E$1:$G$22,MATCH(CONCATENATE("Large bulky, extra-large and special handling items",IF($P547&gt;=11,11,$P547)),'[1]REMOVAL FEES'!$E$1:$E$13,0),3),INDEX('[1]REMOVAL FEES'!$E$1:$G$22,MATCH(CONCATENATE("Large bulky, extra-large and special handling items",IF($P547&gt;=11,11,$P547)),'[1]REMOVAL FEES'!$E$1:$E$13,0),3))))*$AA547,FALSE)</f>
        <v>0</v>
      </c>
      <c r="AJ547" s="107">
        <f t="shared" si="107"/>
        <v>0</v>
      </c>
      <c r="AK547" s="107">
        <v>0</v>
      </c>
      <c r="AL547" s="107">
        <v>0</v>
      </c>
      <c r="AM547" s="107">
        <f t="shared" si="108"/>
        <v>0</v>
      </c>
      <c r="AN547" s="116">
        <f>(-IF($V547="Yes", IF($X547="Yes", VLOOKUP($W547, '[1]Storage Fees'!A:M, 13, FALSE), VLOOKUP($W547, '[1]Storage Fees'!A:M, 10, FALSE)), IF($X547="Yes", VLOOKUP($W547, '[1]Storage Fees'!A:M, 7, FALSE), VLOOKUP($W547, '[1]Storage Fees'!A:M, 4, FALSE))) * U547)*1.5</f>
        <v>0</v>
      </c>
    </row>
    <row r="548" spans="1:40" x14ac:dyDescent="0.25">
      <c r="A548" s="99">
        <v>476</v>
      </c>
      <c r="B548" s="99" t="s">
        <v>13705</v>
      </c>
      <c r="C548" s="99" t="s">
        <v>13655</v>
      </c>
      <c r="D548" s="99" t="s">
        <v>714</v>
      </c>
      <c r="E548" s="99" t="s">
        <v>278</v>
      </c>
      <c r="F548" s="99" t="s">
        <v>1120</v>
      </c>
      <c r="G548" s="99" t="s">
        <v>13695</v>
      </c>
      <c r="H548" s="99">
        <v>38</v>
      </c>
      <c r="I548" s="99">
        <v>7</v>
      </c>
      <c r="J548" s="99">
        <v>6</v>
      </c>
      <c r="K548" s="101" t="str">
        <f t="shared" si="96"/>
        <v>38x7x6</v>
      </c>
      <c r="L548" s="102">
        <f t="shared" si="97"/>
        <v>11.482014388489208</v>
      </c>
      <c r="M548" s="113">
        <f t="shared" si="98"/>
        <v>11.482014388489208</v>
      </c>
      <c r="N548" s="113">
        <f t="shared" si="99"/>
        <v>12</v>
      </c>
      <c r="O548" s="99">
        <v>7</v>
      </c>
      <c r="P548" s="113">
        <f t="shared" si="100"/>
        <v>12</v>
      </c>
      <c r="Q548" s="112">
        <f t="shared" si="101"/>
        <v>192</v>
      </c>
      <c r="R548" s="112" t="str">
        <f t="shared" si="102"/>
        <v>Oversize</v>
      </c>
      <c r="S548" s="99" t="str">
        <f t="shared" si="103"/>
        <v>Large bulky</v>
      </c>
      <c r="T548" s="116" t="s">
        <v>13692</v>
      </c>
      <c r="U548" s="116">
        <f t="shared" si="104"/>
        <v>0.92361111111111116</v>
      </c>
      <c r="V548" s="116" t="s">
        <v>13583</v>
      </c>
      <c r="W548" s="116" t="s">
        <v>13690</v>
      </c>
      <c r="X548" s="116" t="s">
        <v>13691</v>
      </c>
      <c r="Y548" s="116">
        <v>2</v>
      </c>
      <c r="Z548" s="116">
        <v>3</v>
      </c>
      <c r="AA548" s="116">
        <v>1</v>
      </c>
      <c r="AB548" s="99"/>
      <c r="AC548" s="99"/>
      <c r="AD548" s="107">
        <v>0</v>
      </c>
      <c r="AE548" s="113">
        <f t="shared" si="105"/>
        <v>0</v>
      </c>
      <c r="AF548" s="116">
        <f>-IFERROR(IFERROR(VLOOKUP(ROUNDUP($Q548,0),'FBA FEES'!$L$2:$Q$203,MATCH($S548,'FBA FEES'!$L$2:$Q$2,0),FALSE),VLOOKUP(ROUNDUP($Q548,0),'FBA FEES'!$C$6:$F$123,MATCH($S548,'FBA FEES'!$C$6:$F$6,0),FALSE)),0)</f>
        <v>-13.79</v>
      </c>
      <c r="AG548" s="116">
        <v>-10</v>
      </c>
      <c r="AH548" s="113">
        <f t="shared" si="106"/>
        <v>-13.79</v>
      </c>
      <c r="AI548" s="116">
        <f>-IFERROR(IF($Y548=1,INDEX('[1]REMOVAL FEES'!$A$1:$C$22,MATCH(CONCATENATE("Standard Size",$P548),'[1]REMOVAL FEES'!$A$1:$A$22,0),3),IF($Y548=2,IF($P548&gt;10,(($P548-10)*1.06)+INDEX('[1]REMOVAL FEES'!$E$1:$G$22,MATCH(CONCATENATE("Large bulky, extra-large and special handling items",IF($P548&gt;=11,11,$P548)),'[1]REMOVAL FEES'!$E$1:$E$13,0),3),INDEX('[1]REMOVAL FEES'!$E$1:$G$22,MATCH(CONCATENATE("Large bulky, extra-large and special handling items",IF($P548&gt;=11,11,$P548)),'[1]REMOVAL FEES'!$E$1:$E$13,0),3))))*$AA548,FALSE)</f>
        <v>-16.440000000000001</v>
      </c>
      <c r="AJ548" s="107">
        <f t="shared" si="107"/>
        <v>-30.23</v>
      </c>
      <c r="AK548" s="107">
        <v>0</v>
      </c>
      <c r="AL548" s="107">
        <v>0</v>
      </c>
      <c r="AM548" s="107">
        <f t="shared" si="108"/>
        <v>0</v>
      </c>
      <c r="AN548" s="116">
        <f>(-IF($V548="Yes", IF($X548="Yes", VLOOKUP($W548, '[1]Storage Fees'!A:M, 13, FALSE), VLOOKUP($W548, '[1]Storage Fees'!A:M, 10, FALSE)), IF($X548="Yes", VLOOKUP($W548, '[1]Storage Fees'!A:M, 7, FALSE), VLOOKUP($W548, '[1]Storage Fees'!A:M, 4, FALSE))) * U548)*1.5</f>
        <v>-1.0944791666666667</v>
      </c>
    </row>
    <row r="549" spans="1:40" x14ac:dyDescent="0.25">
      <c r="A549" s="99">
        <v>477</v>
      </c>
      <c r="B549" s="99"/>
      <c r="C549" s="99" t="s">
        <v>13655</v>
      </c>
      <c r="D549" s="99"/>
      <c r="E549" s="99" t="s">
        <v>163</v>
      </c>
      <c r="F549" s="99" t="s">
        <v>1945</v>
      </c>
      <c r="G549" s="99" t="s">
        <v>13695</v>
      </c>
      <c r="H549" s="99">
        <v>0</v>
      </c>
      <c r="I549" s="99">
        <v>0</v>
      </c>
      <c r="J549" s="99">
        <v>0</v>
      </c>
      <c r="K549" s="101" t="str">
        <f t="shared" si="96"/>
        <v>0x0x0</v>
      </c>
      <c r="L549" s="102">
        <f t="shared" si="97"/>
        <v>0</v>
      </c>
      <c r="M549" s="113">
        <f t="shared" si="98"/>
        <v>0</v>
      </c>
      <c r="N549" s="113">
        <f t="shared" si="99"/>
        <v>0</v>
      </c>
      <c r="O549" s="99">
        <v>0</v>
      </c>
      <c r="P549" s="113">
        <f t="shared" si="100"/>
        <v>0</v>
      </c>
      <c r="Q549" s="112">
        <f t="shared" si="101"/>
        <v>0</v>
      </c>
      <c r="R549" s="112" t="str">
        <f t="shared" si="102"/>
        <v>Standard-size</v>
      </c>
      <c r="S549" s="99" t="str">
        <f t="shared" si="103"/>
        <v>Small standard-size</v>
      </c>
      <c r="T549" s="116" t="s">
        <v>13696</v>
      </c>
      <c r="U549" s="116">
        <f t="shared" si="104"/>
        <v>0</v>
      </c>
      <c r="V549" s="116" t="s">
        <v>13583</v>
      </c>
      <c r="W549" s="116" t="s">
        <v>13690</v>
      </c>
      <c r="X549" s="99" t="s">
        <v>13583</v>
      </c>
      <c r="Y549" s="99">
        <v>1</v>
      </c>
      <c r="Z549" s="99">
        <v>1</v>
      </c>
      <c r="AA549" s="99">
        <v>1</v>
      </c>
      <c r="AB549" s="99"/>
      <c r="AC549" s="99"/>
      <c r="AD549" s="107">
        <v>0</v>
      </c>
      <c r="AE549" s="113">
        <f t="shared" si="105"/>
        <v>0</v>
      </c>
      <c r="AF549" s="116">
        <f>-IFERROR(IFERROR(VLOOKUP(ROUNDUP($Q549,0),'FBA FEES'!$L$2:$Q$203,MATCH($S549,'FBA FEES'!$L$2:$Q$2,0),FALSE),VLOOKUP(ROUNDUP($Q549,0),'FBA FEES'!$C$6:$F$123,MATCH($S549,'FBA FEES'!$C$6:$F$6,0),FALSE)),0)</f>
        <v>0</v>
      </c>
      <c r="AG549" s="116">
        <v>-10</v>
      </c>
      <c r="AH549" s="113">
        <f t="shared" si="106"/>
        <v>0</v>
      </c>
      <c r="AI549" s="116">
        <f>-IFERROR(IF($Y549=1,INDEX('[1]REMOVAL FEES'!$A$1:$C$22,MATCH(CONCATENATE("Standard Size",$P549),'[1]REMOVAL FEES'!$A$1:$A$22,0),3),IF($Y549=2,IF($P549&gt;10,(($P549-10)*1.06)+INDEX('[1]REMOVAL FEES'!$E$1:$G$22,MATCH(CONCATENATE("Large bulky, extra-large and special handling items",IF($P549&gt;=11,11,$P549)),'[1]REMOVAL FEES'!$E$1:$E$13,0),3),INDEX('[1]REMOVAL FEES'!$E$1:$G$22,MATCH(CONCATENATE("Large bulky, extra-large and special handling items",IF($P549&gt;=11,11,$P549)),'[1]REMOVAL FEES'!$E$1:$E$13,0),3))))*$AA549,FALSE)</f>
        <v>0</v>
      </c>
      <c r="AJ549" s="107">
        <f t="shared" si="107"/>
        <v>0</v>
      </c>
      <c r="AK549" s="107">
        <v>0</v>
      </c>
      <c r="AL549" s="107">
        <v>0</v>
      </c>
      <c r="AM549" s="107">
        <f t="shared" si="108"/>
        <v>0</v>
      </c>
      <c r="AN549" s="116">
        <f>(-IF($V549="Yes", IF($X549="Yes", VLOOKUP($W549, '[1]Storage Fees'!A:M, 13, FALSE), VLOOKUP($W549, '[1]Storage Fees'!A:M, 10, FALSE)), IF($X549="Yes", VLOOKUP($W549, '[1]Storage Fees'!A:M, 7, FALSE), VLOOKUP($W549, '[1]Storage Fees'!A:M, 4, FALSE))) * U549)*1.5</f>
        <v>0</v>
      </c>
    </row>
    <row r="550" spans="1:40" x14ac:dyDescent="0.25">
      <c r="A550" s="99">
        <v>478</v>
      </c>
      <c r="B550" s="99"/>
      <c r="C550" s="99" t="s">
        <v>13655</v>
      </c>
      <c r="D550" s="99"/>
      <c r="E550" s="99" t="s">
        <v>278</v>
      </c>
      <c r="F550" s="99" t="s">
        <v>1946</v>
      </c>
      <c r="G550" s="99" t="s">
        <v>13695</v>
      </c>
      <c r="H550" s="99">
        <v>0</v>
      </c>
      <c r="I550" s="99">
        <v>0</v>
      </c>
      <c r="J550" s="99">
        <v>0</v>
      </c>
      <c r="K550" s="101" t="str">
        <f t="shared" si="96"/>
        <v>0x0x0</v>
      </c>
      <c r="L550" s="102">
        <f t="shared" si="97"/>
        <v>0</v>
      </c>
      <c r="M550" s="113">
        <f t="shared" si="98"/>
        <v>0</v>
      </c>
      <c r="N550" s="113">
        <f t="shared" si="99"/>
        <v>0</v>
      </c>
      <c r="O550" s="99">
        <v>0</v>
      </c>
      <c r="P550" s="113">
        <f t="shared" si="100"/>
        <v>0</v>
      </c>
      <c r="Q550" s="112">
        <f t="shared" si="101"/>
        <v>0</v>
      </c>
      <c r="R550" s="112" t="str">
        <f t="shared" si="102"/>
        <v>Standard-size</v>
      </c>
      <c r="S550" s="99" t="str">
        <f t="shared" si="103"/>
        <v>Small standard-size</v>
      </c>
      <c r="T550" s="116" t="s">
        <v>13696</v>
      </c>
      <c r="U550" s="116">
        <f t="shared" si="104"/>
        <v>0</v>
      </c>
      <c r="V550" s="116" t="s">
        <v>13583</v>
      </c>
      <c r="W550" s="116" t="s">
        <v>13690</v>
      </c>
      <c r="X550" s="99" t="s">
        <v>13583</v>
      </c>
      <c r="Y550" s="99">
        <v>1</v>
      </c>
      <c r="Z550" s="99">
        <v>1</v>
      </c>
      <c r="AA550" s="99">
        <v>1</v>
      </c>
      <c r="AB550" s="99"/>
      <c r="AC550" s="99"/>
      <c r="AD550" s="107">
        <v>0</v>
      </c>
      <c r="AE550" s="113">
        <f t="shared" si="105"/>
        <v>0</v>
      </c>
      <c r="AF550" s="116">
        <f>-IFERROR(IFERROR(VLOOKUP(ROUNDUP($Q550,0),'FBA FEES'!$L$2:$Q$203,MATCH($S550,'FBA FEES'!$L$2:$Q$2,0),FALSE),VLOOKUP(ROUNDUP($Q550,0),'FBA FEES'!$C$6:$F$123,MATCH($S550,'FBA FEES'!$C$6:$F$6,0),FALSE)),0)</f>
        <v>0</v>
      </c>
      <c r="AG550" s="116">
        <v>-10</v>
      </c>
      <c r="AH550" s="113">
        <f t="shared" si="106"/>
        <v>0</v>
      </c>
      <c r="AI550" s="116">
        <f>-IFERROR(IF($Y550=1,INDEX('[1]REMOVAL FEES'!$A$1:$C$22,MATCH(CONCATENATE("Standard Size",$P550),'[1]REMOVAL FEES'!$A$1:$A$22,0),3),IF($Y550=2,IF($P550&gt;10,(($P550-10)*1.06)+INDEX('[1]REMOVAL FEES'!$E$1:$G$22,MATCH(CONCATENATE("Large bulky, extra-large and special handling items",IF($P550&gt;=11,11,$P550)),'[1]REMOVAL FEES'!$E$1:$E$13,0),3),INDEX('[1]REMOVAL FEES'!$E$1:$G$22,MATCH(CONCATENATE("Large bulky, extra-large and special handling items",IF($P550&gt;=11,11,$P550)),'[1]REMOVAL FEES'!$E$1:$E$13,0),3))))*$AA550,FALSE)</f>
        <v>0</v>
      </c>
      <c r="AJ550" s="107">
        <f t="shared" si="107"/>
        <v>0</v>
      </c>
      <c r="AK550" s="107">
        <v>0</v>
      </c>
      <c r="AL550" s="107">
        <v>0</v>
      </c>
      <c r="AM550" s="107">
        <f t="shared" si="108"/>
        <v>0</v>
      </c>
      <c r="AN550" s="116">
        <f>(-IF($V550="Yes", IF($X550="Yes", VLOOKUP($W550, '[1]Storage Fees'!A:M, 13, FALSE), VLOOKUP($W550, '[1]Storage Fees'!A:M, 10, FALSE)), IF($X550="Yes", VLOOKUP($W550, '[1]Storage Fees'!A:M, 7, FALSE), VLOOKUP($W550, '[1]Storage Fees'!A:M, 4, FALSE))) * U550)*1.5</f>
        <v>0</v>
      </c>
    </row>
    <row r="551" spans="1:40" x14ac:dyDescent="0.25">
      <c r="A551" s="99">
        <v>479</v>
      </c>
      <c r="B551" s="99"/>
      <c r="C551" s="99" t="s">
        <v>13655</v>
      </c>
      <c r="D551" s="99"/>
      <c r="E551" s="99" t="s">
        <v>278</v>
      </c>
      <c r="F551" s="99" t="s">
        <v>1948</v>
      </c>
      <c r="G551" s="99" t="s">
        <v>13695</v>
      </c>
      <c r="H551" s="99">
        <v>0</v>
      </c>
      <c r="I551" s="99">
        <v>0</v>
      </c>
      <c r="J551" s="99">
        <v>0</v>
      </c>
      <c r="K551" s="101" t="str">
        <f t="shared" si="96"/>
        <v>0x0x0</v>
      </c>
      <c r="L551" s="102">
        <f t="shared" si="97"/>
        <v>0</v>
      </c>
      <c r="M551" s="113">
        <f t="shared" si="98"/>
        <v>0</v>
      </c>
      <c r="N551" s="113">
        <f t="shared" si="99"/>
        <v>0</v>
      </c>
      <c r="O551" s="99">
        <v>0</v>
      </c>
      <c r="P551" s="113">
        <f t="shared" si="100"/>
        <v>0</v>
      </c>
      <c r="Q551" s="112">
        <f t="shared" si="101"/>
        <v>0</v>
      </c>
      <c r="R551" s="112" t="str">
        <f t="shared" si="102"/>
        <v>Standard-size</v>
      </c>
      <c r="S551" s="99" t="str">
        <f t="shared" si="103"/>
        <v>Small standard-size</v>
      </c>
      <c r="T551" s="116" t="s">
        <v>13696</v>
      </c>
      <c r="U551" s="116">
        <f t="shared" si="104"/>
        <v>0</v>
      </c>
      <c r="V551" s="116" t="s">
        <v>13583</v>
      </c>
      <c r="W551" s="116" t="s">
        <v>13690</v>
      </c>
      <c r="X551" s="99" t="s">
        <v>13583</v>
      </c>
      <c r="Y551" s="99">
        <v>1</v>
      </c>
      <c r="Z551" s="99">
        <v>1</v>
      </c>
      <c r="AA551" s="99">
        <v>1</v>
      </c>
      <c r="AB551" s="99"/>
      <c r="AC551" s="99"/>
      <c r="AD551" s="107">
        <v>0</v>
      </c>
      <c r="AE551" s="113">
        <f t="shared" si="105"/>
        <v>0</v>
      </c>
      <c r="AF551" s="116">
        <f>-IFERROR(IFERROR(VLOOKUP(ROUNDUP($Q551,0),'FBA FEES'!$L$2:$Q$203,MATCH($S551,'FBA FEES'!$L$2:$Q$2,0),FALSE),VLOOKUP(ROUNDUP($Q551,0),'FBA FEES'!$C$6:$F$123,MATCH($S551,'FBA FEES'!$C$6:$F$6,0),FALSE)),0)</f>
        <v>0</v>
      </c>
      <c r="AG551" s="116">
        <v>-10</v>
      </c>
      <c r="AH551" s="113">
        <f t="shared" si="106"/>
        <v>0</v>
      </c>
      <c r="AI551" s="116">
        <f>-IFERROR(IF($Y551=1,INDEX('[1]REMOVAL FEES'!$A$1:$C$22,MATCH(CONCATENATE("Standard Size",$P551),'[1]REMOVAL FEES'!$A$1:$A$22,0),3),IF($Y551=2,IF($P551&gt;10,(($P551-10)*1.06)+INDEX('[1]REMOVAL FEES'!$E$1:$G$22,MATCH(CONCATENATE("Large bulky, extra-large and special handling items",IF($P551&gt;=11,11,$P551)),'[1]REMOVAL FEES'!$E$1:$E$13,0),3),INDEX('[1]REMOVAL FEES'!$E$1:$G$22,MATCH(CONCATENATE("Large bulky, extra-large and special handling items",IF($P551&gt;=11,11,$P551)),'[1]REMOVAL FEES'!$E$1:$E$13,0),3))))*$AA551,FALSE)</f>
        <v>0</v>
      </c>
      <c r="AJ551" s="107">
        <f t="shared" si="107"/>
        <v>0</v>
      </c>
      <c r="AK551" s="107">
        <v>0</v>
      </c>
      <c r="AL551" s="107">
        <v>0</v>
      </c>
      <c r="AM551" s="107">
        <f t="shared" si="108"/>
        <v>0</v>
      </c>
      <c r="AN551" s="116">
        <f>(-IF($V551="Yes", IF($X551="Yes", VLOOKUP($W551, '[1]Storage Fees'!A:M, 13, FALSE), VLOOKUP($W551, '[1]Storage Fees'!A:M, 10, FALSE)), IF($X551="Yes", VLOOKUP($W551, '[1]Storage Fees'!A:M, 7, FALSE), VLOOKUP($W551, '[1]Storage Fees'!A:M, 4, FALSE))) * U551)*1.5</f>
        <v>0</v>
      </c>
    </row>
    <row r="552" spans="1:40" x14ac:dyDescent="0.25">
      <c r="A552" s="99">
        <v>480</v>
      </c>
      <c r="B552" s="99"/>
      <c r="C552" s="99" t="s">
        <v>13655</v>
      </c>
      <c r="D552" s="99"/>
      <c r="E552" s="99" t="s">
        <v>278</v>
      </c>
      <c r="F552" s="99" t="s">
        <v>1950</v>
      </c>
      <c r="G552" s="99" t="s">
        <v>13695</v>
      </c>
      <c r="H552" s="99">
        <v>0</v>
      </c>
      <c r="I552" s="99">
        <v>0</v>
      </c>
      <c r="J552" s="99">
        <v>0</v>
      </c>
      <c r="K552" s="101" t="str">
        <f t="shared" si="96"/>
        <v>0x0x0</v>
      </c>
      <c r="L552" s="102">
        <f t="shared" si="97"/>
        <v>0</v>
      </c>
      <c r="M552" s="113">
        <f t="shared" si="98"/>
        <v>0</v>
      </c>
      <c r="N552" s="113">
        <f t="shared" si="99"/>
        <v>0</v>
      </c>
      <c r="O552" s="99">
        <v>0</v>
      </c>
      <c r="P552" s="113">
        <f t="shared" si="100"/>
        <v>0</v>
      </c>
      <c r="Q552" s="112">
        <f t="shared" si="101"/>
        <v>0</v>
      </c>
      <c r="R552" s="112" t="str">
        <f t="shared" si="102"/>
        <v>Standard-size</v>
      </c>
      <c r="S552" s="99" t="str">
        <f t="shared" si="103"/>
        <v>Small standard-size</v>
      </c>
      <c r="T552" s="116" t="s">
        <v>13696</v>
      </c>
      <c r="U552" s="116">
        <f t="shared" si="104"/>
        <v>0</v>
      </c>
      <c r="V552" s="116" t="s">
        <v>13583</v>
      </c>
      <c r="W552" s="116" t="s">
        <v>13690</v>
      </c>
      <c r="X552" s="99" t="s">
        <v>13583</v>
      </c>
      <c r="Y552" s="99">
        <v>1</v>
      </c>
      <c r="Z552" s="99">
        <v>1</v>
      </c>
      <c r="AA552" s="99">
        <v>1</v>
      </c>
      <c r="AB552" s="99"/>
      <c r="AC552" s="99"/>
      <c r="AD552" s="107">
        <v>0</v>
      </c>
      <c r="AE552" s="113">
        <f t="shared" si="105"/>
        <v>0</v>
      </c>
      <c r="AF552" s="116">
        <f>-IFERROR(IFERROR(VLOOKUP(ROUNDUP($Q552,0),'FBA FEES'!$L$2:$Q$203,MATCH($S552,'FBA FEES'!$L$2:$Q$2,0),FALSE),VLOOKUP(ROUNDUP($Q552,0),'FBA FEES'!$C$6:$F$123,MATCH($S552,'FBA FEES'!$C$6:$F$6,0),FALSE)),0)</f>
        <v>0</v>
      </c>
      <c r="AG552" s="116">
        <v>-10</v>
      </c>
      <c r="AH552" s="113">
        <f t="shared" si="106"/>
        <v>0</v>
      </c>
      <c r="AI552" s="116">
        <f>-IFERROR(IF($Y552=1,INDEX('[1]REMOVAL FEES'!$A$1:$C$22,MATCH(CONCATENATE("Standard Size",$P552),'[1]REMOVAL FEES'!$A$1:$A$22,0),3),IF($Y552=2,IF($P552&gt;10,(($P552-10)*1.06)+INDEX('[1]REMOVAL FEES'!$E$1:$G$22,MATCH(CONCATENATE("Large bulky, extra-large and special handling items",IF($P552&gt;=11,11,$P552)),'[1]REMOVAL FEES'!$E$1:$E$13,0),3),INDEX('[1]REMOVAL FEES'!$E$1:$G$22,MATCH(CONCATENATE("Large bulky, extra-large and special handling items",IF($P552&gt;=11,11,$P552)),'[1]REMOVAL FEES'!$E$1:$E$13,0),3))))*$AA552,FALSE)</f>
        <v>0</v>
      </c>
      <c r="AJ552" s="107">
        <f t="shared" si="107"/>
        <v>0</v>
      </c>
      <c r="AK552" s="107">
        <v>0</v>
      </c>
      <c r="AL552" s="107">
        <v>0</v>
      </c>
      <c r="AM552" s="107">
        <f t="shared" si="108"/>
        <v>0</v>
      </c>
      <c r="AN552" s="116">
        <f>(-IF($V552="Yes", IF($X552="Yes", VLOOKUP($W552, '[1]Storage Fees'!A:M, 13, FALSE), VLOOKUP($W552, '[1]Storage Fees'!A:M, 10, FALSE)), IF($X552="Yes", VLOOKUP($W552, '[1]Storage Fees'!A:M, 7, FALSE), VLOOKUP($W552, '[1]Storage Fees'!A:M, 4, FALSE))) * U552)*1.5</f>
        <v>0</v>
      </c>
    </row>
    <row r="553" spans="1:40" x14ac:dyDescent="0.25">
      <c r="A553" s="99">
        <v>481</v>
      </c>
      <c r="B553" s="99"/>
      <c r="C553" s="99" t="s">
        <v>13655</v>
      </c>
      <c r="D553" s="99"/>
      <c r="E553" s="99" t="s">
        <v>358</v>
      </c>
      <c r="F553" s="99" t="s">
        <v>1952</v>
      </c>
      <c r="G553" s="99" t="s">
        <v>13695</v>
      </c>
      <c r="H553" s="99">
        <v>0</v>
      </c>
      <c r="I553" s="99">
        <v>0</v>
      </c>
      <c r="J553" s="99">
        <v>0</v>
      </c>
      <c r="K553" s="101" t="str">
        <f t="shared" si="96"/>
        <v>0x0x0</v>
      </c>
      <c r="L553" s="102">
        <f t="shared" si="97"/>
        <v>0</v>
      </c>
      <c r="M553" s="113">
        <f t="shared" si="98"/>
        <v>0</v>
      </c>
      <c r="N553" s="113">
        <f t="shared" si="99"/>
        <v>0</v>
      </c>
      <c r="O553" s="99">
        <v>0</v>
      </c>
      <c r="P553" s="113">
        <f t="shared" si="100"/>
        <v>0</v>
      </c>
      <c r="Q553" s="112">
        <f t="shared" si="101"/>
        <v>0</v>
      </c>
      <c r="R553" s="112" t="str">
        <f t="shared" si="102"/>
        <v>Standard-size</v>
      </c>
      <c r="S553" s="99" t="str">
        <f t="shared" si="103"/>
        <v>Small standard-size</v>
      </c>
      <c r="T553" s="116" t="s">
        <v>13696</v>
      </c>
      <c r="U553" s="116">
        <f t="shared" si="104"/>
        <v>0</v>
      </c>
      <c r="V553" s="116" t="s">
        <v>13583</v>
      </c>
      <c r="W553" s="116" t="s">
        <v>13690</v>
      </c>
      <c r="X553" s="99" t="s">
        <v>13583</v>
      </c>
      <c r="Y553" s="99">
        <v>1</v>
      </c>
      <c r="Z553" s="99">
        <v>1</v>
      </c>
      <c r="AA553" s="99">
        <v>1</v>
      </c>
      <c r="AB553" s="99"/>
      <c r="AC553" s="99"/>
      <c r="AD553" s="107">
        <v>0</v>
      </c>
      <c r="AE553" s="113">
        <f t="shared" si="105"/>
        <v>0</v>
      </c>
      <c r="AF553" s="116">
        <f>-IFERROR(IFERROR(VLOOKUP(ROUNDUP($Q553,0),'FBA FEES'!$L$2:$Q$203,MATCH($S553,'FBA FEES'!$L$2:$Q$2,0),FALSE),VLOOKUP(ROUNDUP($Q553,0),'FBA FEES'!$C$6:$F$123,MATCH($S553,'FBA FEES'!$C$6:$F$6,0),FALSE)),0)</f>
        <v>0</v>
      </c>
      <c r="AG553" s="116">
        <v>-10</v>
      </c>
      <c r="AH553" s="113">
        <f t="shared" si="106"/>
        <v>0</v>
      </c>
      <c r="AI553" s="116">
        <f>-IFERROR(IF($Y553=1,INDEX('[1]REMOVAL FEES'!$A$1:$C$22,MATCH(CONCATENATE("Standard Size",$P553),'[1]REMOVAL FEES'!$A$1:$A$22,0),3),IF($Y553=2,IF($P553&gt;10,(($P553-10)*1.06)+INDEX('[1]REMOVAL FEES'!$E$1:$G$22,MATCH(CONCATENATE("Large bulky, extra-large and special handling items",IF($P553&gt;=11,11,$P553)),'[1]REMOVAL FEES'!$E$1:$E$13,0),3),INDEX('[1]REMOVAL FEES'!$E$1:$G$22,MATCH(CONCATENATE("Large bulky, extra-large and special handling items",IF($P553&gt;=11,11,$P553)),'[1]REMOVAL FEES'!$E$1:$E$13,0),3))))*$AA553,FALSE)</f>
        <v>0</v>
      </c>
      <c r="AJ553" s="107">
        <f t="shared" si="107"/>
        <v>0</v>
      </c>
      <c r="AK553" s="107">
        <v>0</v>
      </c>
      <c r="AL553" s="107">
        <v>0</v>
      </c>
      <c r="AM553" s="107">
        <f t="shared" si="108"/>
        <v>0</v>
      </c>
      <c r="AN553" s="116">
        <f>(-IF($V553="Yes", IF($X553="Yes", VLOOKUP($W553, '[1]Storage Fees'!A:M, 13, FALSE), VLOOKUP($W553, '[1]Storage Fees'!A:M, 10, FALSE)), IF($X553="Yes", VLOOKUP($W553, '[1]Storage Fees'!A:M, 7, FALSE), VLOOKUP($W553, '[1]Storage Fees'!A:M, 4, FALSE))) * U553)*1.5</f>
        <v>0</v>
      </c>
    </row>
    <row r="554" spans="1:40" x14ac:dyDescent="0.25">
      <c r="A554" s="99">
        <v>482</v>
      </c>
      <c r="B554" s="99" t="s">
        <v>13700</v>
      </c>
      <c r="C554" s="99"/>
      <c r="D554" s="99"/>
      <c r="E554" s="99" t="s">
        <v>358</v>
      </c>
      <c r="F554" s="99" t="s">
        <v>356</v>
      </c>
      <c r="G554" s="99" t="s">
        <v>13695</v>
      </c>
      <c r="H554" s="99">
        <v>30</v>
      </c>
      <c r="I554" s="99">
        <v>21</v>
      </c>
      <c r="J554" s="99">
        <v>7</v>
      </c>
      <c r="K554" s="101" t="str">
        <f t="shared" si="96"/>
        <v>30x21x7</v>
      </c>
      <c r="L554" s="102">
        <f t="shared" si="97"/>
        <v>31.726618705035971</v>
      </c>
      <c r="M554" s="113">
        <f t="shared" si="98"/>
        <v>31.726618705035971</v>
      </c>
      <c r="N554" s="113">
        <f t="shared" si="99"/>
        <v>32</v>
      </c>
      <c r="O554" s="99">
        <v>14</v>
      </c>
      <c r="P554" s="113">
        <f t="shared" si="100"/>
        <v>32</v>
      </c>
      <c r="Q554" s="112">
        <f t="shared" si="101"/>
        <v>512</v>
      </c>
      <c r="R554" s="112" t="str">
        <f t="shared" si="102"/>
        <v>Oversize</v>
      </c>
      <c r="S554" s="99" t="str">
        <f t="shared" si="103"/>
        <v>Large bulky</v>
      </c>
      <c r="T554" s="116" t="s">
        <v>13694</v>
      </c>
      <c r="U554" s="116">
        <f t="shared" si="104"/>
        <v>2.5520833333333335</v>
      </c>
      <c r="V554" s="116" t="s">
        <v>13583</v>
      </c>
      <c r="W554" s="116" t="s">
        <v>13690</v>
      </c>
      <c r="X554" s="116" t="s">
        <v>13691</v>
      </c>
      <c r="Y554" s="116">
        <v>2</v>
      </c>
      <c r="Z554" s="116">
        <v>3</v>
      </c>
      <c r="AA554" s="116">
        <v>1</v>
      </c>
      <c r="AB554" s="99"/>
      <c r="AC554" s="99"/>
      <c r="AD554" s="107">
        <v>96.497913599999862</v>
      </c>
      <c r="AE554" s="113">
        <f t="shared" si="105"/>
        <v>-14.474687039999978</v>
      </c>
      <c r="AF554" s="116">
        <f>-IFERROR(IFERROR(VLOOKUP(ROUNDUP($Q554,0),'FBA FEES'!$L$2:$Q$203,MATCH($S554,'FBA FEES'!$L$2:$Q$2,0),FALSE),VLOOKUP(ROUNDUP($Q554,0),'FBA FEES'!$C$6:$F$123,MATCH($S554,'FBA FEES'!$C$6:$F$6,0),FALSE)),0)</f>
        <v>-21.39</v>
      </c>
      <c r="AG554" s="116">
        <v>-10</v>
      </c>
      <c r="AH554" s="113">
        <f t="shared" si="106"/>
        <v>-35.864687039999978</v>
      </c>
      <c r="AI554" s="116">
        <f>-IFERROR(IF($Y554=1,INDEX('[1]REMOVAL FEES'!$A$1:$C$22,MATCH(CONCATENATE("Standard Size",$P554),'[1]REMOVAL FEES'!$A$1:$A$22,0),3),IF($Y554=2,IF($P554&gt;10,(($P554-10)*1.06)+INDEX('[1]REMOVAL FEES'!$E$1:$G$22,MATCH(CONCATENATE("Large bulky, extra-large and special handling items",IF($P554&gt;=11,11,$P554)),'[1]REMOVAL FEES'!$E$1:$E$13,0),3),INDEX('[1]REMOVAL FEES'!$E$1:$G$22,MATCH(CONCATENATE("Large bulky, extra-large and special handling items",IF($P554&gt;=11,11,$P554)),'[1]REMOVAL FEES'!$E$1:$E$13,0),3))))*$AA554,FALSE)</f>
        <v>-37.64</v>
      </c>
      <c r="AJ554" s="107">
        <f t="shared" si="107"/>
        <v>-73.504687039999979</v>
      </c>
      <c r="AK554" s="107">
        <v>-40.328960000000031</v>
      </c>
      <c r="AL554" s="107">
        <v>-11.351660563779349</v>
      </c>
      <c r="AM554" s="107">
        <f t="shared" si="108"/>
        <v>-51.680620563779378</v>
      </c>
      <c r="AN554" s="116">
        <f>(-IF($V554="Yes", IF($X554="Yes", VLOOKUP($W554, '[1]Storage Fees'!A:M, 13, FALSE), VLOOKUP($W554, '[1]Storage Fees'!A:M, 10, FALSE)), IF($X554="Yes", VLOOKUP($W554, '[1]Storage Fees'!A:M, 7, FALSE), VLOOKUP($W554, '[1]Storage Fees'!A:M, 4, FALSE))) * U554)*1.5</f>
        <v>-3.0242187500000006</v>
      </c>
    </row>
    <row r="555" spans="1:40" x14ac:dyDescent="0.25">
      <c r="A555" s="99">
        <v>483</v>
      </c>
      <c r="B555" s="99" t="s">
        <v>13700</v>
      </c>
      <c r="C555" s="99"/>
      <c r="D555" s="99"/>
      <c r="E555" s="99" t="s">
        <v>358</v>
      </c>
      <c r="F555" s="99" t="s">
        <v>360</v>
      </c>
      <c r="G555" s="99" t="s">
        <v>13695</v>
      </c>
      <c r="H555" s="99">
        <v>32</v>
      </c>
      <c r="I555" s="99">
        <v>18</v>
      </c>
      <c r="J555" s="99">
        <v>7</v>
      </c>
      <c r="K555" s="101" t="str">
        <f t="shared" si="96"/>
        <v>32x18x7</v>
      </c>
      <c r="L555" s="102">
        <f t="shared" si="97"/>
        <v>29.007194244604317</v>
      </c>
      <c r="M555" s="113">
        <f t="shared" si="98"/>
        <v>29.007194244604317</v>
      </c>
      <c r="N555" s="113">
        <f t="shared" si="99"/>
        <v>30</v>
      </c>
      <c r="O555" s="99">
        <v>15</v>
      </c>
      <c r="P555" s="113">
        <f t="shared" si="100"/>
        <v>30</v>
      </c>
      <c r="Q555" s="112">
        <f t="shared" si="101"/>
        <v>480</v>
      </c>
      <c r="R555" s="112" t="str">
        <f t="shared" si="102"/>
        <v>Oversize</v>
      </c>
      <c r="S555" s="99" t="str">
        <f t="shared" si="103"/>
        <v>Large bulky</v>
      </c>
      <c r="T555" s="116" t="s">
        <v>13692</v>
      </c>
      <c r="U555" s="116">
        <f t="shared" si="104"/>
        <v>2.3333333333333335</v>
      </c>
      <c r="V555" s="116" t="s">
        <v>13583</v>
      </c>
      <c r="W555" s="116" t="s">
        <v>13690</v>
      </c>
      <c r="X555" s="116" t="s">
        <v>13691</v>
      </c>
      <c r="Y555" s="116">
        <v>2</v>
      </c>
      <c r="Z555" s="116">
        <v>3</v>
      </c>
      <c r="AA555" s="116">
        <v>1</v>
      </c>
      <c r="AB555" s="99"/>
      <c r="AC555" s="99"/>
      <c r="AD555" s="107">
        <v>124.6898039215685</v>
      </c>
      <c r="AE555" s="113">
        <f t="shared" si="105"/>
        <v>-18.703470588235273</v>
      </c>
      <c r="AF555" s="116">
        <f>-IFERROR(IFERROR(VLOOKUP(ROUNDUP($Q555,0),'FBA FEES'!$L$2:$Q$203,MATCH($S555,'FBA FEES'!$L$2:$Q$2,0),FALSE),VLOOKUP(ROUNDUP($Q555,0),'FBA FEES'!$C$6:$F$123,MATCH($S555,'FBA FEES'!$C$6:$F$6,0),FALSE)),0)</f>
        <v>-20.63</v>
      </c>
      <c r="AG555" s="116">
        <v>-10</v>
      </c>
      <c r="AH555" s="113">
        <f t="shared" si="106"/>
        <v>-39.333470588235272</v>
      </c>
      <c r="AI555" s="116">
        <f>-IFERROR(IF($Y555=1,INDEX('[1]REMOVAL FEES'!$A$1:$C$22,MATCH(CONCATENATE("Standard Size",$P555),'[1]REMOVAL FEES'!$A$1:$A$22,0),3),IF($Y555=2,IF($P555&gt;10,(($P555-10)*1.06)+INDEX('[1]REMOVAL FEES'!$E$1:$G$22,MATCH(CONCATENATE("Large bulky, extra-large and special handling items",IF($P555&gt;=11,11,$P555)),'[1]REMOVAL FEES'!$E$1:$E$13,0),3),INDEX('[1]REMOVAL FEES'!$E$1:$G$22,MATCH(CONCATENATE("Large bulky, extra-large and special handling items",IF($P555&gt;=11,11,$P555)),'[1]REMOVAL FEES'!$E$1:$E$13,0),3))))*$AA555,FALSE)</f>
        <v>-35.520000000000003</v>
      </c>
      <c r="AJ555" s="107">
        <f t="shared" si="107"/>
        <v>-74.853470588235268</v>
      </c>
      <c r="AK555" s="107">
        <v>-50.355686274509807</v>
      </c>
      <c r="AL555" s="107">
        <v>-12.27000762527233</v>
      </c>
      <c r="AM555" s="107">
        <f t="shared" si="108"/>
        <v>-62.625693899782135</v>
      </c>
      <c r="AN555" s="116">
        <f>(-IF($V555="Yes", IF($X555="Yes", VLOOKUP($W555, '[1]Storage Fees'!A:M, 13, FALSE), VLOOKUP($W555, '[1]Storage Fees'!A:M, 10, FALSE)), IF($X555="Yes", VLOOKUP($W555, '[1]Storage Fees'!A:M, 7, FALSE), VLOOKUP($W555, '[1]Storage Fees'!A:M, 4, FALSE))) * U555)*1.5</f>
        <v>-2.7650000000000001</v>
      </c>
    </row>
    <row r="556" spans="1:40" x14ac:dyDescent="0.25">
      <c r="A556" s="99">
        <v>484</v>
      </c>
      <c r="B556" s="99" t="s">
        <v>13700</v>
      </c>
      <c r="C556" s="99"/>
      <c r="D556" s="99"/>
      <c r="E556" s="99" t="s">
        <v>358</v>
      </c>
      <c r="F556" s="99" t="s">
        <v>362</v>
      </c>
      <c r="G556" s="99" t="s">
        <v>13695</v>
      </c>
      <c r="H556" s="99">
        <v>30</v>
      </c>
      <c r="I556" s="99">
        <v>26</v>
      </c>
      <c r="J556" s="99">
        <v>7</v>
      </c>
      <c r="K556" s="101" t="str">
        <f t="shared" si="96"/>
        <v>30x26x7</v>
      </c>
      <c r="L556" s="102">
        <f t="shared" si="97"/>
        <v>39.280575539568346</v>
      </c>
      <c r="M556" s="113">
        <f t="shared" si="98"/>
        <v>39.280575539568346</v>
      </c>
      <c r="N556" s="113">
        <f t="shared" si="99"/>
        <v>40</v>
      </c>
      <c r="O556" s="99">
        <v>27</v>
      </c>
      <c r="P556" s="113">
        <f t="shared" si="100"/>
        <v>40</v>
      </c>
      <c r="Q556" s="112">
        <f t="shared" si="101"/>
        <v>640</v>
      </c>
      <c r="R556" s="112" t="str">
        <f t="shared" si="102"/>
        <v>Oversize</v>
      </c>
      <c r="S556" s="99" t="str">
        <f t="shared" si="103"/>
        <v>Large bulky</v>
      </c>
      <c r="T556" s="116" t="s">
        <v>13694</v>
      </c>
      <c r="U556" s="116">
        <f t="shared" si="104"/>
        <v>3.1597222222222223</v>
      </c>
      <c r="V556" s="116" t="s">
        <v>13583</v>
      </c>
      <c r="W556" s="116" t="s">
        <v>13690</v>
      </c>
      <c r="X556" s="116" t="s">
        <v>13691</v>
      </c>
      <c r="Y556" s="116">
        <v>2</v>
      </c>
      <c r="Z556" s="116">
        <v>3</v>
      </c>
      <c r="AA556" s="116">
        <v>1</v>
      </c>
      <c r="AB556" s="99"/>
      <c r="AC556" s="99"/>
      <c r="AD556" s="107">
        <v>163.58264369064881</v>
      </c>
      <c r="AE556" s="113">
        <f t="shared" si="105"/>
        <v>-24.537396553597322</v>
      </c>
      <c r="AF556" s="116">
        <f>-IFERROR(IFERROR(VLOOKUP(ROUNDUP($Q556,0),'FBA FEES'!$L$2:$Q$203,MATCH($S556,'FBA FEES'!$L$2:$Q$2,0),FALSE),VLOOKUP(ROUNDUP($Q556,0),'FBA FEES'!$C$6:$F$123,MATCH($S556,'FBA FEES'!$C$6:$F$6,0),FALSE)),0)</f>
        <v>-24.43</v>
      </c>
      <c r="AG556" s="116">
        <v>-10</v>
      </c>
      <c r="AH556" s="113">
        <f t="shared" si="106"/>
        <v>-48.967396553597325</v>
      </c>
      <c r="AI556" s="116">
        <f>-IFERROR(IF($Y556=1,INDEX('[1]REMOVAL FEES'!$A$1:$C$22,MATCH(CONCATENATE("Standard Size",$P556),'[1]REMOVAL FEES'!$A$1:$A$22,0),3),IF($Y556=2,IF($P556&gt;10,(($P556-10)*1.06)+INDEX('[1]REMOVAL FEES'!$E$1:$G$22,MATCH(CONCATENATE("Large bulky, extra-large and special handling items",IF($P556&gt;=11,11,$P556)),'[1]REMOVAL FEES'!$E$1:$E$13,0),3),INDEX('[1]REMOVAL FEES'!$E$1:$G$22,MATCH(CONCATENATE("Large bulky, extra-large and special handling items",IF($P556&gt;=11,11,$P556)),'[1]REMOVAL FEES'!$E$1:$E$13,0),3))))*$AA556,FALSE)</f>
        <v>-46.120000000000005</v>
      </c>
      <c r="AJ556" s="107">
        <f t="shared" si="107"/>
        <v>-95.08739655359733</v>
      </c>
      <c r="AK556" s="107">
        <v>-85.985405405405075</v>
      </c>
      <c r="AL556" s="107">
        <v>-11.12399055744347</v>
      </c>
      <c r="AM556" s="107">
        <f t="shared" si="108"/>
        <v>-97.109395962848538</v>
      </c>
      <c r="AN556" s="116">
        <f>(-IF($V556="Yes", IF($X556="Yes", VLOOKUP($W556, '[1]Storage Fees'!A:M, 13, FALSE), VLOOKUP($W556, '[1]Storage Fees'!A:M, 10, FALSE)), IF($X556="Yes", VLOOKUP($W556, '[1]Storage Fees'!A:M, 7, FALSE), VLOOKUP($W556, '[1]Storage Fees'!A:M, 4, FALSE))) * U556)*1.5</f>
        <v>-3.7442708333333332</v>
      </c>
    </row>
    <row r="557" spans="1:40" x14ac:dyDescent="0.25">
      <c r="A557" s="99">
        <v>485</v>
      </c>
      <c r="B557" s="99"/>
      <c r="C557" s="99" t="s">
        <v>13655</v>
      </c>
      <c r="D557" s="99"/>
      <c r="E557" s="99" t="s">
        <v>358</v>
      </c>
      <c r="F557" s="99" t="s">
        <v>1955</v>
      </c>
      <c r="G557" s="99" t="s">
        <v>13656</v>
      </c>
      <c r="H557" s="99">
        <v>0</v>
      </c>
      <c r="I557" s="99">
        <v>0</v>
      </c>
      <c r="J557" s="99">
        <v>0</v>
      </c>
      <c r="K557" s="101" t="str">
        <f t="shared" si="96"/>
        <v>0x0x0</v>
      </c>
      <c r="L557" s="102">
        <f t="shared" si="97"/>
        <v>0</v>
      </c>
      <c r="M557" s="113">
        <f t="shared" si="98"/>
        <v>0</v>
      </c>
      <c r="N557" s="113">
        <f t="shared" si="99"/>
        <v>0</v>
      </c>
      <c r="O557" s="99">
        <v>0</v>
      </c>
      <c r="P557" s="113">
        <f t="shared" si="100"/>
        <v>0</v>
      </c>
      <c r="Q557" s="112">
        <f t="shared" si="101"/>
        <v>0</v>
      </c>
      <c r="R557" s="112" t="str">
        <f t="shared" si="102"/>
        <v>Standard-size</v>
      </c>
      <c r="S557" s="99" t="str">
        <f t="shared" si="103"/>
        <v>Small standard-size</v>
      </c>
      <c r="T557" s="116" t="s">
        <v>13696</v>
      </c>
      <c r="U557" s="116">
        <f t="shared" si="104"/>
        <v>0</v>
      </c>
      <c r="V557" s="116" t="s">
        <v>13583</v>
      </c>
      <c r="W557" s="116" t="s">
        <v>13690</v>
      </c>
      <c r="X557" s="99" t="s">
        <v>13583</v>
      </c>
      <c r="Y557" s="99">
        <v>1</v>
      </c>
      <c r="Z557" s="99">
        <v>1</v>
      </c>
      <c r="AA557" s="99">
        <v>1</v>
      </c>
      <c r="AB557" s="99"/>
      <c r="AC557" s="99"/>
      <c r="AD557" s="107">
        <v>57.759230769230768</v>
      </c>
      <c r="AE557" s="113">
        <f t="shared" si="105"/>
        <v>-8.6638846153846156</v>
      </c>
      <c r="AF557" s="116">
        <f>-IFERROR(IFERROR(VLOOKUP(ROUNDUP($Q557,0),'FBA FEES'!$L$2:$Q$203,MATCH($S557,'FBA FEES'!$L$2:$Q$2,0),FALSE),VLOOKUP(ROUNDUP($Q557,0),'FBA FEES'!$C$6:$F$123,MATCH($S557,'FBA FEES'!$C$6:$F$6,0),FALSE)),0)</f>
        <v>0</v>
      </c>
      <c r="AG557" s="116">
        <v>-10</v>
      </c>
      <c r="AH557" s="113">
        <f t="shared" si="106"/>
        <v>-8.6638846153846156</v>
      </c>
      <c r="AI557" s="116">
        <f>-IFERROR(IF($Y557=1,INDEX('[1]REMOVAL FEES'!$A$1:$C$22,MATCH(CONCATENATE("Standard Size",$P557),'[1]REMOVAL FEES'!$A$1:$A$22,0),3),IF($Y557=2,IF($P557&gt;10,(($P557-10)*1.06)+INDEX('[1]REMOVAL FEES'!$E$1:$G$22,MATCH(CONCATENATE("Large bulky, extra-large and special handling items",IF($P557&gt;=11,11,$P557)),'[1]REMOVAL FEES'!$E$1:$E$13,0),3),INDEX('[1]REMOVAL FEES'!$E$1:$G$22,MATCH(CONCATENATE("Large bulky, extra-large and special handling items",IF($P557&gt;=11,11,$P557)),'[1]REMOVAL FEES'!$E$1:$E$13,0),3))))*$AA557,FALSE)</f>
        <v>0</v>
      </c>
      <c r="AJ557" s="107">
        <f t="shared" si="107"/>
        <v>-8.6638846153846156</v>
      </c>
      <c r="AK557" s="107">
        <v>-29</v>
      </c>
      <c r="AL557" s="107">
        <v>-8.2983333333333338</v>
      </c>
      <c r="AM557" s="107">
        <f t="shared" si="108"/>
        <v>-37.298333333333332</v>
      </c>
      <c r="AN557" s="116">
        <f>(-IF($V557="Yes", IF($X557="Yes", VLOOKUP($W557, '[1]Storage Fees'!A:M, 13, FALSE), VLOOKUP($W557, '[1]Storage Fees'!A:M, 10, FALSE)), IF($X557="Yes", VLOOKUP($W557, '[1]Storage Fees'!A:M, 7, FALSE), VLOOKUP($W557, '[1]Storage Fees'!A:M, 4, FALSE))) * U557)*1.5</f>
        <v>0</v>
      </c>
    </row>
    <row r="558" spans="1:40" x14ac:dyDescent="0.25">
      <c r="A558" s="99">
        <v>486</v>
      </c>
      <c r="B558" s="99" t="s">
        <v>13700</v>
      </c>
      <c r="C558" s="99" t="s">
        <v>13655</v>
      </c>
      <c r="D558" s="99" t="s">
        <v>1125</v>
      </c>
      <c r="E558" s="99" t="s">
        <v>358</v>
      </c>
      <c r="F558" s="99" t="s">
        <v>1123</v>
      </c>
      <c r="G558" s="99" t="s">
        <v>13695</v>
      </c>
      <c r="H558" s="99">
        <v>18</v>
      </c>
      <c r="I558" s="99">
        <v>17</v>
      </c>
      <c r="J558" s="99">
        <v>8</v>
      </c>
      <c r="K558" s="101" t="str">
        <f t="shared" si="96"/>
        <v>18x17x8</v>
      </c>
      <c r="L558" s="102">
        <f t="shared" si="97"/>
        <v>17.611510791366907</v>
      </c>
      <c r="M558" s="113">
        <f t="shared" si="98"/>
        <v>17.611510791366907</v>
      </c>
      <c r="N558" s="113">
        <f t="shared" si="99"/>
        <v>18</v>
      </c>
      <c r="O558" s="99">
        <v>15</v>
      </c>
      <c r="P558" s="113">
        <f t="shared" si="100"/>
        <v>18</v>
      </c>
      <c r="Q558" s="112">
        <f t="shared" si="101"/>
        <v>288</v>
      </c>
      <c r="R558" s="112" t="str">
        <f t="shared" si="102"/>
        <v>Oversize</v>
      </c>
      <c r="S558" s="99" t="str">
        <f t="shared" si="103"/>
        <v>Large bulky</v>
      </c>
      <c r="T558" s="116" t="s">
        <v>13692</v>
      </c>
      <c r="U558" s="116">
        <f t="shared" si="104"/>
        <v>1.4166666666666667</v>
      </c>
      <c r="V558" s="116" t="s">
        <v>13583</v>
      </c>
      <c r="W558" s="116" t="s">
        <v>13690</v>
      </c>
      <c r="X558" s="116" t="s">
        <v>13691</v>
      </c>
      <c r="Y558" s="116">
        <v>2</v>
      </c>
      <c r="Z558" s="116">
        <v>3</v>
      </c>
      <c r="AA558" s="116">
        <v>1</v>
      </c>
      <c r="AB558" s="99"/>
      <c r="AC558" s="99"/>
      <c r="AD558" s="107">
        <v>70.489999999999995</v>
      </c>
      <c r="AE558" s="113">
        <f t="shared" si="105"/>
        <v>-10.573499999999999</v>
      </c>
      <c r="AF558" s="116">
        <f>-IFERROR(IFERROR(VLOOKUP(ROUNDUP($Q558,0),'FBA FEES'!$L$2:$Q$203,MATCH($S558,'FBA FEES'!$L$2:$Q$2,0),FALSE),VLOOKUP(ROUNDUP($Q558,0),'FBA FEES'!$C$6:$F$123,MATCH($S558,'FBA FEES'!$C$6:$F$6,0),FALSE)),0)</f>
        <v>-16.07</v>
      </c>
      <c r="AG558" s="116">
        <v>-10</v>
      </c>
      <c r="AH558" s="113">
        <f t="shared" si="106"/>
        <v>-26.6435</v>
      </c>
      <c r="AI558" s="116">
        <f>-IFERROR(IF($Y558=1,INDEX('[1]REMOVAL FEES'!$A$1:$C$22,MATCH(CONCATENATE("Standard Size",$P558),'[1]REMOVAL FEES'!$A$1:$A$22,0),3),IF($Y558=2,IF($P558&gt;10,(($P558-10)*1.06)+INDEX('[1]REMOVAL FEES'!$E$1:$G$22,MATCH(CONCATENATE("Large bulky, extra-large and special handling items",IF($P558&gt;=11,11,$P558)),'[1]REMOVAL FEES'!$E$1:$E$13,0),3),INDEX('[1]REMOVAL FEES'!$E$1:$G$22,MATCH(CONCATENATE("Large bulky, extra-large and special handling items",IF($P558&gt;=11,11,$P558)),'[1]REMOVAL FEES'!$E$1:$E$13,0),3))))*$AA558,FALSE)</f>
        <v>-22.8</v>
      </c>
      <c r="AJ558" s="107">
        <f t="shared" si="107"/>
        <v>-49.4435</v>
      </c>
      <c r="AK558" s="107">
        <v>-34.336666666666673</v>
      </c>
      <c r="AL558" s="107">
        <v>-9.2872222222222245</v>
      </c>
      <c r="AM558" s="107">
        <f t="shared" si="108"/>
        <v>-43.623888888888899</v>
      </c>
      <c r="AN558" s="116">
        <f>(-IF($V558="Yes", IF($X558="Yes", VLOOKUP($W558, '[1]Storage Fees'!A:M, 13, FALSE), VLOOKUP($W558, '[1]Storage Fees'!A:M, 10, FALSE)), IF($X558="Yes", VLOOKUP($W558, '[1]Storage Fees'!A:M, 7, FALSE), VLOOKUP($W558, '[1]Storage Fees'!A:M, 4, FALSE))) * U558)*1.5</f>
        <v>-1.6787500000000004</v>
      </c>
    </row>
    <row r="559" spans="1:40" x14ac:dyDescent="0.25">
      <c r="A559" s="99">
        <v>487</v>
      </c>
      <c r="B559" s="99" t="s">
        <v>13705</v>
      </c>
      <c r="C559" s="99" t="s">
        <v>13655</v>
      </c>
      <c r="D559" s="99" t="s">
        <v>1047</v>
      </c>
      <c r="E559" s="99" t="s">
        <v>278</v>
      </c>
      <c r="F559" s="99" t="s">
        <v>1127</v>
      </c>
      <c r="G559" s="99" t="s">
        <v>13695</v>
      </c>
      <c r="H559" s="99">
        <v>27</v>
      </c>
      <c r="I559" s="99">
        <v>19</v>
      </c>
      <c r="J559" s="99">
        <v>6</v>
      </c>
      <c r="K559" s="101" t="str">
        <f t="shared" si="96"/>
        <v>27x19x6</v>
      </c>
      <c r="L559" s="102">
        <f t="shared" si="97"/>
        <v>22.14388489208633</v>
      </c>
      <c r="M559" s="113">
        <f t="shared" si="98"/>
        <v>22.14388489208633</v>
      </c>
      <c r="N559" s="113">
        <f t="shared" si="99"/>
        <v>23</v>
      </c>
      <c r="O559" s="99">
        <v>40</v>
      </c>
      <c r="P559" s="113">
        <f t="shared" si="100"/>
        <v>40</v>
      </c>
      <c r="Q559" s="112">
        <f t="shared" si="101"/>
        <v>640</v>
      </c>
      <c r="R559" s="112" t="str">
        <f t="shared" si="102"/>
        <v>Oversize</v>
      </c>
      <c r="S559" s="99" t="str">
        <f t="shared" si="103"/>
        <v>Large bulky</v>
      </c>
      <c r="T559" s="116" t="s">
        <v>13694</v>
      </c>
      <c r="U559" s="116">
        <f t="shared" si="104"/>
        <v>1.78125</v>
      </c>
      <c r="V559" s="116" t="s">
        <v>13583</v>
      </c>
      <c r="W559" s="116" t="s">
        <v>13690</v>
      </c>
      <c r="X559" s="116" t="s">
        <v>13691</v>
      </c>
      <c r="Y559" s="116">
        <v>2</v>
      </c>
      <c r="Z559" s="116">
        <v>3</v>
      </c>
      <c r="AA559" s="116">
        <v>1</v>
      </c>
      <c r="AB559" s="99"/>
      <c r="AC559" s="99"/>
      <c r="AD559" s="107">
        <v>0</v>
      </c>
      <c r="AE559" s="113">
        <f t="shared" si="105"/>
        <v>0</v>
      </c>
      <c r="AF559" s="116">
        <f>-IFERROR(IFERROR(VLOOKUP(ROUNDUP($Q559,0),'FBA FEES'!$L$2:$Q$203,MATCH($S559,'FBA FEES'!$L$2:$Q$2,0),FALSE),VLOOKUP(ROUNDUP($Q559,0),'FBA FEES'!$C$6:$F$123,MATCH($S559,'FBA FEES'!$C$6:$F$6,0),FALSE)),0)</f>
        <v>-24.43</v>
      </c>
      <c r="AG559" s="116">
        <v>-10</v>
      </c>
      <c r="AH559" s="113">
        <f t="shared" si="106"/>
        <v>-24.43</v>
      </c>
      <c r="AI559" s="116">
        <f>-IFERROR(IF($Y559=1,INDEX('[1]REMOVAL FEES'!$A$1:$C$22,MATCH(CONCATENATE("Standard Size",$P559),'[1]REMOVAL FEES'!$A$1:$A$22,0),3),IF($Y559=2,IF($P559&gt;10,(($P559-10)*1.06)+INDEX('[1]REMOVAL FEES'!$E$1:$G$22,MATCH(CONCATENATE("Large bulky, extra-large and special handling items",IF($P559&gt;=11,11,$P559)),'[1]REMOVAL FEES'!$E$1:$E$13,0),3),INDEX('[1]REMOVAL FEES'!$E$1:$G$22,MATCH(CONCATENATE("Large bulky, extra-large and special handling items",IF($P559&gt;=11,11,$P559)),'[1]REMOVAL FEES'!$E$1:$E$13,0),3))))*$AA559,FALSE)</f>
        <v>-46.120000000000005</v>
      </c>
      <c r="AJ559" s="107">
        <f t="shared" si="107"/>
        <v>-70.550000000000011</v>
      </c>
      <c r="AK559" s="107">
        <v>0</v>
      </c>
      <c r="AL559" s="107">
        <v>0</v>
      </c>
      <c r="AM559" s="107">
        <f t="shared" si="108"/>
        <v>0</v>
      </c>
      <c r="AN559" s="116">
        <f>(-IF($V559="Yes", IF($X559="Yes", VLOOKUP($W559, '[1]Storage Fees'!A:M, 13, FALSE), VLOOKUP($W559, '[1]Storage Fees'!A:M, 10, FALSE)), IF($X559="Yes", VLOOKUP($W559, '[1]Storage Fees'!A:M, 7, FALSE), VLOOKUP($W559, '[1]Storage Fees'!A:M, 4, FALSE))) * U559)*1.5</f>
        <v>-2.1107812500000001</v>
      </c>
    </row>
    <row r="560" spans="1:40" x14ac:dyDescent="0.25">
      <c r="A560" s="99">
        <v>488</v>
      </c>
      <c r="B560" s="99" t="s">
        <v>13705</v>
      </c>
      <c r="C560" s="99" t="s">
        <v>13655</v>
      </c>
      <c r="D560" s="99" t="s">
        <v>714</v>
      </c>
      <c r="E560" s="99" t="s">
        <v>278</v>
      </c>
      <c r="F560" s="99" t="s">
        <v>1130</v>
      </c>
      <c r="G560" s="99" t="s">
        <v>13695</v>
      </c>
      <c r="H560" s="99">
        <v>49</v>
      </c>
      <c r="I560" s="99">
        <v>7</v>
      </c>
      <c r="J560" s="99">
        <v>1</v>
      </c>
      <c r="K560" s="101" t="str">
        <f t="shared" si="96"/>
        <v>49x7x1</v>
      </c>
      <c r="L560" s="102">
        <f t="shared" si="97"/>
        <v>2.4676258992805757</v>
      </c>
      <c r="M560" s="113">
        <f t="shared" si="98"/>
        <v>2.4676258992805757</v>
      </c>
      <c r="N560" s="113">
        <f t="shared" si="99"/>
        <v>3</v>
      </c>
      <c r="O560" s="99">
        <v>32</v>
      </c>
      <c r="P560" s="113">
        <f t="shared" si="100"/>
        <v>32</v>
      </c>
      <c r="Q560" s="112">
        <f t="shared" si="101"/>
        <v>512</v>
      </c>
      <c r="R560" s="112" t="str">
        <f t="shared" si="102"/>
        <v>Oversize</v>
      </c>
      <c r="S560" s="99" t="str">
        <f t="shared" si="103"/>
        <v>Large bulky</v>
      </c>
      <c r="T560" s="116" t="s">
        <v>13694</v>
      </c>
      <c r="U560" s="116">
        <f t="shared" si="104"/>
        <v>0.19849537037037038</v>
      </c>
      <c r="V560" s="116" t="s">
        <v>13583</v>
      </c>
      <c r="W560" s="116" t="s">
        <v>13690</v>
      </c>
      <c r="X560" s="116" t="s">
        <v>13691</v>
      </c>
      <c r="Y560" s="116">
        <v>2</v>
      </c>
      <c r="Z560" s="116">
        <v>3</v>
      </c>
      <c r="AA560" s="116">
        <v>1</v>
      </c>
      <c r="AB560" s="99"/>
      <c r="AC560" s="99"/>
      <c r="AD560" s="107">
        <v>0</v>
      </c>
      <c r="AE560" s="113">
        <f t="shared" si="105"/>
        <v>0</v>
      </c>
      <c r="AF560" s="116">
        <f>-IFERROR(IFERROR(VLOOKUP(ROUNDUP($Q560,0),'FBA FEES'!$L$2:$Q$203,MATCH($S560,'FBA FEES'!$L$2:$Q$2,0),FALSE),VLOOKUP(ROUNDUP($Q560,0),'FBA FEES'!$C$6:$F$123,MATCH($S560,'FBA FEES'!$C$6:$F$6,0),FALSE)),0)</f>
        <v>-21.39</v>
      </c>
      <c r="AG560" s="116">
        <v>-10</v>
      </c>
      <c r="AH560" s="113">
        <f t="shared" si="106"/>
        <v>-21.39</v>
      </c>
      <c r="AI560" s="116">
        <f>-IFERROR(IF($Y560=1,INDEX('[1]REMOVAL FEES'!$A$1:$C$22,MATCH(CONCATENATE("Standard Size",$P560),'[1]REMOVAL FEES'!$A$1:$A$22,0),3),IF($Y560=2,IF($P560&gt;10,(($P560-10)*1.06)+INDEX('[1]REMOVAL FEES'!$E$1:$G$22,MATCH(CONCATENATE("Large bulky, extra-large and special handling items",IF($P560&gt;=11,11,$P560)),'[1]REMOVAL FEES'!$E$1:$E$13,0),3),INDEX('[1]REMOVAL FEES'!$E$1:$G$22,MATCH(CONCATENATE("Large bulky, extra-large and special handling items",IF($P560&gt;=11,11,$P560)),'[1]REMOVAL FEES'!$E$1:$E$13,0),3))))*$AA560,FALSE)</f>
        <v>-37.64</v>
      </c>
      <c r="AJ560" s="107">
        <f t="shared" si="107"/>
        <v>-59.03</v>
      </c>
      <c r="AK560" s="107">
        <v>0</v>
      </c>
      <c r="AL560" s="107">
        <v>0</v>
      </c>
      <c r="AM560" s="107">
        <f t="shared" si="108"/>
        <v>0</v>
      </c>
      <c r="AN560" s="116">
        <f>(-IF($V560="Yes", IF($X560="Yes", VLOOKUP($W560, '[1]Storage Fees'!A:M, 13, FALSE), VLOOKUP($W560, '[1]Storage Fees'!A:M, 10, FALSE)), IF($X560="Yes", VLOOKUP($W560, '[1]Storage Fees'!A:M, 7, FALSE), VLOOKUP($W560, '[1]Storage Fees'!A:M, 4, FALSE))) * U560)*1.5</f>
        <v>-0.23521701388888891</v>
      </c>
    </row>
    <row r="561" spans="1:40" x14ac:dyDescent="0.25">
      <c r="A561" s="99">
        <v>489</v>
      </c>
      <c r="B561" s="99"/>
      <c r="C561" s="99" t="s">
        <v>13655</v>
      </c>
      <c r="D561" s="99"/>
      <c r="E561" s="99" t="s">
        <v>166</v>
      </c>
      <c r="F561" s="99" t="s">
        <v>1958</v>
      </c>
      <c r="G561" s="99" t="s">
        <v>13695</v>
      </c>
      <c r="H561" s="99">
        <v>0</v>
      </c>
      <c r="I561" s="99">
        <v>0</v>
      </c>
      <c r="J561" s="99">
        <v>0</v>
      </c>
      <c r="K561" s="101" t="str">
        <f t="shared" si="96"/>
        <v>0x0x0</v>
      </c>
      <c r="L561" s="102">
        <f t="shared" si="97"/>
        <v>0</v>
      </c>
      <c r="M561" s="113">
        <f t="shared" si="98"/>
        <v>0</v>
      </c>
      <c r="N561" s="113">
        <f t="shared" si="99"/>
        <v>0</v>
      </c>
      <c r="O561" s="99">
        <v>0</v>
      </c>
      <c r="P561" s="113">
        <f t="shared" si="100"/>
        <v>0</v>
      </c>
      <c r="Q561" s="112">
        <f t="shared" si="101"/>
        <v>0</v>
      </c>
      <c r="R561" s="112" t="str">
        <f t="shared" si="102"/>
        <v>Standard-size</v>
      </c>
      <c r="S561" s="99" t="str">
        <f t="shared" si="103"/>
        <v>Small standard-size</v>
      </c>
      <c r="T561" s="116" t="s">
        <v>13696</v>
      </c>
      <c r="U561" s="116">
        <f t="shared" si="104"/>
        <v>0</v>
      </c>
      <c r="V561" s="116" t="s">
        <v>13583</v>
      </c>
      <c r="W561" s="116" t="s">
        <v>13690</v>
      </c>
      <c r="X561" s="99" t="s">
        <v>13583</v>
      </c>
      <c r="Y561" s="99">
        <v>1</v>
      </c>
      <c r="Z561" s="99">
        <v>1</v>
      </c>
      <c r="AA561" s="99">
        <v>1</v>
      </c>
      <c r="AB561" s="99"/>
      <c r="AC561" s="99"/>
      <c r="AD561" s="107">
        <v>0</v>
      </c>
      <c r="AE561" s="113">
        <f t="shared" si="105"/>
        <v>0</v>
      </c>
      <c r="AF561" s="116">
        <f>-IFERROR(IFERROR(VLOOKUP(ROUNDUP($Q561,0),'FBA FEES'!$L$2:$Q$203,MATCH($S561,'FBA FEES'!$L$2:$Q$2,0),FALSE),VLOOKUP(ROUNDUP($Q561,0),'FBA FEES'!$C$6:$F$123,MATCH($S561,'FBA FEES'!$C$6:$F$6,0),FALSE)),0)</f>
        <v>0</v>
      </c>
      <c r="AG561" s="116">
        <v>-10</v>
      </c>
      <c r="AH561" s="113">
        <f t="shared" si="106"/>
        <v>0</v>
      </c>
      <c r="AI561" s="116">
        <f>-IFERROR(IF($Y561=1,INDEX('[1]REMOVAL FEES'!$A$1:$C$22,MATCH(CONCATENATE("Standard Size",$P561),'[1]REMOVAL FEES'!$A$1:$A$22,0),3),IF($Y561=2,IF($P561&gt;10,(($P561-10)*1.06)+INDEX('[1]REMOVAL FEES'!$E$1:$G$22,MATCH(CONCATENATE("Large bulky, extra-large and special handling items",IF($P561&gt;=11,11,$P561)),'[1]REMOVAL FEES'!$E$1:$E$13,0),3),INDEX('[1]REMOVAL FEES'!$E$1:$G$22,MATCH(CONCATENATE("Large bulky, extra-large and special handling items",IF($P561&gt;=11,11,$P561)),'[1]REMOVAL FEES'!$E$1:$E$13,0),3))))*$AA561,FALSE)</f>
        <v>0</v>
      </c>
      <c r="AJ561" s="107">
        <f t="shared" si="107"/>
        <v>0</v>
      </c>
      <c r="AK561" s="107">
        <v>0</v>
      </c>
      <c r="AL561" s="107">
        <v>0</v>
      </c>
      <c r="AM561" s="107">
        <f t="shared" si="108"/>
        <v>0</v>
      </c>
      <c r="AN561" s="116">
        <f>(-IF($V561="Yes", IF($X561="Yes", VLOOKUP($W561, '[1]Storage Fees'!A:M, 13, FALSE), VLOOKUP($W561, '[1]Storage Fees'!A:M, 10, FALSE)), IF($X561="Yes", VLOOKUP($W561, '[1]Storage Fees'!A:M, 7, FALSE), VLOOKUP($W561, '[1]Storage Fees'!A:M, 4, FALSE))) * U561)*1.5</f>
        <v>0</v>
      </c>
    </row>
    <row r="562" spans="1:40" x14ac:dyDescent="0.25">
      <c r="A562" s="99">
        <v>490</v>
      </c>
      <c r="B562" s="99" t="s">
        <v>13702</v>
      </c>
      <c r="C562" s="99" t="s">
        <v>13655</v>
      </c>
      <c r="D562" s="99" t="s">
        <v>714</v>
      </c>
      <c r="E562" s="99" t="s">
        <v>278</v>
      </c>
      <c r="F562" s="99" t="s">
        <v>1133</v>
      </c>
      <c r="G562" s="99" t="s">
        <v>13695</v>
      </c>
      <c r="H562" s="99">
        <v>38</v>
      </c>
      <c r="I562" s="99">
        <v>11</v>
      </c>
      <c r="J562" s="99">
        <v>6</v>
      </c>
      <c r="K562" s="101" t="str">
        <f t="shared" si="96"/>
        <v>38x11x6</v>
      </c>
      <c r="L562" s="102">
        <f t="shared" si="97"/>
        <v>18.043165467625901</v>
      </c>
      <c r="M562" s="113">
        <f t="shared" si="98"/>
        <v>18.043165467625901</v>
      </c>
      <c r="N562" s="113">
        <f t="shared" si="99"/>
        <v>19</v>
      </c>
      <c r="O562" s="99">
        <v>13</v>
      </c>
      <c r="P562" s="113">
        <f t="shared" si="100"/>
        <v>19</v>
      </c>
      <c r="Q562" s="112">
        <f t="shared" si="101"/>
        <v>304</v>
      </c>
      <c r="R562" s="112" t="str">
        <f t="shared" si="102"/>
        <v>Oversize</v>
      </c>
      <c r="S562" s="99" t="str">
        <f t="shared" si="103"/>
        <v>Large bulky</v>
      </c>
      <c r="T562" s="116" t="s">
        <v>13692</v>
      </c>
      <c r="U562" s="116">
        <f t="shared" si="104"/>
        <v>1.4513888888888888</v>
      </c>
      <c r="V562" s="116" t="s">
        <v>13583</v>
      </c>
      <c r="W562" s="116" t="s">
        <v>13690</v>
      </c>
      <c r="X562" s="116" t="s">
        <v>13691</v>
      </c>
      <c r="Y562" s="116">
        <v>2</v>
      </c>
      <c r="Z562" s="116">
        <v>3</v>
      </c>
      <c r="AA562" s="116">
        <v>1</v>
      </c>
      <c r="AB562" s="99"/>
      <c r="AC562" s="99"/>
      <c r="AD562" s="107">
        <v>0</v>
      </c>
      <c r="AE562" s="113">
        <f t="shared" si="105"/>
        <v>0</v>
      </c>
      <c r="AF562" s="116">
        <f>-IFERROR(IFERROR(VLOOKUP(ROUNDUP($Q562,0),'FBA FEES'!$L$2:$Q$203,MATCH($S562,'FBA FEES'!$L$2:$Q$2,0),FALSE),VLOOKUP(ROUNDUP($Q562,0),'FBA FEES'!$C$6:$F$123,MATCH($S562,'FBA FEES'!$C$6:$F$6,0),FALSE)),0)</f>
        <v>-16.45</v>
      </c>
      <c r="AG562" s="116">
        <v>-10</v>
      </c>
      <c r="AH562" s="113">
        <f t="shared" si="106"/>
        <v>-16.45</v>
      </c>
      <c r="AI562" s="116">
        <f>-IFERROR(IF($Y562=1,INDEX('[1]REMOVAL FEES'!$A$1:$C$22,MATCH(CONCATENATE("Standard Size",$P562),'[1]REMOVAL FEES'!$A$1:$A$22,0),3),IF($Y562=2,IF($P562&gt;10,(($P562-10)*1.06)+INDEX('[1]REMOVAL FEES'!$E$1:$G$22,MATCH(CONCATENATE("Large bulky, extra-large and special handling items",IF($P562&gt;=11,11,$P562)),'[1]REMOVAL FEES'!$E$1:$E$13,0),3),INDEX('[1]REMOVAL FEES'!$E$1:$G$22,MATCH(CONCATENATE("Large bulky, extra-large and special handling items",IF($P562&gt;=11,11,$P562)),'[1]REMOVAL FEES'!$E$1:$E$13,0),3))))*$AA562,FALSE)</f>
        <v>-23.86</v>
      </c>
      <c r="AJ562" s="107">
        <f t="shared" si="107"/>
        <v>-40.31</v>
      </c>
      <c r="AK562" s="107">
        <v>0</v>
      </c>
      <c r="AL562" s="107">
        <v>0</v>
      </c>
      <c r="AM562" s="107">
        <f t="shared" si="108"/>
        <v>0</v>
      </c>
      <c r="AN562" s="116">
        <f>(-IF($V562="Yes", IF($X562="Yes", VLOOKUP($W562, '[1]Storage Fees'!A:M, 13, FALSE), VLOOKUP($W562, '[1]Storage Fees'!A:M, 10, FALSE)), IF($X562="Yes", VLOOKUP($W562, '[1]Storage Fees'!A:M, 7, FALSE), VLOOKUP($W562, '[1]Storage Fees'!A:M, 4, FALSE))) * U562)*1.5</f>
        <v>-1.7198958333333334</v>
      </c>
    </row>
    <row r="563" spans="1:40" x14ac:dyDescent="0.25">
      <c r="A563" s="99">
        <v>491</v>
      </c>
      <c r="B563" s="99" t="s">
        <v>13705</v>
      </c>
      <c r="C563" s="99" t="s">
        <v>13655</v>
      </c>
      <c r="D563" s="99" t="s">
        <v>714</v>
      </c>
      <c r="E563" s="99" t="s">
        <v>278</v>
      </c>
      <c r="F563" s="99" t="s">
        <v>1136</v>
      </c>
      <c r="G563" s="99" t="s">
        <v>13656</v>
      </c>
      <c r="H563" s="99">
        <v>44</v>
      </c>
      <c r="I563" s="99">
        <v>12</v>
      </c>
      <c r="J563" s="99">
        <v>5</v>
      </c>
      <c r="K563" s="101" t="str">
        <f t="shared" si="96"/>
        <v>44x12x5</v>
      </c>
      <c r="L563" s="102">
        <f t="shared" si="97"/>
        <v>18.992805755395683</v>
      </c>
      <c r="M563" s="113">
        <f t="shared" si="98"/>
        <v>18.992805755395683</v>
      </c>
      <c r="N563" s="113">
        <f t="shared" si="99"/>
        <v>19</v>
      </c>
      <c r="O563" s="99">
        <v>14</v>
      </c>
      <c r="P563" s="113">
        <f t="shared" si="100"/>
        <v>19</v>
      </c>
      <c r="Q563" s="112">
        <f t="shared" si="101"/>
        <v>304</v>
      </c>
      <c r="R563" s="112" t="str">
        <f t="shared" si="102"/>
        <v>Oversize</v>
      </c>
      <c r="S563" s="99" t="str">
        <f t="shared" si="103"/>
        <v>Large bulky</v>
      </c>
      <c r="T563" s="116" t="s">
        <v>13692</v>
      </c>
      <c r="U563" s="116">
        <f t="shared" si="104"/>
        <v>1.5277777777777777</v>
      </c>
      <c r="V563" s="116" t="s">
        <v>13583</v>
      </c>
      <c r="W563" s="116" t="s">
        <v>13690</v>
      </c>
      <c r="X563" s="116" t="s">
        <v>13691</v>
      </c>
      <c r="Y563" s="116">
        <v>2</v>
      </c>
      <c r="Z563" s="116">
        <v>3</v>
      </c>
      <c r="AA563" s="116">
        <v>1</v>
      </c>
      <c r="AB563" s="99"/>
      <c r="AC563" s="99"/>
      <c r="AD563" s="107">
        <v>0</v>
      </c>
      <c r="AE563" s="113">
        <f t="shared" si="105"/>
        <v>0</v>
      </c>
      <c r="AF563" s="116">
        <f>-IFERROR(IFERROR(VLOOKUP(ROUNDUP($Q563,0),'FBA FEES'!$L$2:$Q$203,MATCH($S563,'FBA FEES'!$L$2:$Q$2,0),FALSE),VLOOKUP(ROUNDUP($Q563,0),'FBA FEES'!$C$6:$F$123,MATCH($S563,'FBA FEES'!$C$6:$F$6,0),FALSE)),0)</f>
        <v>-16.45</v>
      </c>
      <c r="AG563" s="116">
        <v>-10</v>
      </c>
      <c r="AH563" s="113">
        <f t="shared" si="106"/>
        <v>-16.45</v>
      </c>
      <c r="AI563" s="116">
        <f>-IFERROR(IF($Y563=1,INDEX('[1]REMOVAL FEES'!$A$1:$C$22,MATCH(CONCATENATE("Standard Size",$P563),'[1]REMOVAL FEES'!$A$1:$A$22,0),3),IF($Y563=2,IF($P563&gt;10,(($P563-10)*1.06)+INDEX('[1]REMOVAL FEES'!$E$1:$G$22,MATCH(CONCATENATE("Large bulky, extra-large and special handling items",IF($P563&gt;=11,11,$P563)),'[1]REMOVAL FEES'!$E$1:$E$13,0),3),INDEX('[1]REMOVAL FEES'!$E$1:$G$22,MATCH(CONCATENATE("Large bulky, extra-large and special handling items",IF($P563&gt;=11,11,$P563)),'[1]REMOVAL FEES'!$E$1:$E$13,0),3))))*$AA563,FALSE)</f>
        <v>-23.86</v>
      </c>
      <c r="AJ563" s="107">
        <f t="shared" si="107"/>
        <v>-40.31</v>
      </c>
      <c r="AK563" s="107">
        <v>0</v>
      </c>
      <c r="AL563" s="107">
        <v>0</v>
      </c>
      <c r="AM563" s="107">
        <f t="shared" si="108"/>
        <v>0</v>
      </c>
      <c r="AN563" s="116">
        <f>(-IF($V563="Yes", IF($X563="Yes", VLOOKUP($W563, '[1]Storage Fees'!A:M, 13, FALSE), VLOOKUP($W563, '[1]Storage Fees'!A:M, 10, FALSE)), IF($X563="Yes", VLOOKUP($W563, '[1]Storage Fees'!A:M, 7, FALSE), VLOOKUP($W563, '[1]Storage Fees'!A:M, 4, FALSE))) * U563)*1.5</f>
        <v>-1.8104166666666666</v>
      </c>
    </row>
    <row r="564" spans="1:40" x14ac:dyDescent="0.25">
      <c r="A564" s="99">
        <v>492</v>
      </c>
      <c r="B564" s="99" t="s">
        <v>55</v>
      </c>
      <c r="C564" s="99"/>
      <c r="D564" s="99"/>
      <c r="E564" s="99" t="s">
        <v>201</v>
      </c>
      <c r="F564" s="99" t="s">
        <v>364</v>
      </c>
      <c r="G564" s="99" t="s">
        <v>13656</v>
      </c>
      <c r="H564" s="99">
        <v>26</v>
      </c>
      <c r="I564" s="99">
        <v>17</v>
      </c>
      <c r="J564" s="99">
        <v>4</v>
      </c>
      <c r="K564" s="101" t="str">
        <f t="shared" si="96"/>
        <v>26x17x4</v>
      </c>
      <c r="L564" s="102">
        <f t="shared" si="97"/>
        <v>12.719424460431656</v>
      </c>
      <c r="M564" s="113">
        <f t="shared" si="98"/>
        <v>12.719424460431656</v>
      </c>
      <c r="N564" s="113">
        <f t="shared" si="99"/>
        <v>13</v>
      </c>
      <c r="O564" s="99">
        <v>14</v>
      </c>
      <c r="P564" s="113">
        <f t="shared" si="100"/>
        <v>14</v>
      </c>
      <c r="Q564" s="112">
        <f t="shared" si="101"/>
        <v>224</v>
      </c>
      <c r="R564" s="112" t="str">
        <f t="shared" si="102"/>
        <v>Oversize</v>
      </c>
      <c r="S564" s="99" t="str">
        <f t="shared" si="103"/>
        <v>Large bulky</v>
      </c>
      <c r="T564" s="116" t="s">
        <v>13692</v>
      </c>
      <c r="U564" s="116">
        <f t="shared" si="104"/>
        <v>1.0231481481481481</v>
      </c>
      <c r="V564" s="116" t="s">
        <v>13583</v>
      </c>
      <c r="W564" s="116" t="s">
        <v>13690</v>
      </c>
      <c r="X564" s="116" t="s">
        <v>13691</v>
      </c>
      <c r="Y564" s="116">
        <v>2</v>
      </c>
      <c r="Z564" s="116">
        <v>3</v>
      </c>
      <c r="AA564" s="116">
        <v>1</v>
      </c>
      <c r="AB564" s="99"/>
      <c r="AC564" s="99"/>
      <c r="AD564" s="107">
        <v>83.98049446808524</v>
      </c>
      <c r="AE564" s="113">
        <f t="shared" si="105"/>
        <v>-12.597074170212785</v>
      </c>
      <c r="AF564" s="116">
        <f>-IFERROR(IFERROR(VLOOKUP(ROUNDUP($Q564,0),'FBA FEES'!$L$2:$Q$203,MATCH($S564,'FBA FEES'!$L$2:$Q$2,0),FALSE),VLOOKUP(ROUNDUP($Q564,0),'FBA FEES'!$C$6:$F$123,MATCH($S564,'FBA FEES'!$C$6:$F$6,0),FALSE)),0)</f>
        <v>-14.55</v>
      </c>
      <c r="AG564" s="116">
        <v>-7</v>
      </c>
      <c r="AH564" s="113">
        <f t="shared" si="106"/>
        <v>-27.147074170212786</v>
      </c>
      <c r="AI564" s="116">
        <f>-IFERROR(IF($Y564=1,INDEX('[1]REMOVAL FEES'!$A$1:$C$22,MATCH(CONCATENATE("Standard Size",$P564),'[1]REMOVAL FEES'!$A$1:$A$22,0),3),IF($Y564=2,IF($P564&gt;10,(($P564-10)*1.06)+INDEX('[1]REMOVAL FEES'!$E$1:$G$22,MATCH(CONCATENATE("Large bulky, extra-large and special handling items",IF($P564&gt;=11,11,$P564)),'[1]REMOVAL FEES'!$E$1:$E$13,0),3),INDEX('[1]REMOVAL FEES'!$E$1:$G$22,MATCH(CONCATENATE("Large bulky, extra-large and special handling items",IF($P564&gt;=11,11,$P564)),'[1]REMOVAL FEES'!$E$1:$E$13,0),3))))*$AA564,FALSE)</f>
        <v>-18.560000000000002</v>
      </c>
      <c r="AJ564" s="107">
        <f t="shared" si="107"/>
        <v>-45.707074170212792</v>
      </c>
      <c r="AK564" s="107">
        <v>-20.935957446808509</v>
      </c>
      <c r="AL564" s="107">
        <v>-8.6675942215490469</v>
      </c>
      <c r="AM564" s="107">
        <f t="shared" si="108"/>
        <v>-29.603551668357554</v>
      </c>
      <c r="AN564" s="116">
        <f>(-IF($V564="Yes", IF($X564="Yes", VLOOKUP($W564, '[1]Storage Fees'!A:M, 13, FALSE), VLOOKUP($W564, '[1]Storage Fees'!A:M, 10, FALSE)), IF($X564="Yes", VLOOKUP($W564, '[1]Storage Fees'!A:M, 7, FALSE), VLOOKUP($W564, '[1]Storage Fees'!A:M, 4, FALSE))) * U564)*1.5</f>
        <v>-1.2124305555555557</v>
      </c>
    </row>
    <row r="565" spans="1:40" x14ac:dyDescent="0.25">
      <c r="A565" s="99">
        <v>493</v>
      </c>
      <c r="B565" s="99"/>
      <c r="C565" s="99" t="s">
        <v>13655</v>
      </c>
      <c r="D565" s="99"/>
      <c r="E565" s="99" t="s">
        <v>278</v>
      </c>
      <c r="F565" s="99" t="s">
        <v>1959</v>
      </c>
      <c r="G565" s="99" t="s">
        <v>13656</v>
      </c>
      <c r="H565" s="99">
        <v>0</v>
      </c>
      <c r="I565" s="99">
        <v>0</v>
      </c>
      <c r="J565" s="99">
        <v>0</v>
      </c>
      <c r="K565" s="101" t="str">
        <f t="shared" si="96"/>
        <v>0x0x0</v>
      </c>
      <c r="L565" s="102">
        <f t="shared" si="97"/>
        <v>0</v>
      </c>
      <c r="M565" s="113">
        <f t="shared" si="98"/>
        <v>0</v>
      </c>
      <c r="N565" s="113">
        <f t="shared" si="99"/>
        <v>0</v>
      </c>
      <c r="O565" s="99">
        <v>0</v>
      </c>
      <c r="P565" s="113">
        <f t="shared" si="100"/>
        <v>0</v>
      </c>
      <c r="Q565" s="112">
        <f t="shared" si="101"/>
        <v>0</v>
      </c>
      <c r="R565" s="112" t="str">
        <f t="shared" si="102"/>
        <v>Standard-size</v>
      </c>
      <c r="S565" s="99" t="str">
        <f t="shared" si="103"/>
        <v>Small standard-size</v>
      </c>
      <c r="T565" s="116" t="s">
        <v>13696</v>
      </c>
      <c r="U565" s="116">
        <f t="shared" si="104"/>
        <v>0</v>
      </c>
      <c r="V565" s="116" t="s">
        <v>13583</v>
      </c>
      <c r="W565" s="116" t="s">
        <v>13690</v>
      </c>
      <c r="X565" s="99" t="s">
        <v>13583</v>
      </c>
      <c r="Y565" s="99">
        <v>1</v>
      </c>
      <c r="Z565" s="99">
        <v>1</v>
      </c>
      <c r="AA565" s="99">
        <v>1</v>
      </c>
      <c r="AB565" s="99"/>
      <c r="AC565" s="99"/>
      <c r="AD565" s="107">
        <v>23.60179487179488</v>
      </c>
      <c r="AE565" s="113">
        <f t="shared" si="105"/>
        <v>-3.5402692307692321</v>
      </c>
      <c r="AF565" s="116">
        <f>-IFERROR(IFERROR(VLOOKUP(ROUNDUP($Q565,0),'FBA FEES'!$L$2:$Q$203,MATCH($S565,'FBA FEES'!$L$2:$Q$2,0),FALSE),VLOOKUP(ROUNDUP($Q565,0),'FBA FEES'!$C$6:$F$123,MATCH($S565,'FBA FEES'!$C$6:$F$6,0),FALSE)),0)</f>
        <v>0</v>
      </c>
      <c r="AG565" s="116">
        <v>-10</v>
      </c>
      <c r="AH565" s="113">
        <f t="shared" si="106"/>
        <v>-3.5402692307692321</v>
      </c>
      <c r="AI565" s="116">
        <f>-IFERROR(IF($Y565=1,INDEX('[1]REMOVAL FEES'!$A$1:$C$22,MATCH(CONCATENATE("Standard Size",$P565),'[1]REMOVAL FEES'!$A$1:$A$22,0),3),IF($Y565=2,IF($P565&gt;10,(($P565-10)*1.06)+INDEX('[1]REMOVAL FEES'!$E$1:$G$22,MATCH(CONCATENATE("Large bulky, extra-large and special handling items",IF($P565&gt;=11,11,$P565)),'[1]REMOVAL FEES'!$E$1:$E$13,0),3),INDEX('[1]REMOVAL FEES'!$E$1:$G$22,MATCH(CONCATENATE("Large bulky, extra-large and special handling items",IF($P565&gt;=11,11,$P565)),'[1]REMOVAL FEES'!$E$1:$E$13,0),3))))*$AA565,FALSE)</f>
        <v>0</v>
      </c>
      <c r="AJ565" s="107">
        <f t="shared" si="107"/>
        <v>-3.5402692307692321</v>
      </c>
      <c r="AK565" s="107">
        <v>-7.783333333333335</v>
      </c>
      <c r="AL565" s="107">
        <v>-1.625217948717949</v>
      </c>
      <c r="AM565" s="107">
        <f t="shared" si="108"/>
        <v>-9.4085512820512847</v>
      </c>
      <c r="AN565" s="116">
        <f>(-IF($V565="Yes", IF($X565="Yes", VLOOKUP($W565, '[1]Storage Fees'!A:M, 13, FALSE), VLOOKUP($W565, '[1]Storage Fees'!A:M, 10, FALSE)), IF($X565="Yes", VLOOKUP($W565, '[1]Storage Fees'!A:M, 7, FALSE), VLOOKUP($W565, '[1]Storage Fees'!A:M, 4, FALSE))) * U565)*1.5</f>
        <v>0</v>
      </c>
    </row>
    <row r="566" spans="1:40" x14ac:dyDescent="0.25">
      <c r="A566" s="99">
        <v>494</v>
      </c>
      <c r="B566" s="99" t="s">
        <v>13702</v>
      </c>
      <c r="C566" s="99" t="s">
        <v>13655</v>
      </c>
      <c r="D566" s="99" t="s">
        <v>718</v>
      </c>
      <c r="E566" s="99" t="s">
        <v>278</v>
      </c>
      <c r="F566" s="99" t="s">
        <v>1139</v>
      </c>
      <c r="G566" s="99" t="s">
        <v>13656</v>
      </c>
      <c r="H566" s="99">
        <v>20</v>
      </c>
      <c r="I566" s="99">
        <v>12</v>
      </c>
      <c r="J566" s="99">
        <v>7</v>
      </c>
      <c r="K566" s="101" t="str">
        <f t="shared" si="96"/>
        <v>20x12x7</v>
      </c>
      <c r="L566" s="102">
        <f t="shared" si="97"/>
        <v>12.086330935251798</v>
      </c>
      <c r="M566" s="113">
        <f t="shared" si="98"/>
        <v>12.086330935251798</v>
      </c>
      <c r="N566" s="113">
        <f t="shared" si="99"/>
        <v>13</v>
      </c>
      <c r="O566" s="99">
        <v>9</v>
      </c>
      <c r="P566" s="113">
        <f t="shared" si="100"/>
        <v>13</v>
      </c>
      <c r="Q566" s="112">
        <f t="shared" si="101"/>
        <v>208</v>
      </c>
      <c r="R566" s="112" t="str">
        <f t="shared" si="102"/>
        <v>Oversize</v>
      </c>
      <c r="S566" s="99" t="str">
        <f t="shared" si="103"/>
        <v>Large bulky</v>
      </c>
      <c r="T566" s="116" t="s">
        <v>13692</v>
      </c>
      <c r="U566" s="116">
        <f t="shared" si="104"/>
        <v>0.97222222222222221</v>
      </c>
      <c r="V566" s="116" t="s">
        <v>13583</v>
      </c>
      <c r="W566" s="116" t="s">
        <v>13690</v>
      </c>
      <c r="X566" s="116" t="s">
        <v>13691</v>
      </c>
      <c r="Y566" s="116">
        <v>2</v>
      </c>
      <c r="Z566" s="116">
        <v>3</v>
      </c>
      <c r="AA566" s="116">
        <v>1</v>
      </c>
      <c r="AB566" s="99"/>
      <c r="AC566" s="99"/>
      <c r="AD566" s="107">
        <v>74.740000000000009</v>
      </c>
      <c r="AE566" s="113">
        <f t="shared" si="105"/>
        <v>-11.211</v>
      </c>
      <c r="AF566" s="116">
        <f>-IFERROR(IFERROR(VLOOKUP(ROUNDUP($Q566,0),'FBA FEES'!$L$2:$Q$203,MATCH($S566,'FBA FEES'!$L$2:$Q$2,0),FALSE),VLOOKUP(ROUNDUP($Q566,0),'FBA FEES'!$C$6:$F$123,MATCH($S566,'FBA FEES'!$C$6:$F$6,0),FALSE)),0)</f>
        <v>-14.17</v>
      </c>
      <c r="AG566" s="116">
        <v>-10</v>
      </c>
      <c r="AH566" s="113">
        <f t="shared" si="106"/>
        <v>-25.381</v>
      </c>
      <c r="AI566" s="116">
        <f>-IFERROR(IF($Y566=1,INDEX('[1]REMOVAL FEES'!$A$1:$C$22,MATCH(CONCATENATE("Standard Size",$P566),'[1]REMOVAL FEES'!$A$1:$A$22,0),3),IF($Y566=2,IF($P566&gt;10,(($P566-10)*1.06)+INDEX('[1]REMOVAL FEES'!$E$1:$G$22,MATCH(CONCATENATE("Large bulky, extra-large and special handling items",IF($P566&gt;=11,11,$P566)),'[1]REMOVAL FEES'!$E$1:$E$13,0),3),INDEX('[1]REMOVAL FEES'!$E$1:$G$22,MATCH(CONCATENATE("Large bulky, extra-large and special handling items",IF($P566&gt;=11,11,$P566)),'[1]REMOVAL FEES'!$E$1:$E$13,0),3))))*$AA566,FALSE)</f>
        <v>-17.5</v>
      </c>
      <c r="AJ566" s="107">
        <f t="shared" si="107"/>
        <v>-42.881</v>
      </c>
      <c r="AK566" s="107">
        <v>-19.190000000000001</v>
      </c>
      <c r="AL566" s="107">
        <v>-4.6210000000000004</v>
      </c>
      <c r="AM566" s="107">
        <f t="shared" si="108"/>
        <v>-23.811</v>
      </c>
      <c r="AN566" s="116">
        <f>(-IF($V566="Yes", IF($X566="Yes", VLOOKUP($W566, '[1]Storage Fees'!A:M, 13, FALSE), VLOOKUP($W566, '[1]Storage Fees'!A:M, 10, FALSE)), IF($X566="Yes", VLOOKUP($W566, '[1]Storage Fees'!A:M, 7, FALSE), VLOOKUP($W566, '[1]Storage Fees'!A:M, 4, FALSE))) * U566)*1.5</f>
        <v>-1.1520833333333333</v>
      </c>
    </row>
    <row r="567" spans="1:40" x14ac:dyDescent="0.25">
      <c r="A567" s="99">
        <v>495</v>
      </c>
      <c r="B567" s="99" t="s">
        <v>13702</v>
      </c>
      <c r="C567" s="99" t="s">
        <v>13655</v>
      </c>
      <c r="D567" s="99" t="s">
        <v>714</v>
      </c>
      <c r="E567" s="99" t="s">
        <v>278</v>
      </c>
      <c r="F567" s="99" t="s">
        <v>1142</v>
      </c>
      <c r="G567" s="99" t="s">
        <v>13695</v>
      </c>
      <c r="H567" s="99">
        <v>22</v>
      </c>
      <c r="I567" s="99">
        <v>10</v>
      </c>
      <c r="J567" s="99">
        <v>5</v>
      </c>
      <c r="K567" s="101" t="str">
        <f t="shared" si="96"/>
        <v>22x10x5</v>
      </c>
      <c r="L567" s="102">
        <f t="shared" si="97"/>
        <v>7.9136690647482011</v>
      </c>
      <c r="M567" s="113">
        <f t="shared" si="98"/>
        <v>7.9136690647482011</v>
      </c>
      <c r="N567" s="113">
        <f t="shared" si="99"/>
        <v>8</v>
      </c>
      <c r="O567" s="99">
        <v>8</v>
      </c>
      <c r="P567" s="113">
        <f t="shared" si="100"/>
        <v>8</v>
      </c>
      <c r="Q567" s="112">
        <f t="shared" si="101"/>
        <v>128</v>
      </c>
      <c r="R567" s="112" t="str">
        <f t="shared" si="102"/>
        <v>Oversize</v>
      </c>
      <c r="S567" s="99" t="str">
        <f t="shared" si="103"/>
        <v>Large bulky</v>
      </c>
      <c r="T567" s="116" t="s">
        <v>13692</v>
      </c>
      <c r="U567" s="116">
        <f t="shared" si="104"/>
        <v>0.63657407407407407</v>
      </c>
      <c r="V567" s="116" t="s">
        <v>13583</v>
      </c>
      <c r="W567" s="116" t="s">
        <v>13690</v>
      </c>
      <c r="X567" s="116" t="s">
        <v>13691</v>
      </c>
      <c r="Y567" s="116">
        <v>2</v>
      </c>
      <c r="Z567" s="116">
        <v>3</v>
      </c>
      <c r="AA567" s="116">
        <v>1</v>
      </c>
      <c r="AB567" s="99"/>
      <c r="AC567" s="99"/>
      <c r="AD567" s="107">
        <v>0</v>
      </c>
      <c r="AE567" s="113">
        <f t="shared" si="105"/>
        <v>0</v>
      </c>
      <c r="AF567" s="116">
        <f>-IFERROR(IFERROR(VLOOKUP(ROUNDUP($Q567,0),'FBA FEES'!$L$2:$Q$203,MATCH($S567,'FBA FEES'!$L$2:$Q$2,0),FALSE),VLOOKUP(ROUNDUP($Q567,0),'FBA FEES'!$C$6:$F$123,MATCH($S567,'FBA FEES'!$C$6:$F$6,0),FALSE)),0)</f>
        <v>-12.27</v>
      </c>
      <c r="AG567" s="116">
        <v>-10</v>
      </c>
      <c r="AH567" s="113">
        <f t="shared" si="106"/>
        <v>-12.27</v>
      </c>
      <c r="AI567" s="116">
        <f>-IFERROR(IF($Y567=1,INDEX('[1]REMOVAL FEES'!$A$1:$C$22,MATCH(CONCATENATE("Standard Size",$P567),'[1]REMOVAL FEES'!$A$1:$A$22,0),3),IF($Y567=2,IF($P567&gt;10,(($P567-10)*1.06)+INDEX('[1]REMOVAL FEES'!$E$1:$G$22,MATCH(CONCATENATE("Large bulky, extra-large and special handling items",IF($P567&gt;=11,11,$P567)),'[1]REMOVAL FEES'!$E$1:$E$13,0),3),INDEX('[1]REMOVAL FEES'!$E$1:$G$22,MATCH(CONCATENATE("Large bulky, extra-large and special handling items",IF($P567&gt;=11,11,$P567)),'[1]REMOVAL FEES'!$E$1:$E$13,0),3))))*$AA567,FALSE)</f>
        <v>-10.039999999999999</v>
      </c>
      <c r="AJ567" s="107">
        <f t="shared" si="107"/>
        <v>-22.31</v>
      </c>
      <c r="AK567" s="107">
        <v>0</v>
      </c>
      <c r="AL567" s="107">
        <v>0</v>
      </c>
      <c r="AM567" s="107">
        <f t="shared" si="108"/>
        <v>0</v>
      </c>
      <c r="AN567" s="116">
        <f>(-IF($V567="Yes", IF($X567="Yes", VLOOKUP($W567, '[1]Storage Fees'!A:M, 13, FALSE), VLOOKUP($W567, '[1]Storage Fees'!A:M, 10, FALSE)), IF($X567="Yes", VLOOKUP($W567, '[1]Storage Fees'!A:M, 7, FALSE), VLOOKUP($W567, '[1]Storage Fees'!A:M, 4, FALSE))) * U567)*1.5</f>
        <v>-0.75434027777777768</v>
      </c>
    </row>
    <row r="568" spans="1:40" x14ac:dyDescent="0.25">
      <c r="A568" s="99">
        <v>496</v>
      </c>
      <c r="B568" s="99" t="s">
        <v>13702</v>
      </c>
      <c r="C568" s="99" t="s">
        <v>13655</v>
      </c>
      <c r="D568" s="99" t="s">
        <v>714</v>
      </c>
      <c r="E568" s="99" t="s">
        <v>278</v>
      </c>
      <c r="F568" s="99" t="s">
        <v>1145</v>
      </c>
      <c r="G568" s="99" t="s">
        <v>13656</v>
      </c>
      <c r="H568" s="99">
        <v>37</v>
      </c>
      <c r="I568" s="99">
        <v>6</v>
      </c>
      <c r="J568" s="99">
        <v>2</v>
      </c>
      <c r="K568" s="101" t="str">
        <f t="shared" si="96"/>
        <v>37x6x2</v>
      </c>
      <c r="L568" s="102">
        <f t="shared" si="97"/>
        <v>3.1942446043165469</v>
      </c>
      <c r="M568" s="113">
        <f t="shared" si="98"/>
        <v>3.1942446043165469</v>
      </c>
      <c r="N568" s="113">
        <f t="shared" si="99"/>
        <v>4</v>
      </c>
      <c r="O568" s="99">
        <v>3</v>
      </c>
      <c r="P568" s="113">
        <f t="shared" si="100"/>
        <v>4</v>
      </c>
      <c r="Q568" s="112">
        <f t="shared" si="101"/>
        <v>64</v>
      </c>
      <c r="R568" s="112" t="str">
        <f t="shared" si="102"/>
        <v>Oversize</v>
      </c>
      <c r="S568" s="99" t="str">
        <f t="shared" si="103"/>
        <v>Large bulky</v>
      </c>
      <c r="T568" s="116" t="s">
        <v>13692</v>
      </c>
      <c r="U568" s="116">
        <f t="shared" si="104"/>
        <v>0.25694444444444442</v>
      </c>
      <c r="V568" s="116" t="s">
        <v>13583</v>
      </c>
      <c r="W568" s="116" t="s">
        <v>13690</v>
      </c>
      <c r="X568" s="116" t="s">
        <v>13691</v>
      </c>
      <c r="Y568" s="116">
        <v>2</v>
      </c>
      <c r="Z568" s="116">
        <v>3</v>
      </c>
      <c r="AA568" s="116">
        <v>1</v>
      </c>
      <c r="AB568" s="99"/>
      <c r="AC568" s="99"/>
      <c r="AD568" s="107">
        <v>0</v>
      </c>
      <c r="AE568" s="113">
        <f t="shared" si="105"/>
        <v>0</v>
      </c>
      <c r="AF568" s="116">
        <f>-IFERROR(IFERROR(VLOOKUP(ROUNDUP($Q568,0),'FBA FEES'!$L$2:$Q$203,MATCH($S568,'FBA FEES'!$L$2:$Q$2,0),FALSE),VLOOKUP(ROUNDUP($Q568,0),'FBA FEES'!$C$6:$F$123,MATCH($S568,'FBA FEES'!$C$6:$F$6,0),FALSE)),0)</f>
        <v>-10.75</v>
      </c>
      <c r="AG568" s="116">
        <v>-10</v>
      </c>
      <c r="AH568" s="113">
        <f t="shared" si="106"/>
        <v>-10.75</v>
      </c>
      <c r="AI568" s="116">
        <f>-IFERROR(IF($Y568=1,INDEX('[1]REMOVAL FEES'!$A$1:$C$22,MATCH(CONCATENATE("Standard Size",$P568),'[1]REMOVAL FEES'!$A$1:$A$22,0),3),IF($Y568=2,IF($P568&gt;10,(($P568-10)*1.06)+INDEX('[1]REMOVAL FEES'!$E$1:$G$22,MATCH(CONCATENATE("Large bulky, extra-large and special handling items",IF($P568&gt;=11,11,$P568)),'[1]REMOVAL FEES'!$E$1:$E$13,0),3),INDEX('[1]REMOVAL FEES'!$E$1:$G$22,MATCH(CONCATENATE("Large bulky, extra-large and special handling items",IF($P568&gt;=11,11,$P568)),'[1]REMOVAL FEES'!$E$1:$E$13,0),3))))*$AA568,FALSE)</f>
        <v>-6.36</v>
      </c>
      <c r="AJ568" s="107">
        <f t="shared" si="107"/>
        <v>-17.11</v>
      </c>
      <c r="AK568" s="107">
        <v>0</v>
      </c>
      <c r="AL568" s="107">
        <v>0</v>
      </c>
      <c r="AM568" s="107">
        <f t="shared" si="108"/>
        <v>0</v>
      </c>
      <c r="AN568" s="116">
        <f>(-IF($V568="Yes", IF($X568="Yes", VLOOKUP($W568, '[1]Storage Fees'!A:M, 13, FALSE), VLOOKUP($W568, '[1]Storage Fees'!A:M, 10, FALSE)), IF($X568="Yes", VLOOKUP($W568, '[1]Storage Fees'!A:M, 7, FALSE), VLOOKUP($W568, '[1]Storage Fees'!A:M, 4, FALSE))) * U568)*1.5</f>
        <v>-0.30447916666666663</v>
      </c>
    </row>
    <row r="569" spans="1:40" x14ac:dyDescent="0.25">
      <c r="A569" s="99">
        <v>497</v>
      </c>
      <c r="B569" s="99" t="s">
        <v>13702</v>
      </c>
      <c r="C569" s="99" t="s">
        <v>13655</v>
      </c>
      <c r="D569" s="99" t="s">
        <v>714</v>
      </c>
      <c r="E569" s="99" t="s">
        <v>278</v>
      </c>
      <c r="F569" s="99" t="s">
        <v>1148</v>
      </c>
      <c r="G569" s="99" t="s">
        <v>13656</v>
      </c>
      <c r="H569" s="99">
        <v>41</v>
      </c>
      <c r="I569" s="99">
        <v>6</v>
      </c>
      <c r="J569" s="99">
        <v>2</v>
      </c>
      <c r="K569" s="101" t="str">
        <f t="shared" si="96"/>
        <v>41x6x2</v>
      </c>
      <c r="L569" s="102">
        <f t="shared" si="97"/>
        <v>3.5395683453237412</v>
      </c>
      <c r="M569" s="113">
        <f t="shared" si="98"/>
        <v>3.5395683453237412</v>
      </c>
      <c r="N569" s="113">
        <f t="shared" si="99"/>
        <v>4</v>
      </c>
      <c r="O569" s="99">
        <v>4</v>
      </c>
      <c r="P569" s="113">
        <f t="shared" si="100"/>
        <v>4</v>
      </c>
      <c r="Q569" s="112">
        <f t="shared" si="101"/>
        <v>64</v>
      </c>
      <c r="R569" s="112" t="str">
        <f t="shared" si="102"/>
        <v>Oversize</v>
      </c>
      <c r="S569" s="99" t="str">
        <f t="shared" si="103"/>
        <v>Large bulky</v>
      </c>
      <c r="T569" s="116" t="s">
        <v>13692</v>
      </c>
      <c r="U569" s="116">
        <f t="shared" si="104"/>
        <v>0.28472222222222221</v>
      </c>
      <c r="V569" s="116" t="s">
        <v>13583</v>
      </c>
      <c r="W569" s="116" t="s">
        <v>13690</v>
      </c>
      <c r="X569" s="116" t="s">
        <v>13691</v>
      </c>
      <c r="Y569" s="116">
        <v>2</v>
      </c>
      <c r="Z569" s="116">
        <v>3</v>
      </c>
      <c r="AA569" s="116">
        <v>1</v>
      </c>
      <c r="AB569" s="99"/>
      <c r="AC569" s="99"/>
      <c r="AD569" s="107">
        <v>0</v>
      </c>
      <c r="AE569" s="113">
        <f t="shared" si="105"/>
        <v>0</v>
      </c>
      <c r="AF569" s="116">
        <f>-IFERROR(IFERROR(VLOOKUP(ROUNDUP($Q569,0),'FBA FEES'!$L$2:$Q$203,MATCH($S569,'FBA FEES'!$L$2:$Q$2,0),FALSE),VLOOKUP(ROUNDUP($Q569,0),'FBA FEES'!$C$6:$F$123,MATCH($S569,'FBA FEES'!$C$6:$F$6,0),FALSE)),0)</f>
        <v>-10.75</v>
      </c>
      <c r="AG569" s="116">
        <v>-10</v>
      </c>
      <c r="AH569" s="113">
        <f t="shared" si="106"/>
        <v>-10.75</v>
      </c>
      <c r="AI569" s="116">
        <f>-IFERROR(IF($Y569=1,INDEX('[1]REMOVAL FEES'!$A$1:$C$22,MATCH(CONCATENATE("Standard Size",$P569),'[1]REMOVAL FEES'!$A$1:$A$22,0),3),IF($Y569=2,IF($P569&gt;10,(($P569-10)*1.06)+INDEX('[1]REMOVAL FEES'!$E$1:$G$22,MATCH(CONCATENATE("Large bulky, extra-large and special handling items",IF($P569&gt;=11,11,$P569)),'[1]REMOVAL FEES'!$E$1:$E$13,0),3),INDEX('[1]REMOVAL FEES'!$E$1:$G$22,MATCH(CONCATENATE("Large bulky, extra-large and special handling items",IF($P569&gt;=11,11,$P569)),'[1]REMOVAL FEES'!$E$1:$E$13,0),3))))*$AA569,FALSE)</f>
        <v>-6.36</v>
      </c>
      <c r="AJ569" s="107">
        <f t="shared" si="107"/>
        <v>-17.11</v>
      </c>
      <c r="AK569" s="107">
        <v>0</v>
      </c>
      <c r="AL569" s="107">
        <v>0</v>
      </c>
      <c r="AM569" s="107">
        <f t="shared" si="108"/>
        <v>0</v>
      </c>
      <c r="AN569" s="116">
        <f>(-IF($V569="Yes", IF($X569="Yes", VLOOKUP($W569, '[1]Storage Fees'!A:M, 13, FALSE), VLOOKUP($W569, '[1]Storage Fees'!A:M, 10, FALSE)), IF($X569="Yes", VLOOKUP($W569, '[1]Storage Fees'!A:M, 7, FALSE), VLOOKUP($W569, '[1]Storage Fees'!A:M, 4, FALSE))) * U569)*1.5</f>
        <v>-0.33739583333333334</v>
      </c>
    </row>
    <row r="570" spans="1:40" x14ac:dyDescent="0.25">
      <c r="A570" s="99">
        <v>498</v>
      </c>
      <c r="B570" s="99" t="s">
        <v>13702</v>
      </c>
      <c r="C570" s="99" t="s">
        <v>13655</v>
      </c>
      <c r="D570" s="99" t="s">
        <v>714</v>
      </c>
      <c r="E570" s="99" t="s">
        <v>278</v>
      </c>
      <c r="F570" s="99" t="s">
        <v>1151</v>
      </c>
      <c r="G570" s="99" t="s">
        <v>13656</v>
      </c>
      <c r="H570" s="99">
        <v>41</v>
      </c>
      <c r="I570" s="99">
        <v>5</v>
      </c>
      <c r="J570" s="99">
        <v>2</v>
      </c>
      <c r="K570" s="101" t="str">
        <f t="shared" si="96"/>
        <v>41x5x2</v>
      </c>
      <c r="L570" s="102">
        <f t="shared" si="97"/>
        <v>2.949640287769784</v>
      </c>
      <c r="M570" s="113">
        <f t="shared" si="98"/>
        <v>2.949640287769784</v>
      </c>
      <c r="N570" s="113">
        <f t="shared" si="99"/>
        <v>3</v>
      </c>
      <c r="O570" s="99">
        <v>3</v>
      </c>
      <c r="P570" s="113">
        <f t="shared" si="100"/>
        <v>3</v>
      </c>
      <c r="Q570" s="112">
        <f t="shared" si="101"/>
        <v>48</v>
      </c>
      <c r="R570" s="112" t="str">
        <f t="shared" si="102"/>
        <v>Oversize</v>
      </c>
      <c r="S570" s="99" t="str">
        <f t="shared" si="103"/>
        <v>Large bulky</v>
      </c>
      <c r="T570" s="116" t="s">
        <v>13692</v>
      </c>
      <c r="U570" s="116">
        <f t="shared" si="104"/>
        <v>0.23726851851851852</v>
      </c>
      <c r="V570" s="116" t="s">
        <v>13583</v>
      </c>
      <c r="W570" s="116" t="s">
        <v>13690</v>
      </c>
      <c r="X570" s="116" t="s">
        <v>13691</v>
      </c>
      <c r="Y570" s="116">
        <v>2</v>
      </c>
      <c r="Z570" s="116">
        <v>3</v>
      </c>
      <c r="AA570" s="116">
        <v>1</v>
      </c>
      <c r="AB570" s="99"/>
      <c r="AC570" s="99"/>
      <c r="AD570" s="107">
        <v>0</v>
      </c>
      <c r="AE570" s="113">
        <f t="shared" si="105"/>
        <v>0</v>
      </c>
      <c r="AF570" s="116">
        <f>-IFERROR(IFERROR(VLOOKUP(ROUNDUP($Q570,0),'FBA FEES'!$L$2:$Q$203,MATCH($S570,'FBA FEES'!$L$2:$Q$2,0),FALSE),VLOOKUP(ROUNDUP($Q570,0),'FBA FEES'!$C$6:$F$123,MATCH($S570,'FBA FEES'!$C$6:$F$6,0),FALSE)),0)</f>
        <v>-10.37</v>
      </c>
      <c r="AG570" s="116">
        <v>-10</v>
      </c>
      <c r="AH570" s="113">
        <f t="shared" si="106"/>
        <v>-10.37</v>
      </c>
      <c r="AI570" s="116">
        <f>-IFERROR(IF($Y570=1,INDEX('[1]REMOVAL FEES'!$A$1:$C$22,MATCH(CONCATENATE("Standard Size",$P570),'[1]REMOVAL FEES'!$A$1:$A$22,0),3),IF($Y570=2,IF($P570&gt;10,(($P570-10)*1.06)+INDEX('[1]REMOVAL FEES'!$E$1:$G$22,MATCH(CONCATENATE("Large bulky, extra-large and special handling items",IF($P570&gt;=11,11,$P570)),'[1]REMOVAL FEES'!$E$1:$E$13,0),3),INDEX('[1]REMOVAL FEES'!$E$1:$G$22,MATCH(CONCATENATE("Large bulky, extra-large and special handling items",IF($P570&gt;=11,11,$P570)),'[1]REMOVAL FEES'!$E$1:$E$13,0),3))))*$AA570,FALSE)</f>
        <v>-6.36</v>
      </c>
      <c r="AJ570" s="107">
        <f t="shared" si="107"/>
        <v>-16.73</v>
      </c>
      <c r="AK570" s="107">
        <v>0</v>
      </c>
      <c r="AL570" s="107">
        <v>0</v>
      </c>
      <c r="AM570" s="107">
        <f t="shared" si="108"/>
        <v>0</v>
      </c>
      <c r="AN570" s="116">
        <f>(-IF($V570="Yes", IF($X570="Yes", VLOOKUP($W570, '[1]Storage Fees'!A:M, 13, FALSE), VLOOKUP($W570, '[1]Storage Fees'!A:M, 10, FALSE)), IF($X570="Yes", VLOOKUP($W570, '[1]Storage Fees'!A:M, 7, FALSE), VLOOKUP($W570, '[1]Storage Fees'!A:M, 4, FALSE))) * U570)*1.5</f>
        <v>-0.28116319444444449</v>
      </c>
    </row>
    <row r="571" spans="1:40" x14ac:dyDescent="0.25">
      <c r="A571" s="99">
        <v>499</v>
      </c>
      <c r="B571" s="99" t="s">
        <v>13705</v>
      </c>
      <c r="C571" s="99" t="s">
        <v>13655</v>
      </c>
      <c r="D571" s="99" t="s">
        <v>1047</v>
      </c>
      <c r="E571" s="99" t="s">
        <v>278</v>
      </c>
      <c r="F571" s="99" t="s">
        <v>1154</v>
      </c>
      <c r="G571" s="99" t="s">
        <v>13695</v>
      </c>
      <c r="H571" s="99">
        <v>29</v>
      </c>
      <c r="I571" s="99">
        <v>17</v>
      </c>
      <c r="J571" s="99">
        <v>11</v>
      </c>
      <c r="K571" s="101" t="str">
        <f t="shared" si="96"/>
        <v>29x17x11</v>
      </c>
      <c r="L571" s="102">
        <f t="shared" si="97"/>
        <v>39.014388489208635</v>
      </c>
      <c r="M571" s="113">
        <f t="shared" si="98"/>
        <v>39.014388489208635</v>
      </c>
      <c r="N571" s="113">
        <f t="shared" si="99"/>
        <v>40</v>
      </c>
      <c r="O571" s="99">
        <v>25</v>
      </c>
      <c r="P571" s="113">
        <f t="shared" si="100"/>
        <v>40</v>
      </c>
      <c r="Q571" s="112">
        <f t="shared" si="101"/>
        <v>640</v>
      </c>
      <c r="R571" s="112" t="str">
        <f t="shared" si="102"/>
        <v>Oversize</v>
      </c>
      <c r="S571" s="99" t="str">
        <f t="shared" si="103"/>
        <v>Large bulky</v>
      </c>
      <c r="T571" s="116" t="s">
        <v>13694</v>
      </c>
      <c r="U571" s="116">
        <f t="shared" si="104"/>
        <v>3.1383101851851851</v>
      </c>
      <c r="V571" s="116" t="s">
        <v>13583</v>
      </c>
      <c r="W571" s="116" t="s">
        <v>13690</v>
      </c>
      <c r="X571" s="116" t="s">
        <v>13691</v>
      </c>
      <c r="Y571" s="116">
        <v>2</v>
      </c>
      <c r="Z571" s="116">
        <v>3</v>
      </c>
      <c r="AA571" s="116">
        <v>1</v>
      </c>
      <c r="AB571" s="99"/>
      <c r="AC571" s="99"/>
      <c r="AD571" s="107">
        <v>64.989999999999995</v>
      </c>
      <c r="AE571" s="113">
        <f t="shared" si="105"/>
        <v>-9.7484999999999982</v>
      </c>
      <c r="AF571" s="116">
        <f>-IFERROR(IFERROR(VLOOKUP(ROUNDUP($Q571,0),'FBA FEES'!$L$2:$Q$203,MATCH($S571,'FBA FEES'!$L$2:$Q$2,0),FALSE),VLOOKUP(ROUNDUP($Q571,0),'FBA FEES'!$C$6:$F$123,MATCH($S571,'FBA FEES'!$C$6:$F$6,0),FALSE)),0)</f>
        <v>-24.43</v>
      </c>
      <c r="AG571" s="116">
        <v>-10</v>
      </c>
      <c r="AH571" s="113">
        <f t="shared" si="106"/>
        <v>-34.1785</v>
      </c>
      <c r="AI571" s="116">
        <f>-IFERROR(IF($Y571=1,INDEX('[1]REMOVAL FEES'!$A$1:$C$22,MATCH(CONCATENATE("Standard Size",$P571),'[1]REMOVAL FEES'!$A$1:$A$22,0),3),IF($Y571=2,IF($P571&gt;10,(($P571-10)*1.06)+INDEX('[1]REMOVAL FEES'!$E$1:$G$22,MATCH(CONCATENATE("Large bulky, extra-large and special handling items",IF($P571&gt;=11,11,$P571)),'[1]REMOVAL FEES'!$E$1:$E$13,0),3),INDEX('[1]REMOVAL FEES'!$E$1:$G$22,MATCH(CONCATENATE("Large bulky, extra-large and special handling items",IF($P571&gt;=11,11,$P571)),'[1]REMOVAL FEES'!$E$1:$E$13,0),3))))*$AA571,FALSE)</f>
        <v>-46.120000000000005</v>
      </c>
      <c r="AJ571" s="107">
        <f t="shared" si="107"/>
        <v>-80.298500000000004</v>
      </c>
      <c r="AK571" s="107">
        <v>-40.880000000000003</v>
      </c>
      <c r="AL571" s="107">
        <v>-12.43</v>
      </c>
      <c r="AM571" s="107">
        <f t="shared" si="108"/>
        <v>-53.31</v>
      </c>
      <c r="AN571" s="116">
        <f>(-IF($V571="Yes", IF($X571="Yes", VLOOKUP($W571, '[1]Storage Fees'!A:M, 13, FALSE), VLOOKUP($W571, '[1]Storage Fees'!A:M, 10, FALSE)), IF($X571="Yes", VLOOKUP($W571, '[1]Storage Fees'!A:M, 7, FALSE), VLOOKUP($W571, '[1]Storage Fees'!A:M, 4, FALSE))) * U571)*1.5</f>
        <v>-3.7188975694444446</v>
      </c>
    </row>
    <row r="572" spans="1:40" x14ac:dyDescent="0.25">
      <c r="A572" s="99">
        <v>500</v>
      </c>
      <c r="B572" s="99"/>
      <c r="C572" s="99" t="s">
        <v>13655</v>
      </c>
      <c r="D572" s="99"/>
      <c r="E572" s="99" t="s">
        <v>278</v>
      </c>
      <c r="F572" s="99" t="s">
        <v>1961</v>
      </c>
      <c r="G572" s="99" t="s">
        <v>13695</v>
      </c>
      <c r="H572" s="99">
        <v>0</v>
      </c>
      <c r="I572" s="99">
        <v>0</v>
      </c>
      <c r="J572" s="99">
        <v>0</v>
      </c>
      <c r="K572" s="101" t="str">
        <f t="shared" si="96"/>
        <v>0x0x0</v>
      </c>
      <c r="L572" s="102">
        <f t="shared" si="97"/>
        <v>0</v>
      </c>
      <c r="M572" s="113">
        <f t="shared" si="98"/>
        <v>0</v>
      </c>
      <c r="N572" s="113">
        <f t="shared" si="99"/>
        <v>0</v>
      </c>
      <c r="O572" s="99">
        <v>0</v>
      </c>
      <c r="P572" s="113">
        <f t="shared" si="100"/>
        <v>0</v>
      </c>
      <c r="Q572" s="112">
        <f t="shared" si="101"/>
        <v>0</v>
      </c>
      <c r="R572" s="112" t="str">
        <f t="shared" si="102"/>
        <v>Standard-size</v>
      </c>
      <c r="S572" s="99" t="str">
        <f t="shared" si="103"/>
        <v>Small standard-size</v>
      </c>
      <c r="T572" s="116" t="s">
        <v>13696</v>
      </c>
      <c r="U572" s="116">
        <f t="shared" si="104"/>
        <v>0</v>
      </c>
      <c r="V572" s="116" t="s">
        <v>13583</v>
      </c>
      <c r="W572" s="116" t="s">
        <v>13690</v>
      </c>
      <c r="X572" s="99" t="s">
        <v>13583</v>
      </c>
      <c r="Y572" s="99">
        <v>1</v>
      </c>
      <c r="Z572" s="99">
        <v>1</v>
      </c>
      <c r="AA572" s="99">
        <v>1</v>
      </c>
      <c r="AB572" s="99"/>
      <c r="AC572" s="99"/>
      <c r="AD572" s="107">
        <v>110.8471428571429</v>
      </c>
      <c r="AE572" s="113">
        <f t="shared" si="105"/>
        <v>-16.627071428571433</v>
      </c>
      <c r="AF572" s="116">
        <f>-IFERROR(IFERROR(VLOOKUP(ROUNDUP($Q572,0),'FBA FEES'!$L$2:$Q$203,MATCH($S572,'FBA FEES'!$L$2:$Q$2,0),FALSE),VLOOKUP(ROUNDUP($Q572,0),'FBA FEES'!$C$6:$F$123,MATCH($S572,'FBA FEES'!$C$6:$F$6,0),FALSE)),0)</f>
        <v>0</v>
      </c>
      <c r="AG572" s="116">
        <v>-10</v>
      </c>
      <c r="AH572" s="113">
        <f t="shared" si="106"/>
        <v>-16.627071428571433</v>
      </c>
      <c r="AI572" s="116">
        <f>-IFERROR(IF($Y572=1,INDEX('[1]REMOVAL FEES'!$A$1:$C$22,MATCH(CONCATENATE("Standard Size",$P572),'[1]REMOVAL FEES'!$A$1:$A$22,0),3),IF($Y572=2,IF($P572&gt;10,(($P572-10)*1.06)+INDEX('[1]REMOVAL FEES'!$E$1:$G$22,MATCH(CONCATENATE("Large bulky, extra-large and special handling items",IF($P572&gt;=11,11,$P572)),'[1]REMOVAL FEES'!$E$1:$E$13,0),3),INDEX('[1]REMOVAL FEES'!$E$1:$G$22,MATCH(CONCATENATE("Large bulky, extra-large and special handling items",IF($P572&gt;=11,11,$P572)),'[1]REMOVAL FEES'!$E$1:$E$13,0),3))))*$AA572,FALSE)</f>
        <v>0</v>
      </c>
      <c r="AJ572" s="107">
        <f t="shared" si="107"/>
        <v>-16.627071428571433</v>
      </c>
      <c r="AK572" s="107">
        <v>-94.74</v>
      </c>
      <c r="AL572" s="107">
        <v>-15.226666666666659</v>
      </c>
      <c r="AM572" s="107">
        <f t="shared" si="108"/>
        <v>-109.96666666666665</v>
      </c>
      <c r="AN572" s="116">
        <f>(-IF($V572="Yes", IF($X572="Yes", VLOOKUP($W572, '[1]Storage Fees'!A:M, 13, FALSE), VLOOKUP($W572, '[1]Storage Fees'!A:M, 10, FALSE)), IF($X572="Yes", VLOOKUP($W572, '[1]Storage Fees'!A:M, 7, FALSE), VLOOKUP($W572, '[1]Storage Fees'!A:M, 4, FALSE))) * U572)*1.5</f>
        <v>0</v>
      </c>
    </row>
    <row r="573" spans="1:40" x14ac:dyDescent="0.25">
      <c r="A573" s="99">
        <v>501</v>
      </c>
      <c r="B573" s="99" t="s">
        <v>13705</v>
      </c>
      <c r="C573" s="99" t="s">
        <v>13655</v>
      </c>
      <c r="D573" s="99" t="s">
        <v>714</v>
      </c>
      <c r="E573" s="99" t="s">
        <v>278</v>
      </c>
      <c r="F573" s="99" t="s">
        <v>1157</v>
      </c>
      <c r="G573" s="99" t="s">
        <v>13695</v>
      </c>
      <c r="H573" s="99">
        <v>27</v>
      </c>
      <c r="I573" s="99">
        <v>13</v>
      </c>
      <c r="J573" s="99">
        <v>2</v>
      </c>
      <c r="K573" s="101" t="str">
        <f t="shared" si="96"/>
        <v>27x13x2</v>
      </c>
      <c r="L573" s="102">
        <f t="shared" si="97"/>
        <v>5.0503597122302155</v>
      </c>
      <c r="M573" s="113">
        <f t="shared" si="98"/>
        <v>5.0503597122302155</v>
      </c>
      <c r="N573" s="113">
        <f t="shared" si="99"/>
        <v>6</v>
      </c>
      <c r="O573" s="99">
        <v>7</v>
      </c>
      <c r="P573" s="113">
        <f t="shared" si="100"/>
        <v>7</v>
      </c>
      <c r="Q573" s="112">
        <f t="shared" si="101"/>
        <v>112</v>
      </c>
      <c r="R573" s="112" t="str">
        <f t="shared" si="102"/>
        <v>Oversize</v>
      </c>
      <c r="S573" s="99" t="str">
        <f t="shared" si="103"/>
        <v>Large bulky</v>
      </c>
      <c r="T573" s="116" t="s">
        <v>13692</v>
      </c>
      <c r="U573" s="116">
        <f t="shared" si="104"/>
        <v>0.40625</v>
      </c>
      <c r="V573" s="116" t="s">
        <v>13583</v>
      </c>
      <c r="W573" s="116" t="s">
        <v>13690</v>
      </c>
      <c r="X573" s="116" t="s">
        <v>13691</v>
      </c>
      <c r="Y573" s="116">
        <v>2</v>
      </c>
      <c r="Z573" s="116">
        <v>3</v>
      </c>
      <c r="AA573" s="116">
        <v>1</v>
      </c>
      <c r="AB573" s="99"/>
      <c r="AC573" s="99"/>
      <c r="AD573" s="107">
        <v>45.345714285714287</v>
      </c>
      <c r="AE573" s="113">
        <f t="shared" si="105"/>
        <v>-6.801857142857143</v>
      </c>
      <c r="AF573" s="116">
        <f>-IFERROR(IFERROR(VLOOKUP(ROUNDUP($Q573,0),'FBA FEES'!$L$2:$Q$203,MATCH($S573,'FBA FEES'!$L$2:$Q$2,0),FALSE),VLOOKUP(ROUNDUP($Q573,0),'FBA FEES'!$C$6:$F$123,MATCH($S573,'FBA FEES'!$C$6:$F$6,0),FALSE)),0)</f>
        <v>-11.89</v>
      </c>
      <c r="AG573" s="116">
        <v>-10</v>
      </c>
      <c r="AH573" s="113">
        <f t="shared" si="106"/>
        <v>-18.691857142857145</v>
      </c>
      <c r="AI573" s="116">
        <f>-IFERROR(IF($Y573=1,INDEX('[1]REMOVAL FEES'!$A$1:$C$22,MATCH(CONCATENATE("Standard Size",$P573),'[1]REMOVAL FEES'!$A$1:$A$22,0),3),IF($Y573=2,IF($P573&gt;10,(($P573-10)*1.06)+INDEX('[1]REMOVAL FEES'!$E$1:$G$22,MATCH(CONCATENATE("Large bulky, extra-large and special handling items",IF($P573&gt;=11,11,$P573)),'[1]REMOVAL FEES'!$E$1:$E$13,0),3),INDEX('[1]REMOVAL FEES'!$E$1:$G$22,MATCH(CONCATENATE("Large bulky, extra-large and special handling items",IF($P573&gt;=11,11,$P573)),'[1]REMOVAL FEES'!$E$1:$E$13,0),3))))*$AA573,FALSE)</f>
        <v>-10.039999999999999</v>
      </c>
      <c r="AJ573" s="107">
        <f t="shared" si="107"/>
        <v>-28.731857142857145</v>
      </c>
      <c r="AK573" s="107">
        <v>-31.57</v>
      </c>
      <c r="AL573" s="107">
        <v>-7.4733333333333309</v>
      </c>
      <c r="AM573" s="107">
        <f t="shared" si="108"/>
        <v>-39.043333333333329</v>
      </c>
      <c r="AN573" s="116">
        <f>(-IF($V573="Yes", IF($X573="Yes", VLOOKUP($W573, '[1]Storage Fees'!A:M, 13, FALSE), VLOOKUP($W573, '[1]Storage Fees'!A:M, 10, FALSE)), IF($X573="Yes", VLOOKUP($W573, '[1]Storage Fees'!A:M, 7, FALSE), VLOOKUP($W573, '[1]Storage Fees'!A:M, 4, FALSE))) * U573)*1.5</f>
        <v>-0.48140624999999998</v>
      </c>
    </row>
    <row r="574" spans="1:40" x14ac:dyDescent="0.25">
      <c r="A574" s="99">
        <v>502</v>
      </c>
      <c r="B574" s="99"/>
      <c r="C574" s="99" t="s">
        <v>13655</v>
      </c>
      <c r="D574" s="99"/>
      <c r="E574" s="99" t="s">
        <v>278</v>
      </c>
      <c r="F574" s="99" t="s">
        <v>1964</v>
      </c>
      <c r="G574" s="99" t="s">
        <v>13695</v>
      </c>
      <c r="H574" s="99">
        <v>0</v>
      </c>
      <c r="I574" s="99">
        <v>0</v>
      </c>
      <c r="J574" s="99">
        <v>0</v>
      </c>
      <c r="K574" s="101" t="str">
        <f t="shared" si="96"/>
        <v>0x0x0</v>
      </c>
      <c r="L574" s="102">
        <f t="shared" si="97"/>
        <v>0</v>
      </c>
      <c r="M574" s="113">
        <f t="shared" si="98"/>
        <v>0</v>
      </c>
      <c r="N574" s="113">
        <f t="shared" si="99"/>
        <v>0</v>
      </c>
      <c r="O574" s="99">
        <v>0</v>
      </c>
      <c r="P574" s="113">
        <f t="shared" si="100"/>
        <v>0</v>
      </c>
      <c r="Q574" s="112">
        <f t="shared" si="101"/>
        <v>0</v>
      </c>
      <c r="R574" s="112" t="str">
        <f t="shared" si="102"/>
        <v>Standard-size</v>
      </c>
      <c r="S574" s="99" t="str">
        <f t="shared" si="103"/>
        <v>Small standard-size</v>
      </c>
      <c r="T574" s="116" t="s">
        <v>13696</v>
      </c>
      <c r="U574" s="116">
        <f t="shared" si="104"/>
        <v>0</v>
      </c>
      <c r="V574" s="116" t="s">
        <v>13583</v>
      </c>
      <c r="W574" s="116" t="s">
        <v>13690</v>
      </c>
      <c r="X574" s="99" t="s">
        <v>13583</v>
      </c>
      <c r="Y574" s="99">
        <v>1</v>
      </c>
      <c r="Z574" s="99">
        <v>1</v>
      </c>
      <c r="AA574" s="99">
        <v>1</v>
      </c>
      <c r="AB574" s="99"/>
      <c r="AC574" s="99"/>
      <c r="AD574" s="107">
        <v>48.59</v>
      </c>
      <c r="AE574" s="113">
        <f t="shared" si="105"/>
        <v>-7.2885</v>
      </c>
      <c r="AF574" s="116">
        <f>-IFERROR(IFERROR(VLOOKUP(ROUNDUP($Q574,0),'FBA FEES'!$L$2:$Q$203,MATCH($S574,'FBA FEES'!$L$2:$Q$2,0),FALSE),VLOOKUP(ROUNDUP($Q574,0),'FBA FEES'!$C$6:$F$123,MATCH($S574,'FBA FEES'!$C$6:$F$6,0),FALSE)),0)</f>
        <v>0</v>
      </c>
      <c r="AG574" s="116">
        <v>-10</v>
      </c>
      <c r="AH574" s="113">
        <f t="shared" si="106"/>
        <v>-7.2885</v>
      </c>
      <c r="AI574" s="116">
        <f>-IFERROR(IF($Y574=1,INDEX('[1]REMOVAL FEES'!$A$1:$C$22,MATCH(CONCATENATE("Standard Size",$P574),'[1]REMOVAL FEES'!$A$1:$A$22,0),3),IF($Y574=2,IF($P574&gt;10,(($P574-10)*1.06)+INDEX('[1]REMOVAL FEES'!$E$1:$G$22,MATCH(CONCATENATE("Large bulky, extra-large and special handling items",IF($P574&gt;=11,11,$P574)),'[1]REMOVAL FEES'!$E$1:$E$13,0),3),INDEX('[1]REMOVAL FEES'!$E$1:$G$22,MATCH(CONCATENATE("Large bulky, extra-large and special handling items",IF($P574&gt;=11,11,$P574)),'[1]REMOVAL FEES'!$E$1:$E$13,0),3))))*$AA574,FALSE)</f>
        <v>0</v>
      </c>
      <c r="AJ574" s="107">
        <f t="shared" si="107"/>
        <v>-7.2885</v>
      </c>
      <c r="AK574" s="107">
        <v>-28.920000000000009</v>
      </c>
      <c r="AL574" s="107">
        <v>-6.3987499999999997</v>
      </c>
      <c r="AM574" s="107">
        <f t="shared" si="108"/>
        <v>-35.318750000000009</v>
      </c>
      <c r="AN574" s="116">
        <f>(-IF($V574="Yes", IF($X574="Yes", VLOOKUP($W574, '[1]Storage Fees'!A:M, 13, FALSE), VLOOKUP($W574, '[1]Storage Fees'!A:M, 10, FALSE)), IF($X574="Yes", VLOOKUP($W574, '[1]Storage Fees'!A:M, 7, FALSE), VLOOKUP($W574, '[1]Storage Fees'!A:M, 4, FALSE))) * U574)*1.5</f>
        <v>0</v>
      </c>
    </row>
    <row r="575" spans="1:40" x14ac:dyDescent="0.25">
      <c r="A575" s="99">
        <v>503</v>
      </c>
      <c r="B575" s="99" t="s">
        <v>13705</v>
      </c>
      <c r="C575" s="99" t="s">
        <v>13655</v>
      </c>
      <c r="D575" s="99" t="s">
        <v>714</v>
      </c>
      <c r="E575" s="99" t="s">
        <v>278</v>
      </c>
      <c r="F575" s="99" t="s">
        <v>1160</v>
      </c>
      <c r="G575" s="99" t="s">
        <v>13656</v>
      </c>
      <c r="H575" s="99">
        <v>32</v>
      </c>
      <c r="I575" s="99">
        <v>6</v>
      </c>
      <c r="J575" s="99">
        <v>2</v>
      </c>
      <c r="K575" s="101" t="str">
        <f t="shared" si="96"/>
        <v>32x6x2</v>
      </c>
      <c r="L575" s="102">
        <f t="shared" si="97"/>
        <v>2.7625899280575541</v>
      </c>
      <c r="M575" s="113">
        <f t="shared" si="98"/>
        <v>2.7625899280575541</v>
      </c>
      <c r="N575" s="113">
        <f t="shared" si="99"/>
        <v>3</v>
      </c>
      <c r="O575" s="99">
        <v>5</v>
      </c>
      <c r="P575" s="113">
        <f t="shared" si="100"/>
        <v>5</v>
      </c>
      <c r="Q575" s="112">
        <f t="shared" si="101"/>
        <v>80</v>
      </c>
      <c r="R575" s="112" t="str">
        <f t="shared" si="102"/>
        <v>Oversize</v>
      </c>
      <c r="S575" s="99" t="str">
        <f t="shared" si="103"/>
        <v>Large bulky</v>
      </c>
      <c r="T575" s="116" t="s">
        <v>13692</v>
      </c>
      <c r="U575" s="116">
        <f t="shared" si="104"/>
        <v>0.22222222222222221</v>
      </c>
      <c r="V575" s="116" t="s">
        <v>13583</v>
      </c>
      <c r="W575" s="116" t="s">
        <v>13690</v>
      </c>
      <c r="X575" s="116" t="s">
        <v>13691</v>
      </c>
      <c r="Y575" s="116">
        <v>2</v>
      </c>
      <c r="Z575" s="116">
        <v>3</v>
      </c>
      <c r="AA575" s="116">
        <v>1</v>
      </c>
      <c r="AB575" s="99"/>
      <c r="AC575" s="99"/>
      <c r="AD575" s="107">
        <v>39.99</v>
      </c>
      <c r="AE575" s="113">
        <f t="shared" si="105"/>
        <v>-5.9984999999999999</v>
      </c>
      <c r="AF575" s="116">
        <f>-IFERROR(IFERROR(VLOOKUP(ROUNDUP($Q575,0),'FBA FEES'!$L$2:$Q$203,MATCH($S575,'FBA FEES'!$L$2:$Q$2,0),FALSE),VLOOKUP(ROUNDUP($Q575,0),'FBA FEES'!$C$6:$F$123,MATCH($S575,'FBA FEES'!$C$6:$F$6,0),FALSE)),0)</f>
        <v>-11.129999999999999</v>
      </c>
      <c r="AG575" s="116">
        <v>-10</v>
      </c>
      <c r="AH575" s="113">
        <f t="shared" si="106"/>
        <v>-17.128499999999999</v>
      </c>
      <c r="AI575" s="116">
        <f>-IFERROR(IF($Y575=1,INDEX('[1]REMOVAL FEES'!$A$1:$C$22,MATCH(CONCATENATE("Standard Size",$P575),'[1]REMOVAL FEES'!$A$1:$A$22,0),3),IF($Y575=2,IF($P575&gt;10,(($P575-10)*1.06)+INDEX('[1]REMOVAL FEES'!$E$1:$G$22,MATCH(CONCATENATE("Large bulky, extra-large and special handling items",IF($P575&gt;=11,11,$P575)),'[1]REMOVAL FEES'!$E$1:$E$13,0),3),INDEX('[1]REMOVAL FEES'!$E$1:$G$22,MATCH(CONCATENATE("Large bulky, extra-large and special handling items",IF($P575&gt;=11,11,$P575)),'[1]REMOVAL FEES'!$E$1:$E$13,0),3))))*$AA575,FALSE)</f>
        <v>-10.039999999999999</v>
      </c>
      <c r="AJ575" s="107">
        <f t="shared" si="107"/>
        <v>-27.168499999999998</v>
      </c>
      <c r="AK575" s="107">
        <v>-16.91</v>
      </c>
      <c r="AL575" s="107">
        <v>-5.746666666666667</v>
      </c>
      <c r="AM575" s="107">
        <f t="shared" si="108"/>
        <v>-22.656666666666666</v>
      </c>
      <c r="AN575" s="116">
        <f>(-IF($V575="Yes", IF($X575="Yes", VLOOKUP($W575, '[1]Storage Fees'!A:M, 13, FALSE), VLOOKUP($W575, '[1]Storage Fees'!A:M, 10, FALSE)), IF($X575="Yes", VLOOKUP($W575, '[1]Storage Fees'!A:M, 7, FALSE), VLOOKUP($W575, '[1]Storage Fees'!A:M, 4, FALSE))) * U575)*1.5</f>
        <v>-0.26333333333333331</v>
      </c>
    </row>
    <row r="576" spans="1:40" x14ac:dyDescent="0.25">
      <c r="A576" s="99">
        <v>504</v>
      </c>
      <c r="B576" s="99" t="s">
        <v>13702</v>
      </c>
      <c r="C576" s="99" t="s">
        <v>13655</v>
      </c>
      <c r="D576" s="99" t="s">
        <v>1165</v>
      </c>
      <c r="E576" s="99" t="s">
        <v>278</v>
      </c>
      <c r="F576" s="99" t="s">
        <v>1163</v>
      </c>
      <c r="G576" s="99" t="s">
        <v>13695</v>
      </c>
      <c r="H576" s="99">
        <v>20</v>
      </c>
      <c r="I576" s="99">
        <v>20</v>
      </c>
      <c r="J576" s="99">
        <v>7</v>
      </c>
      <c r="K576" s="101" t="str">
        <f t="shared" si="96"/>
        <v>20x20x7</v>
      </c>
      <c r="L576" s="102">
        <f t="shared" si="97"/>
        <v>20.14388489208633</v>
      </c>
      <c r="M576" s="113">
        <f t="shared" si="98"/>
        <v>20.14388489208633</v>
      </c>
      <c r="N576" s="113">
        <f t="shared" si="99"/>
        <v>21</v>
      </c>
      <c r="O576" s="99">
        <v>23</v>
      </c>
      <c r="P576" s="113">
        <f t="shared" si="100"/>
        <v>23</v>
      </c>
      <c r="Q576" s="112">
        <f t="shared" si="101"/>
        <v>368</v>
      </c>
      <c r="R576" s="112" t="str">
        <f t="shared" si="102"/>
        <v>Oversize</v>
      </c>
      <c r="S576" s="99" t="str">
        <f t="shared" si="103"/>
        <v>Large bulky</v>
      </c>
      <c r="T576" s="116" t="s">
        <v>13692</v>
      </c>
      <c r="U576" s="116">
        <f t="shared" si="104"/>
        <v>1.6203703703703705</v>
      </c>
      <c r="V576" s="116" t="s">
        <v>13583</v>
      </c>
      <c r="W576" s="116" t="s">
        <v>13690</v>
      </c>
      <c r="X576" s="116" t="s">
        <v>13691</v>
      </c>
      <c r="Y576" s="116">
        <v>2</v>
      </c>
      <c r="Z576" s="116">
        <v>3</v>
      </c>
      <c r="AA576" s="116">
        <v>1</v>
      </c>
      <c r="AB576" s="99"/>
      <c r="AC576" s="99"/>
      <c r="AD576" s="107">
        <v>99.989555555555469</v>
      </c>
      <c r="AE576" s="113">
        <f t="shared" si="105"/>
        <v>-14.99843333333332</v>
      </c>
      <c r="AF576" s="116">
        <f>-IFERROR(IFERROR(VLOOKUP(ROUNDUP($Q576,0),'FBA FEES'!$L$2:$Q$203,MATCH($S576,'FBA FEES'!$L$2:$Q$2,0),FALSE),VLOOKUP(ROUNDUP($Q576,0),'FBA FEES'!$C$6:$F$123,MATCH($S576,'FBA FEES'!$C$6:$F$6,0),FALSE)),0)</f>
        <v>-17.97</v>
      </c>
      <c r="AG576" s="116">
        <v>-10</v>
      </c>
      <c r="AH576" s="113">
        <f t="shared" si="106"/>
        <v>-32.968433333333323</v>
      </c>
      <c r="AI576" s="116">
        <f>-IFERROR(IF($Y576=1,INDEX('[1]REMOVAL FEES'!$A$1:$C$22,MATCH(CONCATENATE("Standard Size",$P576),'[1]REMOVAL FEES'!$A$1:$A$22,0),3),IF($Y576=2,IF($P576&gt;10,(($P576-10)*1.06)+INDEX('[1]REMOVAL FEES'!$E$1:$G$22,MATCH(CONCATENATE("Large bulky, extra-large and special handling items",IF($P576&gt;=11,11,$P576)),'[1]REMOVAL FEES'!$E$1:$E$13,0),3),INDEX('[1]REMOVAL FEES'!$E$1:$G$22,MATCH(CONCATENATE("Large bulky, extra-large and special handling items",IF($P576&gt;=11,11,$P576)),'[1]REMOVAL FEES'!$E$1:$E$13,0),3))))*$AA576,FALSE)</f>
        <v>-28.1</v>
      </c>
      <c r="AJ576" s="107">
        <f t="shared" si="107"/>
        <v>-61.068433333333324</v>
      </c>
      <c r="AK576" s="107">
        <v>-49.773333333333341</v>
      </c>
      <c r="AL576" s="107">
        <v>-10.07987089330652</v>
      </c>
      <c r="AM576" s="107">
        <f t="shared" si="108"/>
        <v>-59.853204226639861</v>
      </c>
      <c r="AN576" s="116">
        <f>(-IF($V576="Yes", IF($X576="Yes", VLOOKUP($W576, '[1]Storage Fees'!A:M, 13, FALSE), VLOOKUP($W576, '[1]Storage Fees'!A:M, 10, FALSE)), IF($X576="Yes", VLOOKUP($W576, '[1]Storage Fees'!A:M, 7, FALSE), VLOOKUP($W576, '[1]Storage Fees'!A:M, 4, FALSE))) * U576)*1.5</f>
        <v>-1.9201388888888893</v>
      </c>
    </row>
    <row r="577" spans="1:40" x14ac:dyDescent="0.25">
      <c r="A577" s="99">
        <v>505</v>
      </c>
      <c r="B577" s="99" t="s">
        <v>13702</v>
      </c>
      <c r="C577" s="99" t="s">
        <v>13655</v>
      </c>
      <c r="D577" s="99" t="s">
        <v>718</v>
      </c>
      <c r="E577" s="99" t="s">
        <v>278</v>
      </c>
      <c r="F577" s="99" t="s">
        <v>1167</v>
      </c>
      <c r="G577" s="99" t="s">
        <v>13695</v>
      </c>
      <c r="H577" s="99">
        <v>17</v>
      </c>
      <c r="I577" s="99">
        <v>15</v>
      </c>
      <c r="J577" s="99">
        <v>15</v>
      </c>
      <c r="K577" s="101" t="str">
        <f t="shared" si="96"/>
        <v>17x15x15</v>
      </c>
      <c r="L577" s="102">
        <f t="shared" si="97"/>
        <v>27.517985611510792</v>
      </c>
      <c r="M577" s="113">
        <f t="shared" si="98"/>
        <v>27.517985611510792</v>
      </c>
      <c r="N577" s="113">
        <f t="shared" si="99"/>
        <v>28</v>
      </c>
      <c r="O577" s="99">
        <v>30</v>
      </c>
      <c r="P577" s="113">
        <f t="shared" si="100"/>
        <v>30</v>
      </c>
      <c r="Q577" s="112">
        <f t="shared" si="101"/>
        <v>480</v>
      </c>
      <c r="R577" s="112" t="str">
        <f t="shared" si="102"/>
        <v>Oversize</v>
      </c>
      <c r="S577" s="99" t="str">
        <f t="shared" si="103"/>
        <v>Large bulky</v>
      </c>
      <c r="T577" s="116" t="s">
        <v>13692</v>
      </c>
      <c r="U577" s="116">
        <f t="shared" si="104"/>
        <v>2.2135416666666665</v>
      </c>
      <c r="V577" s="116" t="s">
        <v>13583</v>
      </c>
      <c r="W577" s="116" t="s">
        <v>13690</v>
      </c>
      <c r="X577" s="116" t="s">
        <v>13691</v>
      </c>
      <c r="Y577" s="116">
        <v>2</v>
      </c>
      <c r="Z577" s="116">
        <v>3</v>
      </c>
      <c r="AA577" s="116">
        <v>1</v>
      </c>
      <c r="AB577" s="99"/>
      <c r="AC577" s="99"/>
      <c r="AD577" s="107">
        <v>0</v>
      </c>
      <c r="AE577" s="113">
        <f t="shared" si="105"/>
        <v>0</v>
      </c>
      <c r="AF577" s="116">
        <f>-IFERROR(IFERROR(VLOOKUP(ROUNDUP($Q577,0),'FBA FEES'!$L$2:$Q$203,MATCH($S577,'FBA FEES'!$L$2:$Q$2,0),FALSE),VLOOKUP(ROUNDUP($Q577,0),'FBA FEES'!$C$6:$F$123,MATCH($S577,'FBA FEES'!$C$6:$F$6,0),FALSE)),0)</f>
        <v>-20.63</v>
      </c>
      <c r="AG577" s="116">
        <v>-10</v>
      </c>
      <c r="AH577" s="113">
        <f t="shared" si="106"/>
        <v>-20.63</v>
      </c>
      <c r="AI577" s="116">
        <f>-IFERROR(IF($Y577=1,INDEX('[1]REMOVAL FEES'!$A$1:$C$22,MATCH(CONCATENATE("Standard Size",$P577),'[1]REMOVAL FEES'!$A$1:$A$22,0),3),IF($Y577=2,IF($P577&gt;10,(($P577-10)*1.06)+INDEX('[1]REMOVAL FEES'!$E$1:$G$22,MATCH(CONCATENATE("Large bulky, extra-large and special handling items",IF($P577&gt;=11,11,$P577)),'[1]REMOVAL FEES'!$E$1:$E$13,0),3),INDEX('[1]REMOVAL FEES'!$E$1:$G$22,MATCH(CONCATENATE("Large bulky, extra-large and special handling items",IF($P577&gt;=11,11,$P577)),'[1]REMOVAL FEES'!$E$1:$E$13,0),3))))*$AA577,FALSE)</f>
        <v>-35.520000000000003</v>
      </c>
      <c r="AJ577" s="107">
        <f t="shared" si="107"/>
        <v>-56.150000000000006</v>
      </c>
      <c r="AK577" s="107">
        <v>0</v>
      </c>
      <c r="AL577" s="107">
        <v>0</v>
      </c>
      <c r="AM577" s="107">
        <f t="shared" si="108"/>
        <v>0</v>
      </c>
      <c r="AN577" s="116">
        <f>(-IF($V577="Yes", IF($X577="Yes", VLOOKUP($W577, '[1]Storage Fees'!A:M, 13, FALSE), VLOOKUP($W577, '[1]Storage Fees'!A:M, 10, FALSE)), IF($X577="Yes", VLOOKUP($W577, '[1]Storage Fees'!A:M, 7, FALSE), VLOOKUP($W577, '[1]Storage Fees'!A:M, 4, FALSE))) * U577)*1.5</f>
        <v>-2.623046875</v>
      </c>
    </row>
    <row r="578" spans="1:40" x14ac:dyDescent="0.25">
      <c r="A578" s="99">
        <v>506</v>
      </c>
      <c r="B578" s="99" t="s">
        <v>55</v>
      </c>
      <c r="C578" s="99"/>
      <c r="D578" s="99" t="s">
        <v>119</v>
      </c>
      <c r="E578" s="99" t="s">
        <v>201</v>
      </c>
      <c r="F578" s="99" t="s">
        <v>366</v>
      </c>
      <c r="G578" s="99" t="s">
        <v>13656</v>
      </c>
      <c r="H578" s="99">
        <v>15</v>
      </c>
      <c r="I578" s="99">
        <v>11</v>
      </c>
      <c r="J578" s="99">
        <v>3</v>
      </c>
      <c r="K578" s="101" t="str">
        <f t="shared" si="96"/>
        <v>15x11x3</v>
      </c>
      <c r="L578" s="102">
        <f t="shared" si="97"/>
        <v>3.5611510791366907</v>
      </c>
      <c r="M578" s="113">
        <f t="shared" si="98"/>
        <v>3.5611510791366907</v>
      </c>
      <c r="N578" s="113">
        <f t="shared" si="99"/>
        <v>4</v>
      </c>
      <c r="O578" s="99">
        <v>5</v>
      </c>
      <c r="P578" s="113">
        <f t="shared" si="100"/>
        <v>5</v>
      </c>
      <c r="Q578" s="112">
        <f t="shared" si="101"/>
        <v>80</v>
      </c>
      <c r="R578" s="112" t="str">
        <f t="shared" si="102"/>
        <v>Standard-size</v>
      </c>
      <c r="S578" s="99" t="str">
        <f t="shared" si="103"/>
        <v>Large standard-size</v>
      </c>
      <c r="T578" s="116" t="s">
        <v>13693</v>
      </c>
      <c r="U578" s="116">
        <f t="shared" si="104"/>
        <v>0.28645833333333331</v>
      </c>
      <c r="V578" s="116" t="s">
        <v>13583</v>
      </c>
      <c r="W578" s="116" t="s">
        <v>13690</v>
      </c>
      <c r="X578" s="99" t="s">
        <v>13583</v>
      </c>
      <c r="Y578" s="99">
        <v>1</v>
      </c>
      <c r="Z578" s="99">
        <v>2</v>
      </c>
      <c r="AA578" s="99">
        <v>1</v>
      </c>
      <c r="AB578" s="99"/>
      <c r="AC578" s="99"/>
      <c r="AD578" s="107">
        <v>71.271395348837146</v>
      </c>
      <c r="AE578" s="113">
        <f t="shared" si="105"/>
        <v>-10.690709302325571</v>
      </c>
      <c r="AF578" s="116">
        <f>-IFERROR(IFERROR(VLOOKUP(ROUNDUP($Q578,0),'FBA FEES'!$L$2:$Q$203,MATCH($S578,'FBA FEES'!$L$2:$Q$2,0),FALSE),VLOOKUP(ROUNDUP($Q578,0),'FBA FEES'!$C$6:$F$123,MATCH($S578,'FBA FEES'!$C$6:$F$6,0),FALSE)),0)</f>
        <v>-7.56</v>
      </c>
      <c r="AG578" s="116">
        <v>-7</v>
      </c>
      <c r="AH578" s="113">
        <f t="shared" si="106"/>
        <v>-18.250709302325571</v>
      </c>
      <c r="AI578" s="116">
        <f>-IFERROR(IF($Y578=1,INDEX('[1]REMOVAL FEES'!$A$1:$C$22,MATCH(CONCATENATE("Standard Size",$P578),'[1]REMOVAL FEES'!$A$1:$A$22,0),3),IF($Y578=2,IF($P578&gt;10,(($P578-10)*1.06)+INDEX('[1]REMOVAL FEES'!$E$1:$G$22,MATCH(CONCATENATE("Large bulky, extra-large and special handling items",IF($P578&gt;=11,11,$P578)),'[1]REMOVAL FEES'!$E$1:$E$13,0),3),INDEX('[1]REMOVAL FEES'!$E$1:$G$22,MATCH(CONCATENATE("Large bulky, extra-large and special handling items",IF($P578&gt;=11,11,$P578)),'[1]REMOVAL FEES'!$E$1:$E$13,0),3))))*$AA578,FALSE)</f>
        <v>-6.07</v>
      </c>
      <c r="AJ578" s="107">
        <f t="shared" si="107"/>
        <v>-24.320709302325572</v>
      </c>
      <c r="AK578" s="107">
        <v>-8.1100000000000083</v>
      </c>
      <c r="AL578" s="107">
        <v>-1.588036175710595</v>
      </c>
      <c r="AM578" s="107">
        <f t="shared" si="108"/>
        <v>-9.6980361757106035</v>
      </c>
      <c r="AN578" s="116">
        <f>(-IF($V578="Yes", IF($X578="Yes", VLOOKUP($W578, '[1]Storage Fees'!A:M, 13, FALSE), VLOOKUP($W578, '[1]Storage Fees'!A:M, 10, FALSE)), IF($X578="Yes", VLOOKUP($W578, '[1]Storage Fees'!A:M, 7, FALSE), VLOOKUP($W578, '[1]Storage Fees'!A:M, 4, FALSE))) * U578)*1.5</f>
        <v>-0.52421874999999996</v>
      </c>
    </row>
    <row r="579" spans="1:40" x14ac:dyDescent="0.25">
      <c r="A579" s="99">
        <v>507</v>
      </c>
      <c r="B579" s="99"/>
      <c r="C579" s="99" t="s">
        <v>13655</v>
      </c>
      <c r="D579" s="99"/>
      <c r="E579" s="99" t="s">
        <v>201</v>
      </c>
      <c r="F579" s="99" t="s">
        <v>704</v>
      </c>
      <c r="G579" s="99" t="s">
        <v>13656</v>
      </c>
      <c r="H579" s="99">
        <v>0</v>
      </c>
      <c r="I579" s="99">
        <v>0</v>
      </c>
      <c r="J579" s="99">
        <v>0</v>
      </c>
      <c r="K579" s="101" t="str">
        <f t="shared" si="96"/>
        <v>0x0x0</v>
      </c>
      <c r="L579" s="102">
        <f t="shared" si="97"/>
        <v>0</v>
      </c>
      <c r="M579" s="113">
        <f t="shared" si="98"/>
        <v>0</v>
      </c>
      <c r="N579" s="113">
        <f t="shared" si="99"/>
        <v>0</v>
      </c>
      <c r="O579" s="99">
        <v>0</v>
      </c>
      <c r="P579" s="113">
        <f t="shared" si="100"/>
        <v>0</v>
      </c>
      <c r="Q579" s="112">
        <f t="shared" si="101"/>
        <v>0</v>
      </c>
      <c r="R579" s="112" t="str">
        <f t="shared" si="102"/>
        <v>Standard-size</v>
      </c>
      <c r="S579" s="99" t="str">
        <f t="shared" si="103"/>
        <v>Small standard-size</v>
      </c>
      <c r="T579" s="116" t="s">
        <v>13696</v>
      </c>
      <c r="U579" s="116">
        <f t="shared" si="104"/>
        <v>0</v>
      </c>
      <c r="V579" s="116" t="s">
        <v>13583</v>
      </c>
      <c r="W579" s="116" t="s">
        <v>13690</v>
      </c>
      <c r="X579" s="99" t="s">
        <v>13583</v>
      </c>
      <c r="Y579" s="99">
        <v>1</v>
      </c>
      <c r="Z579" s="99">
        <v>1</v>
      </c>
      <c r="AA579" s="99">
        <v>1</v>
      </c>
      <c r="AB579" s="99"/>
      <c r="AC579" s="99"/>
      <c r="AD579" s="107">
        <v>48.811724137931037</v>
      </c>
      <c r="AE579" s="113">
        <f t="shared" si="105"/>
        <v>-7.3217586206896552</v>
      </c>
      <c r="AF579" s="116">
        <f>-IFERROR(IFERROR(VLOOKUP(ROUNDUP($Q579,0),'FBA FEES'!$L$2:$Q$203,MATCH($S579,'FBA FEES'!$L$2:$Q$2,0),FALSE),VLOOKUP(ROUNDUP($Q579,0),'FBA FEES'!$C$6:$F$123,MATCH($S579,'FBA FEES'!$C$6:$F$6,0),FALSE)),0)</f>
        <v>0</v>
      </c>
      <c r="AG579" s="116">
        <v>-7</v>
      </c>
      <c r="AH579" s="113">
        <f t="shared" si="106"/>
        <v>-7.3217586206896552</v>
      </c>
      <c r="AI579" s="116">
        <f>-IFERROR(IF($Y579=1,INDEX('[1]REMOVAL FEES'!$A$1:$C$22,MATCH(CONCATENATE("Standard Size",$P579),'[1]REMOVAL FEES'!$A$1:$A$22,0),3),IF($Y579=2,IF($P579&gt;10,(($P579-10)*1.06)+INDEX('[1]REMOVAL FEES'!$E$1:$G$22,MATCH(CONCATENATE("Large bulky, extra-large and special handling items",IF($P579&gt;=11,11,$P579)),'[1]REMOVAL FEES'!$E$1:$E$13,0),3),INDEX('[1]REMOVAL FEES'!$E$1:$G$22,MATCH(CONCATENATE("Large bulky, extra-large and special handling items",IF($P579&gt;=11,11,$P579)),'[1]REMOVAL FEES'!$E$1:$E$13,0),3))))*$AA579,FALSE)</f>
        <v>0</v>
      </c>
      <c r="AJ579" s="107">
        <f t="shared" si="107"/>
        <v>-7.3217586206896552</v>
      </c>
      <c r="AK579" s="107">
        <v>-8.4600000000000062</v>
      </c>
      <c r="AL579" s="107">
        <v>-4.026655172413796</v>
      </c>
      <c r="AM579" s="107">
        <f t="shared" si="108"/>
        <v>-12.486655172413801</v>
      </c>
      <c r="AN579" s="116">
        <f>(-IF($V579="Yes", IF($X579="Yes", VLOOKUP($W579, '[1]Storage Fees'!A:M, 13, FALSE), VLOOKUP($W579, '[1]Storage Fees'!A:M, 10, FALSE)), IF($X579="Yes", VLOOKUP($W579, '[1]Storage Fees'!A:M, 7, FALSE), VLOOKUP($W579, '[1]Storage Fees'!A:M, 4, FALSE))) * U579)*1.5</f>
        <v>0</v>
      </c>
    </row>
    <row r="580" spans="1:40" x14ac:dyDescent="0.25">
      <c r="A580" s="99">
        <v>508</v>
      </c>
      <c r="B580" s="99" t="s">
        <v>55</v>
      </c>
      <c r="C580" s="99"/>
      <c r="D580" s="99" t="s">
        <v>119</v>
      </c>
      <c r="E580" s="99" t="s">
        <v>201</v>
      </c>
      <c r="F580" s="99" t="s">
        <v>368</v>
      </c>
      <c r="G580" s="99" t="s">
        <v>13656</v>
      </c>
      <c r="H580" s="99">
        <v>17</v>
      </c>
      <c r="I580" s="99">
        <v>11</v>
      </c>
      <c r="J580" s="99">
        <v>3</v>
      </c>
      <c r="K580" s="101" t="str">
        <f t="shared" si="96"/>
        <v>17x11x3</v>
      </c>
      <c r="L580" s="102">
        <f t="shared" si="97"/>
        <v>4.0359712230215825</v>
      </c>
      <c r="M580" s="113">
        <f t="shared" si="98"/>
        <v>4.0359712230215825</v>
      </c>
      <c r="N580" s="113">
        <f t="shared" si="99"/>
        <v>5</v>
      </c>
      <c r="O580" s="99">
        <v>5</v>
      </c>
      <c r="P580" s="113">
        <f t="shared" si="100"/>
        <v>5</v>
      </c>
      <c r="Q580" s="112">
        <f t="shared" si="101"/>
        <v>80</v>
      </c>
      <c r="R580" s="112" t="str">
        <f t="shared" si="102"/>
        <v>Standard-size</v>
      </c>
      <c r="S580" s="99" t="str">
        <f t="shared" si="103"/>
        <v>Large standard-size</v>
      </c>
      <c r="T580" s="116" t="s">
        <v>13693</v>
      </c>
      <c r="U580" s="116">
        <f t="shared" si="104"/>
        <v>0.32465277777777779</v>
      </c>
      <c r="V580" s="116" t="s">
        <v>13583</v>
      </c>
      <c r="W580" s="116" t="s">
        <v>13690</v>
      </c>
      <c r="X580" s="99" t="s">
        <v>13583</v>
      </c>
      <c r="Y580" s="99">
        <v>1</v>
      </c>
      <c r="Z580" s="99">
        <v>2</v>
      </c>
      <c r="AA580" s="99">
        <v>1</v>
      </c>
      <c r="AB580" s="99"/>
      <c r="AC580" s="99"/>
      <c r="AD580" s="107">
        <v>55.245673076923133</v>
      </c>
      <c r="AE580" s="113">
        <f t="shared" si="105"/>
        <v>-8.2868509615384696</v>
      </c>
      <c r="AF580" s="116">
        <f>-IFERROR(IFERROR(VLOOKUP(ROUNDUP($Q580,0),'FBA FEES'!$L$2:$Q$203,MATCH($S580,'FBA FEES'!$L$2:$Q$2,0),FALSE),VLOOKUP(ROUNDUP($Q580,0),'FBA FEES'!$C$6:$F$123,MATCH($S580,'FBA FEES'!$C$6:$F$6,0),FALSE)),0)</f>
        <v>-7.56</v>
      </c>
      <c r="AG580" s="116">
        <v>-7</v>
      </c>
      <c r="AH580" s="113">
        <f t="shared" si="106"/>
        <v>-15.846850961538468</v>
      </c>
      <c r="AI580" s="116">
        <f>-IFERROR(IF($Y580=1,INDEX('[1]REMOVAL FEES'!$A$1:$C$22,MATCH(CONCATENATE("Standard Size",$P580),'[1]REMOVAL FEES'!$A$1:$A$22,0),3),IF($Y580=2,IF($P580&gt;10,(($P580-10)*1.06)+INDEX('[1]REMOVAL FEES'!$E$1:$G$22,MATCH(CONCATENATE("Large bulky, extra-large and special handling items",IF($P580&gt;=11,11,$P580)),'[1]REMOVAL FEES'!$E$1:$E$13,0),3),INDEX('[1]REMOVAL FEES'!$E$1:$G$22,MATCH(CONCATENATE("Large bulky, extra-large and special handling items",IF($P580&gt;=11,11,$P580)),'[1]REMOVAL FEES'!$E$1:$E$13,0),3))))*$AA580,FALSE)</f>
        <v>-6.07</v>
      </c>
      <c r="AJ580" s="107">
        <f t="shared" si="107"/>
        <v>-21.916850961538469</v>
      </c>
      <c r="AK580" s="107">
        <v>-9.3799999999999972</v>
      </c>
      <c r="AL580" s="107">
        <v>-2.3764503205128191</v>
      </c>
      <c r="AM580" s="107">
        <f t="shared" si="108"/>
        <v>-11.756450320512815</v>
      </c>
      <c r="AN580" s="116">
        <f>(-IF($V580="Yes", IF($X580="Yes", VLOOKUP($W580, '[1]Storage Fees'!A:M, 13, FALSE), VLOOKUP($W580, '[1]Storage Fees'!A:M, 10, FALSE)), IF($X580="Yes", VLOOKUP($W580, '[1]Storage Fees'!A:M, 7, FALSE), VLOOKUP($W580, '[1]Storage Fees'!A:M, 4, FALSE))) * U580)*1.5</f>
        <v>-0.59411458333333333</v>
      </c>
    </row>
    <row r="581" spans="1:40" x14ac:dyDescent="0.25">
      <c r="A581" s="99">
        <v>509</v>
      </c>
      <c r="B581" s="99"/>
      <c r="C581" s="99" t="s">
        <v>13655</v>
      </c>
      <c r="D581" s="99"/>
      <c r="E581" s="99" t="s">
        <v>201</v>
      </c>
      <c r="F581" s="99" t="s">
        <v>706</v>
      </c>
      <c r="G581" s="99" t="s">
        <v>13656</v>
      </c>
      <c r="H581" s="99">
        <v>0</v>
      </c>
      <c r="I581" s="99">
        <v>0</v>
      </c>
      <c r="J581" s="99">
        <v>0</v>
      </c>
      <c r="K581" s="101" t="str">
        <f t="shared" si="96"/>
        <v>0x0x0</v>
      </c>
      <c r="L581" s="102">
        <f t="shared" si="97"/>
        <v>0</v>
      </c>
      <c r="M581" s="113">
        <f t="shared" si="98"/>
        <v>0</v>
      </c>
      <c r="N581" s="113">
        <f t="shared" si="99"/>
        <v>0</v>
      </c>
      <c r="O581" s="99">
        <v>0</v>
      </c>
      <c r="P581" s="113">
        <f t="shared" si="100"/>
        <v>0</v>
      </c>
      <c r="Q581" s="112">
        <f t="shared" si="101"/>
        <v>0</v>
      </c>
      <c r="R581" s="112" t="str">
        <f t="shared" si="102"/>
        <v>Standard-size</v>
      </c>
      <c r="S581" s="99" t="str">
        <f t="shared" si="103"/>
        <v>Small standard-size</v>
      </c>
      <c r="T581" s="116" t="s">
        <v>13696</v>
      </c>
      <c r="U581" s="116">
        <f t="shared" si="104"/>
        <v>0</v>
      </c>
      <c r="V581" s="116" t="s">
        <v>13583</v>
      </c>
      <c r="W581" s="116" t="s">
        <v>13690</v>
      </c>
      <c r="X581" s="99" t="s">
        <v>13583</v>
      </c>
      <c r="Y581" s="99">
        <v>1</v>
      </c>
      <c r="Z581" s="99">
        <v>1</v>
      </c>
      <c r="AA581" s="99">
        <v>1</v>
      </c>
      <c r="AB581" s="99"/>
      <c r="AC581" s="99"/>
      <c r="AD581" s="107">
        <v>46.120833333333373</v>
      </c>
      <c r="AE581" s="113">
        <f t="shared" si="105"/>
        <v>-6.9181250000000061</v>
      </c>
      <c r="AF581" s="116">
        <f>-IFERROR(IFERROR(VLOOKUP(ROUNDUP($Q581,0),'FBA FEES'!$L$2:$Q$203,MATCH($S581,'FBA FEES'!$L$2:$Q$2,0),FALSE),VLOOKUP(ROUNDUP($Q581,0),'FBA FEES'!$C$6:$F$123,MATCH($S581,'FBA FEES'!$C$6:$F$6,0),FALSE)),0)</f>
        <v>0</v>
      </c>
      <c r="AG581" s="116">
        <v>-7</v>
      </c>
      <c r="AH581" s="113">
        <f t="shared" si="106"/>
        <v>-6.9181250000000061</v>
      </c>
      <c r="AI581" s="116">
        <f>-IFERROR(IF($Y581=1,INDEX('[1]REMOVAL FEES'!$A$1:$C$22,MATCH(CONCATENATE("Standard Size",$P581),'[1]REMOVAL FEES'!$A$1:$A$22,0),3),IF($Y581=2,IF($P581&gt;10,(($P581-10)*1.06)+INDEX('[1]REMOVAL FEES'!$E$1:$G$22,MATCH(CONCATENATE("Large bulky, extra-large and special handling items",IF($P581&gt;=11,11,$P581)),'[1]REMOVAL FEES'!$E$1:$E$13,0),3),INDEX('[1]REMOVAL FEES'!$E$1:$G$22,MATCH(CONCATENATE("Large bulky, extra-large and special handling items",IF($P581&gt;=11,11,$P581)),'[1]REMOVAL FEES'!$E$1:$E$13,0),3))))*$AA581,FALSE)</f>
        <v>0</v>
      </c>
      <c r="AJ581" s="107">
        <f t="shared" si="107"/>
        <v>-6.9181250000000061</v>
      </c>
      <c r="AK581" s="107">
        <v>-8.1100000000000101</v>
      </c>
      <c r="AL581" s="107">
        <v>-3.1413130511463829</v>
      </c>
      <c r="AM581" s="107">
        <f t="shared" si="108"/>
        <v>-11.251313051146393</v>
      </c>
      <c r="AN581" s="116">
        <f>(-IF($V581="Yes", IF($X581="Yes", VLOOKUP($W581, '[1]Storage Fees'!A:M, 13, FALSE), VLOOKUP($W581, '[1]Storage Fees'!A:M, 10, FALSE)), IF($X581="Yes", VLOOKUP($W581, '[1]Storage Fees'!A:M, 7, FALSE), VLOOKUP($W581, '[1]Storage Fees'!A:M, 4, FALSE))) * U581)*1.5</f>
        <v>0</v>
      </c>
    </row>
    <row r="582" spans="1:40" x14ac:dyDescent="0.25">
      <c r="A582" s="99">
        <v>510</v>
      </c>
      <c r="B582" s="99"/>
      <c r="C582" s="99" t="s">
        <v>13655</v>
      </c>
      <c r="D582" s="99"/>
      <c r="E582" s="99" t="s">
        <v>201</v>
      </c>
      <c r="F582" s="99" t="s">
        <v>707</v>
      </c>
      <c r="G582" s="99" t="s">
        <v>13656</v>
      </c>
      <c r="H582" s="99">
        <v>0</v>
      </c>
      <c r="I582" s="99">
        <v>0</v>
      </c>
      <c r="J582" s="99">
        <v>0</v>
      </c>
      <c r="K582" s="101" t="str">
        <f t="shared" si="96"/>
        <v>0x0x0</v>
      </c>
      <c r="L582" s="102">
        <f t="shared" si="97"/>
        <v>0</v>
      </c>
      <c r="M582" s="113">
        <f t="shared" si="98"/>
        <v>0</v>
      </c>
      <c r="N582" s="113">
        <f t="shared" si="99"/>
        <v>0</v>
      </c>
      <c r="O582" s="99">
        <v>0</v>
      </c>
      <c r="P582" s="113">
        <f t="shared" si="100"/>
        <v>0</v>
      </c>
      <c r="Q582" s="112">
        <f t="shared" si="101"/>
        <v>0</v>
      </c>
      <c r="R582" s="112" t="str">
        <f t="shared" si="102"/>
        <v>Standard-size</v>
      </c>
      <c r="S582" s="99" t="str">
        <f t="shared" si="103"/>
        <v>Small standard-size</v>
      </c>
      <c r="T582" s="116" t="s">
        <v>13696</v>
      </c>
      <c r="U582" s="116">
        <f t="shared" si="104"/>
        <v>0</v>
      </c>
      <c r="V582" s="116" t="s">
        <v>13583</v>
      </c>
      <c r="W582" s="116" t="s">
        <v>13690</v>
      </c>
      <c r="X582" s="99" t="s">
        <v>13583</v>
      </c>
      <c r="Y582" s="99">
        <v>1</v>
      </c>
      <c r="Z582" s="99">
        <v>1</v>
      </c>
      <c r="AA582" s="99">
        <v>1</v>
      </c>
      <c r="AB582" s="99"/>
      <c r="AC582" s="99"/>
      <c r="AD582" s="107">
        <v>43.055333333333337</v>
      </c>
      <c r="AE582" s="113">
        <f t="shared" si="105"/>
        <v>-6.4583000000000004</v>
      </c>
      <c r="AF582" s="116">
        <f>-IFERROR(IFERROR(VLOOKUP(ROUNDUP($Q582,0),'FBA FEES'!$L$2:$Q$203,MATCH($S582,'FBA FEES'!$L$2:$Q$2,0),FALSE),VLOOKUP(ROUNDUP($Q582,0),'FBA FEES'!$C$6:$F$123,MATCH($S582,'FBA FEES'!$C$6:$F$6,0),FALSE)),0)</f>
        <v>0</v>
      </c>
      <c r="AG582" s="116">
        <v>-7</v>
      </c>
      <c r="AH582" s="113">
        <f t="shared" si="106"/>
        <v>-6.4583000000000004</v>
      </c>
      <c r="AI582" s="116">
        <f>-IFERROR(IF($Y582=1,INDEX('[1]REMOVAL FEES'!$A$1:$C$22,MATCH(CONCATENATE("Standard Size",$P582),'[1]REMOVAL FEES'!$A$1:$A$22,0),3),IF($Y582=2,IF($P582&gt;10,(($P582-10)*1.06)+INDEX('[1]REMOVAL FEES'!$E$1:$G$22,MATCH(CONCATENATE("Large bulky, extra-large and special handling items",IF($P582&gt;=11,11,$P582)),'[1]REMOVAL FEES'!$E$1:$E$13,0),3),INDEX('[1]REMOVAL FEES'!$E$1:$G$22,MATCH(CONCATENATE("Large bulky, extra-large and special handling items",IF($P582&gt;=11,11,$P582)),'[1]REMOVAL FEES'!$E$1:$E$13,0),3))))*$AA582,FALSE)</f>
        <v>0</v>
      </c>
      <c r="AJ582" s="107">
        <f t="shared" si="107"/>
        <v>-6.4583000000000004</v>
      </c>
      <c r="AK582" s="107">
        <v>-6.799999999999998</v>
      </c>
      <c r="AL582" s="107">
        <v>-3.5035333333333338</v>
      </c>
      <c r="AM582" s="107">
        <f t="shared" si="108"/>
        <v>-10.303533333333332</v>
      </c>
      <c r="AN582" s="116">
        <f>(-IF($V582="Yes", IF($X582="Yes", VLOOKUP($W582, '[1]Storage Fees'!A:M, 13, FALSE), VLOOKUP($W582, '[1]Storage Fees'!A:M, 10, FALSE)), IF($X582="Yes", VLOOKUP($W582, '[1]Storage Fees'!A:M, 7, FALSE), VLOOKUP($W582, '[1]Storage Fees'!A:M, 4, FALSE))) * U582)*1.5</f>
        <v>0</v>
      </c>
    </row>
    <row r="583" spans="1:40" x14ac:dyDescent="0.25">
      <c r="A583" s="99">
        <v>511</v>
      </c>
      <c r="B583" s="99"/>
      <c r="C583" s="99" t="s">
        <v>13655</v>
      </c>
      <c r="D583" s="99"/>
      <c r="E583" s="99" t="s">
        <v>201</v>
      </c>
      <c r="F583" s="99" t="s">
        <v>708</v>
      </c>
      <c r="G583" s="99" t="s">
        <v>13656</v>
      </c>
      <c r="H583" s="99">
        <v>0</v>
      </c>
      <c r="I583" s="99">
        <v>0</v>
      </c>
      <c r="J583" s="99">
        <v>0</v>
      </c>
      <c r="K583" s="101" t="str">
        <f t="shared" si="96"/>
        <v>0x0x0</v>
      </c>
      <c r="L583" s="102">
        <f t="shared" si="97"/>
        <v>0</v>
      </c>
      <c r="M583" s="113">
        <f t="shared" si="98"/>
        <v>0</v>
      </c>
      <c r="N583" s="113">
        <f t="shared" si="99"/>
        <v>0</v>
      </c>
      <c r="O583" s="99">
        <v>0</v>
      </c>
      <c r="P583" s="113">
        <f t="shared" si="100"/>
        <v>0</v>
      </c>
      <c r="Q583" s="112">
        <f t="shared" si="101"/>
        <v>0</v>
      </c>
      <c r="R583" s="112" t="str">
        <f t="shared" si="102"/>
        <v>Standard-size</v>
      </c>
      <c r="S583" s="99" t="str">
        <f t="shared" si="103"/>
        <v>Small standard-size</v>
      </c>
      <c r="T583" s="116" t="s">
        <v>13696</v>
      </c>
      <c r="U583" s="116">
        <f t="shared" si="104"/>
        <v>0</v>
      </c>
      <c r="V583" s="116" t="s">
        <v>13583</v>
      </c>
      <c r="W583" s="116" t="s">
        <v>13690</v>
      </c>
      <c r="X583" s="99" t="s">
        <v>13583</v>
      </c>
      <c r="Y583" s="99">
        <v>1</v>
      </c>
      <c r="Z583" s="99">
        <v>1</v>
      </c>
      <c r="AA583" s="99">
        <v>1</v>
      </c>
      <c r="AB583" s="99"/>
      <c r="AC583" s="99"/>
      <c r="AD583" s="107">
        <v>49.214000000000013</v>
      </c>
      <c r="AE583" s="113">
        <f t="shared" si="105"/>
        <v>-7.3821000000000012</v>
      </c>
      <c r="AF583" s="116">
        <f>-IFERROR(IFERROR(VLOOKUP(ROUNDUP($Q583,0),'FBA FEES'!$L$2:$Q$203,MATCH($S583,'FBA FEES'!$L$2:$Q$2,0),FALSE),VLOOKUP(ROUNDUP($Q583,0),'FBA FEES'!$C$6:$F$123,MATCH($S583,'FBA FEES'!$C$6:$F$6,0),FALSE)),0)</f>
        <v>0</v>
      </c>
      <c r="AG583" s="116">
        <v>-7</v>
      </c>
      <c r="AH583" s="113">
        <f t="shared" si="106"/>
        <v>-7.3821000000000012</v>
      </c>
      <c r="AI583" s="116">
        <f>-IFERROR(IF($Y583=1,INDEX('[1]REMOVAL FEES'!$A$1:$C$22,MATCH(CONCATENATE("Standard Size",$P583),'[1]REMOVAL FEES'!$A$1:$A$22,0),3),IF($Y583=2,IF($P583&gt;10,(($P583-10)*1.06)+INDEX('[1]REMOVAL FEES'!$E$1:$G$22,MATCH(CONCATENATE("Large bulky, extra-large and special handling items",IF($P583&gt;=11,11,$P583)),'[1]REMOVAL FEES'!$E$1:$E$13,0),3),INDEX('[1]REMOVAL FEES'!$E$1:$G$22,MATCH(CONCATENATE("Large bulky, extra-large and special handling items",IF($P583&gt;=11,11,$P583)),'[1]REMOVAL FEES'!$E$1:$E$13,0),3))))*$AA583,FALSE)</f>
        <v>0</v>
      </c>
      <c r="AJ583" s="107">
        <f t="shared" si="107"/>
        <v>-7.3821000000000012</v>
      </c>
      <c r="AK583" s="107">
        <v>-9.6699999999999964</v>
      </c>
      <c r="AL583" s="107">
        <v>-6.4204333333333299</v>
      </c>
      <c r="AM583" s="107">
        <f t="shared" si="108"/>
        <v>-16.090433333333326</v>
      </c>
      <c r="AN583" s="116">
        <f>(-IF($V583="Yes", IF($X583="Yes", VLOOKUP($W583, '[1]Storage Fees'!A:M, 13, FALSE), VLOOKUP($W583, '[1]Storage Fees'!A:M, 10, FALSE)), IF($X583="Yes", VLOOKUP($W583, '[1]Storage Fees'!A:M, 7, FALSE), VLOOKUP($W583, '[1]Storage Fees'!A:M, 4, FALSE))) * U583)*1.5</f>
        <v>0</v>
      </c>
    </row>
    <row r="584" spans="1:40" x14ac:dyDescent="0.25">
      <c r="A584" s="99">
        <v>512</v>
      </c>
      <c r="B584" s="99" t="s">
        <v>55</v>
      </c>
      <c r="C584" s="99"/>
      <c r="D584" s="99" t="s">
        <v>119</v>
      </c>
      <c r="E584" s="99" t="s">
        <v>201</v>
      </c>
      <c r="F584" s="99" t="s">
        <v>370</v>
      </c>
      <c r="G584" s="99" t="s">
        <v>13656</v>
      </c>
      <c r="H584" s="99">
        <v>20</v>
      </c>
      <c r="I584" s="99">
        <v>13</v>
      </c>
      <c r="J584" s="99">
        <v>3</v>
      </c>
      <c r="K584" s="101" t="str">
        <f t="shared" si="96"/>
        <v>20x13x3</v>
      </c>
      <c r="L584" s="102">
        <f t="shared" si="97"/>
        <v>5.6115107913669062</v>
      </c>
      <c r="M584" s="113">
        <f t="shared" si="98"/>
        <v>5.6115107913669062</v>
      </c>
      <c r="N584" s="113">
        <f t="shared" si="99"/>
        <v>6</v>
      </c>
      <c r="O584" s="99">
        <v>6</v>
      </c>
      <c r="P584" s="113">
        <f t="shared" si="100"/>
        <v>6</v>
      </c>
      <c r="Q584" s="112">
        <f t="shared" si="101"/>
        <v>96</v>
      </c>
      <c r="R584" s="112" t="str">
        <f t="shared" si="102"/>
        <v>Oversize</v>
      </c>
      <c r="S584" s="99" t="str">
        <f t="shared" si="103"/>
        <v>Large bulky</v>
      </c>
      <c r="T584" s="116" t="s">
        <v>13692</v>
      </c>
      <c r="U584" s="116">
        <f t="shared" si="104"/>
        <v>0.4513888888888889</v>
      </c>
      <c r="V584" s="116" t="s">
        <v>13583</v>
      </c>
      <c r="W584" s="116" t="s">
        <v>13690</v>
      </c>
      <c r="X584" s="116" t="s">
        <v>13691</v>
      </c>
      <c r="Y584" s="116">
        <v>2</v>
      </c>
      <c r="Z584" s="116">
        <v>3</v>
      </c>
      <c r="AA584" s="116">
        <v>1</v>
      </c>
      <c r="AB584" s="99"/>
      <c r="AC584" s="99"/>
      <c r="AD584" s="107">
        <v>62.473333333333343</v>
      </c>
      <c r="AE584" s="113">
        <f t="shared" si="105"/>
        <v>-9.3710000000000004</v>
      </c>
      <c r="AF584" s="116">
        <f>-IFERROR(IFERROR(VLOOKUP(ROUNDUP($Q584,0),'FBA FEES'!$L$2:$Q$203,MATCH($S584,'FBA FEES'!$L$2:$Q$2,0),FALSE),VLOOKUP(ROUNDUP($Q584,0),'FBA FEES'!$C$6:$F$123,MATCH($S584,'FBA FEES'!$C$6:$F$6,0),FALSE)),0)</f>
        <v>-11.51</v>
      </c>
      <c r="AG584" s="116">
        <v>-7</v>
      </c>
      <c r="AH584" s="113">
        <f t="shared" si="106"/>
        <v>-20.881</v>
      </c>
      <c r="AI584" s="116">
        <f>-IFERROR(IF($Y584=1,INDEX('[1]REMOVAL FEES'!$A$1:$C$22,MATCH(CONCATENATE("Standard Size",$P584),'[1]REMOVAL FEES'!$A$1:$A$22,0),3),IF($Y584=2,IF($P584&gt;10,(($P584-10)*1.06)+INDEX('[1]REMOVAL FEES'!$E$1:$G$22,MATCH(CONCATENATE("Large bulky, extra-large and special handling items",IF($P584&gt;=11,11,$P584)),'[1]REMOVAL FEES'!$E$1:$E$13,0),3),INDEX('[1]REMOVAL FEES'!$E$1:$G$22,MATCH(CONCATENATE("Large bulky, extra-large and special handling items",IF($P584&gt;=11,11,$P584)),'[1]REMOVAL FEES'!$E$1:$E$13,0),3))))*$AA584,FALSE)</f>
        <v>-10.039999999999999</v>
      </c>
      <c r="AJ584" s="107">
        <f t="shared" si="107"/>
        <v>-30.920999999999999</v>
      </c>
      <c r="AK584" s="107">
        <v>-9.8775757575757588</v>
      </c>
      <c r="AL584" s="107">
        <v>-3.114171717171716</v>
      </c>
      <c r="AM584" s="107">
        <f t="shared" si="108"/>
        <v>-12.991747474747475</v>
      </c>
      <c r="AN584" s="116">
        <f>(-IF($V584="Yes", IF($X584="Yes", VLOOKUP($W584, '[1]Storage Fees'!A:M, 13, FALSE), VLOOKUP($W584, '[1]Storage Fees'!A:M, 10, FALSE)), IF($X584="Yes", VLOOKUP($W584, '[1]Storage Fees'!A:M, 7, FALSE), VLOOKUP($W584, '[1]Storage Fees'!A:M, 4, FALSE))) * U584)*1.5</f>
        <v>-0.53489583333333335</v>
      </c>
    </row>
    <row r="585" spans="1:40" x14ac:dyDescent="0.25">
      <c r="A585" s="99">
        <v>513</v>
      </c>
      <c r="B585" s="99"/>
      <c r="C585" s="99" t="s">
        <v>13655</v>
      </c>
      <c r="D585" s="99"/>
      <c r="E585" s="99" t="s">
        <v>201</v>
      </c>
      <c r="F585" s="99" t="s">
        <v>709</v>
      </c>
      <c r="G585" s="99" t="s">
        <v>13656</v>
      </c>
      <c r="H585" s="99">
        <v>0</v>
      </c>
      <c r="I585" s="99">
        <v>0</v>
      </c>
      <c r="J585" s="99">
        <v>0</v>
      </c>
      <c r="K585" s="101" t="str">
        <f t="shared" ref="K585:K648" si="109">H585&amp;"x"&amp;I585&amp;"x"&amp;J585</f>
        <v>0x0x0</v>
      </c>
      <c r="L585" s="102">
        <f t="shared" ref="L585:L648" si="110">(H585*I585*J585)/139</f>
        <v>0</v>
      </c>
      <c r="M585" s="113">
        <f t="shared" ref="M585:M648" si="111">(H585*I585*J585)/139</f>
        <v>0</v>
      </c>
      <c r="N585" s="113">
        <f t="shared" ref="N585:N648" si="112">IF(AND(M585&gt;0,M585&lt;=0.25),0.25,IF(AND(M585&gt;0.25,M585&lt;=0.5),0.5,IF(AND(M585&gt;0.5,M585&lt;=0.75),0.75,ROUNDUP(M585,0))))</f>
        <v>0</v>
      </c>
      <c r="O585" s="99">
        <v>0</v>
      </c>
      <c r="P585" s="113">
        <f t="shared" ref="P585:P648" si="113">ROUNDUP(MAX(L585,O585),0)</f>
        <v>0</v>
      </c>
      <c r="Q585" s="112">
        <f t="shared" ref="Q585:Q648" si="114">P585*16</f>
        <v>0</v>
      </c>
      <c r="R585" s="112" t="str">
        <f t="shared" ref="R585:R648" si="115">IF(RIGHT(S585,13)="standard-size","Standard-size","Oversize")</f>
        <v>Standard-size</v>
      </c>
      <c r="S585" s="99" t="str">
        <f t="shared" ref="S585:S648" si="116">IF(AND($P585&lt;=$J$50,$H585&lt;=$G$50,$I585&lt;=$H$50,$J585&lt;=$I$50),$A$50,IF(AND($P585&lt;=$J$51,$H585&lt;=$G$51,$I585&lt;=$H$51,$J585&lt;=$I$51),$A$51,IF(AND($H585&lt;=$G$52,$I585&lt;=$H$52,$J585&lt;=$I$52,$P585&lt;=$J$52),$A$52,IF(AND($P585&lt;=$J$53,OR(H$8&gt;$G$53,$I585&gt;$H$53,$J585&gt;$I$53)),$A$53,IF(AND($P585&gt;$J$53,$P585&lt;=$J$54),$A$54,IF(AND($P585&gt;$J$54,$P585&lt;=$J$55),$A$55,$A$56))))))</f>
        <v>Small standard-size</v>
      </c>
      <c r="T585" s="116" t="s">
        <v>13696</v>
      </c>
      <c r="U585" s="116">
        <f t="shared" ref="U585:U648" si="117">(H585*I585*J585)/1728</f>
        <v>0</v>
      </c>
      <c r="V585" s="116" t="s">
        <v>13583</v>
      </c>
      <c r="W585" s="116" t="s">
        <v>13690</v>
      </c>
      <c r="X585" s="99" t="s">
        <v>13583</v>
      </c>
      <c r="Y585" s="99">
        <v>1</v>
      </c>
      <c r="Z585" s="99">
        <v>1</v>
      </c>
      <c r="AA585" s="99">
        <v>1</v>
      </c>
      <c r="AB585" s="99"/>
      <c r="AC585" s="99"/>
      <c r="AD585" s="107">
        <v>44.478593750000009</v>
      </c>
      <c r="AE585" s="113">
        <f t="shared" ref="AE585:AE648" si="118">-AD585*0.15</f>
        <v>-6.6717890625000011</v>
      </c>
      <c r="AF585" s="116">
        <f>-IFERROR(IFERROR(VLOOKUP(ROUNDUP($Q585,0),'FBA FEES'!$L$2:$Q$203,MATCH($S585,'FBA FEES'!$L$2:$Q$2,0),FALSE),VLOOKUP(ROUNDUP($Q585,0),'FBA FEES'!$C$6:$F$123,MATCH($S585,'FBA FEES'!$C$6:$F$6,0),FALSE)),0)</f>
        <v>0</v>
      </c>
      <c r="AG585" s="116">
        <v>-7</v>
      </c>
      <c r="AH585" s="113">
        <f t="shared" ref="AH585:AH648" si="119">AE585+AF585</f>
        <v>-6.6717890625000011</v>
      </c>
      <c r="AI585" s="116">
        <f>-IFERROR(IF($Y585=1,INDEX('[1]REMOVAL FEES'!$A$1:$C$22,MATCH(CONCATENATE("Standard Size",$P585),'[1]REMOVAL FEES'!$A$1:$A$22,0),3),IF($Y585=2,IF($P585&gt;10,(($P585-10)*1.06)+INDEX('[1]REMOVAL FEES'!$E$1:$G$22,MATCH(CONCATENATE("Large bulky, extra-large and special handling items",IF($P585&gt;=11,11,$P585)),'[1]REMOVAL FEES'!$E$1:$E$13,0),3),INDEX('[1]REMOVAL FEES'!$E$1:$G$22,MATCH(CONCATENATE("Large bulky, extra-large and special handling items",IF($P585&gt;=11,11,$P585)),'[1]REMOVAL FEES'!$E$1:$E$13,0),3))))*$AA585,FALSE)</f>
        <v>0</v>
      </c>
      <c r="AJ585" s="107">
        <f t="shared" ref="AJ585:AJ648" si="120">AH585+AI585</f>
        <v>-6.6717890625000011</v>
      </c>
      <c r="AK585" s="107">
        <v>-7.8000000000000043</v>
      </c>
      <c r="AL585" s="107">
        <v>-3.3937499999999998</v>
      </c>
      <c r="AM585" s="107">
        <f t="shared" ref="AM585:AM648" si="121">AK585+AL585</f>
        <v>-11.193750000000005</v>
      </c>
      <c r="AN585" s="116">
        <f>(-IF($V585="Yes", IF($X585="Yes", VLOOKUP($W585, '[1]Storage Fees'!A:M, 13, FALSE), VLOOKUP($W585, '[1]Storage Fees'!A:M, 10, FALSE)), IF($X585="Yes", VLOOKUP($W585, '[1]Storage Fees'!A:M, 7, FALSE), VLOOKUP($W585, '[1]Storage Fees'!A:M, 4, FALSE))) * U585)*1.5</f>
        <v>0</v>
      </c>
    </row>
    <row r="586" spans="1:40" x14ac:dyDescent="0.25">
      <c r="A586" s="99">
        <v>514</v>
      </c>
      <c r="B586" s="99" t="s">
        <v>55</v>
      </c>
      <c r="C586" s="99"/>
      <c r="D586" s="99" t="s">
        <v>119</v>
      </c>
      <c r="E586" s="99" t="s">
        <v>201</v>
      </c>
      <c r="F586" s="99" t="s">
        <v>372</v>
      </c>
      <c r="G586" s="99" t="s">
        <v>13656</v>
      </c>
      <c r="H586" s="99">
        <v>25</v>
      </c>
      <c r="I586" s="99">
        <v>13</v>
      </c>
      <c r="J586" s="99">
        <v>3</v>
      </c>
      <c r="K586" s="101" t="str">
        <f t="shared" si="109"/>
        <v>25x13x3</v>
      </c>
      <c r="L586" s="102">
        <f t="shared" si="110"/>
        <v>7.014388489208633</v>
      </c>
      <c r="M586" s="113">
        <f t="shared" si="111"/>
        <v>7.014388489208633</v>
      </c>
      <c r="N586" s="113">
        <f t="shared" si="112"/>
        <v>8</v>
      </c>
      <c r="O586" s="99">
        <v>7</v>
      </c>
      <c r="P586" s="113">
        <f t="shared" si="113"/>
        <v>8</v>
      </c>
      <c r="Q586" s="112">
        <f t="shared" si="114"/>
        <v>128</v>
      </c>
      <c r="R586" s="112" t="str">
        <f t="shared" si="115"/>
        <v>Oversize</v>
      </c>
      <c r="S586" s="99" t="str">
        <f t="shared" si="116"/>
        <v>Large bulky</v>
      </c>
      <c r="T586" s="116" t="s">
        <v>13692</v>
      </c>
      <c r="U586" s="116">
        <f t="shared" si="117"/>
        <v>0.56423611111111116</v>
      </c>
      <c r="V586" s="116" t="s">
        <v>13583</v>
      </c>
      <c r="W586" s="116" t="s">
        <v>13690</v>
      </c>
      <c r="X586" s="116" t="s">
        <v>13691</v>
      </c>
      <c r="Y586" s="116">
        <v>2</v>
      </c>
      <c r="Z586" s="116">
        <v>3</v>
      </c>
      <c r="AA586" s="116">
        <v>1</v>
      </c>
      <c r="AB586" s="99"/>
      <c r="AC586" s="99"/>
      <c r="AD586" s="107">
        <v>56.510599999999997</v>
      </c>
      <c r="AE586" s="113">
        <f t="shared" si="118"/>
        <v>-8.4765899999999998</v>
      </c>
      <c r="AF586" s="116">
        <f>-IFERROR(IFERROR(VLOOKUP(ROUNDUP($Q586,0),'FBA FEES'!$L$2:$Q$203,MATCH($S586,'FBA FEES'!$L$2:$Q$2,0),FALSE),VLOOKUP(ROUNDUP($Q586,0),'FBA FEES'!$C$6:$F$123,MATCH($S586,'FBA FEES'!$C$6:$F$6,0),FALSE)),0)</f>
        <v>-12.27</v>
      </c>
      <c r="AG586" s="116">
        <v>-7</v>
      </c>
      <c r="AH586" s="113">
        <f t="shared" si="119"/>
        <v>-20.746589999999998</v>
      </c>
      <c r="AI586" s="116">
        <f>-IFERROR(IF($Y586=1,INDEX('[1]REMOVAL FEES'!$A$1:$C$22,MATCH(CONCATENATE("Standard Size",$P586),'[1]REMOVAL FEES'!$A$1:$A$22,0),3),IF($Y586=2,IF($P586&gt;10,(($P586-10)*1.06)+INDEX('[1]REMOVAL FEES'!$E$1:$G$22,MATCH(CONCATENATE("Large bulky, extra-large and special handling items",IF($P586&gt;=11,11,$P586)),'[1]REMOVAL FEES'!$E$1:$E$13,0),3),INDEX('[1]REMOVAL FEES'!$E$1:$G$22,MATCH(CONCATENATE("Large bulky, extra-large and special handling items",IF($P586&gt;=11,11,$P586)),'[1]REMOVAL FEES'!$E$1:$E$13,0),3))))*$AA586,FALSE)</f>
        <v>-10.039999999999999</v>
      </c>
      <c r="AJ586" s="107">
        <f t="shared" si="120"/>
        <v>-30.786589999999997</v>
      </c>
      <c r="AK586" s="107">
        <v>-9.9499999999999922</v>
      </c>
      <c r="AL586" s="107">
        <v>-6.9366421428571403</v>
      </c>
      <c r="AM586" s="107">
        <f t="shared" si="121"/>
        <v>-16.886642142857134</v>
      </c>
      <c r="AN586" s="116">
        <f>(-IF($V586="Yes", IF($X586="Yes", VLOOKUP($W586, '[1]Storage Fees'!A:M, 13, FALSE), VLOOKUP($W586, '[1]Storage Fees'!A:M, 10, FALSE)), IF($X586="Yes", VLOOKUP($W586, '[1]Storage Fees'!A:M, 7, FALSE), VLOOKUP($W586, '[1]Storage Fees'!A:M, 4, FALSE))) * U586)*1.5</f>
        <v>-0.66861979166666674</v>
      </c>
    </row>
    <row r="587" spans="1:40" x14ac:dyDescent="0.25">
      <c r="A587" s="99">
        <v>515</v>
      </c>
      <c r="B587" s="99"/>
      <c r="C587" s="99" t="s">
        <v>13655</v>
      </c>
      <c r="D587" s="99"/>
      <c r="E587" s="99" t="s">
        <v>163</v>
      </c>
      <c r="F587" s="99" t="s">
        <v>1971</v>
      </c>
      <c r="G587" s="99" t="s">
        <v>13695</v>
      </c>
      <c r="H587" s="99">
        <v>0</v>
      </c>
      <c r="I587" s="99">
        <v>0</v>
      </c>
      <c r="J587" s="99">
        <v>0</v>
      </c>
      <c r="K587" s="101" t="str">
        <f t="shared" si="109"/>
        <v>0x0x0</v>
      </c>
      <c r="L587" s="102">
        <f t="shared" si="110"/>
        <v>0</v>
      </c>
      <c r="M587" s="113">
        <f t="shared" si="111"/>
        <v>0</v>
      </c>
      <c r="N587" s="113">
        <f t="shared" si="112"/>
        <v>0</v>
      </c>
      <c r="O587" s="99">
        <v>0</v>
      </c>
      <c r="P587" s="113">
        <f t="shared" si="113"/>
        <v>0</v>
      </c>
      <c r="Q587" s="112">
        <f t="shared" si="114"/>
        <v>0</v>
      </c>
      <c r="R587" s="112" t="str">
        <f t="shared" si="115"/>
        <v>Standard-size</v>
      </c>
      <c r="S587" s="99" t="str">
        <f t="shared" si="116"/>
        <v>Small standard-size</v>
      </c>
      <c r="T587" s="116" t="s">
        <v>13696</v>
      </c>
      <c r="U587" s="116">
        <f t="shared" si="117"/>
        <v>0</v>
      </c>
      <c r="V587" s="116" t="s">
        <v>13583</v>
      </c>
      <c r="W587" s="116" t="s">
        <v>13690</v>
      </c>
      <c r="X587" s="99" t="s">
        <v>13583</v>
      </c>
      <c r="Y587" s="99">
        <v>1</v>
      </c>
      <c r="Z587" s="99">
        <v>1</v>
      </c>
      <c r="AA587" s="99">
        <v>1</v>
      </c>
      <c r="AB587" s="99"/>
      <c r="AC587" s="99"/>
      <c r="AD587" s="107">
        <v>127.0741379310344</v>
      </c>
      <c r="AE587" s="113">
        <f t="shared" si="118"/>
        <v>-19.061120689655159</v>
      </c>
      <c r="AF587" s="116">
        <f>-IFERROR(IFERROR(VLOOKUP(ROUNDUP($Q587,0),'FBA FEES'!$L$2:$Q$203,MATCH($S587,'FBA FEES'!$L$2:$Q$2,0),FALSE),VLOOKUP(ROUNDUP($Q587,0),'FBA FEES'!$C$6:$F$123,MATCH($S587,'FBA FEES'!$C$6:$F$6,0),FALSE)),0)</f>
        <v>0</v>
      </c>
      <c r="AG587" s="116">
        <v>-10</v>
      </c>
      <c r="AH587" s="113">
        <f t="shared" si="119"/>
        <v>-19.061120689655159</v>
      </c>
      <c r="AI587" s="116">
        <f>-IFERROR(IF($Y587=1,INDEX('[1]REMOVAL FEES'!$A$1:$C$22,MATCH(CONCATENATE("Standard Size",$P587),'[1]REMOVAL FEES'!$A$1:$A$22,0),3),IF($Y587=2,IF($P587&gt;10,(($P587-10)*1.06)+INDEX('[1]REMOVAL FEES'!$E$1:$G$22,MATCH(CONCATENATE("Large bulky, extra-large and special handling items",IF($P587&gt;=11,11,$P587)),'[1]REMOVAL FEES'!$E$1:$E$13,0),3),INDEX('[1]REMOVAL FEES'!$E$1:$G$22,MATCH(CONCATENATE("Large bulky, extra-large and special handling items",IF($P587&gt;=11,11,$P587)),'[1]REMOVAL FEES'!$E$1:$E$13,0),3))))*$AA587,FALSE)</f>
        <v>0</v>
      </c>
      <c r="AJ587" s="107">
        <f t="shared" si="120"/>
        <v>-19.061120689655159</v>
      </c>
      <c r="AK587" s="107">
        <v>-68</v>
      </c>
      <c r="AL587" s="107">
        <v>-4.4392500000000004</v>
      </c>
      <c r="AM587" s="107">
        <f t="shared" si="121"/>
        <v>-72.439250000000001</v>
      </c>
      <c r="AN587" s="116">
        <f>(-IF($V587="Yes", IF($X587="Yes", VLOOKUP($W587, '[1]Storage Fees'!A:M, 13, FALSE), VLOOKUP($W587, '[1]Storage Fees'!A:M, 10, FALSE)), IF($X587="Yes", VLOOKUP($W587, '[1]Storage Fees'!A:M, 7, FALSE), VLOOKUP($W587, '[1]Storage Fees'!A:M, 4, FALSE))) * U587)*1.5</f>
        <v>0</v>
      </c>
    </row>
    <row r="588" spans="1:40" x14ac:dyDescent="0.25">
      <c r="A588" s="99">
        <v>516</v>
      </c>
      <c r="B588" s="99" t="s">
        <v>13702</v>
      </c>
      <c r="C588" s="99" t="s">
        <v>13655</v>
      </c>
      <c r="D588" s="99" t="s">
        <v>102</v>
      </c>
      <c r="E588" s="99" t="s">
        <v>163</v>
      </c>
      <c r="F588" s="99" t="s">
        <v>1170</v>
      </c>
      <c r="G588" s="99" t="s">
        <v>13695</v>
      </c>
      <c r="H588" s="99">
        <v>15</v>
      </c>
      <c r="I588" s="99">
        <v>13</v>
      </c>
      <c r="J588" s="99">
        <v>11</v>
      </c>
      <c r="K588" s="101" t="str">
        <f t="shared" si="109"/>
        <v>15x13x11</v>
      </c>
      <c r="L588" s="102">
        <f t="shared" si="110"/>
        <v>15.431654676258994</v>
      </c>
      <c r="M588" s="113">
        <f t="shared" si="111"/>
        <v>15.431654676258994</v>
      </c>
      <c r="N588" s="113">
        <f t="shared" si="112"/>
        <v>16</v>
      </c>
      <c r="O588" s="99">
        <v>16</v>
      </c>
      <c r="P588" s="113">
        <f t="shared" si="113"/>
        <v>16</v>
      </c>
      <c r="Q588" s="112">
        <f t="shared" si="114"/>
        <v>256</v>
      </c>
      <c r="R588" s="112" t="str">
        <f t="shared" si="115"/>
        <v>Oversize</v>
      </c>
      <c r="S588" s="99" t="str">
        <f t="shared" si="116"/>
        <v>Large bulky</v>
      </c>
      <c r="T588" s="116" t="s">
        <v>13692</v>
      </c>
      <c r="U588" s="116">
        <f t="shared" si="117"/>
        <v>1.2413194444444444</v>
      </c>
      <c r="V588" s="116" t="s">
        <v>13583</v>
      </c>
      <c r="W588" s="116" t="s">
        <v>13690</v>
      </c>
      <c r="X588" s="116" t="s">
        <v>13691</v>
      </c>
      <c r="Y588" s="116">
        <v>2</v>
      </c>
      <c r="Z588" s="116">
        <v>3</v>
      </c>
      <c r="AA588" s="116">
        <v>1</v>
      </c>
      <c r="AB588" s="99"/>
      <c r="AC588" s="99"/>
      <c r="AD588" s="107">
        <v>66.454459459459343</v>
      </c>
      <c r="AE588" s="113">
        <f t="shared" si="118"/>
        <v>-9.9681689189189004</v>
      </c>
      <c r="AF588" s="116">
        <f>-IFERROR(IFERROR(VLOOKUP(ROUNDUP($Q588,0),'FBA FEES'!$L$2:$Q$203,MATCH($S588,'FBA FEES'!$L$2:$Q$2,0),FALSE),VLOOKUP(ROUNDUP($Q588,0),'FBA FEES'!$C$6:$F$123,MATCH($S588,'FBA FEES'!$C$6:$F$6,0),FALSE)),0)</f>
        <v>-15.309999999999999</v>
      </c>
      <c r="AG588" s="116">
        <v>-10</v>
      </c>
      <c r="AH588" s="113">
        <f t="shared" si="119"/>
        <v>-25.278168918918901</v>
      </c>
      <c r="AI588" s="116">
        <f>-IFERROR(IF($Y588=1,INDEX('[1]REMOVAL FEES'!$A$1:$C$22,MATCH(CONCATENATE("Standard Size",$P588),'[1]REMOVAL FEES'!$A$1:$A$22,0),3),IF($Y588=2,IF($P588&gt;10,(($P588-10)*1.06)+INDEX('[1]REMOVAL FEES'!$E$1:$G$22,MATCH(CONCATENATE("Large bulky, extra-large and special handling items",IF($P588&gt;=11,11,$P588)),'[1]REMOVAL FEES'!$E$1:$E$13,0),3),INDEX('[1]REMOVAL FEES'!$E$1:$G$22,MATCH(CONCATENATE("Large bulky, extra-large and special handling items",IF($P588&gt;=11,11,$P588)),'[1]REMOVAL FEES'!$E$1:$E$13,0),3))))*$AA588,FALSE)</f>
        <v>-20.68</v>
      </c>
      <c r="AJ588" s="107">
        <f t="shared" si="120"/>
        <v>-45.958168918918901</v>
      </c>
      <c r="AK588" s="107">
        <v>-34</v>
      </c>
      <c r="AL588" s="107">
        <v>-4.7977367367367298</v>
      </c>
      <c r="AM588" s="107">
        <f t="shared" si="121"/>
        <v>-38.797736736736731</v>
      </c>
      <c r="AN588" s="116">
        <f>(-IF($V588="Yes", IF($X588="Yes", VLOOKUP($W588, '[1]Storage Fees'!A:M, 13, FALSE), VLOOKUP($W588, '[1]Storage Fees'!A:M, 10, FALSE)), IF($X588="Yes", VLOOKUP($W588, '[1]Storage Fees'!A:M, 7, FALSE), VLOOKUP($W588, '[1]Storage Fees'!A:M, 4, FALSE))) * U588)*1.5</f>
        <v>-1.4709635416666667</v>
      </c>
    </row>
    <row r="589" spans="1:40" x14ac:dyDescent="0.25">
      <c r="A589" s="99">
        <v>517</v>
      </c>
      <c r="B589" s="99"/>
      <c r="C589" s="99" t="s">
        <v>13655</v>
      </c>
      <c r="D589" s="99"/>
      <c r="E589" s="99" t="s">
        <v>163</v>
      </c>
      <c r="F589" s="99" t="s">
        <v>1973</v>
      </c>
      <c r="G589" s="99" t="s">
        <v>13695</v>
      </c>
      <c r="H589" s="99">
        <v>0</v>
      </c>
      <c r="I589" s="99">
        <v>0</v>
      </c>
      <c r="J589" s="99">
        <v>0</v>
      </c>
      <c r="K589" s="101" t="str">
        <f t="shared" si="109"/>
        <v>0x0x0</v>
      </c>
      <c r="L589" s="102">
        <f t="shared" si="110"/>
        <v>0</v>
      </c>
      <c r="M589" s="113">
        <f t="shared" si="111"/>
        <v>0</v>
      </c>
      <c r="N589" s="113">
        <f t="shared" si="112"/>
        <v>0</v>
      </c>
      <c r="O589" s="99">
        <v>0</v>
      </c>
      <c r="P589" s="113">
        <f t="shared" si="113"/>
        <v>0</v>
      </c>
      <c r="Q589" s="112">
        <f t="shared" si="114"/>
        <v>0</v>
      </c>
      <c r="R589" s="112" t="str">
        <f t="shared" si="115"/>
        <v>Standard-size</v>
      </c>
      <c r="S589" s="99" t="str">
        <f t="shared" si="116"/>
        <v>Small standard-size</v>
      </c>
      <c r="T589" s="116" t="s">
        <v>13696</v>
      </c>
      <c r="U589" s="116">
        <f t="shared" si="117"/>
        <v>0</v>
      </c>
      <c r="V589" s="116" t="s">
        <v>13583</v>
      </c>
      <c r="W589" s="116" t="s">
        <v>13690</v>
      </c>
      <c r="X589" s="99" t="s">
        <v>13583</v>
      </c>
      <c r="Y589" s="99">
        <v>1</v>
      </c>
      <c r="Z589" s="99">
        <v>1</v>
      </c>
      <c r="AA589" s="99">
        <v>1</v>
      </c>
      <c r="AB589" s="99"/>
      <c r="AC589" s="99"/>
      <c r="AD589" s="107">
        <v>167.90277458333321</v>
      </c>
      <c r="AE589" s="113">
        <f t="shared" si="118"/>
        <v>-25.185416187499982</v>
      </c>
      <c r="AF589" s="116">
        <f>-IFERROR(IFERROR(VLOOKUP(ROUNDUP($Q589,0),'FBA FEES'!$L$2:$Q$203,MATCH($S589,'FBA FEES'!$L$2:$Q$2,0),FALSE),VLOOKUP(ROUNDUP($Q589,0),'FBA FEES'!$C$6:$F$123,MATCH($S589,'FBA FEES'!$C$6:$F$6,0),FALSE)),0)</f>
        <v>0</v>
      </c>
      <c r="AG589" s="116">
        <v>-10</v>
      </c>
      <c r="AH589" s="113">
        <f t="shared" si="119"/>
        <v>-25.185416187499982</v>
      </c>
      <c r="AI589" s="116">
        <f>-IFERROR(IF($Y589=1,INDEX('[1]REMOVAL FEES'!$A$1:$C$22,MATCH(CONCATENATE("Standard Size",$P589),'[1]REMOVAL FEES'!$A$1:$A$22,0),3),IF($Y589=2,IF($P589&gt;10,(($P589-10)*1.06)+INDEX('[1]REMOVAL FEES'!$E$1:$G$22,MATCH(CONCATENATE("Large bulky, extra-large and special handling items",IF($P589&gt;=11,11,$P589)),'[1]REMOVAL FEES'!$E$1:$E$13,0),3),INDEX('[1]REMOVAL FEES'!$E$1:$G$22,MATCH(CONCATENATE("Large bulky, extra-large and special handling items",IF($P589&gt;=11,11,$P589)),'[1]REMOVAL FEES'!$E$1:$E$13,0),3))))*$AA589,FALSE)</f>
        <v>0</v>
      </c>
      <c r="AJ589" s="107">
        <f t="shared" si="120"/>
        <v>-25.185416187499982</v>
      </c>
      <c r="AK589" s="107">
        <v>-91</v>
      </c>
      <c r="AL589" s="107">
        <v>-13.219227777777769</v>
      </c>
      <c r="AM589" s="107">
        <f t="shared" si="121"/>
        <v>-104.21922777777777</v>
      </c>
      <c r="AN589" s="116">
        <f>(-IF($V589="Yes", IF($X589="Yes", VLOOKUP($W589, '[1]Storage Fees'!A:M, 13, FALSE), VLOOKUP($W589, '[1]Storage Fees'!A:M, 10, FALSE)), IF($X589="Yes", VLOOKUP($W589, '[1]Storage Fees'!A:M, 7, FALSE), VLOOKUP($W589, '[1]Storage Fees'!A:M, 4, FALSE))) * U589)*1.5</f>
        <v>0</v>
      </c>
    </row>
    <row r="590" spans="1:40" x14ac:dyDescent="0.25">
      <c r="A590" s="99">
        <v>518</v>
      </c>
      <c r="B590" s="99" t="s">
        <v>13702</v>
      </c>
      <c r="C590" s="99" t="s">
        <v>13655</v>
      </c>
      <c r="D590" s="99" t="s">
        <v>749</v>
      </c>
      <c r="E590" s="99" t="s">
        <v>163</v>
      </c>
      <c r="F590" s="99" t="s">
        <v>1173</v>
      </c>
      <c r="G590" s="99" t="s">
        <v>13656</v>
      </c>
      <c r="H590" s="99">
        <v>13</v>
      </c>
      <c r="I590" s="99">
        <v>8</v>
      </c>
      <c r="J590" s="99">
        <v>5</v>
      </c>
      <c r="K590" s="101" t="str">
        <f t="shared" si="109"/>
        <v>13x8x5</v>
      </c>
      <c r="L590" s="102">
        <f t="shared" si="110"/>
        <v>3.7410071942446042</v>
      </c>
      <c r="M590" s="113">
        <f t="shared" si="111"/>
        <v>3.7410071942446042</v>
      </c>
      <c r="N590" s="113">
        <f t="shared" si="112"/>
        <v>4</v>
      </c>
      <c r="O590" s="99">
        <v>4</v>
      </c>
      <c r="P590" s="113">
        <f t="shared" si="113"/>
        <v>4</v>
      </c>
      <c r="Q590" s="112">
        <f t="shared" si="114"/>
        <v>64</v>
      </c>
      <c r="R590" s="112" t="str">
        <f t="shared" si="115"/>
        <v>Standard-size</v>
      </c>
      <c r="S590" s="99" t="str">
        <f t="shared" si="116"/>
        <v>Large standard-size</v>
      </c>
      <c r="T590" s="116" t="s">
        <v>13693</v>
      </c>
      <c r="U590" s="116">
        <f t="shared" si="117"/>
        <v>0.30092592592592593</v>
      </c>
      <c r="V590" s="116" t="s">
        <v>13583</v>
      </c>
      <c r="W590" s="116" t="s">
        <v>13690</v>
      </c>
      <c r="X590" s="99" t="s">
        <v>13583</v>
      </c>
      <c r="Y590" s="99">
        <v>1</v>
      </c>
      <c r="Z590" s="99">
        <v>2</v>
      </c>
      <c r="AA590" s="99">
        <v>1</v>
      </c>
      <c r="AB590" s="99"/>
      <c r="AC590" s="99"/>
      <c r="AD590" s="107">
        <v>33.930000000000007</v>
      </c>
      <c r="AE590" s="113">
        <f t="shared" si="118"/>
        <v>-5.089500000000001</v>
      </c>
      <c r="AF590" s="116">
        <f>-IFERROR(IFERROR(VLOOKUP(ROUNDUP($Q590,0),'FBA FEES'!$L$2:$Q$203,MATCH($S590,'FBA FEES'!$L$2:$Q$2,0),FALSE),VLOOKUP(ROUNDUP($Q590,0),'FBA FEES'!$C$6:$F$123,MATCH($S590,'FBA FEES'!$C$6:$F$6,0),FALSE)),0)</f>
        <v>-7.24</v>
      </c>
      <c r="AG590" s="116">
        <v>-10</v>
      </c>
      <c r="AH590" s="113">
        <f t="shared" si="119"/>
        <v>-12.329500000000001</v>
      </c>
      <c r="AI590" s="116">
        <f>-IFERROR(IF($Y590=1,INDEX('[1]REMOVAL FEES'!$A$1:$C$22,MATCH(CONCATENATE("Standard Size",$P590),'[1]REMOVAL FEES'!$A$1:$A$22,0),3),IF($Y590=2,IF($P590&gt;10,(($P590-10)*1.06)+INDEX('[1]REMOVAL FEES'!$E$1:$G$22,MATCH(CONCATENATE("Large bulky, extra-large and special handling items",IF($P590&gt;=11,11,$P590)),'[1]REMOVAL FEES'!$E$1:$E$13,0),3),INDEX('[1]REMOVAL FEES'!$E$1:$G$22,MATCH(CONCATENATE("Large bulky, extra-large and special handling items",IF($P590&gt;=11,11,$P590)),'[1]REMOVAL FEES'!$E$1:$E$13,0),3))))*$AA590,FALSE)</f>
        <v>-5.01</v>
      </c>
      <c r="AJ590" s="107">
        <f t="shared" si="120"/>
        <v>-17.339500000000001</v>
      </c>
      <c r="AK590" s="107">
        <v>-17</v>
      </c>
      <c r="AL590" s="107">
        <v>-1.1125</v>
      </c>
      <c r="AM590" s="107">
        <f t="shared" si="121"/>
        <v>-18.112500000000001</v>
      </c>
      <c r="AN590" s="116">
        <f>(-IF($V590="Yes", IF($X590="Yes", VLOOKUP($W590, '[1]Storage Fees'!A:M, 13, FALSE), VLOOKUP($W590, '[1]Storage Fees'!A:M, 10, FALSE)), IF($X590="Yes", VLOOKUP($W590, '[1]Storage Fees'!A:M, 7, FALSE), VLOOKUP($W590, '[1]Storage Fees'!A:M, 4, FALSE))) * U590)*1.5</f>
        <v>-0.55069444444444449</v>
      </c>
    </row>
    <row r="591" spans="1:40" x14ac:dyDescent="0.25">
      <c r="A591" s="99">
        <v>519</v>
      </c>
      <c r="B591" s="99"/>
      <c r="C591" s="99" t="s">
        <v>13655</v>
      </c>
      <c r="D591" s="99"/>
      <c r="E591" s="99" t="s">
        <v>163</v>
      </c>
      <c r="F591" s="99" t="s">
        <v>1975</v>
      </c>
      <c r="G591" s="99" t="s">
        <v>13695</v>
      </c>
      <c r="H591" s="99">
        <v>0</v>
      </c>
      <c r="I591" s="99">
        <v>0</v>
      </c>
      <c r="J591" s="99">
        <v>0</v>
      </c>
      <c r="K591" s="101" t="str">
        <f t="shared" si="109"/>
        <v>0x0x0</v>
      </c>
      <c r="L591" s="102">
        <f t="shared" si="110"/>
        <v>0</v>
      </c>
      <c r="M591" s="113">
        <f t="shared" si="111"/>
        <v>0</v>
      </c>
      <c r="N591" s="113">
        <f t="shared" si="112"/>
        <v>0</v>
      </c>
      <c r="O591" s="99">
        <v>0</v>
      </c>
      <c r="P591" s="113">
        <f t="shared" si="113"/>
        <v>0</v>
      </c>
      <c r="Q591" s="112">
        <f t="shared" si="114"/>
        <v>0</v>
      </c>
      <c r="R591" s="112" t="str">
        <f t="shared" si="115"/>
        <v>Standard-size</v>
      </c>
      <c r="S591" s="99" t="str">
        <f t="shared" si="116"/>
        <v>Small standard-size</v>
      </c>
      <c r="T591" s="116" t="s">
        <v>13696</v>
      </c>
      <c r="U591" s="116">
        <f t="shared" si="117"/>
        <v>0</v>
      </c>
      <c r="V591" s="116" t="s">
        <v>13583</v>
      </c>
      <c r="W591" s="116" t="s">
        <v>13690</v>
      </c>
      <c r="X591" s="99" t="s">
        <v>13583</v>
      </c>
      <c r="Y591" s="99">
        <v>1</v>
      </c>
      <c r="Z591" s="99">
        <v>1</v>
      </c>
      <c r="AA591" s="99">
        <v>1</v>
      </c>
      <c r="AB591" s="99"/>
      <c r="AC591" s="99"/>
      <c r="AD591" s="107">
        <v>0</v>
      </c>
      <c r="AE591" s="113">
        <f t="shared" si="118"/>
        <v>0</v>
      </c>
      <c r="AF591" s="116">
        <f>-IFERROR(IFERROR(VLOOKUP(ROUNDUP($Q591,0),'FBA FEES'!$L$2:$Q$203,MATCH($S591,'FBA FEES'!$L$2:$Q$2,0),FALSE),VLOOKUP(ROUNDUP($Q591,0),'FBA FEES'!$C$6:$F$123,MATCH($S591,'FBA FEES'!$C$6:$F$6,0),FALSE)),0)</f>
        <v>0</v>
      </c>
      <c r="AG591" s="116">
        <v>-10</v>
      </c>
      <c r="AH591" s="113">
        <f t="shared" si="119"/>
        <v>0</v>
      </c>
      <c r="AI591" s="116">
        <f>-IFERROR(IF($Y591=1,INDEX('[1]REMOVAL FEES'!$A$1:$C$22,MATCH(CONCATENATE("Standard Size",$P591),'[1]REMOVAL FEES'!$A$1:$A$22,0),3),IF($Y591=2,IF($P591&gt;10,(($P591-10)*1.06)+INDEX('[1]REMOVAL FEES'!$E$1:$G$22,MATCH(CONCATENATE("Large bulky, extra-large and special handling items",IF($P591&gt;=11,11,$P591)),'[1]REMOVAL FEES'!$E$1:$E$13,0),3),INDEX('[1]REMOVAL FEES'!$E$1:$G$22,MATCH(CONCATENATE("Large bulky, extra-large and special handling items",IF($P591&gt;=11,11,$P591)),'[1]REMOVAL FEES'!$E$1:$E$13,0),3))))*$AA591,FALSE)</f>
        <v>0</v>
      </c>
      <c r="AJ591" s="107">
        <f t="shared" si="120"/>
        <v>0</v>
      </c>
      <c r="AK591" s="107">
        <v>0</v>
      </c>
      <c r="AL591" s="107">
        <v>0</v>
      </c>
      <c r="AM591" s="107">
        <f t="shared" si="121"/>
        <v>0</v>
      </c>
      <c r="AN591" s="116">
        <f>(-IF($V591="Yes", IF($X591="Yes", VLOOKUP($W591, '[1]Storage Fees'!A:M, 13, FALSE), VLOOKUP($W591, '[1]Storage Fees'!A:M, 10, FALSE)), IF($X591="Yes", VLOOKUP($W591, '[1]Storage Fees'!A:M, 7, FALSE), VLOOKUP($W591, '[1]Storage Fees'!A:M, 4, FALSE))) * U591)*1.5</f>
        <v>0</v>
      </c>
    </row>
    <row r="592" spans="1:40" x14ac:dyDescent="0.25">
      <c r="A592" s="99">
        <v>520</v>
      </c>
      <c r="B592" s="99"/>
      <c r="C592" s="99" t="s">
        <v>13655</v>
      </c>
      <c r="D592" s="99"/>
      <c r="E592" s="99" t="s">
        <v>163</v>
      </c>
      <c r="F592" s="99" t="s">
        <v>1976</v>
      </c>
      <c r="G592" s="99" t="s">
        <v>13695</v>
      </c>
      <c r="H592" s="99">
        <v>0</v>
      </c>
      <c r="I592" s="99">
        <v>0</v>
      </c>
      <c r="J592" s="99">
        <v>0</v>
      </c>
      <c r="K592" s="101" t="str">
        <f t="shared" si="109"/>
        <v>0x0x0</v>
      </c>
      <c r="L592" s="102">
        <f t="shared" si="110"/>
        <v>0</v>
      </c>
      <c r="M592" s="113">
        <f t="shared" si="111"/>
        <v>0</v>
      </c>
      <c r="N592" s="113">
        <f t="shared" si="112"/>
        <v>0</v>
      </c>
      <c r="O592" s="99">
        <v>0</v>
      </c>
      <c r="P592" s="113">
        <f t="shared" si="113"/>
        <v>0</v>
      </c>
      <c r="Q592" s="112">
        <f t="shared" si="114"/>
        <v>0</v>
      </c>
      <c r="R592" s="112" t="str">
        <f t="shared" si="115"/>
        <v>Standard-size</v>
      </c>
      <c r="S592" s="99" t="str">
        <f t="shared" si="116"/>
        <v>Small standard-size</v>
      </c>
      <c r="T592" s="116" t="s">
        <v>13696</v>
      </c>
      <c r="U592" s="116">
        <f t="shared" si="117"/>
        <v>0</v>
      </c>
      <c r="V592" s="116" t="s">
        <v>13583</v>
      </c>
      <c r="W592" s="116" t="s">
        <v>13690</v>
      </c>
      <c r="X592" s="99" t="s">
        <v>13583</v>
      </c>
      <c r="Y592" s="99">
        <v>1</v>
      </c>
      <c r="Z592" s="99">
        <v>1</v>
      </c>
      <c r="AA592" s="99">
        <v>1</v>
      </c>
      <c r="AB592" s="99"/>
      <c r="AC592" s="99"/>
      <c r="AD592" s="107">
        <v>0</v>
      </c>
      <c r="AE592" s="113">
        <f t="shared" si="118"/>
        <v>0</v>
      </c>
      <c r="AF592" s="116">
        <f>-IFERROR(IFERROR(VLOOKUP(ROUNDUP($Q592,0),'FBA FEES'!$L$2:$Q$203,MATCH($S592,'FBA FEES'!$L$2:$Q$2,0),FALSE),VLOOKUP(ROUNDUP($Q592,0),'FBA FEES'!$C$6:$F$123,MATCH($S592,'FBA FEES'!$C$6:$F$6,0),FALSE)),0)</f>
        <v>0</v>
      </c>
      <c r="AG592" s="116">
        <v>-10</v>
      </c>
      <c r="AH592" s="113">
        <f t="shared" si="119"/>
        <v>0</v>
      </c>
      <c r="AI592" s="116">
        <f>-IFERROR(IF($Y592=1,INDEX('[1]REMOVAL FEES'!$A$1:$C$22,MATCH(CONCATENATE("Standard Size",$P592),'[1]REMOVAL FEES'!$A$1:$A$22,0),3),IF($Y592=2,IF($P592&gt;10,(($P592-10)*1.06)+INDEX('[1]REMOVAL FEES'!$E$1:$G$22,MATCH(CONCATENATE("Large bulky, extra-large and special handling items",IF($P592&gt;=11,11,$P592)),'[1]REMOVAL FEES'!$E$1:$E$13,0),3),INDEX('[1]REMOVAL FEES'!$E$1:$G$22,MATCH(CONCATENATE("Large bulky, extra-large and special handling items",IF($P592&gt;=11,11,$P592)),'[1]REMOVAL FEES'!$E$1:$E$13,0),3))))*$AA592,FALSE)</f>
        <v>0</v>
      </c>
      <c r="AJ592" s="107">
        <f t="shared" si="120"/>
        <v>0</v>
      </c>
      <c r="AK592" s="107">
        <v>0</v>
      </c>
      <c r="AL592" s="107">
        <v>0</v>
      </c>
      <c r="AM592" s="107">
        <f t="shared" si="121"/>
        <v>0</v>
      </c>
      <c r="AN592" s="116">
        <f>(-IF($V592="Yes", IF($X592="Yes", VLOOKUP($W592, '[1]Storage Fees'!A:M, 13, FALSE), VLOOKUP($W592, '[1]Storage Fees'!A:M, 10, FALSE)), IF($X592="Yes", VLOOKUP($W592, '[1]Storage Fees'!A:M, 7, FALSE), VLOOKUP($W592, '[1]Storage Fees'!A:M, 4, FALSE))) * U592)*1.5</f>
        <v>0</v>
      </c>
    </row>
    <row r="593" spans="1:40" x14ac:dyDescent="0.25">
      <c r="A593" s="99">
        <v>521</v>
      </c>
      <c r="B593" s="99"/>
      <c r="C593" s="99" t="s">
        <v>13655</v>
      </c>
      <c r="D593" s="99"/>
      <c r="E593" s="99" t="s">
        <v>163</v>
      </c>
      <c r="F593" s="99" t="s">
        <v>1977</v>
      </c>
      <c r="G593" s="99" t="s">
        <v>13695</v>
      </c>
      <c r="H593" s="99">
        <v>0</v>
      </c>
      <c r="I593" s="99">
        <v>0</v>
      </c>
      <c r="J593" s="99">
        <v>0</v>
      </c>
      <c r="K593" s="101" t="str">
        <f t="shared" si="109"/>
        <v>0x0x0</v>
      </c>
      <c r="L593" s="102">
        <f t="shared" si="110"/>
        <v>0</v>
      </c>
      <c r="M593" s="113">
        <f t="shared" si="111"/>
        <v>0</v>
      </c>
      <c r="N593" s="113">
        <f t="shared" si="112"/>
        <v>0</v>
      </c>
      <c r="O593" s="99">
        <v>0</v>
      </c>
      <c r="P593" s="113">
        <f t="shared" si="113"/>
        <v>0</v>
      </c>
      <c r="Q593" s="112">
        <f t="shared" si="114"/>
        <v>0</v>
      </c>
      <c r="R593" s="112" t="str">
        <f t="shared" si="115"/>
        <v>Standard-size</v>
      </c>
      <c r="S593" s="99" t="str">
        <f t="shared" si="116"/>
        <v>Small standard-size</v>
      </c>
      <c r="T593" s="116" t="s">
        <v>13696</v>
      </c>
      <c r="U593" s="116">
        <f t="shared" si="117"/>
        <v>0</v>
      </c>
      <c r="V593" s="116" t="s">
        <v>13583</v>
      </c>
      <c r="W593" s="116" t="s">
        <v>13690</v>
      </c>
      <c r="X593" s="99" t="s">
        <v>13583</v>
      </c>
      <c r="Y593" s="99">
        <v>1</v>
      </c>
      <c r="Z593" s="99">
        <v>1</v>
      </c>
      <c r="AA593" s="99">
        <v>1</v>
      </c>
      <c r="AB593" s="99"/>
      <c r="AC593" s="99"/>
      <c r="AD593" s="107">
        <v>0</v>
      </c>
      <c r="AE593" s="113">
        <f t="shared" si="118"/>
        <v>0</v>
      </c>
      <c r="AF593" s="116">
        <f>-IFERROR(IFERROR(VLOOKUP(ROUNDUP($Q593,0),'FBA FEES'!$L$2:$Q$203,MATCH($S593,'FBA FEES'!$L$2:$Q$2,0),FALSE),VLOOKUP(ROUNDUP($Q593,0),'FBA FEES'!$C$6:$F$123,MATCH($S593,'FBA FEES'!$C$6:$F$6,0),FALSE)),0)</f>
        <v>0</v>
      </c>
      <c r="AG593" s="116">
        <v>-10</v>
      </c>
      <c r="AH593" s="113">
        <f t="shared" si="119"/>
        <v>0</v>
      </c>
      <c r="AI593" s="116">
        <f>-IFERROR(IF($Y593=1,INDEX('[1]REMOVAL FEES'!$A$1:$C$22,MATCH(CONCATENATE("Standard Size",$P593),'[1]REMOVAL FEES'!$A$1:$A$22,0),3),IF($Y593=2,IF($P593&gt;10,(($P593-10)*1.06)+INDEX('[1]REMOVAL FEES'!$E$1:$G$22,MATCH(CONCATENATE("Large bulky, extra-large and special handling items",IF($P593&gt;=11,11,$P593)),'[1]REMOVAL FEES'!$E$1:$E$13,0),3),INDEX('[1]REMOVAL FEES'!$E$1:$G$22,MATCH(CONCATENATE("Large bulky, extra-large and special handling items",IF($P593&gt;=11,11,$P593)),'[1]REMOVAL FEES'!$E$1:$E$13,0),3))))*$AA593,FALSE)</f>
        <v>0</v>
      </c>
      <c r="AJ593" s="107">
        <f t="shared" si="120"/>
        <v>0</v>
      </c>
      <c r="AK593" s="107">
        <v>0</v>
      </c>
      <c r="AL593" s="107">
        <v>0</v>
      </c>
      <c r="AM593" s="107">
        <f t="shared" si="121"/>
        <v>0</v>
      </c>
      <c r="AN593" s="116">
        <f>(-IF($V593="Yes", IF($X593="Yes", VLOOKUP($W593, '[1]Storage Fees'!A:M, 13, FALSE), VLOOKUP($W593, '[1]Storage Fees'!A:M, 10, FALSE)), IF($X593="Yes", VLOOKUP($W593, '[1]Storage Fees'!A:M, 7, FALSE), VLOOKUP($W593, '[1]Storage Fees'!A:M, 4, FALSE))) * U593)*1.5</f>
        <v>0</v>
      </c>
    </row>
    <row r="594" spans="1:40" x14ac:dyDescent="0.25">
      <c r="A594" s="99">
        <v>522</v>
      </c>
      <c r="B594" s="99"/>
      <c r="C594" s="99" t="s">
        <v>13655</v>
      </c>
      <c r="D594" s="99"/>
      <c r="E594" s="99" t="s">
        <v>278</v>
      </c>
      <c r="F594" s="99" t="s">
        <v>1978</v>
      </c>
      <c r="G594" s="99" t="s">
        <v>13695</v>
      </c>
      <c r="H594" s="99">
        <v>0</v>
      </c>
      <c r="I594" s="99">
        <v>0</v>
      </c>
      <c r="J594" s="99">
        <v>0</v>
      </c>
      <c r="K594" s="101" t="str">
        <f t="shared" si="109"/>
        <v>0x0x0</v>
      </c>
      <c r="L594" s="102">
        <f t="shared" si="110"/>
        <v>0</v>
      </c>
      <c r="M594" s="113">
        <f t="shared" si="111"/>
        <v>0</v>
      </c>
      <c r="N594" s="113">
        <f t="shared" si="112"/>
        <v>0</v>
      </c>
      <c r="O594" s="99">
        <v>0</v>
      </c>
      <c r="P594" s="113">
        <f t="shared" si="113"/>
        <v>0</v>
      </c>
      <c r="Q594" s="112">
        <f t="shared" si="114"/>
        <v>0</v>
      </c>
      <c r="R594" s="112" t="str">
        <f t="shared" si="115"/>
        <v>Standard-size</v>
      </c>
      <c r="S594" s="99" t="str">
        <f t="shared" si="116"/>
        <v>Small standard-size</v>
      </c>
      <c r="T594" s="116" t="s">
        <v>13696</v>
      </c>
      <c r="U594" s="116">
        <f t="shared" si="117"/>
        <v>0</v>
      </c>
      <c r="V594" s="116" t="s">
        <v>13583</v>
      </c>
      <c r="W594" s="116" t="s">
        <v>13690</v>
      </c>
      <c r="X594" s="99" t="s">
        <v>13583</v>
      </c>
      <c r="Y594" s="99">
        <v>1</v>
      </c>
      <c r="Z594" s="99">
        <v>1</v>
      </c>
      <c r="AA594" s="99">
        <v>1</v>
      </c>
      <c r="AB594" s="99"/>
      <c r="AC594" s="99"/>
      <c r="AD594" s="107">
        <v>93.323333333333323</v>
      </c>
      <c r="AE594" s="113">
        <f t="shared" si="118"/>
        <v>-13.998499999999998</v>
      </c>
      <c r="AF594" s="116">
        <f>-IFERROR(IFERROR(VLOOKUP(ROUNDUP($Q594,0),'FBA FEES'!$L$2:$Q$203,MATCH($S594,'FBA FEES'!$L$2:$Q$2,0),FALSE),VLOOKUP(ROUNDUP($Q594,0),'FBA FEES'!$C$6:$F$123,MATCH($S594,'FBA FEES'!$C$6:$F$6,0),FALSE)),0)</f>
        <v>0</v>
      </c>
      <c r="AG594" s="116">
        <v>-10</v>
      </c>
      <c r="AH594" s="113">
        <f t="shared" si="119"/>
        <v>-13.998499999999998</v>
      </c>
      <c r="AI594" s="116">
        <f>-IFERROR(IF($Y594=1,INDEX('[1]REMOVAL FEES'!$A$1:$C$22,MATCH(CONCATENATE("Standard Size",$P594),'[1]REMOVAL FEES'!$A$1:$A$22,0),3),IF($Y594=2,IF($P594&gt;10,(($P594-10)*1.06)+INDEX('[1]REMOVAL FEES'!$E$1:$G$22,MATCH(CONCATENATE("Large bulky, extra-large and special handling items",IF($P594&gt;=11,11,$P594)),'[1]REMOVAL FEES'!$E$1:$E$13,0),3),INDEX('[1]REMOVAL FEES'!$E$1:$G$22,MATCH(CONCATENATE("Large bulky, extra-large and special handling items",IF($P594&gt;=11,11,$P594)),'[1]REMOVAL FEES'!$E$1:$E$13,0),3))))*$AA594,FALSE)</f>
        <v>0</v>
      </c>
      <c r="AJ594" s="107">
        <f t="shared" si="120"/>
        <v>-13.998499999999998</v>
      </c>
      <c r="AK594" s="107">
        <v>-32.619999999999997</v>
      </c>
      <c r="AL594" s="107">
        <v>-6.8637499999999996</v>
      </c>
      <c r="AM594" s="107">
        <f t="shared" si="121"/>
        <v>-39.483750000000001</v>
      </c>
      <c r="AN594" s="116">
        <f>(-IF($V594="Yes", IF($X594="Yes", VLOOKUP($W594, '[1]Storage Fees'!A:M, 13, FALSE), VLOOKUP($W594, '[1]Storage Fees'!A:M, 10, FALSE)), IF($X594="Yes", VLOOKUP($W594, '[1]Storage Fees'!A:M, 7, FALSE), VLOOKUP($W594, '[1]Storage Fees'!A:M, 4, FALSE))) * U594)*1.5</f>
        <v>0</v>
      </c>
    </row>
    <row r="595" spans="1:40" x14ac:dyDescent="0.25">
      <c r="A595" s="99">
        <v>523</v>
      </c>
      <c r="B595" s="99"/>
      <c r="C595" s="99" t="s">
        <v>13655</v>
      </c>
      <c r="D595" s="99"/>
      <c r="E595" s="99" t="s">
        <v>278</v>
      </c>
      <c r="F595" s="99" t="s">
        <v>1981</v>
      </c>
      <c r="G595" s="99" t="s">
        <v>13695</v>
      </c>
      <c r="H595" s="99">
        <v>0</v>
      </c>
      <c r="I595" s="99">
        <v>0</v>
      </c>
      <c r="J595" s="99">
        <v>0</v>
      </c>
      <c r="K595" s="101" t="str">
        <f t="shared" si="109"/>
        <v>0x0x0</v>
      </c>
      <c r="L595" s="102">
        <f t="shared" si="110"/>
        <v>0</v>
      </c>
      <c r="M595" s="113">
        <f t="shared" si="111"/>
        <v>0</v>
      </c>
      <c r="N595" s="113">
        <f t="shared" si="112"/>
        <v>0</v>
      </c>
      <c r="O595" s="99">
        <v>0</v>
      </c>
      <c r="P595" s="113">
        <f t="shared" si="113"/>
        <v>0</v>
      </c>
      <c r="Q595" s="112">
        <f t="shared" si="114"/>
        <v>0</v>
      </c>
      <c r="R595" s="112" t="str">
        <f t="shared" si="115"/>
        <v>Standard-size</v>
      </c>
      <c r="S595" s="99" t="str">
        <f t="shared" si="116"/>
        <v>Small standard-size</v>
      </c>
      <c r="T595" s="116" t="s">
        <v>13696</v>
      </c>
      <c r="U595" s="116">
        <f t="shared" si="117"/>
        <v>0</v>
      </c>
      <c r="V595" s="116" t="s">
        <v>13583</v>
      </c>
      <c r="W595" s="116" t="s">
        <v>13690</v>
      </c>
      <c r="X595" s="99" t="s">
        <v>13583</v>
      </c>
      <c r="Y595" s="99">
        <v>1</v>
      </c>
      <c r="Z595" s="99">
        <v>1</v>
      </c>
      <c r="AA595" s="99">
        <v>1</v>
      </c>
      <c r="AB595" s="99"/>
      <c r="AC595" s="99"/>
      <c r="AD595" s="107">
        <v>0</v>
      </c>
      <c r="AE595" s="113">
        <f t="shared" si="118"/>
        <v>0</v>
      </c>
      <c r="AF595" s="116">
        <f>-IFERROR(IFERROR(VLOOKUP(ROUNDUP($Q595,0),'FBA FEES'!$L$2:$Q$203,MATCH($S595,'FBA FEES'!$L$2:$Q$2,0),FALSE),VLOOKUP(ROUNDUP($Q595,0),'FBA FEES'!$C$6:$F$123,MATCH($S595,'FBA FEES'!$C$6:$F$6,0),FALSE)),0)</f>
        <v>0</v>
      </c>
      <c r="AG595" s="116">
        <v>-10</v>
      </c>
      <c r="AH595" s="113">
        <f t="shared" si="119"/>
        <v>0</v>
      </c>
      <c r="AI595" s="116">
        <f>-IFERROR(IF($Y595=1,INDEX('[1]REMOVAL FEES'!$A$1:$C$22,MATCH(CONCATENATE("Standard Size",$P595),'[1]REMOVAL FEES'!$A$1:$A$22,0),3),IF($Y595=2,IF($P595&gt;10,(($P595-10)*1.06)+INDEX('[1]REMOVAL FEES'!$E$1:$G$22,MATCH(CONCATENATE("Large bulky, extra-large and special handling items",IF($P595&gt;=11,11,$P595)),'[1]REMOVAL FEES'!$E$1:$E$13,0),3),INDEX('[1]REMOVAL FEES'!$E$1:$G$22,MATCH(CONCATENATE("Large bulky, extra-large and special handling items",IF($P595&gt;=11,11,$P595)),'[1]REMOVAL FEES'!$E$1:$E$13,0),3))))*$AA595,FALSE)</f>
        <v>0</v>
      </c>
      <c r="AJ595" s="107">
        <f t="shared" si="120"/>
        <v>0</v>
      </c>
      <c r="AK595" s="107">
        <v>0</v>
      </c>
      <c r="AL595" s="107">
        <v>0</v>
      </c>
      <c r="AM595" s="107">
        <f t="shared" si="121"/>
        <v>0</v>
      </c>
      <c r="AN595" s="116">
        <f>(-IF($V595="Yes", IF($X595="Yes", VLOOKUP($W595, '[1]Storage Fees'!A:M, 13, FALSE), VLOOKUP($W595, '[1]Storage Fees'!A:M, 10, FALSE)), IF($X595="Yes", VLOOKUP($W595, '[1]Storage Fees'!A:M, 7, FALSE), VLOOKUP($W595, '[1]Storage Fees'!A:M, 4, FALSE))) * U595)*1.5</f>
        <v>0</v>
      </c>
    </row>
    <row r="596" spans="1:40" x14ac:dyDescent="0.25">
      <c r="A596" s="99">
        <v>524</v>
      </c>
      <c r="B596" s="99" t="s">
        <v>13702</v>
      </c>
      <c r="C596" s="99" t="s">
        <v>13655</v>
      </c>
      <c r="D596" s="99" t="s">
        <v>714</v>
      </c>
      <c r="E596" s="99" t="s">
        <v>278</v>
      </c>
      <c r="F596" s="99" t="s">
        <v>1176</v>
      </c>
      <c r="G596" s="99" t="s">
        <v>13695</v>
      </c>
      <c r="H596" s="99">
        <v>15</v>
      </c>
      <c r="I596" s="99">
        <v>15</v>
      </c>
      <c r="J596" s="99">
        <v>17</v>
      </c>
      <c r="K596" s="101" t="str">
        <f t="shared" si="109"/>
        <v>15x15x17</v>
      </c>
      <c r="L596" s="102">
        <f t="shared" si="110"/>
        <v>27.517985611510792</v>
      </c>
      <c r="M596" s="113">
        <f t="shared" si="111"/>
        <v>27.517985611510792</v>
      </c>
      <c r="N596" s="113">
        <f t="shared" si="112"/>
        <v>28</v>
      </c>
      <c r="O596" s="99">
        <v>23</v>
      </c>
      <c r="P596" s="113">
        <f t="shared" si="113"/>
        <v>28</v>
      </c>
      <c r="Q596" s="112">
        <f t="shared" si="114"/>
        <v>448</v>
      </c>
      <c r="R596" s="112" t="str">
        <f t="shared" si="115"/>
        <v>Oversize</v>
      </c>
      <c r="S596" s="99" t="str">
        <f t="shared" si="116"/>
        <v>Large bulky</v>
      </c>
      <c r="T596" s="116" t="s">
        <v>13692</v>
      </c>
      <c r="U596" s="116">
        <f t="shared" si="117"/>
        <v>2.2135416666666665</v>
      </c>
      <c r="V596" s="116" t="s">
        <v>13583</v>
      </c>
      <c r="W596" s="116" t="s">
        <v>13690</v>
      </c>
      <c r="X596" s="116" t="s">
        <v>13691</v>
      </c>
      <c r="Y596" s="116">
        <v>2</v>
      </c>
      <c r="Z596" s="116">
        <v>3</v>
      </c>
      <c r="AA596" s="116">
        <v>1</v>
      </c>
      <c r="AB596" s="99"/>
      <c r="AC596" s="99"/>
      <c r="AD596" s="107">
        <v>0</v>
      </c>
      <c r="AE596" s="113">
        <f t="shared" si="118"/>
        <v>0</v>
      </c>
      <c r="AF596" s="116">
        <f>-IFERROR(IFERROR(VLOOKUP(ROUNDUP($Q596,0),'FBA FEES'!$L$2:$Q$203,MATCH($S596,'FBA FEES'!$L$2:$Q$2,0),FALSE),VLOOKUP(ROUNDUP($Q596,0),'FBA FEES'!$C$6:$F$123,MATCH($S596,'FBA FEES'!$C$6:$F$6,0),FALSE)),0)</f>
        <v>-19.869999999999997</v>
      </c>
      <c r="AG596" s="116">
        <v>-10</v>
      </c>
      <c r="AH596" s="113">
        <f t="shared" si="119"/>
        <v>-19.869999999999997</v>
      </c>
      <c r="AI596" s="116">
        <f>-IFERROR(IF($Y596=1,INDEX('[1]REMOVAL FEES'!$A$1:$C$22,MATCH(CONCATENATE("Standard Size",$P596),'[1]REMOVAL FEES'!$A$1:$A$22,0),3),IF($Y596=2,IF($P596&gt;10,(($P596-10)*1.06)+INDEX('[1]REMOVAL FEES'!$E$1:$G$22,MATCH(CONCATENATE("Large bulky, extra-large and special handling items",IF($P596&gt;=11,11,$P596)),'[1]REMOVAL FEES'!$E$1:$E$13,0),3),INDEX('[1]REMOVAL FEES'!$E$1:$G$22,MATCH(CONCATENATE("Large bulky, extra-large and special handling items",IF($P596&gt;=11,11,$P596)),'[1]REMOVAL FEES'!$E$1:$E$13,0),3))))*$AA596,FALSE)</f>
        <v>-33.400000000000006</v>
      </c>
      <c r="AJ596" s="107">
        <f t="shared" si="120"/>
        <v>-53.27</v>
      </c>
      <c r="AK596" s="107">
        <v>0</v>
      </c>
      <c r="AL596" s="107">
        <v>0</v>
      </c>
      <c r="AM596" s="107">
        <f t="shared" si="121"/>
        <v>0</v>
      </c>
      <c r="AN596" s="116">
        <f>(-IF($V596="Yes", IF($X596="Yes", VLOOKUP($W596, '[1]Storage Fees'!A:M, 13, FALSE), VLOOKUP($W596, '[1]Storage Fees'!A:M, 10, FALSE)), IF($X596="Yes", VLOOKUP($W596, '[1]Storage Fees'!A:M, 7, FALSE), VLOOKUP($W596, '[1]Storage Fees'!A:M, 4, FALSE))) * U596)*1.5</f>
        <v>-2.623046875</v>
      </c>
    </row>
    <row r="597" spans="1:40" x14ac:dyDescent="0.25">
      <c r="A597" s="99">
        <v>525</v>
      </c>
      <c r="B597" s="99" t="s">
        <v>55</v>
      </c>
      <c r="C597" s="99"/>
      <c r="D597" s="99"/>
      <c r="E597" s="99" t="s">
        <v>201</v>
      </c>
      <c r="F597" s="99" t="s">
        <v>374</v>
      </c>
      <c r="G597" s="99" t="s">
        <v>13656</v>
      </c>
      <c r="H597" s="99">
        <v>14</v>
      </c>
      <c r="I597" s="99">
        <v>13</v>
      </c>
      <c r="J597" s="99">
        <v>2</v>
      </c>
      <c r="K597" s="101" t="str">
        <f t="shared" si="109"/>
        <v>14x13x2</v>
      </c>
      <c r="L597" s="102">
        <f t="shared" si="110"/>
        <v>2.6187050359712232</v>
      </c>
      <c r="M597" s="113">
        <f t="shared" si="111"/>
        <v>2.6187050359712232</v>
      </c>
      <c r="N597" s="113">
        <f t="shared" si="112"/>
        <v>3</v>
      </c>
      <c r="O597" s="99">
        <v>2</v>
      </c>
      <c r="P597" s="113">
        <f t="shared" si="113"/>
        <v>3</v>
      </c>
      <c r="Q597" s="112">
        <f t="shared" si="114"/>
        <v>48</v>
      </c>
      <c r="R597" s="112" t="str">
        <f t="shared" si="115"/>
        <v>Standard-size</v>
      </c>
      <c r="S597" s="99" t="str">
        <f t="shared" si="116"/>
        <v>Large standard-size</v>
      </c>
      <c r="T597" s="116" t="s">
        <v>13701</v>
      </c>
      <c r="U597" s="116">
        <f t="shared" si="117"/>
        <v>0.21064814814814814</v>
      </c>
      <c r="V597" s="116" t="s">
        <v>13583</v>
      </c>
      <c r="W597" s="116" t="s">
        <v>13690</v>
      </c>
      <c r="X597" s="99" t="s">
        <v>13583</v>
      </c>
      <c r="Y597" s="99">
        <v>1</v>
      </c>
      <c r="Z597" s="99">
        <v>2</v>
      </c>
      <c r="AA597" s="99">
        <v>1</v>
      </c>
      <c r="AB597" s="99"/>
      <c r="AC597" s="99"/>
      <c r="AD597" s="107">
        <v>22.412687500000001</v>
      </c>
      <c r="AE597" s="113">
        <f t="shared" si="118"/>
        <v>-3.361903125</v>
      </c>
      <c r="AF597" s="116">
        <f>-IFERROR(IFERROR(VLOOKUP(ROUNDUP($Q597,0),'FBA FEES'!$L$2:$Q$203,MATCH($S597,'FBA FEES'!$L$2:$Q$2,0),FALSE),VLOOKUP(ROUNDUP($Q597,0),'FBA FEES'!$C$6:$F$123,MATCH($S597,'FBA FEES'!$C$6:$F$6,0),FALSE)),0)</f>
        <v>-6.62</v>
      </c>
      <c r="AG597" s="116">
        <v>-7</v>
      </c>
      <c r="AH597" s="113">
        <f t="shared" si="119"/>
        <v>-9.9819031250000005</v>
      </c>
      <c r="AI597" s="116">
        <f>-IFERROR(IF($Y597=1,INDEX('[1]REMOVAL FEES'!$A$1:$C$22,MATCH(CONCATENATE("Standard Size",$P597),'[1]REMOVAL FEES'!$A$1:$A$22,0),3),IF($Y597=2,IF($P597&gt;10,(($P597-10)*1.06)+INDEX('[1]REMOVAL FEES'!$E$1:$G$22,MATCH(CONCATENATE("Large bulky, extra-large and special handling items",IF($P597&gt;=11,11,$P597)),'[1]REMOVAL FEES'!$E$1:$E$13,0),3),INDEX('[1]REMOVAL FEES'!$E$1:$G$22,MATCH(CONCATENATE("Large bulky, extra-large and special handling items",IF($P597&gt;=11,11,$P597)),'[1]REMOVAL FEES'!$E$1:$E$13,0),3))))*$AA597,FALSE)</f>
        <v>-3.95</v>
      </c>
      <c r="AJ597" s="107">
        <f t="shared" si="120"/>
        <v>-13.931903125000002</v>
      </c>
      <c r="AK597" s="107">
        <v>-3.1339062499999999</v>
      </c>
      <c r="AL597" s="107">
        <v>-1.1428541666666669</v>
      </c>
      <c r="AM597" s="107">
        <f t="shared" si="121"/>
        <v>-4.2767604166666668</v>
      </c>
      <c r="AN597" s="116">
        <f>(-IF($V597="Yes", IF($X597="Yes", VLOOKUP($W597, '[1]Storage Fees'!A:M, 13, FALSE), VLOOKUP($W597, '[1]Storage Fees'!A:M, 10, FALSE)), IF($X597="Yes", VLOOKUP($W597, '[1]Storage Fees'!A:M, 7, FALSE), VLOOKUP($W597, '[1]Storage Fees'!A:M, 4, FALSE))) * U597)*1.5</f>
        <v>-0.38548611111111108</v>
      </c>
    </row>
    <row r="598" spans="1:40" x14ac:dyDescent="0.25">
      <c r="A598" s="99">
        <v>526</v>
      </c>
      <c r="B598" s="99"/>
      <c r="C598" s="99" t="s">
        <v>13655</v>
      </c>
      <c r="D598" s="99"/>
      <c r="E598" s="99" t="s">
        <v>296</v>
      </c>
      <c r="F598" s="99" t="s">
        <v>1983</v>
      </c>
      <c r="G598" s="99" t="s">
        <v>13695</v>
      </c>
      <c r="H598" s="99">
        <v>0</v>
      </c>
      <c r="I598" s="99">
        <v>0</v>
      </c>
      <c r="J598" s="99">
        <v>0</v>
      </c>
      <c r="K598" s="101" t="str">
        <f t="shared" si="109"/>
        <v>0x0x0</v>
      </c>
      <c r="L598" s="102">
        <f t="shared" si="110"/>
        <v>0</v>
      </c>
      <c r="M598" s="113">
        <f t="shared" si="111"/>
        <v>0</v>
      </c>
      <c r="N598" s="113">
        <f t="shared" si="112"/>
        <v>0</v>
      </c>
      <c r="O598" s="99">
        <v>0</v>
      </c>
      <c r="P598" s="113">
        <f t="shared" si="113"/>
        <v>0</v>
      </c>
      <c r="Q598" s="112">
        <f t="shared" si="114"/>
        <v>0</v>
      </c>
      <c r="R598" s="112" t="str">
        <f t="shared" si="115"/>
        <v>Standard-size</v>
      </c>
      <c r="S598" s="99" t="str">
        <f t="shared" si="116"/>
        <v>Small standard-size</v>
      </c>
      <c r="T598" s="116" t="s">
        <v>13696</v>
      </c>
      <c r="U598" s="116">
        <f t="shared" si="117"/>
        <v>0</v>
      </c>
      <c r="V598" s="116" t="s">
        <v>13583</v>
      </c>
      <c r="W598" s="116" t="s">
        <v>13690</v>
      </c>
      <c r="X598" s="99" t="s">
        <v>13583</v>
      </c>
      <c r="Y598" s="99">
        <v>1</v>
      </c>
      <c r="Z598" s="99">
        <v>1</v>
      </c>
      <c r="AA598" s="99">
        <v>1</v>
      </c>
      <c r="AB598" s="99"/>
      <c r="AC598" s="99"/>
      <c r="AD598" s="107">
        <v>0</v>
      </c>
      <c r="AE598" s="113">
        <f t="shared" si="118"/>
        <v>0</v>
      </c>
      <c r="AF598" s="116">
        <f>-IFERROR(IFERROR(VLOOKUP(ROUNDUP($Q598,0),'FBA FEES'!$L$2:$Q$203,MATCH($S598,'FBA FEES'!$L$2:$Q$2,0),FALSE),VLOOKUP(ROUNDUP($Q598,0),'FBA FEES'!$C$6:$F$123,MATCH($S598,'FBA FEES'!$C$6:$F$6,0),FALSE)),0)</f>
        <v>0</v>
      </c>
      <c r="AG598" s="116">
        <v>-10</v>
      </c>
      <c r="AH598" s="113">
        <f t="shared" si="119"/>
        <v>0</v>
      </c>
      <c r="AI598" s="116">
        <f>-IFERROR(IF($Y598=1,INDEX('[1]REMOVAL FEES'!$A$1:$C$22,MATCH(CONCATENATE("Standard Size",$P598),'[1]REMOVAL FEES'!$A$1:$A$22,0),3),IF($Y598=2,IF($P598&gt;10,(($P598-10)*1.06)+INDEX('[1]REMOVAL FEES'!$E$1:$G$22,MATCH(CONCATENATE("Large bulky, extra-large and special handling items",IF($P598&gt;=11,11,$P598)),'[1]REMOVAL FEES'!$E$1:$E$13,0),3),INDEX('[1]REMOVAL FEES'!$E$1:$G$22,MATCH(CONCATENATE("Large bulky, extra-large and special handling items",IF($P598&gt;=11,11,$P598)),'[1]REMOVAL FEES'!$E$1:$E$13,0),3))))*$AA598,FALSE)</f>
        <v>0</v>
      </c>
      <c r="AJ598" s="107">
        <f t="shared" si="120"/>
        <v>0</v>
      </c>
      <c r="AK598" s="107">
        <v>0</v>
      </c>
      <c r="AL598" s="107">
        <v>0</v>
      </c>
      <c r="AM598" s="107">
        <f t="shared" si="121"/>
        <v>0</v>
      </c>
      <c r="AN598" s="116">
        <f>(-IF($V598="Yes", IF($X598="Yes", VLOOKUP($W598, '[1]Storage Fees'!A:M, 13, FALSE), VLOOKUP($W598, '[1]Storage Fees'!A:M, 10, FALSE)), IF($X598="Yes", VLOOKUP($W598, '[1]Storage Fees'!A:M, 7, FALSE), VLOOKUP($W598, '[1]Storage Fees'!A:M, 4, FALSE))) * U598)*1.5</f>
        <v>0</v>
      </c>
    </row>
    <row r="599" spans="1:40" x14ac:dyDescent="0.25">
      <c r="A599" s="99">
        <v>527</v>
      </c>
      <c r="B599" s="99"/>
      <c r="C599" s="99" t="s">
        <v>13655</v>
      </c>
      <c r="D599" s="99"/>
      <c r="E599" s="99" t="s">
        <v>278</v>
      </c>
      <c r="F599" s="99" t="s">
        <v>1985</v>
      </c>
      <c r="G599" s="99" t="s">
        <v>13695</v>
      </c>
      <c r="H599" s="99">
        <v>0</v>
      </c>
      <c r="I599" s="99">
        <v>0</v>
      </c>
      <c r="J599" s="99">
        <v>0</v>
      </c>
      <c r="K599" s="101" t="str">
        <f t="shared" si="109"/>
        <v>0x0x0</v>
      </c>
      <c r="L599" s="102">
        <f t="shared" si="110"/>
        <v>0</v>
      </c>
      <c r="M599" s="113">
        <f t="shared" si="111"/>
        <v>0</v>
      </c>
      <c r="N599" s="113">
        <f t="shared" si="112"/>
        <v>0</v>
      </c>
      <c r="O599" s="99">
        <v>0</v>
      </c>
      <c r="P599" s="113">
        <f t="shared" si="113"/>
        <v>0</v>
      </c>
      <c r="Q599" s="112">
        <f t="shared" si="114"/>
        <v>0</v>
      </c>
      <c r="R599" s="112" t="str">
        <f t="shared" si="115"/>
        <v>Standard-size</v>
      </c>
      <c r="S599" s="99" t="str">
        <f t="shared" si="116"/>
        <v>Small standard-size</v>
      </c>
      <c r="T599" s="116" t="s">
        <v>13696</v>
      </c>
      <c r="U599" s="116">
        <f t="shared" si="117"/>
        <v>0</v>
      </c>
      <c r="V599" s="116" t="s">
        <v>13583</v>
      </c>
      <c r="W599" s="116" t="s">
        <v>13690</v>
      </c>
      <c r="X599" s="99" t="s">
        <v>13583</v>
      </c>
      <c r="Y599" s="99">
        <v>1</v>
      </c>
      <c r="Z599" s="99">
        <v>1</v>
      </c>
      <c r="AA599" s="99">
        <v>1</v>
      </c>
      <c r="AB599" s="99"/>
      <c r="AC599" s="99"/>
      <c r="AD599" s="107">
        <v>0</v>
      </c>
      <c r="AE599" s="113">
        <f t="shared" si="118"/>
        <v>0</v>
      </c>
      <c r="AF599" s="116">
        <f>-IFERROR(IFERROR(VLOOKUP(ROUNDUP($Q599,0),'FBA FEES'!$L$2:$Q$203,MATCH($S599,'FBA FEES'!$L$2:$Q$2,0),FALSE),VLOOKUP(ROUNDUP($Q599,0),'FBA FEES'!$C$6:$F$123,MATCH($S599,'FBA FEES'!$C$6:$F$6,0),FALSE)),0)</f>
        <v>0</v>
      </c>
      <c r="AG599" s="116">
        <v>-10</v>
      </c>
      <c r="AH599" s="113">
        <f t="shared" si="119"/>
        <v>0</v>
      </c>
      <c r="AI599" s="116">
        <f>-IFERROR(IF($Y599=1,INDEX('[1]REMOVAL FEES'!$A$1:$C$22,MATCH(CONCATENATE("Standard Size",$P599),'[1]REMOVAL FEES'!$A$1:$A$22,0),3),IF($Y599=2,IF($P599&gt;10,(($P599-10)*1.06)+INDEX('[1]REMOVAL FEES'!$E$1:$G$22,MATCH(CONCATENATE("Large bulky, extra-large and special handling items",IF($P599&gt;=11,11,$P599)),'[1]REMOVAL FEES'!$E$1:$E$13,0),3),INDEX('[1]REMOVAL FEES'!$E$1:$G$22,MATCH(CONCATENATE("Large bulky, extra-large and special handling items",IF($P599&gt;=11,11,$P599)),'[1]REMOVAL FEES'!$E$1:$E$13,0),3))))*$AA599,FALSE)</f>
        <v>0</v>
      </c>
      <c r="AJ599" s="107">
        <f t="shared" si="120"/>
        <v>0</v>
      </c>
      <c r="AK599" s="107">
        <v>0</v>
      </c>
      <c r="AL599" s="107">
        <v>0</v>
      </c>
      <c r="AM599" s="107">
        <f t="shared" si="121"/>
        <v>0</v>
      </c>
      <c r="AN599" s="116">
        <f>(-IF($V599="Yes", IF($X599="Yes", VLOOKUP($W599, '[1]Storage Fees'!A:M, 13, FALSE), VLOOKUP($W599, '[1]Storage Fees'!A:M, 10, FALSE)), IF($X599="Yes", VLOOKUP($W599, '[1]Storage Fees'!A:M, 7, FALSE), VLOOKUP($W599, '[1]Storage Fees'!A:M, 4, FALSE))) * U599)*1.5</f>
        <v>0</v>
      </c>
    </row>
    <row r="600" spans="1:40" x14ac:dyDescent="0.25">
      <c r="A600" s="99">
        <v>528</v>
      </c>
      <c r="B600" s="99" t="s">
        <v>283</v>
      </c>
      <c r="C600" s="99" t="s">
        <v>13655</v>
      </c>
      <c r="D600" s="99" t="s">
        <v>718</v>
      </c>
      <c r="E600" s="99" t="s">
        <v>278</v>
      </c>
      <c r="F600" s="99" t="s">
        <v>1179</v>
      </c>
      <c r="G600" s="99" t="s">
        <v>13695</v>
      </c>
      <c r="H600" s="99">
        <v>46</v>
      </c>
      <c r="I600" s="99">
        <v>12</v>
      </c>
      <c r="J600" s="99">
        <v>6</v>
      </c>
      <c r="K600" s="101" t="str">
        <f t="shared" si="109"/>
        <v>46x12x6</v>
      </c>
      <c r="L600" s="102">
        <f t="shared" si="110"/>
        <v>23.827338129496404</v>
      </c>
      <c r="M600" s="113">
        <f t="shared" si="111"/>
        <v>23.827338129496404</v>
      </c>
      <c r="N600" s="113">
        <f t="shared" si="112"/>
        <v>24</v>
      </c>
      <c r="O600" s="99">
        <v>6</v>
      </c>
      <c r="P600" s="113">
        <f t="shared" si="113"/>
        <v>24</v>
      </c>
      <c r="Q600" s="112">
        <f t="shared" si="114"/>
        <v>384</v>
      </c>
      <c r="R600" s="112" t="str">
        <f t="shared" si="115"/>
        <v>Oversize</v>
      </c>
      <c r="S600" s="99" t="str">
        <f t="shared" si="116"/>
        <v>Large bulky</v>
      </c>
      <c r="T600" s="116" t="s">
        <v>13692</v>
      </c>
      <c r="U600" s="116">
        <f t="shared" si="117"/>
        <v>1.9166666666666667</v>
      </c>
      <c r="V600" s="116" t="s">
        <v>13583</v>
      </c>
      <c r="W600" s="116" t="s">
        <v>13690</v>
      </c>
      <c r="X600" s="116" t="s">
        <v>13691</v>
      </c>
      <c r="Y600" s="116">
        <v>2</v>
      </c>
      <c r="Z600" s="116">
        <v>3</v>
      </c>
      <c r="AA600" s="116">
        <v>1</v>
      </c>
      <c r="AB600" s="99"/>
      <c r="AC600" s="99"/>
      <c r="AD600" s="107">
        <v>0</v>
      </c>
      <c r="AE600" s="113">
        <f t="shared" si="118"/>
        <v>0</v>
      </c>
      <c r="AF600" s="116">
        <f>-IFERROR(IFERROR(VLOOKUP(ROUNDUP($Q600,0),'FBA FEES'!$L$2:$Q$203,MATCH($S600,'FBA FEES'!$L$2:$Q$2,0),FALSE),VLOOKUP(ROUNDUP($Q600,0),'FBA FEES'!$C$6:$F$123,MATCH($S600,'FBA FEES'!$C$6:$F$6,0),FALSE)),0)</f>
        <v>-18.350000000000001</v>
      </c>
      <c r="AG600" s="116">
        <v>-10</v>
      </c>
      <c r="AH600" s="113">
        <f t="shared" si="119"/>
        <v>-18.350000000000001</v>
      </c>
      <c r="AI600" s="116">
        <f>-IFERROR(IF($Y600=1,INDEX('[1]REMOVAL FEES'!$A$1:$C$22,MATCH(CONCATENATE("Standard Size",$P600),'[1]REMOVAL FEES'!$A$1:$A$22,0),3),IF($Y600=2,IF($P600&gt;10,(($P600-10)*1.06)+INDEX('[1]REMOVAL FEES'!$E$1:$G$22,MATCH(CONCATENATE("Large bulky, extra-large and special handling items",IF($P600&gt;=11,11,$P600)),'[1]REMOVAL FEES'!$E$1:$E$13,0),3),INDEX('[1]REMOVAL FEES'!$E$1:$G$22,MATCH(CONCATENATE("Large bulky, extra-large and special handling items",IF($P600&gt;=11,11,$P600)),'[1]REMOVAL FEES'!$E$1:$E$13,0),3))))*$AA600,FALSE)</f>
        <v>-29.16</v>
      </c>
      <c r="AJ600" s="107">
        <f t="shared" si="120"/>
        <v>-47.510000000000005</v>
      </c>
      <c r="AK600" s="107">
        <v>0</v>
      </c>
      <c r="AL600" s="107">
        <v>0</v>
      </c>
      <c r="AM600" s="107">
        <f t="shared" si="121"/>
        <v>0</v>
      </c>
      <c r="AN600" s="116">
        <f>(-IF($V600="Yes", IF($X600="Yes", VLOOKUP($W600, '[1]Storage Fees'!A:M, 13, FALSE), VLOOKUP($W600, '[1]Storage Fees'!A:M, 10, FALSE)), IF($X600="Yes", VLOOKUP($W600, '[1]Storage Fees'!A:M, 7, FALSE), VLOOKUP($W600, '[1]Storage Fees'!A:M, 4, FALSE))) * U600)*1.5</f>
        <v>-2.2712500000000002</v>
      </c>
    </row>
    <row r="601" spans="1:40" x14ac:dyDescent="0.25">
      <c r="A601" s="99">
        <v>529</v>
      </c>
      <c r="B601" s="99"/>
      <c r="C601" s="99" t="s">
        <v>13655</v>
      </c>
      <c r="D601" s="99"/>
      <c r="E601" s="99" t="s">
        <v>163</v>
      </c>
      <c r="F601" s="99" t="s">
        <v>1987</v>
      </c>
      <c r="G601" s="99" t="s">
        <v>13695</v>
      </c>
      <c r="H601" s="99">
        <v>0</v>
      </c>
      <c r="I601" s="99">
        <v>0</v>
      </c>
      <c r="J601" s="99">
        <v>0</v>
      </c>
      <c r="K601" s="101" t="str">
        <f t="shared" si="109"/>
        <v>0x0x0</v>
      </c>
      <c r="L601" s="102">
        <f t="shared" si="110"/>
        <v>0</v>
      </c>
      <c r="M601" s="113">
        <f t="shared" si="111"/>
        <v>0</v>
      </c>
      <c r="N601" s="113">
        <f t="shared" si="112"/>
        <v>0</v>
      </c>
      <c r="O601" s="99">
        <v>0</v>
      </c>
      <c r="P601" s="113">
        <f t="shared" si="113"/>
        <v>0</v>
      </c>
      <c r="Q601" s="112">
        <f t="shared" si="114"/>
        <v>0</v>
      </c>
      <c r="R601" s="112" t="str">
        <f t="shared" si="115"/>
        <v>Standard-size</v>
      </c>
      <c r="S601" s="99" t="str">
        <f t="shared" si="116"/>
        <v>Small standard-size</v>
      </c>
      <c r="T601" s="116" t="s">
        <v>13696</v>
      </c>
      <c r="U601" s="116">
        <f t="shared" si="117"/>
        <v>0</v>
      </c>
      <c r="V601" s="116" t="s">
        <v>13583</v>
      </c>
      <c r="W601" s="116" t="s">
        <v>13690</v>
      </c>
      <c r="X601" s="99" t="s">
        <v>13583</v>
      </c>
      <c r="Y601" s="99">
        <v>1</v>
      </c>
      <c r="Z601" s="99">
        <v>1</v>
      </c>
      <c r="AA601" s="99">
        <v>1</v>
      </c>
      <c r="AB601" s="99"/>
      <c r="AC601" s="99"/>
      <c r="AD601" s="107">
        <v>0</v>
      </c>
      <c r="AE601" s="113">
        <f t="shared" si="118"/>
        <v>0</v>
      </c>
      <c r="AF601" s="116">
        <f>-IFERROR(IFERROR(VLOOKUP(ROUNDUP($Q601,0),'FBA FEES'!$L$2:$Q$203,MATCH($S601,'FBA FEES'!$L$2:$Q$2,0),FALSE),VLOOKUP(ROUNDUP($Q601,0),'FBA FEES'!$C$6:$F$123,MATCH($S601,'FBA FEES'!$C$6:$F$6,0),FALSE)),0)</f>
        <v>0</v>
      </c>
      <c r="AG601" s="116">
        <v>-10</v>
      </c>
      <c r="AH601" s="113">
        <f t="shared" si="119"/>
        <v>0</v>
      </c>
      <c r="AI601" s="116">
        <f>-IFERROR(IF($Y601=1,INDEX('[1]REMOVAL FEES'!$A$1:$C$22,MATCH(CONCATENATE("Standard Size",$P601),'[1]REMOVAL FEES'!$A$1:$A$22,0),3),IF($Y601=2,IF($P601&gt;10,(($P601-10)*1.06)+INDEX('[1]REMOVAL FEES'!$E$1:$G$22,MATCH(CONCATENATE("Large bulky, extra-large and special handling items",IF($P601&gt;=11,11,$P601)),'[1]REMOVAL FEES'!$E$1:$E$13,0),3),INDEX('[1]REMOVAL FEES'!$E$1:$G$22,MATCH(CONCATENATE("Large bulky, extra-large and special handling items",IF($P601&gt;=11,11,$P601)),'[1]REMOVAL FEES'!$E$1:$E$13,0),3))))*$AA601,FALSE)</f>
        <v>0</v>
      </c>
      <c r="AJ601" s="107">
        <f t="shared" si="120"/>
        <v>0</v>
      </c>
      <c r="AK601" s="107">
        <v>0</v>
      </c>
      <c r="AL601" s="107">
        <v>0</v>
      </c>
      <c r="AM601" s="107">
        <f t="shared" si="121"/>
        <v>0</v>
      </c>
      <c r="AN601" s="116">
        <f>(-IF($V601="Yes", IF($X601="Yes", VLOOKUP($W601, '[1]Storage Fees'!A:M, 13, FALSE), VLOOKUP($W601, '[1]Storage Fees'!A:M, 10, FALSE)), IF($X601="Yes", VLOOKUP($W601, '[1]Storage Fees'!A:M, 7, FALSE), VLOOKUP($W601, '[1]Storage Fees'!A:M, 4, FALSE))) * U601)*1.5</f>
        <v>0</v>
      </c>
    </row>
    <row r="602" spans="1:40" x14ac:dyDescent="0.25">
      <c r="A602" s="99">
        <v>530</v>
      </c>
      <c r="B602" s="99" t="s">
        <v>13702</v>
      </c>
      <c r="C602" s="99" t="s">
        <v>13655</v>
      </c>
      <c r="D602" s="99" t="s">
        <v>102</v>
      </c>
      <c r="E602" s="99" t="s">
        <v>163</v>
      </c>
      <c r="F602" s="99" t="s">
        <v>1182</v>
      </c>
      <c r="G602" s="99" t="s">
        <v>13695</v>
      </c>
      <c r="H602" s="99">
        <v>15</v>
      </c>
      <c r="I602" s="99">
        <v>13</v>
      </c>
      <c r="J602" s="99">
        <v>11</v>
      </c>
      <c r="K602" s="101" t="str">
        <f t="shared" si="109"/>
        <v>15x13x11</v>
      </c>
      <c r="L602" s="102">
        <f t="shared" si="110"/>
        <v>15.431654676258994</v>
      </c>
      <c r="M602" s="113">
        <f t="shared" si="111"/>
        <v>15.431654676258994</v>
      </c>
      <c r="N602" s="113">
        <f t="shared" si="112"/>
        <v>16</v>
      </c>
      <c r="O602" s="99">
        <v>17</v>
      </c>
      <c r="P602" s="113">
        <f t="shared" si="113"/>
        <v>17</v>
      </c>
      <c r="Q602" s="112">
        <f t="shared" si="114"/>
        <v>272</v>
      </c>
      <c r="R602" s="112" t="str">
        <f t="shared" si="115"/>
        <v>Oversize</v>
      </c>
      <c r="S602" s="99" t="str">
        <f t="shared" si="116"/>
        <v>Large bulky</v>
      </c>
      <c r="T602" s="116" t="s">
        <v>13692</v>
      </c>
      <c r="U602" s="116">
        <f t="shared" si="117"/>
        <v>1.2413194444444444</v>
      </c>
      <c r="V602" s="116" t="s">
        <v>13583</v>
      </c>
      <c r="W602" s="116" t="s">
        <v>13690</v>
      </c>
      <c r="X602" s="116" t="s">
        <v>13691</v>
      </c>
      <c r="Y602" s="116">
        <v>2</v>
      </c>
      <c r="Z602" s="116">
        <v>3</v>
      </c>
      <c r="AA602" s="116">
        <v>1</v>
      </c>
      <c r="AB602" s="99"/>
      <c r="AC602" s="99"/>
      <c r="AD602" s="107">
        <v>0</v>
      </c>
      <c r="AE602" s="113">
        <f t="shared" si="118"/>
        <v>0</v>
      </c>
      <c r="AF602" s="116">
        <f>-IFERROR(IFERROR(VLOOKUP(ROUNDUP($Q602,0),'FBA FEES'!$L$2:$Q$203,MATCH($S602,'FBA FEES'!$L$2:$Q$2,0),FALSE),VLOOKUP(ROUNDUP($Q602,0),'FBA FEES'!$C$6:$F$123,MATCH($S602,'FBA FEES'!$C$6:$F$6,0),FALSE)),0)</f>
        <v>-15.69</v>
      </c>
      <c r="AG602" s="116">
        <v>-10</v>
      </c>
      <c r="AH602" s="113">
        <f t="shared" si="119"/>
        <v>-15.69</v>
      </c>
      <c r="AI602" s="116">
        <f>-IFERROR(IF($Y602=1,INDEX('[1]REMOVAL FEES'!$A$1:$C$22,MATCH(CONCATENATE("Standard Size",$P602),'[1]REMOVAL FEES'!$A$1:$A$22,0),3),IF($Y602=2,IF($P602&gt;10,(($P602-10)*1.06)+INDEX('[1]REMOVAL FEES'!$E$1:$G$22,MATCH(CONCATENATE("Large bulky, extra-large and special handling items",IF($P602&gt;=11,11,$P602)),'[1]REMOVAL FEES'!$E$1:$E$13,0),3),INDEX('[1]REMOVAL FEES'!$E$1:$G$22,MATCH(CONCATENATE("Large bulky, extra-large and special handling items",IF($P602&gt;=11,11,$P602)),'[1]REMOVAL FEES'!$E$1:$E$13,0),3))))*$AA602,FALSE)</f>
        <v>-21.740000000000002</v>
      </c>
      <c r="AJ602" s="107">
        <f t="shared" si="120"/>
        <v>-37.43</v>
      </c>
      <c r="AK602" s="107">
        <v>0</v>
      </c>
      <c r="AL602" s="107">
        <v>0</v>
      </c>
      <c r="AM602" s="107">
        <f t="shared" si="121"/>
        <v>0</v>
      </c>
      <c r="AN602" s="116">
        <f>(-IF($V602="Yes", IF($X602="Yes", VLOOKUP($W602, '[1]Storage Fees'!A:M, 13, FALSE), VLOOKUP($W602, '[1]Storage Fees'!A:M, 10, FALSE)), IF($X602="Yes", VLOOKUP($W602, '[1]Storage Fees'!A:M, 7, FALSE), VLOOKUP($W602, '[1]Storage Fees'!A:M, 4, FALSE))) * U602)*1.5</f>
        <v>-1.4709635416666667</v>
      </c>
    </row>
    <row r="603" spans="1:40" x14ac:dyDescent="0.25">
      <c r="A603" s="99">
        <v>531</v>
      </c>
      <c r="B603" s="99" t="s">
        <v>13702</v>
      </c>
      <c r="C603" s="99" t="s">
        <v>13655</v>
      </c>
      <c r="D603" s="99" t="s">
        <v>749</v>
      </c>
      <c r="E603" s="99" t="s">
        <v>163</v>
      </c>
      <c r="F603" s="99" t="s">
        <v>746</v>
      </c>
      <c r="G603" s="99" t="s">
        <v>13695</v>
      </c>
      <c r="H603" s="99">
        <v>26</v>
      </c>
      <c r="I603" s="99">
        <v>15</v>
      </c>
      <c r="J603" s="99">
        <v>13</v>
      </c>
      <c r="K603" s="101" t="str">
        <f t="shared" si="109"/>
        <v>26x15x13</v>
      </c>
      <c r="L603" s="102">
        <f t="shared" si="110"/>
        <v>36.474820143884891</v>
      </c>
      <c r="M603" s="113">
        <f t="shared" si="111"/>
        <v>36.474820143884891</v>
      </c>
      <c r="N603" s="113">
        <f t="shared" si="112"/>
        <v>37</v>
      </c>
      <c r="O603" s="99">
        <v>38</v>
      </c>
      <c r="P603" s="113">
        <f t="shared" si="113"/>
        <v>38</v>
      </c>
      <c r="Q603" s="112">
        <f t="shared" si="114"/>
        <v>608</v>
      </c>
      <c r="R603" s="112" t="str">
        <f t="shared" si="115"/>
        <v>Oversize</v>
      </c>
      <c r="S603" s="99" t="str">
        <f t="shared" si="116"/>
        <v>Large bulky</v>
      </c>
      <c r="T603" s="116" t="s">
        <v>13694</v>
      </c>
      <c r="U603" s="116">
        <f t="shared" si="117"/>
        <v>2.9340277777777777</v>
      </c>
      <c r="V603" s="116" t="s">
        <v>13583</v>
      </c>
      <c r="W603" s="116" t="s">
        <v>13690</v>
      </c>
      <c r="X603" s="116" t="s">
        <v>13691</v>
      </c>
      <c r="Y603" s="116">
        <v>2</v>
      </c>
      <c r="Z603" s="116">
        <v>3</v>
      </c>
      <c r="AA603" s="116">
        <v>1</v>
      </c>
      <c r="AB603" s="99"/>
      <c r="AC603" s="99"/>
      <c r="AD603" s="107">
        <v>0</v>
      </c>
      <c r="AE603" s="113">
        <f t="shared" si="118"/>
        <v>0</v>
      </c>
      <c r="AF603" s="116">
        <f>-IFERROR(IFERROR(VLOOKUP(ROUNDUP($Q603,0),'FBA FEES'!$L$2:$Q$203,MATCH($S603,'FBA FEES'!$L$2:$Q$2,0),FALSE),VLOOKUP(ROUNDUP($Q603,0),'FBA FEES'!$C$6:$F$123,MATCH($S603,'FBA FEES'!$C$6:$F$6,0),FALSE)),0)</f>
        <v>-23.67</v>
      </c>
      <c r="AG603" s="116">
        <v>-10</v>
      </c>
      <c r="AH603" s="113">
        <f t="shared" si="119"/>
        <v>-23.67</v>
      </c>
      <c r="AI603" s="116">
        <f>-IFERROR(IF($Y603=1,INDEX('[1]REMOVAL FEES'!$A$1:$C$22,MATCH(CONCATENATE("Standard Size",$P603),'[1]REMOVAL FEES'!$A$1:$A$22,0),3),IF($Y603=2,IF($P603&gt;10,(($P603-10)*1.06)+INDEX('[1]REMOVAL FEES'!$E$1:$G$22,MATCH(CONCATENATE("Large bulky, extra-large and special handling items",IF($P603&gt;=11,11,$P603)),'[1]REMOVAL FEES'!$E$1:$E$13,0),3),INDEX('[1]REMOVAL FEES'!$E$1:$G$22,MATCH(CONCATENATE("Large bulky, extra-large and special handling items",IF($P603&gt;=11,11,$P603)),'[1]REMOVAL FEES'!$E$1:$E$13,0),3))))*$AA603,FALSE)</f>
        <v>-44</v>
      </c>
      <c r="AJ603" s="107">
        <f t="shared" si="120"/>
        <v>-67.67</v>
      </c>
      <c r="AK603" s="107">
        <v>0</v>
      </c>
      <c r="AL603" s="107">
        <v>0</v>
      </c>
      <c r="AM603" s="107">
        <f t="shared" si="121"/>
        <v>0</v>
      </c>
      <c r="AN603" s="116">
        <f>(-IF($V603="Yes", IF($X603="Yes", VLOOKUP($W603, '[1]Storage Fees'!A:M, 13, FALSE), VLOOKUP($W603, '[1]Storage Fees'!A:M, 10, FALSE)), IF($X603="Yes", VLOOKUP($W603, '[1]Storage Fees'!A:M, 7, FALSE), VLOOKUP($W603, '[1]Storage Fees'!A:M, 4, FALSE))) * U603)*1.5</f>
        <v>-3.4768229166666664</v>
      </c>
    </row>
    <row r="604" spans="1:40" x14ac:dyDescent="0.25">
      <c r="A604" s="99">
        <v>532</v>
      </c>
      <c r="B604" s="99"/>
      <c r="C604" s="99" t="s">
        <v>13655</v>
      </c>
      <c r="D604" s="99"/>
      <c r="E604" s="99" t="s">
        <v>163</v>
      </c>
      <c r="F604" s="99" t="s">
        <v>1989</v>
      </c>
      <c r="G604" s="99" t="s">
        <v>13695</v>
      </c>
      <c r="H604" s="99">
        <v>0</v>
      </c>
      <c r="I604" s="99">
        <v>0</v>
      </c>
      <c r="J604" s="99">
        <v>0</v>
      </c>
      <c r="K604" s="101" t="str">
        <f t="shared" si="109"/>
        <v>0x0x0</v>
      </c>
      <c r="L604" s="102">
        <f t="shared" si="110"/>
        <v>0</v>
      </c>
      <c r="M604" s="113">
        <f t="shared" si="111"/>
        <v>0</v>
      </c>
      <c r="N604" s="113">
        <f t="shared" si="112"/>
        <v>0</v>
      </c>
      <c r="O604" s="99">
        <v>0</v>
      </c>
      <c r="P604" s="113">
        <f t="shared" si="113"/>
        <v>0</v>
      </c>
      <c r="Q604" s="112">
        <f t="shared" si="114"/>
        <v>0</v>
      </c>
      <c r="R604" s="112" t="str">
        <f t="shared" si="115"/>
        <v>Standard-size</v>
      </c>
      <c r="S604" s="99" t="str">
        <f t="shared" si="116"/>
        <v>Small standard-size</v>
      </c>
      <c r="T604" s="116" t="s">
        <v>13696</v>
      </c>
      <c r="U604" s="116">
        <f t="shared" si="117"/>
        <v>0</v>
      </c>
      <c r="V604" s="116" t="s">
        <v>13583</v>
      </c>
      <c r="W604" s="116" t="s">
        <v>13690</v>
      </c>
      <c r="X604" s="99" t="s">
        <v>13583</v>
      </c>
      <c r="Y604" s="99">
        <v>1</v>
      </c>
      <c r="Z604" s="99">
        <v>1</v>
      </c>
      <c r="AA604" s="99">
        <v>1</v>
      </c>
      <c r="AB604" s="99"/>
      <c r="AC604" s="99"/>
      <c r="AD604" s="107">
        <v>253.0193900752804</v>
      </c>
      <c r="AE604" s="113">
        <f t="shared" si="118"/>
        <v>-37.952908511292058</v>
      </c>
      <c r="AF604" s="116">
        <f>-IFERROR(IFERROR(VLOOKUP(ROUNDUP($Q604,0),'FBA FEES'!$L$2:$Q$203,MATCH($S604,'FBA FEES'!$L$2:$Q$2,0),FALSE),VLOOKUP(ROUNDUP($Q604,0),'FBA FEES'!$C$6:$F$123,MATCH($S604,'FBA FEES'!$C$6:$F$6,0),FALSE)),0)</f>
        <v>0</v>
      </c>
      <c r="AG604" s="116">
        <v>-10</v>
      </c>
      <c r="AH604" s="113">
        <f t="shared" si="119"/>
        <v>-37.952908511292058</v>
      </c>
      <c r="AI604" s="116">
        <f>-IFERROR(IF($Y604=1,INDEX('[1]REMOVAL FEES'!$A$1:$C$22,MATCH(CONCATENATE("Standard Size",$P604),'[1]REMOVAL FEES'!$A$1:$A$22,0),3),IF($Y604=2,IF($P604&gt;10,(($P604-10)*1.06)+INDEX('[1]REMOVAL FEES'!$E$1:$G$22,MATCH(CONCATENATE("Large bulky, extra-large and special handling items",IF($P604&gt;=11,11,$P604)),'[1]REMOVAL FEES'!$E$1:$E$13,0),3),INDEX('[1]REMOVAL FEES'!$E$1:$G$22,MATCH(CONCATENATE("Large bulky, extra-large and special handling items",IF($P604&gt;=11,11,$P604)),'[1]REMOVAL FEES'!$E$1:$E$13,0),3))))*$AA604,FALSE)</f>
        <v>0</v>
      </c>
      <c r="AJ604" s="107">
        <f t="shared" si="120"/>
        <v>-37.952908511292058</v>
      </c>
      <c r="AK604" s="107">
        <v>-168</v>
      </c>
      <c r="AL604" s="107">
        <v>-13.775288062682449</v>
      </c>
      <c r="AM604" s="107">
        <f t="shared" si="121"/>
        <v>-181.77528806268245</v>
      </c>
      <c r="AN604" s="116">
        <f>(-IF($V604="Yes", IF($X604="Yes", VLOOKUP($W604, '[1]Storage Fees'!A:M, 13, FALSE), VLOOKUP($W604, '[1]Storage Fees'!A:M, 10, FALSE)), IF($X604="Yes", VLOOKUP($W604, '[1]Storage Fees'!A:M, 7, FALSE), VLOOKUP($W604, '[1]Storage Fees'!A:M, 4, FALSE))) * U604)*1.5</f>
        <v>0</v>
      </c>
    </row>
    <row r="605" spans="1:40" x14ac:dyDescent="0.25">
      <c r="A605" s="99">
        <v>533</v>
      </c>
      <c r="B605" s="99" t="s">
        <v>13702</v>
      </c>
      <c r="C605" s="99" t="s">
        <v>13655</v>
      </c>
      <c r="D605" s="99" t="s">
        <v>749</v>
      </c>
      <c r="E605" s="99" t="s">
        <v>163</v>
      </c>
      <c r="F605" s="99" t="s">
        <v>1187</v>
      </c>
      <c r="G605" s="99" t="s">
        <v>13695</v>
      </c>
      <c r="H605" s="99">
        <v>14</v>
      </c>
      <c r="I605" s="99">
        <v>10</v>
      </c>
      <c r="J605" s="99">
        <v>3</v>
      </c>
      <c r="K605" s="101" t="str">
        <f t="shared" si="109"/>
        <v>14x10x3</v>
      </c>
      <c r="L605" s="102">
        <f t="shared" si="110"/>
        <v>3.0215827338129495</v>
      </c>
      <c r="M605" s="113">
        <f t="shared" si="111"/>
        <v>3.0215827338129495</v>
      </c>
      <c r="N605" s="113">
        <f t="shared" si="112"/>
        <v>4</v>
      </c>
      <c r="O605" s="99">
        <v>4</v>
      </c>
      <c r="P605" s="113">
        <f t="shared" si="113"/>
        <v>4</v>
      </c>
      <c r="Q605" s="112">
        <f t="shared" si="114"/>
        <v>64</v>
      </c>
      <c r="R605" s="112" t="str">
        <f t="shared" si="115"/>
        <v>Standard-size</v>
      </c>
      <c r="S605" s="99" t="str">
        <f t="shared" si="116"/>
        <v>Large standard-size</v>
      </c>
      <c r="T605" s="116" t="s">
        <v>13693</v>
      </c>
      <c r="U605" s="116">
        <f t="shared" si="117"/>
        <v>0.24305555555555555</v>
      </c>
      <c r="V605" s="116" t="s">
        <v>13583</v>
      </c>
      <c r="W605" s="116" t="s">
        <v>13690</v>
      </c>
      <c r="X605" s="99" t="s">
        <v>13583</v>
      </c>
      <c r="Y605" s="99">
        <v>1</v>
      </c>
      <c r="Z605" s="99">
        <v>2</v>
      </c>
      <c r="AA605" s="99">
        <v>1</v>
      </c>
      <c r="AB605" s="99"/>
      <c r="AC605" s="99"/>
      <c r="AD605" s="107">
        <v>42.05735070671377</v>
      </c>
      <c r="AE605" s="113">
        <f t="shared" si="118"/>
        <v>-6.3086026060070655</v>
      </c>
      <c r="AF605" s="116">
        <f>-IFERROR(IFERROR(VLOOKUP(ROUNDUP($Q605,0),'FBA FEES'!$L$2:$Q$203,MATCH($S605,'FBA FEES'!$L$2:$Q$2,0),FALSE),VLOOKUP(ROUNDUP($Q605,0),'FBA FEES'!$C$6:$F$123,MATCH($S605,'FBA FEES'!$C$6:$F$6,0),FALSE)),0)</f>
        <v>-7.24</v>
      </c>
      <c r="AG605" s="116">
        <v>-10</v>
      </c>
      <c r="AH605" s="113">
        <f t="shared" si="119"/>
        <v>-13.548602606007066</v>
      </c>
      <c r="AI605" s="116">
        <f>-IFERROR(IF($Y605=1,INDEX('[1]REMOVAL FEES'!$A$1:$C$22,MATCH(CONCATENATE("Standard Size",$P605),'[1]REMOVAL FEES'!$A$1:$A$22,0),3),IF($Y605=2,IF($P605&gt;10,(($P605-10)*1.06)+INDEX('[1]REMOVAL FEES'!$E$1:$G$22,MATCH(CONCATENATE("Large bulky, extra-large and special handling items",IF($P605&gt;=11,11,$P605)),'[1]REMOVAL FEES'!$E$1:$E$13,0),3),INDEX('[1]REMOVAL FEES'!$E$1:$G$22,MATCH(CONCATENATE("Large bulky, extra-large and special handling items",IF($P605&gt;=11,11,$P605)),'[1]REMOVAL FEES'!$E$1:$E$13,0),3))))*$AA605,FALSE)</f>
        <v>-5.01</v>
      </c>
      <c r="AJ605" s="107">
        <f t="shared" si="120"/>
        <v>-18.558602606007064</v>
      </c>
      <c r="AK605" s="107">
        <v>-29.200000000000021</v>
      </c>
      <c r="AL605" s="107">
        <v>-2.4166310365135448</v>
      </c>
      <c r="AM605" s="107">
        <f t="shared" si="121"/>
        <v>-31.616631036513567</v>
      </c>
      <c r="AN605" s="116">
        <f>(-IF($V605="Yes", IF($X605="Yes", VLOOKUP($W605, '[1]Storage Fees'!A:M, 13, FALSE), VLOOKUP($W605, '[1]Storage Fees'!A:M, 10, FALSE)), IF($X605="Yes", VLOOKUP($W605, '[1]Storage Fees'!A:M, 7, FALSE), VLOOKUP($W605, '[1]Storage Fees'!A:M, 4, FALSE))) * U605)*1.5</f>
        <v>-0.4447916666666667</v>
      </c>
    </row>
    <row r="606" spans="1:40" x14ac:dyDescent="0.25">
      <c r="A606" s="99">
        <v>534</v>
      </c>
      <c r="B606" s="99" t="s">
        <v>55</v>
      </c>
      <c r="C606" s="99"/>
      <c r="D606" s="99"/>
      <c r="E606" s="99" t="s">
        <v>54</v>
      </c>
      <c r="F606" s="99" t="s">
        <v>376</v>
      </c>
      <c r="G606" s="99" t="s">
        <v>13656</v>
      </c>
      <c r="H606" s="99">
        <v>26</v>
      </c>
      <c r="I606" s="99">
        <v>19</v>
      </c>
      <c r="J606" s="99">
        <v>19</v>
      </c>
      <c r="K606" s="101" t="str">
        <f t="shared" si="109"/>
        <v>26x19x19</v>
      </c>
      <c r="L606" s="102">
        <f t="shared" si="110"/>
        <v>67.525179856115102</v>
      </c>
      <c r="M606" s="113">
        <f t="shared" si="111"/>
        <v>67.525179856115102</v>
      </c>
      <c r="N606" s="113">
        <f t="shared" si="112"/>
        <v>68</v>
      </c>
      <c r="O606" s="99">
        <v>32</v>
      </c>
      <c r="P606" s="113">
        <f t="shared" si="113"/>
        <v>68</v>
      </c>
      <c r="Q606" s="112">
        <f t="shared" si="114"/>
        <v>1088</v>
      </c>
      <c r="R606" s="112" t="str">
        <f t="shared" si="115"/>
        <v>Oversize</v>
      </c>
      <c r="S606" s="99" t="str">
        <f t="shared" si="116"/>
        <v>Extra-large 50+ to 70 lb</v>
      </c>
      <c r="T606" s="116" t="s">
        <v>13689</v>
      </c>
      <c r="U606" s="116">
        <f t="shared" si="117"/>
        <v>5.4317129629629628</v>
      </c>
      <c r="V606" s="116" t="s">
        <v>13583</v>
      </c>
      <c r="W606" s="116" t="s">
        <v>13690</v>
      </c>
      <c r="X606" s="116" t="s">
        <v>13691</v>
      </c>
      <c r="Y606" s="116">
        <v>2</v>
      </c>
      <c r="Z606" s="116">
        <v>5</v>
      </c>
      <c r="AA606" s="116">
        <v>1</v>
      </c>
      <c r="AB606" s="99"/>
      <c r="AC606" s="99"/>
      <c r="AD606" s="107">
        <v>124.1611469534065</v>
      </c>
      <c r="AE606" s="113">
        <f t="shared" si="118"/>
        <v>-18.624172043010976</v>
      </c>
      <c r="AF606" s="116">
        <f>-IFERROR(IFERROR(VLOOKUP(ROUNDUP($Q606,0),'FBA FEES'!$L$2:$Q$203,MATCH($S606,'FBA FEES'!$L$2:$Q$2,0),FALSE),VLOOKUP(ROUNDUP($Q606,0),'FBA FEES'!$C$6:$F$123,MATCH($S606,'FBA FEES'!$C$6:$F$6,0),FALSE)),0)</f>
        <v>-52.87</v>
      </c>
      <c r="AG606" s="116">
        <v>-7</v>
      </c>
      <c r="AH606" s="113">
        <f t="shared" si="119"/>
        <v>-71.494172043010977</v>
      </c>
      <c r="AI606" s="116">
        <f>-IFERROR(IF($Y606=1,INDEX('[1]REMOVAL FEES'!$A$1:$C$22,MATCH(CONCATENATE("Standard Size",$P606),'[1]REMOVAL FEES'!$A$1:$A$22,0),3),IF($Y606=2,IF($P606&gt;10,(($P606-10)*1.06)+INDEX('[1]REMOVAL FEES'!$E$1:$G$22,MATCH(CONCATENATE("Large bulky, extra-large and special handling items",IF($P606&gt;=11,11,$P606)),'[1]REMOVAL FEES'!$E$1:$E$13,0),3),INDEX('[1]REMOVAL FEES'!$E$1:$G$22,MATCH(CONCATENATE("Large bulky, extra-large and special handling items",IF($P606&gt;=11,11,$P606)),'[1]REMOVAL FEES'!$E$1:$E$13,0),3))))*$AA606,FALSE)</f>
        <v>-75.800000000000011</v>
      </c>
      <c r="AJ606" s="107">
        <f t="shared" si="120"/>
        <v>-147.29417204301097</v>
      </c>
      <c r="AK606" s="107">
        <v>-38.381302270012362</v>
      </c>
      <c r="AL606" s="107">
        <v>-18.040476252683931</v>
      </c>
      <c r="AM606" s="107">
        <f t="shared" si="121"/>
        <v>-56.421778522696293</v>
      </c>
      <c r="AN606" s="116">
        <f>(-IF($V606="Yes", IF($X606="Yes", VLOOKUP($W606, '[1]Storage Fees'!A:M, 13, FALSE), VLOOKUP($W606, '[1]Storage Fees'!A:M, 10, FALSE)), IF($X606="Yes", VLOOKUP($W606, '[1]Storage Fees'!A:M, 7, FALSE), VLOOKUP($W606, '[1]Storage Fees'!A:M, 4, FALSE))) * U606)*1.5</f>
        <v>-6.4365798611111114</v>
      </c>
    </row>
    <row r="607" spans="1:40" x14ac:dyDescent="0.25">
      <c r="A607" s="99">
        <v>535</v>
      </c>
      <c r="B607" s="99" t="s">
        <v>102</v>
      </c>
      <c r="C607" s="99"/>
      <c r="D607" s="99"/>
      <c r="E607" s="99" t="s">
        <v>278</v>
      </c>
      <c r="F607" s="99" t="s">
        <v>378</v>
      </c>
      <c r="G607" s="99" t="s">
        <v>13695</v>
      </c>
      <c r="H607" s="99">
        <v>61</v>
      </c>
      <c r="I607" s="99">
        <v>9</v>
      </c>
      <c r="J607" s="99">
        <v>6</v>
      </c>
      <c r="K607" s="101" t="str">
        <f t="shared" si="109"/>
        <v>61x9x6</v>
      </c>
      <c r="L607" s="102">
        <f t="shared" si="110"/>
        <v>23.697841726618705</v>
      </c>
      <c r="M607" s="113">
        <f t="shared" si="111"/>
        <v>23.697841726618705</v>
      </c>
      <c r="N607" s="113">
        <f t="shared" si="112"/>
        <v>24</v>
      </c>
      <c r="O607" s="99">
        <v>20</v>
      </c>
      <c r="P607" s="113">
        <f t="shared" si="113"/>
        <v>24</v>
      </c>
      <c r="Q607" s="112">
        <f t="shared" si="114"/>
        <v>384</v>
      </c>
      <c r="R607" s="112" t="str">
        <f t="shared" si="115"/>
        <v>Oversize</v>
      </c>
      <c r="S607" s="99" t="str">
        <f t="shared" si="116"/>
        <v>Extra-large 0 to 50 lb</v>
      </c>
      <c r="T607" s="116" t="s">
        <v>13706</v>
      </c>
      <c r="U607" s="116">
        <f t="shared" si="117"/>
        <v>1.90625</v>
      </c>
      <c r="V607" s="116" t="s">
        <v>13583</v>
      </c>
      <c r="W607" s="116" t="s">
        <v>13690</v>
      </c>
      <c r="X607" s="116" t="s">
        <v>13691</v>
      </c>
      <c r="Y607" s="116">
        <v>2</v>
      </c>
      <c r="Z607" s="116">
        <v>4</v>
      </c>
      <c r="AA607" s="116">
        <v>1</v>
      </c>
      <c r="AB607" s="99"/>
      <c r="AC607" s="99"/>
      <c r="AD607" s="107">
        <v>0</v>
      </c>
      <c r="AE607" s="113">
        <f t="shared" si="118"/>
        <v>0</v>
      </c>
      <c r="AF607" s="116">
        <f>-IFERROR(IFERROR(VLOOKUP(ROUNDUP($Q607,0),'FBA FEES'!$L$2:$Q$203,MATCH($S607,'FBA FEES'!$L$2:$Q$2,0),FALSE),VLOOKUP(ROUNDUP($Q607,0),'FBA FEES'!$C$6:$F$123,MATCH($S607,'FBA FEES'!$C$6:$F$6,0),FALSE)),0)</f>
        <v>-35.07</v>
      </c>
      <c r="AG607" s="116">
        <v>-10</v>
      </c>
      <c r="AH607" s="113">
        <f t="shared" si="119"/>
        <v>-35.07</v>
      </c>
      <c r="AI607" s="116">
        <f>-IFERROR(IF($Y607=1,INDEX('[1]REMOVAL FEES'!$A$1:$C$22,MATCH(CONCATENATE("Standard Size",$P607),'[1]REMOVAL FEES'!$A$1:$A$22,0),3),IF($Y607=2,IF($P607&gt;10,(($P607-10)*1.06)+INDEX('[1]REMOVAL FEES'!$E$1:$G$22,MATCH(CONCATENATE("Large bulky, extra-large and special handling items",IF($P607&gt;=11,11,$P607)),'[1]REMOVAL FEES'!$E$1:$E$13,0),3),INDEX('[1]REMOVAL FEES'!$E$1:$G$22,MATCH(CONCATENATE("Large bulky, extra-large and special handling items",IF($P607&gt;=11,11,$P607)),'[1]REMOVAL FEES'!$E$1:$E$13,0),3))))*$AA607,FALSE)</f>
        <v>-29.16</v>
      </c>
      <c r="AJ607" s="107">
        <f t="shared" si="120"/>
        <v>-64.23</v>
      </c>
      <c r="AK607" s="107">
        <v>0</v>
      </c>
      <c r="AL607" s="107">
        <v>0</v>
      </c>
      <c r="AM607" s="107">
        <f t="shared" si="121"/>
        <v>0</v>
      </c>
      <c r="AN607" s="116">
        <f>(-IF($V607="Yes", IF($X607="Yes", VLOOKUP($W607, '[1]Storage Fees'!A:M, 13, FALSE), VLOOKUP($W607, '[1]Storage Fees'!A:M, 10, FALSE)), IF($X607="Yes", VLOOKUP($W607, '[1]Storage Fees'!A:M, 7, FALSE), VLOOKUP($W607, '[1]Storage Fees'!A:M, 4, FALSE))) * U607)*1.5</f>
        <v>-2.2589062500000003</v>
      </c>
    </row>
    <row r="608" spans="1:40" x14ac:dyDescent="0.25">
      <c r="A608" s="99">
        <v>536</v>
      </c>
      <c r="B608" s="99" t="s">
        <v>55</v>
      </c>
      <c r="C608" s="99"/>
      <c r="D608" s="99"/>
      <c r="E608" s="99" t="s">
        <v>54</v>
      </c>
      <c r="F608" s="99" t="s">
        <v>380</v>
      </c>
      <c r="G608" s="99" t="s">
        <v>13656</v>
      </c>
      <c r="H608" s="99">
        <v>14</v>
      </c>
      <c r="I608" s="99">
        <v>12</v>
      </c>
      <c r="J608" s="99">
        <v>4</v>
      </c>
      <c r="K608" s="101" t="str">
        <f t="shared" si="109"/>
        <v>14x12x4</v>
      </c>
      <c r="L608" s="102">
        <f t="shared" si="110"/>
        <v>4.8345323741007196</v>
      </c>
      <c r="M608" s="113">
        <f t="shared" si="111"/>
        <v>4.8345323741007196</v>
      </c>
      <c r="N608" s="113">
        <f t="shared" si="112"/>
        <v>5</v>
      </c>
      <c r="O608" s="99">
        <v>3</v>
      </c>
      <c r="P608" s="113">
        <f t="shared" si="113"/>
        <v>5</v>
      </c>
      <c r="Q608" s="112">
        <f t="shared" si="114"/>
        <v>80</v>
      </c>
      <c r="R608" s="112" t="str">
        <f t="shared" si="115"/>
        <v>Standard-size</v>
      </c>
      <c r="S608" s="99" t="str">
        <f t="shared" si="116"/>
        <v>Large standard-size</v>
      </c>
      <c r="T608" s="116" t="s">
        <v>13693</v>
      </c>
      <c r="U608" s="116">
        <f t="shared" si="117"/>
        <v>0.3888888888888889</v>
      </c>
      <c r="V608" s="116" t="s">
        <v>13583</v>
      </c>
      <c r="W608" s="116" t="s">
        <v>13690</v>
      </c>
      <c r="X608" s="99" t="s">
        <v>13583</v>
      </c>
      <c r="Y608" s="99">
        <v>1</v>
      </c>
      <c r="Z608" s="99">
        <v>2</v>
      </c>
      <c r="AA608" s="99">
        <v>1</v>
      </c>
      <c r="AB608" s="99"/>
      <c r="AC608" s="99"/>
      <c r="AD608" s="107">
        <v>18.750948113207411</v>
      </c>
      <c r="AE608" s="113">
        <f t="shared" si="118"/>
        <v>-2.8126422169811116</v>
      </c>
      <c r="AF608" s="116">
        <f>-IFERROR(IFERROR(VLOOKUP(ROUNDUP($Q608,0),'FBA FEES'!$L$2:$Q$203,MATCH($S608,'FBA FEES'!$L$2:$Q$2,0),FALSE),VLOOKUP(ROUNDUP($Q608,0),'FBA FEES'!$C$6:$F$123,MATCH($S608,'FBA FEES'!$C$6:$F$6,0),FALSE)),0)</f>
        <v>-7.56</v>
      </c>
      <c r="AG608" s="116">
        <v>-2</v>
      </c>
      <c r="AH608" s="113">
        <f t="shared" si="119"/>
        <v>-10.372642216981111</v>
      </c>
      <c r="AI608" s="116">
        <f>-IFERROR(IF($Y608=1,INDEX('[1]REMOVAL FEES'!$A$1:$C$22,MATCH(CONCATENATE("Standard Size",$P608),'[1]REMOVAL FEES'!$A$1:$A$22,0),3),IF($Y608=2,IF($P608&gt;10,(($P608-10)*1.06)+INDEX('[1]REMOVAL FEES'!$E$1:$G$22,MATCH(CONCATENATE("Large bulky, extra-large and special handling items",IF($P608&gt;=11,11,$P608)),'[1]REMOVAL FEES'!$E$1:$E$13,0),3),INDEX('[1]REMOVAL FEES'!$E$1:$G$22,MATCH(CONCATENATE("Large bulky, extra-large and special handling items",IF($P608&gt;=11,11,$P608)),'[1]REMOVAL FEES'!$E$1:$E$13,0),3))))*$AA608,FALSE)</f>
        <v>-6.07</v>
      </c>
      <c r="AJ608" s="107">
        <f t="shared" si="120"/>
        <v>-16.442642216981113</v>
      </c>
      <c r="AK608" s="107">
        <v>-2.970000000000022</v>
      </c>
      <c r="AL608" s="107">
        <v>-1.160565441176475</v>
      </c>
      <c r="AM608" s="107">
        <f t="shared" si="121"/>
        <v>-4.1305654411764969</v>
      </c>
      <c r="AN608" s="116">
        <f>(-IF($V608="Yes", IF($X608="Yes", VLOOKUP($W608, '[1]Storage Fees'!A:M, 13, FALSE), VLOOKUP($W608, '[1]Storage Fees'!A:M, 10, FALSE)), IF($X608="Yes", VLOOKUP($W608, '[1]Storage Fees'!A:M, 7, FALSE), VLOOKUP($W608, '[1]Storage Fees'!A:M, 4, FALSE))) * U608)*1.5</f>
        <v>-0.71166666666666667</v>
      </c>
    </row>
    <row r="609" spans="1:40" x14ac:dyDescent="0.25">
      <c r="A609" s="99">
        <v>537</v>
      </c>
      <c r="B609" s="99" t="s">
        <v>55</v>
      </c>
      <c r="C609" s="99"/>
      <c r="D609" s="99"/>
      <c r="E609" s="99" t="s">
        <v>175</v>
      </c>
      <c r="F609" s="99" t="s">
        <v>382</v>
      </c>
      <c r="G609" s="99" t="s">
        <v>13695</v>
      </c>
      <c r="H609" s="99">
        <v>8</v>
      </c>
      <c r="I609" s="99">
        <v>3</v>
      </c>
      <c r="J609" s="99">
        <v>3</v>
      </c>
      <c r="K609" s="101" t="str">
        <f t="shared" si="109"/>
        <v>8x3x3</v>
      </c>
      <c r="L609" s="102">
        <f t="shared" si="110"/>
        <v>0.51798561151079137</v>
      </c>
      <c r="M609" s="113">
        <f t="shared" si="111"/>
        <v>0.51798561151079137</v>
      </c>
      <c r="N609" s="113">
        <f t="shared" si="112"/>
        <v>0.75</v>
      </c>
      <c r="O609" s="99">
        <v>2</v>
      </c>
      <c r="P609" s="113">
        <f t="shared" si="113"/>
        <v>2</v>
      </c>
      <c r="Q609" s="112">
        <f t="shared" si="114"/>
        <v>32</v>
      </c>
      <c r="R609" s="112" t="str">
        <f t="shared" si="115"/>
        <v>Standard-size</v>
      </c>
      <c r="S609" s="99" t="str">
        <f t="shared" si="116"/>
        <v>Large standard-size</v>
      </c>
      <c r="T609" s="116" t="s">
        <v>13697</v>
      </c>
      <c r="U609" s="116">
        <f t="shared" si="117"/>
        <v>4.1666666666666664E-2</v>
      </c>
      <c r="V609" s="116" t="s">
        <v>13583</v>
      </c>
      <c r="W609" s="116" t="s">
        <v>13690</v>
      </c>
      <c r="X609" s="99" t="s">
        <v>13583</v>
      </c>
      <c r="Y609" s="99">
        <v>1</v>
      </c>
      <c r="Z609" s="99">
        <v>2</v>
      </c>
      <c r="AA609" s="99">
        <v>1</v>
      </c>
      <c r="AB609" s="99"/>
      <c r="AC609" s="99"/>
      <c r="AD609" s="107">
        <v>16.581517174245739</v>
      </c>
      <c r="AE609" s="113">
        <f t="shared" si="118"/>
        <v>-2.4872275761368607</v>
      </c>
      <c r="AF609" s="116">
        <f>-IFERROR(IFERROR(VLOOKUP(ROUNDUP($Q609,0),'FBA FEES'!$L$2:$Q$203,MATCH($S609,'FBA FEES'!$L$2:$Q$2,0),FALSE),VLOOKUP(ROUNDUP($Q609,0),'FBA FEES'!$C$6:$F$123,MATCH($S609,'FBA FEES'!$C$6:$F$6,0),FALSE)),0)</f>
        <v>-5.77</v>
      </c>
      <c r="AG609" s="116">
        <v>-10</v>
      </c>
      <c r="AH609" s="113">
        <f t="shared" si="119"/>
        <v>-8.2572275761368594</v>
      </c>
      <c r="AI609" s="116">
        <f>-IFERROR(IF($Y609=1,INDEX('[1]REMOVAL FEES'!$A$1:$C$22,MATCH(CONCATENATE("Standard Size",$P609),'[1]REMOVAL FEES'!$A$1:$A$22,0),3),IF($Y609=2,IF($P609&gt;10,(($P609-10)*1.06)+INDEX('[1]REMOVAL FEES'!$E$1:$G$22,MATCH(CONCATENATE("Large bulky, extra-large and special handling items",IF($P609&gt;=11,11,$P609)),'[1]REMOVAL FEES'!$E$1:$E$13,0),3),INDEX('[1]REMOVAL FEES'!$E$1:$G$22,MATCH(CONCATENATE("Large bulky, extra-large and special handling items",IF($P609&gt;=11,11,$P609)),'[1]REMOVAL FEES'!$E$1:$E$13,0),3))))*$AA609,FALSE)</f>
        <v>-2.27</v>
      </c>
      <c r="AJ609" s="107">
        <f t="shared" si="120"/>
        <v>-10.527227576136859</v>
      </c>
      <c r="AK609" s="107">
        <v>-1.7826825198163829</v>
      </c>
      <c r="AL609" s="107">
        <v>-0.50145738345509583</v>
      </c>
      <c r="AM609" s="107">
        <f t="shared" si="121"/>
        <v>-2.2841399032714786</v>
      </c>
      <c r="AN609" s="116">
        <f>(-IF($V609="Yes", IF($X609="Yes", VLOOKUP($W609, '[1]Storage Fees'!A:M, 13, FALSE), VLOOKUP($W609, '[1]Storage Fees'!A:M, 10, FALSE)), IF($X609="Yes", VLOOKUP($W609, '[1]Storage Fees'!A:M, 7, FALSE), VLOOKUP($W609, '[1]Storage Fees'!A:M, 4, FALSE))) * U609)*1.5</f>
        <v>-7.6249999999999984E-2</v>
      </c>
    </row>
    <row r="610" spans="1:40" x14ac:dyDescent="0.25">
      <c r="A610" s="99">
        <v>538</v>
      </c>
      <c r="B610" s="99"/>
      <c r="C610" s="99" t="s">
        <v>13655</v>
      </c>
      <c r="D610" s="99"/>
      <c r="E610" s="99" t="s">
        <v>166</v>
      </c>
      <c r="F610" s="99" t="s">
        <v>1991</v>
      </c>
      <c r="G610" s="99" t="s">
        <v>13695</v>
      </c>
      <c r="H610" s="99">
        <v>0</v>
      </c>
      <c r="I610" s="99">
        <v>0</v>
      </c>
      <c r="J610" s="99">
        <v>0</v>
      </c>
      <c r="K610" s="101" t="str">
        <f t="shared" si="109"/>
        <v>0x0x0</v>
      </c>
      <c r="L610" s="102">
        <f t="shared" si="110"/>
        <v>0</v>
      </c>
      <c r="M610" s="113">
        <f t="shared" si="111"/>
        <v>0</v>
      </c>
      <c r="N610" s="113">
        <f t="shared" si="112"/>
        <v>0</v>
      </c>
      <c r="O610" s="99">
        <v>0</v>
      </c>
      <c r="P610" s="113">
        <f t="shared" si="113"/>
        <v>0</v>
      </c>
      <c r="Q610" s="112">
        <f t="shared" si="114"/>
        <v>0</v>
      </c>
      <c r="R610" s="112" t="str">
        <f t="shared" si="115"/>
        <v>Standard-size</v>
      </c>
      <c r="S610" s="99" t="str">
        <f t="shared" si="116"/>
        <v>Small standard-size</v>
      </c>
      <c r="T610" s="116" t="s">
        <v>13696</v>
      </c>
      <c r="U610" s="116">
        <f t="shared" si="117"/>
        <v>0</v>
      </c>
      <c r="V610" s="116" t="s">
        <v>13583</v>
      </c>
      <c r="W610" s="116" t="s">
        <v>13690</v>
      </c>
      <c r="X610" s="99" t="s">
        <v>13583</v>
      </c>
      <c r="Y610" s="99">
        <v>1</v>
      </c>
      <c r="Z610" s="99">
        <v>1</v>
      </c>
      <c r="AA610" s="99">
        <v>1</v>
      </c>
      <c r="AB610" s="99"/>
      <c r="AC610" s="99"/>
      <c r="AD610" s="107">
        <v>0</v>
      </c>
      <c r="AE610" s="113">
        <f t="shared" si="118"/>
        <v>0</v>
      </c>
      <c r="AF610" s="116">
        <f>-IFERROR(IFERROR(VLOOKUP(ROUNDUP($Q610,0),'FBA FEES'!$L$2:$Q$203,MATCH($S610,'FBA FEES'!$L$2:$Q$2,0),FALSE),VLOOKUP(ROUNDUP($Q610,0),'FBA FEES'!$C$6:$F$123,MATCH($S610,'FBA FEES'!$C$6:$F$6,0),FALSE)),0)</f>
        <v>0</v>
      </c>
      <c r="AG610" s="116">
        <v>-10</v>
      </c>
      <c r="AH610" s="113">
        <f t="shared" si="119"/>
        <v>0</v>
      </c>
      <c r="AI610" s="116">
        <f>-IFERROR(IF($Y610=1,INDEX('[1]REMOVAL FEES'!$A$1:$C$22,MATCH(CONCATENATE("Standard Size",$P610),'[1]REMOVAL FEES'!$A$1:$A$22,0),3),IF($Y610=2,IF($P610&gt;10,(($P610-10)*1.06)+INDEX('[1]REMOVAL FEES'!$E$1:$G$22,MATCH(CONCATENATE("Large bulky, extra-large and special handling items",IF($P610&gt;=11,11,$P610)),'[1]REMOVAL FEES'!$E$1:$E$13,0),3),INDEX('[1]REMOVAL FEES'!$E$1:$G$22,MATCH(CONCATENATE("Large bulky, extra-large and special handling items",IF($P610&gt;=11,11,$P610)),'[1]REMOVAL FEES'!$E$1:$E$13,0),3))))*$AA610,FALSE)</f>
        <v>0</v>
      </c>
      <c r="AJ610" s="107">
        <f t="shared" si="120"/>
        <v>0</v>
      </c>
      <c r="AK610" s="107">
        <v>0</v>
      </c>
      <c r="AL610" s="107">
        <v>0</v>
      </c>
      <c r="AM610" s="107">
        <f t="shared" si="121"/>
        <v>0</v>
      </c>
      <c r="AN610" s="116">
        <f>(-IF($V610="Yes", IF($X610="Yes", VLOOKUP($W610, '[1]Storage Fees'!A:M, 13, FALSE), VLOOKUP($W610, '[1]Storage Fees'!A:M, 10, FALSE)), IF($X610="Yes", VLOOKUP($W610, '[1]Storage Fees'!A:M, 7, FALSE), VLOOKUP($W610, '[1]Storage Fees'!A:M, 4, FALSE))) * U610)*1.5</f>
        <v>0</v>
      </c>
    </row>
    <row r="611" spans="1:40" x14ac:dyDescent="0.25">
      <c r="A611" s="99">
        <v>539</v>
      </c>
      <c r="B611" s="99"/>
      <c r="C611" s="99" t="s">
        <v>13655</v>
      </c>
      <c r="D611" s="99"/>
      <c r="E611" s="99" t="s">
        <v>166</v>
      </c>
      <c r="F611" s="99" t="s">
        <v>1992</v>
      </c>
      <c r="G611" s="99" t="s">
        <v>13695</v>
      </c>
      <c r="H611" s="99">
        <v>0</v>
      </c>
      <c r="I611" s="99">
        <v>0</v>
      </c>
      <c r="J611" s="99">
        <v>0</v>
      </c>
      <c r="K611" s="101" t="str">
        <f t="shared" si="109"/>
        <v>0x0x0</v>
      </c>
      <c r="L611" s="102">
        <f t="shared" si="110"/>
        <v>0</v>
      </c>
      <c r="M611" s="113">
        <f t="shared" si="111"/>
        <v>0</v>
      </c>
      <c r="N611" s="113">
        <f t="shared" si="112"/>
        <v>0</v>
      </c>
      <c r="O611" s="99">
        <v>0</v>
      </c>
      <c r="P611" s="113">
        <f t="shared" si="113"/>
        <v>0</v>
      </c>
      <c r="Q611" s="112">
        <f t="shared" si="114"/>
        <v>0</v>
      </c>
      <c r="R611" s="112" t="str">
        <f t="shared" si="115"/>
        <v>Standard-size</v>
      </c>
      <c r="S611" s="99" t="str">
        <f t="shared" si="116"/>
        <v>Small standard-size</v>
      </c>
      <c r="T611" s="116" t="s">
        <v>13696</v>
      </c>
      <c r="U611" s="116">
        <f t="shared" si="117"/>
        <v>0</v>
      </c>
      <c r="V611" s="116" t="s">
        <v>13583</v>
      </c>
      <c r="W611" s="116" t="s">
        <v>13690</v>
      </c>
      <c r="X611" s="99" t="s">
        <v>13583</v>
      </c>
      <c r="Y611" s="99">
        <v>1</v>
      </c>
      <c r="Z611" s="99">
        <v>1</v>
      </c>
      <c r="AA611" s="99">
        <v>1</v>
      </c>
      <c r="AB611" s="99"/>
      <c r="AC611" s="99"/>
      <c r="AD611" s="107">
        <v>0</v>
      </c>
      <c r="AE611" s="113">
        <f t="shared" si="118"/>
        <v>0</v>
      </c>
      <c r="AF611" s="116">
        <f>-IFERROR(IFERROR(VLOOKUP(ROUNDUP($Q611,0),'FBA FEES'!$L$2:$Q$203,MATCH($S611,'FBA FEES'!$L$2:$Q$2,0),FALSE),VLOOKUP(ROUNDUP($Q611,0),'FBA FEES'!$C$6:$F$123,MATCH($S611,'FBA FEES'!$C$6:$F$6,0),FALSE)),0)</f>
        <v>0</v>
      </c>
      <c r="AG611" s="116">
        <v>-10</v>
      </c>
      <c r="AH611" s="113">
        <f t="shared" si="119"/>
        <v>0</v>
      </c>
      <c r="AI611" s="116">
        <f>-IFERROR(IF($Y611=1,INDEX('[1]REMOVAL FEES'!$A$1:$C$22,MATCH(CONCATENATE("Standard Size",$P611),'[1]REMOVAL FEES'!$A$1:$A$22,0),3),IF($Y611=2,IF($P611&gt;10,(($P611-10)*1.06)+INDEX('[1]REMOVAL FEES'!$E$1:$G$22,MATCH(CONCATENATE("Large bulky, extra-large and special handling items",IF($P611&gt;=11,11,$P611)),'[1]REMOVAL FEES'!$E$1:$E$13,0),3),INDEX('[1]REMOVAL FEES'!$E$1:$G$22,MATCH(CONCATENATE("Large bulky, extra-large and special handling items",IF($P611&gt;=11,11,$P611)),'[1]REMOVAL FEES'!$E$1:$E$13,0),3))))*$AA611,FALSE)</f>
        <v>0</v>
      </c>
      <c r="AJ611" s="107">
        <f t="shared" si="120"/>
        <v>0</v>
      </c>
      <c r="AK611" s="107">
        <v>0</v>
      </c>
      <c r="AL611" s="107">
        <v>0</v>
      </c>
      <c r="AM611" s="107">
        <f t="shared" si="121"/>
        <v>0</v>
      </c>
      <c r="AN611" s="116">
        <f>(-IF($V611="Yes", IF($X611="Yes", VLOOKUP($W611, '[1]Storage Fees'!A:M, 13, FALSE), VLOOKUP($W611, '[1]Storage Fees'!A:M, 10, FALSE)), IF($X611="Yes", VLOOKUP($W611, '[1]Storage Fees'!A:M, 7, FALSE), VLOOKUP($W611, '[1]Storage Fees'!A:M, 4, FALSE))) * U611)*1.5</f>
        <v>0</v>
      </c>
    </row>
    <row r="612" spans="1:40" x14ac:dyDescent="0.25">
      <c r="A612" s="99">
        <v>540</v>
      </c>
      <c r="B612" s="99" t="s">
        <v>13705</v>
      </c>
      <c r="C612" s="99" t="s">
        <v>13655</v>
      </c>
      <c r="D612" s="99" t="s">
        <v>714</v>
      </c>
      <c r="E612" s="99" t="s">
        <v>278</v>
      </c>
      <c r="F612" s="99" t="s">
        <v>1190</v>
      </c>
      <c r="G612" s="99" t="s">
        <v>13695</v>
      </c>
      <c r="H612" s="99">
        <v>12</v>
      </c>
      <c r="I612" s="99">
        <v>12</v>
      </c>
      <c r="J612" s="99">
        <v>7</v>
      </c>
      <c r="K612" s="101" t="str">
        <f t="shared" si="109"/>
        <v>12x12x7</v>
      </c>
      <c r="L612" s="102">
        <f t="shared" si="110"/>
        <v>7.2517985611510793</v>
      </c>
      <c r="M612" s="113">
        <f t="shared" si="111"/>
        <v>7.2517985611510793</v>
      </c>
      <c r="N612" s="113">
        <f t="shared" si="112"/>
        <v>8</v>
      </c>
      <c r="O612" s="99">
        <v>7</v>
      </c>
      <c r="P612" s="113">
        <f t="shared" si="113"/>
        <v>8</v>
      </c>
      <c r="Q612" s="112">
        <f t="shared" si="114"/>
        <v>128</v>
      </c>
      <c r="R612" s="112" t="str">
        <f t="shared" si="115"/>
        <v>Standard-size</v>
      </c>
      <c r="S612" s="99" t="str">
        <f t="shared" si="116"/>
        <v>Large standard-size</v>
      </c>
      <c r="T612" s="116" t="s">
        <v>13693</v>
      </c>
      <c r="U612" s="116">
        <f t="shared" si="117"/>
        <v>0.58333333333333337</v>
      </c>
      <c r="V612" s="116" t="s">
        <v>13583</v>
      </c>
      <c r="W612" s="116" t="s">
        <v>13690</v>
      </c>
      <c r="X612" s="99" t="s">
        <v>13583</v>
      </c>
      <c r="Y612" s="99">
        <v>1</v>
      </c>
      <c r="Z612" s="99">
        <v>2</v>
      </c>
      <c r="AA612" s="99">
        <v>1</v>
      </c>
      <c r="AB612" s="99"/>
      <c r="AC612" s="99"/>
      <c r="AD612" s="107">
        <v>0</v>
      </c>
      <c r="AE612" s="113">
        <f t="shared" si="118"/>
        <v>0</v>
      </c>
      <c r="AF612" s="116">
        <f>-IFERROR(IFERROR(VLOOKUP(ROUNDUP($Q612,0),'FBA FEES'!$L$2:$Q$203,MATCH($S612,'FBA FEES'!$L$2:$Q$2,0),FALSE),VLOOKUP(ROUNDUP($Q612,0),'FBA FEES'!$C$6:$F$123,MATCH($S612,'FBA FEES'!$C$6:$F$6,0),FALSE)),0)</f>
        <v>-8.52</v>
      </c>
      <c r="AG612" s="116">
        <v>-10</v>
      </c>
      <c r="AH612" s="113">
        <f t="shared" si="119"/>
        <v>-8.52</v>
      </c>
      <c r="AI612" s="116">
        <f>-IFERROR(IF($Y612=1,INDEX('[1]REMOVAL FEES'!$A$1:$C$22,MATCH(CONCATENATE("Standard Size",$P612),'[1]REMOVAL FEES'!$A$1:$A$22,0),3),IF($Y612=2,IF($P612&gt;10,(($P612-10)*1.06)+INDEX('[1]REMOVAL FEES'!$E$1:$G$22,MATCH(CONCATENATE("Large bulky, extra-large and special handling items",IF($P612&gt;=11,11,$P612)),'[1]REMOVAL FEES'!$E$1:$E$13,0),3),INDEX('[1]REMOVAL FEES'!$E$1:$G$22,MATCH(CONCATENATE("Large bulky, extra-large and special handling items",IF($P612&gt;=11,11,$P612)),'[1]REMOVAL FEES'!$E$1:$E$13,0),3))))*$AA612,FALSE)</f>
        <v>-9.25</v>
      </c>
      <c r="AJ612" s="107">
        <f t="shared" si="120"/>
        <v>-17.77</v>
      </c>
      <c r="AK612" s="107">
        <v>0</v>
      </c>
      <c r="AL612" s="107">
        <v>0</v>
      </c>
      <c r="AM612" s="107">
        <f t="shared" si="121"/>
        <v>0</v>
      </c>
      <c r="AN612" s="116">
        <f>(-IF($V612="Yes", IF($X612="Yes", VLOOKUP($W612, '[1]Storage Fees'!A:M, 13, FALSE), VLOOKUP($W612, '[1]Storage Fees'!A:M, 10, FALSE)), IF($X612="Yes", VLOOKUP($W612, '[1]Storage Fees'!A:M, 7, FALSE), VLOOKUP($W612, '[1]Storage Fees'!A:M, 4, FALSE))) * U612)*1.5</f>
        <v>-1.0674999999999999</v>
      </c>
    </row>
    <row r="613" spans="1:40" x14ac:dyDescent="0.25">
      <c r="A613" s="99">
        <v>541</v>
      </c>
      <c r="B613" s="99"/>
      <c r="C613" s="99" t="s">
        <v>13655</v>
      </c>
      <c r="D613" s="99"/>
      <c r="E613" s="99" t="s">
        <v>278</v>
      </c>
      <c r="F613" s="99" t="s">
        <v>1993</v>
      </c>
      <c r="G613" s="99" t="s">
        <v>13695</v>
      </c>
      <c r="H613" s="99">
        <v>0</v>
      </c>
      <c r="I613" s="99">
        <v>0</v>
      </c>
      <c r="J613" s="99">
        <v>0</v>
      </c>
      <c r="K613" s="101" t="str">
        <f t="shared" si="109"/>
        <v>0x0x0</v>
      </c>
      <c r="L613" s="102">
        <f t="shared" si="110"/>
        <v>0</v>
      </c>
      <c r="M613" s="113">
        <f t="shared" si="111"/>
        <v>0</v>
      </c>
      <c r="N613" s="113">
        <f t="shared" si="112"/>
        <v>0</v>
      </c>
      <c r="O613" s="99">
        <v>0</v>
      </c>
      <c r="P613" s="113">
        <f t="shared" si="113"/>
        <v>0</v>
      </c>
      <c r="Q613" s="112">
        <f t="shared" si="114"/>
        <v>0</v>
      </c>
      <c r="R613" s="112" t="str">
        <f t="shared" si="115"/>
        <v>Standard-size</v>
      </c>
      <c r="S613" s="99" t="str">
        <f t="shared" si="116"/>
        <v>Small standard-size</v>
      </c>
      <c r="T613" s="116" t="s">
        <v>13696</v>
      </c>
      <c r="U613" s="116">
        <f t="shared" si="117"/>
        <v>0</v>
      </c>
      <c r="V613" s="116" t="s">
        <v>13583</v>
      </c>
      <c r="W613" s="116" t="s">
        <v>13690</v>
      </c>
      <c r="X613" s="99" t="s">
        <v>13583</v>
      </c>
      <c r="Y613" s="99">
        <v>1</v>
      </c>
      <c r="Z613" s="99">
        <v>1</v>
      </c>
      <c r="AA613" s="99">
        <v>1</v>
      </c>
      <c r="AB613" s="99"/>
      <c r="AC613" s="99"/>
      <c r="AD613" s="107">
        <v>0</v>
      </c>
      <c r="AE613" s="113">
        <f t="shared" si="118"/>
        <v>0</v>
      </c>
      <c r="AF613" s="116">
        <f>-IFERROR(IFERROR(VLOOKUP(ROUNDUP($Q613,0),'FBA FEES'!$L$2:$Q$203,MATCH($S613,'FBA FEES'!$L$2:$Q$2,0),FALSE),VLOOKUP(ROUNDUP($Q613,0),'FBA FEES'!$C$6:$F$123,MATCH($S613,'FBA FEES'!$C$6:$F$6,0),FALSE)),0)</f>
        <v>0</v>
      </c>
      <c r="AG613" s="116">
        <v>-10</v>
      </c>
      <c r="AH613" s="113">
        <f t="shared" si="119"/>
        <v>0</v>
      </c>
      <c r="AI613" s="116">
        <f>-IFERROR(IF($Y613=1,INDEX('[1]REMOVAL FEES'!$A$1:$C$22,MATCH(CONCATENATE("Standard Size",$P613),'[1]REMOVAL FEES'!$A$1:$A$22,0),3),IF($Y613=2,IF($P613&gt;10,(($P613-10)*1.06)+INDEX('[1]REMOVAL FEES'!$E$1:$G$22,MATCH(CONCATENATE("Large bulky, extra-large and special handling items",IF($P613&gt;=11,11,$P613)),'[1]REMOVAL FEES'!$E$1:$E$13,0),3),INDEX('[1]REMOVAL FEES'!$E$1:$G$22,MATCH(CONCATENATE("Large bulky, extra-large and special handling items",IF($P613&gt;=11,11,$P613)),'[1]REMOVAL FEES'!$E$1:$E$13,0),3))))*$AA613,FALSE)</f>
        <v>0</v>
      </c>
      <c r="AJ613" s="107">
        <f t="shared" si="120"/>
        <v>0</v>
      </c>
      <c r="AK613" s="107">
        <v>0</v>
      </c>
      <c r="AL613" s="107">
        <v>0</v>
      </c>
      <c r="AM613" s="107">
        <f t="shared" si="121"/>
        <v>0</v>
      </c>
      <c r="AN613" s="116">
        <f>(-IF($V613="Yes", IF($X613="Yes", VLOOKUP($W613, '[1]Storage Fees'!A:M, 13, FALSE), VLOOKUP($W613, '[1]Storage Fees'!A:M, 10, FALSE)), IF($X613="Yes", VLOOKUP($W613, '[1]Storage Fees'!A:M, 7, FALSE), VLOOKUP($W613, '[1]Storage Fees'!A:M, 4, FALSE))) * U613)*1.5</f>
        <v>0</v>
      </c>
    </row>
    <row r="614" spans="1:40" x14ac:dyDescent="0.25">
      <c r="A614" s="99">
        <v>542</v>
      </c>
      <c r="B614" s="99" t="s">
        <v>13699</v>
      </c>
      <c r="C614" s="99" t="s">
        <v>13655</v>
      </c>
      <c r="D614" s="99" t="s">
        <v>1195</v>
      </c>
      <c r="E614" s="99" t="s">
        <v>278</v>
      </c>
      <c r="F614" s="99" t="s">
        <v>1193</v>
      </c>
      <c r="G614" s="99" t="s">
        <v>13695</v>
      </c>
      <c r="H614" s="99">
        <v>35</v>
      </c>
      <c r="I614" s="99">
        <v>11</v>
      </c>
      <c r="J614" s="99">
        <v>9</v>
      </c>
      <c r="K614" s="101" t="str">
        <f t="shared" si="109"/>
        <v>35x11x9</v>
      </c>
      <c r="L614" s="102">
        <f t="shared" si="110"/>
        <v>24.928057553956833</v>
      </c>
      <c r="M614" s="113">
        <f t="shared" si="111"/>
        <v>24.928057553956833</v>
      </c>
      <c r="N614" s="113">
        <f t="shared" si="112"/>
        <v>25</v>
      </c>
      <c r="O614" s="99">
        <v>25</v>
      </c>
      <c r="P614" s="113">
        <f t="shared" si="113"/>
        <v>25</v>
      </c>
      <c r="Q614" s="112">
        <f t="shared" si="114"/>
        <v>400</v>
      </c>
      <c r="R614" s="112" t="str">
        <f t="shared" si="115"/>
        <v>Oversize</v>
      </c>
      <c r="S614" s="99" t="str">
        <f t="shared" si="116"/>
        <v>Large bulky</v>
      </c>
      <c r="T614" s="116" t="s">
        <v>13692</v>
      </c>
      <c r="U614" s="116">
        <f t="shared" si="117"/>
        <v>2.0052083333333335</v>
      </c>
      <c r="V614" s="116" t="s">
        <v>13583</v>
      </c>
      <c r="W614" s="116" t="s">
        <v>13690</v>
      </c>
      <c r="X614" s="116" t="s">
        <v>13691</v>
      </c>
      <c r="Y614" s="116">
        <v>2</v>
      </c>
      <c r="Z614" s="116">
        <v>3</v>
      </c>
      <c r="AA614" s="116">
        <v>1</v>
      </c>
      <c r="AB614" s="99"/>
      <c r="AC614" s="99"/>
      <c r="AD614" s="107">
        <v>122.89487179487161</v>
      </c>
      <c r="AE614" s="113">
        <f t="shared" si="118"/>
        <v>-18.434230769230741</v>
      </c>
      <c r="AF614" s="116">
        <f>-IFERROR(IFERROR(VLOOKUP(ROUNDUP($Q614,0),'FBA FEES'!$L$2:$Q$203,MATCH($S614,'FBA FEES'!$L$2:$Q$2,0),FALSE),VLOOKUP(ROUNDUP($Q614,0),'FBA FEES'!$C$6:$F$123,MATCH($S614,'FBA FEES'!$C$6:$F$6,0),FALSE)),0)</f>
        <v>-18.73</v>
      </c>
      <c r="AG614" s="116">
        <v>-10</v>
      </c>
      <c r="AH614" s="113">
        <f t="shared" si="119"/>
        <v>-37.164230769230741</v>
      </c>
      <c r="AI614" s="116">
        <f>-IFERROR(IF($Y614=1,INDEX('[1]REMOVAL FEES'!$A$1:$C$22,MATCH(CONCATENATE("Standard Size",$P614),'[1]REMOVAL FEES'!$A$1:$A$22,0),3),IF($Y614=2,IF($P614&gt;10,(($P614-10)*1.06)+INDEX('[1]REMOVAL FEES'!$E$1:$G$22,MATCH(CONCATENATE("Large bulky, extra-large and special handling items",IF($P614&gt;=11,11,$P614)),'[1]REMOVAL FEES'!$E$1:$E$13,0),3),INDEX('[1]REMOVAL FEES'!$E$1:$G$22,MATCH(CONCATENATE("Large bulky, extra-large and special handling items",IF($P614&gt;=11,11,$P614)),'[1]REMOVAL FEES'!$E$1:$E$13,0),3))))*$AA614,FALSE)</f>
        <v>-30.22</v>
      </c>
      <c r="AJ614" s="107">
        <f t="shared" si="120"/>
        <v>-67.38423076923074</v>
      </c>
      <c r="AK614" s="107">
        <v>-48.057692307692207</v>
      </c>
      <c r="AL614" s="107">
        <v>-11.912291851904021</v>
      </c>
      <c r="AM614" s="107">
        <f t="shared" si="121"/>
        <v>-59.96998415959623</v>
      </c>
      <c r="AN614" s="116">
        <f>(-IF($V614="Yes", IF($X614="Yes", VLOOKUP($W614, '[1]Storage Fees'!A:M, 13, FALSE), VLOOKUP($W614, '[1]Storage Fees'!A:M, 10, FALSE)), IF($X614="Yes", VLOOKUP($W614, '[1]Storage Fees'!A:M, 7, FALSE), VLOOKUP($W614, '[1]Storage Fees'!A:M, 4, FALSE))) * U614)*1.5</f>
        <v>-2.3761718750000003</v>
      </c>
    </row>
    <row r="615" spans="1:40" x14ac:dyDescent="0.25">
      <c r="A615" s="99">
        <v>543</v>
      </c>
      <c r="B615" s="99"/>
      <c r="C615" s="99" t="s">
        <v>13655</v>
      </c>
      <c r="D615" s="99"/>
      <c r="E615" s="99" t="s">
        <v>278</v>
      </c>
      <c r="F615" s="99" t="s">
        <v>1995</v>
      </c>
      <c r="G615" s="99" t="s">
        <v>13695</v>
      </c>
      <c r="H615" s="99">
        <v>0</v>
      </c>
      <c r="I615" s="99">
        <v>0</v>
      </c>
      <c r="J615" s="99">
        <v>0</v>
      </c>
      <c r="K615" s="101" t="str">
        <f t="shared" si="109"/>
        <v>0x0x0</v>
      </c>
      <c r="L615" s="102">
        <f t="shared" si="110"/>
        <v>0</v>
      </c>
      <c r="M615" s="113">
        <f t="shared" si="111"/>
        <v>0</v>
      </c>
      <c r="N615" s="113">
        <f t="shared" si="112"/>
        <v>0</v>
      </c>
      <c r="O615" s="99">
        <v>0</v>
      </c>
      <c r="P615" s="113">
        <f t="shared" si="113"/>
        <v>0</v>
      </c>
      <c r="Q615" s="112">
        <f t="shared" si="114"/>
        <v>0</v>
      </c>
      <c r="R615" s="112" t="str">
        <f t="shared" si="115"/>
        <v>Standard-size</v>
      </c>
      <c r="S615" s="99" t="str">
        <f t="shared" si="116"/>
        <v>Small standard-size</v>
      </c>
      <c r="T615" s="116" t="s">
        <v>13696</v>
      </c>
      <c r="U615" s="116">
        <f t="shared" si="117"/>
        <v>0</v>
      </c>
      <c r="V615" s="116" t="s">
        <v>13583</v>
      </c>
      <c r="W615" s="116" t="s">
        <v>13690</v>
      </c>
      <c r="X615" s="99" t="s">
        <v>13583</v>
      </c>
      <c r="Y615" s="99">
        <v>1</v>
      </c>
      <c r="Z615" s="99">
        <v>1</v>
      </c>
      <c r="AA615" s="99">
        <v>1</v>
      </c>
      <c r="AB615" s="99"/>
      <c r="AC615" s="99"/>
      <c r="AD615" s="107">
        <v>0</v>
      </c>
      <c r="AE615" s="113">
        <f t="shared" si="118"/>
        <v>0</v>
      </c>
      <c r="AF615" s="116">
        <f>-IFERROR(IFERROR(VLOOKUP(ROUNDUP($Q615,0),'FBA FEES'!$L$2:$Q$203,MATCH($S615,'FBA FEES'!$L$2:$Q$2,0),FALSE),VLOOKUP(ROUNDUP($Q615,0),'FBA FEES'!$C$6:$F$123,MATCH($S615,'FBA FEES'!$C$6:$F$6,0),FALSE)),0)</f>
        <v>0</v>
      </c>
      <c r="AG615" s="116">
        <v>-10</v>
      </c>
      <c r="AH615" s="113">
        <f t="shared" si="119"/>
        <v>0</v>
      </c>
      <c r="AI615" s="116">
        <f>-IFERROR(IF($Y615=1,INDEX('[1]REMOVAL FEES'!$A$1:$C$22,MATCH(CONCATENATE("Standard Size",$P615),'[1]REMOVAL FEES'!$A$1:$A$22,0),3),IF($Y615=2,IF($P615&gt;10,(($P615-10)*1.06)+INDEX('[1]REMOVAL FEES'!$E$1:$G$22,MATCH(CONCATENATE("Large bulky, extra-large and special handling items",IF($P615&gt;=11,11,$P615)),'[1]REMOVAL FEES'!$E$1:$E$13,0),3),INDEX('[1]REMOVAL FEES'!$E$1:$G$22,MATCH(CONCATENATE("Large bulky, extra-large and special handling items",IF($P615&gt;=11,11,$P615)),'[1]REMOVAL FEES'!$E$1:$E$13,0),3))))*$AA615,FALSE)</f>
        <v>0</v>
      </c>
      <c r="AJ615" s="107">
        <f t="shared" si="120"/>
        <v>0</v>
      </c>
      <c r="AK615" s="107">
        <v>0</v>
      </c>
      <c r="AL615" s="107">
        <v>0</v>
      </c>
      <c r="AM615" s="107">
        <f t="shared" si="121"/>
        <v>0</v>
      </c>
      <c r="AN615" s="116">
        <f>(-IF($V615="Yes", IF($X615="Yes", VLOOKUP($W615, '[1]Storage Fees'!A:M, 13, FALSE), VLOOKUP($W615, '[1]Storage Fees'!A:M, 10, FALSE)), IF($X615="Yes", VLOOKUP($W615, '[1]Storage Fees'!A:M, 7, FALSE), VLOOKUP($W615, '[1]Storage Fees'!A:M, 4, FALSE))) * U615)*1.5</f>
        <v>0</v>
      </c>
    </row>
    <row r="616" spans="1:40" x14ac:dyDescent="0.25">
      <c r="A616" s="99">
        <v>544</v>
      </c>
      <c r="B616" s="99" t="s">
        <v>283</v>
      </c>
      <c r="C616" s="99" t="s">
        <v>13655</v>
      </c>
      <c r="D616" s="99" t="s">
        <v>714</v>
      </c>
      <c r="E616" s="99" t="s">
        <v>278</v>
      </c>
      <c r="F616" s="99" t="s">
        <v>1197</v>
      </c>
      <c r="G616" s="99" t="s">
        <v>13695</v>
      </c>
      <c r="H616" s="99">
        <v>34</v>
      </c>
      <c r="I616" s="99">
        <v>11</v>
      </c>
      <c r="J616" s="99">
        <v>8</v>
      </c>
      <c r="K616" s="101" t="str">
        <f t="shared" si="109"/>
        <v>34x11x8</v>
      </c>
      <c r="L616" s="102">
        <f t="shared" si="110"/>
        <v>21.525179856115109</v>
      </c>
      <c r="M616" s="113">
        <f t="shared" si="111"/>
        <v>21.525179856115109</v>
      </c>
      <c r="N616" s="113">
        <f t="shared" si="112"/>
        <v>22</v>
      </c>
      <c r="O616" s="99">
        <v>17</v>
      </c>
      <c r="P616" s="113">
        <f t="shared" si="113"/>
        <v>22</v>
      </c>
      <c r="Q616" s="112">
        <f t="shared" si="114"/>
        <v>352</v>
      </c>
      <c r="R616" s="112" t="str">
        <f t="shared" si="115"/>
        <v>Oversize</v>
      </c>
      <c r="S616" s="99" t="str">
        <f t="shared" si="116"/>
        <v>Large bulky</v>
      </c>
      <c r="T616" s="116" t="s">
        <v>13692</v>
      </c>
      <c r="U616" s="116">
        <f t="shared" si="117"/>
        <v>1.7314814814814814</v>
      </c>
      <c r="V616" s="116" t="s">
        <v>13583</v>
      </c>
      <c r="W616" s="116" t="s">
        <v>13690</v>
      </c>
      <c r="X616" s="116" t="s">
        <v>13691</v>
      </c>
      <c r="Y616" s="116">
        <v>2</v>
      </c>
      <c r="Z616" s="116">
        <v>3</v>
      </c>
      <c r="AA616" s="116">
        <v>1</v>
      </c>
      <c r="AB616" s="99"/>
      <c r="AC616" s="99"/>
      <c r="AD616" s="107">
        <v>75.342142857142861</v>
      </c>
      <c r="AE616" s="113">
        <f t="shared" si="118"/>
        <v>-11.301321428571429</v>
      </c>
      <c r="AF616" s="116">
        <f>-IFERROR(IFERROR(VLOOKUP(ROUNDUP($Q616,0),'FBA FEES'!$L$2:$Q$203,MATCH($S616,'FBA FEES'!$L$2:$Q$2,0),FALSE),VLOOKUP(ROUNDUP($Q616,0),'FBA FEES'!$C$6:$F$123,MATCH($S616,'FBA FEES'!$C$6:$F$6,0),FALSE)),0)</f>
        <v>-17.59</v>
      </c>
      <c r="AG616" s="116">
        <v>-10</v>
      </c>
      <c r="AH616" s="113">
        <f t="shared" si="119"/>
        <v>-28.89132142857143</v>
      </c>
      <c r="AI616" s="116">
        <f>-IFERROR(IF($Y616=1,INDEX('[1]REMOVAL FEES'!$A$1:$C$22,MATCH(CONCATENATE("Standard Size",$P616),'[1]REMOVAL FEES'!$A$1:$A$22,0),3),IF($Y616=2,IF($P616&gt;10,(($P616-10)*1.06)+INDEX('[1]REMOVAL FEES'!$E$1:$G$22,MATCH(CONCATENATE("Large bulky, extra-large and special handling items",IF($P616&gt;=11,11,$P616)),'[1]REMOVAL FEES'!$E$1:$E$13,0),3),INDEX('[1]REMOVAL FEES'!$E$1:$G$22,MATCH(CONCATENATE("Large bulky, extra-large and special handling items",IF($P616&gt;=11,11,$P616)),'[1]REMOVAL FEES'!$E$1:$E$13,0),3))))*$AA616,FALSE)</f>
        <v>-27.04</v>
      </c>
      <c r="AJ616" s="107">
        <f t="shared" si="120"/>
        <v>-55.93132142857143</v>
      </c>
      <c r="AK616" s="107">
        <v>-36.090000000000018</v>
      </c>
      <c r="AL616" s="107">
        <v>-8.9007202380952375</v>
      </c>
      <c r="AM616" s="107">
        <f t="shared" si="121"/>
        <v>-44.990720238095257</v>
      </c>
      <c r="AN616" s="116">
        <f>(-IF($V616="Yes", IF($X616="Yes", VLOOKUP($W616, '[1]Storage Fees'!A:M, 13, FALSE), VLOOKUP($W616, '[1]Storage Fees'!A:M, 10, FALSE)), IF($X616="Yes", VLOOKUP($W616, '[1]Storage Fees'!A:M, 7, FALSE), VLOOKUP($W616, '[1]Storage Fees'!A:M, 4, FALSE))) * U616)*1.5</f>
        <v>-2.0518055555555552</v>
      </c>
    </row>
    <row r="617" spans="1:40" x14ac:dyDescent="0.25">
      <c r="A617" s="99">
        <v>545</v>
      </c>
      <c r="B617" s="99"/>
      <c r="C617" s="99" t="s">
        <v>13655</v>
      </c>
      <c r="D617" s="99"/>
      <c r="E617" s="99" t="s">
        <v>278</v>
      </c>
      <c r="F617" s="99" t="s">
        <v>1997</v>
      </c>
      <c r="G617" s="99" t="s">
        <v>13695</v>
      </c>
      <c r="H617" s="99">
        <v>0</v>
      </c>
      <c r="I617" s="99">
        <v>0</v>
      </c>
      <c r="J617" s="99">
        <v>0</v>
      </c>
      <c r="K617" s="101" t="str">
        <f t="shared" si="109"/>
        <v>0x0x0</v>
      </c>
      <c r="L617" s="102">
        <f t="shared" si="110"/>
        <v>0</v>
      </c>
      <c r="M617" s="113">
        <f t="shared" si="111"/>
        <v>0</v>
      </c>
      <c r="N617" s="113">
        <f t="shared" si="112"/>
        <v>0</v>
      </c>
      <c r="O617" s="99">
        <v>0</v>
      </c>
      <c r="P617" s="113">
        <f t="shared" si="113"/>
        <v>0</v>
      </c>
      <c r="Q617" s="112">
        <f t="shared" si="114"/>
        <v>0</v>
      </c>
      <c r="R617" s="112" t="str">
        <f t="shared" si="115"/>
        <v>Standard-size</v>
      </c>
      <c r="S617" s="99" t="str">
        <f t="shared" si="116"/>
        <v>Small standard-size</v>
      </c>
      <c r="T617" s="116" t="s">
        <v>13696</v>
      </c>
      <c r="U617" s="116">
        <f t="shared" si="117"/>
        <v>0</v>
      </c>
      <c r="V617" s="116" t="s">
        <v>13583</v>
      </c>
      <c r="W617" s="116" t="s">
        <v>13690</v>
      </c>
      <c r="X617" s="99" t="s">
        <v>13583</v>
      </c>
      <c r="Y617" s="99">
        <v>1</v>
      </c>
      <c r="Z617" s="99">
        <v>1</v>
      </c>
      <c r="AA617" s="99">
        <v>1</v>
      </c>
      <c r="AB617" s="99"/>
      <c r="AC617" s="99"/>
      <c r="AD617" s="107">
        <v>0</v>
      </c>
      <c r="AE617" s="113">
        <f t="shared" si="118"/>
        <v>0</v>
      </c>
      <c r="AF617" s="116">
        <f>-IFERROR(IFERROR(VLOOKUP(ROUNDUP($Q617,0),'FBA FEES'!$L$2:$Q$203,MATCH($S617,'FBA FEES'!$L$2:$Q$2,0),FALSE),VLOOKUP(ROUNDUP($Q617,0),'FBA FEES'!$C$6:$F$123,MATCH($S617,'FBA FEES'!$C$6:$F$6,0),FALSE)),0)</f>
        <v>0</v>
      </c>
      <c r="AG617" s="116">
        <v>-10</v>
      </c>
      <c r="AH617" s="113">
        <f t="shared" si="119"/>
        <v>0</v>
      </c>
      <c r="AI617" s="116">
        <f>-IFERROR(IF($Y617=1,INDEX('[1]REMOVAL FEES'!$A$1:$C$22,MATCH(CONCATENATE("Standard Size",$P617),'[1]REMOVAL FEES'!$A$1:$A$22,0),3),IF($Y617=2,IF($P617&gt;10,(($P617-10)*1.06)+INDEX('[1]REMOVAL FEES'!$E$1:$G$22,MATCH(CONCATENATE("Large bulky, extra-large and special handling items",IF($P617&gt;=11,11,$P617)),'[1]REMOVAL FEES'!$E$1:$E$13,0),3),INDEX('[1]REMOVAL FEES'!$E$1:$G$22,MATCH(CONCATENATE("Large bulky, extra-large and special handling items",IF($P617&gt;=11,11,$P617)),'[1]REMOVAL FEES'!$E$1:$E$13,0),3))))*$AA617,FALSE)</f>
        <v>0</v>
      </c>
      <c r="AJ617" s="107">
        <f t="shared" si="120"/>
        <v>0</v>
      </c>
      <c r="AK617" s="107">
        <v>0</v>
      </c>
      <c r="AL617" s="107">
        <v>0</v>
      </c>
      <c r="AM617" s="107">
        <f t="shared" si="121"/>
        <v>0</v>
      </c>
      <c r="AN617" s="116">
        <f>(-IF($V617="Yes", IF($X617="Yes", VLOOKUP($W617, '[1]Storage Fees'!A:M, 13, FALSE), VLOOKUP($W617, '[1]Storage Fees'!A:M, 10, FALSE)), IF($X617="Yes", VLOOKUP($W617, '[1]Storage Fees'!A:M, 7, FALSE), VLOOKUP($W617, '[1]Storage Fees'!A:M, 4, FALSE))) * U617)*1.5</f>
        <v>0</v>
      </c>
    </row>
    <row r="618" spans="1:40" x14ac:dyDescent="0.25">
      <c r="A618" s="99">
        <v>546</v>
      </c>
      <c r="B618" s="99" t="s">
        <v>107</v>
      </c>
      <c r="C618" s="99"/>
      <c r="D618" s="99"/>
      <c r="E618" s="99" t="s">
        <v>386</v>
      </c>
      <c r="F618" s="99" t="s">
        <v>384</v>
      </c>
      <c r="G618" s="99" t="s">
        <v>13695</v>
      </c>
      <c r="H618" s="99">
        <v>6</v>
      </c>
      <c r="I618" s="99">
        <v>6</v>
      </c>
      <c r="J618" s="99">
        <v>4</v>
      </c>
      <c r="K618" s="101" t="str">
        <f t="shared" si="109"/>
        <v>6x6x4</v>
      </c>
      <c r="L618" s="102">
        <f t="shared" si="110"/>
        <v>1.0359712230215827</v>
      </c>
      <c r="M618" s="113">
        <f t="shared" si="111"/>
        <v>1.0359712230215827</v>
      </c>
      <c r="N618" s="113">
        <f t="shared" si="112"/>
        <v>2</v>
      </c>
      <c r="O618" s="99">
        <v>0.375</v>
      </c>
      <c r="P618" s="113">
        <f t="shared" si="113"/>
        <v>2</v>
      </c>
      <c r="Q618" s="112">
        <f t="shared" si="114"/>
        <v>32</v>
      </c>
      <c r="R618" s="112" t="str">
        <f t="shared" si="115"/>
        <v>Standard-size</v>
      </c>
      <c r="S618" s="99" t="str">
        <f t="shared" si="116"/>
        <v>Large standard-size</v>
      </c>
      <c r="T618" s="116" t="s">
        <v>13697</v>
      </c>
      <c r="U618" s="116">
        <f t="shared" si="117"/>
        <v>8.3333333333333329E-2</v>
      </c>
      <c r="V618" s="116" t="s">
        <v>13583</v>
      </c>
      <c r="W618" s="116" t="s">
        <v>13690</v>
      </c>
      <c r="X618" s="99" t="s">
        <v>13583</v>
      </c>
      <c r="Y618" s="99">
        <v>1</v>
      </c>
      <c r="Z618" s="99">
        <v>2</v>
      </c>
      <c r="AA618" s="99">
        <v>1</v>
      </c>
      <c r="AB618" s="99"/>
      <c r="AC618" s="99"/>
      <c r="AD618" s="107">
        <v>2.4975000000000001</v>
      </c>
      <c r="AE618" s="113">
        <f t="shared" si="118"/>
        <v>-0.37462499999999999</v>
      </c>
      <c r="AF618" s="116">
        <f>-IFERROR(IFERROR(VLOOKUP(ROUNDUP($Q618,0),'FBA FEES'!$L$2:$Q$203,MATCH($S618,'FBA FEES'!$L$2:$Q$2,0),FALSE),VLOOKUP(ROUNDUP($Q618,0),'FBA FEES'!$C$6:$F$123,MATCH($S618,'FBA FEES'!$C$6:$F$6,0),FALSE)),0)</f>
        <v>-5.77</v>
      </c>
      <c r="AG618" s="116">
        <v>-10</v>
      </c>
      <c r="AH618" s="113">
        <f t="shared" si="119"/>
        <v>-6.1446249999999996</v>
      </c>
      <c r="AI618" s="116">
        <f>-IFERROR(IF($Y618=1,INDEX('[1]REMOVAL FEES'!$A$1:$C$22,MATCH(CONCATENATE("Standard Size",$P618),'[1]REMOVAL FEES'!$A$1:$A$22,0),3),IF($Y618=2,IF($P618&gt;10,(($P618-10)*1.06)+INDEX('[1]REMOVAL FEES'!$E$1:$G$22,MATCH(CONCATENATE("Large bulky, extra-large and special handling items",IF($P618&gt;=11,11,$P618)),'[1]REMOVAL FEES'!$E$1:$E$13,0),3),INDEX('[1]REMOVAL FEES'!$E$1:$G$22,MATCH(CONCATENATE("Large bulky, extra-large and special handling items",IF($P618&gt;=11,11,$P618)),'[1]REMOVAL FEES'!$E$1:$E$13,0),3))))*$AA618,FALSE)</f>
        <v>-2.27</v>
      </c>
      <c r="AJ618" s="107">
        <f t="shared" si="120"/>
        <v>-8.4146249999999991</v>
      </c>
      <c r="AK618" s="107">
        <v>-2.57</v>
      </c>
      <c r="AL618" s="107">
        <v>-1.0643750000000001</v>
      </c>
      <c r="AM618" s="107">
        <f t="shared" si="121"/>
        <v>-3.6343749999999999</v>
      </c>
      <c r="AN618" s="116">
        <f>(-IF($V618="Yes", IF($X618="Yes", VLOOKUP($W618, '[1]Storage Fees'!A:M, 13, FALSE), VLOOKUP($W618, '[1]Storage Fees'!A:M, 10, FALSE)), IF($X618="Yes", VLOOKUP($W618, '[1]Storage Fees'!A:M, 7, FALSE), VLOOKUP($W618, '[1]Storage Fees'!A:M, 4, FALSE))) * U618)*1.5</f>
        <v>-0.15249999999999997</v>
      </c>
    </row>
    <row r="619" spans="1:40" x14ac:dyDescent="0.25">
      <c r="A619" s="99">
        <v>547</v>
      </c>
      <c r="B619" s="99" t="s">
        <v>107</v>
      </c>
      <c r="C619" s="99"/>
      <c r="D619" s="99"/>
      <c r="E619" s="99" t="s">
        <v>386</v>
      </c>
      <c r="F619" s="99" t="s">
        <v>387</v>
      </c>
      <c r="G619" s="99" t="s">
        <v>13695</v>
      </c>
      <c r="H619" s="99">
        <v>7</v>
      </c>
      <c r="I619" s="99">
        <v>7</v>
      </c>
      <c r="J619" s="99">
        <v>3</v>
      </c>
      <c r="K619" s="101" t="str">
        <f t="shared" si="109"/>
        <v>7x7x3</v>
      </c>
      <c r="L619" s="102">
        <f t="shared" si="110"/>
        <v>1.0575539568345325</v>
      </c>
      <c r="M619" s="113">
        <f t="shared" si="111"/>
        <v>1.0575539568345325</v>
      </c>
      <c r="N619" s="113">
        <f t="shared" si="112"/>
        <v>2</v>
      </c>
      <c r="O619" s="99">
        <v>0.5</v>
      </c>
      <c r="P619" s="113">
        <f t="shared" si="113"/>
        <v>2</v>
      </c>
      <c r="Q619" s="112">
        <f t="shared" si="114"/>
        <v>32</v>
      </c>
      <c r="R619" s="112" t="str">
        <f t="shared" si="115"/>
        <v>Standard-size</v>
      </c>
      <c r="S619" s="99" t="str">
        <f t="shared" si="116"/>
        <v>Large standard-size</v>
      </c>
      <c r="T619" s="116" t="s">
        <v>13697</v>
      </c>
      <c r="U619" s="116">
        <f t="shared" si="117"/>
        <v>8.5069444444444448E-2</v>
      </c>
      <c r="V619" s="116" t="s">
        <v>13583</v>
      </c>
      <c r="W619" s="116" t="s">
        <v>13690</v>
      </c>
      <c r="X619" s="99" t="s">
        <v>13583</v>
      </c>
      <c r="Y619" s="99">
        <v>1</v>
      </c>
      <c r="Z619" s="99">
        <v>2</v>
      </c>
      <c r="AA619" s="99">
        <v>1</v>
      </c>
      <c r="AB619" s="99"/>
      <c r="AC619" s="99"/>
      <c r="AD619" s="107">
        <v>0</v>
      </c>
      <c r="AE619" s="113">
        <f t="shared" si="118"/>
        <v>0</v>
      </c>
      <c r="AF619" s="116">
        <f>-IFERROR(IFERROR(VLOOKUP(ROUNDUP($Q619,0),'FBA FEES'!$L$2:$Q$203,MATCH($S619,'FBA FEES'!$L$2:$Q$2,0),FALSE),VLOOKUP(ROUNDUP($Q619,0),'FBA FEES'!$C$6:$F$123,MATCH($S619,'FBA FEES'!$C$6:$F$6,0),FALSE)),0)</f>
        <v>-5.77</v>
      </c>
      <c r="AG619" s="116">
        <v>-10</v>
      </c>
      <c r="AH619" s="113">
        <f t="shared" si="119"/>
        <v>-5.77</v>
      </c>
      <c r="AI619" s="116">
        <f>-IFERROR(IF($Y619=1,INDEX('[1]REMOVAL FEES'!$A$1:$C$22,MATCH(CONCATENATE("Standard Size",$P619),'[1]REMOVAL FEES'!$A$1:$A$22,0),3),IF($Y619=2,IF($P619&gt;10,(($P619-10)*1.06)+INDEX('[1]REMOVAL FEES'!$E$1:$G$22,MATCH(CONCATENATE("Large bulky, extra-large and special handling items",IF($P619&gt;=11,11,$P619)),'[1]REMOVAL FEES'!$E$1:$E$13,0),3),INDEX('[1]REMOVAL FEES'!$E$1:$G$22,MATCH(CONCATENATE("Large bulky, extra-large and special handling items",IF($P619&gt;=11,11,$P619)),'[1]REMOVAL FEES'!$E$1:$E$13,0),3))))*$AA619,FALSE)</f>
        <v>-2.27</v>
      </c>
      <c r="AJ619" s="107">
        <f t="shared" si="120"/>
        <v>-8.0399999999999991</v>
      </c>
      <c r="AK619" s="107">
        <v>0</v>
      </c>
      <c r="AL619" s="107">
        <v>0</v>
      </c>
      <c r="AM619" s="107">
        <f t="shared" si="121"/>
        <v>0</v>
      </c>
      <c r="AN619" s="116">
        <f>(-IF($V619="Yes", IF($X619="Yes", VLOOKUP($W619, '[1]Storage Fees'!A:M, 13, FALSE), VLOOKUP($W619, '[1]Storage Fees'!A:M, 10, FALSE)), IF($X619="Yes", VLOOKUP($W619, '[1]Storage Fees'!A:M, 7, FALSE), VLOOKUP($W619, '[1]Storage Fees'!A:M, 4, FALSE))) * U619)*1.5</f>
        <v>-0.15567708333333333</v>
      </c>
    </row>
    <row r="620" spans="1:40" x14ac:dyDescent="0.25">
      <c r="A620" s="99">
        <v>548</v>
      </c>
      <c r="B620" s="99"/>
      <c r="C620" s="99" t="s">
        <v>13655</v>
      </c>
      <c r="D620" s="99"/>
      <c r="E620" s="99" t="s">
        <v>386</v>
      </c>
      <c r="F620" s="99" t="s">
        <v>1999</v>
      </c>
      <c r="G620" s="99" t="s">
        <v>13695</v>
      </c>
      <c r="H620" s="99">
        <v>0</v>
      </c>
      <c r="I620" s="99">
        <v>0</v>
      </c>
      <c r="J620" s="99">
        <v>0</v>
      </c>
      <c r="K620" s="101" t="str">
        <f t="shared" si="109"/>
        <v>0x0x0</v>
      </c>
      <c r="L620" s="102">
        <f t="shared" si="110"/>
        <v>0</v>
      </c>
      <c r="M620" s="113">
        <f t="shared" si="111"/>
        <v>0</v>
      </c>
      <c r="N620" s="113">
        <f t="shared" si="112"/>
        <v>0</v>
      </c>
      <c r="O620" s="99">
        <v>0</v>
      </c>
      <c r="P620" s="113">
        <f t="shared" si="113"/>
        <v>0</v>
      </c>
      <c r="Q620" s="112">
        <f t="shared" si="114"/>
        <v>0</v>
      </c>
      <c r="R620" s="112" t="str">
        <f t="shared" si="115"/>
        <v>Standard-size</v>
      </c>
      <c r="S620" s="99" t="str">
        <f t="shared" si="116"/>
        <v>Small standard-size</v>
      </c>
      <c r="T620" s="116" t="s">
        <v>13696</v>
      </c>
      <c r="U620" s="116">
        <f t="shared" si="117"/>
        <v>0</v>
      </c>
      <c r="V620" s="116" t="s">
        <v>13583</v>
      </c>
      <c r="W620" s="116" t="s">
        <v>13690</v>
      </c>
      <c r="X620" s="99" t="s">
        <v>13583</v>
      </c>
      <c r="Y620" s="99">
        <v>1</v>
      </c>
      <c r="Z620" s="99">
        <v>1</v>
      </c>
      <c r="AA620" s="99">
        <v>1</v>
      </c>
      <c r="AB620" s="99"/>
      <c r="AC620" s="99"/>
      <c r="AD620" s="107">
        <v>0</v>
      </c>
      <c r="AE620" s="113">
        <f t="shared" si="118"/>
        <v>0</v>
      </c>
      <c r="AF620" s="116">
        <f>-IFERROR(IFERROR(VLOOKUP(ROUNDUP($Q620,0),'FBA FEES'!$L$2:$Q$203,MATCH($S620,'FBA FEES'!$L$2:$Q$2,0),FALSE),VLOOKUP(ROUNDUP($Q620,0),'FBA FEES'!$C$6:$F$123,MATCH($S620,'FBA FEES'!$C$6:$F$6,0),FALSE)),0)</f>
        <v>0</v>
      </c>
      <c r="AG620" s="116">
        <v>-10</v>
      </c>
      <c r="AH620" s="113">
        <f t="shared" si="119"/>
        <v>0</v>
      </c>
      <c r="AI620" s="116">
        <f>-IFERROR(IF($Y620=1,INDEX('[1]REMOVAL FEES'!$A$1:$C$22,MATCH(CONCATENATE("Standard Size",$P620),'[1]REMOVAL FEES'!$A$1:$A$22,0),3),IF($Y620=2,IF($P620&gt;10,(($P620-10)*1.06)+INDEX('[1]REMOVAL FEES'!$E$1:$G$22,MATCH(CONCATENATE("Large bulky, extra-large and special handling items",IF($P620&gt;=11,11,$P620)),'[1]REMOVAL FEES'!$E$1:$E$13,0),3),INDEX('[1]REMOVAL FEES'!$E$1:$G$22,MATCH(CONCATENATE("Large bulky, extra-large and special handling items",IF($P620&gt;=11,11,$P620)),'[1]REMOVAL FEES'!$E$1:$E$13,0),3))))*$AA620,FALSE)</f>
        <v>0</v>
      </c>
      <c r="AJ620" s="107">
        <f t="shared" si="120"/>
        <v>0</v>
      </c>
      <c r="AK620" s="107">
        <v>0</v>
      </c>
      <c r="AL620" s="107">
        <v>0</v>
      </c>
      <c r="AM620" s="107">
        <f t="shared" si="121"/>
        <v>0</v>
      </c>
      <c r="AN620" s="116">
        <f>(-IF($V620="Yes", IF($X620="Yes", VLOOKUP($W620, '[1]Storage Fees'!A:M, 13, FALSE), VLOOKUP($W620, '[1]Storage Fees'!A:M, 10, FALSE)), IF($X620="Yes", VLOOKUP($W620, '[1]Storage Fees'!A:M, 7, FALSE), VLOOKUP($W620, '[1]Storage Fees'!A:M, 4, FALSE))) * U620)*1.5</f>
        <v>0</v>
      </c>
    </row>
    <row r="621" spans="1:40" x14ac:dyDescent="0.25">
      <c r="A621" s="99">
        <v>549</v>
      </c>
      <c r="B621" s="99" t="s">
        <v>107</v>
      </c>
      <c r="C621" s="99"/>
      <c r="D621" s="99"/>
      <c r="E621" s="99" t="s">
        <v>386</v>
      </c>
      <c r="F621" s="99" t="s">
        <v>389</v>
      </c>
      <c r="G621" s="99" t="s">
        <v>13695</v>
      </c>
      <c r="H621" s="99">
        <v>12</v>
      </c>
      <c r="I621" s="99">
        <v>12</v>
      </c>
      <c r="J621" s="99">
        <v>3</v>
      </c>
      <c r="K621" s="101" t="str">
        <f t="shared" si="109"/>
        <v>12x12x3</v>
      </c>
      <c r="L621" s="102">
        <f t="shared" si="110"/>
        <v>3.1079136690647484</v>
      </c>
      <c r="M621" s="113">
        <f t="shared" si="111"/>
        <v>3.1079136690647484</v>
      </c>
      <c r="N621" s="113">
        <f t="shared" si="112"/>
        <v>4</v>
      </c>
      <c r="O621" s="99">
        <v>2.875</v>
      </c>
      <c r="P621" s="113">
        <f t="shared" si="113"/>
        <v>4</v>
      </c>
      <c r="Q621" s="112">
        <f t="shared" si="114"/>
        <v>64</v>
      </c>
      <c r="R621" s="112" t="str">
        <f t="shared" si="115"/>
        <v>Standard-size</v>
      </c>
      <c r="S621" s="99" t="str">
        <f t="shared" si="116"/>
        <v>Large standard-size</v>
      </c>
      <c r="T621" s="116" t="s">
        <v>13693</v>
      </c>
      <c r="U621" s="116">
        <f t="shared" si="117"/>
        <v>0.25</v>
      </c>
      <c r="V621" s="116" t="s">
        <v>13583</v>
      </c>
      <c r="W621" s="116" t="s">
        <v>13690</v>
      </c>
      <c r="X621" s="99" t="s">
        <v>13583</v>
      </c>
      <c r="Y621" s="99">
        <v>1</v>
      </c>
      <c r="Z621" s="99">
        <v>2</v>
      </c>
      <c r="AA621" s="99">
        <v>1</v>
      </c>
      <c r="AB621" s="99"/>
      <c r="AC621" s="99"/>
      <c r="AD621" s="107">
        <v>0</v>
      </c>
      <c r="AE621" s="113">
        <f t="shared" si="118"/>
        <v>0</v>
      </c>
      <c r="AF621" s="116">
        <f>-IFERROR(IFERROR(VLOOKUP(ROUNDUP($Q621,0),'FBA FEES'!$L$2:$Q$203,MATCH($S621,'FBA FEES'!$L$2:$Q$2,0),FALSE),VLOOKUP(ROUNDUP($Q621,0),'FBA FEES'!$C$6:$F$123,MATCH($S621,'FBA FEES'!$C$6:$F$6,0),FALSE)),0)</f>
        <v>-7.24</v>
      </c>
      <c r="AG621" s="116">
        <v>-10</v>
      </c>
      <c r="AH621" s="113">
        <f t="shared" si="119"/>
        <v>-7.24</v>
      </c>
      <c r="AI621" s="116">
        <f>-IFERROR(IF($Y621=1,INDEX('[1]REMOVAL FEES'!$A$1:$C$22,MATCH(CONCATENATE("Standard Size",$P621),'[1]REMOVAL FEES'!$A$1:$A$22,0),3),IF($Y621=2,IF($P621&gt;10,(($P621-10)*1.06)+INDEX('[1]REMOVAL FEES'!$E$1:$G$22,MATCH(CONCATENATE("Large bulky, extra-large and special handling items",IF($P621&gt;=11,11,$P621)),'[1]REMOVAL FEES'!$E$1:$E$13,0),3),INDEX('[1]REMOVAL FEES'!$E$1:$G$22,MATCH(CONCATENATE("Large bulky, extra-large and special handling items",IF($P621&gt;=11,11,$P621)),'[1]REMOVAL FEES'!$E$1:$E$13,0),3))))*$AA621,FALSE)</f>
        <v>-5.01</v>
      </c>
      <c r="AJ621" s="107">
        <f t="shared" si="120"/>
        <v>-12.25</v>
      </c>
      <c r="AK621" s="107">
        <v>0</v>
      </c>
      <c r="AL621" s="107">
        <v>0</v>
      </c>
      <c r="AM621" s="107">
        <f t="shared" si="121"/>
        <v>0</v>
      </c>
      <c r="AN621" s="116">
        <f>(-IF($V621="Yes", IF($X621="Yes", VLOOKUP($W621, '[1]Storage Fees'!A:M, 13, FALSE), VLOOKUP($W621, '[1]Storage Fees'!A:M, 10, FALSE)), IF($X621="Yes", VLOOKUP($W621, '[1]Storage Fees'!A:M, 7, FALSE), VLOOKUP($W621, '[1]Storage Fees'!A:M, 4, FALSE))) * U621)*1.5</f>
        <v>-0.45750000000000002</v>
      </c>
    </row>
    <row r="622" spans="1:40" x14ac:dyDescent="0.25">
      <c r="A622" s="99">
        <v>550</v>
      </c>
      <c r="B622" s="99" t="s">
        <v>107</v>
      </c>
      <c r="C622" s="99"/>
      <c r="D622" s="99"/>
      <c r="E622" s="99" t="s">
        <v>386</v>
      </c>
      <c r="F622" s="99" t="s">
        <v>391</v>
      </c>
      <c r="G622" s="99" t="s">
        <v>13695</v>
      </c>
      <c r="H622" s="99">
        <v>9</v>
      </c>
      <c r="I622" s="99">
        <v>6</v>
      </c>
      <c r="J622" s="99">
        <v>5</v>
      </c>
      <c r="K622" s="101" t="str">
        <f t="shared" si="109"/>
        <v>9x6x5</v>
      </c>
      <c r="L622" s="102">
        <f t="shared" si="110"/>
        <v>1.9424460431654675</v>
      </c>
      <c r="M622" s="113">
        <f t="shared" si="111"/>
        <v>1.9424460431654675</v>
      </c>
      <c r="N622" s="113">
        <f t="shared" si="112"/>
        <v>2</v>
      </c>
      <c r="O622" s="99">
        <v>1.375</v>
      </c>
      <c r="P622" s="113">
        <f t="shared" si="113"/>
        <v>2</v>
      </c>
      <c r="Q622" s="112">
        <f t="shared" si="114"/>
        <v>32</v>
      </c>
      <c r="R622" s="112" t="str">
        <f t="shared" si="115"/>
        <v>Standard-size</v>
      </c>
      <c r="S622" s="99" t="str">
        <f t="shared" si="116"/>
        <v>Large standard-size</v>
      </c>
      <c r="T622" s="116" t="s">
        <v>13697</v>
      </c>
      <c r="U622" s="116">
        <f t="shared" si="117"/>
        <v>0.15625</v>
      </c>
      <c r="V622" s="116" t="s">
        <v>13583</v>
      </c>
      <c r="W622" s="116" t="s">
        <v>13690</v>
      </c>
      <c r="X622" s="99" t="s">
        <v>13583</v>
      </c>
      <c r="Y622" s="99">
        <v>1</v>
      </c>
      <c r="Z622" s="99">
        <v>2</v>
      </c>
      <c r="AA622" s="99">
        <v>1</v>
      </c>
      <c r="AB622" s="99"/>
      <c r="AC622" s="99"/>
      <c r="AD622" s="107">
        <v>0</v>
      </c>
      <c r="AE622" s="113">
        <f t="shared" si="118"/>
        <v>0</v>
      </c>
      <c r="AF622" s="116">
        <f>-IFERROR(IFERROR(VLOOKUP(ROUNDUP($Q622,0),'FBA FEES'!$L$2:$Q$203,MATCH($S622,'FBA FEES'!$L$2:$Q$2,0),FALSE),VLOOKUP(ROUNDUP($Q622,0),'FBA FEES'!$C$6:$F$123,MATCH($S622,'FBA FEES'!$C$6:$F$6,0),FALSE)),0)</f>
        <v>-5.77</v>
      </c>
      <c r="AG622" s="116">
        <v>-10</v>
      </c>
      <c r="AH622" s="113">
        <f t="shared" si="119"/>
        <v>-5.77</v>
      </c>
      <c r="AI622" s="116">
        <f>-IFERROR(IF($Y622=1,INDEX('[1]REMOVAL FEES'!$A$1:$C$22,MATCH(CONCATENATE("Standard Size",$P622),'[1]REMOVAL FEES'!$A$1:$A$22,0),3),IF($Y622=2,IF($P622&gt;10,(($P622-10)*1.06)+INDEX('[1]REMOVAL FEES'!$E$1:$G$22,MATCH(CONCATENATE("Large bulky, extra-large and special handling items",IF($P622&gt;=11,11,$P622)),'[1]REMOVAL FEES'!$E$1:$E$13,0),3),INDEX('[1]REMOVAL FEES'!$E$1:$G$22,MATCH(CONCATENATE("Large bulky, extra-large and special handling items",IF($P622&gt;=11,11,$P622)),'[1]REMOVAL FEES'!$E$1:$E$13,0),3))))*$AA622,FALSE)</f>
        <v>-2.27</v>
      </c>
      <c r="AJ622" s="107">
        <f t="shared" si="120"/>
        <v>-8.0399999999999991</v>
      </c>
      <c r="AK622" s="107">
        <v>0</v>
      </c>
      <c r="AL622" s="107">
        <v>0</v>
      </c>
      <c r="AM622" s="107">
        <f t="shared" si="121"/>
        <v>0</v>
      </c>
      <c r="AN622" s="116">
        <f>(-IF($V622="Yes", IF($X622="Yes", VLOOKUP($W622, '[1]Storage Fees'!A:M, 13, FALSE), VLOOKUP($W622, '[1]Storage Fees'!A:M, 10, FALSE)), IF($X622="Yes", VLOOKUP($W622, '[1]Storage Fees'!A:M, 7, FALSE), VLOOKUP($W622, '[1]Storage Fees'!A:M, 4, FALSE))) * U622)*1.5</f>
        <v>-0.28593749999999996</v>
      </c>
    </row>
    <row r="623" spans="1:40" x14ac:dyDescent="0.25">
      <c r="A623" s="99">
        <v>551</v>
      </c>
      <c r="B623" s="99" t="s">
        <v>107</v>
      </c>
      <c r="C623" s="99"/>
      <c r="D623" s="99"/>
      <c r="E623" s="99" t="s">
        <v>386</v>
      </c>
      <c r="F623" s="99" t="s">
        <v>393</v>
      </c>
      <c r="G623" s="99" t="s">
        <v>13695</v>
      </c>
      <c r="H623" s="99">
        <v>11</v>
      </c>
      <c r="I623" s="99">
        <v>11</v>
      </c>
      <c r="J623" s="99">
        <v>2</v>
      </c>
      <c r="K623" s="101" t="str">
        <f t="shared" si="109"/>
        <v>11x11x2</v>
      </c>
      <c r="L623" s="102">
        <f t="shared" si="110"/>
        <v>1.7410071942446044</v>
      </c>
      <c r="M623" s="113">
        <f t="shared" si="111"/>
        <v>1.7410071942446044</v>
      </c>
      <c r="N623" s="113">
        <f t="shared" si="112"/>
        <v>2</v>
      </c>
      <c r="O623" s="99">
        <v>2.25</v>
      </c>
      <c r="P623" s="113">
        <f t="shared" si="113"/>
        <v>3</v>
      </c>
      <c r="Q623" s="112">
        <f t="shared" si="114"/>
        <v>48</v>
      </c>
      <c r="R623" s="112" t="str">
        <f t="shared" si="115"/>
        <v>Standard-size</v>
      </c>
      <c r="S623" s="99" t="str">
        <f t="shared" si="116"/>
        <v>Large standard-size</v>
      </c>
      <c r="T623" s="116" t="s">
        <v>13701</v>
      </c>
      <c r="U623" s="116">
        <f t="shared" si="117"/>
        <v>0.14004629629629631</v>
      </c>
      <c r="V623" s="116" t="s">
        <v>13583</v>
      </c>
      <c r="W623" s="116" t="s">
        <v>13690</v>
      </c>
      <c r="X623" s="99" t="s">
        <v>13583</v>
      </c>
      <c r="Y623" s="99">
        <v>1</v>
      </c>
      <c r="Z623" s="99">
        <v>2</v>
      </c>
      <c r="AA623" s="99">
        <v>1</v>
      </c>
      <c r="AB623" s="99"/>
      <c r="AC623" s="99"/>
      <c r="AD623" s="107">
        <v>0</v>
      </c>
      <c r="AE623" s="113">
        <f t="shared" si="118"/>
        <v>0</v>
      </c>
      <c r="AF623" s="116">
        <f>-IFERROR(IFERROR(VLOOKUP(ROUNDUP($Q623,0),'FBA FEES'!$L$2:$Q$203,MATCH($S623,'FBA FEES'!$L$2:$Q$2,0),FALSE),VLOOKUP(ROUNDUP($Q623,0),'FBA FEES'!$C$6:$F$123,MATCH($S623,'FBA FEES'!$C$6:$F$6,0),FALSE)),0)</f>
        <v>-6.62</v>
      </c>
      <c r="AG623" s="116">
        <v>-10</v>
      </c>
      <c r="AH623" s="113">
        <f t="shared" si="119"/>
        <v>-6.62</v>
      </c>
      <c r="AI623" s="116">
        <f>-IFERROR(IF($Y623=1,INDEX('[1]REMOVAL FEES'!$A$1:$C$22,MATCH(CONCATENATE("Standard Size",$P623),'[1]REMOVAL FEES'!$A$1:$A$22,0),3),IF($Y623=2,IF($P623&gt;10,(($P623-10)*1.06)+INDEX('[1]REMOVAL FEES'!$E$1:$G$22,MATCH(CONCATENATE("Large bulky, extra-large and special handling items",IF($P623&gt;=11,11,$P623)),'[1]REMOVAL FEES'!$E$1:$E$13,0),3),INDEX('[1]REMOVAL FEES'!$E$1:$G$22,MATCH(CONCATENATE("Large bulky, extra-large and special handling items",IF($P623&gt;=11,11,$P623)),'[1]REMOVAL FEES'!$E$1:$E$13,0),3))))*$AA623,FALSE)</f>
        <v>-3.95</v>
      </c>
      <c r="AJ623" s="107">
        <f t="shared" si="120"/>
        <v>-10.57</v>
      </c>
      <c r="AK623" s="107">
        <v>0</v>
      </c>
      <c r="AL623" s="107">
        <v>0</v>
      </c>
      <c r="AM623" s="107">
        <f t="shared" si="121"/>
        <v>0</v>
      </c>
      <c r="AN623" s="116">
        <f>(-IF($V623="Yes", IF($X623="Yes", VLOOKUP($W623, '[1]Storage Fees'!A:M, 13, FALSE), VLOOKUP($W623, '[1]Storage Fees'!A:M, 10, FALSE)), IF($X623="Yes", VLOOKUP($W623, '[1]Storage Fees'!A:M, 7, FALSE), VLOOKUP($W623, '[1]Storage Fees'!A:M, 4, FALSE))) * U623)*1.5</f>
        <v>-0.25628472222222226</v>
      </c>
    </row>
    <row r="624" spans="1:40" x14ac:dyDescent="0.25">
      <c r="A624" s="99">
        <v>552</v>
      </c>
      <c r="B624" s="99" t="s">
        <v>107</v>
      </c>
      <c r="C624" s="99"/>
      <c r="D624" s="99"/>
      <c r="E624" s="99" t="s">
        <v>386</v>
      </c>
      <c r="F624" s="99" t="s">
        <v>395</v>
      </c>
      <c r="G624" s="99" t="s">
        <v>13695</v>
      </c>
      <c r="H624" s="99">
        <v>12</v>
      </c>
      <c r="I624" s="99">
        <v>12</v>
      </c>
      <c r="J624" s="99">
        <v>3</v>
      </c>
      <c r="K624" s="101" t="str">
        <f t="shared" si="109"/>
        <v>12x12x3</v>
      </c>
      <c r="L624" s="102">
        <f t="shared" si="110"/>
        <v>3.1079136690647484</v>
      </c>
      <c r="M624" s="113">
        <f t="shared" si="111"/>
        <v>3.1079136690647484</v>
      </c>
      <c r="N624" s="113">
        <f t="shared" si="112"/>
        <v>4</v>
      </c>
      <c r="O624" s="99">
        <v>1.75</v>
      </c>
      <c r="P624" s="113">
        <f t="shared" si="113"/>
        <v>4</v>
      </c>
      <c r="Q624" s="112">
        <f t="shared" si="114"/>
        <v>64</v>
      </c>
      <c r="R624" s="112" t="str">
        <f t="shared" si="115"/>
        <v>Standard-size</v>
      </c>
      <c r="S624" s="99" t="str">
        <f t="shared" si="116"/>
        <v>Large standard-size</v>
      </c>
      <c r="T624" s="116" t="s">
        <v>13693</v>
      </c>
      <c r="U624" s="116">
        <f t="shared" si="117"/>
        <v>0.25</v>
      </c>
      <c r="V624" s="116" t="s">
        <v>13583</v>
      </c>
      <c r="W624" s="116" t="s">
        <v>13690</v>
      </c>
      <c r="X624" s="99" t="s">
        <v>13583</v>
      </c>
      <c r="Y624" s="99">
        <v>1</v>
      </c>
      <c r="Z624" s="99">
        <v>2</v>
      </c>
      <c r="AA624" s="99">
        <v>1</v>
      </c>
      <c r="AB624" s="99"/>
      <c r="AC624" s="99"/>
      <c r="AD624" s="107">
        <v>0</v>
      </c>
      <c r="AE624" s="113">
        <f t="shared" si="118"/>
        <v>0</v>
      </c>
      <c r="AF624" s="116">
        <f>-IFERROR(IFERROR(VLOOKUP(ROUNDUP($Q624,0),'FBA FEES'!$L$2:$Q$203,MATCH($S624,'FBA FEES'!$L$2:$Q$2,0),FALSE),VLOOKUP(ROUNDUP($Q624,0),'FBA FEES'!$C$6:$F$123,MATCH($S624,'FBA FEES'!$C$6:$F$6,0),FALSE)),0)</f>
        <v>-7.24</v>
      </c>
      <c r="AG624" s="116">
        <v>-10</v>
      </c>
      <c r="AH624" s="113">
        <f t="shared" si="119"/>
        <v>-7.24</v>
      </c>
      <c r="AI624" s="116">
        <f>-IFERROR(IF($Y624=1,INDEX('[1]REMOVAL FEES'!$A$1:$C$22,MATCH(CONCATENATE("Standard Size",$P624),'[1]REMOVAL FEES'!$A$1:$A$22,0),3),IF($Y624=2,IF($P624&gt;10,(($P624-10)*1.06)+INDEX('[1]REMOVAL FEES'!$E$1:$G$22,MATCH(CONCATENATE("Large bulky, extra-large and special handling items",IF($P624&gt;=11,11,$P624)),'[1]REMOVAL FEES'!$E$1:$E$13,0),3),INDEX('[1]REMOVAL FEES'!$E$1:$G$22,MATCH(CONCATENATE("Large bulky, extra-large and special handling items",IF($P624&gt;=11,11,$P624)),'[1]REMOVAL FEES'!$E$1:$E$13,0),3))))*$AA624,FALSE)</f>
        <v>-5.01</v>
      </c>
      <c r="AJ624" s="107">
        <f t="shared" si="120"/>
        <v>-12.25</v>
      </c>
      <c r="AK624" s="107">
        <v>0</v>
      </c>
      <c r="AL624" s="107">
        <v>0</v>
      </c>
      <c r="AM624" s="107">
        <f t="shared" si="121"/>
        <v>0</v>
      </c>
      <c r="AN624" s="116">
        <f>(-IF($V624="Yes", IF($X624="Yes", VLOOKUP($W624, '[1]Storage Fees'!A:M, 13, FALSE), VLOOKUP($W624, '[1]Storage Fees'!A:M, 10, FALSE)), IF($X624="Yes", VLOOKUP($W624, '[1]Storage Fees'!A:M, 7, FALSE), VLOOKUP($W624, '[1]Storage Fees'!A:M, 4, FALSE))) * U624)*1.5</f>
        <v>-0.45750000000000002</v>
      </c>
    </row>
    <row r="625" spans="1:40" x14ac:dyDescent="0.25">
      <c r="A625" s="99">
        <v>553</v>
      </c>
      <c r="B625" s="99" t="s">
        <v>107</v>
      </c>
      <c r="C625" s="99"/>
      <c r="D625" s="99"/>
      <c r="E625" s="99" t="s">
        <v>386</v>
      </c>
      <c r="F625" s="99" t="s">
        <v>397</v>
      </c>
      <c r="G625" s="99" t="s">
        <v>13695</v>
      </c>
      <c r="H625" s="99">
        <v>5</v>
      </c>
      <c r="I625" s="99">
        <v>5</v>
      </c>
      <c r="J625" s="99">
        <v>5</v>
      </c>
      <c r="K625" s="101" t="str">
        <f t="shared" si="109"/>
        <v>5x5x5</v>
      </c>
      <c r="L625" s="102">
        <f t="shared" si="110"/>
        <v>0.89928057553956831</v>
      </c>
      <c r="M625" s="113">
        <f t="shared" si="111"/>
        <v>0.89928057553956831</v>
      </c>
      <c r="N625" s="113">
        <f t="shared" si="112"/>
        <v>1</v>
      </c>
      <c r="O625" s="99">
        <v>0.1875</v>
      </c>
      <c r="P625" s="113">
        <f t="shared" si="113"/>
        <v>1</v>
      </c>
      <c r="Q625" s="112">
        <f t="shared" si="114"/>
        <v>16</v>
      </c>
      <c r="R625" s="112" t="str">
        <f t="shared" si="115"/>
        <v>Standard-size</v>
      </c>
      <c r="S625" s="99" t="str">
        <f t="shared" si="116"/>
        <v>Large standard-size</v>
      </c>
      <c r="T625" s="116" t="s">
        <v>13698</v>
      </c>
      <c r="U625" s="116">
        <f t="shared" si="117"/>
        <v>7.2337962962962965E-2</v>
      </c>
      <c r="V625" s="116" t="s">
        <v>13583</v>
      </c>
      <c r="W625" s="116" t="s">
        <v>13690</v>
      </c>
      <c r="X625" s="99" t="s">
        <v>13583</v>
      </c>
      <c r="Y625" s="99">
        <v>1</v>
      </c>
      <c r="Z625" s="99">
        <v>2</v>
      </c>
      <c r="AA625" s="99">
        <v>1</v>
      </c>
      <c r="AB625" s="99"/>
      <c r="AC625" s="99"/>
      <c r="AD625" s="107">
        <v>0</v>
      </c>
      <c r="AE625" s="113">
        <f t="shared" si="118"/>
        <v>0</v>
      </c>
      <c r="AF625" s="116">
        <f>-IFERROR(IFERROR(VLOOKUP(ROUNDUP($Q625,0),'FBA FEES'!$L$2:$Q$203,MATCH($S625,'FBA FEES'!$L$2:$Q$2,0),FALSE),VLOOKUP(ROUNDUP($Q625,0),'FBA FEES'!$C$6:$F$123,MATCH($S625,'FBA FEES'!$C$6:$F$6,0),FALSE)),0)</f>
        <v>-4.55</v>
      </c>
      <c r="AG625" s="116">
        <v>-10</v>
      </c>
      <c r="AH625" s="113">
        <f t="shared" si="119"/>
        <v>-4.55</v>
      </c>
      <c r="AI625" s="116">
        <f>-IFERROR(IF($Y625=1,INDEX('[1]REMOVAL FEES'!$A$1:$C$22,MATCH(CONCATENATE("Standard Size",$P625),'[1]REMOVAL FEES'!$A$1:$A$22,0),3),IF($Y625=2,IF($P625&gt;10,(($P625-10)*1.06)+INDEX('[1]REMOVAL FEES'!$E$1:$G$22,MATCH(CONCATENATE("Large bulky, extra-large and special handling items",IF($P625&gt;=11,11,$P625)),'[1]REMOVAL FEES'!$E$1:$E$13,0),3),INDEX('[1]REMOVAL FEES'!$E$1:$G$22,MATCH(CONCATENATE("Large bulky, extra-large and special handling items",IF($P625&gt;=11,11,$P625)),'[1]REMOVAL FEES'!$E$1:$E$13,0),3))))*$AA625,FALSE)</f>
        <v>-1.53</v>
      </c>
      <c r="AJ625" s="107">
        <f t="shared" si="120"/>
        <v>-6.08</v>
      </c>
      <c r="AK625" s="107">
        <v>0</v>
      </c>
      <c r="AL625" s="107">
        <v>0</v>
      </c>
      <c r="AM625" s="107">
        <f t="shared" si="121"/>
        <v>0</v>
      </c>
      <c r="AN625" s="116">
        <f>(-IF($V625="Yes", IF($X625="Yes", VLOOKUP($W625, '[1]Storage Fees'!A:M, 13, FALSE), VLOOKUP($W625, '[1]Storage Fees'!A:M, 10, FALSE)), IF($X625="Yes", VLOOKUP($W625, '[1]Storage Fees'!A:M, 7, FALSE), VLOOKUP($W625, '[1]Storage Fees'!A:M, 4, FALSE))) * U625)*1.5</f>
        <v>-0.13237847222222221</v>
      </c>
    </row>
    <row r="626" spans="1:40" x14ac:dyDescent="0.25">
      <c r="A626" s="99">
        <v>554</v>
      </c>
      <c r="B626" s="99" t="s">
        <v>107</v>
      </c>
      <c r="C626" s="99"/>
      <c r="D626" s="99"/>
      <c r="E626" s="99" t="s">
        <v>386</v>
      </c>
      <c r="F626" s="99" t="s">
        <v>399</v>
      </c>
      <c r="G626" s="99" t="s">
        <v>13695</v>
      </c>
      <c r="H626" s="99">
        <v>7</v>
      </c>
      <c r="I626" s="99">
        <v>5</v>
      </c>
      <c r="J626" s="99">
        <v>5</v>
      </c>
      <c r="K626" s="101" t="str">
        <f t="shared" si="109"/>
        <v>7x5x5</v>
      </c>
      <c r="L626" s="102">
        <f t="shared" si="110"/>
        <v>1.2589928057553956</v>
      </c>
      <c r="M626" s="113">
        <f t="shared" si="111"/>
        <v>1.2589928057553956</v>
      </c>
      <c r="N626" s="113">
        <f t="shared" si="112"/>
        <v>2</v>
      </c>
      <c r="O626" s="99">
        <v>0.3125</v>
      </c>
      <c r="P626" s="113">
        <f t="shared" si="113"/>
        <v>2</v>
      </c>
      <c r="Q626" s="112">
        <f t="shared" si="114"/>
        <v>32</v>
      </c>
      <c r="R626" s="112" t="str">
        <f t="shared" si="115"/>
        <v>Standard-size</v>
      </c>
      <c r="S626" s="99" t="str">
        <f t="shared" si="116"/>
        <v>Large standard-size</v>
      </c>
      <c r="T626" s="116" t="s">
        <v>13697</v>
      </c>
      <c r="U626" s="116">
        <f t="shared" si="117"/>
        <v>0.10127314814814815</v>
      </c>
      <c r="V626" s="116" t="s">
        <v>13583</v>
      </c>
      <c r="W626" s="116" t="s">
        <v>13690</v>
      </c>
      <c r="X626" s="99" t="s">
        <v>13583</v>
      </c>
      <c r="Y626" s="99">
        <v>1</v>
      </c>
      <c r="Z626" s="99">
        <v>2</v>
      </c>
      <c r="AA626" s="99">
        <v>1</v>
      </c>
      <c r="AB626" s="99"/>
      <c r="AC626" s="99"/>
      <c r="AD626" s="107">
        <v>0</v>
      </c>
      <c r="AE626" s="113">
        <f t="shared" si="118"/>
        <v>0</v>
      </c>
      <c r="AF626" s="116">
        <f>-IFERROR(IFERROR(VLOOKUP(ROUNDUP($Q626,0),'FBA FEES'!$L$2:$Q$203,MATCH($S626,'FBA FEES'!$L$2:$Q$2,0),FALSE),VLOOKUP(ROUNDUP($Q626,0),'FBA FEES'!$C$6:$F$123,MATCH($S626,'FBA FEES'!$C$6:$F$6,0),FALSE)),0)</f>
        <v>-5.77</v>
      </c>
      <c r="AG626" s="116">
        <v>-10</v>
      </c>
      <c r="AH626" s="113">
        <f t="shared" si="119"/>
        <v>-5.77</v>
      </c>
      <c r="AI626" s="116">
        <f>-IFERROR(IF($Y626=1,INDEX('[1]REMOVAL FEES'!$A$1:$C$22,MATCH(CONCATENATE("Standard Size",$P626),'[1]REMOVAL FEES'!$A$1:$A$22,0),3),IF($Y626=2,IF($P626&gt;10,(($P626-10)*1.06)+INDEX('[1]REMOVAL FEES'!$E$1:$G$22,MATCH(CONCATENATE("Large bulky, extra-large and special handling items",IF($P626&gt;=11,11,$P626)),'[1]REMOVAL FEES'!$E$1:$E$13,0),3),INDEX('[1]REMOVAL FEES'!$E$1:$G$22,MATCH(CONCATENATE("Large bulky, extra-large and special handling items",IF($P626&gt;=11,11,$P626)),'[1]REMOVAL FEES'!$E$1:$E$13,0),3))))*$AA626,FALSE)</f>
        <v>-2.27</v>
      </c>
      <c r="AJ626" s="107">
        <f t="shared" si="120"/>
        <v>-8.0399999999999991</v>
      </c>
      <c r="AK626" s="107">
        <v>0</v>
      </c>
      <c r="AL626" s="107">
        <v>0</v>
      </c>
      <c r="AM626" s="107">
        <f t="shared" si="121"/>
        <v>0</v>
      </c>
      <c r="AN626" s="116">
        <f>(-IF($V626="Yes", IF($X626="Yes", VLOOKUP($W626, '[1]Storage Fees'!A:M, 13, FALSE), VLOOKUP($W626, '[1]Storage Fees'!A:M, 10, FALSE)), IF($X626="Yes", VLOOKUP($W626, '[1]Storage Fees'!A:M, 7, FALSE), VLOOKUP($W626, '[1]Storage Fees'!A:M, 4, FALSE))) * U626)*1.5</f>
        <v>-0.1853298611111111</v>
      </c>
    </row>
    <row r="627" spans="1:40" x14ac:dyDescent="0.25">
      <c r="A627" s="99">
        <v>555</v>
      </c>
      <c r="B627" s="99" t="s">
        <v>107</v>
      </c>
      <c r="C627" s="99"/>
      <c r="D627" s="99"/>
      <c r="E627" s="99" t="s">
        <v>386</v>
      </c>
      <c r="F627" s="99" t="s">
        <v>401</v>
      </c>
      <c r="G627" s="99" t="s">
        <v>13695</v>
      </c>
      <c r="H627" s="99">
        <v>7</v>
      </c>
      <c r="I627" s="99">
        <v>5</v>
      </c>
      <c r="J627" s="99">
        <v>5</v>
      </c>
      <c r="K627" s="101" t="str">
        <f t="shared" si="109"/>
        <v>7x5x5</v>
      </c>
      <c r="L627" s="102">
        <f t="shared" si="110"/>
        <v>1.2589928057553956</v>
      </c>
      <c r="M627" s="113">
        <f t="shared" si="111"/>
        <v>1.2589928057553956</v>
      </c>
      <c r="N627" s="113">
        <f t="shared" si="112"/>
        <v>2</v>
      </c>
      <c r="O627" s="99">
        <v>0.4375</v>
      </c>
      <c r="P627" s="113">
        <f t="shared" si="113"/>
        <v>2</v>
      </c>
      <c r="Q627" s="112">
        <f t="shared" si="114"/>
        <v>32</v>
      </c>
      <c r="R627" s="112" t="str">
        <f t="shared" si="115"/>
        <v>Standard-size</v>
      </c>
      <c r="S627" s="99" t="str">
        <f t="shared" si="116"/>
        <v>Large standard-size</v>
      </c>
      <c r="T627" s="116" t="s">
        <v>13697</v>
      </c>
      <c r="U627" s="116">
        <f t="shared" si="117"/>
        <v>0.10127314814814815</v>
      </c>
      <c r="V627" s="116" t="s">
        <v>13583</v>
      </c>
      <c r="W627" s="116" t="s">
        <v>13690</v>
      </c>
      <c r="X627" s="99" t="s">
        <v>13583</v>
      </c>
      <c r="Y627" s="99">
        <v>1</v>
      </c>
      <c r="Z627" s="99">
        <v>2</v>
      </c>
      <c r="AA627" s="99">
        <v>1</v>
      </c>
      <c r="AB627" s="99"/>
      <c r="AC627" s="99"/>
      <c r="AD627" s="107">
        <v>0</v>
      </c>
      <c r="AE627" s="113">
        <f t="shared" si="118"/>
        <v>0</v>
      </c>
      <c r="AF627" s="116">
        <f>-IFERROR(IFERROR(VLOOKUP(ROUNDUP($Q627,0),'FBA FEES'!$L$2:$Q$203,MATCH($S627,'FBA FEES'!$L$2:$Q$2,0),FALSE),VLOOKUP(ROUNDUP($Q627,0),'FBA FEES'!$C$6:$F$123,MATCH($S627,'FBA FEES'!$C$6:$F$6,0),FALSE)),0)</f>
        <v>-5.77</v>
      </c>
      <c r="AG627" s="116">
        <v>-10</v>
      </c>
      <c r="AH627" s="113">
        <f t="shared" si="119"/>
        <v>-5.77</v>
      </c>
      <c r="AI627" s="116">
        <f>-IFERROR(IF($Y627=1,INDEX('[1]REMOVAL FEES'!$A$1:$C$22,MATCH(CONCATENATE("Standard Size",$P627),'[1]REMOVAL FEES'!$A$1:$A$22,0),3),IF($Y627=2,IF($P627&gt;10,(($P627-10)*1.06)+INDEX('[1]REMOVAL FEES'!$E$1:$G$22,MATCH(CONCATENATE("Large bulky, extra-large and special handling items",IF($P627&gt;=11,11,$P627)),'[1]REMOVAL FEES'!$E$1:$E$13,0),3),INDEX('[1]REMOVAL FEES'!$E$1:$G$22,MATCH(CONCATENATE("Large bulky, extra-large and special handling items",IF($P627&gt;=11,11,$P627)),'[1]REMOVAL FEES'!$E$1:$E$13,0),3))))*$AA627,FALSE)</f>
        <v>-2.27</v>
      </c>
      <c r="AJ627" s="107">
        <f t="shared" si="120"/>
        <v>-8.0399999999999991</v>
      </c>
      <c r="AK627" s="107">
        <v>0</v>
      </c>
      <c r="AL627" s="107">
        <v>0</v>
      </c>
      <c r="AM627" s="107">
        <f t="shared" si="121"/>
        <v>0</v>
      </c>
      <c r="AN627" s="116">
        <f>(-IF($V627="Yes", IF($X627="Yes", VLOOKUP($W627, '[1]Storage Fees'!A:M, 13, FALSE), VLOOKUP($W627, '[1]Storage Fees'!A:M, 10, FALSE)), IF($X627="Yes", VLOOKUP($W627, '[1]Storage Fees'!A:M, 7, FALSE), VLOOKUP($W627, '[1]Storage Fees'!A:M, 4, FALSE))) * U627)*1.5</f>
        <v>-0.1853298611111111</v>
      </c>
    </row>
    <row r="628" spans="1:40" x14ac:dyDescent="0.25">
      <c r="A628" s="99">
        <v>556</v>
      </c>
      <c r="B628" s="99"/>
      <c r="C628" s="99" t="s">
        <v>13655</v>
      </c>
      <c r="D628" s="99"/>
      <c r="E628" s="99" t="s">
        <v>386</v>
      </c>
      <c r="F628" s="99" t="s">
        <v>2001</v>
      </c>
      <c r="G628" s="99" t="s">
        <v>13695</v>
      </c>
      <c r="H628" s="99">
        <v>0</v>
      </c>
      <c r="I628" s="99">
        <v>0</v>
      </c>
      <c r="J628" s="99">
        <v>0</v>
      </c>
      <c r="K628" s="101" t="str">
        <f t="shared" si="109"/>
        <v>0x0x0</v>
      </c>
      <c r="L628" s="102">
        <f t="shared" si="110"/>
        <v>0</v>
      </c>
      <c r="M628" s="113">
        <f t="shared" si="111"/>
        <v>0</v>
      </c>
      <c r="N628" s="113">
        <f t="shared" si="112"/>
        <v>0</v>
      </c>
      <c r="O628" s="99">
        <v>0</v>
      </c>
      <c r="P628" s="113">
        <f t="shared" si="113"/>
        <v>0</v>
      </c>
      <c r="Q628" s="112">
        <f t="shared" si="114"/>
        <v>0</v>
      </c>
      <c r="R628" s="112" t="str">
        <f t="shared" si="115"/>
        <v>Standard-size</v>
      </c>
      <c r="S628" s="99" t="str">
        <f t="shared" si="116"/>
        <v>Small standard-size</v>
      </c>
      <c r="T628" s="116" t="s">
        <v>13696</v>
      </c>
      <c r="U628" s="116">
        <f t="shared" si="117"/>
        <v>0</v>
      </c>
      <c r="V628" s="116" t="s">
        <v>13583</v>
      </c>
      <c r="W628" s="116" t="s">
        <v>13690</v>
      </c>
      <c r="X628" s="99" t="s">
        <v>13583</v>
      </c>
      <c r="Y628" s="99">
        <v>1</v>
      </c>
      <c r="Z628" s="99">
        <v>1</v>
      </c>
      <c r="AA628" s="99">
        <v>1</v>
      </c>
      <c r="AB628" s="99"/>
      <c r="AC628" s="99"/>
      <c r="AD628" s="107">
        <v>0</v>
      </c>
      <c r="AE628" s="113">
        <f t="shared" si="118"/>
        <v>0</v>
      </c>
      <c r="AF628" s="116">
        <f>-IFERROR(IFERROR(VLOOKUP(ROUNDUP($Q628,0),'FBA FEES'!$L$2:$Q$203,MATCH($S628,'FBA FEES'!$L$2:$Q$2,0),FALSE),VLOOKUP(ROUNDUP($Q628,0),'FBA FEES'!$C$6:$F$123,MATCH($S628,'FBA FEES'!$C$6:$F$6,0),FALSE)),0)</f>
        <v>0</v>
      </c>
      <c r="AG628" s="116">
        <v>-10</v>
      </c>
      <c r="AH628" s="113">
        <f t="shared" si="119"/>
        <v>0</v>
      </c>
      <c r="AI628" s="116">
        <f>-IFERROR(IF($Y628=1,INDEX('[1]REMOVAL FEES'!$A$1:$C$22,MATCH(CONCATENATE("Standard Size",$P628),'[1]REMOVAL FEES'!$A$1:$A$22,0),3),IF($Y628=2,IF($P628&gt;10,(($P628-10)*1.06)+INDEX('[1]REMOVAL FEES'!$E$1:$G$22,MATCH(CONCATENATE("Large bulky, extra-large and special handling items",IF($P628&gt;=11,11,$P628)),'[1]REMOVAL FEES'!$E$1:$E$13,0),3),INDEX('[1]REMOVAL FEES'!$E$1:$G$22,MATCH(CONCATENATE("Large bulky, extra-large and special handling items",IF($P628&gt;=11,11,$P628)),'[1]REMOVAL FEES'!$E$1:$E$13,0),3))))*$AA628,FALSE)</f>
        <v>0</v>
      </c>
      <c r="AJ628" s="107">
        <f t="shared" si="120"/>
        <v>0</v>
      </c>
      <c r="AK628" s="107">
        <v>0</v>
      </c>
      <c r="AL628" s="107">
        <v>0</v>
      </c>
      <c r="AM628" s="107">
        <f t="shared" si="121"/>
        <v>0</v>
      </c>
      <c r="AN628" s="116">
        <f>(-IF($V628="Yes", IF($X628="Yes", VLOOKUP($W628, '[1]Storage Fees'!A:M, 13, FALSE), VLOOKUP($W628, '[1]Storage Fees'!A:M, 10, FALSE)), IF($X628="Yes", VLOOKUP($W628, '[1]Storage Fees'!A:M, 7, FALSE), VLOOKUP($W628, '[1]Storage Fees'!A:M, 4, FALSE))) * U628)*1.5</f>
        <v>0</v>
      </c>
    </row>
    <row r="629" spans="1:40" x14ac:dyDescent="0.25">
      <c r="A629" s="99">
        <v>557</v>
      </c>
      <c r="B629" s="99"/>
      <c r="C629" s="99" t="s">
        <v>13655</v>
      </c>
      <c r="D629" s="99"/>
      <c r="E629" s="99" t="s">
        <v>386</v>
      </c>
      <c r="F629" s="99" t="s">
        <v>2003</v>
      </c>
      <c r="G629" s="99" t="s">
        <v>13695</v>
      </c>
      <c r="H629" s="99">
        <v>0</v>
      </c>
      <c r="I629" s="99">
        <v>0</v>
      </c>
      <c r="J629" s="99">
        <v>0</v>
      </c>
      <c r="K629" s="101" t="str">
        <f t="shared" si="109"/>
        <v>0x0x0</v>
      </c>
      <c r="L629" s="102">
        <f t="shared" si="110"/>
        <v>0</v>
      </c>
      <c r="M629" s="113">
        <f t="shared" si="111"/>
        <v>0</v>
      </c>
      <c r="N629" s="113">
        <f t="shared" si="112"/>
        <v>0</v>
      </c>
      <c r="O629" s="99">
        <v>0</v>
      </c>
      <c r="P629" s="113">
        <f t="shared" si="113"/>
        <v>0</v>
      </c>
      <c r="Q629" s="112">
        <f t="shared" si="114"/>
        <v>0</v>
      </c>
      <c r="R629" s="112" t="str">
        <f t="shared" si="115"/>
        <v>Standard-size</v>
      </c>
      <c r="S629" s="99" t="str">
        <f t="shared" si="116"/>
        <v>Small standard-size</v>
      </c>
      <c r="T629" s="116" t="s">
        <v>13696</v>
      </c>
      <c r="U629" s="116">
        <f t="shared" si="117"/>
        <v>0</v>
      </c>
      <c r="V629" s="116" t="s">
        <v>13583</v>
      </c>
      <c r="W629" s="116" t="s">
        <v>13690</v>
      </c>
      <c r="X629" s="99" t="s">
        <v>13583</v>
      </c>
      <c r="Y629" s="99">
        <v>1</v>
      </c>
      <c r="Z629" s="99">
        <v>1</v>
      </c>
      <c r="AA629" s="99">
        <v>1</v>
      </c>
      <c r="AB629" s="99"/>
      <c r="AC629" s="99"/>
      <c r="AD629" s="107">
        <v>0</v>
      </c>
      <c r="AE629" s="113">
        <f t="shared" si="118"/>
        <v>0</v>
      </c>
      <c r="AF629" s="116">
        <f>-IFERROR(IFERROR(VLOOKUP(ROUNDUP($Q629,0),'FBA FEES'!$L$2:$Q$203,MATCH($S629,'FBA FEES'!$L$2:$Q$2,0),FALSE),VLOOKUP(ROUNDUP($Q629,0),'FBA FEES'!$C$6:$F$123,MATCH($S629,'FBA FEES'!$C$6:$F$6,0),FALSE)),0)</f>
        <v>0</v>
      </c>
      <c r="AG629" s="116">
        <v>-10</v>
      </c>
      <c r="AH629" s="113">
        <f t="shared" si="119"/>
        <v>0</v>
      </c>
      <c r="AI629" s="116">
        <f>-IFERROR(IF($Y629=1,INDEX('[1]REMOVAL FEES'!$A$1:$C$22,MATCH(CONCATENATE("Standard Size",$P629),'[1]REMOVAL FEES'!$A$1:$A$22,0),3),IF($Y629=2,IF($P629&gt;10,(($P629-10)*1.06)+INDEX('[1]REMOVAL FEES'!$E$1:$G$22,MATCH(CONCATENATE("Large bulky, extra-large and special handling items",IF($P629&gt;=11,11,$P629)),'[1]REMOVAL FEES'!$E$1:$E$13,0),3),INDEX('[1]REMOVAL FEES'!$E$1:$G$22,MATCH(CONCATENATE("Large bulky, extra-large and special handling items",IF($P629&gt;=11,11,$P629)),'[1]REMOVAL FEES'!$E$1:$E$13,0),3))))*$AA629,FALSE)</f>
        <v>0</v>
      </c>
      <c r="AJ629" s="107">
        <f t="shared" si="120"/>
        <v>0</v>
      </c>
      <c r="AK629" s="107">
        <v>0</v>
      </c>
      <c r="AL629" s="107">
        <v>0</v>
      </c>
      <c r="AM629" s="107">
        <f t="shared" si="121"/>
        <v>0</v>
      </c>
      <c r="AN629" s="116">
        <f>(-IF($V629="Yes", IF($X629="Yes", VLOOKUP($W629, '[1]Storage Fees'!A:M, 13, FALSE), VLOOKUP($W629, '[1]Storage Fees'!A:M, 10, FALSE)), IF($X629="Yes", VLOOKUP($W629, '[1]Storage Fees'!A:M, 7, FALSE), VLOOKUP($W629, '[1]Storage Fees'!A:M, 4, FALSE))) * U629)*1.5</f>
        <v>0</v>
      </c>
    </row>
    <row r="630" spans="1:40" x14ac:dyDescent="0.25">
      <c r="A630" s="99">
        <v>558</v>
      </c>
      <c r="B630" s="99"/>
      <c r="C630" s="99" t="s">
        <v>13655</v>
      </c>
      <c r="D630" s="99"/>
      <c r="E630" s="99" t="s">
        <v>386</v>
      </c>
      <c r="F630" s="99" t="s">
        <v>2005</v>
      </c>
      <c r="G630" s="99" t="s">
        <v>13695</v>
      </c>
      <c r="H630" s="99">
        <v>0</v>
      </c>
      <c r="I630" s="99">
        <v>0</v>
      </c>
      <c r="J630" s="99">
        <v>0</v>
      </c>
      <c r="K630" s="101" t="str">
        <f t="shared" si="109"/>
        <v>0x0x0</v>
      </c>
      <c r="L630" s="102">
        <f t="shared" si="110"/>
        <v>0</v>
      </c>
      <c r="M630" s="113">
        <f t="shared" si="111"/>
        <v>0</v>
      </c>
      <c r="N630" s="113">
        <f t="shared" si="112"/>
        <v>0</v>
      </c>
      <c r="O630" s="99">
        <v>0</v>
      </c>
      <c r="P630" s="113">
        <f t="shared" si="113"/>
        <v>0</v>
      </c>
      <c r="Q630" s="112">
        <f t="shared" si="114"/>
        <v>0</v>
      </c>
      <c r="R630" s="112" t="str">
        <f t="shared" si="115"/>
        <v>Standard-size</v>
      </c>
      <c r="S630" s="99" t="str">
        <f t="shared" si="116"/>
        <v>Small standard-size</v>
      </c>
      <c r="T630" s="116" t="s">
        <v>13696</v>
      </c>
      <c r="U630" s="116">
        <f t="shared" si="117"/>
        <v>0</v>
      </c>
      <c r="V630" s="116" t="s">
        <v>13583</v>
      </c>
      <c r="W630" s="116" t="s">
        <v>13690</v>
      </c>
      <c r="X630" s="99" t="s">
        <v>13583</v>
      </c>
      <c r="Y630" s="99">
        <v>1</v>
      </c>
      <c r="Z630" s="99">
        <v>1</v>
      </c>
      <c r="AA630" s="99">
        <v>1</v>
      </c>
      <c r="AB630" s="99"/>
      <c r="AC630" s="99"/>
      <c r="AD630" s="107">
        <v>0</v>
      </c>
      <c r="AE630" s="113">
        <f t="shared" si="118"/>
        <v>0</v>
      </c>
      <c r="AF630" s="116">
        <f>-IFERROR(IFERROR(VLOOKUP(ROUNDUP($Q630,0),'FBA FEES'!$L$2:$Q$203,MATCH($S630,'FBA FEES'!$L$2:$Q$2,0),FALSE),VLOOKUP(ROUNDUP($Q630,0),'FBA FEES'!$C$6:$F$123,MATCH($S630,'FBA FEES'!$C$6:$F$6,0),FALSE)),0)</f>
        <v>0</v>
      </c>
      <c r="AG630" s="116">
        <v>-10</v>
      </c>
      <c r="AH630" s="113">
        <f t="shared" si="119"/>
        <v>0</v>
      </c>
      <c r="AI630" s="116">
        <f>-IFERROR(IF($Y630=1,INDEX('[1]REMOVAL FEES'!$A$1:$C$22,MATCH(CONCATENATE("Standard Size",$P630),'[1]REMOVAL FEES'!$A$1:$A$22,0),3),IF($Y630=2,IF($P630&gt;10,(($P630-10)*1.06)+INDEX('[1]REMOVAL FEES'!$E$1:$G$22,MATCH(CONCATENATE("Large bulky, extra-large and special handling items",IF($P630&gt;=11,11,$P630)),'[1]REMOVAL FEES'!$E$1:$E$13,0),3),INDEX('[1]REMOVAL FEES'!$E$1:$G$22,MATCH(CONCATENATE("Large bulky, extra-large and special handling items",IF($P630&gt;=11,11,$P630)),'[1]REMOVAL FEES'!$E$1:$E$13,0),3))))*$AA630,FALSE)</f>
        <v>0</v>
      </c>
      <c r="AJ630" s="107">
        <f t="shared" si="120"/>
        <v>0</v>
      </c>
      <c r="AK630" s="107">
        <v>0</v>
      </c>
      <c r="AL630" s="107">
        <v>0</v>
      </c>
      <c r="AM630" s="107">
        <f t="shared" si="121"/>
        <v>0</v>
      </c>
      <c r="AN630" s="116">
        <f>(-IF($V630="Yes", IF($X630="Yes", VLOOKUP($W630, '[1]Storage Fees'!A:M, 13, FALSE), VLOOKUP($W630, '[1]Storage Fees'!A:M, 10, FALSE)), IF($X630="Yes", VLOOKUP($W630, '[1]Storage Fees'!A:M, 7, FALSE), VLOOKUP($W630, '[1]Storage Fees'!A:M, 4, FALSE))) * U630)*1.5</f>
        <v>0</v>
      </c>
    </row>
    <row r="631" spans="1:40" x14ac:dyDescent="0.25">
      <c r="A631" s="99">
        <v>559</v>
      </c>
      <c r="B631" s="99"/>
      <c r="C631" s="99" t="s">
        <v>13655</v>
      </c>
      <c r="D631" s="99"/>
      <c r="E631" s="99" t="s">
        <v>386</v>
      </c>
      <c r="F631" s="99" t="s">
        <v>2007</v>
      </c>
      <c r="G631" s="99" t="s">
        <v>13695</v>
      </c>
      <c r="H631" s="99">
        <v>0</v>
      </c>
      <c r="I631" s="99">
        <v>0</v>
      </c>
      <c r="J631" s="99">
        <v>0</v>
      </c>
      <c r="K631" s="101" t="str">
        <f t="shared" si="109"/>
        <v>0x0x0</v>
      </c>
      <c r="L631" s="102">
        <f t="shared" si="110"/>
        <v>0</v>
      </c>
      <c r="M631" s="113">
        <f t="shared" si="111"/>
        <v>0</v>
      </c>
      <c r="N631" s="113">
        <f t="shared" si="112"/>
        <v>0</v>
      </c>
      <c r="O631" s="99">
        <v>0</v>
      </c>
      <c r="P631" s="113">
        <f t="shared" si="113"/>
        <v>0</v>
      </c>
      <c r="Q631" s="112">
        <f t="shared" si="114"/>
        <v>0</v>
      </c>
      <c r="R631" s="112" t="str">
        <f t="shared" si="115"/>
        <v>Standard-size</v>
      </c>
      <c r="S631" s="99" t="str">
        <f t="shared" si="116"/>
        <v>Small standard-size</v>
      </c>
      <c r="T631" s="116" t="s">
        <v>13696</v>
      </c>
      <c r="U631" s="116">
        <f t="shared" si="117"/>
        <v>0</v>
      </c>
      <c r="V631" s="116" t="s">
        <v>13583</v>
      </c>
      <c r="W631" s="116" t="s">
        <v>13690</v>
      </c>
      <c r="X631" s="99" t="s">
        <v>13583</v>
      </c>
      <c r="Y631" s="99">
        <v>1</v>
      </c>
      <c r="Z631" s="99">
        <v>1</v>
      </c>
      <c r="AA631" s="99">
        <v>1</v>
      </c>
      <c r="AB631" s="99"/>
      <c r="AC631" s="99"/>
      <c r="AD631" s="107">
        <v>0</v>
      </c>
      <c r="AE631" s="113">
        <f t="shared" si="118"/>
        <v>0</v>
      </c>
      <c r="AF631" s="116">
        <f>-IFERROR(IFERROR(VLOOKUP(ROUNDUP($Q631,0),'FBA FEES'!$L$2:$Q$203,MATCH($S631,'FBA FEES'!$L$2:$Q$2,0),FALSE),VLOOKUP(ROUNDUP($Q631,0),'FBA FEES'!$C$6:$F$123,MATCH($S631,'FBA FEES'!$C$6:$F$6,0),FALSE)),0)</f>
        <v>0</v>
      </c>
      <c r="AG631" s="116">
        <v>-10</v>
      </c>
      <c r="AH631" s="113">
        <f t="shared" si="119"/>
        <v>0</v>
      </c>
      <c r="AI631" s="116">
        <f>-IFERROR(IF($Y631=1,INDEX('[1]REMOVAL FEES'!$A$1:$C$22,MATCH(CONCATENATE("Standard Size",$P631),'[1]REMOVAL FEES'!$A$1:$A$22,0),3),IF($Y631=2,IF($P631&gt;10,(($P631-10)*1.06)+INDEX('[1]REMOVAL FEES'!$E$1:$G$22,MATCH(CONCATENATE("Large bulky, extra-large and special handling items",IF($P631&gt;=11,11,$P631)),'[1]REMOVAL FEES'!$E$1:$E$13,0),3),INDEX('[1]REMOVAL FEES'!$E$1:$G$22,MATCH(CONCATENATE("Large bulky, extra-large and special handling items",IF($P631&gt;=11,11,$P631)),'[1]REMOVAL FEES'!$E$1:$E$13,0),3))))*$AA631,FALSE)</f>
        <v>0</v>
      </c>
      <c r="AJ631" s="107">
        <f t="shared" si="120"/>
        <v>0</v>
      </c>
      <c r="AK631" s="107">
        <v>0</v>
      </c>
      <c r="AL631" s="107">
        <v>0</v>
      </c>
      <c r="AM631" s="107">
        <f t="shared" si="121"/>
        <v>0</v>
      </c>
      <c r="AN631" s="116">
        <f>(-IF($V631="Yes", IF($X631="Yes", VLOOKUP($W631, '[1]Storage Fees'!A:M, 13, FALSE), VLOOKUP($W631, '[1]Storage Fees'!A:M, 10, FALSE)), IF($X631="Yes", VLOOKUP($W631, '[1]Storage Fees'!A:M, 7, FALSE), VLOOKUP($W631, '[1]Storage Fees'!A:M, 4, FALSE))) * U631)*1.5</f>
        <v>0</v>
      </c>
    </row>
    <row r="632" spans="1:40" x14ac:dyDescent="0.25">
      <c r="A632" s="99">
        <v>560</v>
      </c>
      <c r="B632" s="99"/>
      <c r="C632" s="99" t="s">
        <v>13655</v>
      </c>
      <c r="D632" s="99"/>
      <c r="E632" s="99" t="s">
        <v>386</v>
      </c>
      <c r="F632" s="99" t="s">
        <v>2009</v>
      </c>
      <c r="G632" s="99" t="s">
        <v>13695</v>
      </c>
      <c r="H632" s="99">
        <v>0</v>
      </c>
      <c r="I632" s="99">
        <v>0</v>
      </c>
      <c r="J632" s="99">
        <v>0</v>
      </c>
      <c r="K632" s="101" t="str">
        <f t="shared" si="109"/>
        <v>0x0x0</v>
      </c>
      <c r="L632" s="102">
        <f t="shared" si="110"/>
        <v>0</v>
      </c>
      <c r="M632" s="113">
        <f t="shared" si="111"/>
        <v>0</v>
      </c>
      <c r="N632" s="113">
        <f t="shared" si="112"/>
        <v>0</v>
      </c>
      <c r="O632" s="99">
        <v>0</v>
      </c>
      <c r="P632" s="113">
        <f t="shared" si="113"/>
        <v>0</v>
      </c>
      <c r="Q632" s="112">
        <f t="shared" si="114"/>
        <v>0</v>
      </c>
      <c r="R632" s="112" t="str">
        <f t="shared" si="115"/>
        <v>Standard-size</v>
      </c>
      <c r="S632" s="99" t="str">
        <f t="shared" si="116"/>
        <v>Small standard-size</v>
      </c>
      <c r="T632" s="116" t="s">
        <v>13696</v>
      </c>
      <c r="U632" s="116">
        <f t="shared" si="117"/>
        <v>0</v>
      </c>
      <c r="V632" s="116" t="s">
        <v>13583</v>
      </c>
      <c r="W632" s="116" t="s">
        <v>13690</v>
      </c>
      <c r="X632" s="99" t="s">
        <v>13583</v>
      </c>
      <c r="Y632" s="99">
        <v>1</v>
      </c>
      <c r="Z632" s="99">
        <v>1</v>
      </c>
      <c r="AA632" s="99">
        <v>1</v>
      </c>
      <c r="AB632" s="99"/>
      <c r="AC632" s="99"/>
      <c r="AD632" s="107">
        <v>0</v>
      </c>
      <c r="AE632" s="113">
        <f t="shared" si="118"/>
        <v>0</v>
      </c>
      <c r="AF632" s="116">
        <f>-IFERROR(IFERROR(VLOOKUP(ROUNDUP($Q632,0),'FBA FEES'!$L$2:$Q$203,MATCH($S632,'FBA FEES'!$L$2:$Q$2,0),FALSE),VLOOKUP(ROUNDUP($Q632,0),'FBA FEES'!$C$6:$F$123,MATCH($S632,'FBA FEES'!$C$6:$F$6,0),FALSE)),0)</f>
        <v>0</v>
      </c>
      <c r="AG632" s="116">
        <v>-10</v>
      </c>
      <c r="AH632" s="113">
        <f t="shared" si="119"/>
        <v>0</v>
      </c>
      <c r="AI632" s="116">
        <f>-IFERROR(IF($Y632=1,INDEX('[1]REMOVAL FEES'!$A$1:$C$22,MATCH(CONCATENATE("Standard Size",$P632),'[1]REMOVAL FEES'!$A$1:$A$22,0),3),IF($Y632=2,IF($P632&gt;10,(($P632-10)*1.06)+INDEX('[1]REMOVAL FEES'!$E$1:$G$22,MATCH(CONCATENATE("Large bulky, extra-large and special handling items",IF($P632&gt;=11,11,$P632)),'[1]REMOVAL FEES'!$E$1:$E$13,0),3),INDEX('[1]REMOVAL FEES'!$E$1:$G$22,MATCH(CONCATENATE("Large bulky, extra-large and special handling items",IF($P632&gt;=11,11,$P632)),'[1]REMOVAL FEES'!$E$1:$E$13,0),3))))*$AA632,FALSE)</f>
        <v>0</v>
      </c>
      <c r="AJ632" s="107">
        <f t="shared" si="120"/>
        <v>0</v>
      </c>
      <c r="AK632" s="107">
        <v>0</v>
      </c>
      <c r="AL632" s="107">
        <v>0</v>
      </c>
      <c r="AM632" s="107">
        <f t="shared" si="121"/>
        <v>0</v>
      </c>
      <c r="AN632" s="116">
        <f>(-IF($V632="Yes", IF($X632="Yes", VLOOKUP($W632, '[1]Storage Fees'!A:M, 13, FALSE), VLOOKUP($W632, '[1]Storage Fees'!A:M, 10, FALSE)), IF($X632="Yes", VLOOKUP($W632, '[1]Storage Fees'!A:M, 7, FALSE), VLOOKUP($W632, '[1]Storage Fees'!A:M, 4, FALSE))) * U632)*1.5</f>
        <v>0</v>
      </c>
    </row>
    <row r="633" spans="1:40" x14ac:dyDescent="0.25">
      <c r="A633" s="99">
        <v>561</v>
      </c>
      <c r="B633" s="99" t="s">
        <v>107</v>
      </c>
      <c r="C633" s="99" t="s">
        <v>13655</v>
      </c>
      <c r="D633" s="99"/>
      <c r="E633" s="99" t="s">
        <v>386</v>
      </c>
      <c r="F633" s="99" t="s">
        <v>1200</v>
      </c>
      <c r="G633" s="99" t="s">
        <v>13695</v>
      </c>
      <c r="H633" s="99">
        <v>10</v>
      </c>
      <c r="I633" s="99">
        <v>8</v>
      </c>
      <c r="J633" s="99">
        <v>6</v>
      </c>
      <c r="K633" s="101" t="str">
        <f t="shared" si="109"/>
        <v>10x8x6</v>
      </c>
      <c r="L633" s="102">
        <f t="shared" si="110"/>
        <v>3.4532374100719423</v>
      </c>
      <c r="M633" s="113">
        <f t="shared" si="111"/>
        <v>3.4532374100719423</v>
      </c>
      <c r="N633" s="113">
        <f t="shared" si="112"/>
        <v>4</v>
      </c>
      <c r="O633" s="99">
        <v>3.125</v>
      </c>
      <c r="P633" s="113">
        <f t="shared" si="113"/>
        <v>4</v>
      </c>
      <c r="Q633" s="112">
        <f t="shared" si="114"/>
        <v>64</v>
      </c>
      <c r="R633" s="112" t="str">
        <f t="shared" si="115"/>
        <v>Standard-size</v>
      </c>
      <c r="S633" s="99" t="str">
        <f t="shared" si="116"/>
        <v>Large standard-size</v>
      </c>
      <c r="T633" s="116" t="s">
        <v>13693</v>
      </c>
      <c r="U633" s="116">
        <f t="shared" si="117"/>
        <v>0.27777777777777779</v>
      </c>
      <c r="V633" s="116" t="s">
        <v>13583</v>
      </c>
      <c r="W633" s="116" t="s">
        <v>13690</v>
      </c>
      <c r="X633" s="99" t="s">
        <v>13583</v>
      </c>
      <c r="Y633" s="99">
        <v>1</v>
      </c>
      <c r="Z633" s="99">
        <v>2</v>
      </c>
      <c r="AA633" s="99">
        <v>1</v>
      </c>
      <c r="AB633" s="99"/>
      <c r="AC633" s="99"/>
      <c r="AD633" s="107">
        <v>0</v>
      </c>
      <c r="AE633" s="113">
        <f t="shared" si="118"/>
        <v>0</v>
      </c>
      <c r="AF633" s="116">
        <f>-IFERROR(IFERROR(VLOOKUP(ROUNDUP($Q633,0),'FBA FEES'!$L$2:$Q$203,MATCH($S633,'FBA FEES'!$L$2:$Q$2,0),FALSE),VLOOKUP(ROUNDUP($Q633,0),'FBA FEES'!$C$6:$F$123,MATCH($S633,'FBA FEES'!$C$6:$F$6,0),FALSE)),0)</f>
        <v>-7.24</v>
      </c>
      <c r="AG633" s="116">
        <v>-10</v>
      </c>
      <c r="AH633" s="113">
        <f t="shared" si="119"/>
        <v>-7.24</v>
      </c>
      <c r="AI633" s="116">
        <f>-IFERROR(IF($Y633=1,INDEX('[1]REMOVAL FEES'!$A$1:$C$22,MATCH(CONCATENATE("Standard Size",$P633),'[1]REMOVAL FEES'!$A$1:$A$22,0),3),IF($Y633=2,IF($P633&gt;10,(($P633-10)*1.06)+INDEX('[1]REMOVAL FEES'!$E$1:$G$22,MATCH(CONCATENATE("Large bulky, extra-large and special handling items",IF($P633&gt;=11,11,$P633)),'[1]REMOVAL FEES'!$E$1:$E$13,0),3),INDEX('[1]REMOVAL FEES'!$E$1:$G$22,MATCH(CONCATENATE("Large bulky, extra-large and special handling items",IF($P633&gt;=11,11,$P633)),'[1]REMOVAL FEES'!$E$1:$E$13,0),3))))*$AA633,FALSE)</f>
        <v>-5.01</v>
      </c>
      <c r="AJ633" s="107">
        <f t="shared" si="120"/>
        <v>-12.25</v>
      </c>
      <c r="AK633" s="107">
        <v>0</v>
      </c>
      <c r="AL633" s="107">
        <v>0</v>
      </c>
      <c r="AM633" s="107">
        <f t="shared" si="121"/>
        <v>0</v>
      </c>
      <c r="AN633" s="116">
        <f>(-IF($V633="Yes", IF($X633="Yes", VLOOKUP($W633, '[1]Storage Fees'!A:M, 13, FALSE), VLOOKUP($W633, '[1]Storage Fees'!A:M, 10, FALSE)), IF($X633="Yes", VLOOKUP($W633, '[1]Storage Fees'!A:M, 7, FALSE), VLOOKUP($W633, '[1]Storage Fees'!A:M, 4, FALSE))) * U633)*1.5</f>
        <v>-0.5083333333333333</v>
      </c>
    </row>
    <row r="634" spans="1:40" x14ac:dyDescent="0.25">
      <c r="A634" s="99">
        <v>562</v>
      </c>
      <c r="B634" s="99" t="s">
        <v>107</v>
      </c>
      <c r="C634" s="99" t="s">
        <v>13655</v>
      </c>
      <c r="D634" s="99"/>
      <c r="E634" s="99" t="s">
        <v>386</v>
      </c>
      <c r="F634" s="99" t="s">
        <v>1203</v>
      </c>
      <c r="G634" s="99" t="s">
        <v>13695</v>
      </c>
      <c r="H634" s="99">
        <v>10</v>
      </c>
      <c r="I634" s="99">
        <v>8</v>
      </c>
      <c r="J634" s="99">
        <v>3</v>
      </c>
      <c r="K634" s="101" t="str">
        <f t="shared" si="109"/>
        <v>10x8x3</v>
      </c>
      <c r="L634" s="102">
        <f t="shared" si="110"/>
        <v>1.7266187050359711</v>
      </c>
      <c r="M634" s="113">
        <f t="shared" si="111"/>
        <v>1.7266187050359711</v>
      </c>
      <c r="N634" s="113">
        <f t="shared" si="112"/>
        <v>2</v>
      </c>
      <c r="O634" s="99">
        <v>2.3125</v>
      </c>
      <c r="P634" s="113">
        <f t="shared" si="113"/>
        <v>3</v>
      </c>
      <c r="Q634" s="112">
        <f t="shared" si="114"/>
        <v>48</v>
      </c>
      <c r="R634" s="112" t="str">
        <f t="shared" si="115"/>
        <v>Standard-size</v>
      </c>
      <c r="S634" s="99" t="str">
        <f t="shared" si="116"/>
        <v>Large standard-size</v>
      </c>
      <c r="T634" s="116" t="s">
        <v>13701</v>
      </c>
      <c r="U634" s="116">
        <f t="shared" si="117"/>
        <v>0.1388888888888889</v>
      </c>
      <c r="V634" s="116" t="s">
        <v>13583</v>
      </c>
      <c r="W634" s="116" t="s">
        <v>13690</v>
      </c>
      <c r="X634" s="99" t="s">
        <v>13583</v>
      </c>
      <c r="Y634" s="99">
        <v>1</v>
      </c>
      <c r="Z634" s="99">
        <v>2</v>
      </c>
      <c r="AA634" s="99">
        <v>1</v>
      </c>
      <c r="AB634" s="99"/>
      <c r="AC634" s="99"/>
      <c r="AD634" s="107">
        <v>0</v>
      </c>
      <c r="AE634" s="113">
        <f t="shared" si="118"/>
        <v>0</v>
      </c>
      <c r="AF634" s="116">
        <f>-IFERROR(IFERROR(VLOOKUP(ROUNDUP($Q634,0),'FBA FEES'!$L$2:$Q$203,MATCH($S634,'FBA FEES'!$L$2:$Q$2,0),FALSE),VLOOKUP(ROUNDUP($Q634,0),'FBA FEES'!$C$6:$F$123,MATCH($S634,'FBA FEES'!$C$6:$F$6,0),FALSE)),0)</f>
        <v>-6.62</v>
      </c>
      <c r="AG634" s="116">
        <v>-10</v>
      </c>
      <c r="AH634" s="113">
        <f t="shared" si="119"/>
        <v>-6.62</v>
      </c>
      <c r="AI634" s="116">
        <f>-IFERROR(IF($Y634=1,INDEX('[1]REMOVAL FEES'!$A$1:$C$22,MATCH(CONCATENATE("Standard Size",$P634),'[1]REMOVAL FEES'!$A$1:$A$22,0),3),IF($Y634=2,IF($P634&gt;10,(($P634-10)*1.06)+INDEX('[1]REMOVAL FEES'!$E$1:$G$22,MATCH(CONCATENATE("Large bulky, extra-large and special handling items",IF($P634&gt;=11,11,$P634)),'[1]REMOVAL FEES'!$E$1:$E$13,0),3),INDEX('[1]REMOVAL FEES'!$E$1:$G$22,MATCH(CONCATENATE("Large bulky, extra-large and special handling items",IF($P634&gt;=11,11,$P634)),'[1]REMOVAL FEES'!$E$1:$E$13,0),3))))*$AA634,FALSE)</f>
        <v>-3.95</v>
      </c>
      <c r="AJ634" s="107">
        <f t="shared" si="120"/>
        <v>-10.57</v>
      </c>
      <c r="AK634" s="107">
        <v>0</v>
      </c>
      <c r="AL634" s="107">
        <v>0</v>
      </c>
      <c r="AM634" s="107">
        <f t="shared" si="121"/>
        <v>0</v>
      </c>
      <c r="AN634" s="116">
        <f>(-IF($V634="Yes", IF($X634="Yes", VLOOKUP($W634, '[1]Storage Fees'!A:M, 13, FALSE), VLOOKUP($W634, '[1]Storage Fees'!A:M, 10, FALSE)), IF($X634="Yes", VLOOKUP($W634, '[1]Storage Fees'!A:M, 7, FALSE), VLOOKUP($W634, '[1]Storage Fees'!A:M, 4, FALSE))) * U634)*1.5</f>
        <v>-0.25416666666666665</v>
      </c>
    </row>
    <row r="635" spans="1:40" x14ac:dyDescent="0.25">
      <c r="A635" s="99">
        <v>563</v>
      </c>
      <c r="B635" s="99"/>
      <c r="C635" s="99" t="s">
        <v>13655</v>
      </c>
      <c r="D635" s="99"/>
      <c r="E635" s="99" t="s">
        <v>386</v>
      </c>
      <c r="F635" s="99" t="s">
        <v>2011</v>
      </c>
      <c r="G635" s="99" t="s">
        <v>13695</v>
      </c>
      <c r="H635" s="99">
        <v>0</v>
      </c>
      <c r="I635" s="99">
        <v>0</v>
      </c>
      <c r="J635" s="99">
        <v>0</v>
      </c>
      <c r="K635" s="101" t="str">
        <f t="shared" si="109"/>
        <v>0x0x0</v>
      </c>
      <c r="L635" s="102">
        <f t="shared" si="110"/>
        <v>0</v>
      </c>
      <c r="M635" s="113">
        <f t="shared" si="111"/>
        <v>0</v>
      </c>
      <c r="N635" s="113">
        <f t="shared" si="112"/>
        <v>0</v>
      </c>
      <c r="O635" s="99">
        <v>0</v>
      </c>
      <c r="P635" s="113">
        <f t="shared" si="113"/>
        <v>0</v>
      </c>
      <c r="Q635" s="112">
        <f t="shared" si="114"/>
        <v>0</v>
      </c>
      <c r="R635" s="112" t="str">
        <f t="shared" si="115"/>
        <v>Standard-size</v>
      </c>
      <c r="S635" s="99" t="str">
        <f t="shared" si="116"/>
        <v>Small standard-size</v>
      </c>
      <c r="T635" s="116" t="s">
        <v>13696</v>
      </c>
      <c r="U635" s="116">
        <f t="shared" si="117"/>
        <v>0</v>
      </c>
      <c r="V635" s="116" t="s">
        <v>13583</v>
      </c>
      <c r="W635" s="116" t="s">
        <v>13690</v>
      </c>
      <c r="X635" s="99" t="s">
        <v>13583</v>
      </c>
      <c r="Y635" s="99">
        <v>1</v>
      </c>
      <c r="Z635" s="99">
        <v>1</v>
      </c>
      <c r="AA635" s="99">
        <v>1</v>
      </c>
      <c r="AB635" s="99"/>
      <c r="AC635" s="99"/>
      <c r="AD635" s="107">
        <v>0</v>
      </c>
      <c r="AE635" s="113">
        <f t="shared" si="118"/>
        <v>0</v>
      </c>
      <c r="AF635" s="116">
        <f>-IFERROR(IFERROR(VLOOKUP(ROUNDUP($Q635,0),'FBA FEES'!$L$2:$Q$203,MATCH($S635,'FBA FEES'!$L$2:$Q$2,0),FALSE),VLOOKUP(ROUNDUP($Q635,0),'FBA FEES'!$C$6:$F$123,MATCH($S635,'FBA FEES'!$C$6:$F$6,0),FALSE)),0)</f>
        <v>0</v>
      </c>
      <c r="AG635" s="116">
        <v>-10</v>
      </c>
      <c r="AH635" s="113">
        <f t="shared" si="119"/>
        <v>0</v>
      </c>
      <c r="AI635" s="116">
        <f>-IFERROR(IF($Y635=1,INDEX('[1]REMOVAL FEES'!$A$1:$C$22,MATCH(CONCATENATE("Standard Size",$P635),'[1]REMOVAL FEES'!$A$1:$A$22,0),3),IF($Y635=2,IF($P635&gt;10,(($P635-10)*1.06)+INDEX('[1]REMOVAL FEES'!$E$1:$G$22,MATCH(CONCATENATE("Large bulky, extra-large and special handling items",IF($P635&gt;=11,11,$P635)),'[1]REMOVAL FEES'!$E$1:$E$13,0),3),INDEX('[1]REMOVAL FEES'!$E$1:$G$22,MATCH(CONCATENATE("Large bulky, extra-large and special handling items",IF($P635&gt;=11,11,$P635)),'[1]REMOVAL FEES'!$E$1:$E$13,0),3))))*$AA635,FALSE)</f>
        <v>0</v>
      </c>
      <c r="AJ635" s="107">
        <f t="shared" si="120"/>
        <v>0</v>
      </c>
      <c r="AK635" s="107">
        <v>0</v>
      </c>
      <c r="AL635" s="107">
        <v>0</v>
      </c>
      <c r="AM635" s="107">
        <f t="shared" si="121"/>
        <v>0</v>
      </c>
      <c r="AN635" s="116">
        <f>(-IF($V635="Yes", IF($X635="Yes", VLOOKUP($W635, '[1]Storage Fees'!A:M, 13, FALSE), VLOOKUP($W635, '[1]Storage Fees'!A:M, 10, FALSE)), IF($X635="Yes", VLOOKUP($W635, '[1]Storage Fees'!A:M, 7, FALSE), VLOOKUP($W635, '[1]Storage Fees'!A:M, 4, FALSE))) * U635)*1.5</f>
        <v>0</v>
      </c>
    </row>
    <row r="636" spans="1:40" x14ac:dyDescent="0.25">
      <c r="A636" s="99">
        <v>564</v>
      </c>
      <c r="B636" s="99"/>
      <c r="C636" s="99" t="s">
        <v>13655</v>
      </c>
      <c r="D636" s="99"/>
      <c r="E636" s="99" t="s">
        <v>386</v>
      </c>
      <c r="F636" s="99" t="s">
        <v>2013</v>
      </c>
      <c r="G636" s="99" t="s">
        <v>13695</v>
      </c>
      <c r="H636" s="99">
        <v>0</v>
      </c>
      <c r="I636" s="99">
        <v>0</v>
      </c>
      <c r="J636" s="99">
        <v>0</v>
      </c>
      <c r="K636" s="101" t="str">
        <f t="shared" si="109"/>
        <v>0x0x0</v>
      </c>
      <c r="L636" s="102">
        <f t="shared" si="110"/>
        <v>0</v>
      </c>
      <c r="M636" s="113">
        <f t="shared" si="111"/>
        <v>0</v>
      </c>
      <c r="N636" s="113">
        <f t="shared" si="112"/>
        <v>0</v>
      </c>
      <c r="O636" s="99">
        <v>0</v>
      </c>
      <c r="P636" s="113">
        <f t="shared" si="113"/>
        <v>0</v>
      </c>
      <c r="Q636" s="112">
        <f t="shared" si="114"/>
        <v>0</v>
      </c>
      <c r="R636" s="112" t="str">
        <f t="shared" si="115"/>
        <v>Standard-size</v>
      </c>
      <c r="S636" s="99" t="str">
        <f t="shared" si="116"/>
        <v>Small standard-size</v>
      </c>
      <c r="T636" s="116" t="s">
        <v>13696</v>
      </c>
      <c r="U636" s="116">
        <f t="shared" si="117"/>
        <v>0</v>
      </c>
      <c r="V636" s="116" t="s">
        <v>13583</v>
      </c>
      <c r="W636" s="116" t="s">
        <v>13690</v>
      </c>
      <c r="X636" s="99" t="s">
        <v>13583</v>
      </c>
      <c r="Y636" s="99">
        <v>1</v>
      </c>
      <c r="Z636" s="99">
        <v>1</v>
      </c>
      <c r="AA636" s="99">
        <v>1</v>
      </c>
      <c r="AB636" s="99"/>
      <c r="AC636" s="99"/>
      <c r="AD636" s="107">
        <v>0</v>
      </c>
      <c r="AE636" s="113">
        <f t="shared" si="118"/>
        <v>0</v>
      </c>
      <c r="AF636" s="116">
        <f>-IFERROR(IFERROR(VLOOKUP(ROUNDUP($Q636,0),'FBA FEES'!$L$2:$Q$203,MATCH($S636,'FBA FEES'!$L$2:$Q$2,0),FALSE),VLOOKUP(ROUNDUP($Q636,0),'FBA FEES'!$C$6:$F$123,MATCH($S636,'FBA FEES'!$C$6:$F$6,0),FALSE)),0)</f>
        <v>0</v>
      </c>
      <c r="AG636" s="116">
        <v>-10</v>
      </c>
      <c r="AH636" s="113">
        <f t="shared" si="119"/>
        <v>0</v>
      </c>
      <c r="AI636" s="116">
        <f>-IFERROR(IF($Y636=1,INDEX('[1]REMOVAL FEES'!$A$1:$C$22,MATCH(CONCATENATE("Standard Size",$P636),'[1]REMOVAL FEES'!$A$1:$A$22,0),3),IF($Y636=2,IF($P636&gt;10,(($P636-10)*1.06)+INDEX('[1]REMOVAL FEES'!$E$1:$G$22,MATCH(CONCATENATE("Large bulky, extra-large and special handling items",IF($P636&gt;=11,11,$P636)),'[1]REMOVAL FEES'!$E$1:$E$13,0),3),INDEX('[1]REMOVAL FEES'!$E$1:$G$22,MATCH(CONCATENATE("Large bulky, extra-large and special handling items",IF($P636&gt;=11,11,$P636)),'[1]REMOVAL FEES'!$E$1:$E$13,0),3))))*$AA636,FALSE)</f>
        <v>0</v>
      </c>
      <c r="AJ636" s="107">
        <f t="shared" si="120"/>
        <v>0</v>
      </c>
      <c r="AK636" s="107">
        <v>0</v>
      </c>
      <c r="AL636" s="107">
        <v>0</v>
      </c>
      <c r="AM636" s="107">
        <f t="shared" si="121"/>
        <v>0</v>
      </c>
      <c r="AN636" s="116">
        <f>(-IF($V636="Yes", IF($X636="Yes", VLOOKUP($W636, '[1]Storage Fees'!A:M, 13, FALSE), VLOOKUP($W636, '[1]Storage Fees'!A:M, 10, FALSE)), IF($X636="Yes", VLOOKUP($W636, '[1]Storage Fees'!A:M, 7, FALSE), VLOOKUP($W636, '[1]Storage Fees'!A:M, 4, FALSE))) * U636)*1.5</f>
        <v>0</v>
      </c>
    </row>
    <row r="637" spans="1:40" x14ac:dyDescent="0.25">
      <c r="A637" s="99">
        <v>565</v>
      </c>
      <c r="B637" s="99"/>
      <c r="C637" s="99" t="s">
        <v>13655</v>
      </c>
      <c r="D637" s="99"/>
      <c r="E637" s="99" t="s">
        <v>386</v>
      </c>
      <c r="F637" s="99" t="s">
        <v>2015</v>
      </c>
      <c r="G637" s="99" t="s">
        <v>13695</v>
      </c>
      <c r="H637" s="99">
        <v>0</v>
      </c>
      <c r="I637" s="99">
        <v>0</v>
      </c>
      <c r="J637" s="99">
        <v>0</v>
      </c>
      <c r="K637" s="101" t="str">
        <f t="shared" si="109"/>
        <v>0x0x0</v>
      </c>
      <c r="L637" s="102">
        <f t="shared" si="110"/>
        <v>0</v>
      </c>
      <c r="M637" s="113">
        <f t="shared" si="111"/>
        <v>0</v>
      </c>
      <c r="N637" s="113">
        <f t="shared" si="112"/>
        <v>0</v>
      </c>
      <c r="O637" s="99">
        <v>0</v>
      </c>
      <c r="P637" s="113">
        <f t="shared" si="113"/>
        <v>0</v>
      </c>
      <c r="Q637" s="112">
        <f t="shared" si="114"/>
        <v>0</v>
      </c>
      <c r="R637" s="112" t="str">
        <f t="shared" si="115"/>
        <v>Standard-size</v>
      </c>
      <c r="S637" s="99" t="str">
        <f t="shared" si="116"/>
        <v>Small standard-size</v>
      </c>
      <c r="T637" s="116" t="s">
        <v>13696</v>
      </c>
      <c r="U637" s="116">
        <f t="shared" si="117"/>
        <v>0</v>
      </c>
      <c r="V637" s="116" t="s">
        <v>13583</v>
      </c>
      <c r="W637" s="116" t="s">
        <v>13690</v>
      </c>
      <c r="X637" s="99" t="s">
        <v>13583</v>
      </c>
      <c r="Y637" s="99">
        <v>1</v>
      </c>
      <c r="Z637" s="99">
        <v>1</v>
      </c>
      <c r="AA637" s="99">
        <v>1</v>
      </c>
      <c r="AB637" s="99"/>
      <c r="AC637" s="99"/>
      <c r="AD637" s="107">
        <v>0</v>
      </c>
      <c r="AE637" s="113">
        <f t="shared" si="118"/>
        <v>0</v>
      </c>
      <c r="AF637" s="116">
        <f>-IFERROR(IFERROR(VLOOKUP(ROUNDUP($Q637,0),'FBA FEES'!$L$2:$Q$203,MATCH($S637,'FBA FEES'!$L$2:$Q$2,0),FALSE),VLOOKUP(ROUNDUP($Q637,0),'FBA FEES'!$C$6:$F$123,MATCH($S637,'FBA FEES'!$C$6:$F$6,0),FALSE)),0)</f>
        <v>0</v>
      </c>
      <c r="AG637" s="116">
        <v>-10</v>
      </c>
      <c r="AH637" s="113">
        <f t="shared" si="119"/>
        <v>0</v>
      </c>
      <c r="AI637" s="116">
        <f>-IFERROR(IF($Y637=1,INDEX('[1]REMOVAL FEES'!$A$1:$C$22,MATCH(CONCATENATE("Standard Size",$P637),'[1]REMOVAL FEES'!$A$1:$A$22,0),3),IF($Y637=2,IF($P637&gt;10,(($P637-10)*1.06)+INDEX('[1]REMOVAL FEES'!$E$1:$G$22,MATCH(CONCATENATE("Large bulky, extra-large and special handling items",IF($P637&gt;=11,11,$P637)),'[1]REMOVAL FEES'!$E$1:$E$13,0),3),INDEX('[1]REMOVAL FEES'!$E$1:$G$22,MATCH(CONCATENATE("Large bulky, extra-large and special handling items",IF($P637&gt;=11,11,$P637)),'[1]REMOVAL FEES'!$E$1:$E$13,0),3))))*$AA637,FALSE)</f>
        <v>0</v>
      </c>
      <c r="AJ637" s="107">
        <f t="shared" si="120"/>
        <v>0</v>
      </c>
      <c r="AK637" s="107">
        <v>0</v>
      </c>
      <c r="AL637" s="107">
        <v>0</v>
      </c>
      <c r="AM637" s="107">
        <f t="shared" si="121"/>
        <v>0</v>
      </c>
      <c r="AN637" s="116">
        <f>(-IF($V637="Yes", IF($X637="Yes", VLOOKUP($W637, '[1]Storage Fees'!A:M, 13, FALSE), VLOOKUP($W637, '[1]Storage Fees'!A:M, 10, FALSE)), IF($X637="Yes", VLOOKUP($W637, '[1]Storage Fees'!A:M, 7, FALSE), VLOOKUP($W637, '[1]Storage Fees'!A:M, 4, FALSE))) * U637)*1.5</f>
        <v>0</v>
      </c>
    </row>
    <row r="638" spans="1:40" x14ac:dyDescent="0.25">
      <c r="A638" s="99">
        <v>566</v>
      </c>
      <c r="B638" s="99"/>
      <c r="C638" s="99" t="s">
        <v>13655</v>
      </c>
      <c r="D638" s="99"/>
      <c r="E638" s="99" t="s">
        <v>386</v>
      </c>
      <c r="F638" s="99" t="s">
        <v>2017</v>
      </c>
      <c r="G638" s="99" t="s">
        <v>13695</v>
      </c>
      <c r="H638" s="99">
        <v>0</v>
      </c>
      <c r="I638" s="99">
        <v>0</v>
      </c>
      <c r="J638" s="99">
        <v>0</v>
      </c>
      <c r="K638" s="101" t="str">
        <f t="shared" si="109"/>
        <v>0x0x0</v>
      </c>
      <c r="L638" s="102">
        <f t="shared" si="110"/>
        <v>0</v>
      </c>
      <c r="M638" s="113">
        <f t="shared" si="111"/>
        <v>0</v>
      </c>
      <c r="N638" s="113">
        <f t="shared" si="112"/>
        <v>0</v>
      </c>
      <c r="O638" s="99">
        <v>0</v>
      </c>
      <c r="P638" s="113">
        <f t="shared" si="113"/>
        <v>0</v>
      </c>
      <c r="Q638" s="112">
        <f t="shared" si="114"/>
        <v>0</v>
      </c>
      <c r="R638" s="112" t="str">
        <f t="shared" si="115"/>
        <v>Standard-size</v>
      </c>
      <c r="S638" s="99" t="str">
        <f t="shared" si="116"/>
        <v>Small standard-size</v>
      </c>
      <c r="T638" s="116" t="s">
        <v>13696</v>
      </c>
      <c r="U638" s="116">
        <f t="shared" si="117"/>
        <v>0</v>
      </c>
      <c r="V638" s="116" t="s">
        <v>13583</v>
      </c>
      <c r="W638" s="116" t="s">
        <v>13690</v>
      </c>
      <c r="X638" s="99" t="s">
        <v>13583</v>
      </c>
      <c r="Y638" s="99">
        <v>1</v>
      </c>
      <c r="Z638" s="99">
        <v>1</v>
      </c>
      <c r="AA638" s="99">
        <v>1</v>
      </c>
      <c r="AB638" s="99"/>
      <c r="AC638" s="99"/>
      <c r="AD638" s="107">
        <v>0</v>
      </c>
      <c r="AE638" s="113">
        <f t="shared" si="118"/>
        <v>0</v>
      </c>
      <c r="AF638" s="116">
        <f>-IFERROR(IFERROR(VLOOKUP(ROUNDUP($Q638,0),'FBA FEES'!$L$2:$Q$203,MATCH($S638,'FBA FEES'!$L$2:$Q$2,0),FALSE),VLOOKUP(ROUNDUP($Q638,0),'FBA FEES'!$C$6:$F$123,MATCH($S638,'FBA FEES'!$C$6:$F$6,0),FALSE)),0)</f>
        <v>0</v>
      </c>
      <c r="AG638" s="116">
        <v>-10</v>
      </c>
      <c r="AH638" s="113">
        <f t="shared" si="119"/>
        <v>0</v>
      </c>
      <c r="AI638" s="116">
        <f>-IFERROR(IF($Y638=1,INDEX('[1]REMOVAL FEES'!$A$1:$C$22,MATCH(CONCATENATE("Standard Size",$P638),'[1]REMOVAL FEES'!$A$1:$A$22,0),3),IF($Y638=2,IF($P638&gt;10,(($P638-10)*1.06)+INDEX('[1]REMOVAL FEES'!$E$1:$G$22,MATCH(CONCATENATE("Large bulky, extra-large and special handling items",IF($P638&gt;=11,11,$P638)),'[1]REMOVAL FEES'!$E$1:$E$13,0),3),INDEX('[1]REMOVAL FEES'!$E$1:$G$22,MATCH(CONCATENATE("Large bulky, extra-large and special handling items",IF($P638&gt;=11,11,$P638)),'[1]REMOVAL FEES'!$E$1:$E$13,0),3))))*$AA638,FALSE)</f>
        <v>0</v>
      </c>
      <c r="AJ638" s="107">
        <f t="shared" si="120"/>
        <v>0</v>
      </c>
      <c r="AK638" s="107">
        <v>0</v>
      </c>
      <c r="AL638" s="107">
        <v>0</v>
      </c>
      <c r="AM638" s="107">
        <f t="shared" si="121"/>
        <v>0</v>
      </c>
      <c r="AN638" s="116">
        <f>(-IF($V638="Yes", IF($X638="Yes", VLOOKUP($W638, '[1]Storage Fees'!A:M, 13, FALSE), VLOOKUP($W638, '[1]Storage Fees'!A:M, 10, FALSE)), IF($X638="Yes", VLOOKUP($W638, '[1]Storage Fees'!A:M, 7, FALSE), VLOOKUP($W638, '[1]Storage Fees'!A:M, 4, FALSE))) * U638)*1.5</f>
        <v>0</v>
      </c>
    </row>
    <row r="639" spans="1:40" x14ac:dyDescent="0.25">
      <c r="A639" s="99">
        <v>567</v>
      </c>
      <c r="B639" s="99"/>
      <c r="C639" s="99" t="s">
        <v>13655</v>
      </c>
      <c r="D639" s="99"/>
      <c r="E639" s="99" t="s">
        <v>386</v>
      </c>
      <c r="F639" s="99" t="s">
        <v>2019</v>
      </c>
      <c r="G639" s="99" t="s">
        <v>13695</v>
      </c>
      <c r="H639" s="99">
        <v>0</v>
      </c>
      <c r="I639" s="99">
        <v>0</v>
      </c>
      <c r="J639" s="99">
        <v>0</v>
      </c>
      <c r="K639" s="101" t="str">
        <f t="shared" si="109"/>
        <v>0x0x0</v>
      </c>
      <c r="L639" s="102">
        <f t="shared" si="110"/>
        <v>0</v>
      </c>
      <c r="M639" s="113">
        <f t="shared" si="111"/>
        <v>0</v>
      </c>
      <c r="N639" s="113">
        <f t="shared" si="112"/>
        <v>0</v>
      </c>
      <c r="O639" s="99">
        <v>0</v>
      </c>
      <c r="P639" s="113">
        <f t="shared" si="113"/>
        <v>0</v>
      </c>
      <c r="Q639" s="112">
        <f t="shared" si="114"/>
        <v>0</v>
      </c>
      <c r="R639" s="112" t="str">
        <f t="shared" si="115"/>
        <v>Standard-size</v>
      </c>
      <c r="S639" s="99" t="str">
        <f t="shared" si="116"/>
        <v>Small standard-size</v>
      </c>
      <c r="T639" s="116" t="s">
        <v>13696</v>
      </c>
      <c r="U639" s="116">
        <f t="shared" si="117"/>
        <v>0</v>
      </c>
      <c r="V639" s="116" t="s">
        <v>13583</v>
      </c>
      <c r="W639" s="116" t="s">
        <v>13690</v>
      </c>
      <c r="X639" s="99" t="s">
        <v>13583</v>
      </c>
      <c r="Y639" s="99">
        <v>1</v>
      </c>
      <c r="Z639" s="99">
        <v>1</v>
      </c>
      <c r="AA639" s="99">
        <v>1</v>
      </c>
      <c r="AB639" s="99"/>
      <c r="AC639" s="99"/>
      <c r="AD639" s="107">
        <v>0</v>
      </c>
      <c r="AE639" s="113">
        <f t="shared" si="118"/>
        <v>0</v>
      </c>
      <c r="AF639" s="116">
        <f>-IFERROR(IFERROR(VLOOKUP(ROUNDUP($Q639,0),'FBA FEES'!$L$2:$Q$203,MATCH($S639,'FBA FEES'!$L$2:$Q$2,0),FALSE),VLOOKUP(ROUNDUP($Q639,0),'FBA FEES'!$C$6:$F$123,MATCH($S639,'FBA FEES'!$C$6:$F$6,0),FALSE)),0)</f>
        <v>0</v>
      </c>
      <c r="AG639" s="116">
        <v>-10</v>
      </c>
      <c r="AH639" s="113">
        <f t="shared" si="119"/>
        <v>0</v>
      </c>
      <c r="AI639" s="116">
        <f>-IFERROR(IF($Y639=1,INDEX('[1]REMOVAL FEES'!$A$1:$C$22,MATCH(CONCATENATE("Standard Size",$P639),'[1]REMOVAL FEES'!$A$1:$A$22,0),3),IF($Y639=2,IF($P639&gt;10,(($P639-10)*1.06)+INDEX('[1]REMOVAL FEES'!$E$1:$G$22,MATCH(CONCATENATE("Large bulky, extra-large and special handling items",IF($P639&gt;=11,11,$P639)),'[1]REMOVAL FEES'!$E$1:$E$13,0),3),INDEX('[1]REMOVAL FEES'!$E$1:$G$22,MATCH(CONCATENATE("Large bulky, extra-large and special handling items",IF($P639&gt;=11,11,$P639)),'[1]REMOVAL FEES'!$E$1:$E$13,0),3))))*$AA639,FALSE)</f>
        <v>0</v>
      </c>
      <c r="AJ639" s="107">
        <f t="shared" si="120"/>
        <v>0</v>
      </c>
      <c r="AK639" s="107">
        <v>0</v>
      </c>
      <c r="AL639" s="107">
        <v>0</v>
      </c>
      <c r="AM639" s="107">
        <f t="shared" si="121"/>
        <v>0</v>
      </c>
      <c r="AN639" s="116">
        <f>(-IF($V639="Yes", IF($X639="Yes", VLOOKUP($W639, '[1]Storage Fees'!A:M, 13, FALSE), VLOOKUP($W639, '[1]Storage Fees'!A:M, 10, FALSE)), IF($X639="Yes", VLOOKUP($W639, '[1]Storage Fees'!A:M, 7, FALSE), VLOOKUP($W639, '[1]Storage Fees'!A:M, 4, FALSE))) * U639)*1.5</f>
        <v>0</v>
      </c>
    </row>
    <row r="640" spans="1:40" x14ac:dyDescent="0.25">
      <c r="A640" s="99">
        <v>568</v>
      </c>
      <c r="B640" s="99"/>
      <c r="C640" s="99" t="s">
        <v>13655</v>
      </c>
      <c r="D640" s="99"/>
      <c r="E640" s="99" t="s">
        <v>386</v>
      </c>
      <c r="F640" s="99" t="s">
        <v>2021</v>
      </c>
      <c r="G640" s="99" t="s">
        <v>13695</v>
      </c>
      <c r="H640" s="99">
        <v>0</v>
      </c>
      <c r="I640" s="99">
        <v>0</v>
      </c>
      <c r="J640" s="99">
        <v>0</v>
      </c>
      <c r="K640" s="101" t="str">
        <f t="shared" si="109"/>
        <v>0x0x0</v>
      </c>
      <c r="L640" s="102">
        <f t="shared" si="110"/>
        <v>0</v>
      </c>
      <c r="M640" s="113">
        <f t="shared" si="111"/>
        <v>0</v>
      </c>
      <c r="N640" s="113">
        <f t="shared" si="112"/>
        <v>0</v>
      </c>
      <c r="O640" s="99">
        <v>0</v>
      </c>
      <c r="P640" s="113">
        <f t="shared" si="113"/>
        <v>0</v>
      </c>
      <c r="Q640" s="112">
        <f t="shared" si="114"/>
        <v>0</v>
      </c>
      <c r="R640" s="112" t="str">
        <f t="shared" si="115"/>
        <v>Standard-size</v>
      </c>
      <c r="S640" s="99" t="str">
        <f t="shared" si="116"/>
        <v>Small standard-size</v>
      </c>
      <c r="T640" s="116" t="s">
        <v>13696</v>
      </c>
      <c r="U640" s="116">
        <f t="shared" si="117"/>
        <v>0</v>
      </c>
      <c r="V640" s="116" t="s">
        <v>13583</v>
      </c>
      <c r="W640" s="116" t="s">
        <v>13690</v>
      </c>
      <c r="X640" s="99" t="s">
        <v>13583</v>
      </c>
      <c r="Y640" s="99">
        <v>1</v>
      </c>
      <c r="Z640" s="99">
        <v>1</v>
      </c>
      <c r="AA640" s="99">
        <v>1</v>
      </c>
      <c r="AB640" s="99"/>
      <c r="AC640" s="99"/>
      <c r="AD640" s="107">
        <v>0</v>
      </c>
      <c r="AE640" s="113">
        <f t="shared" si="118"/>
        <v>0</v>
      </c>
      <c r="AF640" s="116">
        <f>-IFERROR(IFERROR(VLOOKUP(ROUNDUP($Q640,0),'FBA FEES'!$L$2:$Q$203,MATCH($S640,'FBA FEES'!$L$2:$Q$2,0),FALSE),VLOOKUP(ROUNDUP($Q640,0),'FBA FEES'!$C$6:$F$123,MATCH($S640,'FBA FEES'!$C$6:$F$6,0),FALSE)),0)</f>
        <v>0</v>
      </c>
      <c r="AG640" s="116">
        <v>-10</v>
      </c>
      <c r="AH640" s="113">
        <f t="shared" si="119"/>
        <v>0</v>
      </c>
      <c r="AI640" s="116">
        <f>-IFERROR(IF($Y640=1,INDEX('[1]REMOVAL FEES'!$A$1:$C$22,MATCH(CONCATENATE("Standard Size",$P640),'[1]REMOVAL FEES'!$A$1:$A$22,0),3),IF($Y640=2,IF($P640&gt;10,(($P640-10)*1.06)+INDEX('[1]REMOVAL FEES'!$E$1:$G$22,MATCH(CONCATENATE("Large bulky, extra-large and special handling items",IF($P640&gt;=11,11,$P640)),'[1]REMOVAL FEES'!$E$1:$E$13,0),3),INDEX('[1]REMOVAL FEES'!$E$1:$G$22,MATCH(CONCATENATE("Large bulky, extra-large and special handling items",IF($P640&gt;=11,11,$P640)),'[1]REMOVAL FEES'!$E$1:$E$13,0),3))))*$AA640,FALSE)</f>
        <v>0</v>
      </c>
      <c r="AJ640" s="107">
        <f t="shared" si="120"/>
        <v>0</v>
      </c>
      <c r="AK640" s="107">
        <v>0</v>
      </c>
      <c r="AL640" s="107">
        <v>0</v>
      </c>
      <c r="AM640" s="107">
        <f t="shared" si="121"/>
        <v>0</v>
      </c>
      <c r="AN640" s="116">
        <f>(-IF($V640="Yes", IF($X640="Yes", VLOOKUP($W640, '[1]Storage Fees'!A:M, 13, FALSE), VLOOKUP($W640, '[1]Storage Fees'!A:M, 10, FALSE)), IF($X640="Yes", VLOOKUP($W640, '[1]Storage Fees'!A:M, 7, FALSE), VLOOKUP($W640, '[1]Storage Fees'!A:M, 4, FALSE))) * U640)*1.5</f>
        <v>0</v>
      </c>
    </row>
    <row r="641" spans="1:40" x14ac:dyDescent="0.25">
      <c r="A641" s="99">
        <v>569</v>
      </c>
      <c r="B641" s="99"/>
      <c r="C641" s="99" t="s">
        <v>13655</v>
      </c>
      <c r="D641" s="99"/>
      <c r="E641" s="99" t="s">
        <v>386</v>
      </c>
      <c r="F641" s="99" t="s">
        <v>2023</v>
      </c>
      <c r="G641" s="99" t="s">
        <v>13695</v>
      </c>
      <c r="H641" s="99">
        <v>0</v>
      </c>
      <c r="I641" s="99">
        <v>0</v>
      </c>
      <c r="J641" s="99">
        <v>0</v>
      </c>
      <c r="K641" s="101" t="str">
        <f t="shared" si="109"/>
        <v>0x0x0</v>
      </c>
      <c r="L641" s="102">
        <f t="shared" si="110"/>
        <v>0</v>
      </c>
      <c r="M641" s="113">
        <f t="shared" si="111"/>
        <v>0</v>
      </c>
      <c r="N641" s="113">
        <f t="shared" si="112"/>
        <v>0</v>
      </c>
      <c r="O641" s="99">
        <v>0</v>
      </c>
      <c r="P641" s="113">
        <f t="shared" si="113"/>
        <v>0</v>
      </c>
      <c r="Q641" s="112">
        <f t="shared" si="114"/>
        <v>0</v>
      </c>
      <c r="R641" s="112" t="str">
        <f t="shared" si="115"/>
        <v>Standard-size</v>
      </c>
      <c r="S641" s="99" t="str">
        <f t="shared" si="116"/>
        <v>Small standard-size</v>
      </c>
      <c r="T641" s="116" t="s">
        <v>13696</v>
      </c>
      <c r="U641" s="116">
        <f t="shared" si="117"/>
        <v>0</v>
      </c>
      <c r="V641" s="116" t="s">
        <v>13583</v>
      </c>
      <c r="W641" s="116" t="s">
        <v>13690</v>
      </c>
      <c r="X641" s="99" t="s">
        <v>13583</v>
      </c>
      <c r="Y641" s="99">
        <v>1</v>
      </c>
      <c r="Z641" s="99">
        <v>1</v>
      </c>
      <c r="AA641" s="99">
        <v>1</v>
      </c>
      <c r="AB641" s="99"/>
      <c r="AC641" s="99"/>
      <c r="AD641" s="107">
        <v>0</v>
      </c>
      <c r="AE641" s="113">
        <f t="shared" si="118"/>
        <v>0</v>
      </c>
      <c r="AF641" s="116">
        <f>-IFERROR(IFERROR(VLOOKUP(ROUNDUP($Q641,0),'FBA FEES'!$L$2:$Q$203,MATCH($S641,'FBA FEES'!$L$2:$Q$2,0),FALSE),VLOOKUP(ROUNDUP($Q641,0),'FBA FEES'!$C$6:$F$123,MATCH($S641,'FBA FEES'!$C$6:$F$6,0),FALSE)),0)</f>
        <v>0</v>
      </c>
      <c r="AG641" s="116">
        <v>-10</v>
      </c>
      <c r="AH641" s="113">
        <f t="shared" si="119"/>
        <v>0</v>
      </c>
      <c r="AI641" s="116">
        <f>-IFERROR(IF($Y641=1,INDEX('[1]REMOVAL FEES'!$A$1:$C$22,MATCH(CONCATENATE("Standard Size",$P641),'[1]REMOVAL FEES'!$A$1:$A$22,0),3),IF($Y641=2,IF($P641&gt;10,(($P641-10)*1.06)+INDEX('[1]REMOVAL FEES'!$E$1:$G$22,MATCH(CONCATENATE("Large bulky, extra-large and special handling items",IF($P641&gt;=11,11,$P641)),'[1]REMOVAL FEES'!$E$1:$E$13,0),3),INDEX('[1]REMOVAL FEES'!$E$1:$G$22,MATCH(CONCATENATE("Large bulky, extra-large and special handling items",IF($P641&gt;=11,11,$P641)),'[1]REMOVAL FEES'!$E$1:$E$13,0),3))))*$AA641,FALSE)</f>
        <v>0</v>
      </c>
      <c r="AJ641" s="107">
        <f t="shared" si="120"/>
        <v>0</v>
      </c>
      <c r="AK641" s="107">
        <v>0</v>
      </c>
      <c r="AL641" s="107">
        <v>0</v>
      </c>
      <c r="AM641" s="107">
        <f t="shared" si="121"/>
        <v>0</v>
      </c>
      <c r="AN641" s="116">
        <f>(-IF($V641="Yes", IF($X641="Yes", VLOOKUP($W641, '[1]Storage Fees'!A:M, 13, FALSE), VLOOKUP($W641, '[1]Storage Fees'!A:M, 10, FALSE)), IF($X641="Yes", VLOOKUP($W641, '[1]Storage Fees'!A:M, 7, FALSE), VLOOKUP($W641, '[1]Storage Fees'!A:M, 4, FALSE))) * U641)*1.5</f>
        <v>0</v>
      </c>
    </row>
    <row r="642" spans="1:40" x14ac:dyDescent="0.25">
      <c r="A642" s="99">
        <v>570</v>
      </c>
      <c r="B642" s="99"/>
      <c r="C642" s="99" t="s">
        <v>13655</v>
      </c>
      <c r="D642" s="99"/>
      <c r="E642" s="99" t="s">
        <v>386</v>
      </c>
      <c r="F642" s="99" t="s">
        <v>2025</v>
      </c>
      <c r="G642" s="99" t="s">
        <v>13695</v>
      </c>
      <c r="H642" s="99">
        <v>0</v>
      </c>
      <c r="I642" s="99">
        <v>0</v>
      </c>
      <c r="J642" s="99">
        <v>0</v>
      </c>
      <c r="K642" s="101" t="str">
        <f t="shared" si="109"/>
        <v>0x0x0</v>
      </c>
      <c r="L642" s="102">
        <f t="shared" si="110"/>
        <v>0</v>
      </c>
      <c r="M642" s="113">
        <f t="shared" si="111"/>
        <v>0</v>
      </c>
      <c r="N642" s="113">
        <f t="shared" si="112"/>
        <v>0</v>
      </c>
      <c r="O642" s="99">
        <v>0</v>
      </c>
      <c r="P642" s="113">
        <f t="shared" si="113"/>
        <v>0</v>
      </c>
      <c r="Q642" s="112">
        <f t="shared" si="114"/>
        <v>0</v>
      </c>
      <c r="R642" s="112" t="str">
        <f t="shared" si="115"/>
        <v>Standard-size</v>
      </c>
      <c r="S642" s="99" t="str">
        <f t="shared" si="116"/>
        <v>Small standard-size</v>
      </c>
      <c r="T642" s="116" t="s">
        <v>13696</v>
      </c>
      <c r="U642" s="116">
        <f t="shared" si="117"/>
        <v>0</v>
      </c>
      <c r="V642" s="116" t="s">
        <v>13583</v>
      </c>
      <c r="W642" s="116" t="s">
        <v>13690</v>
      </c>
      <c r="X642" s="99" t="s">
        <v>13583</v>
      </c>
      <c r="Y642" s="99">
        <v>1</v>
      </c>
      <c r="Z642" s="99">
        <v>1</v>
      </c>
      <c r="AA642" s="99">
        <v>1</v>
      </c>
      <c r="AB642" s="99"/>
      <c r="AC642" s="99"/>
      <c r="AD642" s="107">
        <v>0</v>
      </c>
      <c r="AE642" s="113">
        <f t="shared" si="118"/>
        <v>0</v>
      </c>
      <c r="AF642" s="116">
        <f>-IFERROR(IFERROR(VLOOKUP(ROUNDUP($Q642,0),'FBA FEES'!$L$2:$Q$203,MATCH($S642,'FBA FEES'!$L$2:$Q$2,0),FALSE),VLOOKUP(ROUNDUP($Q642,0),'FBA FEES'!$C$6:$F$123,MATCH($S642,'FBA FEES'!$C$6:$F$6,0),FALSE)),0)</f>
        <v>0</v>
      </c>
      <c r="AG642" s="116">
        <v>-10</v>
      </c>
      <c r="AH642" s="113">
        <f t="shared" si="119"/>
        <v>0</v>
      </c>
      <c r="AI642" s="116">
        <f>-IFERROR(IF($Y642=1,INDEX('[1]REMOVAL FEES'!$A$1:$C$22,MATCH(CONCATENATE("Standard Size",$P642),'[1]REMOVAL FEES'!$A$1:$A$22,0),3),IF($Y642=2,IF($P642&gt;10,(($P642-10)*1.06)+INDEX('[1]REMOVAL FEES'!$E$1:$G$22,MATCH(CONCATENATE("Large bulky, extra-large and special handling items",IF($P642&gt;=11,11,$P642)),'[1]REMOVAL FEES'!$E$1:$E$13,0),3),INDEX('[1]REMOVAL FEES'!$E$1:$G$22,MATCH(CONCATENATE("Large bulky, extra-large and special handling items",IF($P642&gt;=11,11,$P642)),'[1]REMOVAL FEES'!$E$1:$E$13,0),3))))*$AA642,FALSE)</f>
        <v>0</v>
      </c>
      <c r="AJ642" s="107">
        <f t="shared" si="120"/>
        <v>0</v>
      </c>
      <c r="AK642" s="107">
        <v>0</v>
      </c>
      <c r="AL642" s="107">
        <v>0</v>
      </c>
      <c r="AM642" s="107">
        <f t="shared" si="121"/>
        <v>0</v>
      </c>
      <c r="AN642" s="116">
        <f>(-IF($V642="Yes", IF($X642="Yes", VLOOKUP($W642, '[1]Storage Fees'!A:M, 13, FALSE), VLOOKUP($W642, '[1]Storage Fees'!A:M, 10, FALSE)), IF($X642="Yes", VLOOKUP($W642, '[1]Storage Fees'!A:M, 7, FALSE), VLOOKUP($W642, '[1]Storage Fees'!A:M, 4, FALSE))) * U642)*1.5</f>
        <v>0</v>
      </c>
    </row>
    <row r="643" spans="1:40" x14ac:dyDescent="0.25">
      <c r="A643" s="99">
        <v>571</v>
      </c>
      <c r="B643" s="99"/>
      <c r="C643" s="99" t="s">
        <v>13655</v>
      </c>
      <c r="D643" s="99"/>
      <c r="E643" s="99" t="s">
        <v>386</v>
      </c>
      <c r="F643" s="99" t="s">
        <v>2027</v>
      </c>
      <c r="G643" s="99" t="s">
        <v>13695</v>
      </c>
      <c r="H643" s="99">
        <v>0</v>
      </c>
      <c r="I643" s="99">
        <v>0</v>
      </c>
      <c r="J643" s="99">
        <v>0</v>
      </c>
      <c r="K643" s="101" t="str">
        <f t="shared" si="109"/>
        <v>0x0x0</v>
      </c>
      <c r="L643" s="102">
        <f t="shared" si="110"/>
        <v>0</v>
      </c>
      <c r="M643" s="113">
        <f t="shared" si="111"/>
        <v>0</v>
      </c>
      <c r="N643" s="113">
        <f t="shared" si="112"/>
        <v>0</v>
      </c>
      <c r="O643" s="99">
        <v>0</v>
      </c>
      <c r="P643" s="113">
        <f t="shared" si="113"/>
        <v>0</v>
      </c>
      <c r="Q643" s="112">
        <f t="shared" si="114"/>
        <v>0</v>
      </c>
      <c r="R643" s="112" t="str">
        <f t="shared" si="115"/>
        <v>Standard-size</v>
      </c>
      <c r="S643" s="99" t="str">
        <f t="shared" si="116"/>
        <v>Small standard-size</v>
      </c>
      <c r="T643" s="116" t="s">
        <v>13696</v>
      </c>
      <c r="U643" s="116">
        <f t="shared" si="117"/>
        <v>0</v>
      </c>
      <c r="V643" s="116" t="s">
        <v>13583</v>
      </c>
      <c r="W643" s="116" t="s">
        <v>13690</v>
      </c>
      <c r="X643" s="99" t="s">
        <v>13583</v>
      </c>
      <c r="Y643" s="99">
        <v>1</v>
      </c>
      <c r="Z643" s="99">
        <v>1</v>
      </c>
      <c r="AA643" s="99">
        <v>1</v>
      </c>
      <c r="AB643" s="99"/>
      <c r="AC643" s="99"/>
      <c r="AD643" s="107">
        <v>0</v>
      </c>
      <c r="AE643" s="113">
        <f t="shared" si="118"/>
        <v>0</v>
      </c>
      <c r="AF643" s="116">
        <f>-IFERROR(IFERROR(VLOOKUP(ROUNDUP($Q643,0),'FBA FEES'!$L$2:$Q$203,MATCH($S643,'FBA FEES'!$L$2:$Q$2,0),FALSE),VLOOKUP(ROUNDUP($Q643,0),'FBA FEES'!$C$6:$F$123,MATCH($S643,'FBA FEES'!$C$6:$F$6,0),FALSE)),0)</f>
        <v>0</v>
      </c>
      <c r="AG643" s="116">
        <v>-10</v>
      </c>
      <c r="AH643" s="113">
        <f t="shared" si="119"/>
        <v>0</v>
      </c>
      <c r="AI643" s="116">
        <f>-IFERROR(IF($Y643=1,INDEX('[1]REMOVAL FEES'!$A$1:$C$22,MATCH(CONCATENATE("Standard Size",$P643),'[1]REMOVAL FEES'!$A$1:$A$22,0),3),IF($Y643=2,IF($P643&gt;10,(($P643-10)*1.06)+INDEX('[1]REMOVAL FEES'!$E$1:$G$22,MATCH(CONCATENATE("Large bulky, extra-large and special handling items",IF($P643&gt;=11,11,$P643)),'[1]REMOVAL FEES'!$E$1:$E$13,0),3),INDEX('[1]REMOVAL FEES'!$E$1:$G$22,MATCH(CONCATENATE("Large bulky, extra-large and special handling items",IF($P643&gt;=11,11,$P643)),'[1]REMOVAL FEES'!$E$1:$E$13,0),3))))*$AA643,FALSE)</f>
        <v>0</v>
      </c>
      <c r="AJ643" s="107">
        <f t="shared" si="120"/>
        <v>0</v>
      </c>
      <c r="AK643" s="107">
        <v>0</v>
      </c>
      <c r="AL643" s="107">
        <v>0</v>
      </c>
      <c r="AM643" s="107">
        <f t="shared" si="121"/>
        <v>0</v>
      </c>
      <c r="AN643" s="116">
        <f>(-IF($V643="Yes", IF($X643="Yes", VLOOKUP($W643, '[1]Storage Fees'!A:M, 13, FALSE), VLOOKUP($W643, '[1]Storage Fees'!A:M, 10, FALSE)), IF($X643="Yes", VLOOKUP($W643, '[1]Storage Fees'!A:M, 7, FALSE), VLOOKUP($W643, '[1]Storage Fees'!A:M, 4, FALSE))) * U643)*1.5</f>
        <v>0</v>
      </c>
    </row>
    <row r="644" spans="1:40" x14ac:dyDescent="0.25">
      <c r="A644" s="99">
        <v>572</v>
      </c>
      <c r="B644" s="99"/>
      <c r="C644" s="99" t="s">
        <v>13655</v>
      </c>
      <c r="D644" s="99"/>
      <c r="E644" s="99" t="s">
        <v>386</v>
      </c>
      <c r="F644" s="99" t="s">
        <v>2029</v>
      </c>
      <c r="G644" s="99" t="s">
        <v>13695</v>
      </c>
      <c r="H644" s="99">
        <v>0</v>
      </c>
      <c r="I644" s="99">
        <v>0</v>
      </c>
      <c r="J644" s="99">
        <v>0</v>
      </c>
      <c r="K644" s="101" t="str">
        <f t="shared" si="109"/>
        <v>0x0x0</v>
      </c>
      <c r="L644" s="102">
        <f t="shared" si="110"/>
        <v>0</v>
      </c>
      <c r="M644" s="113">
        <f t="shared" si="111"/>
        <v>0</v>
      </c>
      <c r="N644" s="113">
        <f t="shared" si="112"/>
        <v>0</v>
      </c>
      <c r="O644" s="99">
        <v>0</v>
      </c>
      <c r="P644" s="113">
        <f t="shared" si="113"/>
        <v>0</v>
      </c>
      <c r="Q644" s="112">
        <f t="shared" si="114"/>
        <v>0</v>
      </c>
      <c r="R644" s="112" t="str">
        <f t="shared" si="115"/>
        <v>Standard-size</v>
      </c>
      <c r="S644" s="99" t="str">
        <f t="shared" si="116"/>
        <v>Small standard-size</v>
      </c>
      <c r="T644" s="116" t="s">
        <v>13696</v>
      </c>
      <c r="U644" s="116">
        <f t="shared" si="117"/>
        <v>0</v>
      </c>
      <c r="V644" s="116" t="s">
        <v>13583</v>
      </c>
      <c r="W644" s="116" t="s">
        <v>13690</v>
      </c>
      <c r="X644" s="99" t="s">
        <v>13583</v>
      </c>
      <c r="Y644" s="99">
        <v>1</v>
      </c>
      <c r="Z644" s="99">
        <v>1</v>
      </c>
      <c r="AA644" s="99">
        <v>1</v>
      </c>
      <c r="AB644" s="99"/>
      <c r="AC644" s="99"/>
      <c r="AD644" s="107">
        <v>0</v>
      </c>
      <c r="AE644" s="113">
        <f t="shared" si="118"/>
        <v>0</v>
      </c>
      <c r="AF644" s="116">
        <f>-IFERROR(IFERROR(VLOOKUP(ROUNDUP($Q644,0),'FBA FEES'!$L$2:$Q$203,MATCH($S644,'FBA FEES'!$L$2:$Q$2,0),FALSE),VLOOKUP(ROUNDUP($Q644,0),'FBA FEES'!$C$6:$F$123,MATCH($S644,'FBA FEES'!$C$6:$F$6,0),FALSE)),0)</f>
        <v>0</v>
      </c>
      <c r="AG644" s="116">
        <v>-10</v>
      </c>
      <c r="AH644" s="113">
        <f t="shared" si="119"/>
        <v>0</v>
      </c>
      <c r="AI644" s="116">
        <f>-IFERROR(IF($Y644=1,INDEX('[1]REMOVAL FEES'!$A$1:$C$22,MATCH(CONCATENATE("Standard Size",$P644),'[1]REMOVAL FEES'!$A$1:$A$22,0),3),IF($Y644=2,IF($P644&gt;10,(($P644-10)*1.06)+INDEX('[1]REMOVAL FEES'!$E$1:$G$22,MATCH(CONCATENATE("Large bulky, extra-large and special handling items",IF($P644&gt;=11,11,$P644)),'[1]REMOVAL FEES'!$E$1:$E$13,0),3),INDEX('[1]REMOVAL FEES'!$E$1:$G$22,MATCH(CONCATENATE("Large bulky, extra-large and special handling items",IF($P644&gt;=11,11,$P644)),'[1]REMOVAL FEES'!$E$1:$E$13,0),3))))*$AA644,FALSE)</f>
        <v>0</v>
      </c>
      <c r="AJ644" s="107">
        <f t="shared" si="120"/>
        <v>0</v>
      </c>
      <c r="AK644" s="107">
        <v>0</v>
      </c>
      <c r="AL644" s="107">
        <v>0</v>
      </c>
      <c r="AM644" s="107">
        <f t="shared" si="121"/>
        <v>0</v>
      </c>
      <c r="AN644" s="116">
        <f>(-IF($V644="Yes", IF($X644="Yes", VLOOKUP($W644, '[1]Storage Fees'!A:M, 13, FALSE), VLOOKUP($W644, '[1]Storage Fees'!A:M, 10, FALSE)), IF($X644="Yes", VLOOKUP($W644, '[1]Storage Fees'!A:M, 7, FALSE), VLOOKUP($W644, '[1]Storage Fees'!A:M, 4, FALSE))) * U644)*1.5</f>
        <v>0</v>
      </c>
    </row>
    <row r="645" spans="1:40" x14ac:dyDescent="0.25">
      <c r="A645" s="99">
        <v>573</v>
      </c>
      <c r="B645" s="99" t="s">
        <v>107</v>
      </c>
      <c r="C645" s="99"/>
      <c r="D645" s="99"/>
      <c r="E645" s="99" t="s">
        <v>386</v>
      </c>
      <c r="F645" s="99" t="s">
        <v>403</v>
      </c>
      <c r="G645" s="99" t="s">
        <v>13695</v>
      </c>
      <c r="H645" s="99">
        <v>10</v>
      </c>
      <c r="I645" s="99">
        <v>4</v>
      </c>
      <c r="J645" s="99">
        <v>4</v>
      </c>
      <c r="K645" s="101" t="str">
        <f t="shared" si="109"/>
        <v>10x4x4</v>
      </c>
      <c r="L645" s="102">
        <f t="shared" si="110"/>
        <v>1.1510791366906474</v>
      </c>
      <c r="M645" s="113">
        <f t="shared" si="111"/>
        <v>1.1510791366906474</v>
      </c>
      <c r="N645" s="113">
        <f t="shared" si="112"/>
        <v>2</v>
      </c>
      <c r="O645" s="99">
        <v>0.375</v>
      </c>
      <c r="P645" s="113">
        <f t="shared" si="113"/>
        <v>2</v>
      </c>
      <c r="Q645" s="112">
        <f t="shared" si="114"/>
        <v>32</v>
      </c>
      <c r="R645" s="112" t="str">
        <f t="shared" si="115"/>
        <v>Standard-size</v>
      </c>
      <c r="S645" s="99" t="str">
        <f t="shared" si="116"/>
        <v>Large standard-size</v>
      </c>
      <c r="T645" s="116" t="s">
        <v>13697</v>
      </c>
      <c r="U645" s="116">
        <f t="shared" si="117"/>
        <v>9.2592592592592587E-2</v>
      </c>
      <c r="V645" s="116" t="s">
        <v>13583</v>
      </c>
      <c r="W645" s="116" t="s">
        <v>13690</v>
      </c>
      <c r="X645" s="99" t="s">
        <v>13583</v>
      </c>
      <c r="Y645" s="99">
        <v>1</v>
      </c>
      <c r="Z645" s="99">
        <v>2</v>
      </c>
      <c r="AA645" s="99">
        <v>1</v>
      </c>
      <c r="AB645" s="99"/>
      <c r="AC645" s="99"/>
      <c r="AD645" s="107">
        <v>0</v>
      </c>
      <c r="AE645" s="113">
        <f t="shared" si="118"/>
        <v>0</v>
      </c>
      <c r="AF645" s="116">
        <f>-IFERROR(IFERROR(VLOOKUP(ROUNDUP($Q645,0),'FBA FEES'!$L$2:$Q$203,MATCH($S645,'FBA FEES'!$L$2:$Q$2,0),FALSE),VLOOKUP(ROUNDUP($Q645,0),'FBA FEES'!$C$6:$F$123,MATCH($S645,'FBA FEES'!$C$6:$F$6,0),FALSE)),0)</f>
        <v>-5.77</v>
      </c>
      <c r="AG645" s="116">
        <v>-10</v>
      </c>
      <c r="AH645" s="113">
        <f t="shared" si="119"/>
        <v>-5.77</v>
      </c>
      <c r="AI645" s="116">
        <f>-IFERROR(IF($Y645=1,INDEX('[1]REMOVAL FEES'!$A$1:$C$22,MATCH(CONCATENATE("Standard Size",$P645),'[1]REMOVAL FEES'!$A$1:$A$22,0),3),IF($Y645=2,IF($P645&gt;10,(($P645-10)*1.06)+INDEX('[1]REMOVAL FEES'!$E$1:$G$22,MATCH(CONCATENATE("Large bulky, extra-large and special handling items",IF($P645&gt;=11,11,$P645)),'[1]REMOVAL FEES'!$E$1:$E$13,0),3),INDEX('[1]REMOVAL FEES'!$E$1:$G$22,MATCH(CONCATENATE("Large bulky, extra-large and special handling items",IF($P645&gt;=11,11,$P645)),'[1]REMOVAL FEES'!$E$1:$E$13,0),3))))*$AA645,FALSE)</f>
        <v>-2.27</v>
      </c>
      <c r="AJ645" s="107">
        <f t="shared" si="120"/>
        <v>-8.0399999999999991</v>
      </c>
      <c r="AK645" s="107">
        <v>0</v>
      </c>
      <c r="AL645" s="107">
        <v>0</v>
      </c>
      <c r="AM645" s="107">
        <f t="shared" si="121"/>
        <v>0</v>
      </c>
      <c r="AN645" s="116">
        <f>(-IF($V645="Yes", IF($X645="Yes", VLOOKUP($W645, '[1]Storage Fees'!A:M, 13, FALSE), VLOOKUP($W645, '[1]Storage Fees'!A:M, 10, FALSE)), IF($X645="Yes", VLOOKUP($W645, '[1]Storage Fees'!A:M, 7, FALSE), VLOOKUP($W645, '[1]Storage Fees'!A:M, 4, FALSE))) * U645)*1.5</f>
        <v>-0.16944444444444445</v>
      </c>
    </row>
    <row r="646" spans="1:40" x14ac:dyDescent="0.25">
      <c r="A646" s="99">
        <v>574</v>
      </c>
      <c r="B646" s="99"/>
      <c r="C646" s="99" t="s">
        <v>13655</v>
      </c>
      <c r="D646" s="99"/>
      <c r="E646" s="99" t="s">
        <v>278</v>
      </c>
      <c r="F646" s="99" t="s">
        <v>2031</v>
      </c>
      <c r="G646" s="99" t="s">
        <v>13656</v>
      </c>
      <c r="H646" s="99">
        <v>0</v>
      </c>
      <c r="I646" s="99">
        <v>0</v>
      </c>
      <c r="J646" s="99">
        <v>0</v>
      </c>
      <c r="K646" s="101" t="str">
        <f t="shared" si="109"/>
        <v>0x0x0</v>
      </c>
      <c r="L646" s="102">
        <f t="shared" si="110"/>
        <v>0</v>
      </c>
      <c r="M646" s="113">
        <f t="shared" si="111"/>
        <v>0</v>
      </c>
      <c r="N646" s="113">
        <f t="shared" si="112"/>
        <v>0</v>
      </c>
      <c r="O646" s="99">
        <v>0</v>
      </c>
      <c r="P646" s="113">
        <f t="shared" si="113"/>
        <v>0</v>
      </c>
      <c r="Q646" s="112">
        <f t="shared" si="114"/>
        <v>0</v>
      </c>
      <c r="R646" s="112" t="str">
        <f t="shared" si="115"/>
        <v>Standard-size</v>
      </c>
      <c r="S646" s="99" t="str">
        <f t="shared" si="116"/>
        <v>Small standard-size</v>
      </c>
      <c r="T646" s="116" t="s">
        <v>13696</v>
      </c>
      <c r="U646" s="116">
        <f t="shared" si="117"/>
        <v>0</v>
      </c>
      <c r="V646" s="116" t="s">
        <v>13583</v>
      </c>
      <c r="W646" s="116" t="s">
        <v>13690</v>
      </c>
      <c r="X646" s="99" t="s">
        <v>13583</v>
      </c>
      <c r="Y646" s="99">
        <v>1</v>
      </c>
      <c r="Z646" s="99">
        <v>1</v>
      </c>
      <c r="AA646" s="99">
        <v>1</v>
      </c>
      <c r="AB646" s="99"/>
      <c r="AC646" s="99"/>
      <c r="AD646" s="107">
        <v>88.044129870129709</v>
      </c>
      <c r="AE646" s="113">
        <f t="shared" si="118"/>
        <v>-13.206619480519455</v>
      </c>
      <c r="AF646" s="116">
        <f>-IFERROR(IFERROR(VLOOKUP(ROUNDUP($Q646,0),'FBA FEES'!$L$2:$Q$203,MATCH($S646,'FBA FEES'!$L$2:$Q$2,0),FALSE),VLOOKUP(ROUNDUP($Q646,0),'FBA FEES'!$C$6:$F$123,MATCH($S646,'FBA FEES'!$C$6:$F$6,0),FALSE)),0)</f>
        <v>0</v>
      </c>
      <c r="AG646" s="116">
        <v>-10</v>
      </c>
      <c r="AH646" s="113">
        <f t="shared" si="119"/>
        <v>-13.206619480519455</v>
      </c>
      <c r="AI646" s="116">
        <f>-IFERROR(IF($Y646=1,INDEX('[1]REMOVAL FEES'!$A$1:$C$22,MATCH(CONCATENATE("Standard Size",$P646),'[1]REMOVAL FEES'!$A$1:$A$22,0),3),IF($Y646=2,IF($P646&gt;10,(($P646-10)*1.06)+INDEX('[1]REMOVAL FEES'!$E$1:$G$22,MATCH(CONCATENATE("Large bulky, extra-large and special handling items",IF($P646&gt;=11,11,$P646)),'[1]REMOVAL FEES'!$E$1:$E$13,0),3),INDEX('[1]REMOVAL FEES'!$E$1:$G$22,MATCH(CONCATENATE("Large bulky, extra-large and special handling items",IF($P646&gt;=11,11,$P646)),'[1]REMOVAL FEES'!$E$1:$E$13,0),3))))*$AA646,FALSE)</f>
        <v>0</v>
      </c>
      <c r="AJ646" s="107">
        <f t="shared" si="120"/>
        <v>-13.206619480519455</v>
      </c>
      <c r="AK646" s="107">
        <v>-27.191168831168881</v>
      </c>
      <c r="AL646" s="107">
        <v>-7.7236014911014879</v>
      </c>
      <c r="AM646" s="107">
        <f t="shared" si="121"/>
        <v>-34.914770322270371</v>
      </c>
      <c r="AN646" s="116">
        <f>(-IF($V646="Yes", IF($X646="Yes", VLOOKUP($W646, '[1]Storage Fees'!A:M, 13, FALSE), VLOOKUP($W646, '[1]Storage Fees'!A:M, 10, FALSE)), IF($X646="Yes", VLOOKUP($W646, '[1]Storage Fees'!A:M, 7, FALSE), VLOOKUP($W646, '[1]Storage Fees'!A:M, 4, FALSE))) * U646)*1.5</f>
        <v>0</v>
      </c>
    </row>
    <row r="647" spans="1:40" x14ac:dyDescent="0.25">
      <c r="A647" s="99">
        <v>575</v>
      </c>
      <c r="B647" s="99"/>
      <c r="C647" s="99" t="s">
        <v>13655</v>
      </c>
      <c r="D647" s="99"/>
      <c r="E647" s="99" t="s">
        <v>278</v>
      </c>
      <c r="F647" s="99" t="s">
        <v>2034</v>
      </c>
      <c r="G647" s="99" t="s">
        <v>13656</v>
      </c>
      <c r="H647" s="99">
        <v>0</v>
      </c>
      <c r="I647" s="99">
        <v>0</v>
      </c>
      <c r="J647" s="99">
        <v>0</v>
      </c>
      <c r="K647" s="101" t="str">
        <f t="shared" si="109"/>
        <v>0x0x0</v>
      </c>
      <c r="L647" s="102">
        <f t="shared" si="110"/>
        <v>0</v>
      </c>
      <c r="M647" s="113">
        <f t="shared" si="111"/>
        <v>0</v>
      </c>
      <c r="N647" s="113">
        <f t="shared" si="112"/>
        <v>0</v>
      </c>
      <c r="O647" s="99">
        <v>0</v>
      </c>
      <c r="P647" s="113">
        <f t="shared" si="113"/>
        <v>0</v>
      </c>
      <c r="Q647" s="112">
        <f t="shared" si="114"/>
        <v>0</v>
      </c>
      <c r="R647" s="112" t="str">
        <f t="shared" si="115"/>
        <v>Standard-size</v>
      </c>
      <c r="S647" s="99" t="str">
        <f t="shared" si="116"/>
        <v>Small standard-size</v>
      </c>
      <c r="T647" s="116" t="s">
        <v>13696</v>
      </c>
      <c r="U647" s="116">
        <f t="shared" si="117"/>
        <v>0</v>
      </c>
      <c r="V647" s="116" t="s">
        <v>13583</v>
      </c>
      <c r="W647" s="116" t="s">
        <v>13690</v>
      </c>
      <c r="X647" s="99" t="s">
        <v>13583</v>
      </c>
      <c r="Y647" s="99">
        <v>1</v>
      </c>
      <c r="Z647" s="99">
        <v>1</v>
      </c>
      <c r="AA647" s="99">
        <v>1</v>
      </c>
      <c r="AB647" s="99"/>
      <c r="AC647" s="99"/>
      <c r="AD647" s="107">
        <v>114.6732022471911</v>
      </c>
      <c r="AE647" s="113">
        <f t="shared" si="118"/>
        <v>-17.200980337078665</v>
      </c>
      <c r="AF647" s="116">
        <f>-IFERROR(IFERROR(VLOOKUP(ROUNDUP($Q647,0),'FBA FEES'!$L$2:$Q$203,MATCH($S647,'FBA FEES'!$L$2:$Q$2,0),FALSE),VLOOKUP(ROUNDUP($Q647,0),'FBA FEES'!$C$6:$F$123,MATCH($S647,'FBA FEES'!$C$6:$F$6,0),FALSE)),0)</f>
        <v>0</v>
      </c>
      <c r="AG647" s="116">
        <v>-10</v>
      </c>
      <c r="AH647" s="113">
        <f t="shared" si="119"/>
        <v>-17.200980337078665</v>
      </c>
      <c r="AI647" s="116">
        <f>-IFERROR(IF($Y647=1,INDEX('[1]REMOVAL FEES'!$A$1:$C$22,MATCH(CONCATENATE("Standard Size",$P647),'[1]REMOVAL FEES'!$A$1:$A$22,0),3),IF($Y647=2,IF($P647&gt;10,(($P647-10)*1.06)+INDEX('[1]REMOVAL FEES'!$E$1:$G$22,MATCH(CONCATENATE("Large bulky, extra-large and special handling items",IF($P647&gt;=11,11,$P647)),'[1]REMOVAL FEES'!$E$1:$E$13,0),3),INDEX('[1]REMOVAL FEES'!$E$1:$G$22,MATCH(CONCATENATE("Large bulky, extra-large and special handling items",IF($P647&gt;=11,11,$P647)),'[1]REMOVAL FEES'!$E$1:$E$13,0),3))))*$AA647,FALSE)</f>
        <v>0</v>
      </c>
      <c r="AJ647" s="107">
        <f t="shared" si="120"/>
        <v>-17.200980337078665</v>
      </c>
      <c r="AK647" s="107">
        <v>-37.877528089887669</v>
      </c>
      <c r="AL647" s="107">
        <v>-8.9720342667889366</v>
      </c>
      <c r="AM647" s="107">
        <f t="shared" si="121"/>
        <v>-46.849562356676607</v>
      </c>
      <c r="AN647" s="116">
        <f>(-IF($V647="Yes", IF($X647="Yes", VLOOKUP($W647, '[1]Storage Fees'!A:M, 13, FALSE), VLOOKUP($W647, '[1]Storage Fees'!A:M, 10, FALSE)), IF($X647="Yes", VLOOKUP($W647, '[1]Storage Fees'!A:M, 7, FALSE), VLOOKUP($W647, '[1]Storage Fees'!A:M, 4, FALSE))) * U647)*1.5</f>
        <v>0</v>
      </c>
    </row>
    <row r="648" spans="1:40" x14ac:dyDescent="0.25">
      <c r="A648" s="99">
        <v>576</v>
      </c>
      <c r="B648" s="99" t="s">
        <v>55</v>
      </c>
      <c r="C648" s="99"/>
      <c r="D648" s="99"/>
      <c r="E648" s="99" t="s">
        <v>201</v>
      </c>
      <c r="F648" s="99" t="s">
        <v>405</v>
      </c>
      <c r="G648" s="99" t="s">
        <v>13656</v>
      </c>
      <c r="H648" s="99">
        <v>31</v>
      </c>
      <c r="I648" s="99">
        <v>22</v>
      </c>
      <c r="J648" s="99">
        <v>3</v>
      </c>
      <c r="K648" s="101" t="str">
        <f t="shared" si="109"/>
        <v>31x22x3</v>
      </c>
      <c r="L648" s="102">
        <f t="shared" si="110"/>
        <v>14.719424460431656</v>
      </c>
      <c r="M648" s="113">
        <f t="shared" si="111"/>
        <v>14.719424460431656</v>
      </c>
      <c r="N648" s="113">
        <f t="shared" si="112"/>
        <v>15</v>
      </c>
      <c r="O648" s="99">
        <v>20</v>
      </c>
      <c r="P648" s="113">
        <f t="shared" si="113"/>
        <v>20</v>
      </c>
      <c r="Q648" s="112">
        <f t="shared" si="114"/>
        <v>320</v>
      </c>
      <c r="R648" s="112" t="str">
        <f t="shared" si="115"/>
        <v>Oversize</v>
      </c>
      <c r="S648" s="99" t="str">
        <f t="shared" si="116"/>
        <v>Large bulky</v>
      </c>
      <c r="T648" s="116" t="s">
        <v>13692</v>
      </c>
      <c r="U648" s="116">
        <f t="shared" si="117"/>
        <v>1.1840277777777777</v>
      </c>
      <c r="V648" s="116" t="s">
        <v>13583</v>
      </c>
      <c r="W648" s="116" t="s">
        <v>13690</v>
      </c>
      <c r="X648" s="116" t="s">
        <v>13691</v>
      </c>
      <c r="Y648" s="116">
        <v>2</v>
      </c>
      <c r="Z648" s="116">
        <v>3</v>
      </c>
      <c r="AA648" s="116">
        <v>1</v>
      </c>
      <c r="AB648" s="99"/>
      <c r="AC648" s="99"/>
      <c r="AD648" s="107">
        <v>114.1121428571429</v>
      </c>
      <c r="AE648" s="113">
        <f t="shared" si="118"/>
        <v>-17.116821428571434</v>
      </c>
      <c r="AF648" s="116">
        <f>-IFERROR(IFERROR(VLOOKUP(ROUNDUP($Q648,0),'FBA FEES'!$L$2:$Q$203,MATCH($S648,'FBA FEES'!$L$2:$Q$2,0),FALSE),VLOOKUP(ROUNDUP($Q648,0),'FBA FEES'!$C$6:$F$123,MATCH($S648,'FBA FEES'!$C$6:$F$6,0),FALSE)),0)</f>
        <v>-16.829999999999998</v>
      </c>
      <c r="AG648" s="116">
        <v>-7</v>
      </c>
      <c r="AH648" s="113">
        <f t="shared" si="119"/>
        <v>-33.946821428571432</v>
      </c>
      <c r="AI648" s="116">
        <f>-IFERROR(IF($Y648=1,INDEX('[1]REMOVAL FEES'!$A$1:$C$22,MATCH(CONCATENATE("Standard Size",$P648),'[1]REMOVAL FEES'!$A$1:$A$22,0),3),IF($Y648=2,IF($P648&gt;10,(($P648-10)*1.06)+INDEX('[1]REMOVAL FEES'!$E$1:$G$22,MATCH(CONCATENATE("Large bulky, extra-large and special handling items",IF($P648&gt;=11,11,$P648)),'[1]REMOVAL FEES'!$E$1:$E$13,0),3),INDEX('[1]REMOVAL FEES'!$E$1:$G$22,MATCH(CONCATENATE("Large bulky, extra-large and special handling items",IF($P648&gt;=11,11,$P648)),'[1]REMOVAL FEES'!$E$1:$E$13,0),3))))*$AA648,FALSE)</f>
        <v>-24.92</v>
      </c>
      <c r="AJ648" s="107">
        <f t="shared" si="120"/>
        <v>-58.866821428571434</v>
      </c>
      <c r="AK648" s="107">
        <v>-38.94</v>
      </c>
      <c r="AL648" s="107">
        <v>-10.21766785714286</v>
      </c>
      <c r="AM648" s="107">
        <f t="shared" si="121"/>
        <v>-49.157667857142854</v>
      </c>
      <c r="AN648" s="116">
        <f>(-IF($V648="Yes", IF($X648="Yes", VLOOKUP($W648, '[1]Storage Fees'!A:M, 13, FALSE), VLOOKUP($W648, '[1]Storage Fees'!A:M, 10, FALSE)), IF($X648="Yes", VLOOKUP($W648, '[1]Storage Fees'!A:M, 7, FALSE), VLOOKUP($W648, '[1]Storage Fees'!A:M, 4, FALSE))) * U648)*1.5</f>
        <v>-1.4030729166666667</v>
      </c>
    </row>
    <row r="649" spans="1:40" x14ac:dyDescent="0.25">
      <c r="A649" s="99">
        <v>577</v>
      </c>
      <c r="B649" s="99" t="s">
        <v>55</v>
      </c>
      <c r="C649" s="99"/>
      <c r="D649" s="99"/>
      <c r="E649" s="99" t="s">
        <v>54</v>
      </c>
      <c r="F649" s="99" t="s">
        <v>407</v>
      </c>
      <c r="G649" s="99" t="s">
        <v>13656</v>
      </c>
      <c r="H649" s="99">
        <v>25</v>
      </c>
      <c r="I649" s="99">
        <v>8</v>
      </c>
      <c r="J649" s="99">
        <v>8</v>
      </c>
      <c r="K649" s="101" t="str">
        <f t="shared" ref="K649:K712" si="122">H649&amp;"x"&amp;I649&amp;"x"&amp;J649</f>
        <v>25x8x8</v>
      </c>
      <c r="L649" s="102">
        <f t="shared" ref="L649:L712" si="123">(H649*I649*J649)/139</f>
        <v>11.510791366906474</v>
      </c>
      <c r="M649" s="113">
        <f t="shared" ref="M649:M712" si="124">(H649*I649*J649)/139</f>
        <v>11.510791366906474</v>
      </c>
      <c r="N649" s="113">
        <f t="shared" ref="N649:N712" si="125">IF(AND(M649&gt;0,M649&lt;=0.25),0.25,IF(AND(M649&gt;0.25,M649&lt;=0.5),0.5,IF(AND(M649&gt;0.5,M649&lt;=0.75),0.75,ROUNDUP(M649,0))))</f>
        <v>12</v>
      </c>
      <c r="O649" s="99">
        <v>7</v>
      </c>
      <c r="P649" s="113">
        <f t="shared" ref="P649:P712" si="126">ROUNDUP(MAX(L649,O649),0)</f>
        <v>12</v>
      </c>
      <c r="Q649" s="112">
        <f t="shared" ref="Q649:Q712" si="127">P649*16</f>
        <v>192</v>
      </c>
      <c r="R649" s="112" t="str">
        <f t="shared" ref="R649:R712" si="128">IF(RIGHT(S649,13)="standard-size","Standard-size","Oversize")</f>
        <v>Oversize</v>
      </c>
      <c r="S649" s="99" t="str">
        <f t="shared" ref="S649:S712" si="129">IF(AND($P649&lt;=$J$50,$H649&lt;=$G$50,$I649&lt;=$H$50,$J649&lt;=$I$50),$A$50,IF(AND($P649&lt;=$J$51,$H649&lt;=$G$51,$I649&lt;=$H$51,$J649&lt;=$I$51),$A$51,IF(AND($H649&lt;=$G$52,$I649&lt;=$H$52,$J649&lt;=$I$52,$P649&lt;=$J$52),$A$52,IF(AND($P649&lt;=$J$53,OR(H$8&gt;$G$53,$I649&gt;$H$53,$J649&gt;$I$53)),$A$53,IF(AND($P649&gt;$J$53,$P649&lt;=$J$54),$A$54,IF(AND($P649&gt;$J$54,$P649&lt;=$J$55),$A$55,$A$56))))))</f>
        <v>Large bulky</v>
      </c>
      <c r="T649" s="116" t="s">
        <v>13692</v>
      </c>
      <c r="U649" s="116">
        <f t="shared" ref="U649:U712" si="130">(H649*I649*J649)/1728</f>
        <v>0.92592592592592593</v>
      </c>
      <c r="V649" s="116" t="s">
        <v>13583</v>
      </c>
      <c r="W649" s="116" t="s">
        <v>13690</v>
      </c>
      <c r="X649" s="116" t="s">
        <v>13691</v>
      </c>
      <c r="Y649" s="116">
        <v>2</v>
      </c>
      <c r="Z649" s="116">
        <v>3</v>
      </c>
      <c r="AA649" s="116">
        <v>1</v>
      </c>
      <c r="AB649" s="99"/>
      <c r="AC649" s="99"/>
      <c r="AD649" s="107">
        <v>38.281797747747618</v>
      </c>
      <c r="AE649" s="113">
        <f t="shared" ref="AE649:AE712" si="131">-AD649*0.15</f>
        <v>-5.7422696621621423</v>
      </c>
      <c r="AF649" s="116">
        <f>-IFERROR(IFERROR(VLOOKUP(ROUNDUP($Q649,0),'FBA FEES'!$L$2:$Q$203,MATCH($S649,'FBA FEES'!$L$2:$Q$2,0),FALSE),VLOOKUP(ROUNDUP($Q649,0),'FBA FEES'!$C$6:$F$123,MATCH($S649,'FBA FEES'!$C$6:$F$6,0),FALSE)),0)</f>
        <v>-13.79</v>
      </c>
      <c r="AG649" s="116">
        <v>-7</v>
      </c>
      <c r="AH649" s="113">
        <f t="shared" ref="AH649:AH712" si="132">AE649+AF649</f>
        <v>-19.532269662162143</v>
      </c>
      <c r="AI649" s="116">
        <f>-IFERROR(IF($Y649=1,INDEX('[1]REMOVAL FEES'!$A$1:$C$22,MATCH(CONCATENATE("Standard Size",$P649),'[1]REMOVAL FEES'!$A$1:$A$22,0),3),IF($Y649=2,IF($P649&gt;10,(($P649-10)*1.06)+INDEX('[1]REMOVAL FEES'!$E$1:$G$22,MATCH(CONCATENATE("Large bulky, extra-large and special handling items",IF($P649&gt;=11,11,$P649)),'[1]REMOVAL FEES'!$E$1:$E$13,0),3),INDEX('[1]REMOVAL FEES'!$E$1:$G$22,MATCH(CONCATENATE("Large bulky, extra-large and special handling items",IF($P649&gt;=11,11,$P649)),'[1]REMOVAL FEES'!$E$1:$E$13,0),3))))*$AA649,FALSE)</f>
        <v>-16.440000000000001</v>
      </c>
      <c r="AJ649" s="107">
        <f t="shared" ref="AJ649:AJ712" si="133">AH649+AI649</f>
        <v>-35.972269662162148</v>
      </c>
      <c r="AK649" s="107">
        <v>-7.8789189189189468</v>
      </c>
      <c r="AL649" s="107">
        <v>-7.2043310998918653</v>
      </c>
      <c r="AM649" s="107">
        <f t="shared" ref="AM649:AM712" si="134">AK649+AL649</f>
        <v>-15.083250018810812</v>
      </c>
      <c r="AN649" s="116">
        <f>(-IF($V649="Yes", IF($X649="Yes", VLOOKUP($W649, '[1]Storage Fees'!A:M, 13, FALSE), VLOOKUP($W649, '[1]Storage Fees'!A:M, 10, FALSE)), IF($X649="Yes", VLOOKUP($W649, '[1]Storage Fees'!A:M, 7, FALSE), VLOOKUP($W649, '[1]Storage Fees'!A:M, 4, FALSE))) * U649)*1.5</f>
        <v>-1.0972222222222223</v>
      </c>
    </row>
    <row r="650" spans="1:40" x14ac:dyDescent="0.25">
      <c r="A650" s="99">
        <v>578</v>
      </c>
      <c r="B650" s="99" t="s">
        <v>55</v>
      </c>
      <c r="C650" s="99"/>
      <c r="D650" s="99"/>
      <c r="E650" s="99" t="s">
        <v>54</v>
      </c>
      <c r="F650" s="99" t="s">
        <v>409</v>
      </c>
      <c r="G650" s="99" t="s">
        <v>13656</v>
      </c>
      <c r="H650" s="99">
        <v>25</v>
      </c>
      <c r="I650" s="99">
        <v>9</v>
      </c>
      <c r="J650" s="99">
        <v>9</v>
      </c>
      <c r="K650" s="101" t="str">
        <f t="shared" si="122"/>
        <v>25x9x9</v>
      </c>
      <c r="L650" s="102">
        <f t="shared" si="123"/>
        <v>14.568345323741006</v>
      </c>
      <c r="M650" s="113">
        <f t="shared" si="124"/>
        <v>14.568345323741006</v>
      </c>
      <c r="N650" s="113">
        <f t="shared" si="125"/>
        <v>15</v>
      </c>
      <c r="O650" s="99">
        <v>7</v>
      </c>
      <c r="P650" s="113">
        <f t="shared" si="126"/>
        <v>15</v>
      </c>
      <c r="Q650" s="112">
        <f t="shared" si="127"/>
        <v>240</v>
      </c>
      <c r="R650" s="112" t="str">
        <f t="shared" si="128"/>
        <v>Oversize</v>
      </c>
      <c r="S650" s="99" t="str">
        <f t="shared" si="129"/>
        <v>Large bulky</v>
      </c>
      <c r="T650" s="116" t="s">
        <v>13692</v>
      </c>
      <c r="U650" s="116">
        <f t="shared" si="130"/>
        <v>1.171875</v>
      </c>
      <c r="V650" s="116" t="s">
        <v>13583</v>
      </c>
      <c r="W650" s="116" t="s">
        <v>13690</v>
      </c>
      <c r="X650" s="116" t="s">
        <v>13691</v>
      </c>
      <c r="Y650" s="116">
        <v>2</v>
      </c>
      <c r="Z650" s="116">
        <v>3</v>
      </c>
      <c r="AA650" s="116">
        <v>1</v>
      </c>
      <c r="AB650" s="99"/>
      <c r="AC650" s="99"/>
      <c r="AD650" s="107">
        <v>48.223797272727197</v>
      </c>
      <c r="AE650" s="113">
        <f t="shared" si="131"/>
        <v>-7.2335695909090791</v>
      </c>
      <c r="AF650" s="116">
        <f>-IFERROR(IFERROR(VLOOKUP(ROUNDUP($Q650,0),'FBA FEES'!$L$2:$Q$203,MATCH($S650,'FBA FEES'!$L$2:$Q$2,0),FALSE),VLOOKUP(ROUNDUP($Q650,0),'FBA FEES'!$C$6:$F$123,MATCH($S650,'FBA FEES'!$C$6:$F$6,0),FALSE)),0)</f>
        <v>-14.93</v>
      </c>
      <c r="AG650" s="116">
        <v>-7</v>
      </c>
      <c r="AH650" s="113">
        <f t="shared" si="132"/>
        <v>-22.163569590909077</v>
      </c>
      <c r="AI650" s="116">
        <f>-IFERROR(IF($Y650=1,INDEX('[1]REMOVAL FEES'!$A$1:$C$22,MATCH(CONCATENATE("Standard Size",$P650),'[1]REMOVAL FEES'!$A$1:$A$22,0),3),IF($Y650=2,IF($P650&gt;10,(($P650-10)*1.06)+INDEX('[1]REMOVAL FEES'!$E$1:$G$22,MATCH(CONCATENATE("Large bulky, extra-large and special handling items",IF($P650&gt;=11,11,$P650)),'[1]REMOVAL FEES'!$E$1:$E$13,0),3),INDEX('[1]REMOVAL FEES'!$E$1:$G$22,MATCH(CONCATENATE("Large bulky, extra-large and special handling items",IF($P650&gt;=11,11,$P650)),'[1]REMOVAL FEES'!$E$1:$E$13,0),3))))*$AA650,FALSE)</f>
        <v>-19.62</v>
      </c>
      <c r="AJ650" s="107">
        <f t="shared" si="133"/>
        <v>-41.783569590909082</v>
      </c>
      <c r="AK650" s="107">
        <v>-9.9468181818181893</v>
      </c>
      <c r="AL650" s="107">
        <v>-7.0685739323176824</v>
      </c>
      <c r="AM650" s="107">
        <f t="shared" si="134"/>
        <v>-17.015392114135871</v>
      </c>
      <c r="AN650" s="116">
        <f>(-IF($V650="Yes", IF($X650="Yes", VLOOKUP($W650, '[1]Storage Fees'!A:M, 13, FALSE), VLOOKUP($W650, '[1]Storage Fees'!A:M, 10, FALSE)), IF($X650="Yes", VLOOKUP($W650, '[1]Storage Fees'!A:M, 7, FALSE), VLOOKUP($W650, '[1]Storage Fees'!A:M, 4, FALSE))) * U650)*1.5</f>
        <v>-1.388671875</v>
      </c>
    </row>
    <row r="651" spans="1:40" x14ac:dyDescent="0.25">
      <c r="A651" s="99">
        <v>579</v>
      </c>
      <c r="B651" s="99" t="s">
        <v>55</v>
      </c>
      <c r="C651" s="99"/>
      <c r="D651" s="99"/>
      <c r="E651" s="99" t="s">
        <v>54</v>
      </c>
      <c r="F651" s="99" t="s">
        <v>411</v>
      </c>
      <c r="G651" s="99" t="s">
        <v>13656</v>
      </c>
      <c r="H651" s="99">
        <v>25</v>
      </c>
      <c r="I651" s="99">
        <v>10</v>
      </c>
      <c r="J651" s="99">
        <v>10</v>
      </c>
      <c r="K651" s="101" t="str">
        <f t="shared" si="122"/>
        <v>25x10x10</v>
      </c>
      <c r="L651" s="102">
        <f t="shared" si="123"/>
        <v>17.985611510791365</v>
      </c>
      <c r="M651" s="113">
        <f t="shared" si="124"/>
        <v>17.985611510791365</v>
      </c>
      <c r="N651" s="113">
        <f t="shared" si="125"/>
        <v>18</v>
      </c>
      <c r="O651" s="99">
        <v>14</v>
      </c>
      <c r="P651" s="113">
        <f t="shared" si="126"/>
        <v>18</v>
      </c>
      <c r="Q651" s="112">
        <f t="shared" si="127"/>
        <v>288</v>
      </c>
      <c r="R651" s="112" t="str">
        <f t="shared" si="128"/>
        <v>Oversize</v>
      </c>
      <c r="S651" s="99" t="str">
        <f t="shared" si="129"/>
        <v>Large bulky</v>
      </c>
      <c r="T651" s="116" t="s">
        <v>13692</v>
      </c>
      <c r="U651" s="116">
        <f t="shared" si="130"/>
        <v>1.4467592592592593</v>
      </c>
      <c r="V651" s="116" t="s">
        <v>13583</v>
      </c>
      <c r="W651" s="116" t="s">
        <v>13690</v>
      </c>
      <c r="X651" s="116" t="s">
        <v>13691</v>
      </c>
      <c r="Y651" s="116">
        <v>2</v>
      </c>
      <c r="Z651" s="116">
        <v>3</v>
      </c>
      <c r="AA651" s="116">
        <v>1</v>
      </c>
      <c r="AB651" s="99"/>
      <c r="AC651" s="99"/>
      <c r="AD651" s="107">
        <v>66.08265306122432</v>
      </c>
      <c r="AE651" s="113">
        <f t="shared" si="131"/>
        <v>-9.9123979591836484</v>
      </c>
      <c r="AF651" s="116">
        <f>-IFERROR(IFERROR(VLOOKUP(ROUNDUP($Q651,0),'FBA FEES'!$L$2:$Q$203,MATCH($S651,'FBA FEES'!$L$2:$Q$2,0),FALSE),VLOOKUP(ROUNDUP($Q651,0),'FBA FEES'!$C$6:$F$123,MATCH($S651,'FBA FEES'!$C$6:$F$6,0),FALSE)),0)</f>
        <v>-16.07</v>
      </c>
      <c r="AG651" s="116">
        <v>-7</v>
      </c>
      <c r="AH651" s="113">
        <f t="shared" si="132"/>
        <v>-25.98239795918365</v>
      </c>
      <c r="AI651" s="116">
        <f>-IFERROR(IF($Y651=1,INDEX('[1]REMOVAL FEES'!$A$1:$C$22,MATCH(CONCATENATE("Standard Size",$P651),'[1]REMOVAL FEES'!$A$1:$A$22,0),3),IF($Y651=2,IF($P651&gt;10,(($P651-10)*1.06)+INDEX('[1]REMOVAL FEES'!$E$1:$G$22,MATCH(CONCATENATE("Large bulky, extra-large and special handling items",IF($P651&gt;=11,11,$P651)),'[1]REMOVAL FEES'!$E$1:$E$13,0),3),INDEX('[1]REMOVAL FEES'!$E$1:$G$22,MATCH(CONCATENATE("Large bulky, extra-large and special handling items",IF($P651&gt;=11,11,$P651)),'[1]REMOVAL FEES'!$E$1:$E$13,0),3))))*$AA651,FALSE)</f>
        <v>-22.8</v>
      </c>
      <c r="AJ651" s="107">
        <f t="shared" si="133"/>
        <v>-48.782397959183655</v>
      </c>
      <c r="AK651" s="107">
        <v>-16.088061224489739</v>
      </c>
      <c r="AL651" s="107">
        <v>-8.9924292031506248</v>
      </c>
      <c r="AM651" s="107">
        <f t="shared" si="134"/>
        <v>-25.080490427640363</v>
      </c>
      <c r="AN651" s="116">
        <f>(-IF($V651="Yes", IF($X651="Yes", VLOOKUP($W651, '[1]Storage Fees'!A:M, 13, FALSE), VLOOKUP($W651, '[1]Storage Fees'!A:M, 10, FALSE)), IF($X651="Yes", VLOOKUP($W651, '[1]Storage Fees'!A:M, 7, FALSE), VLOOKUP($W651, '[1]Storage Fees'!A:M, 4, FALSE))) * U651)*1.5</f>
        <v>-1.7144097222222223</v>
      </c>
    </row>
    <row r="652" spans="1:40" x14ac:dyDescent="0.25">
      <c r="A652" s="99">
        <v>580</v>
      </c>
      <c r="B652" s="99" t="s">
        <v>102</v>
      </c>
      <c r="C652" s="99" t="s">
        <v>13655</v>
      </c>
      <c r="D652" s="99" t="s">
        <v>1208</v>
      </c>
      <c r="E652" s="99" t="s">
        <v>278</v>
      </c>
      <c r="F652" s="99" t="s">
        <v>1206</v>
      </c>
      <c r="G652" s="99" t="s">
        <v>13695</v>
      </c>
      <c r="H652" s="99">
        <v>38</v>
      </c>
      <c r="I652" s="99">
        <v>24</v>
      </c>
      <c r="J652" s="99">
        <v>3</v>
      </c>
      <c r="K652" s="101" t="str">
        <f t="shared" si="122"/>
        <v>38x24x3</v>
      </c>
      <c r="L652" s="102">
        <f t="shared" si="123"/>
        <v>19.68345323741007</v>
      </c>
      <c r="M652" s="113">
        <f t="shared" si="124"/>
        <v>19.68345323741007</v>
      </c>
      <c r="N652" s="113">
        <f t="shared" si="125"/>
        <v>20</v>
      </c>
      <c r="O652" s="99">
        <v>17</v>
      </c>
      <c r="P652" s="113">
        <f t="shared" si="126"/>
        <v>20</v>
      </c>
      <c r="Q652" s="112">
        <f t="shared" si="127"/>
        <v>320</v>
      </c>
      <c r="R652" s="112" t="str">
        <f t="shared" si="128"/>
        <v>Oversize</v>
      </c>
      <c r="S652" s="99" t="str">
        <f t="shared" si="129"/>
        <v>Large bulky</v>
      </c>
      <c r="T652" s="116" t="s">
        <v>13692</v>
      </c>
      <c r="U652" s="116">
        <f t="shared" si="130"/>
        <v>1.5833333333333333</v>
      </c>
      <c r="V652" s="116" t="s">
        <v>13583</v>
      </c>
      <c r="W652" s="116" t="s">
        <v>13690</v>
      </c>
      <c r="X652" s="116" t="s">
        <v>13691</v>
      </c>
      <c r="Y652" s="116">
        <v>2</v>
      </c>
      <c r="Z652" s="116">
        <v>3</v>
      </c>
      <c r="AA652" s="116">
        <v>1</v>
      </c>
      <c r="AB652" s="99"/>
      <c r="AC652" s="99"/>
      <c r="AD652" s="107">
        <v>69.989999999999995</v>
      </c>
      <c r="AE652" s="113">
        <f t="shared" si="131"/>
        <v>-10.498499999999998</v>
      </c>
      <c r="AF652" s="116">
        <f>-IFERROR(IFERROR(VLOOKUP(ROUNDUP($Q652,0),'FBA FEES'!$L$2:$Q$203,MATCH($S652,'FBA FEES'!$L$2:$Q$2,0),FALSE),VLOOKUP(ROUNDUP($Q652,0),'FBA FEES'!$C$6:$F$123,MATCH($S652,'FBA FEES'!$C$6:$F$6,0),FALSE)),0)</f>
        <v>-16.829999999999998</v>
      </c>
      <c r="AG652" s="116">
        <v>-10</v>
      </c>
      <c r="AH652" s="113">
        <f t="shared" si="132"/>
        <v>-27.328499999999998</v>
      </c>
      <c r="AI652" s="116">
        <f>-IFERROR(IF($Y652=1,INDEX('[1]REMOVAL FEES'!$A$1:$C$22,MATCH(CONCATENATE("Standard Size",$P652),'[1]REMOVAL FEES'!$A$1:$A$22,0),3),IF($Y652=2,IF($P652&gt;10,(($P652-10)*1.06)+INDEX('[1]REMOVAL FEES'!$E$1:$G$22,MATCH(CONCATENATE("Large bulky, extra-large and special handling items",IF($P652&gt;=11,11,$P652)),'[1]REMOVAL FEES'!$E$1:$E$13,0),3),INDEX('[1]REMOVAL FEES'!$E$1:$G$22,MATCH(CONCATENATE("Large bulky, extra-large and special handling items",IF($P652&gt;=11,11,$P652)),'[1]REMOVAL FEES'!$E$1:$E$13,0),3))))*$AA652,FALSE)</f>
        <v>-24.92</v>
      </c>
      <c r="AJ652" s="107">
        <f t="shared" si="133"/>
        <v>-52.2485</v>
      </c>
      <c r="AK652" s="107">
        <v>-38.79</v>
      </c>
      <c r="AL652" s="107">
        <v>-7.993095238095238</v>
      </c>
      <c r="AM652" s="107">
        <f t="shared" si="134"/>
        <v>-46.783095238095235</v>
      </c>
      <c r="AN652" s="116">
        <f>(-IF($V652="Yes", IF($X652="Yes", VLOOKUP($W652, '[1]Storage Fees'!A:M, 13, FALSE), VLOOKUP($W652, '[1]Storage Fees'!A:M, 10, FALSE)), IF($X652="Yes", VLOOKUP($W652, '[1]Storage Fees'!A:M, 7, FALSE), VLOOKUP($W652, '[1]Storage Fees'!A:M, 4, FALSE))) * U652)*1.5</f>
        <v>-1.8762499999999998</v>
      </c>
    </row>
    <row r="653" spans="1:40" x14ac:dyDescent="0.25">
      <c r="A653" s="99">
        <v>581</v>
      </c>
      <c r="B653" s="99" t="s">
        <v>13699</v>
      </c>
      <c r="C653" s="99" t="s">
        <v>13655</v>
      </c>
      <c r="D653" s="99" t="s">
        <v>1212</v>
      </c>
      <c r="E653" s="99" t="s">
        <v>278</v>
      </c>
      <c r="F653" s="99" t="s">
        <v>1210</v>
      </c>
      <c r="G653" s="99" t="s">
        <v>13695</v>
      </c>
      <c r="H653" s="99">
        <v>30</v>
      </c>
      <c r="I653" s="99">
        <v>15</v>
      </c>
      <c r="J653" s="99">
        <v>10</v>
      </c>
      <c r="K653" s="101" t="str">
        <f t="shared" si="122"/>
        <v>30x15x10</v>
      </c>
      <c r="L653" s="102">
        <f t="shared" si="123"/>
        <v>32.374100719424462</v>
      </c>
      <c r="M653" s="113">
        <f t="shared" si="124"/>
        <v>32.374100719424462</v>
      </c>
      <c r="N653" s="113">
        <f t="shared" si="125"/>
        <v>33</v>
      </c>
      <c r="O653" s="99">
        <v>30</v>
      </c>
      <c r="P653" s="113">
        <f t="shared" si="126"/>
        <v>33</v>
      </c>
      <c r="Q653" s="112">
        <f t="shared" si="127"/>
        <v>528</v>
      </c>
      <c r="R653" s="112" t="str">
        <f t="shared" si="128"/>
        <v>Oversize</v>
      </c>
      <c r="S653" s="99" t="str">
        <f t="shared" si="129"/>
        <v>Large bulky</v>
      </c>
      <c r="T653" s="116" t="s">
        <v>13694</v>
      </c>
      <c r="U653" s="116">
        <f t="shared" si="130"/>
        <v>2.6041666666666665</v>
      </c>
      <c r="V653" s="116" t="s">
        <v>13583</v>
      </c>
      <c r="W653" s="116" t="s">
        <v>13690</v>
      </c>
      <c r="X653" s="116" t="s">
        <v>13691</v>
      </c>
      <c r="Y653" s="116">
        <v>2</v>
      </c>
      <c r="Z653" s="116">
        <v>3</v>
      </c>
      <c r="AA653" s="116">
        <v>1</v>
      </c>
      <c r="AB653" s="99"/>
      <c r="AC653" s="99"/>
      <c r="AD653" s="107">
        <v>126.6568888888889</v>
      </c>
      <c r="AE653" s="113">
        <f t="shared" si="131"/>
        <v>-18.998533333333334</v>
      </c>
      <c r="AF653" s="116">
        <f>-IFERROR(IFERROR(VLOOKUP(ROUNDUP($Q653,0),'FBA FEES'!$L$2:$Q$203,MATCH($S653,'FBA FEES'!$L$2:$Q$2,0),FALSE),VLOOKUP(ROUNDUP($Q653,0),'FBA FEES'!$C$6:$F$123,MATCH($S653,'FBA FEES'!$C$6:$F$6,0),FALSE)),0)</f>
        <v>-21.77</v>
      </c>
      <c r="AG653" s="116">
        <v>-10</v>
      </c>
      <c r="AH653" s="113">
        <f t="shared" si="132"/>
        <v>-40.768533333333338</v>
      </c>
      <c r="AI653" s="116">
        <f>-IFERROR(IF($Y653=1,INDEX('[1]REMOVAL FEES'!$A$1:$C$22,MATCH(CONCATENATE("Standard Size",$P653),'[1]REMOVAL FEES'!$A$1:$A$22,0),3),IF($Y653=2,IF($P653&gt;10,(($P653-10)*1.06)+INDEX('[1]REMOVAL FEES'!$E$1:$G$22,MATCH(CONCATENATE("Large bulky, extra-large and special handling items",IF($P653&gt;=11,11,$P653)),'[1]REMOVAL FEES'!$E$1:$E$13,0),3),INDEX('[1]REMOVAL FEES'!$E$1:$G$22,MATCH(CONCATENATE("Large bulky, extra-large and special handling items",IF($P653&gt;=11,11,$P653)),'[1]REMOVAL FEES'!$E$1:$E$13,0),3))))*$AA653,FALSE)</f>
        <v>-38.700000000000003</v>
      </c>
      <c r="AJ653" s="107">
        <f t="shared" si="133"/>
        <v>-79.46853333333334</v>
      </c>
      <c r="AK653" s="107">
        <v>-56.862222222222243</v>
      </c>
      <c r="AL653" s="107">
        <v>-11.692299999999999</v>
      </c>
      <c r="AM653" s="107">
        <f t="shared" si="134"/>
        <v>-68.554522222222246</v>
      </c>
      <c r="AN653" s="116">
        <f>(-IF($V653="Yes", IF($X653="Yes", VLOOKUP($W653, '[1]Storage Fees'!A:M, 13, FALSE), VLOOKUP($W653, '[1]Storage Fees'!A:M, 10, FALSE)), IF($X653="Yes", VLOOKUP($W653, '[1]Storage Fees'!A:M, 7, FALSE), VLOOKUP($W653, '[1]Storage Fees'!A:M, 4, FALSE))) * U653)*1.5</f>
        <v>-3.0859375</v>
      </c>
    </row>
    <row r="654" spans="1:40" x14ac:dyDescent="0.25">
      <c r="A654" s="99">
        <v>582</v>
      </c>
      <c r="B654" s="99" t="s">
        <v>13699</v>
      </c>
      <c r="C654" s="99" t="s">
        <v>13655</v>
      </c>
      <c r="D654" s="99" t="s">
        <v>1216</v>
      </c>
      <c r="E654" s="99" t="s">
        <v>278</v>
      </c>
      <c r="F654" s="99" t="s">
        <v>1214</v>
      </c>
      <c r="G654" s="99" t="s">
        <v>13695</v>
      </c>
      <c r="H654" s="99">
        <v>30</v>
      </c>
      <c r="I654" s="99">
        <v>15</v>
      </c>
      <c r="J654" s="99">
        <v>9</v>
      </c>
      <c r="K654" s="101" t="str">
        <f t="shared" si="122"/>
        <v>30x15x9</v>
      </c>
      <c r="L654" s="102">
        <f t="shared" si="123"/>
        <v>29.136690647482013</v>
      </c>
      <c r="M654" s="113">
        <f t="shared" si="124"/>
        <v>29.136690647482013</v>
      </c>
      <c r="N654" s="113">
        <f t="shared" si="125"/>
        <v>30</v>
      </c>
      <c r="O654" s="99">
        <v>34</v>
      </c>
      <c r="P654" s="113">
        <f t="shared" si="126"/>
        <v>34</v>
      </c>
      <c r="Q654" s="112">
        <f t="shared" si="127"/>
        <v>544</v>
      </c>
      <c r="R654" s="112" t="str">
        <f t="shared" si="128"/>
        <v>Oversize</v>
      </c>
      <c r="S654" s="99" t="str">
        <f t="shared" si="129"/>
        <v>Large bulky</v>
      </c>
      <c r="T654" s="116" t="s">
        <v>13694</v>
      </c>
      <c r="U654" s="116">
        <f t="shared" si="130"/>
        <v>2.34375</v>
      </c>
      <c r="V654" s="116" t="s">
        <v>13583</v>
      </c>
      <c r="W654" s="116" t="s">
        <v>13690</v>
      </c>
      <c r="X654" s="116" t="s">
        <v>13691</v>
      </c>
      <c r="Y654" s="116">
        <v>2</v>
      </c>
      <c r="Z654" s="116">
        <v>3</v>
      </c>
      <c r="AA654" s="116">
        <v>1</v>
      </c>
      <c r="AB654" s="99"/>
      <c r="AC654" s="99"/>
      <c r="AD654" s="107">
        <v>129.1484137931034</v>
      </c>
      <c r="AE654" s="113">
        <f t="shared" si="131"/>
        <v>-19.372262068965508</v>
      </c>
      <c r="AF654" s="116">
        <f>-IFERROR(IFERROR(VLOOKUP(ROUNDUP($Q654,0),'FBA FEES'!$L$2:$Q$203,MATCH($S654,'FBA FEES'!$L$2:$Q$2,0),FALSE),VLOOKUP(ROUNDUP($Q654,0),'FBA FEES'!$C$6:$F$123,MATCH($S654,'FBA FEES'!$C$6:$F$6,0),FALSE)),0)</f>
        <v>-22.15</v>
      </c>
      <c r="AG654" s="116">
        <v>-10</v>
      </c>
      <c r="AH654" s="113">
        <f t="shared" si="132"/>
        <v>-41.522262068965503</v>
      </c>
      <c r="AI654" s="116">
        <f>-IFERROR(IF($Y654=1,INDEX('[1]REMOVAL FEES'!$A$1:$C$22,MATCH(CONCATENATE("Standard Size",$P654),'[1]REMOVAL FEES'!$A$1:$A$22,0),3),IF($Y654=2,IF($P654&gt;10,(($P654-10)*1.06)+INDEX('[1]REMOVAL FEES'!$E$1:$G$22,MATCH(CONCATENATE("Large bulky, extra-large and special handling items",IF($P654&gt;=11,11,$P654)),'[1]REMOVAL FEES'!$E$1:$E$13,0),3),INDEX('[1]REMOVAL FEES'!$E$1:$G$22,MATCH(CONCATENATE("Large bulky, extra-large and special handling items",IF($P654&gt;=11,11,$P654)),'[1]REMOVAL FEES'!$E$1:$E$13,0),3))))*$AA654,FALSE)</f>
        <v>-39.760000000000005</v>
      </c>
      <c r="AJ654" s="107">
        <f t="shared" si="133"/>
        <v>-81.282262068965508</v>
      </c>
      <c r="AK654" s="107">
        <v>-67.150000000000034</v>
      </c>
      <c r="AL654" s="107">
        <v>-17.433480911330051</v>
      </c>
      <c r="AM654" s="107">
        <f t="shared" si="134"/>
        <v>-84.583480911330085</v>
      </c>
      <c r="AN654" s="116">
        <f>(-IF($V654="Yes", IF($X654="Yes", VLOOKUP($W654, '[1]Storage Fees'!A:M, 13, FALSE), VLOOKUP($W654, '[1]Storage Fees'!A:M, 10, FALSE)), IF($X654="Yes", VLOOKUP($W654, '[1]Storage Fees'!A:M, 7, FALSE), VLOOKUP($W654, '[1]Storage Fees'!A:M, 4, FALSE))) * U654)*1.5</f>
        <v>-2.77734375</v>
      </c>
    </row>
    <row r="655" spans="1:40" x14ac:dyDescent="0.25">
      <c r="A655" s="99">
        <v>583</v>
      </c>
      <c r="B655" s="99" t="s">
        <v>13699</v>
      </c>
      <c r="C655" s="99" t="s">
        <v>13655</v>
      </c>
      <c r="D655" s="99" t="s">
        <v>1221</v>
      </c>
      <c r="E655" s="99" t="s">
        <v>278</v>
      </c>
      <c r="F655" s="99" t="s">
        <v>1219</v>
      </c>
      <c r="G655" s="99" t="s">
        <v>13695</v>
      </c>
      <c r="H655" s="99">
        <v>39</v>
      </c>
      <c r="I655" s="99">
        <v>15</v>
      </c>
      <c r="J655" s="99">
        <v>11</v>
      </c>
      <c r="K655" s="101" t="str">
        <f t="shared" si="122"/>
        <v>39x15x11</v>
      </c>
      <c r="L655" s="102">
        <f t="shared" si="123"/>
        <v>46.294964028776981</v>
      </c>
      <c r="M655" s="113">
        <f t="shared" si="124"/>
        <v>46.294964028776981</v>
      </c>
      <c r="N655" s="113">
        <f t="shared" si="125"/>
        <v>47</v>
      </c>
      <c r="O655" s="99">
        <v>36</v>
      </c>
      <c r="P655" s="113">
        <f t="shared" si="126"/>
        <v>47</v>
      </c>
      <c r="Q655" s="112">
        <f t="shared" si="127"/>
        <v>752</v>
      </c>
      <c r="R655" s="112" t="str">
        <f t="shared" si="128"/>
        <v>Oversize</v>
      </c>
      <c r="S655" s="99" t="str">
        <f t="shared" si="129"/>
        <v>Large bulky</v>
      </c>
      <c r="T655" s="116" t="s">
        <v>13694</v>
      </c>
      <c r="U655" s="116">
        <f t="shared" si="130"/>
        <v>3.7239583333333335</v>
      </c>
      <c r="V655" s="116" t="s">
        <v>13583</v>
      </c>
      <c r="W655" s="116" t="s">
        <v>13690</v>
      </c>
      <c r="X655" s="116" t="s">
        <v>13691</v>
      </c>
      <c r="Y655" s="116">
        <v>2</v>
      </c>
      <c r="Z655" s="116">
        <v>3</v>
      </c>
      <c r="AA655" s="116">
        <v>1</v>
      </c>
      <c r="AB655" s="99"/>
      <c r="AC655" s="99"/>
      <c r="AD655" s="107">
        <v>126.35833333333331</v>
      </c>
      <c r="AE655" s="113">
        <f t="shared" si="131"/>
        <v>-18.953749999999996</v>
      </c>
      <c r="AF655" s="116">
        <f>-IFERROR(IFERROR(VLOOKUP(ROUNDUP($Q655,0),'FBA FEES'!$L$2:$Q$203,MATCH($S655,'FBA FEES'!$L$2:$Q$2,0),FALSE),VLOOKUP(ROUNDUP($Q655,0),'FBA FEES'!$C$6:$F$123,MATCH($S655,'FBA FEES'!$C$6:$F$6,0),FALSE)),0)</f>
        <v>-27.09</v>
      </c>
      <c r="AG655" s="116">
        <v>-10</v>
      </c>
      <c r="AH655" s="113">
        <f t="shared" si="132"/>
        <v>-46.043749999999996</v>
      </c>
      <c r="AI655" s="116">
        <f>-IFERROR(IF($Y655=1,INDEX('[1]REMOVAL FEES'!$A$1:$C$22,MATCH(CONCATENATE("Standard Size",$P655),'[1]REMOVAL FEES'!$A$1:$A$22,0),3),IF($Y655=2,IF($P655&gt;10,(($P655-10)*1.06)+INDEX('[1]REMOVAL FEES'!$E$1:$G$22,MATCH(CONCATENATE("Large bulky, extra-large and special handling items",IF($P655&gt;=11,11,$P655)),'[1]REMOVAL FEES'!$E$1:$E$13,0),3),INDEX('[1]REMOVAL FEES'!$E$1:$G$22,MATCH(CONCATENATE("Large bulky, extra-large and special handling items",IF($P655&gt;=11,11,$P655)),'[1]REMOVAL FEES'!$E$1:$E$13,0),3))))*$AA655,FALSE)</f>
        <v>-53.54</v>
      </c>
      <c r="AJ655" s="107">
        <f t="shared" si="133"/>
        <v>-99.583749999999995</v>
      </c>
      <c r="AK655" s="107">
        <v>-64.529999999999987</v>
      </c>
      <c r="AL655" s="107">
        <v>-14.64902777777777</v>
      </c>
      <c r="AM655" s="107">
        <f t="shared" si="134"/>
        <v>-79.179027777777762</v>
      </c>
      <c r="AN655" s="116">
        <f>(-IF($V655="Yes", IF($X655="Yes", VLOOKUP($W655, '[1]Storage Fees'!A:M, 13, FALSE), VLOOKUP($W655, '[1]Storage Fees'!A:M, 10, FALSE)), IF($X655="Yes", VLOOKUP($W655, '[1]Storage Fees'!A:M, 7, FALSE), VLOOKUP($W655, '[1]Storage Fees'!A:M, 4, FALSE))) * U655)*1.5</f>
        <v>-4.4128906250000011</v>
      </c>
    </row>
    <row r="656" spans="1:40" x14ac:dyDescent="0.25">
      <c r="A656" s="99">
        <v>584</v>
      </c>
      <c r="B656" s="99"/>
      <c r="C656" s="99" t="s">
        <v>13655</v>
      </c>
      <c r="D656" s="99"/>
      <c r="E656" s="99" t="s">
        <v>278</v>
      </c>
      <c r="F656" s="99" t="s">
        <v>2037</v>
      </c>
      <c r="G656" s="99" t="s">
        <v>13695</v>
      </c>
      <c r="H656" s="99">
        <v>0</v>
      </c>
      <c r="I656" s="99">
        <v>0</v>
      </c>
      <c r="J656" s="99">
        <v>0</v>
      </c>
      <c r="K656" s="101" t="str">
        <f t="shared" si="122"/>
        <v>0x0x0</v>
      </c>
      <c r="L656" s="102">
        <f t="shared" si="123"/>
        <v>0</v>
      </c>
      <c r="M656" s="113">
        <f t="shared" si="124"/>
        <v>0</v>
      </c>
      <c r="N656" s="113">
        <f t="shared" si="125"/>
        <v>0</v>
      </c>
      <c r="O656" s="99">
        <v>0</v>
      </c>
      <c r="P656" s="113">
        <f t="shared" si="126"/>
        <v>0</v>
      </c>
      <c r="Q656" s="112">
        <f t="shared" si="127"/>
        <v>0</v>
      </c>
      <c r="R656" s="112" t="str">
        <f t="shared" si="128"/>
        <v>Standard-size</v>
      </c>
      <c r="S656" s="99" t="str">
        <f t="shared" si="129"/>
        <v>Small standard-size</v>
      </c>
      <c r="T656" s="116" t="s">
        <v>13696</v>
      </c>
      <c r="U656" s="116">
        <f t="shared" si="130"/>
        <v>0</v>
      </c>
      <c r="V656" s="116" t="s">
        <v>13583</v>
      </c>
      <c r="W656" s="116" t="s">
        <v>13690</v>
      </c>
      <c r="X656" s="99" t="s">
        <v>13583</v>
      </c>
      <c r="Y656" s="99">
        <v>1</v>
      </c>
      <c r="Z656" s="99">
        <v>1</v>
      </c>
      <c r="AA656" s="99">
        <v>1</v>
      </c>
      <c r="AB656" s="99"/>
      <c r="AC656" s="99"/>
      <c r="AD656" s="107">
        <v>121.1318181818182</v>
      </c>
      <c r="AE656" s="113">
        <f t="shared" si="131"/>
        <v>-18.169772727272729</v>
      </c>
      <c r="AF656" s="116">
        <f>-IFERROR(IFERROR(VLOOKUP(ROUNDUP($Q656,0),'FBA FEES'!$L$2:$Q$203,MATCH($S656,'FBA FEES'!$L$2:$Q$2,0),FALSE),VLOOKUP(ROUNDUP($Q656,0),'FBA FEES'!$C$6:$F$123,MATCH($S656,'FBA FEES'!$C$6:$F$6,0),FALSE)),0)</f>
        <v>0</v>
      </c>
      <c r="AG656" s="116">
        <v>-10</v>
      </c>
      <c r="AH656" s="113">
        <f t="shared" si="132"/>
        <v>-18.169772727272729</v>
      </c>
      <c r="AI656" s="116">
        <f>-IFERROR(IF($Y656=1,INDEX('[1]REMOVAL FEES'!$A$1:$C$22,MATCH(CONCATENATE("Standard Size",$P656),'[1]REMOVAL FEES'!$A$1:$A$22,0),3),IF($Y656=2,IF($P656&gt;10,(($P656-10)*1.06)+INDEX('[1]REMOVAL FEES'!$E$1:$G$22,MATCH(CONCATENATE("Large bulky, extra-large and special handling items",IF($P656&gt;=11,11,$P656)),'[1]REMOVAL FEES'!$E$1:$E$13,0),3),INDEX('[1]REMOVAL FEES'!$E$1:$G$22,MATCH(CONCATENATE("Large bulky, extra-large and special handling items",IF($P656&gt;=11,11,$P656)),'[1]REMOVAL FEES'!$E$1:$E$13,0),3))))*$AA656,FALSE)</f>
        <v>0</v>
      </c>
      <c r="AJ656" s="107">
        <f t="shared" si="133"/>
        <v>-18.169772727272729</v>
      </c>
      <c r="AK656" s="107">
        <v>-75.409999999999982</v>
      </c>
      <c r="AL656" s="107">
        <v>-13.863958333333329</v>
      </c>
      <c r="AM656" s="107">
        <f t="shared" si="134"/>
        <v>-89.273958333333312</v>
      </c>
      <c r="AN656" s="116">
        <f>(-IF($V656="Yes", IF($X656="Yes", VLOOKUP($W656, '[1]Storage Fees'!A:M, 13, FALSE), VLOOKUP($W656, '[1]Storage Fees'!A:M, 10, FALSE)), IF($X656="Yes", VLOOKUP($W656, '[1]Storage Fees'!A:M, 7, FALSE), VLOOKUP($W656, '[1]Storage Fees'!A:M, 4, FALSE))) * U656)*1.5</f>
        <v>0</v>
      </c>
    </row>
    <row r="657" spans="1:40" x14ac:dyDescent="0.25">
      <c r="A657" s="99">
        <v>585</v>
      </c>
      <c r="B657" s="99"/>
      <c r="C657" s="99" t="s">
        <v>13655</v>
      </c>
      <c r="D657" s="99"/>
      <c r="E657" s="99" t="s">
        <v>278</v>
      </c>
      <c r="F657" s="99" t="s">
        <v>2040</v>
      </c>
      <c r="G657" s="99" t="s">
        <v>13695</v>
      </c>
      <c r="H657" s="99">
        <v>0</v>
      </c>
      <c r="I657" s="99">
        <v>0</v>
      </c>
      <c r="J657" s="99">
        <v>0</v>
      </c>
      <c r="K657" s="101" t="str">
        <f t="shared" si="122"/>
        <v>0x0x0</v>
      </c>
      <c r="L657" s="102">
        <f t="shared" si="123"/>
        <v>0</v>
      </c>
      <c r="M657" s="113">
        <f t="shared" si="124"/>
        <v>0</v>
      </c>
      <c r="N657" s="113">
        <f t="shared" si="125"/>
        <v>0</v>
      </c>
      <c r="O657" s="99">
        <v>0</v>
      </c>
      <c r="P657" s="113">
        <f t="shared" si="126"/>
        <v>0</v>
      </c>
      <c r="Q657" s="112">
        <f t="shared" si="127"/>
        <v>0</v>
      </c>
      <c r="R657" s="112" t="str">
        <f t="shared" si="128"/>
        <v>Standard-size</v>
      </c>
      <c r="S657" s="99" t="str">
        <f t="shared" si="129"/>
        <v>Small standard-size</v>
      </c>
      <c r="T657" s="116" t="s">
        <v>13696</v>
      </c>
      <c r="U657" s="116">
        <f t="shared" si="130"/>
        <v>0</v>
      </c>
      <c r="V657" s="116" t="s">
        <v>13583</v>
      </c>
      <c r="W657" s="116" t="s">
        <v>13690</v>
      </c>
      <c r="X657" s="99" t="s">
        <v>13583</v>
      </c>
      <c r="Y657" s="99">
        <v>1</v>
      </c>
      <c r="Z657" s="99">
        <v>1</v>
      </c>
      <c r="AA657" s="99">
        <v>1</v>
      </c>
      <c r="AB657" s="99"/>
      <c r="AC657" s="99"/>
      <c r="AD657" s="107">
        <v>0</v>
      </c>
      <c r="AE657" s="113">
        <f t="shared" si="131"/>
        <v>0</v>
      </c>
      <c r="AF657" s="116">
        <f>-IFERROR(IFERROR(VLOOKUP(ROUNDUP($Q657,0),'FBA FEES'!$L$2:$Q$203,MATCH($S657,'FBA FEES'!$L$2:$Q$2,0),FALSE),VLOOKUP(ROUNDUP($Q657,0),'FBA FEES'!$C$6:$F$123,MATCH($S657,'FBA FEES'!$C$6:$F$6,0),FALSE)),0)</f>
        <v>0</v>
      </c>
      <c r="AG657" s="116">
        <v>-10</v>
      </c>
      <c r="AH657" s="113">
        <f t="shared" si="132"/>
        <v>0</v>
      </c>
      <c r="AI657" s="116">
        <f>-IFERROR(IF($Y657=1,INDEX('[1]REMOVAL FEES'!$A$1:$C$22,MATCH(CONCATENATE("Standard Size",$P657),'[1]REMOVAL FEES'!$A$1:$A$22,0),3),IF($Y657=2,IF($P657&gt;10,(($P657-10)*1.06)+INDEX('[1]REMOVAL FEES'!$E$1:$G$22,MATCH(CONCATENATE("Large bulky, extra-large and special handling items",IF($P657&gt;=11,11,$P657)),'[1]REMOVAL FEES'!$E$1:$E$13,0),3),INDEX('[1]REMOVAL FEES'!$E$1:$G$22,MATCH(CONCATENATE("Large bulky, extra-large and special handling items",IF($P657&gt;=11,11,$P657)),'[1]REMOVAL FEES'!$E$1:$E$13,0),3))))*$AA657,FALSE)</f>
        <v>0</v>
      </c>
      <c r="AJ657" s="107">
        <f t="shared" si="133"/>
        <v>0</v>
      </c>
      <c r="AK657" s="107">
        <v>0</v>
      </c>
      <c r="AL657" s="107">
        <v>0</v>
      </c>
      <c r="AM657" s="107">
        <f t="shared" si="134"/>
        <v>0</v>
      </c>
      <c r="AN657" s="116">
        <f>(-IF($V657="Yes", IF($X657="Yes", VLOOKUP($W657, '[1]Storage Fees'!A:M, 13, FALSE), VLOOKUP($W657, '[1]Storage Fees'!A:M, 10, FALSE)), IF($X657="Yes", VLOOKUP($W657, '[1]Storage Fees'!A:M, 7, FALSE), VLOOKUP($W657, '[1]Storage Fees'!A:M, 4, FALSE))) * U657)*1.5</f>
        <v>0</v>
      </c>
    </row>
    <row r="658" spans="1:40" x14ac:dyDescent="0.25">
      <c r="A658" s="99">
        <v>586</v>
      </c>
      <c r="B658" s="99"/>
      <c r="C658" s="99" t="s">
        <v>13655</v>
      </c>
      <c r="D658" s="99"/>
      <c r="E658" s="99" t="s">
        <v>278</v>
      </c>
      <c r="F658" s="99" t="s">
        <v>2041</v>
      </c>
      <c r="G658" s="99" t="s">
        <v>13695</v>
      </c>
      <c r="H658" s="99">
        <v>0</v>
      </c>
      <c r="I658" s="99">
        <v>0</v>
      </c>
      <c r="J658" s="99">
        <v>0</v>
      </c>
      <c r="K658" s="101" t="str">
        <f t="shared" si="122"/>
        <v>0x0x0</v>
      </c>
      <c r="L658" s="102">
        <f t="shared" si="123"/>
        <v>0</v>
      </c>
      <c r="M658" s="113">
        <f t="shared" si="124"/>
        <v>0</v>
      </c>
      <c r="N658" s="113">
        <f t="shared" si="125"/>
        <v>0</v>
      </c>
      <c r="O658" s="99">
        <v>0</v>
      </c>
      <c r="P658" s="113">
        <f t="shared" si="126"/>
        <v>0</v>
      </c>
      <c r="Q658" s="112">
        <f t="shared" si="127"/>
        <v>0</v>
      </c>
      <c r="R658" s="112" t="str">
        <f t="shared" si="128"/>
        <v>Standard-size</v>
      </c>
      <c r="S658" s="99" t="str">
        <f t="shared" si="129"/>
        <v>Small standard-size</v>
      </c>
      <c r="T658" s="116" t="s">
        <v>13696</v>
      </c>
      <c r="U658" s="116">
        <f t="shared" si="130"/>
        <v>0</v>
      </c>
      <c r="V658" s="116" t="s">
        <v>13583</v>
      </c>
      <c r="W658" s="116" t="s">
        <v>13690</v>
      </c>
      <c r="X658" s="99" t="s">
        <v>13583</v>
      </c>
      <c r="Y658" s="99">
        <v>1</v>
      </c>
      <c r="Z658" s="99">
        <v>1</v>
      </c>
      <c r="AA658" s="99">
        <v>1</v>
      </c>
      <c r="AB658" s="99"/>
      <c r="AC658" s="99"/>
      <c r="AD658" s="107">
        <v>0</v>
      </c>
      <c r="AE658" s="113">
        <f t="shared" si="131"/>
        <v>0</v>
      </c>
      <c r="AF658" s="116">
        <f>-IFERROR(IFERROR(VLOOKUP(ROUNDUP($Q658,0),'FBA FEES'!$L$2:$Q$203,MATCH($S658,'FBA FEES'!$L$2:$Q$2,0),FALSE),VLOOKUP(ROUNDUP($Q658,0),'FBA FEES'!$C$6:$F$123,MATCH($S658,'FBA FEES'!$C$6:$F$6,0),FALSE)),0)</f>
        <v>0</v>
      </c>
      <c r="AG658" s="116">
        <v>-10</v>
      </c>
      <c r="AH658" s="113">
        <f t="shared" si="132"/>
        <v>0</v>
      </c>
      <c r="AI658" s="116">
        <f>-IFERROR(IF($Y658=1,INDEX('[1]REMOVAL FEES'!$A$1:$C$22,MATCH(CONCATENATE("Standard Size",$P658),'[1]REMOVAL FEES'!$A$1:$A$22,0),3),IF($Y658=2,IF($P658&gt;10,(($P658-10)*1.06)+INDEX('[1]REMOVAL FEES'!$E$1:$G$22,MATCH(CONCATENATE("Large bulky, extra-large and special handling items",IF($P658&gt;=11,11,$P658)),'[1]REMOVAL FEES'!$E$1:$E$13,0),3),INDEX('[1]REMOVAL FEES'!$E$1:$G$22,MATCH(CONCATENATE("Large bulky, extra-large and special handling items",IF($P658&gt;=11,11,$P658)),'[1]REMOVAL FEES'!$E$1:$E$13,0),3))))*$AA658,FALSE)</f>
        <v>0</v>
      </c>
      <c r="AJ658" s="107">
        <f t="shared" si="133"/>
        <v>0</v>
      </c>
      <c r="AK658" s="107">
        <v>0</v>
      </c>
      <c r="AL658" s="107">
        <v>0</v>
      </c>
      <c r="AM658" s="107">
        <f t="shared" si="134"/>
        <v>0</v>
      </c>
      <c r="AN658" s="116">
        <f>(-IF($V658="Yes", IF($X658="Yes", VLOOKUP($W658, '[1]Storage Fees'!A:M, 13, FALSE), VLOOKUP($W658, '[1]Storage Fees'!A:M, 10, FALSE)), IF($X658="Yes", VLOOKUP($W658, '[1]Storage Fees'!A:M, 7, FALSE), VLOOKUP($W658, '[1]Storage Fees'!A:M, 4, FALSE))) * U658)*1.5</f>
        <v>0</v>
      </c>
    </row>
    <row r="659" spans="1:40" x14ac:dyDescent="0.25">
      <c r="A659" s="99">
        <v>587</v>
      </c>
      <c r="B659" s="99" t="s">
        <v>13700</v>
      </c>
      <c r="C659" s="99" t="s">
        <v>13655</v>
      </c>
      <c r="D659" s="99" t="s">
        <v>1225</v>
      </c>
      <c r="E659" s="99" t="s">
        <v>278</v>
      </c>
      <c r="F659" s="99" t="s">
        <v>1223</v>
      </c>
      <c r="G659" s="99" t="s">
        <v>13695</v>
      </c>
      <c r="H659" s="99">
        <v>38</v>
      </c>
      <c r="I659" s="99">
        <v>38</v>
      </c>
      <c r="J659" s="99">
        <v>3</v>
      </c>
      <c r="K659" s="101" t="str">
        <f t="shared" si="122"/>
        <v>38x38x3</v>
      </c>
      <c r="L659" s="102">
        <f t="shared" si="123"/>
        <v>31.165467625899282</v>
      </c>
      <c r="M659" s="113">
        <f t="shared" si="124"/>
        <v>31.165467625899282</v>
      </c>
      <c r="N659" s="113">
        <f t="shared" si="125"/>
        <v>32</v>
      </c>
      <c r="O659" s="99">
        <v>33</v>
      </c>
      <c r="P659" s="113">
        <f t="shared" si="126"/>
        <v>33</v>
      </c>
      <c r="Q659" s="112">
        <f t="shared" si="127"/>
        <v>528</v>
      </c>
      <c r="R659" s="112" t="str">
        <f t="shared" si="128"/>
        <v>Oversize</v>
      </c>
      <c r="S659" s="99" t="str">
        <f t="shared" si="129"/>
        <v>Extra-large 0 to 50 lb</v>
      </c>
      <c r="T659" s="116" t="s">
        <v>13706</v>
      </c>
      <c r="U659" s="116">
        <f t="shared" si="130"/>
        <v>2.5069444444444446</v>
      </c>
      <c r="V659" s="116" t="s">
        <v>13583</v>
      </c>
      <c r="W659" s="116" t="s">
        <v>13690</v>
      </c>
      <c r="X659" s="116" t="s">
        <v>13691</v>
      </c>
      <c r="Y659" s="116">
        <v>2</v>
      </c>
      <c r="Z659" s="116">
        <v>4</v>
      </c>
      <c r="AA659" s="116">
        <v>1</v>
      </c>
      <c r="AB659" s="99"/>
      <c r="AC659" s="99"/>
      <c r="AD659" s="107">
        <v>213.287222222222</v>
      </c>
      <c r="AE659" s="113">
        <f t="shared" si="131"/>
        <v>-31.993083333333299</v>
      </c>
      <c r="AF659" s="116">
        <f>-IFERROR(IFERROR(VLOOKUP(ROUNDUP($Q659,0),'FBA FEES'!$L$2:$Q$203,MATCH($S659,'FBA FEES'!$L$2:$Q$2,0),FALSE),VLOOKUP(ROUNDUP($Q659,0),'FBA FEES'!$C$6:$F$123,MATCH($S659,'FBA FEES'!$C$6:$F$6,0),FALSE)),0)</f>
        <v>-38.489999999999995</v>
      </c>
      <c r="AG659" s="116">
        <v>-10</v>
      </c>
      <c r="AH659" s="113">
        <f t="shared" si="132"/>
        <v>-70.483083333333298</v>
      </c>
      <c r="AI659" s="116">
        <f>-IFERROR(IF($Y659=1,INDEX('[1]REMOVAL FEES'!$A$1:$C$22,MATCH(CONCATENATE("Standard Size",$P659),'[1]REMOVAL FEES'!$A$1:$A$22,0),3),IF($Y659=2,IF($P659&gt;10,(($P659-10)*1.06)+INDEX('[1]REMOVAL FEES'!$E$1:$G$22,MATCH(CONCATENATE("Large bulky, extra-large and special handling items",IF($P659&gt;=11,11,$P659)),'[1]REMOVAL FEES'!$E$1:$E$13,0),3),INDEX('[1]REMOVAL FEES'!$E$1:$G$22,MATCH(CONCATENATE("Large bulky, extra-large and special handling items",IF($P659&gt;=11,11,$P659)),'[1]REMOVAL FEES'!$E$1:$E$13,0),3))))*$AA659,FALSE)</f>
        <v>-38.700000000000003</v>
      </c>
      <c r="AJ659" s="107">
        <f t="shared" si="133"/>
        <v>-109.1830833333333</v>
      </c>
      <c r="AK659" s="107">
        <v>-69.06</v>
      </c>
      <c r="AL659" s="107">
        <v>-21.875237527698641</v>
      </c>
      <c r="AM659" s="107">
        <f t="shared" si="134"/>
        <v>-90.935237527698646</v>
      </c>
      <c r="AN659" s="116">
        <f>(-IF($V659="Yes", IF($X659="Yes", VLOOKUP($W659, '[1]Storage Fees'!A:M, 13, FALSE), VLOOKUP($W659, '[1]Storage Fees'!A:M, 10, FALSE)), IF($X659="Yes", VLOOKUP($W659, '[1]Storage Fees'!A:M, 7, FALSE), VLOOKUP($W659, '[1]Storage Fees'!A:M, 4, FALSE))) * U659)*1.5</f>
        <v>-2.9707291666666671</v>
      </c>
    </row>
    <row r="660" spans="1:40" x14ac:dyDescent="0.25">
      <c r="A660" s="99">
        <v>588</v>
      </c>
      <c r="B660" s="99" t="s">
        <v>13700</v>
      </c>
      <c r="C660" s="99" t="s">
        <v>13655</v>
      </c>
      <c r="D660" s="99" t="s">
        <v>1229</v>
      </c>
      <c r="E660" s="99" t="s">
        <v>278</v>
      </c>
      <c r="F660" s="99" t="s">
        <v>1227</v>
      </c>
      <c r="G660" s="99" t="s">
        <v>13695</v>
      </c>
      <c r="H660" s="99">
        <v>40</v>
      </c>
      <c r="I660" s="99">
        <v>40</v>
      </c>
      <c r="J660" s="99">
        <v>3</v>
      </c>
      <c r="K660" s="101" t="str">
        <f t="shared" si="122"/>
        <v>40x40x3</v>
      </c>
      <c r="L660" s="102">
        <f t="shared" si="123"/>
        <v>34.532374100719423</v>
      </c>
      <c r="M660" s="113">
        <f t="shared" si="124"/>
        <v>34.532374100719423</v>
      </c>
      <c r="N660" s="113">
        <f t="shared" si="125"/>
        <v>35</v>
      </c>
      <c r="O660" s="99">
        <v>35</v>
      </c>
      <c r="P660" s="113">
        <f t="shared" si="126"/>
        <v>35</v>
      </c>
      <c r="Q660" s="112">
        <f t="shared" si="127"/>
        <v>560</v>
      </c>
      <c r="R660" s="112" t="str">
        <f t="shared" si="128"/>
        <v>Oversize</v>
      </c>
      <c r="S660" s="99" t="str">
        <f t="shared" si="129"/>
        <v>Extra-large 0 to 50 lb</v>
      </c>
      <c r="T660" s="116" t="s">
        <v>13706</v>
      </c>
      <c r="U660" s="116">
        <f t="shared" si="130"/>
        <v>2.7777777777777777</v>
      </c>
      <c r="V660" s="116" t="s">
        <v>13583</v>
      </c>
      <c r="W660" s="116" t="s">
        <v>13690</v>
      </c>
      <c r="X660" s="116" t="s">
        <v>13691</v>
      </c>
      <c r="Y660" s="116">
        <v>2</v>
      </c>
      <c r="Z660" s="116">
        <v>4</v>
      </c>
      <c r="AA660" s="116">
        <v>1</v>
      </c>
      <c r="AB660" s="99"/>
      <c r="AC660" s="99"/>
      <c r="AD660" s="107">
        <v>233.5239285714284</v>
      </c>
      <c r="AE660" s="113">
        <f t="shared" si="131"/>
        <v>-35.028589285714261</v>
      </c>
      <c r="AF660" s="116">
        <f>-IFERROR(IFERROR(VLOOKUP(ROUNDUP($Q660,0),'FBA FEES'!$L$2:$Q$203,MATCH($S660,'FBA FEES'!$L$2:$Q$2,0),FALSE),VLOOKUP(ROUNDUP($Q660,0),'FBA FEES'!$C$6:$F$123,MATCH($S660,'FBA FEES'!$C$6:$F$6,0),FALSE)),0)</f>
        <v>-39.25</v>
      </c>
      <c r="AG660" s="116">
        <v>-10</v>
      </c>
      <c r="AH660" s="113">
        <f t="shared" si="132"/>
        <v>-74.278589285714261</v>
      </c>
      <c r="AI660" s="116">
        <f>-IFERROR(IF($Y660=1,INDEX('[1]REMOVAL FEES'!$A$1:$C$22,MATCH(CONCATENATE("Standard Size",$P660),'[1]REMOVAL FEES'!$A$1:$A$22,0),3),IF($Y660=2,IF($P660&gt;10,(($P660-10)*1.06)+INDEX('[1]REMOVAL FEES'!$E$1:$G$22,MATCH(CONCATENATE("Large bulky, extra-large and special handling items",IF($P660&gt;=11,11,$P660)),'[1]REMOVAL FEES'!$E$1:$E$13,0),3),INDEX('[1]REMOVAL FEES'!$E$1:$G$22,MATCH(CONCATENATE("Large bulky, extra-large and special handling items",IF($P660&gt;=11,11,$P660)),'[1]REMOVAL FEES'!$E$1:$E$13,0),3))))*$AA660,FALSE)</f>
        <v>-40.82</v>
      </c>
      <c r="AJ660" s="107">
        <f t="shared" si="133"/>
        <v>-115.09858928571427</v>
      </c>
      <c r="AK660" s="107">
        <v>-73.729285714285695</v>
      </c>
      <c r="AL660" s="107">
        <v>-16.04268885281385</v>
      </c>
      <c r="AM660" s="107">
        <f t="shared" si="134"/>
        <v>-89.771974567099548</v>
      </c>
      <c r="AN660" s="116">
        <f>(-IF($V660="Yes", IF($X660="Yes", VLOOKUP($W660, '[1]Storage Fees'!A:M, 13, FALSE), VLOOKUP($W660, '[1]Storage Fees'!A:M, 10, FALSE)), IF($X660="Yes", VLOOKUP($W660, '[1]Storage Fees'!A:M, 7, FALSE), VLOOKUP($W660, '[1]Storage Fees'!A:M, 4, FALSE))) * U660)*1.5</f>
        <v>-3.291666666666667</v>
      </c>
    </row>
    <row r="661" spans="1:40" x14ac:dyDescent="0.25">
      <c r="A661" s="99">
        <v>589</v>
      </c>
      <c r="B661" s="99" t="s">
        <v>13700</v>
      </c>
      <c r="C661" s="99" t="s">
        <v>13655</v>
      </c>
      <c r="D661" s="99" t="s">
        <v>1233</v>
      </c>
      <c r="E661" s="99" t="s">
        <v>278</v>
      </c>
      <c r="F661" s="99" t="s">
        <v>1231</v>
      </c>
      <c r="G661" s="99" t="s">
        <v>13695</v>
      </c>
      <c r="H661" s="99">
        <v>43</v>
      </c>
      <c r="I661" s="99">
        <v>43</v>
      </c>
      <c r="J661" s="99">
        <v>3</v>
      </c>
      <c r="K661" s="101" t="str">
        <f t="shared" si="122"/>
        <v>43x43x3</v>
      </c>
      <c r="L661" s="102">
        <f t="shared" si="123"/>
        <v>39.906474820143885</v>
      </c>
      <c r="M661" s="113">
        <f t="shared" si="124"/>
        <v>39.906474820143885</v>
      </c>
      <c r="N661" s="113">
        <f t="shared" si="125"/>
        <v>40</v>
      </c>
      <c r="O661" s="99">
        <v>46</v>
      </c>
      <c r="P661" s="113">
        <f t="shared" si="126"/>
        <v>46</v>
      </c>
      <c r="Q661" s="112">
        <f t="shared" si="127"/>
        <v>736</v>
      </c>
      <c r="R661" s="112" t="str">
        <f t="shared" si="128"/>
        <v>Oversize</v>
      </c>
      <c r="S661" s="99" t="str">
        <f t="shared" si="129"/>
        <v>Extra-large 0 to 50 lb</v>
      </c>
      <c r="T661" s="116" t="s">
        <v>13706</v>
      </c>
      <c r="U661" s="116">
        <f t="shared" si="130"/>
        <v>3.2100694444444446</v>
      </c>
      <c r="V661" s="116" t="s">
        <v>13583</v>
      </c>
      <c r="W661" s="116" t="s">
        <v>13690</v>
      </c>
      <c r="X661" s="116" t="s">
        <v>13691</v>
      </c>
      <c r="Y661" s="116">
        <v>2</v>
      </c>
      <c r="Z661" s="116">
        <v>4</v>
      </c>
      <c r="AA661" s="116">
        <v>1</v>
      </c>
      <c r="AB661" s="99"/>
      <c r="AC661" s="99"/>
      <c r="AD661" s="107">
        <v>394.15545454545452</v>
      </c>
      <c r="AE661" s="113">
        <f t="shared" si="131"/>
        <v>-59.123318181818178</v>
      </c>
      <c r="AF661" s="116">
        <f>-IFERROR(IFERROR(VLOOKUP(ROUNDUP($Q661,0),'FBA FEES'!$L$2:$Q$203,MATCH($S661,'FBA FEES'!$L$2:$Q$2,0),FALSE),VLOOKUP(ROUNDUP($Q661,0),'FBA FEES'!$C$6:$F$123,MATCH($S661,'FBA FEES'!$C$6:$F$6,0),FALSE)),0)</f>
        <v>-43.43</v>
      </c>
      <c r="AG661" s="116">
        <v>-10</v>
      </c>
      <c r="AH661" s="113">
        <f t="shared" si="132"/>
        <v>-102.55331818181818</v>
      </c>
      <c r="AI661" s="116">
        <f>-IFERROR(IF($Y661=1,INDEX('[1]REMOVAL FEES'!$A$1:$C$22,MATCH(CONCATENATE("Standard Size",$P661),'[1]REMOVAL FEES'!$A$1:$A$22,0),3),IF($Y661=2,IF($P661&gt;10,(($P661-10)*1.06)+INDEX('[1]REMOVAL FEES'!$E$1:$G$22,MATCH(CONCATENATE("Large bulky, extra-large and special handling items",IF($P661&gt;=11,11,$P661)),'[1]REMOVAL FEES'!$E$1:$E$13,0),3),INDEX('[1]REMOVAL FEES'!$E$1:$G$22,MATCH(CONCATENATE("Large bulky, extra-large and special handling items",IF($P661&gt;=11,11,$P661)),'[1]REMOVAL FEES'!$E$1:$E$13,0),3))))*$AA661,FALSE)</f>
        <v>-52.480000000000004</v>
      </c>
      <c r="AJ661" s="107">
        <f t="shared" si="133"/>
        <v>-155.03331818181817</v>
      </c>
      <c r="AK661" s="107">
        <v>-78.793636363636367</v>
      </c>
      <c r="AL661" s="107">
        <v>-82.89340909090906</v>
      </c>
      <c r="AM661" s="107">
        <f t="shared" si="134"/>
        <v>-161.68704545454543</v>
      </c>
      <c r="AN661" s="116">
        <f>(-IF($V661="Yes", IF($X661="Yes", VLOOKUP($W661, '[1]Storage Fees'!A:M, 13, FALSE), VLOOKUP($W661, '[1]Storage Fees'!A:M, 10, FALSE)), IF($X661="Yes", VLOOKUP($W661, '[1]Storage Fees'!A:M, 7, FALSE), VLOOKUP($W661, '[1]Storage Fees'!A:M, 4, FALSE))) * U661)*1.5</f>
        <v>-3.8039322916666674</v>
      </c>
    </row>
    <row r="662" spans="1:40" x14ac:dyDescent="0.25">
      <c r="A662" s="99">
        <v>590</v>
      </c>
      <c r="B662" s="99" t="s">
        <v>107</v>
      </c>
      <c r="C662" s="99" t="s">
        <v>13655</v>
      </c>
      <c r="D662" s="99" t="s">
        <v>1237</v>
      </c>
      <c r="E662" s="99" t="s">
        <v>278</v>
      </c>
      <c r="F662" s="99" t="s">
        <v>1235</v>
      </c>
      <c r="G662" s="99" t="s">
        <v>13656</v>
      </c>
      <c r="H662" s="99">
        <v>17</v>
      </c>
      <c r="I662" s="99">
        <v>10</v>
      </c>
      <c r="J662" s="99">
        <v>6</v>
      </c>
      <c r="K662" s="101" t="str">
        <f t="shared" si="122"/>
        <v>17x10x6</v>
      </c>
      <c r="L662" s="102">
        <f t="shared" si="123"/>
        <v>7.3381294964028774</v>
      </c>
      <c r="M662" s="113">
        <f t="shared" si="124"/>
        <v>7.3381294964028774</v>
      </c>
      <c r="N662" s="113">
        <f t="shared" si="125"/>
        <v>8</v>
      </c>
      <c r="O662" s="99">
        <v>14</v>
      </c>
      <c r="P662" s="113">
        <f t="shared" si="126"/>
        <v>14</v>
      </c>
      <c r="Q662" s="112">
        <f t="shared" si="127"/>
        <v>224</v>
      </c>
      <c r="R662" s="112" t="str">
        <f t="shared" si="128"/>
        <v>Standard-size</v>
      </c>
      <c r="S662" s="99" t="str">
        <f t="shared" si="129"/>
        <v>Large standard-size</v>
      </c>
      <c r="T662" s="116" t="s">
        <v>13693</v>
      </c>
      <c r="U662" s="116">
        <f t="shared" si="130"/>
        <v>0.59027777777777779</v>
      </c>
      <c r="V662" s="116" t="s">
        <v>13583</v>
      </c>
      <c r="W662" s="116" t="s">
        <v>13690</v>
      </c>
      <c r="X662" s="99" t="s">
        <v>13583</v>
      </c>
      <c r="Y662" s="99">
        <v>1</v>
      </c>
      <c r="Z662" s="99">
        <v>2</v>
      </c>
      <c r="AA662" s="99">
        <v>1</v>
      </c>
      <c r="AB662" s="99"/>
      <c r="AC662" s="99"/>
      <c r="AD662" s="107">
        <v>99.870535714285595</v>
      </c>
      <c r="AE662" s="113">
        <f t="shared" si="131"/>
        <v>-14.980580357142838</v>
      </c>
      <c r="AF662" s="116">
        <f>-IFERROR(IFERROR(VLOOKUP(ROUNDUP($Q662,0),'FBA FEES'!$L$2:$Q$203,MATCH($S662,'FBA FEES'!$L$2:$Q$2,0),FALSE),VLOOKUP(ROUNDUP($Q662,0),'FBA FEES'!$C$6:$F$123,MATCH($S662,'FBA FEES'!$C$6:$F$6,0),FALSE)),0)</f>
        <v>-10.44</v>
      </c>
      <c r="AG662" s="116">
        <v>-10</v>
      </c>
      <c r="AH662" s="113">
        <f t="shared" si="132"/>
        <v>-25.420580357142839</v>
      </c>
      <c r="AI662" s="116">
        <f>-IFERROR(IF($Y662=1,INDEX('[1]REMOVAL FEES'!$A$1:$C$22,MATCH(CONCATENATE("Standard Size",$P662),'[1]REMOVAL FEES'!$A$1:$A$22,0),3),IF($Y662=2,IF($P662&gt;10,(($P662-10)*1.06)+INDEX('[1]REMOVAL FEES'!$E$1:$G$22,MATCH(CONCATENATE("Large bulky, extra-large and special handling items",IF($P662&gt;=11,11,$P662)),'[1]REMOVAL FEES'!$E$1:$E$13,0),3),INDEX('[1]REMOVAL FEES'!$E$1:$G$22,MATCH(CONCATENATE("Large bulky, extra-large and special handling items",IF($P662&gt;=11,11,$P662)),'[1]REMOVAL FEES'!$E$1:$E$13,0),3))))*$AA662,FALSE)</f>
        <v>-15.610000000000001</v>
      </c>
      <c r="AJ662" s="107">
        <f t="shared" si="133"/>
        <v>-41.030580357142838</v>
      </c>
      <c r="AK662" s="107">
        <v>-30.517857142857121</v>
      </c>
      <c r="AL662" s="107">
        <v>-4.9213586096938799</v>
      </c>
      <c r="AM662" s="107">
        <f t="shared" si="134"/>
        <v>-35.439215752551</v>
      </c>
      <c r="AN662" s="116">
        <f>(-IF($V662="Yes", IF($X662="Yes", VLOOKUP($W662, '[1]Storage Fees'!A:M, 13, FALSE), VLOOKUP($W662, '[1]Storage Fees'!A:M, 10, FALSE)), IF($X662="Yes", VLOOKUP($W662, '[1]Storage Fees'!A:M, 7, FALSE), VLOOKUP($W662, '[1]Storage Fees'!A:M, 4, FALSE))) * U662)*1.5</f>
        <v>-1.0802083333333332</v>
      </c>
    </row>
    <row r="663" spans="1:40" x14ac:dyDescent="0.25">
      <c r="A663" s="99">
        <v>591</v>
      </c>
      <c r="B663" s="99" t="s">
        <v>107</v>
      </c>
      <c r="C663" s="99" t="s">
        <v>13655</v>
      </c>
      <c r="D663" s="99" t="s">
        <v>1241</v>
      </c>
      <c r="E663" s="99" t="s">
        <v>278</v>
      </c>
      <c r="F663" s="99" t="s">
        <v>1239</v>
      </c>
      <c r="G663" s="99" t="s">
        <v>13695</v>
      </c>
      <c r="H663" s="99">
        <v>19</v>
      </c>
      <c r="I663" s="99">
        <v>14</v>
      </c>
      <c r="J663" s="99">
        <v>6</v>
      </c>
      <c r="K663" s="101" t="str">
        <f t="shared" si="122"/>
        <v>19x14x6</v>
      </c>
      <c r="L663" s="102">
        <f t="shared" si="123"/>
        <v>11.482014388489208</v>
      </c>
      <c r="M663" s="113">
        <f t="shared" si="124"/>
        <v>11.482014388489208</v>
      </c>
      <c r="N663" s="113">
        <f t="shared" si="125"/>
        <v>12</v>
      </c>
      <c r="O663" s="99">
        <v>20</v>
      </c>
      <c r="P663" s="113">
        <f t="shared" si="126"/>
        <v>20</v>
      </c>
      <c r="Q663" s="112">
        <f t="shared" si="127"/>
        <v>320</v>
      </c>
      <c r="R663" s="112" t="str">
        <f t="shared" si="128"/>
        <v>Oversize</v>
      </c>
      <c r="S663" s="99" t="str">
        <f t="shared" si="129"/>
        <v>Large bulky</v>
      </c>
      <c r="T663" s="116" t="s">
        <v>13692</v>
      </c>
      <c r="U663" s="116">
        <f t="shared" si="130"/>
        <v>0.92361111111111116</v>
      </c>
      <c r="V663" s="116" t="s">
        <v>13583</v>
      </c>
      <c r="W663" s="116" t="s">
        <v>13690</v>
      </c>
      <c r="X663" s="116" t="s">
        <v>13691</v>
      </c>
      <c r="Y663" s="116">
        <v>2</v>
      </c>
      <c r="Z663" s="116">
        <v>3</v>
      </c>
      <c r="AA663" s="116">
        <v>1</v>
      </c>
      <c r="AB663" s="99"/>
      <c r="AC663" s="99"/>
      <c r="AD663" s="107">
        <v>138.07428571428571</v>
      </c>
      <c r="AE663" s="113">
        <f t="shared" si="131"/>
        <v>-20.711142857142857</v>
      </c>
      <c r="AF663" s="116">
        <f>-IFERROR(IFERROR(VLOOKUP(ROUNDUP($Q663,0),'FBA FEES'!$L$2:$Q$203,MATCH($S663,'FBA FEES'!$L$2:$Q$2,0),FALSE),VLOOKUP(ROUNDUP($Q663,0),'FBA FEES'!$C$6:$F$123,MATCH($S663,'FBA FEES'!$C$6:$F$6,0),FALSE)),0)</f>
        <v>-16.829999999999998</v>
      </c>
      <c r="AG663" s="116">
        <v>-10</v>
      </c>
      <c r="AH663" s="113">
        <f t="shared" si="132"/>
        <v>-37.541142857142859</v>
      </c>
      <c r="AI663" s="116">
        <f>-IFERROR(IF($Y663=1,INDEX('[1]REMOVAL FEES'!$A$1:$C$22,MATCH(CONCATENATE("Standard Size",$P663),'[1]REMOVAL FEES'!$A$1:$A$22,0),3),IF($Y663=2,IF($P663&gt;10,(($P663-10)*1.06)+INDEX('[1]REMOVAL FEES'!$E$1:$G$22,MATCH(CONCATENATE("Large bulky, extra-large and special handling items",IF($P663&gt;=11,11,$P663)),'[1]REMOVAL FEES'!$E$1:$E$13,0),3),INDEX('[1]REMOVAL FEES'!$E$1:$G$22,MATCH(CONCATENATE("Large bulky, extra-large and special handling items",IF($P663&gt;=11,11,$P663)),'[1]REMOVAL FEES'!$E$1:$E$13,0),3))))*$AA663,FALSE)</f>
        <v>-24.92</v>
      </c>
      <c r="AJ663" s="107">
        <f t="shared" si="133"/>
        <v>-62.46114285714286</v>
      </c>
      <c r="AK663" s="107">
        <v>-39.706428571428567</v>
      </c>
      <c r="AL663" s="107">
        <v>-10.03162163084931</v>
      </c>
      <c r="AM663" s="107">
        <f t="shared" si="134"/>
        <v>-49.738050202277876</v>
      </c>
      <c r="AN663" s="116">
        <f>(-IF($V663="Yes", IF($X663="Yes", VLOOKUP($W663, '[1]Storage Fees'!A:M, 13, FALSE), VLOOKUP($W663, '[1]Storage Fees'!A:M, 10, FALSE)), IF($X663="Yes", VLOOKUP($W663, '[1]Storage Fees'!A:M, 7, FALSE), VLOOKUP($W663, '[1]Storage Fees'!A:M, 4, FALSE))) * U663)*1.5</f>
        <v>-1.0944791666666667</v>
      </c>
    </row>
    <row r="664" spans="1:40" x14ac:dyDescent="0.25">
      <c r="A664" s="99">
        <v>592</v>
      </c>
      <c r="B664" s="99" t="s">
        <v>107</v>
      </c>
      <c r="C664" s="99" t="s">
        <v>13655</v>
      </c>
      <c r="D664" s="99" t="s">
        <v>1245</v>
      </c>
      <c r="E664" s="99" t="s">
        <v>278</v>
      </c>
      <c r="F664" s="99" t="s">
        <v>1243</v>
      </c>
      <c r="G664" s="99" t="s">
        <v>13695</v>
      </c>
      <c r="H664" s="99">
        <v>19</v>
      </c>
      <c r="I664" s="99">
        <v>14</v>
      </c>
      <c r="J664" s="99">
        <v>6</v>
      </c>
      <c r="K664" s="101" t="str">
        <f t="shared" si="122"/>
        <v>19x14x6</v>
      </c>
      <c r="L664" s="102">
        <f t="shared" si="123"/>
        <v>11.482014388489208</v>
      </c>
      <c r="M664" s="113">
        <f t="shared" si="124"/>
        <v>11.482014388489208</v>
      </c>
      <c r="N664" s="113">
        <f t="shared" si="125"/>
        <v>12</v>
      </c>
      <c r="O664" s="99">
        <v>24</v>
      </c>
      <c r="P664" s="113">
        <f t="shared" si="126"/>
        <v>24</v>
      </c>
      <c r="Q664" s="112">
        <f t="shared" si="127"/>
        <v>384</v>
      </c>
      <c r="R664" s="112" t="str">
        <f t="shared" si="128"/>
        <v>Oversize</v>
      </c>
      <c r="S664" s="99" t="str">
        <f t="shared" si="129"/>
        <v>Large bulky</v>
      </c>
      <c r="T664" s="116" t="s">
        <v>13692</v>
      </c>
      <c r="U664" s="116">
        <f t="shared" si="130"/>
        <v>0.92361111111111116</v>
      </c>
      <c r="V664" s="116" t="s">
        <v>13583</v>
      </c>
      <c r="W664" s="116" t="s">
        <v>13690</v>
      </c>
      <c r="X664" s="116" t="s">
        <v>13691</v>
      </c>
      <c r="Y664" s="116">
        <v>2</v>
      </c>
      <c r="Z664" s="116">
        <v>3</v>
      </c>
      <c r="AA664" s="116">
        <v>1</v>
      </c>
      <c r="AB664" s="99"/>
      <c r="AC664" s="99"/>
      <c r="AD664" s="107">
        <v>0</v>
      </c>
      <c r="AE664" s="113">
        <f t="shared" si="131"/>
        <v>0</v>
      </c>
      <c r="AF664" s="116">
        <f>-IFERROR(IFERROR(VLOOKUP(ROUNDUP($Q664,0),'FBA FEES'!$L$2:$Q$203,MATCH($S664,'FBA FEES'!$L$2:$Q$2,0),FALSE),VLOOKUP(ROUNDUP($Q664,0),'FBA FEES'!$C$6:$F$123,MATCH($S664,'FBA FEES'!$C$6:$F$6,0),FALSE)),0)</f>
        <v>-18.350000000000001</v>
      </c>
      <c r="AG664" s="116">
        <v>-10</v>
      </c>
      <c r="AH664" s="113">
        <f t="shared" si="132"/>
        <v>-18.350000000000001</v>
      </c>
      <c r="AI664" s="116">
        <f>-IFERROR(IF($Y664=1,INDEX('[1]REMOVAL FEES'!$A$1:$C$22,MATCH(CONCATENATE("Standard Size",$P664),'[1]REMOVAL FEES'!$A$1:$A$22,0),3),IF($Y664=2,IF($P664&gt;10,(($P664-10)*1.06)+INDEX('[1]REMOVAL FEES'!$E$1:$G$22,MATCH(CONCATENATE("Large bulky, extra-large and special handling items",IF($P664&gt;=11,11,$P664)),'[1]REMOVAL FEES'!$E$1:$E$13,0),3),INDEX('[1]REMOVAL FEES'!$E$1:$G$22,MATCH(CONCATENATE("Large bulky, extra-large and special handling items",IF($P664&gt;=11,11,$P664)),'[1]REMOVAL FEES'!$E$1:$E$13,0),3))))*$AA664,FALSE)</f>
        <v>-29.16</v>
      </c>
      <c r="AJ664" s="107">
        <f t="shared" si="133"/>
        <v>-47.510000000000005</v>
      </c>
      <c r="AK664" s="107">
        <v>0</v>
      </c>
      <c r="AL664" s="107">
        <v>0</v>
      </c>
      <c r="AM664" s="107">
        <f t="shared" si="134"/>
        <v>0</v>
      </c>
      <c r="AN664" s="116">
        <f>(-IF($V664="Yes", IF($X664="Yes", VLOOKUP($W664, '[1]Storage Fees'!A:M, 13, FALSE), VLOOKUP($W664, '[1]Storage Fees'!A:M, 10, FALSE)), IF($X664="Yes", VLOOKUP($W664, '[1]Storage Fees'!A:M, 7, FALSE), VLOOKUP($W664, '[1]Storage Fees'!A:M, 4, FALSE))) * U664)*1.5</f>
        <v>-1.0944791666666667</v>
      </c>
    </row>
    <row r="665" spans="1:40" x14ac:dyDescent="0.25">
      <c r="A665" s="99">
        <v>593</v>
      </c>
      <c r="B665" s="99"/>
      <c r="C665" s="99" t="s">
        <v>13655</v>
      </c>
      <c r="D665" s="99"/>
      <c r="E665" s="99" t="s">
        <v>278</v>
      </c>
      <c r="F665" s="99" t="s">
        <v>2042</v>
      </c>
      <c r="G665" s="99" t="s">
        <v>13695</v>
      </c>
      <c r="H665" s="99">
        <v>0</v>
      </c>
      <c r="I665" s="99">
        <v>0</v>
      </c>
      <c r="J665" s="99">
        <v>0</v>
      </c>
      <c r="K665" s="101" t="str">
        <f t="shared" si="122"/>
        <v>0x0x0</v>
      </c>
      <c r="L665" s="102">
        <f t="shared" si="123"/>
        <v>0</v>
      </c>
      <c r="M665" s="113">
        <f t="shared" si="124"/>
        <v>0</v>
      </c>
      <c r="N665" s="113">
        <f t="shared" si="125"/>
        <v>0</v>
      </c>
      <c r="O665" s="99">
        <v>0</v>
      </c>
      <c r="P665" s="113">
        <f t="shared" si="126"/>
        <v>0</v>
      </c>
      <c r="Q665" s="112">
        <f t="shared" si="127"/>
        <v>0</v>
      </c>
      <c r="R665" s="112" t="str">
        <f t="shared" si="128"/>
        <v>Standard-size</v>
      </c>
      <c r="S665" s="99" t="str">
        <f t="shared" si="129"/>
        <v>Small standard-size</v>
      </c>
      <c r="T665" s="116" t="s">
        <v>13696</v>
      </c>
      <c r="U665" s="116">
        <f t="shared" si="130"/>
        <v>0</v>
      </c>
      <c r="V665" s="116" t="s">
        <v>13583</v>
      </c>
      <c r="W665" s="116" t="s">
        <v>13690</v>
      </c>
      <c r="X665" s="99" t="s">
        <v>13583</v>
      </c>
      <c r="Y665" s="99">
        <v>1</v>
      </c>
      <c r="Z665" s="99">
        <v>1</v>
      </c>
      <c r="AA665" s="99">
        <v>1</v>
      </c>
      <c r="AB665" s="99"/>
      <c r="AC665" s="99"/>
      <c r="AD665" s="107">
        <v>143.22</v>
      </c>
      <c r="AE665" s="113">
        <f t="shared" si="131"/>
        <v>-21.483000000000001</v>
      </c>
      <c r="AF665" s="116">
        <f>-IFERROR(IFERROR(VLOOKUP(ROUNDUP($Q665,0),'FBA FEES'!$L$2:$Q$203,MATCH($S665,'FBA FEES'!$L$2:$Q$2,0),FALSE),VLOOKUP(ROUNDUP($Q665,0),'FBA FEES'!$C$6:$F$123,MATCH($S665,'FBA FEES'!$C$6:$F$6,0),FALSE)),0)</f>
        <v>0</v>
      </c>
      <c r="AG665" s="116">
        <v>-10</v>
      </c>
      <c r="AH665" s="113">
        <f t="shared" si="132"/>
        <v>-21.483000000000001</v>
      </c>
      <c r="AI665" s="116">
        <f>-IFERROR(IF($Y665=1,INDEX('[1]REMOVAL FEES'!$A$1:$C$22,MATCH(CONCATENATE("Standard Size",$P665),'[1]REMOVAL FEES'!$A$1:$A$22,0),3),IF($Y665=2,IF($P665&gt;10,(($P665-10)*1.06)+INDEX('[1]REMOVAL FEES'!$E$1:$G$22,MATCH(CONCATENATE("Large bulky, extra-large and special handling items",IF($P665&gt;=11,11,$P665)),'[1]REMOVAL FEES'!$E$1:$E$13,0),3),INDEX('[1]REMOVAL FEES'!$E$1:$G$22,MATCH(CONCATENATE("Large bulky, extra-large and special handling items",IF($P665&gt;=11,11,$P665)),'[1]REMOVAL FEES'!$E$1:$E$13,0),3))))*$AA665,FALSE)</f>
        <v>0</v>
      </c>
      <c r="AJ665" s="107">
        <f t="shared" si="133"/>
        <v>-21.483000000000001</v>
      </c>
      <c r="AK665" s="107">
        <v>-56.269999999999989</v>
      </c>
      <c r="AL665" s="107">
        <v>-11.537000000000001</v>
      </c>
      <c r="AM665" s="107">
        <f t="shared" si="134"/>
        <v>-67.806999999999988</v>
      </c>
      <c r="AN665" s="116">
        <f>(-IF($V665="Yes", IF($X665="Yes", VLOOKUP($W665, '[1]Storage Fees'!A:M, 13, FALSE), VLOOKUP($W665, '[1]Storage Fees'!A:M, 10, FALSE)), IF($X665="Yes", VLOOKUP($W665, '[1]Storage Fees'!A:M, 7, FALSE), VLOOKUP($W665, '[1]Storage Fees'!A:M, 4, FALSE))) * U665)*1.5</f>
        <v>0</v>
      </c>
    </row>
    <row r="666" spans="1:40" x14ac:dyDescent="0.25">
      <c r="A666" s="99">
        <v>594</v>
      </c>
      <c r="B666" s="99" t="s">
        <v>13699</v>
      </c>
      <c r="C666" s="99" t="s">
        <v>13655</v>
      </c>
      <c r="D666" s="99" t="s">
        <v>718</v>
      </c>
      <c r="E666" s="99" t="s">
        <v>278</v>
      </c>
      <c r="F666" s="99" t="s">
        <v>1247</v>
      </c>
      <c r="G666" s="99" t="s">
        <v>13695</v>
      </c>
      <c r="H666" s="99">
        <v>25</v>
      </c>
      <c r="I666" s="99">
        <v>25</v>
      </c>
      <c r="J666" s="99">
        <v>5</v>
      </c>
      <c r="K666" s="101" t="str">
        <f t="shared" si="122"/>
        <v>25x25x5</v>
      </c>
      <c r="L666" s="102">
        <f t="shared" si="123"/>
        <v>22.482014388489208</v>
      </c>
      <c r="M666" s="113">
        <f t="shared" si="124"/>
        <v>22.482014388489208</v>
      </c>
      <c r="N666" s="113">
        <f t="shared" si="125"/>
        <v>23</v>
      </c>
      <c r="O666" s="99">
        <v>20</v>
      </c>
      <c r="P666" s="113">
        <f t="shared" si="126"/>
        <v>23</v>
      </c>
      <c r="Q666" s="112">
        <f t="shared" si="127"/>
        <v>368</v>
      </c>
      <c r="R666" s="112" t="str">
        <f t="shared" si="128"/>
        <v>Oversize</v>
      </c>
      <c r="S666" s="99" t="str">
        <f t="shared" si="129"/>
        <v>Large bulky</v>
      </c>
      <c r="T666" s="116" t="s">
        <v>13692</v>
      </c>
      <c r="U666" s="116">
        <f t="shared" si="130"/>
        <v>1.8084490740740742</v>
      </c>
      <c r="V666" s="116" t="s">
        <v>13583</v>
      </c>
      <c r="W666" s="116" t="s">
        <v>13690</v>
      </c>
      <c r="X666" s="116" t="s">
        <v>13691</v>
      </c>
      <c r="Y666" s="116">
        <v>2</v>
      </c>
      <c r="Z666" s="116">
        <v>3</v>
      </c>
      <c r="AA666" s="116">
        <v>1</v>
      </c>
      <c r="AB666" s="99"/>
      <c r="AC666" s="99"/>
      <c r="AD666" s="107">
        <v>80.369166666666658</v>
      </c>
      <c r="AE666" s="113">
        <f t="shared" si="131"/>
        <v>-12.055374999999998</v>
      </c>
      <c r="AF666" s="116">
        <f>-IFERROR(IFERROR(VLOOKUP(ROUNDUP($Q666,0),'FBA FEES'!$L$2:$Q$203,MATCH($S666,'FBA FEES'!$L$2:$Q$2,0),FALSE),VLOOKUP(ROUNDUP($Q666,0),'FBA FEES'!$C$6:$F$123,MATCH($S666,'FBA FEES'!$C$6:$F$6,0),FALSE)),0)</f>
        <v>-17.97</v>
      </c>
      <c r="AG666" s="116">
        <v>-10</v>
      </c>
      <c r="AH666" s="113">
        <f t="shared" si="132"/>
        <v>-30.025374999999997</v>
      </c>
      <c r="AI666" s="116">
        <f>-IFERROR(IF($Y666=1,INDEX('[1]REMOVAL FEES'!$A$1:$C$22,MATCH(CONCATENATE("Standard Size",$P666),'[1]REMOVAL FEES'!$A$1:$A$22,0),3),IF($Y666=2,IF($P666&gt;10,(($P666-10)*1.06)+INDEX('[1]REMOVAL FEES'!$E$1:$G$22,MATCH(CONCATENATE("Large bulky, extra-large and special handling items",IF($P666&gt;=11,11,$P666)),'[1]REMOVAL FEES'!$E$1:$E$13,0),3),INDEX('[1]REMOVAL FEES'!$E$1:$G$22,MATCH(CONCATENATE("Large bulky, extra-large and special handling items",IF($P666&gt;=11,11,$P666)),'[1]REMOVAL FEES'!$E$1:$E$13,0),3))))*$AA666,FALSE)</f>
        <v>-28.1</v>
      </c>
      <c r="AJ666" s="107">
        <f t="shared" si="133"/>
        <v>-58.125374999999998</v>
      </c>
      <c r="AK666" s="107">
        <v>-44.941666666666663</v>
      </c>
      <c r="AL666" s="107">
        <v>-14.421041666666669</v>
      </c>
      <c r="AM666" s="107">
        <f t="shared" si="134"/>
        <v>-59.36270833333333</v>
      </c>
      <c r="AN666" s="116">
        <f>(-IF($V666="Yes", IF($X666="Yes", VLOOKUP($W666, '[1]Storage Fees'!A:M, 13, FALSE), VLOOKUP($W666, '[1]Storage Fees'!A:M, 10, FALSE)), IF($X666="Yes", VLOOKUP($W666, '[1]Storage Fees'!A:M, 7, FALSE), VLOOKUP($W666, '[1]Storage Fees'!A:M, 4, FALSE))) * U666)*1.5</f>
        <v>-2.1430121527777777</v>
      </c>
    </row>
    <row r="667" spans="1:40" x14ac:dyDescent="0.25">
      <c r="A667" s="99">
        <v>595</v>
      </c>
      <c r="B667" s="99" t="s">
        <v>13699</v>
      </c>
      <c r="C667" s="99" t="s">
        <v>13655</v>
      </c>
      <c r="D667" s="99" t="s">
        <v>1252</v>
      </c>
      <c r="E667" s="99" t="s">
        <v>278</v>
      </c>
      <c r="F667" s="99" t="s">
        <v>1250</v>
      </c>
      <c r="G667" s="99" t="s">
        <v>13695</v>
      </c>
      <c r="H667" s="99">
        <v>17</v>
      </c>
      <c r="I667" s="99">
        <v>7</v>
      </c>
      <c r="J667" s="99">
        <v>3</v>
      </c>
      <c r="K667" s="101" t="str">
        <f t="shared" si="122"/>
        <v>17x7x3</v>
      </c>
      <c r="L667" s="102">
        <f t="shared" si="123"/>
        <v>2.5683453237410072</v>
      </c>
      <c r="M667" s="113">
        <f t="shared" si="124"/>
        <v>2.5683453237410072</v>
      </c>
      <c r="N667" s="113">
        <f t="shared" si="125"/>
        <v>3</v>
      </c>
      <c r="O667" s="99">
        <v>6</v>
      </c>
      <c r="P667" s="113">
        <f t="shared" si="126"/>
        <v>6</v>
      </c>
      <c r="Q667" s="112">
        <f t="shared" si="127"/>
        <v>96</v>
      </c>
      <c r="R667" s="112" t="str">
        <f t="shared" si="128"/>
        <v>Standard-size</v>
      </c>
      <c r="S667" s="99" t="str">
        <f t="shared" si="129"/>
        <v>Large standard-size</v>
      </c>
      <c r="T667" s="116" t="s">
        <v>13693</v>
      </c>
      <c r="U667" s="116">
        <f t="shared" si="130"/>
        <v>0.20659722222222221</v>
      </c>
      <c r="V667" s="116" t="s">
        <v>13583</v>
      </c>
      <c r="W667" s="116" t="s">
        <v>13690</v>
      </c>
      <c r="X667" s="99" t="s">
        <v>13583</v>
      </c>
      <c r="Y667" s="99">
        <v>1</v>
      </c>
      <c r="Z667" s="99">
        <v>2</v>
      </c>
      <c r="AA667" s="99">
        <v>1</v>
      </c>
      <c r="AB667" s="99"/>
      <c r="AC667" s="99"/>
      <c r="AD667" s="107">
        <v>41.306463099231912</v>
      </c>
      <c r="AE667" s="113">
        <f t="shared" si="131"/>
        <v>-6.1959694648847865</v>
      </c>
      <c r="AF667" s="116">
        <f>-IFERROR(IFERROR(VLOOKUP(ROUNDUP($Q667,0),'FBA FEES'!$L$2:$Q$203,MATCH($S667,'FBA FEES'!$L$2:$Q$2,0),FALSE),VLOOKUP(ROUNDUP($Q667,0),'FBA FEES'!$C$6:$F$123,MATCH($S667,'FBA FEES'!$C$6:$F$6,0),FALSE)),0)</f>
        <v>-7.88</v>
      </c>
      <c r="AG667" s="116">
        <v>-10</v>
      </c>
      <c r="AH667" s="113">
        <f t="shared" si="132"/>
        <v>-14.075969464884786</v>
      </c>
      <c r="AI667" s="116">
        <f>-IFERROR(IF($Y667=1,INDEX('[1]REMOVAL FEES'!$A$1:$C$22,MATCH(CONCATENATE("Standard Size",$P667),'[1]REMOVAL FEES'!$A$1:$A$22,0),3),IF($Y667=2,IF($P667&gt;10,(($P667-10)*1.06)+INDEX('[1]REMOVAL FEES'!$E$1:$G$22,MATCH(CONCATENATE("Large bulky, extra-large and special handling items",IF($P667&gt;=11,11,$P667)),'[1]REMOVAL FEES'!$E$1:$E$13,0),3),INDEX('[1]REMOVAL FEES'!$E$1:$G$22,MATCH(CONCATENATE("Large bulky, extra-large and special handling items",IF($P667&gt;=11,11,$P667)),'[1]REMOVAL FEES'!$E$1:$E$13,0),3))))*$AA667,FALSE)</f>
        <v>-7.1300000000000008</v>
      </c>
      <c r="AJ667" s="107">
        <f t="shared" si="133"/>
        <v>-21.205969464884788</v>
      </c>
      <c r="AK667" s="107">
        <v>-14.625652173913039</v>
      </c>
      <c r="AL667" s="107">
        <v>-3.6348407716962141</v>
      </c>
      <c r="AM667" s="107">
        <f t="shared" si="134"/>
        <v>-18.260492945609254</v>
      </c>
      <c r="AN667" s="116">
        <f>(-IF($V667="Yes", IF($X667="Yes", VLOOKUP($W667, '[1]Storage Fees'!A:M, 13, FALSE), VLOOKUP($W667, '[1]Storage Fees'!A:M, 10, FALSE)), IF($X667="Yes", VLOOKUP($W667, '[1]Storage Fees'!A:M, 7, FALSE), VLOOKUP($W667, '[1]Storage Fees'!A:M, 4, FALSE))) * U667)*1.5</f>
        <v>-0.37807291666666665</v>
      </c>
    </row>
    <row r="668" spans="1:40" x14ac:dyDescent="0.25">
      <c r="A668" s="99">
        <v>596</v>
      </c>
      <c r="B668" s="99" t="s">
        <v>13699</v>
      </c>
      <c r="C668" s="99" t="s">
        <v>13655</v>
      </c>
      <c r="D668" s="99" t="s">
        <v>1256</v>
      </c>
      <c r="E668" s="99" t="s">
        <v>278</v>
      </c>
      <c r="F668" s="99" t="s">
        <v>1254</v>
      </c>
      <c r="G668" s="99" t="s">
        <v>13695</v>
      </c>
      <c r="H668" s="99">
        <v>23</v>
      </c>
      <c r="I668" s="99">
        <v>2</v>
      </c>
      <c r="J668" s="99">
        <v>2</v>
      </c>
      <c r="K668" s="101" t="str">
        <f t="shared" si="122"/>
        <v>23x2x2</v>
      </c>
      <c r="L668" s="102">
        <f t="shared" si="123"/>
        <v>0.66187050359712229</v>
      </c>
      <c r="M668" s="113">
        <f t="shared" si="124"/>
        <v>0.66187050359712229</v>
      </c>
      <c r="N668" s="113">
        <f t="shared" si="125"/>
        <v>0.75</v>
      </c>
      <c r="O668" s="99">
        <v>3</v>
      </c>
      <c r="P668" s="113">
        <f t="shared" si="126"/>
        <v>3</v>
      </c>
      <c r="Q668" s="112">
        <f t="shared" si="127"/>
        <v>48</v>
      </c>
      <c r="R668" s="112" t="str">
        <f t="shared" si="128"/>
        <v>Oversize</v>
      </c>
      <c r="S668" s="99" t="str">
        <f t="shared" si="129"/>
        <v>Large bulky</v>
      </c>
      <c r="T668" s="116" t="s">
        <v>13692</v>
      </c>
      <c r="U668" s="116">
        <f t="shared" si="130"/>
        <v>5.3240740740740741E-2</v>
      </c>
      <c r="V668" s="116" t="s">
        <v>13583</v>
      </c>
      <c r="W668" s="116" t="s">
        <v>13690</v>
      </c>
      <c r="X668" s="116" t="s">
        <v>13691</v>
      </c>
      <c r="Y668" s="116">
        <v>2</v>
      </c>
      <c r="Z668" s="116">
        <v>3</v>
      </c>
      <c r="AA668" s="116">
        <v>1</v>
      </c>
      <c r="AB668" s="99"/>
      <c r="AC668" s="99"/>
      <c r="AD668" s="107">
        <v>15.302480704917279</v>
      </c>
      <c r="AE668" s="113">
        <f t="shared" si="131"/>
        <v>-2.295372105737592</v>
      </c>
      <c r="AF668" s="116">
        <f>-IFERROR(IFERROR(VLOOKUP(ROUNDUP($Q668,0),'FBA FEES'!$L$2:$Q$203,MATCH($S668,'FBA FEES'!$L$2:$Q$2,0),FALSE),VLOOKUP(ROUNDUP($Q668,0),'FBA FEES'!$C$6:$F$123,MATCH($S668,'FBA FEES'!$C$6:$F$6,0),FALSE)),0)</f>
        <v>-10.37</v>
      </c>
      <c r="AG668" s="116">
        <v>-10</v>
      </c>
      <c r="AH668" s="113">
        <f t="shared" si="132"/>
        <v>-12.665372105737591</v>
      </c>
      <c r="AI668" s="116">
        <f>-IFERROR(IF($Y668=1,INDEX('[1]REMOVAL FEES'!$A$1:$C$22,MATCH(CONCATENATE("Standard Size",$P668),'[1]REMOVAL FEES'!$A$1:$A$22,0),3),IF($Y668=2,IF($P668&gt;10,(($P668-10)*1.06)+INDEX('[1]REMOVAL FEES'!$E$1:$G$22,MATCH(CONCATENATE("Large bulky, extra-large and special handling items",IF($P668&gt;=11,11,$P668)),'[1]REMOVAL FEES'!$E$1:$E$13,0),3),INDEX('[1]REMOVAL FEES'!$E$1:$G$22,MATCH(CONCATENATE("Large bulky, extra-large and special handling items",IF($P668&gt;=11,11,$P668)),'[1]REMOVAL FEES'!$E$1:$E$13,0),3))))*$AA668,FALSE)</f>
        <v>-6.36</v>
      </c>
      <c r="AJ668" s="107">
        <f t="shared" si="133"/>
        <v>-19.025372105737592</v>
      </c>
      <c r="AK668" s="107">
        <v>-5.4285294117647078</v>
      </c>
      <c r="AL668" s="107">
        <v>-1.3860172209208521</v>
      </c>
      <c r="AM668" s="107">
        <f t="shared" si="134"/>
        <v>-6.8145466326855599</v>
      </c>
      <c r="AN668" s="116">
        <f>(-IF($V668="Yes", IF($X668="Yes", VLOOKUP($W668, '[1]Storage Fees'!A:M, 13, FALSE), VLOOKUP($W668, '[1]Storage Fees'!A:M, 10, FALSE)), IF($X668="Yes", VLOOKUP($W668, '[1]Storage Fees'!A:M, 7, FALSE), VLOOKUP($W668, '[1]Storage Fees'!A:M, 4, FALSE))) * U668)*1.5</f>
        <v>-6.3090277777777787E-2</v>
      </c>
    </row>
    <row r="669" spans="1:40" x14ac:dyDescent="0.25">
      <c r="A669" s="99">
        <v>597</v>
      </c>
      <c r="B669" s="99"/>
      <c r="C669" s="99" t="s">
        <v>13655</v>
      </c>
      <c r="D669" s="99"/>
      <c r="E669" s="99" t="s">
        <v>278</v>
      </c>
      <c r="F669" s="99" t="s">
        <v>2044</v>
      </c>
      <c r="G669" s="99" t="s">
        <v>13695</v>
      </c>
      <c r="H669" s="99">
        <v>0</v>
      </c>
      <c r="I669" s="99">
        <v>0</v>
      </c>
      <c r="J669" s="99">
        <v>0</v>
      </c>
      <c r="K669" s="101" t="str">
        <f t="shared" si="122"/>
        <v>0x0x0</v>
      </c>
      <c r="L669" s="102">
        <f t="shared" si="123"/>
        <v>0</v>
      </c>
      <c r="M669" s="113">
        <f t="shared" si="124"/>
        <v>0</v>
      </c>
      <c r="N669" s="113">
        <f t="shared" si="125"/>
        <v>0</v>
      </c>
      <c r="O669" s="99">
        <v>0</v>
      </c>
      <c r="P669" s="113">
        <f t="shared" si="126"/>
        <v>0</v>
      </c>
      <c r="Q669" s="112">
        <f t="shared" si="127"/>
        <v>0</v>
      </c>
      <c r="R669" s="112" t="str">
        <f t="shared" si="128"/>
        <v>Standard-size</v>
      </c>
      <c r="S669" s="99" t="str">
        <f t="shared" si="129"/>
        <v>Small standard-size</v>
      </c>
      <c r="T669" s="116" t="s">
        <v>13696</v>
      </c>
      <c r="U669" s="116">
        <f t="shared" si="130"/>
        <v>0</v>
      </c>
      <c r="V669" s="116" t="s">
        <v>13583</v>
      </c>
      <c r="W669" s="116" t="s">
        <v>13690</v>
      </c>
      <c r="X669" s="99" t="s">
        <v>13583</v>
      </c>
      <c r="Y669" s="99">
        <v>1</v>
      </c>
      <c r="Z669" s="99">
        <v>1</v>
      </c>
      <c r="AA669" s="99">
        <v>1</v>
      </c>
      <c r="AB669" s="99"/>
      <c r="AC669" s="99"/>
      <c r="AD669" s="107">
        <v>12.649615406300899</v>
      </c>
      <c r="AE669" s="113">
        <f t="shared" si="131"/>
        <v>-1.8974423109451348</v>
      </c>
      <c r="AF669" s="116">
        <f>-IFERROR(IFERROR(VLOOKUP(ROUNDUP($Q669,0),'FBA FEES'!$L$2:$Q$203,MATCH($S669,'FBA FEES'!$L$2:$Q$2,0),FALSE),VLOOKUP(ROUNDUP($Q669,0),'FBA FEES'!$C$6:$F$123,MATCH($S669,'FBA FEES'!$C$6:$F$6,0),FALSE)),0)</f>
        <v>0</v>
      </c>
      <c r="AG669" s="116">
        <v>-10</v>
      </c>
      <c r="AH669" s="113">
        <f t="shared" si="132"/>
        <v>-1.8974423109451348</v>
      </c>
      <c r="AI669" s="116">
        <f>-IFERROR(IF($Y669=1,INDEX('[1]REMOVAL FEES'!$A$1:$C$22,MATCH(CONCATENATE("Standard Size",$P669),'[1]REMOVAL FEES'!$A$1:$A$22,0),3),IF($Y669=2,IF($P669&gt;10,(($P669-10)*1.06)+INDEX('[1]REMOVAL FEES'!$E$1:$G$22,MATCH(CONCATENATE("Large bulky, extra-large and special handling items",IF($P669&gt;=11,11,$P669)),'[1]REMOVAL FEES'!$E$1:$E$13,0),3),INDEX('[1]REMOVAL FEES'!$E$1:$G$22,MATCH(CONCATENATE("Large bulky, extra-large and special handling items",IF($P669&gt;=11,11,$P669)),'[1]REMOVAL FEES'!$E$1:$E$13,0),3))))*$AA669,FALSE)</f>
        <v>0</v>
      </c>
      <c r="AJ669" s="107">
        <f t="shared" si="133"/>
        <v>-1.8974423109451348</v>
      </c>
      <c r="AK669" s="107">
        <v>-4.5370731707317056</v>
      </c>
      <c r="AL669" s="107">
        <v>-1.06595960700298</v>
      </c>
      <c r="AM669" s="107">
        <f t="shared" si="134"/>
        <v>-5.6030327777346853</v>
      </c>
      <c r="AN669" s="116">
        <f>(-IF($V669="Yes", IF($X669="Yes", VLOOKUP($W669, '[1]Storage Fees'!A:M, 13, FALSE), VLOOKUP($W669, '[1]Storage Fees'!A:M, 10, FALSE)), IF($X669="Yes", VLOOKUP($W669, '[1]Storage Fees'!A:M, 7, FALSE), VLOOKUP($W669, '[1]Storage Fees'!A:M, 4, FALSE))) * U669)*1.5</f>
        <v>0</v>
      </c>
    </row>
    <row r="670" spans="1:40" x14ac:dyDescent="0.25">
      <c r="A670" s="99">
        <v>598</v>
      </c>
      <c r="B670" s="99"/>
      <c r="C670" s="99" t="s">
        <v>13655</v>
      </c>
      <c r="D670" s="99"/>
      <c r="E670" s="99" t="s">
        <v>278</v>
      </c>
      <c r="F670" s="99" t="s">
        <v>2048</v>
      </c>
      <c r="G670" s="99" t="s">
        <v>13695</v>
      </c>
      <c r="H670" s="99">
        <v>0</v>
      </c>
      <c r="I670" s="99">
        <v>0</v>
      </c>
      <c r="J670" s="99">
        <v>0</v>
      </c>
      <c r="K670" s="101" t="str">
        <f t="shared" si="122"/>
        <v>0x0x0</v>
      </c>
      <c r="L670" s="102">
        <f t="shared" si="123"/>
        <v>0</v>
      </c>
      <c r="M670" s="113">
        <f t="shared" si="124"/>
        <v>0</v>
      </c>
      <c r="N670" s="113">
        <f t="shared" si="125"/>
        <v>0</v>
      </c>
      <c r="O670" s="99">
        <v>0</v>
      </c>
      <c r="P670" s="113">
        <f t="shared" si="126"/>
        <v>0</v>
      </c>
      <c r="Q670" s="112">
        <f t="shared" si="127"/>
        <v>0</v>
      </c>
      <c r="R670" s="112" t="str">
        <f t="shared" si="128"/>
        <v>Standard-size</v>
      </c>
      <c r="S670" s="99" t="str">
        <f t="shared" si="129"/>
        <v>Small standard-size</v>
      </c>
      <c r="T670" s="116" t="s">
        <v>13696</v>
      </c>
      <c r="U670" s="116">
        <f t="shared" si="130"/>
        <v>0</v>
      </c>
      <c r="V670" s="116" t="s">
        <v>13583</v>
      </c>
      <c r="W670" s="116" t="s">
        <v>13690</v>
      </c>
      <c r="X670" s="99" t="s">
        <v>13583</v>
      </c>
      <c r="Y670" s="99">
        <v>1</v>
      </c>
      <c r="Z670" s="99">
        <v>1</v>
      </c>
      <c r="AA670" s="99">
        <v>1</v>
      </c>
      <c r="AB670" s="99"/>
      <c r="AC670" s="99"/>
      <c r="AD670" s="107">
        <v>5.92443192102197</v>
      </c>
      <c r="AE670" s="113">
        <f t="shared" si="131"/>
        <v>-0.88866478815329553</v>
      </c>
      <c r="AF670" s="116">
        <f>-IFERROR(IFERROR(VLOOKUP(ROUNDUP($Q670,0),'FBA FEES'!$L$2:$Q$203,MATCH($S670,'FBA FEES'!$L$2:$Q$2,0),FALSE),VLOOKUP(ROUNDUP($Q670,0),'FBA FEES'!$C$6:$F$123,MATCH($S670,'FBA FEES'!$C$6:$F$6,0),FALSE)),0)</f>
        <v>0</v>
      </c>
      <c r="AG670" s="116">
        <v>-10</v>
      </c>
      <c r="AH670" s="113">
        <f t="shared" si="132"/>
        <v>-0.88866478815329553</v>
      </c>
      <c r="AI670" s="116">
        <f>-IFERROR(IF($Y670=1,INDEX('[1]REMOVAL FEES'!$A$1:$C$22,MATCH(CONCATENATE("Standard Size",$P670),'[1]REMOVAL FEES'!$A$1:$A$22,0),3),IF($Y670=2,IF($P670&gt;10,(($P670-10)*1.06)+INDEX('[1]REMOVAL FEES'!$E$1:$G$22,MATCH(CONCATENATE("Large bulky, extra-large and special handling items",IF($P670&gt;=11,11,$P670)),'[1]REMOVAL FEES'!$E$1:$E$13,0),3),INDEX('[1]REMOVAL FEES'!$E$1:$G$22,MATCH(CONCATENATE("Large bulky, extra-large and special handling items",IF($P670&gt;=11,11,$P670)),'[1]REMOVAL FEES'!$E$1:$E$13,0),3))))*$AA670,FALSE)</f>
        <v>0</v>
      </c>
      <c r="AJ670" s="107">
        <f t="shared" si="133"/>
        <v>-0.88866478815329553</v>
      </c>
      <c r="AK670" s="107">
        <v>-1.9682352941176471</v>
      </c>
      <c r="AL670" s="107">
        <v>-0.53415961293963143</v>
      </c>
      <c r="AM670" s="107">
        <f t="shared" si="134"/>
        <v>-2.5023949070572784</v>
      </c>
      <c r="AN670" s="116">
        <f>(-IF($V670="Yes", IF($X670="Yes", VLOOKUP($W670, '[1]Storage Fees'!A:M, 13, FALSE), VLOOKUP($W670, '[1]Storage Fees'!A:M, 10, FALSE)), IF($X670="Yes", VLOOKUP($W670, '[1]Storage Fees'!A:M, 7, FALSE), VLOOKUP($W670, '[1]Storage Fees'!A:M, 4, FALSE))) * U670)*1.5</f>
        <v>0</v>
      </c>
    </row>
    <row r="671" spans="1:40" x14ac:dyDescent="0.25">
      <c r="A671" s="99">
        <v>599</v>
      </c>
      <c r="B671" s="99"/>
      <c r="C671" s="99" t="s">
        <v>13655</v>
      </c>
      <c r="D671" s="99"/>
      <c r="E671" s="99" t="s">
        <v>278</v>
      </c>
      <c r="F671" s="99" t="s">
        <v>2051</v>
      </c>
      <c r="G671" s="99" t="s">
        <v>13695</v>
      </c>
      <c r="H671" s="99">
        <v>0</v>
      </c>
      <c r="I671" s="99">
        <v>0</v>
      </c>
      <c r="J671" s="99">
        <v>0</v>
      </c>
      <c r="K671" s="101" t="str">
        <f t="shared" si="122"/>
        <v>0x0x0</v>
      </c>
      <c r="L671" s="102">
        <f t="shared" si="123"/>
        <v>0</v>
      </c>
      <c r="M671" s="113">
        <f t="shared" si="124"/>
        <v>0</v>
      </c>
      <c r="N671" s="113">
        <f t="shared" si="125"/>
        <v>0</v>
      </c>
      <c r="O671" s="99">
        <v>0</v>
      </c>
      <c r="P671" s="113">
        <f t="shared" si="126"/>
        <v>0</v>
      </c>
      <c r="Q671" s="112">
        <f t="shared" si="127"/>
        <v>0</v>
      </c>
      <c r="R671" s="112" t="str">
        <f t="shared" si="128"/>
        <v>Standard-size</v>
      </c>
      <c r="S671" s="99" t="str">
        <f t="shared" si="129"/>
        <v>Small standard-size</v>
      </c>
      <c r="T671" s="116" t="s">
        <v>13696</v>
      </c>
      <c r="U671" s="116">
        <f t="shared" si="130"/>
        <v>0</v>
      </c>
      <c r="V671" s="116" t="s">
        <v>13583</v>
      </c>
      <c r="W671" s="116" t="s">
        <v>13690</v>
      </c>
      <c r="X671" s="99" t="s">
        <v>13583</v>
      </c>
      <c r="Y671" s="99">
        <v>1</v>
      </c>
      <c r="Z671" s="99">
        <v>1</v>
      </c>
      <c r="AA671" s="99">
        <v>1</v>
      </c>
      <c r="AB671" s="99"/>
      <c r="AC671" s="99"/>
      <c r="AD671" s="107">
        <v>8.260104668566699</v>
      </c>
      <c r="AE671" s="113">
        <f t="shared" si="131"/>
        <v>-1.2390157002850049</v>
      </c>
      <c r="AF671" s="116">
        <f>-IFERROR(IFERROR(VLOOKUP(ROUNDUP($Q671,0),'FBA FEES'!$L$2:$Q$203,MATCH($S671,'FBA FEES'!$L$2:$Q$2,0),FALSE),VLOOKUP(ROUNDUP($Q671,0),'FBA FEES'!$C$6:$F$123,MATCH($S671,'FBA FEES'!$C$6:$F$6,0),FALSE)),0)</f>
        <v>0</v>
      </c>
      <c r="AG671" s="116">
        <v>-10</v>
      </c>
      <c r="AH671" s="113">
        <f t="shared" si="132"/>
        <v>-1.2390157002850049</v>
      </c>
      <c r="AI671" s="116">
        <f>-IFERROR(IF($Y671=1,INDEX('[1]REMOVAL FEES'!$A$1:$C$22,MATCH(CONCATENATE("Standard Size",$P671),'[1]REMOVAL FEES'!$A$1:$A$22,0),3),IF($Y671=2,IF($P671&gt;10,(($P671-10)*1.06)+INDEX('[1]REMOVAL FEES'!$E$1:$G$22,MATCH(CONCATENATE("Large bulky, extra-large and special handling items",IF($P671&gt;=11,11,$P671)),'[1]REMOVAL FEES'!$E$1:$E$13,0),3),INDEX('[1]REMOVAL FEES'!$E$1:$G$22,MATCH(CONCATENATE("Large bulky, extra-large and special handling items",IF($P671&gt;=11,11,$P671)),'[1]REMOVAL FEES'!$E$1:$E$13,0),3))))*$AA671,FALSE)</f>
        <v>0</v>
      </c>
      <c r="AJ671" s="107">
        <f t="shared" si="133"/>
        <v>-1.2390157002850049</v>
      </c>
      <c r="AK671" s="107">
        <v>-2.9109090909090911</v>
      </c>
      <c r="AL671" s="107">
        <v>-0.69124582527037248</v>
      </c>
      <c r="AM671" s="107">
        <f t="shared" si="134"/>
        <v>-3.6021549161794635</v>
      </c>
      <c r="AN671" s="116">
        <f>(-IF($V671="Yes", IF($X671="Yes", VLOOKUP($W671, '[1]Storage Fees'!A:M, 13, FALSE), VLOOKUP($W671, '[1]Storage Fees'!A:M, 10, FALSE)), IF($X671="Yes", VLOOKUP($W671, '[1]Storage Fees'!A:M, 7, FALSE), VLOOKUP($W671, '[1]Storage Fees'!A:M, 4, FALSE))) * U671)*1.5</f>
        <v>0</v>
      </c>
    </row>
    <row r="672" spans="1:40" x14ac:dyDescent="0.25">
      <c r="A672" s="99">
        <v>600</v>
      </c>
      <c r="B672" s="99" t="s">
        <v>13699</v>
      </c>
      <c r="C672" s="99" t="s">
        <v>13655</v>
      </c>
      <c r="D672" s="99" t="s">
        <v>1260</v>
      </c>
      <c r="E672" s="99" t="s">
        <v>278</v>
      </c>
      <c r="F672" s="99" t="s">
        <v>1258</v>
      </c>
      <c r="G672" s="99" t="s">
        <v>13695</v>
      </c>
      <c r="H672" s="99">
        <v>15</v>
      </c>
      <c r="I672" s="99">
        <v>10</v>
      </c>
      <c r="J672" s="99">
        <v>4</v>
      </c>
      <c r="K672" s="101" t="str">
        <f t="shared" si="122"/>
        <v>15x10x4</v>
      </c>
      <c r="L672" s="102">
        <f t="shared" si="123"/>
        <v>4.3165467625899279</v>
      </c>
      <c r="M672" s="113">
        <f t="shared" si="124"/>
        <v>4.3165467625899279</v>
      </c>
      <c r="N672" s="113">
        <f t="shared" si="125"/>
        <v>5</v>
      </c>
      <c r="O672" s="99">
        <v>3</v>
      </c>
      <c r="P672" s="113">
        <f t="shared" si="126"/>
        <v>5</v>
      </c>
      <c r="Q672" s="112">
        <f t="shared" si="127"/>
        <v>80</v>
      </c>
      <c r="R672" s="112" t="str">
        <f t="shared" si="128"/>
        <v>Standard-size</v>
      </c>
      <c r="S672" s="99" t="str">
        <f t="shared" si="129"/>
        <v>Large standard-size</v>
      </c>
      <c r="T672" s="116" t="s">
        <v>13693</v>
      </c>
      <c r="U672" s="116">
        <f t="shared" si="130"/>
        <v>0.34722222222222221</v>
      </c>
      <c r="V672" s="116" t="s">
        <v>13583</v>
      </c>
      <c r="W672" s="116" t="s">
        <v>13690</v>
      </c>
      <c r="X672" s="99" t="s">
        <v>13583</v>
      </c>
      <c r="Y672" s="99">
        <v>1</v>
      </c>
      <c r="Z672" s="99">
        <v>2</v>
      </c>
      <c r="AA672" s="99">
        <v>1</v>
      </c>
      <c r="AB672" s="99"/>
      <c r="AC672" s="99"/>
      <c r="AD672" s="107">
        <v>15.404948521338801</v>
      </c>
      <c r="AE672" s="113">
        <f t="shared" si="131"/>
        <v>-2.31074227820082</v>
      </c>
      <c r="AF672" s="116">
        <f>-IFERROR(IFERROR(VLOOKUP(ROUNDUP($Q672,0),'FBA FEES'!$L$2:$Q$203,MATCH($S672,'FBA FEES'!$L$2:$Q$2,0),FALSE),VLOOKUP(ROUNDUP($Q672,0),'FBA FEES'!$C$6:$F$123,MATCH($S672,'FBA FEES'!$C$6:$F$6,0),FALSE)),0)</f>
        <v>-7.56</v>
      </c>
      <c r="AG672" s="116">
        <v>-10</v>
      </c>
      <c r="AH672" s="113">
        <f t="shared" si="132"/>
        <v>-9.8707422782008187</v>
      </c>
      <c r="AI672" s="116">
        <f>-IFERROR(IF($Y672=1,INDEX('[1]REMOVAL FEES'!$A$1:$C$22,MATCH(CONCATENATE("Standard Size",$P672),'[1]REMOVAL FEES'!$A$1:$A$22,0),3),IF($Y672=2,IF($P672&gt;10,(($P672-10)*1.06)+INDEX('[1]REMOVAL FEES'!$E$1:$G$22,MATCH(CONCATENATE("Large bulky, extra-large and special handling items",IF($P672&gt;=11,11,$P672)),'[1]REMOVAL FEES'!$E$1:$E$13,0),3),INDEX('[1]REMOVAL FEES'!$E$1:$G$22,MATCH(CONCATENATE("Large bulky, extra-large and special handling items",IF($P672&gt;=11,11,$P672)),'[1]REMOVAL FEES'!$E$1:$E$13,0),3))))*$AA672,FALSE)</f>
        <v>-6.07</v>
      </c>
      <c r="AJ672" s="107">
        <f t="shared" si="133"/>
        <v>-15.940742278200819</v>
      </c>
      <c r="AK672" s="107">
        <v>-6.2544444444444416</v>
      </c>
      <c r="AL672" s="107">
        <v>-1.2535409088328799</v>
      </c>
      <c r="AM672" s="107">
        <f t="shared" si="134"/>
        <v>-7.5079853532773217</v>
      </c>
      <c r="AN672" s="116">
        <f>(-IF($V672="Yes", IF($X672="Yes", VLOOKUP($W672, '[1]Storage Fees'!A:M, 13, FALSE), VLOOKUP($W672, '[1]Storage Fees'!A:M, 10, FALSE)), IF($X672="Yes", VLOOKUP($W672, '[1]Storage Fees'!A:M, 7, FALSE), VLOOKUP($W672, '[1]Storage Fees'!A:M, 4, FALSE))) * U672)*1.5</f>
        <v>-0.63541666666666663</v>
      </c>
    </row>
    <row r="673" spans="1:40" x14ac:dyDescent="0.25">
      <c r="A673" s="99">
        <v>601</v>
      </c>
      <c r="B673" s="99" t="s">
        <v>13699</v>
      </c>
      <c r="C673" s="99" t="s">
        <v>13655</v>
      </c>
      <c r="D673" s="99" t="s">
        <v>1264</v>
      </c>
      <c r="E673" s="99" t="s">
        <v>278</v>
      </c>
      <c r="F673" s="99" t="s">
        <v>1262</v>
      </c>
      <c r="G673" s="99" t="s">
        <v>13695</v>
      </c>
      <c r="H673" s="99">
        <v>8</v>
      </c>
      <c r="I673" s="99">
        <v>5</v>
      </c>
      <c r="J673" s="99">
        <v>2</v>
      </c>
      <c r="K673" s="101" t="str">
        <f t="shared" si="122"/>
        <v>8x5x2</v>
      </c>
      <c r="L673" s="102">
        <f t="shared" si="123"/>
        <v>0.57553956834532372</v>
      </c>
      <c r="M673" s="113">
        <f t="shared" si="124"/>
        <v>0.57553956834532372</v>
      </c>
      <c r="N673" s="113">
        <f t="shared" si="125"/>
        <v>0.75</v>
      </c>
      <c r="O673" s="99">
        <v>0.875</v>
      </c>
      <c r="P673" s="113">
        <f t="shared" si="126"/>
        <v>1</v>
      </c>
      <c r="Q673" s="112">
        <f t="shared" si="127"/>
        <v>16</v>
      </c>
      <c r="R673" s="112" t="str">
        <f t="shared" si="128"/>
        <v>Standard-size</v>
      </c>
      <c r="S673" s="99" t="str">
        <f t="shared" si="129"/>
        <v>Large standard-size</v>
      </c>
      <c r="T673" s="116" t="s">
        <v>13698</v>
      </c>
      <c r="U673" s="116">
        <f t="shared" si="130"/>
        <v>4.6296296296296294E-2</v>
      </c>
      <c r="V673" s="116" t="s">
        <v>13583</v>
      </c>
      <c r="W673" s="116" t="s">
        <v>13690</v>
      </c>
      <c r="X673" s="99" t="s">
        <v>13583</v>
      </c>
      <c r="Y673" s="99">
        <v>1</v>
      </c>
      <c r="Z673" s="99">
        <v>2</v>
      </c>
      <c r="AA673" s="99">
        <v>1</v>
      </c>
      <c r="AB673" s="99"/>
      <c r="AC673" s="99"/>
      <c r="AD673" s="107">
        <v>12.892411399764679</v>
      </c>
      <c r="AE673" s="113">
        <f t="shared" si="131"/>
        <v>-1.9338617099647017</v>
      </c>
      <c r="AF673" s="116">
        <f>-IFERROR(IFERROR(VLOOKUP(ROUNDUP($Q673,0),'FBA FEES'!$L$2:$Q$203,MATCH($S673,'FBA FEES'!$L$2:$Q$2,0),FALSE),VLOOKUP(ROUNDUP($Q673,0),'FBA FEES'!$C$6:$F$123,MATCH($S673,'FBA FEES'!$C$6:$F$6,0),FALSE)),0)</f>
        <v>-4.55</v>
      </c>
      <c r="AG673" s="116">
        <v>-10</v>
      </c>
      <c r="AH673" s="113">
        <f t="shared" si="132"/>
        <v>-6.4838617099647013</v>
      </c>
      <c r="AI673" s="116">
        <f>-IFERROR(IF($Y673=1,INDEX('[1]REMOVAL FEES'!$A$1:$C$22,MATCH(CONCATENATE("Standard Size",$P673),'[1]REMOVAL FEES'!$A$1:$A$22,0),3),IF($Y673=2,IF($P673&gt;10,(($P673-10)*1.06)+INDEX('[1]REMOVAL FEES'!$E$1:$G$22,MATCH(CONCATENATE("Large bulky, extra-large and special handling items",IF($P673&gt;=11,11,$P673)),'[1]REMOVAL FEES'!$E$1:$E$13,0),3),INDEX('[1]REMOVAL FEES'!$E$1:$G$22,MATCH(CONCATENATE("Large bulky, extra-large and special handling items",IF($P673&gt;=11,11,$P673)),'[1]REMOVAL FEES'!$E$1:$E$13,0),3))))*$AA673,FALSE)</f>
        <v>-1.53</v>
      </c>
      <c r="AJ673" s="107">
        <f t="shared" si="133"/>
        <v>-8.0138617099647007</v>
      </c>
      <c r="AK673" s="107">
        <v>-3.5300000000000011</v>
      </c>
      <c r="AL673" s="107">
        <v>-1.723534419899404</v>
      </c>
      <c r="AM673" s="107">
        <f t="shared" si="134"/>
        <v>-5.2535344198994052</v>
      </c>
      <c r="AN673" s="116">
        <f>(-IF($V673="Yes", IF($X673="Yes", VLOOKUP($W673, '[1]Storage Fees'!A:M, 13, FALSE), VLOOKUP($W673, '[1]Storage Fees'!A:M, 10, FALSE)), IF($X673="Yes", VLOOKUP($W673, '[1]Storage Fees'!A:M, 7, FALSE), VLOOKUP($W673, '[1]Storage Fees'!A:M, 4, FALSE))) * U673)*1.5</f>
        <v>-8.4722222222222227E-2</v>
      </c>
    </row>
    <row r="674" spans="1:40" x14ac:dyDescent="0.25">
      <c r="A674" s="99">
        <v>602</v>
      </c>
      <c r="B674" s="99"/>
      <c r="C674" s="99" t="s">
        <v>13655</v>
      </c>
      <c r="D674" s="99"/>
      <c r="E674" s="99" t="s">
        <v>278</v>
      </c>
      <c r="F674" s="99" t="s">
        <v>2054</v>
      </c>
      <c r="G674" s="99" t="s">
        <v>13656</v>
      </c>
      <c r="H674" s="99">
        <v>0</v>
      </c>
      <c r="I674" s="99">
        <v>0</v>
      </c>
      <c r="J674" s="99">
        <v>0</v>
      </c>
      <c r="K674" s="101" t="str">
        <f t="shared" si="122"/>
        <v>0x0x0</v>
      </c>
      <c r="L674" s="102">
        <f t="shared" si="123"/>
        <v>0</v>
      </c>
      <c r="M674" s="113">
        <f t="shared" si="124"/>
        <v>0</v>
      </c>
      <c r="N674" s="113">
        <f t="shared" si="125"/>
        <v>0</v>
      </c>
      <c r="O674" s="99">
        <v>0</v>
      </c>
      <c r="P674" s="113">
        <f t="shared" si="126"/>
        <v>0</v>
      </c>
      <c r="Q674" s="112">
        <f t="shared" si="127"/>
        <v>0</v>
      </c>
      <c r="R674" s="112" t="str">
        <f t="shared" si="128"/>
        <v>Standard-size</v>
      </c>
      <c r="S674" s="99" t="str">
        <f t="shared" si="129"/>
        <v>Small standard-size</v>
      </c>
      <c r="T674" s="116" t="s">
        <v>13696</v>
      </c>
      <c r="U674" s="116">
        <f t="shared" si="130"/>
        <v>0</v>
      </c>
      <c r="V674" s="116" t="s">
        <v>13583</v>
      </c>
      <c r="W674" s="116" t="s">
        <v>13690</v>
      </c>
      <c r="X674" s="99" t="s">
        <v>13583</v>
      </c>
      <c r="Y674" s="99">
        <v>1</v>
      </c>
      <c r="Z674" s="99">
        <v>1</v>
      </c>
      <c r="AA674" s="99">
        <v>1</v>
      </c>
      <c r="AB674" s="99"/>
      <c r="AC674" s="99"/>
      <c r="AD674" s="107">
        <v>0</v>
      </c>
      <c r="AE674" s="113">
        <f t="shared" si="131"/>
        <v>0</v>
      </c>
      <c r="AF674" s="116">
        <f>-IFERROR(IFERROR(VLOOKUP(ROUNDUP($Q674,0),'FBA FEES'!$L$2:$Q$203,MATCH($S674,'FBA FEES'!$L$2:$Q$2,0),FALSE),VLOOKUP(ROUNDUP($Q674,0),'FBA FEES'!$C$6:$F$123,MATCH($S674,'FBA FEES'!$C$6:$F$6,0),FALSE)),0)</f>
        <v>0</v>
      </c>
      <c r="AG674" s="116">
        <v>-10</v>
      </c>
      <c r="AH674" s="113">
        <f t="shared" si="132"/>
        <v>0</v>
      </c>
      <c r="AI674" s="116">
        <f>-IFERROR(IF($Y674=1,INDEX('[1]REMOVAL FEES'!$A$1:$C$22,MATCH(CONCATENATE("Standard Size",$P674),'[1]REMOVAL FEES'!$A$1:$A$22,0),3),IF($Y674=2,IF($P674&gt;10,(($P674-10)*1.06)+INDEX('[1]REMOVAL FEES'!$E$1:$G$22,MATCH(CONCATENATE("Large bulky, extra-large and special handling items",IF($P674&gt;=11,11,$P674)),'[1]REMOVAL FEES'!$E$1:$E$13,0),3),INDEX('[1]REMOVAL FEES'!$E$1:$G$22,MATCH(CONCATENATE("Large bulky, extra-large and special handling items",IF($P674&gt;=11,11,$P674)),'[1]REMOVAL FEES'!$E$1:$E$13,0),3))))*$AA674,FALSE)</f>
        <v>0</v>
      </c>
      <c r="AJ674" s="107">
        <f t="shared" si="133"/>
        <v>0</v>
      </c>
      <c r="AK674" s="107">
        <v>0</v>
      </c>
      <c r="AL674" s="107">
        <v>0</v>
      </c>
      <c r="AM674" s="107">
        <f t="shared" si="134"/>
        <v>0</v>
      </c>
      <c r="AN674" s="116">
        <f>(-IF($V674="Yes", IF($X674="Yes", VLOOKUP($W674, '[1]Storage Fees'!A:M, 13, FALSE), VLOOKUP($W674, '[1]Storage Fees'!A:M, 10, FALSE)), IF($X674="Yes", VLOOKUP($W674, '[1]Storage Fees'!A:M, 7, FALSE), VLOOKUP($W674, '[1]Storage Fees'!A:M, 4, FALSE))) * U674)*1.5</f>
        <v>0</v>
      </c>
    </row>
    <row r="675" spans="1:40" x14ac:dyDescent="0.25">
      <c r="A675" s="99">
        <v>603</v>
      </c>
      <c r="B675" s="99"/>
      <c r="C675" s="99" t="s">
        <v>13655</v>
      </c>
      <c r="D675" s="99"/>
      <c r="E675" s="99" t="s">
        <v>278</v>
      </c>
      <c r="F675" s="99" t="s">
        <v>2057</v>
      </c>
      <c r="G675" s="99" t="s">
        <v>13656</v>
      </c>
      <c r="H675" s="99">
        <v>0</v>
      </c>
      <c r="I675" s="99">
        <v>0</v>
      </c>
      <c r="J675" s="99">
        <v>0</v>
      </c>
      <c r="K675" s="101" t="str">
        <f t="shared" si="122"/>
        <v>0x0x0</v>
      </c>
      <c r="L675" s="102">
        <f t="shared" si="123"/>
        <v>0</v>
      </c>
      <c r="M675" s="113">
        <f t="shared" si="124"/>
        <v>0</v>
      </c>
      <c r="N675" s="113">
        <f t="shared" si="125"/>
        <v>0</v>
      </c>
      <c r="O675" s="99">
        <v>0</v>
      </c>
      <c r="P675" s="113">
        <f t="shared" si="126"/>
        <v>0</v>
      </c>
      <c r="Q675" s="112">
        <f t="shared" si="127"/>
        <v>0</v>
      </c>
      <c r="R675" s="112" t="str">
        <f t="shared" si="128"/>
        <v>Standard-size</v>
      </c>
      <c r="S675" s="99" t="str">
        <f t="shared" si="129"/>
        <v>Small standard-size</v>
      </c>
      <c r="T675" s="116" t="s">
        <v>13696</v>
      </c>
      <c r="U675" s="116">
        <f t="shared" si="130"/>
        <v>0</v>
      </c>
      <c r="V675" s="116" t="s">
        <v>13583</v>
      </c>
      <c r="W675" s="116" t="s">
        <v>13690</v>
      </c>
      <c r="X675" s="99" t="s">
        <v>13583</v>
      </c>
      <c r="Y675" s="99">
        <v>1</v>
      </c>
      <c r="Z675" s="99">
        <v>1</v>
      </c>
      <c r="AA675" s="99">
        <v>1</v>
      </c>
      <c r="AB675" s="99"/>
      <c r="AC675" s="99"/>
      <c r="AD675" s="107">
        <v>0</v>
      </c>
      <c r="AE675" s="113">
        <f t="shared" si="131"/>
        <v>0</v>
      </c>
      <c r="AF675" s="116">
        <f>-IFERROR(IFERROR(VLOOKUP(ROUNDUP($Q675,0),'FBA FEES'!$L$2:$Q$203,MATCH($S675,'FBA FEES'!$L$2:$Q$2,0),FALSE),VLOOKUP(ROUNDUP($Q675,0),'FBA FEES'!$C$6:$F$123,MATCH($S675,'FBA FEES'!$C$6:$F$6,0),FALSE)),0)</f>
        <v>0</v>
      </c>
      <c r="AG675" s="116">
        <v>-10</v>
      </c>
      <c r="AH675" s="113">
        <f t="shared" si="132"/>
        <v>0</v>
      </c>
      <c r="AI675" s="116">
        <f>-IFERROR(IF($Y675=1,INDEX('[1]REMOVAL FEES'!$A$1:$C$22,MATCH(CONCATENATE("Standard Size",$P675),'[1]REMOVAL FEES'!$A$1:$A$22,0),3),IF($Y675=2,IF($P675&gt;10,(($P675-10)*1.06)+INDEX('[1]REMOVAL FEES'!$E$1:$G$22,MATCH(CONCATENATE("Large bulky, extra-large and special handling items",IF($P675&gt;=11,11,$P675)),'[1]REMOVAL FEES'!$E$1:$E$13,0),3),INDEX('[1]REMOVAL FEES'!$E$1:$G$22,MATCH(CONCATENATE("Large bulky, extra-large and special handling items",IF($P675&gt;=11,11,$P675)),'[1]REMOVAL FEES'!$E$1:$E$13,0),3))))*$AA675,FALSE)</f>
        <v>0</v>
      </c>
      <c r="AJ675" s="107">
        <f t="shared" si="133"/>
        <v>0</v>
      </c>
      <c r="AK675" s="107">
        <v>0</v>
      </c>
      <c r="AL675" s="107">
        <v>0</v>
      </c>
      <c r="AM675" s="107">
        <f t="shared" si="134"/>
        <v>0</v>
      </c>
      <c r="AN675" s="116">
        <f>(-IF($V675="Yes", IF($X675="Yes", VLOOKUP($W675, '[1]Storage Fees'!A:M, 13, FALSE), VLOOKUP($W675, '[1]Storage Fees'!A:M, 10, FALSE)), IF($X675="Yes", VLOOKUP($W675, '[1]Storage Fees'!A:M, 7, FALSE), VLOOKUP($W675, '[1]Storage Fees'!A:M, 4, FALSE))) * U675)*1.5</f>
        <v>0</v>
      </c>
    </row>
    <row r="676" spans="1:40" x14ac:dyDescent="0.25">
      <c r="A676" s="99">
        <v>604</v>
      </c>
      <c r="B676" s="99"/>
      <c r="C676" s="99" t="s">
        <v>13655</v>
      </c>
      <c r="D676" s="99"/>
      <c r="E676" s="99" t="s">
        <v>163</v>
      </c>
      <c r="F676" s="99" t="s">
        <v>2060</v>
      </c>
      <c r="G676" s="99" t="s">
        <v>13695</v>
      </c>
      <c r="H676" s="99">
        <v>0</v>
      </c>
      <c r="I676" s="99">
        <v>0</v>
      </c>
      <c r="J676" s="99">
        <v>0</v>
      </c>
      <c r="K676" s="101" t="str">
        <f t="shared" si="122"/>
        <v>0x0x0</v>
      </c>
      <c r="L676" s="102">
        <f t="shared" si="123"/>
        <v>0</v>
      </c>
      <c r="M676" s="113">
        <f t="shared" si="124"/>
        <v>0</v>
      </c>
      <c r="N676" s="113">
        <f t="shared" si="125"/>
        <v>0</v>
      </c>
      <c r="O676" s="99">
        <v>0</v>
      </c>
      <c r="P676" s="113">
        <f t="shared" si="126"/>
        <v>0</v>
      </c>
      <c r="Q676" s="112">
        <f t="shared" si="127"/>
        <v>0</v>
      </c>
      <c r="R676" s="112" t="str">
        <f t="shared" si="128"/>
        <v>Standard-size</v>
      </c>
      <c r="S676" s="99" t="str">
        <f t="shared" si="129"/>
        <v>Small standard-size</v>
      </c>
      <c r="T676" s="116" t="s">
        <v>13696</v>
      </c>
      <c r="U676" s="116">
        <f t="shared" si="130"/>
        <v>0</v>
      </c>
      <c r="V676" s="116" t="s">
        <v>13583</v>
      </c>
      <c r="W676" s="116" t="s">
        <v>13690</v>
      </c>
      <c r="X676" s="99" t="s">
        <v>13583</v>
      </c>
      <c r="Y676" s="99">
        <v>1</v>
      </c>
      <c r="Z676" s="99">
        <v>1</v>
      </c>
      <c r="AA676" s="99">
        <v>1</v>
      </c>
      <c r="AB676" s="99"/>
      <c r="AC676" s="99"/>
      <c r="AD676" s="107">
        <v>79.989999999999995</v>
      </c>
      <c r="AE676" s="113">
        <f t="shared" si="131"/>
        <v>-11.998499999999998</v>
      </c>
      <c r="AF676" s="116">
        <f>-IFERROR(IFERROR(VLOOKUP(ROUNDUP($Q676,0),'FBA FEES'!$L$2:$Q$203,MATCH($S676,'FBA FEES'!$L$2:$Q$2,0),FALSE),VLOOKUP(ROUNDUP($Q676,0),'FBA FEES'!$C$6:$F$123,MATCH($S676,'FBA FEES'!$C$6:$F$6,0),FALSE)),0)</f>
        <v>0</v>
      </c>
      <c r="AG676" s="116">
        <v>-10</v>
      </c>
      <c r="AH676" s="113">
        <f t="shared" si="132"/>
        <v>-11.998499999999998</v>
      </c>
      <c r="AI676" s="116">
        <f>-IFERROR(IF($Y676=1,INDEX('[1]REMOVAL FEES'!$A$1:$C$22,MATCH(CONCATENATE("Standard Size",$P676),'[1]REMOVAL FEES'!$A$1:$A$22,0),3),IF($Y676=2,IF($P676&gt;10,(($P676-10)*1.06)+INDEX('[1]REMOVAL FEES'!$E$1:$G$22,MATCH(CONCATENATE("Large bulky, extra-large and special handling items",IF($P676&gt;=11,11,$P676)),'[1]REMOVAL FEES'!$E$1:$E$13,0),3),INDEX('[1]REMOVAL FEES'!$E$1:$G$22,MATCH(CONCATENATE("Large bulky, extra-large and special handling items",IF($P676&gt;=11,11,$P676)),'[1]REMOVAL FEES'!$E$1:$E$13,0),3))))*$AA676,FALSE)</f>
        <v>0</v>
      </c>
      <c r="AJ676" s="107">
        <f t="shared" si="133"/>
        <v>-11.998499999999998</v>
      </c>
      <c r="AK676" s="107">
        <v>-58.68</v>
      </c>
      <c r="AL676" s="107">
        <v>-9.2100000000000009</v>
      </c>
      <c r="AM676" s="107">
        <f t="shared" si="134"/>
        <v>-67.89</v>
      </c>
      <c r="AN676" s="116">
        <f>(-IF($V676="Yes", IF($X676="Yes", VLOOKUP($W676, '[1]Storage Fees'!A:M, 13, FALSE), VLOOKUP($W676, '[1]Storage Fees'!A:M, 10, FALSE)), IF($X676="Yes", VLOOKUP($W676, '[1]Storage Fees'!A:M, 7, FALSE), VLOOKUP($W676, '[1]Storage Fees'!A:M, 4, FALSE))) * U676)*1.5</f>
        <v>0</v>
      </c>
    </row>
    <row r="677" spans="1:40" x14ac:dyDescent="0.25">
      <c r="A677" s="99">
        <v>605</v>
      </c>
      <c r="B677" s="99" t="s">
        <v>13700</v>
      </c>
      <c r="C677" s="99"/>
      <c r="D677" s="99"/>
      <c r="E677" s="99" t="s">
        <v>123</v>
      </c>
      <c r="F677" s="99" t="s">
        <v>413</v>
      </c>
      <c r="G677" s="99" t="s">
        <v>13695</v>
      </c>
      <c r="H677" s="99">
        <v>19</v>
      </c>
      <c r="I677" s="99">
        <v>14</v>
      </c>
      <c r="J677" s="99">
        <v>13</v>
      </c>
      <c r="K677" s="101" t="str">
        <f t="shared" si="122"/>
        <v>19x14x13</v>
      </c>
      <c r="L677" s="102">
        <f t="shared" si="123"/>
        <v>24.877697841726619</v>
      </c>
      <c r="M677" s="113">
        <f t="shared" si="124"/>
        <v>24.877697841726619</v>
      </c>
      <c r="N677" s="113">
        <f t="shared" si="125"/>
        <v>25</v>
      </c>
      <c r="O677" s="99">
        <v>24</v>
      </c>
      <c r="P677" s="113">
        <f t="shared" si="126"/>
        <v>25</v>
      </c>
      <c r="Q677" s="112">
        <f t="shared" si="127"/>
        <v>400</v>
      </c>
      <c r="R677" s="112" t="str">
        <f t="shared" si="128"/>
        <v>Oversize</v>
      </c>
      <c r="S677" s="99" t="str">
        <f t="shared" si="129"/>
        <v>Large bulky</v>
      </c>
      <c r="T677" s="116" t="s">
        <v>13692</v>
      </c>
      <c r="U677" s="116">
        <f t="shared" si="130"/>
        <v>2.0011574074074074</v>
      </c>
      <c r="V677" s="116" t="s">
        <v>13583</v>
      </c>
      <c r="W677" s="116" t="s">
        <v>13690</v>
      </c>
      <c r="X677" s="116" t="s">
        <v>13691</v>
      </c>
      <c r="Y677" s="116">
        <v>2</v>
      </c>
      <c r="Z677" s="116">
        <v>3</v>
      </c>
      <c r="AA677" s="116">
        <v>1</v>
      </c>
      <c r="AB677" s="99"/>
      <c r="AC677" s="99"/>
      <c r="AD677" s="107">
        <v>222.67875739645001</v>
      </c>
      <c r="AE677" s="113">
        <f t="shared" si="131"/>
        <v>-33.401813609467503</v>
      </c>
      <c r="AF677" s="116">
        <f>-IFERROR(IFERROR(VLOOKUP(ROUNDUP($Q677,0),'FBA FEES'!$L$2:$Q$203,MATCH($S677,'FBA FEES'!$L$2:$Q$2,0),FALSE),VLOOKUP(ROUNDUP($Q677,0),'FBA FEES'!$C$6:$F$123,MATCH($S677,'FBA FEES'!$C$6:$F$6,0),FALSE)),0)</f>
        <v>-18.73</v>
      </c>
      <c r="AG677" s="116">
        <v>-10</v>
      </c>
      <c r="AH677" s="113">
        <f t="shared" si="132"/>
        <v>-52.1318136094675</v>
      </c>
      <c r="AI677" s="116">
        <f>-IFERROR(IF($Y677=1,INDEX('[1]REMOVAL FEES'!$A$1:$C$22,MATCH(CONCATENATE("Standard Size",$P677),'[1]REMOVAL FEES'!$A$1:$A$22,0),3),IF($Y677=2,IF($P677&gt;10,(($P677-10)*1.06)+INDEX('[1]REMOVAL FEES'!$E$1:$G$22,MATCH(CONCATENATE("Large bulky, extra-large and special handling items",IF($P677&gt;=11,11,$P677)),'[1]REMOVAL FEES'!$E$1:$E$13,0),3),INDEX('[1]REMOVAL FEES'!$E$1:$G$22,MATCH(CONCATENATE("Large bulky, extra-large and special handling items",IF($P677&gt;=11,11,$P677)),'[1]REMOVAL FEES'!$E$1:$E$13,0),3))))*$AA677,FALSE)</f>
        <v>-30.22</v>
      </c>
      <c r="AJ677" s="107">
        <f t="shared" si="133"/>
        <v>-82.351813609467499</v>
      </c>
      <c r="AK677" s="107">
        <v>-88.6539644970414</v>
      </c>
      <c r="AL677" s="107">
        <v>-12.66917645644955</v>
      </c>
      <c r="AM677" s="107">
        <f t="shared" si="134"/>
        <v>-101.32314095349095</v>
      </c>
      <c r="AN677" s="116">
        <f>(-IF($V677="Yes", IF($X677="Yes", VLOOKUP($W677, '[1]Storage Fees'!A:M, 13, FALSE), VLOOKUP($W677, '[1]Storage Fees'!A:M, 10, FALSE)), IF($X677="Yes", VLOOKUP($W677, '[1]Storage Fees'!A:M, 7, FALSE), VLOOKUP($W677, '[1]Storage Fees'!A:M, 4, FALSE))) * U677)*1.5</f>
        <v>-2.3713715277777778</v>
      </c>
    </row>
    <row r="678" spans="1:40" x14ac:dyDescent="0.25">
      <c r="A678" s="99">
        <v>606</v>
      </c>
      <c r="B678" s="99" t="s">
        <v>55</v>
      </c>
      <c r="C678" s="99"/>
      <c r="D678" s="99"/>
      <c r="E678" s="99" t="s">
        <v>54</v>
      </c>
      <c r="F678" s="99" t="s">
        <v>415</v>
      </c>
      <c r="G678" s="99" t="s">
        <v>13656</v>
      </c>
      <c r="H678" s="99">
        <v>16</v>
      </c>
      <c r="I678" s="99">
        <v>13</v>
      </c>
      <c r="J678" s="99">
        <v>5</v>
      </c>
      <c r="K678" s="101" t="str">
        <f t="shared" si="122"/>
        <v>16x13x5</v>
      </c>
      <c r="L678" s="102">
        <f t="shared" si="123"/>
        <v>7.4820143884892083</v>
      </c>
      <c r="M678" s="113">
        <f t="shared" si="124"/>
        <v>7.4820143884892083</v>
      </c>
      <c r="N678" s="113">
        <f t="shared" si="125"/>
        <v>8</v>
      </c>
      <c r="O678" s="99">
        <v>4</v>
      </c>
      <c r="P678" s="113">
        <f t="shared" si="126"/>
        <v>8</v>
      </c>
      <c r="Q678" s="112">
        <f t="shared" si="127"/>
        <v>128</v>
      </c>
      <c r="R678" s="112" t="str">
        <f t="shared" si="128"/>
        <v>Standard-size</v>
      </c>
      <c r="S678" s="99" t="str">
        <f t="shared" si="129"/>
        <v>Large standard-size</v>
      </c>
      <c r="T678" s="116" t="s">
        <v>13693</v>
      </c>
      <c r="U678" s="116">
        <f t="shared" si="130"/>
        <v>0.60185185185185186</v>
      </c>
      <c r="V678" s="116" t="s">
        <v>13583</v>
      </c>
      <c r="W678" s="116" t="s">
        <v>13690</v>
      </c>
      <c r="X678" s="99" t="s">
        <v>13583</v>
      </c>
      <c r="Y678" s="99">
        <v>1</v>
      </c>
      <c r="Z678" s="99">
        <v>2</v>
      </c>
      <c r="AA678" s="99">
        <v>1</v>
      </c>
      <c r="AB678" s="99"/>
      <c r="AC678" s="99"/>
      <c r="AD678" s="107">
        <v>28.699310344827619</v>
      </c>
      <c r="AE678" s="113">
        <f t="shared" si="131"/>
        <v>-4.3048965517241431</v>
      </c>
      <c r="AF678" s="116">
        <f>-IFERROR(IFERROR(VLOOKUP(ROUNDUP($Q678,0),'FBA FEES'!$L$2:$Q$203,MATCH($S678,'FBA FEES'!$L$2:$Q$2,0),FALSE),VLOOKUP(ROUNDUP($Q678,0),'FBA FEES'!$C$6:$F$123,MATCH($S678,'FBA FEES'!$C$6:$F$6,0),FALSE)),0)</f>
        <v>-8.52</v>
      </c>
      <c r="AG678" s="116">
        <v>-2</v>
      </c>
      <c r="AH678" s="113">
        <f t="shared" si="132"/>
        <v>-12.824896551724143</v>
      </c>
      <c r="AI678" s="116">
        <f>-IFERROR(IF($Y678=1,INDEX('[1]REMOVAL FEES'!$A$1:$C$22,MATCH(CONCATENATE("Standard Size",$P678),'[1]REMOVAL FEES'!$A$1:$A$22,0),3),IF($Y678=2,IF($P678&gt;10,(($P678-10)*1.06)+INDEX('[1]REMOVAL FEES'!$E$1:$G$22,MATCH(CONCATENATE("Large bulky, extra-large and special handling items",IF($P678&gt;=11,11,$P678)),'[1]REMOVAL FEES'!$E$1:$E$13,0),3),INDEX('[1]REMOVAL FEES'!$E$1:$G$22,MATCH(CONCATENATE("Large bulky, extra-large and special handling items",IF($P678&gt;=11,11,$P678)),'[1]REMOVAL FEES'!$E$1:$E$13,0),3))))*$AA678,FALSE)</f>
        <v>-9.25</v>
      </c>
      <c r="AJ678" s="107">
        <f t="shared" si="133"/>
        <v>-22.074896551724144</v>
      </c>
      <c r="AK678" s="107">
        <v>-6.8896551724137929</v>
      </c>
      <c r="AL678" s="107">
        <v>-2.417380610290091</v>
      </c>
      <c r="AM678" s="107">
        <f t="shared" si="134"/>
        <v>-9.3070357827038848</v>
      </c>
      <c r="AN678" s="116">
        <f>(-IF($V678="Yes", IF($X678="Yes", VLOOKUP($W678, '[1]Storage Fees'!A:M, 13, FALSE), VLOOKUP($W678, '[1]Storage Fees'!A:M, 10, FALSE)), IF($X678="Yes", VLOOKUP($W678, '[1]Storage Fees'!A:M, 7, FALSE), VLOOKUP($W678, '[1]Storage Fees'!A:M, 4, FALSE))) * U678)*1.5</f>
        <v>-1.101388888888889</v>
      </c>
    </row>
    <row r="679" spans="1:40" x14ac:dyDescent="0.25">
      <c r="A679" s="99">
        <v>607</v>
      </c>
      <c r="B679" s="99" t="s">
        <v>55</v>
      </c>
      <c r="C679" s="99"/>
      <c r="D679" s="99"/>
      <c r="E679" s="99" t="s">
        <v>54</v>
      </c>
      <c r="F679" s="99" t="s">
        <v>417</v>
      </c>
      <c r="G679" s="99" t="s">
        <v>13656</v>
      </c>
      <c r="H679" s="99">
        <v>17</v>
      </c>
      <c r="I679" s="99">
        <v>12</v>
      </c>
      <c r="J679" s="99">
        <v>11</v>
      </c>
      <c r="K679" s="101" t="str">
        <f t="shared" si="122"/>
        <v>17x12x11</v>
      </c>
      <c r="L679" s="102">
        <f t="shared" si="123"/>
        <v>16.14388489208633</v>
      </c>
      <c r="M679" s="113">
        <f t="shared" si="124"/>
        <v>16.14388489208633</v>
      </c>
      <c r="N679" s="113">
        <f t="shared" si="125"/>
        <v>17</v>
      </c>
      <c r="O679" s="99">
        <v>9</v>
      </c>
      <c r="P679" s="113">
        <f t="shared" si="126"/>
        <v>17</v>
      </c>
      <c r="Q679" s="112">
        <f t="shared" si="127"/>
        <v>272</v>
      </c>
      <c r="R679" s="112" t="str">
        <f t="shared" si="128"/>
        <v>Oversize</v>
      </c>
      <c r="S679" s="99" t="str">
        <f t="shared" si="129"/>
        <v>Large bulky</v>
      </c>
      <c r="T679" s="116" t="s">
        <v>13692</v>
      </c>
      <c r="U679" s="116">
        <f t="shared" si="130"/>
        <v>1.2986111111111112</v>
      </c>
      <c r="V679" s="116" t="s">
        <v>13583</v>
      </c>
      <c r="W679" s="116" t="s">
        <v>13690</v>
      </c>
      <c r="X679" s="116" t="s">
        <v>13691</v>
      </c>
      <c r="Y679" s="116">
        <v>2</v>
      </c>
      <c r="Z679" s="116">
        <v>3</v>
      </c>
      <c r="AA679" s="116">
        <v>1</v>
      </c>
      <c r="AB679" s="99"/>
      <c r="AC679" s="99"/>
      <c r="AD679" s="107">
        <v>59.571029411764641</v>
      </c>
      <c r="AE679" s="113">
        <f t="shared" si="131"/>
        <v>-8.9356544117646965</v>
      </c>
      <c r="AF679" s="116">
        <f>-IFERROR(IFERROR(VLOOKUP(ROUNDUP($Q679,0),'FBA FEES'!$L$2:$Q$203,MATCH($S679,'FBA FEES'!$L$2:$Q$2,0),FALSE),VLOOKUP(ROUNDUP($Q679,0),'FBA FEES'!$C$6:$F$123,MATCH($S679,'FBA FEES'!$C$6:$F$6,0),FALSE)),0)</f>
        <v>-15.69</v>
      </c>
      <c r="AG679" s="116">
        <v>-7</v>
      </c>
      <c r="AH679" s="113">
        <f t="shared" si="132"/>
        <v>-24.625654411764696</v>
      </c>
      <c r="AI679" s="116">
        <f>-IFERROR(IF($Y679=1,INDEX('[1]REMOVAL FEES'!$A$1:$C$22,MATCH(CONCATENATE("Standard Size",$P679),'[1]REMOVAL FEES'!$A$1:$A$22,0),3),IF($Y679=2,IF($P679&gt;10,(($P679-10)*1.06)+INDEX('[1]REMOVAL FEES'!$E$1:$G$22,MATCH(CONCATENATE("Large bulky, extra-large and special handling items",IF($P679&gt;=11,11,$P679)),'[1]REMOVAL FEES'!$E$1:$E$13,0),3),INDEX('[1]REMOVAL FEES'!$E$1:$G$22,MATCH(CONCATENATE("Large bulky, extra-large and special handling items",IF($P679&gt;=11,11,$P679)),'[1]REMOVAL FEES'!$E$1:$E$13,0),3))))*$AA679,FALSE)</f>
        <v>-21.740000000000002</v>
      </c>
      <c r="AJ679" s="107">
        <f t="shared" si="133"/>
        <v>-46.365654411764694</v>
      </c>
      <c r="AK679" s="107">
        <v>-13.963088235294119</v>
      </c>
      <c r="AL679" s="107">
        <v>-6.5495693277310956</v>
      </c>
      <c r="AM679" s="107">
        <f t="shared" si="134"/>
        <v>-20.512657563025215</v>
      </c>
      <c r="AN679" s="116">
        <f>(-IF($V679="Yes", IF($X679="Yes", VLOOKUP($W679, '[1]Storage Fees'!A:M, 13, FALSE), VLOOKUP($W679, '[1]Storage Fees'!A:M, 10, FALSE)), IF($X679="Yes", VLOOKUP($W679, '[1]Storage Fees'!A:M, 7, FALSE), VLOOKUP($W679, '[1]Storage Fees'!A:M, 4, FALSE))) * U679)*1.5</f>
        <v>-1.5388541666666669</v>
      </c>
    </row>
    <row r="680" spans="1:40" x14ac:dyDescent="0.25">
      <c r="A680" s="99">
        <v>608</v>
      </c>
      <c r="B680" s="99" t="s">
        <v>13700</v>
      </c>
      <c r="C680" s="99"/>
      <c r="D680" s="99"/>
      <c r="E680" s="99" t="s">
        <v>278</v>
      </c>
      <c r="F680" s="99" t="s">
        <v>419</v>
      </c>
      <c r="G680" s="99" t="s">
        <v>13695</v>
      </c>
      <c r="H680" s="99">
        <v>17</v>
      </c>
      <c r="I680" s="99">
        <v>15</v>
      </c>
      <c r="J680" s="99">
        <v>6</v>
      </c>
      <c r="K680" s="101" t="str">
        <f t="shared" si="122"/>
        <v>17x15x6</v>
      </c>
      <c r="L680" s="102">
        <f t="shared" si="123"/>
        <v>11.007194244604317</v>
      </c>
      <c r="M680" s="113">
        <f t="shared" si="124"/>
        <v>11.007194244604317</v>
      </c>
      <c r="N680" s="113">
        <f t="shared" si="125"/>
        <v>12</v>
      </c>
      <c r="O680" s="99">
        <v>19</v>
      </c>
      <c r="P680" s="113">
        <f t="shared" si="126"/>
        <v>19</v>
      </c>
      <c r="Q680" s="112">
        <f t="shared" si="127"/>
        <v>304</v>
      </c>
      <c r="R680" s="112" t="str">
        <f t="shared" si="128"/>
        <v>Oversize</v>
      </c>
      <c r="S680" s="99" t="str">
        <f t="shared" si="129"/>
        <v>Large bulky</v>
      </c>
      <c r="T680" s="116" t="s">
        <v>13692</v>
      </c>
      <c r="U680" s="116">
        <f t="shared" si="130"/>
        <v>0.88541666666666663</v>
      </c>
      <c r="V680" s="116" t="s">
        <v>13583</v>
      </c>
      <c r="W680" s="116" t="s">
        <v>13690</v>
      </c>
      <c r="X680" s="116" t="s">
        <v>13691</v>
      </c>
      <c r="Y680" s="116">
        <v>2</v>
      </c>
      <c r="Z680" s="116">
        <v>3</v>
      </c>
      <c r="AA680" s="116">
        <v>1</v>
      </c>
      <c r="AB680" s="99"/>
      <c r="AC680" s="99"/>
      <c r="AD680" s="107">
        <v>97.282945002593053</v>
      </c>
      <c r="AE680" s="113">
        <f t="shared" si="131"/>
        <v>-14.592441750388957</v>
      </c>
      <c r="AF680" s="116">
        <f>-IFERROR(IFERROR(VLOOKUP(ROUNDUP($Q680,0),'FBA FEES'!$L$2:$Q$203,MATCH($S680,'FBA FEES'!$L$2:$Q$2,0),FALSE),VLOOKUP(ROUNDUP($Q680,0),'FBA FEES'!$C$6:$F$123,MATCH($S680,'FBA FEES'!$C$6:$F$6,0),FALSE)),0)</f>
        <v>-16.45</v>
      </c>
      <c r="AG680" s="116">
        <v>-10</v>
      </c>
      <c r="AH680" s="113">
        <f t="shared" si="132"/>
        <v>-31.042441750388956</v>
      </c>
      <c r="AI680" s="116">
        <f>-IFERROR(IF($Y680=1,INDEX('[1]REMOVAL FEES'!$A$1:$C$22,MATCH(CONCATENATE("Standard Size",$P680),'[1]REMOVAL FEES'!$A$1:$A$22,0),3),IF($Y680=2,IF($P680&gt;10,(($P680-10)*1.06)+INDEX('[1]REMOVAL FEES'!$E$1:$G$22,MATCH(CONCATENATE("Large bulky, extra-large and special handling items",IF($P680&gt;=11,11,$P680)),'[1]REMOVAL FEES'!$E$1:$E$13,0),3),INDEX('[1]REMOVAL FEES'!$E$1:$G$22,MATCH(CONCATENATE("Large bulky, extra-large and special handling items",IF($P680&gt;=11,11,$P680)),'[1]REMOVAL FEES'!$E$1:$E$13,0),3))))*$AA680,FALSE)</f>
        <v>-23.86</v>
      </c>
      <c r="AJ680" s="107">
        <f t="shared" si="133"/>
        <v>-54.902441750388959</v>
      </c>
      <c r="AK680" s="107">
        <v>-44.049262295081697</v>
      </c>
      <c r="AL680" s="107">
        <v>-7.8790081887517314</v>
      </c>
      <c r="AM680" s="107">
        <f t="shared" si="134"/>
        <v>-51.92827048383343</v>
      </c>
      <c r="AN680" s="116">
        <f>(-IF($V680="Yes", IF($X680="Yes", VLOOKUP($W680, '[1]Storage Fees'!A:M, 13, FALSE), VLOOKUP($W680, '[1]Storage Fees'!A:M, 10, FALSE)), IF($X680="Yes", VLOOKUP($W680, '[1]Storage Fees'!A:M, 7, FALSE), VLOOKUP($W680, '[1]Storage Fees'!A:M, 4, FALSE))) * U680)*1.5</f>
        <v>-1.0492187500000001</v>
      </c>
    </row>
    <row r="681" spans="1:40" x14ac:dyDescent="0.25">
      <c r="A681" s="99">
        <v>609</v>
      </c>
      <c r="B681" s="99" t="s">
        <v>13700</v>
      </c>
      <c r="C681" s="99"/>
      <c r="D681" s="99"/>
      <c r="E681" s="99" t="s">
        <v>278</v>
      </c>
      <c r="F681" s="99" t="s">
        <v>421</v>
      </c>
      <c r="G681" s="99" t="s">
        <v>13656</v>
      </c>
      <c r="H681" s="99">
        <v>17</v>
      </c>
      <c r="I681" s="99">
        <v>15</v>
      </c>
      <c r="J681" s="99">
        <v>6</v>
      </c>
      <c r="K681" s="101" t="str">
        <f t="shared" si="122"/>
        <v>17x15x6</v>
      </c>
      <c r="L681" s="102">
        <f t="shared" si="123"/>
        <v>11.007194244604317</v>
      </c>
      <c r="M681" s="113">
        <f t="shared" si="124"/>
        <v>11.007194244604317</v>
      </c>
      <c r="N681" s="113">
        <f t="shared" si="125"/>
        <v>12</v>
      </c>
      <c r="O681" s="99">
        <v>9</v>
      </c>
      <c r="P681" s="113">
        <f t="shared" si="126"/>
        <v>12</v>
      </c>
      <c r="Q681" s="112">
        <f t="shared" si="127"/>
        <v>192</v>
      </c>
      <c r="R681" s="112" t="str">
        <f t="shared" si="128"/>
        <v>Oversize</v>
      </c>
      <c r="S681" s="99" t="str">
        <f t="shared" si="129"/>
        <v>Large bulky</v>
      </c>
      <c r="T681" s="116" t="s">
        <v>13692</v>
      </c>
      <c r="U681" s="116">
        <f t="shared" si="130"/>
        <v>0.88541666666666663</v>
      </c>
      <c r="V681" s="116" t="s">
        <v>13583</v>
      </c>
      <c r="W681" s="116" t="s">
        <v>13690</v>
      </c>
      <c r="X681" s="116" t="s">
        <v>13691</v>
      </c>
      <c r="Y681" s="116">
        <v>2</v>
      </c>
      <c r="Z681" s="116">
        <v>3</v>
      </c>
      <c r="AA681" s="116">
        <v>1</v>
      </c>
      <c r="AB681" s="99"/>
      <c r="AC681" s="99"/>
      <c r="AD681" s="107">
        <v>63.566180977270669</v>
      </c>
      <c r="AE681" s="113">
        <f t="shared" si="131"/>
        <v>-9.5349271465906007</v>
      </c>
      <c r="AF681" s="116">
        <f>-IFERROR(IFERROR(VLOOKUP(ROUNDUP($Q681,0),'FBA FEES'!$L$2:$Q$203,MATCH($S681,'FBA FEES'!$L$2:$Q$2,0),FALSE),VLOOKUP(ROUNDUP($Q681,0),'FBA FEES'!$C$6:$F$123,MATCH($S681,'FBA FEES'!$C$6:$F$6,0),FALSE)),0)</f>
        <v>-13.79</v>
      </c>
      <c r="AG681" s="116">
        <v>-10</v>
      </c>
      <c r="AH681" s="113">
        <f t="shared" si="132"/>
        <v>-23.3249271465906</v>
      </c>
      <c r="AI681" s="116">
        <f>-IFERROR(IF($Y681=1,INDEX('[1]REMOVAL FEES'!$A$1:$C$22,MATCH(CONCATENATE("Standard Size",$P681),'[1]REMOVAL FEES'!$A$1:$A$22,0),3),IF($Y681=2,IF($P681&gt;10,(($P681-10)*1.06)+INDEX('[1]REMOVAL FEES'!$E$1:$G$22,MATCH(CONCATENATE("Large bulky, extra-large and special handling items",IF($P681&gt;=11,11,$P681)),'[1]REMOVAL FEES'!$E$1:$E$13,0),3),INDEX('[1]REMOVAL FEES'!$E$1:$G$22,MATCH(CONCATENATE("Large bulky, extra-large and special handling items",IF($P681&gt;=11,11,$P681)),'[1]REMOVAL FEES'!$E$1:$E$13,0),3))))*$AA681,FALSE)</f>
        <v>-16.440000000000001</v>
      </c>
      <c r="AJ681" s="107">
        <f t="shared" si="133"/>
        <v>-39.764927146590601</v>
      </c>
      <c r="AK681" s="107">
        <v>-30.078178438661759</v>
      </c>
      <c r="AL681" s="107">
        <v>-4.540198472131455</v>
      </c>
      <c r="AM681" s="107">
        <f t="shared" si="134"/>
        <v>-34.618376910793216</v>
      </c>
      <c r="AN681" s="116">
        <f>(-IF($V681="Yes", IF($X681="Yes", VLOOKUP($W681, '[1]Storage Fees'!A:M, 13, FALSE), VLOOKUP($W681, '[1]Storage Fees'!A:M, 10, FALSE)), IF($X681="Yes", VLOOKUP($W681, '[1]Storage Fees'!A:M, 7, FALSE), VLOOKUP($W681, '[1]Storage Fees'!A:M, 4, FALSE))) * U681)*1.5</f>
        <v>-1.0492187500000001</v>
      </c>
    </row>
    <row r="682" spans="1:40" x14ac:dyDescent="0.25">
      <c r="A682" s="99">
        <v>610</v>
      </c>
      <c r="B682" s="99" t="s">
        <v>13700</v>
      </c>
      <c r="C682" s="99"/>
      <c r="D682" s="99"/>
      <c r="E682" s="99" t="s">
        <v>278</v>
      </c>
      <c r="F682" s="99" t="s">
        <v>423</v>
      </c>
      <c r="G682" s="99" t="s">
        <v>13695</v>
      </c>
      <c r="H682" s="99">
        <v>17</v>
      </c>
      <c r="I682" s="99">
        <v>15</v>
      </c>
      <c r="J682" s="99">
        <v>6</v>
      </c>
      <c r="K682" s="101" t="str">
        <f t="shared" si="122"/>
        <v>17x15x6</v>
      </c>
      <c r="L682" s="102">
        <f t="shared" si="123"/>
        <v>11.007194244604317</v>
      </c>
      <c r="M682" s="113">
        <f t="shared" si="124"/>
        <v>11.007194244604317</v>
      </c>
      <c r="N682" s="113">
        <f t="shared" si="125"/>
        <v>12</v>
      </c>
      <c r="O682" s="99">
        <v>20</v>
      </c>
      <c r="P682" s="113">
        <f t="shared" si="126"/>
        <v>20</v>
      </c>
      <c r="Q682" s="112">
        <f t="shared" si="127"/>
        <v>320</v>
      </c>
      <c r="R682" s="112" t="str">
        <f t="shared" si="128"/>
        <v>Oversize</v>
      </c>
      <c r="S682" s="99" t="str">
        <f t="shared" si="129"/>
        <v>Large bulky</v>
      </c>
      <c r="T682" s="116" t="s">
        <v>13692</v>
      </c>
      <c r="U682" s="116">
        <f t="shared" si="130"/>
        <v>0.88541666666666663</v>
      </c>
      <c r="V682" s="116" t="s">
        <v>13583</v>
      </c>
      <c r="W682" s="116" t="s">
        <v>13690</v>
      </c>
      <c r="X682" s="116" t="s">
        <v>13691</v>
      </c>
      <c r="Y682" s="116">
        <v>2</v>
      </c>
      <c r="Z682" s="116">
        <v>3</v>
      </c>
      <c r="AA682" s="116">
        <v>1</v>
      </c>
      <c r="AB682" s="99"/>
      <c r="AC682" s="99"/>
      <c r="AD682" s="107">
        <v>97.905750890247276</v>
      </c>
      <c r="AE682" s="113">
        <f t="shared" si="131"/>
        <v>-14.685862633537091</v>
      </c>
      <c r="AF682" s="116">
        <f>-IFERROR(IFERROR(VLOOKUP(ROUNDUP($Q682,0),'FBA FEES'!$L$2:$Q$203,MATCH($S682,'FBA FEES'!$L$2:$Q$2,0),FALSE),VLOOKUP(ROUNDUP($Q682,0),'FBA FEES'!$C$6:$F$123,MATCH($S682,'FBA FEES'!$C$6:$F$6,0),FALSE)),0)</f>
        <v>-16.829999999999998</v>
      </c>
      <c r="AG682" s="116">
        <v>-10</v>
      </c>
      <c r="AH682" s="113">
        <f t="shared" si="132"/>
        <v>-31.51586263353709</v>
      </c>
      <c r="AI682" s="116">
        <f>-IFERROR(IF($Y682=1,INDEX('[1]REMOVAL FEES'!$A$1:$C$22,MATCH(CONCATENATE("Standard Size",$P682),'[1]REMOVAL FEES'!$A$1:$A$22,0),3),IF($Y682=2,IF($P682&gt;10,(($P682-10)*1.06)+INDEX('[1]REMOVAL FEES'!$E$1:$G$22,MATCH(CONCATENATE("Large bulky, extra-large and special handling items",IF($P682&gt;=11,11,$P682)),'[1]REMOVAL FEES'!$E$1:$E$13,0),3),INDEX('[1]REMOVAL FEES'!$E$1:$G$22,MATCH(CONCATENATE("Large bulky, extra-large and special handling items",IF($P682&gt;=11,11,$P682)),'[1]REMOVAL FEES'!$E$1:$E$13,0),3))))*$AA682,FALSE)</f>
        <v>-24.92</v>
      </c>
      <c r="AJ682" s="107">
        <f t="shared" si="133"/>
        <v>-56.435862633537091</v>
      </c>
      <c r="AK682" s="107">
        <v>-41.059943342776442</v>
      </c>
      <c r="AL682" s="107">
        <v>-8.4256082986591387</v>
      </c>
      <c r="AM682" s="107">
        <f t="shared" si="134"/>
        <v>-49.485551641435578</v>
      </c>
      <c r="AN682" s="116">
        <f>(-IF($V682="Yes", IF($X682="Yes", VLOOKUP($W682, '[1]Storage Fees'!A:M, 13, FALSE), VLOOKUP($W682, '[1]Storage Fees'!A:M, 10, FALSE)), IF($X682="Yes", VLOOKUP($W682, '[1]Storage Fees'!A:M, 7, FALSE), VLOOKUP($W682, '[1]Storage Fees'!A:M, 4, FALSE))) * U682)*1.5</f>
        <v>-1.0492187500000001</v>
      </c>
    </row>
    <row r="683" spans="1:40" x14ac:dyDescent="0.25">
      <c r="A683" s="99">
        <v>611</v>
      </c>
      <c r="B683" s="99" t="s">
        <v>13700</v>
      </c>
      <c r="C683" s="99"/>
      <c r="D683" s="99"/>
      <c r="E683" s="99" t="s">
        <v>278</v>
      </c>
      <c r="F683" s="99" t="s">
        <v>425</v>
      </c>
      <c r="G683" s="99" t="s">
        <v>13656</v>
      </c>
      <c r="H683" s="99">
        <v>17</v>
      </c>
      <c r="I683" s="99">
        <v>15</v>
      </c>
      <c r="J683" s="99">
        <v>6</v>
      </c>
      <c r="K683" s="101" t="str">
        <f t="shared" si="122"/>
        <v>17x15x6</v>
      </c>
      <c r="L683" s="102">
        <f t="shared" si="123"/>
        <v>11.007194244604317</v>
      </c>
      <c r="M683" s="113">
        <f t="shared" si="124"/>
        <v>11.007194244604317</v>
      </c>
      <c r="N683" s="113">
        <f t="shared" si="125"/>
        <v>12</v>
      </c>
      <c r="O683" s="99">
        <v>9</v>
      </c>
      <c r="P683" s="113">
        <f t="shared" si="126"/>
        <v>12</v>
      </c>
      <c r="Q683" s="112">
        <f t="shared" si="127"/>
        <v>192</v>
      </c>
      <c r="R683" s="112" t="str">
        <f t="shared" si="128"/>
        <v>Oversize</v>
      </c>
      <c r="S683" s="99" t="str">
        <f t="shared" si="129"/>
        <v>Large bulky</v>
      </c>
      <c r="T683" s="116" t="s">
        <v>13692</v>
      </c>
      <c r="U683" s="116">
        <f t="shared" si="130"/>
        <v>0.88541666666666663</v>
      </c>
      <c r="V683" s="116" t="s">
        <v>13583</v>
      </c>
      <c r="W683" s="116" t="s">
        <v>13690</v>
      </c>
      <c r="X683" s="116" t="s">
        <v>13691</v>
      </c>
      <c r="Y683" s="116">
        <v>2</v>
      </c>
      <c r="Z683" s="116">
        <v>3</v>
      </c>
      <c r="AA683" s="116">
        <v>1</v>
      </c>
      <c r="AB683" s="99"/>
      <c r="AC683" s="99"/>
      <c r="AD683" s="107">
        <v>62.024614818934388</v>
      </c>
      <c r="AE683" s="113">
        <f t="shared" si="131"/>
        <v>-9.3036922228401586</v>
      </c>
      <c r="AF683" s="116">
        <f>-IFERROR(IFERROR(VLOOKUP(ROUNDUP($Q683,0),'FBA FEES'!$L$2:$Q$203,MATCH($S683,'FBA FEES'!$L$2:$Q$2,0),FALSE),VLOOKUP(ROUNDUP($Q683,0),'FBA FEES'!$C$6:$F$123,MATCH($S683,'FBA FEES'!$C$6:$F$6,0),FALSE)),0)</f>
        <v>-13.79</v>
      </c>
      <c r="AG683" s="116">
        <v>-10</v>
      </c>
      <c r="AH683" s="113">
        <f t="shared" si="132"/>
        <v>-23.093692222840158</v>
      </c>
      <c r="AI683" s="116">
        <f>-IFERROR(IF($Y683=1,INDEX('[1]REMOVAL FEES'!$A$1:$C$22,MATCH(CONCATENATE("Standard Size",$P683),'[1]REMOVAL FEES'!$A$1:$A$22,0),3),IF($Y683=2,IF($P683&gt;10,(($P683-10)*1.06)+INDEX('[1]REMOVAL FEES'!$E$1:$G$22,MATCH(CONCATENATE("Large bulky, extra-large and special handling items",IF($P683&gt;=11,11,$P683)),'[1]REMOVAL FEES'!$E$1:$E$13,0),3),INDEX('[1]REMOVAL FEES'!$E$1:$G$22,MATCH(CONCATENATE("Large bulky, extra-large and special handling items",IF($P683&gt;=11,11,$P683)),'[1]REMOVAL FEES'!$E$1:$E$13,0),3))))*$AA683,FALSE)</f>
        <v>-16.440000000000001</v>
      </c>
      <c r="AJ683" s="107">
        <f t="shared" si="133"/>
        <v>-39.533692222840159</v>
      </c>
      <c r="AK683" s="107">
        <v>-26.3894047619048</v>
      </c>
      <c r="AL683" s="107">
        <v>-4.7170955976067557</v>
      </c>
      <c r="AM683" s="107">
        <f t="shared" si="134"/>
        <v>-31.106500359511557</v>
      </c>
      <c r="AN683" s="116">
        <f>(-IF($V683="Yes", IF($X683="Yes", VLOOKUP($W683, '[1]Storage Fees'!A:M, 13, FALSE), VLOOKUP($W683, '[1]Storage Fees'!A:M, 10, FALSE)), IF($X683="Yes", VLOOKUP($W683, '[1]Storage Fees'!A:M, 7, FALSE), VLOOKUP($W683, '[1]Storage Fees'!A:M, 4, FALSE))) * U683)*1.5</f>
        <v>-1.0492187500000001</v>
      </c>
    </row>
    <row r="684" spans="1:40" x14ac:dyDescent="0.25">
      <c r="A684" s="99">
        <v>612</v>
      </c>
      <c r="B684" s="99" t="s">
        <v>13700</v>
      </c>
      <c r="C684" s="99"/>
      <c r="D684" s="99"/>
      <c r="E684" s="99" t="s">
        <v>278</v>
      </c>
      <c r="F684" s="99" t="s">
        <v>427</v>
      </c>
      <c r="G684" s="99" t="s">
        <v>13656</v>
      </c>
      <c r="H684" s="99">
        <v>14</v>
      </c>
      <c r="I684" s="99">
        <v>12</v>
      </c>
      <c r="J684" s="99">
        <v>4</v>
      </c>
      <c r="K684" s="101" t="str">
        <f t="shared" si="122"/>
        <v>14x12x4</v>
      </c>
      <c r="L684" s="102">
        <f t="shared" si="123"/>
        <v>4.8345323741007196</v>
      </c>
      <c r="M684" s="113">
        <f t="shared" si="124"/>
        <v>4.8345323741007196</v>
      </c>
      <c r="N684" s="113">
        <f t="shared" si="125"/>
        <v>5</v>
      </c>
      <c r="O684" s="99">
        <v>10</v>
      </c>
      <c r="P684" s="113">
        <f t="shared" si="126"/>
        <v>10</v>
      </c>
      <c r="Q684" s="112">
        <f t="shared" si="127"/>
        <v>160</v>
      </c>
      <c r="R684" s="112" t="str">
        <f t="shared" si="128"/>
        <v>Standard-size</v>
      </c>
      <c r="S684" s="99" t="str">
        <f t="shared" si="129"/>
        <v>Large standard-size</v>
      </c>
      <c r="T684" s="116" t="s">
        <v>13693</v>
      </c>
      <c r="U684" s="116">
        <f t="shared" si="130"/>
        <v>0.3888888888888889</v>
      </c>
      <c r="V684" s="116" t="s">
        <v>13583</v>
      </c>
      <c r="W684" s="116" t="s">
        <v>13690</v>
      </c>
      <c r="X684" s="99" t="s">
        <v>13583</v>
      </c>
      <c r="Y684" s="99">
        <v>1</v>
      </c>
      <c r="Z684" s="99">
        <v>2</v>
      </c>
      <c r="AA684" s="99">
        <v>1</v>
      </c>
      <c r="AB684" s="99"/>
      <c r="AC684" s="99"/>
      <c r="AD684" s="107">
        <v>64.241125465225537</v>
      </c>
      <c r="AE684" s="113">
        <f t="shared" si="131"/>
        <v>-9.6361688197838298</v>
      </c>
      <c r="AF684" s="116">
        <f>-IFERROR(IFERROR(VLOOKUP(ROUNDUP($Q684,0),'FBA FEES'!$L$2:$Q$203,MATCH($S684,'FBA FEES'!$L$2:$Q$2,0),FALSE),VLOOKUP(ROUNDUP($Q684,0),'FBA FEES'!$C$6:$F$123,MATCH($S684,'FBA FEES'!$C$6:$F$6,0),FALSE)),0)</f>
        <v>-9.16</v>
      </c>
      <c r="AG684" s="116">
        <v>-10</v>
      </c>
      <c r="AH684" s="113">
        <f t="shared" si="132"/>
        <v>-18.79616881978383</v>
      </c>
      <c r="AI684" s="116">
        <f>-IFERROR(IF($Y684=1,INDEX('[1]REMOVAL FEES'!$A$1:$C$22,MATCH(CONCATENATE("Standard Size",$P684),'[1]REMOVAL FEES'!$A$1:$A$22,0),3),IF($Y684=2,IF($P684&gt;10,(($P684-10)*1.06)+INDEX('[1]REMOVAL FEES'!$E$1:$G$22,MATCH(CONCATENATE("Large bulky, extra-large and special handling items",IF($P684&gt;=11,11,$P684)),'[1]REMOVAL FEES'!$E$1:$E$13,0),3),INDEX('[1]REMOVAL FEES'!$E$1:$G$22,MATCH(CONCATENATE("Large bulky, extra-large and special handling items",IF($P684&gt;=11,11,$P684)),'[1]REMOVAL FEES'!$E$1:$E$13,0),3))))*$AA684,FALSE)</f>
        <v>-11.370000000000001</v>
      </c>
      <c r="AJ684" s="107">
        <f t="shared" si="133"/>
        <v>-30.166168819783831</v>
      </c>
      <c r="AK684" s="107">
        <v>-28.009279661017018</v>
      </c>
      <c r="AL684" s="107">
        <v>-5.6676115136510123</v>
      </c>
      <c r="AM684" s="107">
        <f t="shared" si="134"/>
        <v>-33.676891174668029</v>
      </c>
      <c r="AN684" s="116">
        <f>(-IF($V684="Yes", IF($X684="Yes", VLOOKUP($W684, '[1]Storage Fees'!A:M, 13, FALSE), VLOOKUP($W684, '[1]Storage Fees'!A:M, 10, FALSE)), IF($X684="Yes", VLOOKUP($W684, '[1]Storage Fees'!A:M, 7, FALSE), VLOOKUP($W684, '[1]Storage Fees'!A:M, 4, FALSE))) * U684)*1.5</f>
        <v>-0.71166666666666667</v>
      </c>
    </row>
    <row r="685" spans="1:40" x14ac:dyDescent="0.25">
      <c r="A685" s="99">
        <v>613</v>
      </c>
      <c r="B685" s="99" t="s">
        <v>55</v>
      </c>
      <c r="C685" s="99"/>
      <c r="D685" s="99"/>
      <c r="E685" s="99" t="s">
        <v>175</v>
      </c>
      <c r="F685" s="99" t="s">
        <v>429</v>
      </c>
      <c r="G685" s="99" t="s">
        <v>13656</v>
      </c>
      <c r="H685" s="99">
        <v>12</v>
      </c>
      <c r="I685" s="99">
        <v>7</v>
      </c>
      <c r="J685" s="99">
        <v>3</v>
      </c>
      <c r="K685" s="101" t="str">
        <f t="shared" si="122"/>
        <v>12x7x3</v>
      </c>
      <c r="L685" s="102">
        <f t="shared" si="123"/>
        <v>1.8129496402877698</v>
      </c>
      <c r="M685" s="113">
        <f t="shared" si="124"/>
        <v>1.8129496402877698</v>
      </c>
      <c r="N685" s="113">
        <f t="shared" si="125"/>
        <v>2</v>
      </c>
      <c r="O685" s="99">
        <v>5</v>
      </c>
      <c r="P685" s="113">
        <f t="shared" si="126"/>
        <v>5</v>
      </c>
      <c r="Q685" s="112">
        <f t="shared" si="127"/>
        <v>80</v>
      </c>
      <c r="R685" s="112" t="str">
        <f t="shared" si="128"/>
        <v>Standard-size</v>
      </c>
      <c r="S685" s="99" t="str">
        <f t="shared" si="129"/>
        <v>Large standard-size</v>
      </c>
      <c r="T685" s="116" t="s">
        <v>13693</v>
      </c>
      <c r="U685" s="116">
        <f t="shared" si="130"/>
        <v>0.14583333333333334</v>
      </c>
      <c r="V685" s="116" t="s">
        <v>13583</v>
      </c>
      <c r="W685" s="116" t="s">
        <v>13690</v>
      </c>
      <c r="X685" s="99" t="s">
        <v>13583</v>
      </c>
      <c r="Y685" s="99">
        <v>1</v>
      </c>
      <c r="Z685" s="99">
        <v>2</v>
      </c>
      <c r="AA685" s="99">
        <v>1</v>
      </c>
      <c r="AB685" s="99"/>
      <c r="AC685" s="99"/>
      <c r="AD685" s="107">
        <v>26.743043303929799</v>
      </c>
      <c r="AE685" s="113">
        <f t="shared" si="131"/>
        <v>-4.0114564955894698</v>
      </c>
      <c r="AF685" s="116">
        <f>-IFERROR(IFERROR(VLOOKUP(ROUNDUP($Q685,0),'FBA FEES'!$L$2:$Q$203,MATCH($S685,'FBA FEES'!$L$2:$Q$2,0),FALSE),VLOOKUP(ROUNDUP($Q685,0),'FBA FEES'!$C$6:$F$123,MATCH($S685,'FBA FEES'!$C$6:$F$6,0),FALSE)),0)</f>
        <v>-7.56</v>
      </c>
      <c r="AG685" s="116">
        <v>-10</v>
      </c>
      <c r="AH685" s="113">
        <f t="shared" si="132"/>
        <v>-11.571456495589469</v>
      </c>
      <c r="AI685" s="116">
        <f>-IFERROR(IF($Y685=1,INDEX('[1]REMOVAL FEES'!$A$1:$C$22,MATCH(CONCATENATE("Standard Size",$P685),'[1]REMOVAL FEES'!$A$1:$A$22,0),3),IF($Y685=2,IF($P685&gt;10,(($P685-10)*1.06)+INDEX('[1]REMOVAL FEES'!$E$1:$G$22,MATCH(CONCATENATE("Large bulky, extra-large and special handling items",IF($P685&gt;=11,11,$P685)),'[1]REMOVAL FEES'!$E$1:$E$13,0),3),INDEX('[1]REMOVAL FEES'!$E$1:$G$22,MATCH(CONCATENATE("Large bulky, extra-large and special handling items",IF($P685&gt;=11,11,$P685)),'[1]REMOVAL FEES'!$E$1:$E$13,0),3))))*$AA685,FALSE)</f>
        <v>-6.07</v>
      </c>
      <c r="AJ685" s="107">
        <f t="shared" si="133"/>
        <v>-17.64145649558947</v>
      </c>
      <c r="AK685" s="107">
        <v>-5.8101283079389594</v>
      </c>
      <c r="AL685" s="107">
        <v>-1.662819520621496</v>
      </c>
      <c r="AM685" s="107">
        <f t="shared" si="134"/>
        <v>-7.4729478285604554</v>
      </c>
      <c r="AN685" s="116">
        <f>(-IF($V685="Yes", IF($X685="Yes", VLOOKUP($W685, '[1]Storage Fees'!A:M, 13, FALSE), VLOOKUP($W685, '[1]Storage Fees'!A:M, 10, FALSE)), IF($X685="Yes", VLOOKUP($W685, '[1]Storage Fees'!A:M, 7, FALSE), VLOOKUP($W685, '[1]Storage Fees'!A:M, 4, FALSE))) * U685)*1.5</f>
        <v>-0.26687499999999997</v>
      </c>
    </row>
    <row r="686" spans="1:40" x14ac:dyDescent="0.25">
      <c r="A686" s="99">
        <v>614</v>
      </c>
      <c r="B686" s="99"/>
      <c r="C686" s="99" t="s">
        <v>13655</v>
      </c>
      <c r="D686" s="99"/>
      <c r="E686" s="99" t="s">
        <v>278</v>
      </c>
      <c r="F686" s="99" t="s">
        <v>2062</v>
      </c>
      <c r="G686" s="99" t="s">
        <v>13695</v>
      </c>
      <c r="H686" s="99">
        <v>0</v>
      </c>
      <c r="I686" s="99">
        <v>0</v>
      </c>
      <c r="J686" s="99">
        <v>0</v>
      </c>
      <c r="K686" s="101" t="str">
        <f t="shared" si="122"/>
        <v>0x0x0</v>
      </c>
      <c r="L686" s="102">
        <f t="shared" si="123"/>
        <v>0</v>
      </c>
      <c r="M686" s="113">
        <f t="shared" si="124"/>
        <v>0</v>
      </c>
      <c r="N686" s="113">
        <f t="shared" si="125"/>
        <v>0</v>
      </c>
      <c r="O686" s="99">
        <v>0</v>
      </c>
      <c r="P686" s="113">
        <f t="shared" si="126"/>
        <v>0</v>
      </c>
      <c r="Q686" s="112">
        <f t="shared" si="127"/>
        <v>0</v>
      </c>
      <c r="R686" s="112" t="str">
        <f t="shared" si="128"/>
        <v>Standard-size</v>
      </c>
      <c r="S686" s="99" t="str">
        <f t="shared" si="129"/>
        <v>Small standard-size</v>
      </c>
      <c r="T686" s="116" t="s">
        <v>13696</v>
      </c>
      <c r="U686" s="116">
        <f t="shared" si="130"/>
        <v>0</v>
      </c>
      <c r="V686" s="116" t="s">
        <v>13583</v>
      </c>
      <c r="W686" s="116" t="s">
        <v>13690</v>
      </c>
      <c r="X686" s="99" t="s">
        <v>13583</v>
      </c>
      <c r="Y686" s="99">
        <v>1</v>
      </c>
      <c r="Z686" s="99">
        <v>1</v>
      </c>
      <c r="AA686" s="99">
        <v>1</v>
      </c>
      <c r="AB686" s="99"/>
      <c r="AC686" s="99"/>
      <c r="AD686" s="107">
        <v>27.8180990825688</v>
      </c>
      <c r="AE686" s="113">
        <f t="shared" si="131"/>
        <v>-4.1727148623853196</v>
      </c>
      <c r="AF686" s="116">
        <f>-IFERROR(IFERROR(VLOOKUP(ROUNDUP($Q686,0),'FBA FEES'!$L$2:$Q$203,MATCH($S686,'FBA FEES'!$L$2:$Q$2,0),FALSE),VLOOKUP(ROUNDUP($Q686,0),'FBA FEES'!$C$6:$F$123,MATCH($S686,'FBA FEES'!$C$6:$F$6,0),FALSE)),0)</f>
        <v>0</v>
      </c>
      <c r="AG686" s="116">
        <v>-10</v>
      </c>
      <c r="AH686" s="113">
        <f t="shared" si="132"/>
        <v>-4.1727148623853196</v>
      </c>
      <c r="AI686" s="116">
        <f>-IFERROR(IF($Y686=1,INDEX('[1]REMOVAL FEES'!$A$1:$C$22,MATCH(CONCATENATE("Standard Size",$P686),'[1]REMOVAL FEES'!$A$1:$A$22,0),3),IF($Y686=2,IF($P686&gt;10,(($P686-10)*1.06)+INDEX('[1]REMOVAL FEES'!$E$1:$G$22,MATCH(CONCATENATE("Large bulky, extra-large and special handling items",IF($P686&gt;=11,11,$P686)),'[1]REMOVAL FEES'!$E$1:$E$13,0),3),INDEX('[1]REMOVAL FEES'!$E$1:$G$22,MATCH(CONCATENATE("Large bulky, extra-large and special handling items",IF($P686&gt;=11,11,$P686)),'[1]REMOVAL FEES'!$E$1:$E$13,0),3))))*$AA686,FALSE)</f>
        <v>0</v>
      </c>
      <c r="AJ686" s="107">
        <f t="shared" si="133"/>
        <v>-4.1727148623853196</v>
      </c>
      <c r="AK686" s="107">
        <v>-7.3600000000000021</v>
      </c>
      <c r="AL686" s="107">
        <v>-4.1121467889908256</v>
      </c>
      <c r="AM686" s="107">
        <f t="shared" si="134"/>
        <v>-11.472146788990827</v>
      </c>
      <c r="AN686" s="116">
        <f>(-IF($V686="Yes", IF($X686="Yes", VLOOKUP($W686, '[1]Storage Fees'!A:M, 13, FALSE), VLOOKUP($W686, '[1]Storage Fees'!A:M, 10, FALSE)), IF($X686="Yes", VLOOKUP($W686, '[1]Storage Fees'!A:M, 7, FALSE), VLOOKUP($W686, '[1]Storage Fees'!A:M, 4, FALSE))) * U686)*1.5</f>
        <v>0</v>
      </c>
    </row>
    <row r="687" spans="1:40" x14ac:dyDescent="0.25">
      <c r="A687" s="99">
        <v>615</v>
      </c>
      <c r="B687" s="99"/>
      <c r="C687" s="99" t="s">
        <v>13655</v>
      </c>
      <c r="D687" s="99"/>
      <c r="E687" s="99" t="s">
        <v>869</v>
      </c>
      <c r="F687" s="99" t="s">
        <v>2065</v>
      </c>
      <c r="G687" s="99" t="s">
        <v>13695</v>
      </c>
      <c r="H687" s="99">
        <v>0</v>
      </c>
      <c r="I687" s="99">
        <v>0</v>
      </c>
      <c r="J687" s="99">
        <v>0</v>
      </c>
      <c r="K687" s="101" t="str">
        <f t="shared" si="122"/>
        <v>0x0x0</v>
      </c>
      <c r="L687" s="102">
        <f t="shared" si="123"/>
        <v>0</v>
      </c>
      <c r="M687" s="113">
        <f t="shared" si="124"/>
        <v>0</v>
      </c>
      <c r="N687" s="113">
        <f t="shared" si="125"/>
        <v>0</v>
      </c>
      <c r="O687" s="99">
        <v>0</v>
      </c>
      <c r="P687" s="113">
        <f t="shared" si="126"/>
        <v>0</v>
      </c>
      <c r="Q687" s="112">
        <f t="shared" si="127"/>
        <v>0</v>
      </c>
      <c r="R687" s="112" t="str">
        <f t="shared" si="128"/>
        <v>Standard-size</v>
      </c>
      <c r="S687" s="99" t="str">
        <f t="shared" si="129"/>
        <v>Small standard-size</v>
      </c>
      <c r="T687" s="116" t="s">
        <v>13696</v>
      </c>
      <c r="U687" s="116">
        <f t="shared" si="130"/>
        <v>0</v>
      </c>
      <c r="V687" s="116" t="s">
        <v>13583</v>
      </c>
      <c r="W687" s="116" t="s">
        <v>13690</v>
      </c>
      <c r="X687" s="99" t="s">
        <v>13583</v>
      </c>
      <c r="Y687" s="99">
        <v>1</v>
      </c>
      <c r="Z687" s="99">
        <v>1</v>
      </c>
      <c r="AA687" s="99">
        <v>1</v>
      </c>
      <c r="AB687" s="99"/>
      <c r="AC687" s="99"/>
      <c r="AD687" s="107">
        <v>0</v>
      </c>
      <c r="AE687" s="113">
        <f t="shared" si="131"/>
        <v>0</v>
      </c>
      <c r="AF687" s="116">
        <f>-IFERROR(IFERROR(VLOOKUP(ROUNDUP($Q687,0),'FBA FEES'!$L$2:$Q$203,MATCH($S687,'FBA FEES'!$L$2:$Q$2,0),FALSE),VLOOKUP(ROUNDUP($Q687,0),'FBA FEES'!$C$6:$F$123,MATCH($S687,'FBA FEES'!$C$6:$F$6,0),FALSE)),0)</f>
        <v>0</v>
      </c>
      <c r="AG687" s="116">
        <v>-10</v>
      </c>
      <c r="AH687" s="113">
        <f t="shared" si="132"/>
        <v>0</v>
      </c>
      <c r="AI687" s="116">
        <f>-IFERROR(IF($Y687=1,INDEX('[1]REMOVAL FEES'!$A$1:$C$22,MATCH(CONCATENATE("Standard Size",$P687),'[1]REMOVAL FEES'!$A$1:$A$22,0),3),IF($Y687=2,IF($P687&gt;10,(($P687-10)*1.06)+INDEX('[1]REMOVAL FEES'!$E$1:$G$22,MATCH(CONCATENATE("Large bulky, extra-large and special handling items",IF($P687&gt;=11,11,$P687)),'[1]REMOVAL FEES'!$E$1:$E$13,0),3),INDEX('[1]REMOVAL FEES'!$E$1:$G$22,MATCH(CONCATENATE("Large bulky, extra-large and special handling items",IF($P687&gt;=11,11,$P687)),'[1]REMOVAL FEES'!$E$1:$E$13,0),3))))*$AA687,FALSE)</f>
        <v>0</v>
      </c>
      <c r="AJ687" s="107">
        <f t="shared" si="133"/>
        <v>0</v>
      </c>
      <c r="AK687" s="107">
        <v>0</v>
      </c>
      <c r="AL687" s="107">
        <v>0</v>
      </c>
      <c r="AM687" s="107">
        <f t="shared" si="134"/>
        <v>0</v>
      </c>
      <c r="AN687" s="116">
        <f>(-IF($V687="Yes", IF($X687="Yes", VLOOKUP($W687, '[1]Storage Fees'!A:M, 13, FALSE), VLOOKUP($W687, '[1]Storage Fees'!A:M, 10, FALSE)), IF($X687="Yes", VLOOKUP($W687, '[1]Storage Fees'!A:M, 7, FALSE), VLOOKUP($W687, '[1]Storage Fees'!A:M, 4, FALSE))) * U687)*1.5</f>
        <v>0</v>
      </c>
    </row>
    <row r="688" spans="1:40" x14ac:dyDescent="0.25">
      <c r="A688" s="99">
        <v>616</v>
      </c>
      <c r="B688" s="99"/>
      <c r="C688" s="99" t="s">
        <v>13655</v>
      </c>
      <c r="D688" s="99"/>
      <c r="E688" s="99" t="s">
        <v>869</v>
      </c>
      <c r="F688" s="99" t="s">
        <v>2068</v>
      </c>
      <c r="G688" s="99" t="s">
        <v>13695</v>
      </c>
      <c r="H688" s="99">
        <v>0</v>
      </c>
      <c r="I688" s="99">
        <v>0</v>
      </c>
      <c r="J688" s="99">
        <v>0</v>
      </c>
      <c r="K688" s="101" t="str">
        <f t="shared" si="122"/>
        <v>0x0x0</v>
      </c>
      <c r="L688" s="102">
        <f t="shared" si="123"/>
        <v>0</v>
      </c>
      <c r="M688" s="113">
        <f t="shared" si="124"/>
        <v>0</v>
      </c>
      <c r="N688" s="113">
        <f t="shared" si="125"/>
        <v>0</v>
      </c>
      <c r="O688" s="99">
        <v>0</v>
      </c>
      <c r="P688" s="113">
        <f t="shared" si="126"/>
        <v>0</v>
      </c>
      <c r="Q688" s="112">
        <f t="shared" si="127"/>
        <v>0</v>
      </c>
      <c r="R688" s="112" t="str">
        <f t="shared" si="128"/>
        <v>Standard-size</v>
      </c>
      <c r="S688" s="99" t="str">
        <f t="shared" si="129"/>
        <v>Small standard-size</v>
      </c>
      <c r="T688" s="116" t="s">
        <v>13696</v>
      </c>
      <c r="U688" s="116">
        <f t="shared" si="130"/>
        <v>0</v>
      </c>
      <c r="V688" s="116" t="s">
        <v>13583</v>
      </c>
      <c r="W688" s="116" t="s">
        <v>13690</v>
      </c>
      <c r="X688" s="99" t="s">
        <v>13583</v>
      </c>
      <c r="Y688" s="99">
        <v>1</v>
      </c>
      <c r="Z688" s="99">
        <v>1</v>
      </c>
      <c r="AA688" s="99">
        <v>1</v>
      </c>
      <c r="AB688" s="99"/>
      <c r="AC688" s="99"/>
      <c r="AD688" s="107">
        <v>11.99153064270766</v>
      </c>
      <c r="AE688" s="113">
        <f t="shared" si="131"/>
        <v>-1.7987295964061489</v>
      </c>
      <c r="AF688" s="116">
        <f>-IFERROR(IFERROR(VLOOKUP(ROUNDUP($Q688,0),'FBA FEES'!$L$2:$Q$203,MATCH($S688,'FBA FEES'!$L$2:$Q$2,0),FALSE),VLOOKUP(ROUNDUP($Q688,0),'FBA FEES'!$C$6:$F$123,MATCH($S688,'FBA FEES'!$C$6:$F$6,0),FALSE)),0)</f>
        <v>0</v>
      </c>
      <c r="AG688" s="116">
        <v>-10</v>
      </c>
      <c r="AH688" s="113">
        <f t="shared" si="132"/>
        <v>-1.7987295964061489</v>
      </c>
      <c r="AI688" s="116">
        <f>-IFERROR(IF($Y688=1,INDEX('[1]REMOVAL FEES'!$A$1:$C$22,MATCH(CONCATENATE("Standard Size",$P688),'[1]REMOVAL FEES'!$A$1:$A$22,0),3),IF($Y688=2,IF($P688&gt;10,(($P688-10)*1.06)+INDEX('[1]REMOVAL FEES'!$E$1:$G$22,MATCH(CONCATENATE("Large bulky, extra-large and special handling items",IF($P688&gt;=11,11,$P688)),'[1]REMOVAL FEES'!$E$1:$E$13,0),3),INDEX('[1]REMOVAL FEES'!$E$1:$G$22,MATCH(CONCATENATE("Large bulky, extra-large and special handling items",IF($P688&gt;=11,11,$P688)),'[1]REMOVAL FEES'!$E$1:$E$13,0),3))))*$AA688,FALSE)</f>
        <v>0</v>
      </c>
      <c r="AJ688" s="107">
        <f t="shared" si="133"/>
        <v>-1.7987295964061489</v>
      </c>
      <c r="AK688" s="107">
        <v>-3.8220000000000001</v>
      </c>
      <c r="AL688" s="107">
        <v>-0.77369256328117986</v>
      </c>
      <c r="AM688" s="107">
        <f t="shared" si="134"/>
        <v>-4.5956925632811796</v>
      </c>
      <c r="AN688" s="116">
        <f>(-IF($V688="Yes", IF($X688="Yes", VLOOKUP($W688, '[1]Storage Fees'!A:M, 13, FALSE), VLOOKUP($W688, '[1]Storage Fees'!A:M, 10, FALSE)), IF($X688="Yes", VLOOKUP($W688, '[1]Storage Fees'!A:M, 7, FALSE), VLOOKUP($W688, '[1]Storage Fees'!A:M, 4, FALSE))) * U688)*1.5</f>
        <v>0</v>
      </c>
    </row>
    <row r="689" spans="1:40" x14ac:dyDescent="0.25">
      <c r="A689" s="99">
        <v>617</v>
      </c>
      <c r="B689" s="99" t="s">
        <v>107</v>
      </c>
      <c r="C689" s="99"/>
      <c r="D689" s="99"/>
      <c r="E689" s="99" t="s">
        <v>278</v>
      </c>
      <c r="F689" s="99" t="s">
        <v>431</v>
      </c>
      <c r="G689" s="99" t="s">
        <v>13695</v>
      </c>
      <c r="H689" s="99">
        <v>44</v>
      </c>
      <c r="I689" s="99">
        <v>12</v>
      </c>
      <c r="J689" s="99">
        <v>10</v>
      </c>
      <c r="K689" s="101" t="str">
        <f t="shared" si="122"/>
        <v>44x12x10</v>
      </c>
      <c r="L689" s="102">
        <f t="shared" si="123"/>
        <v>37.985611510791365</v>
      </c>
      <c r="M689" s="113">
        <f t="shared" si="124"/>
        <v>37.985611510791365</v>
      </c>
      <c r="N689" s="113">
        <f t="shared" si="125"/>
        <v>38</v>
      </c>
      <c r="O689" s="99">
        <v>65</v>
      </c>
      <c r="P689" s="113">
        <f t="shared" si="126"/>
        <v>65</v>
      </c>
      <c r="Q689" s="112">
        <f t="shared" si="127"/>
        <v>1040</v>
      </c>
      <c r="R689" s="112" t="str">
        <f t="shared" si="128"/>
        <v>Oversize</v>
      </c>
      <c r="S689" s="99" t="str">
        <f t="shared" si="129"/>
        <v>Extra-large 50+ to 70 lb</v>
      </c>
      <c r="T689" s="116" t="s">
        <v>13689</v>
      </c>
      <c r="U689" s="116">
        <f t="shared" si="130"/>
        <v>3.0555555555555554</v>
      </c>
      <c r="V689" s="116" t="s">
        <v>13583</v>
      </c>
      <c r="W689" s="116" t="s">
        <v>13690</v>
      </c>
      <c r="X689" s="116" t="s">
        <v>13691</v>
      </c>
      <c r="Y689" s="116">
        <v>2</v>
      </c>
      <c r="Z689" s="116">
        <v>5</v>
      </c>
      <c r="AA689" s="116">
        <v>1</v>
      </c>
      <c r="AB689" s="99"/>
      <c r="AC689" s="99"/>
      <c r="AD689" s="107">
        <v>269.87060606060612</v>
      </c>
      <c r="AE689" s="113">
        <f t="shared" si="131"/>
        <v>-40.480590909090914</v>
      </c>
      <c r="AF689" s="116">
        <f>-IFERROR(IFERROR(VLOOKUP(ROUNDUP($Q689,0),'FBA FEES'!$L$2:$Q$203,MATCH($S689,'FBA FEES'!$L$2:$Q$2,0),FALSE),VLOOKUP(ROUNDUP($Q689,0),'FBA FEES'!$C$6:$F$123,MATCH($S689,'FBA FEES'!$C$6:$F$6,0),FALSE)),0)</f>
        <v>-50.62</v>
      </c>
      <c r="AG689" s="116">
        <v>-10</v>
      </c>
      <c r="AH689" s="113">
        <f t="shared" si="132"/>
        <v>-91.100590909090911</v>
      </c>
      <c r="AI689" s="116">
        <f>-IFERROR(IF($Y689=1,INDEX('[1]REMOVAL FEES'!$A$1:$C$22,MATCH(CONCATENATE("Standard Size",$P689),'[1]REMOVAL FEES'!$A$1:$A$22,0),3),IF($Y689=2,IF($P689&gt;10,(($P689-10)*1.06)+INDEX('[1]REMOVAL FEES'!$E$1:$G$22,MATCH(CONCATENATE("Large bulky, extra-large and special handling items",IF($P689&gt;=11,11,$P689)),'[1]REMOVAL FEES'!$E$1:$E$13,0),3),INDEX('[1]REMOVAL FEES'!$E$1:$G$22,MATCH(CONCATENATE("Large bulky, extra-large and special handling items",IF($P689&gt;=11,11,$P689)),'[1]REMOVAL FEES'!$E$1:$E$13,0),3))))*$AA689,FALSE)</f>
        <v>-72.62</v>
      </c>
      <c r="AJ689" s="107">
        <f t="shared" si="133"/>
        <v>-163.7205909090909</v>
      </c>
      <c r="AK689" s="107">
        <v>-133.8599999999999</v>
      </c>
      <c r="AL689" s="107">
        <v>-17.576428852923168</v>
      </c>
      <c r="AM689" s="107">
        <f t="shared" si="134"/>
        <v>-151.43642885292306</v>
      </c>
      <c r="AN689" s="116">
        <f>(-IF($V689="Yes", IF($X689="Yes", VLOOKUP($W689, '[1]Storage Fees'!A:M, 13, FALSE), VLOOKUP($W689, '[1]Storage Fees'!A:M, 10, FALSE)), IF($X689="Yes", VLOOKUP($W689, '[1]Storage Fees'!A:M, 7, FALSE), VLOOKUP($W689, '[1]Storage Fees'!A:M, 4, FALSE))) * U689)*1.5</f>
        <v>-3.6208333333333331</v>
      </c>
    </row>
    <row r="690" spans="1:40" x14ac:dyDescent="0.25">
      <c r="A690" s="99">
        <v>618</v>
      </c>
      <c r="B690" s="99"/>
      <c r="C690" s="99" t="s">
        <v>13655</v>
      </c>
      <c r="D690" s="99"/>
      <c r="E690" s="99" t="s">
        <v>278</v>
      </c>
      <c r="F690" s="99" t="s">
        <v>2069</v>
      </c>
      <c r="G690" s="99" t="s">
        <v>13695</v>
      </c>
      <c r="H690" s="99">
        <v>0</v>
      </c>
      <c r="I690" s="99">
        <v>0</v>
      </c>
      <c r="J690" s="99">
        <v>0</v>
      </c>
      <c r="K690" s="101" t="str">
        <f t="shared" si="122"/>
        <v>0x0x0</v>
      </c>
      <c r="L690" s="102">
        <f t="shared" si="123"/>
        <v>0</v>
      </c>
      <c r="M690" s="113">
        <f t="shared" si="124"/>
        <v>0</v>
      </c>
      <c r="N690" s="113">
        <f t="shared" si="125"/>
        <v>0</v>
      </c>
      <c r="O690" s="99">
        <v>0</v>
      </c>
      <c r="P690" s="113">
        <f t="shared" si="126"/>
        <v>0</v>
      </c>
      <c r="Q690" s="112">
        <f t="shared" si="127"/>
        <v>0</v>
      </c>
      <c r="R690" s="112" t="str">
        <f t="shared" si="128"/>
        <v>Standard-size</v>
      </c>
      <c r="S690" s="99" t="str">
        <f t="shared" si="129"/>
        <v>Small standard-size</v>
      </c>
      <c r="T690" s="116" t="s">
        <v>13696</v>
      </c>
      <c r="U690" s="116">
        <f t="shared" si="130"/>
        <v>0</v>
      </c>
      <c r="V690" s="116" t="s">
        <v>13583</v>
      </c>
      <c r="W690" s="116" t="s">
        <v>13690</v>
      </c>
      <c r="X690" s="99" t="s">
        <v>13583</v>
      </c>
      <c r="Y690" s="99">
        <v>1</v>
      </c>
      <c r="Z690" s="99">
        <v>1</v>
      </c>
      <c r="AA690" s="99">
        <v>1</v>
      </c>
      <c r="AB690" s="99"/>
      <c r="AC690" s="99"/>
      <c r="AD690" s="107">
        <v>0</v>
      </c>
      <c r="AE690" s="113">
        <f t="shared" si="131"/>
        <v>0</v>
      </c>
      <c r="AF690" s="116">
        <f>-IFERROR(IFERROR(VLOOKUP(ROUNDUP($Q690,0),'FBA FEES'!$L$2:$Q$203,MATCH($S690,'FBA FEES'!$L$2:$Q$2,0),FALSE),VLOOKUP(ROUNDUP($Q690,0),'FBA FEES'!$C$6:$F$123,MATCH($S690,'FBA FEES'!$C$6:$F$6,0),FALSE)),0)</f>
        <v>0</v>
      </c>
      <c r="AG690" s="116">
        <v>-10</v>
      </c>
      <c r="AH690" s="113">
        <f t="shared" si="132"/>
        <v>0</v>
      </c>
      <c r="AI690" s="116">
        <f>-IFERROR(IF($Y690=1,INDEX('[1]REMOVAL FEES'!$A$1:$C$22,MATCH(CONCATENATE("Standard Size",$P690),'[1]REMOVAL FEES'!$A$1:$A$22,0),3),IF($Y690=2,IF($P690&gt;10,(($P690-10)*1.06)+INDEX('[1]REMOVAL FEES'!$E$1:$G$22,MATCH(CONCATENATE("Large bulky, extra-large and special handling items",IF($P690&gt;=11,11,$P690)),'[1]REMOVAL FEES'!$E$1:$E$13,0),3),INDEX('[1]REMOVAL FEES'!$E$1:$G$22,MATCH(CONCATENATE("Large bulky, extra-large and special handling items",IF($P690&gt;=11,11,$P690)),'[1]REMOVAL FEES'!$E$1:$E$13,0),3))))*$AA690,FALSE)</f>
        <v>0</v>
      </c>
      <c r="AJ690" s="107">
        <f t="shared" si="133"/>
        <v>0</v>
      </c>
      <c r="AK690" s="107">
        <v>0</v>
      </c>
      <c r="AL690" s="107">
        <v>0</v>
      </c>
      <c r="AM690" s="107">
        <f t="shared" si="134"/>
        <v>0</v>
      </c>
      <c r="AN690" s="116">
        <f>(-IF($V690="Yes", IF($X690="Yes", VLOOKUP($W690, '[1]Storage Fees'!A:M, 13, FALSE), VLOOKUP($W690, '[1]Storage Fees'!A:M, 10, FALSE)), IF($X690="Yes", VLOOKUP($W690, '[1]Storage Fees'!A:M, 7, FALSE), VLOOKUP($W690, '[1]Storage Fees'!A:M, 4, FALSE))) * U690)*1.5</f>
        <v>0</v>
      </c>
    </row>
    <row r="691" spans="1:40" x14ac:dyDescent="0.25">
      <c r="A691" s="99">
        <v>619</v>
      </c>
      <c r="B691" s="99"/>
      <c r="C691" s="99" t="s">
        <v>13655</v>
      </c>
      <c r="D691" s="99"/>
      <c r="E691" s="99" t="s">
        <v>278</v>
      </c>
      <c r="F691" s="99" t="s">
        <v>2071</v>
      </c>
      <c r="G691" s="99" t="s">
        <v>13695</v>
      </c>
      <c r="H691" s="99">
        <v>0</v>
      </c>
      <c r="I691" s="99">
        <v>0</v>
      </c>
      <c r="J691" s="99">
        <v>0</v>
      </c>
      <c r="K691" s="101" t="str">
        <f t="shared" si="122"/>
        <v>0x0x0</v>
      </c>
      <c r="L691" s="102">
        <f t="shared" si="123"/>
        <v>0</v>
      </c>
      <c r="M691" s="113">
        <f t="shared" si="124"/>
        <v>0</v>
      </c>
      <c r="N691" s="113">
        <f t="shared" si="125"/>
        <v>0</v>
      </c>
      <c r="O691" s="99">
        <v>0</v>
      </c>
      <c r="P691" s="113">
        <f t="shared" si="126"/>
        <v>0</v>
      </c>
      <c r="Q691" s="112">
        <f t="shared" si="127"/>
        <v>0</v>
      </c>
      <c r="R691" s="112" t="str">
        <f t="shared" si="128"/>
        <v>Standard-size</v>
      </c>
      <c r="S691" s="99" t="str">
        <f t="shared" si="129"/>
        <v>Small standard-size</v>
      </c>
      <c r="T691" s="116" t="s">
        <v>13696</v>
      </c>
      <c r="U691" s="116">
        <f t="shared" si="130"/>
        <v>0</v>
      </c>
      <c r="V691" s="116" t="s">
        <v>13583</v>
      </c>
      <c r="W691" s="116" t="s">
        <v>13690</v>
      </c>
      <c r="X691" s="99" t="s">
        <v>13583</v>
      </c>
      <c r="Y691" s="99">
        <v>1</v>
      </c>
      <c r="Z691" s="99">
        <v>1</v>
      </c>
      <c r="AA691" s="99">
        <v>1</v>
      </c>
      <c r="AB691" s="99"/>
      <c r="AC691" s="99"/>
      <c r="AD691" s="107">
        <v>106.3266666666667</v>
      </c>
      <c r="AE691" s="113">
        <f t="shared" si="131"/>
        <v>-15.949000000000003</v>
      </c>
      <c r="AF691" s="116">
        <f>-IFERROR(IFERROR(VLOOKUP(ROUNDUP($Q691,0),'FBA FEES'!$L$2:$Q$203,MATCH($S691,'FBA FEES'!$L$2:$Q$2,0),FALSE),VLOOKUP(ROUNDUP($Q691,0),'FBA FEES'!$C$6:$F$123,MATCH($S691,'FBA FEES'!$C$6:$F$6,0),FALSE)),0)</f>
        <v>0</v>
      </c>
      <c r="AG691" s="116">
        <v>-10</v>
      </c>
      <c r="AH691" s="113">
        <f t="shared" si="132"/>
        <v>-15.949000000000003</v>
      </c>
      <c r="AI691" s="116">
        <f>-IFERROR(IF($Y691=1,INDEX('[1]REMOVAL FEES'!$A$1:$C$22,MATCH(CONCATENATE("Standard Size",$P691),'[1]REMOVAL FEES'!$A$1:$A$22,0),3),IF($Y691=2,IF($P691&gt;10,(($P691-10)*1.06)+INDEX('[1]REMOVAL FEES'!$E$1:$G$22,MATCH(CONCATENATE("Large bulky, extra-large and special handling items",IF($P691&gt;=11,11,$P691)),'[1]REMOVAL FEES'!$E$1:$E$13,0),3),INDEX('[1]REMOVAL FEES'!$E$1:$G$22,MATCH(CONCATENATE("Large bulky, extra-large and special handling items",IF($P691&gt;=11,11,$P691)),'[1]REMOVAL FEES'!$E$1:$E$13,0),3))))*$AA691,FALSE)</f>
        <v>0</v>
      </c>
      <c r="AJ691" s="107">
        <f t="shared" si="133"/>
        <v>-15.949000000000003</v>
      </c>
      <c r="AK691" s="107">
        <v>-50.21</v>
      </c>
      <c r="AL691" s="107">
        <v>-6.7462499999999999</v>
      </c>
      <c r="AM691" s="107">
        <f t="shared" si="134"/>
        <v>-56.956249999999997</v>
      </c>
      <c r="AN691" s="116">
        <f>(-IF($V691="Yes", IF($X691="Yes", VLOOKUP($W691, '[1]Storage Fees'!A:M, 13, FALSE), VLOOKUP($W691, '[1]Storage Fees'!A:M, 10, FALSE)), IF($X691="Yes", VLOOKUP($W691, '[1]Storage Fees'!A:M, 7, FALSE), VLOOKUP($W691, '[1]Storage Fees'!A:M, 4, FALSE))) * U691)*1.5</f>
        <v>0</v>
      </c>
    </row>
    <row r="692" spans="1:40" x14ac:dyDescent="0.25">
      <c r="A692" s="99">
        <v>620</v>
      </c>
      <c r="B692" s="99" t="s">
        <v>13705</v>
      </c>
      <c r="C692" s="99" t="s">
        <v>13655</v>
      </c>
      <c r="D692" s="99" t="s">
        <v>714</v>
      </c>
      <c r="E692" s="99" t="s">
        <v>278</v>
      </c>
      <c r="F692" s="99" t="s">
        <v>1266</v>
      </c>
      <c r="G692" s="99" t="s">
        <v>13695</v>
      </c>
      <c r="H692" s="99">
        <v>31</v>
      </c>
      <c r="I692" s="99">
        <v>15</v>
      </c>
      <c r="J692" s="99">
        <v>13</v>
      </c>
      <c r="K692" s="101" t="str">
        <f t="shared" si="122"/>
        <v>31x15x13</v>
      </c>
      <c r="L692" s="102">
        <f t="shared" si="123"/>
        <v>43.489208633093526</v>
      </c>
      <c r="M692" s="113">
        <f t="shared" si="124"/>
        <v>43.489208633093526</v>
      </c>
      <c r="N692" s="113">
        <f t="shared" si="125"/>
        <v>44</v>
      </c>
      <c r="O692" s="99">
        <v>24</v>
      </c>
      <c r="P692" s="113">
        <f t="shared" si="126"/>
        <v>44</v>
      </c>
      <c r="Q692" s="112">
        <f t="shared" si="127"/>
        <v>704</v>
      </c>
      <c r="R692" s="112" t="str">
        <f t="shared" si="128"/>
        <v>Oversize</v>
      </c>
      <c r="S692" s="99" t="str">
        <f t="shared" si="129"/>
        <v>Large bulky</v>
      </c>
      <c r="T692" s="116" t="s">
        <v>13694</v>
      </c>
      <c r="U692" s="116">
        <f t="shared" si="130"/>
        <v>3.4982638888888888</v>
      </c>
      <c r="V692" s="116" t="s">
        <v>13583</v>
      </c>
      <c r="W692" s="116" t="s">
        <v>13690</v>
      </c>
      <c r="X692" s="116" t="s">
        <v>13691</v>
      </c>
      <c r="Y692" s="116">
        <v>2</v>
      </c>
      <c r="Z692" s="116">
        <v>3</v>
      </c>
      <c r="AA692" s="116">
        <v>1</v>
      </c>
      <c r="AB692" s="99"/>
      <c r="AC692" s="99"/>
      <c r="AD692" s="107">
        <v>0</v>
      </c>
      <c r="AE692" s="113">
        <f t="shared" si="131"/>
        <v>0</v>
      </c>
      <c r="AF692" s="116">
        <f>-IFERROR(IFERROR(VLOOKUP(ROUNDUP($Q692,0),'FBA FEES'!$L$2:$Q$203,MATCH($S692,'FBA FEES'!$L$2:$Q$2,0),FALSE),VLOOKUP(ROUNDUP($Q692,0),'FBA FEES'!$C$6:$F$123,MATCH($S692,'FBA FEES'!$C$6:$F$6,0),FALSE)),0)</f>
        <v>-25.95</v>
      </c>
      <c r="AG692" s="116">
        <v>-10</v>
      </c>
      <c r="AH692" s="113">
        <f t="shared" si="132"/>
        <v>-25.95</v>
      </c>
      <c r="AI692" s="116">
        <f>-IFERROR(IF($Y692=1,INDEX('[1]REMOVAL FEES'!$A$1:$C$22,MATCH(CONCATENATE("Standard Size",$P692),'[1]REMOVAL FEES'!$A$1:$A$22,0),3),IF($Y692=2,IF($P692&gt;10,(($P692-10)*1.06)+INDEX('[1]REMOVAL FEES'!$E$1:$G$22,MATCH(CONCATENATE("Large bulky, extra-large and special handling items",IF($P692&gt;=11,11,$P692)),'[1]REMOVAL FEES'!$E$1:$E$13,0),3),INDEX('[1]REMOVAL FEES'!$E$1:$G$22,MATCH(CONCATENATE("Large bulky, extra-large and special handling items",IF($P692&gt;=11,11,$P692)),'[1]REMOVAL FEES'!$E$1:$E$13,0),3))))*$AA692,FALSE)</f>
        <v>-50.36</v>
      </c>
      <c r="AJ692" s="107">
        <f t="shared" si="133"/>
        <v>-76.31</v>
      </c>
      <c r="AK692" s="107">
        <v>0</v>
      </c>
      <c r="AL692" s="107">
        <v>0</v>
      </c>
      <c r="AM692" s="107">
        <f t="shared" si="134"/>
        <v>0</v>
      </c>
      <c r="AN692" s="116">
        <f>(-IF($V692="Yes", IF($X692="Yes", VLOOKUP($W692, '[1]Storage Fees'!A:M, 13, FALSE), VLOOKUP($W692, '[1]Storage Fees'!A:M, 10, FALSE)), IF($X692="Yes", VLOOKUP($W692, '[1]Storage Fees'!A:M, 7, FALSE), VLOOKUP($W692, '[1]Storage Fees'!A:M, 4, FALSE))) * U692)*1.5</f>
        <v>-4.1454427083333334</v>
      </c>
    </row>
    <row r="693" spans="1:40" x14ac:dyDescent="0.25">
      <c r="A693" s="99">
        <v>621</v>
      </c>
      <c r="B693" s="99" t="s">
        <v>13700</v>
      </c>
      <c r="C693" s="99"/>
      <c r="D693" s="99"/>
      <c r="E693" s="99" t="s">
        <v>163</v>
      </c>
      <c r="F693" s="99" t="s">
        <v>433</v>
      </c>
      <c r="G693" s="99" t="s">
        <v>13695</v>
      </c>
      <c r="H693" s="99">
        <v>31</v>
      </c>
      <c r="I693" s="99">
        <v>14</v>
      </c>
      <c r="J693" s="99">
        <v>8</v>
      </c>
      <c r="K693" s="101" t="str">
        <f t="shared" si="122"/>
        <v>31x14x8</v>
      </c>
      <c r="L693" s="102">
        <f t="shared" si="123"/>
        <v>24.978417266187051</v>
      </c>
      <c r="M693" s="113">
        <f t="shared" si="124"/>
        <v>24.978417266187051</v>
      </c>
      <c r="N693" s="113">
        <f t="shared" si="125"/>
        <v>25</v>
      </c>
      <c r="O693" s="99">
        <v>19</v>
      </c>
      <c r="P693" s="113">
        <f t="shared" si="126"/>
        <v>25</v>
      </c>
      <c r="Q693" s="112">
        <f t="shared" si="127"/>
        <v>400</v>
      </c>
      <c r="R693" s="112" t="str">
        <f t="shared" si="128"/>
        <v>Oversize</v>
      </c>
      <c r="S693" s="99" t="str">
        <f t="shared" si="129"/>
        <v>Large bulky</v>
      </c>
      <c r="T693" s="116" t="s">
        <v>13692</v>
      </c>
      <c r="U693" s="116">
        <f t="shared" si="130"/>
        <v>2.0092592592592591</v>
      </c>
      <c r="V693" s="116" t="s">
        <v>13583</v>
      </c>
      <c r="W693" s="116" t="s">
        <v>13690</v>
      </c>
      <c r="X693" s="116" t="s">
        <v>13691</v>
      </c>
      <c r="Y693" s="116">
        <v>2</v>
      </c>
      <c r="Z693" s="116">
        <v>3</v>
      </c>
      <c r="AA693" s="116">
        <v>1</v>
      </c>
      <c r="AB693" s="99"/>
      <c r="AC693" s="99"/>
      <c r="AD693" s="107">
        <v>98.98268567696725</v>
      </c>
      <c r="AE693" s="113">
        <f t="shared" si="131"/>
        <v>-14.847402851545088</v>
      </c>
      <c r="AF693" s="116">
        <f>-IFERROR(IFERROR(VLOOKUP(ROUNDUP($Q693,0),'FBA FEES'!$L$2:$Q$203,MATCH($S693,'FBA FEES'!$L$2:$Q$2,0),FALSE),VLOOKUP(ROUNDUP($Q693,0),'FBA FEES'!$C$6:$F$123,MATCH($S693,'FBA FEES'!$C$6:$F$6,0),FALSE)),0)</f>
        <v>-18.73</v>
      </c>
      <c r="AG693" s="116">
        <v>-10</v>
      </c>
      <c r="AH693" s="113">
        <f t="shared" si="132"/>
        <v>-33.577402851545088</v>
      </c>
      <c r="AI693" s="116">
        <f>-IFERROR(IF($Y693=1,INDEX('[1]REMOVAL FEES'!$A$1:$C$22,MATCH(CONCATENATE("Standard Size",$P693),'[1]REMOVAL FEES'!$A$1:$A$22,0),3),IF($Y693=2,IF($P693&gt;10,(($P693-10)*1.06)+INDEX('[1]REMOVAL FEES'!$E$1:$G$22,MATCH(CONCATENATE("Large bulky, extra-large and special handling items",IF($P693&gt;=11,11,$P693)),'[1]REMOVAL FEES'!$E$1:$E$13,0),3),INDEX('[1]REMOVAL FEES'!$E$1:$G$22,MATCH(CONCATENATE("Large bulky, extra-large and special handling items",IF($P693&gt;=11,11,$P693)),'[1]REMOVAL FEES'!$E$1:$E$13,0),3))))*$AA693,FALSE)</f>
        <v>-30.22</v>
      </c>
      <c r="AJ693" s="107">
        <f t="shared" si="133"/>
        <v>-63.797402851545087</v>
      </c>
      <c r="AK693" s="107">
        <v>-38.594244604316422</v>
      </c>
      <c r="AL693" s="107">
        <v>-9.174070753520617</v>
      </c>
      <c r="AM693" s="107">
        <f t="shared" si="134"/>
        <v>-47.768315357837039</v>
      </c>
      <c r="AN693" s="116">
        <f>(-IF($V693="Yes", IF($X693="Yes", VLOOKUP($W693, '[1]Storage Fees'!A:M, 13, FALSE), VLOOKUP($W693, '[1]Storage Fees'!A:M, 10, FALSE)), IF($X693="Yes", VLOOKUP($W693, '[1]Storage Fees'!A:M, 7, FALSE), VLOOKUP($W693, '[1]Storage Fees'!A:M, 4, FALSE))) * U693)*1.5</f>
        <v>-2.3809722222222223</v>
      </c>
    </row>
    <row r="694" spans="1:40" x14ac:dyDescent="0.25">
      <c r="A694" s="99">
        <v>622</v>
      </c>
      <c r="B694" s="99" t="s">
        <v>13700</v>
      </c>
      <c r="C694" s="99"/>
      <c r="D694" s="99"/>
      <c r="E694" s="99" t="s">
        <v>163</v>
      </c>
      <c r="F694" s="99" t="s">
        <v>435</v>
      </c>
      <c r="G694" s="99" t="s">
        <v>13695</v>
      </c>
      <c r="H694" s="99">
        <v>15</v>
      </c>
      <c r="I694" s="99">
        <v>13</v>
      </c>
      <c r="J694" s="99">
        <v>3</v>
      </c>
      <c r="K694" s="101" t="str">
        <f t="shared" si="122"/>
        <v>15x13x3</v>
      </c>
      <c r="L694" s="102">
        <f t="shared" si="123"/>
        <v>4.2086330935251794</v>
      </c>
      <c r="M694" s="113">
        <f t="shared" si="124"/>
        <v>4.2086330935251794</v>
      </c>
      <c r="N694" s="113">
        <f t="shared" si="125"/>
        <v>5</v>
      </c>
      <c r="O694" s="99">
        <v>7</v>
      </c>
      <c r="P694" s="113">
        <f t="shared" si="126"/>
        <v>7</v>
      </c>
      <c r="Q694" s="112">
        <f t="shared" si="127"/>
        <v>112</v>
      </c>
      <c r="R694" s="112" t="str">
        <f t="shared" si="128"/>
        <v>Standard-size</v>
      </c>
      <c r="S694" s="99" t="str">
        <f t="shared" si="129"/>
        <v>Large standard-size</v>
      </c>
      <c r="T694" s="116" t="s">
        <v>13693</v>
      </c>
      <c r="U694" s="116">
        <f t="shared" si="130"/>
        <v>0.33854166666666669</v>
      </c>
      <c r="V694" s="116" t="s">
        <v>13583</v>
      </c>
      <c r="W694" s="116" t="s">
        <v>13690</v>
      </c>
      <c r="X694" s="99" t="s">
        <v>13583</v>
      </c>
      <c r="Y694" s="99">
        <v>1</v>
      </c>
      <c r="Z694" s="99">
        <v>2</v>
      </c>
      <c r="AA694" s="99">
        <v>1</v>
      </c>
      <c r="AB694" s="99"/>
      <c r="AC694" s="99"/>
      <c r="AD694" s="107">
        <v>33.963633516782672</v>
      </c>
      <c r="AE694" s="113">
        <f t="shared" si="131"/>
        <v>-5.0945450275174009</v>
      </c>
      <c r="AF694" s="116">
        <f>-IFERROR(IFERROR(VLOOKUP(ROUNDUP($Q694,0),'FBA FEES'!$L$2:$Q$203,MATCH($S694,'FBA FEES'!$L$2:$Q$2,0),FALSE),VLOOKUP(ROUNDUP($Q694,0),'FBA FEES'!$C$6:$F$123,MATCH($S694,'FBA FEES'!$C$6:$F$6,0),FALSE)),0)</f>
        <v>-8.1999999999999993</v>
      </c>
      <c r="AG694" s="116">
        <v>-10</v>
      </c>
      <c r="AH694" s="113">
        <f t="shared" si="132"/>
        <v>-13.294545027517401</v>
      </c>
      <c r="AI694" s="116">
        <f>-IFERROR(IF($Y694=1,INDEX('[1]REMOVAL FEES'!$A$1:$C$22,MATCH(CONCATENATE("Standard Size",$P694),'[1]REMOVAL FEES'!$A$1:$A$22,0),3),IF($Y694=2,IF($P694&gt;10,(($P694-10)*1.06)+INDEX('[1]REMOVAL FEES'!$E$1:$G$22,MATCH(CONCATENATE("Large bulky, extra-large and special handling items",IF($P694&gt;=11,11,$P694)),'[1]REMOVAL FEES'!$E$1:$E$13,0),3),INDEX('[1]REMOVAL FEES'!$E$1:$G$22,MATCH(CONCATENATE("Large bulky, extra-large and special handling items",IF($P694&gt;=11,11,$P694)),'[1]REMOVAL FEES'!$E$1:$E$13,0),3))))*$AA694,FALSE)</f>
        <v>-8.1900000000000013</v>
      </c>
      <c r="AJ694" s="107">
        <f t="shared" si="133"/>
        <v>-21.484545027517402</v>
      </c>
      <c r="AK694" s="107">
        <v>-14.096013289036501</v>
      </c>
      <c r="AL694" s="107">
        <v>-3.008128614559352</v>
      </c>
      <c r="AM694" s="107">
        <f t="shared" si="134"/>
        <v>-17.104141903595853</v>
      </c>
      <c r="AN694" s="116">
        <f>(-IF($V694="Yes", IF($X694="Yes", VLOOKUP($W694, '[1]Storage Fees'!A:M, 13, FALSE), VLOOKUP($W694, '[1]Storage Fees'!A:M, 10, FALSE)), IF($X694="Yes", VLOOKUP($W694, '[1]Storage Fees'!A:M, 7, FALSE), VLOOKUP($W694, '[1]Storage Fees'!A:M, 4, FALSE))) * U694)*1.5</f>
        <v>-0.61953124999999998</v>
      </c>
    </row>
    <row r="695" spans="1:40" x14ac:dyDescent="0.25">
      <c r="A695" s="99">
        <v>623</v>
      </c>
      <c r="B695" s="99" t="s">
        <v>13700</v>
      </c>
      <c r="C695" s="99"/>
      <c r="D695" s="99"/>
      <c r="E695" s="99" t="s">
        <v>163</v>
      </c>
      <c r="F695" s="99" t="s">
        <v>437</v>
      </c>
      <c r="G695" s="99" t="s">
        <v>13695</v>
      </c>
      <c r="H695" s="99">
        <v>31</v>
      </c>
      <c r="I695" s="99">
        <v>26</v>
      </c>
      <c r="J695" s="99">
        <v>6</v>
      </c>
      <c r="K695" s="101" t="str">
        <f t="shared" si="122"/>
        <v>31x26x6</v>
      </c>
      <c r="L695" s="102">
        <f t="shared" si="123"/>
        <v>34.791366906474821</v>
      </c>
      <c r="M695" s="113">
        <f t="shared" si="124"/>
        <v>34.791366906474821</v>
      </c>
      <c r="N695" s="113">
        <f t="shared" si="125"/>
        <v>35</v>
      </c>
      <c r="O695" s="99">
        <v>46</v>
      </c>
      <c r="P695" s="113">
        <f t="shared" si="126"/>
        <v>46</v>
      </c>
      <c r="Q695" s="112">
        <f t="shared" si="127"/>
        <v>736</v>
      </c>
      <c r="R695" s="112" t="str">
        <f t="shared" si="128"/>
        <v>Oversize</v>
      </c>
      <c r="S695" s="99" t="str">
        <f t="shared" si="129"/>
        <v>Large bulky</v>
      </c>
      <c r="T695" s="116" t="s">
        <v>13694</v>
      </c>
      <c r="U695" s="116">
        <f t="shared" si="130"/>
        <v>2.7986111111111112</v>
      </c>
      <c r="V695" s="116" t="s">
        <v>13583</v>
      </c>
      <c r="W695" s="116" t="s">
        <v>13690</v>
      </c>
      <c r="X695" s="116" t="s">
        <v>13691</v>
      </c>
      <c r="Y695" s="116">
        <v>2</v>
      </c>
      <c r="Z695" s="116">
        <v>3</v>
      </c>
      <c r="AA695" s="116">
        <v>1</v>
      </c>
      <c r="AB695" s="99"/>
      <c r="AC695" s="99"/>
      <c r="AD695" s="107">
        <v>0</v>
      </c>
      <c r="AE695" s="113">
        <f t="shared" si="131"/>
        <v>0</v>
      </c>
      <c r="AF695" s="116">
        <f>-IFERROR(IFERROR(VLOOKUP(ROUNDUP($Q695,0),'FBA FEES'!$L$2:$Q$203,MATCH($S695,'FBA FEES'!$L$2:$Q$2,0),FALSE),VLOOKUP(ROUNDUP($Q695,0),'FBA FEES'!$C$6:$F$123,MATCH($S695,'FBA FEES'!$C$6:$F$6,0),FALSE)),0)</f>
        <v>-26.71</v>
      </c>
      <c r="AG695" s="116">
        <v>-10</v>
      </c>
      <c r="AH695" s="113">
        <f t="shared" si="132"/>
        <v>-26.71</v>
      </c>
      <c r="AI695" s="116">
        <f>-IFERROR(IF($Y695=1,INDEX('[1]REMOVAL FEES'!$A$1:$C$22,MATCH(CONCATENATE("Standard Size",$P695),'[1]REMOVAL FEES'!$A$1:$A$22,0),3),IF($Y695=2,IF($P695&gt;10,(($P695-10)*1.06)+INDEX('[1]REMOVAL FEES'!$E$1:$G$22,MATCH(CONCATENATE("Large bulky, extra-large and special handling items",IF($P695&gt;=11,11,$P695)),'[1]REMOVAL FEES'!$E$1:$E$13,0),3),INDEX('[1]REMOVAL FEES'!$E$1:$G$22,MATCH(CONCATENATE("Large bulky, extra-large and special handling items",IF($P695&gt;=11,11,$P695)),'[1]REMOVAL FEES'!$E$1:$E$13,0),3))))*$AA695,FALSE)</f>
        <v>-52.480000000000004</v>
      </c>
      <c r="AJ695" s="107">
        <f t="shared" si="133"/>
        <v>-79.19</v>
      </c>
      <c r="AK695" s="107">
        <v>0</v>
      </c>
      <c r="AL695" s="107">
        <v>0</v>
      </c>
      <c r="AM695" s="107">
        <f t="shared" si="134"/>
        <v>0</v>
      </c>
      <c r="AN695" s="116">
        <f>(-IF($V695="Yes", IF($X695="Yes", VLOOKUP($W695, '[1]Storage Fees'!A:M, 13, FALSE), VLOOKUP($W695, '[1]Storage Fees'!A:M, 10, FALSE)), IF($X695="Yes", VLOOKUP($W695, '[1]Storage Fees'!A:M, 7, FALSE), VLOOKUP($W695, '[1]Storage Fees'!A:M, 4, FALSE))) * U695)*1.5</f>
        <v>-3.3163541666666672</v>
      </c>
    </row>
    <row r="696" spans="1:40" x14ac:dyDescent="0.25">
      <c r="A696" s="99">
        <v>624</v>
      </c>
      <c r="B696" s="99" t="s">
        <v>107</v>
      </c>
      <c r="C696" s="99"/>
      <c r="D696" s="99"/>
      <c r="E696" s="99" t="s">
        <v>441</v>
      </c>
      <c r="F696" s="99" t="s">
        <v>439</v>
      </c>
      <c r="G696" s="99" t="s">
        <v>13695</v>
      </c>
      <c r="H696" s="99">
        <v>26</v>
      </c>
      <c r="I696" s="99">
        <v>21</v>
      </c>
      <c r="J696" s="99">
        <v>3</v>
      </c>
      <c r="K696" s="101" t="str">
        <f t="shared" si="122"/>
        <v>26x21x3</v>
      </c>
      <c r="L696" s="102">
        <f t="shared" si="123"/>
        <v>11.784172661870503</v>
      </c>
      <c r="M696" s="113">
        <f t="shared" si="124"/>
        <v>11.784172661870503</v>
      </c>
      <c r="N696" s="113">
        <f t="shared" si="125"/>
        <v>12</v>
      </c>
      <c r="O696" s="99">
        <v>12</v>
      </c>
      <c r="P696" s="113">
        <f t="shared" si="126"/>
        <v>12</v>
      </c>
      <c r="Q696" s="112">
        <f t="shared" si="127"/>
        <v>192</v>
      </c>
      <c r="R696" s="112" t="str">
        <f t="shared" si="128"/>
        <v>Oversize</v>
      </c>
      <c r="S696" s="99" t="str">
        <f t="shared" si="129"/>
        <v>Large bulky</v>
      </c>
      <c r="T696" s="116" t="s">
        <v>13692</v>
      </c>
      <c r="U696" s="116">
        <f t="shared" si="130"/>
        <v>0.94791666666666663</v>
      </c>
      <c r="V696" s="116" t="s">
        <v>13583</v>
      </c>
      <c r="W696" s="116" t="s">
        <v>13690</v>
      </c>
      <c r="X696" s="116" t="s">
        <v>13691</v>
      </c>
      <c r="Y696" s="116">
        <v>2</v>
      </c>
      <c r="Z696" s="116">
        <v>3</v>
      </c>
      <c r="AA696" s="116">
        <v>1</v>
      </c>
      <c r="AB696" s="99"/>
      <c r="AC696" s="99"/>
      <c r="AD696" s="107">
        <v>89.731196581196457</v>
      </c>
      <c r="AE696" s="113">
        <f t="shared" si="131"/>
        <v>-13.459679487179468</v>
      </c>
      <c r="AF696" s="116">
        <f>-IFERROR(IFERROR(VLOOKUP(ROUNDUP($Q696,0),'FBA FEES'!$L$2:$Q$203,MATCH($S696,'FBA FEES'!$L$2:$Q$2,0),FALSE),VLOOKUP(ROUNDUP($Q696,0),'FBA FEES'!$C$6:$F$123,MATCH($S696,'FBA FEES'!$C$6:$F$6,0),FALSE)),0)</f>
        <v>-13.79</v>
      </c>
      <c r="AG696" s="116">
        <v>-10</v>
      </c>
      <c r="AH696" s="113">
        <f t="shared" si="132"/>
        <v>-27.249679487179467</v>
      </c>
      <c r="AI696" s="116">
        <f>-IFERROR(IF($Y696=1,INDEX('[1]REMOVAL FEES'!$A$1:$C$22,MATCH(CONCATENATE("Standard Size",$P696),'[1]REMOVAL FEES'!$A$1:$A$22,0),3),IF($Y696=2,IF($P696&gt;10,(($P696-10)*1.06)+INDEX('[1]REMOVAL FEES'!$E$1:$G$22,MATCH(CONCATENATE("Large bulky, extra-large and special handling items",IF($P696&gt;=11,11,$P696)),'[1]REMOVAL FEES'!$E$1:$E$13,0),3),INDEX('[1]REMOVAL FEES'!$E$1:$G$22,MATCH(CONCATENATE("Large bulky, extra-large and special handling items",IF($P696&gt;=11,11,$P696)),'[1]REMOVAL FEES'!$E$1:$E$13,0),3))))*$AA696,FALSE)</f>
        <v>-16.440000000000001</v>
      </c>
      <c r="AJ696" s="107">
        <f t="shared" si="133"/>
        <v>-43.689679487179468</v>
      </c>
      <c r="AK696" s="107">
        <v>-37.98666666666675</v>
      </c>
      <c r="AL696" s="107">
        <v>-7.7353927929660529</v>
      </c>
      <c r="AM696" s="107">
        <f t="shared" si="134"/>
        <v>-45.722059459632803</v>
      </c>
      <c r="AN696" s="116">
        <f>(-IF($V696="Yes", IF($X696="Yes", VLOOKUP($W696, '[1]Storage Fees'!A:M, 13, FALSE), VLOOKUP($W696, '[1]Storage Fees'!A:M, 10, FALSE)), IF($X696="Yes", VLOOKUP($W696, '[1]Storage Fees'!A:M, 7, FALSE), VLOOKUP($W696, '[1]Storage Fees'!A:M, 4, FALSE))) * U696)*1.5</f>
        <v>-1.12328125</v>
      </c>
    </row>
    <row r="697" spans="1:40" x14ac:dyDescent="0.25">
      <c r="A697" s="99">
        <v>625</v>
      </c>
      <c r="B697" s="99" t="s">
        <v>283</v>
      </c>
      <c r="C697" s="99" t="s">
        <v>13655</v>
      </c>
      <c r="D697" s="99" t="s">
        <v>102</v>
      </c>
      <c r="E697" s="99" t="s">
        <v>278</v>
      </c>
      <c r="F697" s="99" t="s">
        <v>1269</v>
      </c>
      <c r="G697" s="99" t="s">
        <v>13656</v>
      </c>
      <c r="H697" s="99">
        <v>15</v>
      </c>
      <c r="I697" s="99">
        <v>11</v>
      </c>
      <c r="J697" s="99">
        <v>3</v>
      </c>
      <c r="K697" s="101" t="str">
        <f t="shared" si="122"/>
        <v>15x11x3</v>
      </c>
      <c r="L697" s="102">
        <f t="shared" si="123"/>
        <v>3.5611510791366907</v>
      </c>
      <c r="M697" s="113">
        <f t="shared" si="124"/>
        <v>3.5611510791366907</v>
      </c>
      <c r="N697" s="113">
        <f t="shared" si="125"/>
        <v>4</v>
      </c>
      <c r="O697" s="99">
        <v>4</v>
      </c>
      <c r="P697" s="113">
        <f t="shared" si="126"/>
        <v>4</v>
      </c>
      <c r="Q697" s="112">
        <f t="shared" si="127"/>
        <v>64</v>
      </c>
      <c r="R697" s="112" t="str">
        <f t="shared" si="128"/>
        <v>Standard-size</v>
      </c>
      <c r="S697" s="99" t="str">
        <f t="shared" si="129"/>
        <v>Large standard-size</v>
      </c>
      <c r="T697" s="116" t="s">
        <v>13693</v>
      </c>
      <c r="U697" s="116">
        <f t="shared" si="130"/>
        <v>0.28645833333333331</v>
      </c>
      <c r="V697" s="116" t="s">
        <v>13583</v>
      </c>
      <c r="W697" s="116" t="s">
        <v>13690</v>
      </c>
      <c r="X697" s="99" t="s">
        <v>13583</v>
      </c>
      <c r="Y697" s="99">
        <v>1</v>
      </c>
      <c r="Z697" s="99">
        <v>2</v>
      </c>
      <c r="AA697" s="99">
        <v>1</v>
      </c>
      <c r="AB697" s="99"/>
      <c r="AC697" s="99"/>
      <c r="AD697" s="107">
        <v>28.26235294117647</v>
      </c>
      <c r="AE697" s="113">
        <f t="shared" si="131"/>
        <v>-4.2393529411764703</v>
      </c>
      <c r="AF697" s="116">
        <f>-IFERROR(IFERROR(VLOOKUP(ROUNDUP($Q697,0),'FBA FEES'!$L$2:$Q$203,MATCH($S697,'FBA FEES'!$L$2:$Q$2,0),FALSE),VLOOKUP(ROUNDUP($Q697,0),'FBA FEES'!$C$6:$F$123,MATCH($S697,'FBA FEES'!$C$6:$F$6,0),FALSE)),0)</f>
        <v>-7.24</v>
      </c>
      <c r="AG697" s="116">
        <v>-10</v>
      </c>
      <c r="AH697" s="113">
        <f t="shared" si="132"/>
        <v>-11.479352941176471</v>
      </c>
      <c r="AI697" s="116">
        <f>-IFERROR(IF($Y697=1,INDEX('[1]REMOVAL FEES'!$A$1:$C$22,MATCH(CONCATENATE("Standard Size",$P697),'[1]REMOVAL FEES'!$A$1:$A$22,0),3),IF($Y697=2,IF($P697&gt;10,(($P697-10)*1.06)+INDEX('[1]REMOVAL FEES'!$E$1:$G$22,MATCH(CONCATENATE("Large bulky, extra-large and special handling items",IF($P697&gt;=11,11,$P697)),'[1]REMOVAL FEES'!$E$1:$E$13,0),3),INDEX('[1]REMOVAL FEES'!$E$1:$G$22,MATCH(CONCATENATE("Large bulky, extra-large and special handling items",IF($P697&gt;=11,11,$P697)),'[1]REMOVAL FEES'!$E$1:$E$13,0),3))))*$AA697,FALSE)</f>
        <v>-5.01</v>
      </c>
      <c r="AJ697" s="107">
        <f t="shared" si="133"/>
        <v>-16.48935294117647</v>
      </c>
      <c r="AK697" s="107">
        <v>-10.88705882352941</v>
      </c>
      <c r="AL697" s="107">
        <v>-1.3885000000000001</v>
      </c>
      <c r="AM697" s="107">
        <f t="shared" si="134"/>
        <v>-12.27555882352941</v>
      </c>
      <c r="AN697" s="116">
        <f>(-IF($V697="Yes", IF($X697="Yes", VLOOKUP($W697, '[1]Storage Fees'!A:M, 13, FALSE), VLOOKUP($W697, '[1]Storage Fees'!A:M, 10, FALSE)), IF($X697="Yes", VLOOKUP($W697, '[1]Storage Fees'!A:M, 7, FALSE), VLOOKUP($W697, '[1]Storage Fees'!A:M, 4, FALSE))) * U697)*1.5</f>
        <v>-0.52421874999999996</v>
      </c>
    </row>
    <row r="698" spans="1:40" x14ac:dyDescent="0.25">
      <c r="A698" s="99">
        <v>626</v>
      </c>
      <c r="B698" s="99" t="s">
        <v>283</v>
      </c>
      <c r="C698" s="99" t="s">
        <v>13655</v>
      </c>
      <c r="D698" s="99" t="s">
        <v>102</v>
      </c>
      <c r="E698" s="99" t="s">
        <v>278</v>
      </c>
      <c r="F698" s="99" t="s">
        <v>1272</v>
      </c>
      <c r="G698" s="99" t="s">
        <v>13656</v>
      </c>
      <c r="H698" s="99">
        <v>14</v>
      </c>
      <c r="I698" s="99">
        <v>12</v>
      </c>
      <c r="J698" s="99">
        <v>3</v>
      </c>
      <c r="K698" s="101" t="str">
        <f t="shared" si="122"/>
        <v>14x12x3</v>
      </c>
      <c r="L698" s="102">
        <f t="shared" si="123"/>
        <v>3.6258992805755397</v>
      </c>
      <c r="M698" s="113">
        <f t="shared" si="124"/>
        <v>3.6258992805755397</v>
      </c>
      <c r="N698" s="113">
        <f t="shared" si="125"/>
        <v>4</v>
      </c>
      <c r="O698" s="99">
        <v>7</v>
      </c>
      <c r="P698" s="113">
        <f t="shared" si="126"/>
        <v>7</v>
      </c>
      <c r="Q698" s="112">
        <f t="shared" si="127"/>
        <v>112</v>
      </c>
      <c r="R698" s="112" t="str">
        <f t="shared" si="128"/>
        <v>Standard-size</v>
      </c>
      <c r="S698" s="99" t="str">
        <f t="shared" si="129"/>
        <v>Large standard-size</v>
      </c>
      <c r="T698" s="116" t="s">
        <v>13693</v>
      </c>
      <c r="U698" s="116">
        <f t="shared" si="130"/>
        <v>0.29166666666666669</v>
      </c>
      <c r="V698" s="116" t="s">
        <v>13583</v>
      </c>
      <c r="W698" s="116" t="s">
        <v>13690</v>
      </c>
      <c r="X698" s="99" t="s">
        <v>13583</v>
      </c>
      <c r="Y698" s="99">
        <v>1</v>
      </c>
      <c r="Z698" s="99">
        <v>2</v>
      </c>
      <c r="AA698" s="99">
        <v>1</v>
      </c>
      <c r="AB698" s="99"/>
      <c r="AC698" s="99"/>
      <c r="AD698" s="107">
        <v>32.300909090909087</v>
      </c>
      <c r="AE698" s="113">
        <f t="shared" si="131"/>
        <v>-4.8451363636363629</v>
      </c>
      <c r="AF698" s="116">
        <f>-IFERROR(IFERROR(VLOOKUP(ROUNDUP($Q698,0),'FBA FEES'!$L$2:$Q$203,MATCH($S698,'FBA FEES'!$L$2:$Q$2,0),FALSE),VLOOKUP(ROUNDUP($Q698,0),'FBA FEES'!$C$6:$F$123,MATCH($S698,'FBA FEES'!$C$6:$F$6,0),FALSE)),0)</f>
        <v>-8.1999999999999993</v>
      </c>
      <c r="AG698" s="116">
        <v>-10</v>
      </c>
      <c r="AH698" s="113">
        <f t="shared" si="132"/>
        <v>-13.045136363636363</v>
      </c>
      <c r="AI698" s="116">
        <f>-IFERROR(IF($Y698=1,INDEX('[1]REMOVAL FEES'!$A$1:$C$22,MATCH(CONCATENATE("Standard Size",$P698),'[1]REMOVAL FEES'!$A$1:$A$22,0),3),IF($Y698=2,IF($P698&gt;10,(($P698-10)*1.06)+INDEX('[1]REMOVAL FEES'!$E$1:$G$22,MATCH(CONCATENATE("Large bulky, extra-large and special handling items",IF($P698&gt;=11,11,$P698)),'[1]REMOVAL FEES'!$E$1:$E$13,0),3),INDEX('[1]REMOVAL FEES'!$E$1:$G$22,MATCH(CONCATENATE("Large bulky, extra-large and special handling items",IF($P698&gt;=11,11,$P698)),'[1]REMOVAL FEES'!$E$1:$E$13,0),3))))*$AA698,FALSE)</f>
        <v>-8.1900000000000013</v>
      </c>
      <c r="AJ698" s="107">
        <f t="shared" si="133"/>
        <v>-21.235136363636364</v>
      </c>
      <c r="AK698" s="107">
        <v>-16.261818181818171</v>
      </c>
      <c r="AL698" s="107">
        <v>-1.893484848484849</v>
      </c>
      <c r="AM698" s="107">
        <f t="shared" si="134"/>
        <v>-18.155303030303021</v>
      </c>
      <c r="AN698" s="116">
        <f>(-IF($V698="Yes", IF($X698="Yes", VLOOKUP($W698, '[1]Storage Fees'!A:M, 13, FALSE), VLOOKUP($W698, '[1]Storage Fees'!A:M, 10, FALSE)), IF($X698="Yes", VLOOKUP($W698, '[1]Storage Fees'!A:M, 7, FALSE), VLOOKUP($W698, '[1]Storage Fees'!A:M, 4, FALSE))) * U698)*1.5</f>
        <v>-0.53374999999999995</v>
      </c>
    </row>
    <row r="699" spans="1:40" x14ac:dyDescent="0.25">
      <c r="A699" s="99">
        <v>627</v>
      </c>
      <c r="B699" s="99"/>
      <c r="C699" s="99" t="s">
        <v>13655</v>
      </c>
      <c r="D699" s="99"/>
      <c r="E699" s="99" t="s">
        <v>278</v>
      </c>
      <c r="F699" s="99" t="s">
        <v>2073</v>
      </c>
      <c r="G699" s="99" t="s">
        <v>13656</v>
      </c>
      <c r="H699" s="99">
        <v>0</v>
      </c>
      <c r="I699" s="99">
        <v>0</v>
      </c>
      <c r="J699" s="99">
        <v>0</v>
      </c>
      <c r="K699" s="101" t="str">
        <f t="shared" si="122"/>
        <v>0x0x0</v>
      </c>
      <c r="L699" s="102">
        <f t="shared" si="123"/>
        <v>0</v>
      </c>
      <c r="M699" s="113">
        <f t="shared" si="124"/>
        <v>0</v>
      </c>
      <c r="N699" s="113">
        <f t="shared" si="125"/>
        <v>0</v>
      </c>
      <c r="O699" s="99">
        <v>0</v>
      </c>
      <c r="P699" s="113">
        <f t="shared" si="126"/>
        <v>0</v>
      </c>
      <c r="Q699" s="112">
        <f t="shared" si="127"/>
        <v>0</v>
      </c>
      <c r="R699" s="112" t="str">
        <f t="shared" si="128"/>
        <v>Standard-size</v>
      </c>
      <c r="S699" s="99" t="str">
        <f t="shared" si="129"/>
        <v>Small standard-size</v>
      </c>
      <c r="T699" s="116" t="s">
        <v>13696</v>
      </c>
      <c r="U699" s="116">
        <f t="shared" si="130"/>
        <v>0</v>
      </c>
      <c r="V699" s="116" t="s">
        <v>13583</v>
      </c>
      <c r="W699" s="116" t="s">
        <v>13690</v>
      </c>
      <c r="X699" s="99" t="s">
        <v>13583</v>
      </c>
      <c r="Y699" s="99">
        <v>1</v>
      </c>
      <c r="Z699" s="99">
        <v>1</v>
      </c>
      <c r="AA699" s="99">
        <v>1</v>
      </c>
      <c r="AB699" s="99"/>
      <c r="AC699" s="99"/>
      <c r="AD699" s="107">
        <v>41.24</v>
      </c>
      <c r="AE699" s="113">
        <f t="shared" si="131"/>
        <v>-6.1859999999999999</v>
      </c>
      <c r="AF699" s="116">
        <f>-IFERROR(IFERROR(VLOOKUP(ROUNDUP($Q699,0),'FBA FEES'!$L$2:$Q$203,MATCH($S699,'FBA FEES'!$L$2:$Q$2,0),FALSE),VLOOKUP(ROUNDUP($Q699,0),'FBA FEES'!$C$6:$F$123,MATCH($S699,'FBA FEES'!$C$6:$F$6,0),FALSE)),0)</f>
        <v>0</v>
      </c>
      <c r="AG699" s="116">
        <v>-10</v>
      </c>
      <c r="AH699" s="113">
        <f t="shared" si="132"/>
        <v>-6.1859999999999999</v>
      </c>
      <c r="AI699" s="116">
        <f>-IFERROR(IF($Y699=1,INDEX('[1]REMOVAL FEES'!$A$1:$C$22,MATCH(CONCATENATE("Standard Size",$P699),'[1]REMOVAL FEES'!$A$1:$A$22,0),3),IF($Y699=2,IF($P699&gt;10,(($P699-10)*1.06)+INDEX('[1]REMOVAL FEES'!$E$1:$G$22,MATCH(CONCATENATE("Large bulky, extra-large and special handling items",IF($P699&gt;=11,11,$P699)),'[1]REMOVAL FEES'!$E$1:$E$13,0),3),INDEX('[1]REMOVAL FEES'!$E$1:$G$22,MATCH(CONCATENATE("Large bulky, extra-large and special handling items",IF($P699&gt;=11,11,$P699)),'[1]REMOVAL FEES'!$E$1:$E$13,0),3))))*$AA699,FALSE)</f>
        <v>0</v>
      </c>
      <c r="AJ699" s="107">
        <f t="shared" si="133"/>
        <v>-6.1859999999999999</v>
      </c>
      <c r="AK699" s="107">
        <v>-22.16</v>
      </c>
      <c r="AL699" s="107">
        <v>-3.4337499999999999</v>
      </c>
      <c r="AM699" s="107">
        <f t="shared" si="134"/>
        <v>-25.59375</v>
      </c>
      <c r="AN699" s="116">
        <f>(-IF($V699="Yes", IF($X699="Yes", VLOOKUP($W699, '[1]Storage Fees'!A:M, 13, FALSE), VLOOKUP($W699, '[1]Storage Fees'!A:M, 10, FALSE)), IF($X699="Yes", VLOOKUP($W699, '[1]Storage Fees'!A:M, 7, FALSE), VLOOKUP($W699, '[1]Storage Fees'!A:M, 4, FALSE))) * U699)*1.5</f>
        <v>0</v>
      </c>
    </row>
    <row r="700" spans="1:40" x14ac:dyDescent="0.25">
      <c r="A700" s="99">
        <v>628</v>
      </c>
      <c r="B700" s="99" t="s">
        <v>107</v>
      </c>
      <c r="C700" s="99" t="s">
        <v>13655</v>
      </c>
      <c r="D700" s="99"/>
      <c r="E700" s="99" t="s">
        <v>278</v>
      </c>
      <c r="F700" s="110" t="s">
        <v>1275</v>
      </c>
      <c r="G700" s="99" t="s">
        <v>13656</v>
      </c>
      <c r="H700" s="99">
        <v>16</v>
      </c>
      <c r="I700" s="99">
        <v>12</v>
      </c>
      <c r="J700" s="99">
        <v>3</v>
      </c>
      <c r="K700" s="101" t="str">
        <f t="shared" si="122"/>
        <v>16x12x3</v>
      </c>
      <c r="L700" s="102">
        <f t="shared" si="123"/>
        <v>4.1438848920863309</v>
      </c>
      <c r="M700" s="113">
        <f t="shared" si="124"/>
        <v>4.1438848920863309</v>
      </c>
      <c r="N700" s="113">
        <f t="shared" si="125"/>
        <v>5</v>
      </c>
      <c r="O700" s="99">
        <v>4</v>
      </c>
      <c r="P700" s="113">
        <f t="shared" si="126"/>
        <v>5</v>
      </c>
      <c r="Q700" s="112">
        <f t="shared" si="127"/>
        <v>80</v>
      </c>
      <c r="R700" s="112" t="str">
        <f t="shared" si="128"/>
        <v>Standard-size</v>
      </c>
      <c r="S700" s="99" t="str">
        <f t="shared" si="129"/>
        <v>Large standard-size</v>
      </c>
      <c r="T700" s="116" t="s">
        <v>13693</v>
      </c>
      <c r="U700" s="116">
        <f t="shared" si="130"/>
        <v>0.33333333333333331</v>
      </c>
      <c r="V700" s="116" t="s">
        <v>13583</v>
      </c>
      <c r="W700" s="116" t="s">
        <v>13690</v>
      </c>
      <c r="X700" s="99" t="s">
        <v>13583</v>
      </c>
      <c r="Y700" s="99">
        <v>1</v>
      </c>
      <c r="Z700" s="99">
        <v>2</v>
      </c>
      <c r="AA700" s="99">
        <v>1</v>
      </c>
      <c r="AB700" s="99"/>
      <c r="AC700" s="99"/>
      <c r="AD700" s="107">
        <v>34.99</v>
      </c>
      <c r="AE700" s="113">
        <f t="shared" si="131"/>
        <v>-5.2484999999999999</v>
      </c>
      <c r="AF700" s="116">
        <f>-IFERROR(IFERROR(VLOOKUP(ROUNDUP($Q700,0),'FBA FEES'!$L$2:$Q$203,MATCH($S700,'FBA FEES'!$L$2:$Q$2,0),FALSE),VLOOKUP(ROUNDUP($Q700,0),'FBA FEES'!$C$6:$F$123,MATCH($S700,'FBA FEES'!$C$6:$F$6,0),FALSE)),0)</f>
        <v>-7.56</v>
      </c>
      <c r="AG700" s="116">
        <v>-10</v>
      </c>
      <c r="AH700" s="113">
        <f t="shared" si="132"/>
        <v>-12.808499999999999</v>
      </c>
      <c r="AI700" s="116">
        <f>-IFERROR(IF($Y700=1,INDEX('[1]REMOVAL FEES'!$A$1:$C$22,MATCH(CONCATENATE("Standard Size",$P700),'[1]REMOVAL FEES'!$A$1:$A$22,0),3),IF($Y700=2,IF($P700&gt;10,(($P700-10)*1.06)+INDEX('[1]REMOVAL FEES'!$E$1:$G$22,MATCH(CONCATENATE("Large bulky, extra-large and special handling items",IF($P700&gt;=11,11,$P700)),'[1]REMOVAL FEES'!$E$1:$E$13,0),3),INDEX('[1]REMOVAL FEES'!$E$1:$G$22,MATCH(CONCATENATE("Large bulky, extra-large and special handling items",IF($P700&gt;=11,11,$P700)),'[1]REMOVAL FEES'!$E$1:$E$13,0),3))))*$AA700,FALSE)</f>
        <v>-6.07</v>
      </c>
      <c r="AJ700" s="107">
        <f t="shared" si="133"/>
        <v>-18.878499999999999</v>
      </c>
      <c r="AK700" s="107">
        <v>-11.1</v>
      </c>
      <c r="AL700" s="107">
        <v>-2.1143333333333332</v>
      </c>
      <c r="AM700" s="107">
        <f t="shared" si="134"/>
        <v>-13.214333333333332</v>
      </c>
      <c r="AN700" s="116">
        <f>(-IF($V700="Yes", IF($X700="Yes", VLOOKUP($W700, '[1]Storage Fees'!A:M, 13, FALSE), VLOOKUP($W700, '[1]Storage Fees'!A:M, 10, FALSE)), IF($X700="Yes", VLOOKUP($W700, '[1]Storage Fees'!A:M, 7, FALSE), VLOOKUP($W700, '[1]Storage Fees'!A:M, 4, FALSE))) * U700)*1.5</f>
        <v>-0.60999999999999988</v>
      </c>
    </row>
    <row r="701" spans="1:40" x14ac:dyDescent="0.25">
      <c r="A701" s="99">
        <v>629</v>
      </c>
      <c r="B701" s="99" t="s">
        <v>107</v>
      </c>
      <c r="C701" s="99" t="s">
        <v>13655</v>
      </c>
      <c r="D701" s="99"/>
      <c r="E701" s="99" t="s">
        <v>278</v>
      </c>
      <c r="F701" s="110" t="s">
        <v>1278</v>
      </c>
      <c r="G701" s="99" t="s">
        <v>13656</v>
      </c>
      <c r="H701" s="99">
        <v>15</v>
      </c>
      <c r="I701" s="99">
        <v>11</v>
      </c>
      <c r="J701" s="99">
        <v>3</v>
      </c>
      <c r="K701" s="101" t="str">
        <f t="shared" si="122"/>
        <v>15x11x3</v>
      </c>
      <c r="L701" s="102">
        <f t="shared" si="123"/>
        <v>3.5611510791366907</v>
      </c>
      <c r="M701" s="113">
        <f t="shared" si="124"/>
        <v>3.5611510791366907</v>
      </c>
      <c r="N701" s="113">
        <f t="shared" si="125"/>
        <v>4</v>
      </c>
      <c r="O701" s="99">
        <v>7</v>
      </c>
      <c r="P701" s="113">
        <f t="shared" si="126"/>
        <v>7</v>
      </c>
      <c r="Q701" s="112">
        <f t="shared" si="127"/>
        <v>112</v>
      </c>
      <c r="R701" s="112" t="str">
        <f t="shared" si="128"/>
        <v>Standard-size</v>
      </c>
      <c r="S701" s="99" t="str">
        <f t="shared" si="129"/>
        <v>Large standard-size</v>
      </c>
      <c r="T701" s="116" t="s">
        <v>13693</v>
      </c>
      <c r="U701" s="116">
        <f t="shared" si="130"/>
        <v>0.28645833333333331</v>
      </c>
      <c r="V701" s="116" t="s">
        <v>13583</v>
      </c>
      <c r="W701" s="116" t="s">
        <v>13690</v>
      </c>
      <c r="X701" s="99" t="s">
        <v>13583</v>
      </c>
      <c r="Y701" s="99">
        <v>1</v>
      </c>
      <c r="Z701" s="99">
        <v>2</v>
      </c>
      <c r="AA701" s="99">
        <v>1</v>
      </c>
      <c r="AB701" s="99"/>
      <c r="AC701" s="99"/>
      <c r="AD701" s="107">
        <v>34.518563999999998</v>
      </c>
      <c r="AE701" s="113">
        <f t="shared" si="131"/>
        <v>-5.1777845999999998</v>
      </c>
      <c r="AF701" s="116">
        <f>-IFERROR(IFERROR(VLOOKUP(ROUNDUP($Q701,0),'FBA FEES'!$L$2:$Q$203,MATCH($S701,'FBA FEES'!$L$2:$Q$2,0),FALSE),VLOOKUP(ROUNDUP($Q701,0),'FBA FEES'!$C$6:$F$123,MATCH($S701,'FBA FEES'!$C$6:$F$6,0),FALSE)),0)</f>
        <v>-8.1999999999999993</v>
      </c>
      <c r="AG701" s="116">
        <v>-10</v>
      </c>
      <c r="AH701" s="113">
        <f t="shared" si="132"/>
        <v>-13.377784599999998</v>
      </c>
      <c r="AI701" s="116">
        <f>-IFERROR(IF($Y701=1,INDEX('[1]REMOVAL FEES'!$A$1:$C$22,MATCH(CONCATENATE("Standard Size",$P701),'[1]REMOVAL FEES'!$A$1:$A$22,0),3),IF($Y701=2,IF($P701&gt;10,(($P701-10)*1.06)+INDEX('[1]REMOVAL FEES'!$E$1:$G$22,MATCH(CONCATENATE("Large bulky, extra-large and special handling items",IF($P701&gt;=11,11,$P701)),'[1]REMOVAL FEES'!$E$1:$E$13,0),3),INDEX('[1]REMOVAL FEES'!$E$1:$G$22,MATCH(CONCATENATE("Large bulky, extra-large and special handling items",IF($P701&gt;=11,11,$P701)),'[1]REMOVAL FEES'!$E$1:$E$13,0),3))))*$AA701,FALSE)</f>
        <v>-8.1900000000000013</v>
      </c>
      <c r="AJ701" s="107">
        <f t="shared" si="133"/>
        <v>-21.5677846</v>
      </c>
      <c r="AK701" s="107">
        <v>-18.63</v>
      </c>
      <c r="AL701" s="107">
        <v>-2.2496666666666671</v>
      </c>
      <c r="AM701" s="107">
        <f t="shared" si="134"/>
        <v>-20.879666666666665</v>
      </c>
      <c r="AN701" s="116">
        <f>(-IF($V701="Yes", IF($X701="Yes", VLOOKUP($W701, '[1]Storage Fees'!A:M, 13, FALSE), VLOOKUP($W701, '[1]Storage Fees'!A:M, 10, FALSE)), IF($X701="Yes", VLOOKUP($W701, '[1]Storage Fees'!A:M, 7, FALSE), VLOOKUP($W701, '[1]Storage Fees'!A:M, 4, FALSE))) * U701)*1.5</f>
        <v>-0.52421874999999996</v>
      </c>
    </row>
    <row r="702" spans="1:40" x14ac:dyDescent="0.25">
      <c r="A702" s="99">
        <v>630</v>
      </c>
      <c r="B702" s="99" t="s">
        <v>107</v>
      </c>
      <c r="C702" s="99" t="s">
        <v>13655</v>
      </c>
      <c r="D702" s="99"/>
      <c r="E702" s="99" t="s">
        <v>278</v>
      </c>
      <c r="F702" s="99" t="s">
        <v>1281</v>
      </c>
      <c r="G702" s="99" t="s">
        <v>13695</v>
      </c>
      <c r="H702" s="99">
        <v>17</v>
      </c>
      <c r="I702" s="99">
        <v>15</v>
      </c>
      <c r="J702" s="99">
        <v>3</v>
      </c>
      <c r="K702" s="101" t="str">
        <f t="shared" si="122"/>
        <v>17x15x3</v>
      </c>
      <c r="L702" s="102">
        <f t="shared" si="123"/>
        <v>5.5035971223021587</v>
      </c>
      <c r="M702" s="113">
        <f t="shared" si="124"/>
        <v>5.5035971223021587</v>
      </c>
      <c r="N702" s="113">
        <f t="shared" si="125"/>
        <v>6</v>
      </c>
      <c r="O702" s="99">
        <v>10</v>
      </c>
      <c r="P702" s="113">
        <f t="shared" si="126"/>
        <v>10</v>
      </c>
      <c r="Q702" s="112">
        <f t="shared" si="127"/>
        <v>160</v>
      </c>
      <c r="R702" s="112" t="str">
        <f t="shared" si="128"/>
        <v>Oversize</v>
      </c>
      <c r="S702" s="99" t="str">
        <f t="shared" si="129"/>
        <v>Large bulky</v>
      </c>
      <c r="T702" s="116" t="s">
        <v>13692</v>
      </c>
      <c r="U702" s="116">
        <f t="shared" si="130"/>
        <v>0.44270833333333331</v>
      </c>
      <c r="V702" s="116" t="s">
        <v>13583</v>
      </c>
      <c r="W702" s="116" t="s">
        <v>13690</v>
      </c>
      <c r="X702" s="116" t="s">
        <v>13691</v>
      </c>
      <c r="Y702" s="116">
        <v>2</v>
      </c>
      <c r="Z702" s="116">
        <v>3</v>
      </c>
      <c r="AA702" s="116">
        <v>1</v>
      </c>
      <c r="AB702" s="99"/>
      <c r="AC702" s="99"/>
      <c r="AD702" s="107">
        <v>39.24080444444445</v>
      </c>
      <c r="AE702" s="113">
        <f t="shared" si="131"/>
        <v>-5.8861206666666677</v>
      </c>
      <c r="AF702" s="116">
        <f>-IFERROR(IFERROR(VLOOKUP(ROUNDUP($Q702,0),'FBA FEES'!$L$2:$Q$203,MATCH($S702,'FBA FEES'!$L$2:$Q$2,0),FALSE),VLOOKUP(ROUNDUP($Q702,0),'FBA FEES'!$C$6:$F$123,MATCH($S702,'FBA FEES'!$C$6:$F$6,0),FALSE)),0)</f>
        <v>-13.03</v>
      </c>
      <c r="AG702" s="116">
        <v>-10</v>
      </c>
      <c r="AH702" s="113">
        <f t="shared" si="132"/>
        <v>-18.916120666666668</v>
      </c>
      <c r="AI702" s="116">
        <f>-IFERROR(IF($Y702=1,INDEX('[1]REMOVAL FEES'!$A$1:$C$22,MATCH(CONCATENATE("Standard Size",$P702),'[1]REMOVAL FEES'!$A$1:$A$22,0),3),IF($Y702=2,IF($P702&gt;10,(($P702-10)*1.06)+INDEX('[1]REMOVAL FEES'!$E$1:$G$22,MATCH(CONCATENATE("Large bulky, extra-large and special handling items",IF($P702&gt;=11,11,$P702)),'[1]REMOVAL FEES'!$E$1:$E$13,0),3),INDEX('[1]REMOVAL FEES'!$E$1:$G$22,MATCH(CONCATENATE("Large bulky, extra-large and special handling items",IF($P702&gt;=11,11,$P702)),'[1]REMOVAL FEES'!$E$1:$E$13,0),3))))*$AA702,FALSE)</f>
        <v>-10.039999999999999</v>
      </c>
      <c r="AJ702" s="107">
        <f t="shared" si="133"/>
        <v>-28.956120666666667</v>
      </c>
      <c r="AK702" s="107">
        <v>-25.71</v>
      </c>
      <c r="AL702" s="107">
        <v>-2.7925</v>
      </c>
      <c r="AM702" s="107">
        <f t="shared" si="134"/>
        <v>-28.502500000000001</v>
      </c>
      <c r="AN702" s="116">
        <f>(-IF($V702="Yes", IF($X702="Yes", VLOOKUP($W702, '[1]Storage Fees'!A:M, 13, FALSE), VLOOKUP($W702, '[1]Storage Fees'!A:M, 10, FALSE)), IF($X702="Yes", VLOOKUP($W702, '[1]Storage Fees'!A:M, 7, FALSE), VLOOKUP($W702, '[1]Storage Fees'!A:M, 4, FALSE))) * U702)*1.5</f>
        <v>-0.52460937500000004</v>
      </c>
    </row>
    <row r="703" spans="1:40" x14ac:dyDescent="0.25">
      <c r="A703" s="99">
        <v>631</v>
      </c>
      <c r="B703" s="99" t="s">
        <v>107</v>
      </c>
      <c r="C703" s="99"/>
      <c r="D703" s="99"/>
      <c r="E703" s="99" t="s">
        <v>278</v>
      </c>
      <c r="F703" s="99" t="s">
        <v>442</v>
      </c>
      <c r="G703" s="99" t="s">
        <v>13695</v>
      </c>
      <c r="H703" s="99">
        <v>27</v>
      </c>
      <c r="I703" s="99">
        <v>27</v>
      </c>
      <c r="J703" s="99">
        <v>3</v>
      </c>
      <c r="K703" s="101" t="str">
        <f t="shared" si="122"/>
        <v>27x27x3</v>
      </c>
      <c r="L703" s="102">
        <f t="shared" si="123"/>
        <v>15.733812949640289</v>
      </c>
      <c r="M703" s="113">
        <f t="shared" si="124"/>
        <v>15.733812949640289</v>
      </c>
      <c r="N703" s="113">
        <f t="shared" si="125"/>
        <v>16</v>
      </c>
      <c r="O703" s="99">
        <v>23</v>
      </c>
      <c r="P703" s="113">
        <f t="shared" si="126"/>
        <v>23</v>
      </c>
      <c r="Q703" s="112">
        <f t="shared" si="127"/>
        <v>368</v>
      </c>
      <c r="R703" s="112" t="str">
        <f t="shared" si="128"/>
        <v>Oversize</v>
      </c>
      <c r="S703" s="99" t="str">
        <f t="shared" si="129"/>
        <v>Large bulky</v>
      </c>
      <c r="T703" s="116" t="s">
        <v>13692</v>
      </c>
      <c r="U703" s="116">
        <f t="shared" si="130"/>
        <v>1.265625</v>
      </c>
      <c r="V703" s="116" t="s">
        <v>13583</v>
      </c>
      <c r="W703" s="116" t="s">
        <v>13690</v>
      </c>
      <c r="X703" s="116" t="s">
        <v>13691</v>
      </c>
      <c r="Y703" s="116">
        <v>2</v>
      </c>
      <c r="Z703" s="116">
        <v>3</v>
      </c>
      <c r="AA703" s="116">
        <v>1</v>
      </c>
      <c r="AB703" s="99"/>
      <c r="AC703" s="99"/>
      <c r="AD703" s="107">
        <v>110.8902352941175</v>
      </c>
      <c r="AE703" s="113">
        <f t="shared" si="131"/>
        <v>-16.633535294117625</v>
      </c>
      <c r="AF703" s="116">
        <f>-IFERROR(IFERROR(VLOOKUP(ROUNDUP($Q703,0),'FBA FEES'!$L$2:$Q$203,MATCH($S703,'FBA FEES'!$L$2:$Q$2,0),FALSE),VLOOKUP(ROUNDUP($Q703,0),'FBA FEES'!$C$6:$F$123,MATCH($S703,'FBA FEES'!$C$6:$F$6,0),FALSE)),0)</f>
        <v>-17.97</v>
      </c>
      <c r="AG703" s="116">
        <v>-10</v>
      </c>
      <c r="AH703" s="113">
        <f t="shared" si="132"/>
        <v>-34.60353529411762</v>
      </c>
      <c r="AI703" s="116">
        <f>-IFERROR(IF($Y703=1,INDEX('[1]REMOVAL FEES'!$A$1:$C$22,MATCH(CONCATENATE("Standard Size",$P703),'[1]REMOVAL FEES'!$A$1:$A$22,0),3),IF($Y703=2,IF($P703&gt;10,(($P703-10)*1.06)+INDEX('[1]REMOVAL FEES'!$E$1:$G$22,MATCH(CONCATENATE("Large bulky, extra-large and special handling items",IF($P703&gt;=11,11,$P703)),'[1]REMOVAL FEES'!$E$1:$E$13,0),3),INDEX('[1]REMOVAL FEES'!$E$1:$G$22,MATCH(CONCATENATE("Large bulky, extra-large and special handling items",IF($P703&gt;=11,11,$P703)),'[1]REMOVAL FEES'!$E$1:$E$13,0),3))))*$AA703,FALSE)</f>
        <v>-28.1</v>
      </c>
      <c r="AJ703" s="107">
        <f t="shared" si="133"/>
        <v>-62.703535294117621</v>
      </c>
      <c r="AK703" s="107">
        <v>-43.668823529411682</v>
      </c>
      <c r="AL703" s="107">
        <v>-10.842474111781449</v>
      </c>
      <c r="AM703" s="107">
        <f t="shared" si="134"/>
        <v>-54.511297641193131</v>
      </c>
      <c r="AN703" s="116">
        <f>(-IF($V703="Yes", IF($X703="Yes", VLOOKUP($W703, '[1]Storage Fees'!A:M, 13, FALSE), VLOOKUP($W703, '[1]Storage Fees'!A:M, 10, FALSE)), IF($X703="Yes", VLOOKUP($W703, '[1]Storage Fees'!A:M, 7, FALSE), VLOOKUP($W703, '[1]Storage Fees'!A:M, 4, FALSE))) * U703)*1.5</f>
        <v>-1.499765625</v>
      </c>
    </row>
    <row r="704" spans="1:40" x14ac:dyDescent="0.25">
      <c r="A704" s="99">
        <v>632</v>
      </c>
      <c r="B704" s="99" t="s">
        <v>107</v>
      </c>
      <c r="C704" s="99" t="s">
        <v>13655</v>
      </c>
      <c r="D704" s="99" t="s">
        <v>1286</v>
      </c>
      <c r="E704" s="99" t="s">
        <v>278</v>
      </c>
      <c r="F704" s="99" t="s">
        <v>1284</v>
      </c>
      <c r="G704" s="99" t="s">
        <v>13695</v>
      </c>
      <c r="H704" s="99">
        <v>21</v>
      </c>
      <c r="I704" s="99">
        <v>16</v>
      </c>
      <c r="J704" s="99">
        <v>13</v>
      </c>
      <c r="K704" s="101" t="str">
        <f t="shared" si="122"/>
        <v>21x16x13</v>
      </c>
      <c r="L704" s="102">
        <f t="shared" si="123"/>
        <v>31.424460431654676</v>
      </c>
      <c r="M704" s="113">
        <f t="shared" si="124"/>
        <v>31.424460431654676</v>
      </c>
      <c r="N704" s="113">
        <f t="shared" si="125"/>
        <v>32</v>
      </c>
      <c r="O704" s="99">
        <v>42</v>
      </c>
      <c r="P704" s="113">
        <f t="shared" si="126"/>
        <v>42</v>
      </c>
      <c r="Q704" s="112">
        <f t="shared" si="127"/>
        <v>672</v>
      </c>
      <c r="R704" s="112" t="str">
        <f t="shared" si="128"/>
        <v>Oversize</v>
      </c>
      <c r="S704" s="99" t="str">
        <f t="shared" si="129"/>
        <v>Large bulky</v>
      </c>
      <c r="T704" s="116" t="s">
        <v>13694</v>
      </c>
      <c r="U704" s="116">
        <f t="shared" si="130"/>
        <v>2.5277777777777777</v>
      </c>
      <c r="V704" s="116" t="s">
        <v>13583</v>
      </c>
      <c r="W704" s="116" t="s">
        <v>13690</v>
      </c>
      <c r="X704" s="116" t="s">
        <v>13691</v>
      </c>
      <c r="Y704" s="116">
        <v>2</v>
      </c>
      <c r="Z704" s="116">
        <v>3</v>
      </c>
      <c r="AA704" s="116">
        <v>1</v>
      </c>
      <c r="AB704" s="99"/>
      <c r="AC704" s="99"/>
      <c r="AD704" s="107">
        <v>0</v>
      </c>
      <c r="AE704" s="113">
        <f t="shared" si="131"/>
        <v>0</v>
      </c>
      <c r="AF704" s="116">
        <f>-IFERROR(IFERROR(VLOOKUP(ROUNDUP($Q704,0),'FBA FEES'!$L$2:$Q$203,MATCH($S704,'FBA FEES'!$L$2:$Q$2,0),FALSE),VLOOKUP(ROUNDUP($Q704,0),'FBA FEES'!$C$6:$F$123,MATCH($S704,'FBA FEES'!$C$6:$F$6,0),FALSE)),0)</f>
        <v>-25.189999999999998</v>
      </c>
      <c r="AG704" s="116">
        <v>-10</v>
      </c>
      <c r="AH704" s="113">
        <f t="shared" si="132"/>
        <v>-25.189999999999998</v>
      </c>
      <c r="AI704" s="116">
        <f>-IFERROR(IF($Y704=1,INDEX('[1]REMOVAL FEES'!$A$1:$C$22,MATCH(CONCATENATE("Standard Size",$P704),'[1]REMOVAL FEES'!$A$1:$A$22,0),3),IF($Y704=2,IF($P704&gt;10,(($P704-10)*1.06)+INDEX('[1]REMOVAL FEES'!$E$1:$G$22,MATCH(CONCATENATE("Large bulky, extra-large and special handling items",IF($P704&gt;=11,11,$P704)),'[1]REMOVAL FEES'!$E$1:$E$13,0),3),INDEX('[1]REMOVAL FEES'!$E$1:$G$22,MATCH(CONCATENATE("Large bulky, extra-large and special handling items",IF($P704&gt;=11,11,$P704)),'[1]REMOVAL FEES'!$E$1:$E$13,0),3))))*$AA704,FALSE)</f>
        <v>-48.24</v>
      </c>
      <c r="AJ704" s="107">
        <f t="shared" si="133"/>
        <v>-73.430000000000007</v>
      </c>
      <c r="AK704" s="107">
        <v>0</v>
      </c>
      <c r="AL704" s="107">
        <v>0</v>
      </c>
      <c r="AM704" s="107">
        <f t="shared" si="134"/>
        <v>0</v>
      </c>
      <c r="AN704" s="116">
        <f>(-IF($V704="Yes", IF($X704="Yes", VLOOKUP($W704, '[1]Storage Fees'!A:M, 13, FALSE), VLOOKUP($W704, '[1]Storage Fees'!A:M, 10, FALSE)), IF($X704="Yes", VLOOKUP($W704, '[1]Storage Fees'!A:M, 7, FALSE), VLOOKUP($W704, '[1]Storage Fees'!A:M, 4, FALSE))) * U704)*1.5</f>
        <v>-2.9954166666666664</v>
      </c>
    </row>
    <row r="705" spans="1:40" x14ac:dyDescent="0.25">
      <c r="A705" s="99">
        <v>633</v>
      </c>
      <c r="B705" s="99"/>
      <c r="C705" s="99" t="s">
        <v>13655</v>
      </c>
      <c r="D705" s="99"/>
      <c r="E705" s="99" t="s">
        <v>2077</v>
      </c>
      <c r="F705" s="99" t="s">
        <v>2075</v>
      </c>
      <c r="G705" s="99" t="s">
        <v>13656</v>
      </c>
      <c r="H705" s="99">
        <v>0</v>
      </c>
      <c r="I705" s="99">
        <v>0</v>
      </c>
      <c r="J705" s="99">
        <v>0</v>
      </c>
      <c r="K705" s="101" t="str">
        <f t="shared" si="122"/>
        <v>0x0x0</v>
      </c>
      <c r="L705" s="102">
        <f t="shared" si="123"/>
        <v>0</v>
      </c>
      <c r="M705" s="113">
        <f t="shared" si="124"/>
        <v>0</v>
      </c>
      <c r="N705" s="113">
        <f t="shared" si="125"/>
        <v>0</v>
      </c>
      <c r="O705" s="99">
        <v>0</v>
      </c>
      <c r="P705" s="113">
        <f t="shared" si="126"/>
        <v>0</v>
      </c>
      <c r="Q705" s="112">
        <f t="shared" si="127"/>
        <v>0</v>
      </c>
      <c r="R705" s="112" t="str">
        <f t="shared" si="128"/>
        <v>Standard-size</v>
      </c>
      <c r="S705" s="99" t="str">
        <f t="shared" si="129"/>
        <v>Small standard-size</v>
      </c>
      <c r="T705" s="116" t="s">
        <v>13696</v>
      </c>
      <c r="U705" s="116">
        <f t="shared" si="130"/>
        <v>0</v>
      </c>
      <c r="V705" s="116" t="s">
        <v>13583</v>
      </c>
      <c r="W705" s="116" t="s">
        <v>13690</v>
      </c>
      <c r="X705" s="99" t="s">
        <v>13583</v>
      </c>
      <c r="Y705" s="99">
        <v>1</v>
      </c>
      <c r="Z705" s="99">
        <v>1</v>
      </c>
      <c r="AA705" s="99">
        <v>1</v>
      </c>
      <c r="AB705" s="99"/>
      <c r="AC705" s="99"/>
      <c r="AD705" s="107">
        <v>23.99</v>
      </c>
      <c r="AE705" s="113">
        <f t="shared" si="131"/>
        <v>-3.5984999999999996</v>
      </c>
      <c r="AF705" s="116">
        <f>-IFERROR(IFERROR(VLOOKUP(ROUNDUP($Q705,0),'FBA FEES'!$L$2:$Q$203,MATCH($S705,'FBA FEES'!$L$2:$Q$2,0),FALSE),VLOOKUP(ROUNDUP($Q705,0),'FBA FEES'!$C$6:$F$123,MATCH($S705,'FBA FEES'!$C$6:$F$6,0),FALSE)),0)</f>
        <v>0</v>
      </c>
      <c r="AG705" s="116">
        <v>-10</v>
      </c>
      <c r="AH705" s="113">
        <f t="shared" si="132"/>
        <v>-3.5984999999999996</v>
      </c>
      <c r="AI705" s="116">
        <f>-IFERROR(IF($Y705=1,INDEX('[1]REMOVAL FEES'!$A$1:$C$22,MATCH(CONCATENATE("Standard Size",$P705),'[1]REMOVAL FEES'!$A$1:$A$22,0),3),IF($Y705=2,IF($P705&gt;10,(($P705-10)*1.06)+INDEX('[1]REMOVAL FEES'!$E$1:$G$22,MATCH(CONCATENATE("Large bulky, extra-large and special handling items",IF($P705&gt;=11,11,$P705)),'[1]REMOVAL FEES'!$E$1:$E$13,0),3),INDEX('[1]REMOVAL FEES'!$E$1:$G$22,MATCH(CONCATENATE("Large bulky, extra-large and special handling items",IF($P705&gt;=11,11,$P705)),'[1]REMOVAL FEES'!$E$1:$E$13,0),3))))*$AA705,FALSE)</f>
        <v>0</v>
      </c>
      <c r="AJ705" s="107">
        <f t="shared" si="133"/>
        <v>-3.5984999999999996</v>
      </c>
      <c r="AK705" s="107">
        <v>-6.31</v>
      </c>
      <c r="AL705" s="107">
        <v>-1.33</v>
      </c>
      <c r="AM705" s="107">
        <f t="shared" si="134"/>
        <v>-7.64</v>
      </c>
      <c r="AN705" s="116">
        <f>(-IF($V705="Yes", IF($X705="Yes", VLOOKUP($W705, '[1]Storage Fees'!A:M, 13, FALSE), VLOOKUP($W705, '[1]Storage Fees'!A:M, 10, FALSE)), IF($X705="Yes", VLOOKUP($W705, '[1]Storage Fees'!A:M, 7, FALSE), VLOOKUP($W705, '[1]Storage Fees'!A:M, 4, FALSE))) * U705)*1.5</f>
        <v>0</v>
      </c>
    </row>
    <row r="706" spans="1:40" x14ac:dyDescent="0.25">
      <c r="A706" s="99">
        <v>634</v>
      </c>
      <c r="B706" s="99"/>
      <c r="C706" s="99" t="s">
        <v>13655</v>
      </c>
      <c r="D706" s="99"/>
      <c r="E706" s="99" t="s">
        <v>2077</v>
      </c>
      <c r="F706" s="99" t="s">
        <v>2078</v>
      </c>
      <c r="G706" s="99" t="s">
        <v>13695</v>
      </c>
      <c r="H706" s="99">
        <v>0</v>
      </c>
      <c r="I706" s="99">
        <v>0</v>
      </c>
      <c r="J706" s="99">
        <v>0</v>
      </c>
      <c r="K706" s="101" t="str">
        <f t="shared" si="122"/>
        <v>0x0x0</v>
      </c>
      <c r="L706" s="102">
        <f t="shared" si="123"/>
        <v>0</v>
      </c>
      <c r="M706" s="113">
        <f t="shared" si="124"/>
        <v>0</v>
      </c>
      <c r="N706" s="113">
        <f t="shared" si="125"/>
        <v>0</v>
      </c>
      <c r="O706" s="99">
        <v>0</v>
      </c>
      <c r="P706" s="113">
        <f t="shared" si="126"/>
        <v>0</v>
      </c>
      <c r="Q706" s="112">
        <f t="shared" si="127"/>
        <v>0</v>
      </c>
      <c r="R706" s="112" t="str">
        <f t="shared" si="128"/>
        <v>Standard-size</v>
      </c>
      <c r="S706" s="99" t="str">
        <f t="shared" si="129"/>
        <v>Small standard-size</v>
      </c>
      <c r="T706" s="116" t="s">
        <v>13696</v>
      </c>
      <c r="U706" s="116">
        <f t="shared" si="130"/>
        <v>0</v>
      </c>
      <c r="V706" s="116" t="s">
        <v>13583</v>
      </c>
      <c r="W706" s="116" t="s">
        <v>13690</v>
      </c>
      <c r="X706" s="99" t="s">
        <v>13583</v>
      </c>
      <c r="Y706" s="99">
        <v>1</v>
      </c>
      <c r="Z706" s="99">
        <v>1</v>
      </c>
      <c r="AA706" s="99">
        <v>1</v>
      </c>
      <c r="AB706" s="99"/>
      <c r="AC706" s="99"/>
      <c r="AD706" s="107">
        <v>27.74</v>
      </c>
      <c r="AE706" s="113">
        <f t="shared" si="131"/>
        <v>-4.1609999999999996</v>
      </c>
      <c r="AF706" s="116">
        <f>-IFERROR(IFERROR(VLOOKUP(ROUNDUP($Q706,0),'FBA FEES'!$L$2:$Q$203,MATCH($S706,'FBA FEES'!$L$2:$Q$2,0),FALSE),VLOOKUP(ROUNDUP($Q706,0),'FBA FEES'!$C$6:$F$123,MATCH($S706,'FBA FEES'!$C$6:$F$6,0),FALSE)),0)</f>
        <v>0</v>
      </c>
      <c r="AG706" s="116">
        <v>-10</v>
      </c>
      <c r="AH706" s="113">
        <f t="shared" si="132"/>
        <v>-4.1609999999999996</v>
      </c>
      <c r="AI706" s="116">
        <f>-IFERROR(IF($Y706=1,INDEX('[1]REMOVAL FEES'!$A$1:$C$22,MATCH(CONCATENATE("Standard Size",$P706),'[1]REMOVAL FEES'!$A$1:$A$22,0),3),IF($Y706=2,IF($P706&gt;10,(($P706-10)*1.06)+INDEX('[1]REMOVAL FEES'!$E$1:$G$22,MATCH(CONCATENATE("Large bulky, extra-large and special handling items",IF($P706&gt;=11,11,$P706)),'[1]REMOVAL FEES'!$E$1:$E$13,0),3),INDEX('[1]REMOVAL FEES'!$E$1:$G$22,MATCH(CONCATENATE("Large bulky, extra-large and special handling items",IF($P706&gt;=11,11,$P706)),'[1]REMOVAL FEES'!$E$1:$E$13,0),3))))*$AA706,FALSE)</f>
        <v>0</v>
      </c>
      <c r="AJ706" s="107">
        <f t="shared" si="133"/>
        <v>-4.1609999999999996</v>
      </c>
      <c r="AK706" s="107">
        <v>-9.4700000000000006</v>
      </c>
      <c r="AL706" s="107">
        <v>-1.802</v>
      </c>
      <c r="AM706" s="107">
        <f t="shared" si="134"/>
        <v>-11.272</v>
      </c>
      <c r="AN706" s="116">
        <f>(-IF($V706="Yes", IF($X706="Yes", VLOOKUP($W706, '[1]Storage Fees'!A:M, 13, FALSE), VLOOKUP($W706, '[1]Storage Fees'!A:M, 10, FALSE)), IF($X706="Yes", VLOOKUP($W706, '[1]Storage Fees'!A:M, 7, FALSE), VLOOKUP($W706, '[1]Storage Fees'!A:M, 4, FALSE))) * U706)*1.5</f>
        <v>0</v>
      </c>
    </row>
    <row r="707" spans="1:40" x14ac:dyDescent="0.25">
      <c r="A707" s="99">
        <v>635</v>
      </c>
      <c r="B707" s="99"/>
      <c r="C707" s="99" t="s">
        <v>13655</v>
      </c>
      <c r="D707" s="99"/>
      <c r="E707" s="99" t="s">
        <v>2077</v>
      </c>
      <c r="F707" s="99" t="s">
        <v>2080</v>
      </c>
      <c r="G707" s="99" t="s">
        <v>13695</v>
      </c>
      <c r="H707" s="99">
        <v>0</v>
      </c>
      <c r="I707" s="99">
        <v>0</v>
      </c>
      <c r="J707" s="99">
        <v>0</v>
      </c>
      <c r="K707" s="101" t="str">
        <f t="shared" si="122"/>
        <v>0x0x0</v>
      </c>
      <c r="L707" s="102">
        <f t="shared" si="123"/>
        <v>0</v>
      </c>
      <c r="M707" s="113">
        <f t="shared" si="124"/>
        <v>0</v>
      </c>
      <c r="N707" s="113">
        <f t="shared" si="125"/>
        <v>0</v>
      </c>
      <c r="O707" s="99">
        <v>0</v>
      </c>
      <c r="P707" s="113">
        <f t="shared" si="126"/>
        <v>0</v>
      </c>
      <c r="Q707" s="112">
        <f t="shared" si="127"/>
        <v>0</v>
      </c>
      <c r="R707" s="112" t="str">
        <f t="shared" si="128"/>
        <v>Standard-size</v>
      </c>
      <c r="S707" s="99" t="str">
        <f t="shared" si="129"/>
        <v>Small standard-size</v>
      </c>
      <c r="T707" s="116" t="s">
        <v>13696</v>
      </c>
      <c r="U707" s="116">
        <f t="shared" si="130"/>
        <v>0</v>
      </c>
      <c r="V707" s="116" t="s">
        <v>13583</v>
      </c>
      <c r="W707" s="116" t="s">
        <v>13690</v>
      </c>
      <c r="X707" s="99" t="s">
        <v>13583</v>
      </c>
      <c r="Y707" s="99">
        <v>1</v>
      </c>
      <c r="Z707" s="99">
        <v>1</v>
      </c>
      <c r="AA707" s="99">
        <v>1</v>
      </c>
      <c r="AB707" s="99"/>
      <c r="AC707" s="99"/>
      <c r="AD707" s="107">
        <v>0</v>
      </c>
      <c r="AE707" s="113">
        <f t="shared" si="131"/>
        <v>0</v>
      </c>
      <c r="AF707" s="116">
        <f>-IFERROR(IFERROR(VLOOKUP(ROUNDUP($Q707,0),'FBA FEES'!$L$2:$Q$203,MATCH($S707,'FBA FEES'!$L$2:$Q$2,0),FALSE),VLOOKUP(ROUNDUP($Q707,0),'FBA FEES'!$C$6:$F$123,MATCH($S707,'FBA FEES'!$C$6:$F$6,0),FALSE)),0)</f>
        <v>0</v>
      </c>
      <c r="AG707" s="116">
        <v>-10</v>
      </c>
      <c r="AH707" s="113">
        <f t="shared" si="132"/>
        <v>0</v>
      </c>
      <c r="AI707" s="116">
        <f>-IFERROR(IF($Y707=1,INDEX('[1]REMOVAL FEES'!$A$1:$C$22,MATCH(CONCATENATE("Standard Size",$P707),'[1]REMOVAL FEES'!$A$1:$A$22,0),3),IF($Y707=2,IF($P707&gt;10,(($P707-10)*1.06)+INDEX('[1]REMOVAL FEES'!$E$1:$G$22,MATCH(CONCATENATE("Large bulky, extra-large and special handling items",IF($P707&gt;=11,11,$P707)),'[1]REMOVAL FEES'!$E$1:$E$13,0),3),INDEX('[1]REMOVAL FEES'!$E$1:$G$22,MATCH(CONCATENATE("Large bulky, extra-large and special handling items",IF($P707&gt;=11,11,$P707)),'[1]REMOVAL FEES'!$E$1:$E$13,0),3))))*$AA707,FALSE)</f>
        <v>0</v>
      </c>
      <c r="AJ707" s="107">
        <f t="shared" si="133"/>
        <v>0</v>
      </c>
      <c r="AK707" s="107">
        <v>0</v>
      </c>
      <c r="AL707" s="107">
        <v>0</v>
      </c>
      <c r="AM707" s="107">
        <f t="shared" si="134"/>
        <v>0</v>
      </c>
      <c r="AN707" s="116">
        <f>(-IF($V707="Yes", IF($X707="Yes", VLOOKUP($W707, '[1]Storage Fees'!A:M, 13, FALSE), VLOOKUP($W707, '[1]Storage Fees'!A:M, 10, FALSE)), IF($X707="Yes", VLOOKUP($W707, '[1]Storage Fees'!A:M, 7, FALSE), VLOOKUP($W707, '[1]Storage Fees'!A:M, 4, FALSE))) * U707)*1.5</f>
        <v>0</v>
      </c>
    </row>
    <row r="708" spans="1:40" x14ac:dyDescent="0.25">
      <c r="A708" s="99">
        <v>636</v>
      </c>
      <c r="B708" s="99"/>
      <c r="C708" s="99" t="s">
        <v>13655</v>
      </c>
      <c r="D708" s="99"/>
      <c r="E708" s="99" t="s">
        <v>2077</v>
      </c>
      <c r="F708" s="99" t="s">
        <v>2082</v>
      </c>
      <c r="G708" s="99" t="s">
        <v>13695</v>
      </c>
      <c r="H708" s="99">
        <v>0</v>
      </c>
      <c r="I708" s="99">
        <v>0</v>
      </c>
      <c r="J708" s="99">
        <v>0</v>
      </c>
      <c r="K708" s="101" t="str">
        <f t="shared" si="122"/>
        <v>0x0x0</v>
      </c>
      <c r="L708" s="102">
        <f t="shared" si="123"/>
        <v>0</v>
      </c>
      <c r="M708" s="113">
        <f t="shared" si="124"/>
        <v>0</v>
      </c>
      <c r="N708" s="113">
        <f t="shared" si="125"/>
        <v>0</v>
      </c>
      <c r="O708" s="99">
        <v>0</v>
      </c>
      <c r="P708" s="113">
        <f t="shared" si="126"/>
        <v>0</v>
      </c>
      <c r="Q708" s="112">
        <f t="shared" si="127"/>
        <v>0</v>
      </c>
      <c r="R708" s="112" t="str">
        <f t="shared" si="128"/>
        <v>Standard-size</v>
      </c>
      <c r="S708" s="99" t="str">
        <f t="shared" si="129"/>
        <v>Small standard-size</v>
      </c>
      <c r="T708" s="116" t="s">
        <v>13696</v>
      </c>
      <c r="U708" s="116">
        <f t="shared" si="130"/>
        <v>0</v>
      </c>
      <c r="V708" s="116" t="s">
        <v>13583</v>
      </c>
      <c r="W708" s="116" t="s">
        <v>13690</v>
      </c>
      <c r="X708" s="99" t="s">
        <v>13583</v>
      </c>
      <c r="Y708" s="99">
        <v>1</v>
      </c>
      <c r="Z708" s="99">
        <v>1</v>
      </c>
      <c r="AA708" s="99">
        <v>1</v>
      </c>
      <c r="AB708" s="99"/>
      <c r="AC708" s="99"/>
      <c r="AD708" s="107">
        <v>0</v>
      </c>
      <c r="AE708" s="113">
        <f t="shared" si="131"/>
        <v>0</v>
      </c>
      <c r="AF708" s="116">
        <f>-IFERROR(IFERROR(VLOOKUP(ROUNDUP($Q708,0),'FBA FEES'!$L$2:$Q$203,MATCH($S708,'FBA FEES'!$L$2:$Q$2,0),FALSE),VLOOKUP(ROUNDUP($Q708,0),'FBA FEES'!$C$6:$F$123,MATCH($S708,'FBA FEES'!$C$6:$F$6,0),FALSE)),0)</f>
        <v>0</v>
      </c>
      <c r="AG708" s="116">
        <v>-10</v>
      </c>
      <c r="AH708" s="113">
        <f t="shared" si="132"/>
        <v>0</v>
      </c>
      <c r="AI708" s="116">
        <f>-IFERROR(IF($Y708=1,INDEX('[1]REMOVAL FEES'!$A$1:$C$22,MATCH(CONCATENATE("Standard Size",$P708),'[1]REMOVAL FEES'!$A$1:$A$22,0),3),IF($Y708=2,IF($P708&gt;10,(($P708-10)*1.06)+INDEX('[1]REMOVAL FEES'!$E$1:$G$22,MATCH(CONCATENATE("Large bulky, extra-large and special handling items",IF($P708&gt;=11,11,$P708)),'[1]REMOVAL FEES'!$E$1:$E$13,0),3),INDEX('[1]REMOVAL FEES'!$E$1:$G$22,MATCH(CONCATENATE("Large bulky, extra-large and special handling items",IF($P708&gt;=11,11,$P708)),'[1]REMOVAL FEES'!$E$1:$E$13,0),3))))*$AA708,FALSE)</f>
        <v>0</v>
      </c>
      <c r="AJ708" s="107">
        <f t="shared" si="133"/>
        <v>0</v>
      </c>
      <c r="AK708" s="107">
        <v>0</v>
      </c>
      <c r="AL708" s="107">
        <v>0</v>
      </c>
      <c r="AM708" s="107">
        <f t="shared" si="134"/>
        <v>0</v>
      </c>
      <c r="AN708" s="116">
        <f>(-IF($V708="Yes", IF($X708="Yes", VLOOKUP($W708, '[1]Storage Fees'!A:M, 13, FALSE), VLOOKUP($W708, '[1]Storage Fees'!A:M, 10, FALSE)), IF($X708="Yes", VLOOKUP($W708, '[1]Storage Fees'!A:M, 7, FALSE), VLOOKUP($W708, '[1]Storage Fees'!A:M, 4, FALSE))) * U708)*1.5</f>
        <v>0</v>
      </c>
    </row>
    <row r="709" spans="1:40" x14ac:dyDescent="0.25">
      <c r="A709" s="99">
        <v>637</v>
      </c>
      <c r="B709" s="99" t="s">
        <v>107</v>
      </c>
      <c r="C709" s="99"/>
      <c r="D709" s="99"/>
      <c r="E709" s="99" t="s">
        <v>282</v>
      </c>
      <c r="F709" s="99" t="s">
        <v>444</v>
      </c>
      <c r="G709" s="99" t="s">
        <v>13656</v>
      </c>
      <c r="H709" s="99">
        <v>12</v>
      </c>
      <c r="I709" s="99">
        <v>3</v>
      </c>
      <c r="J709" s="99">
        <v>2</v>
      </c>
      <c r="K709" s="101" t="str">
        <f t="shared" si="122"/>
        <v>12x3x2</v>
      </c>
      <c r="L709" s="102">
        <f t="shared" si="123"/>
        <v>0.51798561151079137</v>
      </c>
      <c r="M709" s="113">
        <f t="shared" si="124"/>
        <v>0.51798561151079137</v>
      </c>
      <c r="N709" s="113">
        <f t="shared" si="125"/>
        <v>0.75</v>
      </c>
      <c r="O709" s="99">
        <v>3</v>
      </c>
      <c r="P709" s="113">
        <f t="shared" si="126"/>
        <v>3</v>
      </c>
      <c r="Q709" s="112">
        <f t="shared" si="127"/>
        <v>48</v>
      </c>
      <c r="R709" s="112" t="str">
        <f t="shared" si="128"/>
        <v>Standard-size</v>
      </c>
      <c r="S709" s="99" t="str">
        <f t="shared" si="129"/>
        <v>Large standard-size</v>
      </c>
      <c r="T709" s="116" t="s">
        <v>13701</v>
      </c>
      <c r="U709" s="116">
        <f t="shared" si="130"/>
        <v>4.1666666666666664E-2</v>
      </c>
      <c r="V709" s="116" t="s">
        <v>13583</v>
      </c>
      <c r="W709" s="116" t="s">
        <v>13690</v>
      </c>
      <c r="X709" s="99" t="s">
        <v>13583</v>
      </c>
      <c r="Y709" s="99">
        <v>1</v>
      </c>
      <c r="Z709" s="99">
        <v>2</v>
      </c>
      <c r="AA709" s="99">
        <v>1</v>
      </c>
      <c r="AB709" s="99"/>
      <c r="AC709" s="99"/>
      <c r="AD709" s="107">
        <v>28.036363636363639</v>
      </c>
      <c r="AE709" s="113">
        <f t="shared" si="131"/>
        <v>-4.205454545454546</v>
      </c>
      <c r="AF709" s="116">
        <f>-IFERROR(IFERROR(VLOOKUP(ROUNDUP($Q709,0),'FBA FEES'!$L$2:$Q$203,MATCH($S709,'FBA FEES'!$L$2:$Q$2,0),FALSE),VLOOKUP(ROUNDUP($Q709,0),'FBA FEES'!$C$6:$F$123,MATCH($S709,'FBA FEES'!$C$6:$F$6,0),FALSE)),0)</f>
        <v>-6.62</v>
      </c>
      <c r="AG709" s="116">
        <v>-10</v>
      </c>
      <c r="AH709" s="113">
        <f t="shared" si="132"/>
        <v>-10.825454545454546</v>
      </c>
      <c r="AI709" s="116">
        <f>-IFERROR(IF($Y709=1,INDEX('[1]REMOVAL FEES'!$A$1:$C$22,MATCH(CONCATENATE("Standard Size",$P709),'[1]REMOVAL FEES'!$A$1:$A$22,0),3),IF($Y709=2,IF($P709&gt;10,(($P709-10)*1.06)+INDEX('[1]REMOVAL FEES'!$E$1:$G$22,MATCH(CONCATENATE("Large bulky, extra-large and special handling items",IF($P709&gt;=11,11,$P709)),'[1]REMOVAL FEES'!$E$1:$E$13,0),3),INDEX('[1]REMOVAL FEES'!$E$1:$G$22,MATCH(CONCATENATE("Large bulky, extra-large and special handling items",IF($P709&gt;=11,11,$P709)),'[1]REMOVAL FEES'!$E$1:$E$13,0),3))))*$AA709,FALSE)</f>
        <v>-3.95</v>
      </c>
      <c r="AJ709" s="107">
        <f t="shared" si="133"/>
        <v>-14.775454545454547</v>
      </c>
      <c r="AK709" s="107">
        <v>-6.950000000000002</v>
      </c>
      <c r="AL709" s="107">
        <v>-0.83561497326203227</v>
      </c>
      <c r="AM709" s="107">
        <f t="shared" si="134"/>
        <v>-7.7856149732620343</v>
      </c>
      <c r="AN709" s="116">
        <f>(-IF($V709="Yes", IF($X709="Yes", VLOOKUP($W709, '[1]Storage Fees'!A:M, 13, FALSE), VLOOKUP($W709, '[1]Storage Fees'!A:M, 10, FALSE)), IF($X709="Yes", VLOOKUP($W709, '[1]Storage Fees'!A:M, 7, FALSE), VLOOKUP($W709, '[1]Storage Fees'!A:M, 4, FALSE))) * U709)*1.5</f>
        <v>-7.6249999999999984E-2</v>
      </c>
    </row>
    <row r="710" spans="1:40" x14ac:dyDescent="0.25">
      <c r="A710" s="99">
        <v>638</v>
      </c>
      <c r="B710" s="99"/>
      <c r="C710" s="99" t="s">
        <v>13655</v>
      </c>
      <c r="D710" s="99"/>
      <c r="E710" s="99" t="s">
        <v>278</v>
      </c>
      <c r="F710" s="99" t="s">
        <v>2084</v>
      </c>
      <c r="G710" s="99" t="s">
        <v>13656</v>
      </c>
      <c r="H710" s="99">
        <v>0</v>
      </c>
      <c r="I710" s="99">
        <v>0</v>
      </c>
      <c r="J710" s="99">
        <v>0</v>
      </c>
      <c r="K710" s="101" t="str">
        <f t="shared" si="122"/>
        <v>0x0x0</v>
      </c>
      <c r="L710" s="102">
        <f t="shared" si="123"/>
        <v>0</v>
      </c>
      <c r="M710" s="113">
        <f t="shared" si="124"/>
        <v>0</v>
      </c>
      <c r="N710" s="113">
        <f t="shared" si="125"/>
        <v>0</v>
      </c>
      <c r="O710" s="99">
        <v>0</v>
      </c>
      <c r="P710" s="113">
        <f t="shared" si="126"/>
        <v>0</v>
      </c>
      <c r="Q710" s="112">
        <f t="shared" si="127"/>
        <v>0</v>
      </c>
      <c r="R710" s="112" t="str">
        <f t="shared" si="128"/>
        <v>Standard-size</v>
      </c>
      <c r="S710" s="99" t="str">
        <f t="shared" si="129"/>
        <v>Small standard-size</v>
      </c>
      <c r="T710" s="116" t="s">
        <v>13696</v>
      </c>
      <c r="U710" s="116">
        <f t="shared" si="130"/>
        <v>0</v>
      </c>
      <c r="V710" s="116" t="s">
        <v>13583</v>
      </c>
      <c r="W710" s="116" t="s">
        <v>13690</v>
      </c>
      <c r="X710" s="99" t="s">
        <v>13583</v>
      </c>
      <c r="Y710" s="99">
        <v>1</v>
      </c>
      <c r="Z710" s="99">
        <v>1</v>
      </c>
      <c r="AA710" s="99">
        <v>1</v>
      </c>
      <c r="AB710" s="99"/>
      <c r="AC710" s="99"/>
      <c r="AD710" s="107">
        <v>50.341571428571427</v>
      </c>
      <c r="AE710" s="113">
        <f t="shared" si="131"/>
        <v>-7.5512357142857134</v>
      </c>
      <c r="AF710" s="116">
        <f>-IFERROR(IFERROR(VLOOKUP(ROUNDUP($Q710,0),'FBA FEES'!$L$2:$Q$203,MATCH($S710,'FBA FEES'!$L$2:$Q$2,0),FALSE),VLOOKUP(ROUNDUP($Q710,0),'FBA FEES'!$C$6:$F$123,MATCH($S710,'FBA FEES'!$C$6:$F$6,0),FALSE)),0)</f>
        <v>0</v>
      </c>
      <c r="AG710" s="116">
        <v>-10</v>
      </c>
      <c r="AH710" s="113">
        <f t="shared" si="132"/>
        <v>-7.5512357142857134</v>
      </c>
      <c r="AI710" s="116">
        <f>-IFERROR(IF($Y710=1,INDEX('[1]REMOVAL FEES'!$A$1:$C$22,MATCH(CONCATENATE("Standard Size",$P710),'[1]REMOVAL FEES'!$A$1:$A$22,0),3),IF($Y710=2,IF($P710&gt;10,(($P710-10)*1.06)+INDEX('[1]REMOVAL FEES'!$E$1:$G$22,MATCH(CONCATENATE("Large bulky, extra-large and special handling items",IF($P710&gt;=11,11,$P710)),'[1]REMOVAL FEES'!$E$1:$E$13,0),3),INDEX('[1]REMOVAL FEES'!$E$1:$G$22,MATCH(CONCATENATE("Large bulky, extra-large and special handling items",IF($P710&gt;=11,11,$P710)),'[1]REMOVAL FEES'!$E$1:$E$13,0),3))))*$AA710,FALSE)</f>
        <v>0</v>
      </c>
      <c r="AJ710" s="107">
        <f t="shared" si="133"/>
        <v>-7.5512357142857134</v>
      </c>
      <c r="AK710" s="107">
        <v>-15.8</v>
      </c>
      <c r="AL710" s="107">
        <v>-6.3164999999999996</v>
      </c>
      <c r="AM710" s="107">
        <f t="shared" si="134"/>
        <v>-22.116500000000002</v>
      </c>
      <c r="AN710" s="116">
        <f>(-IF($V710="Yes", IF($X710="Yes", VLOOKUP($W710, '[1]Storage Fees'!A:M, 13, FALSE), VLOOKUP($W710, '[1]Storage Fees'!A:M, 10, FALSE)), IF($X710="Yes", VLOOKUP($W710, '[1]Storage Fees'!A:M, 7, FALSE), VLOOKUP($W710, '[1]Storage Fees'!A:M, 4, FALSE))) * U710)*1.5</f>
        <v>0</v>
      </c>
    </row>
    <row r="711" spans="1:40" x14ac:dyDescent="0.25">
      <c r="A711" s="99">
        <v>639</v>
      </c>
      <c r="B711" s="99" t="s">
        <v>107</v>
      </c>
      <c r="C711" s="99"/>
      <c r="D711" s="99"/>
      <c r="E711" s="99" t="s">
        <v>278</v>
      </c>
      <c r="F711" s="99" t="s">
        <v>446</v>
      </c>
      <c r="G711" s="99" t="s">
        <v>13695</v>
      </c>
      <c r="H711" s="99">
        <v>22</v>
      </c>
      <c r="I711" s="99">
        <v>22</v>
      </c>
      <c r="J711" s="99">
        <v>8</v>
      </c>
      <c r="K711" s="101" t="str">
        <f t="shared" si="122"/>
        <v>22x22x8</v>
      </c>
      <c r="L711" s="102">
        <f t="shared" si="123"/>
        <v>27.85611510791367</v>
      </c>
      <c r="M711" s="113">
        <f t="shared" si="124"/>
        <v>27.85611510791367</v>
      </c>
      <c r="N711" s="113">
        <f t="shared" si="125"/>
        <v>28</v>
      </c>
      <c r="O711" s="99">
        <v>19</v>
      </c>
      <c r="P711" s="113">
        <f t="shared" si="126"/>
        <v>28</v>
      </c>
      <c r="Q711" s="112">
        <f t="shared" si="127"/>
        <v>448</v>
      </c>
      <c r="R711" s="112" t="str">
        <f t="shared" si="128"/>
        <v>Oversize</v>
      </c>
      <c r="S711" s="99" t="str">
        <f t="shared" si="129"/>
        <v>Large bulky</v>
      </c>
      <c r="T711" s="116" t="s">
        <v>13692</v>
      </c>
      <c r="U711" s="116">
        <f t="shared" si="130"/>
        <v>2.2407407407407409</v>
      </c>
      <c r="V711" s="116" t="s">
        <v>13583</v>
      </c>
      <c r="W711" s="116" t="s">
        <v>13690</v>
      </c>
      <c r="X711" s="116" t="s">
        <v>13691</v>
      </c>
      <c r="Y711" s="116">
        <v>2</v>
      </c>
      <c r="Z711" s="116">
        <v>3</v>
      </c>
      <c r="AA711" s="116">
        <v>1</v>
      </c>
      <c r="AB711" s="99"/>
      <c r="AC711" s="99"/>
      <c r="AD711" s="107">
        <v>0</v>
      </c>
      <c r="AE711" s="113">
        <f t="shared" si="131"/>
        <v>0</v>
      </c>
      <c r="AF711" s="116">
        <f>-IFERROR(IFERROR(VLOOKUP(ROUNDUP($Q711,0),'FBA FEES'!$L$2:$Q$203,MATCH($S711,'FBA FEES'!$L$2:$Q$2,0),FALSE),VLOOKUP(ROUNDUP($Q711,0),'FBA FEES'!$C$6:$F$123,MATCH($S711,'FBA FEES'!$C$6:$F$6,0),FALSE)),0)</f>
        <v>-19.869999999999997</v>
      </c>
      <c r="AG711" s="116">
        <v>-10</v>
      </c>
      <c r="AH711" s="113">
        <f t="shared" si="132"/>
        <v>-19.869999999999997</v>
      </c>
      <c r="AI711" s="116">
        <f>-IFERROR(IF($Y711=1,INDEX('[1]REMOVAL FEES'!$A$1:$C$22,MATCH(CONCATENATE("Standard Size",$P711),'[1]REMOVAL FEES'!$A$1:$A$22,0),3),IF($Y711=2,IF($P711&gt;10,(($P711-10)*1.06)+INDEX('[1]REMOVAL FEES'!$E$1:$G$22,MATCH(CONCATENATE("Large bulky, extra-large and special handling items",IF($P711&gt;=11,11,$P711)),'[1]REMOVAL FEES'!$E$1:$E$13,0),3),INDEX('[1]REMOVAL FEES'!$E$1:$G$22,MATCH(CONCATENATE("Large bulky, extra-large and special handling items",IF($P711&gt;=11,11,$P711)),'[1]REMOVAL FEES'!$E$1:$E$13,0),3))))*$AA711,FALSE)</f>
        <v>-33.400000000000006</v>
      </c>
      <c r="AJ711" s="107">
        <f t="shared" si="133"/>
        <v>-53.27</v>
      </c>
      <c r="AK711" s="107">
        <v>0</v>
      </c>
      <c r="AL711" s="107">
        <v>0</v>
      </c>
      <c r="AM711" s="107">
        <f t="shared" si="134"/>
        <v>0</v>
      </c>
      <c r="AN711" s="116">
        <f>(-IF($V711="Yes", IF($X711="Yes", VLOOKUP($W711, '[1]Storage Fees'!A:M, 13, FALSE), VLOOKUP($W711, '[1]Storage Fees'!A:M, 10, FALSE)), IF($X711="Yes", VLOOKUP($W711, '[1]Storage Fees'!A:M, 7, FALSE), VLOOKUP($W711, '[1]Storage Fees'!A:M, 4, FALSE))) * U711)*1.5</f>
        <v>-2.6552777777777781</v>
      </c>
    </row>
    <row r="712" spans="1:40" x14ac:dyDescent="0.25">
      <c r="A712" s="99">
        <v>640</v>
      </c>
      <c r="B712" s="99" t="s">
        <v>107</v>
      </c>
      <c r="C712" s="99"/>
      <c r="D712" s="99"/>
      <c r="E712" s="99" t="s">
        <v>278</v>
      </c>
      <c r="F712" s="99" t="s">
        <v>448</v>
      </c>
      <c r="G712" s="99" t="s">
        <v>13656</v>
      </c>
      <c r="H712" s="99">
        <v>18</v>
      </c>
      <c r="I712" s="99">
        <v>3</v>
      </c>
      <c r="J712" s="99">
        <v>3</v>
      </c>
      <c r="K712" s="101" t="str">
        <f t="shared" si="122"/>
        <v>18x3x3</v>
      </c>
      <c r="L712" s="102">
        <f t="shared" si="123"/>
        <v>1.1654676258992807</v>
      </c>
      <c r="M712" s="113">
        <f t="shared" si="124"/>
        <v>1.1654676258992807</v>
      </c>
      <c r="N712" s="113">
        <f t="shared" si="125"/>
        <v>2</v>
      </c>
      <c r="O712" s="99">
        <v>3</v>
      </c>
      <c r="P712" s="113">
        <f t="shared" si="126"/>
        <v>3</v>
      </c>
      <c r="Q712" s="112">
        <f t="shared" si="127"/>
        <v>48</v>
      </c>
      <c r="R712" s="112" t="str">
        <f t="shared" si="128"/>
        <v>Standard-size</v>
      </c>
      <c r="S712" s="99" t="str">
        <f t="shared" si="129"/>
        <v>Large standard-size</v>
      </c>
      <c r="T712" s="116" t="s">
        <v>13701</v>
      </c>
      <c r="U712" s="116">
        <f t="shared" si="130"/>
        <v>9.375E-2</v>
      </c>
      <c r="V712" s="116" t="s">
        <v>13583</v>
      </c>
      <c r="W712" s="116" t="s">
        <v>13690</v>
      </c>
      <c r="X712" s="99" t="s">
        <v>13583</v>
      </c>
      <c r="Y712" s="99">
        <v>1</v>
      </c>
      <c r="Z712" s="99">
        <v>2</v>
      </c>
      <c r="AA712" s="99">
        <v>1</v>
      </c>
      <c r="AB712" s="99"/>
      <c r="AC712" s="99"/>
      <c r="AD712" s="107">
        <v>33.993162790697681</v>
      </c>
      <c r="AE712" s="113">
        <f t="shared" si="131"/>
        <v>-5.0989744186046524</v>
      </c>
      <c r="AF712" s="116">
        <f>-IFERROR(IFERROR(VLOOKUP(ROUNDUP($Q712,0),'FBA FEES'!$L$2:$Q$203,MATCH($S712,'FBA FEES'!$L$2:$Q$2,0),FALSE),VLOOKUP(ROUNDUP($Q712,0),'FBA FEES'!$C$6:$F$123,MATCH($S712,'FBA FEES'!$C$6:$F$6,0),FALSE)),0)</f>
        <v>-6.62</v>
      </c>
      <c r="AG712" s="116">
        <v>-10</v>
      </c>
      <c r="AH712" s="113">
        <f t="shared" si="132"/>
        <v>-11.718974418604652</v>
      </c>
      <c r="AI712" s="116">
        <f>-IFERROR(IF($Y712=1,INDEX('[1]REMOVAL FEES'!$A$1:$C$22,MATCH(CONCATENATE("Standard Size",$P712),'[1]REMOVAL FEES'!$A$1:$A$22,0),3),IF($Y712=2,IF($P712&gt;10,(($P712-10)*1.06)+INDEX('[1]REMOVAL FEES'!$E$1:$G$22,MATCH(CONCATENATE("Large bulky, extra-large and special handling items",IF($P712&gt;=11,11,$P712)),'[1]REMOVAL FEES'!$E$1:$E$13,0),3),INDEX('[1]REMOVAL FEES'!$E$1:$G$22,MATCH(CONCATENATE("Large bulky, extra-large and special handling items",IF($P712&gt;=11,11,$P712)),'[1]REMOVAL FEES'!$E$1:$E$13,0),3))))*$AA712,FALSE)</f>
        <v>-3.95</v>
      </c>
      <c r="AJ712" s="107">
        <f t="shared" si="133"/>
        <v>-15.668974418604652</v>
      </c>
      <c r="AK712" s="107">
        <v>-9.4639534883720877</v>
      </c>
      <c r="AL712" s="107">
        <v>-0.9186576227390183</v>
      </c>
      <c r="AM712" s="107">
        <f t="shared" si="134"/>
        <v>-10.382611111111107</v>
      </c>
      <c r="AN712" s="116">
        <f>(-IF($V712="Yes", IF($X712="Yes", VLOOKUP($W712, '[1]Storage Fees'!A:M, 13, FALSE), VLOOKUP($W712, '[1]Storage Fees'!A:M, 10, FALSE)), IF($X712="Yes", VLOOKUP($W712, '[1]Storage Fees'!A:M, 7, FALSE), VLOOKUP($W712, '[1]Storage Fees'!A:M, 4, FALSE))) * U712)*1.5</f>
        <v>-0.17156250000000001</v>
      </c>
    </row>
    <row r="713" spans="1:40" x14ac:dyDescent="0.25">
      <c r="A713" s="99">
        <v>641</v>
      </c>
      <c r="B713" s="99" t="s">
        <v>107</v>
      </c>
      <c r="C713" s="99"/>
      <c r="D713" s="99"/>
      <c r="E713" s="99" t="s">
        <v>278</v>
      </c>
      <c r="F713" s="99" t="s">
        <v>450</v>
      </c>
      <c r="G713" s="99" t="s">
        <v>13656</v>
      </c>
      <c r="H713" s="99">
        <v>20</v>
      </c>
      <c r="I713" s="99">
        <v>3</v>
      </c>
      <c r="J713" s="99">
        <v>3</v>
      </c>
      <c r="K713" s="101" t="str">
        <f t="shared" ref="K713:K776" si="135">H713&amp;"x"&amp;I713&amp;"x"&amp;J713</f>
        <v>20x3x3</v>
      </c>
      <c r="L713" s="102">
        <f t="shared" ref="L713:L776" si="136">(H713*I713*J713)/139</f>
        <v>1.2949640287769784</v>
      </c>
      <c r="M713" s="113">
        <f t="shared" ref="M713:M776" si="137">(H713*I713*J713)/139</f>
        <v>1.2949640287769784</v>
      </c>
      <c r="N713" s="113">
        <f t="shared" ref="N713:N776" si="138">IF(AND(M713&gt;0,M713&lt;=0.25),0.25,IF(AND(M713&gt;0.25,M713&lt;=0.5),0.5,IF(AND(M713&gt;0.5,M713&lt;=0.75),0.75,ROUNDUP(M713,0))))</f>
        <v>2</v>
      </c>
      <c r="O713" s="99">
        <v>3</v>
      </c>
      <c r="P713" s="113">
        <f t="shared" ref="P713:P776" si="139">ROUNDUP(MAX(L713,O713),0)</f>
        <v>3</v>
      </c>
      <c r="Q713" s="112">
        <f t="shared" ref="Q713:Q776" si="140">P713*16</f>
        <v>48</v>
      </c>
      <c r="R713" s="112" t="str">
        <f t="shared" ref="R713:R776" si="141">IF(RIGHT(S713,13)="standard-size","Standard-size","Oversize")</f>
        <v>Oversize</v>
      </c>
      <c r="S713" s="99" t="str">
        <f t="shared" ref="S713:S776" si="142">IF(AND($P713&lt;=$J$50,$H713&lt;=$G$50,$I713&lt;=$H$50,$J713&lt;=$I$50),$A$50,IF(AND($P713&lt;=$J$51,$H713&lt;=$G$51,$I713&lt;=$H$51,$J713&lt;=$I$51),$A$51,IF(AND($H713&lt;=$G$52,$I713&lt;=$H$52,$J713&lt;=$I$52,$P713&lt;=$J$52),$A$52,IF(AND($P713&lt;=$J$53,OR(H$8&gt;$G$53,$I713&gt;$H$53,$J713&gt;$I$53)),$A$53,IF(AND($P713&gt;$J$53,$P713&lt;=$J$54),$A$54,IF(AND($P713&gt;$J$54,$P713&lt;=$J$55),$A$55,$A$56))))))</f>
        <v>Large bulky</v>
      </c>
      <c r="T713" s="116" t="s">
        <v>13692</v>
      </c>
      <c r="U713" s="116">
        <f t="shared" ref="U713:U776" si="143">(H713*I713*J713)/1728</f>
        <v>0.10416666666666667</v>
      </c>
      <c r="V713" s="116" t="s">
        <v>13583</v>
      </c>
      <c r="W713" s="116" t="s">
        <v>13690</v>
      </c>
      <c r="X713" s="116" t="s">
        <v>13691</v>
      </c>
      <c r="Y713" s="116">
        <v>2</v>
      </c>
      <c r="Z713" s="116">
        <v>3</v>
      </c>
      <c r="AA713" s="116">
        <v>1</v>
      </c>
      <c r="AB713" s="99"/>
      <c r="AC713" s="99"/>
      <c r="AD713" s="107">
        <v>37.243846153846121</v>
      </c>
      <c r="AE713" s="113">
        <f t="shared" ref="AE713:AE776" si="144">-AD713*0.15</f>
        <v>-5.586576923076918</v>
      </c>
      <c r="AF713" s="116">
        <f>-IFERROR(IFERROR(VLOOKUP(ROUNDUP($Q713,0),'FBA FEES'!$L$2:$Q$203,MATCH($S713,'FBA FEES'!$L$2:$Q$2,0),FALSE),VLOOKUP(ROUNDUP($Q713,0),'FBA FEES'!$C$6:$F$123,MATCH($S713,'FBA FEES'!$C$6:$F$6,0),FALSE)),0)</f>
        <v>-10.37</v>
      </c>
      <c r="AG713" s="116">
        <v>-10</v>
      </c>
      <c r="AH713" s="113">
        <f t="shared" ref="AH713:AH776" si="145">AE713+AF713</f>
        <v>-15.956576923076916</v>
      </c>
      <c r="AI713" s="116">
        <f>-IFERROR(IF($Y713=1,INDEX('[1]REMOVAL FEES'!$A$1:$C$22,MATCH(CONCATENATE("Standard Size",$P713),'[1]REMOVAL FEES'!$A$1:$A$22,0),3),IF($Y713=2,IF($P713&gt;10,(($P713-10)*1.06)+INDEX('[1]REMOVAL FEES'!$E$1:$G$22,MATCH(CONCATENATE("Large bulky, extra-large and special handling items",IF($P713&gt;=11,11,$P713)),'[1]REMOVAL FEES'!$E$1:$E$13,0),3),INDEX('[1]REMOVAL FEES'!$E$1:$G$22,MATCH(CONCATENATE("Large bulky, extra-large and special handling items",IF($P713&gt;=11,11,$P713)),'[1]REMOVAL FEES'!$E$1:$E$13,0),3))))*$AA713,FALSE)</f>
        <v>-6.36</v>
      </c>
      <c r="AJ713" s="107">
        <f t="shared" ref="AJ713:AJ776" si="146">AH713+AI713</f>
        <v>-22.316576923076916</v>
      </c>
      <c r="AK713" s="107">
        <v>-10.394461538461551</v>
      </c>
      <c r="AL713" s="107">
        <v>-2.8025699849170431</v>
      </c>
      <c r="AM713" s="107">
        <f t="shared" ref="AM713:AM776" si="147">AK713+AL713</f>
        <v>-13.197031523378595</v>
      </c>
      <c r="AN713" s="116">
        <f>(-IF($V713="Yes", IF($X713="Yes", VLOOKUP($W713, '[1]Storage Fees'!A:M, 13, FALSE), VLOOKUP($W713, '[1]Storage Fees'!A:M, 10, FALSE)), IF($X713="Yes", VLOOKUP($W713, '[1]Storage Fees'!A:M, 7, FALSE), VLOOKUP($W713, '[1]Storage Fees'!A:M, 4, FALSE))) * U713)*1.5</f>
        <v>-0.12343750000000002</v>
      </c>
    </row>
    <row r="714" spans="1:40" x14ac:dyDescent="0.25">
      <c r="A714" s="99">
        <v>642</v>
      </c>
      <c r="B714" s="99" t="s">
        <v>107</v>
      </c>
      <c r="C714" s="99"/>
      <c r="D714" s="99"/>
      <c r="E714" s="99" t="s">
        <v>278</v>
      </c>
      <c r="F714" s="99" t="s">
        <v>452</v>
      </c>
      <c r="G714" s="99" t="s">
        <v>13656</v>
      </c>
      <c r="H714" s="99">
        <v>23</v>
      </c>
      <c r="I714" s="99">
        <v>3</v>
      </c>
      <c r="J714" s="99">
        <v>3</v>
      </c>
      <c r="K714" s="101" t="str">
        <f t="shared" si="135"/>
        <v>23x3x3</v>
      </c>
      <c r="L714" s="102">
        <f t="shared" si="136"/>
        <v>1.4892086330935252</v>
      </c>
      <c r="M714" s="113">
        <f t="shared" si="137"/>
        <v>1.4892086330935252</v>
      </c>
      <c r="N714" s="113">
        <f t="shared" si="138"/>
        <v>2</v>
      </c>
      <c r="O714" s="99">
        <v>3</v>
      </c>
      <c r="P714" s="113">
        <f t="shared" si="139"/>
        <v>3</v>
      </c>
      <c r="Q714" s="112">
        <f t="shared" si="140"/>
        <v>48</v>
      </c>
      <c r="R714" s="112" t="str">
        <f t="shared" si="141"/>
        <v>Oversize</v>
      </c>
      <c r="S714" s="99" t="str">
        <f t="shared" si="142"/>
        <v>Large bulky</v>
      </c>
      <c r="T714" s="116" t="s">
        <v>13692</v>
      </c>
      <c r="U714" s="116">
        <f t="shared" si="143"/>
        <v>0.11979166666666667</v>
      </c>
      <c r="V714" s="116" t="s">
        <v>13583</v>
      </c>
      <c r="W714" s="116" t="s">
        <v>13690</v>
      </c>
      <c r="X714" s="116" t="s">
        <v>13691</v>
      </c>
      <c r="Y714" s="116">
        <v>2</v>
      </c>
      <c r="Z714" s="116">
        <v>3</v>
      </c>
      <c r="AA714" s="116">
        <v>1</v>
      </c>
      <c r="AB714" s="99"/>
      <c r="AC714" s="99"/>
      <c r="AD714" s="107">
        <v>42.367457627118611</v>
      </c>
      <c r="AE714" s="113">
        <f t="shared" si="144"/>
        <v>-6.3551186440677911</v>
      </c>
      <c r="AF714" s="116">
        <f>-IFERROR(IFERROR(VLOOKUP(ROUNDUP($Q714,0),'FBA FEES'!$L$2:$Q$203,MATCH($S714,'FBA FEES'!$L$2:$Q$2,0),FALSE),VLOOKUP(ROUNDUP($Q714,0),'FBA FEES'!$C$6:$F$123,MATCH($S714,'FBA FEES'!$C$6:$F$6,0),FALSE)),0)</f>
        <v>-10.37</v>
      </c>
      <c r="AG714" s="116">
        <v>-10</v>
      </c>
      <c r="AH714" s="113">
        <f t="shared" si="145"/>
        <v>-16.725118644067791</v>
      </c>
      <c r="AI714" s="116">
        <f>-IFERROR(IF($Y714=1,INDEX('[1]REMOVAL FEES'!$A$1:$C$22,MATCH(CONCATENATE("Standard Size",$P714),'[1]REMOVAL FEES'!$A$1:$A$22,0),3),IF($Y714=2,IF($P714&gt;10,(($P714-10)*1.06)+INDEX('[1]REMOVAL FEES'!$E$1:$G$22,MATCH(CONCATENATE("Large bulky, extra-large and special handling items",IF($P714&gt;=11,11,$P714)),'[1]REMOVAL FEES'!$E$1:$E$13,0),3),INDEX('[1]REMOVAL FEES'!$E$1:$G$22,MATCH(CONCATENATE("Large bulky, extra-large and special handling items",IF($P714&gt;=11,11,$P714)),'[1]REMOVAL FEES'!$E$1:$E$13,0),3))))*$AA714,FALSE)</f>
        <v>-6.36</v>
      </c>
      <c r="AJ714" s="107">
        <f t="shared" si="146"/>
        <v>-23.085118644067791</v>
      </c>
      <c r="AK714" s="107">
        <v>-10.807118644067801</v>
      </c>
      <c r="AL714" s="107">
        <v>-2.9365783898305091</v>
      </c>
      <c r="AM714" s="107">
        <f t="shared" si="147"/>
        <v>-13.743697033898311</v>
      </c>
      <c r="AN714" s="116">
        <f>(-IF($V714="Yes", IF($X714="Yes", VLOOKUP($W714, '[1]Storage Fees'!A:M, 13, FALSE), VLOOKUP($W714, '[1]Storage Fees'!A:M, 10, FALSE)), IF($X714="Yes", VLOOKUP($W714, '[1]Storage Fees'!A:M, 7, FALSE), VLOOKUP($W714, '[1]Storage Fees'!A:M, 4, FALSE))) * U714)*1.5</f>
        <v>-0.14195312500000001</v>
      </c>
    </row>
    <row r="715" spans="1:40" x14ac:dyDescent="0.25">
      <c r="A715" s="99">
        <v>643</v>
      </c>
      <c r="B715" s="99" t="s">
        <v>107</v>
      </c>
      <c r="C715" s="99"/>
      <c r="D715" s="99"/>
      <c r="E715" s="99" t="s">
        <v>278</v>
      </c>
      <c r="F715" s="99" t="s">
        <v>454</v>
      </c>
      <c r="G715" s="99" t="s">
        <v>13656</v>
      </c>
      <c r="H715" s="99">
        <v>26</v>
      </c>
      <c r="I715" s="99">
        <v>3</v>
      </c>
      <c r="J715" s="99">
        <v>3</v>
      </c>
      <c r="K715" s="101" t="str">
        <f t="shared" si="135"/>
        <v>26x3x3</v>
      </c>
      <c r="L715" s="102">
        <f t="shared" si="136"/>
        <v>1.6834532374100719</v>
      </c>
      <c r="M715" s="113">
        <f t="shared" si="137"/>
        <v>1.6834532374100719</v>
      </c>
      <c r="N715" s="113">
        <f t="shared" si="138"/>
        <v>2</v>
      </c>
      <c r="O715" s="99">
        <v>4</v>
      </c>
      <c r="P715" s="113">
        <f t="shared" si="139"/>
        <v>4</v>
      </c>
      <c r="Q715" s="112">
        <f t="shared" si="140"/>
        <v>64</v>
      </c>
      <c r="R715" s="112" t="str">
        <f t="shared" si="141"/>
        <v>Oversize</v>
      </c>
      <c r="S715" s="99" t="str">
        <f t="shared" si="142"/>
        <v>Large bulky</v>
      </c>
      <c r="T715" s="116" t="s">
        <v>13692</v>
      </c>
      <c r="U715" s="116">
        <f t="shared" si="143"/>
        <v>0.13541666666666666</v>
      </c>
      <c r="V715" s="116" t="s">
        <v>13583</v>
      </c>
      <c r="W715" s="116" t="s">
        <v>13690</v>
      </c>
      <c r="X715" s="116" t="s">
        <v>13691</v>
      </c>
      <c r="Y715" s="116">
        <v>2</v>
      </c>
      <c r="Z715" s="116">
        <v>3</v>
      </c>
      <c r="AA715" s="116">
        <v>1</v>
      </c>
      <c r="AB715" s="99"/>
      <c r="AC715" s="99"/>
      <c r="AD715" s="107">
        <v>45.127558139534777</v>
      </c>
      <c r="AE715" s="113">
        <f t="shared" si="144"/>
        <v>-6.769133720930216</v>
      </c>
      <c r="AF715" s="116">
        <f>-IFERROR(IFERROR(VLOOKUP(ROUNDUP($Q715,0),'FBA FEES'!$L$2:$Q$203,MATCH($S715,'FBA FEES'!$L$2:$Q$2,0),FALSE),VLOOKUP(ROUNDUP($Q715,0),'FBA FEES'!$C$6:$F$123,MATCH($S715,'FBA FEES'!$C$6:$F$6,0),FALSE)),0)</f>
        <v>-10.75</v>
      </c>
      <c r="AG715" s="116">
        <v>-10</v>
      </c>
      <c r="AH715" s="113">
        <f t="shared" si="145"/>
        <v>-17.519133720930217</v>
      </c>
      <c r="AI715" s="116">
        <f>-IFERROR(IF($Y715=1,INDEX('[1]REMOVAL FEES'!$A$1:$C$22,MATCH(CONCATENATE("Standard Size",$P715),'[1]REMOVAL FEES'!$A$1:$A$22,0),3),IF($Y715=2,IF($P715&gt;10,(($P715-10)*1.06)+INDEX('[1]REMOVAL FEES'!$E$1:$G$22,MATCH(CONCATENATE("Large bulky, extra-large and special handling items",IF($P715&gt;=11,11,$P715)),'[1]REMOVAL FEES'!$E$1:$E$13,0),3),INDEX('[1]REMOVAL FEES'!$E$1:$G$22,MATCH(CONCATENATE("Large bulky, extra-large and special handling items",IF($P715&gt;=11,11,$P715)),'[1]REMOVAL FEES'!$E$1:$E$13,0),3))))*$AA715,FALSE)</f>
        <v>-6.36</v>
      </c>
      <c r="AJ715" s="107">
        <f t="shared" si="146"/>
        <v>-23.879133720930216</v>
      </c>
      <c r="AK715" s="107">
        <v>-11.96662790697675</v>
      </c>
      <c r="AL715" s="107">
        <v>-5.9576009043927636</v>
      </c>
      <c r="AM715" s="107">
        <f t="shared" si="147"/>
        <v>-17.924228811369513</v>
      </c>
      <c r="AN715" s="116">
        <f>(-IF($V715="Yes", IF($X715="Yes", VLOOKUP($W715, '[1]Storage Fees'!A:M, 13, FALSE), VLOOKUP($W715, '[1]Storage Fees'!A:M, 10, FALSE)), IF($X715="Yes", VLOOKUP($W715, '[1]Storage Fees'!A:M, 7, FALSE), VLOOKUP($W715, '[1]Storage Fees'!A:M, 4, FALSE))) * U715)*1.5</f>
        <v>-0.16046874999999999</v>
      </c>
    </row>
    <row r="716" spans="1:40" x14ac:dyDescent="0.25">
      <c r="A716" s="99">
        <v>644</v>
      </c>
      <c r="B716" s="99" t="s">
        <v>107</v>
      </c>
      <c r="C716" s="99"/>
      <c r="D716" s="99"/>
      <c r="E716" s="99" t="s">
        <v>278</v>
      </c>
      <c r="F716" s="99" t="s">
        <v>456</v>
      </c>
      <c r="G716" s="99" t="s">
        <v>13656</v>
      </c>
      <c r="H716" s="99">
        <v>32</v>
      </c>
      <c r="I716" s="99">
        <v>3</v>
      </c>
      <c r="J716" s="99">
        <v>3</v>
      </c>
      <c r="K716" s="101" t="str">
        <f t="shared" si="135"/>
        <v>32x3x3</v>
      </c>
      <c r="L716" s="102">
        <f t="shared" si="136"/>
        <v>2.0719424460431655</v>
      </c>
      <c r="M716" s="113">
        <f t="shared" si="137"/>
        <v>2.0719424460431655</v>
      </c>
      <c r="N716" s="113">
        <f t="shared" si="138"/>
        <v>3</v>
      </c>
      <c r="O716" s="99">
        <v>4</v>
      </c>
      <c r="P716" s="113">
        <f t="shared" si="139"/>
        <v>4</v>
      </c>
      <c r="Q716" s="112">
        <f t="shared" si="140"/>
        <v>64</v>
      </c>
      <c r="R716" s="112" t="str">
        <f t="shared" si="141"/>
        <v>Oversize</v>
      </c>
      <c r="S716" s="99" t="str">
        <f t="shared" si="142"/>
        <v>Large bulky</v>
      </c>
      <c r="T716" s="116" t="s">
        <v>13692</v>
      </c>
      <c r="U716" s="116">
        <f t="shared" si="143"/>
        <v>0.16666666666666666</v>
      </c>
      <c r="V716" s="116" t="s">
        <v>13583</v>
      </c>
      <c r="W716" s="116" t="s">
        <v>13690</v>
      </c>
      <c r="X716" s="116" t="s">
        <v>13691</v>
      </c>
      <c r="Y716" s="116">
        <v>2</v>
      </c>
      <c r="Z716" s="116">
        <v>3</v>
      </c>
      <c r="AA716" s="116">
        <v>1</v>
      </c>
      <c r="AB716" s="99"/>
      <c r="AC716" s="99"/>
      <c r="AD716" s="107">
        <v>47.138437500000002</v>
      </c>
      <c r="AE716" s="113">
        <f t="shared" si="144"/>
        <v>-7.0707656249999999</v>
      </c>
      <c r="AF716" s="116">
        <f>-IFERROR(IFERROR(VLOOKUP(ROUNDUP($Q716,0),'FBA FEES'!$L$2:$Q$203,MATCH($S716,'FBA FEES'!$L$2:$Q$2,0),FALSE),VLOOKUP(ROUNDUP($Q716,0),'FBA FEES'!$C$6:$F$123,MATCH($S716,'FBA FEES'!$C$6:$F$6,0),FALSE)),0)</f>
        <v>-10.75</v>
      </c>
      <c r="AG716" s="116">
        <v>-10</v>
      </c>
      <c r="AH716" s="113">
        <f t="shared" si="145"/>
        <v>-17.820765625</v>
      </c>
      <c r="AI716" s="116">
        <f>-IFERROR(IF($Y716=1,INDEX('[1]REMOVAL FEES'!$A$1:$C$22,MATCH(CONCATENATE("Standard Size",$P716),'[1]REMOVAL FEES'!$A$1:$A$22,0),3),IF($Y716=2,IF($P716&gt;10,(($P716-10)*1.06)+INDEX('[1]REMOVAL FEES'!$E$1:$G$22,MATCH(CONCATENATE("Large bulky, extra-large and special handling items",IF($P716&gt;=11,11,$P716)),'[1]REMOVAL FEES'!$E$1:$E$13,0),3),INDEX('[1]REMOVAL FEES'!$E$1:$G$22,MATCH(CONCATENATE("Large bulky, extra-large and special handling items",IF($P716&gt;=11,11,$P716)),'[1]REMOVAL FEES'!$E$1:$E$13,0),3))))*$AA716,FALSE)</f>
        <v>-6.36</v>
      </c>
      <c r="AJ716" s="107">
        <f t="shared" si="146"/>
        <v>-24.180765624999999</v>
      </c>
      <c r="AK716" s="107">
        <v>-12.85000000000001</v>
      </c>
      <c r="AL716" s="107">
        <v>-5.9272229166666666</v>
      </c>
      <c r="AM716" s="107">
        <f t="shared" si="147"/>
        <v>-18.777222916666677</v>
      </c>
      <c r="AN716" s="116">
        <f>(-IF($V716="Yes", IF($X716="Yes", VLOOKUP($W716, '[1]Storage Fees'!A:M, 13, FALSE), VLOOKUP($W716, '[1]Storage Fees'!A:M, 10, FALSE)), IF($X716="Yes", VLOOKUP($W716, '[1]Storage Fees'!A:M, 7, FALSE), VLOOKUP($W716, '[1]Storage Fees'!A:M, 4, FALSE))) * U716)*1.5</f>
        <v>-0.19749999999999998</v>
      </c>
    </row>
    <row r="717" spans="1:40" x14ac:dyDescent="0.25">
      <c r="A717" s="99">
        <v>645</v>
      </c>
      <c r="B717" s="99" t="s">
        <v>107</v>
      </c>
      <c r="C717" s="99"/>
      <c r="D717" s="99"/>
      <c r="E717" s="99" t="s">
        <v>278</v>
      </c>
      <c r="F717" s="99" t="s">
        <v>458</v>
      </c>
      <c r="G717" s="99" t="s">
        <v>13656</v>
      </c>
      <c r="H717" s="99">
        <v>8</v>
      </c>
      <c r="I717" s="99">
        <v>6</v>
      </c>
      <c r="J717" s="99">
        <v>1</v>
      </c>
      <c r="K717" s="101" t="str">
        <f t="shared" si="135"/>
        <v>8x6x1</v>
      </c>
      <c r="L717" s="102">
        <f t="shared" si="136"/>
        <v>0.34532374100719426</v>
      </c>
      <c r="M717" s="113">
        <f t="shared" si="137"/>
        <v>0.34532374100719426</v>
      </c>
      <c r="N717" s="113">
        <f t="shared" si="138"/>
        <v>0.5</v>
      </c>
      <c r="O717" s="99">
        <v>0.5625</v>
      </c>
      <c r="P717" s="113">
        <f t="shared" si="139"/>
        <v>1</v>
      </c>
      <c r="Q717" s="112">
        <f t="shared" si="140"/>
        <v>16</v>
      </c>
      <c r="R717" s="112" t="str">
        <f t="shared" si="141"/>
        <v>Standard-size</v>
      </c>
      <c r="S717" s="99" t="str">
        <f t="shared" si="142"/>
        <v>Large standard-size</v>
      </c>
      <c r="T717" s="116" t="s">
        <v>13698</v>
      </c>
      <c r="U717" s="116">
        <f t="shared" si="143"/>
        <v>2.7777777777777776E-2</v>
      </c>
      <c r="V717" s="116" t="s">
        <v>13583</v>
      </c>
      <c r="W717" s="116" t="s">
        <v>13690</v>
      </c>
      <c r="X717" s="99" t="s">
        <v>13583</v>
      </c>
      <c r="Y717" s="99">
        <v>1</v>
      </c>
      <c r="Z717" s="99">
        <v>2</v>
      </c>
      <c r="AA717" s="99">
        <v>1</v>
      </c>
      <c r="AB717" s="99"/>
      <c r="AC717" s="99"/>
      <c r="AD717" s="107">
        <v>9.993541666666669</v>
      </c>
      <c r="AE717" s="113">
        <f t="shared" si="144"/>
        <v>-1.4990312500000003</v>
      </c>
      <c r="AF717" s="116">
        <f>-IFERROR(IFERROR(VLOOKUP(ROUNDUP($Q717,0),'FBA FEES'!$L$2:$Q$203,MATCH($S717,'FBA FEES'!$L$2:$Q$2,0),FALSE),VLOOKUP(ROUNDUP($Q717,0),'FBA FEES'!$C$6:$F$123,MATCH($S717,'FBA FEES'!$C$6:$F$6,0),FALSE)),0)</f>
        <v>-4.55</v>
      </c>
      <c r="AG717" s="116">
        <v>-10</v>
      </c>
      <c r="AH717" s="113">
        <f t="shared" si="145"/>
        <v>-6.0490312500000005</v>
      </c>
      <c r="AI717" s="116">
        <f>-IFERROR(IF($Y717=1,INDEX('[1]REMOVAL FEES'!$A$1:$C$22,MATCH(CONCATENATE("Standard Size",$P717),'[1]REMOVAL FEES'!$A$1:$A$22,0),3),IF($Y717=2,IF($P717&gt;10,(($P717-10)*1.06)+INDEX('[1]REMOVAL FEES'!$E$1:$G$22,MATCH(CONCATENATE("Large bulky, extra-large and special handling items",IF($P717&gt;=11,11,$P717)),'[1]REMOVAL FEES'!$E$1:$E$13,0),3),INDEX('[1]REMOVAL FEES'!$E$1:$G$22,MATCH(CONCATENATE("Large bulky, extra-large and special handling items",IF($P717&gt;=11,11,$P717)),'[1]REMOVAL FEES'!$E$1:$E$13,0),3))))*$AA717,FALSE)</f>
        <v>-1.53</v>
      </c>
      <c r="AJ717" s="107">
        <f t="shared" si="146"/>
        <v>-7.5790312500000008</v>
      </c>
      <c r="AK717" s="107">
        <v>-1.765416666666666</v>
      </c>
      <c r="AL717" s="107">
        <v>-0.48559240433379419</v>
      </c>
      <c r="AM717" s="107">
        <f t="shared" si="147"/>
        <v>-2.25100907100046</v>
      </c>
      <c r="AN717" s="116">
        <f>(-IF($V717="Yes", IF($X717="Yes", VLOOKUP($W717, '[1]Storage Fees'!A:M, 13, FALSE), VLOOKUP($W717, '[1]Storage Fees'!A:M, 10, FALSE)), IF($X717="Yes", VLOOKUP($W717, '[1]Storage Fees'!A:M, 7, FALSE), VLOOKUP($W717, '[1]Storage Fees'!A:M, 4, FALSE))) * U717)*1.5</f>
        <v>-5.0833333333333328E-2</v>
      </c>
    </row>
    <row r="718" spans="1:40" x14ac:dyDescent="0.25">
      <c r="A718" s="99">
        <v>646</v>
      </c>
      <c r="B718" s="99" t="s">
        <v>107</v>
      </c>
      <c r="C718" s="99"/>
      <c r="D718" s="99"/>
      <c r="E718" s="99" t="s">
        <v>278</v>
      </c>
      <c r="F718" s="99" t="s">
        <v>460</v>
      </c>
      <c r="G718" s="99" t="s">
        <v>13656</v>
      </c>
      <c r="H718" s="99">
        <v>8</v>
      </c>
      <c r="I718" s="99">
        <v>6</v>
      </c>
      <c r="J718" s="99">
        <v>1</v>
      </c>
      <c r="K718" s="101" t="str">
        <f t="shared" si="135"/>
        <v>8x6x1</v>
      </c>
      <c r="L718" s="102">
        <f t="shared" si="136"/>
        <v>0.34532374100719426</v>
      </c>
      <c r="M718" s="113">
        <f t="shared" si="137"/>
        <v>0.34532374100719426</v>
      </c>
      <c r="N718" s="113">
        <f t="shared" si="138"/>
        <v>0.5</v>
      </c>
      <c r="O718" s="99">
        <v>0.5</v>
      </c>
      <c r="P718" s="113">
        <f t="shared" si="139"/>
        <v>1</v>
      </c>
      <c r="Q718" s="112">
        <f t="shared" si="140"/>
        <v>16</v>
      </c>
      <c r="R718" s="112" t="str">
        <f t="shared" si="141"/>
        <v>Standard-size</v>
      </c>
      <c r="S718" s="99" t="str">
        <f t="shared" si="142"/>
        <v>Large standard-size</v>
      </c>
      <c r="T718" s="116" t="s">
        <v>13698</v>
      </c>
      <c r="U718" s="116">
        <f t="shared" si="143"/>
        <v>2.7777777777777776E-2</v>
      </c>
      <c r="V718" s="116" t="s">
        <v>13583</v>
      </c>
      <c r="W718" s="116" t="s">
        <v>13690</v>
      </c>
      <c r="X718" s="99" t="s">
        <v>13583</v>
      </c>
      <c r="Y718" s="99">
        <v>1</v>
      </c>
      <c r="Z718" s="99">
        <v>2</v>
      </c>
      <c r="AA718" s="99">
        <v>1</v>
      </c>
      <c r="AB718" s="99"/>
      <c r="AC718" s="99"/>
      <c r="AD718" s="107">
        <v>5.0216707364711253</v>
      </c>
      <c r="AE718" s="113">
        <f t="shared" si="144"/>
        <v>-0.75325061047066877</v>
      </c>
      <c r="AF718" s="116">
        <f>-IFERROR(IFERROR(VLOOKUP(ROUNDUP($Q718,0),'FBA FEES'!$L$2:$Q$203,MATCH($S718,'FBA FEES'!$L$2:$Q$2,0),FALSE),VLOOKUP(ROUNDUP($Q718,0),'FBA FEES'!$C$6:$F$123,MATCH($S718,'FBA FEES'!$C$6:$F$6,0),FALSE)),0)</f>
        <v>-4.55</v>
      </c>
      <c r="AG718" s="116">
        <v>-10</v>
      </c>
      <c r="AH718" s="113">
        <f t="shared" si="145"/>
        <v>-5.3032506104706689</v>
      </c>
      <c r="AI718" s="116">
        <f>-IFERROR(IF($Y718=1,INDEX('[1]REMOVAL FEES'!$A$1:$C$22,MATCH(CONCATENATE("Standard Size",$P718),'[1]REMOVAL FEES'!$A$1:$A$22,0),3),IF($Y718=2,IF($P718&gt;10,(($P718-10)*1.06)+INDEX('[1]REMOVAL FEES'!$E$1:$G$22,MATCH(CONCATENATE("Large bulky, extra-large and special handling items",IF($P718&gt;=11,11,$P718)),'[1]REMOVAL FEES'!$E$1:$E$13,0),3),INDEX('[1]REMOVAL FEES'!$E$1:$G$22,MATCH(CONCATENATE("Large bulky, extra-large and special handling items",IF($P718&gt;=11,11,$P718)),'[1]REMOVAL FEES'!$E$1:$E$13,0),3))))*$AA718,FALSE)</f>
        <v>-1.53</v>
      </c>
      <c r="AJ718" s="107">
        <f t="shared" si="146"/>
        <v>-6.8332506104706692</v>
      </c>
      <c r="AK718" s="107">
        <v>-1.2975000000000001</v>
      </c>
      <c r="AL718" s="107">
        <v>-0.1228702126584702</v>
      </c>
      <c r="AM718" s="107">
        <f t="shared" si="147"/>
        <v>-1.4203702126584703</v>
      </c>
      <c r="AN718" s="116">
        <f>(-IF($V718="Yes", IF($X718="Yes", VLOOKUP($W718, '[1]Storage Fees'!A:M, 13, FALSE), VLOOKUP($W718, '[1]Storage Fees'!A:M, 10, FALSE)), IF($X718="Yes", VLOOKUP($W718, '[1]Storage Fees'!A:M, 7, FALSE), VLOOKUP($W718, '[1]Storage Fees'!A:M, 4, FALSE))) * U718)*1.5</f>
        <v>-5.0833333333333328E-2</v>
      </c>
    </row>
    <row r="719" spans="1:40" x14ac:dyDescent="0.25">
      <c r="A719" s="99">
        <v>647</v>
      </c>
      <c r="B719" s="99" t="s">
        <v>107</v>
      </c>
      <c r="C719" s="99"/>
      <c r="D719" s="99"/>
      <c r="E719" s="99" t="s">
        <v>278</v>
      </c>
      <c r="F719" s="99" t="s">
        <v>462</v>
      </c>
      <c r="G719" s="99" t="s">
        <v>13656</v>
      </c>
      <c r="H719" s="99">
        <v>11</v>
      </c>
      <c r="I719" s="99">
        <v>6</v>
      </c>
      <c r="J719" s="99">
        <v>1</v>
      </c>
      <c r="K719" s="101" t="str">
        <f t="shared" si="135"/>
        <v>11x6x1</v>
      </c>
      <c r="L719" s="102">
        <f t="shared" si="136"/>
        <v>0.47482014388489208</v>
      </c>
      <c r="M719" s="113">
        <f t="shared" si="137"/>
        <v>0.47482014388489208</v>
      </c>
      <c r="N719" s="113">
        <f t="shared" si="138"/>
        <v>0.5</v>
      </c>
      <c r="O719" s="99">
        <v>0.9375</v>
      </c>
      <c r="P719" s="113">
        <f t="shared" si="139"/>
        <v>1</v>
      </c>
      <c r="Q719" s="112">
        <f t="shared" si="140"/>
        <v>16</v>
      </c>
      <c r="R719" s="112" t="str">
        <f t="shared" si="141"/>
        <v>Standard-size</v>
      </c>
      <c r="S719" s="99" t="str">
        <f t="shared" si="142"/>
        <v>Large standard-size</v>
      </c>
      <c r="T719" s="116" t="s">
        <v>13698</v>
      </c>
      <c r="U719" s="116">
        <f t="shared" si="143"/>
        <v>3.8194444444444448E-2</v>
      </c>
      <c r="V719" s="116" t="s">
        <v>13583</v>
      </c>
      <c r="W719" s="116" t="s">
        <v>13690</v>
      </c>
      <c r="X719" s="99" t="s">
        <v>13583</v>
      </c>
      <c r="Y719" s="99">
        <v>1</v>
      </c>
      <c r="Z719" s="99">
        <v>2</v>
      </c>
      <c r="AA719" s="99">
        <v>1</v>
      </c>
      <c r="AB719" s="99"/>
      <c r="AC719" s="99"/>
      <c r="AD719" s="107">
        <v>5.6168074063557709</v>
      </c>
      <c r="AE719" s="113">
        <f t="shared" si="144"/>
        <v>-0.84252111095336557</v>
      </c>
      <c r="AF719" s="116">
        <f>-IFERROR(IFERROR(VLOOKUP(ROUNDUP($Q719,0),'FBA FEES'!$L$2:$Q$203,MATCH($S719,'FBA FEES'!$L$2:$Q$2,0),FALSE),VLOOKUP(ROUNDUP($Q719,0),'FBA FEES'!$C$6:$F$123,MATCH($S719,'FBA FEES'!$C$6:$F$6,0),FALSE)),0)</f>
        <v>-4.55</v>
      </c>
      <c r="AG719" s="116">
        <v>-10</v>
      </c>
      <c r="AH719" s="113">
        <f t="shared" si="145"/>
        <v>-5.3925211109533651</v>
      </c>
      <c r="AI719" s="116">
        <f>-IFERROR(IF($Y719=1,INDEX('[1]REMOVAL FEES'!$A$1:$C$22,MATCH(CONCATENATE("Standard Size",$P719),'[1]REMOVAL FEES'!$A$1:$A$22,0),3),IF($Y719=2,IF($P719&gt;10,(($P719-10)*1.06)+INDEX('[1]REMOVAL FEES'!$E$1:$G$22,MATCH(CONCATENATE("Large bulky, extra-large and special handling items",IF($P719&gt;=11,11,$P719)),'[1]REMOVAL FEES'!$E$1:$E$13,0),3),INDEX('[1]REMOVAL FEES'!$E$1:$G$22,MATCH(CONCATENATE("Large bulky, extra-large and special handling items",IF($P719&gt;=11,11,$P719)),'[1]REMOVAL FEES'!$E$1:$E$13,0),3))))*$AA719,FALSE)</f>
        <v>-1.53</v>
      </c>
      <c r="AJ719" s="107">
        <f t="shared" si="146"/>
        <v>-6.9225211109533653</v>
      </c>
      <c r="AK719" s="107">
        <v>-1.6181818181818179</v>
      </c>
      <c r="AL719" s="107">
        <v>-0.19897753686367131</v>
      </c>
      <c r="AM719" s="107">
        <f t="shared" si="147"/>
        <v>-1.8171593550454892</v>
      </c>
      <c r="AN719" s="116">
        <f>(-IF($V719="Yes", IF($X719="Yes", VLOOKUP($W719, '[1]Storage Fees'!A:M, 13, FALSE), VLOOKUP($W719, '[1]Storage Fees'!A:M, 10, FALSE)), IF($X719="Yes", VLOOKUP($W719, '[1]Storage Fees'!A:M, 7, FALSE), VLOOKUP($W719, '[1]Storage Fees'!A:M, 4, FALSE))) * U719)*1.5</f>
        <v>-6.9895833333333338E-2</v>
      </c>
    </row>
    <row r="720" spans="1:40" x14ac:dyDescent="0.25">
      <c r="A720" s="99">
        <v>648</v>
      </c>
      <c r="B720" s="99" t="s">
        <v>107</v>
      </c>
      <c r="C720" s="99"/>
      <c r="D720" s="99"/>
      <c r="E720" s="99" t="s">
        <v>278</v>
      </c>
      <c r="F720" s="99" t="s">
        <v>464</v>
      </c>
      <c r="G720" s="99" t="s">
        <v>13656</v>
      </c>
      <c r="H720" s="99">
        <v>11</v>
      </c>
      <c r="I720" s="99">
        <v>7</v>
      </c>
      <c r="J720" s="99">
        <v>1</v>
      </c>
      <c r="K720" s="101" t="str">
        <f t="shared" si="135"/>
        <v>11x7x1</v>
      </c>
      <c r="L720" s="102">
        <f t="shared" si="136"/>
        <v>0.5539568345323741</v>
      </c>
      <c r="M720" s="113">
        <f t="shared" si="137"/>
        <v>0.5539568345323741</v>
      </c>
      <c r="N720" s="113">
        <f t="shared" si="138"/>
        <v>0.75</v>
      </c>
      <c r="O720" s="99">
        <v>0.9375</v>
      </c>
      <c r="P720" s="113">
        <f t="shared" si="139"/>
        <v>1</v>
      </c>
      <c r="Q720" s="112">
        <f t="shared" si="140"/>
        <v>16</v>
      </c>
      <c r="R720" s="112" t="str">
        <f t="shared" si="141"/>
        <v>Standard-size</v>
      </c>
      <c r="S720" s="99" t="str">
        <f t="shared" si="142"/>
        <v>Large standard-size</v>
      </c>
      <c r="T720" s="116" t="s">
        <v>13698</v>
      </c>
      <c r="U720" s="116">
        <f t="shared" si="143"/>
        <v>4.4560185185185182E-2</v>
      </c>
      <c r="V720" s="116" t="s">
        <v>13583</v>
      </c>
      <c r="W720" s="116" t="s">
        <v>13690</v>
      </c>
      <c r="X720" s="99" t="s">
        <v>13583</v>
      </c>
      <c r="Y720" s="99">
        <v>1</v>
      </c>
      <c r="Z720" s="99">
        <v>2</v>
      </c>
      <c r="AA720" s="99">
        <v>1</v>
      </c>
      <c r="AB720" s="99"/>
      <c r="AC720" s="99"/>
      <c r="AD720" s="107">
        <v>6.4854742943141357</v>
      </c>
      <c r="AE720" s="113">
        <f t="shared" si="144"/>
        <v>-0.97282114414712029</v>
      </c>
      <c r="AF720" s="116">
        <f>-IFERROR(IFERROR(VLOOKUP(ROUNDUP($Q720,0),'FBA FEES'!$L$2:$Q$203,MATCH($S720,'FBA FEES'!$L$2:$Q$2,0),FALSE),VLOOKUP(ROUNDUP($Q720,0),'FBA FEES'!$C$6:$F$123,MATCH($S720,'FBA FEES'!$C$6:$F$6,0),FALSE)),0)</f>
        <v>-4.55</v>
      </c>
      <c r="AG720" s="116">
        <v>-10</v>
      </c>
      <c r="AH720" s="113">
        <f t="shared" si="145"/>
        <v>-5.5228211441471204</v>
      </c>
      <c r="AI720" s="116">
        <f>-IFERROR(IF($Y720=1,INDEX('[1]REMOVAL FEES'!$A$1:$C$22,MATCH(CONCATENATE("Standard Size",$P720),'[1]REMOVAL FEES'!$A$1:$A$22,0),3),IF($Y720=2,IF($P720&gt;10,(($P720-10)*1.06)+INDEX('[1]REMOVAL FEES'!$E$1:$G$22,MATCH(CONCATENATE("Large bulky, extra-large and special handling items",IF($P720&gt;=11,11,$P720)),'[1]REMOVAL FEES'!$E$1:$E$13,0),3),INDEX('[1]REMOVAL FEES'!$E$1:$G$22,MATCH(CONCATENATE("Large bulky, extra-large and special handling items",IF($P720&gt;=11,11,$P720)),'[1]REMOVAL FEES'!$E$1:$E$13,0),3))))*$AA720,FALSE)</f>
        <v>-1.53</v>
      </c>
      <c r="AJ720" s="107">
        <f t="shared" si="146"/>
        <v>-7.0528211441471207</v>
      </c>
      <c r="AK720" s="107">
        <v>-2.27</v>
      </c>
      <c r="AL720" s="107">
        <v>-0.32760950564154601</v>
      </c>
      <c r="AM720" s="107">
        <f t="shared" si="147"/>
        <v>-2.5976095056415458</v>
      </c>
      <c r="AN720" s="116">
        <f>(-IF($V720="Yes", IF($X720="Yes", VLOOKUP($W720, '[1]Storage Fees'!A:M, 13, FALSE), VLOOKUP($W720, '[1]Storage Fees'!A:M, 10, FALSE)), IF($X720="Yes", VLOOKUP($W720, '[1]Storage Fees'!A:M, 7, FALSE), VLOOKUP($W720, '[1]Storage Fees'!A:M, 4, FALSE))) * U720)*1.5</f>
        <v>-8.1545138888888882E-2</v>
      </c>
    </row>
    <row r="721" spans="1:40" x14ac:dyDescent="0.25">
      <c r="A721" s="99">
        <v>649</v>
      </c>
      <c r="B721" s="99" t="s">
        <v>107</v>
      </c>
      <c r="C721" s="99"/>
      <c r="D721" s="99"/>
      <c r="E721" s="99" t="s">
        <v>441</v>
      </c>
      <c r="F721" s="99" t="s">
        <v>466</v>
      </c>
      <c r="G721" s="99" t="s">
        <v>13695</v>
      </c>
      <c r="H721" s="99">
        <v>32</v>
      </c>
      <c r="I721" s="99">
        <v>22</v>
      </c>
      <c r="J721" s="99">
        <v>4</v>
      </c>
      <c r="K721" s="101" t="str">
        <f t="shared" si="135"/>
        <v>32x22x4</v>
      </c>
      <c r="L721" s="102">
        <f t="shared" si="136"/>
        <v>20.258992805755394</v>
      </c>
      <c r="M721" s="113">
        <f t="shared" si="137"/>
        <v>20.258992805755394</v>
      </c>
      <c r="N721" s="113">
        <f t="shared" si="138"/>
        <v>21</v>
      </c>
      <c r="O721" s="99">
        <v>13</v>
      </c>
      <c r="P721" s="113">
        <f t="shared" si="139"/>
        <v>21</v>
      </c>
      <c r="Q721" s="112">
        <f t="shared" si="140"/>
        <v>336</v>
      </c>
      <c r="R721" s="112" t="str">
        <f t="shared" si="141"/>
        <v>Oversize</v>
      </c>
      <c r="S721" s="99" t="str">
        <f t="shared" si="142"/>
        <v>Large bulky</v>
      </c>
      <c r="T721" s="116" t="s">
        <v>13692</v>
      </c>
      <c r="U721" s="116">
        <f t="shared" si="143"/>
        <v>1.6296296296296295</v>
      </c>
      <c r="V721" s="116" t="s">
        <v>13583</v>
      </c>
      <c r="W721" s="116" t="s">
        <v>13690</v>
      </c>
      <c r="X721" s="116" t="s">
        <v>13691</v>
      </c>
      <c r="Y721" s="116">
        <v>2</v>
      </c>
      <c r="Z721" s="116">
        <v>3</v>
      </c>
      <c r="AA721" s="116">
        <v>1</v>
      </c>
      <c r="AB721" s="99"/>
      <c r="AC721" s="99"/>
      <c r="AD721" s="107">
        <v>101.0514942528734</v>
      </c>
      <c r="AE721" s="113">
        <f t="shared" si="144"/>
        <v>-15.157724137931009</v>
      </c>
      <c r="AF721" s="116">
        <f>-IFERROR(IFERROR(VLOOKUP(ROUNDUP($Q721,0),'FBA FEES'!$L$2:$Q$203,MATCH($S721,'FBA FEES'!$L$2:$Q$2,0),FALSE),VLOOKUP(ROUNDUP($Q721,0),'FBA FEES'!$C$6:$F$123,MATCH($S721,'FBA FEES'!$C$6:$F$6,0),FALSE)),0)</f>
        <v>-17.21</v>
      </c>
      <c r="AG721" s="116">
        <v>-10</v>
      </c>
      <c r="AH721" s="113">
        <f t="shared" si="145"/>
        <v>-32.367724137931006</v>
      </c>
      <c r="AI721" s="116">
        <f>-IFERROR(IF($Y721=1,INDEX('[1]REMOVAL FEES'!$A$1:$C$22,MATCH(CONCATENATE("Standard Size",$P721),'[1]REMOVAL FEES'!$A$1:$A$22,0),3),IF($Y721=2,IF($P721&gt;10,(($P721-10)*1.06)+INDEX('[1]REMOVAL FEES'!$E$1:$G$22,MATCH(CONCATENATE("Large bulky, extra-large and special handling items",IF($P721&gt;=11,11,$P721)),'[1]REMOVAL FEES'!$E$1:$E$13,0),3),INDEX('[1]REMOVAL FEES'!$E$1:$G$22,MATCH(CONCATENATE("Large bulky, extra-large and special handling items",IF($P721&gt;=11,11,$P721)),'[1]REMOVAL FEES'!$E$1:$E$13,0),3))))*$AA721,FALSE)</f>
        <v>-25.98</v>
      </c>
      <c r="AJ721" s="107">
        <f t="shared" si="146"/>
        <v>-58.34772413793101</v>
      </c>
      <c r="AK721" s="107">
        <v>-39.028275862068902</v>
      </c>
      <c r="AL721" s="107">
        <v>-8.0421717113665405</v>
      </c>
      <c r="AM721" s="107">
        <f t="shared" si="147"/>
        <v>-47.070447573435445</v>
      </c>
      <c r="AN721" s="116">
        <f>(-IF($V721="Yes", IF($X721="Yes", VLOOKUP($W721, '[1]Storage Fees'!A:M, 13, FALSE), VLOOKUP($W721, '[1]Storage Fees'!A:M, 10, FALSE)), IF($X721="Yes", VLOOKUP($W721, '[1]Storage Fees'!A:M, 7, FALSE), VLOOKUP($W721, '[1]Storage Fees'!A:M, 4, FALSE))) * U721)*1.5</f>
        <v>-1.931111111111111</v>
      </c>
    </row>
    <row r="722" spans="1:40" x14ac:dyDescent="0.25">
      <c r="A722" s="99">
        <v>650</v>
      </c>
      <c r="B722" s="99" t="s">
        <v>107</v>
      </c>
      <c r="C722" s="99"/>
      <c r="D722" s="99"/>
      <c r="E722" s="99" t="s">
        <v>441</v>
      </c>
      <c r="F722" s="99" t="s">
        <v>468</v>
      </c>
      <c r="G722" s="99" t="s">
        <v>13656</v>
      </c>
      <c r="H722" s="99">
        <v>23</v>
      </c>
      <c r="I722" s="99">
        <v>14</v>
      </c>
      <c r="J722" s="99">
        <v>3</v>
      </c>
      <c r="K722" s="101" t="str">
        <f t="shared" si="135"/>
        <v>23x14x3</v>
      </c>
      <c r="L722" s="102">
        <f t="shared" si="136"/>
        <v>6.9496402877697845</v>
      </c>
      <c r="M722" s="113">
        <f t="shared" si="137"/>
        <v>6.9496402877697845</v>
      </c>
      <c r="N722" s="113">
        <f t="shared" si="138"/>
        <v>7</v>
      </c>
      <c r="O722" s="99">
        <v>6</v>
      </c>
      <c r="P722" s="113">
        <f t="shared" si="139"/>
        <v>7</v>
      </c>
      <c r="Q722" s="112">
        <f t="shared" si="140"/>
        <v>112</v>
      </c>
      <c r="R722" s="112" t="str">
        <f t="shared" si="141"/>
        <v>Oversize</v>
      </c>
      <c r="S722" s="99" t="str">
        <f t="shared" si="142"/>
        <v>Large bulky</v>
      </c>
      <c r="T722" s="116" t="s">
        <v>13692</v>
      </c>
      <c r="U722" s="116">
        <f t="shared" si="143"/>
        <v>0.55902777777777779</v>
      </c>
      <c r="V722" s="116" t="s">
        <v>13583</v>
      </c>
      <c r="W722" s="116" t="s">
        <v>13690</v>
      </c>
      <c r="X722" s="116" t="s">
        <v>13691</v>
      </c>
      <c r="Y722" s="116">
        <v>2</v>
      </c>
      <c r="Z722" s="116">
        <v>3</v>
      </c>
      <c r="AA722" s="116">
        <v>1</v>
      </c>
      <c r="AB722" s="99"/>
      <c r="AC722" s="99"/>
      <c r="AD722" s="107">
        <v>78.407676923076764</v>
      </c>
      <c r="AE722" s="113">
        <f t="shared" si="144"/>
        <v>-11.761151538461514</v>
      </c>
      <c r="AF722" s="116">
        <f>-IFERROR(IFERROR(VLOOKUP(ROUNDUP($Q722,0),'FBA FEES'!$L$2:$Q$203,MATCH($S722,'FBA FEES'!$L$2:$Q$2,0),FALSE),VLOOKUP(ROUNDUP($Q722,0),'FBA FEES'!$C$6:$F$123,MATCH($S722,'FBA FEES'!$C$6:$F$6,0),FALSE)),0)</f>
        <v>-11.89</v>
      </c>
      <c r="AG722" s="116">
        <v>-10</v>
      </c>
      <c r="AH722" s="113">
        <f t="shared" si="145"/>
        <v>-23.651151538461512</v>
      </c>
      <c r="AI722" s="116">
        <f>-IFERROR(IF($Y722=1,INDEX('[1]REMOVAL FEES'!$A$1:$C$22,MATCH(CONCATENATE("Standard Size",$P722),'[1]REMOVAL FEES'!$A$1:$A$22,0),3),IF($Y722=2,IF($P722&gt;10,(($P722-10)*1.06)+INDEX('[1]REMOVAL FEES'!$E$1:$G$22,MATCH(CONCATENATE("Large bulky, extra-large and special handling items",IF($P722&gt;=11,11,$P722)),'[1]REMOVAL FEES'!$E$1:$E$13,0),3),INDEX('[1]REMOVAL FEES'!$E$1:$G$22,MATCH(CONCATENATE("Large bulky, extra-large and special handling items",IF($P722&gt;=11,11,$P722)),'[1]REMOVAL FEES'!$E$1:$E$13,0),3))))*$AA722,FALSE)</f>
        <v>-10.039999999999999</v>
      </c>
      <c r="AJ722" s="107">
        <f t="shared" si="146"/>
        <v>-33.691151538461511</v>
      </c>
      <c r="AK722" s="107">
        <v>-19.686230769230761</v>
      </c>
      <c r="AL722" s="107">
        <v>-3.6704755647130649</v>
      </c>
      <c r="AM722" s="107">
        <f t="shared" si="147"/>
        <v>-23.356706333943826</v>
      </c>
      <c r="AN722" s="116">
        <f>(-IF($V722="Yes", IF($X722="Yes", VLOOKUP($W722, '[1]Storage Fees'!A:M, 13, FALSE), VLOOKUP($W722, '[1]Storage Fees'!A:M, 10, FALSE)), IF($X722="Yes", VLOOKUP($W722, '[1]Storage Fees'!A:M, 7, FALSE), VLOOKUP($W722, '[1]Storage Fees'!A:M, 4, FALSE))) * U722)*1.5</f>
        <v>-0.66244791666666669</v>
      </c>
    </row>
    <row r="723" spans="1:40" x14ac:dyDescent="0.25">
      <c r="A723" s="99">
        <v>651</v>
      </c>
      <c r="B723" s="99"/>
      <c r="C723" s="99" t="s">
        <v>13655</v>
      </c>
      <c r="D723" s="99"/>
      <c r="E723" s="99" t="s">
        <v>1290</v>
      </c>
      <c r="F723" s="99" t="s">
        <v>2087</v>
      </c>
      <c r="G723" s="99" t="s">
        <v>13695</v>
      </c>
      <c r="H723" s="99">
        <v>0</v>
      </c>
      <c r="I723" s="99">
        <v>0</v>
      </c>
      <c r="J723" s="99">
        <v>0</v>
      </c>
      <c r="K723" s="101" t="str">
        <f t="shared" si="135"/>
        <v>0x0x0</v>
      </c>
      <c r="L723" s="102">
        <f t="shared" si="136"/>
        <v>0</v>
      </c>
      <c r="M723" s="113">
        <f t="shared" si="137"/>
        <v>0</v>
      </c>
      <c r="N723" s="113">
        <f t="shared" si="138"/>
        <v>0</v>
      </c>
      <c r="O723" s="99">
        <v>0</v>
      </c>
      <c r="P723" s="113">
        <f t="shared" si="139"/>
        <v>0</v>
      </c>
      <c r="Q723" s="112">
        <f t="shared" si="140"/>
        <v>0</v>
      </c>
      <c r="R723" s="112" t="str">
        <f t="shared" si="141"/>
        <v>Standard-size</v>
      </c>
      <c r="S723" s="99" t="str">
        <f t="shared" si="142"/>
        <v>Small standard-size</v>
      </c>
      <c r="T723" s="116" t="s">
        <v>13696</v>
      </c>
      <c r="U723" s="116">
        <f t="shared" si="143"/>
        <v>0</v>
      </c>
      <c r="V723" s="116" t="s">
        <v>13583</v>
      </c>
      <c r="W723" s="116" t="s">
        <v>13690</v>
      </c>
      <c r="X723" s="99" t="s">
        <v>13583</v>
      </c>
      <c r="Y723" s="99">
        <v>1</v>
      </c>
      <c r="Z723" s="99">
        <v>1</v>
      </c>
      <c r="AA723" s="99">
        <v>1</v>
      </c>
      <c r="AB723" s="99"/>
      <c r="AC723" s="99"/>
      <c r="AD723" s="107">
        <v>0</v>
      </c>
      <c r="AE723" s="113">
        <f t="shared" si="144"/>
        <v>0</v>
      </c>
      <c r="AF723" s="116">
        <f>-IFERROR(IFERROR(VLOOKUP(ROUNDUP($Q723,0),'FBA FEES'!$L$2:$Q$203,MATCH($S723,'FBA FEES'!$L$2:$Q$2,0),FALSE),VLOOKUP(ROUNDUP($Q723,0),'FBA FEES'!$C$6:$F$123,MATCH($S723,'FBA FEES'!$C$6:$F$6,0),FALSE)),0)</f>
        <v>0</v>
      </c>
      <c r="AG723" s="116">
        <v>-10</v>
      </c>
      <c r="AH723" s="113">
        <f t="shared" si="145"/>
        <v>0</v>
      </c>
      <c r="AI723" s="116">
        <f>-IFERROR(IF($Y723=1,INDEX('[1]REMOVAL FEES'!$A$1:$C$22,MATCH(CONCATENATE("Standard Size",$P723),'[1]REMOVAL FEES'!$A$1:$A$22,0),3),IF($Y723=2,IF($P723&gt;10,(($P723-10)*1.06)+INDEX('[1]REMOVAL FEES'!$E$1:$G$22,MATCH(CONCATENATE("Large bulky, extra-large and special handling items",IF($P723&gt;=11,11,$P723)),'[1]REMOVAL FEES'!$E$1:$E$13,0),3),INDEX('[1]REMOVAL FEES'!$E$1:$G$22,MATCH(CONCATENATE("Large bulky, extra-large and special handling items",IF($P723&gt;=11,11,$P723)),'[1]REMOVAL FEES'!$E$1:$E$13,0),3))))*$AA723,FALSE)</f>
        <v>0</v>
      </c>
      <c r="AJ723" s="107">
        <f t="shared" si="146"/>
        <v>0</v>
      </c>
      <c r="AK723" s="107">
        <v>0</v>
      </c>
      <c r="AL723" s="107">
        <v>0</v>
      </c>
      <c r="AM723" s="107">
        <f t="shared" si="147"/>
        <v>0</v>
      </c>
      <c r="AN723" s="116">
        <f>(-IF($V723="Yes", IF($X723="Yes", VLOOKUP($W723, '[1]Storage Fees'!A:M, 13, FALSE), VLOOKUP($W723, '[1]Storage Fees'!A:M, 10, FALSE)), IF($X723="Yes", VLOOKUP($W723, '[1]Storage Fees'!A:M, 7, FALSE), VLOOKUP($W723, '[1]Storage Fees'!A:M, 4, FALSE))) * U723)*1.5</f>
        <v>0</v>
      </c>
    </row>
    <row r="724" spans="1:40" x14ac:dyDescent="0.25">
      <c r="A724" s="99">
        <v>652</v>
      </c>
      <c r="B724" s="99"/>
      <c r="C724" s="99" t="s">
        <v>13655</v>
      </c>
      <c r="D724" s="99"/>
      <c r="E724" s="99" t="s">
        <v>1290</v>
      </c>
      <c r="F724" s="99" t="s">
        <v>2089</v>
      </c>
      <c r="G724" s="99" t="s">
        <v>13695</v>
      </c>
      <c r="H724" s="99">
        <v>0</v>
      </c>
      <c r="I724" s="99">
        <v>0</v>
      </c>
      <c r="J724" s="99">
        <v>0</v>
      </c>
      <c r="K724" s="101" t="str">
        <f t="shared" si="135"/>
        <v>0x0x0</v>
      </c>
      <c r="L724" s="102">
        <f t="shared" si="136"/>
        <v>0</v>
      </c>
      <c r="M724" s="113">
        <f t="shared" si="137"/>
        <v>0</v>
      </c>
      <c r="N724" s="113">
        <f t="shared" si="138"/>
        <v>0</v>
      </c>
      <c r="O724" s="99">
        <v>0</v>
      </c>
      <c r="P724" s="113">
        <f t="shared" si="139"/>
        <v>0</v>
      </c>
      <c r="Q724" s="112">
        <f t="shared" si="140"/>
        <v>0</v>
      </c>
      <c r="R724" s="112" t="str">
        <f t="shared" si="141"/>
        <v>Standard-size</v>
      </c>
      <c r="S724" s="99" t="str">
        <f t="shared" si="142"/>
        <v>Small standard-size</v>
      </c>
      <c r="T724" s="116" t="s">
        <v>13696</v>
      </c>
      <c r="U724" s="116">
        <f t="shared" si="143"/>
        <v>0</v>
      </c>
      <c r="V724" s="116" t="s">
        <v>13583</v>
      </c>
      <c r="W724" s="116" t="s">
        <v>13690</v>
      </c>
      <c r="X724" s="99" t="s">
        <v>13583</v>
      </c>
      <c r="Y724" s="99">
        <v>1</v>
      </c>
      <c r="Z724" s="99">
        <v>1</v>
      </c>
      <c r="AA724" s="99">
        <v>1</v>
      </c>
      <c r="AB724" s="99"/>
      <c r="AC724" s="99"/>
      <c r="AD724" s="107">
        <v>0</v>
      </c>
      <c r="AE724" s="113">
        <f t="shared" si="144"/>
        <v>0</v>
      </c>
      <c r="AF724" s="116">
        <f>-IFERROR(IFERROR(VLOOKUP(ROUNDUP($Q724,0),'FBA FEES'!$L$2:$Q$203,MATCH($S724,'FBA FEES'!$L$2:$Q$2,0),FALSE),VLOOKUP(ROUNDUP($Q724,0),'FBA FEES'!$C$6:$F$123,MATCH($S724,'FBA FEES'!$C$6:$F$6,0),FALSE)),0)</f>
        <v>0</v>
      </c>
      <c r="AG724" s="116">
        <v>-10</v>
      </c>
      <c r="AH724" s="113">
        <f t="shared" si="145"/>
        <v>0</v>
      </c>
      <c r="AI724" s="116">
        <f>-IFERROR(IF($Y724=1,INDEX('[1]REMOVAL FEES'!$A$1:$C$22,MATCH(CONCATENATE("Standard Size",$P724),'[1]REMOVAL FEES'!$A$1:$A$22,0),3),IF($Y724=2,IF($P724&gt;10,(($P724-10)*1.06)+INDEX('[1]REMOVAL FEES'!$E$1:$G$22,MATCH(CONCATENATE("Large bulky, extra-large and special handling items",IF($P724&gt;=11,11,$P724)),'[1]REMOVAL FEES'!$E$1:$E$13,0),3),INDEX('[1]REMOVAL FEES'!$E$1:$G$22,MATCH(CONCATENATE("Large bulky, extra-large and special handling items",IF($P724&gt;=11,11,$P724)),'[1]REMOVAL FEES'!$E$1:$E$13,0),3))))*$AA724,FALSE)</f>
        <v>0</v>
      </c>
      <c r="AJ724" s="107">
        <f t="shared" si="146"/>
        <v>0</v>
      </c>
      <c r="AK724" s="107">
        <v>0</v>
      </c>
      <c r="AL724" s="107">
        <v>0</v>
      </c>
      <c r="AM724" s="107">
        <f t="shared" si="147"/>
        <v>0</v>
      </c>
      <c r="AN724" s="116">
        <f>(-IF($V724="Yes", IF($X724="Yes", VLOOKUP($W724, '[1]Storage Fees'!A:M, 13, FALSE), VLOOKUP($W724, '[1]Storage Fees'!A:M, 10, FALSE)), IF($X724="Yes", VLOOKUP($W724, '[1]Storage Fees'!A:M, 7, FALSE), VLOOKUP($W724, '[1]Storage Fees'!A:M, 4, FALSE))) * U724)*1.5</f>
        <v>0</v>
      </c>
    </row>
    <row r="725" spans="1:40" x14ac:dyDescent="0.25">
      <c r="A725" s="99">
        <v>653</v>
      </c>
      <c r="B725" s="99"/>
      <c r="C725" s="99" t="s">
        <v>13655</v>
      </c>
      <c r="D725" s="99"/>
      <c r="E725" s="99" t="s">
        <v>1290</v>
      </c>
      <c r="F725" s="99" t="s">
        <v>2091</v>
      </c>
      <c r="G725" s="99" t="s">
        <v>13695</v>
      </c>
      <c r="H725" s="99">
        <v>0</v>
      </c>
      <c r="I725" s="99">
        <v>0</v>
      </c>
      <c r="J725" s="99">
        <v>0</v>
      </c>
      <c r="K725" s="101" t="str">
        <f t="shared" si="135"/>
        <v>0x0x0</v>
      </c>
      <c r="L725" s="102">
        <f t="shared" si="136"/>
        <v>0</v>
      </c>
      <c r="M725" s="113">
        <f t="shared" si="137"/>
        <v>0</v>
      </c>
      <c r="N725" s="113">
        <f t="shared" si="138"/>
        <v>0</v>
      </c>
      <c r="O725" s="99">
        <v>0</v>
      </c>
      <c r="P725" s="113">
        <f t="shared" si="139"/>
        <v>0</v>
      </c>
      <c r="Q725" s="112">
        <f t="shared" si="140"/>
        <v>0</v>
      </c>
      <c r="R725" s="112" t="str">
        <f t="shared" si="141"/>
        <v>Standard-size</v>
      </c>
      <c r="S725" s="99" t="str">
        <f t="shared" si="142"/>
        <v>Small standard-size</v>
      </c>
      <c r="T725" s="116" t="s">
        <v>13696</v>
      </c>
      <c r="U725" s="116">
        <f t="shared" si="143"/>
        <v>0</v>
      </c>
      <c r="V725" s="116" t="s">
        <v>13583</v>
      </c>
      <c r="W725" s="116" t="s">
        <v>13690</v>
      </c>
      <c r="X725" s="99" t="s">
        <v>13583</v>
      </c>
      <c r="Y725" s="99">
        <v>1</v>
      </c>
      <c r="Z725" s="99">
        <v>1</v>
      </c>
      <c r="AA725" s="99">
        <v>1</v>
      </c>
      <c r="AB725" s="99"/>
      <c r="AC725" s="99"/>
      <c r="AD725" s="107">
        <v>0</v>
      </c>
      <c r="AE725" s="113">
        <f t="shared" si="144"/>
        <v>0</v>
      </c>
      <c r="AF725" s="116">
        <f>-IFERROR(IFERROR(VLOOKUP(ROUNDUP($Q725,0),'FBA FEES'!$L$2:$Q$203,MATCH($S725,'FBA FEES'!$L$2:$Q$2,0),FALSE),VLOOKUP(ROUNDUP($Q725,0),'FBA FEES'!$C$6:$F$123,MATCH($S725,'FBA FEES'!$C$6:$F$6,0),FALSE)),0)</f>
        <v>0</v>
      </c>
      <c r="AG725" s="116">
        <v>-10</v>
      </c>
      <c r="AH725" s="113">
        <f t="shared" si="145"/>
        <v>0</v>
      </c>
      <c r="AI725" s="116">
        <f>-IFERROR(IF($Y725=1,INDEX('[1]REMOVAL FEES'!$A$1:$C$22,MATCH(CONCATENATE("Standard Size",$P725),'[1]REMOVAL FEES'!$A$1:$A$22,0),3),IF($Y725=2,IF($P725&gt;10,(($P725-10)*1.06)+INDEX('[1]REMOVAL FEES'!$E$1:$G$22,MATCH(CONCATENATE("Large bulky, extra-large and special handling items",IF($P725&gt;=11,11,$P725)),'[1]REMOVAL FEES'!$E$1:$E$13,0),3),INDEX('[1]REMOVAL FEES'!$E$1:$G$22,MATCH(CONCATENATE("Large bulky, extra-large and special handling items",IF($P725&gt;=11,11,$P725)),'[1]REMOVAL FEES'!$E$1:$E$13,0),3))))*$AA725,FALSE)</f>
        <v>0</v>
      </c>
      <c r="AJ725" s="107">
        <f t="shared" si="146"/>
        <v>0</v>
      </c>
      <c r="AK725" s="107">
        <v>0</v>
      </c>
      <c r="AL725" s="107">
        <v>0</v>
      </c>
      <c r="AM725" s="107">
        <f t="shared" si="147"/>
        <v>0</v>
      </c>
      <c r="AN725" s="116">
        <f>(-IF($V725="Yes", IF($X725="Yes", VLOOKUP($W725, '[1]Storage Fees'!A:M, 13, FALSE), VLOOKUP($W725, '[1]Storage Fees'!A:M, 10, FALSE)), IF($X725="Yes", VLOOKUP($W725, '[1]Storage Fees'!A:M, 7, FALSE), VLOOKUP($W725, '[1]Storage Fees'!A:M, 4, FALSE))) * U725)*1.5</f>
        <v>0</v>
      </c>
    </row>
    <row r="726" spans="1:40" x14ac:dyDescent="0.25">
      <c r="A726" s="99">
        <v>654</v>
      </c>
      <c r="B726" s="99"/>
      <c r="C726" s="99" t="s">
        <v>13655</v>
      </c>
      <c r="D726" s="99"/>
      <c r="E726" s="99" t="s">
        <v>1290</v>
      </c>
      <c r="F726" s="99" t="s">
        <v>2093</v>
      </c>
      <c r="G726" s="99" t="s">
        <v>13695</v>
      </c>
      <c r="H726" s="99">
        <v>0</v>
      </c>
      <c r="I726" s="99">
        <v>0</v>
      </c>
      <c r="J726" s="99">
        <v>0</v>
      </c>
      <c r="K726" s="101" t="str">
        <f t="shared" si="135"/>
        <v>0x0x0</v>
      </c>
      <c r="L726" s="102">
        <f t="shared" si="136"/>
        <v>0</v>
      </c>
      <c r="M726" s="113">
        <f t="shared" si="137"/>
        <v>0</v>
      </c>
      <c r="N726" s="113">
        <f t="shared" si="138"/>
        <v>0</v>
      </c>
      <c r="O726" s="99">
        <v>0</v>
      </c>
      <c r="P726" s="113">
        <f t="shared" si="139"/>
        <v>0</v>
      </c>
      <c r="Q726" s="112">
        <f t="shared" si="140"/>
        <v>0</v>
      </c>
      <c r="R726" s="112" t="str">
        <f t="shared" si="141"/>
        <v>Standard-size</v>
      </c>
      <c r="S726" s="99" t="str">
        <f t="shared" si="142"/>
        <v>Small standard-size</v>
      </c>
      <c r="T726" s="116" t="s">
        <v>13696</v>
      </c>
      <c r="U726" s="116">
        <f t="shared" si="143"/>
        <v>0</v>
      </c>
      <c r="V726" s="116" t="s">
        <v>13583</v>
      </c>
      <c r="W726" s="116" t="s">
        <v>13690</v>
      </c>
      <c r="X726" s="99" t="s">
        <v>13583</v>
      </c>
      <c r="Y726" s="99">
        <v>1</v>
      </c>
      <c r="Z726" s="99">
        <v>1</v>
      </c>
      <c r="AA726" s="99">
        <v>1</v>
      </c>
      <c r="AB726" s="99"/>
      <c r="AC726" s="99"/>
      <c r="AD726" s="107">
        <v>0</v>
      </c>
      <c r="AE726" s="113">
        <f t="shared" si="144"/>
        <v>0</v>
      </c>
      <c r="AF726" s="116">
        <f>-IFERROR(IFERROR(VLOOKUP(ROUNDUP($Q726,0),'FBA FEES'!$L$2:$Q$203,MATCH($S726,'FBA FEES'!$L$2:$Q$2,0),FALSE),VLOOKUP(ROUNDUP($Q726,0),'FBA FEES'!$C$6:$F$123,MATCH($S726,'FBA FEES'!$C$6:$F$6,0),FALSE)),0)</f>
        <v>0</v>
      </c>
      <c r="AG726" s="116">
        <v>-10</v>
      </c>
      <c r="AH726" s="113">
        <f t="shared" si="145"/>
        <v>0</v>
      </c>
      <c r="AI726" s="116">
        <f>-IFERROR(IF($Y726=1,INDEX('[1]REMOVAL FEES'!$A$1:$C$22,MATCH(CONCATENATE("Standard Size",$P726),'[1]REMOVAL FEES'!$A$1:$A$22,0),3),IF($Y726=2,IF($P726&gt;10,(($P726-10)*1.06)+INDEX('[1]REMOVAL FEES'!$E$1:$G$22,MATCH(CONCATENATE("Large bulky, extra-large and special handling items",IF($P726&gt;=11,11,$P726)),'[1]REMOVAL FEES'!$E$1:$E$13,0),3),INDEX('[1]REMOVAL FEES'!$E$1:$G$22,MATCH(CONCATENATE("Large bulky, extra-large and special handling items",IF($P726&gt;=11,11,$P726)),'[1]REMOVAL FEES'!$E$1:$E$13,0),3))))*$AA726,FALSE)</f>
        <v>0</v>
      </c>
      <c r="AJ726" s="107">
        <f t="shared" si="146"/>
        <v>0</v>
      </c>
      <c r="AK726" s="107">
        <v>0</v>
      </c>
      <c r="AL726" s="107">
        <v>0</v>
      </c>
      <c r="AM726" s="107">
        <f t="shared" si="147"/>
        <v>0</v>
      </c>
      <c r="AN726" s="116">
        <f>(-IF($V726="Yes", IF($X726="Yes", VLOOKUP($W726, '[1]Storage Fees'!A:M, 13, FALSE), VLOOKUP($W726, '[1]Storage Fees'!A:M, 10, FALSE)), IF($X726="Yes", VLOOKUP($W726, '[1]Storage Fees'!A:M, 7, FALSE), VLOOKUP($W726, '[1]Storage Fees'!A:M, 4, FALSE))) * U726)*1.5</f>
        <v>0</v>
      </c>
    </row>
    <row r="727" spans="1:40" x14ac:dyDescent="0.25">
      <c r="A727" s="99">
        <v>655</v>
      </c>
      <c r="B727" s="99"/>
      <c r="C727" s="99" t="s">
        <v>13655</v>
      </c>
      <c r="D727" s="99"/>
      <c r="E727" s="99" t="s">
        <v>1290</v>
      </c>
      <c r="F727" s="99" t="s">
        <v>2095</v>
      </c>
      <c r="G727" s="99" t="s">
        <v>13695</v>
      </c>
      <c r="H727" s="99">
        <v>0</v>
      </c>
      <c r="I727" s="99">
        <v>0</v>
      </c>
      <c r="J727" s="99">
        <v>0</v>
      </c>
      <c r="K727" s="101" t="str">
        <f t="shared" si="135"/>
        <v>0x0x0</v>
      </c>
      <c r="L727" s="102">
        <f t="shared" si="136"/>
        <v>0</v>
      </c>
      <c r="M727" s="113">
        <f t="shared" si="137"/>
        <v>0</v>
      </c>
      <c r="N727" s="113">
        <f t="shared" si="138"/>
        <v>0</v>
      </c>
      <c r="O727" s="99">
        <v>0</v>
      </c>
      <c r="P727" s="113">
        <f t="shared" si="139"/>
        <v>0</v>
      </c>
      <c r="Q727" s="112">
        <f t="shared" si="140"/>
        <v>0</v>
      </c>
      <c r="R727" s="112" t="str">
        <f t="shared" si="141"/>
        <v>Standard-size</v>
      </c>
      <c r="S727" s="99" t="str">
        <f t="shared" si="142"/>
        <v>Small standard-size</v>
      </c>
      <c r="T727" s="116" t="s">
        <v>13696</v>
      </c>
      <c r="U727" s="116">
        <f t="shared" si="143"/>
        <v>0</v>
      </c>
      <c r="V727" s="116" t="s">
        <v>13583</v>
      </c>
      <c r="W727" s="116" t="s">
        <v>13690</v>
      </c>
      <c r="X727" s="99" t="s">
        <v>13583</v>
      </c>
      <c r="Y727" s="99">
        <v>1</v>
      </c>
      <c r="Z727" s="99">
        <v>1</v>
      </c>
      <c r="AA727" s="99">
        <v>1</v>
      </c>
      <c r="AB727" s="99"/>
      <c r="AC727" s="99"/>
      <c r="AD727" s="107">
        <v>0</v>
      </c>
      <c r="AE727" s="113">
        <f t="shared" si="144"/>
        <v>0</v>
      </c>
      <c r="AF727" s="116">
        <f>-IFERROR(IFERROR(VLOOKUP(ROUNDUP($Q727,0),'FBA FEES'!$L$2:$Q$203,MATCH($S727,'FBA FEES'!$L$2:$Q$2,0),FALSE),VLOOKUP(ROUNDUP($Q727,0),'FBA FEES'!$C$6:$F$123,MATCH($S727,'FBA FEES'!$C$6:$F$6,0),FALSE)),0)</f>
        <v>0</v>
      </c>
      <c r="AG727" s="116">
        <v>-10</v>
      </c>
      <c r="AH727" s="113">
        <f t="shared" si="145"/>
        <v>0</v>
      </c>
      <c r="AI727" s="116">
        <f>-IFERROR(IF($Y727=1,INDEX('[1]REMOVAL FEES'!$A$1:$C$22,MATCH(CONCATENATE("Standard Size",$P727),'[1]REMOVAL FEES'!$A$1:$A$22,0),3),IF($Y727=2,IF($P727&gt;10,(($P727-10)*1.06)+INDEX('[1]REMOVAL FEES'!$E$1:$G$22,MATCH(CONCATENATE("Large bulky, extra-large and special handling items",IF($P727&gt;=11,11,$P727)),'[1]REMOVAL FEES'!$E$1:$E$13,0),3),INDEX('[1]REMOVAL FEES'!$E$1:$G$22,MATCH(CONCATENATE("Large bulky, extra-large and special handling items",IF($P727&gt;=11,11,$P727)),'[1]REMOVAL FEES'!$E$1:$E$13,0),3))))*$AA727,FALSE)</f>
        <v>0</v>
      </c>
      <c r="AJ727" s="107">
        <f t="shared" si="146"/>
        <v>0</v>
      </c>
      <c r="AK727" s="107">
        <v>0</v>
      </c>
      <c r="AL727" s="107">
        <v>0</v>
      </c>
      <c r="AM727" s="107">
        <f t="shared" si="147"/>
        <v>0</v>
      </c>
      <c r="AN727" s="116">
        <f>(-IF($V727="Yes", IF($X727="Yes", VLOOKUP($W727, '[1]Storage Fees'!A:M, 13, FALSE), VLOOKUP($W727, '[1]Storage Fees'!A:M, 10, FALSE)), IF($X727="Yes", VLOOKUP($W727, '[1]Storage Fees'!A:M, 7, FALSE), VLOOKUP($W727, '[1]Storage Fees'!A:M, 4, FALSE))) * U727)*1.5</f>
        <v>0</v>
      </c>
    </row>
    <row r="728" spans="1:40" x14ac:dyDescent="0.25">
      <c r="A728" s="99">
        <v>656</v>
      </c>
      <c r="B728" s="99"/>
      <c r="C728" s="99" t="s">
        <v>13655</v>
      </c>
      <c r="D728" s="99"/>
      <c r="E728" s="99" t="s">
        <v>1290</v>
      </c>
      <c r="F728" s="99" t="s">
        <v>2097</v>
      </c>
      <c r="G728" s="99" t="s">
        <v>13695</v>
      </c>
      <c r="H728" s="99">
        <v>0</v>
      </c>
      <c r="I728" s="99">
        <v>0</v>
      </c>
      <c r="J728" s="99">
        <v>0</v>
      </c>
      <c r="K728" s="101" t="str">
        <f t="shared" si="135"/>
        <v>0x0x0</v>
      </c>
      <c r="L728" s="102">
        <f t="shared" si="136"/>
        <v>0</v>
      </c>
      <c r="M728" s="113">
        <f t="shared" si="137"/>
        <v>0</v>
      </c>
      <c r="N728" s="113">
        <f t="shared" si="138"/>
        <v>0</v>
      </c>
      <c r="O728" s="99">
        <v>0</v>
      </c>
      <c r="P728" s="113">
        <f t="shared" si="139"/>
        <v>0</v>
      </c>
      <c r="Q728" s="112">
        <f t="shared" si="140"/>
        <v>0</v>
      </c>
      <c r="R728" s="112" t="str">
        <f t="shared" si="141"/>
        <v>Standard-size</v>
      </c>
      <c r="S728" s="99" t="str">
        <f t="shared" si="142"/>
        <v>Small standard-size</v>
      </c>
      <c r="T728" s="116" t="s">
        <v>13696</v>
      </c>
      <c r="U728" s="116">
        <f t="shared" si="143"/>
        <v>0</v>
      </c>
      <c r="V728" s="116" t="s">
        <v>13583</v>
      </c>
      <c r="W728" s="116" t="s">
        <v>13690</v>
      </c>
      <c r="X728" s="99" t="s">
        <v>13583</v>
      </c>
      <c r="Y728" s="99">
        <v>1</v>
      </c>
      <c r="Z728" s="99">
        <v>1</v>
      </c>
      <c r="AA728" s="99">
        <v>1</v>
      </c>
      <c r="AB728" s="99"/>
      <c r="AC728" s="99"/>
      <c r="AD728" s="107">
        <v>0</v>
      </c>
      <c r="AE728" s="113">
        <f t="shared" si="144"/>
        <v>0</v>
      </c>
      <c r="AF728" s="116">
        <f>-IFERROR(IFERROR(VLOOKUP(ROUNDUP($Q728,0),'FBA FEES'!$L$2:$Q$203,MATCH($S728,'FBA FEES'!$L$2:$Q$2,0),FALSE),VLOOKUP(ROUNDUP($Q728,0),'FBA FEES'!$C$6:$F$123,MATCH($S728,'FBA FEES'!$C$6:$F$6,0),FALSE)),0)</f>
        <v>0</v>
      </c>
      <c r="AG728" s="116">
        <v>-10</v>
      </c>
      <c r="AH728" s="113">
        <f t="shared" si="145"/>
        <v>0</v>
      </c>
      <c r="AI728" s="116">
        <f>-IFERROR(IF($Y728=1,INDEX('[1]REMOVAL FEES'!$A$1:$C$22,MATCH(CONCATENATE("Standard Size",$P728),'[1]REMOVAL FEES'!$A$1:$A$22,0),3),IF($Y728=2,IF($P728&gt;10,(($P728-10)*1.06)+INDEX('[1]REMOVAL FEES'!$E$1:$G$22,MATCH(CONCATENATE("Large bulky, extra-large and special handling items",IF($P728&gt;=11,11,$P728)),'[1]REMOVAL FEES'!$E$1:$E$13,0),3),INDEX('[1]REMOVAL FEES'!$E$1:$G$22,MATCH(CONCATENATE("Large bulky, extra-large and special handling items",IF($P728&gt;=11,11,$P728)),'[1]REMOVAL FEES'!$E$1:$E$13,0),3))))*$AA728,FALSE)</f>
        <v>0</v>
      </c>
      <c r="AJ728" s="107">
        <f t="shared" si="146"/>
        <v>0</v>
      </c>
      <c r="AK728" s="107">
        <v>0</v>
      </c>
      <c r="AL728" s="107">
        <v>0</v>
      </c>
      <c r="AM728" s="107">
        <f t="shared" si="147"/>
        <v>0</v>
      </c>
      <c r="AN728" s="116">
        <f>(-IF($V728="Yes", IF($X728="Yes", VLOOKUP($W728, '[1]Storage Fees'!A:M, 13, FALSE), VLOOKUP($W728, '[1]Storage Fees'!A:M, 10, FALSE)), IF($X728="Yes", VLOOKUP($W728, '[1]Storage Fees'!A:M, 7, FALSE), VLOOKUP($W728, '[1]Storage Fees'!A:M, 4, FALSE))) * U728)*1.5</f>
        <v>0</v>
      </c>
    </row>
    <row r="729" spans="1:40" x14ac:dyDescent="0.25">
      <c r="A729" s="99">
        <v>657</v>
      </c>
      <c r="B729" s="99"/>
      <c r="C729" s="99" t="s">
        <v>13655</v>
      </c>
      <c r="D729" s="99"/>
      <c r="E729" s="99" t="s">
        <v>1290</v>
      </c>
      <c r="F729" s="99" t="s">
        <v>2099</v>
      </c>
      <c r="G729" s="99" t="s">
        <v>13695</v>
      </c>
      <c r="H729" s="99">
        <v>0</v>
      </c>
      <c r="I729" s="99">
        <v>0</v>
      </c>
      <c r="J729" s="99">
        <v>0</v>
      </c>
      <c r="K729" s="101" t="str">
        <f t="shared" si="135"/>
        <v>0x0x0</v>
      </c>
      <c r="L729" s="102">
        <f t="shared" si="136"/>
        <v>0</v>
      </c>
      <c r="M729" s="113">
        <f t="shared" si="137"/>
        <v>0</v>
      </c>
      <c r="N729" s="113">
        <f t="shared" si="138"/>
        <v>0</v>
      </c>
      <c r="O729" s="99">
        <v>0</v>
      </c>
      <c r="P729" s="113">
        <f t="shared" si="139"/>
        <v>0</v>
      </c>
      <c r="Q729" s="112">
        <f t="shared" si="140"/>
        <v>0</v>
      </c>
      <c r="R729" s="112" t="str">
        <f t="shared" si="141"/>
        <v>Standard-size</v>
      </c>
      <c r="S729" s="99" t="str">
        <f t="shared" si="142"/>
        <v>Small standard-size</v>
      </c>
      <c r="T729" s="116" t="s">
        <v>13696</v>
      </c>
      <c r="U729" s="116">
        <f t="shared" si="143"/>
        <v>0</v>
      </c>
      <c r="V729" s="116" t="s">
        <v>13583</v>
      </c>
      <c r="W729" s="116" t="s">
        <v>13690</v>
      </c>
      <c r="X729" s="99" t="s">
        <v>13583</v>
      </c>
      <c r="Y729" s="99">
        <v>1</v>
      </c>
      <c r="Z729" s="99">
        <v>1</v>
      </c>
      <c r="AA729" s="99">
        <v>1</v>
      </c>
      <c r="AB729" s="99"/>
      <c r="AC729" s="99"/>
      <c r="AD729" s="107">
        <v>0</v>
      </c>
      <c r="AE729" s="113">
        <f t="shared" si="144"/>
        <v>0</v>
      </c>
      <c r="AF729" s="116">
        <f>-IFERROR(IFERROR(VLOOKUP(ROUNDUP($Q729,0),'FBA FEES'!$L$2:$Q$203,MATCH($S729,'FBA FEES'!$L$2:$Q$2,0),FALSE),VLOOKUP(ROUNDUP($Q729,0),'FBA FEES'!$C$6:$F$123,MATCH($S729,'FBA FEES'!$C$6:$F$6,0),FALSE)),0)</f>
        <v>0</v>
      </c>
      <c r="AG729" s="116">
        <v>-10</v>
      </c>
      <c r="AH729" s="113">
        <f t="shared" si="145"/>
        <v>0</v>
      </c>
      <c r="AI729" s="116">
        <f>-IFERROR(IF($Y729=1,INDEX('[1]REMOVAL FEES'!$A$1:$C$22,MATCH(CONCATENATE("Standard Size",$P729),'[1]REMOVAL FEES'!$A$1:$A$22,0),3),IF($Y729=2,IF($P729&gt;10,(($P729-10)*1.06)+INDEX('[1]REMOVAL FEES'!$E$1:$G$22,MATCH(CONCATENATE("Large bulky, extra-large and special handling items",IF($P729&gt;=11,11,$P729)),'[1]REMOVAL FEES'!$E$1:$E$13,0),3),INDEX('[1]REMOVAL FEES'!$E$1:$G$22,MATCH(CONCATENATE("Large bulky, extra-large and special handling items",IF($P729&gt;=11,11,$P729)),'[1]REMOVAL FEES'!$E$1:$E$13,0),3))))*$AA729,FALSE)</f>
        <v>0</v>
      </c>
      <c r="AJ729" s="107">
        <f t="shared" si="146"/>
        <v>0</v>
      </c>
      <c r="AK729" s="107">
        <v>0</v>
      </c>
      <c r="AL729" s="107">
        <v>0</v>
      </c>
      <c r="AM729" s="107">
        <f t="shared" si="147"/>
        <v>0</v>
      </c>
      <c r="AN729" s="116">
        <f>(-IF($V729="Yes", IF($X729="Yes", VLOOKUP($W729, '[1]Storage Fees'!A:M, 13, FALSE), VLOOKUP($W729, '[1]Storage Fees'!A:M, 10, FALSE)), IF($X729="Yes", VLOOKUP($W729, '[1]Storage Fees'!A:M, 7, FALSE), VLOOKUP($W729, '[1]Storage Fees'!A:M, 4, FALSE))) * U729)*1.5</f>
        <v>0</v>
      </c>
    </row>
    <row r="730" spans="1:40" x14ac:dyDescent="0.25">
      <c r="A730" s="99">
        <v>658</v>
      </c>
      <c r="B730" s="99"/>
      <c r="C730" s="99" t="s">
        <v>13655</v>
      </c>
      <c r="D730" s="99"/>
      <c r="E730" s="99" t="s">
        <v>1290</v>
      </c>
      <c r="F730" s="99" t="s">
        <v>2101</v>
      </c>
      <c r="G730" s="99" t="s">
        <v>13695</v>
      </c>
      <c r="H730" s="99">
        <v>0</v>
      </c>
      <c r="I730" s="99">
        <v>0</v>
      </c>
      <c r="J730" s="99">
        <v>0</v>
      </c>
      <c r="K730" s="101" t="str">
        <f t="shared" si="135"/>
        <v>0x0x0</v>
      </c>
      <c r="L730" s="102">
        <f t="shared" si="136"/>
        <v>0</v>
      </c>
      <c r="M730" s="113">
        <f t="shared" si="137"/>
        <v>0</v>
      </c>
      <c r="N730" s="113">
        <f t="shared" si="138"/>
        <v>0</v>
      </c>
      <c r="O730" s="99">
        <v>0</v>
      </c>
      <c r="P730" s="113">
        <f t="shared" si="139"/>
        <v>0</v>
      </c>
      <c r="Q730" s="112">
        <f t="shared" si="140"/>
        <v>0</v>
      </c>
      <c r="R730" s="112" t="str">
        <f t="shared" si="141"/>
        <v>Standard-size</v>
      </c>
      <c r="S730" s="99" t="str">
        <f t="shared" si="142"/>
        <v>Small standard-size</v>
      </c>
      <c r="T730" s="116" t="s">
        <v>13696</v>
      </c>
      <c r="U730" s="116">
        <f t="shared" si="143"/>
        <v>0</v>
      </c>
      <c r="V730" s="116" t="s">
        <v>13583</v>
      </c>
      <c r="W730" s="116" t="s">
        <v>13690</v>
      </c>
      <c r="X730" s="99" t="s">
        <v>13583</v>
      </c>
      <c r="Y730" s="99">
        <v>1</v>
      </c>
      <c r="Z730" s="99">
        <v>1</v>
      </c>
      <c r="AA730" s="99">
        <v>1</v>
      </c>
      <c r="AB730" s="99"/>
      <c r="AC730" s="99"/>
      <c r="AD730" s="107">
        <v>0</v>
      </c>
      <c r="AE730" s="113">
        <f t="shared" si="144"/>
        <v>0</v>
      </c>
      <c r="AF730" s="116">
        <f>-IFERROR(IFERROR(VLOOKUP(ROUNDUP($Q730,0),'FBA FEES'!$L$2:$Q$203,MATCH($S730,'FBA FEES'!$L$2:$Q$2,0),FALSE),VLOOKUP(ROUNDUP($Q730,0),'FBA FEES'!$C$6:$F$123,MATCH($S730,'FBA FEES'!$C$6:$F$6,0),FALSE)),0)</f>
        <v>0</v>
      </c>
      <c r="AG730" s="116">
        <v>-10</v>
      </c>
      <c r="AH730" s="113">
        <f t="shared" si="145"/>
        <v>0</v>
      </c>
      <c r="AI730" s="116">
        <f>-IFERROR(IF($Y730=1,INDEX('[1]REMOVAL FEES'!$A$1:$C$22,MATCH(CONCATENATE("Standard Size",$P730),'[1]REMOVAL FEES'!$A$1:$A$22,0),3),IF($Y730=2,IF($P730&gt;10,(($P730-10)*1.06)+INDEX('[1]REMOVAL FEES'!$E$1:$G$22,MATCH(CONCATENATE("Large bulky, extra-large and special handling items",IF($P730&gt;=11,11,$P730)),'[1]REMOVAL FEES'!$E$1:$E$13,0),3),INDEX('[1]REMOVAL FEES'!$E$1:$G$22,MATCH(CONCATENATE("Large bulky, extra-large and special handling items",IF($P730&gt;=11,11,$P730)),'[1]REMOVAL FEES'!$E$1:$E$13,0),3))))*$AA730,FALSE)</f>
        <v>0</v>
      </c>
      <c r="AJ730" s="107">
        <f t="shared" si="146"/>
        <v>0</v>
      </c>
      <c r="AK730" s="107">
        <v>0</v>
      </c>
      <c r="AL730" s="107">
        <v>0</v>
      </c>
      <c r="AM730" s="107">
        <f t="shared" si="147"/>
        <v>0</v>
      </c>
      <c r="AN730" s="116">
        <f>(-IF($V730="Yes", IF($X730="Yes", VLOOKUP($W730, '[1]Storage Fees'!A:M, 13, FALSE), VLOOKUP($W730, '[1]Storage Fees'!A:M, 10, FALSE)), IF($X730="Yes", VLOOKUP($W730, '[1]Storage Fees'!A:M, 7, FALSE), VLOOKUP($W730, '[1]Storage Fees'!A:M, 4, FALSE))) * U730)*1.5</f>
        <v>0</v>
      </c>
    </row>
    <row r="731" spans="1:40" x14ac:dyDescent="0.25">
      <c r="A731" s="99">
        <v>659</v>
      </c>
      <c r="B731" s="99"/>
      <c r="C731" s="99" t="s">
        <v>13655</v>
      </c>
      <c r="D731" s="99"/>
      <c r="E731" s="99" t="s">
        <v>1290</v>
      </c>
      <c r="F731" s="99" t="s">
        <v>2103</v>
      </c>
      <c r="G731" s="99" t="s">
        <v>13695</v>
      </c>
      <c r="H731" s="99">
        <v>0</v>
      </c>
      <c r="I731" s="99">
        <v>0</v>
      </c>
      <c r="J731" s="99">
        <v>0</v>
      </c>
      <c r="K731" s="101" t="str">
        <f t="shared" si="135"/>
        <v>0x0x0</v>
      </c>
      <c r="L731" s="102">
        <f t="shared" si="136"/>
        <v>0</v>
      </c>
      <c r="M731" s="113">
        <f t="shared" si="137"/>
        <v>0</v>
      </c>
      <c r="N731" s="113">
        <f t="shared" si="138"/>
        <v>0</v>
      </c>
      <c r="O731" s="99">
        <v>0</v>
      </c>
      <c r="P731" s="113">
        <f t="shared" si="139"/>
        <v>0</v>
      </c>
      <c r="Q731" s="112">
        <f t="shared" si="140"/>
        <v>0</v>
      </c>
      <c r="R731" s="112" t="str">
        <f t="shared" si="141"/>
        <v>Standard-size</v>
      </c>
      <c r="S731" s="99" t="str">
        <f t="shared" si="142"/>
        <v>Small standard-size</v>
      </c>
      <c r="T731" s="116" t="s">
        <v>13696</v>
      </c>
      <c r="U731" s="116">
        <f t="shared" si="143"/>
        <v>0</v>
      </c>
      <c r="V731" s="116" t="s">
        <v>13583</v>
      </c>
      <c r="W731" s="116" t="s">
        <v>13690</v>
      </c>
      <c r="X731" s="99" t="s">
        <v>13583</v>
      </c>
      <c r="Y731" s="99">
        <v>1</v>
      </c>
      <c r="Z731" s="99">
        <v>1</v>
      </c>
      <c r="AA731" s="99">
        <v>1</v>
      </c>
      <c r="AB731" s="99"/>
      <c r="AC731" s="99"/>
      <c r="AD731" s="107">
        <v>0</v>
      </c>
      <c r="AE731" s="113">
        <f t="shared" si="144"/>
        <v>0</v>
      </c>
      <c r="AF731" s="116">
        <f>-IFERROR(IFERROR(VLOOKUP(ROUNDUP($Q731,0),'FBA FEES'!$L$2:$Q$203,MATCH($S731,'FBA FEES'!$L$2:$Q$2,0),FALSE),VLOOKUP(ROUNDUP($Q731,0),'FBA FEES'!$C$6:$F$123,MATCH($S731,'FBA FEES'!$C$6:$F$6,0),FALSE)),0)</f>
        <v>0</v>
      </c>
      <c r="AG731" s="116">
        <v>-10</v>
      </c>
      <c r="AH731" s="113">
        <f t="shared" si="145"/>
        <v>0</v>
      </c>
      <c r="AI731" s="116">
        <f>-IFERROR(IF($Y731=1,INDEX('[1]REMOVAL FEES'!$A$1:$C$22,MATCH(CONCATENATE("Standard Size",$P731),'[1]REMOVAL FEES'!$A$1:$A$22,0),3),IF($Y731=2,IF($P731&gt;10,(($P731-10)*1.06)+INDEX('[1]REMOVAL FEES'!$E$1:$G$22,MATCH(CONCATENATE("Large bulky, extra-large and special handling items",IF($P731&gt;=11,11,$P731)),'[1]REMOVAL FEES'!$E$1:$E$13,0),3),INDEX('[1]REMOVAL FEES'!$E$1:$G$22,MATCH(CONCATENATE("Large bulky, extra-large and special handling items",IF($P731&gt;=11,11,$P731)),'[1]REMOVAL FEES'!$E$1:$E$13,0),3))))*$AA731,FALSE)</f>
        <v>0</v>
      </c>
      <c r="AJ731" s="107">
        <f t="shared" si="146"/>
        <v>0</v>
      </c>
      <c r="AK731" s="107">
        <v>0</v>
      </c>
      <c r="AL731" s="107">
        <v>0</v>
      </c>
      <c r="AM731" s="107">
        <f t="shared" si="147"/>
        <v>0</v>
      </c>
      <c r="AN731" s="116">
        <f>(-IF($V731="Yes", IF($X731="Yes", VLOOKUP($W731, '[1]Storage Fees'!A:M, 13, FALSE), VLOOKUP($W731, '[1]Storage Fees'!A:M, 10, FALSE)), IF($X731="Yes", VLOOKUP($W731, '[1]Storage Fees'!A:M, 7, FALSE), VLOOKUP($W731, '[1]Storage Fees'!A:M, 4, FALSE))) * U731)*1.5</f>
        <v>0</v>
      </c>
    </row>
    <row r="732" spans="1:40" x14ac:dyDescent="0.25">
      <c r="A732" s="99">
        <v>660</v>
      </c>
      <c r="B732" s="99"/>
      <c r="C732" s="99" t="s">
        <v>13655</v>
      </c>
      <c r="D732" s="99"/>
      <c r="E732" s="99" t="s">
        <v>1290</v>
      </c>
      <c r="F732" s="99" t="s">
        <v>2105</v>
      </c>
      <c r="G732" s="99" t="s">
        <v>13695</v>
      </c>
      <c r="H732" s="99">
        <v>0</v>
      </c>
      <c r="I732" s="99">
        <v>0</v>
      </c>
      <c r="J732" s="99">
        <v>0</v>
      </c>
      <c r="K732" s="101" t="str">
        <f t="shared" si="135"/>
        <v>0x0x0</v>
      </c>
      <c r="L732" s="102">
        <f t="shared" si="136"/>
        <v>0</v>
      </c>
      <c r="M732" s="113">
        <f t="shared" si="137"/>
        <v>0</v>
      </c>
      <c r="N732" s="113">
        <f t="shared" si="138"/>
        <v>0</v>
      </c>
      <c r="O732" s="99">
        <v>0</v>
      </c>
      <c r="P732" s="113">
        <f t="shared" si="139"/>
        <v>0</v>
      </c>
      <c r="Q732" s="112">
        <f t="shared" si="140"/>
        <v>0</v>
      </c>
      <c r="R732" s="112" t="str">
        <f t="shared" si="141"/>
        <v>Standard-size</v>
      </c>
      <c r="S732" s="99" t="str">
        <f t="shared" si="142"/>
        <v>Small standard-size</v>
      </c>
      <c r="T732" s="116" t="s">
        <v>13696</v>
      </c>
      <c r="U732" s="116">
        <f t="shared" si="143"/>
        <v>0</v>
      </c>
      <c r="V732" s="116" t="s">
        <v>13583</v>
      </c>
      <c r="W732" s="116" t="s">
        <v>13690</v>
      </c>
      <c r="X732" s="99" t="s">
        <v>13583</v>
      </c>
      <c r="Y732" s="99">
        <v>1</v>
      </c>
      <c r="Z732" s="99">
        <v>1</v>
      </c>
      <c r="AA732" s="99">
        <v>1</v>
      </c>
      <c r="AB732" s="99"/>
      <c r="AC732" s="99"/>
      <c r="AD732" s="107">
        <v>0</v>
      </c>
      <c r="AE732" s="113">
        <f t="shared" si="144"/>
        <v>0</v>
      </c>
      <c r="AF732" s="116">
        <f>-IFERROR(IFERROR(VLOOKUP(ROUNDUP($Q732,0),'FBA FEES'!$L$2:$Q$203,MATCH($S732,'FBA FEES'!$L$2:$Q$2,0),FALSE),VLOOKUP(ROUNDUP($Q732,0),'FBA FEES'!$C$6:$F$123,MATCH($S732,'FBA FEES'!$C$6:$F$6,0),FALSE)),0)</f>
        <v>0</v>
      </c>
      <c r="AG732" s="116">
        <v>-10</v>
      </c>
      <c r="AH732" s="113">
        <f t="shared" si="145"/>
        <v>0</v>
      </c>
      <c r="AI732" s="116">
        <f>-IFERROR(IF($Y732=1,INDEX('[1]REMOVAL FEES'!$A$1:$C$22,MATCH(CONCATENATE("Standard Size",$P732),'[1]REMOVAL FEES'!$A$1:$A$22,0),3),IF($Y732=2,IF($P732&gt;10,(($P732-10)*1.06)+INDEX('[1]REMOVAL FEES'!$E$1:$G$22,MATCH(CONCATENATE("Large bulky, extra-large and special handling items",IF($P732&gt;=11,11,$P732)),'[1]REMOVAL FEES'!$E$1:$E$13,0),3),INDEX('[1]REMOVAL FEES'!$E$1:$G$22,MATCH(CONCATENATE("Large bulky, extra-large and special handling items",IF($P732&gt;=11,11,$P732)),'[1]REMOVAL FEES'!$E$1:$E$13,0),3))))*$AA732,FALSE)</f>
        <v>0</v>
      </c>
      <c r="AJ732" s="107">
        <f t="shared" si="146"/>
        <v>0</v>
      </c>
      <c r="AK732" s="107">
        <v>0</v>
      </c>
      <c r="AL732" s="107">
        <v>0</v>
      </c>
      <c r="AM732" s="107">
        <f t="shared" si="147"/>
        <v>0</v>
      </c>
      <c r="AN732" s="116">
        <f>(-IF($V732="Yes", IF($X732="Yes", VLOOKUP($W732, '[1]Storage Fees'!A:M, 13, FALSE), VLOOKUP($W732, '[1]Storage Fees'!A:M, 10, FALSE)), IF($X732="Yes", VLOOKUP($W732, '[1]Storage Fees'!A:M, 7, FALSE), VLOOKUP($W732, '[1]Storage Fees'!A:M, 4, FALSE))) * U732)*1.5</f>
        <v>0</v>
      </c>
    </row>
    <row r="733" spans="1:40" x14ac:dyDescent="0.25">
      <c r="A733" s="99">
        <v>661</v>
      </c>
      <c r="B733" s="99"/>
      <c r="C733" s="99" t="s">
        <v>13655</v>
      </c>
      <c r="D733" s="99"/>
      <c r="E733" s="99" t="s">
        <v>1290</v>
      </c>
      <c r="F733" s="99" t="s">
        <v>2107</v>
      </c>
      <c r="G733" s="99" t="s">
        <v>13695</v>
      </c>
      <c r="H733" s="99">
        <v>0</v>
      </c>
      <c r="I733" s="99">
        <v>0</v>
      </c>
      <c r="J733" s="99">
        <v>0</v>
      </c>
      <c r="K733" s="101" t="str">
        <f t="shared" si="135"/>
        <v>0x0x0</v>
      </c>
      <c r="L733" s="102">
        <f t="shared" si="136"/>
        <v>0</v>
      </c>
      <c r="M733" s="113">
        <f t="shared" si="137"/>
        <v>0</v>
      </c>
      <c r="N733" s="113">
        <f t="shared" si="138"/>
        <v>0</v>
      </c>
      <c r="O733" s="99">
        <v>0</v>
      </c>
      <c r="P733" s="113">
        <f t="shared" si="139"/>
        <v>0</v>
      </c>
      <c r="Q733" s="112">
        <f t="shared" si="140"/>
        <v>0</v>
      </c>
      <c r="R733" s="112" t="str">
        <f t="shared" si="141"/>
        <v>Standard-size</v>
      </c>
      <c r="S733" s="99" t="str">
        <f t="shared" si="142"/>
        <v>Small standard-size</v>
      </c>
      <c r="T733" s="116" t="s">
        <v>13696</v>
      </c>
      <c r="U733" s="116">
        <f t="shared" si="143"/>
        <v>0</v>
      </c>
      <c r="V733" s="116" t="s">
        <v>13583</v>
      </c>
      <c r="W733" s="116" t="s">
        <v>13690</v>
      </c>
      <c r="X733" s="99" t="s">
        <v>13583</v>
      </c>
      <c r="Y733" s="99">
        <v>1</v>
      </c>
      <c r="Z733" s="99">
        <v>1</v>
      </c>
      <c r="AA733" s="99">
        <v>1</v>
      </c>
      <c r="AB733" s="99"/>
      <c r="AC733" s="99"/>
      <c r="AD733" s="107">
        <v>0</v>
      </c>
      <c r="AE733" s="113">
        <f t="shared" si="144"/>
        <v>0</v>
      </c>
      <c r="AF733" s="116">
        <f>-IFERROR(IFERROR(VLOOKUP(ROUNDUP($Q733,0),'FBA FEES'!$L$2:$Q$203,MATCH($S733,'FBA FEES'!$L$2:$Q$2,0),FALSE),VLOOKUP(ROUNDUP($Q733,0),'FBA FEES'!$C$6:$F$123,MATCH($S733,'FBA FEES'!$C$6:$F$6,0),FALSE)),0)</f>
        <v>0</v>
      </c>
      <c r="AG733" s="116">
        <v>-10</v>
      </c>
      <c r="AH733" s="113">
        <f t="shared" si="145"/>
        <v>0</v>
      </c>
      <c r="AI733" s="116">
        <f>-IFERROR(IF($Y733=1,INDEX('[1]REMOVAL FEES'!$A$1:$C$22,MATCH(CONCATENATE("Standard Size",$P733),'[1]REMOVAL FEES'!$A$1:$A$22,0),3),IF($Y733=2,IF($P733&gt;10,(($P733-10)*1.06)+INDEX('[1]REMOVAL FEES'!$E$1:$G$22,MATCH(CONCATENATE("Large bulky, extra-large and special handling items",IF($P733&gt;=11,11,$P733)),'[1]REMOVAL FEES'!$E$1:$E$13,0),3),INDEX('[1]REMOVAL FEES'!$E$1:$G$22,MATCH(CONCATENATE("Large bulky, extra-large and special handling items",IF($P733&gt;=11,11,$P733)),'[1]REMOVAL FEES'!$E$1:$E$13,0),3))))*$AA733,FALSE)</f>
        <v>0</v>
      </c>
      <c r="AJ733" s="107">
        <f t="shared" si="146"/>
        <v>0</v>
      </c>
      <c r="AK733" s="107">
        <v>0</v>
      </c>
      <c r="AL733" s="107">
        <v>0</v>
      </c>
      <c r="AM733" s="107">
        <f t="shared" si="147"/>
        <v>0</v>
      </c>
      <c r="AN733" s="116">
        <f>(-IF($V733="Yes", IF($X733="Yes", VLOOKUP($W733, '[1]Storage Fees'!A:M, 13, FALSE), VLOOKUP($W733, '[1]Storage Fees'!A:M, 10, FALSE)), IF($X733="Yes", VLOOKUP($W733, '[1]Storage Fees'!A:M, 7, FALSE), VLOOKUP($W733, '[1]Storage Fees'!A:M, 4, FALSE))) * U733)*1.5</f>
        <v>0</v>
      </c>
    </row>
    <row r="734" spans="1:40" x14ac:dyDescent="0.25">
      <c r="A734" s="99">
        <v>662</v>
      </c>
      <c r="B734" s="99"/>
      <c r="C734" s="99" t="s">
        <v>13655</v>
      </c>
      <c r="D734" s="99"/>
      <c r="E734" s="99" t="s">
        <v>1290</v>
      </c>
      <c r="F734" s="99" t="s">
        <v>2109</v>
      </c>
      <c r="G734" s="99" t="s">
        <v>13695</v>
      </c>
      <c r="H734" s="99">
        <v>0</v>
      </c>
      <c r="I734" s="99">
        <v>0</v>
      </c>
      <c r="J734" s="99">
        <v>0</v>
      </c>
      <c r="K734" s="101" t="str">
        <f t="shared" si="135"/>
        <v>0x0x0</v>
      </c>
      <c r="L734" s="102">
        <f t="shared" si="136"/>
        <v>0</v>
      </c>
      <c r="M734" s="113">
        <f t="shared" si="137"/>
        <v>0</v>
      </c>
      <c r="N734" s="113">
        <f t="shared" si="138"/>
        <v>0</v>
      </c>
      <c r="O734" s="99">
        <v>0</v>
      </c>
      <c r="P734" s="113">
        <f t="shared" si="139"/>
        <v>0</v>
      </c>
      <c r="Q734" s="112">
        <f t="shared" si="140"/>
        <v>0</v>
      </c>
      <c r="R734" s="112" t="str">
        <f t="shared" si="141"/>
        <v>Standard-size</v>
      </c>
      <c r="S734" s="99" t="str">
        <f t="shared" si="142"/>
        <v>Small standard-size</v>
      </c>
      <c r="T734" s="116" t="s">
        <v>13696</v>
      </c>
      <c r="U734" s="116">
        <f t="shared" si="143"/>
        <v>0</v>
      </c>
      <c r="V734" s="116" t="s">
        <v>13583</v>
      </c>
      <c r="W734" s="116" t="s">
        <v>13690</v>
      </c>
      <c r="X734" s="99" t="s">
        <v>13583</v>
      </c>
      <c r="Y734" s="99">
        <v>1</v>
      </c>
      <c r="Z734" s="99">
        <v>1</v>
      </c>
      <c r="AA734" s="99">
        <v>1</v>
      </c>
      <c r="AB734" s="99"/>
      <c r="AC734" s="99"/>
      <c r="AD734" s="107">
        <v>0</v>
      </c>
      <c r="AE734" s="113">
        <f t="shared" si="144"/>
        <v>0</v>
      </c>
      <c r="AF734" s="116">
        <f>-IFERROR(IFERROR(VLOOKUP(ROUNDUP($Q734,0),'FBA FEES'!$L$2:$Q$203,MATCH($S734,'FBA FEES'!$L$2:$Q$2,0),FALSE),VLOOKUP(ROUNDUP($Q734,0),'FBA FEES'!$C$6:$F$123,MATCH($S734,'FBA FEES'!$C$6:$F$6,0),FALSE)),0)</f>
        <v>0</v>
      </c>
      <c r="AG734" s="116">
        <v>-10</v>
      </c>
      <c r="AH734" s="113">
        <f t="shared" si="145"/>
        <v>0</v>
      </c>
      <c r="AI734" s="116">
        <f>-IFERROR(IF($Y734=1,INDEX('[1]REMOVAL FEES'!$A$1:$C$22,MATCH(CONCATENATE("Standard Size",$P734),'[1]REMOVAL FEES'!$A$1:$A$22,0),3),IF($Y734=2,IF($P734&gt;10,(($P734-10)*1.06)+INDEX('[1]REMOVAL FEES'!$E$1:$G$22,MATCH(CONCATENATE("Large bulky, extra-large and special handling items",IF($P734&gt;=11,11,$P734)),'[1]REMOVAL FEES'!$E$1:$E$13,0),3),INDEX('[1]REMOVAL FEES'!$E$1:$G$22,MATCH(CONCATENATE("Large bulky, extra-large and special handling items",IF($P734&gt;=11,11,$P734)),'[1]REMOVAL FEES'!$E$1:$E$13,0),3))))*$AA734,FALSE)</f>
        <v>0</v>
      </c>
      <c r="AJ734" s="107">
        <f t="shared" si="146"/>
        <v>0</v>
      </c>
      <c r="AK734" s="107">
        <v>0</v>
      </c>
      <c r="AL734" s="107">
        <v>0</v>
      </c>
      <c r="AM734" s="107">
        <f t="shared" si="147"/>
        <v>0</v>
      </c>
      <c r="AN734" s="116">
        <f>(-IF($V734="Yes", IF($X734="Yes", VLOOKUP($W734, '[1]Storage Fees'!A:M, 13, FALSE), VLOOKUP($W734, '[1]Storage Fees'!A:M, 10, FALSE)), IF($X734="Yes", VLOOKUP($W734, '[1]Storage Fees'!A:M, 7, FALSE), VLOOKUP($W734, '[1]Storage Fees'!A:M, 4, FALSE))) * U734)*1.5</f>
        <v>0</v>
      </c>
    </row>
    <row r="735" spans="1:40" x14ac:dyDescent="0.25">
      <c r="A735" s="99">
        <v>663</v>
      </c>
      <c r="B735" s="99"/>
      <c r="C735" s="99" t="s">
        <v>13655</v>
      </c>
      <c r="D735" s="99"/>
      <c r="E735" s="99" t="s">
        <v>1290</v>
      </c>
      <c r="F735" s="99" t="s">
        <v>2111</v>
      </c>
      <c r="G735" s="99" t="s">
        <v>13695</v>
      </c>
      <c r="H735" s="99">
        <v>0</v>
      </c>
      <c r="I735" s="99">
        <v>0</v>
      </c>
      <c r="J735" s="99">
        <v>0</v>
      </c>
      <c r="K735" s="101" t="str">
        <f t="shared" si="135"/>
        <v>0x0x0</v>
      </c>
      <c r="L735" s="102">
        <f t="shared" si="136"/>
        <v>0</v>
      </c>
      <c r="M735" s="113">
        <f t="shared" si="137"/>
        <v>0</v>
      </c>
      <c r="N735" s="113">
        <f t="shared" si="138"/>
        <v>0</v>
      </c>
      <c r="O735" s="99">
        <v>0</v>
      </c>
      <c r="P735" s="113">
        <f t="shared" si="139"/>
        <v>0</v>
      </c>
      <c r="Q735" s="112">
        <f t="shared" si="140"/>
        <v>0</v>
      </c>
      <c r="R735" s="112" t="str">
        <f t="shared" si="141"/>
        <v>Standard-size</v>
      </c>
      <c r="S735" s="99" t="str">
        <f t="shared" si="142"/>
        <v>Small standard-size</v>
      </c>
      <c r="T735" s="116" t="s">
        <v>13696</v>
      </c>
      <c r="U735" s="116">
        <f t="shared" si="143"/>
        <v>0</v>
      </c>
      <c r="V735" s="116" t="s">
        <v>13583</v>
      </c>
      <c r="W735" s="116" t="s">
        <v>13690</v>
      </c>
      <c r="X735" s="99" t="s">
        <v>13583</v>
      </c>
      <c r="Y735" s="99">
        <v>1</v>
      </c>
      <c r="Z735" s="99">
        <v>1</v>
      </c>
      <c r="AA735" s="99">
        <v>1</v>
      </c>
      <c r="AB735" s="99"/>
      <c r="AC735" s="99"/>
      <c r="AD735" s="107">
        <v>0</v>
      </c>
      <c r="AE735" s="113">
        <f t="shared" si="144"/>
        <v>0</v>
      </c>
      <c r="AF735" s="116">
        <f>-IFERROR(IFERROR(VLOOKUP(ROUNDUP($Q735,0),'FBA FEES'!$L$2:$Q$203,MATCH($S735,'FBA FEES'!$L$2:$Q$2,0),FALSE),VLOOKUP(ROUNDUP($Q735,0),'FBA FEES'!$C$6:$F$123,MATCH($S735,'FBA FEES'!$C$6:$F$6,0),FALSE)),0)</f>
        <v>0</v>
      </c>
      <c r="AG735" s="116">
        <v>-10</v>
      </c>
      <c r="AH735" s="113">
        <f t="shared" si="145"/>
        <v>0</v>
      </c>
      <c r="AI735" s="116">
        <f>-IFERROR(IF($Y735=1,INDEX('[1]REMOVAL FEES'!$A$1:$C$22,MATCH(CONCATENATE("Standard Size",$P735),'[1]REMOVAL FEES'!$A$1:$A$22,0),3),IF($Y735=2,IF($P735&gt;10,(($P735-10)*1.06)+INDEX('[1]REMOVAL FEES'!$E$1:$G$22,MATCH(CONCATENATE("Large bulky, extra-large and special handling items",IF($P735&gt;=11,11,$P735)),'[1]REMOVAL FEES'!$E$1:$E$13,0),3),INDEX('[1]REMOVAL FEES'!$E$1:$G$22,MATCH(CONCATENATE("Large bulky, extra-large and special handling items",IF($P735&gt;=11,11,$P735)),'[1]REMOVAL FEES'!$E$1:$E$13,0),3))))*$AA735,FALSE)</f>
        <v>0</v>
      </c>
      <c r="AJ735" s="107">
        <f t="shared" si="146"/>
        <v>0</v>
      </c>
      <c r="AK735" s="107">
        <v>0</v>
      </c>
      <c r="AL735" s="107">
        <v>0</v>
      </c>
      <c r="AM735" s="107">
        <f t="shared" si="147"/>
        <v>0</v>
      </c>
      <c r="AN735" s="116">
        <f>(-IF($V735="Yes", IF($X735="Yes", VLOOKUP($W735, '[1]Storage Fees'!A:M, 13, FALSE), VLOOKUP($W735, '[1]Storage Fees'!A:M, 10, FALSE)), IF($X735="Yes", VLOOKUP($W735, '[1]Storage Fees'!A:M, 7, FALSE), VLOOKUP($W735, '[1]Storage Fees'!A:M, 4, FALSE))) * U735)*1.5</f>
        <v>0</v>
      </c>
    </row>
    <row r="736" spans="1:40" x14ac:dyDescent="0.25">
      <c r="A736" s="99">
        <v>664</v>
      </c>
      <c r="B736" s="99"/>
      <c r="C736" s="99" t="s">
        <v>13655</v>
      </c>
      <c r="D736" s="99"/>
      <c r="E736" s="99" t="s">
        <v>1290</v>
      </c>
      <c r="F736" s="99" t="s">
        <v>2113</v>
      </c>
      <c r="G736" s="99" t="s">
        <v>13695</v>
      </c>
      <c r="H736" s="99">
        <v>0</v>
      </c>
      <c r="I736" s="99">
        <v>0</v>
      </c>
      <c r="J736" s="99">
        <v>0</v>
      </c>
      <c r="K736" s="101" t="str">
        <f t="shared" si="135"/>
        <v>0x0x0</v>
      </c>
      <c r="L736" s="102">
        <f t="shared" si="136"/>
        <v>0</v>
      </c>
      <c r="M736" s="113">
        <f t="shared" si="137"/>
        <v>0</v>
      </c>
      <c r="N736" s="113">
        <f t="shared" si="138"/>
        <v>0</v>
      </c>
      <c r="O736" s="99">
        <v>0</v>
      </c>
      <c r="P736" s="113">
        <f t="shared" si="139"/>
        <v>0</v>
      </c>
      <c r="Q736" s="112">
        <f t="shared" si="140"/>
        <v>0</v>
      </c>
      <c r="R736" s="112" t="str">
        <f t="shared" si="141"/>
        <v>Standard-size</v>
      </c>
      <c r="S736" s="99" t="str">
        <f t="shared" si="142"/>
        <v>Small standard-size</v>
      </c>
      <c r="T736" s="116" t="s">
        <v>13696</v>
      </c>
      <c r="U736" s="116">
        <f t="shared" si="143"/>
        <v>0</v>
      </c>
      <c r="V736" s="116" t="s">
        <v>13583</v>
      </c>
      <c r="W736" s="116" t="s">
        <v>13690</v>
      </c>
      <c r="X736" s="99" t="s">
        <v>13583</v>
      </c>
      <c r="Y736" s="99">
        <v>1</v>
      </c>
      <c r="Z736" s="99">
        <v>1</v>
      </c>
      <c r="AA736" s="99">
        <v>1</v>
      </c>
      <c r="AB736" s="99"/>
      <c r="AC736" s="99"/>
      <c r="AD736" s="107">
        <v>0</v>
      </c>
      <c r="AE736" s="113">
        <f t="shared" si="144"/>
        <v>0</v>
      </c>
      <c r="AF736" s="116">
        <f>-IFERROR(IFERROR(VLOOKUP(ROUNDUP($Q736,0),'FBA FEES'!$L$2:$Q$203,MATCH($S736,'FBA FEES'!$L$2:$Q$2,0),FALSE),VLOOKUP(ROUNDUP($Q736,0),'FBA FEES'!$C$6:$F$123,MATCH($S736,'FBA FEES'!$C$6:$F$6,0),FALSE)),0)</f>
        <v>0</v>
      </c>
      <c r="AG736" s="116">
        <v>-10</v>
      </c>
      <c r="AH736" s="113">
        <f t="shared" si="145"/>
        <v>0</v>
      </c>
      <c r="AI736" s="116">
        <f>-IFERROR(IF($Y736=1,INDEX('[1]REMOVAL FEES'!$A$1:$C$22,MATCH(CONCATENATE("Standard Size",$P736),'[1]REMOVAL FEES'!$A$1:$A$22,0),3),IF($Y736=2,IF($P736&gt;10,(($P736-10)*1.06)+INDEX('[1]REMOVAL FEES'!$E$1:$G$22,MATCH(CONCATENATE("Large bulky, extra-large and special handling items",IF($P736&gt;=11,11,$P736)),'[1]REMOVAL FEES'!$E$1:$E$13,0),3),INDEX('[1]REMOVAL FEES'!$E$1:$G$22,MATCH(CONCATENATE("Large bulky, extra-large and special handling items",IF($P736&gt;=11,11,$P736)),'[1]REMOVAL FEES'!$E$1:$E$13,0),3))))*$AA736,FALSE)</f>
        <v>0</v>
      </c>
      <c r="AJ736" s="107">
        <f t="shared" si="146"/>
        <v>0</v>
      </c>
      <c r="AK736" s="107">
        <v>0</v>
      </c>
      <c r="AL736" s="107">
        <v>0</v>
      </c>
      <c r="AM736" s="107">
        <f t="shared" si="147"/>
        <v>0</v>
      </c>
      <c r="AN736" s="116">
        <f>(-IF($V736="Yes", IF($X736="Yes", VLOOKUP($W736, '[1]Storage Fees'!A:M, 13, FALSE), VLOOKUP($W736, '[1]Storage Fees'!A:M, 10, FALSE)), IF($X736="Yes", VLOOKUP($W736, '[1]Storage Fees'!A:M, 7, FALSE), VLOOKUP($W736, '[1]Storage Fees'!A:M, 4, FALSE))) * U736)*1.5</f>
        <v>0</v>
      </c>
    </row>
    <row r="737" spans="1:40" x14ac:dyDescent="0.25">
      <c r="A737" s="99">
        <v>665</v>
      </c>
      <c r="B737" s="99"/>
      <c r="C737" s="99" t="s">
        <v>13655</v>
      </c>
      <c r="D737" s="99"/>
      <c r="E737" s="99" t="s">
        <v>1290</v>
      </c>
      <c r="F737" s="99" t="s">
        <v>2115</v>
      </c>
      <c r="G737" s="99" t="s">
        <v>13695</v>
      </c>
      <c r="H737" s="99">
        <v>0</v>
      </c>
      <c r="I737" s="99">
        <v>0</v>
      </c>
      <c r="J737" s="99">
        <v>0</v>
      </c>
      <c r="K737" s="101" t="str">
        <f t="shared" si="135"/>
        <v>0x0x0</v>
      </c>
      <c r="L737" s="102">
        <f t="shared" si="136"/>
        <v>0</v>
      </c>
      <c r="M737" s="113">
        <f t="shared" si="137"/>
        <v>0</v>
      </c>
      <c r="N737" s="113">
        <f t="shared" si="138"/>
        <v>0</v>
      </c>
      <c r="O737" s="99">
        <v>0</v>
      </c>
      <c r="P737" s="113">
        <f t="shared" si="139"/>
        <v>0</v>
      </c>
      <c r="Q737" s="112">
        <f t="shared" si="140"/>
        <v>0</v>
      </c>
      <c r="R737" s="112" t="str">
        <f t="shared" si="141"/>
        <v>Standard-size</v>
      </c>
      <c r="S737" s="99" t="str">
        <f t="shared" si="142"/>
        <v>Small standard-size</v>
      </c>
      <c r="T737" s="116" t="s">
        <v>13696</v>
      </c>
      <c r="U737" s="116">
        <f t="shared" si="143"/>
        <v>0</v>
      </c>
      <c r="V737" s="116" t="s">
        <v>13583</v>
      </c>
      <c r="W737" s="116" t="s">
        <v>13690</v>
      </c>
      <c r="X737" s="99" t="s">
        <v>13583</v>
      </c>
      <c r="Y737" s="99">
        <v>1</v>
      </c>
      <c r="Z737" s="99">
        <v>1</v>
      </c>
      <c r="AA737" s="99">
        <v>1</v>
      </c>
      <c r="AB737" s="99"/>
      <c r="AC737" s="99"/>
      <c r="AD737" s="107">
        <v>0</v>
      </c>
      <c r="AE737" s="113">
        <f t="shared" si="144"/>
        <v>0</v>
      </c>
      <c r="AF737" s="116">
        <f>-IFERROR(IFERROR(VLOOKUP(ROUNDUP($Q737,0),'FBA FEES'!$L$2:$Q$203,MATCH($S737,'FBA FEES'!$L$2:$Q$2,0),FALSE),VLOOKUP(ROUNDUP($Q737,0),'FBA FEES'!$C$6:$F$123,MATCH($S737,'FBA FEES'!$C$6:$F$6,0),FALSE)),0)</f>
        <v>0</v>
      </c>
      <c r="AG737" s="116">
        <v>-10</v>
      </c>
      <c r="AH737" s="113">
        <f t="shared" si="145"/>
        <v>0</v>
      </c>
      <c r="AI737" s="116">
        <f>-IFERROR(IF($Y737=1,INDEX('[1]REMOVAL FEES'!$A$1:$C$22,MATCH(CONCATENATE("Standard Size",$P737),'[1]REMOVAL FEES'!$A$1:$A$22,0),3),IF($Y737=2,IF($P737&gt;10,(($P737-10)*1.06)+INDEX('[1]REMOVAL FEES'!$E$1:$G$22,MATCH(CONCATENATE("Large bulky, extra-large and special handling items",IF($P737&gt;=11,11,$P737)),'[1]REMOVAL FEES'!$E$1:$E$13,0),3),INDEX('[1]REMOVAL FEES'!$E$1:$G$22,MATCH(CONCATENATE("Large bulky, extra-large and special handling items",IF($P737&gt;=11,11,$P737)),'[1]REMOVAL FEES'!$E$1:$E$13,0),3))))*$AA737,FALSE)</f>
        <v>0</v>
      </c>
      <c r="AJ737" s="107">
        <f t="shared" si="146"/>
        <v>0</v>
      </c>
      <c r="AK737" s="107">
        <v>0</v>
      </c>
      <c r="AL737" s="107">
        <v>0</v>
      </c>
      <c r="AM737" s="107">
        <f t="shared" si="147"/>
        <v>0</v>
      </c>
      <c r="AN737" s="116">
        <f>(-IF($V737="Yes", IF($X737="Yes", VLOOKUP($W737, '[1]Storage Fees'!A:M, 13, FALSE), VLOOKUP($W737, '[1]Storage Fees'!A:M, 10, FALSE)), IF($X737="Yes", VLOOKUP($W737, '[1]Storage Fees'!A:M, 7, FALSE), VLOOKUP($W737, '[1]Storage Fees'!A:M, 4, FALSE))) * U737)*1.5</f>
        <v>0</v>
      </c>
    </row>
    <row r="738" spans="1:40" x14ac:dyDescent="0.25">
      <c r="A738" s="99">
        <v>666</v>
      </c>
      <c r="B738" s="99"/>
      <c r="C738" s="99" t="s">
        <v>13655</v>
      </c>
      <c r="D738" s="99"/>
      <c r="E738" s="99" t="s">
        <v>1290</v>
      </c>
      <c r="F738" s="99" t="s">
        <v>2117</v>
      </c>
      <c r="G738" s="99" t="s">
        <v>13695</v>
      </c>
      <c r="H738" s="99">
        <v>0</v>
      </c>
      <c r="I738" s="99">
        <v>0</v>
      </c>
      <c r="J738" s="99">
        <v>0</v>
      </c>
      <c r="K738" s="101" t="str">
        <f t="shared" si="135"/>
        <v>0x0x0</v>
      </c>
      <c r="L738" s="102">
        <f t="shared" si="136"/>
        <v>0</v>
      </c>
      <c r="M738" s="113">
        <f t="shared" si="137"/>
        <v>0</v>
      </c>
      <c r="N738" s="113">
        <f t="shared" si="138"/>
        <v>0</v>
      </c>
      <c r="O738" s="99">
        <v>0</v>
      </c>
      <c r="P738" s="113">
        <f t="shared" si="139"/>
        <v>0</v>
      </c>
      <c r="Q738" s="112">
        <f t="shared" si="140"/>
        <v>0</v>
      </c>
      <c r="R738" s="112" t="str">
        <f t="shared" si="141"/>
        <v>Standard-size</v>
      </c>
      <c r="S738" s="99" t="str">
        <f t="shared" si="142"/>
        <v>Small standard-size</v>
      </c>
      <c r="T738" s="116" t="s">
        <v>13696</v>
      </c>
      <c r="U738" s="116">
        <f t="shared" si="143"/>
        <v>0</v>
      </c>
      <c r="V738" s="116" t="s">
        <v>13583</v>
      </c>
      <c r="W738" s="116" t="s">
        <v>13690</v>
      </c>
      <c r="X738" s="99" t="s">
        <v>13583</v>
      </c>
      <c r="Y738" s="99">
        <v>1</v>
      </c>
      <c r="Z738" s="99">
        <v>1</v>
      </c>
      <c r="AA738" s="99">
        <v>1</v>
      </c>
      <c r="AB738" s="99"/>
      <c r="AC738" s="99"/>
      <c r="AD738" s="107">
        <v>0</v>
      </c>
      <c r="AE738" s="113">
        <f t="shared" si="144"/>
        <v>0</v>
      </c>
      <c r="AF738" s="116">
        <f>-IFERROR(IFERROR(VLOOKUP(ROUNDUP($Q738,0),'FBA FEES'!$L$2:$Q$203,MATCH($S738,'FBA FEES'!$L$2:$Q$2,0),FALSE),VLOOKUP(ROUNDUP($Q738,0),'FBA FEES'!$C$6:$F$123,MATCH($S738,'FBA FEES'!$C$6:$F$6,0),FALSE)),0)</f>
        <v>0</v>
      </c>
      <c r="AG738" s="116">
        <v>-10</v>
      </c>
      <c r="AH738" s="113">
        <f t="shared" si="145"/>
        <v>0</v>
      </c>
      <c r="AI738" s="116">
        <f>-IFERROR(IF($Y738=1,INDEX('[1]REMOVAL FEES'!$A$1:$C$22,MATCH(CONCATENATE("Standard Size",$P738),'[1]REMOVAL FEES'!$A$1:$A$22,0),3),IF($Y738=2,IF($P738&gt;10,(($P738-10)*1.06)+INDEX('[1]REMOVAL FEES'!$E$1:$G$22,MATCH(CONCATENATE("Large bulky, extra-large and special handling items",IF($P738&gt;=11,11,$P738)),'[1]REMOVAL FEES'!$E$1:$E$13,0),3),INDEX('[1]REMOVAL FEES'!$E$1:$G$22,MATCH(CONCATENATE("Large bulky, extra-large and special handling items",IF($P738&gt;=11,11,$P738)),'[1]REMOVAL FEES'!$E$1:$E$13,0),3))))*$AA738,FALSE)</f>
        <v>0</v>
      </c>
      <c r="AJ738" s="107">
        <f t="shared" si="146"/>
        <v>0</v>
      </c>
      <c r="AK738" s="107">
        <v>0</v>
      </c>
      <c r="AL738" s="107">
        <v>0</v>
      </c>
      <c r="AM738" s="107">
        <f t="shared" si="147"/>
        <v>0</v>
      </c>
      <c r="AN738" s="116">
        <f>(-IF($V738="Yes", IF($X738="Yes", VLOOKUP($W738, '[1]Storage Fees'!A:M, 13, FALSE), VLOOKUP($W738, '[1]Storage Fees'!A:M, 10, FALSE)), IF($X738="Yes", VLOOKUP($W738, '[1]Storage Fees'!A:M, 7, FALSE), VLOOKUP($W738, '[1]Storage Fees'!A:M, 4, FALSE))) * U738)*1.5</f>
        <v>0</v>
      </c>
    </row>
    <row r="739" spans="1:40" x14ac:dyDescent="0.25">
      <c r="A739" s="99">
        <v>667</v>
      </c>
      <c r="B739" s="99"/>
      <c r="C739" s="99" t="s">
        <v>13655</v>
      </c>
      <c r="D739" s="99"/>
      <c r="E739" s="99" t="s">
        <v>1290</v>
      </c>
      <c r="F739" s="99" t="s">
        <v>2119</v>
      </c>
      <c r="G739" s="99" t="s">
        <v>13695</v>
      </c>
      <c r="H739" s="99">
        <v>0</v>
      </c>
      <c r="I739" s="99">
        <v>0</v>
      </c>
      <c r="J739" s="99">
        <v>0</v>
      </c>
      <c r="K739" s="101" t="str">
        <f t="shared" si="135"/>
        <v>0x0x0</v>
      </c>
      <c r="L739" s="102">
        <f t="shared" si="136"/>
        <v>0</v>
      </c>
      <c r="M739" s="113">
        <f t="shared" si="137"/>
        <v>0</v>
      </c>
      <c r="N739" s="113">
        <f t="shared" si="138"/>
        <v>0</v>
      </c>
      <c r="O739" s="99">
        <v>0</v>
      </c>
      <c r="P739" s="113">
        <f t="shared" si="139"/>
        <v>0</v>
      </c>
      <c r="Q739" s="112">
        <f t="shared" si="140"/>
        <v>0</v>
      </c>
      <c r="R739" s="112" t="str">
        <f t="shared" si="141"/>
        <v>Standard-size</v>
      </c>
      <c r="S739" s="99" t="str">
        <f t="shared" si="142"/>
        <v>Small standard-size</v>
      </c>
      <c r="T739" s="116" t="s">
        <v>13696</v>
      </c>
      <c r="U739" s="116">
        <f t="shared" si="143"/>
        <v>0</v>
      </c>
      <c r="V739" s="116" t="s">
        <v>13583</v>
      </c>
      <c r="W739" s="116" t="s">
        <v>13690</v>
      </c>
      <c r="X739" s="99" t="s">
        <v>13583</v>
      </c>
      <c r="Y739" s="99">
        <v>1</v>
      </c>
      <c r="Z739" s="99">
        <v>1</v>
      </c>
      <c r="AA739" s="99">
        <v>1</v>
      </c>
      <c r="AB739" s="99"/>
      <c r="AC739" s="99"/>
      <c r="AD739" s="107">
        <v>0</v>
      </c>
      <c r="AE739" s="113">
        <f t="shared" si="144"/>
        <v>0</v>
      </c>
      <c r="AF739" s="116">
        <f>-IFERROR(IFERROR(VLOOKUP(ROUNDUP($Q739,0),'FBA FEES'!$L$2:$Q$203,MATCH($S739,'FBA FEES'!$L$2:$Q$2,0),FALSE),VLOOKUP(ROUNDUP($Q739,0),'FBA FEES'!$C$6:$F$123,MATCH($S739,'FBA FEES'!$C$6:$F$6,0),FALSE)),0)</f>
        <v>0</v>
      </c>
      <c r="AG739" s="116">
        <v>-10</v>
      </c>
      <c r="AH739" s="113">
        <f t="shared" si="145"/>
        <v>0</v>
      </c>
      <c r="AI739" s="116">
        <f>-IFERROR(IF($Y739=1,INDEX('[1]REMOVAL FEES'!$A$1:$C$22,MATCH(CONCATENATE("Standard Size",$P739),'[1]REMOVAL FEES'!$A$1:$A$22,0),3),IF($Y739=2,IF($P739&gt;10,(($P739-10)*1.06)+INDEX('[1]REMOVAL FEES'!$E$1:$G$22,MATCH(CONCATENATE("Large bulky, extra-large and special handling items",IF($P739&gt;=11,11,$P739)),'[1]REMOVAL FEES'!$E$1:$E$13,0),3),INDEX('[1]REMOVAL FEES'!$E$1:$G$22,MATCH(CONCATENATE("Large bulky, extra-large and special handling items",IF($P739&gt;=11,11,$P739)),'[1]REMOVAL FEES'!$E$1:$E$13,0),3))))*$AA739,FALSE)</f>
        <v>0</v>
      </c>
      <c r="AJ739" s="107">
        <f t="shared" si="146"/>
        <v>0</v>
      </c>
      <c r="AK739" s="107">
        <v>0</v>
      </c>
      <c r="AL739" s="107">
        <v>0</v>
      </c>
      <c r="AM739" s="107">
        <f t="shared" si="147"/>
        <v>0</v>
      </c>
      <c r="AN739" s="116">
        <f>(-IF($V739="Yes", IF($X739="Yes", VLOOKUP($W739, '[1]Storage Fees'!A:M, 13, FALSE), VLOOKUP($W739, '[1]Storage Fees'!A:M, 10, FALSE)), IF($X739="Yes", VLOOKUP($W739, '[1]Storage Fees'!A:M, 7, FALSE), VLOOKUP($W739, '[1]Storage Fees'!A:M, 4, FALSE))) * U739)*1.5</f>
        <v>0</v>
      </c>
    </row>
    <row r="740" spans="1:40" x14ac:dyDescent="0.25">
      <c r="A740" s="99">
        <v>668</v>
      </c>
      <c r="B740" s="99"/>
      <c r="C740" s="99" t="s">
        <v>13655</v>
      </c>
      <c r="D740" s="99"/>
      <c r="E740" s="99" t="s">
        <v>1290</v>
      </c>
      <c r="F740" s="99" t="s">
        <v>2121</v>
      </c>
      <c r="G740" s="99" t="s">
        <v>13695</v>
      </c>
      <c r="H740" s="99">
        <v>0</v>
      </c>
      <c r="I740" s="99">
        <v>0</v>
      </c>
      <c r="J740" s="99">
        <v>0</v>
      </c>
      <c r="K740" s="101" t="str">
        <f t="shared" si="135"/>
        <v>0x0x0</v>
      </c>
      <c r="L740" s="102">
        <f t="shared" si="136"/>
        <v>0</v>
      </c>
      <c r="M740" s="113">
        <f t="shared" si="137"/>
        <v>0</v>
      </c>
      <c r="N740" s="113">
        <f t="shared" si="138"/>
        <v>0</v>
      </c>
      <c r="O740" s="99">
        <v>0</v>
      </c>
      <c r="P740" s="113">
        <f t="shared" si="139"/>
        <v>0</v>
      </c>
      <c r="Q740" s="112">
        <f t="shared" si="140"/>
        <v>0</v>
      </c>
      <c r="R740" s="112" t="str">
        <f t="shared" si="141"/>
        <v>Standard-size</v>
      </c>
      <c r="S740" s="99" t="str">
        <f t="shared" si="142"/>
        <v>Small standard-size</v>
      </c>
      <c r="T740" s="116" t="s">
        <v>13696</v>
      </c>
      <c r="U740" s="116">
        <f t="shared" si="143"/>
        <v>0</v>
      </c>
      <c r="V740" s="116" t="s">
        <v>13583</v>
      </c>
      <c r="W740" s="116" t="s">
        <v>13690</v>
      </c>
      <c r="X740" s="99" t="s">
        <v>13583</v>
      </c>
      <c r="Y740" s="99">
        <v>1</v>
      </c>
      <c r="Z740" s="99">
        <v>1</v>
      </c>
      <c r="AA740" s="99">
        <v>1</v>
      </c>
      <c r="AB740" s="99"/>
      <c r="AC740" s="99"/>
      <c r="AD740" s="107">
        <v>0</v>
      </c>
      <c r="AE740" s="113">
        <f t="shared" si="144"/>
        <v>0</v>
      </c>
      <c r="AF740" s="116">
        <f>-IFERROR(IFERROR(VLOOKUP(ROUNDUP($Q740,0),'FBA FEES'!$L$2:$Q$203,MATCH($S740,'FBA FEES'!$L$2:$Q$2,0),FALSE),VLOOKUP(ROUNDUP($Q740,0),'FBA FEES'!$C$6:$F$123,MATCH($S740,'FBA FEES'!$C$6:$F$6,0),FALSE)),0)</f>
        <v>0</v>
      </c>
      <c r="AG740" s="116">
        <v>-10</v>
      </c>
      <c r="AH740" s="113">
        <f t="shared" si="145"/>
        <v>0</v>
      </c>
      <c r="AI740" s="116">
        <f>-IFERROR(IF($Y740=1,INDEX('[1]REMOVAL FEES'!$A$1:$C$22,MATCH(CONCATENATE("Standard Size",$P740),'[1]REMOVAL FEES'!$A$1:$A$22,0),3),IF($Y740=2,IF($P740&gt;10,(($P740-10)*1.06)+INDEX('[1]REMOVAL FEES'!$E$1:$G$22,MATCH(CONCATENATE("Large bulky, extra-large and special handling items",IF($P740&gt;=11,11,$P740)),'[1]REMOVAL FEES'!$E$1:$E$13,0),3),INDEX('[1]REMOVAL FEES'!$E$1:$G$22,MATCH(CONCATENATE("Large bulky, extra-large and special handling items",IF($P740&gt;=11,11,$P740)),'[1]REMOVAL FEES'!$E$1:$E$13,0),3))))*$AA740,FALSE)</f>
        <v>0</v>
      </c>
      <c r="AJ740" s="107">
        <f t="shared" si="146"/>
        <v>0</v>
      </c>
      <c r="AK740" s="107">
        <v>0</v>
      </c>
      <c r="AL740" s="107">
        <v>0</v>
      </c>
      <c r="AM740" s="107">
        <f t="shared" si="147"/>
        <v>0</v>
      </c>
      <c r="AN740" s="116">
        <f>(-IF($V740="Yes", IF($X740="Yes", VLOOKUP($W740, '[1]Storage Fees'!A:M, 13, FALSE), VLOOKUP($W740, '[1]Storage Fees'!A:M, 10, FALSE)), IF($X740="Yes", VLOOKUP($W740, '[1]Storage Fees'!A:M, 7, FALSE), VLOOKUP($W740, '[1]Storage Fees'!A:M, 4, FALSE))) * U740)*1.5</f>
        <v>0</v>
      </c>
    </row>
    <row r="741" spans="1:40" x14ac:dyDescent="0.25">
      <c r="A741" s="99">
        <v>669</v>
      </c>
      <c r="B741" s="99"/>
      <c r="C741" s="99" t="s">
        <v>13655</v>
      </c>
      <c r="D741" s="99"/>
      <c r="E741" s="99" t="s">
        <v>1290</v>
      </c>
      <c r="F741" s="99" t="s">
        <v>2123</v>
      </c>
      <c r="G741" s="99" t="s">
        <v>13695</v>
      </c>
      <c r="H741" s="99">
        <v>0</v>
      </c>
      <c r="I741" s="99">
        <v>0</v>
      </c>
      <c r="J741" s="99">
        <v>0</v>
      </c>
      <c r="K741" s="101" t="str">
        <f t="shared" si="135"/>
        <v>0x0x0</v>
      </c>
      <c r="L741" s="102">
        <f t="shared" si="136"/>
        <v>0</v>
      </c>
      <c r="M741" s="113">
        <f t="shared" si="137"/>
        <v>0</v>
      </c>
      <c r="N741" s="113">
        <f t="shared" si="138"/>
        <v>0</v>
      </c>
      <c r="O741" s="99">
        <v>0</v>
      </c>
      <c r="P741" s="113">
        <f t="shared" si="139"/>
        <v>0</v>
      </c>
      <c r="Q741" s="112">
        <f t="shared" si="140"/>
        <v>0</v>
      </c>
      <c r="R741" s="112" t="str">
        <f t="shared" si="141"/>
        <v>Standard-size</v>
      </c>
      <c r="S741" s="99" t="str">
        <f t="shared" si="142"/>
        <v>Small standard-size</v>
      </c>
      <c r="T741" s="116" t="s">
        <v>13696</v>
      </c>
      <c r="U741" s="116">
        <f t="shared" si="143"/>
        <v>0</v>
      </c>
      <c r="V741" s="116" t="s">
        <v>13583</v>
      </c>
      <c r="W741" s="116" t="s">
        <v>13690</v>
      </c>
      <c r="X741" s="99" t="s">
        <v>13583</v>
      </c>
      <c r="Y741" s="99">
        <v>1</v>
      </c>
      <c r="Z741" s="99">
        <v>1</v>
      </c>
      <c r="AA741" s="99">
        <v>1</v>
      </c>
      <c r="AB741" s="99"/>
      <c r="AC741" s="99"/>
      <c r="AD741" s="107">
        <v>0</v>
      </c>
      <c r="AE741" s="113">
        <f t="shared" si="144"/>
        <v>0</v>
      </c>
      <c r="AF741" s="116">
        <f>-IFERROR(IFERROR(VLOOKUP(ROUNDUP($Q741,0),'FBA FEES'!$L$2:$Q$203,MATCH($S741,'FBA FEES'!$L$2:$Q$2,0),FALSE),VLOOKUP(ROUNDUP($Q741,0),'FBA FEES'!$C$6:$F$123,MATCH($S741,'FBA FEES'!$C$6:$F$6,0),FALSE)),0)</f>
        <v>0</v>
      </c>
      <c r="AG741" s="116">
        <v>-10</v>
      </c>
      <c r="AH741" s="113">
        <f t="shared" si="145"/>
        <v>0</v>
      </c>
      <c r="AI741" s="116">
        <f>-IFERROR(IF($Y741=1,INDEX('[1]REMOVAL FEES'!$A$1:$C$22,MATCH(CONCATENATE("Standard Size",$P741),'[1]REMOVAL FEES'!$A$1:$A$22,0),3),IF($Y741=2,IF($P741&gt;10,(($P741-10)*1.06)+INDEX('[1]REMOVAL FEES'!$E$1:$G$22,MATCH(CONCATENATE("Large bulky, extra-large and special handling items",IF($P741&gt;=11,11,$P741)),'[1]REMOVAL FEES'!$E$1:$E$13,0),3),INDEX('[1]REMOVAL FEES'!$E$1:$G$22,MATCH(CONCATENATE("Large bulky, extra-large and special handling items",IF($P741&gt;=11,11,$P741)),'[1]REMOVAL FEES'!$E$1:$E$13,0),3))))*$AA741,FALSE)</f>
        <v>0</v>
      </c>
      <c r="AJ741" s="107">
        <f t="shared" si="146"/>
        <v>0</v>
      </c>
      <c r="AK741" s="107">
        <v>0</v>
      </c>
      <c r="AL741" s="107">
        <v>0</v>
      </c>
      <c r="AM741" s="107">
        <f t="shared" si="147"/>
        <v>0</v>
      </c>
      <c r="AN741" s="116">
        <f>(-IF($V741="Yes", IF($X741="Yes", VLOOKUP($W741, '[1]Storage Fees'!A:M, 13, FALSE), VLOOKUP($W741, '[1]Storage Fees'!A:M, 10, FALSE)), IF($X741="Yes", VLOOKUP($W741, '[1]Storage Fees'!A:M, 7, FALSE), VLOOKUP($W741, '[1]Storage Fees'!A:M, 4, FALSE))) * U741)*1.5</f>
        <v>0</v>
      </c>
    </row>
    <row r="742" spans="1:40" x14ac:dyDescent="0.25">
      <c r="A742" s="99">
        <v>670</v>
      </c>
      <c r="B742" s="99"/>
      <c r="C742" s="99" t="s">
        <v>13655</v>
      </c>
      <c r="D742" s="99"/>
      <c r="E742" s="99" t="s">
        <v>1290</v>
      </c>
      <c r="F742" s="99" t="s">
        <v>2125</v>
      </c>
      <c r="G742" s="99" t="s">
        <v>13695</v>
      </c>
      <c r="H742" s="99">
        <v>0</v>
      </c>
      <c r="I742" s="99">
        <v>0</v>
      </c>
      <c r="J742" s="99">
        <v>0</v>
      </c>
      <c r="K742" s="101" t="str">
        <f t="shared" si="135"/>
        <v>0x0x0</v>
      </c>
      <c r="L742" s="102">
        <f t="shared" si="136"/>
        <v>0</v>
      </c>
      <c r="M742" s="113">
        <f t="shared" si="137"/>
        <v>0</v>
      </c>
      <c r="N742" s="113">
        <f t="shared" si="138"/>
        <v>0</v>
      </c>
      <c r="O742" s="99">
        <v>0</v>
      </c>
      <c r="P742" s="113">
        <f t="shared" si="139"/>
        <v>0</v>
      </c>
      <c r="Q742" s="112">
        <f t="shared" si="140"/>
        <v>0</v>
      </c>
      <c r="R742" s="112" t="str">
        <f t="shared" si="141"/>
        <v>Standard-size</v>
      </c>
      <c r="S742" s="99" t="str">
        <f t="shared" si="142"/>
        <v>Small standard-size</v>
      </c>
      <c r="T742" s="116" t="s">
        <v>13696</v>
      </c>
      <c r="U742" s="116">
        <f t="shared" si="143"/>
        <v>0</v>
      </c>
      <c r="V742" s="116" t="s">
        <v>13583</v>
      </c>
      <c r="W742" s="116" t="s">
        <v>13690</v>
      </c>
      <c r="X742" s="99" t="s">
        <v>13583</v>
      </c>
      <c r="Y742" s="99">
        <v>1</v>
      </c>
      <c r="Z742" s="99">
        <v>1</v>
      </c>
      <c r="AA742" s="99">
        <v>1</v>
      </c>
      <c r="AB742" s="99"/>
      <c r="AC742" s="99"/>
      <c r="AD742" s="107">
        <v>0</v>
      </c>
      <c r="AE742" s="113">
        <f t="shared" si="144"/>
        <v>0</v>
      </c>
      <c r="AF742" s="116">
        <f>-IFERROR(IFERROR(VLOOKUP(ROUNDUP($Q742,0),'FBA FEES'!$L$2:$Q$203,MATCH($S742,'FBA FEES'!$L$2:$Q$2,0),FALSE),VLOOKUP(ROUNDUP($Q742,0),'FBA FEES'!$C$6:$F$123,MATCH($S742,'FBA FEES'!$C$6:$F$6,0),FALSE)),0)</f>
        <v>0</v>
      </c>
      <c r="AG742" s="116">
        <v>-10</v>
      </c>
      <c r="AH742" s="113">
        <f t="shared" si="145"/>
        <v>0</v>
      </c>
      <c r="AI742" s="116">
        <f>-IFERROR(IF($Y742=1,INDEX('[1]REMOVAL FEES'!$A$1:$C$22,MATCH(CONCATENATE("Standard Size",$P742),'[1]REMOVAL FEES'!$A$1:$A$22,0),3),IF($Y742=2,IF($P742&gt;10,(($P742-10)*1.06)+INDEX('[1]REMOVAL FEES'!$E$1:$G$22,MATCH(CONCATENATE("Large bulky, extra-large and special handling items",IF($P742&gt;=11,11,$P742)),'[1]REMOVAL FEES'!$E$1:$E$13,0),3),INDEX('[1]REMOVAL FEES'!$E$1:$G$22,MATCH(CONCATENATE("Large bulky, extra-large and special handling items",IF($P742&gt;=11,11,$P742)),'[1]REMOVAL FEES'!$E$1:$E$13,0),3))))*$AA742,FALSE)</f>
        <v>0</v>
      </c>
      <c r="AJ742" s="107">
        <f t="shared" si="146"/>
        <v>0</v>
      </c>
      <c r="AK742" s="107">
        <v>0</v>
      </c>
      <c r="AL742" s="107">
        <v>0</v>
      </c>
      <c r="AM742" s="107">
        <f t="shared" si="147"/>
        <v>0</v>
      </c>
      <c r="AN742" s="116">
        <f>(-IF($V742="Yes", IF($X742="Yes", VLOOKUP($W742, '[1]Storage Fees'!A:M, 13, FALSE), VLOOKUP($W742, '[1]Storage Fees'!A:M, 10, FALSE)), IF($X742="Yes", VLOOKUP($W742, '[1]Storage Fees'!A:M, 7, FALSE), VLOOKUP($W742, '[1]Storage Fees'!A:M, 4, FALSE))) * U742)*1.5</f>
        <v>0</v>
      </c>
    </row>
    <row r="743" spans="1:40" x14ac:dyDescent="0.25">
      <c r="A743" s="99">
        <v>671</v>
      </c>
      <c r="B743" s="99"/>
      <c r="C743" s="99" t="s">
        <v>13655</v>
      </c>
      <c r="D743" s="99"/>
      <c r="E743" s="99" t="s">
        <v>1290</v>
      </c>
      <c r="F743" s="99" t="s">
        <v>2127</v>
      </c>
      <c r="G743" s="99" t="s">
        <v>13695</v>
      </c>
      <c r="H743" s="99">
        <v>0</v>
      </c>
      <c r="I743" s="99">
        <v>0</v>
      </c>
      <c r="J743" s="99">
        <v>0</v>
      </c>
      <c r="K743" s="101" t="str">
        <f t="shared" si="135"/>
        <v>0x0x0</v>
      </c>
      <c r="L743" s="102">
        <f t="shared" si="136"/>
        <v>0</v>
      </c>
      <c r="M743" s="113">
        <f t="shared" si="137"/>
        <v>0</v>
      </c>
      <c r="N743" s="113">
        <f t="shared" si="138"/>
        <v>0</v>
      </c>
      <c r="O743" s="99">
        <v>0</v>
      </c>
      <c r="P743" s="113">
        <f t="shared" si="139"/>
        <v>0</v>
      </c>
      <c r="Q743" s="112">
        <f t="shared" si="140"/>
        <v>0</v>
      </c>
      <c r="R743" s="112" t="str">
        <f t="shared" si="141"/>
        <v>Standard-size</v>
      </c>
      <c r="S743" s="99" t="str">
        <f t="shared" si="142"/>
        <v>Small standard-size</v>
      </c>
      <c r="T743" s="116" t="s">
        <v>13696</v>
      </c>
      <c r="U743" s="116">
        <f t="shared" si="143"/>
        <v>0</v>
      </c>
      <c r="V743" s="116" t="s">
        <v>13583</v>
      </c>
      <c r="W743" s="116" t="s">
        <v>13690</v>
      </c>
      <c r="X743" s="99" t="s">
        <v>13583</v>
      </c>
      <c r="Y743" s="99">
        <v>1</v>
      </c>
      <c r="Z743" s="99">
        <v>1</v>
      </c>
      <c r="AA743" s="99">
        <v>1</v>
      </c>
      <c r="AB743" s="99"/>
      <c r="AC743" s="99"/>
      <c r="AD743" s="107">
        <v>0</v>
      </c>
      <c r="AE743" s="113">
        <f t="shared" si="144"/>
        <v>0</v>
      </c>
      <c r="AF743" s="116">
        <f>-IFERROR(IFERROR(VLOOKUP(ROUNDUP($Q743,0),'FBA FEES'!$L$2:$Q$203,MATCH($S743,'FBA FEES'!$L$2:$Q$2,0),FALSE),VLOOKUP(ROUNDUP($Q743,0),'FBA FEES'!$C$6:$F$123,MATCH($S743,'FBA FEES'!$C$6:$F$6,0),FALSE)),0)</f>
        <v>0</v>
      </c>
      <c r="AG743" s="116">
        <v>-10</v>
      </c>
      <c r="AH743" s="113">
        <f t="shared" si="145"/>
        <v>0</v>
      </c>
      <c r="AI743" s="116">
        <f>-IFERROR(IF($Y743=1,INDEX('[1]REMOVAL FEES'!$A$1:$C$22,MATCH(CONCATENATE("Standard Size",$P743),'[1]REMOVAL FEES'!$A$1:$A$22,0),3),IF($Y743=2,IF($P743&gt;10,(($P743-10)*1.06)+INDEX('[1]REMOVAL FEES'!$E$1:$G$22,MATCH(CONCATENATE("Large bulky, extra-large and special handling items",IF($P743&gt;=11,11,$P743)),'[1]REMOVAL FEES'!$E$1:$E$13,0),3),INDEX('[1]REMOVAL FEES'!$E$1:$G$22,MATCH(CONCATENATE("Large bulky, extra-large and special handling items",IF($P743&gt;=11,11,$P743)),'[1]REMOVAL FEES'!$E$1:$E$13,0),3))))*$AA743,FALSE)</f>
        <v>0</v>
      </c>
      <c r="AJ743" s="107">
        <f t="shared" si="146"/>
        <v>0</v>
      </c>
      <c r="AK743" s="107">
        <v>0</v>
      </c>
      <c r="AL743" s="107">
        <v>0</v>
      </c>
      <c r="AM743" s="107">
        <f t="shared" si="147"/>
        <v>0</v>
      </c>
      <c r="AN743" s="116">
        <f>(-IF($V743="Yes", IF($X743="Yes", VLOOKUP($W743, '[1]Storage Fees'!A:M, 13, FALSE), VLOOKUP($W743, '[1]Storage Fees'!A:M, 10, FALSE)), IF($X743="Yes", VLOOKUP($W743, '[1]Storage Fees'!A:M, 7, FALSE), VLOOKUP($W743, '[1]Storage Fees'!A:M, 4, FALSE))) * U743)*1.5</f>
        <v>0</v>
      </c>
    </row>
    <row r="744" spans="1:40" x14ac:dyDescent="0.25">
      <c r="A744" s="99">
        <v>672</v>
      </c>
      <c r="B744" s="99"/>
      <c r="C744" s="99" t="s">
        <v>13655</v>
      </c>
      <c r="D744" s="99"/>
      <c r="E744" s="99" t="s">
        <v>1290</v>
      </c>
      <c r="F744" s="99" t="s">
        <v>2129</v>
      </c>
      <c r="G744" s="99" t="s">
        <v>13695</v>
      </c>
      <c r="H744" s="99">
        <v>0</v>
      </c>
      <c r="I744" s="99">
        <v>0</v>
      </c>
      <c r="J744" s="99">
        <v>0</v>
      </c>
      <c r="K744" s="101" t="str">
        <f t="shared" si="135"/>
        <v>0x0x0</v>
      </c>
      <c r="L744" s="102">
        <f t="shared" si="136"/>
        <v>0</v>
      </c>
      <c r="M744" s="113">
        <f t="shared" si="137"/>
        <v>0</v>
      </c>
      <c r="N744" s="113">
        <f t="shared" si="138"/>
        <v>0</v>
      </c>
      <c r="O744" s="99">
        <v>0</v>
      </c>
      <c r="P744" s="113">
        <f t="shared" si="139"/>
        <v>0</v>
      </c>
      <c r="Q744" s="112">
        <f t="shared" si="140"/>
        <v>0</v>
      </c>
      <c r="R744" s="112" t="str">
        <f t="shared" si="141"/>
        <v>Standard-size</v>
      </c>
      <c r="S744" s="99" t="str">
        <f t="shared" si="142"/>
        <v>Small standard-size</v>
      </c>
      <c r="T744" s="116" t="s">
        <v>13696</v>
      </c>
      <c r="U744" s="116">
        <f t="shared" si="143"/>
        <v>0</v>
      </c>
      <c r="V744" s="116" t="s">
        <v>13583</v>
      </c>
      <c r="W744" s="116" t="s">
        <v>13690</v>
      </c>
      <c r="X744" s="99" t="s">
        <v>13583</v>
      </c>
      <c r="Y744" s="99">
        <v>1</v>
      </c>
      <c r="Z744" s="99">
        <v>1</v>
      </c>
      <c r="AA744" s="99">
        <v>1</v>
      </c>
      <c r="AB744" s="99"/>
      <c r="AC744" s="99"/>
      <c r="AD744" s="107">
        <v>0</v>
      </c>
      <c r="AE744" s="113">
        <f t="shared" si="144"/>
        <v>0</v>
      </c>
      <c r="AF744" s="116">
        <f>-IFERROR(IFERROR(VLOOKUP(ROUNDUP($Q744,0),'FBA FEES'!$L$2:$Q$203,MATCH($S744,'FBA FEES'!$L$2:$Q$2,0),FALSE),VLOOKUP(ROUNDUP($Q744,0),'FBA FEES'!$C$6:$F$123,MATCH($S744,'FBA FEES'!$C$6:$F$6,0),FALSE)),0)</f>
        <v>0</v>
      </c>
      <c r="AG744" s="116">
        <v>-10</v>
      </c>
      <c r="AH744" s="113">
        <f t="shared" si="145"/>
        <v>0</v>
      </c>
      <c r="AI744" s="116">
        <f>-IFERROR(IF($Y744=1,INDEX('[1]REMOVAL FEES'!$A$1:$C$22,MATCH(CONCATENATE("Standard Size",$P744),'[1]REMOVAL FEES'!$A$1:$A$22,0),3),IF($Y744=2,IF($P744&gt;10,(($P744-10)*1.06)+INDEX('[1]REMOVAL FEES'!$E$1:$G$22,MATCH(CONCATENATE("Large bulky, extra-large and special handling items",IF($P744&gt;=11,11,$P744)),'[1]REMOVAL FEES'!$E$1:$E$13,0),3),INDEX('[1]REMOVAL FEES'!$E$1:$G$22,MATCH(CONCATENATE("Large bulky, extra-large and special handling items",IF($P744&gt;=11,11,$P744)),'[1]REMOVAL FEES'!$E$1:$E$13,0),3))))*$AA744,FALSE)</f>
        <v>0</v>
      </c>
      <c r="AJ744" s="107">
        <f t="shared" si="146"/>
        <v>0</v>
      </c>
      <c r="AK744" s="107">
        <v>0</v>
      </c>
      <c r="AL744" s="107">
        <v>0</v>
      </c>
      <c r="AM744" s="107">
        <f t="shared" si="147"/>
        <v>0</v>
      </c>
      <c r="AN744" s="116">
        <f>(-IF($V744="Yes", IF($X744="Yes", VLOOKUP($W744, '[1]Storage Fees'!A:M, 13, FALSE), VLOOKUP($W744, '[1]Storage Fees'!A:M, 10, FALSE)), IF($X744="Yes", VLOOKUP($W744, '[1]Storage Fees'!A:M, 7, FALSE), VLOOKUP($W744, '[1]Storage Fees'!A:M, 4, FALSE))) * U744)*1.5</f>
        <v>0</v>
      </c>
    </row>
    <row r="745" spans="1:40" x14ac:dyDescent="0.25">
      <c r="A745" s="99">
        <v>673</v>
      </c>
      <c r="B745" s="99"/>
      <c r="C745" s="99" t="s">
        <v>13655</v>
      </c>
      <c r="D745" s="99"/>
      <c r="E745" s="99" t="s">
        <v>1290</v>
      </c>
      <c r="F745" s="99" t="s">
        <v>2131</v>
      </c>
      <c r="G745" s="99" t="s">
        <v>13695</v>
      </c>
      <c r="H745" s="99">
        <v>0</v>
      </c>
      <c r="I745" s="99">
        <v>0</v>
      </c>
      <c r="J745" s="99">
        <v>0</v>
      </c>
      <c r="K745" s="101" t="str">
        <f t="shared" si="135"/>
        <v>0x0x0</v>
      </c>
      <c r="L745" s="102">
        <f t="shared" si="136"/>
        <v>0</v>
      </c>
      <c r="M745" s="113">
        <f t="shared" si="137"/>
        <v>0</v>
      </c>
      <c r="N745" s="113">
        <f t="shared" si="138"/>
        <v>0</v>
      </c>
      <c r="O745" s="99">
        <v>0</v>
      </c>
      <c r="P745" s="113">
        <f t="shared" si="139"/>
        <v>0</v>
      </c>
      <c r="Q745" s="112">
        <f t="shared" si="140"/>
        <v>0</v>
      </c>
      <c r="R745" s="112" t="str">
        <f t="shared" si="141"/>
        <v>Standard-size</v>
      </c>
      <c r="S745" s="99" t="str">
        <f t="shared" si="142"/>
        <v>Small standard-size</v>
      </c>
      <c r="T745" s="116" t="s">
        <v>13696</v>
      </c>
      <c r="U745" s="116">
        <f t="shared" si="143"/>
        <v>0</v>
      </c>
      <c r="V745" s="116" t="s">
        <v>13583</v>
      </c>
      <c r="W745" s="116" t="s">
        <v>13690</v>
      </c>
      <c r="X745" s="99" t="s">
        <v>13583</v>
      </c>
      <c r="Y745" s="99">
        <v>1</v>
      </c>
      <c r="Z745" s="99">
        <v>1</v>
      </c>
      <c r="AA745" s="99">
        <v>1</v>
      </c>
      <c r="AB745" s="99"/>
      <c r="AC745" s="99"/>
      <c r="AD745" s="107">
        <v>0</v>
      </c>
      <c r="AE745" s="113">
        <f t="shared" si="144"/>
        <v>0</v>
      </c>
      <c r="AF745" s="116">
        <f>-IFERROR(IFERROR(VLOOKUP(ROUNDUP($Q745,0),'FBA FEES'!$L$2:$Q$203,MATCH($S745,'FBA FEES'!$L$2:$Q$2,0),FALSE),VLOOKUP(ROUNDUP($Q745,0),'FBA FEES'!$C$6:$F$123,MATCH($S745,'FBA FEES'!$C$6:$F$6,0),FALSE)),0)</f>
        <v>0</v>
      </c>
      <c r="AG745" s="116">
        <v>-10</v>
      </c>
      <c r="AH745" s="113">
        <f t="shared" si="145"/>
        <v>0</v>
      </c>
      <c r="AI745" s="116">
        <f>-IFERROR(IF($Y745=1,INDEX('[1]REMOVAL FEES'!$A$1:$C$22,MATCH(CONCATENATE("Standard Size",$P745),'[1]REMOVAL FEES'!$A$1:$A$22,0),3),IF($Y745=2,IF($P745&gt;10,(($P745-10)*1.06)+INDEX('[1]REMOVAL FEES'!$E$1:$G$22,MATCH(CONCATENATE("Large bulky, extra-large and special handling items",IF($P745&gt;=11,11,$P745)),'[1]REMOVAL FEES'!$E$1:$E$13,0),3),INDEX('[1]REMOVAL FEES'!$E$1:$G$22,MATCH(CONCATENATE("Large bulky, extra-large and special handling items",IF($P745&gt;=11,11,$P745)),'[1]REMOVAL FEES'!$E$1:$E$13,0),3))))*$AA745,FALSE)</f>
        <v>0</v>
      </c>
      <c r="AJ745" s="107">
        <f t="shared" si="146"/>
        <v>0</v>
      </c>
      <c r="AK745" s="107">
        <v>0</v>
      </c>
      <c r="AL745" s="107">
        <v>0</v>
      </c>
      <c r="AM745" s="107">
        <f t="shared" si="147"/>
        <v>0</v>
      </c>
      <c r="AN745" s="116">
        <f>(-IF($V745="Yes", IF($X745="Yes", VLOOKUP($W745, '[1]Storage Fees'!A:M, 13, FALSE), VLOOKUP($W745, '[1]Storage Fees'!A:M, 10, FALSE)), IF($X745="Yes", VLOOKUP($W745, '[1]Storage Fees'!A:M, 7, FALSE), VLOOKUP($W745, '[1]Storage Fees'!A:M, 4, FALSE))) * U745)*1.5</f>
        <v>0</v>
      </c>
    </row>
    <row r="746" spans="1:40" x14ac:dyDescent="0.25">
      <c r="A746" s="99">
        <v>674</v>
      </c>
      <c r="B746" s="99"/>
      <c r="C746" s="99" t="s">
        <v>13655</v>
      </c>
      <c r="D746" s="99"/>
      <c r="E746" s="99" t="s">
        <v>1290</v>
      </c>
      <c r="F746" s="99" t="s">
        <v>2133</v>
      </c>
      <c r="G746" s="99" t="s">
        <v>13695</v>
      </c>
      <c r="H746" s="99">
        <v>0</v>
      </c>
      <c r="I746" s="99">
        <v>0</v>
      </c>
      <c r="J746" s="99">
        <v>0</v>
      </c>
      <c r="K746" s="101" t="str">
        <f t="shared" si="135"/>
        <v>0x0x0</v>
      </c>
      <c r="L746" s="102">
        <f t="shared" si="136"/>
        <v>0</v>
      </c>
      <c r="M746" s="113">
        <f t="shared" si="137"/>
        <v>0</v>
      </c>
      <c r="N746" s="113">
        <f t="shared" si="138"/>
        <v>0</v>
      </c>
      <c r="O746" s="99">
        <v>0</v>
      </c>
      <c r="P746" s="113">
        <f t="shared" si="139"/>
        <v>0</v>
      </c>
      <c r="Q746" s="112">
        <f t="shared" si="140"/>
        <v>0</v>
      </c>
      <c r="R746" s="112" t="str">
        <f t="shared" si="141"/>
        <v>Standard-size</v>
      </c>
      <c r="S746" s="99" t="str">
        <f t="shared" si="142"/>
        <v>Small standard-size</v>
      </c>
      <c r="T746" s="116" t="s">
        <v>13696</v>
      </c>
      <c r="U746" s="116">
        <f t="shared" si="143"/>
        <v>0</v>
      </c>
      <c r="V746" s="116" t="s">
        <v>13583</v>
      </c>
      <c r="W746" s="116" t="s">
        <v>13690</v>
      </c>
      <c r="X746" s="99" t="s">
        <v>13583</v>
      </c>
      <c r="Y746" s="99">
        <v>1</v>
      </c>
      <c r="Z746" s="99">
        <v>1</v>
      </c>
      <c r="AA746" s="99">
        <v>1</v>
      </c>
      <c r="AB746" s="99"/>
      <c r="AC746" s="99"/>
      <c r="AD746" s="107">
        <v>0</v>
      </c>
      <c r="AE746" s="113">
        <f t="shared" si="144"/>
        <v>0</v>
      </c>
      <c r="AF746" s="116">
        <f>-IFERROR(IFERROR(VLOOKUP(ROUNDUP($Q746,0),'FBA FEES'!$L$2:$Q$203,MATCH($S746,'FBA FEES'!$L$2:$Q$2,0),FALSE),VLOOKUP(ROUNDUP($Q746,0),'FBA FEES'!$C$6:$F$123,MATCH($S746,'FBA FEES'!$C$6:$F$6,0),FALSE)),0)</f>
        <v>0</v>
      </c>
      <c r="AG746" s="116">
        <v>-10</v>
      </c>
      <c r="AH746" s="113">
        <f t="shared" si="145"/>
        <v>0</v>
      </c>
      <c r="AI746" s="116">
        <f>-IFERROR(IF($Y746=1,INDEX('[1]REMOVAL FEES'!$A$1:$C$22,MATCH(CONCATENATE("Standard Size",$P746),'[1]REMOVAL FEES'!$A$1:$A$22,0),3),IF($Y746=2,IF($P746&gt;10,(($P746-10)*1.06)+INDEX('[1]REMOVAL FEES'!$E$1:$G$22,MATCH(CONCATENATE("Large bulky, extra-large and special handling items",IF($P746&gt;=11,11,$P746)),'[1]REMOVAL FEES'!$E$1:$E$13,0),3),INDEX('[1]REMOVAL FEES'!$E$1:$G$22,MATCH(CONCATENATE("Large bulky, extra-large and special handling items",IF($P746&gt;=11,11,$P746)),'[1]REMOVAL FEES'!$E$1:$E$13,0),3))))*$AA746,FALSE)</f>
        <v>0</v>
      </c>
      <c r="AJ746" s="107">
        <f t="shared" si="146"/>
        <v>0</v>
      </c>
      <c r="AK746" s="107">
        <v>0</v>
      </c>
      <c r="AL746" s="107">
        <v>0</v>
      </c>
      <c r="AM746" s="107">
        <f t="shared" si="147"/>
        <v>0</v>
      </c>
      <c r="AN746" s="116">
        <f>(-IF($V746="Yes", IF($X746="Yes", VLOOKUP($W746, '[1]Storage Fees'!A:M, 13, FALSE), VLOOKUP($W746, '[1]Storage Fees'!A:M, 10, FALSE)), IF($X746="Yes", VLOOKUP($W746, '[1]Storage Fees'!A:M, 7, FALSE), VLOOKUP($W746, '[1]Storage Fees'!A:M, 4, FALSE))) * U746)*1.5</f>
        <v>0</v>
      </c>
    </row>
    <row r="747" spans="1:40" x14ac:dyDescent="0.25">
      <c r="A747" s="99">
        <v>675</v>
      </c>
      <c r="B747" s="99"/>
      <c r="C747" s="99" t="s">
        <v>13655</v>
      </c>
      <c r="D747" s="99"/>
      <c r="E747" s="99" t="s">
        <v>1290</v>
      </c>
      <c r="F747" s="99" t="s">
        <v>2135</v>
      </c>
      <c r="G747" s="99" t="s">
        <v>13695</v>
      </c>
      <c r="H747" s="99">
        <v>0</v>
      </c>
      <c r="I747" s="99">
        <v>0</v>
      </c>
      <c r="J747" s="99">
        <v>0</v>
      </c>
      <c r="K747" s="101" t="str">
        <f t="shared" si="135"/>
        <v>0x0x0</v>
      </c>
      <c r="L747" s="102">
        <f t="shared" si="136"/>
        <v>0</v>
      </c>
      <c r="M747" s="113">
        <f t="shared" si="137"/>
        <v>0</v>
      </c>
      <c r="N747" s="113">
        <f t="shared" si="138"/>
        <v>0</v>
      </c>
      <c r="O747" s="99">
        <v>0</v>
      </c>
      <c r="P747" s="113">
        <f t="shared" si="139"/>
        <v>0</v>
      </c>
      <c r="Q747" s="112">
        <f t="shared" si="140"/>
        <v>0</v>
      </c>
      <c r="R747" s="112" t="str">
        <f t="shared" si="141"/>
        <v>Standard-size</v>
      </c>
      <c r="S747" s="99" t="str">
        <f t="shared" si="142"/>
        <v>Small standard-size</v>
      </c>
      <c r="T747" s="116" t="s">
        <v>13696</v>
      </c>
      <c r="U747" s="116">
        <f t="shared" si="143"/>
        <v>0</v>
      </c>
      <c r="V747" s="116" t="s">
        <v>13583</v>
      </c>
      <c r="W747" s="116" t="s">
        <v>13690</v>
      </c>
      <c r="X747" s="99" t="s">
        <v>13583</v>
      </c>
      <c r="Y747" s="99">
        <v>1</v>
      </c>
      <c r="Z747" s="99">
        <v>1</v>
      </c>
      <c r="AA747" s="99">
        <v>1</v>
      </c>
      <c r="AB747" s="99"/>
      <c r="AC747" s="99"/>
      <c r="AD747" s="107">
        <v>0</v>
      </c>
      <c r="AE747" s="113">
        <f t="shared" si="144"/>
        <v>0</v>
      </c>
      <c r="AF747" s="116">
        <f>-IFERROR(IFERROR(VLOOKUP(ROUNDUP($Q747,0),'FBA FEES'!$L$2:$Q$203,MATCH($S747,'FBA FEES'!$L$2:$Q$2,0),FALSE),VLOOKUP(ROUNDUP($Q747,0),'FBA FEES'!$C$6:$F$123,MATCH($S747,'FBA FEES'!$C$6:$F$6,0),FALSE)),0)</f>
        <v>0</v>
      </c>
      <c r="AG747" s="116">
        <v>-10</v>
      </c>
      <c r="AH747" s="113">
        <f t="shared" si="145"/>
        <v>0</v>
      </c>
      <c r="AI747" s="116">
        <f>-IFERROR(IF($Y747=1,INDEX('[1]REMOVAL FEES'!$A$1:$C$22,MATCH(CONCATENATE("Standard Size",$P747),'[1]REMOVAL FEES'!$A$1:$A$22,0),3),IF($Y747=2,IF($P747&gt;10,(($P747-10)*1.06)+INDEX('[1]REMOVAL FEES'!$E$1:$G$22,MATCH(CONCATENATE("Large bulky, extra-large and special handling items",IF($P747&gt;=11,11,$P747)),'[1]REMOVAL FEES'!$E$1:$E$13,0),3),INDEX('[1]REMOVAL FEES'!$E$1:$G$22,MATCH(CONCATENATE("Large bulky, extra-large and special handling items",IF($P747&gt;=11,11,$P747)),'[1]REMOVAL FEES'!$E$1:$E$13,0),3))))*$AA747,FALSE)</f>
        <v>0</v>
      </c>
      <c r="AJ747" s="107">
        <f t="shared" si="146"/>
        <v>0</v>
      </c>
      <c r="AK747" s="107">
        <v>0</v>
      </c>
      <c r="AL747" s="107">
        <v>0</v>
      </c>
      <c r="AM747" s="107">
        <f t="shared" si="147"/>
        <v>0</v>
      </c>
      <c r="AN747" s="116">
        <f>(-IF($V747="Yes", IF($X747="Yes", VLOOKUP($W747, '[1]Storage Fees'!A:M, 13, FALSE), VLOOKUP($W747, '[1]Storage Fees'!A:M, 10, FALSE)), IF($X747="Yes", VLOOKUP($W747, '[1]Storage Fees'!A:M, 7, FALSE), VLOOKUP($W747, '[1]Storage Fees'!A:M, 4, FALSE))) * U747)*1.5</f>
        <v>0</v>
      </c>
    </row>
    <row r="748" spans="1:40" x14ac:dyDescent="0.25">
      <c r="A748" s="99">
        <v>676</v>
      </c>
      <c r="B748" s="99"/>
      <c r="C748" s="99" t="s">
        <v>13655</v>
      </c>
      <c r="D748" s="99"/>
      <c r="E748" s="99" t="s">
        <v>1290</v>
      </c>
      <c r="F748" s="99" t="s">
        <v>2137</v>
      </c>
      <c r="G748" s="99" t="s">
        <v>13695</v>
      </c>
      <c r="H748" s="99">
        <v>0</v>
      </c>
      <c r="I748" s="99">
        <v>0</v>
      </c>
      <c r="J748" s="99">
        <v>0</v>
      </c>
      <c r="K748" s="101" t="str">
        <f t="shared" si="135"/>
        <v>0x0x0</v>
      </c>
      <c r="L748" s="102">
        <f t="shared" si="136"/>
        <v>0</v>
      </c>
      <c r="M748" s="113">
        <f t="shared" si="137"/>
        <v>0</v>
      </c>
      <c r="N748" s="113">
        <f t="shared" si="138"/>
        <v>0</v>
      </c>
      <c r="O748" s="99">
        <v>0</v>
      </c>
      <c r="P748" s="113">
        <f t="shared" si="139"/>
        <v>0</v>
      </c>
      <c r="Q748" s="112">
        <f t="shared" si="140"/>
        <v>0</v>
      </c>
      <c r="R748" s="112" t="str">
        <f t="shared" si="141"/>
        <v>Standard-size</v>
      </c>
      <c r="S748" s="99" t="str">
        <f t="shared" si="142"/>
        <v>Small standard-size</v>
      </c>
      <c r="T748" s="116" t="s">
        <v>13696</v>
      </c>
      <c r="U748" s="116">
        <f t="shared" si="143"/>
        <v>0</v>
      </c>
      <c r="V748" s="116" t="s">
        <v>13583</v>
      </c>
      <c r="W748" s="116" t="s">
        <v>13690</v>
      </c>
      <c r="X748" s="99" t="s">
        <v>13583</v>
      </c>
      <c r="Y748" s="99">
        <v>1</v>
      </c>
      <c r="Z748" s="99">
        <v>1</v>
      </c>
      <c r="AA748" s="99">
        <v>1</v>
      </c>
      <c r="AB748" s="99"/>
      <c r="AC748" s="99"/>
      <c r="AD748" s="107">
        <v>0</v>
      </c>
      <c r="AE748" s="113">
        <f t="shared" si="144"/>
        <v>0</v>
      </c>
      <c r="AF748" s="116">
        <f>-IFERROR(IFERROR(VLOOKUP(ROUNDUP($Q748,0),'FBA FEES'!$L$2:$Q$203,MATCH($S748,'FBA FEES'!$L$2:$Q$2,0),FALSE),VLOOKUP(ROUNDUP($Q748,0),'FBA FEES'!$C$6:$F$123,MATCH($S748,'FBA FEES'!$C$6:$F$6,0),FALSE)),0)</f>
        <v>0</v>
      </c>
      <c r="AG748" s="116">
        <v>-10</v>
      </c>
      <c r="AH748" s="113">
        <f t="shared" si="145"/>
        <v>0</v>
      </c>
      <c r="AI748" s="116">
        <f>-IFERROR(IF($Y748=1,INDEX('[1]REMOVAL FEES'!$A$1:$C$22,MATCH(CONCATENATE("Standard Size",$P748),'[1]REMOVAL FEES'!$A$1:$A$22,0),3),IF($Y748=2,IF($P748&gt;10,(($P748-10)*1.06)+INDEX('[1]REMOVAL FEES'!$E$1:$G$22,MATCH(CONCATENATE("Large bulky, extra-large and special handling items",IF($P748&gt;=11,11,$P748)),'[1]REMOVAL FEES'!$E$1:$E$13,0),3),INDEX('[1]REMOVAL FEES'!$E$1:$G$22,MATCH(CONCATENATE("Large bulky, extra-large and special handling items",IF($P748&gt;=11,11,$P748)),'[1]REMOVAL FEES'!$E$1:$E$13,0),3))))*$AA748,FALSE)</f>
        <v>0</v>
      </c>
      <c r="AJ748" s="107">
        <f t="shared" si="146"/>
        <v>0</v>
      </c>
      <c r="AK748" s="107">
        <v>0</v>
      </c>
      <c r="AL748" s="107">
        <v>0</v>
      </c>
      <c r="AM748" s="107">
        <f t="shared" si="147"/>
        <v>0</v>
      </c>
      <c r="AN748" s="116">
        <f>(-IF($V748="Yes", IF($X748="Yes", VLOOKUP($W748, '[1]Storage Fees'!A:M, 13, FALSE), VLOOKUP($W748, '[1]Storage Fees'!A:M, 10, FALSE)), IF($X748="Yes", VLOOKUP($W748, '[1]Storage Fees'!A:M, 7, FALSE), VLOOKUP($W748, '[1]Storage Fees'!A:M, 4, FALSE))) * U748)*1.5</f>
        <v>0</v>
      </c>
    </row>
    <row r="749" spans="1:40" x14ac:dyDescent="0.25">
      <c r="A749" s="99">
        <v>677</v>
      </c>
      <c r="B749" s="99"/>
      <c r="C749" s="99" t="s">
        <v>13655</v>
      </c>
      <c r="D749" s="99"/>
      <c r="E749" s="99" t="s">
        <v>1290</v>
      </c>
      <c r="F749" s="99" t="s">
        <v>2139</v>
      </c>
      <c r="G749" s="99" t="s">
        <v>13695</v>
      </c>
      <c r="H749" s="99">
        <v>0</v>
      </c>
      <c r="I749" s="99">
        <v>0</v>
      </c>
      <c r="J749" s="99">
        <v>0</v>
      </c>
      <c r="K749" s="101" t="str">
        <f t="shared" si="135"/>
        <v>0x0x0</v>
      </c>
      <c r="L749" s="102">
        <f t="shared" si="136"/>
        <v>0</v>
      </c>
      <c r="M749" s="113">
        <f t="shared" si="137"/>
        <v>0</v>
      </c>
      <c r="N749" s="113">
        <f t="shared" si="138"/>
        <v>0</v>
      </c>
      <c r="O749" s="99">
        <v>0</v>
      </c>
      <c r="P749" s="113">
        <f t="shared" si="139"/>
        <v>0</v>
      </c>
      <c r="Q749" s="112">
        <f t="shared" si="140"/>
        <v>0</v>
      </c>
      <c r="R749" s="112" t="str">
        <f t="shared" si="141"/>
        <v>Standard-size</v>
      </c>
      <c r="S749" s="99" t="str">
        <f t="shared" si="142"/>
        <v>Small standard-size</v>
      </c>
      <c r="T749" s="116" t="s">
        <v>13696</v>
      </c>
      <c r="U749" s="116">
        <f t="shared" si="143"/>
        <v>0</v>
      </c>
      <c r="V749" s="116" t="s">
        <v>13583</v>
      </c>
      <c r="W749" s="116" t="s">
        <v>13690</v>
      </c>
      <c r="X749" s="99" t="s">
        <v>13583</v>
      </c>
      <c r="Y749" s="99">
        <v>1</v>
      </c>
      <c r="Z749" s="99">
        <v>1</v>
      </c>
      <c r="AA749" s="99">
        <v>1</v>
      </c>
      <c r="AB749" s="99"/>
      <c r="AC749" s="99"/>
      <c r="AD749" s="107">
        <v>0</v>
      </c>
      <c r="AE749" s="113">
        <f t="shared" si="144"/>
        <v>0</v>
      </c>
      <c r="AF749" s="116">
        <f>-IFERROR(IFERROR(VLOOKUP(ROUNDUP($Q749,0),'FBA FEES'!$L$2:$Q$203,MATCH($S749,'FBA FEES'!$L$2:$Q$2,0),FALSE),VLOOKUP(ROUNDUP($Q749,0),'FBA FEES'!$C$6:$F$123,MATCH($S749,'FBA FEES'!$C$6:$F$6,0),FALSE)),0)</f>
        <v>0</v>
      </c>
      <c r="AG749" s="116">
        <v>-10</v>
      </c>
      <c r="AH749" s="113">
        <f t="shared" si="145"/>
        <v>0</v>
      </c>
      <c r="AI749" s="116">
        <f>-IFERROR(IF($Y749=1,INDEX('[1]REMOVAL FEES'!$A$1:$C$22,MATCH(CONCATENATE("Standard Size",$P749),'[1]REMOVAL FEES'!$A$1:$A$22,0),3),IF($Y749=2,IF($P749&gt;10,(($P749-10)*1.06)+INDEX('[1]REMOVAL FEES'!$E$1:$G$22,MATCH(CONCATENATE("Large bulky, extra-large and special handling items",IF($P749&gt;=11,11,$P749)),'[1]REMOVAL FEES'!$E$1:$E$13,0),3),INDEX('[1]REMOVAL FEES'!$E$1:$G$22,MATCH(CONCATENATE("Large bulky, extra-large and special handling items",IF($P749&gt;=11,11,$P749)),'[1]REMOVAL FEES'!$E$1:$E$13,0),3))))*$AA749,FALSE)</f>
        <v>0</v>
      </c>
      <c r="AJ749" s="107">
        <f t="shared" si="146"/>
        <v>0</v>
      </c>
      <c r="AK749" s="107">
        <v>0</v>
      </c>
      <c r="AL749" s="107">
        <v>0</v>
      </c>
      <c r="AM749" s="107">
        <f t="shared" si="147"/>
        <v>0</v>
      </c>
      <c r="AN749" s="116">
        <f>(-IF($V749="Yes", IF($X749="Yes", VLOOKUP($W749, '[1]Storage Fees'!A:M, 13, FALSE), VLOOKUP($W749, '[1]Storage Fees'!A:M, 10, FALSE)), IF($X749="Yes", VLOOKUP($W749, '[1]Storage Fees'!A:M, 7, FALSE), VLOOKUP($W749, '[1]Storage Fees'!A:M, 4, FALSE))) * U749)*1.5</f>
        <v>0</v>
      </c>
    </row>
    <row r="750" spans="1:40" x14ac:dyDescent="0.25">
      <c r="A750" s="99">
        <v>678</v>
      </c>
      <c r="B750" s="99"/>
      <c r="C750" s="99" t="s">
        <v>13655</v>
      </c>
      <c r="D750" s="99"/>
      <c r="E750" s="99" t="s">
        <v>1290</v>
      </c>
      <c r="F750" s="99" t="s">
        <v>2141</v>
      </c>
      <c r="G750" s="99" t="s">
        <v>13695</v>
      </c>
      <c r="H750" s="99">
        <v>0</v>
      </c>
      <c r="I750" s="99">
        <v>0</v>
      </c>
      <c r="J750" s="99">
        <v>0</v>
      </c>
      <c r="K750" s="101" t="str">
        <f t="shared" si="135"/>
        <v>0x0x0</v>
      </c>
      <c r="L750" s="102">
        <f t="shared" si="136"/>
        <v>0</v>
      </c>
      <c r="M750" s="113">
        <f t="shared" si="137"/>
        <v>0</v>
      </c>
      <c r="N750" s="113">
        <f t="shared" si="138"/>
        <v>0</v>
      </c>
      <c r="O750" s="99">
        <v>0</v>
      </c>
      <c r="P750" s="113">
        <f t="shared" si="139"/>
        <v>0</v>
      </c>
      <c r="Q750" s="112">
        <f t="shared" si="140"/>
        <v>0</v>
      </c>
      <c r="R750" s="112" t="str">
        <f t="shared" si="141"/>
        <v>Standard-size</v>
      </c>
      <c r="S750" s="99" t="str">
        <f t="shared" si="142"/>
        <v>Small standard-size</v>
      </c>
      <c r="T750" s="116" t="s">
        <v>13696</v>
      </c>
      <c r="U750" s="116">
        <f t="shared" si="143"/>
        <v>0</v>
      </c>
      <c r="V750" s="116" t="s">
        <v>13583</v>
      </c>
      <c r="W750" s="116" t="s">
        <v>13690</v>
      </c>
      <c r="X750" s="99" t="s">
        <v>13583</v>
      </c>
      <c r="Y750" s="99">
        <v>1</v>
      </c>
      <c r="Z750" s="99">
        <v>1</v>
      </c>
      <c r="AA750" s="99">
        <v>1</v>
      </c>
      <c r="AB750" s="99"/>
      <c r="AC750" s="99"/>
      <c r="AD750" s="107">
        <v>0</v>
      </c>
      <c r="AE750" s="113">
        <f t="shared" si="144"/>
        <v>0</v>
      </c>
      <c r="AF750" s="116">
        <f>-IFERROR(IFERROR(VLOOKUP(ROUNDUP($Q750,0),'FBA FEES'!$L$2:$Q$203,MATCH($S750,'FBA FEES'!$L$2:$Q$2,0),FALSE),VLOOKUP(ROUNDUP($Q750,0),'FBA FEES'!$C$6:$F$123,MATCH($S750,'FBA FEES'!$C$6:$F$6,0),FALSE)),0)</f>
        <v>0</v>
      </c>
      <c r="AG750" s="116">
        <v>-10</v>
      </c>
      <c r="AH750" s="113">
        <f t="shared" si="145"/>
        <v>0</v>
      </c>
      <c r="AI750" s="116">
        <f>-IFERROR(IF($Y750=1,INDEX('[1]REMOVAL FEES'!$A$1:$C$22,MATCH(CONCATENATE("Standard Size",$P750),'[1]REMOVAL FEES'!$A$1:$A$22,0),3),IF($Y750=2,IF($P750&gt;10,(($P750-10)*1.06)+INDEX('[1]REMOVAL FEES'!$E$1:$G$22,MATCH(CONCATENATE("Large bulky, extra-large and special handling items",IF($P750&gt;=11,11,$P750)),'[1]REMOVAL FEES'!$E$1:$E$13,0),3),INDEX('[1]REMOVAL FEES'!$E$1:$G$22,MATCH(CONCATENATE("Large bulky, extra-large and special handling items",IF($P750&gt;=11,11,$P750)),'[1]REMOVAL FEES'!$E$1:$E$13,0),3))))*$AA750,FALSE)</f>
        <v>0</v>
      </c>
      <c r="AJ750" s="107">
        <f t="shared" si="146"/>
        <v>0</v>
      </c>
      <c r="AK750" s="107">
        <v>0</v>
      </c>
      <c r="AL750" s="107">
        <v>0</v>
      </c>
      <c r="AM750" s="107">
        <f t="shared" si="147"/>
        <v>0</v>
      </c>
      <c r="AN750" s="116">
        <f>(-IF($V750="Yes", IF($X750="Yes", VLOOKUP($W750, '[1]Storage Fees'!A:M, 13, FALSE), VLOOKUP($W750, '[1]Storage Fees'!A:M, 10, FALSE)), IF($X750="Yes", VLOOKUP($W750, '[1]Storage Fees'!A:M, 7, FALSE), VLOOKUP($W750, '[1]Storage Fees'!A:M, 4, FALSE))) * U750)*1.5</f>
        <v>0</v>
      </c>
    </row>
    <row r="751" spans="1:40" x14ac:dyDescent="0.25">
      <c r="A751" s="99">
        <v>679</v>
      </c>
      <c r="B751" s="99"/>
      <c r="C751" s="99" t="s">
        <v>13655</v>
      </c>
      <c r="D751" s="99"/>
      <c r="E751" s="99" t="s">
        <v>1290</v>
      </c>
      <c r="F751" s="99" t="s">
        <v>2143</v>
      </c>
      <c r="G751" s="99" t="s">
        <v>13695</v>
      </c>
      <c r="H751" s="99">
        <v>0</v>
      </c>
      <c r="I751" s="99">
        <v>0</v>
      </c>
      <c r="J751" s="99">
        <v>0</v>
      </c>
      <c r="K751" s="101" t="str">
        <f t="shared" si="135"/>
        <v>0x0x0</v>
      </c>
      <c r="L751" s="102">
        <f t="shared" si="136"/>
        <v>0</v>
      </c>
      <c r="M751" s="113">
        <f t="shared" si="137"/>
        <v>0</v>
      </c>
      <c r="N751" s="113">
        <f t="shared" si="138"/>
        <v>0</v>
      </c>
      <c r="O751" s="99">
        <v>0</v>
      </c>
      <c r="P751" s="113">
        <f t="shared" si="139"/>
        <v>0</v>
      </c>
      <c r="Q751" s="112">
        <f t="shared" si="140"/>
        <v>0</v>
      </c>
      <c r="R751" s="112" t="str">
        <f t="shared" si="141"/>
        <v>Standard-size</v>
      </c>
      <c r="S751" s="99" t="str">
        <f t="shared" si="142"/>
        <v>Small standard-size</v>
      </c>
      <c r="T751" s="116" t="s">
        <v>13696</v>
      </c>
      <c r="U751" s="116">
        <f t="shared" si="143"/>
        <v>0</v>
      </c>
      <c r="V751" s="116" t="s">
        <v>13583</v>
      </c>
      <c r="W751" s="116" t="s">
        <v>13690</v>
      </c>
      <c r="X751" s="99" t="s">
        <v>13583</v>
      </c>
      <c r="Y751" s="99">
        <v>1</v>
      </c>
      <c r="Z751" s="99">
        <v>1</v>
      </c>
      <c r="AA751" s="99">
        <v>1</v>
      </c>
      <c r="AB751" s="99"/>
      <c r="AC751" s="99"/>
      <c r="AD751" s="107">
        <v>0</v>
      </c>
      <c r="AE751" s="113">
        <f t="shared" si="144"/>
        <v>0</v>
      </c>
      <c r="AF751" s="116">
        <f>-IFERROR(IFERROR(VLOOKUP(ROUNDUP($Q751,0),'FBA FEES'!$L$2:$Q$203,MATCH($S751,'FBA FEES'!$L$2:$Q$2,0),FALSE),VLOOKUP(ROUNDUP($Q751,0),'FBA FEES'!$C$6:$F$123,MATCH($S751,'FBA FEES'!$C$6:$F$6,0),FALSE)),0)</f>
        <v>0</v>
      </c>
      <c r="AG751" s="116">
        <v>-10</v>
      </c>
      <c r="AH751" s="113">
        <f t="shared" si="145"/>
        <v>0</v>
      </c>
      <c r="AI751" s="116">
        <f>-IFERROR(IF($Y751=1,INDEX('[1]REMOVAL FEES'!$A$1:$C$22,MATCH(CONCATENATE("Standard Size",$P751),'[1]REMOVAL FEES'!$A$1:$A$22,0),3),IF($Y751=2,IF($P751&gt;10,(($P751-10)*1.06)+INDEX('[1]REMOVAL FEES'!$E$1:$G$22,MATCH(CONCATENATE("Large bulky, extra-large and special handling items",IF($P751&gt;=11,11,$P751)),'[1]REMOVAL FEES'!$E$1:$E$13,0),3),INDEX('[1]REMOVAL FEES'!$E$1:$G$22,MATCH(CONCATENATE("Large bulky, extra-large and special handling items",IF($P751&gt;=11,11,$P751)),'[1]REMOVAL FEES'!$E$1:$E$13,0),3))))*$AA751,FALSE)</f>
        <v>0</v>
      </c>
      <c r="AJ751" s="107">
        <f t="shared" si="146"/>
        <v>0</v>
      </c>
      <c r="AK751" s="107">
        <v>0</v>
      </c>
      <c r="AL751" s="107">
        <v>0</v>
      </c>
      <c r="AM751" s="107">
        <f t="shared" si="147"/>
        <v>0</v>
      </c>
      <c r="AN751" s="116">
        <f>(-IF($V751="Yes", IF($X751="Yes", VLOOKUP($W751, '[1]Storage Fees'!A:M, 13, FALSE), VLOOKUP($W751, '[1]Storage Fees'!A:M, 10, FALSE)), IF($X751="Yes", VLOOKUP($W751, '[1]Storage Fees'!A:M, 7, FALSE), VLOOKUP($W751, '[1]Storage Fees'!A:M, 4, FALSE))) * U751)*1.5</f>
        <v>0</v>
      </c>
    </row>
    <row r="752" spans="1:40" x14ac:dyDescent="0.25">
      <c r="A752" s="99">
        <v>680</v>
      </c>
      <c r="B752" s="99"/>
      <c r="C752" s="99" t="s">
        <v>13655</v>
      </c>
      <c r="D752" s="99"/>
      <c r="E752" s="99" t="s">
        <v>1290</v>
      </c>
      <c r="F752" s="99" t="s">
        <v>2145</v>
      </c>
      <c r="G752" s="99" t="s">
        <v>13695</v>
      </c>
      <c r="H752" s="99">
        <v>0</v>
      </c>
      <c r="I752" s="99">
        <v>0</v>
      </c>
      <c r="J752" s="99">
        <v>0</v>
      </c>
      <c r="K752" s="101" t="str">
        <f t="shared" si="135"/>
        <v>0x0x0</v>
      </c>
      <c r="L752" s="102">
        <f t="shared" si="136"/>
        <v>0</v>
      </c>
      <c r="M752" s="113">
        <f t="shared" si="137"/>
        <v>0</v>
      </c>
      <c r="N752" s="113">
        <f t="shared" si="138"/>
        <v>0</v>
      </c>
      <c r="O752" s="99">
        <v>0</v>
      </c>
      <c r="P752" s="113">
        <f t="shared" si="139"/>
        <v>0</v>
      </c>
      <c r="Q752" s="112">
        <f t="shared" si="140"/>
        <v>0</v>
      </c>
      <c r="R752" s="112" t="str">
        <f t="shared" si="141"/>
        <v>Standard-size</v>
      </c>
      <c r="S752" s="99" t="str">
        <f t="shared" si="142"/>
        <v>Small standard-size</v>
      </c>
      <c r="T752" s="116" t="s">
        <v>13696</v>
      </c>
      <c r="U752" s="116">
        <f t="shared" si="143"/>
        <v>0</v>
      </c>
      <c r="V752" s="116" t="s">
        <v>13583</v>
      </c>
      <c r="W752" s="116" t="s">
        <v>13690</v>
      </c>
      <c r="X752" s="99" t="s">
        <v>13583</v>
      </c>
      <c r="Y752" s="99">
        <v>1</v>
      </c>
      <c r="Z752" s="99">
        <v>1</v>
      </c>
      <c r="AA752" s="99">
        <v>1</v>
      </c>
      <c r="AB752" s="99"/>
      <c r="AC752" s="99"/>
      <c r="AD752" s="107">
        <v>0</v>
      </c>
      <c r="AE752" s="113">
        <f t="shared" si="144"/>
        <v>0</v>
      </c>
      <c r="AF752" s="116">
        <f>-IFERROR(IFERROR(VLOOKUP(ROUNDUP($Q752,0),'FBA FEES'!$L$2:$Q$203,MATCH($S752,'FBA FEES'!$L$2:$Q$2,0),FALSE),VLOOKUP(ROUNDUP($Q752,0),'FBA FEES'!$C$6:$F$123,MATCH($S752,'FBA FEES'!$C$6:$F$6,0),FALSE)),0)</f>
        <v>0</v>
      </c>
      <c r="AG752" s="116">
        <v>-10</v>
      </c>
      <c r="AH752" s="113">
        <f t="shared" si="145"/>
        <v>0</v>
      </c>
      <c r="AI752" s="116">
        <f>-IFERROR(IF($Y752=1,INDEX('[1]REMOVAL FEES'!$A$1:$C$22,MATCH(CONCATENATE("Standard Size",$P752),'[1]REMOVAL FEES'!$A$1:$A$22,0),3),IF($Y752=2,IF($P752&gt;10,(($P752-10)*1.06)+INDEX('[1]REMOVAL FEES'!$E$1:$G$22,MATCH(CONCATENATE("Large bulky, extra-large and special handling items",IF($P752&gt;=11,11,$P752)),'[1]REMOVAL FEES'!$E$1:$E$13,0),3),INDEX('[1]REMOVAL FEES'!$E$1:$G$22,MATCH(CONCATENATE("Large bulky, extra-large and special handling items",IF($P752&gt;=11,11,$P752)),'[1]REMOVAL FEES'!$E$1:$E$13,0),3))))*$AA752,FALSE)</f>
        <v>0</v>
      </c>
      <c r="AJ752" s="107">
        <f t="shared" si="146"/>
        <v>0</v>
      </c>
      <c r="AK752" s="107">
        <v>0</v>
      </c>
      <c r="AL752" s="107">
        <v>0</v>
      </c>
      <c r="AM752" s="107">
        <f t="shared" si="147"/>
        <v>0</v>
      </c>
      <c r="AN752" s="116">
        <f>(-IF($V752="Yes", IF($X752="Yes", VLOOKUP($W752, '[1]Storage Fees'!A:M, 13, FALSE), VLOOKUP($W752, '[1]Storage Fees'!A:M, 10, FALSE)), IF($X752="Yes", VLOOKUP($W752, '[1]Storage Fees'!A:M, 7, FALSE), VLOOKUP($W752, '[1]Storage Fees'!A:M, 4, FALSE))) * U752)*1.5</f>
        <v>0</v>
      </c>
    </row>
    <row r="753" spans="1:40" x14ac:dyDescent="0.25">
      <c r="A753" s="99">
        <v>681</v>
      </c>
      <c r="B753" s="99"/>
      <c r="C753" s="99" t="s">
        <v>13655</v>
      </c>
      <c r="D753" s="99"/>
      <c r="E753" s="99" t="s">
        <v>1290</v>
      </c>
      <c r="F753" s="99" t="s">
        <v>2147</v>
      </c>
      <c r="G753" s="99" t="s">
        <v>13695</v>
      </c>
      <c r="H753" s="99">
        <v>0</v>
      </c>
      <c r="I753" s="99">
        <v>0</v>
      </c>
      <c r="J753" s="99">
        <v>0</v>
      </c>
      <c r="K753" s="101" t="str">
        <f t="shared" si="135"/>
        <v>0x0x0</v>
      </c>
      <c r="L753" s="102">
        <f t="shared" si="136"/>
        <v>0</v>
      </c>
      <c r="M753" s="113">
        <f t="shared" si="137"/>
        <v>0</v>
      </c>
      <c r="N753" s="113">
        <f t="shared" si="138"/>
        <v>0</v>
      </c>
      <c r="O753" s="99">
        <v>0</v>
      </c>
      <c r="P753" s="113">
        <f t="shared" si="139"/>
        <v>0</v>
      </c>
      <c r="Q753" s="112">
        <f t="shared" si="140"/>
        <v>0</v>
      </c>
      <c r="R753" s="112" t="str">
        <f t="shared" si="141"/>
        <v>Standard-size</v>
      </c>
      <c r="S753" s="99" t="str">
        <f t="shared" si="142"/>
        <v>Small standard-size</v>
      </c>
      <c r="T753" s="116" t="s">
        <v>13696</v>
      </c>
      <c r="U753" s="116">
        <f t="shared" si="143"/>
        <v>0</v>
      </c>
      <c r="V753" s="116" t="s">
        <v>13583</v>
      </c>
      <c r="W753" s="116" t="s">
        <v>13690</v>
      </c>
      <c r="X753" s="99" t="s">
        <v>13583</v>
      </c>
      <c r="Y753" s="99">
        <v>1</v>
      </c>
      <c r="Z753" s="99">
        <v>1</v>
      </c>
      <c r="AA753" s="99">
        <v>1</v>
      </c>
      <c r="AB753" s="99"/>
      <c r="AC753" s="99"/>
      <c r="AD753" s="107">
        <v>0</v>
      </c>
      <c r="AE753" s="113">
        <f t="shared" si="144"/>
        <v>0</v>
      </c>
      <c r="AF753" s="116">
        <f>-IFERROR(IFERROR(VLOOKUP(ROUNDUP($Q753,0),'FBA FEES'!$L$2:$Q$203,MATCH($S753,'FBA FEES'!$L$2:$Q$2,0),FALSE),VLOOKUP(ROUNDUP($Q753,0),'FBA FEES'!$C$6:$F$123,MATCH($S753,'FBA FEES'!$C$6:$F$6,0),FALSE)),0)</f>
        <v>0</v>
      </c>
      <c r="AG753" s="116">
        <v>-10</v>
      </c>
      <c r="AH753" s="113">
        <f t="shared" si="145"/>
        <v>0</v>
      </c>
      <c r="AI753" s="116">
        <f>-IFERROR(IF($Y753=1,INDEX('[1]REMOVAL FEES'!$A$1:$C$22,MATCH(CONCATENATE("Standard Size",$P753),'[1]REMOVAL FEES'!$A$1:$A$22,0),3),IF($Y753=2,IF($P753&gt;10,(($P753-10)*1.06)+INDEX('[1]REMOVAL FEES'!$E$1:$G$22,MATCH(CONCATENATE("Large bulky, extra-large and special handling items",IF($P753&gt;=11,11,$P753)),'[1]REMOVAL FEES'!$E$1:$E$13,0),3),INDEX('[1]REMOVAL FEES'!$E$1:$G$22,MATCH(CONCATENATE("Large bulky, extra-large and special handling items",IF($P753&gt;=11,11,$P753)),'[1]REMOVAL FEES'!$E$1:$E$13,0),3))))*$AA753,FALSE)</f>
        <v>0</v>
      </c>
      <c r="AJ753" s="107">
        <f t="shared" si="146"/>
        <v>0</v>
      </c>
      <c r="AK753" s="107">
        <v>0</v>
      </c>
      <c r="AL753" s="107">
        <v>0</v>
      </c>
      <c r="AM753" s="107">
        <f t="shared" si="147"/>
        <v>0</v>
      </c>
      <c r="AN753" s="116">
        <f>(-IF($V753="Yes", IF($X753="Yes", VLOOKUP($W753, '[1]Storage Fees'!A:M, 13, FALSE), VLOOKUP($W753, '[1]Storage Fees'!A:M, 10, FALSE)), IF($X753="Yes", VLOOKUP($W753, '[1]Storage Fees'!A:M, 7, FALSE), VLOOKUP($W753, '[1]Storage Fees'!A:M, 4, FALSE))) * U753)*1.5</f>
        <v>0</v>
      </c>
    </row>
    <row r="754" spans="1:40" x14ac:dyDescent="0.25">
      <c r="A754" s="99">
        <v>682</v>
      </c>
      <c r="B754" s="99"/>
      <c r="C754" s="99" t="s">
        <v>13655</v>
      </c>
      <c r="D754" s="99"/>
      <c r="E754" s="99" t="s">
        <v>1290</v>
      </c>
      <c r="F754" s="99" t="s">
        <v>2149</v>
      </c>
      <c r="G754" s="99" t="s">
        <v>13695</v>
      </c>
      <c r="H754" s="99">
        <v>0</v>
      </c>
      <c r="I754" s="99">
        <v>0</v>
      </c>
      <c r="J754" s="99">
        <v>0</v>
      </c>
      <c r="K754" s="101" t="str">
        <f t="shared" si="135"/>
        <v>0x0x0</v>
      </c>
      <c r="L754" s="102">
        <f t="shared" si="136"/>
        <v>0</v>
      </c>
      <c r="M754" s="113">
        <f t="shared" si="137"/>
        <v>0</v>
      </c>
      <c r="N754" s="113">
        <f t="shared" si="138"/>
        <v>0</v>
      </c>
      <c r="O754" s="99">
        <v>0</v>
      </c>
      <c r="P754" s="113">
        <f t="shared" si="139"/>
        <v>0</v>
      </c>
      <c r="Q754" s="112">
        <f t="shared" si="140"/>
        <v>0</v>
      </c>
      <c r="R754" s="112" t="str">
        <f t="shared" si="141"/>
        <v>Standard-size</v>
      </c>
      <c r="S754" s="99" t="str">
        <f t="shared" si="142"/>
        <v>Small standard-size</v>
      </c>
      <c r="T754" s="116" t="s">
        <v>13696</v>
      </c>
      <c r="U754" s="116">
        <f t="shared" si="143"/>
        <v>0</v>
      </c>
      <c r="V754" s="116" t="s">
        <v>13583</v>
      </c>
      <c r="W754" s="116" t="s">
        <v>13690</v>
      </c>
      <c r="X754" s="99" t="s">
        <v>13583</v>
      </c>
      <c r="Y754" s="99">
        <v>1</v>
      </c>
      <c r="Z754" s="99">
        <v>1</v>
      </c>
      <c r="AA754" s="99">
        <v>1</v>
      </c>
      <c r="AB754" s="99"/>
      <c r="AC754" s="99"/>
      <c r="AD754" s="107">
        <v>0</v>
      </c>
      <c r="AE754" s="113">
        <f t="shared" si="144"/>
        <v>0</v>
      </c>
      <c r="AF754" s="116">
        <f>-IFERROR(IFERROR(VLOOKUP(ROUNDUP($Q754,0),'FBA FEES'!$L$2:$Q$203,MATCH($S754,'FBA FEES'!$L$2:$Q$2,0),FALSE),VLOOKUP(ROUNDUP($Q754,0),'FBA FEES'!$C$6:$F$123,MATCH($S754,'FBA FEES'!$C$6:$F$6,0),FALSE)),0)</f>
        <v>0</v>
      </c>
      <c r="AG754" s="116">
        <v>-10</v>
      </c>
      <c r="AH754" s="113">
        <f t="shared" si="145"/>
        <v>0</v>
      </c>
      <c r="AI754" s="116">
        <f>-IFERROR(IF($Y754=1,INDEX('[1]REMOVAL FEES'!$A$1:$C$22,MATCH(CONCATENATE("Standard Size",$P754),'[1]REMOVAL FEES'!$A$1:$A$22,0),3),IF($Y754=2,IF($P754&gt;10,(($P754-10)*1.06)+INDEX('[1]REMOVAL FEES'!$E$1:$G$22,MATCH(CONCATENATE("Large bulky, extra-large and special handling items",IF($P754&gt;=11,11,$P754)),'[1]REMOVAL FEES'!$E$1:$E$13,0),3),INDEX('[1]REMOVAL FEES'!$E$1:$G$22,MATCH(CONCATENATE("Large bulky, extra-large and special handling items",IF($P754&gt;=11,11,$P754)),'[1]REMOVAL FEES'!$E$1:$E$13,0),3))))*$AA754,FALSE)</f>
        <v>0</v>
      </c>
      <c r="AJ754" s="107">
        <f t="shared" si="146"/>
        <v>0</v>
      </c>
      <c r="AK754" s="107">
        <v>0</v>
      </c>
      <c r="AL754" s="107">
        <v>0</v>
      </c>
      <c r="AM754" s="107">
        <f t="shared" si="147"/>
        <v>0</v>
      </c>
      <c r="AN754" s="116">
        <f>(-IF($V754="Yes", IF($X754="Yes", VLOOKUP($W754, '[1]Storage Fees'!A:M, 13, FALSE), VLOOKUP($W754, '[1]Storage Fees'!A:M, 10, FALSE)), IF($X754="Yes", VLOOKUP($W754, '[1]Storage Fees'!A:M, 7, FALSE), VLOOKUP($W754, '[1]Storage Fees'!A:M, 4, FALSE))) * U754)*1.5</f>
        <v>0</v>
      </c>
    </row>
    <row r="755" spans="1:40" x14ac:dyDescent="0.25">
      <c r="A755" s="99">
        <v>683</v>
      </c>
      <c r="B755" s="99"/>
      <c r="C755" s="99" t="s">
        <v>13655</v>
      </c>
      <c r="D755" s="99"/>
      <c r="E755" s="99" t="s">
        <v>1290</v>
      </c>
      <c r="F755" s="99" t="s">
        <v>2151</v>
      </c>
      <c r="G755" s="99" t="s">
        <v>13695</v>
      </c>
      <c r="H755" s="99">
        <v>0</v>
      </c>
      <c r="I755" s="99">
        <v>0</v>
      </c>
      <c r="J755" s="99">
        <v>0</v>
      </c>
      <c r="K755" s="101" t="str">
        <f t="shared" si="135"/>
        <v>0x0x0</v>
      </c>
      <c r="L755" s="102">
        <f t="shared" si="136"/>
        <v>0</v>
      </c>
      <c r="M755" s="113">
        <f t="shared" si="137"/>
        <v>0</v>
      </c>
      <c r="N755" s="113">
        <f t="shared" si="138"/>
        <v>0</v>
      </c>
      <c r="O755" s="99">
        <v>0</v>
      </c>
      <c r="P755" s="113">
        <f t="shared" si="139"/>
        <v>0</v>
      </c>
      <c r="Q755" s="112">
        <f t="shared" si="140"/>
        <v>0</v>
      </c>
      <c r="R755" s="112" t="str">
        <f t="shared" si="141"/>
        <v>Standard-size</v>
      </c>
      <c r="S755" s="99" t="str">
        <f t="shared" si="142"/>
        <v>Small standard-size</v>
      </c>
      <c r="T755" s="116" t="s">
        <v>13696</v>
      </c>
      <c r="U755" s="116">
        <f t="shared" si="143"/>
        <v>0</v>
      </c>
      <c r="V755" s="116" t="s">
        <v>13583</v>
      </c>
      <c r="W755" s="116" t="s">
        <v>13690</v>
      </c>
      <c r="X755" s="99" t="s">
        <v>13583</v>
      </c>
      <c r="Y755" s="99">
        <v>1</v>
      </c>
      <c r="Z755" s="99">
        <v>1</v>
      </c>
      <c r="AA755" s="99">
        <v>1</v>
      </c>
      <c r="AB755" s="99"/>
      <c r="AC755" s="99"/>
      <c r="AD755" s="107">
        <v>0</v>
      </c>
      <c r="AE755" s="113">
        <f t="shared" si="144"/>
        <v>0</v>
      </c>
      <c r="AF755" s="116">
        <f>-IFERROR(IFERROR(VLOOKUP(ROUNDUP($Q755,0),'FBA FEES'!$L$2:$Q$203,MATCH($S755,'FBA FEES'!$L$2:$Q$2,0),FALSE),VLOOKUP(ROUNDUP($Q755,0),'FBA FEES'!$C$6:$F$123,MATCH($S755,'FBA FEES'!$C$6:$F$6,0),FALSE)),0)</f>
        <v>0</v>
      </c>
      <c r="AG755" s="116">
        <v>-10</v>
      </c>
      <c r="AH755" s="113">
        <f t="shared" si="145"/>
        <v>0</v>
      </c>
      <c r="AI755" s="116">
        <f>-IFERROR(IF($Y755=1,INDEX('[1]REMOVAL FEES'!$A$1:$C$22,MATCH(CONCATENATE("Standard Size",$P755),'[1]REMOVAL FEES'!$A$1:$A$22,0),3),IF($Y755=2,IF($P755&gt;10,(($P755-10)*1.06)+INDEX('[1]REMOVAL FEES'!$E$1:$G$22,MATCH(CONCATENATE("Large bulky, extra-large and special handling items",IF($P755&gt;=11,11,$P755)),'[1]REMOVAL FEES'!$E$1:$E$13,0),3),INDEX('[1]REMOVAL FEES'!$E$1:$G$22,MATCH(CONCATENATE("Large bulky, extra-large and special handling items",IF($P755&gt;=11,11,$P755)),'[1]REMOVAL FEES'!$E$1:$E$13,0),3))))*$AA755,FALSE)</f>
        <v>0</v>
      </c>
      <c r="AJ755" s="107">
        <f t="shared" si="146"/>
        <v>0</v>
      </c>
      <c r="AK755" s="107">
        <v>0</v>
      </c>
      <c r="AL755" s="107">
        <v>0</v>
      </c>
      <c r="AM755" s="107">
        <f t="shared" si="147"/>
        <v>0</v>
      </c>
      <c r="AN755" s="116">
        <f>(-IF($V755="Yes", IF($X755="Yes", VLOOKUP($W755, '[1]Storage Fees'!A:M, 13, FALSE), VLOOKUP($W755, '[1]Storage Fees'!A:M, 10, FALSE)), IF($X755="Yes", VLOOKUP($W755, '[1]Storage Fees'!A:M, 7, FALSE), VLOOKUP($W755, '[1]Storage Fees'!A:M, 4, FALSE))) * U755)*1.5</f>
        <v>0</v>
      </c>
    </row>
    <row r="756" spans="1:40" x14ac:dyDescent="0.25">
      <c r="A756" s="99">
        <v>684</v>
      </c>
      <c r="B756" s="99"/>
      <c r="C756" s="99" t="s">
        <v>13655</v>
      </c>
      <c r="D756" s="99"/>
      <c r="E756" s="99" t="s">
        <v>1290</v>
      </c>
      <c r="F756" s="99" t="s">
        <v>2153</v>
      </c>
      <c r="G756" s="99" t="s">
        <v>13695</v>
      </c>
      <c r="H756" s="99">
        <v>0</v>
      </c>
      <c r="I756" s="99">
        <v>0</v>
      </c>
      <c r="J756" s="99">
        <v>0</v>
      </c>
      <c r="K756" s="101" t="str">
        <f t="shared" si="135"/>
        <v>0x0x0</v>
      </c>
      <c r="L756" s="102">
        <f t="shared" si="136"/>
        <v>0</v>
      </c>
      <c r="M756" s="113">
        <f t="shared" si="137"/>
        <v>0</v>
      </c>
      <c r="N756" s="113">
        <f t="shared" si="138"/>
        <v>0</v>
      </c>
      <c r="O756" s="99">
        <v>0</v>
      </c>
      <c r="P756" s="113">
        <f t="shared" si="139"/>
        <v>0</v>
      </c>
      <c r="Q756" s="112">
        <f t="shared" si="140"/>
        <v>0</v>
      </c>
      <c r="R756" s="112" t="str">
        <f t="shared" si="141"/>
        <v>Standard-size</v>
      </c>
      <c r="S756" s="99" t="str">
        <f t="shared" si="142"/>
        <v>Small standard-size</v>
      </c>
      <c r="T756" s="116" t="s">
        <v>13696</v>
      </c>
      <c r="U756" s="116">
        <f t="shared" si="143"/>
        <v>0</v>
      </c>
      <c r="V756" s="116" t="s">
        <v>13583</v>
      </c>
      <c r="W756" s="116" t="s">
        <v>13690</v>
      </c>
      <c r="X756" s="99" t="s">
        <v>13583</v>
      </c>
      <c r="Y756" s="99">
        <v>1</v>
      </c>
      <c r="Z756" s="99">
        <v>1</v>
      </c>
      <c r="AA756" s="99">
        <v>1</v>
      </c>
      <c r="AB756" s="99"/>
      <c r="AC756" s="99"/>
      <c r="AD756" s="107">
        <v>0</v>
      </c>
      <c r="AE756" s="113">
        <f t="shared" si="144"/>
        <v>0</v>
      </c>
      <c r="AF756" s="116">
        <f>-IFERROR(IFERROR(VLOOKUP(ROUNDUP($Q756,0),'FBA FEES'!$L$2:$Q$203,MATCH($S756,'FBA FEES'!$L$2:$Q$2,0),FALSE),VLOOKUP(ROUNDUP($Q756,0),'FBA FEES'!$C$6:$F$123,MATCH($S756,'FBA FEES'!$C$6:$F$6,0),FALSE)),0)</f>
        <v>0</v>
      </c>
      <c r="AG756" s="116">
        <v>-10</v>
      </c>
      <c r="AH756" s="113">
        <f t="shared" si="145"/>
        <v>0</v>
      </c>
      <c r="AI756" s="116">
        <f>-IFERROR(IF($Y756=1,INDEX('[1]REMOVAL FEES'!$A$1:$C$22,MATCH(CONCATENATE("Standard Size",$P756),'[1]REMOVAL FEES'!$A$1:$A$22,0),3),IF($Y756=2,IF($P756&gt;10,(($P756-10)*1.06)+INDEX('[1]REMOVAL FEES'!$E$1:$G$22,MATCH(CONCATENATE("Large bulky, extra-large and special handling items",IF($P756&gt;=11,11,$P756)),'[1]REMOVAL FEES'!$E$1:$E$13,0),3),INDEX('[1]REMOVAL FEES'!$E$1:$G$22,MATCH(CONCATENATE("Large bulky, extra-large and special handling items",IF($P756&gt;=11,11,$P756)),'[1]REMOVAL FEES'!$E$1:$E$13,0),3))))*$AA756,FALSE)</f>
        <v>0</v>
      </c>
      <c r="AJ756" s="107">
        <f t="shared" si="146"/>
        <v>0</v>
      </c>
      <c r="AK756" s="107">
        <v>0</v>
      </c>
      <c r="AL756" s="107">
        <v>0</v>
      </c>
      <c r="AM756" s="107">
        <f t="shared" si="147"/>
        <v>0</v>
      </c>
      <c r="AN756" s="116">
        <f>(-IF($V756="Yes", IF($X756="Yes", VLOOKUP($W756, '[1]Storage Fees'!A:M, 13, FALSE), VLOOKUP($W756, '[1]Storage Fees'!A:M, 10, FALSE)), IF($X756="Yes", VLOOKUP($W756, '[1]Storage Fees'!A:M, 7, FALSE), VLOOKUP($W756, '[1]Storage Fees'!A:M, 4, FALSE))) * U756)*1.5</f>
        <v>0</v>
      </c>
    </row>
    <row r="757" spans="1:40" x14ac:dyDescent="0.25">
      <c r="A757" s="99">
        <v>685</v>
      </c>
      <c r="B757" s="99"/>
      <c r="C757" s="99" t="s">
        <v>13655</v>
      </c>
      <c r="D757" s="99"/>
      <c r="E757" s="99" t="s">
        <v>1290</v>
      </c>
      <c r="F757" s="99" t="s">
        <v>2155</v>
      </c>
      <c r="G757" s="99" t="s">
        <v>13695</v>
      </c>
      <c r="H757" s="99">
        <v>0</v>
      </c>
      <c r="I757" s="99">
        <v>0</v>
      </c>
      <c r="J757" s="99">
        <v>0</v>
      </c>
      <c r="K757" s="101" t="str">
        <f t="shared" si="135"/>
        <v>0x0x0</v>
      </c>
      <c r="L757" s="102">
        <f t="shared" si="136"/>
        <v>0</v>
      </c>
      <c r="M757" s="113">
        <f t="shared" si="137"/>
        <v>0</v>
      </c>
      <c r="N757" s="113">
        <f t="shared" si="138"/>
        <v>0</v>
      </c>
      <c r="O757" s="99">
        <v>0</v>
      </c>
      <c r="P757" s="113">
        <f t="shared" si="139"/>
        <v>0</v>
      </c>
      <c r="Q757" s="112">
        <f t="shared" si="140"/>
        <v>0</v>
      </c>
      <c r="R757" s="112" t="str">
        <f t="shared" si="141"/>
        <v>Standard-size</v>
      </c>
      <c r="S757" s="99" t="str">
        <f t="shared" si="142"/>
        <v>Small standard-size</v>
      </c>
      <c r="T757" s="116" t="s">
        <v>13696</v>
      </c>
      <c r="U757" s="116">
        <f t="shared" si="143"/>
        <v>0</v>
      </c>
      <c r="V757" s="116" t="s">
        <v>13583</v>
      </c>
      <c r="W757" s="116" t="s">
        <v>13690</v>
      </c>
      <c r="X757" s="99" t="s">
        <v>13583</v>
      </c>
      <c r="Y757" s="99">
        <v>1</v>
      </c>
      <c r="Z757" s="99">
        <v>1</v>
      </c>
      <c r="AA757" s="99">
        <v>1</v>
      </c>
      <c r="AB757" s="99"/>
      <c r="AC757" s="99"/>
      <c r="AD757" s="107">
        <v>0</v>
      </c>
      <c r="AE757" s="113">
        <f t="shared" si="144"/>
        <v>0</v>
      </c>
      <c r="AF757" s="116">
        <f>-IFERROR(IFERROR(VLOOKUP(ROUNDUP($Q757,0),'FBA FEES'!$L$2:$Q$203,MATCH($S757,'FBA FEES'!$L$2:$Q$2,0),FALSE),VLOOKUP(ROUNDUP($Q757,0),'FBA FEES'!$C$6:$F$123,MATCH($S757,'FBA FEES'!$C$6:$F$6,0),FALSE)),0)</f>
        <v>0</v>
      </c>
      <c r="AG757" s="116">
        <v>-10</v>
      </c>
      <c r="AH757" s="113">
        <f t="shared" si="145"/>
        <v>0</v>
      </c>
      <c r="AI757" s="116">
        <f>-IFERROR(IF($Y757=1,INDEX('[1]REMOVAL FEES'!$A$1:$C$22,MATCH(CONCATENATE("Standard Size",$P757),'[1]REMOVAL FEES'!$A$1:$A$22,0),3),IF($Y757=2,IF($P757&gt;10,(($P757-10)*1.06)+INDEX('[1]REMOVAL FEES'!$E$1:$G$22,MATCH(CONCATENATE("Large bulky, extra-large and special handling items",IF($P757&gt;=11,11,$P757)),'[1]REMOVAL FEES'!$E$1:$E$13,0),3),INDEX('[1]REMOVAL FEES'!$E$1:$G$22,MATCH(CONCATENATE("Large bulky, extra-large and special handling items",IF($P757&gt;=11,11,$P757)),'[1]REMOVAL FEES'!$E$1:$E$13,0),3))))*$AA757,FALSE)</f>
        <v>0</v>
      </c>
      <c r="AJ757" s="107">
        <f t="shared" si="146"/>
        <v>0</v>
      </c>
      <c r="AK757" s="107">
        <v>0</v>
      </c>
      <c r="AL757" s="107">
        <v>0</v>
      </c>
      <c r="AM757" s="107">
        <f t="shared" si="147"/>
        <v>0</v>
      </c>
      <c r="AN757" s="116">
        <f>(-IF($V757="Yes", IF($X757="Yes", VLOOKUP($W757, '[1]Storage Fees'!A:M, 13, FALSE), VLOOKUP($W757, '[1]Storage Fees'!A:M, 10, FALSE)), IF($X757="Yes", VLOOKUP($W757, '[1]Storage Fees'!A:M, 7, FALSE), VLOOKUP($W757, '[1]Storage Fees'!A:M, 4, FALSE))) * U757)*1.5</f>
        <v>0</v>
      </c>
    </row>
    <row r="758" spans="1:40" x14ac:dyDescent="0.25">
      <c r="A758" s="99">
        <v>686</v>
      </c>
      <c r="B758" s="99"/>
      <c r="C758" s="99" t="s">
        <v>13655</v>
      </c>
      <c r="D758" s="99"/>
      <c r="E758" s="99" t="s">
        <v>1290</v>
      </c>
      <c r="F758" s="99" t="s">
        <v>2157</v>
      </c>
      <c r="G758" s="99" t="s">
        <v>13695</v>
      </c>
      <c r="H758" s="99">
        <v>0</v>
      </c>
      <c r="I758" s="99">
        <v>0</v>
      </c>
      <c r="J758" s="99">
        <v>0</v>
      </c>
      <c r="K758" s="101" t="str">
        <f t="shared" si="135"/>
        <v>0x0x0</v>
      </c>
      <c r="L758" s="102">
        <f t="shared" si="136"/>
        <v>0</v>
      </c>
      <c r="M758" s="113">
        <f t="shared" si="137"/>
        <v>0</v>
      </c>
      <c r="N758" s="113">
        <f t="shared" si="138"/>
        <v>0</v>
      </c>
      <c r="O758" s="99">
        <v>0</v>
      </c>
      <c r="P758" s="113">
        <f t="shared" si="139"/>
        <v>0</v>
      </c>
      <c r="Q758" s="112">
        <f t="shared" si="140"/>
        <v>0</v>
      </c>
      <c r="R758" s="112" t="str">
        <f t="shared" si="141"/>
        <v>Standard-size</v>
      </c>
      <c r="S758" s="99" t="str">
        <f t="shared" si="142"/>
        <v>Small standard-size</v>
      </c>
      <c r="T758" s="116" t="s">
        <v>13696</v>
      </c>
      <c r="U758" s="116">
        <f t="shared" si="143"/>
        <v>0</v>
      </c>
      <c r="V758" s="116" t="s">
        <v>13583</v>
      </c>
      <c r="W758" s="116" t="s">
        <v>13690</v>
      </c>
      <c r="X758" s="99" t="s">
        <v>13583</v>
      </c>
      <c r="Y758" s="99">
        <v>1</v>
      </c>
      <c r="Z758" s="99">
        <v>1</v>
      </c>
      <c r="AA758" s="99">
        <v>1</v>
      </c>
      <c r="AB758" s="99"/>
      <c r="AC758" s="99"/>
      <c r="AD758" s="107">
        <v>0</v>
      </c>
      <c r="AE758" s="113">
        <f t="shared" si="144"/>
        <v>0</v>
      </c>
      <c r="AF758" s="116">
        <f>-IFERROR(IFERROR(VLOOKUP(ROUNDUP($Q758,0),'FBA FEES'!$L$2:$Q$203,MATCH($S758,'FBA FEES'!$L$2:$Q$2,0),FALSE),VLOOKUP(ROUNDUP($Q758,0),'FBA FEES'!$C$6:$F$123,MATCH($S758,'FBA FEES'!$C$6:$F$6,0),FALSE)),0)</f>
        <v>0</v>
      </c>
      <c r="AG758" s="116">
        <v>-10</v>
      </c>
      <c r="AH758" s="113">
        <f t="shared" si="145"/>
        <v>0</v>
      </c>
      <c r="AI758" s="116">
        <f>-IFERROR(IF($Y758=1,INDEX('[1]REMOVAL FEES'!$A$1:$C$22,MATCH(CONCATENATE("Standard Size",$P758),'[1]REMOVAL FEES'!$A$1:$A$22,0),3),IF($Y758=2,IF($P758&gt;10,(($P758-10)*1.06)+INDEX('[1]REMOVAL FEES'!$E$1:$G$22,MATCH(CONCATENATE("Large bulky, extra-large and special handling items",IF($P758&gt;=11,11,$P758)),'[1]REMOVAL FEES'!$E$1:$E$13,0),3),INDEX('[1]REMOVAL FEES'!$E$1:$G$22,MATCH(CONCATENATE("Large bulky, extra-large and special handling items",IF($P758&gt;=11,11,$P758)),'[1]REMOVAL FEES'!$E$1:$E$13,0),3))))*$AA758,FALSE)</f>
        <v>0</v>
      </c>
      <c r="AJ758" s="107">
        <f t="shared" si="146"/>
        <v>0</v>
      </c>
      <c r="AK758" s="107">
        <v>0</v>
      </c>
      <c r="AL758" s="107">
        <v>0</v>
      </c>
      <c r="AM758" s="107">
        <f t="shared" si="147"/>
        <v>0</v>
      </c>
      <c r="AN758" s="116">
        <f>(-IF($V758="Yes", IF($X758="Yes", VLOOKUP($W758, '[1]Storage Fees'!A:M, 13, FALSE), VLOOKUP($W758, '[1]Storage Fees'!A:M, 10, FALSE)), IF($X758="Yes", VLOOKUP($W758, '[1]Storage Fees'!A:M, 7, FALSE), VLOOKUP($W758, '[1]Storage Fees'!A:M, 4, FALSE))) * U758)*1.5</f>
        <v>0</v>
      </c>
    </row>
    <row r="759" spans="1:40" x14ac:dyDescent="0.25">
      <c r="A759" s="99">
        <v>687</v>
      </c>
      <c r="B759" s="99"/>
      <c r="C759" s="99" t="s">
        <v>13655</v>
      </c>
      <c r="D759" s="99"/>
      <c r="E759" s="99" t="s">
        <v>1290</v>
      </c>
      <c r="F759" s="99" t="s">
        <v>2159</v>
      </c>
      <c r="G759" s="99" t="s">
        <v>13695</v>
      </c>
      <c r="H759" s="99">
        <v>0</v>
      </c>
      <c r="I759" s="99">
        <v>0</v>
      </c>
      <c r="J759" s="99">
        <v>0</v>
      </c>
      <c r="K759" s="101" t="str">
        <f t="shared" si="135"/>
        <v>0x0x0</v>
      </c>
      <c r="L759" s="102">
        <f t="shared" si="136"/>
        <v>0</v>
      </c>
      <c r="M759" s="113">
        <f t="shared" si="137"/>
        <v>0</v>
      </c>
      <c r="N759" s="113">
        <f t="shared" si="138"/>
        <v>0</v>
      </c>
      <c r="O759" s="99">
        <v>0</v>
      </c>
      <c r="P759" s="113">
        <f t="shared" si="139"/>
        <v>0</v>
      </c>
      <c r="Q759" s="112">
        <f t="shared" si="140"/>
        <v>0</v>
      </c>
      <c r="R759" s="112" t="str">
        <f t="shared" si="141"/>
        <v>Standard-size</v>
      </c>
      <c r="S759" s="99" t="str">
        <f t="shared" si="142"/>
        <v>Small standard-size</v>
      </c>
      <c r="T759" s="116" t="s">
        <v>13696</v>
      </c>
      <c r="U759" s="116">
        <f t="shared" si="143"/>
        <v>0</v>
      </c>
      <c r="V759" s="116" t="s">
        <v>13583</v>
      </c>
      <c r="W759" s="116" t="s">
        <v>13690</v>
      </c>
      <c r="X759" s="99" t="s">
        <v>13583</v>
      </c>
      <c r="Y759" s="99">
        <v>1</v>
      </c>
      <c r="Z759" s="99">
        <v>1</v>
      </c>
      <c r="AA759" s="99">
        <v>1</v>
      </c>
      <c r="AB759" s="99"/>
      <c r="AC759" s="99"/>
      <c r="AD759" s="107">
        <v>0</v>
      </c>
      <c r="AE759" s="113">
        <f t="shared" si="144"/>
        <v>0</v>
      </c>
      <c r="AF759" s="116">
        <f>-IFERROR(IFERROR(VLOOKUP(ROUNDUP($Q759,0),'FBA FEES'!$L$2:$Q$203,MATCH($S759,'FBA FEES'!$L$2:$Q$2,0),FALSE),VLOOKUP(ROUNDUP($Q759,0),'FBA FEES'!$C$6:$F$123,MATCH($S759,'FBA FEES'!$C$6:$F$6,0),FALSE)),0)</f>
        <v>0</v>
      </c>
      <c r="AG759" s="116">
        <v>-10</v>
      </c>
      <c r="AH759" s="113">
        <f t="shared" si="145"/>
        <v>0</v>
      </c>
      <c r="AI759" s="116">
        <f>-IFERROR(IF($Y759=1,INDEX('[1]REMOVAL FEES'!$A$1:$C$22,MATCH(CONCATENATE("Standard Size",$P759),'[1]REMOVAL FEES'!$A$1:$A$22,0),3),IF($Y759=2,IF($P759&gt;10,(($P759-10)*1.06)+INDEX('[1]REMOVAL FEES'!$E$1:$G$22,MATCH(CONCATENATE("Large bulky, extra-large and special handling items",IF($P759&gt;=11,11,$P759)),'[1]REMOVAL FEES'!$E$1:$E$13,0),3),INDEX('[1]REMOVAL FEES'!$E$1:$G$22,MATCH(CONCATENATE("Large bulky, extra-large and special handling items",IF($P759&gt;=11,11,$P759)),'[1]REMOVAL FEES'!$E$1:$E$13,0),3))))*$AA759,FALSE)</f>
        <v>0</v>
      </c>
      <c r="AJ759" s="107">
        <f t="shared" si="146"/>
        <v>0</v>
      </c>
      <c r="AK759" s="107">
        <v>0</v>
      </c>
      <c r="AL759" s="107">
        <v>0</v>
      </c>
      <c r="AM759" s="107">
        <f t="shared" si="147"/>
        <v>0</v>
      </c>
      <c r="AN759" s="116">
        <f>(-IF($V759="Yes", IF($X759="Yes", VLOOKUP($W759, '[1]Storage Fees'!A:M, 13, FALSE), VLOOKUP($W759, '[1]Storage Fees'!A:M, 10, FALSE)), IF($X759="Yes", VLOOKUP($W759, '[1]Storage Fees'!A:M, 7, FALSE), VLOOKUP($W759, '[1]Storage Fees'!A:M, 4, FALSE))) * U759)*1.5</f>
        <v>0</v>
      </c>
    </row>
    <row r="760" spans="1:40" x14ac:dyDescent="0.25">
      <c r="A760" s="99">
        <v>688</v>
      </c>
      <c r="B760" s="99"/>
      <c r="C760" s="99" t="s">
        <v>13655</v>
      </c>
      <c r="D760" s="99"/>
      <c r="E760" s="99" t="s">
        <v>1290</v>
      </c>
      <c r="F760" s="99" t="s">
        <v>2161</v>
      </c>
      <c r="G760" s="99" t="s">
        <v>13695</v>
      </c>
      <c r="H760" s="99">
        <v>0</v>
      </c>
      <c r="I760" s="99">
        <v>0</v>
      </c>
      <c r="J760" s="99">
        <v>0</v>
      </c>
      <c r="K760" s="101" t="str">
        <f t="shared" si="135"/>
        <v>0x0x0</v>
      </c>
      <c r="L760" s="102">
        <f t="shared" si="136"/>
        <v>0</v>
      </c>
      <c r="M760" s="113">
        <f t="shared" si="137"/>
        <v>0</v>
      </c>
      <c r="N760" s="113">
        <f t="shared" si="138"/>
        <v>0</v>
      </c>
      <c r="O760" s="99">
        <v>0</v>
      </c>
      <c r="P760" s="113">
        <f t="shared" si="139"/>
        <v>0</v>
      </c>
      <c r="Q760" s="112">
        <f t="shared" si="140"/>
        <v>0</v>
      </c>
      <c r="R760" s="112" t="str">
        <f t="shared" si="141"/>
        <v>Standard-size</v>
      </c>
      <c r="S760" s="99" t="str">
        <f t="shared" si="142"/>
        <v>Small standard-size</v>
      </c>
      <c r="T760" s="116" t="s">
        <v>13696</v>
      </c>
      <c r="U760" s="116">
        <f t="shared" si="143"/>
        <v>0</v>
      </c>
      <c r="V760" s="116" t="s">
        <v>13583</v>
      </c>
      <c r="W760" s="116" t="s">
        <v>13690</v>
      </c>
      <c r="X760" s="99" t="s">
        <v>13583</v>
      </c>
      <c r="Y760" s="99">
        <v>1</v>
      </c>
      <c r="Z760" s="99">
        <v>1</v>
      </c>
      <c r="AA760" s="99">
        <v>1</v>
      </c>
      <c r="AB760" s="99"/>
      <c r="AC760" s="99"/>
      <c r="AD760" s="107">
        <v>0</v>
      </c>
      <c r="AE760" s="113">
        <f t="shared" si="144"/>
        <v>0</v>
      </c>
      <c r="AF760" s="116">
        <f>-IFERROR(IFERROR(VLOOKUP(ROUNDUP($Q760,0),'FBA FEES'!$L$2:$Q$203,MATCH($S760,'FBA FEES'!$L$2:$Q$2,0),FALSE),VLOOKUP(ROUNDUP($Q760,0),'FBA FEES'!$C$6:$F$123,MATCH($S760,'FBA FEES'!$C$6:$F$6,0),FALSE)),0)</f>
        <v>0</v>
      </c>
      <c r="AG760" s="116">
        <v>-10</v>
      </c>
      <c r="AH760" s="113">
        <f t="shared" si="145"/>
        <v>0</v>
      </c>
      <c r="AI760" s="116">
        <f>-IFERROR(IF($Y760=1,INDEX('[1]REMOVAL FEES'!$A$1:$C$22,MATCH(CONCATENATE("Standard Size",$P760),'[1]REMOVAL FEES'!$A$1:$A$22,0),3),IF($Y760=2,IF($P760&gt;10,(($P760-10)*1.06)+INDEX('[1]REMOVAL FEES'!$E$1:$G$22,MATCH(CONCATENATE("Large bulky, extra-large and special handling items",IF($P760&gt;=11,11,$P760)),'[1]REMOVAL FEES'!$E$1:$E$13,0),3),INDEX('[1]REMOVAL FEES'!$E$1:$G$22,MATCH(CONCATENATE("Large bulky, extra-large and special handling items",IF($P760&gt;=11,11,$P760)),'[1]REMOVAL FEES'!$E$1:$E$13,0),3))))*$AA760,FALSE)</f>
        <v>0</v>
      </c>
      <c r="AJ760" s="107">
        <f t="shared" si="146"/>
        <v>0</v>
      </c>
      <c r="AK760" s="107">
        <v>0</v>
      </c>
      <c r="AL760" s="107">
        <v>0</v>
      </c>
      <c r="AM760" s="107">
        <f t="shared" si="147"/>
        <v>0</v>
      </c>
      <c r="AN760" s="116">
        <f>(-IF($V760="Yes", IF($X760="Yes", VLOOKUP($W760, '[1]Storage Fees'!A:M, 13, FALSE), VLOOKUP($W760, '[1]Storage Fees'!A:M, 10, FALSE)), IF($X760="Yes", VLOOKUP($W760, '[1]Storage Fees'!A:M, 7, FALSE), VLOOKUP($W760, '[1]Storage Fees'!A:M, 4, FALSE))) * U760)*1.5</f>
        <v>0</v>
      </c>
    </row>
    <row r="761" spans="1:40" x14ac:dyDescent="0.25">
      <c r="A761" s="99">
        <v>689</v>
      </c>
      <c r="B761" s="99"/>
      <c r="C761" s="99" t="s">
        <v>13655</v>
      </c>
      <c r="D761" s="99"/>
      <c r="E761" s="99" t="s">
        <v>1290</v>
      </c>
      <c r="F761" s="99" t="s">
        <v>2163</v>
      </c>
      <c r="G761" s="99" t="s">
        <v>13695</v>
      </c>
      <c r="H761" s="99">
        <v>0</v>
      </c>
      <c r="I761" s="99">
        <v>0</v>
      </c>
      <c r="J761" s="99">
        <v>0</v>
      </c>
      <c r="K761" s="101" t="str">
        <f t="shared" si="135"/>
        <v>0x0x0</v>
      </c>
      <c r="L761" s="102">
        <f t="shared" si="136"/>
        <v>0</v>
      </c>
      <c r="M761" s="113">
        <f t="shared" si="137"/>
        <v>0</v>
      </c>
      <c r="N761" s="113">
        <f t="shared" si="138"/>
        <v>0</v>
      </c>
      <c r="O761" s="99">
        <v>0</v>
      </c>
      <c r="P761" s="113">
        <f t="shared" si="139"/>
        <v>0</v>
      </c>
      <c r="Q761" s="112">
        <f t="shared" si="140"/>
        <v>0</v>
      </c>
      <c r="R761" s="112" t="str">
        <f t="shared" si="141"/>
        <v>Standard-size</v>
      </c>
      <c r="S761" s="99" t="str">
        <f t="shared" si="142"/>
        <v>Small standard-size</v>
      </c>
      <c r="T761" s="116" t="s">
        <v>13696</v>
      </c>
      <c r="U761" s="116">
        <f t="shared" si="143"/>
        <v>0</v>
      </c>
      <c r="V761" s="116" t="s">
        <v>13583</v>
      </c>
      <c r="W761" s="116" t="s">
        <v>13690</v>
      </c>
      <c r="X761" s="99" t="s">
        <v>13583</v>
      </c>
      <c r="Y761" s="99">
        <v>1</v>
      </c>
      <c r="Z761" s="99">
        <v>1</v>
      </c>
      <c r="AA761" s="99">
        <v>1</v>
      </c>
      <c r="AB761" s="99"/>
      <c r="AC761" s="99"/>
      <c r="AD761" s="107">
        <v>0</v>
      </c>
      <c r="AE761" s="113">
        <f t="shared" si="144"/>
        <v>0</v>
      </c>
      <c r="AF761" s="116">
        <f>-IFERROR(IFERROR(VLOOKUP(ROUNDUP($Q761,0),'FBA FEES'!$L$2:$Q$203,MATCH($S761,'FBA FEES'!$L$2:$Q$2,0),FALSE),VLOOKUP(ROUNDUP($Q761,0),'FBA FEES'!$C$6:$F$123,MATCH($S761,'FBA FEES'!$C$6:$F$6,0),FALSE)),0)</f>
        <v>0</v>
      </c>
      <c r="AG761" s="116">
        <v>-10</v>
      </c>
      <c r="AH761" s="113">
        <f t="shared" si="145"/>
        <v>0</v>
      </c>
      <c r="AI761" s="116">
        <f>-IFERROR(IF($Y761=1,INDEX('[1]REMOVAL FEES'!$A$1:$C$22,MATCH(CONCATENATE("Standard Size",$P761),'[1]REMOVAL FEES'!$A$1:$A$22,0),3),IF($Y761=2,IF($P761&gt;10,(($P761-10)*1.06)+INDEX('[1]REMOVAL FEES'!$E$1:$G$22,MATCH(CONCATENATE("Large bulky, extra-large and special handling items",IF($P761&gt;=11,11,$P761)),'[1]REMOVAL FEES'!$E$1:$E$13,0),3),INDEX('[1]REMOVAL FEES'!$E$1:$G$22,MATCH(CONCATENATE("Large bulky, extra-large and special handling items",IF($P761&gt;=11,11,$P761)),'[1]REMOVAL FEES'!$E$1:$E$13,0),3))))*$AA761,FALSE)</f>
        <v>0</v>
      </c>
      <c r="AJ761" s="107">
        <f t="shared" si="146"/>
        <v>0</v>
      </c>
      <c r="AK761" s="107">
        <v>0</v>
      </c>
      <c r="AL761" s="107">
        <v>0</v>
      </c>
      <c r="AM761" s="107">
        <f t="shared" si="147"/>
        <v>0</v>
      </c>
      <c r="AN761" s="116">
        <f>(-IF($V761="Yes", IF($X761="Yes", VLOOKUP($W761, '[1]Storage Fees'!A:M, 13, FALSE), VLOOKUP($W761, '[1]Storage Fees'!A:M, 10, FALSE)), IF($X761="Yes", VLOOKUP($W761, '[1]Storage Fees'!A:M, 7, FALSE), VLOOKUP($W761, '[1]Storage Fees'!A:M, 4, FALSE))) * U761)*1.5</f>
        <v>0</v>
      </c>
    </row>
    <row r="762" spans="1:40" x14ac:dyDescent="0.25">
      <c r="A762" s="99">
        <v>690</v>
      </c>
      <c r="B762" s="99" t="s">
        <v>283</v>
      </c>
      <c r="C762" s="99" t="s">
        <v>13655</v>
      </c>
      <c r="D762" s="99" t="s">
        <v>778</v>
      </c>
      <c r="E762" s="99" t="s">
        <v>1290</v>
      </c>
      <c r="F762" s="99" t="s">
        <v>1288</v>
      </c>
      <c r="G762" s="99" t="s">
        <v>13695</v>
      </c>
      <c r="H762" s="99">
        <v>27</v>
      </c>
      <c r="I762" s="99">
        <v>10</v>
      </c>
      <c r="J762" s="99">
        <v>12</v>
      </c>
      <c r="K762" s="101" t="str">
        <f t="shared" si="135"/>
        <v>27x10x12</v>
      </c>
      <c r="L762" s="102">
        <f t="shared" si="136"/>
        <v>23.309352517985612</v>
      </c>
      <c r="M762" s="113">
        <f t="shared" si="137"/>
        <v>23.309352517985612</v>
      </c>
      <c r="N762" s="113">
        <f t="shared" si="138"/>
        <v>24</v>
      </c>
      <c r="O762" s="99">
        <v>24</v>
      </c>
      <c r="P762" s="113">
        <f t="shared" si="139"/>
        <v>24</v>
      </c>
      <c r="Q762" s="112">
        <f t="shared" si="140"/>
        <v>384</v>
      </c>
      <c r="R762" s="112" t="str">
        <f t="shared" si="141"/>
        <v>Oversize</v>
      </c>
      <c r="S762" s="99" t="str">
        <f t="shared" si="142"/>
        <v>Large bulky</v>
      </c>
      <c r="T762" s="116" t="s">
        <v>13692</v>
      </c>
      <c r="U762" s="116">
        <f t="shared" si="143"/>
        <v>1.875</v>
      </c>
      <c r="V762" s="116" t="s">
        <v>13583</v>
      </c>
      <c r="W762" s="116" t="s">
        <v>13690</v>
      </c>
      <c r="X762" s="116" t="s">
        <v>13691</v>
      </c>
      <c r="Y762" s="116">
        <v>2</v>
      </c>
      <c r="Z762" s="116">
        <v>3</v>
      </c>
      <c r="AA762" s="116">
        <v>1</v>
      </c>
      <c r="AB762" s="99"/>
      <c r="AC762" s="99"/>
      <c r="AD762" s="107">
        <v>0</v>
      </c>
      <c r="AE762" s="113">
        <f t="shared" si="144"/>
        <v>0</v>
      </c>
      <c r="AF762" s="116">
        <f>-IFERROR(IFERROR(VLOOKUP(ROUNDUP($Q762,0),'FBA FEES'!$L$2:$Q$203,MATCH($S762,'FBA FEES'!$L$2:$Q$2,0),FALSE),VLOOKUP(ROUNDUP($Q762,0),'FBA FEES'!$C$6:$F$123,MATCH($S762,'FBA FEES'!$C$6:$F$6,0),FALSE)),0)</f>
        <v>-18.350000000000001</v>
      </c>
      <c r="AG762" s="116">
        <v>-10</v>
      </c>
      <c r="AH762" s="113">
        <f t="shared" si="145"/>
        <v>-18.350000000000001</v>
      </c>
      <c r="AI762" s="116">
        <f>-IFERROR(IF($Y762=1,INDEX('[1]REMOVAL FEES'!$A$1:$C$22,MATCH(CONCATENATE("Standard Size",$P762),'[1]REMOVAL FEES'!$A$1:$A$22,0),3),IF($Y762=2,IF($P762&gt;10,(($P762-10)*1.06)+INDEX('[1]REMOVAL FEES'!$E$1:$G$22,MATCH(CONCATENATE("Large bulky, extra-large and special handling items",IF($P762&gt;=11,11,$P762)),'[1]REMOVAL FEES'!$E$1:$E$13,0),3),INDEX('[1]REMOVAL FEES'!$E$1:$G$22,MATCH(CONCATENATE("Large bulky, extra-large and special handling items",IF($P762&gt;=11,11,$P762)),'[1]REMOVAL FEES'!$E$1:$E$13,0),3))))*$AA762,FALSE)</f>
        <v>-29.16</v>
      </c>
      <c r="AJ762" s="107">
        <f t="shared" si="146"/>
        <v>-47.510000000000005</v>
      </c>
      <c r="AK762" s="107">
        <v>0</v>
      </c>
      <c r="AL762" s="107">
        <v>0</v>
      </c>
      <c r="AM762" s="107">
        <f t="shared" si="147"/>
        <v>0</v>
      </c>
      <c r="AN762" s="116">
        <f>(-IF($V762="Yes", IF($X762="Yes", VLOOKUP($W762, '[1]Storage Fees'!A:M, 13, FALSE), VLOOKUP($W762, '[1]Storage Fees'!A:M, 10, FALSE)), IF($X762="Yes", VLOOKUP($W762, '[1]Storage Fees'!A:M, 7, FALSE), VLOOKUP($W762, '[1]Storage Fees'!A:M, 4, FALSE))) * U762)*1.5</f>
        <v>-2.2218750000000003</v>
      </c>
    </row>
    <row r="763" spans="1:40" x14ac:dyDescent="0.25">
      <c r="A763" s="99">
        <v>691</v>
      </c>
      <c r="B763" s="99" t="s">
        <v>283</v>
      </c>
      <c r="C763" s="99" t="s">
        <v>13655</v>
      </c>
      <c r="D763" s="99" t="s">
        <v>778</v>
      </c>
      <c r="E763" s="99" t="s">
        <v>1290</v>
      </c>
      <c r="F763" s="99" t="s">
        <v>1292</v>
      </c>
      <c r="G763" s="99" t="s">
        <v>13695</v>
      </c>
      <c r="H763" s="99">
        <v>26</v>
      </c>
      <c r="I763" s="99">
        <v>18</v>
      </c>
      <c r="J763" s="99">
        <v>7</v>
      </c>
      <c r="K763" s="101" t="str">
        <f t="shared" si="135"/>
        <v>26x18x7</v>
      </c>
      <c r="L763" s="102">
        <f t="shared" si="136"/>
        <v>23.568345323741006</v>
      </c>
      <c r="M763" s="113">
        <f t="shared" si="137"/>
        <v>23.568345323741006</v>
      </c>
      <c r="N763" s="113">
        <f t="shared" si="138"/>
        <v>24</v>
      </c>
      <c r="O763" s="99">
        <v>24</v>
      </c>
      <c r="P763" s="113">
        <f t="shared" si="139"/>
        <v>24</v>
      </c>
      <c r="Q763" s="112">
        <f t="shared" si="140"/>
        <v>384</v>
      </c>
      <c r="R763" s="112" t="str">
        <f t="shared" si="141"/>
        <v>Oversize</v>
      </c>
      <c r="S763" s="99" t="str">
        <f t="shared" si="142"/>
        <v>Large bulky</v>
      </c>
      <c r="T763" s="116" t="s">
        <v>13692</v>
      </c>
      <c r="U763" s="116">
        <f t="shared" si="143"/>
        <v>1.8958333333333333</v>
      </c>
      <c r="V763" s="116" t="s">
        <v>13583</v>
      </c>
      <c r="W763" s="116" t="s">
        <v>13690</v>
      </c>
      <c r="X763" s="116" t="s">
        <v>13691</v>
      </c>
      <c r="Y763" s="116">
        <v>2</v>
      </c>
      <c r="Z763" s="116">
        <v>3</v>
      </c>
      <c r="AA763" s="116">
        <v>1</v>
      </c>
      <c r="AB763" s="99"/>
      <c r="AC763" s="99"/>
      <c r="AD763" s="107">
        <v>0</v>
      </c>
      <c r="AE763" s="113">
        <f t="shared" si="144"/>
        <v>0</v>
      </c>
      <c r="AF763" s="116">
        <f>-IFERROR(IFERROR(VLOOKUP(ROUNDUP($Q763,0),'FBA FEES'!$L$2:$Q$203,MATCH($S763,'FBA FEES'!$L$2:$Q$2,0),FALSE),VLOOKUP(ROUNDUP($Q763,0),'FBA FEES'!$C$6:$F$123,MATCH($S763,'FBA FEES'!$C$6:$F$6,0),FALSE)),0)</f>
        <v>-18.350000000000001</v>
      </c>
      <c r="AG763" s="116">
        <v>-10</v>
      </c>
      <c r="AH763" s="113">
        <f t="shared" si="145"/>
        <v>-18.350000000000001</v>
      </c>
      <c r="AI763" s="116">
        <f>-IFERROR(IF($Y763=1,INDEX('[1]REMOVAL FEES'!$A$1:$C$22,MATCH(CONCATENATE("Standard Size",$P763),'[1]REMOVAL FEES'!$A$1:$A$22,0),3),IF($Y763=2,IF($P763&gt;10,(($P763-10)*1.06)+INDEX('[1]REMOVAL FEES'!$E$1:$G$22,MATCH(CONCATENATE("Large bulky, extra-large and special handling items",IF($P763&gt;=11,11,$P763)),'[1]REMOVAL FEES'!$E$1:$E$13,0),3),INDEX('[1]REMOVAL FEES'!$E$1:$G$22,MATCH(CONCATENATE("Large bulky, extra-large and special handling items",IF($P763&gt;=11,11,$P763)),'[1]REMOVAL FEES'!$E$1:$E$13,0),3))))*$AA763,FALSE)</f>
        <v>-29.16</v>
      </c>
      <c r="AJ763" s="107">
        <f t="shared" si="146"/>
        <v>-47.510000000000005</v>
      </c>
      <c r="AK763" s="107">
        <v>0</v>
      </c>
      <c r="AL763" s="107">
        <v>0</v>
      </c>
      <c r="AM763" s="107">
        <f t="shared" si="147"/>
        <v>0</v>
      </c>
      <c r="AN763" s="116">
        <f>(-IF($V763="Yes", IF($X763="Yes", VLOOKUP($W763, '[1]Storage Fees'!A:M, 13, FALSE), VLOOKUP($W763, '[1]Storage Fees'!A:M, 10, FALSE)), IF($X763="Yes", VLOOKUP($W763, '[1]Storage Fees'!A:M, 7, FALSE), VLOOKUP($W763, '[1]Storage Fees'!A:M, 4, FALSE))) * U763)*1.5</f>
        <v>-2.2465625</v>
      </c>
    </row>
    <row r="764" spans="1:40" x14ac:dyDescent="0.25">
      <c r="A764" s="99">
        <v>692</v>
      </c>
      <c r="B764" s="99" t="s">
        <v>283</v>
      </c>
      <c r="C764" s="99" t="s">
        <v>13655</v>
      </c>
      <c r="D764" s="99" t="s">
        <v>778</v>
      </c>
      <c r="E764" s="99" t="s">
        <v>1290</v>
      </c>
      <c r="F764" s="99" t="s">
        <v>1295</v>
      </c>
      <c r="G764" s="99" t="s">
        <v>13695</v>
      </c>
      <c r="H764" s="99">
        <v>32</v>
      </c>
      <c r="I764" s="99">
        <v>6</v>
      </c>
      <c r="J764" s="99">
        <v>6</v>
      </c>
      <c r="K764" s="101" t="str">
        <f t="shared" si="135"/>
        <v>32x6x6</v>
      </c>
      <c r="L764" s="102">
        <f t="shared" si="136"/>
        <v>8.2877697841726619</v>
      </c>
      <c r="M764" s="113">
        <f t="shared" si="137"/>
        <v>8.2877697841726619</v>
      </c>
      <c r="N764" s="113">
        <f t="shared" si="138"/>
        <v>9</v>
      </c>
      <c r="O764" s="99">
        <v>35</v>
      </c>
      <c r="P764" s="113">
        <f t="shared" si="139"/>
        <v>35</v>
      </c>
      <c r="Q764" s="112">
        <f t="shared" si="140"/>
        <v>560</v>
      </c>
      <c r="R764" s="112" t="str">
        <f t="shared" si="141"/>
        <v>Oversize</v>
      </c>
      <c r="S764" s="99" t="str">
        <f t="shared" si="142"/>
        <v>Large bulky</v>
      </c>
      <c r="T764" s="116" t="s">
        <v>13694</v>
      </c>
      <c r="U764" s="116">
        <f t="shared" si="143"/>
        <v>0.66666666666666663</v>
      </c>
      <c r="V764" s="116" t="s">
        <v>13583</v>
      </c>
      <c r="W764" s="116" t="s">
        <v>13690</v>
      </c>
      <c r="X764" s="116" t="s">
        <v>13691</v>
      </c>
      <c r="Y764" s="116">
        <v>2</v>
      </c>
      <c r="Z764" s="116">
        <v>3</v>
      </c>
      <c r="AA764" s="116">
        <v>1</v>
      </c>
      <c r="AB764" s="99"/>
      <c r="AC764" s="99"/>
      <c r="AD764" s="107">
        <v>0</v>
      </c>
      <c r="AE764" s="113">
        <f t="shared" si="144"/>
        <v>0</v>
      </c>
      <c r="AF764" s="116">
        <f>-IFERROR(IFERROR(VLOOKUP(ROUNDUP($Q764,0),'FBA FEES'!$L$2:$Q$203,MATCH($S764,'FBA FEES'!$L$2:$Q$2,0),FALSE),VLOOKUP(ROUNDUP($Q764,0),'FBA FEES'!$C$6:$F$123,MATCH($S764,'FBA FEES'!$C$6:$F$6,0),FALSE)),0)</f>
        <v>-22.53</v>
      </c>
      <c r="AG764" s="116">
        <v>-10</v>
      </c>
      <c r="AH764" s="113">
        <f t="shared" si="145"/>
        <v>-22.53</v>
      </c>
      <c r="AI764" s="116">
        <f>-IFERROR(IF($Y764=1,INDEX('[1]REMOVAL FEES'!$A$1:$C$22,MATCH(CONCATENATE("Standard Size",$P764),'[1]REMOVAL FEES'!$A$1:$A$22,0),3),IF($Y764=2,IF($P764&gt;10,(($P764-10)*1.06)+INDEX('[1]REMOVAL FEES'!$E$1:$G$22,MATCH(CONCATENATE("Large bulky, extra-large and special handling items",IF($P764&gt;=11,11,$P764)),'[1]REMOVAL FEES'!$E$1:$E$13,0),3),INDEX('[1]REMOVAL FEES'!$E$1:$G$22,MATCH(CONCATENATE("Large bulky, extra-large and special handling items",IF($P764&gt;=11,11,$P764)),'[1]REMOVAL FEES'!$E$1:$E$13,0),3))))*$AA764,FALSE)</f>
        <v>-40.82</v>
      </c>
      <c r="AJ764" s="107">
        <f t="shared" si="146"/>
        <v>-63.35</v>
      </c>
      <c r="AK764" s="107">
        <v>0</v>
      </c>
      <c r="AL764" s="107">
        <v>0</v>
      </c>
      <c r="AM764" s="107">
        <f t="shared" si="147"/>
        <v>0</v>
      </c>
      <c r="AN764" s="116">
        <f>(-IF($V764="Yes", IF($X764="Yes", VLOOKUP($W764, '[1]Storage Fees'!A:M, 13, FALSE), VLOOKUP($W764, '[1]Storage Fees'!A:M, 10, FALSE)), IF($X764="Yes", VLOOKUP($W764, '[1]Storage Fees'!A:M, 7, FALSE), VLOOKUP($W764, '[1]Storage Fees'!A:M, 4, FALSE))) * U764)*1.5</f>
        <v>-0.78999999999999992</v>
      </c>
    </row>
    <row r="765" spans="1:40" x14ac:dyDescent="0.25">
      <c r="A765" s="99">
        <v>693</v>
      </c>
      <c r="B765" s="99" t="s">
        <v>283</v>
      </c>
      <c r="C765" s="99" t="s">
        <v>13655</v>
      </c>
      <c r="D765" s="99" t="s">
        <v>778</v>
      </c>
      <c r="E765" s="99" t="s">
        <v>1290</v>
      </c>
      <c r="F765" s="99" t="s">
        <v>1298</v>
      </c>
      <c r="G765" s="99" t="s">
        <v>13695</v>
      </c>
      <c r="H765" s="99">
        <v>48</v>
      </c>
      <c r="I765" s="99">
        <v>21</v>
      </c>
      <c r="J765" s="99">
        <v>6</v>
      </c>
      <c r="K765" s="101" t="str">
        <f t="shared" si="135"/>
        <v>48x21x6</v>
      </c>
      <c r="L765" s="102">
        <f t="shared" si="136"/>
        <v>43.510791366906474</v>
      </c>
      <c r="M765" s="113">
        <f t="shared" si="137"/>
        <v>43.510791366906474</v>
      </c>
      <c r="N765" s="113">
        <f t="shared" si="138"/>
        <v>44</v>
      </c>
      <c r="O765" s="99">
        <v>29</v>
      </c>
      <c r="P765" s="113">
        <f t="shared" si="139"/>
        <v>44</v>
      </c>
      <c r="Q765" s="112">
        <f t="shared" si="140"/>
        <v>704</v>
      </c>
      <c r="R765" s="112" t="str">
        <f t="shared" si="141"/>
        <v>Oversize</v>
      </c>
      <c r="S765" s="99" t="str">
        <f t="shared" si="142"/>
        <v>Large bulky</v>
      </c>
      <c r="T765" s="116" t="s">
        <v>13694</v>
      </c>
      <c r="U765" s="116">
        <f t="shared" si="143"/>
        <v>3.5</v>
      </c>
      <c r="V765" s="116" t="s">
        <v>13583</v>
      </c>
      <c r="W765" s="116" t="s">
        <v>13690</v>
      </c>
      <c r="X765" s="116" t="s">
        <v>13691</v>
      </c>
      <c r="Y765" s="116">
        <v>2</v>
      </c>
      <c r="Z765" s="116">
        <v>3</v>
      </c>
      <c r="AA765" s="116">
        <v>1</v>
      </c>
      <c r="AB765" s="99"/>
      <c r="AC765" s="99"/>
      <c r="AD765" s="107">
        <v>0</v>
      </c>
      <c r="AE765" s="113">
        <f t="shared" si="144"/>
        <v>0</v>
      </c>
      <c r="AF765" s="116">
        <f>-IFERROR(IFERROR(VLOOKUP(ROUNDUP($Q765,0),'FBA FEES'!$L$2:$Q$203,MATCH($S765,'FBA FEES'!$L$2:$Q$2,0),FALSE),VLOOKUP(ROUNDUP($Q765,0),'FBA FEES'!$C$6:$F$123,MATCH($S765,'FBA FEES'!$C$6:$F$6,0),FALSE)),0)</f>
        <v>-25.95</v>
      </c>
      <c r="AG765" s="116">
        <v>-10</v>
      </c>
      <c r="AH765" s="113">
        <f t="shared" si="145"/>
        <v>-25.95</v>
      </c>
      <c r="AI765" s="116">
        <f>-IFERROR(IF($Y765=1,INDEX('[1]REMOVAL FEES'!$A$1:$C$22,MATCH(CONCATENATE("Standard Size",$P765),'[1]REMOVAL FEES'!$A$1:$A$22,0),3),IF($Y765=2,IF($P765&gt;10,(($P765-10)*1.06)+INDEX('[1]REMOVAL FEES'!$E$1:$G$22,MATCH(CONCATENATE("Large bulky, extra-large and special handling items",IF($P765&gt;=11,11,$P765)),'[1]REMOVAL FEES'!$E$1:$E$13,0),3),INDEX('[1]REMOVAL FEES'!$E$1:$G$22,MATCH(CONCATENATE("Large bulky, extra-large and special handling items",IF($P765&gt;=11,11,$P765)),'[1]REMOVAL FEES'!$E$1:$E$13,0),3))))*$AA765,FALSE)</f>
        <v>-50.36</v>
      </c>
      <c r="AJ765" s="107">
        <f t="shared" si="146"/>
        <v>-76.31</v>
      </c>
      <c r="AK765" s="107">
        <v>0</v>
      </c>
      <c r="AL765" s="107">
        <v>0</v>
      </c>
      <c r="AM765" s="107">
        <f t="shared" si="147"/>
        <v>0</v>
      </c>
      <c r="AN765" s="116">
        <f>(-IF($V765="Yes", IF($X765="Yes", VLOOKUP($W765, '[1]Storage Fees'!A:M, 13, FALSE), VLOOKUP($W765, '[1]Storage Fees'!A:M, 10, FALSE)), IF($X765="Yes", VLOOKUP($W765, '[1]Storage Fees'!A:M, 7, FALSE), VLOOKUP($W765, '[1]Storage Fees'!A:M, 4, FALSE))) * U765)*1.5</f>
        <v>-4.1475</v>
      </c>
    </row>
    <row r="766" spans="1:40" x14ac:dyDescent="0.25">
      <c r="A766" s="99">
        <v>694</v>
      </c>
      <c r="B766" s="99" t="s">
        <v>283</v>
      </c>
      <c r="C766" s="99" t="s">
        <v>13655</v>
      </c>
      <c r="D766" s="99" t="s">
        <v>778</v>
      </c>
      <c r="E766" s="99" t="s">
        <v>1290</v>
      </c>
      <c r="F766" s="99" t="s">
        <v>1301</v>
      </c>
      <c r="G766" s="99" t="s">
        <v>13695</v>
      </c>
      <c r="H766" s="99">
        <v>19</v>
      </c>
      <c r="I766" s="99">
        <v>17</v>
      </c>
      <c r="J766" s="99">
        <v>8</v>
      </c>
      <c r="K766" s="101" t="str">
        <f t="shared" si="135"/>
        <v>19x17x8</v>
      </c>
      <c r="L766" s="102">
        <f t="shared" si="136"/>
        <v>18.589928057553958</v>
      </c>
      <c r="M766" s="113">
        <f t="shared" si="137"/>
        <v>18.589928057553958</v>
      </c>
      <c r="N766" s="113">
        <f t="shared" si="138"/>
        <v>19</v>
      </c>
      <c r="O766" s="99">
        <v>19</v>
      </c>
      <c r="P766" s="113">
        <f t="shared" si="139"/>
        <v>19</v>
      </c>
      <c r="Q766" s="112">
        <f t="shared" si="140"/>
        <v>304</v>
      </c>
      <c r="R766" s="112" t="str">
        <f t="shared" si="141"/>
        <v>Oversize</v>
      </c>
      <c r="S766" s="99" t="str">
        <f t="shared" si="142"/>
        <v>Large bulky</v>
      </c>
      <c r="T766" s="116" t="s">
        <v>13692</v>
      </c>
      <c r="U766" s="116">
        <f t="shared" si="143"/>
        <v>1.4953703703703705</v>
      </c>
      <c r="V766" s="116" t="s">
        <v>13583</v>
      </c>
      <c r="W766" s="116" t="s">
        <v>13690</v>
      </c>
      <c r="X766" s="116" t="s">
        <v>13691</v>
      </c>
      <c r="Y766" s="116">
        <v>2</v>
      </c>
      <c r="Z766" s="116">
        <v>3</v>
      </c>
      <c r="AA766" s="116">
        <v>1</v>
      </c>
      <c r="AB766" s="99"/>
      <c r="AC766" s="99"/>
      <c r="AD766" s="107">
        <v>0</v>
      </c>
      <c r="AE766" s="113">
        <f t="shared" si="144"/>
        <v>0</v>
      </c>
      <c r="AF766" s="116">
        <f>-IFERROR(IFERROR(VLOOKUP(ROUNDUP($Q766,0),'FBA FEES'!$L$2:$Q$203,MATCH($S766,'FBA FEES'!$L$2:$Q$2,0),FALSE),VLOOKUP(ROUNDUP($Q766,0),'FBA FEES'!$C$6:$F$123,MATCH($S766,'FBA FEES'!$C$6:$F$6,0),FALSE)),0)</f>
        <v>-16.45</v>
      </c>
      <c r="AG766" s="116">
        <v>-10</v>
      </c>
      <c r="AH766" s="113">
        <f t="shared" si="145"/>
        <v>-16.45</v>
      </c>
      <c r="AI766" s="116">
        <f>-IFERROR(IF($Y766=1,INDEX('[1]REMOVAL FEES'!$A$1:$C$22,MATCH(CONCATENATE("Standard Size",$P766),'[1]REMOVAL FEES'!$A$1:$A$22,0),3),IF($Y766=2,IF($P766&gt;10,(($P766-10)*1.06)+INDEX('[1]REMOVAL FEES'!$E$1:$G$22,MATCH(CONCATENATE("Large bulky, extra-large and special handling items",IF($P766&gt;=11,11,$P766)),'[1]REMOVAL FEES'!$E$1:$E$13,0),3),INDEX('[1]REMOVAL FEES'!$E$1:$G$22,MATCH(CONCATENATE("Large bulky, extra-large and special handling items",IF($P766&gt;=11,11,$P766)),'[1]REMOVAL FEES'!$E$1:$E$13,0),3))))*$AA766,FALSE)</f>
        <v>-23.86</v>
      </c>
      <c r="AJ766" s="107">
        <f t="shared" si="146"/>
        <v>-40.31</v>
      </c>
      <c r="AK766" s="107">
        <v>0</v>
      </c>
      <c r="AL766" s="107">
        <v>0</v>
      </c>
      <c r="AM766" s="107">
        <f t="shared" si="147"/>
        <v>0</v>
      </c>
      <c r="AN766" s="116">
        <f>(-IF($V766="Yes", IF($X766="Yes", VLOOKUP($W766, '[1]Storage Fees'!A:M, 13, FALSE), VLOOKUP($W766, '[1]Storage Fees'!A:M, 10, FALSE)), IF($X766="Yes", VLOOKUP($W766, '[1]Storage Fees'!A:M, 7, FALSE), VLOOKUP($W766, '[1]Storage Fees'!A:M, 4, FALSE))) * U766)*1.5</f>
        <v>-1.772013888888889</v>
      </c>
    </row>
    <row r="767" spans="1:40" x14ac:dyDescent="0.25">
      <c r="A767" s="99">
        <v>695</v>
      </c>
      <c r="B767" s="99" t="s">
        <v>283</v>
      </c>
      <c r="C767" s="99" t="s">
        <v>13655</v>
      </c>
      <c r="D767" s="99" t="s">
        <v>778</v>
      </c>
      <c r="E767" s="99" t="s">
        <v>1290</v>
      </c>
      <c r="F767" s="99" t="s">
        <v>1304</v>
      </c>
      <c r="G767" s="99" t="s">
        <v>13695</v>
      </c>
      <c r="H767" s="99">
        <v>50</v>
      </c>
      <c r="I767" s="99">
        <v>20</v>
      </c>
      <c r="J767" s="99">
        <v>7</v>
      </c>
      <c r="K767" s="101" t="str">
        <f t="shared" si="135"/>
        <v>50x20x7</v>
      </c>
      <c r="L767" s="102">
        <f t="shared" si="136"/>
        <v>50.359712230215827</v>
      </c>
      <c r="M767" s="113">
        <f t="shared" si="137"/>
        <v>50.359712230215827</v>
      </c>
      <c r="N767" s="113">
        <f t="shared" si="138"/>
        <v>51</v>
      </c>
      <c r="O767" s="99">
        <v>46</v>
      </c>
      <c r="P767" s="113">
        <f t="shared" si="139"/>
        <v>51</v>
      </c>
      <c r="Q767" s="112">
        <f t="shared" si="140"/>
        <v>816</v>
      </c>
      <c r="R767" s="112" t="str">
        <f t="shared" si="141"/>
        <v>Oversize</v>
      </c>
      <c r="S767" s="99" t="str">
        <f t="shared" si="142"/>
        <v>Extra-large 50+ to 70 lb</v>
      </c>
      <c r="T767" s="116" t="s">
        <v>13689</v>
      </c>
      <c r="U767" s="116">
        <f t="shared" si="143"/>
        <v>4.0509259259259256</v>
      </c>
      <c r="V767" s="116" t="s">
        <v>13583</v>
      </c>
      <c r="W767" s="116" t="s">
        <v>13690</v>
      </c>
      <c r="X767" s="116" t="s">
        <v>13691</v>
      </c>
      <c r="Y767" s="116">
        <v>2</v>
      </c>
      <c r="Z767" s="116">
        <v>5</v>
      </c>
      <c r="AA767" s="116">
        <v>1</v>
      </c>
      <c r="AB767" s="99"/>
      <c r="AC767" s="99"/>
      <c r="AD767" s="107">
        <v>0</v>
      </c>
      <c r="AE767" s="113">
        <f t="shared" si="144"/>
        <v>0</v>
      </c>
      <c r="AF767" s="116">
        <f>-IFERROR(IFERROR(VLOOKUP(ROUNDUP($Q767,0),'FBA FEES'!$L$2:$Q$203,MATCH($S767,'FBA FEES'!$L$2:$Q$2,0),FALSE),VLOOKUP(ROUNDUP($Q767,0),'FBA FEES'!$C$6:$F$123,MATCH($S767,'FBA FEES'!$C$6:$F$6,0),FALSE)),0)</f>
        <v>-40.119999999999997</v>
      </c>
      <c r="AG767" s="116">
        <v>-10</v>
      </c>
      <c r="AH767" s="113">
        <f t="shared" si="145"/>
        <v>-40.119999999999997</v>
      </c>
      <c r="AI767" s="116">
        <f>-IFERROR(IF($Y767=1,INDEX('[1]REMOVAL FEES'!$A$1:$C$22,MATCH(CONCATENATE("Standard Size",$P767),'[1]REMOVAL FEES'!$A$1:$A$22,0),3),IF($Y767=2,IF($P767&gt;10,(($P767-10)*1.06)+INDEX('[1]REMOVAL FEES'!$E$1:$G$22,MATCH(CONCATENATE("Large bulky, extra-large and special handling items",IF($P767&gt;=11,11,$P767)),'[1]REMOVAL FEES'!$E$1:$E$13,0),3),INDEX('[1]REMOVAL FEES'!$E$1:$G$22,MATCH(CONCATENATE("Large bulky, extra-large and special handling items",IF($P767&gt;=11,11,$P767)),'[1]REMOVAL FEES'!$E$1:$E$13,0),3))))*$AA767,FALSE)</f>
        <v>-57.78</v>
      </c>
      <c r="AJ767" s="107">
        <f t="shared" si="146"/>
        <v>-97.9</v>
      </c>
      <c r="AK767" s="107">
        <v>0</v>
      </c>
      <c r="AL767" s="107">
        <v>0</v>
      </c>
      <c r="AM767" s="107">
        <f t="shared" si="147"/>
        <v>0</v>
      </c>
      <c r="AN767" s="116">
        <f>(-IF($V767="Yes", IF($X767="Yes", VLOOKUP($W767, '[1]Storage Fees'!A:M, 13, FALSE), VLOOKUP($W767, '[1]Storage Fees'!A:M, 10, FALSE)), IF($X767="Yes", VLOOKUP($W767, '[1]Storage Fees'!A:M, 7, FALSE), VLOOKUP($W767, '[1]Storage Fees'!A:M, 4, FALSE))) * U767)*1.5</f>
        <v>-4.8003472222222223</v>
      </c>
    </row>
    <row r="768" spans="1:40" x14ac:dyDescent="0.25">
      <c r="A768" s="99">
        <v>696</v>
      </c>
      <c r="B768" s="99" t="s">
        <v>283</v>
      </c>
      <c r="C768" s="99" t="s">
        <v>13655</v>
      </c>
      <c r="D768" s="99" t="s">
        <v>778</v>
      </c>
      <c r="E768" s="99" t="s">
        <v>1290</v>
      </c>
      <c r="F768" s="99" t="s">
        <v>1307</v>
      </c>
      <c r="G768" s="99" t="s">
        <v>13695</v>
      </c>
      <c r="H768" s="99">
        <v>51</v>
      </c>
      <c r="I768" s="99">
        <v>14</v>
      </c>
      <c r="J768" s="99">
        <v>4</v>
      </c>
      <c r="K768" s="101" t="str">
        <f t="shared" si="135"/>
        <v>51x14x4</v>
      </c>
      <c r="L768" s="102">
        <f t="shared" si="136"/>
        <v>20.546762589928058</v>
      </c>
      <c r="M768" s="113">
        <f t="shared" si="137"/>
        <v>20.546762589928058</v>
      </c>
      <c r="N768" s="113">
        <f t="shared" si="138"/>
        <v>21</v>
      </c>
      <c r="O768" s="99">
        <v>30</v>
      </c>
      <c r="P768" s="113">
        <f t="shared" si="139"/>
        <v>30</v>
      </c>
      <c r="Q768" s="112">
        <f t="shared" si="140"/>
        <v>480</v>
      </c>
      <c r="R768" s="112" t="str">
        <f t="shared" si="141"/>
        <v>Oversize</v>
      </c>
      <c r="S768" s="99" t="str">
        <f t="shared" si="142"/>
        <v>Large bulky</v>
      </c>
      <c r="T768" s="116" t="s">
        <v>13692</v>
      </c>
      <c r="U768" s="116">
        <f t="shared" si="143"/>
        <v>1.6527777777777777</v>
      </c>
      <c r="V768" s="116" t="s">
        <v>13583</v>
      </c>
      <c r="W768" s="116" t="s">
        <v>13690</v>
      </c>
      <c r="X768" s="116" t="s">
        <v>13691</v>
      </c>
      <c r="Y768" s="116">
        <v>2</v>
      </c>
      <c r="Z768" s="116">
        <v>3</v>
      </c>
      <c r="AA768" s="116">
        <v>1</v>
      </c>
      <c r="AB768" s="99"/>
      <c r="AC768" s="99"/>
      <c r="AD768" s="107">
        <v>0</v>
      </c>
      <c r="AE768" s="113">
        <f t="shared" si="144"/>
        <v>0</v>
      </c>
      <c r="AF768" s="116">
        <f>-IFERROR(IFERROR(VLOOKUP(ROUNDUP($Q768,0),'FBA FEES'!$L$2:$Q$203,MATCH($S768,'FBA FEES'!$L$2:$Q$2,0),FALSE),VLOOKUP(ROUNDUP($Q768,0),'FBA FEES'!$C$6:$F$123,MATCH($S768,'FBA FEES'!$C$6:$F$6,0),FALSE)),0)</f>
        <v>-20.63</v>
      </c>
      <c r="AG768" s="116">
        <v>-10</v>
      </c>
      <c r="AH768" s="113">
        <f t="shared" si="145"/>
        <v>-20.63</v>
      </c>
      <c r="AI768" s="116">
        <f>-IFERROR(IF($Y768=1,INDEX('[1]REMOVAL FEES'!$A$1:$C$22,MATCH(CONCATENATE("Standard Size",$P768),'[1]REMOVAL FEES'!$A$1:$A$22,0),3),IF($Y768=2,IF($P768&gt;10,(($P768-10)*1.06)+INDEX('[1]REMOVAL FEES'!$E$1:$G$22,MATCH(CONCATENATE("Large bulky, extra-large and special handling items",IF($P768&gt;=11,11,$P768)),'[1]REMOVAL FEES'!$E$1:$E$13,0),3),INDEX('[1]REMOVAL FEES'!$E$1:$G$22,MATCH(CONCATENATE("Large bulky, extra-large and special handling items",IF($P768&gt;=11,11,$P768)),'[1]REMOVAL FEES'!$E$1:$E$13,0),3))))*$AA768,FALSE)</f>
        <v>-35.520000000000003</v>
      </c>
      <c r="AJ768" s="107">
        <f t="shared" si="146"/>
        <v>-56.150000000000006</v>
      </c>
      <c r="AK768" s="107">
        <v>0</v>
      </c>
      <c r="AL768" s="107">
        <v>0</v>
      </c>
      <c r="AM768" s="107">
        <f t="shared" si="147"/>
        <v>0</v>
      </c>
      <c r="AN768" s="116">
        <f>(-IF($V768="Yes", IF($X768="Yes", VLOOKUP($W768, '[1]Storage Fees'!A:M, 13, FALSE), VLOOKUP($W768, '[1]Storage Fees'!A:M, 10, FALSE)), IF($X768="Yes", VLOOKUP($W768, '[1]Storage Fees'!A:M, 7, FALSE), VLOOKUP($W768, '[1]Storage Fees'!A:M, 4, FALSE))) * U768)*1.5</f>
        <v>-1.9585416666666666</v>
      </c>
    </row>
    <row r="769" spans="1:40" x14ac:dyDescent="0.25">
      <c r="A769" s="99">
        <v>697</v>
      </c>
      <c r="B769" s="99"/>
      <c r="C769" s="99" t="s">
        <v>13655</v>
      </c>
      <c r="D769" s="99"/>
      <c r="E769" s="99" t="s">
        <v>1290</v>
      </c>
      <c r="F769" s="99" t="s">
        <v>2165</v>
      </c>
      <c r="G769" s="99" t="s">
        <v>13695</v>
      </c>
      <c r="H769" s="99">
        <v>0</v>
      </c>
      <c r="I769" s="99">
        <v>0</v>
      </c>
      <c r="J769" s="99">
        <v>0</v>
      </c>
      <c r="K769" s="101" t="str">
        <f t="shared" si="135"/>
        <v>0x0x0</v>
      </c>
      <c r="L769" s="102">
        <f t="shared" si="136"/>
        <v>0</v>
      </c>
      <c r="M769" s="113">
        <f t="shared" si="137"/>
        <v>0</v>
      </c>
      <c r="N769" s="113">
        <f t="shared" si="138"/>
        <v>0</v>
      </c>
      <c r="O769" s="99">
        <v>0</v>
      </c>
      <c r="P769" s="113">
        <f t="shared" si="139"/>
        <v>0</v>
      </c>
      <c r="Q769" s="112">
        <f t="shared" si="140"/>
        <v>0</v>
      </c>
      <c r="R769" s="112" t="str">
        <f t="shared" si="141"/>
        <v>Standard-size</v>
      </c>
      <c r="S769" s="99" t="str">
        <f t="shared" si="142"/>
        <v>Small standard-size</v>
      </c>
      <c r="T769" s="116" t="s">
        <v>13696</v>
      </c>
      <c r="U769" s="116">
        <f t="shared" si="143"/>
        <v>0</v>
      </c>
      <c r="V769" s="116" t="s">
        <v>13583</v>
      </c>
      <c r="W769" s="116" t="s">
        <v>13690</v>
      </c>
      <c r="X769" s="99" t="s">
        <v>13583</v>
      </c>
      <c r="Y769" s="99">
        <v>1</v>
      </c>
      <c r="Z769" s="99">
        <v>1</v>
      </c>
      <c r="AA769" s="99">
        <v>1</v>
      </c>
      <c r="AB769" s="99"/>
      <c r="AC769" s="99"/>
      <c r="AD769" s="107">
        <v>0</v>
      </c>
      <c r="AE769" s="113">
        <f t="shared" si="144"/>
        <v>0</v>
      </c>
      <c r="AF769" s="116">
        <f>-IFERROR(IFERROR(VLOOKUP(ROUNDUP($Q769,0),'FBA FEES'!$L$2:$Q$203,MATCH($S769,'FBA FEES'!$L$2:$Q$2,0),FALSE),VLOOKUP(ROUNDUP($Q769,0),'FBA FEES'!$C$6:$F$123,MATCH($S769,'FBA FEES'!$C$6:$F$6,0),FALSE)),0)</f>
        <v>0</v>
      </c>
      <c r="AG769" s="116">
        <v>-10</v>
      </c>
      <c r="AH769" s="113">
        <f t="shared" si="145"/>
        <v>0</v>
      </c>
      <c r="AI769" s="116">
        <f>-IFERROR(IF($Y769=1,INDEX('[1]REMOVAL FEES'!$A$1:$C$22,MATCH(CONCATENATE("Standard Size",$P769),'[1]REMOVAL FEES'!$A$1:$A$22,0),3),IF($Y769=2,IF($P769&gt;10,(($P769-10)*1.06)+INDEX('[1]REMOVAL FEES'!$E$1:$G$22,MATCH(CONCATENATE("Large bulky, extra-large and special handling items",IF($P769&gt;=11,11,$P769)),'[1]REMOVAL FEES'!$E$1:$E$13,0),3),INDEX('[1]REMOVAL FEES'!$E$1:$G$22,MATCH(CONCATENATE("Large bulky, extra-large and special handling items",IF($P769&gt;=11,11,$P769)),'[1]REMOVAL FEES'!$E$1:$E$13,0),3))))*$AA769,FALSE)</f>
        <v>0</v>
      </c>
      <c r="AJ769" s="107">
        <f t="shared" si="146"/>
        <v>0</v>
      </c>
      <c r="AK769" s="107">
        <v>0</v>
      </c>
      <c r="AL769" s="107">
        <v>0</v>
      </c>
      <c r="AM769" s="107">
        <f t="shared" si="147"/>
        <v>0</v>
      </c>
      <c r="AN769" s="116">
        <f>(-IF($V769="Yes", IF($X769="Yes", VLOOKUP($W769, '[1]Storage Fees'!A:M, 13, FALSE), VLOOKUP($W769, '[1]Storage Fees'!A:M, 10, FALSE)), IF($X769="Yes", VLOOKUP($W769, '[1]Storage Fees'!A:M, 7, FALSE), VLOOKUP($W769, '[1]Storage Fees'!A:M, 4, FALSE))) * U769)*1.5</f>
        <v>0</v>
      </c>
    </row>
    <row r="770" spans="1:40" x14ac:dyDescent="0.25">
      <c r="A770" s="99">
        <v>698</v>
      </c>
      <c r="B770" s="99" t="s">
        <v>283</v>
      </c>
      <c r="C770" s="99" t="s">
        <v>13655</v>
      </c>
      <c r="D770" s="99" t="s">
        <v>1312</v>
      </c>
      <c r="E770" s="99" t="s">
        <v>278</v>
      </c>
      <c r="F770" s="99" t="s">
        <v>1310</v>
      </c>
      <c r="G770" s="99" t="s">
        <v>13695</v>
      </c>
      <c r="H770" s="99">
        <v>16</v>
      </c>
      <c r="I770" s="99">
        <v>15</v>
      </c>
      <c r="J770" s="99">
        <v>14</v>
      </c>
      <c r="K770" s="101" t="str">
        <f t="shared" si="135"/>
        <v>16x15x14</v>
      </c>
      <c r="L770" s="102">
        <f t="shared" si="136"/>
        <v>24.172661870503596</v>
      </c>
      <c r="M770" s="113">
        <f t="shared" si="137"/>
        <v>24.172661870503596</v>
      </c>
      <c r="N770" s="113">
        <f t="shared" si="138"/>
        <v>25</v>
      </c>
      <c r="O770" s="99">
        <v>21</v>
      </c>
      <c r="P770" s="113">
        <f t="shared" si="139"/>
        <v>25</v>
      </c>
      <c r="Q770" s="112">
        <f t="shared" si="140"/>
        <v>400</v>
      </c>
      <c r="R770" s="112" t="str">
        <f t="shared" si="141"/>
        <v>Oversize</v>
      </c>
      <c r="S770" s="99" t="str">
        <f t="shared" si="142"/>
        <v>Large bulky</v>
      </c>
      <c r="T770" s="116" t="s">
        <v>13692</v>
      </c>
      <c r="U770" s="116">
        <f t="shared" si="143"/>
        <v>1.9444444444444444</v>
      </c>
      <c r="V770" s="116" t="s">
        <v>13583</v>
      </c>
      <c r="W770" s="116" t="s">
        <v>13690</v>
      </c>
      <c r="X770" s="116" t="s">
        <v>13691</v>
      </c>
      <c r="Y770" s="116">
        <v>2</v>
      </c>
      <c r="Z770" s="116">
        <v>3</v>
      </c>
      <c r="AA770" s="116">
        <v>1</v>
      </c>
      <c r="AB770" s="99"/>
      <c r="AC770" s="99"/>
      <c r="AD770" s="107">
        <v>109.8233333333333</v>
      </c>
      <c r="AE770" s="113">
        <f t="shared" si="144"/>
        <v>-16.473499999999994</v>
      </c>
      <c r="AF770" s="116">
        <f>-IFERROR(IFERROR(VLOOKUP(ROUNDUP($Q770,0),'FBA FEES'!$L$2:$Q$203,MATCH($S770,'FBA FEES'!$L$2:$Q$2,0),FALSE),VLOOKUP(ROUNDUP($Q770,0),'FBA FEES'!$C$6:$F$123,MATCH($S770,'FBA FEES'!$C$6:$F$6,0),FALSE)),0)</f>
        <v>-18.73</v>
      </c>
      <c r="AG770" s="116">
        <v>-10</v>
      </c>
      <c r="AH770" s="113">
        <f t="shared" si="145"/>
        <v>-35.203499999999991</v>
      </c>
      <c r="AI770" s="116">
        <f>-IFERROR(IF($Y770=1,INDEX('[1]REMOVAL FEES'!$A$1:$C$22,MATCH(CONCATENATE("Standard Size",$P770),'[1]REMOVAL FEES'!$A$1:$A$22,0),3),IF($Y770=2,IF($P770&gt;10,(($P770-10)*1.06)+INDEX('[1]REMOVAL FEES'!$E$1:$G$22,MATCH(CONCATENATE("Large bulky, extra-large and special handling items",IF($P770&gt;=11,11,$P770)),'[1]REMOVAL FEES'!$E$1:$E$13,0),3),INDEX('[1]REMOVAL FEES'!$E$1:$G$22,MATCH(CONCATENATE("Large bulky, extra-large and special handling items",IF($P770&gt;=11,11,$P770)),'[1]REMOVAL FEES'!$E$1:$E$13,0),3))))*$AA770,FALSE)</f>
        <v>-30.22</v>
      </c>
      <c r="AJ770" s="107">
        <f t="shared" si="146"/>
        <v>-65.42349999999999</v>
      </c>
      <c r="AK770" s="107">
        <v>-56.22</v>
      </c>
      <c r="AL770" s="107">
        <v>-10.305</v>
      </c>
      <c r="AM770" s="107">
        <f t="shared" si="147"/>
        <v>-66.525000000000006</v>
      </c>
      <c r="AN770" s="116">
        <f>(-IF($V770="Yes", IF($X770="Yes", VLOOKUP($W770, '[1]Storage Fees'!A:M, 13, FALSE), VLOOKUP($W770, '[1]Storage Fees'!A:M, 10, FALSE)), IF($X770="Yes", VLOOKUP($W770, '[1]Storage Fees'!A:M, 7, FALSE), VLOOKUP($W770, '[1]Storage Fees'!A:M, 4, FALSE))) * U770)*1.5</f>
        <v>-2.3041666666666667</v>
      </c>
    </row>
    <row r="771" spans="1:40" x14ac:dyDescent="0.25">
      <c r="A771" s="99">
        <v>699</v>
      </c>
      <c r="B771" s="99" t="s">
        <v>13699</v>
      </c>
      <c r="C771" s="99" t="s">
        <v>13655</v>
      </c>
      <c r="D771" s="99" t="s">
        <v>1316</v>
      </c>
      <c r="E771" s="99" t="s">
        <v>278</v>
      </c>
      <c r="F771" s="99" t="s">
        <v>1314</v>
      </c>
      <c r="G771" s="99" t="s">
        <v>13695</v>
      </c>
      <c r="H771" s="99">
        <v>34</v>
      </c>
      <c r="I771" s="99">
        <v>11</v>
      </c>
      <c r="J771" s="99">
        <v>9</v>
      </c>
      <c r="K771" s="101" t="str">
        <f t="shared" si="135"/>
        <v>34x11x9</v>
      </c>
      <c r="L771" s="102">
        <f t="shared" si="136"/>
        <v>24.215827338129497</v>
      </c>
      <c r="M771" s="113">
        <f t="shared" si="137"/>
        <v>24.215827338129497</v>
      </c>
      <c r="N771" s="113">
        <f t="shared" si="138"/>
        <v>25</v>
      </c>
      <c r="O771" s="99">
        <v>25</v>
      </c>
      <c r="P771" s="113">
        <f t="shared" si="139"/>
        <v>25</v>
      </c>
      <c r="Q771" s="112">
        <f t="shared" si="140"/>
        <v>400</v>
      </c>
      <c r="R771" s="112" t="str">
        <f t="shared" si="141"/>
        <v>Oversize</v>
      </c>
      <c r="S771" s="99" t="str">
        <f t="shared" si="142"/>
        <v>Large bulky</v>
      </c>
      <c r="T771" s="116" t="s">
        <v>13692</v>
      </c>
      <c r="U771" s="116">
        <f t="shared" si="143"/>
        <v>1.9479166666666667</v>
      </c>
      <c r="V771" s="116" t="s">
        <v>13583</v>
      </c>
      <c r="W771" s="116" t="s">
        <v>13690</v>
      </c>
      <c r="X771" s="116" t="s">
        <v>13691</v>
      </c>
      <c r="Y771" s="116">
        <v>2</v>
      </c>
      <c r="Z771" s="116">
        <v>3</v>
      </c>
      <c r="AA771" s="116">
        <v>1</v>
      </c>
      <c r="AB771" s="99"/>
      <c r="AC771" s="99"/>
      <c r="AD771" s="107">
        <v>124.5530285714285</v>
      </c>
      <c r="AE771" s="113">
        <f t="shared" si="144"/>
        <v>-18.682954285714274</v>
      </c>
      <c r="AF771" s="116">
        <f>-IFERROR(IFERROR(VLOOKUP(ROUNDUP($Q771,0),'FBA FEES'!$L$2:$Q$203,MATCH($S771,'FBA FEES'!$L$2:$Q$2,0),FALSE),VLOOKUP(ROUNDUP($Q771,0),'FBA FEES'!$C$6:$F$123,MATCH($S771,'FBA FEES'!$C$6:$F$6,0),FALSE)),0)</f>
        <v>-18.73</v>
      </c>
      <c r="AG771" s="116">
        <v>-10</v>
      </c>
      <c r="AH771" s="113">
        <f t="shared" si="145"/>
        <v>-37.412954285714278</v>
      </c>
      <c r="AI771" s="116">
        <f>-IFERROR(IF($Y771=1,INDEX('[1]REMOVAL FEES'!$A$1:$C$22,MATCH(CONCATENATE("Standard Size",$P771),'[1]REMOVAL FEES'!$A$1:$A$22,0),3),IF($Y771=2,IF($P771&gt;10,(($P771-10)*1.06)+INDEX('[1]REMOVAL FEES'!$E$1:$G$22,MATCH(CONCATENATE("Large bulky, extra-large and special handling items",IF($P771&gt;=11,11,$P771)),'[1]REMOVAL FEES'!$E$1:$E$13,0),3),INDEX('[1]REMOVAL FEES'!$E$1:$G$22,MATCH(CONCATENATE("Large bulky, extra-large and special handling items",IF($P771&gt;=11,11,$P771)),'[1]REMOVAL FEES'!$E$1:$E$13,0),3))))*$AA771,FALSE)</f>
        <v>-30.22</v>
      </c>
      <c r="AJ771" s="107">
        <f t="shared" si="146"/>
        <v>-67.632954285714277</v>
      </c>
      <c r="AK771" s="107">
        <v>-56.230000000000011</v>
      </c>
      <c r="AL771" s="107">
        <v>-12.429848281480419</v>
      </c>
      <c r="AM771" s="107">
        <f t="shared" si="147"/>
        <v>-68.659848281480436</v>
      </c>
      <c r="AN771" s="116">
        <f>(-IF($V771="Yes", IF($X771="Yes", VLOOKUP($W771, '[1]Storage Fees'!A:M, 13, FALSE), VLOOKUP($W771, '[1]Storage Fees'!A:M, 10, FALSE)), IF($X771="Yes", VLOOKUP($W771, '[1]Storage Fees'!A:M, 7, FALSE), VLOOKUP($W771, '[1]Storage Fees'!A:M, 4, FALSE))) * U771)*1.5</f>
        <v>-2.3082812500000003</v>
      </c>
    </row>
    <row r="772" spans="1:40" x14ac:dyDescent="0.25">
      <c r="A772" s="99">
        <v>700</v>
      </c>
      <c r="B772" s="99" t="s">
        <v>107</v>
      </c>
      <c r="C772" s="99"/>
      <c r="D772" s="99"/>
      <c r="E772" s="99" t="s">
        <v>472</v>
      </c>
      <c r="F772" s="99" t="s">
        <v>470</v>
      </c>
      <c r="G772" s="99" t="s">
        <v>13656</v>
      </c>
      <c r="H772" s="99">
        <v>10</v>
      </c>
      <c r="I772" s="99">
        <v>3</v>
      </c>
      <c r="J772" s="99">
        <v>2</v>
      </c>
      <c r="K772" s="101" t="str">
        <f t="shared" si="135"/>
        <v>10x3x2</v>
      </c>
      <c r="L772" s="102">
        <f t="shared" si="136"/>
        <v>0.43165467625899279</v>
      </c>
      <c r="M772" s="113">
        <f t="shared" si="137"/>
        <v>0.43165467625899279</v>
      </c>
      <c r="N772" s="113">
        <f t="shared" si="138"/>
        <v>0.5</v>
      </c>
      <c r="O772" s="99">
        <v>0.9375</v>
      </c>
      <c r="P772" s="113">
        <f t="shared" si="139"/>
        <v>1</v>
      </c>
      <c r="Q772" s="112">
        <f t="shared" si="140"/>
        <v>16</v>
      </c>
      <c r="R772" s="112" t="str">
        <f t="shared" si="141"/>
        <v>Standard-size</v>
      </c>
      <c r="S772" s="99" t="str">
        <f t="shared" si="142"/>
        <v>Large standard-size</v>
      </c>
      <c r="T772" s="116" t="s">
        <v>13698</v>
      </c>
      <c r="U772" s="116">
        <f t="shared" si="143"/>
        <v>3.4722222222222224E-2</v>
      </c>
      <c r="V772" s="116" t="s">
        <v>13583</v>
      </c>
      <c r="W772" s="116" t="s">
        <v>13690</v>
      </c>
      <c r="X772" s="99" t="s">
        <v>13583</v>
      </c>
      <c r="Y772" s="99">
        <v>1</v>
      </c>
      <c r="Z772" s="99">
        <v>2</v>
      </c>
      <c r="AA772" s="99">
        <v>1</v>
      </c>
      <c r="AB772" s="99"/>
      <c r="AC772" s="99"/>
      <c r="AD772" s="107">
        <v>14.30255425565519</v>
      </c>
      <c r="AE772" s="113">
        <f t="shared" si="144"/>
        <v>-2.1453831383482784</v>
      </c>
      <c r="AF772" s="116">
        <f>-IFERROR(IFERROR(VLOOKUP(ROUNDUP($Q772,0),'FBA FEES'!$L$2:$Q$203,MATCH($S772,'FBA FEES'!$L$2:$Q$2,0),FALSE),VLOOKUP(ROUNDUP($Q772,0),'FBA FEES'!$C$6:$F$123,MATCH($S772,'FBA FEES'!$C$6:$F$6,0),FALSE)),0)</f>
        <v>-4.55</v>
      </c>
      <c r="AG772" s="116">
        <v>-10</v>
      </c>
      <c r="AH772" s="113">
        <f t="shared" si="145"/>
        <v>-6.6953831383482783</v>
      </c>
      <c r="AI772" s="116">
        <f>-IFERROR(IF($Y772=1,INDEX('[1]REMOVAL FEES'!$A$1:$C$22,MATCH(CONCATENATE("Standard Size",$P772),'[1]REMOVAL FEES'!$A$1:$A$22,0),3),IF($Y772=2,IF($P772&gt;10,(($P772-10)*1.06)+INDEX('[1]REMOVAL FEES'!$E$1:$G$22,MATCH(CONCATENATE("Large bulky, extra-large and special handling items",IF($P772&gt;=11,11,$P772)),'[1]REMOVAL FEES'!$E$1:$E$13,0),3),INDEX('[1]REMOVAL FEES'!$E$1:$G$22,MATCH(CONCATENATE("Large bulky, extra-large and special handling items",IF($P772&gt;=11,11,$P772)),'[1]REMOVAL FEES'!$E$1:$E$13,0),3))))*$AA772,FALSE)</f>
        <v>-1.53</v>
      </c>
      <c r="AJ772" s="107">
        <f t="shared" si="146"/>
        <v>-8.2253831383482776</v>
      </c>
      <c r="AK772" s="107">
        <v>-4.0900000000000034</v>
      </c>
      <c r="AL772" s="107">
        <v>-0.49301802147333151</v>
      </c>
      <c r="AM772" s="107">
        <f t="shared" si="147"/>
        <v>-4.5830180214733351</v>
      </c>
      <c r="AN772" s="116">
        <f>(-IF($V772="Yes", IF($X772="Yes", VLOOKUP($W772, '[1]Storage Fees'!A:M, 13, FALSE), VLOOKUP($W772, '[1]Storage Fees'!A:M, 10, FALSE)), IF($X772="Yes", VLOOKUP($W772, '[1]Storage Fees'!A:M, 7, FALSE), VLOOKUP($W772, '[1]Storage Fees'!A:M, 4, FALSE))) * U772)*1.5</f>
        <v>-6.3541666666666663E-2</v>
      </c>
    </row>
    <row r="773" spans="1:40" x14ac:dyDescent="0.25">
      <c r="A773" s="99">
        <v>701</v>
      </c>
      <c r="B773" s="99" t="s">
        <v>283</v>
      </c>
      <c r="C773" s="99" t="s">
        <v>13655</v>
      </c>
      <c r="D773" s="99" t="s">
        <v>778</v>
      </c>
      <c r="E773" s="99" t="s">
        <v>1290</v>
      </c>
      <c r="F773" s="99" t="s">
        <v>1318</v>
      </c>
      <c r="G773" s="99" t="s">
        <v>13695</v>
      </c>
      <c r="H773" s="99">
        <v>62</v>
      </c>
      <c r="I773" s="99">
        <v>20</v>
      </c>
      <c r="J773" s="99">
        <v>14</v>
      </c>
      <c r="K773" s="101" t="str">
        <f t="shared" si="135"/>
        <v>62x20x14</v>
      </c>
      <c r="L773" s="102">
        <f t="shared" si="136"/>
        <v>124.89208633093526</v>
      </c>
      <c r="M773" s="113">
        <f t="shared" si="137"/>
        <v>124.89208633093526</v>
      </c>
      <c r="N773" s="113">
        <f t="shared" si="138"/>
        <v>125</v>
      </c>
      <c r="O773" s="99">
        <v>88</v>
      </c>
      <c r="P773" s="113">
        <f t="shared" si="139"/>
        <v>125</v>
      </c>
      <c r="Q773" s="112">
        <f t="shared" si="140"/>
        <v>2000</v>
      </c>
      <c r="R773" s="112" t="str">
        <f t="shared" si="141"/>
        <v>Oversize</v>
      </c>
      <c r="S773" s="99" t="str">
        <f t="shared" si="142"/>
        <v>Extra-large 70+ to 150 lb</v>
      </c>
      <c r="T773" s="116" t="s">
        <v>13703</v>
      </c>
      <c r="U773" s="116">
        <f t="shared" si="143"/>
        <v>10.046296296296296</v>
      </c>
      <c r="V773" s="116" t="s">
        <v>13583</v>
      </c>
      <c r="W773" s="116" t="s">
        <v>13690</v>
      </c>
      <c r="X773" s="116" t="s">
        <v>13691</v>
      </c>
      <c r="Y773" s="116">
        <v>2</v>
      </c>
      <c r="Z773" s="116">
        <v>6</v>
      </c>
      <c r="AA773" s="116">
        <v>1</v>
      </c>
      <c r="AB773" s="99"/>
      <c r="AC773" s="99"/>
      <c r="AD773" s="107">
        <v>0</v>
      </c>
      <c r="AE773" s="113">
        <f t="shared" si="144"/>
        <v>0</v>
      </c>
      <c r="AF773" s="116">
        <f>-IFERROR(IFERROR(VLOOKUP(ROUNDUP($Q773,0),'FBA FEES'!$L$2:$Q$203,MATCH($S773,'FBA FEES'!$L$2:$Q$2,0),FALSE),VLOOKUP(ROUNDUP($Q773,0),'FBA FEES'!$C$6:$F$123,MATCH($S773,'FBA FEES'!$C$6:$F$6,0),FALSE)),0)</f>
        <v>-95.31</v>
      </c>
      <c r="AG773" s="116">
        <v>-10</v>
      </c>
      <c r="AH773" s="113">
        <f t="shared" si="145"/>
        <v>-95.31</v>
      </c>
      <c r="AI773" s="116">
        <f>-IFERROR(IF($Y773=1,INDEX('[1]REMOVAL FEES'!$A$1:$C$22,MATCH(CONCATENATE("Standard Size",$P773),'[1]REMOVAL FEES'!$A$1:$A$22,0),3),IF($Y773=2,IF($P773&gt;10,(($P773-10)*1.06)+INDEX('[1]REMOVAL FEES'!$E$1:$G$22,MATCH(CONCATENATE("Large bulky, extra-large and special handling items",IF($P773&gt;=11,11,$P773)),'[1]REMOVAL FEES'!$E$1:$E$13,0),3),INDEX('[1]REMOVAL FEES'!$E$1:$G$22,MATCH(CONCATENATE("Large bulky, extra-large and special handling items",IF($P773&gt;=11,11,$P773)),'[1]REMOVAL FEES'!$E$1:$E$13,0),3))))*$AA773,FALSE)</f>
        <v>-136.22</v>
      </c>
      <c r="AJ773" s="107">
        <f t="shared" si="146"/>
        <v>-231.53</v>
      </c>
      <c r="AK773" s="107">
        <v>0</v>
      </c>
      <c r="AL773" s="107">
        <v>0</v>
      </c>
      <c r="AM773" s="107">
        <f t="shared" si="147"/>
        <v>0</v>
      </c>
      <c r="AN773" s="116">
        <f>(-IF($V773="Yes", IF($X773="Yes", VLOOKUP($W773, '[1]Storage Fees'!A:M, 13, FALSE), VLOOKUP($W773, '[1]Storage Fees'!A:M, 10, FALSE)), IF($X773="Yes", VLOOKUP($W773, '[1]Storage Fees'!A:M, 7, FALSE), VLOOKUP($W773, '[1]Storage Fees'!A:M, 4, FALSE))) * U773)*1.5</f>
        <v>-11.904861111111112</v>
      </c>
    </row>
    <row r="774" spans="1:40" x14ac:dyDescent="0.25">
      <c r="A774" s="99">
        <v>702</v>
      </c>
      <c r="B774" s="99"/>
      <c r="C774" s="99" t="s">
        <v>13655</v>
      </c>
      <c r="D774" s="99"/>
      <c r="E774" s="99" t="s">
        <v>278</v>
      </c>
      <c r="F774" s="99" t="s">
        <v>2056</v>
      </c>
      <c r="G774" s="99" t="s">
        <v>13656</v>
      </c>
      <c r="H774" s="99">
        <v>0</v>
      </c>
      <c r="I774" s="99">
        <v>0</v>
      </c>
      <c r="J774" s="99">
        <v>0</v>
      </c>
      <c r="K774" s="101" t="str">
        <f t="shared" si="135"/>
        <v>0x0x0</v>
      </c>
      <c r="L774" s="102">
        <f t="shared" si="136"/>
        <v>0</v>
      </c>
      <c r="M774" s="113">
        <f t="shared" si="137"/>
        <v>0</v>
      </c>
      <c r="N774" s="113">
        <f t="shared" si="138"/>
        <v>0</v>
      </c>
      <c r="O774" s="99">
        <v>0</v>
      </c>
      <c r="P774" s="113">
        <f t="shared" si="139"/>
        <v>0</v>
      </c>
      <c r="Q774" s="112">
        <f t="shared" si="140"/>
        <v>0</v>
      </c>
      <c r="R774" s="112" t="str">
        <f t="shared" si="141"/>
        <v>Standard-size</v>
      </c>
      <c r="S774" s="99" t="str">
        <f t="shared" si="142"/>
        <v>Small standard-size</v>
      </c>
      <c r="T774" s="116" t="s">
        <v>13696</v>
      </c>
      <c r="U774" s="116">
        <f t="shared" si="143"/>
        <v>0</v>
      </c>
      <c r="V774" s="116" t="s">
        <v>13583</v>
      </c>
      <c r="W774" s="116" t="s">
        <v>13690</v>
      </c>
      <c r="X774" s="99" t="s">
        <v>13583</v>
      </c>
      <c r="Y774" s="99">
        <v>1</v>
      </c>
      <c r="Z774" s="99">
        <v>1</v>
      </c>
      <c r="AA774" s="99">
        <v>1</v>
      </c>
      <c r="AB774" s="99"/>
      <c r="AC774" s="99"/>
      <c r="AD774" s="107">
        <v>47.378240000000012</v>
      </c>
      <c r="AE774" s="113">
        <f t="shared" si="144"/>
        <v>-7.1067360000000015</v>
      </c>
      <c r="AF774" s="116">
        <f>-IFERROR(IFERROR(VLOOKUP(ROUNDUP($Q774,0),'FBA FEES'!$L$2:$Q$203,MATCH($S774,'FBA FEES'!$L$2:$Q$2,0),FALSE),VLOOKUP(ROUNDUP($Q774,0),'FBA FEES'!$C$6:$F$123,MATCH($S774,'FBA FEES'!$C$6:$F$6,0),FALSE)),0)</f>
        <v>0</v>
      </c>
      <c r="AG774" s="116">
        <v>-10</v>
      </c>
      <c r="AH774" s="113">
        <f t="shared" si="145"/>
        <v>-7.1067360000000015</v>
      </c>
      <c r="AI774" s="116">
        <f>-IFERROR(IF($Y774=1,INDEX('[1]REMOVAL FEES'!$A$1:$C$22,MATCH(CONCATENATE("Standard Size",$P774),'[1]REMOVAL FEES'!$A$1:$A$22,0),3),IF($Y774=2,IF($P774&gt;10,(($P774-10)*1.06)+INDEX('[1]REMOVAL FEES'!$E$1:$G$22,MATCH(CONCATENATE("Large bulky, extra-large and special handling items",IF($P774&gt;=11,11,$P774)),'[1]REMOVAL FEES'!$E$1:$E$13,0),3),INDEX('[1]REMOVAL FEES'!$E$1:$G$22,MATCH(CONCATENATE("Large bulky, extra-large and special handling items",IF($P774&gt;=11,11,$P774)),'[1]REMOVAL FEES'!$E$1:$E$13,0),3))))*$AA774,FALSE)</f>
        <v>0</v>
      </c>
      <c r="AJ774" s="107">
        <f t="shared" si="146"/>
        <v>-7.1067360000000015</v>
      </c>
      <c r="AK774" s="107">
        <v>-14.372</v>
      </c>
      <c r="AL774" s="107">
        <v>-7.1079365079365084</v>
      </c>
      <c r="AM774" s="107">
        <f t="shared" si="147"/>
        <v>-21.479936507936507</v>
      </c>
      <c r="AN774" s="116">
        <f>(-IF($V774="Yes", IF($X774="Yes", VLOOKUP($W774, '[1]Storage Fees'!A:M, 13, FALSE), VLOOKUP($W774, '[1]Storage Fees'!A:M, 10, FALSE)), IF($X774="Yes", VLOOKUP($W774, '[1]Storage Fees'!A:M, 7, FALSE), VLOOKUP($W774, '[1]Storage Fees'!A:M, 4, FALSE))) * U774)*1.5</f>
        <v>0</v>
      </c>
    </row>
    <row r="775" spans="1:40" x14ac:dyDescent="0.25">
      <c r="A775" s="99">
        <v>703</v>
      </c>
      <c r="B775" s="99" t="s">
        <v>13699</v>
      </c>
      <c r="C775" s="99" t="s">
        <v>13655</v>
      </c>
      <c r="D775" s="99" t="s">
        <v>1322</v>
      </c>
      <c r="E775" s="99" t="s">
        <v>278</v>
      </c>
      <c r="F775" s="99" t="s">
        <v>1218</v>
      </c>
      <c r="G775" s="99" t="s">
        <v>13695</v>
      </c>
      <c r="H775" s="99">
        <v>32</v>
      </c>
      <c r="I775" s="99">
        <v>15</v>
      </c>
      <c r="J775" s="99">
        <v>11</v>
      </c>
      <c r="K775" s="101" t="str">
        <f t="shared" si="135"/>
        <v>32x15x11</v>
      </c>
      <c r="L775" s="102">
        <f t="shared" si="136"/>
        <v>37.985611510791365</v>
      </c>
      <c r="M775" s="113">
        <f t="shared" si="137"/>
        <v>37.985611510791365</v>
      </c>
      <c r="N775" s="113">
        <f t="shared" si="138"/>
        <v>38</v>
      </c>
      <c r="O775" s="99">
        <v>22</v>
      </c>
      <c r="P775" s="113">
        <f t="shared" si="139"/>
        <v>38</v>
      </c>
      <c r="Q775" s="112">
        <f t="shared" si="140"/>
        <v>608</v>
      </c>
      <c r="R775" s="112" t="str">
        <f t="shared" si="141"/>
        <v>Oversize</v>
      </c>
      <c r="S775" s="99" t="str">
        <f t="shared" si="142"/>
        <v>Large bulky</v>
      </c>
      <c r="T775" s="116" t="s">
        <v>13694</v>
      </c>
      <c r="U775" s="116">
        <f t="shared" si="143"/>
        <v>3.0555555555555554</v>
      </c>
      <c r="V775" s="116" t="s">
        <v>13583</v>
      </c>
      <c r="W775" s="116" t="s">
        <v>13690</v>
      </c>
      <c r="X775" s="116" t="s">
        <v>13691</v>
      </c>
      <c r="Y775" s="116">
        <v>2</v>
      </c>
      <c r="Z775" s="116">
        <v>3</v>
      </c>
      <c r="AA775" s="116">
        <v>1</v>
      </c>
      <c r="AB775" s="99"/>
      <c r="AC775" s="99"/>
      <c r="AD775" s="107">
        <v>149.21597468354409</v>
      </c>
      <c r="AE775" s="113">
        <f t="shared" si="144"/>
        <v>-22.382396202531613</v>
      </c>
      <c r="AF775" s="116">
        <f>-IFERROR(IFERROR(VLOOKUP(ROUNDUP($Q775,0),'FBA FEES'!$L$2:$Q$203,MATCH($S775,'FBA FEES'!$L$2:$Q$2,0),FALSE),VLOOKUP(ROUNDUP($Q775,0),'FBA FEES'!$C$6:$F$123,MATCH($S775,'FBA FEES'!$C$6:$F$6,0),FALSE)),0)</f>
        <v>-23.67</v>
      </c>
      <c r="AG775" s="116">
        <v>-10</v>
      </c>
      <c r="AH775" s="113">
        <f t="shared" si="145"/>
        <v>-46.052396202531611</v>
      </c>
      <c r="AI775" s="116">
        <f>-IFERROR(IF($Y775=1,INDEX('[1]REMOVAL FEES'!$A$1:$C$22,MATCH(CONCATENATE("Standard Size",$P775),'[1]REMOVAL FEES'!$A$1:$A$22,0),3),IF($Y775=2,IF($P775&gt;10,(($P775-10)*1.06)+INDEX('[1]REMOVAL FEES'!$E$1:$G$22,MATCH(CONCATENATE("Large bulky, extra-large and special handling items",IF($P775&gt;=11,11,$P775)),'[1]REMOVAL FEES'!$E$1:$E$13,0),3),INDEX('[1]REMOVAL FEES'!$E$1:$G$22,MATCH(CONCATENATE("Large bulky, extra-large and special handling items",IF($P775&gt;=11,11,$P775)),'[1]REMOVAL FEES'!$E$1:$E$13,0),3))))*$AA775,FALSE)</f>
        <v>-44</v>
      </c>
      <c r="AJ775" s="107">
        <f t="shared" si="146"/>
        <v>-90.052396202531611</v>
      </c>
      <c r="AK775" s="107">
        <v>-43.874556962025288</v>
      </c>
      <c r="AL775" s="107">
        <v>-11.125222779787009</v>
      </c>
      <c r="AM775" s="107">
        <f t="shared" si="147"/>
        <v>-54.999779741812297</v>
      </c>
      <c r="AN775" s="116">
        <f>(-IF($V775="Yes", IF($X775="Yes", VLOOKUP($W775, '[1]Storage Fees'!A:M, 13, FALSE), VLOOKUP($W775, '[1]Storage Fees'!A:M, 10, FALSE)), IF($X775="Yes", VLOOKUP($W775, '[1]Storage Fees'!A:M, 7, FALSE), VLOOKUP($W775, '[1]Storage Fees'!A:M, 4, FALSE))) * U775)*1.5</f>
        <v>-3.6208333333333331</v>
      </c>
    </row>
    <row r="776" spans="1:40" x14ac:dyDescent="0.25">
      <c r="A776" s="99">
        <v>704</v>
      </c>
      <c r="B776" s="99" t="s">
        <v>107</v>
      </c>
      <c r="C776" s="99" t="s">
        <v>13655</v>
      </c>
      <c r="D776" s="99"/>
      <c r="E776" s="99" t="s">
        <v>278</v>
      </c>
      <c r="F776" s="99" t="s">
        <v>1324</v>
      </c>
      <c r="G776" s="99" t="s">
        <v>13695</v>
      </c>
      <c r="H776" s="99">
        <v>13</v>
      </c>
      <c r="I776" s="99">
        <v>13</v>
      </c>
      <c r="J776" s="99">
        <v>8</v>
      </c>
      <c r="K776" s="101" t="str">
        <f t="shared" si="135"/>
        <v>13x13x8</v>
      </c>
      <c r="L776" s="102">
        <f t="shared" si="136"/>
        <v>9.7266187050359711</v>
      </c>
      <c r="M776" s="113">
        <f t="shared" si="137"/>
        <v>9.7266187050359711</v>
      </c>
      <c r="N776" s="113">
        <f t="shared" si="138"/>
        <v>10</v>
      </c>
      <c r="O776" s="99">
        <v>12</v>
      </c>
      <c r="P776" s="113">
        <f t="shared" si="139"/>
        <v>12</v>
      </c>
      <c r="Q776" s="112">
        <f t="shared" si="140"/>
        <v>192</v>
      </c>
      <c r="R776" s="112" t="str">
        <f t="shared" si="141"/>
        <v>Standard-size</v>
      </c>
      <c r="S776" s="99" t="str">
        <f t="shared" si="142"/>
        <v>Large standard-size</v>
      </c>
      <c r="T776" s="116" t="s">
        <v>13693</v>
      </c>
      <c r="U776" s="116">
        <f t="shared" si="143"/>
        <v>0.78240740740740744</v>
      </c>
      <c r="V776" s="116" t="s">
        <v>13583</v>
      </c>
      <c r="W776" s="116" t="s">
        <v>13690</v>
      </c>
      <c r="X776" s="99" t="s">
        <v>13583</v>
      </c>
      <c r="Y776" s="99">
        <v>1</v>
      </c>
      <c r="Z776" s="99">
        <v>2</v>
      </c>
      <c r="AA776" s="99">
        <v>1</v>
      </c>
      <c r="AB776" s="99"/>
      <c r="AC776" s="99"/>
      <c r="AD776" s="107">
        <v>45.323333333333331</v>
      </c>
      <c r="AE776" s="113">
        <f t="shared" si="144"/>
        <v>-6.7984999999999998</v>
      </c>
      <c r="AF776" s="116">
        <f>-IFERROR(IFERROR(VLOOKUP(ROUNDUP($Q776,0),'FBA FEES'!$L$2:$Q$203,MATCH($S776,'FBA FEES'!$L$2:$Q$2,0),FALSE),VLOOKUP(ROUNDUP($Q776,0),'FBA FEES'!$C$6:$F$123,MATCH($S776,'FBA FEES'!$C$6:$F$6,0),FALSE)),0)</f>
        <v>-9.8000000000000007</v>
      </c>
      <c r="AG776" s="116">
        <v>-10</v>
      </c>
      <c r="AH776" s="113">
        <f t="shared" si="145"/>
        <v>-16.598500000000001</v>
      </c>
      <c r="AI776" s="116">
        <f>-IFERROR(IF($Y776=1,INDEX('[1]REMOVAL FEES'!$A$1:$C$22,MATCH(CONCATENATE("Standard Size",$P776),'[1]REMOVAL FEES'!$A$1:$A$22,0),3),IF($Y776=2,IF($P776&gt;10,(($P776-10)*1.06)+INDEX('[1]REMOVAL FEES'!$E$1:$G$22,MATCH(CONCATENATE("Large bulky, extra-large and special handling items",IF($P776&gt;=11,11,$P776)),'[1]REMOVAL FEES'!$E$1:$E$13,0),3),INDEX('[1]REMOVAL FEES'!$E$1:$G$22,MATCH(CONCATENATE("Large bulky, extra-large and special handling items",IF($P776&gt;=11,11,$P776)),'[1]REMOVAL FEES'!$E$1:$E$13,0),3))))*$AA776,FALSE)</f>
        <v>-13.490000000000002</v>
      </c>
      <c r="AJ776" s="107">
        <f t="shared" si="146"/>
        <v>-30.088500000000003</v>
      </c>
      <c r="AK776" s="107">
        <v>-24.25</v>
      </c>
      <c r="AL776" s="107">
        <v>-4.9826666666666659</v>
      </c>
      <c r="AM776" s="107">
        <f t="shared" si="147"/>
        <v>-29.232666666666667</v>
      </c>
      <c r="AN776" s="116">
        <f>(-IF($V776="Yes", IF($X776="Yes", VLOOKUP($W776, '[1]Storage Fees'!A:M, 13, FALSE), VLOOKUP($W776, '[1]Storage Fees'!A:M, 10, FALSE)), IF($X776="Yes", VLOOKUP($W776, '[1]Storage Fees'!A:M, 7, FALSE), VLOOKUP($W776, '[1]Storage Fees'!A:M, 4, FALSE))) * U776)*1.5</f>
        <v>-1.4318055555555556</v>
      </c>
    </row>
    <row r="777" spans="1:40" x14ac:dyDescent="0.25">
      <c r="A777" s="99">
        <v>705</v>
      </c>
      <c r="B777" s="99" t="s">
        <v>107</v>
      </c>
      <c r="C777" s="99" t="s">
        <v>13655</v>
      </c>
      <c r="D777" s="99"/>
      <c r="E777" s="99" t="s">
        <v>278</v>
      </c>
      <c r="F777" s="99" t="s">
        <v>1327</v>
      </c>
      <c r="G777" s="99" t="s">
        <v>13695</v>
      </c>
      <c r="H777" s="99">
        <v>12</v>
      </c>
      <c r="I777" s="99">
        <v>12</v>
      </c>
      <c r="J777" s="99">
        <v>10</v>
      </c>
      <c r="K777" s="101" t="str">
        <f t="shared" ref="K777:K840" si="148">H777&amp;"x"&amp;I777&amp;"x"&amp;J777</f>
        <v>12x12x10</v>
      </c>
      <c r="L777" s="102">
        <f t="shared" ref="L777:L840" si="149">(H777*I777*J777)/139</f>
        <v>10.359712230215827</v>
      </c>
      <c r="M777" s="113">
        <f t="shared" ref="M777:M840" si="150">(H777*I777*J777)/139</f>
        <v>10.359712230215827</v>
      </c>
      <c r="N777" s="113">
        <f t="shared" ref="N777:N840" si="151">IF(AND(M777&gt;0,M777&lt;=0.25),0.25,IF(AND(M777&gt;0.25,M777&lt;=0.5),0.5,IF(AND(M777&gt;0.5,M777&lt;=0.75),0.75,ROUNDUP(M777,0))))</f>
        <v>11</v>
      </c>
      <c r="O777" s="99">
        <v>16</v>
      </c>
      <c r="P777" s="113">
        <f t="shared" ref="P777:P840" si="152">ROUNDUP(MAX(L777,O777),0)</f>
        <v>16</v>
      </c>
      <c r="Q777" s="112">
        <f t="shared" ref="Q777:Q840" si="153">P777*16</f>
        <v>256</v>
      </c>
      <c r="R777" s="112" t="str">
        <f t="shared" ref="R777:R840" si="154">IF(RIGHT(S777,13)="standard-size","Standard-size","Oversize")</f>
        <v>Oversize</v>
      </c>
      <c r="S777" s="99" t="str">
        <f t="shared" ref="S777:S840" si="155">IF(AND($P777&lt;=$J$50,$H777&lt;=$G$50,$I777&lt;=$H$50,$J777&lt;=$I$50),$A$50,IF(AND($P777&lt;=$J$51,$H777&lt;=$G$51,$I777&lt;=$H$51,$J777&lt;=$I$51),$A$51,IF(AND($H777&lt;=$G$52,$I777&lt;=$H$52,$J777&lt;=$I$52,$P777&lt;=$J$52),$A$52,IF(AND($P777&lt;=$J$53,OR(H$8&gt;$G$53,$I777&gt;$H$53,$J777&gt;$I$53)),$A$53,IF(AND($P777&gt;$J$53,$P777&lt;=$J$54),$A$54,IF(AND($P777&gt;$J$54,$P777&lt;=$J$55),$A$55,$A$56))))))</f>
        <v>Large bulky</v>
      </c>
      <c r="T777" s="116" t="s">
        <v>13692</v>
      </c>
      <c r="U777" s="116">
        <f t="shared" ref="U777:U840" si="156">(H777*I777*J777)/1728</f>
        <v>0.83333333333333337</v>
      </c>
      <c r="V777" s="116" t="s">
        <v>13583</v>
      </c>
      <c r="W777" s="116" t="s">
        <v>13690</v>
      </c>
      <c r="X777" s="116" t="s">
        <v>13691</v>
      </c>
      <c r="Y777" s="116">
        <v>2</v>
      </c>
      <c r="Z777" s="116">
        <v>3</v>
      </c>
      <c r="AA777" s="116">
        <v>1</v>
      </c>
      <c r="AB777" s="99"/>
      <c r="AC777" s="99"/>
      <c r="AD777" s="107">
        <v>51.656666666666673</v>
      </c>
      <c r="AE777" s="113">
        <f t="shared" ref="AE777:AE840" si="157">-AD777*0.15</f>
        <v>-7.7485000000000008</v>
      </c>
      <c r="AF777" s="116">
        <f>-IFERROR(IFERROR(VLOOKUP(ROUNDUP($Q777,0),'FBA FEES'!$L$2:$Q$203,MATCH($S777,'FBA FEES'!$L$2:$Q$2,0),FALSE),VLOOKUP(ROUNDUP($Q777,0),'FBA FEES'!$C$6:$F$123,MATCH($S777,'FBA FEES'!$C$6:$F$6,0),FALSE)),0)</f>
        <v>-15.309999999999999</v>
      </c>
      <c r="AG777" s="116">
        <v>-10</v>
      </c>
      <c r="AH777" s="113">
        <f t="shared" ref="AH777:AH840" si="158">AE777+AF777</f>
        <v>-23.058499999999999</v>
      </c>
      <c r="AI777" s="116">
        <f>-IFERROR(IF($Y777=1,INDEX('[1]REMOVAL FEES'!$A$1:$C$22,MATCH(CONCATENATE("Standard Size",$P777),'[1]REMOVAL FEES'!$A$1:$A$22,0),3),IF($Y777=2,IF($P777&gt;10,(($P777-10)*1.06)+INDEX('[1]REMOVAL FEES'!$E$1:$G$22,MATCH(CONCATENATE("Large bulky, extra-large and special handling items",IF($P777&gt;=11,11,$P777)),'[1]REMOVAL FEES'!$E$1:$E$13,0),3),INDEX('[1]REMOVAL FEES'!$E$1:$G$22,MATCH(CONCATENATE("Large bulky, extra-large and special handling items",IF($P777&gt;=11,11,$P777)),'[1]REMOVAL FEES'!$E$1:$E$13,0),3))))*$AA777,FALSE)</f>
        <v>-20.68</v>
      </c>
      <c r="AJ777" s="107">
        <f t="shared" ref="AJ777:AJ840" si="159">AH777+AI777</f>
        <v>-43.738500000000002</v>
      </c>
      <c r="AK777" s="107">
        <v>-27.94</v>
      </c>
      <c r="AL777" s="107">
        <v>-6.7008518518518532</v>
      </c>
      <c r="AM777" s="107">
        <f t="shared" ref="AM777:AM840" si="160">AK777+AL777</f>
        <v>-34.640851851851856</v>
      </c>
      <c r="AN777" s="116">
        <f>(-IF($V777="Yes", IF($X777="Yes", VLOOKUP($W777, '[1]Storage Fees'!A:M, 13, FALSE), VLOOKUP($W777, '[1]Storage Fees'!A:M, 10, FALSE)), IF($X777="Yes", VLOOKUP($W777, '[1]Storage Fees'!A:M, 7, FALSE), VLOOKUP($W777, '[1]Storage Fees'!A:M, 4, FALSE))) * U777)*1.5</f>
        <v>-0.98750000000000016</v>
      </c>
    </row>
    <row r="778" spans="1:40" x14ac:dyDescent="0.25">
      <c r="A778" s="99">
        <v>706</v>
      </c>
      <c r="B778" s="99" t="s">
        <v>107</v>
      </c>
      <c r="C778" s="99" t="s">
        <v>13655</v>
      </c>
      <c r="D778" s="99"/>
      <c r="E778" s="99" t="s">
        <v>278</v>
      </c>
      <c r="F778" s="99" t="s">
        <v>1330</v>
      </c>
      <c r="G778" s="99" t="s">
        <v>13695</v>
      </c>
      <c r="H778" s="99">
        <v>15</v>
      </c>
      <c r="I778" s="99">
        <v>13</v>
      </c>
      <c r="J778" s="99">
        <v>11</v>
      </c>
      <c r="K778" s="101" t="str">
        <f t="shared" si="148"/>
        <v>15x13x11</v>
      </c>
      <c r="L778" s="102">
        <f t="shared" si="149"/>
        <v>15.431654676258994</v>
      </c>
      <c r="M778" s="113">
        <f t="shared" si="150"/>
        <v>15.431654676258994</v>
      </c>
      <c r="N778" s="113">
        <f t="shared" si="151"/>
        <v>16</v>
      </c>
      <c r="O778" s="99">
        <v>19</v>
      </c>
      <c r="P778" s="113">
        <f t="shared" si="152"/>
        <v>19</v>
      </c>
      <c r="Q778" s="112">
        <f t="shared" si="153"/>
        <v>304</v>
      </c>
      <c r="R778" s="112" t="str">
        <f t="shared" si="154"/>
        <v>Oversize</v>
      </c>
      <c r="S778" s="99" t="str">
        <f t="shared" si="155"/>
        <v>Large bulky</v>
      </c>
      <c r="T778" s="116" t="s">
        <v>13692</v>
      </c>
      <c r="U778" s="116">
        <f t="shared" si="156"/>
        <v>1.2413194444444444</v>
      </c>
      <c r="V778" s="116" t="s">
        <v>13583</v>
      </c>
      <c r="W778" s="116" t="s">
        <v>13690</v>
      </c>
      <c r="X778" s="116" t="s">
        <v>13691</v>
      </c>
      <c r="Y778" s="116">
        <v>2</v>
      </c>
      <c r="Z778" s="116">
        <v>3</v>
      </c>
      <c r="AA778" s="116">
        <v>1</v>
      </c>
      <c r="AB778" s="99"/>
      <c r="AC778" s="99"/>
      <c r="AD778" s="107">
        <v>68.989999999999995</v>
      </c>
      <c r="AE778" s="113">
        <f t="shared" si="157"/>
        <v>-10.3485</v>
      </c>
      <c r="AF778" s="116">
        <f>-IFERROR(IFERROR(VLOOKUP(ROUNDUP($Q778,0),'FBA FEES'!$L$2:$Q$203,MATCH($S778,'FBA FEES'!$L$2:$Q$2,0),FALSE),VLOOKUP(ROUNDUP($Q778,0),'FBA FEES'!$C$6:$F$123,MATCH($S778,'FBA FEES'!$C$6:$F$6,0),FALSE)),0)</f>
        <v>-16.45</v>
      </c>
      <c r="AG778" s="116">
        <v>-10</v>
      </c>
      <c r="AH778" s="113">
        <f t="shared" si="158"/>
        <v>-26.798499999999997</v>
      </c>
      <c r="AI778" s="116">
        <f>-IFERROR(IF($Y778=1,INDEX('[1]REMOVAL FEES'!$A$1:$C$22,MATCH(CONCATENATE("Standard Size",$P778),'[1]REMOVAL FEES'!$A$1:$A$22,0),3),IF($Y778=2,IF($P778&gt;10,(($P778-10)*1.06)+INDEX('[1]REMOVAL FEES'!$E$1:$G$22,MATCH(CONCATENATE("Large bulky, extra-large and special handling items",IF($P778&gt;=11,11,$P778)),'[1]REMOVAL FEES'!$E$1:$E$13,0),3),INDEX('[1]REMOVAL FEES'!$E$1:$G$22,MATCH(CONCATENATE("Large bulky, extra-large and special handling items",IF($P778&gt;=11,11,$P778)),'[1]REMOVAL FEES'!$E$1:$E$13,0),3))))*$AA778,FALSE)</f>
        <v>-23.86</v>
      </c>
      <c r="AJ778" s="107">
        <f t="shared" si="159"/>
        <v>-50.658499999999997</v>
      </c>
      <c r="AK778" s="107">
        <v>-31.69</v>
      </c>
      <c r="AL778" s="107">
        <v>-11.026</v>
      </c>
      <c r="AM778" s="107">
        <f t="shared" si="160"/>
        <v>-42.716000000000001</v>
      </c>
      <c r="AN778" s="116">
        <f>(-IF($V778="Yes", IF($X778="Yes", VLOOKUP($W778, '[1]Storage Fees'!A:M, 13, FALSE), VLOOKUP($W778, '[1]Storage Fees'!A:M, 10, FALSE)), IF($X778="Yes", VLOOKUP($W778, '[1]Storage Fees'!A:M, 7, FALSE), VLOOKUP($W778, '[1]Storage Fees'!A:M, 4, FALSE))) * U778)*1.5</f>
        <v>-1.4709635416666667</v>
      </c>
    </row>
    <row r="779" spans="1:40" x14ac:dyDescent="0.25">
      <c r="A779" s="99">
        <v>707</v>
      </c>
      <c r="B779" s="99"/>
      <c r="C779" s="99" t="s">
        <v>13655</v>
      </c>
      <c r="D779" s="99"/>
      <c r="E779" s="99" t="s">
        <v>296</v>
      </c>
      <c r="F779" s="99" t="s">
        <v>2169</v>
      </c>
      <c r="G779" s="99" t="s">
        <v>13695</v>
      </c>
      <c r="H779" s="99">
        <v>0</v>
      </c>
      <c r="I779" s="99">
        <v>0</v>
      </c>
      <c r="J779" s="99">
        <v>0</v>
      </c>
      <c r="K779" s="101" t="str">
        <f t="shared" si="148"/>
        <v>0x0x0</v>
      </c>
      <c r="L779" s="102">
        <f t="shared" si="149"/>
        <v>0</v>
      </c>
      <c r="M779" s="113">
        <f t="shared" si="150"/>
        <v>0</v>
      </c>
      <c r="N779" s="113">
        <f t="shared" si="151"/>
        <v>0</v>
      </c>
      <c r="O779" s="99">
        <v>0</v>
      </c>
      <c r="P779" s="113">
        <f t="shared" si="152"/>
        <v>0</v>
      </c>
      <c r="Q779" s="112">
        <f t="shared" si="153"/>
        <v>0</v>
      </c>
      <c r="R779" s="112" t="str">
        <f t="shared" si="154"/>
        <v>Standard-size</v>
      </c>
      <c r="S779" s="99" t="str">
        <f t="shared" si="155"/>
        <v>Small standard-size</v>
      </c>
      <c r="T779" s="116" t="s">
        <v>13696</v>
      </c>
      <c r="U779" s="116">
        <f t="shared" si="156"/>
        <v>0</v>
      </c>
      <c r="V779" s="116" t="s">
        <v>13583</v>
      </c>
      <c r="W779" s="116" t="s">
        <v>13690</v>
      </c>
      <c r="X779" s="99" t="s">
        <v>13583</v>
      </c>
      <c r="Y779" s="99">
        <v>1</v>
      </c>
      <c r="Z779" s="99">
        <v>1</v>
      </c>
      <c r="AA779" s="99">
        <v>1</v>
      </c>
      <c r="AB779" s="99"/>
      <c r="AC779" s="99"/>
      <c r="AD779" s="107">
        <v>0</v>
      </c>
      <c r="AE779" s="113">
        <f t="shared" si="157"/>
        <v>0</v>
      </c>
      <c r="AF779" s="116">
        <f>-IFERROR(IFERROR(VLOOKUP(ROUNDUP($Q779,0),'FBA FEES'!$L$2:$Q$203,MATCH($S779,'FBA FEES'!$L$2:$Q$2,0),FALSE),VLOOKUP(ROUNDUP($Q779,0),'FBA FEES'!$C$6:$F$123,MATCH($S779,'FBA FEES'!$C$6:$F$6,0),FALSE)),0)</f>
        <v>0</v>
      </c>
      <c r="AG779" s="116">
        <v>-10</v>
      </c>
      <c r="AH779" s="113">
        <f t="shared" si="158"/>
        <v>0</v>
      </c>
      <c r="AI779" s="116">
        <f>-IFERROR(IF($Y779=1,INDEX('[1]REMOVAL FEES'!$A$1:$C$22,MATCH(CONCATENATE("Standard Size",$P779),'[1]REMOVAL FEES'!$A$1:$A$22,0),3),IF($Y779=2,IF($P779&gt;10,(($P779-10)*1.06)+INDEX('[1]REMOVAL FEES'!$E$1:$G$22,MATCH(CONCATENATE("Large bulky, extra-large and special handling items",IF($P779&gt;=11,11,$P779)),'[1]REMOVAL FEES'!$E$1:$E$13,0),3),INDEX('[1]REMOVAL FEES'!$E$1:$G$22,MATCH(CONCATENATE("Large bulky, extra-large and special handling items",IF($P779&gt;=11,11,$P779)),'[1]REMOVAL FEES'!$E$1:$E$13,0),3))))*$AA779,FALSE)</f>
        <v>0</v>
      </c>
      <c r="AJ779" s="107">
        <f t="shared" si="159"/>
        <v>0</v>
      </c>
      <c r="AK779" s="107">
        <v>0</v>
      </c>
      <c r="AL779" s="107">
        <v>0</v>
      </c>
      <c r="AM779" s="107">
        <f t="shared" si="160"/>
        <v>0</v>
      </c>
      <c r="AN779" s="116">
        <f>(-IF($V779="Yes", IF($X779="Yes", VLOOKUP($W779, '[1]Storage Fees'!A:M, 13, FALSE), VLOOKUP($W779, '[1]Storage Fees'!A:M, 10, FALSE)), IF($X779="Yes", VLOOKUP($W779, '[1]Storage Fees'!A:M, 7, FALSE), VLOOKUP($W779, '[1]Storage Fees'!A:M, 4, FALSE))) * U779)*1.5</f>
        <v>0</v>
      </c>
    </row>
    <row r="780" spans="1:40" x14ac:dyDescent="0.25">
      <c r="A780" s="99">
        <v>708</v>
      </c>
      <c r="B780" s="99" t="s">
        <v>55</v>
      </c>
      <c r="C780" s="99" t="s">
        <v>13655</v>
      </c>
      <c r="D780" s="99" t="s">
        <v>714</v>
      </c>
      <c r="E780" s="99" t="s">
        <v>1335</v>
      </c>
      <c r="F780" s="99" t="s">
        <v>1333</v>
      </c>
      <c r="G780" s="99" t="s">
        <v>13656</v>
      </c>
      <c r="H780" s="99">
        <v>25</v>
      </c>
      <c r="I780" s="99">
        <v>12</v>
      </c>
      <c r="J780" s="99">
        <v>12</v>
      </c>
      <c r="K780" s="101" t="str">
        <f t="shared" si="148"/>
        <v>25x12x12</v>
      </c>
      <c r="L780" s="102">
        <f t="shared" si="149"/>
        <v>25.899280575539567</v>
      </c>
      <c r="M780" s="113">
        <f t="shared" si="150"/>
        <v>25.899280575539567</v>
      </c>
      <c r="N780" s="113">
        <f t="shared" si="151"/>
        <v>26</v>
      </c>
      <c r="O780" s="99">
        <v>7</v>
      </c>
      <c r="P780" s="113">
        <f t="shared" si="152"/>
        <v>26</v>
      </c>
      <c r="Q780" s="112">
        <f t="shared" si="153"/>
        <v>416</v>
      </c>
      <c r="R780" s="112" t="str">
        <f t="shared" si="154"/>
        <v>Oversize</v>
      </c>
      <c r="S780" s="99" t="str">
        <f t="shared" si="155"/>
        <v>Large bulky</v>
      </c>
      <c r="T780" s="116" t="s">
        <v>13692</v>
      </c>
      <c r="U780" s="116">
        <f t="shared" si="156"/>
        <v>2.0833333333333335</v>
      </c>
      <c r="V780" s="116" t="s">
        <v>13583</v>
      </c>
      <c r="W780" s="116" t="s">
        <v>13690</v>
      </c>
      <c r="X780" s="116" t="s">
        <v>13691</v>
      </c>
      <c r="Y780" s="116">
        <v>2</v>
      </c>
      <c r="Z780" s="116">
        <v>3</v>
      </c>
      <c r="AA780" s="116">
        <v>1</v>
      </c>
      <c r="AB780" s="99"/>
      <c r="AC780" s="99"/>
      <c r="AD780" s="107">
        <v>64.989999999999995</v>
      </c>
      <c r="AE780" s="113">
        <f t="shared" si="157"/>
        <v>-9.7484999999999982</v>
      </c>
      <c r="AF780" s="116">
        <f>-IFERROR(IFERROR(VLOOKUP(ROUNDUP($Q780,0),'FBA FEES'!$L$2:$Q$203,MATCH($S780,'FBA FEES'!$L$2:$Q$2,0),FALSE),VLOOKUP(ROUNDUP($Q780,0),'FBA FEES'!$C$6:$F$123,MATCH($S780,'FBA FEES'!$C$6:$F$6,0),FALSE)),0)</f>
        <v>-19.11</v>
      </c>
      <c r="AG780" s="116">
        <v>-10</v>
      </c>
      <c r="AH780" s="113">
        <f t="shared" si="158"/>
        <v>-28.858499999999999</v>
      </c>
      <c r="AI780" s="116">
        <f>-IFERROR(IF($Y780=1,INDEX('[1]REMOVAL FEES'!$A$1:$C$22,MATCH(CONCATENATE("Standard Size",$P780),'[1]REMOVAL FEES'!$A$1:$A$22,0),3),IF($Y780=2,IF($P780&gt;10,(($P780-10)*1.06)+INDEX('[1]REMOVAL FEES'!$E$1:$G$22,MATCH(CONCATENATE("Large bulky, extra-large and special handling items",IF($P780&gt;=11,11,$P780)),'[1]REMOVAL FEES'!$E$1:$E$13,0),3),INDEX('[1]REMOVAL FEES'!$E$1:$G$22,MATCH(CONCATENATE("Large bulky, extra-large and special handling items",IF($P780&gt;=11,11,$P780)),'[1]REMOVAL FEES'!$E$1:$E$13,0),3))))*$AA780,FALSE)</f>
        <v>-31.28</v>
      </c>
      <c r="AJ780" s="107">
        <f t="shared" si="159"/>
        <v>-60.138500000000001</v>
      </c>
      <c r="AK780" s="107">
        <v>-15.38</v>
      </c>
      <c r="AL780" s="107">
        <v>-10.69916666666666</v>
      </c>
      <c r="AM780" s="107">
        <f t="shared" si="160"/>
        <v>-26.079166666666659</v>
      </c>
      <c r="AN780" s="116">
        <f>(-IF($V780="Yes", IF($X780="Yes", VLOOKUP($W780, '[1]Storage Fees'!A:M, 13, FALSE), VLOOKUP($W780, '[1]Storage Fees'!A:M, 10, FALSE)), IF($X780="Yes", VLOOKUP($W780, '[1]Storage Fees'!A:M, 7, FALSE), VLOOKUP($W780, '[1]Storage Fees'!A:M, 4, FALSE))) * U780)*1.5</f>
        <v>-2.46875</v>
      </c>
    </row>
    <row r="781" spans="1:40" x14ac:dyDescent="0.25">
      <c r="A781" s="99">
        <v>709</v>
      </c>
      <c r="B781" s="99"/>
      <c r="C781" s="99" t="s">
        <v>13655</v>
      </c>
      <c r="D781" s="99"/>
      <c r="E781" s="99" t="s">
        <v>1335</v>
      </c>
      <c r="F781" s="99" t="s">
        <v>2171</v>
      </c>
      <c r="G781" s="99" t="s">
        <v>13656</v>
      </c>
      <c r="H781" s="99">
        <v>0</v>
      </c>
      <c r="I781" s="99">
        <v>0</v>
      </c>
      <c r="J781" s="99">
        <v>0</v>
      </c>
      <c r="K781" s="101" t="str">
        <f t="shared" si="148"/>
        <v>0x0x0</v>
      </c>
      <c r="L781" s="102">
        <f t="shared" si="149"/>
        <v>0</v>
      </c>
      <c r="M781" s="113">
        <f t="shared" si="150"/>
        <v>0</v>
      </c>
      <c r="N781" s="113">
        <f t="shared" si="151"/>
        <v>0</v>
      </c>
      <c r="O781" s="99">
        <v>0</v>
      </c>
      <c r="P781" s="113">
        <f t="shared" si="152"/>
        <v>0</v>
      </c>
      <c r="Q781" s="112">
        <f t="shared" si="153"/>
        <v>0</v>
      </c>
      <c r="R781" s="112" t="str">
        <f t="shared" si="154"/>
        <v>Standard-size</v>
      </c>
      <c r="S781" s="99" t="str">
        <f t="shared" si="155"/>
        <v>Small standard-size</v>
      </c>
      <c r="T781" s="116" t="s">
        <v>13696</v>
      </c>
      <c r="U781" s="116">
        <f t="shared" si="156"/>
        <v>0</v>
      </c>
      <c r="V781" s="116" t="s">
        <v>13583</v>
      </c>
      <c r="W781" s="116" t="s">
        <v>13690</v>
      </c>
      <c r="X781" s="99" t="s">
        <v>13583</v>
      </c>
      <c r="Y781" s="99">
        <v>1</v>
      </c>
      <c r="Z781" s="99">
        <v>1</v>
      </c>
      <c r="AA781" s="99">
        <v>1</v>
      </c>
      <c r="AB781" s="99"/>
      <c r="AC781" s="99"/>
      <c r="AD781" s="107">
        <v>32.091999999999999</v>
      </c>
      <c r="AE781" s="113">
        <f t="shared" si="157"/>
        <v>-4.8137999999999996</v>
      </c>
      <c r="AF781" s="116">
        <f>-IFERROR(IFERROR(VLOOKUP(ROUNDUP($Q781,0),'FBA FEES'!$L$2:$Q$203,MATCH($S781,'FBA FEES'!$L$2:$Q$2,0),FALSE),VLOOKUP(ROUNDUP($Q781,0),'FBA FEES'!$C$6:$F$123,MATCH($S781,'FBA FEES'!$C$6:$F$6,0),FALSE)),0)</f>
        <v>0</v>
      </c>
      <c r="AG781" s="116">
        <v>-10</v>
      </c>
      <c r="AH781" s="113">
        <f t="shared" si="158"/>
        <v>-4.8137999999999996</v>
      </c>
      <c r="AI781" s="116">
        <f>-IFERROR(IF($Y781=1,INDEX('[1]REMOVAL FEES'!$A$1:$C$22,MATCH(CONCATENATE("Standard Size",$P781),'[1]REMOVAL FEES'!$A$1:$A$22,0),3),IF($Y781=2,IF($P781&gt;10,(($P781-10)*1.06)+INDEX('[1]REMOVAL FEES'!$E$1:$G$22,MATCH(CONCATENATE("Large bulky, extra-large and special handling items",IF($P781&gt;=11,11,$P781)),'[1]REMOVAL FEES'!$E$1:$E$13,0),3),INDEX('[1]REMOVAL FEES'!$E$1:$G$22,MATCH(CONCATENATE("Large bulky, extra-large and special handling items",IF($P781&gt;=11,11,$P781)),'[1]REMOVAL FEES'!$E$1:$E$13,0),3))))*$AA781,FALSE)</f>
        <v>0</v>
      </c>
      <c r="AJ781" s="107">
        <f t="shared" si="159"/>
        <v>-4.8137999999999996</v>
      </c>
      <c r="AK781" s="107">
        <v>-6.3360000000000003</v>
      </c>
      <c r="AL781" s="107">
        <v>-5.5332222222222223</v>
      </c>
      <c r="AM781" s="107">
        <f t="shared" si="160"/>
        <v>-11.869222222222223</v>
      </c>
      <c r="AN781" s="116">
        <f>(-IF($V781="Yes", IF($X781="Yes", VLOOKUP($W781, '[1]Storage Fees'!A:M, 13, FALSE), VLOOKUP($W781, '[1]Storage Fees'!A:M, 10, FALSE)), IF($X781="Yes", VLOOKUP($W781, '[1]Storage Fees'!A:M, 7, FALSE), VLOOKUP($W781, '[1]Storage Fees'!A:M, 4, FALSE))) * U781)*1.5</f>
        <v>0</v>
      </c>
    </row>
    <row r="782" spans="1:40" x14ac:dyDescent="0.25">
      <c r="A782" s="99">
        <v>710</v>
      </c>
      <c r="B782" s="99"/>
      <c r="C782" s="99" t="s">
        <v>13655</v>
      </c>
      <c r="D782" s="99"/>
      <c r="E782" s="99" t="s">
        <v>1335</v>
      </c>
      <c r="F782" s="99" t="s">
        <v>2173</v>
      </c>
      <c r="G782" s="99" t="s">
        <v>13656</v>
      </c>
      <c r="H782" s="99">
        <v>0</v>
      </c>
      <c r="I782" s="99">
        <v>0</v>
      </c>
      <c r="J782" s="99">
        <v>0</v>
      </c>
      <c r="K782" s="101" t="str">
        <f t="shared" si="148"/>
        <v>0x0x0</v>
      </c>
      <c r="L782" s="102">
        <f t="shared" si="149"/>
        <v>0</v>
      </c>
      <c r="M782" s="113">
        <f t="shared" si="150"/>
        <v>0</v>
      </c>
      <c r="N782" s="113">
        <f t="shared" si="151"/>
        <v>0</v>
      </c>
      <c r="O782" s="99">
        <v>0</v>
      </c>
      <c r="P782" s="113">
        <f t="shared" si="152"/>
        <v>0</v>
      </c>
      <c r="Q782" s="112">
        <f t="shared" si="153"/>
        <v>0</v>
      </c>
      <c r="R782" s="112" t="str">
        <f t="shared" si="154"/>
        <v>Standard-size</v>
      </c>
      <c r="S782" s="99" t="str">
        <f t="shared" si="155"/>
        <v>Small standard-size</v>
      </c>
      <c r="T782" s="116" t="s">
        <v>13696</v>
      </c>
      <c r="U782" s="116">
        <f t="shared" si="156"/>
        <v>0</v>
      </c>
      <c r="V782" s="116" t="s">
        <v>13583</v>
      </c>
      <c r="W782" s="116" t="s">
        <v>13690</v>
      </c>
      <c r="X782" s="99" t="s">
        <v>13583</v>
      </c>
      <c r="Y782" s="99">
        <v>1</v>
      </c>
      <c r="Z782" s="99">
        <v>1</v>
      </c>
      <c r="AA782" s="99">
        <v>1</v>
      </c>
      <c r="AB782" s="99"/>
      <c r="AC782" s="99"/>
      <c r="AD782" s="107">
        <v>54.9</v>
      </c>
      <c r="AE782" s="113">
        <f t="shared" si="157"/>
        <v>-8.2349999999999994</v>
      </c>
      <c r="AF782" s="116">
        <f>-IFERROR(IFERROR(VLOOKUP(ROUNDUP($Q782,0),'FBA FEES'!$L$2:$Q$203,MATCH($S782,'FBA FEES'!$L$2:$Q$2,0),FALSE),VLOOKUP(ROUNDUP($Q782,0),'FBA FEES'!$C$6:$F$123,MATCH($S782,'FBA FEES'!$C$6:$F$6,0),FALSE)),0)</f>
        <v>0</v>
      </c>
      <c r="AG782" s="116">
        <v>-10</v>
      </c>
      <c r="AH782" s="113">
        <f t="shared" si="158"/>
        <v>-8.2349999999999994</v>
      </c>
      <c r="AI782" s="116">
        <f>-IFERROR(IF($Y782=1,INDEX('[1]REMOVAL FEES'!$A$1:$C$22,MATCH(CONCATENATE("Standard Size",$P782),'[1]REMOVAL FEES'!$A$1:$A$22,0),3),IF($Y782=2,IF($P782&gt;10,(($P782-10)*1.06)+INDEX('[1]REMOVAL FEES'!$E$1:$G$22,MATCH(CONCATENATE("Large bulky, extra-large and special handling items",IF($P782&gt;=11,11,$P782)),'[1]REMOVAL FEES'!$E$1:$E$13,0),3),INDEX('[1]REMOVAL FEES'!$E$1:$G$22,MATCH(CONCATENATE("Large bulky, extra-large and special handling items",IF($P782&gt;=11,11,$P782)),'[1]REMOVAL FEES'!$E$1:$E$13,0),3))))*$AA782,FALSE)</f>
        <v>0</v>
      </c>
      <c r="AJ782" s="107">
        <f t="shared" si="159"/>
        <v>-8.2349999999999994</v>
      </c>
      <c r="AK782" s="107">
        <v>-12.69</v>
      </c>
      <c r="AL782" s="107">
        <v>-10.69811111111111</v>
      </c>
      <c r="AM782" s="107">
        <f t="shared" si="160"/>
        <v>-23.388111111111108</v>
      </c>
      <c r="AN782" s="116">
        <f>(-IF($V782="Yes", IF($X782="Yes", VLOOKUP($W782, '[1]Storage Fees'!A:M, 13, FALSE), VLOOKUP($W782, '[1]Storage Fees'!A:M, 10, FALSE)), IF($X782="Yes", VLOOKUP($W782, '[1]Storage Fees'!A:M, 7, FALSE), VLOOKUP($W782, '[1]Storage Fees'!A:M, 4, FALSE))) * U782)*1.5</f>
        <v>0</v>
      </c>
    </row>
    <row r="783" spans="1:40" x14ac:dyDescent="0.25">
      <c r="A783" s="99">
        <v>711</v>
      </c>
      <c r="B783" s="99" t="s">
        <v>107</v>
      </c>
      <c r="C783" s="99" t="s">
        <v>13655</v>
      </c>
      <c r="D783" s="99"/>
      <c r="E783" s="99" t="s">
        <v>278</v>
      </c>
      <c r="F783" s="99" t="s">
        <v>1337</v>
      </c>
      <c r="G783" s="99" t="s">
        <v>13656</v>
      </c>
      <c r="H783" s="99">
        <v>37</v>
      </c>
      <c r="I783" s="99">
        <v>9</v>
      </c>
      <c r="J783" s="99">
        <v>3</v>
      </c>
      <c r="K783" s="101" t="str">
        <f t="shared" si="148"/>
        <v>37x9x3</v>
      </c>
      <c r="L783" s="102">
        <f t="shared" si="149"/>
        <v>7.1870503597122299</v>
      </c>
      <c r="M783" s="113">
        <f t="shared" si="150"/>
        <v>7.1870503597122299</v>
      </c>
      <c r="N783" s="113">
        <f t="shared" si="151"/>
        <v>8</v>
      </c>
      <c r="O783" s="99">
        <v>10</v>
      </c>
      <c r="P783" s="113">
        <f t="shared" si="152"/>
        <v>10</v>
      </c>
      <c r="Q783" s="112">
        <f t="shared" si="153"/>
        <v>160</v>
      </c>
      <c r="R783" s="112" t="str">
        <f t="shared" si="154"/>
        <v>Oversize</v>
      </c>
      <c r="S783" s="99" t="str">
        <f t="shared" si="155"/>
        <v>Large bulky</v>
      </c>
      <c r="T783" s="116" t="s">
        <v>13692</v>
      </c>
      <c r="U783" s="116">
        <f t="shared" si="156"/>
        <v>0.578125</v>
      </c>
      <c r="V783" s="116" t="s">
        <v>13583</v>
      </c>
      <c r="W783" s="116" t="s">
        <v>13690</v>
      </c>
      <c r="X783" s="116" t="s">
        <v>13691</v>
      </c>
      <c r="Y783" s="116">
        <v>2</v>
      </c>
      <c r="Z783" s="116">
        <v>3</v>
      </c>
      <c r="AA783" s="116">
        <v>1</v>
      </c>
      <c r="AB783" s="99"/>
      <c r="AC783" s="99"/>
      <c r="AD783" s="107">
        <v>40.648888888888891</v>
      </c>
      <c r="AE783" s="113">
        <f t="shared" si="157"/>
        <v>-6.0973333333333333</v>
      </c>
      <c r="AF783" s="116">
        <f>-IFERROR(IFERROR(VLOOKUP(ROUNDUP($Q783,0),'FBA FEES'!$L$2:$Q$203,MATCH($S783,'FBA FEES'!$L$2:$Q$2,0),FALSE),VLOOKUP(ROUNDUP($Q783,0),'FBA FEES'!$C$6:$F$123,MATCH($S783,'FBA FEES'!$C$6:$F$6,0),FALSE)),0)</f>
        <v>-13.03</v>
      </c>
      <c r="AG783" s="116">
        <v>-10</v>
      </c>
      <c r="AH783" s="113">
        <f t="shared" si="158"/>
        <v>-19.127333333333333</v>
      </c>
      <c r="AI783" s="116">
        <f>-IFERROR(IF($Y783=1,INDEX('[1]REMOVAL FEES'!$A$1:$C$22,MATCH(CONCATENATE("Standard Size",$P783),'[1]REMOVAL FEES'!$A$1:$A$22,0),3),IF($Y783=2,IF($P783&gt;10,(($P783-10)*1.06)+INDEX('[1]REMOVAL FEES'!$E$1:$G$22,MATCH(CONCATENATE("Large bulky, extra-large and special handling items",IF($P783&gt;=11,11,$P783)),'[1]REMOVAL FEES'!$E$1:$E$13,0),3),INDEX('[1]REMOVAL FEES'!$E$1:$G$22,MATCH(CONCATENATE("Large bulky, extra-large and special handling items",IF($P783&gt;=11,11,$P783)),'[1]REMOVAL FEES'!$E$1:$E$13,0),3))))*$AA783,FALSE)</f>
        <v>-10.039999999999999</v>
      </c>
      <c r="AJ783" s="107">
        <f t="shared" si="159"/>
        <v>-29.167333333333332</v>
      </c>
      <c r="AK783" s="107">
        <v>-15.2</v>
      </c>
      <c r="AL783" s="107">
        <v>-7.2566666666666668</v>
      </c>
      <c r="AM783" s="107">
        <f t="shared" si="160"/>
        <v>-22.456666666666667</v>
      </c>
      <c r="AN783" s="116">
        <f>(-IF($V783="Yes", IF($X783="Yes", VLOOKUP($W783, '[1]Storage Fees'!A:M, 13, FALSE), VLOOKUP($W783, '[1]Storage Fees'!A:M, 10, FALSE)), IF($X783="Yes", VLOOKUP($W783, '[1]Storage Fees'!A:M, 7, FALSE), VLOOKUP($W783, '[1]Storage Fees'!A:M, 4, FALSE))) * U783)*1.5</f>
        <v>-0.68507812499999998</v>
      </c>
    </row>
    <row r="784" spans="1:40" x14ac:dyDescent="0.25">
      <c r="A784" s="99">
        <v>712</v>
      </c>
      <c r="B784" s="99" t="s">
        <v>107</v>
      </c>
      <c r="C784" s="99"/>
      <c r="D784" s="99"/>
      <c r="E784" s="99" t="s">
        <v>386</v>
      </c>
      <c r="F784" s="99" t="s">
        <v>473</v>
      </c>
      <c r="G784" s="99" t="s">
        <v>13695</v>
      </c>
      <c r="H784" s="99">
        <v>11</v>
      </c>
      <c r="I784" s="99">
        <v>9</v>
      </c>
      <c r="J784" s="99">
        <v>5</v>
      </c>
      <c r="K784" s="101" t="str">
        <f t="shared" si="148"/>
        <v>11x9x5</v>
      </c>
      <c r="L784" s="102">
        <f t="shared" si="149"/>
        <v>3.5611510791366907</v>
      </c>
      <c r="M784" s="113">
        <f t="shared" si="150"/>
        <v>3.5611510791366907</v>
      </c>
      <c r="N784" s="113">
        <f t="shared" si="151"/>
        <v>4</v>
      </c>
      <c r="O784" s="99">
        <v>2</v>
      </c>
      <c r="P784" s="113">
        <f t="shared" si="152"/>
        <v>4</v>
      </c>
      <c r="Q784" s="112">
        <f t="shared" si="153"/>
        <v>64</v>
      </c>
      <c r="R784" s="112" t="str">
        <f t="shared" si="154"/>
        <v>Standard-size</v>
      </c>
      <c r="S784" s="99" t="str">
        <f t="shared" si="155"/>
        <v>Large standard-size</v>
      </c>
      <c r="T784" s="116" t="s">
        <v>13693</v>
      </c>
      <c r="U784" s="116">
        <f t="shared" si="156"/>
        <v>0.28645833333333331</v>
      </c>
      <c r="V784" s="116" t="s">
        <v>13583</v>
      </c>
      <c r="W784" s="116" t="s">
        <v>13690</v>
      </c>
      <c r="X784" s="99" t="s">
        <v>13583</v>
      </c>
      <c r="Y784" s="99">
        <v>1</v>
      </c>
      <c r="Z784" s="99">
        <v>2</v>
      </c>
      <c r="AA784" s="99">
        <v>1</v>
      </c>
      <c r="AB784" s="99"/>
      <c r="AC784" s="99"/>
      <c r="AD784" s="107">
        <v>0</v>
      </c>
      <c r="AE784" s="113">
        <f t="shared" si="157"/>
        <v>0</v>
      </c>
      <c r="AF784" s="116">
        <f>-IFERROR(IFERROR(VLOOKUP(ROUNDUP($Q784,0),'FBA FEES'!$L$2:$Q$203,MATCH($S784,'FBA FEES'!$L$2:$Q$2,0),FALSE),VLOOKUP(ROUNDUP($Q784,0),'FBA FEES'!$C$6:$F$123,MATCH($S784,'FBA FEES'!$C$6:$F$6,0),FALSE)),0)</f>
        <v>-7.24</v>
      </c>
      <c r="AG784" s="116">
        <v>-10</v>
      </c>
      <c r="AH784" s="113">
        <f t="shared" si="158"/>
        <v>-7.24</v>
      </c>
      <c r="AI784" s="116">
        <f>-IFERROR(IF($Y784=1,INDEX('[1]REMOVAL FEES'!$A$1:$C$22,MATCH(CONCATENATE("Standard Size",$P784),'[1]REMOVAL FEES'!$A$1:$A$22,0),3),IF($Y784=2,IF($P784&gt;10,(($P784-10)*1.06)+INDEX('[1]REMOVAL FEES'!$E$1:$G$22,MATCH(CONCATENATE("Large bulky, extra-large and special handling items",IF($P784&gt;=11,11,$P784)),'[1]REMOVAL FEES'!$E$1:$E$13,0),3),INDEX('[1]REMOVAL FEES'!$E$1:$G$22,MATCH(CONCATENATE("Large bulky, extra-large and special handling items",IF($P784&gt;=11,11,$P784)),'[1]REMOVAL FEES'!$E$1:$E$13,0),3))))*$AA784,FALSE)</f>
        <v>-5.01</v>
      </c>
      <c r="AJ784" s="107">
        <f t="shared" si="159"/>
        <v>-12.25</v>
      </c>
      <c r="AK784" s="107">
        <v>0</v>
      </c>
      <c r="AL784" s="107">
        <v>0</v>
      </c>
      <c r="AM784" s="107">
        <f t="shared" si="160"/>
        <v>0</v>
      </c>
      <c r="AN784" s="116">
        <f>(-IF($V784="Yes", IF($X784="Yes", VLOOKUP($W784, '[1]Storage Fees'!A:M, 13, FALSE), VLOOKUP($W784, '[1]Storage Fees'!A:M, 10, FALSE)), IF($X784="Yes", VLOOKUP($W784, '[1]Storage Fees'!A:M, 7, FALSE), VLOOKUP($W784, '[1]Storage Fees'!A:M, 4, FALSE))) * U784)*1.5</f>
        <v>-0.52421874999999996</v>
      </c>
    </row>
    <row r="785" spans="1:40" x14ac:dyDescent="0.25">
      <c r="A785" s="99">
        <v>713</v>
      </c>
      <c r="B785" s="99"/>
      <c r="C785" s="99" t="s">
        <v>13655</v>
      </c>
      <c r="D785" s="99"/>
      <c r="E785" s="99" t="s">
        <v>386</v>
      </c>
      <c r="F785" s="99" t="s">
        <v>2175</v>
      </c>
      <c r="G785" s="99" t="s">
        <v>13695</v>
      </c>
      <c r="H785" s="99">
        <v>0</v>
      </c>
      <c r="I785" s="99">
        <v>0</v>
      </c>
      <c r="J785" s="99">
        <v>0</v>
      </c>
      <c r="K785" s="101" t="str">
        <f t="shared" si="148"/>
        <v>0x0x0</v>
      </c>
      <c r="L785" s="102">
        <f t="shared" si="149"/>
        <v>0</v>
      </c>
      <c r="M785" s="113">
        <f t="shared" si="150"/>
        <v>0</v>
      </c>
      <c r="N785" s="113">
        <f t="shared" si="151"/>
        <v>0</v>
      </c>
      <c r="O785" s="99">
        <v>0</v>
      </c>
      <c r="P785" s="113">
        <f t="shared" si="152"/>
        <v>0</v>
      </c>
      <c r="Q785" s="112">
        <f t="shared" si="153"/>
        <v>0</v>
      </c>
      <c r="R785" s="112" t="str">
        <f t="shared" si="154"/>
        <v>Standard-size</v>
      </c>
      <c r="S785" s="99" t="str">
        <f t="shared" si="155"/>
        <v>Small standard-size</v>
      </c>
      <c r="T785" s="116" t="s">
        <v>13696</v>
      </c>
      <c r="U785" s="116">
        <f t="shared" si="156"/>
        <v>0</v>
      </c>
      <c r="V785" s="116" t="s">
        <v>13583</v>
      </c>
      <c r="W785" s="116" t="s">
        <v>13690</v>
      </c>
      <c r="X785" s="99" t="s">
        <v>13583</v>
      </c>
      <c r="Y785" s="99">
        <v>1</v>
      </c>
      <c r="Z785" s="99">
        <v>1</v>
      </c>
      <c r="AA785" s="99">
        <v>1</v>
      </c>
      <c r="AB785" s="99"/>
      <c r="AC785" s="99"/>
      <c r="AD785" s="107">
        <v>0</v>
      </c>
      <c r="AE785" s="113">
        <f t="shared" si="157"/>
        <v>0</v>
      </c>
      <c r="AF785" s="116">
        <f>-IFERROR(IFERROR(VLOOKUP(ROUNDUP($Q785,0),'FBA FEES'!$L$2:$Q$203,MATCH($S785,'FBA FEES'!$L$2:$Q$2,0),FALSE),VLOOKUP(ROUNDUP($Q785,0),'FBA FEES'!$C$6:$F$123,MATCH($S785,'FBA FEES'!$C$6:$F$6,0),FALSE)),0)</f>
        <v>0</v>
      </c>
      <c r="AG785" s="116">
        <v>-10</v>
      </c>
      <c r="AH785" s="113">
        <f t="shared" si="158"/>
        <v>0</v>
      </c>
      <c r="AI785" s="116">
        <f>-IFERROR(IF($Y785=1,INDEX('[1]REMOVAL FEES'!$A$1:$C$22,MATCH(CONCATENATE("Standard Size",$P785),'[1]REMOVAL FEES'!$A$1:$A$22,0),3),IF($Y785=2,IF($P785&gt;10,(($P785-10)*1.06)+INDEX('[1]REMOVAL FEES'!$E$1:$G$22,MATCH(CONCATENATE("Large bulky, extra-large and special handling items",IF($P785&gt;=11,11,$P785)),'[1]REMOVAL FEES'!$E$1:$E$13,0),3),INDEX('[1]REMOVAL FEES'!$E$1:$G$22,MATCH(CONCATENATE("Large bulky, extra-large and special handling items",IF($P785&gt;=11,11,$P785)),'[1]REMOVAL FEES'!$E$1:$E$13,0),3))))*$AA785,FALSE)</f>
        <v>0</v>
      </c>
      <c r="AJ785" s="107">
        <f t="shared" si="159"/>
        <v>0</v>
      </c>
      <c r="AK785" s="107">
        <v>0</v>
      </c>
      <c r="AL785" s="107">
        <v>0</v>
      </c>
      <c r="AM785" s="107">
        <f t="shared" si="160"/>
        <v>0</v>
      </c>
      <c r="AN785" s="116">
        <f>(-IF($V785="Yes", IF($X785="Yes", VLOOKUP($W785, '[1]Storage Fees'!A:M, 13, FALSE), VLOOKUP($W785, '[1]Storage Fees'!A:M, 10, FALSE)), IF($X785="Yes", VLOOKUP($W785, '[1]Storage Fees'!A:M, 7, FALSE), VLOOKUP($W785, '[1]Storage Fees'!A:M, 4, FALSE))) * U785)*1.5</f>
        <v>0</v>
      </c>
    </row>
    <row r="786" spans="1:40" x14ac:dyDescent="0.25">
      <c r="A786" s="99">
        <v>714</v>
      </c>
      <c r="B786" s="99"/>
      <c r="C786" s="99" t="s">
        <v>13655</v>
      </c>
      <c r="D786" s="99"/>
      <c r="E786" s="99" t="s">
        <v>386</v>
      </c>
      <c r="F786" s="99" t="s">
        <v>2176</v>
      </c>
      <c r="G786" s="99" t="s">
        <v>13695</v>
      </c>
      <c r="H786" s="99">
        <v>0</v>
      </c>
      <c r="I786" s="99">
        <v>0</v>
      </c>
      <c r="J786" s="99">
        <v>0</v>
      </c>
      <c r="K786" s="101" t="str">
        <f t="shared" si="148"/>
        <v>0x0x0</v>
      </c>
      <c r="L786" s="102">
        <f t="shared" si="149"/>
        <v>0</v>
      </c>
      <c r="M786" s="113">
        <f t="shared" si="150"/>
        <v>0</v>
      </c>
      <c r="N786" s="113">
        <f t="shared" si="151"/>
        <v>0</v>
      </c>
      <c r="O786" s="99">
        <v>0</v>
      </c>
      <c r="P786" s="113">
        <f t="shared" si="152"/>
        <v>0</v>
      </c>
      <c r="Q786" s="112">
        <f t="shared" si="153"/>
        <v>0</v>
      </c>
      <c r="R786" s="112" t="str">
        <f t="shared" si="154"/>
        <v>Standard-size</v>
      </c>
      <c r="S786" s="99" t="str">
        <f t="shared" si="155"/>
        <v>Small standard-size</v>
      </c>
      <c r="T786" s="116" t="s">
        <v>13696</v>
      </c>
      <c r="U786" s="116">
        <f t="shared" si="156"/>
        <v>0</v>
      </c>
      <c r="V786" s="116" t="s">
        <v>13583</v>
      </c>
      <c r="W786" s="116" t="s">
        <v>13690</v>
      </c>
      <c r="X786" s="99" t="s">
        <v>13583</v>
      </c>
      <c r="Y786" s="99">
        <v>1</v>
      </c>
      <c r="Z786" s="99">
        <v>1</v>
      </c>
      <c r="AA786" s="99">
        <v>1</v>
      </c>
      <c r="AB786" s="99"/>
      <c r="AC786" s="99"/>
      <c r="AD786" s="107">
        <v>0</v>
      </c>
      <c r="AE786" s="113">
        <f t="shared" si="157"/>
        <v>0</v>
      </c>
      <c r="AF786" s="116">
        <f>-IFERROR(IFERROR(VLOOKUP(ROUNDUP($Q786,0),'FBA FEES'!$L$2:$Q$203,MATCH($S786,'FBA FEES'!$L$2:$Q$2,0),FALSE),VLOOKUP(ROUNDUP($Q786,0),'FBA FEES'!$C$6:$F$123,MATCH($S786,'FBA FEES'!$C$6:$F$6,0),FALSE)),0)</f>
        <v>0</v>
      </c>
      <c r="AG786" s="116">
        <v>-10</v>
      </c>
      <c r="AH786" s="113">
        <f t="shared" si="158"/>
        <v>0</v>
      </c>
      <c r="AI786" s="116">
        <f>-IFERROR(IF($Y786=1,INDEX('[1]REMOVAL FEES'!$A$1:$C$22,MATCH(CONCATENATE("Standard Size",$P786),'[1]REMOVAL FEES'!$A$1:$A$22,0),3),IF($Y786=2,IF($P786&gt;10,(($P786-10)*1.06)+INDEX('[1]REMOVAL FEES'!$E$1:$G$22,MATCH(CONCATENATE("Large bulky, extra-large and special handling items",IF($P786&gt;=11,11,$P786)),'[1]REMOVAL FEES'!$E$1:$E$13,0),3),INDEX('[1]REMOVAL FEES'!$E$1:$G$22,MATCH(CONCATENATE("Large bulky, extra-large and special handling items",IF($P786&gt;=11,11,$P786)),'[1]REMOVAL FEES'!$E$1:$E$13,0),3))))*$AA786,FALSE)</f>
        <v>0</v>
      </c>
      <c r="AJ786" s="107">
        <f t="shared" si="159"/>
        <v>0</v>
      </c>
      <c r="AK786" s="107">
        <v>0</v>
      </c>
      <c r="AL786" s="107">
        <v>0</v>
      </c>
      <c r="AM786" s="107">
        <f t="shared" si="160"/>
        <v>0</v>
      </c>
      <c r="AN786" s="116">
        <f>(-IF($V786="Yes", IF($X786="Yes", VLOOKUP($W786, '[1]Storage Fees'!A:M, 13, FALSE), VLOOKUP($W786, '[1]Storage Fees'!A:M, 10, FALSE)), IF($X786="Yes", VLOOKUP($W786, '[1]Storage Fees'!A:M, 7, FALSE), VLOOKUP($W786, '[1]Storage Fees'!A:M, 4, FALSE))) * U786)*1.5</f>
        <v>0</v>
      </c>
    </row>
    <row r="787" spans="1:40" x14ac:dyDescent="0.25">
      <c r="A787" s="99">
        <v>715</v>
      </c>
      <c r="B787" s="99" t="s">
        <v>107</v>
      </c>
      <c r="C787" s="99"/>
      <c r="D787" s="99"/>
      <c r="E787" s="99" t="s">
        <v>386</v>
      </c>
      <c r="F787" s="99" t="s">
        <v>474</v>
      </c>
      <c r="G787" s="99" t="s">
        <v>13695</v>
      </c>
      <c r="H787" s="99">
        <v>11</v>
      </c>
      <c r="I787" s="99">
        <v>9</v>
      </c>
      <c r="J787" s="99">
        <v>6</v>
      </c>
      <c r="K787" s="101" t="str">
        <f t="shared" si="148"/>
        <v>11x9x6</v>
      </c>
      <c r="L787" s="102">
        <f t="shared" si="149"/>
        <v>4.2733812949640289</v>
      </c>
      <c r="M787" s="113">
        <f t="shared" si="150"/>
        <v>4.2733812949640289</v>
      </c>
      <c r="N787" s="113">
        <f t="shared" si="151"/>
        <v>5</v>
      </c>
      <c r="O787" s="99">
        <v>2</v>
      </c>
      <c r="P787" s="113">
        <f t="shared" si="152"/>
        <v>5</v>
      </c>
      <c r="Q787" s="112">
        <f t="shared" si="153"/>
        <v>80</v>
      </c>
      <c r="R787" s="112" t="str">
        <f t="shared" si="154"/>
        <v>Standard-size</v>
      </c>
      <c r="S787" s="99" t="str">
        <f t="shared" si="155"/>
        <v>Large standard-size</v>
      </c>
      <c r="T787" s="116" t="s">
        <v>13693</v>
      </c>
      <c r="U787" s="116">
        <f t="shared" si="156"/>
        <v>0.34375</v>
      </c>
      <c r="V787" s="116" t="s">
        <v>13583</v>
      </c>
      <c r="W787" s="116" t="s">
        <v>13690</v>
      </c>
      <c r="X787" s="99" t="s">
        <v>13583</v>
      </c>
      <c r="Y787" s="99">
        <v>1</v>
      </c>
      <c r="Z787" s="99">
        <v>2</v>
      </c>
      <c r="AA787" s="99">
        <v>1</v>
      </c>
      <c r="AB787" s="99"/>
      <c r="AC787" s="99"/>
      <c r="AD787" s="107">
        <v>0</v>
      </c>
      <c r="AE787" s="113">
        <f t="shared" si="157"/>
        <v>0</v>
      </c>
      <c r="AF787" s="116">
        <f>-IFERROR(IFERROR(VLOOKUP(ROUNDUP($Q787,0),'FBA FEES'!$L$2:$Q$203,MATCH($S787,'FBA FEES'!$L$2:$Q$2,0),FALSE),VLOOKUP(ROUNDUP($Q787,0),'FBA FEES'!$C$6:$F$123,MATCH($S787,'FBA FEES'!$C$6:$F$6,0),FALSE)),0)</f>
        <v>-7.56</v>
      </c>
      <c r="AG787" s="116">
        <v>-10</v>
      </c>
      <c r="AH787" s="113">
        <f t="shared" si="158"/>
        <v>-7.56</v>
      </c>
      <c r="AI787" s="116">
        <f>-IFERROR(IF($Y787=1,INDEX('[1]REMOVAL FEES'!$A$1:$C$22,MATCH(CONCATENATE("Standard Size",$P787),'[1]REMOVAL FEES'!$A$1:$A$22,0),3),IF($Y787=2,IF($P787&gt;10,(($P787-10)*1.06)+INDEX('[1]REMOVAL FEES'!$E$1:$G$22,MATCH(CONCATENATE("Large bulky, extra-large and special handling items",IF($P787&gt;=11,11,$P787)),'[1]REMOVAL FEES'!$E$1:$E$13,0),3),INDEX('[1]REMOVAL FEES'!$E$1:$G$22,MATCH(CONCATENATE("Large bulky, extra-large and special handling items",IF($P787&gt;=11,11,$P787)),'[1]REMOVAL FEES'!$E$1:$E$13,0),3))))*$AA787,FALSE)</f>
        <v>-6.07</v>
      </c>
      <c r="AJ787" s="107">
        <f t="shared" si="159"/>
        <v>-13.629999999999999</v>
      </c>
      <c r="AK787" s="107">
        <v>0</v>
      </c>
      <c r="AL787" s="107">
        <v>0</v>
      </c>
      <c r="AM787" s="107">
        <f t="shared" si="160"/>
        <v>0</v>
      </c>
      <c r="AN787" s="116">
        <f>(-IF($V787="Yes", IF($X787="Yes", VLOOKUP($W787, '[1]Storage Fees'!A:M, 13, FALSE), VLOOKUP($W787, '[1]Storage Fees'!A:M, 10, FALSE)), IF($X787="Yes", VLOOKUP($W787, '[1]Storage Fees'!A:M, 7, FALSE), VLOOKUP($W787, '[1]Storage Fees'!A:M, 4, FALSE))) * U787)*1.5</f>
        <v>-0.62906249999999997</v>
      </c>
    </row>
    <row r="788" spans="1:40" x14ac:dyDescent="0.25">
      <c r="A788" s="99">
        <v>716</v>
      </c>
      <c r="B788" s="99" t="s">
        <v>13700</v>
      </c>
      <c r="C788" s="99" t="s">
        <v>13655</v>
      </c>
      <c r="D788" s="99" t="s">
        <v>1342</v>
      </c>
      <c r="E788" s="99" t="s">
        <v>278</v>
      </c>
      <c r="F788" s="99" t="s">
        <v>1340</v>
      </c>
      <c r="G788" s="99" t="s">
        <v>13656</v>
      </c>
      <c r="H788" s="99">
        <v>20</v>
      </c>
      <c r="I788" s="99">
        <v>20</v>
      </c>
      <c r="J788" s="99">
        <v>5</v>
      </c>
      <c r="K788" s="101" t="str">
        <f t="shared" si="148"/>
        <v>20x20x5</v>
      </c>
      <c r="L788" s="102">
        <f t="shared" si="149"/>
        <v>14.388489208633093</v>
      </c>
      <c r="M788" s="113">
        <f t="shared" si="150"/>
        <v>14.388489208633093</v>
      </c>
      <c r="N788" s="113">
        <f t="shared" si="151"/>
        <v>15</v>
      </c>
      <c r="O788" s="99">
        <v>10</v>
      </c>
      <c r="P788" s="113">
        <f t="shared" si="152"/>
        <v>15</v>
      </c>
      <c r="Q788" s="112">
        <f t="shared" si="153"/>
        <v>240</v>
      </c>
      <c r="R788" s="112" t="str">
        <f t="shared" si="154"/>
        <v>Oversize</v>
      </c>
      <c r="S788" s="99" t="str">
        <f t="shared" si="155"/>
        <v>Large bulky</v>
      </c>
      <c r="T788" s="116" t="s">
        <v>13692</v>
      </c>
      <c r="U788" s="116">
        <f t="shared" si="156"/>
        <v>1.1574074074074074</v>
      </c>
      <c r="V788" s="116" t="s">
        <v>13583</v>
      </c>
      <c r="W788" s="116" t="s">
        <v>13690</v>
      </c>
      <c r="X788" s="116" t="s">
        <v>13691</v>
      </c>
      <c r="Y788" s="116">
        <v>2</v>
      </c>
      <c r="Z788" s="116">
        <v>3</v>
      </c>
      <c r="AA788" s="116">
        <v>1</v>
      </c>
      <c r="AB788" s="99"/>
      <c r="AC788" s="99"/>
      <c r="AD788" s="107">
        <v>69.304722222222196</v>
      </c>
      <c r="AE788" s="113">
        <f t="shared" si="157"/>
        <v>-10.39570833333333</v>
      </c>
      <c r="AF788" s="116">
        <f>-IFERROR(IFERROR(VLOOKUP(ROUNDUP($Q788,0),'FBA FEES'!$L$2:$Q$203,MATCH($S788,'FBA FEES'!$L$2:$Q$2,0),FALSE),VLOOKUP(ROUNDUP($Q788,0),'FBA FEES'!$C$6:$F$123,MATCH($S788,'FBA FEES'!$C$6:$F$6,0),FALSE)),0)</f>
        <v>-14.93</v>
      </c>
      <c r="AG788" s="116">
        <v>-10</v>
      </c>
      <c r="AH788" s="113">
        <f t="shared" si="158"/>
        <v>-25.325708333333331</v>
      </c>
      <c r="AI788" s="116">
        <f>-IFERROR(IF($Y788=1,INDEX('[1]REMOVAL FEES'!$A$1:$C$22,MATCH(CONCATENATE("Standard Size",$P788),'[1]REMOVAL FEES'!$A$1:$A$22,0),3),IF($Y788=2,IF($P788&gt;10,(($P788-10)*1.06)+INDEX('[1]REMOVAL FEES'!$E$1:$G$22,MATCH(CONCATENATE("Large bulky, extra-large and special handling items",IF($P788&gt;=11,11,$P788)),'[1]REMOVAL FEES'!$E$1:$E$13,0),3),INDEX('[1]REMOVAL FEES'!$E$1:$G$22,MATCH(CONCATENATE("Large bulky, extra-large and special handling items",IF($P788&gt;=11,11,$P788)),'[1]REMOVAL FEES'!$E$1:$E$13,0),3))))*$AA788,FALSE)</f>
        <v>-19.62</v>
      </c>
      <c r="AJ788" s="107">
        <f t="shared" si="159"/>
        <v>-44.945708333333329</v>
      </c>
      <c r="AK788" s="107">
        <v>-18.04333333333334</v>
      </c>
      <c r="AL788" s="107">
        <v>-5.617234567901237</v>
      </c>
      <c r="AM788" s="107">
        <f t="shared" si="160"/>
        <v>-23.660567901234579</v>
      </c>
      <c r="AN788" s="116">
        <f>(-IF($V788="Yes", IF($X788="Yes", VLOOKUP($W788, '[1]Storage Fees'!A:M, 13, FALSE), VLOOKUP($W788, '[1]Storage Fees'!A:M, 10, FALSE)), IF($X788="Yes", VLOOKUP($W788, '[1]Storage Fees'!A:M, 7, FALSE), VLOOKUP($W788, '[1]Storage Fees'!A:M, 4, FALSE))) * U788)*1.5</f>
        <v>-1.3715277777777779</v>
      </c>
    </row>
    <row r="789" spans="1:40" x14ac:dyDescent="0.25">
      <c r="A789" s="99">
        <v>717</v>
      </c>
      <c r="B789" s="99" t="s">
        <v>13700</v>
      </c>
      <c r="C789" s="99" t="s">
        <v>13655</v>
      </c>
      <c r="D789" s="99" t="s">
        <v>1346</v>
      </c>
      <c r="E789" s="99" t="s">
        <v>278</v>
      </c>
      <c r="F789" s="99" t="s">
        <v>1344</v>
      </c>
      <c r="G789" s="99" t="s">
        <v>13695</v>
      </c>
      <c r="H789" s="99">
        <v>31</v>
      </c>
      <c r="I789" s="99">
        <v>31</v>
      </c>
      <c r="J789" s="99">
        <v>6</v>
      </c>
      <c r="K789" s="101" t="str">
        <f t="shared" si="148"/>
        <v>31x31x6</v>
      </c>
      <c r="L789" s="102">
        <f t="shared" si="149"/>
        <v>41.482014388489212</v>
      </c>
      <c r="M789" s="113">
        <f t="shared" si="150"/>
        <v>41.482014388489212</v>
      </c>
      <c r="N789" s="113">
        <f t="shared" si="151"/>
        <v>42</v>
      </c>
      <c r="O789" s="99">
        <v>18</v>
      </c>
      <c r="P789" s="113">
        <f t="shared" si="152"/>
        <v>42</v>
      </c>
      <c r="Q789" s="112">
        <f t="shared" si="153"/>
        <v>672</v>
      </c>
      <c r="R789" s="112" t="str">
        <f t="shared" si="154"/>
        <v>Oversize</v>
      </c>
      <c r="S789" s="99" t="str">
        <f t="shared" si="155"/>
        <v>Large bulky</v>
      </c>
      <c r="T789" s="116" t="s">
        <v>13694</v>
      </c>
      <c r="U789" s="116">
        <f t="shared" si="156"/>
        <v>3.3368055555555554</v>
      </c>
      <c r="V789" s="116" t="s">
        <v>13583</v>
      </c>
      <c r="W789" s="116" t="s">
        <v>13690</v>
      </c>
      <c r="X789" s="116" t="s">
        <v>13691</v>
      </c>
      <c r="Y789" s="116">
        <v>2</v>
      </c>
      <c r="Z789" s="116">
        <v>3</v>
      </c>
      <c r="AA789" s="116">
        <v>1</v>
      </c>
      <c r="AB789" s="99"/>
      <c r="AC789" s="99"/>
      <c r="AD789" s="107">
        <v>120.97769230769229</v>
      </c>
      <c r="AE789" s="113">
        <f t="shared" si="157"/>
        <v>-18.146653846153843</v>
      </c>
      <c r="AF789" s="116">
        <f>-IFERROR(IFERROR(VLOOKUP(ROUNDUP($Q789,0),'FBA FEES'!$L$2:$Q$203,MATCH($S789,'FBA FEES'!$L$2:$Q$2,0),FALSE),VLOOKUP(ROUNDUP($Q789,0),'FBA FEES'!$C$6:$F$123,MATCH($S789,'FBA FEES'!$C$6:$F$6,0),FALSE)),0)</f>
        <v>-25.189999999999998</v>
      </c>
      <c r="AG789" s="116">
        <v>-10</v>
      </c>
      <c r="AH789" s="113">
        <f t="shared" si="158"/>
        <v>-43.336653846153837</v>
      </c>
      <c r="AI789" s="116">
        <f>-IFERROR(IF($Y789=1,INDEX('[1]REMOVAL FEES'!$A$1:$C$22,MATCH(CONCATENATE("Standard Size",$P789),'[1]REMOVAL FEES'!$A$1:$A$22,0),3),IF($Y789=2,IF($P789&gt;10,(($P789-10)*1.06)+INDEX('[1]REMOVAL FEES'!$E$1:$G$22,MATCH(CONCATENATE("Large bulky, extra-large and special handling items",IF($P789&gt;=11,11,$P789)),'[1]REMOVAL FEES'!$E$1:$E$13,0),3),INDEX('[1]REMOVAL FEES'!$E$1:$G$22,MATCH(CONCATENATE("Large bulky, extra-large and special handling items",IF($P789&gt;=11,11,$P789)),'[1]REMOVAL FEES'!$E$1:$E$13,0),3))))*$AA789,FALSE)</f>
        <v>-48.24</v>
      </c>
      <c r="AJ789" s="107">
        <f t="shared" si="159"/>
        <v>-91.576653846153846</v>
      </c>
      <c r="AK789" s="107">
        <v>-54.419999999999987</v>
      </c>
      <c r="AL789" s="107">
        <v>-13.928298840048839</v>
      </c>
      <c r="AM789" s="107">
        <f t="shared" si="160"/>
        <v>-68.348298840048827</v>
      </c>
      <c r="AN789" s="116">
        <f>(-IF($V789="Yes", IF($X789="Yes", VLOOKUP($W789, '[1]Storage Fees'!A:M, 13, FALSE), VLOOKUP($W789, '[1]Storage Fees'!A:M, 10, FALSE)), IF($X789="Yes", VLOOKUP($W789, '[1]Storage Fees'!A:M, 7, FALSE), VLOOKUP($W789, '[1]Storage Fees'!A:M, 4, FALSE))) * U789)*1.5</f>
        <v>-3.9541145833333333</v>
      </c>
    </row>
    <row r="790" spans="1:40" x14ac:dyDescent="0.25">
      <c r="A790" s="99">
        <v>718</v>
      </c>
      <c r="B790" s="99" t="s">
        <v>13700</v>
      </c>
      <c r="C790" s="99" t="s">
        <v>13655</v>
      </c>
      <c r="D790" s="99" t="s">
        <v>1350</v>
      </c>
      <c r="E790" s="99" t="s">
        <v>278</v>
      </c>
      <c r="F790" s="99" t="s">
        <v>1348</v>
      </c>
      <c r="G790" s="99" t="s">
        <v>13695</v>
      </c>
      <c r="H790" s="99">
        <v>31</v>
      </c>
      <c r="I790" s="99">
        <v>31</v>
      </c>
      <c r="J790" s="99">
        <v>5</v>
      </c>
      <c r="K790" s="101" t="str">
        <f t="shared" si="148"/>
        <v>31x31x5</v>
      </c>
      <c r="L790" s="102">
        <f t="shared" si="149"/>
        <v>34.568345323741006</v>
      </c>
      <c r="M790" s="113">
        <f t="shared" si="150"/>
        <v>34.568345323741006</v>
      </c>
      <c r="N790" s="113">
        <f t="shared" si="151"/>
        <v>35</v>
      </c>
      <c r="O790" s="99">
        <v>23</v>
      </c>
      <c r="P790" s="113">
        <f t="shared" si="152"/>
        <v>35</v>
      </c>
      <c r="Q790" s="112">
        <f t="shared" si="153"/>
        <v>560</v>
      </c>
      <c r="R790" s="112" t="str">
        <f t="shared" si="154"/>
        <v>Oversize</v>
      </c>
      <c r="S790" s="99" t="str">
        <f t="shared" si="155"/>
        <v>Large bulky</v>
      </c>
      <c r="T790" s="116" t="s">
        <v>13689</v>
      </c>
      <c r="U790" s="116">
        <f t="shared" si="156"/>
        <v>2.7806712962962963</v>
      </c>
      <c r="V790" s="116" t="s">
        <v>13583</v>
      </c>
      <c r="W790" s="116" t="s">
        <v>13690</v>
      </c>
      <c r="X790" s="116" t="s">
        <v>13691</v>
      </c>
      <c r="Y790" s="116">
        <v>2</v>
      </c>
      <c r="Z790" s="116">
        <v>5</v>
      </c>
      <c r="AA790" s="116">
        <v>1</v>
      </c>
      <c r="AB790" s="99"/>
      <c r="AC790" s="99"/>
      <c r="AD790" s="107">
        <v>149.99</v>
      </c>
      <c r="AE790" s="113">
        <f t="shared" si="157"/>
        <v>-22.4985</v>
      </c>
      <c r="AF790" s="116">
        <f>-IFERROR(IFERROR(VLOOKUP(ROUNDUP($Q790,0),'FBA FEES'!$L$2:$Q$203,MATCH($S790,'FBA FEES'!$L$2:$Q$2,0),FALSE),VLOOKUP(ROUNDUP($Q790,0),'FBA FEES'!$C$6:$F$123,MATCH($S790,'FBA FEES'!$C$6:$F$6,0),FALSE)),0)</f>
        <v>-22.53</v>
      </c>
      <c r="AG790" s="116">
        <v>-10</v>
      </c>
      <c r="AH790" s="113">
        <f t="shared" si="158"/>
        <v>-45.028500000000001</v>
      </c>
      <c r="AI790" s="116">
        <f>-IFERROR(IF($Y790=1,INDEX('[1]REMOVAL FEES'!$A$1:$C$22,MATCH(CONCATENATE("Standard Size",$P790),'[1]REMOVAL FEES'!$A$1:$A$22,0),3),IF($Y790=2,IF($P790&gt;10,(($P790-10)*1.06)+INDEX('[1]REMOVAL FEES'!$E$1:$G$22,MATCH(CONCATENATE("Large bulky, extra-large and special handling items",IF($P790&gt;=11,11,$P790)),'[1]REMOVAL FEES'!$E$1:$E$13,0),3),INDEX('[1]REMOVAL FEES'!$E$1:$G$22,MATCH(CONCATENATE("Large bulky, extra-large and special handling items",IF($P790&gt;=11,11,$P790)),'[1]REMOVAL FEES'!$E$1:$E$13,0),3))))*$AA790,FALSE)</f>
        <v>-40.82</v>
      </c>
      <c r="AJ790" s="107">
        <f t="shared" si="159"/>
        <v>-85.848500000000001</v>
      </c>
      <c r="AK790" s="107">
        <v>-63.529999999999987</v>
      </c>
      <c r="AL790" s="107">
        <v>-22.05205740740741</v>
      </c>
      <c r="AM790" s="107">
        <f t="shared" si="160"/>
        <v>-85.582057407407405</v>
      </c>
      <c r="AN790" s="116">
        <f>(-IF($V790="Yes", IF($X790="Yes", VLOOKUP($W790, '[1]Storage Fees'!A:M, 13, FALSE), VLOOKUP($W790, '[1]Storage Fees'!A:M, 10, FALSE)), IF($X790="Yes", VLOOKUP($W790, '[1]Storage Fees'!A:M, 7, FALSE), VLOOKUP($W790, '[1]Storage Fees'!A:M, 4, FALSE))) * U790)*1.5</f>
        <v>-3.2950954861111112</v>
      </c>
    </row>
    <row r="791" spans="1:40" x14ac:dyDescent="0.25">
      <c r="A791" s="99">
        <v>719</v>
      </c>
      <c r="B791" s="99" t="s">
        <v>13700</v>
      </c>
      <c r="C791" s="99" t="s">
        <v>13655</v>
      </c>
      <c r="D791" s="99" t="s">
        <v>1354</v>
      </c>
      <c r="E791" s="99" t="s">
        <v>278</v>
      </c>
      <c r="F791" s="99" t="s">
        <v>1352</v>
      </c>
      <c r="G791" s="99" t="s">
        <v>13695</v>
      </c>
      <c r="H791" s="99">
        <v>31</v>
      </c>
      <c r="I791" s="99">
        <v>31</v>
      </c>
      <c r="J791" s="99">
        <v>7</v>
      </c>
      <c r="K791" s="101" t="str">
        <f t="shared" si="148"/>
        <v>31x31x7</v>
      </c>
      <c r="L791" s="102">
        <f t="shared" si="149"/>
        <v>48.39568345323741</v>
      </c>
      <c r="M791" s="113">
        <f t="shared" si="150"/>
        <v>48.39568345323741</v>
      </c>
      <c r="N791" s="113">
        <f t="shared" si="151"/>
        <v>49</v>
      </c>
      <c r="O791" s="99">
        <v>24</v>
      </c>
      <c r="P791" s="113">
        <f t="shared" si="152"/>
        <v>49</v>
      </c>
      <c r="Q791" s="112">
        <f t="shared" si="153"/>
        <v>784</v>
      </c>
      <c r="R791" s="112" t="str">
        <f t="shared" si="154"/>
        <v>Oversize</v>
      </c>
      <c r="S791" s="99" t="str">
        <f t="shared" si="155"/>
        <v>Large bulky</v>
      </c>
      <c r="T791" s="116" t="s">
        <v>13689</v>
      </c>
      <c r="U791" s="116">
        <f t="shared" si="156"/>
        <v>3.8929398148148149</v>
      </c>
      <c r="V791" s="116" t="s">
        <v>13583</v>
      </c>
      <c r="W791" s="116" t="s">
        <v>13690</v>
      </c>
      <c r="X791" s="116" t="s">
        <v>13691</v>
      </c>
      <c r="Y791" s="116">
        <v>2</v>
      </c>
      <c r="Z791" s="116">
        <v>5</v>
      </c>
      <c r="AA791" s="116">
        <v>1</v>
      </c>
      <c r="AB791" s="99"/>
      <c r="AC791" s="99"/>
      <c r="AD791" s="107">
        <v>206.24</v>
      </c>
      <c r="AE791" s="113">
        <f t="shared" si="157"/>
        <v>-30.936</v>
      </c>
      <c r="AF791" s="116">
        <f>-IFERROR(IFERROR(VLOOKUP(ROUNDUP($Q791,0),'FBA FEES'!$L$2:$Q$203,MATCH($S791,'FBA FEES'!$L$2:$Q$2,0),FALSE),VLOOKUP(ROUNDUP($Q791,0),'FBA FEES'!$C$6:$F$123,MATCH($S791,'FBA FEES'!$C$6:$F$6,0),FALSE)),0)</f>
        <v>-27.85</v>
      </c>
      <c r="AG791" s="116">
        <v>-10</v>
      </c>
      <c r="AH791" s="113">
        <f t="shared" si="158"/>
        <v>-58.786000000000001</v>
      </c>
      <c r="AI791" s="116">
        <f>-IFERROR(IF($Y791=1,INDEX('[1]REMOVAL FEES'!$A$1:$C$22,MATCH(CONCATENATE("Standard Size",$P791),'[1]REMOVAL FEES'!$A$1:$A$22,0),3),IF($Y791=2,IF($P791&gt;10,(($P791-10)*1.06)+INDEX('[1]REMOVAL FEES'!$E$1:$G$22,MATCH(CONCATENATE("Large bulky, extra-large and special handling items",IF($P791&gt;=11,11,$P791)),'[1]REMOVAL FEES'!$E$1:$E$13,0),3),INDEX('[1]REMOVAL FEES'!$E$1:$G$22,MATCH(CONCATENATE("Large bulky, extra-large and special handling items",IF($P791&gt;=11,11,$P791)),'[1]REMOVAL FEES'!$E$1:$E$13,0),3))))*$AA791,FALSE)</f>
        <v>-55.660000000000004</v>
      </c>
      <c r="AJ791" s="107">
        <f t="shared" si="159"/>
        <v>-114.446</v>
      </c>
      <c r="AK791" s="107">
        <v>-67.75</v>
      </c>
      <c r="AL791" s="107">
        <v>-18.249033833956599</v>
      </c>
      <c r="AM791" s="107">
        <f t="shared" si="160"/>
        <v>-85.999033833956602</v>
      </c>
      <c r="AN791" s="116">
        <f>(-IF($V791="Yes", IF($X791="Yes", VLOOKUP($W791, '[1]Storage Fees'!A:M, 13, FALSE), VLOOKUP($W791, '[1]Storage Fees'!A:M, 10, FALSE)), IF($X791="Yes", VLOOKUP($W791, '[1]Storage Fees'!A:M, 7, FALSE), VLOOKUP($W791, '[1]Storage Fees'!A:M, 4, FALSE))) * U791)*1.5</f>
        <v>-4.6131336805555563</v>
      </c>
    </row>
    <row r="792" spans="1:40" x14ac:dyDescent="0.25">
      <c r="A792" s="99">
        <v>720</v>
      </c>
      <c r="B792" s="99"/>
      <c r="C792" s="99" t="s">
        <v>13655</v>
      </c>
      <c r="D792" s="99"/>
      <c r="E792" s="99" t="s">
        <v>278</v>
      </c>
      <c r="F792" s="99" t="s">
        <v>2177</v>
      </c>
      <c r="G792" s="99" t="s">
        <v>13656</v>
      </c>
      <c r="H792" s="99">
        <v>0</v>
      </c>
      <c r="I792" s="99">
        <v>0</v>
      </c>
      <c r="J792" s="99">
        <v>0</v>
      </c>
      <c r="K792" s="101" t="str">
        <f t="shared" si="148"/>
        <v>0x0x0</v>
      </c>
      <c r="L792" s="102">
        <f t="shared" si="149"/>
        <v>0</v>
      </c>
      <c r="M792" s="113">
        <f t="shared" si="150"/>
        <v>0</v>
      </c>
      <c r="N792" s="113">
        <f t="shared" si="151"/>
        <v>0</v>
      </c>
      <c r="O792" s="99">
        <v>0</v>
      </c>
      <c r="P792" s="113">
        <f t="shared" si="152"/>
        <v>0</v>
      </c>
      <c r="Q792" s="112">
        <f t="shared" si="153"/>
        <v>0</v>
      </c>
      <c r="R792" s="112" t="str">
        <f t="shared" si="154"/>
        <v>Standard-size</v>
      </c>
      <c r="S792" s="99" t="str">
        <f t="shared" si="155"/>
        <v>Small standard-size</v>
      </c>
      <c r="T792" s="116" t="s">
        <v>13696</v>
      </c>
      <c r="U792" s="116">
        <f t="shared" si="156"/>
        <v>0</v>
      </c>
      <c r="V792" s="116" t="s">
        <v>13583</v>
      </c>
      <c r="W792" s="116" t="s">
        <v>13690</v>
      </c>
      <c r="X792" s="99" t="s">
        <v>13583</v>
      </c>
      <c r="Y792" s="99">
        <v>1</v>
      </c>
      <c r="Z792" s="99">
        <v>1</v>
      </c>
      <c r="AA792" s="99">
        <v>1</v>
      </c>
      <c r="AB792" s="99"/>
      <c r="AC792" s="99"/>
      <c r="AD792" s="107">
        <v>23.886875</v>
      </c>
      <c r="AE792" s="113">
        <f t="shared" si="157"/>
        <v>-3.5830312499999999</v>
      </c>
      <c r="AF792" s="116">
        <f>-IFERROR(IFERROR(VLOOKUP(ROUNDUP($Q792,0),'FBA FEES'!$L$2:$Q$203,MATCH($S792,'FBA FEES'!$L$2:$Q$2,0),FALSE),VLOOKUP(ROUNDUP($Q792,0),'FBA FEES'!$C$6:$F$123,MATCH($S792,'FBA FEES'!$C$6:$F$6,0),FALSE)),0)</f>
        <v>0</v>
      </c>
      <c r="AG792" s="116">
        <v>-10</v>
      </c>
      <c r="AH792" s="113">
        <f t="shared" si="158"/>
        <v>-3.5830312499999999</v>
      </c>
      <c r="AI792" s="116">
        <f>-IFERROR(IF($Y792=1,INDEX('[1]REMOVAL FEES'!$A$1:$C$22,MATCH(CONCATENATE("Standard Size",$P792),'[1]REMOVAL FEES'!$A$1:$A$22,0),3),IF($Y792=2,IF($P792&gt;10,(($P792-10)*1.06)+INDEX('[1]REMOVAL FEES'!$E$1:$G$22,MATCH(CONCATENATE("Large bulky, extra-large and special handling items",IF($P792&gt;=11,11,$P792)),'[1]REMOVAL FEES'!$E$1:$E$13,0),3),INDEX('[1]REMOVAL FEES'!$E$1:$G$22,MATCH(CONCATENATE("Large bulky, extra-large and special handling items",IF($P792&gt;=11,11,$P792)),'[1]REMOVAL FEES'!$E$1:$E$13,0),3))))*$AA792,FALSE)</f>
        <v>0</v>
      </c>
      <c r="AJ792" s="107">
        <f t="shared" si="159"/>
        <v>-3.5830312499999999</v>
      </c>
      <c r="AK792" s="107">
        <v>-7.0087500000000027</v>
      </c>
      <c r="AL792" s="107">
        <v>-0.93887499999999979</v>
      </c>
      <c r="AM792" s="107">
        <f t="shared" si="160"/>
        <v>-7.9476250000000022</v>
      </c>
      <c r="AN792" s="116">
        <f>(-IF($V792="Yes", IF($X792="Yes", VLOOKUP($W792, '[1]Storage Fees'!A:M, 13, FALSE), VLOOKUP($W792, '[1]Storage Fees'!A:M, 10, FALSE)), IF($X792="Yes", VLOOKUP($W792, '[1]Storage Fees'!A:M, 7, FALSE), VLOOKUP($W792, '[1]Storage Fees'!A:M, 4, FALSE))) * U792)*1.5</f>
        <v>0</v>
      </c>
    </row>
    <row r="793" spans="1:40" x14ac:dyDescent="0.25">
      <c r="A793" s="99">
        <v>721</v>
      </c>
      <c r="B793" s="99" t="s">
        <v>107</v>
      </c>
      <c r="C793" s="99" t="s">
        <v>13655</v>
      </c>
      <c r="D793" s="99"/>
      <c r="E793" s="99" t="s">
        <v>278</v>
      </c>
      <c r="F793" s="110" t="s">
        <v>1356</v>
      </c>
      <c r="G793" s="99" t="s">
        <v>13656</v>
      </c>
      <c r="H793" s="99">
        <v>13</v>
      </c>
      <c r="I793" s="99">
        <v>5</v>
      </c>
      <c r="J793" s="99">
        <v>2</v>
      </c>
      <c r="K793" s="101" t="str">
        <f t="shared" si="148"/>
        <v>13x5x2</v>
      </c>
      <c r="L793" s="102">
        <f t="shared" si="149"/>
        <v>0.93525179856115104</v>
      </c>
      <c r="M793" s="113">
        <f t="shared" si="150"/>
        <v>0.93525179856115104</v>
      </c>
      <c r="N793" s="113">
        <f t="shared" si="151"/>
        <v>1</v>
      </c>
      <c r="O793" s="99">
        <v>2</v>
      </c>
      <c r="P793" s="113">
        <f t="shared" si="152"/>
        <v>2</v>
      </c>
      <c r="Q793" s="112">
        <f t="shared" si="153"/>
        <v>32</v>
      </c>
      <c r="R793" s="112" t="str">
        <f t="shared" si="154"/>
        <v>Standard-size</v>
      </c>
      <c r="S793" s="99" t="str">
        <f t="shared" si="155"/>
        <v>Large standard-size</v>
      </c>
      <c r="T793" s="116" t="s">
        <v>13697</v>
      </c>
      <c r="U793" s="116">
        <f t="shared" si="156"/>
        <v>7.5231481481481483E-2</v>
      </c>
      <c r="V793" s="116" t="s">
        <v>13583</v>
      </c>
      <c r="W793" s="116" t="s">
        <v>13690</v>
      </c>
      <c r="X793" s="99" t="s">
        <v>13583</v>
      </c>
      <c r="Y793" s="99">
        <v>1</v>
      </c>
      <c r="Z793" s="99">
        <v>2</v>
      </c>
      <c r="AA793" s="99">
        <v>1</v>
      </c>
      <c r="AB793" s="99"/>
      <c r="AC793" s="99"/>
      <c r="AD793" s="107">
        <v>26.201000000000001</v>
      </c>
      <c r="AE793" s="113">
        <f t="shared" si="157"/>
        <v>-3.9301499999999998</v>
      </c>
      <c r="AF793" s="116">
        <f>-IFERROR(IFERROR(VLOOKUP(ROUNDUP($Q793,0),'FBA FEES'!$L$2:$Q$203,MATCH($S793,'FBA FEES'!$L$2:$Q$2,0),FALSE),VLOOKUP(ROUNDUP($Q793,0),'FBA FEES'!$C$6:$F$123,MATCH($S793,'FBA FEES'!$C$6:$F$6,0),FALSE)),0)</f>
        <v>-5.77</v>
      </c>
      <c r="AG793" s="116">
        <v>-10</v>
      </c>
      <c r="AH793" s="113">
        <f t="shared" si="158"/>
        <v>-9.7001499999999989</v>
      </c>
      <c r="AI793" s="116">
        <f>-IFERROR(IF($Y793=1,INDEX('[1]REMOVAL FEES'!$A$1:$C$22,MATCH(CONCATENATE("Standard Size",$P793),'[1]REMOVAL FEES'!$A$1:$A$22,0),3),IF($Y793=2,IF($P793&gt;10,(($P793-10)*1.06)+INDEX('[1]REMOVAL FEES'!$E$1:$G$22,MATCH(CONCATENATE("Large bulky, extra-large and special handling items",IF($P793&gt;=11,11,$P793)),'[1]REMOVAL FEES'!$E$1:$E$13,0),3),INDEX('[1]REMOVAL FEES'!$E$1:$G$22,MATCH(CONCATENATE("Large bulky, extra-large and special handling items",IF($P793&gt;=11,11,$P793)),'[1]REMOVAL FEES'!$E$1:$E$13,0),3))))*$AA793,FALSE)</f>
        <v>-2.27</v>
      </c>
      <c r="AJ793" s="107">
        <f t="shared" si="159"/>
        <v>-11.970149999999999</v>
      </c>
      <c r="AK793" s="107">
        <v>-8.09</v>
      </c>
      <c r="AL793" s="107">
        <v>-0.84319999999999984</v>
      </c>
      <c r="AM793" s="107">
        <f t="shared" si="160"/>
        <v>-8.9331999999999994</v>
      </c>
      <c r="AN793" s="116">
        <f>(-IF($V793="Yes", IF($X793="Yes", VLOOKUP($W793, '[1]Storage Fees'!A:M, 13, FALSE), VLOOKUP($W793, '[1]Storage Fees'!A:M, 10, FALSE)), IF($X793="Yes", VLOOKUP($W793, '[1]Storage Fees'!A:M, 7, FALSE), VLOOKUP($W793, '[1]Storage Fees'!A:M, 4, FALSE))) * U793)*1.5</f>
        <v>-0.13767361111111112</v>
      </c>
    </row>
    <row r="794" spans="1:40" x14ac:dyDescent="0.25">
      <c r="A794" s="99">
        <v>722</v>
      </c>
      <c r="B794" s="99" t="s">
        <v>13699</v>
      </c>
      <c r="C794" s="99" t="s">
        <v>13655</v>
      </c>
      <c r="D794" s="99" t="s">
        <v>1361</v>
      </c>
      <c r="E794" s="99" t="s">
        <v>278</v>
      </c>
      <c r="F794" s="99" t="s">
        <v>1359</v>
      </c>
      <c r="G794" s="99" t="s">
        <v>13656</v>
      </c>
      <c r="H794" s="99">
        <v>18</v>
      </c>
      <c r="I794" s="99">
        <v>18</v>
      </c>
      <c r="J794" s="99">
        <v>4</v>
      </c>
      <c r="K794" s="101" t="str">
        <f t="shared" si="148"/>
        <v>18x18x4</v>
      </c>
      <c r="L794" s="102">
        <f t="shared" si="149"/>
        <v>9.3237410071942453</v>
      </c>
      <c r="M794" s="113">
        <f t="shared" si="150"/>
        <v>9.3237410071942453</v>
      </c>
      <c r="N794" s="113">
        <f t="shared" si="151"/>
        <v>10</v>
      </c>
      <c r="O794" s="99">
        <v>8</v>
      </c>
      <c r="P794" s="113">
        <f t="shared" si="152"/>
        <v>10</v>
      </c>
      <c r="Q794" s="112">
        <f t="shared" si="153"/>
        <v>160</v>
      </c>
      <c r="R794" s="112" t="str">
        <f t="shared" si="154"/>
        <v>Oversize</v>
      </c>
      <c r="S794" s="99" t="str">
        <f t="shared" si="155"/>
        <v>Large bulky</v>
      </c>
      <c r="T794" s="116" t="s">
        <v>13692</v>
      </c>
      <c r="U794" s="116">
        <f t="shared" si="156"/>
        <v>0.75</v>
      </c>
      <c r="V794" s="116" t="s">
        <v>13583</v>
      </c>
      <c r="W794" s="116" t="s">
        <v>13690</v>
      </c>
      <c r="X794" s="116" t="s">
        <v>13691</v>
      </c>
      <c r="Y794" s="116">
        <v>2</v>
      </c>
      <c r="Z794" s="116">
        <v>3</v>
      </c>
      <c r="AA794" s="116">
        <v>1</v>
      </c>
      <c r="AB794" s="99"/>
      <c r="AC794" s="99"/>
      <c r="AD794" s="107">
        <v>54.371521126760463</v>
      </c>
      <c r="AE794" s="113">
        <f t="shared" si="157"/>
        <v>-8.1557281690140684</v>
      </c>
      <c r="AF794" s="116">
        <f>-IFERROR(IFERROR(VLOOKUP(ROUNDUP($Q794,0),'FBA FEES'!$L$2:$Q$203,MATCH($S794,'FBA FEES'!$L$2:$Q$2,0),FALSE),VLOOKUP(ROUNDUP($Q794,0),'FBA FEES'!$C$6:$F$123,MATCH($S794,'FBA FEES'!$C$6:$F$6,0),FALSE)),0)</f>
        <v>-13.03</v>
      </c>
      <c r="AG794" s="116">
        <v>-10</v>
      </c>
      <c r="AH794" s="113">
        <f t="shared" si="158"/>
        <v>-21.18572816901407</v>
      </c>
      <c r="AI794" s="116">
        <f>-IFERROR(IF($Y794=1,INDEX('[1]REMOVAL FEES'!$A$1:$C$22,MATCH(CONCATENATE("Standard Size",$P794),'[1]REMOVAL FEES'!$A$1:$A$22,0),3),IF($Y794=2,IF($P794&gt;10,(($P794-10)*1.06)+INDEX('[1]REMOVAL FEES'!$E$1:$G$22,MATCH(CONCATENATE("Large bulky, extra-large and special handling items",IF($P794&gt;=11,11,$P794)),'[1]REMOVAL FEES'!$E$1:$E$13,0),3),INDEX('[1]REMOVAL FEES'!$E$1:$G$22,MATCH(CONCATENATE("Large bulky, extra-large and special handling items",IF($P794&gt;=11,11,$P794)),'[1]REMOVAL FEES'!$E$1:$E$13,0),3))))*$AA794,FALSE)</f>
        <v>-10.039999999999999</v>
      </c>
      <c r="AJ794" s="107">
        <f t="shared" si="159"/>
        <v>-31.225728169014069</v>
      </c>
      <c r="AK794" s="107">
        <v>-17.479295774647891</v>
      </c>
      <c r="AL794" s="107">
        <v>-5.3476991364855833</v>
      </c>
      <c r="AM794" s="107">
        <f t="shared" si="160"/>
        <v>-22.826994911133475</v>
      </c>
      <c r="AN794" s="116">
        <f>(-IF($V794="Yes", IF($X794="Yes", VLOOKUP($W794, '[1]Storage Fees'!A:M, 13, FALSE), VLOOKUP($W794, '[1]Storage Fees'!A:M, 10, FALSE)), IF($X794="Yes", VLOOKUP($W794, '[1]Storage Fees'!A:M, 7, FALSE), VLOOKUP($W794, '[1]Storage Fees'!A:M, 4, FALSE))) * U794)*1.5</f>
        <v>-0.88875000000000004</v>
      </c>
    </row>
    <row r="795" spans="1:40" x14ac:dyDescent="0.25">
      <c r="A795" s="99">
        <v>723</v>
      </c>
      <c r="B795" s="99" t="s">
        <v>13699</v>
      </c>
      <c r="C795" s="99" t="s">
        <v>13655</v>
      </c>
      <c r="D795" s="99" t="s">
        <v>1365</v>
      </c>
      <c r="E795" s="99" t="s">
        <v>278</v>
      </c>
      <c r="F795" s="99" t="s">
        <v>1363</v>
      </c>
      <c r="G795" s="99" t="s">
        <v>13656</v>
      </c>
      <c r="H795" s="99">
        <v>22</v>
      </c>
      <c r="I795" s="99">
        <v>22</v>
      </c>
      <c r="J795" s="99">
        <v>4</v>
      </c>
      <c r="K795" s="101" t="str">
        <f t="shared" si="148"/>
        <v>22x22x4</v>
      </c>
      <c r="L795" s="102">
        <f t="shared" si="149"/>
        <v>13.928057553956835</v>
      </c>
      <c r="M795" s="113">
        <f t="shared" si="150"/>
        <v>13.928057553956835</v>
      </c>
      <c r="N795" s="113">
        <f t="shared" si="151"/>
        <v>14</v>
      </c>
      <c r="O795" s="99">
        <v>12</v>
      </c>
      <c r="P795" s="113">
        <f t="shared" si="152"/>
        <v>14</v>
      </c>
      <c r="Q795" s="112">
        <f t="shared" si="153"/>
        <v>224</v>
      </c>
      <c r="R795" s="112" t="str">
        <f t="shared" si="154"/>
        <v>Oversize</v>
      </c>
      <c r="S795" s="99" t="str">
        <f t="shared" si="155"/>
        <v>Large bulky</v>
      </c>
      <c r="T795" s="116" t="s">
        <v>13692</v>
      </c>
      <c r="U795" s="116">
        <f t="shared" si="156"/>
        <v>1.1203703703703705</v>
      </c>
      <c r="V795" s="116" t="s">
        <v>13583</v>
      </c>
      <c r="W795" s="116" t="s">
        <v>13690</v>
      </c>
      <c r="X795" s="116" t="s">
        <v>13691</v>
      </c>
      <c r="Y795" s="116">
        <v>2</v>
      </c>
      <c r="Z795" s="116">
        <v>3</v>
      </c>
      <c r="AA795" s="116">
        <v>1</v>
      </c>
      <c r="AB795" s="99"/>
      <c r="AC795" s="99"/>
      <c r="AD795" s="107">
        <v>82.909737704917859</v>
      </c>
      <c r="AE795" s="113">
        <f t="shared" si="157"/>
        <v>-12.436460655737678</v>
      </c>
      <c r="AF795" s="116">
        <f>-IFERROR(IFERROR(VLOOKUP(ROUNDUP($Q795,0),'FBA FEES'!$L$2:$Q$203,MATCH($S795,'FBA FEES'!$L$2:$Q$2,0),FALSE),VLOOKUP(ROUNDUP($Q795,0),'FBA FEES'!$C$6:$F$123,MATCH($S795,'FBA FEES'!$C$6:$F$6,0),FALSE)),0)</f>
        <v>-14.55</v>
      </c>
      <c r="AG795" s="116">
        <v>-10</v>
      </c>
      <c r="AH795" s="113">
        <f t="shared" si="158"/>
        <v>-26.98646065573768</v>
      </c>
      <c r="AI795" s="116">
        <f>-IFERROR(IF($Y795=1,INDEX('[1]REMOVAL FEES'!$A$1:$C$22,MATCH(CONCATENATE("Standard Size",$P795),'[1]REMOVAL FEES'!$A$1:$A$22,0),3),IF($Y795=2,IF($P795&gt;10,(($P795-10)*1.06)+INDEX('[1]REMOVAL FEES'!$E$1:$G$22,MATCH(CONCATENATE("Large bulky, extra-large and special handling items",IF($P795&gt;=11,11,$P795)),'[1]REMOVAL FEES'!$E$1:$E$13,0),3),INDEX('[1]REMOVAL FEES'!$E$1:$G$22,MATCH(CONCATENATE("Large bulky, extra-large and special handling items",IF($P795&gt;=11,11,$P795)),'[1]REMOVAL FEES'!$E$1:$E$13,0),3))))*$AA795,FALSE)</f>
        <v>-18.560000000000002</v>
      </c>
      <c r="AJ795" s="107">
        <f t="shared" si="159"/>
        <v>-45.546460655737683</v>
      </c>
      <c r="AK795" s="107">
        <v>-24.514836065573771</v>
      </c>
      <c r="AL795" s="107">
        <v>-7.7044364428831633</v>
      </c>
      <c r="AM795" s="107">
        <f t="shared" si="160"/>
        <v>-32.219272508456932</v>
      </c>
      <c r="AN795" s="116">
        <f>(-IF($V795="Yes", IF($X795="Yes", VLOOKUP($W795, '[1]Storage Fees'!A:M, 13, FALSE), VLOOKUP($W795, '[1]Storage Fees'!A:M, 10, FALSE)), IF($X795="Yes", VLOOKUP($W795, '[1]Storage Fees'!A:M, 7, FALSE), VLOOKUP($W795, '[1]Storage Fees'!A:M, 4, FALSE))) * U795)*1.5</f>
        <v>-1.327638888888889</v>
      </c>
    </row>
    <row r="796" spans="1:40" x14ac:dyDescent="0.25">
      <c r="A796" s="99">
        <v>724</v>
      </c>
      <c r="B796" s="99" t="s">
        <v>13699</v>
      </c>
      <c r="C796" s="99" t="s">
        <v>13655</v>
      </c>
      <c r="D796" s="99" t="s">
        <v>1369</v>
      </c>
      <c r="E796" s="99" t="s">
        <v>278</v>
      </c>
      <c r="F796" s="99" t="s">
        <v>1367</v>
      </c>
      <c r="G796" s="99" t="s">
        <v>13695</v>
      </c>
      <c r="H796" s="99">
        <v>28</v>
      </c>
      <c r="I796" s="99">
        <v>28</v>
      </c>
      <c r="J796" s="99">
        <v>4</v>
      </c>
      <c r="K796" s="101" t="str">
        <f t="shared" si="148"/>
        <v>28x28x4</v>
      </c>
      <c r="L796" s="102">
        <f t="shared" si="149"/>
        <v>22.561151079136689</v>
      </c>
      <c r="M796" s="113">
        <f t="shared" si="150"/>
        <v>22.561151079136689</v>
      </c>
      <c r="N796" s="113">
        <f t="shared" si="151"/>
        <v>23</v>
      </c>
      <c r="O796" s="99">
        <v>18</v>
      </c>
      <c r="P796" s="113">
        <f t="shared" si="152"/>
        <v>23</v>
      </c>
      <c r="Q796" s="112">
        <f t="shared" si="153"/>
        <v>368</v>
      </c>
      <c r="R796" s="112" t="str">
        <f t="shared" si="154"/>
        <v>Oversize</v>
      </c>
      <c r="S796" s="99" t="str">
        <f t="shared" si="155"/>
        <v>Large bulky</v>
      </c>
      <c r="T796" s="116" t="s">
        <v>13692</v>
      </c>
      <c r="U796" s="116">
        <f t="shared" si="156"/>
        <v>1.8148148148148149</v>
      </c>
      <c r="V796" s="116" t="s">
        <v>13583</v>
      </c>
      <c r="W796" s="116" t="s">
        <v>13690</v>
      </c>
      <c r="X796" s="116" t="s">
        <v>13691</v>
      </c>
      <c r="Y796" s="116">
        <v>2</v>
      </c>
      <c r="Z796" s="116">
        <v>3</v>
      </c>
      <c r="AA796" s="116">
        <v>1</v>
      </c>
      <c r="AB796" s="99"/>
      <c r="AC796" s="99"/>
      <c r="AD796" s="107">
        <v>99.645181818181641</v>
      </c>
      <c r="AE796" s="113">
        <f t="shared" si="157"/>
        <v>-14.946777272727246</v>
      </c>
      <c r="AF796" s="116">
        <f>-IFERROR(IFERROR(VLOOKUP(ROUNDUP($Q796,0),'FBA FEES'!$L$2:$Q$203,MATCH($S796,'FBA FEES'!$L$2:$Q$2,0),FALSE),VLOOKUP(ROUNDUP($Q796,0),'FBA FEES'!$C$6:$F$123,MATCH($S796,'FBA FEES'!$C$6:$F$6,0),FALSE)),0)</f>
        <v>-17.97</v>
      </c>
      <c r="AG796" s="116">
        <v>-10</v>
      </c>
      <c r="AH796" s="113">
        <f t="shared" si="158"/>
        <v>-32.916777272727245</v>
      </c>
      <c r="AI796" s="116">
        <f>-IFERROR(IF($Y796=1,INDEX('[1]REMOVAL FEES'!$A$1:$C$22,MATCH(CONCATENATE("Standard Size",$P796),'[1]REMOVAL FEES'!$A$1:$A$22,0),3),IF($Y796=2,IF($P796&gt;10,(($P796-10)*1.06)+INDEX('[1]REMOVAL FEES'!$E$1:$G$22,MATCH(CONCATENATE("Large bulky, extra-large and special handling items",IF($P796&gt;=11,11,$P796)),'[1]REMOVAL FEES'!$E$1:$E$13,0),3),INDEX('[1]REMOVAL FEES'!$E$1:$G$22,MATCH(CONCATENATE("Large bulky, extra-large and special handling items",IF($P796&gt;=11,11,$P796)),'[1]REMOVAL FEES'!$E$1:$E$13,0),3))))*$AA796,FALSE)</f>
        <v>-28.1</v>
      </c>
      <c r="AJ796" s="107">
        <f t="shared" si="159"/>
        <v>-61.016777272727246</v>
      </c>
      <c r="AK796" s="107">
        <v>-32.745272727272727</v>
      </c>
      <c r="AL796" s="107">
        <v>-9.182440780053275</v>
      </c>
      <c r="AM796" s="107">
        <f t="shared" si="160"/>
        <v>-41.927713507326004</v>
      </c>
      <c r="AN796" s="116">
        <f>(-IF($V796="Yes", IF($X796="Yes", VLOOKUP($W796, '[1]Storage Fees'!A:M, 13, FALSE), VLOOKUP($W796, '[1]Storage Fees'!A:M, 10, FALSE)), IF($X796="Yes", VLOOKUP($W796, '[1]Storage Fees'!A:M, 7, FALSE), VLOOKUP($W796, '[1]Storage Fees'!A:M, 4, FALSE))) * U796)*1.5</f>
        <v>-2.150555555555556</v>
      </c>
    </row>
    <row r="797" spans="1:40" x14ac:dyDescent="0.25">
      <c r="A797" s="99">
        <v>725</v>
      </c>
      <c r="B797" s="99" t="s">
        <v>13699</v>
      </c>
      <c r="C797" s="99" t="s">
        <v>13655</v>
      </c>
      <c r="D797" s="99" t="s">
        <v>1373</v>
      </c>
      <c r="E797" s="99" t="s">
        <v>278</v>
      </c>
      <c r="F797" s="99" t="s">
        <v>1371</v>
      </c>
      <c r="G797" s="99" t="s">
        <v>13695</v>
      </c>
      <c r="H797" s="99">
        <v>30</v>
      </c>
      <c r="I797" s="99">
        <v>30</v>
      </c>
      <c r="J797" s="99">
        <v>4</v>
      </c>
      <c r="K797" s="101" t="str">
        <f t="shared" si="148"/>
        <v>30x30x4</v>
      </c>
      <c r="L797" s="102">
        <f t="shared" si="149"/>
        <v>25.899280575539567</v>
      </c>
      <c r="M797" s="113">
        <f t="shared" si="150"/>
        <v>25.899280575539567</v>
      </c>
      <c r="N797" s="113">
        <f t="shared" si="151"/>
        <v>26</v>
      </c>
      <c r="O797" s="99">
        <v>19</v>
      </c>
      <c r="P797" s="113">
        <f t="shared" si="152"/>
        <v>26</v>
      </c>
      <c r="Q797" s="112">
        <f t="shared" si="153"/>
        <v>416</v>
      </c>
      <c r="R797" s="112" t="str">
        <f t="shared" si="154"/>
        <v>Oversize</v>
      </c>
      <c r="S797" s="99" t="str">
        <f t="shared" si="155"/>
        <v>Large bulky</v>
      </c>
      <c r="T797" s="116" t="s">
        <v>13692</v>
      </c>
      <c r="U797" s="116">
        <f t="shared" si="156"/>
        <v>2.0833333333333335</v>
      </c>
      <c r="V797" s="116" t="s">
        <v>13583</v>
      </c>
      <c r="W797" s="116" t="s">
        <v>13690</v>
      </c>
      <c r="X797" s="116" t="s">
        <v>13691</v>
      </c>
      <c r="Y797" s="116">
        <v>2</v>
      </c>
      <c r="Z797" s="116">
        <v>3</v>
      </c>
      <c r="AA797" s="116">
        <v>1</v>
      </c>
      <c r="AB797" s="99"/>
      <c r="AC797" s="99"/>
      <c r="AD797" s="107">
        <v>115.3594476190475</v>
      </c>
      <c r="AE797" s="113">
        <f t="shared" si="157"/>
        <v>-17.303917142857124</v>
      </c>
      <c r="AF797" s="116">
        <f>-IFERROR(IFERROR(VLOOKUP(ROUNDUP($Q797,0),'FBA FEES'!$L$2:$Q$203,MATCH($S797,'FBA FEES'!$L$2:$Q$2,0),FALSE),VLOOKUP(ROUNDUP($Q797,0),'FBA FEES'!$C$6:$F$123,MATCH($S797,'FBA FEES'!$C$6:$F$6,0),FALSE)),0)</f>
        <v>-19.11</v>
      </c>
      <c r="AG797" s="116">
        <v>-10</v>
      </c>
      <c r="AH797" s="113">
        <f t="shared" si="158"/>
        <v>-36.413917142857123</v>
      </c>
      <c r="AI797" s="116">
        <f>-IFERROR(IF($Y797=1,INDEX('[1]REMOVAL FEES'!$A$1:$C$22,MATCH(CONCATENATE("Standard Size",$P797),'[1]REMOVAL FEES'!$A$1:$A$22,0),3),IF($Y797=2,IF($P797&gt;10,(($P797-10)*1.06)+INDEX('[1]REMOVAL FEES'!$E$1:$G$22,MATCH(CONCATENATE("Large bulky, extra-large and special handling items",IF($P797&gt;=11,11,$P797)),'[1]REMOVAL FEES'!$E$1:$E$13,0),3),INDEX('[1]REMOVAL FEES'!$E$1:$G$22,MATCH(CONCATENATE("Large bulky, extra-large and special handling items",IF($P797&gt;=11,11,$P797)),'[1]REMOVAL FEES'!$E$1:$E$13,0),3))))*$AA797,FALSE)</f>
        <v>-31.28</v>
      </c>
      <c r="AJ797" s="107">
        <f t="shared" si="159"/>
        <v>-67.693917142857117</v>
      </c>
      <c r="AK797" s="107">
        <v>-37.492476190476197</v>
      </c>
      <c r="AL797" s="107">
        <v>-11.180794602399359</v>
      </c>
      <c r="AM797" s="107">
        <f t="shared" si="160"/>
        <v>-48.673270792875556</v>
      </c>
      <c r="AN797" s="116">
        <f>(-IF($V797="Yes", IF($X797="Yes", VLOOKUP($W797, '[1]Storage Fees'!A:M, 13, FALSE), VLOOKUP($W797, '[1]Storage Fees'!A:M, 10, FALSE)), IF($X797="Yes", VLOOKUP($W797, '[1]Storage Fees'!A:M, 7, FALSE), VLOOKUP($W797, '[1]Storage Fees'!A:M, 4, FALSE))) * U797)*1.5</f>
        <v>-2.46875</v>
      </c>
    </row>
    <row r="798" spans="1:40" x14ac:dyDescent="0.25">
      <c r="A798" s="99">
        <v>726</v>
      </c>
      <c r="B798" s="99" t="s">
        <v>13699</v>
      </c>
      <c r="C798" s="99" t="s">
        <v>13655</v>
      </c>
      <c r="D798" s="99" t="s">
        <v>1377</v>
      </c>
      <c r="E798" s="99" t="s">
        <v>278</v>
      </c>
      <c r="F798" s="99" t="s">
        <v>1375</v>
      </c>
      <c r="G798" s="99" t="s">
        <v>13695</v>
      </c>
      <c r="H798" s="99">
        <v>33</v>
      </c>
      <c r="I798" s="99">
        <v>33</v>
      </c>
      <c r="J798" s="99">
        <v>3</v>
      </c>
      <c r="K798" s="101" t="str">
        <f t="shared" si="148"/>
        <v>33x33x3</v>
      </c>
      <c r="L798" s="102">
        <f t="shared" si="149"/>
        <v>23.503597122302157</v>
      </c>
      <c r="M798" s="113">
        <f t="shared" si="150"/>
        <v>23.503597122302157</v>
      </c>
      <c r="N798" s="113">
        <f t="shared" si="151"/>
        <v>24</v>
      </c>
      <c r="O798" s="99">
        <v>22</v>
      </c>
      <c r="P798" s="113">
        <f t="shared" si="152"/>
        <v>24</v>
      </c>
      <c r="Q798" s="112">
        <f t="shared" si="153"/>
        <v>384</v>
      </c>
      <c r="R798" s="112" t="str">
        <f t="shared" si="154"/>
        <v>Oversize</v>
      </c>
      <c r="S798" s="99" t="str">
        <f t="shared" si="155"/>
        <v>Large bulky</v>
      </c>
      <c r="T798" s="116" t="s">
        <v>13692</v>
      </c>
      <c r="U798" s="116">
        <f t="shared" si="156"/>
        <v>1.890625</v>
      </c>
      <c r="V798" s="116" t="s">
        <v>13583</v>
      </c>
      <c r="W798" s="116" t="s">
        <v>13690</v>
      </c>
      <c r="X798" s="116" t="s">
        <v>13691</v>
      </c>
      <c r="Y798" s="116">
        <v>2</v>
      </c>
      <c r="Z798" s="116">
        <v>3</v>
      </c>
      <c r="AA798" s="116">
        <v>1</v>
      </c>
      <c r="AB798" s="99"/>
      <c r="AC798" s="99"/>
      <c r="AD798" s="107">
        <v>141.5516129032257</v>
      </c>
      <c r="AE798" s="113">
        <f t="shared" si="157"/>
        <v>-21.232741935483855</v>
      </c>
      <c r="AF798" s="116">
        <f>-IFERROR(IFERROR(VLOOKUP(ROUNDUP($Q798,0),'FBA FEES'!$L$2:$Q$203,MATCH($S798,'FBA FEES'!$L$2:$Q$2,0),FALSE),VLOOKUP(ROUNDUP($Q798,0),'FBA FEES'!$C$6:$F$123,MATCH($S798,'FBA FEES'!$C$6:$F$6,0),FALSE)),0)</f>
        <v>-18.350000000000001</v>
      </c>
      <c r="AG798" s="116">
        <v>-10</v>
      </c>
      <c r="AH798" s="113">
        <f t="shared" si="158"/>
        <v>-39.582741935483853</v>
      </c>
      <c r="AI798" s="116">
        <f>-IFERROR(IF($Y798=1,INDEX('[1]REMOVAL FEES'!$A$1:$C$22,MATCH(CONCATENATE("Standard Size",$P798),'[1]REMOVAL FEES'!$A$1:$A$22,0),3),IF($Y798=2,IF($P798&gt;10,(($P798-10)*1.06)+INDEX('[1]REMOVAL FEES'!$E$1:$G$22,MATCH(CONCATENATE("Large bulky, extra-large and special handling items",IF($P798&gt;=11,11,$P798)),'[1]REMOVAL FEES'!$E$1:$E$13,0),3),INDEX('[1]REMOVAL FEES'!$E$1:$G$22,MATCH(CONCATENATE("Large bulky, extra-large and special handling items",IF($P798&gt;=11,11,$P798)),'[1]REMOVAL FEES'!$E$1:$E$13,0),3))))*$AA798,FALSE)</f>
        <v>-29.16</v>
      </c>
      <c r="AJ798" s="107">
        <f t="shared" si="159"/>
        <v>-68.742741935483849</v>
      </c>
      <c r="AK798" s="107">
        <v>-41.62500000000005</v>
      </c>
      <c r="AL798" s="107">
        <v>-19.199026781178219</v>
      </c>
      <c r="AM798" s="107">
        <f t="shared" si="160"/>
        <v>-60.824026781178269</v>
      </c>
      <c r="AN798" s="116">
        <f>(-IF($V798="Yes", IF($X798="Yes", VLOOKUP($W798, '[1]Storage Fees'!A:M, 13, FALSE), VLOOKUP($W798, '[1]Storage Fees'!A:M, 10, FALSE)), IF($X798="Yes", VLOOKUP($W798, '[1]Storage Fees'!A:M, 7, FALSE), VLOOKUP($W798, '[1]Storage Fees'!A:M, 4, FALSE))) * U798)*1.5</f>
        <v>-2.2403906249999999</v>
      </c>
    </row>
    <row r="799" spans="1:40" x14ac:dyDescent="0.25">
      <c r="A799" s="99">
        <v>727</v>
      </c>
      <c r="B799" s="99" t="s">
        <v>13699</v>
      </c>
      <c r="C799" s="99" t="s">
        <v>13655</v>
      </c>
      <c r="D799" s="99" t="s">
        <v>1381</v>
      </c>
      <c r="E799" s="99" t="s">
        <v>278</v>
      </c>
      <c r="F799" s="99" t="s">
        <v>1379</v>
      </c>
      <c r="G799" s="99" t="s">
        <v>13695</v>
      </c>
      <c r="H799" s="99">
        <v>38</v>
      </c>
      <c r="I799" s="99">
        <v>38</v>
      </c>
      <c r="J799" s="99">
        <v>3</v>
      </c>
      <c r="K799" s="101" t="str">
        <f t="shared" si="148"/>
        <v>38x38x3</v>
      </c>
      <c r="L799" s="102">
        <f t="shared" si="149"/>
        <v>31.165467625899282</v>
      </c>
      <c r="M799" s="113">
        <f t="shared" si="150"/>
        <v>31.165467625899282</v>
      </c>
      <c r="N799" s="113">
        <f t="shared" si="151"/>
        <v>32</v>
      </c>
      <c r="O799" s="99">
        <v>27</v>
      </c>
      <c r="P799" s="113">
        <f t="shared" si="152"/>
        <v>32</v>
      </c>
      <c r="Q799" s="112">
        <f t="shared" si="153"/>
        <v>512</v>
      </c>
      <c r="R799" s="112" t="str">
        <f t="shared" si="154"/>
        <v>Oversize</v>
      </c>
      <c r="S799" s="99" t="str">
        <f t="shared" si="155"/>
        <v>Extra-large 0 to 50 lb</v>
      </c>
      <c r="T799" s="116" t="s">
        <v>13706</v>
      </c>
      <c r="U799" s="116">
        <f t="shared" si="156"/>
        <v>2.5069444444444446</v>
      </c>
      <c r="V799" s="116" t="s">
        <v>13583</v>
      </c>
      <c r="W799" s="116" t="s">
        <v>13690</v>
      </c>
      <c r="X799" s="116" t="s">
        <v>13691</v>
      </c>
      <c r="Y799" s="116">
        <v>2</v>
      </c>
      <c r="Z799" s="116">
        <v>4</v>
      </c>
      <c r="AA799" s="116">
        <v>1</v>
      </c>
      <c r="AB799" s="99"/>
      <c r="AC799" s="99"/>
      <c r="AD799" s="107">
        <v>174.12953488372079</v>
      </c>
      <c r="AE799" s="113">
        <f t="shared" si="157"/>
        <v>-26.11943023255812</v>
      </c>
      <c r="AF799" s="116">
        <f>-IFERROR(IFERROR(VLOOKUP(ROUNDUP($Q799,0),'FBA FEES'!$L$2:$Q$203,MATCH($S799,'FBA FEES'!$L$2:$Q$2,0),FALSE),VLOOKUP(ROUNDUP($Q799,0),'FBA FEES'!$C$6:$F$123,MATCH($S799,'FBA FEES'!$C$6:$F$6,0),FALSE)),0)</f>
        <v>-38.11</v>
      </c>
      <c r="AG799" s="116">
        <v>-10</v>
      </c>
      <c r="AH799" s="113">
        <f t="shared" si="158"/>
        <v>-64.229430232558116</v>
      </c>
      <c r="AI799" s="116">
        <f>-IFERROR(IF($Y799=1,INDEX('[1]REMOVAL FEES'!$A$1:$C$22,MATCH(CONCATENATE("Standard Size",$P799),'[1]REMOVAL FEES'!$A$1:$A$22,0),3),IF($Y799=2,IF($P799&gt;10,(($P799-10)*1.06)+INDEX('[1]REMOVAL FEES'!$E$1:$G$22,MATCH(CONCATENATE("Large bulky, extra-large and special handling items",IF($P799&gt;=11,11,$P799)),'[1]REMOVAL FEES'!$E$1:$E$13,0),3),INDEX('[1]REMOVAL FEES'!$E$1:$G$22,MATCH(CONCATENATE("Large bulky, extra-large and special handling items",IF($P799&gt;=11,11,$P799)),'[1]REMOVAL FEES'!$E$1:$E$13,0),3))))*$AA799,FALSE)</f>
        <v>-37.64</v>
      </c>
      <c r="AJ799" s="107">
        <f t="shared" si="159"/>
        <v>-101.86943023255812</v>
      </c>
      <c r="AK799" s="107">
        <v>-67.650000000000048</v>
      </c>
      <c r="AL799" s="107">
        <v>-22.107977311419141</v>
      </c>
      <c r="AM799" s="107">
        <f t="shared" si="160"/>
        <v>-89.757977311419182</v>
      </c>
      <c r="AN799" s="116">
        <f>(-IF($V799="Yes", IF($X799="Yes", VLOOKUP($W799, '[1]Storage Fees'!A:M, 13, FALSE), VLOOKUP($W799, '[1]Storage Fees'!A:M, 10, FALSE)), IF($X799="Yes", VLOOKUP($W799, '[1]Storage Fees'!A:M, 7, FALSE), VLOOKUP($W799, '[1]Storage Fees'!A:M, 4, FALSE))) * U799)*1.5</f>
        <v>-2.9707291666666671</v>
      </c>
    </row>
    <row r="800" spans="1:40" x14ac:dyDescent="0.25">
      <c r="A800" s="99">
        <v>728</v>
      </c>
      <c r="B800" s="99"/>
      <c r="C800" s="99" t="s">
        <v>13655</v>
      </c>
      <c r="D800" s="99"/>
      <c r="E800" s="99" t="s">
        <v>201</v>
      </c>
      <c r="F800" s="99" t="s">
        <v>2179</v>
      </c>
      <c r="G800" s="99" t="s">
        <v>13656</v>
      </c>
      <c r="H800" s="99">
        <v>0</v>
      </c>
      <c r="I800" s="99">
        <v>0</v>
      </c>
      <c r="J800" s="99">
        <v>0</v>
      </c>
      <c r="K800" s="101" t="str">
        <f t="shared" si="148"/>
        <v>0x0x0</v>
      </c>
      <c r="L800" s="102">
        <f t="shared" si="149"/>
        <v>0</v>
      </c>
      <c r="M800" s="113">
        <f t="shared" si="150"/>
        <v>0</v>
      </c>
      <c r="N800" s="113">
        <f t="shared" si="151"/>
        <v>0</v>
      </c>
      <c r="O800" s="99">
        <v>0</v>
      </c>
      <c r="P800" s="113">
        <f t="shared" si="152"/>
        <v>0</v>
      </c>
      <c r="Q800" s="112">
        <f t="shared" si="153"/>
        <v>0</v>
      </c>
      <c r="R800" s="112" t="str">
        <f t="shared" si="154"/>
        <v>Standard-size</v>
      </c>
      <c r="S800" s="99" t="str">
        <f t="shared" si="155"/>
        <v>Small standard-size</v>
      </c>
      <c r="T800" s="116" t="s">
        <v>13696</v>
      </c>
      <c r="U800" s="116">
        <f t="shared" si="156"/>
        <v>0</v>
      </c>
      <c r="V800" s="116" t="s">
        <v>13583</v>
      </c>
      <c r="W800" s="116" t="s">
        <v>13690</v>
      </c>
      <c r="X800" s="99" t="s">
        <v>13583</v>
      </c>
      <c r="Y800" s="99">
        <v>1</v>
      </c>
      <c r="Z800" s="99">
        <v>1</v>
      </c>
      <c r="AA800" s="99">
        <v>1</v>
      </c>
      <c r="AB800" s="99"/>
      <c r="AC800" s="99"/>
      <c r="AD800" s="107">
        <v>45.287272727272608</v>
      </c>
      <c r="AE800" s="113">
        <f t="shared" si="157"/>
        <v>-6.7930909090908909</v>
      </c>
      <c r="AF800" s="116">
        <f>-IFERROR(IFERROR(VLOOKUP(ROUNDUP($Q800,0),'FBA FEES'!$L$2:$Q$203,MATCH($S800,'FBA FEES'!$L$2:$Q$2,0),FALSE),VLOOKUP(ROUNDUP($Q800,0),'FBA FEES'!$C$6:$F$123,MATCH($S800,'FBA FEES'!$C$6:$F$6,0),FALSE)),0)</f>
        <v>0</v>
      </c>
      <c r="AG800" s="116">
        <v>-7</v>
      </c>
      <c r="AH800" s="113">
        <f t="shared" si="158"/>
        <v>-6.7930909090908909</v>
      </c>
      <c r="AI800" s="116">
        <f>-IFERROR(IF($Y800=1,INDEX('[1]REMOVAL FEES'!$A$1:$C$22,MATCH(CONCATENATE("Standard Size",$P800),'[1]REMOVAL FEES'!$A$1:$A$22,0),3),IF($Y800=2,IF($P800&gt;10,(($P800-10)*1.06)+INDEX('[1]REMOVAL FEES'!$E$1:$G$22,MATCH(CONCATENATE("Large bulky, extra-large and special handling items",IF($P800&gt;=11,11,$P800)),'[1]REMOVAL FEES'!$E$1:$E$13,0),3),INDEX('[1]REMOVAL FEES'!$E$1:$G$22,MATCH(CONCATENATE("Large bulky, extra-large and special handling items",IF($P800&gt;=11,11,$P800)),'[1]REMOVAL FEES'!$E$1:$E$13,0),3))))*$AA800,FALSE)</f>
        <v>0</v>
      </c>
      <c r="AJ800" s="107">
        <f t="shared" si="159"/>
        <v>-6.7930909090908909</v>
      </c>
      <c r="AK800" s="107">
        <v>-9.39218181818182</v>
      </c>
      <c r="AL800" s="107">
        <v>-6.8820794299926291</v>
      </c>
      <c r="AM800" s="107">
        <f t="shared" si="160"/>
        <v>-16.274261248174447</v>
      </c>
      <c r="AN800" s="116">
        <f>(-IF($V800="Yes", IF($X800="Yes", VLOOKUP($W800, '[1]Storage Fees'!A:M, 13, FALSE), VLOOKUP($W800, '[1]Storage Fees'!A:M, 10, FALSE)), IF($X800="Yes", VLOOKUP($W800, '[1]Storage Fees'!A:M, 7, FALSE), VLOOKUP($W800, '[1]Storage Fees'!A:M, 4, FALSE))) * U800)*1.5</f>
        <v>0</v>
      </c>
    </row>
    <row r="801" spans="1:40" x14ac:dyDescent="0.25">
      <c r="A801" s="99">
        <v>729</v>
      </c>
      <c r="B801" s="99"/>
      <c r="C801" s="99" t="s">
        <v>13655</v>
      </c>
      <c r="D801" s="99"/>
      <c r="E801" s="99" t="s">
        <v>201</v>
      </c>
      <c r="F801" s="99" t="s">
        <v>2181</v>
      </c>
      <c r="G801" s="99" t="s">
        <v>13695</v>
      </c>
      <c r="H801" s="99">
        <v>0</v>
      </c>
      <c r="I801" s="99">
        <v>0</v>
      </c>
      <c r="J801" s="99">
        <v>0</v>
      </c>
      <c r="K801" s="101" t="str">
        <f t="shared" si="148"/>
        <v>0x0x0</v>
      </c>
      <c r="L801" s="102">
        <f t="shared" si="149"/>
        <v>0</v>
      </c>
      <c r="M801" s="113">
        <f t="shared" si="150"/>
        <v>0</v>
      </c>
      <c r="N801" s="113">
        <f t="shared" si="151"/>
        <v>0</v>
      </c>
      <c r="O801" s="99">
        <v>0</v>
      </c>
      <c r="P801" s="113">
        <f t="shared" si="152"/>
        <v>0</v>
      </c>
      <c r="Q801" s="112">
        <f t="shared" si="153"/>
        <v>0</v>
      </c>
      <c r="R801" s="112" t="str">
        <f t="shared" si="154"/>
        <v>Standard-size</v>
      </c>
      <c r="S801" s="99" t="str">
        <f t="shared" si="155"/>
        <v>Small standard-size</v>
      </c>
      <c r="T801" s="116" t="s">
        <v>13696</v>
      </c>
      <c r="U801" s="116">
        <f t="shared" si="156"/>
        <v>0</v>
      </c>
      <c r="V801" s="116" t="s">
        <v>13583</v>
      </c>
      <c r="W801" s="116" t="s">
        <v>13690</v>
      </c>
      <c r="X801" s="99" t="s">
        <v>13583</v>
      </c>
      <c r="Y801" s="99">
        <v>1</v>
      </c>
      <c r="Z801" s="99">
        <v>1</v>
      </c>
      <c r="AA801" s="99">
        <v>1</v>
      </c>
      <c r="AB801" s="99"/>
      <c r="AC801" s="99"/>
      <c r="AD801" s="107">
        <v>127.45555555555551</v>
      </c>
      <c r="AE801" s="113">
        <f t="shared" si="157"/>
        <v>-19.118333333333325</v>
      </c>
      <c r="AF801" s="116">
        <f>-IFERROR(IFERROR(VLOOKUP(ROUNDUP($Q801,0),'FBA FEES'!$L$2:$Q$203,MATCH($S801,'FBA FEES'!$L$2:$Q$2,0),FALSE),VLOOKUP(ROUNDUP($Q801,0),'FBA FEES'!$C$6:$F$123,MATCH($S801,'FBA FEES'!$C$6:$F$6,0),FALSE)),0)</f>
        <v>0</v>
      </c>
      <c r="AG801" s="116">
        <v>-7</v>
      </c>
      <c r="AH801" s="113">
        <f t="shared" si="158"/>
        <v>-19.118333333333325</v>
      </c>
      <c r="AI801" s="116">
        <f>-IFERROR(IF($Y801=1,INDEX('[1]REMOVAL FEES'!$A$1:$C$22,MATCH(CONCATENATE("Standard Size",$P801),'[1]REMOVAL FEES'!$A$1:$A$22,0),3),IF($Y801=2,IF($P801&gt;10,(($P801-10)*1.06)+INDEX('[1]REMOVAL FEES'!$E$1:$G$22,MATCH(CONCATENATE("Large bulky, extra-large and special handling items",IF($P801&gt;=11,11,$P801)),'[1]REMOVAL FEES'!$E$1:$E$13,0),3),INDEX('[1]REMOVAL FEES'!$E$1:$G$22,MATCH(CONCATENATE("Large bulky, extra-large and special handling items",IF($P801&gt;=11,11,$P801)),'[1]REMOVAL FEES'!$E$1:$E$13,0),3))))*$AA801,FALSE)</f>
        <v>0</v>
      </c>
      <c r="AJ801" s="107">
        <f t="shared" si="159"/>
        <v>-19.118333333333325</v>
      </c>
      <c r="AK801" s="107">
        <v>-43.163333333333341</v>
      </c>
      <c r="AL801" s="107">
        <v>-15.24711111111111</v>
      </c>
      <c r="AM801" s="107">
        <f t="shared" si="160"/>
        <v>-58.410444444444451</v>
      </c>
      <c r="AN801" s="116">
        <f>(-IF($V801="Yes", IF($X801="Yes", VLOOKUP($W801, '[1]Storage Fees'!A:M, 13, FALSE), VLOOKUP($W801, '[1]Storage Fees'!A:M, 10, FALSE)), IF($X801="Yes", VLOOKUP($W801, '[1]Storage Fees'!A:M, 7, FALSE), VLOOKUP($W801, '[1]Storage Fees'!A:M, 4, FALSE))) * U801)*1.5</f>
        <v>0</v>
      </c>
    </row>
    <row r="802" spans="1:40" x14ac:dyDescent="0.25">
      <c r="A802" s="99">
        <v>730</v>
      </c>
      <c r="B802" s="99"/>
      <c r="C802" s="99" t="s">
        <v>13655</v>
      </c>
      <c r="D802" s="99"/>
      <c r="E802" s="99" t="s">
        <v>201</v>
      </c>
      <c r="F802" s="99" t="s">
        <v>2183</v>
      </c>
      <c r="G802" s="99" t="s">
        <v>13695</v>
      </c>
      <c r="H802" s="99">
        <v>0</v>
      </c>
      <c r="I802" s="99">
        <v>0</v>
      </c>
      <c r="J802" s="99">
        <v>0</v>
      </c>
      <c r="K802" s="101" t="str">
        <f t="shared" si="148"/>
        <v>0x0x0</v>
      </c>
      <c r="L802" s="102">
        <f t="shared" si="149"/>
        <v>0</v>
      </c>
      <c r="M802" s="113">
        <f t="shared" si="150"/>
        <v>0</v>
      </c>
      <c r="N802" s="113">
        <f t="shared" si="151"/>
        <v>0</v>
      </c>
      <c r="O802" s="99">
        <v>0</v>
      </c>
      <c r="P802" s="113">
        <f t="shared" si="152"/>
        <v>0</v>
      </c>
      <c r="Q802" s="112">
        <f t="shared" si="153"/>
        <v>0</v>
      </c>
      <c r="R802" s="112" t="str">
        <f t="shared" si="154"/>
        <v>Standard-size</v>
      </c>
      <c r="S802" s="99" t="str">
        <f t="shared" si="155"/>
        <v>Small standard-size</v>
      </c>
      <c r="T802" s="116" t="s">
        <v>13696</v>
      </c>
      <c r="U802" s="116">
        <f t="shared" si="156"/>
        <v>0</v>
      </c>
      <c r="V802" s="116" t="s">
        <v>13583</v>
      </c>
      <c r="W802" s="116" t="s">
        <v>13690</v>
      </c>
      <c r="X802" s="99" t="s">
        <v>13583</v>
      </c>
      <c r="Y802" s="99">
        <v>1</v>
      </c>
      <c r="Z802" s="99">
        <v>1</v>
      </c>
      <c r="AA802" s="99">
        <v>1</v>
      </c>
      <c r="AB802" s="99"/>
      <c r="AC802" s="99"/>
      <c r="AD802" s="107">
        <v>59.19</v>
      </c>
      <c r="AE802" s="113">
        <f t="shared" si="157"/>
        <v>-8.8784999999999989</v>
      </c>
      <c r="AF802" s="116">
        <f>-IFERROR(IFERROR(VLOOKUP(ROUNDUP($Q802,0),'FBA FEES'!$L$2:$Q$203,MATCH($S802,'FBA FEES'!$L$2:$Q$2,0),FALSE),VLOOKUP(ROUNDUP($Q802,0),'FBA FEES'!$C$6:$F$123,MATCH($S802,'FBA FEES'!$C$6:$F$6,0),FALSE)),0)</f>
        <v>0</v>
      </c>
      <c r="AG802" s="116">
        <v>-7</v>
      </c>
      <c r="AH802" s="113">
        <f t="shared" si="158"/>
        <v>-8.8784999999999989</v>
      </c>
      <c r="AI802" s="116">
        <f>-IFERROR(IF($Y802=1,INDEX('[1]REMOVAL FEES'!$A$1:$C$22,MATCH(CONCATENATE("Standard Size",$P802),'[1]REMOVAL FEES'!$A$1:$A$22,0),3),IF($Y802=2,IF($P802&gt;10,(($P802-10)*1.06)+INDEX('[1]REMOVAL FEES'!$E$1:$G$22,MATCH(CONCATENATE("Large bulky, extra-large and special handling items",IF($P802&gt;=11,11,$P802)),'[1]REMOVAL FEES'!$E$1:$E$13,0),3),INDEX('[1]REMOVAL FEES'!$E$1:$G$22,MATCH(CONCATENATE("Large bulky, extra-large and special handling items",IF($P802&gt;=11,11,$P802)),'[1]REMOVAL FEES'!$E$1:$E$13,0),3))))*$AA802,FALSE)</f>
        <v>0</v>
      </c>
      <c r="AJ802" s="107">
        <f t="shared" si="159"/>
        <v>-8.8784999999999989</v>
      </c>
      <c r="AK802" s="107">
        <v>-15.81</v>
      </c>
      <c r="AL802" s="107">
        <v>-8.2449999999999992</v>
      </c>
      <c r="AM802" s="107">
        <f t="shared" si="160"/>
        <v>-24.055</v>
      </c>
      <c r="AN802" s="116">
        <f>(-IF($V802="Yes", IF($X802="Yes", VLOOKUP($W802, '[1]Storage Fees'!A:M, 13, FALSE), VLOOKUP($W802, '[1]Storage Fees'!A:M, 10, FALSE)), IF($X802="Yes", VLOOKUP($W802, '[1]Storage Fees'!A:M, 7, FALSE), VLOOKUP($W802, '[1]Storage Fees'!A:M, 4, FALSE))) * U802)*1.5</f>
        <v>0</v>
      </c>
    </row>
    <row r="803" spans="1:40" x14ac:dyDescent="0.25">
      <c r="A803" s="99">
        <v>731</v>
      </c>
      <c r="B803" s="99"/>
      <c r="C803" s="99" t="s">
        <v>13655</v>
      </c>
      <c r="D803" s="99"/>
      <c r="E803" s="99" t="s">
        <v>201</v>
      </c>
      <c r="F803" s="99" t="s">
        <v>2185</v>
      </c>
      <c r="G803" s="99" t="s">
        <v>13695</v>
      </c>
      <c r="H803" s="99">
        <v>0</v>
      </c>
      <c r="I803" s="99">
        <v>0</v>
      </c>
      <c r="J803" s="99">
        <v>0</v>
      </c>
      <c r="K803" s="101" t="str">
        <f t="shared" si="148"/>
        <v>0x0x0</v>
      </c>
      <c r="L803" s="102">
        <f t="shared" si="149"/>
        <v>0</v>
      </c>
      <c r="M803" s="113">
        <f t="shared" si="150"/>
        <v>0</v>
      </c>
      <c r="N803" s="113">
        <f t="shared" si="151"/>
        <v>0</v>
      </c>
      <c r="O803" s="99">
        <v>0</v>
      </c>
      <c r="P803" s="113">
        <f t="shared" si="152"/>
        <v>0</v>
      </c>
      <c r="Q803" s="112">
        <f t="shared" si="153"/>
        <v>0</v>
      </c>
      <c r="R803" s="112" t="str">
        <f t="shared" si="154"/>
        <v>Standard-size</v>
      </c>
      <c r="S803" s="99" t="str">
        <f t="shared" si="155"/>
        <v>Small standard-size</v>
      </c>
      <c r="T803" s="116" t="s">
        <v>13696</v>
      </c>
      <c r="U803" s="116">
        <f t="shared" si="156"/>
        <v>0</v>
      </c>
      <c r="V803" s="116" t="s">
        <v>13583</v>
      </c>
      <c r="W803" s="116" t="s">
        <v>13690</v>
      </c>
      <c r="X803" s="99" t="s">
        <v>13583</v>
      </c>
      <c r="Y803" s="99">
        <v>1</v>
      </c>
      <c r="Z803" s="99">
        <v>1</v>
      </c>
      <c r="AA803" s="99">
        <v>1</v>
      </c>
      <c r="AB803" s="99"/>
      <c r="AC803" s="99"/>
      <c r="AD803" s="107">
        <v>0</v>
      </c>
      <c r="AE803" s="113">
        <f t="shared" si="157"/>
        <v>0</v>
      </c>
      <c r="AF803" s="116">
        <f>-IFERROR(IFERROR(VLOOKUP(ROUNDUP($Q803,0),'FBA FEES'!$L$2:$Q$203,MATCH($S803,'FBA FEES'!$L$2:$Q$2,0),FALSE),VLOOKUP(ROUNDUP($Q803,0),'FBA FEES'!$C$6:$F$123,MATCH($S803,'FBA FEES'!$C$6:$F$6,0),FALSE)),0)</f>
        <v>0</v>
      </c>
      <c r="AG803" s="116">
        <v>-7</v>
      </c>
      <c r="AH803" s="113">
        <f t="shared" si="158"/>
        <v>0</v>
      </c>
      <c r="AI803" s="116">
        <f>-IFERROR(IF($Y803=1,INDEX('[1]REMOVAL FEES'!$A$1:$C$22,MATCH(CONCATENATE("Standard Size",$P803),'[1]REMOVAL FEES'!$A$1:$A$22,0),3),IF($Y803=2,IF($P803&gt;10,(($P803-10)*1.06)+INDEX('[1]REMOVAL FEES'!$E$1:$G$22,MATCH(CONCATENATE("Large bulky, extra-large and special handling items",IF($P803&gt;=11,11,$P803)),'[1]REMOVAL FEES'!$E$1:$E$13,0),3),INDEX('[1]REMOVAL FEES'!$E$1:$G$22,MATCH(CONCATENATE("Large bulky, extra-large and special handling items",IF($P803&gt;=11,11,$P803)),'[1]REMOVAL FEES'!$E$1:$E$13,0),3))))*$AA803,FALSE)</f>
        <v>0</v>
      </c>
      <c r="AJ803" s="107">
        <f t="shared" si="159"/>
        <v>0</v>
      </c>
      <c r="AK803" s="107">
        <v>0</v>
      </c>
      <c r="AL803" s="107">
        <v>0</v>
      </c>
      <c r="AM803" s="107">
        <f t="shared" si="160"/>
        <v>0</v>
      </c>
      <c r="AN803" s="116">
        <f>(-IF($V803="Yes", IF($X803="Yes", VLOOKUP($W803, '[1]Storage Fees'!A:M, 13, FALSE), VLOOKUP($W803, '[1]Storage Fees'!A:M, 10, FALSE)), IF($X803="Yes", VLOOKUP($W803, '[1]Storage Fees'!A:M, 7, FALSE), VLOOKUP($W803, '[1]Storage Fees'!A:M, 4, FALSE))) * U803)*1.5</f>
        <v>0</v>
      </c>
    </row>
    <row r="804" spans="1:40" x14ac:dyDescent="0.25">
      <c r="A804" s="99">
        <v>732</v>
      </c>
      <c r="B804" s="99" t="s">
        <v>55</v>
      </c>
      <c r="C804" s="99"/>
      <c r="D804" s="99"/>
      <c r="E804" s="99" t="s">
        <v>82</v>
      </c>
      <c r="F804" s="99" t="s">
        <v>475</v>
      </c>
      <c r="G804" s="99" t="s">
        <v>13695</v>
      </c>
      <c r="H804" s="99">
        <v>25</v>
      </c>
      <c r="I804" s="99">
        <v>4</v>
      </c>
      <c r="J804" s="99">
        <v>4</v>
      </c>
      <c r="K804" s="101" t="str">
        <f t="shared" si="148"/>
        <v>25x4x4</v>
      </c>
      <c r="L804" s="102">
        <f t="shared" si="149"/>
        <v>2.8776978417266186</v>
      </c>
      <c r="M804" s="113">
        <f t="shared" si="150"/>
        <v>2.8776978417266186</v>
      </c>
      <c r="N804" s="113">
        <f t="shared" si="151"/>
        <v>3</v>
      </c>
      <c r="O804" s="99">
        <v>3</v>
      </c>
      <c r="P804" s="113">
        <f t="shared" si="152"/>
        <v>3</v>
      </c>
      <c r="Q804" s="112">
        <f t="shared" si="153"/>
        <v>48</v>
      </c>
      <c r="R804" s="112" t="str">
        <f t="shared" si="154"/>
        <v>Oversize</v>
      </c>
      <c r="S804" s="99" t="str">
        <f t="shared" si="155"/>
        <v>Large bulky</v>
      </c>
      <c r="T804" s="116" t="s">
        <v>13692</v>
      </c>
      <c r="U804" s="116">
        <f t="shared" si="156"/>
        <v>0.23148148148148148</v>
      </c>
      <c r="V804" s="116" t="s">
        <v>13583</v>
      </c>
      <c r="W804" s="116" t="s">
        <v>13690</v>
      </c>
      <c r="X804" s="116" t="s">
        <v>13691</v>
      </c>
      <c r="Y804" s="116">
        <v>2</v>
      </c>
      <c r="Z804" s="116">
        <v>3</v>
      </c>
      <c r="AA804" s="116">
        <v>1</v>
      </c>
      <c r="AB804" s="99"/>
      <c r="AC804" s="99"/>
      <c r="AD804" s="107">
        <v>0</v>
      </c>
      <c r="AE804" s="113">
        <f t="shared" si="157"/>
        <v>0</v>
      </c>
      <c r="AF804" s="116">
        <f>-IFERROR(IFERROR(VLOOKUP(ROUNDUP($Q804,0),'FBA FEES'!$L$2:$Q$203,MATCH($S804,'FBA FEES'!$L$2:$Q$2,0),FALSE),VLOOKUP(ROUNDUP($Q804,0),'FBA FEES'!$C$6:$F$123,MATCH($S804,'FBA FEES'!$C$6:$F$6,0),FALSE)),0)</f>
        <v>-10.37</v>
      </c>
      <c r="AG804" s="116">
        <v>-10</v>
      </c>
      <c r="AH804" s="113">
        <f t="shared" si="158"/>
        <v>-10.37</v>
      </c>
      <c r="AI804" s="116">
        <f>-IFERROR(IF($Y804=1,INDEX('[1]REMOVAL FEES'!$A$1:$C$22,MATCH(CONCATENATE("Standard Size",$P804),'[1]REMOVAL FEES'!$A$1:$A$22,0),3),IF($Y804=2,IF($P804&gt;10,(($P804-10)*1.06)+INDEX('[1]REMOVAL FEES'!$E$1:$G$22,MATCH(CONCATENATE("Large bulky, extra-large and special handling items",IF($P804&gt;=11,11,$P804)),'[1]REMOVAL FEES'!$E$1:$E$13,0),3),INDEX('[1]REMOVAL FEES'!$E$1:$G$22,MATCH(CONCATENATE("Large bulky, extra-large and special handling items",IF($P804&gt;=11,11,$P804)),'[1]REMOVAL FEES'!$E$1:$E$13,0),3))))*$AA804,FALSE)</f>
        <v>-6.36</v>
      </c>
      <c r="AJ804" s="107">
        <f t="shared" si="159"/>
        <v>-16.73</v>
      </c>
      <c r="AK804" s="107">
        <v>0</v>
      </c>
      <c r="AL804" s="107">
        <v>0</v>
      </c>
      <c r="AM804" s="107">
        <f t="shared" si="160"/>
        <v>0</v>
      </c>
      <c r="AN804" s="116">
        <f>(-IF($V804="Yes", IF($X804="Yes", VLOOKUP($W804, '[1]Storage Fees'!A:M, 13, FALSE), VLOOKUP($W804, '[1]Storage Fees'!A:M, 10, FALSE)), IF($X804="Yes", VLOOKUP($W804, '[1]Storage Fees'!A:M, 7, FALSE), VLOOKUP($W804, '[1]Storage Fees'!A:M, 4, FALSE))) * U804)*1.5</f>
        <v>-0.27430555555555558</v>
      </c>
    </row>
    <row r="805" spans="1:40" x14ac:dyDescent="0.25">
      <c r="A805" s="99">
        <v>733</v>
      </c>
      <c r="B805" s="99" t="s">
        <v>13699</v>
      </c>
      <c r="C805" s="99" t="s">
        <v>13655</v>
      </c>
      <c r="D805" s="99" t="s">
        <v>1384</v>
      </c>
      <c r="E805" s="99" t="s">
        <v>278</v>
      </c>
      <c r="F805" s="99" t="s">
        <v>935</v>
      </c>
      <c r="G805" s="99" t="s">
        <v>13695</v>
      </c>
      <c r="H805" s="99">
        <v>29</v>
      </c>
      <c r="I805" s="99">
        <v>11</v>
      </c>
      <c r="J805" s="99">
        <v>5</v>
      </c>
      <c r="K805" s="101" t="str">
        <f t="shared" si="148"/>
        <v>29x11x5</v>
      </c>
      <c r="L805" s="102">
        <f t="shared" si="149"/>
        <v>11.474820143884893</v>
      </c>
      <c r="M805" s="113">
        <f t="shared" si="150"/>
        <v>11.474820143884893</v>
      </c>
      <c r="N805" s="113">
        <f t="shared" si="151"/>
        <v>12</v>
      </c>
      <c r="O805" s="99">
        <v>17</v>
      </c>
      <c r="P805" s="113">
        <f t="shared" si="152"/>
        <v>17</v>
      </c>
      <c r="Q805" s="112">
        <f t="shared" si="153"/>
        <v>272</v>
      </c>
      <c r="R805" s="112" t="str">
        <f t="shared" si="154"/>
        <v>Oversize</v>
      </c>
      <c r="S805" s="99" t="str">
        <f t="shared" si="155"/>
        <v>Large bulky</v>
      </c>
      <c r="T805" s="116" t="s">
        <v>13692</v>
      </c>
      <c r="U805" s="116">
        <f t="shared" si="156"/>
        <v>0.92303240740740744</v>
      </c>
      <c r="V805" s="116" t="s">
        <v>13583</v>
      </c>
      <c r="W805" s="116" t="s">
        <v>13690</v>
      </c>
      <c r="X805" s="116" t="s">
        <v>13691</v>
      </c>
      <c r="Y805" s="116">
        <v>2</v>
      </c>
      <c r="Z805" s="116">
        <v>3</v>
      </c>
      <c r="AA805" s="116">
        <v>1</v>
      </c>
      <c r="AB805" s="99"/>
      <c r="AC805" s="99"/>
      <c r="AD805" s="107">
        <v>100.77585454545439</v>
      </c>
      <c r="AE805" s="113">
        <f t="shared" si="157"/>
        <v>-15.116378181818158</v>
      </c>
      <c r="AF805" s="116">
        <f>-IFERROR(IFERROR(VLOOKUP(ROUNDUP($Q805,0),'FBA FEES'!$L$2:$Q$203,MATCH($S805,'FBA FEES'!$L$2:$Q$2,0),FALSE),VLOOKUP(ROUNDUP($Q805,0),'FBA FEES'!$C$6:$F$123,MATCH($S805,'FBA FEES'!$C$6:$F$6,0),FALSE)),0)</f>
        <v>-15.69</v>
      </c>
      <c r="AG805" s="116">
        <v>-10</v>
      </c>
      <c r="AH805" s="113">
        <f t="shared" si="158"/>
        <v>-30.806378181818157</v>
      </c>
      <c r="AI805" s="116">
        <f>-IFERROR(IF($Y805=1,INDEX('[1]REMOVAL FEES'!$A$1:$C$22,MATCH(CONCATENATE("Standard Size",$P805),'[1]REMOVAL FEES'!$A$1:$A$22,0),3),IF($Y805=2,IF($P805&gt;10,(($P805-10)*1.06)+INDEX('[1]REMOVAL FEES'!$E$1:$G$22,MATCH(CONCATENATE("Large bulky, extra-large and special handling items",IF($P805&gt;=11,11,$P805)),'[1]REMOVAL FEES'!$E$1:$E$13,0),3),INDEX('[1]REMOVAL FEES'!$E$1:$G$22,MATCH(CONCATENATE("Large bulky, extra-large and special handling items",IF($P805&gt;=11,11,$P805)),'[1]REMOVAL FEES'!$E$1:$E$13,0),3))))*$AA805,FALSE)</f>
        <v>-21.740000000000002</v>
      </c>
      <c r="AJ805" s="107">
        <f t="shared" si="159"/>
        <v>-52.546378181818156</v>
      </c>
      <c r="AK805" s="107">
        <v>-38.910545454545421</v>
      </c>
      <c r="AL805" s="107">
        <v>-7.8431867200642094</v>
      </c>
      <c r="AM805" s="107">
        <f t="shared" si="160"/>
        <v>-46.753732174609631</v>
      </c>
      <c r="AN805" s="116">
        <f>(-IF($V805="Yes", IF($X805="Yes", VLOOKUP($W805, '[1]Storage Fees'!A:M, 13, FALSE), VLOOKUP($W805, '[1]Storage Fees'!A:M, 10, FALSE)), IF($X805="Yes", VLOOKUP($W805, '[1]Storage Fees'!A:M, 7, FALSE), VLOOKUP($W805, '[1]Storage Fees'!A:M, 4, FALSE))) * U805)*1.5</f>
        <v>-1.093793402777778</v>
      </c>
    </row>
    <row r="806" spans="1:40" x14ac:dyDescent="0.25">
      <c r="A806" s="99">
        <v>734</v>
      </c>
      <c r="B806" s="99" t="s">
        <v>13699</v>
      </c>
      <c r="C806" s="99" t="s">
        <v>13655</v>
      </c>
      <c r="D806" s="99" t="s">
        <v>1387</v>
      </c>
      <c r="E806" s="99" t="s">
        <v>278</v>
      </c>
      <c r="F806" s="99" t="s">
        <v>1067</v>
      </c>
      <c r="G806" s="99" t="s">
        <v>13695</v>
      </c>
      <c r="H806" s="99">
        <v>34</v>
      </c>
      <c r="I806" s="99">
        <v>12</v>
      </c>
      <c r="J806" s="99">
        <v>9</v>
      </c>
      <c r="K806" s="101" t="str">
        <f t="shared" si="148"/>
        <v>34x12x9</v>
      </c>
      <c r="L806" s="102">
        <f t="shared" si="149"/>
        <v>26.417266187050359</v>
      </c>
      <c r="M806" s="113">
        <f t="shared" si="150"/>
        <v>26.417266187050359</v>
      </c>
      <c r="N806" s="113">
        <f t="shared" si="151"/>
        <v>27</v>
      </c>
      <c r="O806" s="99">
        <v>22</v>
      </c>
      <c r="P806" s="113">
        <f t="shared" si="152"/>
        <v>27</v>
      </c>
      <c r="Q806" s="112">
        <f t="shared" si="153"/>
        <v>432</v>
      </c>
      <c r="R806" s="112" t="str">
        <f t="shared" si="154"/>
        <v>Oversize</v>
      </c>
      <c r="S806" s="99" t="str">
        <f t="shared" si="155"/>
        <v>Large bulky</v>
      </c>
      <c r="T806" s="116" t="s">
        <v>13692</v>
      </c>
      <c r="U806" s="116">
        <f t="shared" si="156"/>
        <v>2.125</v>
      </c>
      <c r="V806" s="116" t="s">
        <v>13583</v>
      </c>
      <c r="W806" s="116" t="s">
        <v>13690</v>
      </c>
      <c r="X806" s="116" t="s">
        <v>13691</v>
      </c>
      <c r="Y806" s="116">
        <v>2</v>
      </c>
      <c r="Z806" s="116">
        <v>3</v>
      </c>
      <c r="AA806" s="116">
        <v>1</v>
      </c>
      <c r="AB806" s="99"/>
      <c r="AC806" s="99"/>
      <c r="AD806" s="107">
        <v>126.1998596491227</v>
      </c>
      <c r="AE806" s="113">
        <f t="shared" si="157"/>
        <v>-18.929978947368404</v>
      </c>
      <c r="AF806" s="116">
        <f>-IFERROR(IFERROR(VLOOKUP(ROUNDUP($Q806,0),'FBA FEES'!$L$2:$Q$203,MATCH($S806,'FBA FEES'!$L$2:$Q$2,0),FALSE),VLOOKUP(ROUNDUP($Q806,0),'FBA FEES'!$C$6:$F$123,MATCH($S806,'FBA FEES'!$C$6:$F$6,0),FALSE)),0)</f>
        <v>-19.490000000000002</v>
      </c>
      <c r="AG806" s="116">
        <v>-10</v>
      </c>
      <c r="AH806" s="113">
        <f t="shared" si="158"/>
        <v>-38.419978947368406</v>
      </c>
      <c r="AI806" s="116">
        <f>-IFERROR(IF($Y806=1,INDEX('[1]REMOVAL FEES'!$A$1:$C$22,MATCH(CONCATENATE("Standard Size",$P806),'[1]REMOVAL FEES'!$A$1:$A$22,0),3),IF($Y806=2,IF($P806&gt;10,(($P806-10)*1.06)+INDEX('[1]REMOVAL FEES'!$E$1:$G$22,MATCH(CONCATENATE("Large bulky, extra-large and special handling items",IF($P806&gt;=11,11,$P806)),'[1]REMOVAL FEES'!$E$1:$E$13,0),3),INDEX('[1]REMOVAL FEES'!$E$1:$G$22,MATCH(CONCATENATE("Large bulky, extra-large and special handling items",IF($P806&gt;=11,11,$P806)),'[1]REMOVAL FEES'!$E$1:$E$13,0),3))))*$AA806,FALSE)</f>
        <v>-32.340000000000003</v>
      </c>
      <c r="AJ806" s="107">
        <f t="shared" si="159"/>
        <v>-70.75997894736841</v>
      </c>
      <c r="AK806" s="107">
        <v>-48.013333333333321</v>
      </c>
      <c r="AL806" s="107">
        <v>-10.91574845256806</v>
      </c>
      <c r="AM806" s="107">
        <f t="shared" si="160"/>
        <v>-58.929081785901381</v>
      </c>
      <c r="AN806" s="116">
        <f>(-IF($V806="Yes", IF($X806="Yes", VLOOKUP($W806, '[1]Storage Fees'!A:M, 13, FALSE), VLOOKUP($W806, '[1]Storage Fees'!A:M, 10, FALSE)), IF($X806="Yes", VLOOKUP($W806, '[1]Storage Fees'!A:M, 7, FALSE), VLOOKUP($W806, '[1]Storage Fees'!A:M, 4, FALSE))) * U806)*1.5</f>
        <v>-2.5181249999999999</v>
      </c>
    </row>
    <row r="807" spans="1:40" x14ac:dyDescent="0.25">
      <c r="A807" s="99">
        <v>735</v>
      </c>
      <c r="B807" s="99"/>
      <c r="C807" s="99" t="s">
        <v>13655</v>
      </c>
      <c r="D807" s="99"/>
      <c r="E807" s="99" t="s">
        <v>358</v>
      </c>
      <c r="F807" s="99" t="s">
        <v>2187</v>
      </c>
      <c r="G807" s="99" t="s">
        <v>13695</v>
      </c>
      <c r="H807" s="99">
        <v>0</v>
      </c>
      <c r="I807" s="99">
        <v>0</v>
      </c>
      <c r="J807" s="99">
        <v>0</v>
      </c>
      <c r="K807" s="101" t="str">
        <f t="shared" si="148"/>
        <v>0x0x0</v>
      </c>
      <c r="L807" s="102">
        <f t="shared" si="149"/>
        <v>0</v>
      </c>
      <c r="M807" s="113">
        <f t="shared" si="150"/>
        <v>0</v>
      </c>
      <c r="N807" s="113">
        <f t="shared" si="151"/>
        <v>0</v>
      </c>
      <c r="O807" s="99">
        <v>0</v>
      </c>
      <c r="P807" s="113">
        <f t="shared" si="152"/>
        <v>0</v>
      </c>
      <c r="Q807" s="112">
        <f t="shared" si="153"/>
        <v>0</v>
      </c>
      <c r="R807" s="112" t="str">
        <f t="shared" si="154"/>
        <v>Standard-size</v>
      </c>
      <c r="S807" s="99" t="str">
        <f t="shared" si="155"/>
        <v>Small standard-size</v>
      </c>
      <c r="T807" s="116" t="s">
        <v>13696</v>
      </c>
      <c r="U807" s="116">
        <f t="shared" si="156"/>
        <v>0</v>
      </c>
      <c r="V807" s="116" t="s">
        <v>13583</v>
      </c>
      <c r="W807" s="116" t="s">
        <v>13690</v>
      </c>
      <c r="X807" s="99" t="s">
        <v>13583</v>
      </c>
      <c r="Y807" s="99">
        <v>1</v>
      </c>
      <c r="Z807" s="99">
        <v>1</v>
      </c>
      <c r="AA807" s="99">
        <v>1</v>
      </c>
      <c r="AB807" s="99"/>
      <c r="AC807" s="99"/>
      <c r="AD807" s="107">
        <v>55.352183446007658</v>
      </c>
      <c r="AE807" s="113">
        <f t="shared" si="157"/>
        <v>-8.3028275169011483</v>
      </c>
      <c r="AF807" s="116">
        <f>-IFERROR(IFERROR(VLOOKUP(ROUNDUP($Q807,0),'FBA FEES'!$L$2:$Q$203,MATCH($S807,'FBA FEES'!$L$2:$Q$2,0),FALSE),VLOOKUP(ROUNDUP($Q807,0),'FBA FEES'!$C$6:$F$123,MATCH($S807,'FBA FEES'!$C$6:$F$6,0),FALSE)),0)</f>
        <v>0</v>
      </c>
      <c r="AG807" s="116">
        <v>-10</v>
      </c>
      <c r="AH807" s="113">
        <f t="shared" si="158"/>
        <v>-8.3028275169011483</v>
      </c>
      <c r="AI807" s="116">
        <f>-IFERROR(IF($Y807=1,INDEX('[1]REMOVAL FEES'!$A$1:$C$22,MATCH(CONCATENATE("Standard Size",$P807),'[1]REMOVAL FEES'!$A$1:$A$22,0),3),IF($Y807=2,IF($P807&gt;10,(($P807-10)*1.06)+INDEX('[1]REMOVAL FEES'!$E$1:$G$22,MATCH(CONCATENATE("Large bulky, extra-large and special handling items",IF($P807&gt;=11,11,$P807)),'[1]REMOVAL FEES'!$E$1:$E$13,0),3),INDEX('[1]REMOVAL FEES'!$E$1:$G$22,MATCH(CONCATENATE("Large bulky, extra-large and special handling items",IF($P807&gt;=11,11,$P807)),'[1]REMOVAL FEES'!$E$1:$E$13,0),3))))*$AA807,FALSE)</f>
        <v>0</v>
      </c>
      <c r="AJ807" s="107">
        <f t="shared" si="159"/>
        <v>-8.3028275169011483</v>
      </c>
      <c r="AK807" s="107">
        <v>-24.73</v>
      </c>
      <c r="AL807" s="107">
        <v>-4.2132457518728303</v>
      </c>
      <c r="AM807" s="107">
        <f t="shared" si="160"/>
        <v>-28.94324575187283</v>
      </c>
      <c r="AN807" s="116">
        <f>(-IF($V807="Yes", IF($X807="Yes", VLOOKUP($W807, '[1]Storage Fees'!A:M, 13, FALSE), VLOOKUP($W807, '[1]Storage Fees'!A:M, 10, FALSE)), IF($X807="Yes", VLOOKUP($W807, '[1]Storage Fees'!A:M, 7, FALSE), VLOOKUP($W807, '[1]Storage Fees'!A:M, 4, FALSE))) * U807)*1.5</f>
        <v>0</v>
      </c>
    </row>
    <row r="808" spans="1:40" x14ac:dyDescent="0.25">
      <c r="A808" s="99">
        <v>736</v>
      </c>
      <c r="B808" s="99"/>
      <c r="C808" s="99" t="s">
        <v>13655</v>
      </c>
      <c r="D808" s="99"/>
      <c r="E808" s="99" t="s">
        <v>148</v>
      </c>
      <c r="F808" s="99" t="s">
        <v>2190</v>
      </c>
      <c r="G808" s="99" t="s">
        <v>13656</v>
      </c>
      <c r="H808" s="99">
        <v>0</v>
      </c>
      <c r="I808" s="99">
        <v>0</v>
      </c>
      <c r="J808" s="99">
        <v>0</v>
      </c>
      <c r="K808" s="101" t="str">
        <f t="shared" si="148"/>
        <v>0x0x0</v>
      </c>
      <c r="L808" s="102">
        <f t="shared" si="149"/>
        <v>0</v>
      </c>
      <c r="M808" s="113">
        <f t="shared" si="150"/>
        <v>0</v>
      </c>
      <c r="N808" s="113">
        <f t="shared" si="151"/>
        <v>0</v>
      </c>
      <c r="O808" s="99">
        <v>0</v>
      </c>
      <c r="P808" s="113">
        <f t="shared" si="152"/>
        <v>0</v>
      </c>
      <c r="Q808" s="112">
        <f t="shared" si="153"/>
        <v>0</v>
      </c>
      <c r="R808" s="112" t="str">
        <f t="shared" si="154"/>
        <v>Standard-size</v>
      </c>
      <c r="S808" s="99" t="str">
        <f t="shared" si="155"/>
        <v>Small standard-size</v>
      </c>
      <c r="T808" s="116" t="s">
        <v>13696</v>
      </c>
      <c r="U808" s="116">
        <f t="shared" si="156"/>
        <v>0</v>
      </c>
      <c r="V808" s="116" t="s">
        <v>13583</v>
      </c>
      <c r="W808" s="116" t="s">
        <v>13690</v>
      </c>
      <c r="X808" s="99" t="s">
        <v>13583</v>
      </c>
      <c r="Y808" s="99">
        <v>1</v>
      </c>
      <c r="Z808" s="99">
        <v>1</v>
      </c>
      <c r="AA808" s="99">
        <v>1</v>
      </c>
      <c r="AB808" s="99"/>
      <c r="AC808" s="99"/>
      <c r="AD808" s="107">
        <v>0</v>
      </c>
      <c r="AE808" s="113">
        <f t="shared" si="157"/>
        <v>0</v>
      </c>
      <c r="AF808" s="116">
        <f>-IFERROR(IFERROR(VLOOKUP(ROUNDUP($Q808,0),'FBA FEES'!$L$2:$Q$203,MATCH($S808,'FBA FEES'!$L$2:$Q$2,0),FALSE),VLOOKUP(ROUNDUP($Q808,0),'FBA FEES'!$C$6:$F$123,MATCH($S808,'FBA FEES'!$C$6:$F$6,0),FALSE)),0)</f>
        <v>0</v>
      </c>
      <c r="AG808" s="116">
        <v>-10</v>
      </c>
      <c r="AH808" s="113">
        <f t="shared" si="158"/>
        <v>0</v>
      </c>
      <c r="AI808" s="116">
        <f>-IFERROR(IF($Y808=1,INDEX('[1]REMOVAL FEES'!$A$1:$C$22,MATCH(CONCATENATE("Standard Size",$P808),'[1]REMOVAL FEES'!$A$1:$A$22,0),3),IF($Y808=2,IF($P808&gt;10,(($P808-10)*1.06)+INDEX('[1]REMOVAL FEES'!$E$1:$G$22,MATCH(CONCATENATE("Large bulky, extra-large and special handling items",IF($P808&gt;=11,11,$P808)),'[1]REMOVAL FEES'!$E$1:$E$13,0),3),INDEX('[1]REMOVAL FEES'!$E$1:$G$22,MATCH(CONCATENATE("Large bulky, extra-large and special handling items",IF($P808&gt;=11,11,$P808)),'[1]REMOVAL FEES'!$E$1:$E$13,0),3))))*$AA808,FALSE)</f>
        <v>0</v>
      </c>
      <c r="AJ808" s="107">
        <f t="shared" si="159"/>
        <v>0</v>
      </c>
      <c r="AK808" s="107">
        <v>0</v>
      </c>
      <c r="AL808" s="107">
        <v>0</v>
      </c>
      <c r="AM808" s="107">
        <f t="shared" si="160"/>
        <v>0</v>
      </c>
      <c r="AN808" s="116">
        <f>(-IF($V808="Yes", IF($X808="Yes", VLOOKUP($W808, '[1]Storage Fees'!A:M, 13, FALSE), VLOOKUP($W808, '[1]Storage Fees'!A:M, 10, FALSE)), IF($X808="Yes", VLOOKUP($W808, '[1]Storage Fees'!A:M, 7, FALSE), VLOOKUP($W808, '[1]Storage Fees'!A:M, 4, FALSE))) * U808)*1.5</f>
        <v>0</v>
      </c>
    </row>
    <row r="809" spans="1:40" x14ac:dyDescent="0.25">
      <c r="A809" s="99">
        <v>737</v>
      </c>
      <c r="B809" s="99"/>
      <c r="C809" s="99" t="s">
        <v>13655</v>
      </c>
      <c r="D809" s="99"/>
      <c r="E809" s="99" t="s">
        <v>201</v>
      </c>
      <c r="F809" s="99" t="s">
        <v>2191</v>
      </c>
      <c r="G809" s="99" t="s">
        <v>13656</v>
      </c>
      <c r="H809" s="99">
        <v>0</v>
      </c>
      <c r="I809" s="99">
        <v>0</v>
      </c>
      <c r="J809" s="99">
        <v>0</v>
      </c>
      <c r="K809" s="101" t="str">
        <f t="shared" si="148"/>
        <v>0x0x0</v>
      </c>
      <c r="L809" s="102">
        <f t="shared" si="149"/>
        <v>0</v>
      </c>
      <c r="M809" s="113">
        <f t="shared" si="150"/>
        <v>0</v>
      </c>
      <c r="N809" s="113">
        <f t="shared" si="151"/>
        <v>0</v>
      </c>
      <c r="O809" s="99">
        <v>0</v>
      </c>
      <c r="P809" s="113">
        <f t="shared" si="152"/>
        <v>0</v>
      </c>
      <c r="Q809" s="112">
        <f t="shared" si="153"/>
        <v>0</v>
      </c>
      <c r="R809" s="112" t="str">
        <f t="shared" si="154"/>
        <v>Standard-size</v>
      </c>
      <c r="S809" s="99" t="str">
        <f t="shared" si="155"/>
        <v>Small standard-size</v>
      </c>
      <c r="T809" s="116" t="s">
        <v>13696</v>
      </c>
      <c r="U809" s="116">
        <f t="shared" si="156"/>
        <v>0</v>
      </c>
      <c r="V809" s="116" t="s">
        <v>13583</v>
      </c>
      <c r="W809" s="116" t="s">
        <v>13690</v>
      </c>
      <c r="X809" s="99" t="s">
        <v>13583</v>
      </c>
      <c r="Y809" s="99">
        <v>1</v>
      </c>
      <c r="Z809" s="99">
        <v>1</v>
      </c>
      <c r="AA809" s="99">
        <v>1</v>
      </c>
      <c r="AB809" s="99"/>
      <c r="AC809" s="99"/>
      <c r="AD809" s="107">
        <v>43.077131782945592</v>
      </c>
      <c r="AE809" s="113">
        <f t="shared" si="157"/>
        <v>-6.4615697674418389</v>
      </c>
      <c r="AF809" s="116">
        <f>-IFERROR(IFERROR(VLOOKUP(ROUNDUP($Q809,0),'FBA FEES'!$L$2:$Q$203,MATCH($S809,'FBA FEES'!$L$2:$Q$2,0),FALSE),VLOOKUP(ROUNDUP($Q809,0),'FBA FEES'!$C$6:$F$123,MATCH($S809,'FBA FEES'!$C$6:$F$6,0),FALSE)),0)</f>
        <v>0</v>
      </c>
      <c r="AG809" s="116">
        <v>-7</v>
      </c>
      <c r="AH809" s="113">
        <f t="shared" si="158"/>
        <v>-6.4615697674418389</v>
      </c>
      <c r="AI809" s="116">
        <f>-IFERROR(IF($Y809=1,INDEX('[1]REMOVAL FEES'!$A$1:$C$22,MATCH(CONCATENATE("Standard Size",$P809),'[1]REMOVAL FEES'!$A$1:$A$22,0),3),IF($Y809=2,IF($P809&gt;10,(($P809-10)*1.06)+INDEX('[1]REMOVAL FEES'!$E$1:$G$22,MATCH(CONCATENATE("Large bulky, extra-large and special handling items",IF($P809&gt;=11,11,$P809)),'[1]REMOVAL FEES'!$E$1:$E$13,0),3),INDEX('[1]REMOVAL FEES'!$E$1:$G$22,MATCH(CONCATENATE("Large bulky, extra-large and special handling items",IF($P809&gt;=11,11,$P809)),'[1]REMOVAL FEES'!$E$1:$E$13,0),3))))*$AA809,FALSE)</f>
        <v>0</v>
      </c>
      <c r="AJ809" s="107">
        <f t="shared" si="159"/>
        <v>-6.4615697674418389</v>
      </c>
      <c r="AK809" s="107">
        <v>-9.4744186046511487</v>
      </c>
      <c r="AL809" s="107">
        <v>-2.8947387919824759</v>
      </c>
      <c r="AM809" s="107">
        <f t="shared" si="160"/>
        <v>-12.369157396633625</v>
      </c>
      <c r="AN809" s="116">
        <f>(-IF($V809="Yes", IF($X809="Yes", VLOOKUP($W809, '[1]Storage Fees'!A:M, 13, FALSE), VLOOKUP($W809, '[1]Storage Fees'!A:M, 10, FALSE)), IF($X809="Yes", VLOOKUP($W809, '[1]Storage Fees'!A:M, 7, FALSE), VLOOKUP($W809, '[1]Storage Fees'!A:M, 4, FALSE))) * U809)*1.5</f>
        <v>0</v>
      </c>
    </row>
    <row r="810" spans="1:40" x14ac:dyDescent="0.25">
      <c r="A810" s="99">
        <v>738</v>
      </c>
      <c r="B810" s="99" t="s">
        <v>13699</v>
      </c>
      <c r="C810" s="99" t="s">
        <v>13655</v>
      </c>
      <c r="D810" s="99" t="s">
        <v>1391</v>
      </c>
      <c r="E810" s="99" t="s">
        <v>278</v>
      </c>
      <c r="F810" s="99" t="s">
        <v>1389</v>
      </c>
      <c r="G810" s="99" t="s">
        <v>13695</v>
      </c>
      <c r="H810" s="99">
        <v>35</v>
      </c>
      <c r="I810" s="99">
        <v>16.5</v>
      </c>
      <c r="J810" s="99">
        <v>14</v>
      </c>
      <c r="K810" s="101" t="str">
        <f t="shared" si="148"/>
        <v>35x16.5x14</v>
      </c>
      <c r="L810" s="102">
        <f t="shared" si="149"/>
        <v>58.165467625899282</v>
      </c>
      <c r="M810" s="113">
        <f t="shared" si="150"/>
        <v>58.165467625899282</v>
      </c>
      <c r="N810" s="113">
        <f t="shared" si="151"/>
        <v>59</v>
      </c>
      <c r="O810" s="99">
        <v>31</v>
      </c>
      <c r="P810" s="113">
        <f t="shared" si="152"/>
        <v>59</v>
      </c>
      <c r="Q810" s="112">
        <f t="shared" si="153"/>
        <v>944</v>
      </c>
      <c r="R810" s="112" t="str">
        <f t="shared" si="154"/>
        <v>Oversize</v>
      </c>
      <c r="S810" s="99" t="str">
        <f t="shared" si="155"/>
        <v>Extra-large 50+ to 70 lb</v>
      </c>
      <c r="T810" s="116" t="s">
        <v>13689</v>
      </c>
      <c r="U810" s="116">
        <f t="shared" si="156"/>
        <v>4.6788194444444446</v>
      </c>
      <c r="V810" s="116" t="s">
        <v>13583</v>
      </c>
      <c r="W810" s="116" t="s">
        <v>13690</v>
      </c>
      <c r="X810" s="116" t="s">
        <v>13691</v>
      </c>
      <c r="Y810" s="116">
        <v>2</v>
      </c>
      <c r="Z810" s="116">
        <v>5</v>
      </c>
      <c r="AA810" s="116">
        <v>1</v>
      </c>
      <c r="AB810" s="99"/>
      <c r="AC810" s="99"/>
      <c r="AD810" s="107">
        <v>203.28211538461531</v>
      </c>
      <c r="AE810" s="113">
        <f t="shared" si="157"/>
        <v>-30.492317307692296</v>
      </c>
      <c r="AF810" s="116">
        <f>-IFERROR(IFERROR(VLOOKUP(ROUNDUP($Q810,0),'FBA FEES'!$L$2:$Q$203,MATCH($S810,'FBA FEES'!$L$2:$Q$2,0),FALSE),VLOOKUP(ROUNDUP($Q810,0),'FBA FEES'!$C$6:$F$123,MATCH($S810,'FBA FEES'!$C$6:$F$6,0),FALSE)),0)</f>
        <v>-46.12</v>
      </c>
      <c r="AG810" s="116">
        <v>-10</v>
      </c>
      <c r="AH810" s="113">
        <f t="shared" si="158"/>
        <v>-76.612317307692294</v>
      </c>
      <c r="AI810" s="116">
        <f>-IFERROR(IF($Y810=1,INDEX('[1]REMOVAL FEES'!$A$1:$C$22,MATCH(CONCATENATE("Standard Size",$P810),'[1]REMOVAL FEES'!$A$1:$A$22,0),3),IF($Y810=2,IF($P810&gt;10,(($P810-10)*1.06)+INDEX('[1]REMOVAL FEES'!$E$1:$G$22,MATCH(CONCATENATE("Large bulky, extra-large and special handling items",IF($P810&gt;=11,11,$P810)),'[1]REMOVAL FEES'!$E$1:$E$13,0),3),INDEX('[1]REMOVAL FEES'!$E$1:$G$22,MATCH(CONCATENATE("Large bulky, extra-large and special handling items",IF($P810&gt;=11,11,$P810)),'[1]REMOVAL FEES'!$E$1:$E$13,0),3))))*$AA810,FALSE)</f>
        <v>-66.260000000000005</v>
      </c>
      <c r="AJ810" s="107">
        <f t="shared" si="159"/>
        <v>-142.8723173076923</v>
      </c>
      <c r="AK810" s="107">
        <v>-63.900000000000063</v>
      </c>
      <c r="AL810" s="107">
        <v>-13.27131012994359</v>
      </c>
      <c r="AM810" s="107">
        <f t="shared" si="160"/>
        <v>-77.171310129943649</v>
      </c>
      <c r="AN810" s="116">
        <f>(-IF($V810="Yes", IF($X810="Yes", VLOOKUP($W810, '[1]Storage Fees'!A:M, 13, FALSE), VLOOKUP($W810, '[1]Storage Fees'!A:M, 10, FALSE)), IF($X810="Yes", VLOOKUP($W810, '[1]Storage Fees'!A:M, 7, FALSE), VLOOKUP($W810, '[1]Storage Fees'!A:M, 4, FALSE))) * U810)*1.5</f>
        <v>-5.5444010416666671</v>
      </c>
    </row>
    <row r="811" spans="1:40" x14ac:dyDescent="0.25">
      <c r="A811" s="99">
        <v>739</v>
      </c>
      <c r="B811" s="99" t="s">
        <v>13699</v>
      </c>
      <c r="C811" s="99" t="s">
        <v>13655</v>
      </c>
      <c r="D811" s="99" t="s">
        <v>1395</v>
      </c>
      <c r="E811" s="99" t="s">
        <v>278</v>
      </c>
      <c r="F811" s="99" t="s">
        <v>1393</v>
      </c>
      <c r="G811" s="99" t="s">
        <v>13695</v>
      </c>
      <c r="H811" s="99">
        <v>32</v>
      </c>
      <c r="I811" s="99">
        <v>15</v>
      </c>
      <c r="J811" s="99">
        <v>12</v>
      </c>
      <c r="K811" s="101" t="str">
        <f t="shared" si="148"/>
        <v>32x15x12</v>
      </c>
      <c r="L811" s="102">
        <f t="shared" si="149"/>
        <v>41.438848920863308</v>
      </c>
      <c r="M811" s="113">
        <f t="shared" si="150"/>
        <v>41.438848920863308</v>
      </c>
      <c r="N811" s="113">
        <f t="shared" si="151"/>
        <v>42</v>
      </c>
      <c r="O811" s="99">
        <v>24</v>
      </c>
      <c r="P811" s="113">
        <f t="shared" si="152"/>
        <v>42</v>
      </c>
      <c r="Q811" s="112">
        <f t="shared" si="153"/>
        <v>672</v>
      </c>
      <c r="R811" s="112" t="str">
        <f t="shared" si="154"/>
        <v>Oversize</v>
      </c>
      <c r="S811" s="99" t="str">
        <f t="shared" si="155"/>
        <v>Large bulky</v>
      </c>
      <c r="T811" s="116" t="s">
        <v>13694</v>
      </c>
      <c r="U811" s="116">
        <f t="shared" si="156"/>
        <v>3.3333333333333335</v>
      </c>
      <c r="V811" s="116" t="s">
        <v>13583</v>
      </c>
      <c r="W811" s="116" t="s">
        <v>13690</v>
      </c>
      <c r="X811" s="116" t="s">
        <v>13691</v>
      </c>
      <c r="Y811" s="116">
        <v>2</v>
      </c>
      <c r="Z811" s="116">
        <v>3</v>
      </c>
      <c r="AA811" s="116">
        <v>1</v>
      </c>
      <c r="AB811" s="99"/>
      <c r="AC811" s="99"/>
      <c r="AD811" s="107">
        <v>146.80985454545441</v>
      </c>
      <c r="AE811" s="113">
        <f t="shared" si="157"/>
        <v>-22.021478181818161</v>
      </c>
      <c r="AF811" s="116">
        <f>-IFERROR(IFERROR(VLOOKUP(ROUNDUP($Q811,0),'FBA FEES'!$L$2:$Q$203,MATCH($S811,'FBA FEES'!$L$2:$Q$2,0),FALSE),VLOOKUP(ROUNDUP($Q811,0),'FBA FEES'!$C$6:$F$123,MATCH($S811,'FBA FEES'!$C$6:$F$6,0),FALSE)),0)</f>
        <v>-25.189999999999998</v>
      </c>
      <c r="AG811" s="116">
        <v>-10</v>
      </c>
      <c r="AH811" s="113">
        <f t="shared" si="158"/>
        <v>-47.211478181818158</v>
      </c>
      <c r="AI811" s="116">
        <f>-IFERROR(IF($Y811=1,INDEX('[1]REMOVAL FEES'!$A$1:$C$22,MATCH(CONCATENATE("Standard Size",$P811),'[1]REMOVAL FEES'!$A$1:$A$22,0),3),IF($Y811=2,IF($P811&gt;10,(($P811-10)*1.06)+INDEX('[1]REMOVAL FEES'!$E$1:$G$22,MATCH(CONCATENATE("Large bulky, extra-large and special handling items",IF($P811&gt;=11,11,$P811)),'[1]REMOVAL FEES'!$E$1:$E$13,0),3),INDEX('[1]REMOVAL FEES'!$E$1:$G$22,MATCH(CONCATENATE("Large bulky, extra-large and special handling items",IF($P811&gt;=11,11,$P811)),'[1]REMOVAL FEES'!$E$1:$E$13,0),3))))*$AA811,FALSE)</f>
        <v>-48.24</v>
      </c>
      <c r="AJ811" s="107">
        <f t="shared" si="159"/>
        <v>-95.45147818181816</v>
      </c>
      <c r="AK811" s="107">
        <v>-55.5</v>
      </c>
      <c r="AL811" s="107">
        <v>-10.642695113055931</v>
      </c>
      <c r="AM811" s="107">
        <f t="shared" si="160"/>
        <v>-66.142695113055936</v>
      </c>
      <c r="AN811" s="116">
        <f>(-IF($V811="Yes", IF($X811="Yes", VLOOKUP($W811, '[1]Storage Fees'!A:M, 13, FALSE), VLOOKUP($W811, '[1]Storage Fees'!A:M, 10, FALSE)), IF($X811="Yes", VLOOKUP($W811, '[1]Storage Fees'!A:M, 7, FALSE), VLOOKUP($W811, '[1]Storage Fees'!A:M, 4, FALSE))) * U811)*1.5</f>
        <v>-3.9500000000000006</v>
      </c>
    </row>
    <row r="812" spans="1:40" x14ac:dyDescent="0.25">
      <c r="A812" s="99">
        <v>740</v>
      </c>
      <c r="B812" s="99" t="s">
        <v>13699</v>
      </c>
      <c r="C812" s="99" t="s">
        <v>13655</v>
      </c>
      <c r="D812" s="99" t="s">
        <v>1399</v>
      </c>
      <c r="E812" s="99" t="s">
        <v>278</v>
      </c>
      <c r="F812" s="99" t="s">
        <v>1397</v>
      </c>
      <c r="G812" s="99" t="s">
        <v>13695</v>
      </c>
      <c r="H812" s="99">
        <v>34</v>
      </c>
      <c r="I812" s="99">
        <v>12</v>
      </c>
      <c r="J812" s="99">
        <v>12</v>
      </c>
      <c r="K812" s="101" t="str">
        <f t="shared" si="148"/>
        <v>34x12x12</v>
      </c>
      <c r="L812" s="102">
        <f t="shared" si="149"/>
        <v>35.223021582733814</v>
      </c>
      <c r="M812" s="113">
        <f t="shared" si="150"/>
        <v>35.223021582733814</v>
      </c>
      <c r="N812" s="113">
        <f t="shared" si="151"/>
        <v>36</v>
      </c>
      <c r="O812" s="99">
        <v>26</v>
      </c>
      <c r="P812" s="113">
        <f t="shared" si="152"/>
        <v>36</v>
      </c>
      <c r="Q812" s="112">
        <f t="shared" si="153"/>
        <v>576</v>
      </c>
      <c r="R812" s="112" t="str">
        <f t="shared" si="154"/>
        <v>Oversize</v>
      </c>
      <c r="S812" s="99" t="str">
        <f t="shared" si="155"/>
        <v>Large bulky</v>
      </c>
      <c r="T812" s="116" t="s">
        <v>13694</v>
      </c>
      <c r="U812" s="116">
        <f t="shared" si="156"/>
        <v>2.8333333333333335</v>
      </c>
      <c r="V812" s="116" t="s">
        <v>13583</v>
      </c>
      <c r="W812" s="116" t="s">
        <v>13690</v>
      </c>
      <c r="X812" s="116" t="s">
        <v>13691</v>
      </c>
      <c r="Y812" s="116">
        <v>2</v>
      </c>
      <c r="Z812" s="116">
        <v>3</v>
      </c>
      <c r="AA812" s="116">
        <v>1</v>
      </c>
      <c r="AB812" s="99"/>
      <c r="AC812" s="99"/>
      <c r="AD812" s="107">
        <v>180.22454545454531</v>
      </c>
      <c r="AE812" s="113">
        <f t="shared" si="157"/>
        <v>-27.033681818181794</v>
      </c>
      <c r="AF812" s="116">
        <f>-IFERROR(IFERROR(VLOOKUP(ROUNDUP($Q812,0),'FBA FEES'!$L$2:$Q$203,MATCH($S812,'FBA FEES'!$L$2:$Q$2,0),FALSE),VLOOKUP(ROUNDUP($Q812,0),'FBA FEES'!$C$6:$F$123,MATCH($S812,'FBA FEES'!$C$6:$F$6,0),FALSE)),0)</f>
        <v>-22.91</v>
      </c>
      <c r="AG812" s="116">
        <v>-10</v>
      </c>
      <c r="AH812" s="113">
        <f t="shared" si="158"/>
        <v>-49.943681818181794</v>
      </c>
      <c r="AI812" s="116">
        <f>-IFERROR(IF($Y812=1,INDEX('[1]REMOVAL FEES'!$A$1:$C$22,MATCH(CONCATENATE("Standard Size",$P812),'[1]REMOVAL FEES'!$A$1:$A$22,0),3),IF($Y812=2,IF($P812&gt;10,(($P812-10)*1.06)+INDEX('[1]REMOVAL FEES'!$E$1:$G$22,MATCH(CONCATENATE("Large bulky, extra-large and special handling items",IF($P812&gt;=11,11,$P812)),'[1]REMOVAL FEES'!$E$1:$E$13,0),3),INDEX('[1]REMOVAL FEES'!$E$1:$G$22,MATCH(CONCATENATE("Large bulky, extra-large and special handling items",IF($P812&gt;=11,11,$P812)),'[1]REMOVAL FEES'!$E$1:$E$13,0),3))))*$AA812,FALSE)</f>
        <v>-41.88</v>
      </c>
      <c r="AJ812" s="107">
        <f t="shared" si="159"/>
        <v>-91.823681818181797</v>
      </c>
      <c r="AK812" s="107">
        <v>-61.140000000000008</v>
      </c>
      <c r="AL812" s="107">
        <v>-12.413116469245031</v>
      </c>
      <c r="AM812" s="107">
        <f t="shared" si="160"/>
        <v>-73.55311646924504</v>
      </c>
      <c r="AN812" s="116">
        <f>(-IF($V812="Yes", IF($X812="Yes", VLOOKUP($W812, '[1]Storage Fees'!A:M, 13, FALSE), VLOOKUP($W812, '[1]Storage Fees'!A:M, 10, FALSE)), IF($X812="Yes", VLOOKUP($W812, '[1]Storage Fees'!A:M, 7, FALSE), VLOOKUP($W812, '[1]Storage Fees'!A:M, 4, FALSE))) * U812)*1.5</f>
        <v>-3.3575000000000008</v>
      </c>
    </row>
    <row r="813" spans="1:40" x14ac:dyDescent="0.25">
      <c r="A813" s="99">
        <v>741</v>
      </c>
      <c r="B813" s="99" t="s">
        <v>55</v>
      </c>
      <c r="C813" s="99"/>
      <c r="D813" s="99"/>
      <c r="E813" s="99" t="s">
        <v>82</v>
      </c>
      <c r="F813" s="99" t="s">
        <v>477</v>
      </c>
      <c r="G813" s="99" t="s">
        <v>13656</v>
      </c>
      <c r="H813" s="99">
        <v>26</v>
      </c>
      <c r="I813" s="99">
        <v>5</v>
      </c>
      <c r="J813" s="99">
        <v>5</v>
      </c>
      <c r="K813" s="101" t="str">
        <f t="shared" si="148"/>
        <v>26x5x5</v>
      </c>
      <c r="L813" s="102">
        <f t="shared" si="149"/>
        <v>4.6762589928057556</v>
      </c>
      <c r="M813" s="113">
        <f t="shared" si="150"/>
        <v>4.6762589928057556</v>
      </c>
      <c r="N813" s="113">
        <f t="shared" si="151"/>
        <v>5</v>
      </c>
      <c r="O813" s="99">
        <v>3</v>
      </c>
      <c r="P813" s="113">
        <f t="shared" si="152"/>
        <v>5</v>
      </c>
      <c r="Q813" s="112">
        <f t="shared" si="153"/>
        <v>80</v>
      </c>
      <c r="R813" s="112" t="str">
        <f t="shared" si="154"/>
        <v>Oversize</v>
      </c>
      <c r="S813" s="99" t="str">
        <f t="shared" si="155"/>
        <v>Large bulky</v>
      </c>
      <c r="T813" s="116" t="s">
        <v>13692</v>
      </c>
      <c r="U813" s="116">
        <f t="shared" si="156"/>
        <v>0.37615740740740738</v>
      </c>
      <c r="V813" s="116" t="s">
        <v>13583</v>
      </c>
      <c r="W813" s="116" t="s">
        <v>13690</v>
      </c>
      <c r="X813" s="116" t="s">
        <v>13691</v>
      </c>
      <c r="Y813" s="116">
        <v>2</v>
      </c>
      <c r="Z813" s="116">
        <v>3</v>
      </c>
      <c r="AA813" s="116">
        <v>1</v>
      </c>
      <c r="AB813" s="99"/>
      <c r="AC813" s="99"/>
      <c r="AD813" s="107">
        <v>63.056739726027303</v>
      </c>
      <c r="AE813" s="113">
        <f t="shared" si="157"/>
        <v>-9.4585109589040943</v>
      </c>
      <c r="AF813" s="118">
        <f>-IFERROR(IFERROR(VLOOKUP(ROUNDUP($Q813,0),'FBA FEES'!$L$2:$Q$203,MATCH($S813,'FBA FEES'!$L$2:$Q$2,0),FALSE),VLOOKUP(ROUNDUP($Q813,0),'FBA FEES'!$C$6:$F$123,MATCH($S813,'FBA FEES'!$C$6:$F$6,0),FALSE)),0)</f>
        <v>-11.129999999999999</v>
      </c>
      <c r="AG813" s="116">
        <v>-10</v>
      </c>
      <c r="AH813" s="113">
        <f t="shared" si="158"/>
        <v>-20.588510958904095</v>
      </c>
      <c r="AI813" s="118">
        <f>-IFERROR(IF($Y813=1,INDEX('[1]REMOVAL FEES'!$A$1:$C$22,MATCH(CONCATENATE("Standard Size",$P813),'[1]REMOVAL FEES'!$A$1:$A$22,0),3),IF($Y813=2,IF($P813&gt;10,(($P813-10)*1.06)+INDEX('[1]REMOVAL FEES'!$E$1:$G$22,MATCH(CONCATENATE("Large bulky, extra-large and special handling items",IF($P813&gt;=11,11,$P813)),'[1]REMOVAL FEES'!$E$1:$E$13,0),3),INDEX('[1]REMOVAL FEES'!$E$1:$G$22,MATCH(CONCATENATE("Large bulky, extra-large and special handling items",IF($P813&gt;=11,11,$P813)),'[1]REMOVAL FEES'!$E$1:$E$13,0),3))))*$AA813,FALSE)</f>
        <v>-10.039999999999999</v>
      </c>
      <c r="AJ813" s="107">
        <f t="shared" si="159"/>
        <v>-30.628510958904094</v>
      </c>
      <c r="AK813" s="107">
        <v>-17.82</v>
      </c>
      <c r="AL813" s="107">
        <v>-6.38354842839958</v>
      </c>
      <c r="AM813" s="107">
        <f t="shared" si="160"/>
        <v>-24.203548428399579</v>
      </c>
      <c r="AN813" s="118">
        <f>(-IF($V813="Yes", IF($X813="Yes", VLOOKUP($W813, '[1]Storage Fees'!A:M, 13, FALSE), VLOOKUP($W813, '[1]Storage Fees'!A:M, 10, FALSE)), IF($X813="Yes", VLOOKUP($W813, '[1]Storage Fees'!A:M, 7, FALSE), VLOOKUP($W813, '[1]Storage Fees'!A:M, 4, FALSE))) * U813)*1.5</f>
        <v>-0.44574652777777779</v>
      </c>
    </row>
    <row r="814" spans="1:40" x14ac:dyDescent="0.25">
      <c r="A814" s="99">
        <v>742</v>
      </c>
      <c r="B814" s="99" t="s">
        <v>55</v>
      </c>
      <c r="C814" s="99" t="s">
        <v>13655</v>
      </c>
      <c r="D814" s="99" t="s">
        <v>1403</v>
      </c>
      <c r="E814" s="99" t="s">
        <v>82</v>
      </c>
      <c r="F814" s="99" t="s">
        <v>1401</v>
      </c>
      <c r="G814" s="99" t="s">
        <v>13695</v>
      </c>
      <c r="H814" s="99">
        <v>25</v>
      </c>
      <c r="I814" s="99">
        <v>4</v>
      </c>
      <c r="J814" s="99">
        <v>4</v>
      </c>
      <c r="K814" s="101" t="str">
        <f t="shared" si="148"/>
        <v>25x4x4</v>
      </c>
      <c r="L814" s="102">
        <f t="shared" si="149"/>
        <v>2.8776978417266186</v>
      </c>
      <c r="M814" s="113">
        <f t="shared" si="150"/>
        <v>2.8776978417266186</v>
      </c>
      <c r="N814" s="113">
        <f t="shared" si="151"/>
        <v>3</v>
      </c>
      <c r="O814" s="99">
        <v>2</v>
      </c>
      <c r="P814" s="113">
        <f t="shared" si="152"/>
        <v>3</v>
      </c>
      <c r="Q814" s="112">
        <f t="shared" si="153"/>
        <v>48</v>
      </c>
      <c r="R814" s="112" t="str">
        <f t="shared" si="154"/>
        <v>Oversize</v>
      </c>
      <c r="S814" s="99" t="str">
        <f t="shared" si="155"/>
        <v>Large bulky</v>
      </c>
      <c r="T814" s="116" t="s">
        <v>13692</v>
      </c>
      <c r="U814" s="116">
        <f t="shared" si="156"/>
        <v>0.23148148148148148</v>
      </c>
      <c r="V814" s="116" t="s">
        <v>13583</v>
      </c>
      <c r="W814" s="116" t="s">
        <v>13690</v>
      </c>
      <c r="X814" s="116" t="s">
        <v>13691</v>
      </c>
      <c r="Y814" s="116">
        <v>2</v>
      </c>
      <c r="Z814" s="116">
        <v>3</v>
      </c>
      <c r="AA814" s="116">
        <v>1</v>
      </c>
      <c r="AB814" s="99"/>
      <c r="AC814" s="99"/>
      <c r="AD814" s="107">
        <v>0</v>
      </c>
      <c r="AE814" s="113">
        <f t="shared" si="157"/>
        <v>0</v>
      </c>
      <c r="AF814" s="116">
        <f>-IFERROR(IFERROR(VLOOKUP(ROUNDUP($Q814,0),'FBA FEES'!$L$2:$Q$203,MATCH($S814,'FBA FEES'!$L$2:$Q$2,0),FALSE),VLOOKUP(ROUNDUP($Q814,0),'FBA FEES'!$C$6:$F$123,MATCH($S814,'FBA FEES'!$C$6:$F$6,0),FALSE)),0)</f>
        <v>-10.37</v>
      </c>
      <c r="AG814" s="116">
        <v>-10</v>
      </c>
      <c r="AH814" s="113">
        <f t="shared" si="158"/>
        <v>-10.37</v>
      </c>
      <c r="AI814" s="116">
        <f>-IFERROR(IF($Y814=1,INDEX('[1]REMOVAL FEES'!$A$1:$C$22,MATCH(CONCATENATE("Standard Size",$P814),'[1]REMOVAL FEES'!$A$1:$A$22,0),3),IF($Y814=2,IF($P814&gt;10,(($P814-10)*1.06)+INDEX('[1]REMOVAL FEES'!$E$1:$G$22,MATCH(CONCATENATE("Large bulky, extra-large and special handling items",IF($P814&gt;=11,11,$P814)),'[1]REMOVAL FEES'!$E$1:$E$13,0),3),INDEX('[1]REMOVAL FEES'!$E$1:$G$22,MATCH(CONCATENATE("Large bulky, extra-large and special handling items",IF($P814&gt;=11,11,$P814)),'[1]REMOVAL FEES'!$E$1:$E$13,0),3))))*$AA814,FALSE)</f>
        <v>-6.36</v>
      </c>
      <c r="AJ814" s="107">
        <f t="shared" si="159"/>
        <v>-16.73</v>
      </c>
      <c r="AK814" s="107">
        <v>0</v>
      </c>
      <c r="AL814" s="107">
        <v>0</v>
      </c>
      <c r="AM814" s="107">
        <f t="shared" si="160"/>
        <v>0</v>
      </c>
      <c r="AN814" s="116">
        <f>(-IF($V814="Yes", IF($X814="Yes", VLOOKUP($W814, '[1]Storage Fees'!A:M, 13, FALSE), VLOOKUP($W814, '[1]Storage Fees'!A:M, 10, FALSE)), IF($X814="Yes", VLOOKUP($W814, '[1]Storage Fees'!A:M, 7, FALSE), VLOOKUP($W814, '[1]Storage Fees'!A:M, 4, FALSE))) * U814)*1.5</f>
        <v>-0.27430555555555558</v>
      </c>
    </row>
    <row r="815" spans="1:40" x14ac:dyDescent="0.25">
      <c r="A815" s="99">
        <v>743</v>
      </c>
      <c r="B815" s="99" t="s">
        <v>55</v>
      </c>
      <c r="C815" s="99"/>
      <c r="D815" s="99"/>
      <c r="E815" s="99" t="s">
        <v>54</v>
      </c>
      <c r="F815" s="99" t="s">
        <v>480</v>
      </c>
      <c r="G815" s="99" t="s">
        <v>13656</v>
      </c>
      <c r="H815" s="99">
        <v>15</v>
      </c>
      <c r="I815" s="99">
        <v>12</v>
      </c>
      <c r="J815" s="99">
        <v>4</v>
      </c>
      <c r="K815" s="101" t="str">
        <f t="shared" si="148"/>
        <v>15x12x4</v>
      </c>
      <c r="L815" s="102">
        <f t="shared" si="149"/>
        <v>5.1798561151079134</v>
      </c>
      <c r="M815" s="113">
        <f t="shared" si="150"/>
        <v>5.1798561151079134</v>
      </c>
      <c r="N815" s="113">
        <f t="shared" si="151"/>
        <v>6</v>
      </c>
      <c r="O815" s="99">
        <v>3</v>
      </c>
      <c r="P815" s="113">
        <f t="shared" si="152"/>
        <v>6</v>
      </c>
      <c r="Q815" s="112">
        <f t="shared" si="153"/>
        <v>96</v>
      </c>
      <c r="R815" s="112" t="str">
        <f t="shared" si="154"/>
        <v>Standard-size</v>
      </c>
      <c r="S815" s="99" t="str">
        <f t="shared" si="155"/>
        <v>Large standard-size</v>
      </c>
      <c r="T815" s="116" t="s">
        <v>13693</v>
      </c>
      <c r="U815" s="116">
        <f t="shared" si="156"/>
        <v>0.41666666666666669</v>
      </c>
      <c r="V815" s="116" t="s">
        <v>13583</v>
      </c>
      <c r="W815" s="116" t="s">
        <v>13690</v>
      </c>
      <c r="X815" s="99" t="s">
        <v>13583</v>
      </c>
      <c r="Y815" s="99">
        <v>1</v>
      </c>
      <c r="Z815" s="99">
        <v>2</v>
      </c>
      <c r="AA815" s="99">
        <v>1</v>
      </c>
      <c r="AB815" s="99"/>
      <c r="AC815" s="99"/>
      <c r="AD815" s="107">
        <v>23.464844444444449</v>
      </c>
      <c r="AE815" s="113">
        <f t="shared" si="157"/>
        <v>-3.5197266666666671</v>
      </c>
      <c r="AF815" s="116">
        <f>-IFERROR(IFERROR(VLOOKUP(ROUNDUP($Q815,0),'FBA FEES'!$L$2:$Q$203,MATCH($S815,'FBA FEES'!$L$2:$Q$2,0),FALSE),VLOOKUP(ROUNDUP($Q815,0),'FBA FEES'!$C$6:$F$123,MATCH($S815,'FBA FEES'!$C$6:$F$6,0),FALSE)),0)</f>
        <v>-7.88</v>
      </c>
      <c r="AG815" s="116">
        <v>-2</v>
      </c>
      <c r="AH815" s="113">
        <f t="shared" si="158"/>
        <v>-11.399726666666666</v>
      </c>
      <c r="AI815" s="116">
        <f>-IFERROR(IF($Y815=1,INDEX('[1]REMOVAL FEES'!$A$1:$C$22,MATCH(CONCATENATE("Standard Size",$P815),'[1]REMOVAL FEES'!$A$1:$A$22,0),3),IF($Y815=2,IF($P815&gt;10,(($P815-10)*1.06)+INDEX('[1]REMOVAL FEES'!$E$1:$G$22,MATCH(CONCATENATE("Large bulky, extra-large and special handling items",IF($P815&gt;=11,11,$P815)),'[1]REMOVAL FEES'!$E$1:$E$13,0),3),INDEX('[1]REMOVAL FEES'!$E$1:$G$22,MATCH(CONCATENATE("Large bulky, extra-large and special handling items",IF($P815&gt;=11,11,$P815)),'[1]REMOVAL FEES'!$E$1:$E$13,0),3))))*$AA815,FALSE)</f>
        <v>-7.1300000000000008</v>
      </c>
      <c r="AJ815" s="107">
        <f t="shared" si="159"/>
        <v>-18.529726666666669</v>
      </c>
      <c r="AK815" s="107">
        <v>-4.9855555555555551</v>
      </c>
      <c r="AL815" s="107">
        <v>-1.4142581157414049</v>
      </c>
      <c r="AM815" s="107">
        <f t="shared" si="160"/>
        <v>-6.3998136712969602</v>
      </c>
      <c r="AN815" s="116">
        <f>(-IF($V815="Yes", IF($X815="Yes", VLOOKUP($W815, '[1]Storage Fees'!A:M, 13, FALSE), VLOOKUP($W815, '[1]Storage Fees'!A:M, 10, FALSE)), IF($X815="Yes", VLOOKUP($W815, '[1]Storage Fees'!A:M, 7, FALSE), VLOOKUP($W815, '[1]Storage Fees'!A:M, 4, FALSE))) * U815)*1.5</f>
        <v>-0.76249999999999996</v>
      </c>
    </row>
    <row r="816" spans="1:40" x14ac:dyDescent="0.25">
      <c r="A816" s="99">
        <v>744</v>
      </c>
      <c r="B816" s="99" t="s">
        <v>55</v>
      </c>
      <c r="C816" s="99"/>
      <c r="D816" s="99"/>
      <c r="E816" s="99" t="s">
        <v>54</v>
      </c>
      <c r="F816" s="99" t="s">
        <v>482</v>
      </c>
      <c r="G816" s="99" t="s">
        <v>13656</v>
      </c>
      <c r="H816" s="99">
        <v>17</v>
      </c>
      <c r="I816" s="99">
        <v>12</v>
      </c>
      <c r="J816" s="99">
        <v>11</v>
      </c>
      <c r="K816" s="101" t="str">
        <f t="shared" si="148"/>
        <v>17x12x11</v>
      </c>
      <c r="L816" s="102">
        <f t="shared" si="149"/>
        <v>16.14388489208633</v>
      </c>
      <c r="M816" s="113">
        <f t="shared" si="150"/>
        <v>16.14388489208633</v>
      </c>
      <c r="N816" s="113">
        <f t="shared" si="151"/>
        <v>17</v>
      </c>
      <c r="O816" s="99">
        <v>9</v>
      </c>
      <c r="P816" s="113">
        <f t="shared" si="152"/>
        <v>17</v>
      </c>
      <c r="Q816" s="112">
        <f t="shared" si="153"/>
        <v>272</v>
      </c>
      <c r="R816" s="112" t="str">
        <f t="shared" si="154"/>
        <v>Oversize</v>
      </c>
      <c r="S816" s="99" t="str">
        <f t="shared" si="155"/>
        <v>Large bulky</v>
      </c>
      <c r="T816" s="116" t="s">
        <v>13692</v>
      </c>
      <c r="U816" s="116">
        <f t="shared" si="156"/>
        <v>1.2986111111111112</v>
      </c>
      <c r="V816" s="116" t="s">
        <v>13583</v>
      </c>
      <c r="W816" s="116" t="s">
        <v>13690</v>
      </c>
      <c r="X816" s="116" t="s">
        <v>13691</v>
      </c>
      <c r="Y816" s="116">
        <v>2</v>
      </c>
      <c r="Z816" s="116">
        <v>3</v>
      </c>
      <c r="AA816" s="116">
        <v>1</v>
      </c>
      <c r="AB816" s="99"/>
      <c r="AC816" s="99"/>
      <c r="AD816" s="107">
        <v>53.897622950819617</v>
      </c>
      <c r="AE816" s="113">
        <f t="shared" si="157"/>
        <v>-8.0846434426229425</v>
      </c>
      <c r="AF816" s="116">
        <f>-IFERROR(IFERROR(VLOOKUP(ROUNDUP($Q816,0),'FBA FEES'!$L$2:$Q$203,MATCH($S816,'FBA FEES'!$L$2:$Q$2,0),FALSE),VLOOKUP(ROUNDUP($Q816,0),'FBA FEES'!$C$6:$F$123,MATCH($S816,'FBA FEES'!$C$6:$F$6,0),FALSE)),0)</f>
        <v>-15.69</v>
      </c>
      <c r="AG816" s="116">
        <v>-7</v>
      </c>
      <c r="AH816" s="113">
        <f t="shared" si="158"/>
        <v>-23.774643442622942</v>
      </c>
      <c r="AI816" s="116">
        <f>-IFERROR(IF($Y816=1,INDEX('[1]REMOVAL FEES'!$A$1:$C$22,MATCH(CONCATENATE("Standard Size",$P816),'[1]REMOVAL FEES'!$A$1:$A$22,0),3),IF($Y816=2,IF($P816&gt;10,(($P816-10)*1.06)+INDEX('[1]REMOVAL FEES'!$E$1:$G$22,MATCH(CONCATENATE("Large bulky, extra-large and special handling items",IF($P816&gt;=11,11,$P816)),'[1]REMOVAL FEES'!$E$1:$E$13,0),3),INDEX('[1]REMOVAL FEES'!$E$1:$G$22,MATCH(CONCATENATE("Large bulky, extra-large and special handling items",IF($P816&gt;=11,11,$P816)),'[1]REMOVAL FEES'!$E$1:$E$13,0),3))))*$AA816,FALSE)</f>
        <v>-21.740000000000002</v>
      </c>
      <c r="AJ816" s="107">
        <f t="shared" si="159"/>
        <v>-45.51464344262294</v>
      </c>
      <c r="AK816" s="107">
        <v>-11.76770491803279</v>
      </c>
      <c r="AL816" s="107">
        <v>-7.1108504098360568</v>
      </c>
      <c r="AM816" s="107">
        <f t="shared" si="160"/>
        <v>-18.878555327868845</v>
      </c>
      <c r="AN816" s="116">
        <f>(-IF($V816="Yes", IF($X816="Yes", VLOOKUP($W816, '[1]Storage Fees'!A:M, 13, FALSE), VLOOKUP($W816, '[1]Storage Fees'!A:M, 10, FALSE)), IF($X816="Yes", VLOOKUP($W816, '[1]Storage Fees'!A:M, 7, FALSE), VLOOKUP($W816, '[1]Storage Fees'!A:M, 4, FALSE))) * U816)*1.5</f>
        <v>-1.5388541666666669</v>
      </c>
    </row>
    <row r="817" spans="1:40" x14ac:dyDescent="0.25">
      <c r="A817" s="99">
        <v>745</v>
      </c>
      <c r="B817" s="99" t="s">
        <v>55</v>
      </c>
      <c r="C817" s="99"/>
      <c r="D817" s="99"/>
      <c r="E817" s="99" t="s">
        <v>54</v>
      </c>
      <c r="F817" s="99" t="s">
        <v>484</v>
      </c>
      <c r="G817" s="99" t="s">
        <v>13656</v>
      </c>
      <c r="H817" s="99">
        <v>13</v>
      </c>
      <c r="I817" s="99">
        <v>9</v>
      </c>
      <c r="J817" s="99">
        <v>9</v>
      </c>
      <c r="K817" s="101" t="str">
        <f t="shared" si="148"/>
        <v>13x9x9</v>
      </c>
      <c r="L817" s="102">
        <f t="shared" si="149"/>
        <v>7.5755395683453237</v>
      </c>
      <c r="M817" s="113">
        <f t="shared" si="150"/>
        <v>7.5755395683453237</v>
      </c>
      <c r="N817" s="113">
        <f t="shared" si="151"/>
        <v>8</v>
      </c>
      <c r="O817" s="99">
        <v>4</v>
      </c>
      <c r="P817" s="113">
        <f t="shared" si="152"/>
        <v>8</v>
      </c>
      <c r="Q817" s="112">
        <f t="shared" si="153"/>
        <v>128</v>
      </c>
      <c r="R817" s="112" t="str">
        <f t="shared" si="154"/>
        <v>Oversize</v>
      </c>
      <c r="S817" s="99" t="str">
        <f t="shared" si="155"/>
        <v>Large bulky</v>
      </c>
      <c r="T817" s="116" t="s">
        <v>13692</v>
      </c>
      <c r="U817" s="116">
        <f t="shared" si="156"/>
        <v>0.609375</v>
      </c>
      <c r="V817" s="116" t="s">
        <v>13583</v>
      </c>
      <c r="W817" s="116" t="s">
        <v>13690</v>
      </c>
      <c r="X817" s="116" t="s">
        <v>13691</v>
      </c>
      <c r="Y817" s="116">
        <v>2</v>
      </c>
      <c r="Z817" s="116">
        <v>3</v>
      </c>
      <c r="AA817" s="116">
        <v>1</v>
      </c>
      <c r="AB817" s="99"/>
      <c r="AC817" s="99"/>
      <c r="AD817" s="107">
        <v>20.807083333333331</v>
      </c>
      <c r="AE817" s="113">
        <f t="shared" si="157"/>
        <v>-3.1210624999999994</v>
      </c>
      <c r="AF817" s="116">
        <f>-IFERROR(IFERROR(VLOOKUP(ROUNDUP($Q817,0),'FBA FEES'!$L$2:$Q$203,MATCH($S817,'FBA FEES'!$L$2:$Q$2,0),FALSE),VLOOKUP(ROUNDUP($Q817,0),'FBA FEES'!$C$6:$F$123,MATCH($S817,'FBA FEES'!$C$6:$F$6,0),FALSE)),0)</f>
        <v>-12.27</v>
      </c>
      <c r="AG817" s="116">
        <v>-7</v>
      </c>
      <c r="AH817" s="113">
        <f t="shared" si="158"/>
        <v>-15.391062499999999</v>
      </c>
      <c r="AI817" s="116">
        <f>-IFERROR(IF($Y817=1,INDEX('[1]REMOVAL FEES'!$A$1:$C$22,MATCH(CONCATENATE("Standard Size",$P817),'[1]REMOVAL FEES'!$A$1:$A$22,0),3),IF($Y817=2,IF($P817&gt;10,(($P817-10)*1.06)+INDEX('[1]REMOVAL FEES'!$E$1:$G$22,MATCH(CONCATENATE("Large bulky, extra-large and special handling items",IF($P817&gt;=11,11,$P817)),'[1]REMOVAL FEES'!$E$1:$E$13,0),3),INDEX('[1]REMOVAL FEES'!$E$1:$G$22,MATCH(CONCATENATE("Large bulky, extra-large and special handling items",IF($P817&gt;=11,11,$P817)),'[1]REMOVAL FEES'!$E$1:$E$13,0),3))))*$AA817,FALSE)</f>
        <v>-10.039999999999999</v>
      </c>
      <c r="AJ817" s="107">
        <f t="shared" si="159"/>
        <v>-25.431062499999996</v>
      </c>
      <c r="AK817" s="107">
        <v>-5.4200000000000008</v>
      </c>
      <c r="AL817" s="107">
        <v>-4.4334420418694114</v>
      </c>
      <c r="AM817" s="107">
        <f t="shared" si="160"/>
        <v>-9.8534420418694122</v>
      </c>
      <c r="AN817" s="116">
        <f>(-IF($V817="Yes", IF($X817="Yes", VLOOKUP($W817, '[1]Storage Fees'!A:M, 13, FALSE), VLOOKUP($W817, '[1]Storage Fees'!A:M, 10, FALSE)), IF($X817="Yes", VLOOKUP($W817, '[1]Storage Fees'!A:M, 7, FALSE), VLOOKUP($W817, '[1]Storage Fees'!A:M, 4, FALSE))) * U817)*1.5</f>
        <v>-0.72210937500000005</v>
      </c>
    </row>
    <row r="818" spans="1:40" x14ac:dyDescent="0.25">
      <c r="A818" s="99">
        <v>746</v>
      </c>
      <c r="B818" s="99" t="s">
        <v>55</v>
      </c>
      <c r="C818" s="99"/>
      <c r="D818" s="99"/>
      <c r="E818" s="99" t="s">
        <v>54</v>
      </c>
      <c r="F818" s="99" t="s">
        <v>486</v>
      </c>
      <c r="G818" s="99" t="s">
        <v>13656</v>
      </c>
      <c r="H818" s="99">
        <v>16</v>
      </c>
      <c r="I818" s="99">
        <v>12</v>
      </c>
      <c r="J818" s="99">
        <v>2</v>
      </c>
      <c r="K818" s="101" t="str">
        <f t="shared" si="148"/>
        <v>16x12x2</v>
      </c>
      <c r="L818" s="102">
        <f t="shared" si="149"/>
        <v>2.7625899280575541</v>
      </c>
      <c r="M818" s="113">
        <f t="shared" si="150"/>
        <v>2.7625899280575541</v>
      </c>
      <c r="N818" s="113">
        <f t="shared" si="151"/>
        <v>3</v>
      </c>
      <c r="O818" s="99">
        <v>2</v>
      </c>
      <c r="P818" s="113">
        <f t="shared" si="152"/>
        <v>3</v>
      </c>
      <c r="Q818" s="112">
        <f t="shared" si="153"/>
        <v>48</v>
      </c>
      <c r="R818" s="112" t="str">
        <f t="shared" si="154"/>
        <v>Standard-size</v>
      </c>
      <c r="S818" s="99" t="str">
        <f t="shared" si="155"/>
        <v>Large standard-size</v>
      </c>
      <c r="T818" s="116" t="s">
        <v>13701</v>
      </c>
      <c r="U818" s="116">
        <f t="shared" si="156"/>
        <v>0.22222222222222221</v>
      </c>
      <c r="V818" s="116" t="s">
        <v>13583</v>
      </c>
      <c r="W818" s="116" t="s">
        <v>13690</v>
      </c>
      <c r="X818" s="99" t="s">
        <v>13583</v>
      </c>
      <c r="Y818" s="99">
        <v>1</v>
      </c>
      <c r="Z818" s="99">
        <v>2</v>
      </c>
      <c r="AA818" s="99">
        <v>1</v>
      </c>
      <c r="AB818" s="99"/>
      <c r="AC818" s="99"/>
      <c r="AD818" s="107">
        <v>16.876619047619059</v>
      </c>
      <c r="AE818" s="113">
        <f t="shared" si="157"/>
        <v>-2.5314928571428585</v>
      </c>
      <c r="AF818" s="116">
        <f>-IFERROR(IFERROR(VLOOKUP(ROUNDUP($Q818,0),'FBA FEES'!$L$2:$Q$203,MATCH($S818,'FBA FEES'!$L$2:$Q$2,0),FALSE),VLOOKUP(ROUNDUP($Q818,0),'FBA FEES'!$C$6:$F$123,MATCH($S818,'FBA FEES'!$C$6:$F$6,0),FALSE)),0)</f>
        <v>-6.62</v>
      </c>
      <c r="AG818" s="116">
        <v>-2</v>
      </c>
      <c r="AH818" s="113">
        <f t="shared" si="158"/>
        <v>-9.1514928571428591</v>
      </c>
      <c r="AI818" s="116">
        <f>-IFERROR(IF($Y818=1,INDEX('[1]REMOVAL FEES'!$A$1:$C$22,MATCH(CONCATENATE("Standard Size",$P818),'[1]REMOVAL FEES'!$A$1:$A$22,0),3),IF($Y818=2,IF($P818&gt;10,(($P818-10)*1.06)+INDEX('[1]REMOVAL FEES'!$E$1:$G$22,MATCH(CONCATENATE("Large bulky, extra-large and special handling items",IF($P818&gt;=11,11,$P818)),'[1]REMOVAL FEES'!$E$1:$E$13,0),3),INDEX('[1]REMOVAL FEES'!$E$1:$G$22,MATCH(CONCATENATE("Large bulky, extra-large and special handling items",IF($P818&gt;=11,11,$P818)),'[1]REMOVAL FEES'!$E$1:$E$13,0),3))))*$AA818,FALSE)</f>
        <v>-3.95</v>
      </c>
      <c r="AJ818" s="107">
        <f t="shared" si="159"/>
        <v>-13.101492857142858</v>
      </c>
      <c r="AK818" s="107">
        <v>-3.303333333333335</v>
      </c>
      <c r="AL818" s="107">
        <v>-1.093161722082072</v>
      </c>
      <c r="AM818" s="107">
        <f t="shared" si="160"/>
        <v>-4.3964950554154072</v>
      </c>
      <c r="AN818" s="116">
        <f>(-IF($V818="Yes", IF($X818="Yes", VLOOKUP($W818, '[1]Storage Fees'!A:M, 13, FALSE), VLOOKUP($W818, '[1]Storage Fees'!A:M, 10, FALSE)), IF($X818="Yes", VLOOKUP($W818, '[1]Storage Fees'!A:M, 7, FALSE), VLOOKUP($W818, '[1]Storage Fees'!A:M, 4, FALSE))) * U818)*1.5</f>
        <v>-0.40666666666666662</v>
      </c>
    </row>
    <row r="819" spans="1:40" x14ac:dyDescent="0.25">
      <c r="A819" s="99">
        <v>747</v>
      </c>
      <c r="B819" s="99" t="s">
        <v>55</v>
      </c>
      <c r="C819" s="99"/>
      <c r="D819" s="99"/>
      <c r="E819" s="99" t="s">
        <v>54</v>
      </c>
      <c r="F819" s="99" t="s">
        <v>488</v>
      </c>
      <c r="G819" s="99" t="s">
        <v>13656</v>
      </c>
      <c r="H819" s="99">
        <v>13</v>
      </c>
      <c r="I819" s="99">
        <v>8</v>
      </c>
      <c r="J819" s="99">
        <v>7</v>
      </c>
      <c r="K819" s="101" t="str">
        <f t="shared" si="148"/>
        <v>13x8x7</v>
      </c>
      <c r="L819" s="102">
        <f t="shared" si="149"/>
        <v>5.2374100719424463</v>
      </c>
      <c r="M819" s="113">
        <f t="shared" si="150"/>
        <v>5.2374100719424463</v>
      </c>
      <c r="N819" s="113">
        <f t="shared" si="151"/>
        <v>6</v>
      </c>
      <c r="O819" s="99">
        <v>3</v>
      </c>
      <c r="P819" s="113">
        <f t="shared" si="152"/>
        <v>6</v>
      </c>
      <c r="Q819" s="112">
        <f t="shared" si="153"/>
        <v>96</v>
      </c>
      <c r="R819" s="112" t="str">
        <f t="shared" si="154"/>
        <v>Standard-size</v>
      </c>
      <c r="S819" s="99" t="str">
        <f t="shared" si="155"/>
        <v>Large standard-size</v>
      </c>
      <c r="T819" s="116" t="s">
        <v>13693</v>
      </c>
      <c r="U819" s="116">
        <f t="shared" si="156"/>
        <v>0.42129629629629628</v>
      </c>
      <c r="V819" s="116" t="s">
        <v>13583</v>
      </c>
      <c r="W819" s="116" t="s">
        <v>13690</v>
      </c>
      <c r="X819" s="99" t="s">
        <v>13583</v>
      </c>
      <c r="Y819" s="99">
        <v>1</v>
      </c>
      <c r="Z819" s="99">
        <v>2</v>
      </c>
      <c r="AA819" s="99">
        <v>1</v>
      </c>
      <c r="AB819" s="99"/>
      <c r="AC819" s="99"/>
      <c r="AD819" s="107">
        <v>15.928000000000001</v>
      </c>
      <c r="AE819" s="113">
        <f t="shared" si="157"/>
        <v>-2.3892000000000002</v>
      </c>
      <c r="AF819" s="116">
        <f>-IFERROR(IFERROR(VLOOKUP(ROUNDUP($Q819,0),'FBA FEES'!$L$2:$Q$203,MATCH($S819,'FBA FEES'!$L$2:$Q$2,0),FALSE),VLOOKUP(ROUNDUP($Q819,0),'FBA FEES'!$C$6:$F$123,MATCH($S819,'FBA FEES'!$C$6:$F$6,0),FALSE)),0)</f>
        <v>-7.88</v>
      </c>
      <c r="AG819" s="116">
        <v>-2</v>
      </c>
      <c r="AH819" s="113">
        <f t="shared" si="158"/>
        <v>-10.2692</v>
      </c>
      <c r="AI819" s="116">
        <f>-IFERROR(IF($Y819=1,INDEX('[1]REMOVAL FEES'!$A$1:$C$22,MATCH(CONCATENATE("Standard Size",$P819),'[1]REMOVAL FEES'!$A$1:$A$22,0),3),IF($Y819=2,IF($P819&gt;10,(($P819-10)*1.06)+INDEX('[1]REMOVAL FEES'!$E$1:$G$22,MATCH(CONCATENATE("Large bulky, extra-large and special handling items",IF($P819&gt;=11,11,$P819)),'[1]REMOVAL FEES'!$E$1:$E$13,0),3),INDEX('[1]REMOVAL FEES'!$E$1:$G$22,MATCH(CONCATENATE("Large bulky, extra-large and special handling items",IF($P819&gt;=11,11,$P819)),'[1]REMOVAL FEES'!$E$1:$E$13,0),3))))*$AA819,FALSE)</f>
        <v>-7.1300000000000008</v>
      </c>
      <c r="AJ819" s="107">
        <f t="shared" si="159"/>
        <v>-17.3992</v>
      </c>
      <c r="AK819" s="107">
        <v>-3.86</v>
      </c>
      <c r="AL819" s="107">
        <v>-1.4122215854010209</v>
      </c>
      <c r="AM819" s="107">
        <f t="shared" si="160"/>
        <v>-5.272221585401021</v>
      </c>
      <c r="AN819" s="116">
        <f>(-IF($V819="Yes", IF($X819="Yes", VLOOKUP($W819, '[1]Storage Fees'!A:M, 13, FALSE), VLOOKUP($W819, '[1]Storage Fees'!A:M, 10, FALSE)), IF($X819="Yes", VLOOKUP($W819, '[1]Storage Fees'!A:M, 7, FALSE), VLOOKUP($W819, '[1]Storage Fees'!A:M, 4, FALSE))) * U819)*1.5</f>
        <v>-0.77097222222222217</v>
      </c>
    </row>
    <row r="820" spans="1:40" x14ac:dyDescent="0.25">
      <c r="A820" s="99">
        <v>748</v>
      </c>
      <c r="B820" s="99" t="s">
        <v>55</v>
      </c>
      <c r="C820" s="99"/>
      <c r="D820" s="99"/>
      <c r="E820" s="99" t="s">
        <v>54</v>
      </c>
      <c r="F820" s="99" t="s">
        <v>490</v>
      </c>
      <c r="G820" s="99" t="s">
        <v>13656</v>
      </c>
      <c r="H820" s="99">
        <v>12</v>
      </c>
      <c r="I820" s="99">
        <v>8</v>
      </c>
      <c r="J820" s="99">
        <v>2</v>
      </c>
      <c r="K820" s="101" t="str">
        <f t="shared" si="148"/>
        <v>12x8x2</v>
      </c>
      <c r="L820" s="102">
        <f t="shared" si="149"/>
        <v>1.3812949640287771</v>
      </c>
      <c r="M820" s="113">
        <f t="shared" si="150"/>
        <v>1.3812949640287771</v>
      </c>
      <c r="N820" s="113">
        <f t="shared" si="151"/>
        <v>2</v>
      </c>
      <c r="O820" s="99">
        <v>0.5</v>
      </c>
      <c r="P820" s="113">
        <f t="shared" si="152"/>
        <v>2</v>
      </c>
      <c r="Q820" s="112">
        <f t="shared" si="153"/>
        <v>32</v>
      </c>
      <c r="R820" s="112" t="str">
        <f t="shared" si="154"/>
        <v>Standard-size</v>
      </c>
      <c r="S820" s="99" t="str">
        <f t="shared" si="155"/>
        <v>Large standard-size</v>
      </c>
      <c r="T820" s="116" t="s">
        <v>13697</v>
      </c>
      <c r="U820" s="116">
        <f t="shared" si="156"/>
        <v>0.1111111111111111</v>
      </c>
      <c r="V820" s="116" t="s">
        <v>13583</v>
      </c>
      <c r="W820" s="116" t="s">
        <v>13690</v>
      </c>
      <c r="X820" s="99" t="s">
        <v>13583</v>
      </c>
      <c r="Y820" s="99">
        <v>1</v>
      </c>
      <c r="Z820" s="99">
        <v>2</v>
      </c>
      <c r="AA820" s="99">
        <v>1</v>
      </c>
      <c r="AB820" s="99"/>
      <c r="AC820" s="99"/>
      <c r="AD820" s="107">
        <v>8.3321636363636422</v>
      </c>
      <c r="AE820" s="113">
        <f t="shared" si="157"/>
        <v>-1.2498245454545462</v>
      </c>
      <c r="AF820" s="116">
        <f>-IFERROR(IFERROR(VLOOKUP(ROUNDUP($Q820,0),'FBA FEES'!$L$2:$Q$203,MATCH($S820,'FBA FEES'!$L$2:$Q$2,0),FALSE),VLOOKUP(ROUNDUP($Q820,0),'FBA FEES'!$C$6:$F$123,MATCH($S820,'FBA FEES'!$C$6:$F$6,0),FALSE)),0)</f>
        <v>-5.77</v>
      </c>
      <c r="AG820" s="116">
        <v>-2</v>
      </c>
      <c r="AH820" s="113">
        <f t="shared" si="158"/>
        <v>-7.0198245454545454</v>
      </c>
      <c r="AI820" s="116">
        <f>-IFERROR(IF($Y820=1,INDEX('[1]REMOVAL FEES'!$A$1:$C$22,MATCH(CONCATENATE("Standard Size",$P820),'[1]REMOVAL FEES'!$A$1:$A$22,0),3),IF($Y820=2,IF($P820&gt;10,(($P820-10)*1.06)+INDEX('[1]REMOVAL FEES'!$E$1:$G$22,MATCH(CONCATENATE("Large bulky, extra-large and special handling items",IF($P820&gt;=11,11,$P820)),'[1]REMOVAL FEES'!$E$1:$E$13,0),3),INDEX('[1]REMOVAL FEES'!$E$1:$G$22,MATCH(CONCATENATE("Large bulky, extra-large and special handling items",IF($P820&gt;=11,11,$P820)),'[1]REMOVAL FEES'!$E$1:$E$13,0),3))))*$AA820,FALSE)</f>
        <v>-2.27</v>
      </c>
      <c r="AJ820" s="107">
        <f t="shared" si="159"/>
        <v>-9.2898245454545449</v>
      </c>
      <c r="AK820" s="107">
        <v>-1</v>
      </c>
      <c r="AL820" s="107">
        <v>-0.55666949223622064</v>
      </c>
      <c r="AM820" s="107">
        <f t="shared" si="160"/>
        <v>-1.5566694922362205</v>
      </c>
      <c r="AN820" s="116">
        <f>(-IF($V820="Yes", IF($X820="Yes", VLOOKUP($W820, '[1]Storage Fees'!A:M, 13, FALSE), VLOOKUP($W820, '[1]Storage Fees'!A:M, 10, FALSE)), IF($X820="Yes", VLOOKUP($W820, '[1]Storage Fees'!A:M, 7, FALSE), VLOOKUP($W820, '[1]Storage Fees'!A:M, 4, FALSE))) * U820)*1.5</f>
        <v>-0.20333333333333331</v>
      </c>
    </row>
    <row r="821" spans="1:40" x14ac:dyDescent="0.25">
      <c r="A821" s="99">
        <v>749</v>
      </c>
      <c r="B821" s="99" t="s">
        <v>55</v>
      </c>
      <c r="C821" s="99"/>
      <c r="D821" s="99"/>
      <c r="E821" s="99" t="s">
        <v>201</v>
      </c>
      <c r="F821" s="99" t="s">
        <v>492</v>
      </c>
      <c r="G821" s="99" t="s">
        <v>13656</v>
      </c>
      <c r="H821" s="99">
        <v>21</v>
      </c>
      <c r="I821" s="99">
        <v>21</v>
      </c>
      <c r="J821" s="99">
        <v>3</v>
      </c>
      <c r="K821" s="101" t="str">
        <f t="shared" si="148"/>
        <v>21x21x3</v>
      </c>
      <c r="L821" s="102">
        <f t="shared" si="149"/>
        <v>9.5179856115107917</v>
      </c>
      <c r="M821" s="113">
        <f t="shared" si="150"/>
        <v>9.5179856115107917</v>
      </c>
      <c r="N821" s="113">
        <f t="shared" si="151"/>
        <v>10</v>
      </c>
      <c r="O821" s="99">
        <v>14</v>
      </c>
      <c r="P821" s="113">
        <f t="shared" si="152"/>
        <v>14</v>
      </c>
      <c r="Q821" s="112">
        <f t="shared" si="153"/>
        <v>224</v>
      </c>
      <c r="R821" s="112" t="str">
        <f t="shared" si="154"/>
        <v>Oversize</v>
      </c>
      <c r="S821" s="99" t="str">
        <f t="shared" si="155"/>
        <v>Large bulky</v>
      </c>
      <c r="T821" s="116" t="s">
        <v>13692</v>
      </c>
      <c r="U821" s="116">
        <f t="shared" si="156"/>
        <v>0.765625</v>
      </c>
      <c r="V821" s="116" t="s">
        <v>13583</v>
      </c>
      <c r="W821" s="116" t="s">
        <v>13690</v>
      </c>
      <c r="X821" s="116" t="s">
        <v>13691</v>
      </c>
      <c r="Y821" s="116">
        <v>2</v>
      </c>
      <c r="Z821" s="116">
        <v>3</v>
      </c>
      <c r="AA821" s="116">
        <v>1</v>
      </c>
      <c r="AB821" s="99"/>
      <c r="AC821" s="99"/>
      <c r="AD821" s="107">
        <v>94.906595744680743</v>
      </c>
      <c r="AE821" s="113">
        <f t="shared" si="157"/>
        <v>-14.235989361702112</v>
      </c>
      <c r="AF821" s="118">
        <f>-IFERROR(IFERROR(VLOOKUP(ROUNDUP($Q821,0),'FBA FEES'!$L$2:$Q$203,MATCH($S821,'FBA FEES'!$L$2:$Q$2,0),FALSE),VLOOKUP(ROUNDUP($Q821,0),'FBA FEES'!$C$6:$F$123,MATCH($S821,'FBA FEES'!$C$6:$F$6,0),FALSE)),0)</f>
        <v>-14.55</v>
      </c>
      <c r="AG821" s="116">
        <v>-7</v>
      </c>
      <c r="AH821" s="113">
        <f t="shared" si="158"/>
        <v>-28.785989361702114</v>
      </c>
      <c r="AI821" s="118">
        <f>-IFERROR(IF($Y821=1,INDEX('[1]REMOVAL FEES'!$A$1:$C$22,MATCH(CONCATENATE("Standard Size",$P821),'[1]REMOVAL FEES'!$A$1:$A$22,0),3),IF($Y821=2,IF($P821&gt;10,(($P821-10)*1.06)+INDEX('[1]REMOVAL FEES'!$E$1:$G$22,MATCH(CONCATENATE("Large bulky, extra-large and special handling items",IF($P821&gt;=11,11,$P821)),'[1]REMOVAL FEES'!$E$1:$E$13,0),3),INDEX('[1]REMOVAL FEES'!$E$1:$G$22,MATCH(CONCATENATE("Large bulky, extra-large and special handling items",IF($P821&gt;=11,11,$P821)),'[1]REMOVAL FEES'!$E$1:$E$13,0),3))))*$AA821,FALSE)</f>
        <v>-18.560000000000002</v>
      </c>
      <c r="AJ821" s="107">
        <f t="shared" si="159"/>
        <v>-47.345989361702117</v>
      </c>
      <c r="AK821" s="107">
        <v>-24.4</v>
      </c>
      <c r="AL821" s="107">
        <v>-7.2838581560283693</v>
      </c>
      <c r="AM821" s="107">
        <f t="shared" si="160"/>
        <v>-31.683858156028368</v>
      </c>
      <c r="AN821" s="118">
        <f>(-IF($V821="Yes", IF($X821="Yes", VLOOKUP($W821, '[1]Storage Fees'!A:M, 13, FALSE), VLOOKUP($W821, '[1]Storage Fees'!A:M, 10, FALSE)), IF($X821="Yes", VLOOKUP($W821, '[1]Storage Fees'!A:M, 7, FALSE), VLOOKUP($W821, '[1]Storage Fees'!A:M, 4, FALSE))) * U821)*1.5</f>
        <v>-0.90726562499999996</v>
      </c>
    </row>
    <row r="822" spans="1:40" x14ac:dyDescent="0.25">
      <c r="A822" s="99">
        <v>750</v>
      </c>
      <c r="B822" s="99" t="s">
        <v>55</v>
      </c>
      <c r="C822" s="99"/>
      <c r="D822" s="99"/>
      <c r="E822" s="99" t="s">
        <v>186</v>
      </c>
      <c r="F822" s="99" t="s">
        <v>494</v>
      </c>
      <c r="G822" s="99" t="s">
        <v>13656</v>
      </c>
      <c r="H822" s="99">
        <v>26</v>
      </c>
      <c r="I822" s="99">
        <v>8</v>
      </c>
      <c r="J822" s="99">
        <v>8</v>
      </c>
      <c r="K822" s="101" t="str">
        <f t="shared" si="148"/>
        <v>26x8x8</v>
      </c>
      <c r="L822" s="102">
        <f t="shared" si="149"/>
        <v>11.971223021582734</v>
      </c>
      <c r="M822" s="113">
        <f t="shared" si="150"/>
        <v>11.971223021582734</v>
      </c>
      <c r="N822" s="113">
        <f t="shared" si="151"/>
        <v>12</v>
      </c>
      <c r="O822" s="99">
        <v>6</v>
      </c>
      <c r="P822" s="113">
        <f t="shared" si="152"/>
        <v>12</v>
      </c>
      <c r="Q822" s="112">
        <f t="shared" si="153"/>
        <v>192</v>
      </c>
      <c r="R822" s="112" t="str">
        <f t="shared" si="154"/>
        <v>Oversize</v>
      </c>
      <c r="S822" s="99" t="str">
        <f t="shared" si="155"/>
        <v>Large bulky</v>
      </c>
      <c r="T822" s="116" t="s">
        <v>13692</v>
      </c>
      <c r="U822" s="116">
        <f t="shared" si="156"/>
        <v>0.96296296296296291</v>
      </c>
      <c r="V822" s="116" t="s">
        <v>13583</v>
      </c>
      <c r="W822" s="116" t="s">
        <v>13690</v>
      </c>
      <c r="X822" s="116" t="s">
        <v>13691</v>
      </c>
      <c r="Y822" s="116">
        <v>2</v>
      </c>
      <c r="Z822" s="116">
        <v>3</v>
      </c>
      <c r="AA822" s="116">
        <v>1</v>
      </c>
      <c r="AB822" s="99"/>
      <c r="AC822" s="99"/>
      <c r="AD822" s="107">
        <v>46.419599999999967</v>
      </c>
      <c r="AE822" s="113">
        <f t="shared" si="157"/>
        <v>-6.9629399999999952</v>
      </c>
      <c r="AF822" s="116">
        <f>-IFERROR(IFERROR(VLOOKUP(ROUNDUP($Q822,0),'FBA FEES'!$L$2:$Q$203,MATCH($S822,'FBA FEES'!$L$2:$Q$2,0),FALSE),VLOOKUP(ROUNDUP($Q822,0),'FBA FEES'!$C$6:$F$123,MATCH($S822,'FBA FEES'!$C$6:$F$6,0),FALSE)),0)</f>
        <v>-13.79</v>
      </c>
      <c r="AG822" s="116">
        <v>-10</v>
      </c>
      <c r="AH822" s="113">
        <f t="shared" si="158"/>
        <v>-20.752939999999995</v>
      </c>
      <c r="AI822" s="116">
        <f>-IFERROR(IF($Y822=1,INDEX('[1]REMOVAL FEES'!$A$1:$C$22,MATCH(CONCATENATE("Standard Size",$P822),'[1]REMOVAL FEES'!$A$1:$A$22,0),3),IF($Y822=2,IF($P822&gt;10,(($P822-10)*1.06)+INDEX('[1]REMOVAL FEES'!$E$1:$G$22,MATCH(CONCATENATE("Large bulky, extra-large and special handling items",IF($P822&gt;=11,11,$P822)),'[1]REMOVAL FEES'!$E$1:$E$13,0),3),INDEX('[1]REMOVAL FEES'!$E$1:$G$22,MATCH(CONCATENATE("Large bulky, extra-large and special handling items",IF($P822&gt;=11,11,$P822)),'[1]REMOVAL FEES'!$E$1:$E$13,0),3))))*$AA822,FALSE)</f>
        <v>-16.440000000000001</v>
      </c>
      <c r="AJ822" s="107">
        <f t="shared" si="159"/>
        <v>-37.192939999999993</v>
      </c>
      <c r="AK822" s="107">
        <v>-7.600000000000005</v>
      </c>
      <c r="AL822" s="107">
        <v>-6.5310793846153841</v>
      </c>
      <c r="AM822" s="107">
        <f t="shared" si="160"/>
        <v>-14.13107938461539</v>
      </c>
      <c r="AN822" s="116">
        <f>(-IF($V822="Yes", IF($X822="Yes", VLOOKUP($W822, '[1]Storage Fees'!A:M, 13, FALSE), VLOOKUP($W822, '[1]Storage Fees'!A:M, 10, FALSE)), IF($X822="Yes", VLOOKUP($W822, '[1]Storage Fees'!A:M, 7, FALSE), VLOOKUP($W822, '[1]Storage Fees'!A:M, 4, FALSE))) * U822)*1.5</f>
        <v>-1.141111111111111</v>
      </c>
    </row>
    <row r="823" spans="1:40" x14ac:dyDescent="0.25">
      <c r="A823" s="99">
        <v>751</v>
      </c>
      <c r="B823" s="99"/>
      <c r="C823" s="99" t="s">
        <v>13655</v>
      </c>
      <c r="D823" s="99"/>
      <c r="E823" s="99" t="s">
        <v>232</v>
      </c>
      <c r="F823" s="99" t="s">
        <v>2193</v>
      </c>
      <c r="G823" s="99" t="s">
        <v>13695</v>
      </c>
      <c r="H823" s="99">
        <v>0</v>
      </c>
      <c r="I823" s="99">
        <v>0</v>
      </c>
      <c r="J823" s="99">
        <v>0</v>
      </c>
      <c r="K823" s="101" t="str">
        <f t="shared" si="148"/>
        <v>0x0x0</v>
      </c>
      <c r="L823" s="102">
        <f t="shared" si="149"/>
        <v>0</v>
      </c>
      <c r="M823" s="113">
        <f t="shared" si="150"/>
        <v>0</v>
      </c>
      <c r="N823" s="113">
        <f t="shared" si="151"/>
        <v>0</v>
      </c>
      <c r="O823" s="99">
        <v>0</v>
      </c>
      <c r="P823" s="113">
        <f t="shared" si="152"/>
        <v>0</v>
      </c>
      <c r="Q823" s="112">
        <f t="shared" si="153"/>
        <v>0</v>
      </c>
      <c r="R823" s="112" t="str">
        <f t="shared" si="154"/>
        <v>Standard-size</v>
      </c>
      <c r="S823" s="99" t="str">
        <f t="shared" si="155"/>
        <v>Small standard-size</v>
      </c>
      <c r="T823" s="116" t="s">
        <v>13696</v>
      </c>
      <c r="U823" s="116">
        <f t="shared" si="156"/>
        <v>0</v>
      </c>
      <c r="V823" s="116" t="s">
        <v>13583</v>
      </c>
      <c r="W823" s="116" t="s">
        <v>13690</v>
      </c>
      <c r="X823" s="99" t="s">
        <v>13583</v>
      </c>
      <c r="Y823" s="99">
        <v>1</v>
      </c>
      <c r="Z823" s="99">
        <v>1</v>
      </c>
      <c r="AA823" s="99">
        <v>1</v>
      </c>
      <c r="AB823" s="99"/>
      <c r="AC823" s="99"/>
      <c r="AD823" s="107">
        <v>0</v>
      </c>
      <c r="AE823" s="113">
        <f t="shared" si="157"/>
        <v>0</v>
      </c>
      <c r="AF823" s="116">
        <f>-IFERROR(IFERROR(VLOOKUP(ROUNDUP($Q823,0),'FBA FEES'!$L$2:$Q$203,MATCH($S823,'FBA FEES'!$L$2:$Q$2,0),FALSE),VLOOKUP(ROUNDUP($Q823,0),'FBA FEES'!$C$6:$F$123,MATCH($S823,'FBA FEES'!$C$6:$F$6,0),FALSE)),0)</f>
        <v>0</v>
      </c>
      <c r="AG823" s="116">
        <v>-10</v>
      </c>
      <c r="AH823" s="113">
        <f t="shared" si="158"/>
        <v>0</v>
      </c>
      <c r="AI823" s="116">
        <f>-IFERROR(IF($Y823=1,INDEX('[1]REMOVAL FEES'!$A$1:$C$22,MATCH(CONCATENATE("Standard Size",$P823),'[1]REMOVAL FEES'!$A$1:$A$22,0),3),IF($Y823=2,IF($P823&gt;10,(($P823-10)*1.06)+INDEX('[1]REMOVAL FEES'!$E$1:$G$22,MATCH(CONCATENATE("Large bulky, extra-large and special handling items",IF($P823&gt;=11,11,$P823)),'[1]REMOVAL FEES'!$E$1:$E$13,0),3),INDEX('[1]REMOVAL FEES'!$E$1:$G$22,MATCH(CONCATENATE("Large bulky, extra-large and special handling items",IF($P823&gt;=11,11,$P823)),'[1]REMOVAL FEES'!$E$1:$E$13,0),3))))*$AA823,FALSE)</f>
        <v>0</v>
      </c>
      <c r="AJ823" s="107">
        <f t="shared" si="159"/>
        <v>0</v>
      </c>
      <c r="AK823" s="107">
        <v>0</v>
      </c>
      <c r="AL823" s="107">
        <v>0</v>
      </c>
      <c r="AM823" s="107">
        <f t="shared" si="160"/>
        <v>0</v>
      </c>
      <c r="AN823" s="116">
        <f>(-IF($V823="Yes", IF($X823="Yes", VLOOKUP($W823, '[1]Storage Fees'!A:M, 13, FALSE), VLOOKUP($W823, '[1]Storage Fees'!A:M, 10, FALSE)), IF($X823="Yes", VLOOKUP($W823, '[1]Storage Fees'!A:M, 7, FALSE), VLOOKUP($W823, '[1]Storage Fees'!A:M, 4, FALSE))) * U823)*1.5</f>
        <v>0</v>
      </c>
    </row>
    <row r="824" spans="1:40" x14ac:dyDescent="0.25">
      <c r="A824" s="99">
        <v>752</v>
      </c>
      <c r="B824" s="99" t="s">
        <v>55</v>
      </c>
      <c r="C824" s="99" t="s">
        <v>13655</v>
      </c>
      <c r="D824" s="99" t="s">
        <v>1403</v>
      </c>
      <c r="E824" s="99" t="s">
        <v>232</v>
      </c>
      <c r="F824" s="99" t="s">
        <v>1405</v>
      </c>
      <c r="G824" s="99" t="s">
        <v>13695</v>
      </c>
      <c r="H824" s="99">
        <v>11</v>
      </c>
      <c r="I824" s="99">
        <v>7</v>
      </c>
      <c r="J824" s="99">
        <v>2</v>
      </c>
      <c r="K824" s="101" t="str">
        <f t="shared" si="148"/>
        <v>11x7x2</v>
      </c>
      <c r="L824" s="102">
        <f t="shared" si="149"/>
        <v>1.1079136690647482</v>
      </c>
      <c r="M824" s="113">
        <f t="shared" si="150"/>
        <v>1.1079136690647482</v>
      </c>
      <c r="N824" s="113">
        <f t="shared" si="151"/>
        <v>2</v>
      </c>
      <c r="O824" s="99">
        <v>0</v>
      </c>
      <c r="P824" s="113">
        <f t="shared" si="152"/>
        <v>2</v>
      </c>
      <c r="Q824" s="112">
        <f t="shared" si="153"/>
        <v>32</v>
      </c>
      <c r="R824" s="112" t="str">
        <f t="shared" si="154"/>
        <v>Standard-size</v>
      </c>
      <c r="S824" s="99" t="str">
        <f t="shared" si="155"/>
        <v>Large standard-size</v>
      </c>
      <c r="T824" s="116" t="s">
        <v>13697</v>
      </c>
      <c r="U824" s="116">
        <f t="shared" si="156"/>
        <v>8.9120370370370364E-2</v>
      </c>
      <c r="V824" s="116" t="s">
        <v>13583</v>
      </c>
      <c r="W824" s="116" t="s">
        <v>13690</v>
      </c>
      <c r="X824" s="99" t="s">
        <v>13583</v>
      </c>
      <c r="Y824" s="99">
        <v>1</v>
      </c>
      <c r="Z824" s="99">
        <v>2</v>
      </c>
      <c r="AA824" s="99">
        <v>1</v>
      </c>
      <c r="AB824" s="99"/>
      <c r="AC824" s="99"/>
      <c r="AD824" s="107">
        <v>0</v>
      </c>
      <c r="AE824" s="113">
        <f t="shared" si="157"/>
        <v>0</v>
      </c>
      <c r="AF824" s="116">
        <f>-IFERROR(IFERROR(VLOOKUP(ROUNDUP($Q824,0),'FBA FEES'!$L$2:$Q$203,MATCH($S824,'FBA FEES'!$L$2:$Q$2,0),FALSE),VLOOKUP(ROUNDUP($Q824,0),'FBA FEES'!$C$6:$F$123,MATCH($S824,'FBA FEES'!$C$6:$F$6,0),FALSE)),0)</f>
        <v>-5.77</v>
      </c>
      <c r="AG824" s="116">
        <v>-10</v>
      </c>
      <c r="AH824" s="113">
        <f t="shared" si="158"/>
        <v>-5.77</v>
      </c>
      <c r="AI824" s="116">
        <f>-IFERROR(IF($Y824=1,INDEX('[1]REMOVAL FEES'!$A$1:$C$22,MATCH(CONCATENATE("Standard Size",$P824),'[1]REMOVAL FEES'!$A$1:$A$22,0),3),IF($Y824=2,IF($P824&gt;10,(($P824-10)*1.06)+INDEX('[1]REMOVAL FEES'!$E$1:$G$22,MATCH(CONCATENATE("Large bulky, extra-large and special handling items",IF($P824&gt;=11,11,$P824)),'[1]REMOVAL FEES'!$E$1:$E$13,0),3),INDEX('[1]REMOVAL FEES'!$E$1:$G$22,MATCH(CONCATENATE("Large bulky, extra-large and special handling items",IF($P824&gt;=11,11,$P824)),'[1]REMOVAL FEES'!$E$1:$E$13,0),3))))*$AA824,FALSE)</f>
        <v>-2.27</v>
      </c>
      <c r="AJ824" s="107">
        <f t="shared" si="159"/>
        <v>-8.0399999999999991</v>
      </c>
      <c r="AK824" s="107">
        <v>0</v>
      </c>
      <c r="AL824" s="107">
        <v>0</v>
      </c>
      <c r="AM824" s="107">
        <f t="shared" si="160"/>
        <v>0</v>
      </c>
      <c r="AN824" s="116">
        <f>(-IF($V824="Yes", IF($X824="Yes", VLOOKUP($W824, '[1]Storage Fees'!A:M, 13, FALSE), VLOOKUP($W824, '[1]Storage Fees'!A:M, 10, FALSE)), IF($X824="Yes", VLOOKUP($W824, '[1]Storage Fees'!A:M, 7, FALSE), VLOOKUP($W824, '[1]Storage Fees'!A:M, 4, FALSE))) * U824)*1.5</f>
        <v>-0.16309027777777776</v>
      </c>
    </row>
    <row r="825" spans="1:40" x14ac:dyDescent="0.25">
      <c r="A825" s="99">
        <v>753</v>
      </c>
      <c r="B825" s="99"/>
      <c r="C825" s="99" t="s">
        <v>13655</v>
      </c>
      <c r="D825" s="99"/>
      <c r="E825" s="99" t="s">
        <v>232</v>
      </c>
      <c r="F825" s="99" t="s">
        <v>2195</v>
      </c>
      <c r="G825" s="99" t="s">
        <v>13695</v>
      </c>
      <c r="H825" s="99">
        <v>0</v>
      </c>
      <c r="I825" s="99">
        <v>0</v>
      </c>
      <c r="J825" s="99">
        <v>0</v>
      </c>
      <c r="K825" s="101" t="str">
        <f t="shared" si="148"/>
        <v>0x0x0</v>
      </c>
      <c r="L825" s="102">
        <f t="shared" si="149"/>
        <v>0</v>
      </c>
      <c r="M825" s="113">
        <f t="shared" si="150"/>
        <v>0</v>
      </c>
      <c r="N825" s="113">
        <f t="shared" si="151"/>
        <v>0</v>
      </c>
      <c r="O825" s="99">
        <v>0</v>
      </c>
      <c r="P825" s="113">
        <f t="shared" si="152"/>
        <v>0</v>
      </c>
      <c r="Q825" s="112">
        <f t="shared" si="153"/>
        <v>0</v>
      </c>
      <c r="R825" s="112" t="str">
        <f t="shared" si="154"/>
        <v>Standard-size</v>
      </c>
      <c r="S825" s="99" t="str">
        <f t="shared" si="155"/>
        <v>Small standard-size</v>
      </c>
      <c r="T825" s="116" t="s">
        <v>13696</v>
      </c>
      <c r="U825" s="116">
        <f t="shared" si="156"/>
        <v>0</v>
      </c>
      <c r="V825" s="116" t="s">
        <v>13583</v>
      </c>
      <c r="W825" s="116" t="s">
        <v>13690</v>
      </c>
      <c r="X825" s="99" t="s">
        <v>13583</v>
      </c>
      <c r="Y825" s="99">
        <v>1</v>
      </c>
      <c r="Z825" s="99">
        <v>1</v>
      </c>
      <c r="AA825" s="99">
        <v>1</v>
      </c>
      <c r="AB825" s="99"/>
      <c r="AC825" s="99"/>
      <c r="AD825" s="107">
        <v>0</v>
      </c>
      <c r="AE825" s="113">
        <f t="shared" si="157"/>
        <v>0</v>
      </c>
      <c r="AF825" s="116">
        <f>-IFERROR(IFERROR(VLOOKUP(ROUNDUP($Q825,0),'FBA FEES'!$L$2:$Q$203,MATCH($S825,'FBA FEES'!$L$2:$Q$2,0),FALSE),VLOOKUP(ROUNDUP($Q825,0),'FBA FEES'!$C$6:$F$123,MATCH($S825,'FBA FEES'!$C$6:$F$6,0),FALSE)),0)</f>
        <v>0</v>
      </c>
      <c r="AG825" s="116">
        <v>-10</v>
      </c>
      <c r="AH825" s="113">
        <f t="shared" si="158"/>
        <v>0</v>
      </c>
      <c r="AI825" s="116">
        <f>-IFERROR(IF($Y825=1,INDEX('[1]REMOVAL FEES'!$A$1:$C$22,MATCH(CONCATENATE("Standard Size",$P825),'[1]REMOVAL FEES'!$A$1:$A$22,0),3),IF($Y825=2,IF($P825&gt;10,(($P825-10)*1.06)+INDEX('[1]REMOVAL FEES'!$E$1:$G$22,MATCH(CONCATENATE("Large bulky, extra-large and special handling items",IF($P825&gt;=11,11,$P825)),'[1]REMOVAL FEES'!$E$1:$E$13,0),3),INDEX('[1]REMOVAL FEES'!$E$1:$G$22,MATCH(CONCATENATE("Large bulky, extra-large and special handling items",IF($P825&gt;=11,11,$P825)),'[1]REMOVAL FEES'!$E$1:$E$13,0),3))))*$AA825,FALSE)</f>
        <v>0</v>
      </c>
      <c r="AJ825" s="107">
        <f t="shared" si="159"/>
        <v>0</v>
      </c>
      <c r="AK825" s="107">
        <v>0</v>
      </c>
      <c r="AL825" s="107">
        <v>0</v>
      </c>
      <c r="AM825" s="107">
        <f t="shared" si="160"/>
        <v>0</v>
      </c>
      <c r="AN825" s="116">
        <f>(-IF($V825="Yes", IF($X825="Yes", VLOOKUP($W825, '[1]Storage Fees'!A:M, 13, FALSE), VLOOKUP($W825, '[1]Storage Fees'!A:M, 10, FALSE)), IF($X825="Yes", VLOOKUP($W825, '[1]Storage Fees'!A:M, 7, FALSE), VLOOKUP($W825, '[1]Storage Fees'!A:M, 4, FALSE))) * U825)*1.5</f>
        <v>0</v>
      </c>
    </row>
    <row r="826" spans="1:40" x14ac:dyDescent="0.25">
      <c r="A826" s="99">
        <v>754</v>
      </c>
      <c r="B826" s="99"/>
      <c r="C826" s="99" t="s">
        <v>13655</v>
      </c>
      <c r="D826" s="99"/>
      <c r="E826" s="99" t="s">
        <v>232</v>
      </c>
      <c r="F826" s="99" t="s">
        <v>2197</v>
      </c>
      <c r="G826" s="99" t="s">
        <v>13695</v>
      </c>
      <c r="H826" s="99">
        <v>0</v>
      </c>
      <c r="I826" s="99">
        <v>0</v>
      </c>
      <c r="J826" s="99">
        <v>0</v>
      </c>
      <c r="K826" s="101" t="str">
        <f t="shared" si="148"/>
        <v>0x0x0</v>
      </c>
      <c r="L826" s="102">
        <f t="shared" si="149"/>
        <v>0</v>
      </c>
      <c r="M826" s="113">
        <f t="shared" si="150"/>
        <v>0</v>
      </c>
      <c r="N826" s="113">
        <f t="shared" si="151"/>
        <v>0</v>
      </c>
      <c r="O826" s="99">
        <v>0</v>
      </c>
      <c r="P826" s="113">
        <f t="shared" si="152"/>
        <v>0</v>
      </c>
      <c r="Q826" s="112">
        <f t="shared" si="153"/>
        <v>0</v>
      </c>
      <c r="R826" s="112" t="str">
        <f t="shared" si="154"/>
        <v>Standard-size</v>
      </c>
      <c r="S826" s="99" t="str">
        <f t="shared" si="155"/>
        <v>Small standard-size</v>
      </c>
      <c r="T826" s="116" t="s">
        <v>13696</v>
      </c>
      <c r="U826" s="116">
        <f t="shared" si="156"/>
        <v>0</v>
      </c>
      <c r="V826" s="116" t="s">
        <v>13583</v>
      </c>
      <c r="W826" s="116" t="s">
        <v>13690</v>
      </c>
      <c r="X826" s="99" t="s">
        <v>13583</v>
      </c>
      <c r="Y826" s="99">
        <v>1</v>
      </c>
      <c r="Z826" s="99">
        <v>1</v>
      </c>
      <c r="AA826" s="99">
        <v>1</v>
      </c>
      <c r="AB826" s="99"/>
      <c r="AC826" s="99"/>
      <c r="AD826" s="107">
        <v>0</v>
      </c>
      <c r="AE826" s="113">
        <f t="shared" si="157"/>
        <v>0</v>
      </c>
      <c r="AF826" s="116">
        <f>-IFERROR(IFERROR(VLOOKUP(ROUNDUP($Q826,0),'FBA FEES'!$L$2:$Q$203,MATCH($S826,'FBA FEES'!$L$2:$Q$2,0),FALSE),VLOOKUP(ROUNDUP($Q826,0),'FBA FEES'!$C$6:$F$123,MATCH($S826,'FBA FEES'!$C$6:$F$6,0),FALSE)),0)</f>
        <v>0</v>
      </c>
      <c r="AG826" s="116">
        <v>-10</v>
      </c>
      <c r="AH826" s="113">
        <f t="shared" si="158"/>
        <v>0</v>
      </c>
      <c r="AI826" s="116">
        <f>-IFERROR(IF($Y826=1,INDEX('[1]REMOVAL FEES'!$A$1:$C$22,MATCH(CONCATENATE("Standard Size",$P826),'[1]REMOVAL FEES'!$A$1:$A$22,0),3),IF($Y826=2,IF($P826&gt;10,(($P826-10)*1.06)+INDEX('[1]REMOVAL FEES'!$E$1:$G$22,MATCH(CONCATENATE("Large bulky, extra-large and special handling items",IF($P826&gt;=11,11,$P826)),'[1]REMOVAL FEES'!$E$1:$E$13,0),3),INDEX('[1]REMOVAL FEES'!$E$1:$G$22,MATCH(CONCATENATE("Large bulky, extra-large and special handling items",IF($P826&gt;=11,11,$P826)),'[1]REMOVAL FEES'!$E$1:$E$13,0),3))))*$AA826,FALSE)</f>
        <v>0</v>
      </c>
      <c r="AJ826" s="107">
        <f t="shared" si="159"/>
        <v>0</v>
      </c>
      <c r="AK826" s="107">
        <v>0</v>
      </c>
      <c r="AL826" s="107">
        <v>0</v>
      </c>
      <c r="AM826" s="107">
        <f t="shared" si="160"/>
        <v>0</v>
      </c>
      <c r="AN826" s="116">
        <f>(-IF($V826="Yes", IF($X826="Yes", VLOOKUP($W826, '[1]Storage Fees'!A:M, 13, FALSE), VLOOKUP($W826, '[1]Storage Fees'!A:M, 10, FALSE)), IF($X826="Yes", VLOOKUP($W826, '[1]Storage Fees'!A:M, 7, FALSE), VLOOKUP($W826, '[1]Storage Fees'!A:M, 4, FALSE))) * U826)*1.5</f>
        <v>0</v>
      </c>
    </row>
    <row r="827" spans="1:40" x14ac:dyDescent="0.25">
      <c r="A827" s="99">
        <v>755</v>
      </c>
      <c r="B827" s="99"/>
      <c r="C827" s="99" t="s">
        <v>13655</v>
      </c>
      <c r="D827" s="99"/>
      <c r="E827" s="99" t="s">
        <v>232</v>
      </c>
      <c r="F827" s="99" t="s">
        <v>2199</v>
      </c>
      <c r="G827" s="99" t="s">
        <v>13695</v>
      </c>
      <c r="H827" s="99">
        <v>0</v>
      </c>
      <c r="I827" s="99">
        <v>0</v>
      </c>
      <c r="J827" s="99">
        <v>0</v>
      </c>
      <c r="K827" s="101" t="str">
        <f t="shared" si="148"/>
        <v>0x0x0</v>
      </c>
      <c r="L827" s="102">
        <f t="shared" si="149"/>
        <v>0</v>
      </c>
      <c r="M827" s="113">
        <f t="shared" si="150"/>
        <v>0</v>
      </c>
      <c r="N827" s="113">
        <f t="shared" si="151"/>
        <v>0</v>
      </c>
      <c r="O827" s="99">
        <v>0</v>
      </c>
      <c r="P827" s="113">
        <f t="shared" si="152"/>
        <v>0</v>
      </c>
      <c r="Q827" s="112">
        <f t="shared" si="153"/>
        <v>0</v>
      </c>
      <c r="R827" s="112" t="str">
        <f t="shared" si="154"/>
        <v>Standard-size</v>
      </c>
      <c r="S827" s="99" t="str">
        <f t="shared" si="155"/>
        <v>Small standard-size</v>
      </c>
      <c r="T827" s="116" t="s">
        <v>13696</v>
      </c>
      <c r="U827" s="116">
        <f t="shared" si="156"/>
        <v>0</v>
      </c>
      <c r="V827" s="116" t="s">
        <v>13583</v>
      </c>
      <c r="W827" s="116" t="s">
        <v>13690</v>
      </c>
      <c r="X827" s="99" t="s">
        <v>13583</v>
      </c>
      <c r="Y827" s="99">
        <v>1</v>
      </c>
      <c r="Z827" s="99">
        <v>1</v>
      </c>
      <c r="AA827" s="99">
        <v>1</v>
      </c>
      <c r="AB827" s="99"/>
      <c r="AC827" s="99"/>
      <c r="AD827" s="107">
        <v>0</v>
      </c>
      <c r="AE827" s="113">
        <f t="shared" si="157"/>
        <v>0</v>
      </c>
      <c r="AF827" s="116">
        <f>-IFERROR(IFERROR(VLOOKUP(ROUNDUP($Q827,0),'FBA FEES'!$L$2:$Q$203,MATCH($S827,'FBA FEES'!$L$2:$Q$2,0),FALSE),VLOOKUP(ROUNDUP($Q827,0),'FBA FEES'!$C$6:$F$123,MATCH($S827,'FBA FEES'!$C$6:$F$6,0),FALSE)),0)</f>
        <v>0</v>
      </c>
      <c r="AG827" s="116">
        <v>-10</v>
      </c>
      <c r="AH827" s="113">
        <f t="shared" si="158"/>
        <v>0</v>
      </c>
      <c r="AI827" s="116">
        <f>-IFERROR(IF($Y827=1,INDEX('[1]REMOVAL FEES'!$A$1:$C$22,MATCH(CONCATENATE("Standard Size",$P827),'[1]REMOVAL FEES'!$A$1:$A$22,0),3),IF($Y827=2,IF($P827&gt;10,(($P827-10)*1.06)+INDEX('[1]REMOVAL FEES'!$E$1:$G$22,MATCH(CONCATENATE("Large bulky, extra-large and special handling items",IF($P827&gt;=11,11,$P827)),'[1]REMOVAL FEES'!$E$1:$E$13,0),3),INDEX('[1]REMOVAL FEES'!$E$1:$G$22,MATCH(CONCATENATE("Large bulky, extra-large and special handling items",IF($P827&gt;=11,11,$P827)),'[1]REMOVAL FEES'!$E$1:$E$13,0),3))))*$AA827,FALSE)</f>
        <v>0</v>
      </c>
      <c r="AJ827" s="107">
        <f t="shared" si="159"/>
        <v>0</v>
      </c>
      <c r="AK827" s="107">
        <v>0</v>
      </c>
      <c r="AL827" s="107">
        <v>0</v>
      </c>
      <c r="AM827" s="107">
        <f t="shared" si="160"/>
        <v>0</v>
      </c>
      <c r="AN827" s="116">
        <f>(-IF($V827="Yes", IF($X827="Yes", VLOOKUP($W827, '[1]Storage Fees'!A:M, 13, FALSE), VLOOKUP($W827, '[1]Storage Fees'!A:M, 10, FALSE)), IF($X827="Yes", VLOOKUP($W827, '[1]Storage Fees'!A:M, 7, FALSE), VLOOKUP($W827, '[1]Storage Fees'!A:M, 4, FALSE))) * U827)*1.5</f>
        <v>0</v>
      </c>
    </row>
    <row r="828" spans="1:40" x14ac:dyDescent="0.25">
      <c r="A828" s="99">
        <v>756</v>
      </c>
      <c r="B828" s="99"/>
      <c r="C828" s="99" t="s">
        <v>13655</v>
      </c>
      <c r="D828" s="99"/>
      <c r="E828" s="99" t="s">
        <v>232</v>
      </c>
      <c r="F828" s="99" t="s">
        <v>2201</v>
      </c>
      <c r="G828" s="99" t="s">
        <v>13695</v>
      </c>
      <c r="H828" s="99">
        <v>0</v>
      </c>
      <c r="I828" s="99">
        <v>0</v>
      </c>
      <c r="J828" s="99">
        <v>0</v>
      </c>
      <c r="K828" s="101" t="str">
        <f t="shared" si="148"/>
        <v>0x0x0</v>
      </c>
      <c r="L828" s="102">
        <f t="shared" si="149"/>
        <v>0</v>
      </c>
      <c r="M828" s="113">
        <f t="shared" si="150"/>
        <v>0</v>
      </c>
      <c r="N828" s="113">
        <f t="shared" si="151"/>
        <v>0</v>
      </c>
      <c r="O828" s="99">
        <v>0</v>
      </c>
      <c r="P828" s="113">
        <f t="shared" si="152"/>
        <v>0</v>
      </c>
      <c r="Q828" s="112">
        <f t="shared" si="153"/>
        <v>0</v>
      </c>
      <c r="R828" s="112" t="str">
        <f t="shared" si="154"/>
        <v>Standard-size</v>
      </c>
      <c r="S828" s="99" t="str">
        <f t="shared" si="155"/>
        <v>Small standard-size</v>
      </c>
      <c r="T828" s="116" t="s">
        <v>13696</v>
      </c>
      <c r="U828" s="116">
        <f t="shared" si="156"/>
        <v>0</v>
      </c>
      <c r="V828" s="116" t="s">
        <v>13583</v>
      </c>
      <c r="W828" s="116" t="s">
        <v>13690</v>
      </c>
      <c r="X828" s="99" t="s">
        <v>13583</v>
      </c>
      <c r="Y828" s="99">
        <v>1</v>
      </c>
      <c r="Z828" s="99">
        <v>1</v>
      </c>
      <c r="AA828" s="99">
        <v>1</v>
      </c>
      <c r="AB828" s="99"/>
      <c r="AC828" s="99"/>
      <c r="AD828" s="107">
        <v>0</v>
      </c>
      <c r="AE828" s="113">
        <f t="shared" si="157"/>
        <v>0</v>
      </c>
      <c r="AF828" s="116">
        <f>-IFERROR(IFERROR(VLOOKUP(ROUNDUP($Q828,0),'FBA FEES'!$L$2:$Q$203,MATCH($S828,'FBA FEES'!$L$2:$Q$2,0),FALSE),VLOOKUP(ROUNDUP($Q828,0),'FBA FEES'!$C$6:$F$123,MATCH($S828,'FBA FEES'!$C$6:$F$6,0),FALSE)),0)</f>
        <v>0</v>
      </c>
      <c r="AG828" s="116">
        <v>-10</v>
      </c>
      <c r="AH828" s="113">
        <f t="shared" si="158"/>
        <v>0</v>
      </c>
      <c r="AI828" s="116">
        <f>-IFERROR(IF($Y828=1,INDEX('[1]REMOVAL FEES'!$A$1:$C$22,MATCH(CONCATENATE("Standard Size",$P828),'[1]REMOVAL FEES'!$A$1:$A$22,0),3),IF($Y828=2,IF($P828&gt;10,(($P828-10)*1.06)+INDEX('[1]REMOVAL FEES'!$E$1:$G$22,MATCH(CONCATENATE("Large bulky, extra-large and special handling items",IF($P828&gt;=11,11,$P828)),'[1]REMOVAL FEES'!$E$1:$E$13,0),3),INDEX('[1]REMOVAL FEES'!$E$1:$G$22,MATCH(CONCATENATE("Large bulky, extra-large and special handling items",IF($P828&gt;=11,11,$P828)),'[1]REMOVAL FEES'!$E$1:$E$13,0),3))))*$AA828,FALSE)</f>
        <v>0</v>
      </c>
      <c r="AJ828" s="107">
        <f t="shared" si="159"/>
        <v>0</v>
      </c>
      <c r="AK828" s="107">
        <v>0</v>
      </c>
      <c r="AL828" s="107">
        <v>0</v>
      </c>
      <c r="AM828" s="107">
        <f t="shared" si="160"/>
        <v>0</v>
      </c>
      <c r="AN828" s="116">
        <f>(-IF($V828="Yes", IF($X828="Yes", VLOOKUP($W828, '[1]Storage Fees'!A:M, 13, FALSE), VLOOKUP($W828, '[1]Storage Fees'!A:M, 10, FALSE)), IF($X828="Yes", VLOOKUP($W828, '[1]Storage Fees'!A:M, 7, FALSE), VLOOKUP($W828, '[1]Storage Fees'!A:M, 4, FALSE))) * U828)*1.5</f>
        <v>0</v>
      </c>
    </row>
    <row r="829" spans="1:40" x14ac:dyDescent="0.25">
      <c r="A829" s="99">
        <v>757</v>
      </c>
      <c r="B829" s="99" t="s">
        <v>55</v>
      </c>
      <c r="C829" s="99" t="s">
        <v>13655</v>
      </c>
      <c r="D829" s="99" t="s">
        <v>1403</v>
      </c>
      <c r="E829" s="99" t="s">
        <v>232</v>
      </c>
      <c r="F829" s="99" t="s">
        <v>1408</v>
      </c>
      <c r="G829" s="99" t="s">
        <v>13695</v>
      </c>
      <c r="H829" s="99">
        <v>13</v>
      </c>
      <c r="I829" s="99">
        <v>7</v>
      </c>
      <c r="J829" s="99">
        <v>3</v>
      </c>
      <c r="K829" s="101" t="str">
        <f t="shared" si="148"/>
        <v>13x7x3</v>
      </c>
      <c r="L829" s="102">
        <f t="shared" si="149"/>
        <v>1.9640287769784173</v>
      </c>
      <c r="M829" s="113">
        <f t="shared" si="150"/>
        <v>1.9640287769784173</v>
      </c>
      <c r="N829" s="113">
        <f t="shared" si="151"/>
        <v>2</v>
      </c>
      <c r="O829" s="99">
        <v>4</v>
      </c>
      <c r="P829" s="113">
        <f t="shared" si="152"/>
        <v>4</v>
      </c>
      <c r="Q829" s="112">
        <f t="shared" si="153"/>
        <v>64</v>
      </c>
      <c r="R829" s="112" t="str">
        <f t="shared" si="154"/>
        <v>Standard-size</v>
      </c>
      <c r="S829" s="99" t="str">
        <f t="shared" si="155"/>
        <v>Large standard-size</v>
      </c>
      <c r="T829" s="116" t="s">
        <v>13693</v>
      </c>
      <c r="U829" s="116">
        <f t="shared" si="156"/>
        <v>0.1579861111111111</v>
      </c>
      <c r="V829" s="116" t="s">
        <v>13583</v>
      </c>
      <c r="W829" s="116" t="s">
        <v>13690</v>
      </c>
      <c r="X829" s="99" t="s">
        <v>13583</v>
      </c>
      <c r="Y829" s="99">
        <v>1</v>
      </c>
      <c r="Z829" s="99">
        <v>2</v>
      </c>
      <c r="AA829" s="99">
        <v>1</v>
      </c>
      <c r="AB829" s="99"/>
      <c r="AC829" s="99"/>
      <c r="AD829" s="107">
        <v>0</v>
      </c>
      <c r="AE829" s="113">
        <f t="shared" si="157"/>
        <v>0</v>
      </c>
      <c r="AF829" s="116">
        <f>-IFERROR(IFERROR(VLOOKUP(ROUNDUP($Q829,0),'FBA FEES'!$L$2:$Q$203,MATCH($S829,'FBA FEES'!$L$2:$Q$2,0),FALSE),VLOOKUP(ROUNDUP($Q829,0),'FBA FEES'!$C$6:$F$123,MATCH($S829,'FBA FEES'!$C$6:$F$6,0),FALSE)),0)</f>
        <v>-7.24</v>
      </c>
      <c r="AG829" s="116">
        <v>-10</v>
      </c>
      <c r="AH829" s="113">
        <f t="shared" si="158"/>
        <v>-7.24</v>
      </c>
      <c r="AI829" s="116">
        <f>-IFERROR(IF($Y829=1,INDEX('[1]REMOVAL FEES'!$A$1:$C$22,MATCH(CONCATENATE("Standard Size",$P829),'[1]REMOVAL FEES'!$A$1:$A$22,0),3),IF($Y829=2,IF($P829&gt;10,(($P829-10)*1.06)+INDEX('[1]REMOVAL FEES'!$E$1:$G$22,MATCH(CONCATENATE("Large bulky, extra-large and special handling items",IF($P829&gt;=11,11,$P829)),'[1]REMOVAL FEES'!$E$1:$E$13,0),3),INDEX('[1]REMOVAL FEES'!$E$1:$G$22,MATCH(CONCATENATE("Large bulky, extra-large and special handling items",IF($P829&gt;=11,11,$P829)),'[1]REMOVAL FEES'!$E$1:$E$13,0),3))))*$AA829,FALSE)</f>
        <v>-5.01</v>
      </c>
      <c r="AJ829" s="107">
        <f t="shared" si="159"/>
        <v>-12.25</v>
      </c>
      <c r="AK829" s="107">
        <v>0</v>
      </c>
      <c r="AL829" s="107">
        <v>0</v>
      </c>
      <c r="AM829" s="107">
        <f t="shared" si="160"/>
        <v>0</v>
      </c>
      <c r="AN829" s="116">
        <f>(-IF($V829="Yes", IF($X829="Yes", VLOOKUP($W829, '[1]Storage Fees'!A:M, 13, FALSE), VLOOKUP($W829, '[1]Storage Fees'!A:M, 10, FALSE)), IF($X829="Yes", VLOOKUP($W829, '[1]Storage Fees'!A:M, 7, FALSE), VLOOKUP($W829, '[1]Storage Fees'!A:M, 4, FALSE))) * U829)*1.5</f>
        <v>-0.28911458333333329</v>
      </c>
    </row>
    <row r="830" spans="1:40" x14ac:dyDescent="0.25">
      <c r="A830" s="99">
        <v>758</v>
      </c>
      <c r="B830" s="99" t="s">
        <v>55</v>
      </c>
      <c r="C830" s="99" t="s">
        <v>13655</v>
      </c>
      <c r="D830" s="99" t="s">
        <v>1403</v>
      </c>
      <c r="E830" s="99" t="s">
        <v>232</v>
      </c>
      <c r="F830" s="99" t="s">
        <v>1411</v>
      </c>
      <c r="G830" s="99" t="s">
        <v>13695</v>
      </c>
      <c r="H830" s="99">
        <v>12</v>
      </c>
      <c r="I830" s="99">
        <v>7</v>
      </c>
      <c r="J830" s="99">
        <v>2</v>
      </c>
      <c r="K830" s="101" t="str">
        <f t="shared" si="148"/>
        <v>12x7x2</v>
      </c>
      <c r="L830" s="102">
        <f t="shared" si="149"/>
        <v>1.2086330935251799</v>
      </c>
      <c r="M830" s="113">
        <f t="shared" si="150"/>
        <v>1.2086330935251799</v>
      </c>
      <c r="N830" s="113">
        <f t="shared" si="151"/>
        <v>2</v>
      </c>
      <c r="O830" s="99">
        <v>4</v>
      </c>
      <c r="P830" s="113">
        <f t="shared" si="152"/>
        <v>4</v>
      </c>
      <c r="Q830" s="112">
        <f t="shared" si="153"/>
        <v>64</v>
      </c>
      <c r="R830" s="112" t="str">
        <f t="shared" si="154"/>
        <v>Standard-size</v>
      </c>
      <c r="S830" s="99" t="str">
        <f t="shared" si="155"/>
        <v>Large standard-size</v>
      </c>
      <c r="T830" s="116" t="s">
        <v>13693</v>
      </c>
      <c r="U830" s="116">
        <f t="shared" si="156"/>
        <v>9.7222222222222224E-2</v>
      </c>
      <c r="V830" s="116" t="s">
        <v>13583</v>
      </c>
      <c r="W830" s="116" t="s">
        <v>13690</v>
      </c>
      <c r="X830" s="99" t="s">
        <v>13583</v>
      </c>
      <c r="Y830" s="99">
        <v>1</v>
      </c>
      <c r="Z830" s="99">
        <v>2</v>
      </c>
      <c r="AA830" s="99">
        <v>1</v>
      </c>
      <c r="AB830" s="99"/>
      <c r="AC830" s="99"/>
      <c r="AD830" s="107">
        <v>0</v>
      </c>
      <c r="AE830" s="113">
        <f t="shared" si="157"/>
        <v>0</v>
      </c>
      <c r="AF830" s="116">
        <f>-IFERROR(IFERROR(VLOOKUP(ROUNDUP($Q830,0),'FBA FEES'!$L$2:$Q$203,MATCH($S830,'FBA FEES'!$L$2:$Q$2,0),FALSE),VLOOKUP(ROUNDUP($Q830,0),'FBA FEES'!$C$6:$F$123,MATCH($S830,'FBA FEES'!$C$6:$F$6,0),FALSE)),0)</f>
        <v>-7.24</v>
      </c>
      <c r="AG830" s="116">
        <v>-10</v>
      </c>
      <c r="AH830" s="113">
        <f t="shared" si="158"/>
        <v>-7.24</v>
      </c>
      <c r="AI830" s="116">
        <f>-IFERROR(IF($Y830=1,INDEX('[1]REMOVAL FEES'!$A$1:$C$22,MATCH(CONCATENATE("Standard Size",$P830),'[1]REMOVAL FEES'!$A$1:$A$22,0),3),IF($Y830=2,IF($P830&gt;10,(($P830-10)*1.06)+INDEX('[1]REMOVAL FEES'!$E$1:$G$22,MATCH(CONCATENATE("Large bulky, extra-large and special handling items",IF($P830&gt;=11,11,$P830)),'[1]REMOVAL FEES'!$E$1:$E$13,0),3),INDEX('[1]REMOVAL FEES'!$E$1:$G$22,MATCH(CONCATENATE("Large bulky, extra-large and special handling items",IF($P830&gt;=11,11,$P830)),'[1]REMOVAL FEES'!$E$1:$E$13,0),3))))*$AA830,FALSE)</f>
        <v>-5.01</v>
      </c>
      <c r="AJ830" s="107">
        <f t="shared" si="159"/>
        <v>-12.25</v>
      </c>
      <c r="AK830" s="107">
        <v>0</v>
      </c>
      <c r="AL830" s="107">
        <v>0</v>
      </c>
      <c r="AM830" s="107">
        <f t="shared" si="160"/>
        <v>0</v>
      </c>
      <c r="AN830" s="116">
        <f>(-IF($V830="Yes", IF($X830="Yes", VLOOKUP($W830, '[1]Storage Fees'!A:M, 13, FALSE), VLOOKUP($W830, '[1]Storage Fees'!A:M, 10, FALSE)), IF($X830="Yes", VLOOKUP($W830, '[1]Storage Fees'!A:M, 7, FALSE), VLOOKUP($W830, '[1]Storage Fees'!A:M, 4, FALSE))) * U830)*1.5</f>
        <v>-0.17791666666666667</v>
      </c>
    </row>
    <row r="831" spans="1:40" x14ac:dyDescent="0.25">
      <c r="A831" s="99">
        <v>759</v>
      </c>
      <c r="B831" s="99" t="s">
        <v>55</v>
      </c>
      <c r="C831" s="99" t="s">
        <v>13655</v>
      </c>
      <c r="D831" s="99" t="s">
        <v>1403</v>
      </c>
      <c r="E831" s="99" t="s">
        <v>232</v>
      </c>
      <c r="F831" s="99" t="s">
        <v>1414</v>
      </c>
      <c r="G831" s="99" t="s">
        <v>13695</v>
      </c>
      <c r="H831" s="99">
        <v>12</v>
      </c>
      <c r="I831" s="99">
        <v>8</v>
      </c>
      <c r="J831" s="99">
        <v>3</v>
      </c>
      <c r="K831" s="101" t="str">
        <f t="shared" si="148"/>
        <v>12x8x3</v>
      </c>
      <c r="L831" s="102">
        <f t="shared" si="149"/>
        <v>2.0719424460431655</v>
      </c>
      <c r="M831" s="113">
        <f t="shared" si="150"/>
        <v>2.0719424460431655</v>
      </c>
      <c r="N831" s="113">
        <f t="shared" si="151"/>
        <v>3</v>
      </c>
      <c r="O831" s="99">
        <v>5</v>
      </c>
      <c r="P831" s="113">
        <f t="shared" si="152"/>
        <v>5</v>
      </c>
      <c r="Q831" s="112">
        <f t="shared" si="153"/>
        <v>80</v>
      </c>
      <c r="R831" s="112" t="str">
        <f t="shared" si="154"/>
        <v>Standard-size</v>
      </c>
      <c r="S831" s="99" t="str">
        <f t="shared" si="155"/>
        <v>Large standard-size</v>
      </c>
      <c r="T831" s="116" t="s">
        <v>13693</v>
      </c>
      <c r="U831" s="116">
        <f t="shared" si="156"/>
        <v>0.16666666666666666</v>
      </c>
      <c r="V831" s="116" t="s">
        <v>13583</v>
      </c>
      <c r="W831" s="116" t="s">
        <v>13690</v>
      </c>
      <c r="X831" s="99" t="s">
        <v>13583</v>
      </c>
      <c r="Y831" s="99">
        <v>1</v>
      </c>
      <c r="Z831" s="99">
        <v>2</v>
      </c>
      <c r="AA831" s="99">
        <v>1</v>
      </c>
      <c r="AB831" s="99"/>
      <c r="AC831" s="99"/>
      <c r="AD831" s="107">
        <v>0</v>
      </c>
      <c r="AE831" s="113">
        <f t="shared" si="157"/>
        <v>0</v>
      </c>
      <c r="AF831" s="116">
        <f>-IFERROR(IFERROR(VLOOKUP(ROUNDUP($Q831,0),'FBA FEES'!$L$2:$Q$203,MATCH($S831,'FBA FEES'!$L$2:$Q$2,0),FALSE),VLOOKUP(ROUNDUP($Q831,0),'FBA FEES'!$C$6:$F$123,MATCH($S831,'FBA FEES'!$C$6:$F$6,0),FALSE)),0)</f>
        <v>-7.56</v>
      </c>
      <c r="AG831" s="116">
        <v>-10</v>
      </c>
      <c r="AH831" s="113">
        <f t="shared" si="158"/>
        <v>-7.56</v>
      </c>
      <c r="AI831" s="116">
        <f>-IFERROR(IF($Y831=1,INDEX('[1]REMOVAL FEES'!$A$1:$C$22,MATCH(CONCATENATE("Standard Size",$P831),'[1]REMOVAL FEES'!$A$1:$A$22,0),3),IF($Y831=2,IF($P831&gt;10,(($P831-10)*1.06)+INDEX('[1]REMOVAL FEES'!$E$1:$G$22,MATCH(CONCATENATE("Large bulky, extra-large and special handling items",IF($P831&gt;=11,11,$P831)),'[1]REMOVAL FEES'!$E$1:$E$13,0),3),INDEX('[1]REMOVAL FEES'!$E$1:$G$22,MATCH(CONCATENATE("Large bulky, extra-large and special handling items",IF($P831&gt;=11,11,$P831)),'[1]REMOVAL FEES'!$E$1:$E$13,0),3))))*$AA831,FALSE)</f>
        <v>-6.07</v>
      </c>
      <c r="AJ831" s="107">
        <f t="shared" si="159"/>
        <v>-13.629999999999999</v>
      </c>
      <c r="AK831" s="107">
        <v>0</v>
      </c>
      <c r="AL831" s="107">
        <v>0</v>
      </c>
      <c r="AM831" s="107">
        <f t="shared" si="160"/>
        <v>0</v>
      </c>
      <c r="AN831" s="116">
        <f>(-IF($V831="Yes", IF($X831="Yes", VLOOKUP($W831, '[1]Storage Fees'!A:M, 13, FALSE), VLOOKUP($W831, '[1]Storage Fees'!A:M, 10, FALSE)), IF($X831="Yes", VLOOKUP($W831, '[1]Storage Fees'!A:M, 7, FALSE), VLOOKUP($W831, '[1]Storage Fees'!A:M, 4, FALSE))) * U831)*1.5</f>
        <v>-0.30499999999999994</v>
      </c>
    </row>
    <row r="832" spans="1:40" x14ac:dyDescent="0.25">
      <c r="A832" s="99">
        <v>760</v>
      </c>
      <c r="B832" s="99"/>
      <c r="C832" s="99" t="s">
        <v>13655</v>
      </c>
      <c r="D832" s="99"/>
      <c r="E832" s="99" t="s">
        <v>232</v>
      </c>
      <c r="F832" s="99" t="s">
        <v>2203</v>
      </c>
      <c r="G832" s="99" t="s">
        <v>13695</v>
      </c>
      <c r="H832" s="99">
        <v>0</v>
      </c>
      <c r="I832" s="99">
        <v>0</v>
      </c>
      <c r="J832" s="99">
        <v>0</v>
      </c>
      <c r="K832" s="101" t="str">
        <f t="shared" si="148"/>
        <v>0x0x0</v>
      </c>
      <c r="L832" s="102">
        <f t="shared" si="149"/>
        <v>0</v>
      </c>
      <c r="M832" s="113">
        <f t="shared" si="150"/>
        <v>0</v>
      </c>
      <c r="N832" s="113">
        <f t="shared" si="151"/>
        <v>0</v>
      </c>
      <c r="O832" s="99">
        <v>0</v>
      </c>
      <c r="P832" s="113">
        <f t="shared" si="152"/>
        <v>0</v>
      </c>
      <c r="Q832" s="112">
        <f t="shared" si="153"/>
        <v>0</v>
      </c>
      <c r="R832" s="112" t="str">
        <f t="shared" si="154"/>
        <v>Standard-size</v>
      </c>
      <c r="S832" s="99" t="str">
        <f t="shared" si="155"/>
        <v>Small standard-size</v>
      </c>
      <c r="T832" s="116" t="s">
        <v>13696</v>
      </c>
      <c r="U832" s="116">
        <f t="shared" si="156"/>
        <v>0</v>
      </c>
      <c r="V832" s="116" t="s">
        <v>13583</v>
      </c>
      <c r="W832" s="116" t="s">
        <v>13690</v>
      </c>
      <c r="X832" s="99" t="s">
        <v>13583</v>
      </c>
      <c r="Y832" s="99">
        <v>1</v>
      </c>
      <c r="Z832" s="99">
        <v>1</v>
      </c>
      <c r="AA832" s="99">
        <v>1</v>
      </c>
      <c r="AB832" s="99"/>
      <c r="AC832" s="99"/>
      <c r="AD832" s="107">
        <v>0</v>
      </c>
      <c r="AE832" s="113">
        <f t="shared" si="157"/>
        <v>0</v>
      </c>
      <c r="AF832" s="116">
        <f>-IFERROR(IFERROR(VLOOKUP(ROUNDUP($Q832,0),'FBA FEES'!$L$2:$Q$203,MATCH($S832,'FBA FEES'!$L$2:$Q$2,0),FALSE),VLOOKUP(ROUNDUP($Q832,0),'FBA FEES'!$C$6:$F$123,MATCH($S832,'FBA FEES'!$C$6:$F$6,0),FALSE)),0)</f>
        <v>0</v>
      </c>
      <c r="AG832" s="116">
        <v>-10</v>
      </c>
      <c r="AH832" s="113">
        <f t="shared" si="158"/>
        <v>0</v>
      </c>
      <c r="AI832" s="116">
        <f>-IFERROR(IF($Y832=1,INDEX('[1]REMOVAL FEES'!$A$1:$C$22,MATCH(CONCATENATE("Standard Size",$P832),'[1]REMOVAL FEES'!$A$1:$A$22,0),3),IF($Y832=2,IF($P832&gt;10,(($P832-10)*1.06)+INDEX('[1]REMOVAL FEES'!$E$1:$G$22,MATCH(CONCATENATE("Large bulky, extra-large and special handling items",IF($P832&gt;=11,11,$P832)),'[1]REMOVAL FEES'!$E$1:$E$13,0),3),INDEX('[1]REMOVAL FEES'!$E$1:$G$22,MATCH(CONCATENATE("Large bulky, extra-large and special handling items",IF($P832&gt;=11,11,$P832)),'[1]REMOVAL FEES'!$E$1:$E$13,0),3))))*$AA832,FALSE)</f>
        <v>0</v>
      </c>
      <c r="AJ832" s="107">
        <f t="shared" si="159"/>
        <v>0</v>
      </c>
      <c r="AK832" s="107">
        <v>0</v>
      </c>
      <c r="AL832" s="107">
        <v>0</v>
      </c>
      <c r="AM832" s="107">
        <f t="shared" si="160"/>
        <v>0</v>
      </c>
      <c r="AN832" s="116">
        <f>(-IF($V832="Yes", IF($X832="Yes", VLOOKUP($W832, '[1]Storage Fees'!A:M, 13, FALSE), VLOOKUP($W832, '[1]Storage Fees'!A:M, 10, FALSE)), IF($X832="Yes", VLOOKUP($W832, '[1]Storage Fees'!A:M, 7, FALSE), VLOOKUP($W832, '[1]Storage Fees'!A:M, 4, FALSE))) * U832)*1.5</f>
        <v>0</v>
      </c>
    </row>
    <row r="833" spans="1:40" x14ac:dyDescent="0.25">
      <c r="A833" s="99">
        <v>761</v>
      </c>
      <c r="B833" s="99" t="s">
        <v>13699</v>
      </c>
      <c r="C833" s="99" t="s">
        <v>13655</v>
      </c>
      <c r="D833" s="99" t="s">
        <v>1419</v>
      </c>
      <c r="E833" s="99" t="s">
        <v>278</v>
      </c>
      <c r="F833" s="99" t="s">
        <v>1417</v>
      </c>
      <c r="G833" s="99" t="s">
        <v>13656</v>
      </c>
      <c r="H833" s="99">
        <v>25</v>
      </c>
      <c r="I833" s="99">
        <v>25</v>
      </c>
      <c r="J833" s="99">
        <v>3</v>
      </c>
      <c r="K833" s="101" t="str">
        <f t="shared" si="148"/>
        <v>25x25x3</v>
      </c>
      <c r="L833" s="102">
        <f t="shared" si="149"/>
        <v>13.489208633093526</v>
      </c>
      <c r="M833" s="113">
        <f t="shared" si="150"/>
        <v>13.489208633093526</v>
      </c>
      <c r="N833" s="113">
        <f t="shared" si="151"/>
        <v>14</v>
      </c>
      <c r="O833" s="99">
        <v>14</v>
      </c>
      <c r="P833" s="113">
        <f t="shared" si="152"/>
        <v>14</v>
      </c>
      <c r="Q833" s="112">
        <f t="shared" si="153"/>
        <v>224</v>
      </c>
      <c r="R833" s="112" t="str">
        <f t="shared" si="154"/>
        <v>Oversize</v>
      </c>
      <c r="S833" s="99" t="str">
        <f t="shared" si="155"/>
        <v>Large bulky</v>
      </c>
      <c r="T833" s="116" t="s">
        <v>13692</v>
      </c>
      <c r="U833" s="116">
        <f t="shared" si="156"/>
        <v>1.0850694444444444</v>
      </c>
      <c r="V833" s="116" t="s">
        <v>13583</v>
      </c>
      <c r="W833" s="116" t="s">
        <v>13690</v>
      </c>
      <c r="X833" s="116" t="s">
        <v>13691</v>
      </c>
      <c r="Y833" s="116">
        <v>2</v>
      </c>
      <c r="Z833" s="116">
        <v>3</v>
      </c>
      <c r="AA833" s="116">
        <v>1</v>
      </c>
      <c r="AB833" s="99"/>
      <c r="AC833" s="99"/>
      <c r="AD833" s="107">
        <v>71.711249999999978</v>
      </c>
      <c r="AE833" s="113">
        <f t="shared" si="157"/>
        <v>-10.756687499999996</v>
      </c>
      <c r="AF833" s="116">
        <f>-IFERROR(IFERROR(VLOOKUP(ROUNDUP($Q833,0),'FBA FEES'!$L$2:$Q$203,MATCH($S833,'FBA FEES'!$L$2:$Q$2,0),FALSE),VLOOKUP(ROUNDUP($Q833,0),'FBA FEES'!$C$6:$F$123,MATCH($S833,'FBA FEES'!$C$6:$F$6,0),FALSE)),0)</f>
        <v>-14.55</v>
      </c>
      <c r="AG833" s="116">
        <v>-10</v>
      </c>
      <c r="AH833" s="113">
        <f t="shared" si="158"/>
        <v>-25.306687499999995</v>
      </c>
      <c r="AI833" s="116">
        <f>-IFERROR(IF($Y833=1,INDEX('[1]REMOVAL FEES'!$A$1:$C$22,MATCH(CONCATENATE("Standard Size",$P833),'[1]REMOVAL FEES'!$A$1:$A$22,0),3),IF($Y833=2,IF($P833&gt;10,(($P833-10)*1.06)+INDEX('[1]REMOVAL FEES'!$E$1:$G$22,MATCH(CONCATENATE("Large bulky, extra-large and special handling items",IF($P833&gt;=11,11,$P833)),'[1]REMOVAL FEES'!$E$1:$E$13,0),3),INDEX('[1]REMOVAL FEES'!$E$1:$G$22,MATCH(CONCATENATE("Large bulky, extra-large and special handling items",IF($P833&gt;=11,11,$P833)),'[1]REMOVAL FEES'!$E$1:$E$13,0),3))))*$AA833,FALSE)</f>
        <v>-18.560000000000002</v>
      </c>
      <c r="AJ833" s="107">
        <f t="shared" si="159"/>
        <v>-43.866687499999998</v>
      </c>
      <c r="AK833" s="107">
        <v>-24.353999999999999</v>
      </c>
      <c r="AL833" s="107">
        <v>-8.8066802083333293</v>
      </c>
      <c r="AM833" s="107">
        <f t="shared" si="160"/>
        <v>-33.160680208333332</v>
      </c>
      <c r="AN833" s="116">
        <f>(-IF($V833="Yes", IF($X833="Yes", VLOOKUP($W833, '[1]Storage Fees'!A:M, 13, FALSE), VLOOKUP($W833, '[1]Storage Fees'!A:M, 10, FALSE)), IF($X833="Yes", VLOOKUP($W833, '[1]Storage Fees'!A:M, 7, FALSE), VLOOKUP($W833, '[1]Storage Fees'!A:M, 4, FALSE))) * U833)*1.5</f>
        <v>-1.2858072916666667</v>
      </c>
    </row>
    <row r="834" spans="1:40" x14ac:dyDescent="0.25">
      <c r="A834" s="99">
        <v>762</v>
      </c>
      <c r="B834" s="99" t="s">
        <v>13699</v>
      </c>
      <c r="C834" s="99"/>
      <c r="D834" s="99"/>
      <c r="E834" s="99" t="s">
        <v>278</v>
      </c>
      <c r="F834" s="99" t="s">
        <v>496</v>
      </c>
      <c r="G834" s="99" t="s">
        <v>13695</v>
      </c>
      <c r="H834" s="99">
        <v>29</v>
      </c>
      <c r="I834" s="99">
        <v>13</v>
      </c>
      <c r="J834" s="99">
        <v>4</v>
      </c>
      <c r="K834" s="101" t="str">
        <f t="shared" si="148"/>
        <v>29x13x4</v>
      </c>
      <c r="L834" s="102">
        <f t="shared" si="149"/>
        <v>10.848920863309353</v>
      </c>
      <c r="M834" s="113">
        <f t="shared" si="150"/>
        <v>10.848920863309353</v>
      </c>
      <c r="N834" s="113">
        <f t="shared" si="151"/>
        <v>11</v>
      </c>
      <c r="O834" s="99">
        <v>7</v>
      </c>
      <c r="P834" s="113">
        <f t="shared" si="152"/>
        <v>11</v>
      </c>
      <c r="Q834" s="112">
        <f t="shared" si="153"/>
        <v>176</v>
      </c>
      <c r="R834" s="112" t="str">
        <f t="shared" si="154"/>
        <v>Oversize</v>
      </c>
      <c r="S834" s="99" t="str">
        <f t="shared" si="155"/>
        <v>Large bulky</v>
      </c>
      <c r="T834" s="116" t="s">
        <v>13692</v>
      </c>
      <c r="U834" s="116">
        <f t="shared" si="156"/>
        <v>0.87268518518518523</v>
      </c>
      <c r="V834" s="116" t="s">
        <v>13583</v>
      </c>
      <c r="W834" s="116" t="s">
        <v>13690</v>
      </c>
      <c r="X834" s="116" t="s">
        <v>13691</v>
      </c>
      <c r="Y834" s="116">
        <v>2</v>
      </c>
      <c r="Z834" s="116">
        <v>3</v>
      </c>
      <c r="AA834" s="116">
        <v>1</v>
      </c>
      <c r="AB834" s="99"/>
      <c r="AC834" s="99"/>
      <c r="AD834" s="107">
        <v>44.487745102933673</v>
      </c>
      <c r="AE834" s="113">
        <f t="shared" si="157"/>
        <v>-6.6731617654400504</v>
      </c>
      <c r="AF834" s="116">
        <f>-IFERROR(IFERROR(VLOOKUP(ROUNDUP($Q834,0),'FBA FEES'!$L$2:$Q$203,MATCH($S834,'FBA FEES'!$L$2:$Q$2,0),FALSE),VLOOKUP(ROUNDUP($Q834,0),'FBA FEES'!$C$6:$F$123,MATCH($S834,'FBA FEES'!$C$6:$F$6,0),FALSE)),0)</f>
        <v>-13.41</v>
      </c>
      <c r="AG834" s="116">
        <v>-10</v>
      </c>
      <c r="AH834" s="113">
        <f t="shared" si="158"/>
        <v>-20.08316176544005</v>
      </c>
      <c r="AI834" s="116">
        <f>-IFERROR(IF($Y834=1,INDEX('[1]REMOVAL FEES'!$A$1:$C$22,MATCH(CONCATENATE("Standard Size",$P834),'[1]REMOVAL FEES'!$A$1:$A$22,0),3),IF($Y834=2,IF($P834&gt;10,(($P834-10)*1.06)+INDEX('[1]REMOVAL FEES'!$E$1:$G$22,MATCH(CONCATENATE("Large bulky, extra-large and special handling items",IF($P834&gt;=11,11,$P834)),'[1]REMOVAL FEES'!$E$1:$E$13,0),3),INDEX('[1]REMOVAL FEES'!$E$1:$G$22,MATCH(CONCATENATE("Large bulky, extra-large and special handling items",IF($P834&gt;=11,11,$P834)),'[1]REMOVAL FEES'!$E$1:$E$13,0),3))))*$AA834,FALSE)</f>
        <v>-15.38</v>
      </c>
      <c r="AJ834" s="107">
        <f t="shared" si="159"/>
        <v>-35.463161765440049</v>
      </c>
      <c r="AK834" s="107">
        <v>-15.35000000000001</v>
      </c>
      <c r="AL834" s="107">
        <v>-6.7037614589428562</v>
      </c>
      <c r="AM834" s="107">
        <f t="shared" si="160"/>
        <v>-22.053761458942866</v>
      </c>
      <c r="AN834" s="116">
        <f>(-IF($V834="Yes", IF($X834="Yes", VLOOKUP($W834, '[1]Storage Fees'!A:M, 13, FALSE), VLOOKUP($W834, '[1]Storage Fees'!A:M, 10, FALSE)), IF($X834="Yes", VLOOKUP($W834, '[1]Storage Fees'!A:M, 7, FALSE), VLOOKUP($W834, '[1]Storage Fees'!A:M, 4, FALSE))) * U834)*1.5</f>
        <v>-1.0341319444444446</v>
      </c>
    </row>
    <row r="835" spans="1:40" x14ac:dyDescent="0.25">
      <c r="A835" s="99">
        <v>763</v>
      </c>
      <c r="B835" s="99" t="s">
        <v>13699</v>
      </c>
      <c r="C835" s="99"/>
      <c r="D835" s="99"/>
      <c r="E835" s="99" t="s">
        <v>278</v>
      </c>
      <c r="F835" s="99" t="s">
        <v>499</v>
      </c>
      <c r="G835" s="99" t="s">
        <v>13695</v>
      </c>
      <c r="H835" s="99">
        <v>49</v>
      </c>
      <c r="I835" s="99">
        <v>13</v>
      </c>
      <c r="J835" s="99">
        <v>4</v>
      </c>
      <c r="K835" s="101" t="str">
        <f t="shared" si="148"/>
        <v>49x13x4</v>
      </c>
      <c r="L835" s="102">
        <f t="shared" si="149"/>
        <v>18.330935251798561</v>
      </c>
      <c r="M835" s="113">
        <f t="shared" si="150"/>
        <v>18.330935251798561</v>
      </c>
      <c r="N835" s="113">
        <f t="shared" si="151"/>
        <v>19</v>
      </c>
      <c r="O835" s="99">
        <v>9</v>
      </c>
      <c r="P835" s="113">
        <f t="shared" si="152"/>
        <v>19</v>
      </c>
      <c r="Q835" s="112">
        <f t="shared" si="153"/>
        <v>304</v>
      </c>
      <c r="R835" s="112" t="str">
        <f t="shared" si="154"/>
        <v>Oversize</v>
      </c>
      <c r="S835" s="99" t="str">
        <f t="shared" si="155"/>
        <v>Large bulky</v>
      </c>
      <c r="T835" s="116" t="s">
        <v>13692</v>
      </c>
      <c r="U835" s="116">
        <f t="shared" si="156"/>
        <v>1.474537037037037</v>
      </c>
      <c r="V835" s="116" t="s">
        <v>13583</v>
      </c>
      <c r="W835" s="116" t="s">
        <v>13690</v>
      </c>
      <c r="X835" s="116" t="s">
        <v>13691</v>
      </c>
      <c r="Y835" s="116">
        <v>2</v>
      </c>
      <c r="Z835" s="116">
        <v>3</v>
      </c>
      <c r="AA835" s="116">
        <v>1</v>
      </c>
      <c r="AB835" s="99"/>
      <c r="AC835" s="99"/>
      <c r="AD835" s="107">
        <v>45.780979157903168</v>
      </c>
      <c r="AE835" s="113">
        <f t="shared" si="157"/>
        <v>-6.8671468736854751</v>
      </c>
      <c r="AF835" s="116">
        <f>-IFERROR(IFERROR(VLOOKUP(ROUNDUP($Q835,0),'FBA FEES'!$L$2:$Q$203,MATCH($S835,'FBA FEES'!$L$2:$Q$2,0),FALSE),VLOOKUP(ROUNDUP($Q835,0),'FBA FEES'!$C$6:$F$123,MATCH($S835,'FBA FEES'!$C$6:$F$6,0),FALSE)),0)</f>
        <v>-16.45</v>
      </c>
      <c r="AG835" s="116">
        <v>-10</v>
      </c>
      <c r="AH835" s="113">
        <f t="shared" si="158"/>
        <v>-23.317146873685473</v>
      </c>
      <c r="AI835" s="116">
        <f>-IFERROR(IF($Y835=1,INDEX('[1]REMOVAL FEES'!$A$1:$C$22,MATCH(CONCATENATE("Standard Size",$P835),'[1]REMOVAL FEES'!$A$1:$A$22,0),3),IF($Y835=2,IF($P835&gt;10,(($P835-10)*1.06)+INDEX('[1]REMOVAL FEES'!$E$1:$G$22,MATCH(CONCATENATE("Large bulky, extra-large and special handling items",IF($P835&gt;=11,11,$P835)),'[1]REMOVAL FEES'!$E$1:$E$13,0),3),INDEX('[1]REMOVAL FEES'!$E$1:$G$22,MATCH(CONCATENATE("Large bulky, extra-large and special handling items",IF($P835&gt;=11,11,$P835)),'[1]REMOVAL FEES'!$E$1:$E$13,0),3))))*$AA835,FALSE)</f>
        <v>-23.86</v>
      </c>
      <c r="AJ835" s="107">
        <f t="shared" si="159"/>
        <v>-47.177146873685473</v>
      </c>
      <c r="AK835" s="107">
        <v>-19.205652173913059</v>
      </c>
      <c r="AL835" s="107">
        <v>-6.3136090586365956</v>
      </c>
      <c r="AM835" s="107">
        <f t="shared" si="160"/>
        <v>-25.519261232549653</v>
      </c>
      <c r="AN835" s="116">
        <f>(-IF($V835="Yes", IF($X835="Yes", VLOOKUP($W835, '[1]Storage Fees'!A:M, 13, FALSE), VLOOKUP($W835, '[1]Storage Fees'!A:M, 10, FALSE)), IF($X835="Yes", VLOOKUP($W835, '[1]Storage Fees'!A:M, 7, FALSE), VLOOKUP($W835, '[1]Storage Fees'!A:M, 4, FALSE))) * U835)*1.5</f>
        <v>-1.7473263888888888</v>
      </c>
    </row>
    <row r="836" spans="1:40" x14ac:dyDescent="0.25">
      <c r="A836" s="99">
        <v>764</v>
      </c>
      <c r="B836" s="99"/>
      <c r="C836" s="99" t="s">
        <v>13655</v>
      </c>
      <c r="D836" s="99"/>
      <c r="E836" s="99" t="s">
        <v>278</v>
      </c>
      <c r="F836" s="99" t="s">
        <v>2047</v>
      </c>
      <c r="G836" s="99" t="s">
        <v>13695</v>
      </c>
      <c r="H836" s="99">
        <v>0</v>
      </c>
      <c r="I836" s="99">
        <v>0</v>
      </c>
      <c r="J836" s="99">
        <v>0</v>
      </c>
      <c r="K836" s="101" t="str">
        <f t="shared" si="148"/>
        <v>0x0x0</v>
      </c>
      <c r="L836" s="102">
        <f t="shared" si="149"/>
        <v>0</v>
      </c>
      <c r="M836" s="113">
        <f t="shared" si="150"/>
        <v>0</v>
      </c>
      <c r="N836" s="113">
        <f t="shared" si="151"/>
        <v>0</v>
      </c>
      <c r="O836" s="99">
        <v>0</v>
      </c>
      <c r="P836" s="113">
        <f t="shared" si="152"/>
        <v>0</v>
      </c>
      <c r="Q836" s="112">
        <f t="shared" si="153"/>
        <v>0</v>
      </c>
      <c r="R836" s="112" t="str">
        <f t="shared" si="154"/>
        <v>Standard-size</v>
      </c>
      <c r="S836" s="99" t="str">
        <f t="shared" si="155"/>
        <v>Small standard-size</v>
      </c>
      <c r="T836" s="116" t="s">
        <v>13696</v>
      </c>
      <c r="U836" s="116">
        <f t="shared" si="156"/>
        <v>0</v>
      </c>
      <c r="V836" s="116" t="s">
        <v>13583</v>
      </c>
      <c r="W836" s="116" t="s">
        <v>13690</v>
      </c>
      <c r="X836" s="99" t="s">
        <v>13583</v>
      </c>
      <c r="Y836" s="99">
        <v>1</v>
      </c>
      <c r="Z836" s="99">
        <v>1</v>
      </c>
      <c r="AA836" s="99">
        <v>1</v>
      </c>
      <c r="AB836" s="99"/>
      <c r="AC836" s="99"/>
      <c r="AD836" s="107">
        <v>0</v>
      </c>
      <c r="AE836" s="113">
        <f t="shared" si="157"/>
        <v>0</v>
      </c>
      <c r="AF836" s="116">
        <f>-IFERROR(IFERROR(VLOOKUP(ROUNDUP($Q836,0),'FBA FEES'!$L$2:$Q$203,MATCH($S836,'FBA FEES'!$L$2:$Q$2,0),FALSE),VLOOKUP(ROUNDUP($Q836,0),'FBA FEES'!$C$6:$F$123,MATCH($S836,'FBA FEES'!$C$6:$F$6,0),FALSE)),0)</f>
        <v>0</v>
      </c>
      <c r="AG836" s="116">
        <v>-10</v>
      </c>
      <c r="AH836" s="113">
        <f t="shared" si="158"/>
        <v>0</v>
      </c>
      <c r="AI836" s="116">
        <f>-IFERROR(IF($Y836=1,INDEX('[1]REMOVAL FEES'!$A$1:$C$22,MATCH(CONCATENATE("Standard Size",$P836),'[1]REMOVAL FEES'!$A$1:$A$22,0),3),IF($Y836=2,IF($P836&gt;10,(($P836-10)*1.06)+INDEX('[1]REMOVAL FEES'!$E$1:$G$22,MATCH(CONCATENATE("Large bulky, extra-large and special handling items",IF($P836&gt;=11,11,$P836)),'[1]REMOVAL FEES'!$E$1:$E$13,0),3),INDEX('[1]REMOVAL FEES'!$E$1:$G$22,MATCH(CONCATENATE("Large bulky, extra-large and special handling items",IF($P836&gt;=11,11,$P836)),'[1]REMOVAL FEES'!$E$1:$E$13,0),3))))*$AA836,FALSE)</f>
        <v>0</v>
      </c>
      <c r="AJ836" s="107">
        <f t="shared" si="159"/>
        <v>0</v>
      </c>
      <c r="AK836" s="107">
        <v>0</v>
      </c>
      <c r="AL836" s="107">
        <v>0</v>
      </c>
      <c r="AM836" s="107">
        <f t="shared" si="160"/>
        <v>0</v>
      </c>
      <c r="AN836" s="116">
        <f>(-IF($V836="Yes", IF($X836="Yes", VLOOKUP($W836, '[1]Storage Fees'!A:M, 13, FALSE), VLOOKUP($W836, '[1]Storage Fees'!A:M, 10, FALSE)), IF($X836="Yes", VLOOKUP($W836, '[1]Storage Fees'!A:M, 7, FALSE), VLOOKUP($W836, '[1]Storage Fees'!A:M, 4, FALSE))) * U836)*1.5</f>
        <v>0</v>
      </c>
    </row>
    <row r="837" spans="1:40" x14ac:dyDescent="0.25">
      <c r="A837" s="99">
        <v>765</v>
      </c>
      <c r="B837" s="99" t="s">
        <v>13699</v>
      </c>
      <c r="C837" s="99" t="s">
        <v>13655</v>
      </c>
      <c r="D837" s="99" t="s">
        <v>1423</v>
      </c>
      <c r="E837" s="99" t="s">
        <v>278</v>
      </c>
      <c r="F837" s="99" t="s">
        <v>1421</v>
      </c>
      <c r="G837" s="99" t="s">
        <v>13695</v>
      </c>
      <c r="H837" s="99">
        <v>3</v>
      </c>
      <c r="I837" s="99">
        <v>2</v>
      </c>
      <c r="J837" s="99">
        <v>2</v>
      </c>
      <c r="K837" s="101" t="str">
        <f t="shared" si="148"/>
        <v>3x2x2</v>
      </c>
      <c r="L837" s="102">
        <f t="shared" si="149"/>
        <v>8.6330935251798566E-2</v>
      </c>
      <c r="M837" s="113">
        <f t="shared" si="150"/>
        <v>8.6330935251798566E-2</v>
      </c>
      <c r="N837" s="113">
        <f t="shared" si="151"/>
        <v>0.25</v>
      </c>
      <c r="O837" s="99">
        <v>0.3125</v>
      </c>
      <c r="P837" s="113">
        <f t="shared" si="152"/>
        <v>1</v>
      </c>
      <c r="Q837" s="112">
        <f t="shared" si="153"/>
        <v>16</v>
      </c>
      <c r="R837" s="112" t="str">
        <f t="shared" si="154"/>
        <v>Standard-size</v>
      </c>
      <c r="S837" s="99" t="str">
        <f t="shared" si="155"/>
        <v>Large standard-size</v>
      </c>
      <c r="T837" s="116" t="s">
        <v>13698</v>
      </c>
      <c r="U837" s="116">
        <f t="shared" si="156"/>
        <v>6.9444444444444441E-3</v>
      </c>
      <c r="V837" s="116" t="s">
        <v>13583</v>
      </c>
      <c r="W837" s="116" t="s">
        <v>13690</v>
      </c>
      <c r="X837" s="99" t="s">
        <v>13583</v>
      </c>
      <c r="Y837" s="99">
        <v>1</v>
      </c>
      <c r="Z837" s="99">
        <v>2</v>
      </c>
      <c r="AA837" s="99">
        <v>1</v>
      </c>
      <c r="AB837" s="99"/>
      <c r="AC837" s="99"/>
      <c r="AD837" s="107">
        <v>4.7816720385592006</v>
      </c>
      <c r="AE837" s="113">
        <f t="shared" si="157"/>
        <v>-0.71725080578388012</v>
      </c>
      <c r="AF837" s="116">
        <f>-IFERROR(IFERROR(VLOOKUP(ROUNDUP($Q837,0),'FBA FEES'!$L$2:$Q$203,MATCH($S837,'FBA FEES'!$L$2:$Q$2,0),FALSE),VLOOKUP(ROUNDUP($Q837,0),'FBA FEES'!$C$6:$F$123,MATCH($S837,'FBA FEES'!$C$6:$F$6,0),FALSE)),0)</f>
        <v>-4.55</v>
      </c>
      <c r="AG837" s="116">
        <v>-10</v>
      </c>
      <c r="AH837" s="113">
        <f t="shared" si="158"/>
        <v>-5.2672508057838803</v>
      </c>
      <c r="AI837" s="116">
        <f>-IFERROR(IF($Y837=1,INDEX('[1]REMOVAL FEES'!$A$1:$C$22,MATCH(CONCATENATE("Standard Size",$P837),'[1]REMOVAL FEES'!$A$1:$A$22,0),3),IF($Y837=2,IF($P837&gt;10,(($P837-10)*1.06)+INDEX('[1]REMOVAL FEES'!$E$1:$G$22,MATCH(CONCATENATE("Large bulky, extra-large and special handling items",IF($P837&gt;=11,11,$P837)),'[1]REMOVAL FEES'!$E$1:$E$13,0),3),INDEX('[1]REMOVAL FEES'!$E$1:$G$22,MATCH(CONCATENATE("Large bulky, extra-large and special handling items",IF($P837&gt;=11,11,$P837)),'[1]REMOVAL FEES'!$E$1:$E$13,0),3))))*$AA837,FALSE)</f>
        <v>-1.53</v>
      </c>
      <c r="AJ837" s="107">
        <f t="shared" si="159"/>
        <v>-6.7972508057838805</v>
      </c>
      <c r="AK837" s="107">
        <v>-1.74</v>
      </c>
      <c r="AL837" s="107">
        <v>-0.69332746108526322</v>
      </c>
      <c r="AM837" s="107">
        <f t="shared" si="160"/>
        <v>-2.4333274610852631</v>
      </c>
      <c r="AN837" s="116">
        <f>(-IF($V837="Yes", IF($X837="Yes", VLOOKUP($W837, '[1]Storage Fees'!A:M, 13, FALSE), VLOOKUP($W837, '[1]Storage Fees'!A:M, 10, FALSE)), IF($X837="Yes", VLOOKUP($W837, '[1]Storage Fees'!A:M, 7, FALSE), VLOOKUP($W837, '[1]Storage Fees'!A:M, 4, FALSE))) * U837)*1.5</f>
        <v>-1.2708333333333332E-2</v>
      </c>
    </row>
    <row r="838" spans="1:40" x14ac:dyDescent="0.25">
      <c r="A838" s="99">
        <v>766</v>
      </c>
      <c r="B838" s="99" t="s">
        <v>13699</v>
      </c>
      <c r="C838" s="99"/>
      <c r="D838" s="99"/>
      <c r="E838" s="99" t="s">
        <v>278</v>
      </c>
      <c r="F838" s="99" t="s">
        <v>501</v>
      </c>
      <c r="G838" s="99" t="s">
        <v>13695</v>
      </c>
      <c r="H838" s="99">
        <v>5</v>
      </c>
      <c r="I838" s="99">
        <v>2</v>
      </c>
      <c r="J838" s="99">
        <v>2</v>
      </c>
      <c r="K838" s="101" t="str">
        <f t="shared" si="148"/>
        <v>5x2x2</v>
      </c>
      <c r="L838" s="102">
        <f t="shared" si="149"/>
        <v>0.14388489208633093</v>
      </c>
      <c r="M838" s="113">
        <f t="shared" si="150"/>
        <v>0.14388489208633093</v>
      </c>
      <c r="N838" s="113">
        <f t="shared" si="151"/>
        <v>0.25</v>
      </c>
      <c r="O838" s="99">
        <v>0.5</v>
      </c>
      <c r="P838" s="113">
        <f t="shared" si="152"/>
        <v>1</v>
      </c>
      <c r="Q838" s="112">
        <f t="shared" si="153"/>
        <v>16</v>
      </c>
      <c r="R838" s="112" t="str">
        <f t="shared" si="154"/>
        <v>Standard-size</v>
      </c>
      <c r="S838" s="99" t="str">
        <f t="shared" si="155"/>
        <v>Large standard-size</v>
      </c>
      <c r="T838" s="116" t="s">
        <v>13698</v>
      </c>
      <c r="U838" s="116">
        <f t="shared" si="156"/>
        <v>1.1574074074074073E-2</v>
      </c>
      <c r="V838" s="116" t="s">
        <v>13583</v>
      </c>
      <c r="W838" s="116" t="s">
        <v>13690</v>
      </c>
      <c r="X838" s="99" t="s">
        <v>13583</v>
      </c>
      <c r="Y838" s="99">
        <v>1</v>
      </c>
      <c r="Z838" s="99">
        <v>2</v>
      </c>
      <c r="AA838" s="99">
        <v>1</v>
      </c>
      <c r="AB838" s="99"/>
      <c r="AC838" s="99"/>
      <c r="AD838" s="107">
        <v>6.6834737157825161</v>
      </c>
      <c r="AE838" s="113">
        <f t="shared" si="157"/>
        <v>-1.0025210573673773</v>
      </c>
      <c r="AF838" s="116">
        <f>-IFERROR(IFERROR(VLOOKUP(ROUNDUP($Q838,0),'FBA FEES'!$L$2:$Q$203,MATCH($S838,'FBA FEES'!$L$2:$Q$2,0),FALSE),VLOOKUP(ROUNDUP($Q838,0),'FBA FEES'!$C$6:$F$123,MATCH($S838,'FBA FEES'!$C$6:$F$6,0),FALSE)),0)</f>
        <v>-4.55</v>
      </c>
      <c r="AG838" s="116">
        <v>-10</v>
      </c>
      <c r="AH838" s="113">
        <f t="shared" si="158"/>
        <v>-5.5525210573673771</v>
      </c>
      <c r="AI838" s="116">
        <f>-IFERROR(IF($Y838=1,INDEX('[1]REMOVAL FEES'!$A$1:$C$22,MATCH(CONCATENATE("Standard Size",$P838),'[1]REMOVAL FEES'!$A$1:$A$22,0),3),IF($Y838=2,IF($P838&gt;10,(($P838-10)*1.06)+INDEX('[1]REMOVAL FEES'!$E$1:$G$22,MATCH(CONCATENATE("Large bulky, extra-large and special handling items",IF($P838&gt;=11,11,$P838)),'[1]REMOVAL FEES'!$E$1:$E$13,0),3),INDEX('[1]REMOVAL FEES'!$E$1:$G$22,MATCH(CONCATENATE("Large bulky, extra-large and special handling items",IF($P838&gt;=11,11,$P838)),'[1]REMOVAL FEES'!$E$1:$E$13,0),3))))*$AA838,FALSE)</f>
        <v>-1.53</v>
      </c>
      <c r="AJ838" s="107">
        <f t="shared" si="159"/>
        <v>-7.0825210573673774</v>
      </c>
      <c r="AK838" s="107">
        <v>-2.54</v>
      </c>
      <c r="AL838" s="107">
        <v>-1.0067920805523951</v>
      </c>
      <c r="AM838" s="107">
        <f t="shared" si="160"/>
        <v>-3.5467920805523949</v>
      </c>
      <c r="AN838" s="116">
        <f>(-IF($V838="Yes", IF($X838="Yes", VLOOKUP($W838, '[1]Storage Fees'!A:M, 13, FALSE), VLOOKUP($W838, '[1]Storage Fees'!A:M, 10, FALSE)), IF($X838="Yes", VLOOKUP($W838, '[1]Storage Fees'!A:M, 7, FALSE), VLOOKUP($W838, '[1]Storage Fees'!A:M, 4, FALSE))) * U838)*1.5</f>
        <v>-2.1180555555555557E-2</v>
      </c>
    </row>
    <row r="839" spans="1:40" x14ac:dyDescent="0.25">
      <c r="A839" s="99">
        <v>767</v>
      </c>
      <c r="B839" s="99" t="s">
        <v>13699</v>
      </c>
      <c r="C839" s="99"/>
      <c r="D839" s="99"/>
      <c r="E839" s="99" t="s">
        <v>278</v>
      </c>
      <c r="F839" s="99" t="s">
        <v>503</v>
      </c>
      <c r="G839" s="99" t="s">
        <v>13695</v>
      </c>
      <c r="H839" s="99">
        <v>15</v>
      </c>
      <c r="I839" s="99">
        <v>10</v>
      </c>
      <c r="J839" s="99">
        <v>3</v>
      </c>
      <c r="K839" s="101" t="str">
        <f t="shared" si="148"/>
        <v>15x10x3</v>
      </c>
      <c r="L839" s="102">
        <f t="shared" si="149"/>
        <v>3.2374100719424459</v>
      </c>
      <c r="M839" s="113">
        <f t="shared" si="150"/>
        <v>3.2374100719424459</v>
      </c>
      <c r="N839" s="113">
        <f t="shared" si="151"/>
        <v>4</v>
      </c>
      <c r="O839" s="99">
        <v>2</v>
      </c>
      <c r="P839" s="113">
        <f t="shared" si="152"/>
        <v>4</v>
      </c>
      <c r="Q839" s="112">
        <f t="shared" si="153"/>
        <v>64</v>
      </c>
      <c r="R839" s="112" t="str">
        <f t="shared" si="154"/>
        <v>Standard-size</v>
      </c>
      <c r="S839" s="99" t="str">
        <f t="shared" si="155"/>
        <v>Large standard-size</v>
      </c>
      <c r="T839" s="116" t="s">
        <v>13693</v>
      </c>
      <c r="U839" s="116">
        <f t="shared" si="156"/>
        <v>0.26041666666666669</v>
      </c>
      <c r="V839" s="116" t="s">
        <v>13583</v>
      </c>
      <c r="W839" s="116" t="s">
        <v>13690</v>
      </c>
      <c r="X839" s="99" t="s">
        <v>13583</v>
      </c>
      <c r="Y839" s="99">
        <v>1</v>
      </c>
      <c r="Z839" s="99">
        <v>2</v>
      </c>
      <c r="AA839" s="99">
        <v>1</v>
      </c>
      <c r="AB839" s="99"/>
      <c r="AC839" s="99"/>
      <c r="AD839" s="107">
        <v>13.824717324876049</v>
      </c>
      <c r="AE839" s="113">
        <f t="shared" si="157"/>
        <v>-2.0737075987314073</v>
      </c>
      <c r="AF839" s="116">
        <f>-IFERROR(IFERROR(VLOOKUP(ROUNDUP($Q839,0),'FBA FEES'!$L$2:$Q$203,MATCH($S839,'FBA FEES'!$L$2:$Q$2,0),FALSE),VLOOKUP(ROUNDUP($Q839,0),'FBA FEES'!$C$6:$F$123,MATCH($S839,'FBA FEES'!$C$6:$F$6,0),FALSE)),0)</f>
        <v>-7.24</v>
      </c>
      <c r="AG839" s="116">
        <v>-10</v>
      </c>
      <c r="AH839" s="113">
        <f t="shared" si="158"/>
        <v>-9.3137075987314084</v>
      </c>
      <c r="AI839" s="116">
        <f>-IFERROR(IF($Y839=1,INDEX('[1]REMOVAL FEES'!$A$1:$C$22,MATCH(CONCATENATE("Standard Size",$P839),'[1]REMOVAL FEES'!$A$1:$A$22,0),3),IF($Y839=2,IF($P839&gt;10,(($P839-10)*1.06)+INDEX('[1]REMOVAL FEES'!$E$1:$G$22,MATCH(CONCATENATE("Large bulky, extra-large and special handling items",IF($P839&gt;=11,11,$P839)),'[1]REMOVAL FEES'!$E$1:$E$13,0),3),INDEX('[1]REMOVAL FEES'!$E$1:$G$22,MATCH(CONCATENATE("Large bulky, extra-large and special handling items",IF($P839&gt;=11,11,$P839)),'[1]REMOVAL FEES'!$E$1:$E$13,0),3))))*$AA839,FALSE)</f>
        <v>-5.01</v>
      </c>
      <c r="AJ839" s="107">
        <f t="shared" si="159"/>
        <v>-14.323707598731408</v>
      </c>
      <c r="AK839" s="107">
        <v>-6.4599999999999982</v>
      </c>
      <c r="AL839" s="107">
        <v>-1.965530278104191</v>
      </c>
      <c r="AM839" s="107">
        <f t="shared" si="160"/>
        <v>-8.4255302781041888</v>
      </c>
      <c r="AN839" s="116">
        <f>(-IF($V839="Yes", IF($X839="Yes", VLOOKUP($W839, '[1]Storage Fees'!A:M, 13, FALSE), VLOOKUP($W839, '[1]Storage Fees'!A:M, 10, FALSE)), IF($X839="Yes", VLOOKUP($W839, '[1]Storage Fees'!A:M, 7, FALSE), VLOOKUP($W839, '[1]Storage Fees'!A:M, 4, FALSE))) * U839)*1.5</f>
        <v>-0.47656250000000006</v>
      </c>
    </row>
    <row r="840" spans="1:40" x14ac:dyDescent="0.25">
      <c r="A840" s="99">
        <v>768</v>
      </c>
      <c r="B840" s="99" t="s">
        <v>13699</v>
      </c>
      <c r="C840" s="99"/>
      <c r="D840" s="99"/>
      <c r="E840" s="99" t="s">
        <v>278</v>
      </c>
      <c r="F840" s="99" t="s">
        <v>505</v>
      </c>
      <c r="G840" s="99" t="s">
        <v>13695</v>
      </c>
      <c r="H840" s="99">
        <v>29</v>
      </c>
      <c r="I840" s="99">
        <v>2</v>
      </c>
      <c r="J840" s="99">
        <v>2</v>
      </c>
      <c r="K840" s="101" t="str">
        <f t="shared" si="148"/>
        <v>29x2x2</v>
      </c>
      <c r="L840" s="102">
        <f t="shared" si="149"/>
        <v>0.83453237410071945</v>
      </c>
      <c r="M840" s="113">
        <f t="shared" si="150"/>
        <v>0.83453237410071945</v>
      </c>
      <c r="N840" s="113">
        <f t="shared" si="151"/>
        <v>1</v>
      </c>
      <c r="O840" s="99">
        <v>3</v>
      </c>
      <c r="P840" s="113">
        <f t="shared" si="152"/>
        <v>3</v>
      </c>
      <c r="Q840" s="112">
        <f t="shared" si="153"/>
        <v>48</v>
      </c>
      <c r="R840" s="112" t="str">
        <f t="shared" si="154"/>
        <v>Oversize</v>
      </c>
      <c r="S840" s="99" t="str">
        <f t="shared" si="155"/>
        <v>Large bulky</v>
      </c>
      <c r="T840" s="116" t="s">
        <v>13692</v>
      </c>
      <c r="U840" s="116">
        <f t="shared" si="156"/>
        <v>6.7129629629629636E-2</v>
      </c>
      <c r="V840" s="116" t="s">
        <v>13583</v>
      </c>
      <c r="W840" s="116" t="s">
        <v>13690</v>
      </c>
      <c r="X840" s="116" t="s">
        <v>13691</v>
      </c>
      <c r="Y840" s="116">
        <v>2</v>
      </c>
      <c r="Z840" s="116">
        <v>3</v>
      </c>
      <c r="AA840" s="116">
        <v>1</v>
      </c>
      <c r="AB840" s="99"/>
      <c r="AC840" s="99"/>
      <c r="AD840" s="107">
        <v>0</v>
      </c>
      <c r="AE840" s="113">
        <f t="shared" si="157"/>
        <v>0</v>
      </c>
      <c r="AF840" s="116">
        <f>-IFERROR(IFERROR(VLOOKUP(ROUNDUP($Q840,0),'FBA FEES'!$L$2:$Q$203,MATCH($S840,'FBA FEES'!$L$2:$Q$2,0),FALSE),VLOOKUP(ROUNDUP($Q840,0),'FBA FEES'!$C$6:$F$123,MATCH($S840,'FBA FEES'!$C$6:$F$6,0),FALSE)),0)</f>
        <v>-10.37</v>
      </c>
      <c r="AG840" s="116">
        <v>-10</v>
      </c>
      <c r="AH840" s="113">
        <f t="shared" si="158"/>
        <v>-10.37</v>
      </c>
      <c r="AI840" s="116">
        <f>-IFERROR(IF($Y840=1,INDEX('[1]REMOVAL FEES'!$A$1:$C$22,MATCH(CONCATENATE("Standard Size",$P840),'[1]REMOVAL FEES'!$A$1:$A$22,0),3),IF($Y840=2,IF($P840&gt;10,(($P840-10)*1.06)+INDEX('[1]REMOVAL FEES'!$E$1:$G$22,MATCH(CONCATENATE("Large bulky, extra-large and special handling items",IF($P840&gt;=11,11,$P840)),'[1]REMOVAL FEES'!$E$1:$E$13,0),3),INDEX('[1]REMOVAL FEES'!$E$1:$G$22,MATCH(CONCATENATE("Large bulky, extra-large and special handling items",IF($P840&gt;=11,11,$P840)),'[1]REMOVAL FEES'!$E$1:$E$13,0),3))))*$AA840,FALSE)</f>
        <v>-6.36</v>
      </c>
      <c r="AJ840" s="107">
        <f t="shared" si="159"/>
        <v>-16.73</v>
      </c>
      <c r="AK840" s="107">
        <v>0</v>
      </c>
      <c r="AL840" s="107">
        <v>0</v>
      </c>
      <c r="AM840" s="107">
        <f t="shared" si="160"/>
        <v>0</v>
      </c>
      <c r="AN840" s="116">
        <f>(-IF($V840="Yes", IF($X840="Yes", VLOOKUP($W840, '[1]Storage Fees'!A:M, 13, FALSE), VLOOKUP($W840, '[1]Storage Fees'!A:M, 10, FALSE)), IF($X840="Yes", VLOOKUP($W840, '[1]Storage Fees'!A:M, 7, FALSE), VLOOKUP($W840, '[1]Storage Fees'!A:M, 4, FALSE))) * U840)*1.5</f>
        <v>-7.9548611111111125E-2</v>
      </c>
    </row>
    <row r="841" spans="1:40" x14ac:dyDescent="0.25">
      <c r="A841" s="99">
        <v>769</v>
      </c>
      <c r="B841" s="99" t="s">
        <v>13699</v>
      </c>
      <c r="C841" s="99"/>
      <c r="D841" s="99"/>
      <c r="E841" s="99" t="s">
        <v>278</v>
      </c>
      <c r="F841" s="99" t="s">
        <v>507</v>
      </c>
      <c r="G841" s="99" t="s">
        <v>13695</v>
      </c>
      <c r="H841" s="99">
        <v>7</v>
      </c>
      <c r="I841" s="99">
        <v>3</v>
      </c>
      <c r="J841" s="99">
        <v>2</v>
      </c>
      <c r="K841" s="101" t="str">
        <f t="shared" ref="K841:K904" si="161">H841&amp;"x"&amp;I841&amp;"x"&amp;J841</f>
        <v>7x3x2</v>
      </c>
      <c r="L841" s="102">
        <f t="shared" ref="L841:L904" si="162">(H841*I841*J841)/139</f>
        <v>0.30215827338129497</v>
      </c>
      <c r="M841" s="113">
        <f t="shared" ref="M841:M904" si="163">(H841*I841*J841)/139</f>
        <v>0.30215827338129497</v>
      </c>
      <c r="N841" s="113">
        <f t="shared" ref="N841:N904" si="164">IF(AND(M841&gt;0,M841&lt;=0.25),0.25,IF(AND(M841&gt;0.25,M841&lt;=0.5),0.5,IF(AND(M841&gt;0.5,M841&lt;=0.75),0.75,ROUNDUP(M841,0))))</f>
        <v>0.5</v>
      </c>
      <c r="O841" s="99">
        <v>0.5</v>
      </c>
      <c r="P841" s="113">
        <f t="shared" ref="P841:P904" si="165">ROUNDUP(MAX(L841,O841),0)</f>
        <v>1</v>
      </c>
      <c r="Q841" s="112">
        <f t="shared" ref="Q841:Q904" si="166">P841*16</f>
        <v>16</v>
      </c>
      <c r="R841" s="112" t="str">
        <f t="shared" ref="R841:R904" si="167">IF(RIGHT(S841,13)="standard-size","Standard-size","Oversize")</f>
        <v>Standard-size</v>
      </c>
      <c r="S841" s="99" t="str">
        <f t="shared" ref="S841:S904" si="168">IF(AND($P841&lt;=$J$50,$H841&lt;=$G$50,$I841&lt;=$H$50,$J841&lt;=$I$50),$A$50,IF(AND($P841&lt;=$J$51,$H841&lt;=$G$51,$I841&lt;=$H$51,$J841&lt;=$I$51),$A$51,IF(AND($H841&lt;=$G$52,$I841&lt;=$H$52,$J841&lt;=$I$52,$P841&lt;=$J$52),$A$52,IF(AND($P841&lt;=$J$53,OR(H$8&gt;$G$53,$I841&gt;$H$53,$J841&gt;$I$53)),$A$53,IF(AND($P841&gt;$J$53,$P841&lt;=$J$54),$A$54,IF(AND($P841&gt;$J$54,$P841&lt;=$J$55),$A$55,$A$56))))))</f>
        <v>Large standard-size</v>
      </c>
      <c r="T841" s="116" t="s">
        <v>13698</v>
      </c>
      <c r="U841" s="116">
        <f t="shared" ref="U841:U904" si="169">(H841*I841*J841)/1728</f>
        <v>2.4305555555555556E-2</v>
      </c>
      <c r="V841" s="116" t="s">
        <v>13583</v>
      </c>
      <c r="W841" s="116" t="s">
        <v>13690</v>
      </c>
      <c r="X841" s="99" t="s">
        <v>13583</v>
      </c>
      <c r="Y841" s="99">
        <v>1</v>
      </c>
      <c r="Z841" s="99">
        <v>2</v>
      </c>
      <c r="AA841" s="99">
        <v>1</v>
      </c>
      <c r="AB841" s="99"/>
      <c r="AC841" s="99"/>
      <c r="AD841" s="107">
        <v>0</v>
      </c>
      <c r="AE841" s="113">
        <f t="shared" ref="AE841:AE904" si="170">-AD841*0.15</f>
        <v>0</v>
      </c>
      <c r="AF841" s="116">
        <f>-IFERROR(IFERROR(VLOOKUP(ROUNDUP($Q841,0),'FBA FEES'!$L$2:$Q$203,MATCH($S841,'FBA FEES'!$L$2:$Q$2,0),FALSE),VLOOKUP(ROUNDUP($Q841,0),'FBA FEES'!$C$6:$F$123,MATCH($S841,'FBA FEES'!$C$6:$F$6,0),FALSE)),0)</f>
        <v>-4.55</v>
      </c>
      <c r="AG841" s="116">
        <v>-10</v>
      </c>
      <c r="AH841" s="113">
        <f t="shared" ref="AH841:AH904" si="171">AE841+AF841</f>
        <v>-4.55</v>
      </c>
      <c r="AI841" s="116">
        <f>-IFERROR(IF($Y841=1,INDEX('[1]REMOVAL FEES'!$A$1:$C$22,MATCH(CONCATENATE("Standard Size",$P841),'[1]REMOVAL FEES'!$A$1:$A$22,0),3),IF($Y841=2,IF($P841&gt;10,(($P841-10)*1.06)+INDEX('[1]REMOVAL FEES'!$E$1:$G$22,MATCH(CONCATENATE("Large bulky, extra-large and special handling items",IF($P841&gt;=11,11,$P841)),'[1]REMOVAL FEES'!$E$1:$E$13,0),3),INDEX('[1]REMOVAL FEES'!$E$1:$G$22,MATCH(CONCATENATE("Large bulky, extra-large and special handling items",IF($P841&gt;=11,11,$P841)),'[1]REMOVAL FEES'!$E$1:$E$13,0),3))))*$AA841,FALSE)</f>
        <v>-1.53</v>
      </c>
      <c r="AJ841" s="107">
        <f t="shared" ref="AJ841:AJ904" si="172">AH841+AI841</f>
        <v>-6.08</v>
      </c>
      <c r="AK841" s="107">
        <v>0</v>
      </c>
      <c r="AL841" s="107">
        <v>0</v>
      </c>
      <c r="AM841" s="107">
        <f t="shared" ref="AM841:AM904" si="173">AK841+AL841</f>
        <v>0</v>
      </c>
      <c r="AN841" s="116">
        <f>(-IF($V841="Yes", IF($X841="Yes", VLOOKUP($W841, '[1]Storage Fees'!A:M, 13, FALSE), VLOOKUP($W841, '[1]Storage Fees'!A:M, 10, FALSE)), IF($X841="Yes", VLOOKUP($W841, '[1]Storage Fees'!A:M, 7, FALSE), VLOOKUP($W841, '[1]Storage Fees'!A:M, 4, FALSE))) * U841)*1.5</f>
        <v>-4.4479166666666667E-2</v>
      </c>
    </row>
    <row r="842" spans="1:40" x14ac:dyDescent="0.25">
      <c r="A842" s="99">
        <v>770</v>
      </c>
      <c r="B842" s="99" t="s">
        <v>13699</v>
      </c>
      <c r="C842" s="99"/>
      <c r="D842" s="99"/>
      <c r="E842" s="99" t="s">
        <v>278</v>
      </c>
      <c r="F842" s="99" t="s">
        <v>509</v>
      </c>
      <c r="G842" s="99" t="s">
        <v>13695</v>
      </c>
      <c r="H842" s="99">
        <v>28</v>
      </c>
      <c r="I842" s="99">
        <v>28</v>
      </c>
      <c r="J842" s="99">
        <v>4</v>
      </c>
      <c r="K842" s="101" t="str">
        <f t="shared" si="161"/>
        <v>28x28x4</v>
      </c>
      <c r="L842" s="102">
        <f t="shared" si="162"/>
        <v>22.561151079136689</v>
      </c>
      <c r="M842" s="113">
        <f t="shared" si="163"/>
        <v>22.561151079136689</v>
      </c>
      <c r="N842" s="113">
        <f t="shared" si="164"/>
        <v>23</v>
      </c>
      <c r="O842" s="99">
        <v>16</v>
      </c>
      <c r="P842" s="113">
        <f t="shared" si="165"/>
        <v>23</v>
      </c>
      <c r="Q842" s="112">
        <f t="shared" si="166"/>
        <v>368</v>
      </c>
      <c r="R842" s="112" t="str">
        <f t="shared" si="167"/>
        <v>Oversize</v>
      </c>
      <c r="S842" s="99" t="str">
        <f t="shared" si="168"/>
        <v>Large bulky</v>
      </c>
      <c r="T842" s="116" t="s">
        <v>13692</v>
      </c>
      <c r="U842" s="116">
        <f t="shared" si="169"/>
        <v>1.8148148148148149</v>
      </c>
      <c r="V842" s="116" t="s">
        <v>13583</v>
      </c>
      <c r="W842" s="116" t="s">
        <v>13690</v>
      </c>
      <c r="X842" s="116" t="s">
        <v>13691</v>
      </c>
      <c r="Y842" s="116">
        <v>2</v>
      </c>
      <c r="Z842" s="116">
        <v>3</v>
      </c>
      <c r="AA842" s="116">
        <v>1</v>
      </c>
      <c r="AB842" s="99"/>
      <c r="AC842" s="99"/>
      <c r="AD842" s="107">
        <v>113.267</v>
      </c>
      <c r="AE842" s="113">
        <f t="shared" si="170"/>
        <v>-16.99005</v>
      </c>
      <c r="AF842" s="116">
        <f>-IFERROR(IFERROR(VLOOKUP(ROUNDUP($Q842,0),'FBA FEES'!$L$2:$Q$203,MATCH($S842,'FBA FEES'!$L$2:$Q$2,0),FALSE),VLOOKUP(ROUNDUP($Q842,0),'FBA FEES'!$C$6:$F$123,MATCH($S842,'FBA FEES'!$C$6:$F$6,0),FALSE)),0)</f>
        <v>-17.97</v>
      </c>
      <c r="AG842" s="116">
        <v>-10</v>
      </c>
      <c r="AH842" s="113">
        <f t="shared" si="171"/>
        <v>-34.960049999999995</v>
      </c>
      <c r="AI842" s="116">
        <f>-IFERROR(IF($Y842=1,INDEX('[1]REMOVAL FEES'!$A$1:$C$22,MATCH(CONCATENATE("Standard Size",$P842),'[1]REMOVAL FEES'!$A$1:$A$22,0),3),IF($Y842=2,IF($P842&gt;10,(($P842-10)*1.06)+INDEX('[1]REMOVAL FEES'!$E$1:$G$22,MATCH(CONCATENATE("Large bulky, extra-large and special handling items",IF($P842&gt;=11,11,$P842)),'[1]REMOVAL FEES'!$E$1:$E$13,0),3),INDEX('[1]REMOVAL FEES'!$E$1:$G$22,MATCH(CONCATENATE("Large bulky, extra-large and special handling items",IF($P842&gt;=11,11,$P842)),'[1]REMOVAL FEES'!$E$1:$E$13,0),3))))*$AA842,FALSE)</f>
        <v>-28.1</v>
      </c>
      <c r="AJ842" s="107">
        <f t="shared" si="172"/>
        <v>-63.060049999999997</v>
      </c>
      <c r="AK842" s="107">
        <v>-35</v>
      </c>
      <c r="AL842" s="107">
        <v>-8.8612500000000018</v>
      </c>
      <c r="AM842" s="107">
        <f t="shared" si="173"/>
        <v>-43.861249999999998</v>
      </c>
      <c r="AN842" s="116">
        <f>(-IF($V842="Yes", IF($X842="Yes", VLOOKUP($W842, '[1]Storage Fees'!A:M, 13, FALSE), VLOOKUP($W842, '[1]Storage Fees'!A:M, 10, FALSE)), IF($X842="Yes", VLOOKUP($W842, '[1]Storage Fees'!A:M, 7, FALSE), VLOOKUP($W842, '[1]Storage Fees'!A:M, 4, FALSE))) * U842)*1.5</f>
        <v>-2.150555555555556</v>
      </c>
    </row>
    <row r="843" spans="1:40" x14ac:dyDescent="0.25">
      <c r="A843" s="99">
        <v>771</v>
      </c>
      <c r="B843" s="99" t="s">
        <v>13700</v>
      </c>
      <c r="C843" s="99"/>
      <c r="D843" s="99"/>
      <c r="E843" s="99" t="s">
        <v>278</v>
      </c>
      <c r="F843" s="99" t="s">
        <v>512</v>
      </c>
      <c r="G843" s="99" t="s">
        <v>13656</v>
      </c>
      <c r="H843" s="99">
        <v>26</v>
      </c>
      <c r="I843" s="99">
        <v>17</v>
      </c>
      <c r="J843" s="99">
        <v>4</v>
      </c>
      <c r="K843" s="101" t="str">
        <f t="shared" si="161"/>
        <v>26x17x4</v>
      </c>
      <c r="L843" s="102">
        <f t="shared" si="162"/>
        <v>12.719424460431656</v>
      </c>
      <c r="M843" s="113">
        <f t="shared" si="163"/>
        <v>12.719424460431656</v>
      </c>
      <c r="N843" s="113">
        <f t="shared" si="164"/>
        <v>13</v>
      </c>
      <c r="O843" s="99">
        <v>12</v>
      </c>
      <c r="P843" s="113">
        <f t="shared" si="165"/>
        <v>13</v>
      </c>
      <c r="Q843" s="112">
        <f t="shared" si="166"/>
        <v>208</v>
      </c>
      <c r="R843" s="112" t="str">
        <f t="shared" si="167"/>
        <v>Oversize</v>
      </c>
      <c r="S843" s="99" t="str">
        <f t="shared" si="168"/>
        <v>Large bulky</v>
      </c>
      <c r="T843" s="116" t="s">
        <v>13692</v>
      </c>
      <c r="U843" s="116">
        <f t="shared" si="169"/>
        <v>1.0231481481481481</v>
      </c>
      <c r="V843" s="116" t="s">
        <v>13583</v>
      </c>
      <c r="W843" s="116" t="s">
        <v>13690</v>
      </c>
      <c r="X843" s="116" t="s">
        <v>13691</v>
      </c>
      <c r="Y843" s="116">
        <v>2</v>
      </c>
      <c r="Z843" s="116">
        <v>3</v>
      </c>
      <c r="AA843" s="116">
        <v>1</v>
      </c>
      <c r="AB843" s="99"/>
      <c r="AC843" s="99"/>
      <c r="AD843" s="107">
        <v>85.418571428571425</v>
      </c>
      <c r="AE843" s="113">
        <f t="shared" si="170"/>
        <v>-12.812785714285713</v>
      </c>
      <c r="AF843" s="116">
        <f>-IFERROR(IFERROR(VLOOKUP(ROUNDUP($Q843,0),'FBA FEES'!$L$2:$Q$203,MATCH($S843,'FBA FEES'!$L$2:$Q$2,0),FALSE),VLOOKUP(ROUNDUP($Q843,0),'FBA FEES'!$C$6:$F$123,MATCH($S843,'FBA FEES'!$C$6:$F$6,0),FALSE)),0)</f>
        <v>-14.17</v>
      </c>
      <c r="AG843" s="116">
        <v>-10</v>
      </c>
      <c r="AH843" s="113">
        <f t="shared" si="171"/>
        <v>-26.982785714285711</v>
      </c>
      <c r="AI843" s="116">
        <f>-IFERROR(IF($Y843=1,INDEX('[1]REMOVAL FEES'!$A$1:$C$22,MATCH(CONCATENATE("Standard Size",$P843),'[1]REMOVAL FEES'!$A$1:$A$22,0),3),IF($Y843=2,IF($P843&gt;10,(($P843-10)*1.06)+INDEX('[1]REMOVAL FEES'!$E$1:$G$22,MATCH(CONCATENATE("Large bulky, extra-large and special handling items",IF($P843&gt;=11,11,$P843)),'[1]REMOVAL FEES'!$E$1:$E$13,0),3),INDEX('[1]REMOVAL FEES'!$E$1:$G$22,MATCH(CONCATENATE("Large bulky, extra-large and special handling items",IF($P843&gt;=11,11,$P843)),'[1]REMOVAL FEES'!$E$1:$E$13,0),3))))*$AA843,FALSE)</f>
        <v>-17.5</v>
      </c>
      <c r="AJ843" s="107">
        <f t="shared" si="172"/>
        <v>-44.482785714285711</v>
      </c>
      <c r="AK843" s="107">
        <v>-25</v>
      </c>
      <c r="AL843" s="107">
        <v>-8.9635019841269834</v>
      </c>
      <c r="AM843" s="107">
        <f t="shared" si="173"/>
        <v>-33.963501984126985</v>
      </c>
      <c r="AN843" s="116">
        <f>(-IF($V843="Yes", IF($X843="Yes", VLOOKUP($W843, '[1]Storage Fees'!A:M, 13, FALSE), VLOOKUP($W843, '[1]Storage Fees'!A:M, 10, FALSE)), IF($X843="Yes", VLOOKUP($W843, '[1]Storage Fees'!A:M, 7, FALSE), VLOOKUP($W843, '[1]Storage Fees'!A:M, 4, FALSE))) * U843)*1.5</f>
        <v>-1.2124305555555557</v>
      </c>
    </row>
    <row r="844" spans="1:40" x14ac:dyDescent="0.25">
      <c r="A844" s="99">
        <v>772</v>
      </c>
      <c r="B844" s="99" t="s">
        <v>107</v>
      </c>
      <c r="C844" s="99"/>
      <c r="D844" s="99" t="s">
        <v>119</v>
      </c>
      <c r="E844" s="99" t="s">
        <v>120</v>
      </c>
      <c r="F844" s="110" t="s">
        <v>514</v>
      </c>
      <c r="G844" s="99" t="s">
        <v>13695</v>
      </c>
      <c r="H844" s="99">
        <v>34</v>
      </c>
      <c r="I844" s="99">
        <v>23</v>
      </c>
      <c r="J844" s="99">
        <v>4</v>
      </c>
      <c r="K844" s="101" t="str">
        <f t="shared" si="161"/>
        <v>34x23x4</v>
      </c>
      <c r="L844" s="102">
        <f t="shared" si="162"/>
        <v>22.503597122302157</v>
      </c>
      <c r="M844" s="113">
        <f t="shared" si="163"/>
        <v>22.503597122302157</v>
      </c>
      <c r="N844" s="113">
        <f t="shared" si="164"/>
        <v>23</v>
      </c>
      <c r="O844" s="99">
        <v>24</v>
      </c>
      <c r="P844" s="113">
        <f t="shared" si="165"/>
        <v>24</v>
      </c>
      <c r="Q844" s="112">
        <f t="shared" si="166"/>
        <v>384</v>
      </c>
      <c r="R844" s="112" t="str">
        <f t="shared" si="167"/>
        <v>Oversize</v>
      </c>
      <c r="S844" s="99" t="str">
        <f t="shared" si="168"/>
        <v>Large bulky</v>
      </c>
      <c r="T844" s="116" t="s">
        <v>13692</v>
      </c>
      <c r="U844" s="116">
        <f t="shared" si="169"/>
        <v>1.8101851851851851</v>
      </c>
      <c r="V844" s="116" t="s">
        <v>13583</v>
      </c>
      <c r="W844" s="116" t="s">
        <v>13690</v>
      </c>
      <c r="X844" s="116" t="s">
        <v>13691</v>
      </c>
      <c r="Y844" s="116">
        <v>2</v>
      </c>
      <c r="Z844" s="116">
        <v>3</v>
      </c>
      <c r="AA844" s="116">
        <v>1</v>
      </c>
      <c r="AB844" s="99"/>
      <c r="AC844" s="99"/>
      <c r="AD844" s="107">
        <v>81.99</v>
      </c>
      <c r="AE844" s="113">
        <f t="shared" si="170"/>
        <v>-12.298499999999999</v>
      </c>
      <c r="AF844" s="116">
        <f>-IFERROR(IFERROR(VLOOKUP(ROUNDUP($Q844,0),'FBA FEES'!$L$2:$Q$203,MATCH($S844,'FBA FEES'!$L$2:$Q$2,0),FALSE),VLOOKUP(ROUNDUP($Q844,0),'FBA FEES'!$C$6:$F$123,MATCH($S844,'FBA FEES'!$C$6:$F$6,0),FALSE)),0)</f>
        <v>-18.350000000000001</v>
      </c>
      <c r="AG844" s="116">
        <v>-10</v>
      </c>
      <c r="AH844" s="113">
        <f t="shared" si="171"/>
        <v>-30.648499999999999</v>
      </c>
      <c r="AI844" s="116">
        <f>-IFERROR(IF($Y844=1,INDEX('[1]REMOVAL FEES'!$A$1:$C$22,MATCH(CONCATENATE("Standard Size",$P844),'[1]REMOVAL FEES'!$A$1:$A$22,0),3),IF($Y844=2,IF($P844&gt;10,(($P844-10)*1.06)+INDEX('[1]REMOVAL FEES'!$E$1:$G$22,MATCH(CONCATENATE("Large bulky, extra-large and special handling items",IF($P844&gt;=11,11,$P844)),'[1]REMOVAL FEES'!$E$1:$E$13,0),3),INDEX('[1]REMOVAL FEES'!$E$1:$G$22,MATCH(CONCATENATE("Large bulky, extra-large and special handling items",IF($P844&gt;=11,11,$P844)),'[1]REMOVAL FEES'!$E$1:$E$13,0),3))))*$AA844,FALSE)</f>
        <v>-29.16</v>
      </c>
      <c r="AJ844" s="107">
        <f t="shared" si="172"/>
        <v>-59.808499999999995</v>
      </c>
      <c r="AK844" s="107">
        <v>-46.76</v>
      </c>
      <c r="AL844" s="107">
        <v>-13.3</v>
      </c>
      <c r="AM844" s="107">
        <f t="shared" si="173"/>
        <v>-60.06</v>
      </c>
      <c r="AN844" s="116">
        <f>(-IF($V844="Yes", IF($X844="Yes", VLOOKUP($W844, '[1]Storage Fees'!A:M, 13, FALSE), VLOOKUP($W844, '[1]Storage Fees'!A:M, 10, FALSE)), IF($X844="Yes", VLOOKUP($W844, '[1]Storage Fees'!A:M, 7, FALSE), VLOOKUP($W844, '[1]Storage Fees'!A:M, 4, FALSE))) * U844)*1.5</f>
        <v>-2.1450694444444443</v>
      </c>
    </row>
    <row r="845" spans="1:40" x14ac:dyDescent="0.25">
      <c r="A845" s="99">
        <v>773</v>
      </c>
      <c r="B845" s="99" t="s">
        <v>13700</v>
      </c>
      <c r="C845" s="99"/>
      <c r="D845" s="99"/>
      <c r="E845" s="99" t="s">
        <v>358</v>
      </c>
      <c r="F845" s="99" t="s">
        <v>516</v>
      </c>
      <c r="G845" s="99" t="s">
        <v>13695</v>
      </c>
      <c r="H845" s="99">
        <v>0</v>
      </c>
      <c r="I845" s="99">
        <v>0</v>
      </c>
      <c r="J845" s="99">
        <v>0</v>
      </c>
      <c r="K845" s="101" t="str">
        <f t="shared" si="161"/>
        <v>0x0x0</v>
      </c>
      <c r="L845" s="102">
        <f t="shared" si="162"/>
        <v>0</v>
      </c>
      <c r="M845" s="113">
        <f t="shared" si="163"/>
        <v>0</v>
      </c>
      <c r="N845" s="113">
        <f t="shared" si="164"/>
        <v>0</v>
      </c>
      <c r="O845" s="99">
        <v>0</v>
      </c>
      <c r="P845" s="113">
        <f t="shared" si="165"/>
        <v>0</v>
      </c>
      <c r="Q845" s="112">
        <f t="shared" si="166"/>
        <v>0</v>
      </c>
      <c r="R845" s="112" t="str">
        <f t="shared" si="167"/>
        <v>Standard-size</v>
      </c>
      <c r="S845" s="99" t="str">
        <f t="shared" si="168"/>
        <v>Small standard-size</v>
      </c>
      <c r="T845" s="116" t="s">
        <v>13696</v>
      </c>
      <c r="U845" s="116">
        <f t="shared" si="169"/>
        <v>0</v>
      </c>
      <c r="V845" s="116" t="s">
        <v>13583</v>
      </c>
      <c r="W845" s="116" t="s">
        <v>13690</v>
      </c>
      <c r="X845" s="99" t="s">
        <v>13583</v>
      </c>
      <c r="Y845" s="99">
        <v>1</v>
      </c>
      <c r="Z845" s="99">
        <v>1</v>
      </c>
      <c r="AA845" s="99">
        <v>1</v>
      </c>
      <c r="AB845" s="99"/>
      <c r="AC845" s="99"/>
      <c r="AD845" s="107">
        <v>0</v>
      </c>
      <c r="AE845" s="113">
        <f t="shared" si="170"/>
        <v>0</v>
      </c>
      <c r="AF845" s="116">
        <f>-IFERROR(IFERROR(VLOOKUP(ROUNDUP($Q845,0),'FBA FEES'!$L$2:$Q$203,MATCH($S845,'FBA FEES'!$L$2:$Q$2,0),FALSE),VLOOKUP(ROUNDUP($Q845,0),'FBA FEES'!$C$6:$F$123,MATCH($S845,'FBA FEES'!$C$6:$F$6,0),FALSE)),0)</f>
        <v>0</v>
      </c>
      <c r="AG845" s="116">
        <v>-10</v>
      </c>
      <c r="AH845" s="113">
        <f t="shared" si="171"/>
        <v>0</v>
      </c>
      <c r="AI845" s="116">
        <f>-IFERROR(IF($Y845=1,INDEX('[1]REMOVAL FEES'!$A$1:$C$22,MATCH(CONCATENATE("Standard Size",$P845),'[1]REMOVAL FEES'!$A$1:$A$22,0),3),IF($Y845=2,IF($P845&gt;10,(($P845-10)*1.06)+INDEX('[1]REMOVAL FEES'!$E$1:$G$22,MATCH(CONCATENATE("Large bulky, extra-large and special handling items",IF($P845&gt;=11,11,$P845)),'[1]REMOVAL FEES'!$E$1:$E$13,0),3),INDEX('[1]REMOVAL FEES'!$E$1:$G$22,MATCH(CONCATENATE("Large bulky, extra-large and special handling items",IF($P845&gt;=11,11,$P845)),'[1]REMOVAL FEES'!$E$1:$E$13,0),3))))*$AA845,FALSE)</f>
        <v>0</v>
      </c>
      <c r="AJ845" s="107">
        <f t="shared" si="172"/>
        <v>0</v>
      </c>
      <c r="AK845" s="107">
        <v>0</v>
      </c>
      <c r="AL845" s="107">
        <v>0</v>
      </c>
      <c r="AM845" s="107">
        <f t="shared" si="173"/>
        <v>0</v>
      </c>
      <c r="AN845" s="116">
        <f>(-IF($V845="Yes", IF($X845="Yes", VLOOKUP($W845, '[1]Storage Fees'!A:M, 13, FALSE), VLOOKUP($W845, '[1]Storage Fees'!A:M, 10, FALSE)), IF($X845="Yes", VLOOKUP($W845, '[1]Storage Fees'!A:M, 7, FALSE), VLOOKUP($W845, '[1]Storage Fees'!A:M, 4, FALSE))) * U845)*1.5</f>
        <v>0</v>
      </c>
    </row>
    <row r="846" spans="1:40" x14ac:dyDescent="0.25">
      <c r="A846" s="99">
        <v>774</v>
      </c>
      <c r="B846" s="99" t="s">
        <v>13699</v>
      </c>
      <c r="C846" s="99"/>
      <c r="D846" s="99" t="s">
        <v>119</v>
      </c>
      <c r="E846" s="99" t="s">
        <v>120</v>
      </c>
      <c r="F846" s="99" t="s">
        <v>518</v>
      </c>
      <c r="G846" s="99" t="s">
        <v>13695</v>
      </c>
      <c r="H846" s="99">
        <v>24</v>
      </c>
      <c r="I846" s="99">
        <v>19</v>
      </c>
      <c r="J846" s="99">
        <v>4</v>
      </c>
      <c r="K846" s="101" t="str">
        <f t="shared" si="161"/>
        <v>24x19x4</v>
      </c>
      <c r="L846" s="102">
        <f t="shared" si="162"/>
        <v>13.122302158273381</v>
      </c>
      <c r="M846" s="113">
        <f t="shared" si="163"/>
        <v>13.122302158273381</v>
      </c>
      <c r="N846" s="113">
        <f t="shared" si="164"/>
        <v>14</v>
      </c>
      <c r="O846" s="99">
        <v>37</v>
      </c>
      <c r="P846" s="113">
        <f t="shared" si="165"/>
        <v>37</v>
      </c>
      <c r="Q846" s="112">
        <f t="shared" si="166"/>
        <v>592</v>
      </c>
      <c r="R846" s="112" t="str">
        <f t="shared" si="167"/>
        <v>Oversize</v>
      </c>
      <c r="S846" s="99" t="str">
        <f t="shared" si="168"/>
        <v>Large bulky</v>
      </c>
      <c r="T846" s="116" t="s">
        <v>13694</v>
      </c>
      <c r="U846" s="116">
        <f t="shared" si="169"/>
        <v>1.0555555555555556</v>
      </c>
      <c r="V846" s="116" t="s">
        <v>13583</v>
      </c>
      <c r="W846" s="116" t="s">
        <v>13690</v>
      </c>
      <c r="X846" s="116" t="s">
        <v>13691</v>
      </c>
      <c r="Y846" s="116">
        <v>2</v>
      </c>
      <c r="Z846" s="116">
        <v>3</v>
      </c>
      <c r="AA846" s="116">
        <v>1</v>
      </c>
      <c r="AB846" s="99"/>
      <c r="AC846" s="99"/>
      <c r="AD846" s="107">
        <v>137.328846153846</v>
      </c>
      <c r="AE846" s="113">
        <f t="shared" si="170"/>
        <v>-20.599326923076898</v>
      </c>
      <c r="AF846" s="116">
        <f>-IFERROR(IFERROR(VLOOKUP(ROUNDUP($Q846,0),'FBA FEES'!$L$2:$Q$203,MATCH($S846,'FBA FEES'!$L$2:$Q$2,0),FALSE),VLOOKUP(ROUNDUP($Q846,0),'FBA FEES'!$C$6:$F$123,MATCH($S846,'FBA FEES'!$C$6:$F$6,0),FALSE)),0)</f>
        <v>-23.29</v>
      </c>
      <c r="AG846" s="116">
        <v>-10</v>
      </c>
      <c r="AH846" s="113">
        <f t="shared" si="171"/>
        <v>-43.889326923076894</v>
      </c>
      <c r="AI846" s="116">
        <f>-IFERROR(IF($Y846=1,INDEX('[1]REMOVAL FEES'!$A$1:$C$22,MATCH(CONCATENATE("Standard Size",$P846),'[1]REMOVAL FEES'!$A$1:$A$22,0),3),IF($Y846=2,IF($P846&gt;10,(($P846-10)*1.06)+INDEX('[1]REMOVAL FEES'!$E$1:$G$22,MATCH(CONCATENATE("Large bulky, extra-large and special handling items",IF($P846&gt;=11,11,$P846)),'[1]REMOVAL FEES'!$E$1:$E$13,0),3),INDEX('[1]REMOVAL FEES'!$E$1:$G$22,MATCH(CONCATENATE("Large bulky, extra-large and special handling items",IF($P846&gt;=11,11,$P846)),'[1]REMOVAL FEES'!$E$1:$E$13,0),3))))*$AA846,FALSE)</f>
        <v>-42.94</v>
      </c>
      <c r="AJ846" s="107">
        <f t="shared" si="172"/>
        <v>-86.829326923076891</v>
      </c>
      <c r="AK846" s="107">
        <v>-67.46346153846153</v>
      </c>
      <c r="AL846" s="107">
        <v>-17.041044871794849</v>
      </c>
      <c r="AM846" s="107">
        <f t="shared" si="173"/>
        <v>-84.504506410256383</v>
      </c>
      <c r="AN846" s="116">
        <f>(-IF($V846="Yes", IF($X846="Yes", VLOOKUP($W846, '[1]Storage Fees'!A:M, 13, FALSE), VLOOKUP($W846, '[1]Storage Fees'!A:M, 10, FALSE)), IF($X846="Yes", VLOOKUP($W846, '[1]Storage Fees'!A:M, 7, FALSE), VLOOKUP($W846, '[1]Storage Fees'!A:M, 4, FALSE))) * U846)*1.5</f>
        <v>-1.2508333333333335</v>
      </c>
    </row>
    <row r="847" spans="1:40" x14ac:dyDescent="0.25">
      <c r="A847" s="99">
        <v>775</v>
      </c>
      <c r="B847" s="99" t="s">
        <v>13699</v>
      </c>
      <c r="C847" s="99"/>
      <c r="D847" s="99" t="s">
        <v>119</v>
      </c>
      <c r="E847" s="99" t="s">
        <v>120</v>
      </c>
      <c r="F847" s="99" t="s">
        <v>520</v>
      </c>
      <c r="G847" s="99" t="s">
        <v>13695</v>
      </c>
      <c r="H847" s="99">
        <v>28</v>
      </c>
      <c r="I847" s="99">
        <v>22</v>
      </c>
      <c r="J847" s="99">
        <v>4</v>
      </c>
      <c r="K847" s="101" t="str">
        <f t="shared" si="161"/>
        <v>28x22x4</v>
      </c>
      <c r="L847" s="102">
        <f t="shared" si="162"/>
        <v>17.726618705035971</v>
      </c>
      <c r="M847" s="113">
        <f t="shared" si="163"/>
        <v>17.726618705035971</v>
      </c>
      <c r="N847" s="113">
        <f t="shared" si="164"/>
        <v>18</v>
      </c>
      <c r="O847" s="99">
        <v>42</v>
      </c>
      <c r="P847" s="113">
        <f t="shared" si="165"/>
        <v>42</v>
      </c>
      <c r="Q847" s="112">
        <f t="shared" si="166"/>
        <v>672</v>
      </c>
      <c r="R847" s="112" t="str">
        <f t="shared" si="167"/>
        <v>Oversize</v>
      </c>
      <c r="S847" s="99" t="str">
        <f t="shared" si="168"/>
        <v>Large bulky</v>
      </c>
      <c r="T847" s="116" t="s">
        <v>13694</v>
      </c>
      <c r="U847" s="116">
        <f t="shared" si="169"/>
        <v>1.4259259259259258</v>
      </c>
      <c r="V847" s="116" t="s">
        <v>13583</v>
      </c>
      <c r="W847" s="116" t="s">
        <v>13690</v>
      </c>
      <c r="X847" s="116" t="s">
        <v>13691</v>
      </c>
      <c r="Y847" s="116">
        <v>2</v>
      </c>
      <c r="Z847" s="116">
        <v>3</v>
      </c>
      <c r="AA847" s="116">
        <v>1</v>
      </c>
      <c r="AB847" s="99"/>
      <c r="AC847" s="99"/>
      <c r="AD847" s="107">
        <v>149.3153999999999</v>
      </c>
      <c r="AE847" s="113">
        <f t="shared" si="170"/>
        <v>-22.397309999999983</v>
      </c>
      <c r="AF847" s="116">
        <f>-IFERROR(IFERROR(VLOOKUP(ROUNDUP($Q847,0),'FBA FEES'!$L$2:$Q$203,MATCH($S847,'FBA FEES'!$L$2:$Q$2,0),FALSE),VLOOKUP(ROUNDUP($Q847,0),'FBA FEES'!$C$6:$F$123,MATCH($S847,'FBA FEES'!$C$6:$F$6,0),FALSE)),0)</f>
        <v>-25.189999999999998</v>
      </c>
      <c r="AG847" s="116">
        <v>-10</v>
      </c>
      <c r="AH847" s="113">
        <f t="shared" si="171"/>
        <v>-47.587309999999981</v>
      </c>
      <c r="AI847" s="116">
        <f>-IFERROR(IF($Y847=1,INDEX('[1]REMOVAL FEES'!$A$1:$C$22,MATCH(CONCATENATE("Standard Size",$P847),'[1]REMOVAL FEES'!$A$1:$A$22,0),3),IF($Y847=2,IF($P847&gt;10,(($P847-10)*1.06)+INDEX('[1]REMOVAL FEES'!$E$1:$G$22,MATCH(CONCATENATE("Large bulky, extra-large and special handling items",IF($P847&gt;=11,11,$P847)),'[1]REMOVAL FEES'!$E$1:$E$13,0),3),INDEX('[1]REMOVAL FEES'!$E$1:$G$22,MATCH(CONCATENATE("Large bulky, extra-large and special handling items",IF($P847&gt;=11,11,$P847)),'[1]REMOVAL FEES'!$E$1:$E$13,0),3))))*$AA847,FALSE)</f>
        <v>-48.24</v>
      </c>
      <c r="AJ847" s="107">
        <f t="shared" si="172"/>
        <v>-95.827309999999983</v>
      </c>
      <c r="AK847" s="107">
        <v>-77.525000000000006</v>
      </c>
      <c r="AL847" s="107">
        <v>-18.408579248677249</v>
      </c>
      <c r="AM847" s="107">
        <f t="shared" si="173"/>
        <v>-95.933579248677262</v>
      </c>
      <c r="AN847" s="116">
        <f>(-IF($V847="Yes", IF($X847="Yes", VLOOKUP($W847, '[1]Storage Fees'!A:M, 13, FALSE), VLOOKUP($W847, '[1]Storage Fees'!A:M, 10, FALSE)), IF($X847="Yes", VLOOKUP($W847, '[1]Storage Fees'!A:M, 7, FALSE), VLOOKUP($W847, '[1]Storage Fees'!A:M, 4, FALSE))) * U847)*1.5</f>
        <v>-1.6897222222222221</v>
      </c>
    </row>
    <row r="848" spans="1:40" x14ac:dyDescent="0.25">
      <c r="A848" s="99">
        <v>776</v>
      </c>
      <c r="B848" s="99" t="s">
        <v>13699</v>
      </c>
      <c r="C848" s="99" t="s">
        <v>13655</v>
      </c>
      <c r="D848" s="99" t="s">
        <v>1427</v>
      </c>
      <c r="E848" s="99" t="s">
        <v>120</v>
      </c>
      <c r="F848" s="99" t="s">
        <v>1425</v>
      </c>
      <c r="G848" s="99" t="s">
        <v>13695</v>
      </c>
      <c r="H848" s="99">
        <v>25</v>
      </c>
      <c r="I848" s="99">
        <v>19</v>
      </c>
      <c r="J848" s="99">
        <v>4</v>
      </c>
      <c r="K848" s="101" t="str">
        <f t="shared" si="161"/>
        <v>25x19x4</v>
      </c>
      <c r="L848" s="102">
        <f t="shared" si="162"/>
        <v>13.669064748201439</v>
      </c>
      <c r="M848" s="113">
        <f t="shared" si="163"/>
        <v>13.669064748201439</v>
      </c>
      <c r="N848" s="113">
        <f t="shared" si="164"/>
        <v>14</v>
      </c>
      <c r="O848" s="99">
        <v>27</v>
      </c>
      <c r="P848" s="113">
        <f t="shared" si="165"/>
        <v>27</v>
      </c>
      <c r="Q848" s="112">
        <f t="shared" si="166"/>
        <v>432</v>
      </c>
      <c r="R848" s="112" t="str">
        <f t="shared" si="167"/>
        <v>Oversize</v>
      </c>
      <c r="S848" s="99" t="str">
        <f t="shared" si="168"/>
        <v>Large bulky</v>
      </c>
      <c r="T848" s="116" t="s">
        <v>13692</v>
      </c>
      <c r="U848" s="116">
        <f t="shared" si="169"/>
        <v>1.099537037037037</v>
      </c>
      <c r="V848" s="116" t="s">
        <v>13583</v>
      </c>
      <c r="W848" s="116" t="s">
        <v>13690</v>
      </c>
      <c r="X848" s="116" t="s">
        <v>13691</v>
      </c>
      <c r="Y848" s="116">
        <v>2</v>
      </c>
      <c r="Z848" s="116">
        <v>3</v>
      </c>
      <c r="AA848" s="116">
        <v>1</v>
      </c>
      <c r="AB848" s="99"/>
      <c r="AC848" s="99"/>
      <c r="AD848" s="107">
        <v>146.49</v>
      </c>
      <c r="AE848" s="113">
        <f t="shared" si="170"/>
        <v>-21.973500000000001</v>
      </c>
      <c r="AF848" s="116">
        <f>-IFERROR(IFERROR(VLOOKUP(ROUNDUP($Q848,0),'FBA FEES'!$L$2:$Q$203,MATCH($S848,'FBA FEES'!$L$2:$Q$2,0),FALSE),VLOOKUP(ROUNDUP($Q848,0),'FBA FEES'!$C$6:$F$123,MATCH($S848,'FBA FEES'!$C$6:$F$6,0),FALSE)),0)</f>
        <v>-19.490000000000002</v>
      </c>
      <c r="AG848" s="116">
        <v>-10</v>
      </c>
      <c r="AH848" s="113">
        <f t="shared" si="171"/>
        <v>-41.463500000000003</v>
      </c>
      <c r="AI848" s="116">
        <f>-IFERROR(IF($Y848=1,INDEX('[1]REMOVAL FEES'!$A$1:$C$22,MATCH(CONCATENATE("Standard Size",$P848),'[1]REMOVAL FEES'!$A$1:$A$22,0),3),IF($Y848=2,IF($P848&gt;10,(($P848-10)*1.06)+INDEX('[1]REMOVAL FEES'!$E$1:$G$22,MATCH(CONCATENATE("Large bulky, extra-large and special handling items",IF($P848&gt;=11,11,$P848)),'[1]REMOVAL FEES'!$E$1:$E$13,0),3),INDEX('[1]REMOVAL FEES'!$E$1:$G$22,MATCH(CONCATENATE("Large bulky, extra-large and special handling items",IF($P848&gt;=11,11,$P848)),'[1]REMOVAL FEES'!$E$1:$E$13,0),3))))*$AA848,FALSE)</f>
        <v>-32.340000000000003</v>
      </c>
      <c r="AJ848" s="107">
        <f t="shared" si="172"/>
        <v>-73.803500000000014</v>
      </c>
      <c r="AK848" s="107">
        <v>-57.003999999999998</v>
      </c>
      <c r="AL848" s="107">
        <v>-12.859500000000001</v>
      </c>
      <c r="AM848" s="107">
        <f t="shared" si="173"/>
        <v>-69.863500000000002</v>
      </c>
      <c r="AN848" s="116">
        <f>(-IF($V848="Yes", IF($X848="Yes", VLOOKUP($W848, '[1]Storage Fees'!A:M, 13, FALSE), VLOOKUP($W848, '[1]Storage Fees'!A:M, 10, FALSE)), IF($X848="Yes", VLOOKUP($W848, '[1]Storage Fees'!A:M, 7, FALSE), VLOOKUP($W848, '[1]Storage Fees'!A:M, 4, FALSE))) * U848)*1.5</f>
        <v>-1.3029513888888888</v>
      </c>
    </row>
    <row r="849" spans="1:40" x14ac:dyDescent="0.25">
      <c r="A849" s="99">
        <v>777</v>
      </c>
      <c r="B849" s="99" t="s">
        <v>13700</v>
      </c>
      <c r="C849" s="99"/>
      <c r="D849" s="99"/>
      <c r="E849" s="99" t="s">
        <v>358</v>
      </c>
      <c r="F849" s="99" t="s">
        <v>522</v>
      </c>
      <c r="G849" s="99" t="s">
        <v>13695</v>
      </c>
      <c r="H849" s="99">
        <v>0</v>
      </c>
      <c r="I849" s="99">
        <v>0</v>
      </c>
      <c r="J849" s="99">
        <v>0</v>
      </c>
      <c r="K849" s="101" t="str">
        <f t="shared" si="161"/>
        <v>0x0x0</v>
      </c>
      <c r="L849" s="102">
        <f t="shared" si="162"/>
        <v>0</v>
      </c>
      <c r="M849" s="113">
        <f t="shared" si="163"/>
        <v>0</v>
      </c>
      <c r="N849" s="113">
        <f t="shared" si="164"/>
        <v>0</v>
      </c>
      <c r="O849" s="99">
        <v>0</v>
      </c>
      <c r="P849" s="113">
        <f t="shared" si="165"/>
        <v>0</v>
      </c>
      <c r="Q849" s="112">
        <f t="shared" si="166"/>
        <v>0</v>
      </c>
      <c r="R849" s="112" t="str">
        <f t="shared" si="167"/>
        <v>Standard-size</v>
      </c>
      <c r="S849" s="99" t="str">
        <f t="shared" si="168"/>
        <v>Small standard-size</v>
      </c>
      <c r="T849" s="116" t="s">
        <v>13696</v>
      </c>
      <c r="U849" s="116">
        <f t="shared" si="169"/>
        <v>0</v>
      </c>
      <c r="V849" s="116" t="s">
        <v>13583</v>
      </c>
      <c r="W849" s="116" t="s">
        <v>13690</v>
      </c>
      <c r="X849" s="99" t="s">
        <v>13583</v>
      </c>
      <c r="Y849" s="99">
        <v>1</v>
      </c>
      <c r="Z849" s="99">
        <v>1</v>
      </c>
      <c r="AA849" s="99">
        <v>1</v>
      </c>
      <c r="AB849" s="99"/>
      <c r="AC849" s="99"/>
      <c r="AD849" s="107">
        <v>0</v>
      </c>
      <c r="AE849" s="113">
        <f t="shared" si="170"/>
        <v>0</v>
      </c>
      <c r="AF849" s="116">
        <f>-IFERROR(IFERROR(VLOOKUP(ROUNDUP($Q849,0),'FBA FEES'!$L$2:$Q$203,MATCH($S849,'FBA FEES'!$L$2:$Q$2,0),FALSE),VLOOKUP(ROUNDUP($Q849,0),'FBA FEES'!$C$6:$F$123,MATCH($S849,'FBA FEES'!$C$6:$F$6,0),FALSE)),0)</f>
        <v>0</v>
      </c>
      <c r="AG849" s="116">
        <v>-10</v>
      </c>
      <c r="AH849" s="113">
        <f t="shared" si="171"/>
        <v>0</v>
      </c>
      <c r="AI849" s="116">
        <f>-IFERROR(IF($Y849=1,INDEX('[1]REMOVAL FEES'!$A$1:$C$22,MATCH(CONCATENATE("Standard Size",$P849),'[1]REMOVAL FEES'!$A$1:$A$22,0),3),IF($Y849=2,IF($P849&gt;10,(($P849-10)*1.06)+INDEX('[1]REMOVAL FEES'!$E$1:$G$22,MATCH(CONCATENATE("Large bulky, extra-large and special handling items",IF($P849&gt;=11,11,$P849)),'[1]REMOVAL FEES'!$E$1:$E$13,0),3),INDEX('[1]REMOVAL FEES'!$E$1:$G$22,MATCH(CONCATENATE("Large bulky, extra-large and special handling items",IF($P849&gt;=11,11,$P849)),'[1]REMOVAL FEES'!$E$1:$E$13,0),3))))*$AA849,FALSE)</f>
        <v>0</v>
      </c>
      <c r="AJ849" s="107">
        <f t="shared" si="172"/>
        <v>0</v>
      </c>
      <c r="AK849" s="107">
        <v>0</v>
      </c>
      <c r="AL849" s="107">
        <v>0</v>
      </c>
      <c r="AM849" s="107">
        <f t="shared" si="173"/>
        <v>0</v>
      </c>
      <c r="AN849" s="116">
        <f>(-IF($V849="Yes", IF($X849="Yes", VLOOKUP($W849, '[1]Storage Fees'!A:M, 13, FALSE), VLOOKUP($W849, '[1]Storage Fees'!A:M, 10, FALSE)), IF($X849="Yes", VLOOKUP($W849, '[1]Storage Fees'!A:M, 7, FALSE), VLOOKUP($W849, '[1]Storage Fees'!A:M, 4, FALSE))) * U849)*1.5</f>
        <v>0</v>
      </c>
    </row>
    <row r="850" spans="1:40" x14ac:dyDescent="0.25">
      <c r="A850" s="99">
        <v>778</v>
      </c>
      <c r="B850" s="99" t="s">
        <v>13700</v>
      </c>
      <c r="C850" s="99"/>
      <c r="D850" s="99"/>
      <c r="E850" s="99" t="s">
        <v>358</v>
      </c>
      <c r="F850" s="99" t="s">
        <v>523</v>
      </c>
      <c r="G850" s="99" t="s">
        <v>13695</v>
      </c>
      <c r="H850" s="99">
        <v>19</v>
      </c>
      <c r="I850" s="99">
        <v>19</v>
      </c>
      <c r="J850" s="99">
        <v>12</v>
      </c>
      <c r="K850" s="101" t="str">
        <f t="shared" si="161"/>
        <v>19x19x12</v>
      </c>
      <c r="L850" s="102">
        <f t="shared" si="162"/>
        <v>31.165467625899282</v>
      </c>
      <c r="M850" s="113">
        <f t="shared" si="163"/>
        <v>31.165467625899282</v>
      </c>
      <c r="N850" s="113">
        <f t="shared" si="164"/>
        <v>32</v>
      </c>
      <c r="O850" s="99">
        <v>31</v>
      </c>
      <c r="P850" s="113">
        <f t="shared" si="165"/>
        <v>32</v>
      </c>
      <c r="Q850" s="112">
        <f t="shared" si="166"/>
        <v>512</v>
      </c>
      <c r="R850" s="112" t="str">
        <f t="shared" si="167"/>
        <v>Oversize</v>
      </c>
      <c r="S850" s="99" t="str">
        <f t="shared" si="168"/>
        <v>Large bulky</v>
      </c>
      <c r="T850" s="116" t="s">
        <v>13694</v>
      </c>
      <c r="U850" s="116">
        <f t="shared" si="169"/>
        <v>2.5069444444444446</v>
      </c>
      <c r="V850" s="116" t="s">
        <v>13583</v>
      </c>
      <c r="W850" s="116" t="s">
        <v>13690</v>
      </c>
      <c r="X850" s="116" t="s">
        <v>13691</v>
      </c>
      <c r="Y850" s="116">
        <v>2</v>
      </c>
      <c r="Z850" s="116">
        <v>3</v>
      </c>
      <c r="AA850" s="116">
        <v>1</v>
      </c>
      <c r="AB850" s="99"/>
      <c r="AC850" s="99"/>
      <c r="AD850" s="107">
        <v>0</v>
      </c>
      <c r="AE850" s="113">
        <f t="shared" si="170"/>
        <v>0</v>
      </c>
      <c r="AF850" s="116">
        <f>-IFERROR(IFERROR(VLOOKUP(ROUNDUP($Q850,0),'FBA FEES'!$L$2:$Q$203,MATCH($S850,'FBA FEES'!$L$2:$Q$2,0),FALSE),VLOOKUP(ROUNDUP($Q850,0),'FBA FEES'!$C$6:$F$123,MATCH($S850,'FBA FEES'!$C$6:$F$6,0),FALSE)),0)</f>
        <v>-21.39</v>
      </c>
      <c r="AG850" s="116">
        <v>-10</v>
      </c>
      <c r="AH850" s="113">
        <f t="shared" si="171"/>
        <v>-21.39</v>
      </c>
      <c r="AI850" s="116">
        <f>-IFERROR(IF($Y850=1,INDEX('[1]REMOVAL FEES'!$A$1:$C$22,MATCH(CONCATENATE("Standard Size",$P850),'[1]REMOVAL FEES'!$A$1:$A$22,0),3),IF($Y850=2,IF($P850&gt;10,(($P850-10)*1.06)+INDEX('[1]REMOVAL FEES'!$E$1:$G$22,MATCH(CONCATENATE("Large bulky, extra-large and special handling items",IF($P850&gt;=11,11,$P850)),'[1]REMOVAL FEES'!$E$1:$E$13,0),3),INDEX('[1]REMOVAL FEES'!$E$1:$G$22,MATCH(CONCATENATE("Large bulky, extra-large and special handling items",IF($P850&gt;=11,11,$P850)),'[1]REMOVAL FEES'!$E$1:$E$13,0),3))))*$AA850,FALSE)</f>
        <v>-37.64</v>
      </c>
      <c r="AJ850" s="107">
        <f t="shared" si="172"/>
        <v>-59.03</v>
      </c>
      <c r="AK850" s="107">
        <v>0</v>
      </c>
      <c r="AL850" s="107">
        <v>0</v>
      </c>
      <c r="AM850" s="107">
        <f t="shared" si="173"/>
        <v>0</v>
      </c>
      <c r="AN850" s="116">
        <f>(-IF($V850="Yes", IF($X850="Yes", VLOOKUP($W850, '[1]Storage Fees'!A:M, 13, FALSE), VLOOKUP($W850, '[1]Storage Fees'!A:M, 10, FALSE)), IF($X850="Yes", VLOOKUP($W850, '[1]Storage Fees'!A:M, 7, FALSE), VLOOKUP($W850, '[1]Storage Fees'!A:M, 4, FALSE))) * U850)*1.5</f>
        <v>-2.9707291666666671</v>
      </c>
    </row>
    <row r="851" spans="1:40" x14ac:dyDescent="0.25">
      <c r="A851" s="99">
        <v>779</v>
      </c>
      <c r="B851" s="99" t="s">
        <v>13700</v>
      </c>
      <c r="C851" s="99"/>
      <c r="D851" s="99"/>
      <c r="E851" s="99" t="s">
        <v>358</v>
      </c>
      <c r="F851" s="99" t="s">
        <v>524</v>
      </c>
      <c r="G851" s="99" t="s">
        <v>13695</v>
      </c>
      <c r="H851" s="99">
        <v>35</v>
      </c>
      <c r="I851" s="99">
        <v>21</v>
      </c>
      <c r="J851" s="99">
        <v>11</v>
      </c>
      <c r="K851" s="101" t="str">
        <f t="shared" si="161"/>
        <v>35x21x11</v>
      </c>
      <c r="L851" s="102">
        <f t="shared" si="162"/>
        <v>58.165467625899282</v>
      </c>
      <c r="M851" s="113">
        <f t="shared" si="163"/>
        <v>58.165467625899282</v>
      </c>
      <c r="N851" s="113">
        <f t="shared" si="164"/>
        <v>59</v>
      </c>
      <c r="O851" s="99">
        <v>45</v>
      </c>
      <c r="P851" s="113">
        <f t="shared" si="165"/>
        <v>59</v>
      </c>
      <c r="Q851" s="112">
        <f t="shared" si="166"/>
        <v>944</v>
      </c>
      <c r="R851" s="112" t="str">
        <f t="shared" si="167"/>
        <v>Oversize</v>
      </c>
      <c r="S851" s="99" t="str">
        <f t="shared" si="168"/>
        <v>Extra-large 50+ to 70 lb</v>
      </c>
      <c r="T851" s="116" t="s">
        <v>13689</v>
      </c>
      <c r="U851" s="116">
        <f t="shared" si="169"/>
        <v>4.6788194444444446</v>
      </c>
      <c r="V851" s="116" t="s">
        <v>13583</v>
      </c>
      <c r="W851" s="116" t="s">
        <v>13690</v>
      </c>
      <c r="X851" s="116" t="s">
        <v>13691</v>
      </c>
      <c r="Y851" s="116">
        <v>2</v>
      </c>
      <c r="Z851" s="116">
        <v>5</v>
      </c>
      <c r="AA851" s="116">
        <v>1</v>
      </c>
      <c r="AB851" s="99"/>
      <c r="AC851" s="99"/>
      <c r="AD851" s="107">
        <v>0</v>
      </c>
      <c r="AE851" s="113">
        <f t="shared" si="170"/>
        <v>0</v>
      </c>
      <c r="AF851" s="116">
        <f>-IFERROR(IFERROR(VLOOKUP(ROUNDUP($Q851,0),'FBA FEES'!$L$2:$Q$203,MATCH($S851,'FBA FEES'!$L$2:$Q$2,0),FALSE),VLOOKUP(ROUNDUP($Q851,0),'FBA FEES'!$C$6:$F$123,MATCH($S851,'FBA FEES'!$C$6:$F$6,0),FALSE)),0)</f>
        <v>-46.12</v>
      </c>
      <c r="AG851" s="116">
        <v>-10</v>
      </c>
      <c r="AH851" s="113">
        <f t="shared" si="171"/>
        <v>-46.12</v>
      </c>
      <c r="AI851" s="116">
        <f>-IFERROR(IF($Y851=1,INDEX('[1]REMOVAL FEES'!$A$1:$C$22,MATCH(CONCATENATE("Standard Size",$P851),'[1]REMOVAL FEES'!$A$1:$A$22,0),3),IF($Y851=2,IF($P851&gt;10,(($P851-10)*1.06)+INDEX('[1]REMOVAL FEES'!$E$1:$G$22,MATCH(CONCATENATE("Large bulky, extra-large and special handling items",IF($P851&gt;=11,11,$P851)),'[1]REMOVAL FEES'!$E$1:$E$13,0),3),INDEX('[1]REMOVAL FEES'!$E$1:$G$22,MATCH(CONCATENATE("Large bulky, extra-large and special handling items",IF($P851&gt;=11,11,$P851)),'[1]REMOVAL FEES'!$E$1:$E$13,0),3))))*$AA851,FALSE)</f>
        <v>-66.260000000000005</v>
      </c>
      <c r="AJ851" s="107">
        <f t="shared" si="172"/>
        <v>-112.38</v>
      </c>
      <c r="AK851" s="107">
        <v>0</v>
      </c>
      <c r="AL851" s="107">
        <v>0</v>
      </c>
      <c r="AM851" s="107">
        <f t="shared" si="173"/>
        <v>0</v>
      </c>
      <c r="AN851" s="116">
        <f>(-IF($V851="Yes", IF($X851="Yes", VLOOKUP($W851, '[1]Storage Fees'!A:M, 13, FALSE), VLOOKUP($W851, '[1]Storage Fees'!A:M, 10, FALSE)), IF($X851="Yes", VLOOKUP($W851, '[1]Storage Fees'!A:M, 7, FALSE), VLOOKUP($W851, '[1]Storage Fees'!A:M, 4, FALSE))) * U851)*1.5</f>
        <v>-5.5444010416666671</v>
      </c>
    </row>
    <row r="852" spans="1:40" x14ac:dyDescent="0.25">
      <c r="A852" s="99">
        <v>780</v>
      </c>
      <c r="B852" s="99" t="s">
        <v>13700</v>
      </c>
      <c r="C852" s="99"/>
      <c r="D852" s="99"/>
      <c r="E852" s="99" t="s">
        <v>358</v>
      </c>
      <c r="F852" s="99" t="s">
        <v>525</v>
      </c>
      <c r="G852" s="99" t="s">
        <v>13695</v>
      </c>
      <c r="H852" s="99">
        <v>37</v>
      </c>
      <c r="I852" s="99">
        <v>21</v>
      </c>
      <c r="J852" s="99">
        <v>11</v>
      </c>
      <c r="K852" s="101" t="str">
        <f t="shared" si="161"/>
        <v>37x21x11</v>
      </c>
      <c r="L852" s="102">
        <f t="shared" si="162"/>
        <v>61.489208633093526</v>
      </c>
      <c r="M852" s="113">
        <f t="shared" si="163"/>
        <v>61.489208633093526</v>
      </c>
      <c r="N852" s="113">
        <f t="shared" si="164"/>
        <v>62</v>
      </c>
      <c r="O852" s="99">
        <v>57</v>
      </c>
      <c r="P852" s="113">
        <f t="shared" si="165"/>
        <v>62</v>
      </c>
      <c r="Q852" s="112">
        <f t="shared" si="166"/>
        <v>992</v>
      </c>
      <c r="R852" s="112" t="str">
        <f t="shared" si="167"/>
        <v>Oversize</v>
      </c>
      <c r="S852" s="99" t="str">
        <f t="shared" si="168"/>
        <v>Extra-large 50+ to 70 lb</v>
      </c>
      <c r="T852" s="116" t="s">
        <v>13689</v>
      </c>
      <c r="U852" s="116">
        <f t="shared" si="169"/>
        <v>4.9461805555555554</v>
      </c>
      <c r="V852" s="116" t="s">
        <v>13583</v>
      </c>
      <c r="W852" s="116" t="s">
        <v>13690</v>
      </c>
      <c r="X852" s="116" t="s">
        <v>13691</v>
      </c>
      <c r="Y852" s="116">
        <v>2</v>
      </c>
      <c r="Z852" s="116">
        <v>5</v>
      </c>
      <c r="AA852" s="116">
        <v>1</v>
      </c>
      <c r="AB852" s="99"/>
      <c r="AC852" s="99"/>
      <c r="AD852" s="107">
        <v>0</v>
      </c>
      <c r="AE852" s="113">
        <f t="shared" si="170"/>
        <v>0</v>
      </c>
      <c r="AF852" s="116">
        <f>-IFERROR(IFERROR(VLOOKUP(ROUNDUP($Q852,0),'FBA FEES'!$L$2:$Q$203,MATCH($S852,'FBA FEES'!$L$2:$Q$2,0),FALSE),VLOOKUP(ROUNDUP($Q852,0),'FBA FEES'!$C$6:$F$123,MATCH($S852,'FBA FEES'!$C$6:$F$6,0),FALSE)),0)</f>
        <v>-48.37</v>
      </c>
      <c r="AG852" s="116">
        <v>-10</v>
      </c>
      <c r="AH852" s="113">
        <f t="shared" si="171"/>
        <v>-48.37</v>
      </c>
      <c r="AI852" s="116">
        <f>-IFERROR(IF($Y852=1,INDEX('[1]REMOVAL FEES'!$A$1:$C$22,MATCH(CONCATENATE("Standard Size",$P852),'[1]REMOVAL FEES'!$A$1:$A$22,0),3),IF($Y852=2,IF($P852&gt;10,(($P852-10)*1.06)+INDEX('[1]REMOVAL FEES'!$E$1:$G$22,MATCH(CONCATENATE("Large bulky, extra-large and special handling items",IF($P852&gt;=11,11,$P852)),'[1]REMOVAL FEES'!$E$1:$E$13,0),3),INDEX('[1]REMOVAL FEES'!$E$1:$G$22,MATCH(CONCATENATE("Large bulky, extra-large and special handling items",IF($P852&gt;=11,11,$P852)),'[1]REMOVAL FEES'!$E$1:$E$13,0),3))))*$AA852,FALSE)</f>
        <v>-69.44</v>
      </c>
      <c r="AJ852" s="107">
        <f t="shared" si="172"/>
        <v>-117.81</v>
      </c>
      <c r="AK852" s="107">
        <v>0</v>
      </c>
      <c r="AL852" s="107">
        <v>0</v>
      </c>
      <c r="AM852" s="107">
        <f t="shared" si="173"/>
        <v>0</v>
      </c>
      <c r="AN852" s="116">
        <f>(-IF($V852="Yes", IF($X852="Yes", VLOOKUP($W852, '[1]Storage Fees'!A:M, 13, FALSE), VLOOKUP($W852, '[1]Storage Fees'!A:M, 10, FALSE)), IF($X852="Yes", VLOOKUP($W852, '[1]Storage Fees'!A:M, 7, FALSE), VLOOKUP($W852, '[1]Storage Fees'!A:M, 4, FALSE))) * U852)*1.5</f>
        <v>-5.8612239583333334</v>
      </c>
    </row>
    <row r="853" spans="1:40" x14ac:dyDescent="0.25">
      <c r="A853" s="99">
        <v>781</v>
      </c>
      <c r="B853" s="99" t="s">
        <v>13700</v>
      </c>
      <c r="C853" s="99"/>
      <c r="D853" s="99"/>
      <c r="E853" s="99" t="s">
        <v>358</v>
      </c>
      <c r="F853" s="99" t="s">
        <v>526</v>
      </c>
      <c r="G853" s="99" t="s">
        <v>13695</v>
      </c>
      <c r="H853" s="99">
        <v>35</v>
      </c>
      <c r="I853" s="99">
        <v>20</v>
      </c>
      <c r="J853" s="99">
        <v>7</v>
      </c>
      <c r="K853" s="101" t="str">
        <f t="shared" si="161"/>
        <v>35x20x7</v>
      </c>
      <c r="L853" s="102">
        <f t="shared" si="162"/>
        <v>35.251798561151077</v>
      </c>
      <c r="M853" s="113">
        <f t="shared" si="163"/>
        <v>35.251798561151077</v>
      </c>
      <c r="N853" s="113">
        <f t="shared" si="164"/>
        <v>36</v>
      </c>
      <c r="O853" s="99">
        <v>23</v>
      </c>
      <c r="P853" s="113">
        <f t="shared" si="165"/>
        <v>36</v>
      </c>
      <c r="Q853" s="112">
        <f t="shared" si="166"/>
        <v>576</v>
      </c>
      <c r="R853" s="112" t="str">
        <f t="shared" si="167"/>
        <v>Oversize</v>
      </c>
      <c r="S853" s="99" t="str">
        <f t="shared" si="168"/>
        <v>Large bulky</v>
      </c>
      <c r="T853" s="116" t="s">
        <v>13694</v>
      </c>
      <c r="U853" s="116">
        <f t="shared" si="169"/>
        <v>2.8356481481481484</v>
      </c>
      <c r="V853" s="116" t="s">
        <v>13583</v>
      </c>
      <c r="W853" s="116" t="s">
        <v>13690</v>
      </c>
      <c r="X853" s="116" t="s">
        <v>13691</v>
      </c>
      <c r="Y853" s="116">
        <v>2</v>
      </c>
      <c r="Z853" s="116">
        <v>3</v>
      </c>
      <c r="AA853" s="116">
        <v>1</v>
      </c>
      <c r="AB853" s="99"/>
      <c r="AC853" s="99"/>
      <c r="AD853" s="107">
        <v>132.49</v>
      </c>
      <c r="AE853" s="113">
        <f t="shared" si="170"/>
        <v>-19.8735</v>
      </c>
      <c r="AF853" s="116">
        <f>-IFERROR(IFERROR(VLOOKUP(ROUNDUP($Q853,0),'FBA FEES'!$L$2:$Q$203,MATCH($S853,'FBA FEES'!$L$2:$Q$2,0),FALSE),VLOOKUP(ROUNDUP($Q853,0),'FBA FEES'!$C$6:$F$123,MATCH($S853,'FBA FEES'!$C$6:$F$6,0),FALSE)),0)</f>
        <v>-22.91</v>
      </c>
      <c r="AG853" s="116">
        <v>-10</v>
      </c>
      <c r="AH853" s="113">
        <f t="shared" si="171"/>
        <v>-42.783500000000004</v>
      </c>
      <c r="AI853" s="116">
        <f>-IFERROR(IF($Y853=1,INDEX('[1]REMOVAL FEES'!$A$1:$C$22,MATCH(CONCATENATE("Standard Size",$P853),'[1]REMOVAL FEES'!$A$1:$A$22,0),3),IF($Y853=2,IF($P853&gt;10,(($P853-10)*1.06)+INDEX('[1]REMOVAL FEES'!$E$1:$G$22,MATCH(CONCATENATE("Large bulky, extra-large and special handling items",IF($P853&gt;=11,11,$P853)),'[1]REMOVAL FEES'!$E$1:$E$13,0),3),INDEX('[1]REMOVAL FEES'!$E$1:$G$22,MATCH(CONCATENATE("Large bulky, extra-large and special handling items",IF($P853&gt;=11,11,$P853)),'[1]REMOVAL FEES'!$E$1:$E$13,0),3))))*$AA853,FALSE)</f>
        <v>-41.88</v>
      </c>
      <c r="AJ853" s="107">
        <f t="shared" si="172"/>
        <v>-84.663499999999999</v>
      </c>
      <c r="AK853" s="107">
        <v>-61.25</v>
      </c>
      <c r="AL853" s="107">
        <v>-11.95833333333333</v>
      </c>
      <c r="AM853" s="107">
        <f t="shared" si="173"/>
        <v>-73.208333333333329</v>
      </c>
      <c r="AN853" s="116">
        <f>(-IF($V853="Yes", IF($X853="Yes", VLOOKUP($W853, '[1]Storage Fees'!A:M, 13, FALSE), VLOOKUP($W853, '[1]Storage Fees'!A:M, 10, FALSE)), IF($X853="Yes", VLOOKUP($W853, '[1]Storage Fees'!A:M, 7, FALSE), VLOOKUP($W853, '[1]Storage Fees'!A:M, 4, FALSE))) * U853)*1.5</f>
        <v>-3.3602430555555558</v>
      </c>
    </row>
    <row r="854" spans="1:40" x14ac:dyDescent="0.25">
      <c r="A854" s="99">
        <v>782</v>
      </c>
      <c r="B854" s="99" t="s">
        <v>13699</v>
      </c>
      <c r="C854" s="99" t="s">
        <v>13655</v>
      </c>
      <c r="D854" s="99" t="s">
        <v>1431</v>
      </c>
      <c r="E854" s="99" t="s">
        <v>278</v>
      </c>
      <c r="F854" s="99" t="s">
        <v>1429</v>
      </c>
      <c r="G854" s="99" t="s">
        <v>13695</v>
      </c>
      <c r="H854" s="99">
        <v>24</v>
      </c>
      <c r="I854" s="99">
        <v>24</v>
      </c>
      <c r="J854" s="99">
        <v>17</v>
      </c>
      <c r="K854" s="101" t="str">
        <f t="shared" si="161"/>
        <v>24x24x17</v>
      </c>
      <c r="L854" s="102">
        <f t="shared" si="162"/>
        <v>70.446043165467628</v>
      </c>
      <c r="M854" s="113">
        <f t="shared" si="163"/>
        <v>70.446043165467628</v>
      </c>
      <c r="N854" s="113">
        <f t="shared" si="164"/>
        <v>71</v>
      </c>
      <c r="O854" s="99">
        <v>46</v>
      </c>
      <c r="P854" s="113">
        <f t="shared" si="165"/>
        <v>71</v>
      </c>
      <c r="Q854" s="112">
        <f t="shared" si="166"/>
        <v>1136</v>
      </c>
      <c r="R854" s="112" t="str">
        <f t="shared" si="167"/>
        <v>Oversize</v>
      </c>
      <c r="S854" s="99" t="str">
        <f t="shared" si="168"/>
        <v>Extra-large 70+ to 150 lb</v>
      </c>
      <c r="T854" s="116" t="s">
        <v>13703</v>
      </c>
      <c r="U854" s="116">
        <f t="shared" si="169"/>
        <v>5.666666666666667</v>
      </c>
      <c r="V854" s="116" t="s">
        <v>13583</v>
      </c>
      <c r="W854" s="116" t="s">
        <v>13690</v>
      </c>
      <c r="X854" s="116" t="s">
        <v>13691</v>
      </c>
      <c r="Y854" s="116">
        <v>2</v>
      </c>
      <c r="Z854" s="116">
        <v>6</v>
      </c>
      <c r="AA854" s="116">
        <v>1</v>
      </c>
      <c r="AB854" s="99"/>
      <c r="AC854" s="99"/>
      <c r="AD854" s="107">
        <v>189.99</v>
      </c>
      <c r="AE854" s="113">
        <f t="shared" si="170"/>
        <v>-28.4985</v>
      </c>
      <c r="AF854" s="116">
        <f>-IFERROR(IFERROR(VLOOKUP(ROUNDUP($Q854,0),'FBA FEES'!$L$2:$Q$203,MATCH($S854,'FBA FEES'!$L$2:$Q$2,0),FALSE),VLOOKUP(ROUNDUP($Q854,0),'FBA FEES'!$C$6:$F$123,MATCH($S854,'FBA FEES'!$C$6:$F$6,0),FALSE)),0)</f>
        <v>-54.81</v>
      </c>
      <c r="AG854" s="116">
        <v>-10</v>
      </c>
      <c r="AH854" s="113">
        <f t="shared" si="171"/>
        <v>-83.308500000000009</v>
      </c>
      <c r="AI854" s="116">
        <f>-IFERROR(IF($Y854=1,INDEX('[1]REMOVAL FEES'!$A$1:$C$22,MATCH(CONCATENATE("Standard Size",$P854),'[1]REMOVAL FEES'!$A$1:$A$22,0),3),IF($Y854=2,IF($P854&gt;10,(($P854-10)*1.06)+INDEX('[1]REMOVAL FEES'!$E$1:$G$22,MATCH(CONCATENATE("Large bulky, extra-large and special handling items",IF($P854&gt;=11,11,$P854)),'[1]REMOVAL FEES'!$E$1:$E$13,0),3),INDEX('[1]REMOVAL FEES'!$E$1:$G$22,MATCH(CONCATENATE("Large bulky, extra-large and special handling items",IF($P854&gt;=11,11,$P854)),'[1]REMOVAL FEES'!$E$1:$E$13,0),3))))*$AA854,FALSE)</f>
        <v>-78.97999999999999</v>
      </c>
      <c r="AJ854" s="107">
        <f t="shared" si="172"/>
        <v>-162.2885</v>
      </c>
      <c r="AK854" s="107">
        <v>-90.13</v>
      </c>
      <c r="AL854" s="107">
        <v>-17.678000000000001</v>
      </c>
      <c r="AM854" s="107">
        <f t="shared" si="173"/>
        <v>-107.80799999999999</v>
      </c>
      <c r="AN854" s="116">
        <f>(-IF($V854="Yes", IF($X854="Yes", VLOOKUP($W854, '[1]Storage Fees'!A:M, 13, FALSE), VLOOKUP($W854, '[1]Storage Fees'!A:M, 10, FALSE)), IF($X854="Yes", VLOOKUP($W854, '[1]Storage Fees'!A:M, 7, FALSE), VLOOKUP($W854, '[1]Storage Fees'!A:M, 4, FALSE))) * U854)*1.5</f>
        <v>-6.7150000000000016</v>
      </c>
    </row>
    <row r="855" spans="1:40" x14ac:dyDescent="0.25">
      <c r="A855" s="99">
        <v>783</v>
      </c>
      <c r="B855" s="99" t="s">
        <v>13699</v>
      </c>
      <c r="C855" s="99" t="s">
        <v>13655</v>
      </c>
      <c r="D855" s="99" t="s">
        <v>1435</v>
      </c>
      <c r="E855" s="99" t="s">
        <v>278</v>
      </c>
      <c r="F855" s="99" t="s">
        <v>1433</v>
      </c>
      <c r="G855" s="99" t="s">
        <v>13695</v>
      </c>
      <c r="H855" s="99">
        <v>38</v>
      </c>
      <c r="I855" s="99">
        <v>15</v>
      </c>
      <c r="J855" s="99">
        <v>10</v>
      </c>
      <c r="K855" s="101" t="str">
        <f t="shared" si="161"/>
        <v>38x15x10</v>
      </c>
      <c r="L855" s="102">
        <f t="shared" si="162"/>
        <v>41.007194244604314</v>
      </c>
      <c r="M855" s="113">
        <f t="shared" si="163"/>
        <v>41.007194244604314</v>
      </c>
      <c r="N855" s="113">
        <f t="shared" si="164"/>
        <v>42</v>
      </c>
      <c r="O855" s="99">
        <v>59</v>
      </c>
      <c r="P855" s="113">
        <f t="shared" si="165"/>
        <v>59</v>
      </c>
      <c r="Q855" s="112">
        <f t="shared" si="166"/>
        <v>944</v>
      </c>
      <c r="R855" s="112" t="str">
        <f t="shared" si="167"/>
        <v>Oversize</v>
      </c>
      <c r="S855" s="99" t="str">
        <f t="shared" si="168"/>
        <v>Extra-large 50+ to 70 lb</v>
      </c>
      <c r="T855" s="116" t="s">
        <v>13689</v>
      </c>
      <c r="U855" s="116">
        <f t="shared" si="169"/>
        <v>3.2986111111111112</v>
      </c>
      <c r="V855" s="116" t="s">
        <v>13583</v>
      </c>
      <c r="W855" s="116" t="s">
        <v>13690</v>
      </c>
      <c r="X855" s="116" t="s">
        <v>13691</v>
      </c>
      <c r="Y855" s="116">
        <v>2</v>
      </c>
      <c r="Z855" s="116">
        <v>5</v>
      </c>
      <c r="AA855" s="116">
        <v>1</v>
      </c>
      <c r="AB855" s="99"/>
      <c r="AC855" s="99"/>
      <c r="AD855" s="107">
        <v>0</v>
      </c>
      <c r="AE855" s="113">
        <f t="shared" si="170"/>
        <v>0</v>
      </c>
      <c r="AF855" s="116">
        <f>-IFERROR(IFERROR(VLOOKUP(ROUNDUP($Q855,0),'FBA FEES'!$L$2:$Q$203,MATCH($S855,'FBA FEES'!$L$2:$Q$2,0),FALSE),VLOOKUP(ROUNDUP($Q855,0),'FBA FEES'!$C$6:$F$123,MATCH($S855,'FBA FEES'!$C$6:$F$6,0),FALSE)),0)</f>
        <v>-46.12</v>
      </c>
      <c r="AG855" s="116">
        <v>-10</v>
      </c>
      <c r="AH855" s="113">
        <f t="shared" si="171"/>
        <v>-46.12</v>
      </c>
      <c r="AI855" s="116">
        <f>-IFERROR(IF($Y855=1,INDEX('[1]REMOVAL FEES'!$A$1:$C$22,MATCH(CONCATENATE("Standard Size",$P855),'[1]REMOVAL FEES'!$A$1:$A$22,0),3),IF($Y855=2,IF($P855&gt;10,(($P855-10)*1.06)+INDEX('[1]REMOVAL FEES'!$E$1:$G$22,MATCH(CONCATENATE("Large bulky, extra-large and special handling items",IF($P855&gt;=11,11,$P855)),'[1]REMOVAL FEES'!$E$1:$E$13,0),3),INDEX('[1]REMOVAL FEES'!$E$1:$G$22,MATCH(CONCATENATE("Large bulky, extra-large and special handling items",IF($P855&gt;=11,11,$P855)),'[1]REMOVAL FEES'!$E$1:$E$13,0),3))))*$AA855,FALSE)</f>
        <v>-66.260000000000005</v>
      </c>
      <c r="AJ855" s="107">
        <f t="shared" si="172"/>
        <v>-112.38</v>
      </c>
      <c r="AK855" s="107">
        <v>0</v>
      </c>
      <c r="AL855" s="107">
        <v>0</v>
      </c>
      <c r="AM855" s="107">
        <f t="shared" si="173"/>
        <v>0</v>
      </c>
      <c r="AN855" s="116">
        <f>(-IF($V855="Yes", IF($X855="Yes", VLOOKUP($W855, '[1]Storage Fees'!A:M, 13, FALSE), VLOOKUP($W855, '[1]Storage Fees'!A:M, 10, FALSE)), IF($X855="Yes", VLOOKUP($W855, '[1]Storage Fees'!A:M, 7, FALSE), VLOOKUP($W855, '[1]Storage Fees'!A:M, 4, FALSE))) * U855)*1.5</f>
        <v>-3.908854166666667</v>
      </c>
    </row>
    <row r="856" spans="1:40" x14ac:dyDescent="0.25">
      <c r="A856" s="99">
        <v>784</v>
      </c>
      <c r="B856" s="99" t="s">
        <v>13699</v>
      </c>
      <c r="C856" s="99" t="s">
        <v>13655</v>
      </c>
      <c r="D856" s="99" t="s">
        <v>1439</v>
      </c>
      <c r="E856" s="99" t="s">
        <v>278</v>
      </c>
      <c r="F856" s="99" t="s">
        <v>1437</v>
      </c>
      <c r="G856" s="99" t="s">
        <v>13695</v>
      </c>
      <c r="H856" s="99">
        <v>23</v>
      </c>
      <c r="I856" s="99">
        <v>13</v>
      </c>
      <c r="J856" s="99">
        <v>8</v>
      </c>
      <c r="K856" s="101" t="str">
        <f t="shared" si="161"/>
        <v>23x13x8</v>
      </c>
      <c r="L856" s="102">
        <f t="shared" si="162"/>
        <v>17.208633093525179</v>
      </c>
      <c r="M856" s="113">
        <f t="shared" si="163"/>
        <v>17.208633093525179</v>
      </c>
      <c r="N856" s="113">
        <f t="shared" si="164"/>
        <v>18</v>
      </c>
      <c r="O856" s="99">
        <v>33</v>
      </c>
      <c r="P856" s="113">
        <f t="shared" si="165"/>
        <v>33</v>
      </c>
      <c r="Q856" s="112">
        <f t="shared" si="166"/>
        <v>528</v>
      </c>
      <c r="R856" s="112" t="str">
        <f t="shared" si="167"/>
        <v>Oversize</v>
      </c>
      <c r="S856" s="99" t="str">
        <f t="shared" si="168"/>
        <v>Large bulky</v>
      </c>
      <c r="T856" s="116" t="s">
        <v>13694</v>
      </c>
      <c r="U856" s="116">
        <f t="shared" si="169"/>
        <v>1.3842592592592593</v>
      </c>
      <c r="V856" s="116" t="s">
        <v>13583</v>
      </c>
      <c r="W856" s="116" t="s">
        <v>13690</v>
      </c>
      <c r="X856" s="116" t="s">
        <v>13691</v>
      </c>
      <c r="Y856" s="116">
        <v>2</v>
      </c>
      <c r="Z856" s="116">
        <v>3</v>
      </c>
      <c r="AA856" s="116">
        <v>1</v>
      </c>
      <c r="AB856" s="99"/>
      <c r="AC856" s="99"/>
      <c r="AD856" s="107">
        <v>0</v>
      </c>
      <c r="AE856" s="113">
        <f t="shared" si="170"/>
        <v>0</v>
      </c>
      <c r="AF856" s="116">
        <f>-IFERROR(IFERROR(VLOOKUP(ROUNDUP($Q856,0),'FBA FEES'!$L$2:$Q$203,MATCH($S856,'FBA FEES'!$L$2:$Q$2,0),FALSE),VLOOKUP(ROUNDUP($Q856,0),'FBA FEES'!$C$6:$F$123,MATCH($S856,'FBA FEES'!$C$6:$F$6,0),FALSE)),0)</f>
        <v>-21.77</v>
      </c>
      <c r="AG856" s="116">
        <v>-10</v>
      </c>
      <c r="AH856" s="113">
        <f t="shared" si="171"/>
        <v>-21.77</v>
      </c>
      <c r="AI856" s="116">
        <f>-IFERROR(IF($Y856=1,INDEX('[1]REMOVAL FEES'!$A$1:$C$22,MATCH(CONCATENATE("Standard Size",$P856),'[1]REMOVAL FEES'!$A$1:$A$22,0),3),IF($Y856=2,IF($P856&gt;10,(($P856-10)*1.06)+INDEX('[1]REMOVAL FEES'!$E$1:$G$22,MATCH(CONCATENATE("Large bulky, extra-large and special handling items",IF($P856&gt;=11,11,$P856)),'[1]REMOVAL FEES'!$E$1:$E$13,0),3),INDEX('[1]REMOVAL FEES'!$E$1:$G$22,MATCH(CONCATENATE("Large bulky, extra-large and special handling items",IF($P856&gt;=11,11,$P856)),'[1]REMOVAL FEES'!$E$1:$E$13,0),3))))*$AA856,FALSE)</f>
        <v>-38.700000000000003</v>
      </c>
      <c r="AJ856" s="107">
        <f t="shared" si="172"/>
        <v>-60.47</v>
      </c>
      <c r="AK856" s="107">
        <v>0</v>
      </c>
      <c r="AL856" s="107">
        <v>0</v>
      </c>
      <c r="AM856" s="107">
        <f t="shared" si="173"/>
        <v>0</v>
      </c>
      <c r="AN856" s="116">
        <f>(-IF($V856="Yes", IF($X856="Yes", VLOOKUP($W856, '[1]Storage Fees'!A:M, 13, FALSE), VLOOKUP($W856, '[1]Storage Fees'!A:M, 10, FALSE)), IF($X856="Yes", VLOOKUP($W856, '[1]Storage Fees'!A:M, 7, FALSE), VLOOKUP($W856, '[1]Storage Fees'!A:M, 4, FALSE))) * U856)*1.5</f>
        <v>-1.6403472222222224</v>
      </c>
    </row>
    <row r="857" spans="1:40" x14ac:dyDescent="0.25">
      <c r="A857" s="99">
        <v>785</v>
      </c>
      <c r="B857" s="99" t="s">
        <v>13699</v>
      </c>
      <c r="C857" s="99" t="s">
        <v>13655</v>
      </c>
      <c r="D857" s="99" t="s">
        <v>1443</v>
      </c>
      <c r="E857" s="99" t="s">
        <v>278</v>
      </c>
      <c r="F857" s="99" t="s">
        <v>1441</v>
      </c>
      <c r="G857" s="99" t="s">
        <v>13695</v>
      </c>
      <c r="H857" s="99">
        <v>24</v>
      </c>
      <c r="I857" s="99">
        <v>19</v>
      </c>
      <c r="J857" s="99">
        <v>19</v>
      </c>
      <c r="K857" s="101" t="str">
        <f t="shared" si="161"/>
        <v>24x19x19</v>
      </c>
      <c r="L857" s="102">
        <f t="shared" si="162"/>
        <v>62.330935251798564</v>
      </c>
      <c r="M857" s="113">
        <f t="shared" si="163"/>
        <v>62.330935251798564</v>
      </c>
      <c r="N857" s="113">
        <f t="shared" si="164"/>
        <v>63</v>
      </c>
      <c r="O857" s="99">
        <v>80</v>
      </c>
      <c r="P857" s="113">
        <f t="shared" si="165"/>
        <v>80</v>
      </c>
      <c r="Q857" s="112">
        <f t="shared" si="166"/>
        <v>1280</v>
      </c>
      <c r="R857" s="112" t="str">
        <f t="shared" si="167"/>
        <v>Oversize</v>
      </c>
      <c r="S857" s="99" t="str">
        <f t="shared" si="168"/>
        <v>Extra-large 70+ to 150 lb</v>
      </c>
      <c r="T857" s="116" t="s">
        <v>13703</v>
      </c>
      <c r="U857" s="116">
        <f t="shared" si="169"/>
        <v>5.0138888888888893</v>
      </c>
      <c r="V857" s="116" t="s">
        <v>13583</v>
      </c>
      <c r="W857" s="116" t="s">
        <v>13690</v>
      </c>
      <c r="X857" s="116" t="s">
        <v>13691</v>
      </c>
      <c r="Y857" s="116">
        <v>2</v>
      </c>
      <c r="Z857" s="116">
        <v>6</v>
      </c>
      <c r="AA857" s="116">
        <v>1</v>
      </c>
      <c r="AB857" s="99"/>
      <c r="AC857" s="99"/>
      <c r="AD857" s="107">
        <v>0</v>
      </c>
      <c r="AE857" s="113">
        <f t="shared" si="170"/>
        <v>0</v>
      </c>
      <c r="AF857" s="116">
        <f>-IFERROR(IFERROR(VLOOKUP(ROUNDUP($Q857,0),'FBA FEES'!$L$2:$Q$203,MATCH($S857,'FBA FEES'!$L$2:$Q$2,0),FALSE),VLOOKUP(ROUNDUP($Q857,0),'FBA FEES'!$C$6:$F$123,MATCH($S857,'FBA FEES'!$C$6:$F$6,0),FALSE)),0)</f>
        <v>-61.56</v>
      </c>
      <c r="AG857" s="116">
        <v>-10</v>
      </c>
      <c r="AH857" s="113">
        <f t="shared" si="171"/>
        <v>-61.56</v>
      </c>
      <c r="AI857" s="116">
        <f>-IFERROR(IF($Y857=1,INDEX('[1]REMOVAL FEES'!$A$1:$C$22,MATCH(CONCATENATE("Standard Size",$P857),'[1]REMOVAL FEES'!$A$1:$A$22,0),3),IF($Y857=2,IF($P857&gt;10,(($P857-10)*1.06)+INDEX('[1]REMOVAL FEES'!$E$1:$G$22,MATCH(CONCATENATE("Large bulky, extra-large and special handling items",IF($P857&gt;=11,11,$P857)),'[1]REMOVAL FEES'!$E$1:$E$13,0),3),INDEX('[1]REMOVAL FEES'!$E$1:$G$22,MATCH(CONCATENATE("Large bulky, extra-large and special handling items",IF($P857&gt;=11,11,$P857)),'[1]REMOVAL FEES'!$E$1:$E$13,0),3))))*$AA857,FALSE)</f>
        <v>-88.52000000000001</v>
      </c>
      <c r="AJ857" s="107">
        <f t="shared" si="172"/>
        <v>-150.08000000000001</v>
      </c>
      <c r="AK857" s="107">
        <v>0</v>
      </c>
      <c r="AL857" s="107">
        <v>0</v>
      </c>
      <c r="AM857" s="107">
        <f t="shared" si="173"/>
        <v>0</v>
      </c>
      <c r="AN857" s="116">
        <f>(-IF($V857="Yes", IF($X857="Yes", VLOOKUP($W857, '[1]Storage Fees'!A:M, 13, FALSE), VLOOKUP($W857, '[1]Storage Fees'!A:M, 10, FALSE)), IF($X857="Yes", VLOOKUP($W857, '[1]Storage Fees'!A:M, 7, FALSE), VLOOKUP($W857, '[1]Storage Fees'!A:M, 4, FALSE))) * U857)*1.5</f>
        <v>-5.9414583333333342</v>
      </c>
    </row>
    <row r="858" spans="1:40" x14ac:dyDescent="0.25">
      <c r="A858" s="99">
        <v>786</v>
      </c>
      <c r="B858" s="99" t="s">
        <v>13699</v>
      </c>
      <c r="C858" s="99" t="s">
        <v>13655</v>
      </c>
      <c r="D858" s="99" t="s">
        <v>1447</v>
      </c>
      <c r="E858" s="99" t="s">
        <v>278</v>
      </c>
      <c r="F858" s="99" t="s">
        <v>1445</v>
      </c>
      <c r="G858" s="99" t="s">
        <v>13695</v>
      </c>
      <c r="H858" s="99">
        <v>40</v>
      </c>
      <c r="I858" s="99">
        <v>40</v>
      </c>
      <c r="J858" s="99">
        <v>3</v>
      </c>
      <c r="K858" s="101" t="str">
        <f t="shared" si="161"/>
        <v>40x40x3</v>
      </c>
      <c r="L858" s="102">
        <f t="shared" si="162"/>
        <v>34.532374100719423</v>
      </c>
      <c r="M858" s="113">
        <f t="shared" si="163"/>
        <v>34.532374100719423</v>
      </c>
      <c r="N858" s="113">
        <f t="shared" si="164"/>
        <v>35</v>
      </c>
      <c r="O858" s="99">
        <v>32</v>
      </c>
      <c r="P858" s="113">
        <f t="shared" si="165"/>
        <v>35</v>
      </c>
      <c r="Q858" s="112">
        <f t="shared" si="166"/>
        <v>560</v>
      </c>
      <c r="R858" s="112" t="str">
        <f t="shared" si="167"/>
        <v>Oversize</v>
      </c>
      <c r="S858" s="99" t="str">
        <f t="shared" si="168"/>
        <v>Extra-large 0 to 50 lb</v>
      </c>
      <c r="T858" s="116" t="s">
        <v>13706</v>
      </c>
      <c r="U858" s="116">
        <f t="shared" si="169"/>
        <v>2.7777777777777777</v>
      </c>
      <c r="V858" s="116" t="s">
        <v>13583</v>
      </c>
      <c r="W858" s="116" t="s">
        <v>13690</v>
      </c>
      <c r="X858" s="116" t="s">
        <v>13691</v>
      </c>
      <c r="Y858" s="116">
        <v>2</v>
      </c>
      <c r="Z858" s="116">
        <v>4</v>
      </c>
      <c r="AA858" s="116">
        <v>1</v>
      </c>
      <c r="AB858" s="99"/>
      <c r="AC858" s="99"/>
      <c r="AD858" s="107">
        <v>193.38225933202489</v>
      </c>
      <c r="AE858" s="113">
        <f t="shared" si="170"/>
        <v>-29.007338899803731</v>
      </c>
      <c r="AF858" s="116">
        <f>-IFERROR(IFERROR(VLOOKUP(ROUNDUP($Q858,0),'FBA FEES'!$L$2:$Q$203,MATCH($S858,'FBA FEES'!$L$2:$Q$2,0),FALSE),VLOOKUP(ROUNDUP($Q858,0),'FBA FEES'!$C$6:$F$123,MATCH($S858,'FBA FEES'!$C$6:$F$6,0),FALSE)),0)</f>
        <v>-39.25</v>
      </c>
      <c r="AG858" s="116">
        <v>-10</v>
      </c>
      <c r="AH858" s="113">
        <f t="shared" si="171"/>
        <v>-68.257338899803727</v>
      </c>
      <c r="AI858" s="116">
        <f>-IFERROR(IF($Y858=1,INDEX('[1]REMOVAL FEES'!$A$1:$C$22,MATCH(CONCATENATE("Standard Size",$P858),'[1]REMOVAL FEES'!$A$1:$A$22,0),3),IF($Y858=2,IF($P858&gt;10,(($P858-10)*1.06)+INDEX('[1]REMOVAL FEES'!$E$1:$G$22,MATCH(CONCATENATE("Large bulky, extra-large and special handling items",IF($P858&gt;=11,11,$P858)),'[1]REMOVAL FEES'!$E$1:$E$13,0),3),INDEX('[1]REMOVAL FEES'!$E$1:$G$22,MATCH(CONCATENATE("Large bulky, extra-large and special handling items",IF($P858&gt;=11,11,$P858)),'[1]REMOVAL FEES'!$E$1:$E$13,0),3))))*$AA858,FALSE)</f>
        <v>-40.82</v>
      </c>
      <c r="AJ858" s="107">
        <f t="shared" si="172"/>
        <v>-109.07733889980372</v>
      </c>
      <c r="AK858" s="107">
        <v>-67.336444007858347</v>
      </c>
      <c r="AL858" s="107">
        <v>-21.674453785364911</v>
      </c>
      <c r="AM858" s="107">
        <f t="shared" si="173"/>
        <v>-89.010897793223251</v>
      </c>
      <c r="AN858" s="116">
        <f>(-IF($V858="Yes", IF($X858="Yes", VLOOKUP($W858, '[1]Storage Fees'!A:M, 13, FALSE), VLOOKUP($W858, '[1]Storage Fees'!A:M, 10, FALSE)), IF($X858="Yes", VLOOKUP($W858, '[1]Storage Fees'!A:M, 7, FALSE), VLOOKUP($W858, '[1]Storage Fees'!A:M, 4, FALSE))) * U858)*1.5</f>
        <v>-3.291666666666667</v>
      </c>
    </row>
    <row r="859" spans="1:40" x14ac:dyDescent="0.25">
      <c r="A859" s="99">
        <v>787</v>
      </c>
      <c r="B859" s="99" t="s">
        <v>13699</v>
      </c>
      <c r="C859" s="99" t="s">
        <v>13655</v>
      </c>
      <c r="D859" s="99" t="s">
        <v>1451</v>
      </c>
      <c r="E859" s="99" t="s">
        <v>278</v>
      </c>
      <c r="F859" s="99" t="s">
        <v>1449</v>
      </c>
      <c r="G859" s="99" t="s">
        <v>13695</v>
      </c>
      <c r="H859" s="99">
        <v>33</v>
      </c>
      <c r="I859" s="99">
        <v>33</v>
      </c>
      <c r="J859" s="99">
        <v>3</v>
      </c>
      <c r="K859" s="101" t="str">
        <f t="shared" si="161"/>
        <v>33x33x3</v>
      </c>
      <c r="L859" s="102">
        <f t="shared" si="162"/>
        <v>23.503597122302157</v>
      </c>
      <c r="M859" s="113">
        <f t="shared" si="163"/>
        <v>23.503597122302157</v>
      </c>
      <c r="N859" s="113">
        <f t="shared" si="164"/>
        <v>24</v>
      </c>
      <c r="O859" s="99">
        <v>23</v>
      </c>
      <c r="P859" s="113">
        <f t="shared" si="165"/>
        <v>24</v>
      </c>
      <c r="Q859" s="112">
        <f t="shared" si="166"/>
        <v>384</v>
      </c>
      <c r="R859" s="112" t="str">
        <f t="shared" si="167"/>
        <v>Oversize</v>
      </c>
      <c r="S859" s="99" t="str">
        <f t="shared" si="168"/>
        <v>Large bulky</v>
      </c>
      <c r="T859" s="116" t="s">
        <v>13692</v>
      </c>
      <c r="U859" s="116">
        <f t="shared" si="169"/>
        <v>1.890625</v>
      </c>
      <c r="V859" s="116" t="s">
        <v>13583</v>
      </c>
      <c r="W859" s="116" t="s">
        <v>13690</v>
      </c>
      <c r="X859" s="116" t="s">
        <v>13691</v>
      </c>
      <c r="Y859" s="116">
        <v>2</v>
      </c>
      <c r="Z859" s="116">
        <v>3</v>
      </c>
      <c r="AA859" s="116">
        <v>1</v>
      </c>
      <c r="AB859" s="99"/>
      <c r="AC859" s="99"/>
      <c r="AD859" s="107">
        <v>169.90410256410249</v>
      </c>
      <c r="AE859" s="113">
        <f t="shared" si="170"/>
        <v>-25.485615384615372</v>
      </c>
      <c r="AF859" s="116">
        <f>-IFERROR(IFERROR(VLOOKUP(ROUNDUP($Q859,0),'FBA FEES'!$L$2:$Q$203,MATCH($S859,'FBA FEES'!$L$2:$Q$2,0),FALSE),VLOOKUP(ROUNDUP($Q859,0),'FBA FEES'!$C$6:$F$123,MATCH($S859,'FBA FEES'!$C$6:$F$6,0),FALSE)),0)</f>
        <v>-18.350000000000001</v>
      </c>
      <c r="AG859" s="116">
        <v>-10</v>
      </c>
      <c r="AH859" s="113">
        <f t="shared" si="171"/>
        <v>-43.835615384615373</v>
      </c>
      <c r="AI859" s="116">
        <f>-IFERROR(IF($Y859=1,INDEX('[1]REMOVAL FEES'!$A$1:$C$22,MATCH(CONCATENATE("Standard Size",$P859),'[1]REMOVAL FEES'!$A$1:$A$22,0),3),IF($Y859=2,IF($P859&gt;10,(($P859-10)*1.06)+INDEX('[1]REMOVAL FEES'!$E$1:$G$22,MATCH(CONCATENATE("Large bulky, extra-large and special handling items",IF($P859&gt;=11,11,$P859)),'[1]REMOVAL FEES'!$E$1:$E$13,0),3),INDEX('[1]REMOVAL FEES'!$E$1:$G$22,MATCH(CONCATENATE("Large bulky, extra-large and special handling items",IF($P859&gt;=11,11,$P859)),'[1]REMOVAL FEES'!$E$1:$E$13,0),3))))*$AA859,FALSE)</f>
        <v>-29.16</v>
      </c>
      <c r="AJ859" s="107">
        <f t="shared" si="172"/>
        <v>-72.995615384615377</v>
      </c>
      <c r="AK859" s="107">
        <v>-60.512820512820511</v>
      </c>
      <c r="AL859" s="107">
        <v>-22.24614198182422</v>
      </c>
      <c r="AM859" s="107">
        <f t="shared" si="173"/>
        <v>-82.758962494644734</v>
      </c>
      <c r="AN859" s="116">
        <f>(-IF($V859="Yes", IF($X859="Yes", VLOOKUP($W859, '[1]Storage Fees'!A:M, 13, FALSE), VLOOKUP($W859, '[1]Storage Fees'!A:M, 10, FALSE)), IF($X859="Yes", VLOOKUP($W859, '[1]Storage Fees'!A:M, 7, FALSE), VLOOKUP($W859, '[1]Storage Fees'!A:M, 4, FALSE))) * U859)*1.5</f>
        <v>-2.2403906249999999</v>
      </c>
    </row>
    <row r="860" spans="1:40" x14ac:dyDescent="0.25">
      <c r="A860" s="99">
        <v>788</v>
      </c>
      <c r="B860" s="99" t="s">
        <v>13699</v>
      </c>
      <c r="C860" s="99" t="s">
        <v>13655</v>
      </c>
      <c r="D860" s="99" t="s">
        <v>1455</v>
      </c>
      <c r="E860" s="99" t="s">
        <v>278</v>
      </c>
      <c r="F860" s="99" t="s">
        <v>1453</v>
      </c>
      <c r="G860" s="99" t="s">
        <v>13695</v>
      </c>
      <c r="H860" s="99">
        <v>43</v>
      </c>
      <c r="I860" s="99">
        <v>23</v>
      </c>
      <c r="J860" s="99">
        <v>4</v>
      </c>
      <c r="K860" s="101" t="str">
        <f t="shared" si="161"/>
        <v>43x23x4</v>
      </c>
      <c r="L860" s="102">
        <f t="shared" si="162"/>
        <v>28.46043165467626</v>
      </c>
      <c r="M860" s="113">
        <f t="shared" si="163"/>
        <v>28.46043165467626</v>
      </c>
      <c r="N860" s="113">
        <f t="shared" si="164"/>
        <v>29</v>
      </c>
      <c r="O860" s="99">
        <v>45</v>
      </c>
      <c r="P860" s="113">
        <f t="shared" si="165"/>
        <v>45</v>
      </c>
      <c r="Q860" s="112">
        <f t="shared" si="166"/>
        <v>720</v>
      </c>
      <c r="R860" s="112" t="str">
        <f t="shared" si="167"/>
        <v>Oversize</v>
      </c>
      <c r="S860" s="99" t="str">
        <f t="shared" si="168"/>
        <v>Large bulky</v>
      </c>
      <c r="T860" s="116" t="s">
        <v>13694</v>
      </c>
      <c r="U860" s="116">
        <f t="shared" si="169"/>
        <v>2.2893518518518516</v>
      </c>
      <c r="V860" s="116" t="s">
        <v>13583</v>
      </c>
      <c r="W860" s="116" t="s">
        <v>13690</v>
      </c>
      <c r="X860" s="116" t="s">
        <v>13691</v>
      </c>
      <c r="Y860" s="116">
        <v>2</v>
      </c>
      <c r="Z860" s="116">
        <v>3</v>
      </c>
      <c r="AA860" s="116">
        <v>1</v>
      </c>
      <c r="AB860" s="99"/>
      <c r="AC860" s="99"/>
      <c r="AD860" s="107">
        <v>327.24082568807358</v>
      </c>
      <c r="AE860" s="113">
        <f t="shared" si="170"/>
        <v>-49.086123853211035</v>
      </c>
      <c r="AF860" s="116">
        <f>-IFERROR(IFERROR(VLOOKUP(ROUNDUP($Q860,0),'FBA FEES'!$L$2:$Q$203,MATCH($S860,'FBA FEES'!$L$2:$Q$2,0),FALSE),VLOOKUP(ROUNDUP($Q860,0),'FBA FEES'!$C$6:$F$123,MATCH($S860,'FBA FEES'!$C$6:$F$6,0),FALSE)),0)</f>
        <v>-26.33</v>
      </c>
      <c r="AG860" s="116">
        <v>-10</v>
      </c>
      <c r="AH860" s="113">
        <f t="shared" si="171"/>
        <v>-75.416123853211033</v>
      </c>
      <c r="AI860" s="116">
        <f>-IFERROR(IF($Y860=1,INDEX('[1]REMOVAL FEES'!$A$1:$C$22,MATCH(CONCATENATE("Standard Size",$P860),'[1]REMOVAL FEES'!$A$1:$A$22,0),3),IF($Y860=2,IF($P860&gt;10,(($P860-10)*1.06)+INDEX('[1]REMOVAL FEES'!$E$1:$G$22,MATCH(CONCATENATE("Large bulky, extra-large and special handling items",IF($P860&gt;=11,11,$P860)),'[1]REMOVAL FEES'!$E$1:$E$13,0),3),INDEX('[1]REMOVAL FEES'!$E$1:$G$22,MATCH(CONCATENATE("Large bulky, extra-large and special handling items",IF($P860&gt;=11,11,$P860)),'[1]REMOVAL FEES'!$E$1:$E$13,0),3))))*$AA860,FALSE)</f>
        <v>-51.42</v>
      </c>
      <c r="AJ860" s="107">
        <f t="shared" si="172"/>
        <v>-126.83612385321103</v>
      </c>
      <c r="AK860" s="107">
        <v>-90.752293577981646</v>
      </c>
      <c r="AL860" s="107">
        <v>-17.734204560943638</v>
      </c>
      <c r="AM860" s="107">
        <f t="shared" si="173"/>
        <v>-108.48649813892528</v>
      </c>
      <c r="AN860" s="116">
        <f>(-IF($V860="Yes", IF($X860="Yes", VLOOKUP($W860, '[1]Storage Fees'!A:M, 13, FALSE), VLOOKUP($W860, '[1]Storage Fees'!A:M, 10, FALSE)), IF($X860="Yes", VLOOKUP($W860, '[1]Storage Fees'!A:M, 7, FALSE), VLOOKUP($W860, '[1]Storage Fees'!A:M, 4, FALSE))) * U860)*1.5</f>
        <v>-2.7128819444444443</v>
      </c>
    </row>
    <row r="861" spans="1:40" x14ac:dyDescent="0.25">
      <c r="A861" s="99">
        <v>789</v>
      </c>
      <c r="B861" s="99" t="s">
        <v>13699</v>
      </c>
      <c r="C861" s="99" t="s">
        <v>13655</v>
      </c>
      <c r="D861" s="99" t="s">
        <v>1459</v>
      </c>
      <c r="E861" s="99" t="s">
        <v>278</v>
      </c>
      <c r="F861" s="99" t="s">
        <v>1457</v>
      </c>
      <c r="G861" s="99" t="s">
        <v>13695</v>
      </c>
      <c r="H861" s="99">
        <v>30</v>
      </c>
      <c r="I861" s="99">
        <v>30</v>
      </c>
      <c r="J861" s="99">
        <v>3</v>
      </c>
      <c r="K861" s="101" t="str">
        <f t="shared" si="161"/>
        <v>30x30x3</v>
      </c>
      <c r="L861" s="102">
        <f t="shared" si="162"/>
        <v>19.424460431654676</v>
      </c>
      <c r="M861" s="113">
        <f t="shared" si="163"/>
        <v>19.424460431654676</v>
      </c>
      <c r="N861" s="113">
        <f t="shared" si="164"/>
        <v>20</v>
      </c>
      <c r="O861" s="99">
        <v>18</v>
      </c>
      <c r="P861" s="113">
        <f t="shared" si="165"/>
        <v>20</v>
      </c>
      <c r="Q861" s="112">
        <f t="shared" si="166"/>
        <v>320</v>
      </c>
      <c r="R861" s="112" t="str">
        <f t="shared" si="167"/>
        <v>Oversize</v>
      </c>
      <c r="S861" s="99" t="str">
        <f t="shared" si="168"/>
        <v>Large bulky</v>
      </c>
      <c r="T861" s="116" t="s">
        <v>13692</v>
      </c>
      <c r="U861" s="116">
        <f t="shared" si="169"/>
        <v>1.5625</v>
      </c>
      <c r="V861" s="116" t="s">
        <v>13583</v>
      </c>
      <c r="W861" s="116" t="s">
        <v>13690</v>
      </c>
      <c r="X861" s="116" t="s">
        <v>13691</v>
      </c>
      <c r="Y861" s="116">
        <v>2</v>
      </c>
      <c r="Z861" s="116">
        <v>3</v>
      </c>
      <c r="AA861" s="116">
        <v>1</v>
      </c>
      <c r="AB861" s="99"/>
      <c r="AC861" s="99"/>
      <c r="AD861" s="107">
        <v>108.7455897435897</v>
      </c>
      <c r="AE861" s="113">
        <f t="shared" si="170"/>
        <v>-16.311838461538454</v>
      </c>
      <c r="AF861" s="116">
        <f>-IFERROR(IFERROR(VLOOKUP(ROUNDUP($Q861,0),'FBA FEES'!$L$2:$Q$203,MATCH($S861,'FBA FEES'!$L$2:$Q$2,0),FALSE),VLOOKUP(ROUNDUP($Q861,0),'FBA FEES'!$C$6:$F$123,MATCH($S861,'FBA FEES'!$C$6:$F$6,0),FALSE)),0)</f>
        <v>-16.829999999999998</v>
      </c>
      <c r="AG861" s="116">
        <v>-10</v>
      </c>
      <c r="AH861" s="113">
        <f t="shared" si="171"/>
        <v>-33.141838461538455</v>
      </c>
      <c r="AI861" s="116">
        <f>-IFERROR(IF($Y861=1,INDEX('[1]REMOVAL FEES'!$A$1:$C$22,MATCH(CONCATENATE("Standard Size",$P861),'[1]REMOVAL FEES'!$A$1:$A$22,0),3),IF($Y861=2,IF($P861&gt;10,(($P861-10)*1.06)+INDEX('[1]REMOVAL FEES'!$E$1:$G$22,MATCH(CONCATENATE("Large bulky, extra-large and special handling items",IF($P861&gt;=11,11,$P861)),'[1]REMOVAL FEES'!$E$1:$E$13,0),3),INDEX('[1]REMOVAL FEES'!$E$1:$G$22,MATCH(CONCATENATE("Large bulky, extra-large and special handling items",IF($P861&gt;=11,11,$P861)),'[1]REMOVAL FEES'!$E$1:$E$13,0),3))))*$AA861,FALSE)</f>
        <v>-24.92</v>
      </c>
      <c r="AJ861" s="107">
        <f t="shared" si="172"/>
        <v>-58.061838461538457</v>
      </c>
      <c r="AK861" s="107">
        <v>-41.001538461538473</v>
      </c>
      <c r="AL861" s="107">
        <v>-10.38935290066059</v>
      </c>
      <c r="AM861" s="107">
        <f t="shared" si="173"/>
        <v>-51.390891362199064</v>
      </c>
      <c r="AN861" s="116">
        <f>(-IF($V861="Yes", IF($X861="Yes", VLOOKUP($W861, '[1]Storage Fees'!A:M, 13, FALSE), VLOOKUP($W861, '[1]Storage Fees'!A:M, 10, FALSE)), IF($X861="Yes", VLOOKUP($W861, '[1]Storage Fees'!A:M, 7, FALSE), VLOOKUP($W861, '[1]Storage Fees'!A:M, 4, FALSE))) * U861)*1.5</f>
        <v>-1.8515625</v>
      </c>
    </row>
    <row r="862" spans="1:40" x14ac:dyDescent="0.25">
      <c r="A862" s="99">
        <v>790</v>
      </c>
      <c r="B862" s="99" t="s">
        <v>107</v>
      </c>
      <c r="C862" s="99"/>
      <c r="D862" s="99"/>
      <c r="E862" s="99" t="s">
        <v>296</v>
      </c>
      <c r="F862" s="99" t="s">
        <v>528</v>
      </c>
      <c r="G862" s="99" t="s">
        <v>13695</v>
      </c>
      <c r="H862" s="99">
        <v>10</v>
      </c>
      <c r="I862" s="99">
        <v>9</v>
      </c>
      <c r="J862" s="99">
        <v>2</v>
      </c>
      <c r="K862" s="101" t="str">
        <f t="shared" si="161"/>
        <v>10x9x2</v>
      </c>
      <c r="L862" s="102">
        <f t="shared" si="162"/>
        <v>1.2949640287769784</v>
      </c>
      <c r="M862" s="113">
        <f t="shared" si="163"/>
        <v>1.2949640287769784</v>
      </c>
      <c r="N862" s="113">
        <f t="shared" si="164"/>
        <v>2</v>
      </c>
      <c r="O862" s="99">
        <v>2</v>
      </c>
      <c r="P862" s="113">
        <f t="shared" si="165"/>
        <v>2</v>
      </c>
      <c r="Q862" s="112">
        <f t="shared" si="166"/>
        <v>32</v>
      </c>
      <c r="R862" s="112" t="str">
        <f t="shared" si="167"/>
        <v>Standard-size</v>
      </c>
      <c r="S862" s="99" t="str">
        <f t="shared" si="168"/>
        <v>Large standard-size</v>
      </c>
      <c r="T862" s="116" t="s">
        <v>13697</v>
      </c>
      <c r="U862" s="116">
        <f t="shared" si="169"/>
        <v>0.10416666666666667</v>
      </c>
      <c r="V862" s="116" t="s">
        <v>13583</v>
      </c>
      <c r="W862" s="116" t="s">
        <v>13690</v>
      </c>
      <c r="X862" s="99" t="s">
        <v>13583</v>
      </c>
      <c r="Y862" s="99">
        <v>1</v>
      </c>
      <c r="Z862" s="99">
        <v>2</v>
      </c>
      <c r="AA862" s="99">
        <v>1</v>
      </c>
      <c r="AB862" s="99"/>
      <c r="AC862" s="99"/>
      <c r="AD862" s="107">
        <v>0</v>
      </c>
      <c r="AE862" s="113">
        <f t="shared" si="170"/>
        <v>0</v>
      </c>
      <c r="AF862" s="116">
        <f>-IFERROR(IFERROR(VLOOKUP(ROUNDUP($Q862,0),'FBA FEES'!$L$2:$Q$203,MATCH($S862,'FBA FEES'!$L$2:$Q$2,0),FALSE),VLOOKUP(ROUNDUP($Q862,0),'FBA FEES'!$C$6:$F$123,MATCH($S862,'FBA FEES'!$C$6:$F$6,0),FALSE)),0)</f>
        <v>-5.77</v>
      </c>
      <c r="AG862" s="116">
        <v>-10</v>
      </c>
      <c r="AH862" s="113">
        <f t="shared" si="171"/>
        <v>-5.77</v>
      </c>
      <c r="AI862" s="116">
        <f>-IFERROR(IF($Y862=1,INDEX('[1]REMOVAL FEES'!$A$1:$C$22,MATCH(CONCATENATE("Standard Size",$P862),'[1]REMOVAL FEES'!$A$1:$A$22,0),3),IF($Y862=2,IF($P862&gt;10,(($P862-10)*1.06)+INDEX('[1]REMOVAL FEES'!$E$1:$G$22,MATCH(CONCATENATE("Large bulky, extra-large and special handling items",IF($P862&gt;=11,11,$P862)),'[1]REMOVAL FEES'!$E$1:$E$13,0),3),INDEX('[1]REMOVAL FEES'!$E$1:$G$22,MATCH(CONCATENATE("Large bulky, extra-large and special handling items",IF($P862&gt;=11,11,$P862)),'[1]REMOVAL FEES'!$E$1:$E$13,0),3))))*$AA862,FALSE)</f>
        <v>-2.27</v>
      </c>
      <c r="AJ862" s="107">
        <f t="shared" si="172"/>
        <v>-8.0399999999999991</v>
      </c>
      <c r="AK862" s="107">
        <v>0</v>
      </c>
      <c r="AL862" s="107">
        <v>0</v>
      </c>
      <c r="AM862" s="107">
        <f t="shared" si="173"/>
        <v>0</v>
      </c>
      <c r="AN862" s="116">
        <f>(-IF($V862="Yes", IF($X862="Yes", VLOOKUP($W862, '[1]Storage Fees'!A:M, 13, FALSE), VLOOKUP($W862, '[1]Storage Fees'!A:M, 10, FALSE)), IF($X862="Yes", VLOOKUP($W862, '[1]Storage Fees'!A:M, 7, FALSE), VLOOKUP($W862, '[1]Storage Fees'!A:M, 4, FALSE))) * U862)*1.5</f>
        <v>-0.19062499999999999</v>
      </c>
    </row>
    <row r="863" spans="1:40" x14ac:dyDescent="0.25">
      <c r="A863" s="99">
        <v>791</v>
      </c>
      <c r="B863" s="99"/>
      <c r="C863" s="99" t="s">
        <v>13655</v>
      </c>
      <c r="D863" s="99"/>
      <c r="E863" s="99" t="s">
        <v>296</v>
      </c>
      <c r="F863" s="99" t="s">
        <v>2207</v>
      </c>
      <c r="G863" s="99" t="s">
        <v>13695</v>
      </c>
      <c r="H863" s="99">
        <v>0</v>
      </c>
      <c r="I863" s="99">
        <v>0</v>
      </c>
      <c r="J863" s="99">
        <v>0</v>
      </c>
      <c r="K863" s="101" t="str">
        <f t="shared" si="161"/>
        <v>0x0x0</v>
      </c>
      <c r="L863" s="102">
        <f t="shared" si="162"/>
        <v>0</v>
      </c>
      <c r="M863" s="113">
        <f t="shared" si="163"/>
        <v>0</v>
      </c>
      <c r="N863" s="113">
        <f t="shared" si="164"/>
        <v>0</v>
      </c>
      <c r="O863" s="99">
        <v>0</v>
      </c>
      <c r="P863" s="113">
        <f t="shared" si="165"/>
        <v>0</v>
      </c>
      <c r="Q863" s="112">
        <f t="shared" si="166"/>
        <v>0</v>
      </c>
      <c r="R863" s="112" t="str">
        <f t="shared" si="167"/>
        <v>Standard-size</v>
      </c>
      <c r="S863" s="99" t="str">
        <f t="shared" si="168"/>
        <v>Small standard-size</v>
      </c>
      <c r="T863" s="116" t="s">
        <v>13696</v>
      </c>
      <c r="U863" s="116">
        <f t="shared" si="169"/>
        <v>0</v>
      </c>
      <c r="V863" s="116" t="s">
        <v>13583</v>
      </c>
      <c r="W863" s="116" t="s">
        <v>13690</v>
      </c>
      <c r="X863" s="99" t="s">
        <v>13583</v>
      </c>
      <c r="Y863" s="99">
        <v>1</v>
      </c>
      <c r="Z863" s="99">
        <v>1</v>
      </c>
      <c r="AA863" s="99">
        <v>1</v>
      </c>
      <c r="AB863" s="99"/>
      <c r="AC863" s="99"/>
      <c r="AD863" s="107">
        <v>0</v>
      </c>
      <c r="AE863" s="113">
        <f t="shared" si="170"/>
        <v>0</v>
      </c>
      <c r="AF863" s="116">
        <f>-IFERROR(IFERROR(VLOOKUP(ROUNDUP($Q863,0),'FBA FEES'!$L$2:$Q$203,MATCH($S863,'FBA FEES'!$L$2:$Q$2,0),FALSE),VLOOKUP(ROUNDUP($Q863,0),'FBA FEES'!$C$6:$F$123,MATCH($S863,'FBA FEES'!$C$6:$F$6,0),FALSE)),0)</f>
        <v>0</v>
      </c>
      <c r="AG863" s="116">
        <v>-10</v>
      </c>
      <c r="AH863" s="113">
        <f t="shared" si="171"/>
        <v>0</v>
      </c>
      <c r="AI863" s="116">
        <f>-IFERROR(IF($Y863=1,INDEX('[1]REMOVAL FEES'!$A$1:$C$22,MATCH(CONCATENATE("Standard Size",$P863),'[1]REMOVAL FEES'!$A$1:$A$22,0),3),IF($Y863=2,IF($P863&gt;10,(($P863-10)*1.06)+INDEX('[1]REMOVAL FEES'!$E$1:$G$22,MATCH(CONCATENATE("Large bulky, extra-large and special handling items",IF($P863&gt;=11,11,$P863)),'[1]REMOVAL FEES'!$E$1:$E$13,0),3),INDEX('[1]REMOVAL FEES'!$E$1:$G$22,MATCH(CONCATENATE("Large bulky, extra-large and special handling items",IF($P863&gt;=11,11,$P863)),'[1]REMOVAL FEES'!$E$1:$E$13,0),3))))*$AA863,FALSE)</f>
        <v>0</v>
      </c>
      <c r="AJ863" s="107">
        <f t="shared" si="172"/>
        <v>0</v>
      </c>
      <c r="AK863" s="107">
        <v>0</v>
      </c>
      <c r="AL863" s="107">
        <v>0</v>
      </c>
      <c r="AM863" s="107">
        <f t="shared" si="173"/>
        <v>0</v>
      </c>
      <c r="AN863" s="116">
        <f>(-IF($V863="Yes", IF($X863="Yes", VLOOKUP($W863, '[1]Storage Fees'!A:M, 13, FALSE), VLOOKUP($W863, '[1]Storage Fees'!A:M, 10, FALSE)), IF($X863="Yes", VLOOKUP($W863, '[1]Storage Fees'!A:M, 7, FALSE), VLOOKUP($W863, '[1]Storage Fees'!A:M, 4, FALSE))) * U863)*1.5</f>
        <v>0</v>
      </c>
    </row>
    <row r="864" spans="1:40" x14ac:dyDescent="0.25">
      <c r="A864" s="99">
        <v>792</v>
      </c>
      <c r="B864" s="99" t="s">
        <v>13700</v>
      </c>
      <c r="C864" s="99"/>
      <c r="D864" s="99"/>
      <c r="E864" s="99" t="s">
        <v>358</v>
      </c>
      <c r="F864" s="99" t="s">
        <v>530</v>
      </c>
      <c r="G864" s="99" t="s">
        <v>13656</v>
      </c>
      <c r="H864" s="99">
        <v>12</v>
      </c>
      <c r="I864" s="99">
        <v>12</v>
      </c>
      <c r="J864" s="99">
        <v>12</v>
      </c>
      <c r="K864" s="101" t="str">
        <f t="shared" si="161"/>
        <v>12x12x12</v>
      </c>
      <c r="L864" s="102">
        <f t="shared" si="162"/>
        <v>12.431654676258994</v>
      </c>
      <c r="M864" s="113">
        <f t="shared" si="163"/>
        <v>12.431654676258994</v>
      </c>
      <c r="N864" s="113">
        <f t="shared" si="164"/>
        <v>13</v>
      </c>
      <c r="O864" s="99">
        <v>12</v>
      </c>
      <c r="P864" s="113">
        <f t="shared" si="165"/>
        <v>13</v>
      </c>
      <c r="Q864" s="112">
        <f t="shared" si="166"/>
        <v>208</v>
      </c>
      <c r="R864" s="112" t="str">
        <f t="shared" si="167"/>
        <v>Oversize</v>
      </c>
      <c r="S864" s="99" t="str">
        <f t="shared" si="168"/>
        <v>Large bulky</v>
      </c>
      <c r="T864" s="116" t="s">
        <v>13692</v>
      </c>
      <c r="U864" s="116">
        <f t="shared" si="169"/>
        <v>1</v>
      </c>
      <c r="V864" s="116" t="s">
        <v>13583</v>
      </c>
      <c r="W864" s="116" t="s">
        <v>13690</v>
      </c>
      <c r="X864" s="116" t="s">
        <v>13691</v>
      </c>
      <c r="Y864" s="116">
        <v>2</v>
      </c>
      <c r="Z864" s="116">
        <v>3</v>
      </c>
      <c r="AA864" s="116">
        <v>1</v>
      </c>
      <c r="AB864" s="99"/>
      <c r="AC864" s="99"/>
      <c r="AD864" s="107">
        <v>60.988571428571433</v>
      </c>
      <c r="AE864" s="113">
        <f t="shared" si="170"/>
        <v>-9.1482857142857146</v>
      </c>
      <c r="AF864" s="116">
        <f>-IFERROR(IFERROR(VLOOKUP(ROUNDUP($Q864,0),'FBA FEES'!$L$2:$Q$203,MATCH($S864,'FBA FEES'!$L$2:$Q$2,0),FALSE),VLOOKUP(ROUNDUP($Q864,0),'FBA FEES'!$C$6:$F$123,MATCH($S864,'FBA FEES'!$C$6:$F$6,0),FALSE)),0)</f>
        <v>-14.17</v>
      </c>
      <c r="AG864" s="116">
        <v>-10</v>
      </c>
      <c r="AH864" s="113">
        <f t="shared" si="171"/>
        <v>-23.318285714285715</v>
      </c>
      <c r="AI864" s="116">
        <f>-IFERROR(IF($Y864=1,INDEX('[1]REMOVAL FEES'!$A$1:$C$22,MATCH(CONCATENATE("Standard Size",$P864),'[1]REMOVAL FEES'!$A$1:$A$22,0),3),IF($Y864=2,IF($P864&gt;10,(($P864-10)*1.06)+INDEX('[1]REMOVAL FEES'!$E$1:$G$22,MATCH(CONCATENATE("Large bulky, extra-large and special handling items",IF($P864&gt;=11,11,$P864)),'[1]REMOVAL FEES'!$E$1:$E$13,0),3),INDEX('[1]REMOVAL FEES'!$E$1:$G$22,MATCH(CONCATENATE("Large bulky, extra-large and special handling items",IF($P864&gt;=11,11,$P864)),'[1]REMOVAL FEES'!$E$1:$E$13,0),3))))*$AA864,FALSE)</f>
        <v>-17.5</v>
      </c>
      <c r="AJ864" s="107">
        <f t="shared" si="172"/>
        <v>-40.818285714285715</v>
      </c>
      <c r="AK864" s="107">
        <v>-30.535714285714281</v>
      </c>
      <c r="AL864" s="107">
        <v>-7.5344444444444454</v>
      </c>
      <c r="AM864" s="107">
        <f t="shared" si="173"/>
        <v>-38.070158730158724</v>
      </c>
      <c r="AN864" s="116">
        <f>(-IF($V864="Yes", IF($X864="Yes", VLOOKUP($W864, '[1]Storage Fees'!A:M, 13, FALSE), VLOOKUP($W864, '[1]Storage Fees'!A:M, 10, FALSE)), IF($X864="Yes", VLOOKUP($W864, '[1]Storage Fees'!A:M, 7, FALSE), VLOOKUP($W864, '[1]Storage Fees'!A:M, 4, FALSE))) * U864)*1.5</f>
        <v>-1.1850000000000001</v>
      </c>
    </row>
    <row r="865" spans="1:40" x14ac:dyDescent="0.25">
      <c r="A865" s="99">
        <v>793</v>
      </c>
      <c r="B865" s="99" t="s">
        <v>13700</v>
      </c>
      <c r="C865" s="99"/>
      <c r="D865" s="99"/>
      <c r="E865" s="99" t="s">
        <v>358</v>
      </c>
      <c r="F865" s="99" t="s">
        <v>532</v>
      </c>
      <c r="G865" s="99" t="s">
        <v>13695</v>
      </c>
      <c r="H865" s="99">
        <v>12</v>
      </c>
      <c r="I865" s="99">
        <v>12</v>
      </c>
      <c r="J865" s="99">
        <v>12</v>
      </c>
      <c r="K865" s="101" t="str">
        <f t="shared" si="161"/>
        <v>12x12x12</v>
      </c>
      <c r="L865" s="102">
        <f t="shared" si="162"/>
        <v>12.431654676258994</v>
      </c>
      <c r="M865" s="113">
        <f t="shared" si="163"/>
        <v>12.431654676258994</v>
      </c>
      <c r="N865" s="113">
        <f t="shared" si="164"/>
        <v>13</v>
      </c>
      <c r="O865" s="99">
        <v>12</v>
      </c>
      <c r="P865" s="113">
        <f t="shared" si="165"/>
        <v>13</v>
      </c>
      <c r="Q865" s="112">
        <f t="shared" si="166"/>
        <v>208</v>
      </c>
      <c r="R865" s="112" t="str">
        <f t="shared" si="167"/>
        <v>Oversize</v>
      </c>
      <c r="S865" s="99" t="str">
        <f t="shared" si="168"/>
        <v>Large bulky</v>
      </c>
      <c r="T865" s="116" t="s">
        <v>13692</v>
      </c>
      <c r="U865" s="116">
        <f t="shared" si="169"/>
        <v>1</v>
      </c>
      <c r="V865" s="116" t="s">
        <v>13583</v>
      </c>
      <c r="W865" s="116" t="s">
        <v>13690</v>
      </c>
      <c r="X865" s="116" t="s">
        <v>13691</v>
      </c>
      <c r="Y865" s="116">
        <v>2</v>
      </c>
      <c r="Z865" s="116">
        <v>3</v>
      </c>
      <c r="AA865" s="116">
        <v>1</v>
      </c>
      <c r="AB865" s="99"/>
      <c r="AC865" s="99"/>
      <c r="AD865" s="107">
        <v>67.02155555555558</v>
      </c>
      <c r="AE865" s="113">
        <f t="shared" si="170"/>
        <v>-10.053233333333337</v>
      </c>
      <c r="AF865" s="116">
        <f>-IFERROR(IFERROR(VLOOKUP(ROUNDUP($Q865,0),'FBA FEES'!$L$2:$Q$203,MATCH($S865,'FBA FEES'!$L$2:$Q$2,0),FALSE),VLOOKUP(ROUNDUP($Q865,0),'FBA FEES'!$C$6:$F$123,MATCH($S865,'FBA FEES'!$C$6:$F$6,0),FALSE)),0)</f>
        <v>-14.17</v>
      </c>
      <c r="AG865" s="116">
        <v>-10</v>
      </c>
      <c r="AH865" s="113">
        <f t="shared" si="171"/>
        <v>-24.223233333333337</v>
      </c>
      <c r="AI865" s="116">
        <f>-IFERROR(IF($Y865=1,INDEX('[1]REMOVAL FEES'!$A$1:$C$22,MATCH(CONCATENATE("Standard Size",$P865),'[1]REMOVAL FEES'!$A$1:$A$22,0),3),IF($Y865=2,IF($P865&gt;10,(($P865-10)*1.06)+INDEX('[1]REMOVAL FEES'!$E$1:$G$22,MATCH(CONCATENATE("Large bulky, extra-large and special handling items",IF($P865&gt;=11,11,$P865)),'[1]REMOVAL FEES'!$E$1:$E$13,0),3),INDEX('[1]REMOVAL FEES'!$E$1:$G$22,MATCH(CONCATENATE("Large bulky, extra-large and special handling items",IF($P865&gt;=11,11,$P865)),'[1]REMOVAL FEES'!$E$1:$E$13,0),3))))*$AA865,FALSE)</f>
        <v>-17.5</v>
      </c>
      <c r="AJ865" s="107">
        <f t="shared" si="172"/>
        <v>-41.72323333333334</v>
      </c>
      <c r="AK865" s="107">
        <v>-33.036666666666662</v>
      </c>
      <c r="AL865" s="107">
        <v>-7.5344444444444436</v>
      </c>
      <c r="AM865" s="107">
        <f t="shared" si="173"/>
        <v>-40.571111111111108</v>
      </c>
      <c r="AN865" s="116">
        <f>(-IF($V865="Yes", IF($X865="Yes", VLOOKUP($W865, '[1]Storage Fees'!A:M, 13, FALSE), VLOOKUP($W865, '[1]Storage Fees'!A:M, 10, FALSE)), IF($X865="Yes", VLOOKUP($W865, '[1]Storage Fees'!A:M, 7, FALSE), VLOOKUP($W865, '[1]Storage Fees'!A:M, 4, FALSE))) * U865)*1.5</f>
        <v>-1.1850000000000001</v>
      </c>
    </row>
    <row r="866" spans="1:40" x14ac:dyDescent="0.25">
      <c r="A866" s="99">
        <v>794</v>
      </c>
      <c r="B866" s="99"/>
      <c r="C866" s="99" t="s">
        <v>13655</v>
      </c>
      <c r="D866" s="99"/>
      <c r="E866" s="99" t="s">
        <v>296</v>
      </c>
      <c r="F866" s="99" t="s">
        <v>689</v>
      </c>
      <c r="G866" s="99" t="s">
        <v>13695</v>
      </c>
      <c r="H866" s="99">
        <v>0</v>
      </c>
      <c r="I866" s="99">
        <v>0</v>
      </c>
      <c r="J866" s="99">
        <v>0</v>
      </c>
      <c r="K866" s="101" t="str">
        <f t="shared" si="161"/>
        <v>0x0x0</v>
      </c>
      <c r="L866" s="102">
        <f t="shared" si="162"/>
        <v>0</v>
      </c>
      <c r="M866" s="113">
        <f t="shared" si="163"/>
        <v>0</v>
      </c>
      <c r="N866" s="113">
        <f t="shared" si="164"/>
        <v>0</v>
      </c>
      <c r="O866" s="99">
        <v>0</v>
      </c>
      <c r="P866" s="113">
        <f t="shared" si="165"/>
        <v>0</v>
      </c>
      <c r="Q866" s="112">
        <f t="shared" si="166"/>
        <v>0</v>
      </c>
      <c r="R866" s="112" t="str">
        <f t="shared" si="167"/>
        <v>Standard-size</v>
      </c>
      <c r="S866" s="99" t="str">
        <f t="shared" si="168"/>
        <v>Small standard-size</v>
      </c>
      <c r="T866" s="116" t="s">
        <v>13696</v>
      </c>
      <c r="U866" s="116">
        <f t="shared" si="169"/>
        <v>0</v>
      </c>
      <c r="V866" s="116" t="s">
        <v>13583</v>
      </c>
      <c r="W866" s="116" t="s">
        <v>13690</v>
      </c>
      <c r="X866" s="99" t="s">
        <v>13583</v>
      </c>
      <c r="Y866" s="99">
        <v>1</v>
      </c>
      <c r="Z866" s="99">
        <v>1</v>
      </c>
      <c r="AA866" s="99">
        <v>1</v>
      </c>
      <c r="AB866" s="99"/>
      <c r="AC866" s="99"/>
      <c r="AD866" s="107">
        <v>148.46333333333331</v>
      </c>
      <c r="AE866" s="113">
        <f t="shared" si="170"/>
        <v>-22.269499999999997</v>
      </c>
      <c r="AF866" s="116">
        <f>-IFERROR(IFERROR(VLOOKUP(ROUNDUP($Q866,0),'FBA FEES'!$L$2:$Q$203,MATCH($S866,'FBA FEES'!$L$2:$Q$2,0),FALSE),VLOOKUP(ROUNDUP($Q866,0),'FBA FEES'!$C$6:$F$123,MATCH($S866,'FBA FEES'!$C$6:$F$6,0),FALSE)),0)</f>
        <v>0</v>
      </c>
      <c r="AG866" s="116">
        <v>-10</v>
      </c>
      <c r="AH866" s="113">
        <f t="shared" si="171"/>
        <v>-22.269499999999997</v>
      </c>
      <c r="AI866" s="116">
        <f>-IFERROR(IF($Y866=1,INDEX('[1]REMOVAL FEES'!$A$1:$C$22,MATCH(CONCATENATE("Standard Size",$P866),'[1]REMOVAL FEES'!$A$1:$A$22,0),3),IF($Y866=2,IF($P866&gt;10,(($P866-10)*1.06)+INDEX('[1]REMOVAL FEES'!$E$1:$G$22,MATCH(CONCATENATE("Large bulky, extra-large and special handling items",IF($P866&gt;=11,11,$P866)),'[1]REMOVAL FEES'!$E$1:$E$13,0),3),INDEX('[1]REMOVAL FEES'!$E$1:$G$22,MATCH(CONCATENATE("Large bulky, extra-large and special handling items",IF($P866&gt;=11,11,$P866)),'[1]REMOVAL FEES'!$E$1:$E$13,0),3))))*$AA866,FALSE)</f>
        <v>0</v>
      </c>
      <c r="AJ866" s="107">
        <f t="shared" si="172"/>
        <v>-22.269499999999997</v>
      </c>
      <c r="AK866" s="107">
        <v>-46.12</v>
      </c>
      <c r="AL866" s="107">
        <v>-12.99133333333333</v>
      </c>
      <c r="AM866" s="107">
        <f t="shared" si="173"/>
        <v>-59.111333333333327</v>
      </c>
      <c r="AN866" s="116">
        <f>(-IF($V866="Yes", IF($X866="Yes", VLOOKUP($W866, '[1]Storage Fees'!A:M, 13, FALSE), VLOOKUP($W866, '[1]Storage Fees'!A:M, 10, FALSE)), IF($X866="Yes", VLOOKUP($W866, '[1]Storage Fees'!A:M, 7, FALSE), VLOOKUP($W866, '[1]Storage Fees'!A:M, 4, FALSE))) * U866)*1.5</f>
        <v>0</v>
      </c>
    </row>
    <row r="867" spans="1:40" x14ac:dyDescent="0.25">
      <c r="A867" s="99">
        <v>795</v>
      </c>
      <c r="B867" s="99" t="s">
        <v>13699</v>
      </c>
      <c r="C867" s="99" t="s">
        <v>13655</v>
      </c>
      <c r="D867" s="99" t="s">
        <v>1463</v>
      </c>
      <c r="E867" s="99" t="s">
        <v>278</v>
      </c>
      <c r="F867" s="99" t="s">
        <v>1461</v>
      </c>
      <c r="G867" s="99" t="s">
        <v>13695</v>
      </c>
      <c r="H867" s="99">
        <v>37</v>
      </c>
      <c r="I867" s="99">
        <v>37</v>
      </c>
      <c r="J867" s="99">
        <v>3</v>
      </c>
      <c r="K867" s="101" t="str">
        <f t="shared" si="161"/>
        <v>37x37x3</v>
      </c>
      <c r="L867" s="102">
        <f t="shared" si="162"/>
        <v>29.546762589928058</v>
      </c>
      <c r="M867" s="113">
        <f t="shared" si="163"/>
        <v>29.546762589928058</v>
      </c>
      <c r="N867" s="113">
        <f t="shared" si="164"/>
        <v>30</v>
      </c>
      <c r="O867" s="99">
        <v>33</v>
      </c>
      <c r="P867" s="113">
        <f t="shared" si="165"/>
        <v>33</v>
      </c>
      <c r="Q867" s="112">
        <f t="shared" si="166"/>
        <v>528</v>
      </c>
      <c r="R867" s="112" t="str">
        <f t="shared" si="167"/>
        <v>Oversize</v>
      </c>
      <c r="S867" s="99" t="str">
        <f t="shared" si="168"/>
        <v>Extra-large 0 to 50 lb</v>
      </c>
      <c r="T867" s="116" t="s">
        <v>13706</v>
      </c>
      <c r="U867" s="116">
        <f t="shared" si="169"/>
        <v>2.3767361111111112</v>
      </c>
      <c r="V867" s="116" t="s">
        <v>13583</v>
      </c>
      <c r="W867" s="116" t="s">
        <v>13690</v>
      </c>
      <c r="X867" s="116" t="s">
        <v>13691</v>
      </c>
      <c r="Y867" s="116">
        <v>2</v>
      </c>
      <c r="Z867" s="116">
        <v>4</v>
      </c>
      <c r="AA867" s="116">
        <v>1</v>
      </c>
      <c r="AB867" s="99"/>
      <c r="AC867" s="99"/>
      <c r="AD867" s="107">
        <v>217.15792682926829</v>
      </c>
      <c r="AE867" s="113">
        <f t="shared" si="170"/>
        <v>-32.573689024390241</v>
      </c>
      <c r="AF867" s="116">
        <f>-IFERROR(IFERROR(VLOOKUP(ROUNDUP($Q867,0),'FBA FEES'!$L$2:$Q$203,MATCH($S867,'FBA FEES'!$L$2:$Q$2,0),FALSE),VLOOKUP(ROUNDUP($Q867,0),'FBA FEES'!$C$6:$F$123,MATCH($S867,'FBA FEES'!$C$6:$F$6,0),FALSE)),0)</f>
        <v>-38.489999999999995</v>
      </c>
      <c r="AG867" s="116">
        <v>-10</v>
      </c>
      <c r="AH867" s="113">
        <f t="shared" si="171"/>
        <v>-71.063689024390243</v>
      </c>
      <c r="AI867" s="116">
        <f>-IFERROR(IF($Y867=1,INDEX('[1]REMOVAL FEES'!$A$1:$C$22,MATCH(CONCATENATE("Standard Size",$P867),'[1]REMOVAL FEES'!$A$1:$A$22,0),3),IF($Y867=2,IF($P867&gt;10,(($P867-10)*1.06)+INDEX('[1]REMOVAL FEES'!$E$1:$G$22,MATCH(CONCATENATE("Large bulky, extra-large and special handling items",IF($P867&gt;=11,11,$P867)),'[1]REMOVAL FEES'!$E$1:$E$13,0),3),INDEX('[1]REMOVAL FEES'!$E$1:$G$22,MATCH(CONCATENATE("Large bulky, extra-large and special handling items",IF($P867&gt;=11,11,$P867)),'[1]REMOVAL FEES'!$E$1:$E$13,0),3))))*$AA867,FALSE)</f>
        <v>-38.700000000000003</v>
      </c>
      <c r="AJ867" s="107">
        <f t="shared" si="172"/>
        <v>-109.76368902439025</v>
      </c>
      <c r="AK867" s="107">
        <v>-76.634146341463421</v>
      </c>
      <c r="AL867" s="107">
        <v>-24.70855392689834</v>
      </c>
      <c r="AM867" s="107">
        <f t="shared" si="173"/>
        <v>-101.34270026836177</v>
      </c>
      <c r="AN867" s="116">
        <f>(-IF($V867="Yes", IF($X867="Yes", VLOOKUP($W867, '[1]Storage Fees'!A:M, 13, FALSE), VLOOKUP($W867, '[1]Storage Fees'!A:M, 10, FALSE)), IF($X867="Yes", VLOOKUP($W867, '[1]Storage Fees'!A:M, 7, FALSE), VLOOKUP($W867, '[1]Storage Fees'!A:M, 4, FALSE))) * U867)*1.5</f>
        <v>-2.8164322916666666</v>
      </c>
    </row>
    <row r="868" spans="1:40" x14ac:dyDescent="0.25">
      <c r="A868" s="99">
        <v>796</v>
      </c>
      <c r="B868" s="99"/>
      <c r="C868" s="99" t="s">
        <v>13655</v>
      </c>
      <c r="D868" s="99"/>
      <c r="E868" s="99" t="s">
        <v>120</v>
      </c>
      <c r="F868" s="99" t="s">
        <v>2208</v>
      </c>
      <c r="G868" s="99" t="s">
        <v>13695</v>
      </c>
      <c r="H868" s="99">
        <v>0</v>
      </c>
      <c r="I868" s="99">
        <v>0</v>
      </c>
      <c r="J868" s="99">
        <v>0</v>
      </c>
      <c r="K868" s="101" t="str">
        <f t="shared" si="161"/>
        <v>0x0x0</v>
      </c>
      <c r="L868" s="102">
        <f t="shared" si="162"/>
        <v>0</v>
      </c>
      <c r="M868" s="113">
        <f t="shared" si="163"/>
        <v>0</v>
      </c>
      <c r="N868" s="113">
        <f t="shared" si="164"/>
        <v>0</v>
      </c>
      <c r="O868" s="99">
        <v>0</v>
      </c>
      <c r="P868" s="113">
        <f t="shared" si="165"/>
        <v>0</v>
      </c>
      <c r="Q868" s="112">
        <f t="shared" si="166"/>
        <v>0</v>
      </c>
      <c r="R868" s="112" t="str">
        <f t="shared" si="167"/>
        <v>Standard-size</v>
      </c>
      <c r="S868" s="99" t="str">
        <f t="shared" si="168"/>
        <v>Small standard-size</v>
      </c>
      <c r="T868" s="116" t="s">
        <v>13696</v>
      </c>
      <c r="U868" s="116">
        <f t="shared" si="169"/>
        <v>0</v>
      </c>
      <c r="V868" s="116" t="s">
        <v>13583</v>
      </c>
      <c r="W868" s="116" t="s">
        <v>13690</v>
      </c>
      <c r="X868" s="99" t="s">
        <v>13583</v>
      </c>
      <c r="Y868" s="99">
        <v>1</v>
      </c>
      <c r="Z868" s="99">
        <v>1</v>
      </c>
      <c r="AA868" s="99">
        <v>1</v>
      </c>
      <c r="AB868" s="99"/>
      <c r="AC868" s="99"/>
      <c r="AD868" s="107">
        <v>0</v>
      </c>
      <c r="AE868" s="113">
        <f t="shared" si="170"/>
        <v>0</v>
      </c>
      <c r="AF868" s="116">
        <f>-IFERROR(IFERROR(VLOOKUP(ROUNDUP($Q868,0),'FBA FEES'!$L$2:$Q$203,MATCH($S868,'FBA FEES'!$L$2:$Q$2,0),FALSE),VLOOKUP(ROUNDUP($Q868,0),'FBA FEES'!$C$6:$F$123,MATCH($S868,'FBA FEES'!$C$6:$F$6,0),FALSE)),0)</f>
        <v>0</v>
      </c>
      <c r="AG868" s="116">
        <v>-10</v>
      </c>
      <c r="AH868" s="113">
        <f t="shared" si="171"/>
        <v>0</v>
      </c>
      <c r="AI868" s="116">
        <f>-IFERROR(IF($Y868=1,INDEX('[1]REMOVAL FEES'!$A$1:$C$22,MATCH(CONCATENATE("Standard Size",$P868),'[1]REMOVAL FEES'!$A$1:$A$22,0),3),IF($Y868=2,IF($P868&gt;10,(($P868-10)*1.06)+INDEX('[1]REMOVAL FEES'!$E$1:$G$22,MATCH(CONCATENATE("Large bulky, extra-large and special handling items",IF($P868&gt;=11,11,$P868)),'[1]REMOVAL FEES'!$E$1:$E$13,0),3),INDEX('[1]REMOVAL FEES'!$E$1:$G$22,MATCH(CONCATENATE("Large bulky, extra-large and special handling items",IF($P868&gt;=11,11,$P868)),'[1]REMOVAL FEES'!$E$1:$E$13,0),3))))*$AA868,FALSE)</f>
        <v>0</v>
      </c>
      <c r="AJ868" s="107">
        <f t="shared" si="172"/>
        <v>0</v>
      </c>
      <c r="AK868" s="107">
        <v>0</v>
      </c>
      <c r="AL868" s="107">
        <v>0</v>
      </c>
      <c r="AM868" s="107">
        <f t="shared" si="173"/>
        <v>0</v>
      </c>
      <c r="AN868" s="116">
        <f>(-IF($V868="Yes", IF($X868="Yes", VLOOKUP($W868, '[1]Storage Fees'!A:M, 13, FALSE), VLOOKUP($W868, '[1]Storage Fees'!A:M, 10, FALSE)), IF($X868="Yes", VLOOKUP($W868, '[1]Storage Fees'!A:M, 7, FALSE), VLOOKUP($W868, '[1]Storage Fees'!A:M, 4, FALSE))) * U868)*1.5</f>
        <v>0</v>
      </c>
    </row>
    <row r="869" spans="1:40" x14ac:dyDescent="0.25">
      <c r="A869" s="99">
        <v>797</v>
      </c>
      <c r="B869" s="99" t="s">
        <v>55</v>
      </c>
      <c r="C869" s="99" t="s">
        <v>13655</v>
      </c>
      <c r="D869" s="99" t="s">
        <v>749</v>
      </c>
      <c r="E869" s="99" t="s">
        <v>1467</v>
      </c>
      <c r="F869" s="99" t="s">
        <v>1465</v>
      </c>
      <c r="G869" s="99" t="s">
        <v>13656</v>
      </c>
      <c r="H869" s="99">
        <v>14</v>
      </c>
      <c r="I869" s="99">
        <v>12</v>
      </c>
      <c r="J869" s="99">
        <v>5</v>
      </c>
      <c r="K869" s="101" t="str">
        <f t="shared" si="161"/>
        <v>14x12x5</v>
      </c>
      <c r="L869" s="102">
        <f t="shared" si="162"/>
        <v>6.043165467625899</v>
      </c>
      <c r="M869" s="113">
        <f t="shared" si="163"/>
        <v>6.043165467625899</v>
      </c>
      <c r="N869" s="113">
        <f t="shared" si="164"/>
        <v>7</v>
      </c>
      <c r="O869" s="99">
        <v>6</v>
      </c>
      <c r="P869" s="113">
        <f t="shared" si="165"/>
        <v>7</v>
      </c>
      <c r="Q869" s="112">
        <f t="shared" si="166"/>
        <v>112</v>
      </c>
      <c r="R869" s="112" t="str">
        <f t="shared" si="167"/>
        <v>Standard-size</v>
      </c>
      <c r="S869" s="99" t="str">
        <f t="shared" si="168"/>
        <v>Large standard-size</v>
      </c>
      <c r="T869" s="116" t="s">
        <v>13693</v>
      </c>
      <c r="U869" s="116">
        <f t="shared" si="169"/>
        <v>0.4861111111111111</v>
      </c>
      <c r="V869" s="116" t="s">
        <v>13583</v>
      </c>
      <c r="W869" s="116" t="s">
        <v>13690</v>
      </c>
      <c r="X869" s="99" t="s">
        <v>13583</v>
      </c>
      <c r="Y869" s="99">
        <v>1</v>
      </c>
      <c r="Z869" s="99">
        <v>2</v>
      </c>
      <c r="AA869" s="99">
        <v>1</v>
      </c>
      <c r="AB869" s="99"/>
      <c r="AC869" s="99"/>
      <c r="AD869" s="107">
        <v>31.45</v>
      </c>
      <c r="AE869" s="113">
        <f t="shared" si="170"/>
        <v>-4.7174999999999994</v>
      </c>
      <c r="AF869" s="116">
        <f>-IFERROR(IFERROR(VLOOKUP(ROUNDUP($Q869,0),'FBA FEES'!$L$2:$Q$203,MATCH($S869,'FBA FEES'!$L$2:$Q$2,0),FALSE),VLOOKUP(ROUNDUP($Q869,0),'FBA FEES'!$C$6:$F$123,MATCH($S869,'FBA FEES'!$C$6:$F$6,0),FALSE)),0)</f>
        <v>-8.1999999999999993</v>
      </c>
      <c r="AG869" s="116">
        <v>-10</v>
      </c>
      <c r="AH869" s="113">
        <f t="shared" si="171"/>
        <v>-12.917499999999999</v>
      </c>
      <c r="AI869" s="116">
        <f>-IFERROR(IF($Y869=1,INDEX('[1]REMOVAL FEES'!$A$1:$C$22,MATCH(CONCATENATE("Standard Size",$P869),'[1]REMOVAL FEES'!$A$1:$A$22,0),3),IF($Y869=2,IF($P869&gt;10,(($P869-10)*1.06)+INDEX('[1]REMOVAL FEES'!$E$1:$G$22,MATCH(CONCATENATE("Large bulky, extra-large and special handling items",IF($P869&gt;=11,11,$P869)),'[1]REMOVAL FEES'!$E$1:$E$13,0),3),INDEX('[1]REMOVAL FEES'!$E$1:$G$22,MATCH(CONCATENATE("Large bulky, extra-large and special handling items",IF($P869&gt;=11,11,$P869)),'[1]REMOVAL FEES'!$E$1:$E$13,0),3))))*$AA869,FALSE)</f>
        <v>-8.1900000000000013</v>
      </c>
      <c r="AJ869" s="107">
        <f t="shared" si="172"/>
        <v>-21.107500000000002</v>
      </c>
      <c r="AK869" s="107">
        <v>-17.38</v>
      </c>
      <c r="AL869" s="107">
        <v>-2.1669999999999998</v>
      </c>
      <c r="AM869" s="107">
        <f t="shared" si="173"/>
        <v>-19.546999999999997</v>
      </c>
      <c r="AN869" s="116">
        <f>(-IF($V869="Yes", IF($X869="Yes", VLOOKUP($W869, '[1]Storage Fees'!A:M, 13, FALSE), VLOOKUP($W869, '[1]Storage Fees'!A:M, 10, FALSE)), IF($X869="Yes", VLOOKUP($W869, '[1]Storage Fees'!A:M, 7, FALSE), VLOOKUP($W869, '[1]Storage Fees'!A:M, 4, FALSE))) * U869)*1.5</f>
        <v>-0.88958333333333339</v>
      </c>
    </row>
    <row r="870" spans="1:40" x14ac:dyDescent="0.25">
      <c r="A870" s="99">
        <v>798</v>
      </c>
      <c r="B870" s="99" t="s">
        <v>55</v>
      </c>
      <c r="C870" s="99" t="s">
        <v>13655</v>
      </c>
      <c r="D870" s="99" t="s">
        <v>749</v>
      </c>
      <c r="E870" s="99" t="s">
        <v>1467</v>
      </c>
      <c r="F870" s="99" t="s">
        <v>1469</v>
      </c>
      <c r="G870" s="99" t="s">
        <v>13695</v>
      </c>
      <c r="H870" s="99">
        <v>12</v>
      </c>
      <c r="I870" s="99">
        <v>12</v>
      </c>
      <c r="J870" s="99">
        <v>9</v>
      </c>
      <c r="K870" s="101" t="str">
        <f t="shared" si="161"/>
        <v>12x12x9</v>
      </c>
      <c r="L870" s="102">
        <f t="shared" si="162"/>
        <v>9.3237410071942453</v>
      </c>
      <c r="M870" s="113">
        <f t="shared" si="163"/>
        <v>9.3237410071942453</v>
      </c>
      <c r="N870" s="113">
        <f t="shared" si="164"/>
        <v>10</v>
      </c>
      <c r="O870" s="99">
        <v>12</v>
      </c>
      <c r="P870" s="113">
        <f t="shared" si="165"/>
        <v>12</v>
      </c>
      <c r="Q870" s="112">
        <f t="shared" si="166"/>
        <v>192</v>
      </c>
      <c r="R870" s="112" t="str">
        <f t="shared" si="167"/>
        <v>Oversize</v>
      </c>
      <c r="S870" s="99" t="str">
        <f t="shared" si="168"/>
        <v>Large bulky</v>
      </c>
      <c r="T870" s="116" t="s">
        <v>13692</v>
      </c>
      <c r="U870" s="116">
        <f t="shared" si="169"/>
        <v>0.75</v>
      </c>
      <c r="V870" s="116" t="s">
        <v>13583</v>
      </c>
      <c r="W870" s="116" t="s">
        <v>13690</v>
      </c>
      <c r="X870" s="116" t="s">
        <v>13691</v>
      </c>
      <c r="Y870" s="116">
        <v>2</v>
      </c>
      <c r="Z870" s="116">
        <v>3</v>
      </c>
      <c r="AA870" s="116">
        <v>1</v>
      </c>
      <c r="AB870" s="99"/>
      <c r="AC870" s="99"/>
      <c r="AD870" s="107">
        <v>55.99</v>
      </c>
      <c r="AE870" s="113">
        <f t="shared" si="170"/>
        <v>-8.3985000000000003</v>
      </c>
      <c r="AF870" s="116">
        <f>-IFERROR(IFERROR(VLOOKUP(ROUNDUP($Q870,0),'FBA FEES'!$L$2:$Q$203,MATCH($S870,'FBA FEES'!$L$2:$Q$2,0),FALSE),VLOOKUP(ROUNDUP($Q870,0),'FBA FEES'!$C$6:$F$123,MATCH($S870,'FBA FEES'!$C$6:$F$6,0),FALSE)),0)</f>
        <v>-13.79</v>
      </c>
      <c r="AG870" s="116">
        <v>-10</v>
      </c>
      <c r="AH870" s="113">
        <f t="shared" si="171"/>
        <v>-22.188499999999998</v>
      </c>
      <c r="AI870" s="116">
        <f>-IFERROR(IF($Y870=1,INDEX('[1]REMOVAL FEES'!$A$1:$C$22,MATCH(CONCATENATE("Standard Size",$P870),'[1]REMOVAL FEES'!$A$1:$A$22,0),3),IF($Y870=2,IF($P870&gt;10,(($P870-10)*1.06)+INDEX('[1]REMOVAL FEES'!$E$1:$G$22,MATCH(CONCATENATE("Large bulky, extra-large and special handling items",IF($P870&gt;=11,11,$P870)),'[1]REMOVAL FEES'!$E$1:$E$13,0),3),INDEX('[1]REMOVAL FEES'!$E$1:$G$22,MATCH(CONCATENATE("Large bulky, extra-large and special handling items",IF($P870&gt;=11,11,$P870)),'[1]REMOVAL FEES'!$E$1:$E$13,0),3))))*$AA870,FALSE)</f>
        <v>-16.440000000000001</v>
      </c>
      <c r="AJ870" s="107">
        <f t="shared" si="172"/>
        <v>-38.628500000000003</v>
      </c>
      <c r="AK870" s="107">
        <v>-34.22</v>
      </c>
      <c r="AL870" s="107">
        <v>-5.93</v>
      </c>
      <c r="AM870" s="107">
        <f t="shared" si="173"/>
        <v>-40.15</v>
      </c>
      <c r="AN870" s="116">
        <f>(-IF($V870="Yes", IF($X870="Yes", VLOOKUP($W870, '[1]Storage Fees'!A:M, 13, FALSE), VLOOKUP($W870, '[1]Storage Fees'!A:M, 10, FALSE)), IF($X870="Yes", VLOOKUP($W870, '[1]Storage Fees'!A:M, 7, FALSE), VLOOKUP($W870, '[1]Storage Fees'!A:M, 4, FALSE))) * U870)*1.5</f>
        <v>-0.88875000000000004</v>
      </c>
    </row>
    <row r="871" spans="1:40" x14ac:dyDescent="0.25">
      <c r="A871" s="99">
        <v>799</v>
      </c>
      <c r="B871" s="99"/>
      <c r="C871" s="99" t="s">
        <v>13655</v>
      </c>
      <c r="D871" s="99"/>
      <c r="E871" s="99" t="s">
        <v>120</v>
      </c>
      <c r="F871" s="99" t="s">
        <v>2210</v>
      </c>
      <c r="G871" s="99" t="s">
        <v>13695</v>
      </c>
      <c r="H871" s="99">
        <v>0</v>
      </c>
      <c r="I871" s="99">
        <v>0</v>
      </c>
      <c r="J871" s="99">
        <v>0</v>
      </c>
      <c r="K871" s="101" t="str">
        <f t="shared" si="161"/>
        <v>0x0x0</v>
      </c>
      <c r="L871" s="102">
        <f t="shared" si="162"/>
        <v>0</v>
      </c>
      <c r="M871" s="113">
        <f t="shared" si="163"/>
        <v>0</v>
      </c>
      <c r="N871" s="113">
        <f t="shared" si="164"/>
        <v>0</v>
      </c>
      <c r="O871" s="99">
        <v>0</v>
      </c>
      <c r="P871" s="113">
        <f t="shared" si="165"/>
        <v>0</v>
      </c>
      <c r="Q871" s="112">
        <f t="shared" si="166"/>
        <v>0</v>
      </c>
      <c r="R871" s="112" t="str">
        <f t="shared" si="167"/>
        <v>Standard-size</v>
      </c>
      <c r="S871" s="99" t="str">
        <f t="shared" si="168"/>
        <v>Small standard-size</v>
      </c>
      <c r="T871" s="116" t="s">
        <v>13696</v>
      </c>
      <c r="U871" s="116">
        <f t="shared" si="169"/>
        <v>0</v>
      </c>
      <c r="V871" s="116" t="s">
        <v>13583</v>
      </c>
      <c r="W871" s="116" t="s">
        <v>13690</v>
      </c>
      <c r="X871" s="99" t="s">
        <v>13583</v>
      </c>
      <c r="Y871" s="99">
        <v>1</v>
      </c>
      <c r="Z871" s="99">
        <v>1</v>
      </c>
      <c r="AA871" s="99">
        <v>1</v>
      </c>
      <c r="AB871" s="99"/>
      <c r="AC871" s="99"/>
      <c r="AD871" s="107">
        <v>0</v>
      </c>
      <c r="AE871" s="113">
        <f t="shared" si="170"/>
        <v>0</v>
      </c>
      <c r="AF871" s="116">
        <f>-IFERROR(IFERROR(VLOOKUP(ROUNDUP($Q871,0),'FBA FEES'!$L$2:$Q$203,MATCH($S871,'FBA FEES'!$L$2:$Q$2,0),FALSE),VLOOKUP(ROUNDUP($Q871,0),'FBA FEES'!$C$6:$F$123,MATCH($S871,'FBA FEES'!$C$6:$F$6,0),FALSE)),0)</f>
        <v>0</v>
      </c>
      <c r="AG871" s="116">
        <v>-10</v>
      </c>
      <c r="AH871" s="113">
        <f t="shared" si="171"/>
        <v>0</v>
      </c>
      <c r="AI871" s="116">
        <f>-IFERROR(IF($Y871=1,INDEX('[1]REMOVAL FEES'!$A$1:$C$22,MATCH(CONCATENATE("Standard Size",$P871),'[1]REMOVAL FEES'!$A$1:$A$22,0),3),IF($Y871=2,IF($P871&gt;10,(($P871-10)*1.06)+INDEX('[1]REMOVAL FEES'!$E$1:$G$22,MATCH(CONCATENATE("Large bulky, extra-large and special handling items",IF($P871&gt;=11,11,$P871)),'[1]REMOVAL FEES'!$E$1:$E$13,0),3),INDEX('[1]REMOVAL FEES'!$E$1:$G$22,MATCH(CONCATENATE("Large bulky, extra-large and special handling items",IF($P871&gt;=11,11,$P871)),'[1]REMOVAL FEES'!$E$1:$E$13,0),3))))*$AA871,FALSE)</f>
        <v>0</v>
      </c>
      <c r="AJ871" s="107">
        <f t="shared" si="172"/>
        <v>0</v>
      </c>
      <c r="AK871" s="107">
        <v>0</v>
      </c>
      <c r="AL871" s="107">
        <v>0</v>
      </c>
      <c r="AM871" s="107">
        <f t="shared" si="173"/>
        <v>0</v>
      </c>
      <c r="AN871" s="116">
        <f>(-IF($V871="Yes", IF($X871="Yes", VLOOKUP($W871, '[1]Storage Fees'!A:M, 13, FALSE), VLOOKUP($W871, '[1]Storage Fees'!A:M, 10, FALSE)), IF($X871="Yes", VLOOKUP($W871, '[1]Storage Fees'!A:M, 7, FALSE), VLOOKUP($W871, '[1]Storage Fees'!A:M, 4, FALSE))) * U871)*1.5</f>
        <v>0</v>
      </c>
    </row>
    <row r="872" spans="1:40" x14ac:dyDescent="0.25">
      <c r="A872" s="99">
        <v>800</v>
      </c>
      <c r="B872" s="99"/>
      <c r="C872" s="99" t="s">
        <v>13655</v>
      </c>
      <c r="D872" s="99"/>
      <c r="E872" s="99" t="s">
        <v>278</v>
      </c>
      <c r="F872" s="99" t="s">
        <v>2212</v>
      </c>
      <c r="G872" s="99" t="s">
        <v>13695</v>
      </c>
      <c r="H872" s="99">
        <v>0</v>
      </c>
      <c r="I872" s="99">
        <v>0</v>
      </c>
      <c r="J872" s="99">
        <v>0</v>
      </c>
      <c r="K872" s="101" t="str">
        <f t="shared" si="161"/>
        <v>0x0x0</v>
      </c>
      <c r="L872" s="102">
        <f t="shared" si="162"/>
        <v>0</v>
      </c>
      <c r="M872" s="113">
        <f t="shared" si="163"/>
        <v>0</v>
      </c>
      <c r="N872" s="113">
        <f t="shared" si="164"/>
        <v>0</v>
      </c>
      <c r="O872" s="99">
        <v>0</v>
      </c>
      <c r="P872" s="113">
        <f t="shared" si="165"/>
        <v>0</v>
      </c>
      <c r="Q872" s="112">
        <f t="shared" si="166"/>
        <v>0</v>
      </c>
      <c r="R872" s="112" t="str">
        <f t="shared" si="167"/>
        <v>Standard-size</v>
      </c>
      <c r="S872" s="99" t="str">
        <f t="shared" si="168"/>
        <v>Small standard-size</v>
      </c>
      <c r="T872" s="116" t="s">
        <v>13696</v>
      </c>
      <c r="U872" s="116">
        <f t="shared" si="169"/>
        <v>0</v>
      </c>
      <c r="V872" s="116" t="s">
        <v>13583</v>
      </c>
      <c r="W872" s="116" t="s">
        <v>13690</v>
      </c>
      <c r="X872" s="99" t="s">
        <v>13583</v>
      </c>
      <c r="Y872" s="99">
        <v>1</v>
      </c>
      <c r="Z872" s="99">
        <v>1</v>
      </c>
      <c r="AA872" s="99">
        <v>1</v>
      </c>
      <c r="AB872" s="99"/>
      <c r="AC872" s="99"/>
      <c r="AD872" s="107">
        <v>0</v>
      </c>
      <c r="AE872" s="113">
        <f t="shared" si="170"/>
        <v>0</v>
      </c>
      <c r="AF872" s="116">
        <f>-IFERROR(IFERROR(VLOOKUP(ROUNDUP($Q872,0),'FBA FEES'!$L$2:$Q$203,MATCH($S872,'FBA FEES'!$L$2:$Q$2,0),FALSE),VLOOKUP(ROUNDUP($Q872,0),'FBA FEES'!$C$6:$F$123,MATCH($S872,'FBA FEES'!$C$6:$F$6,0),FALSE)),0)</f>
        <v>0</v>
      </c>
      <c r="AG872" s="116">
        <v>-10</v>
      </c>
      <c r="AH872" s="113">
        <f t="shared" si="171"/>
        <v>0</v>
      </c>
      <c r="AI872" s="116">
        <f>-IFERROR(IF($Y872=1,INDEX('[1]REMOVAL FEES'!$A$1:$C$22,MATCH(CONCATENATE("Standard Size",$P872),'[1]REMOVAL FEES'!$A$1:$A$22,0),3),IF($Y872=2,IF($P872&gt;10,(($P872-10)*1.06)+INDEX('[1]REMOVAL FEES'!$E$1:$G$22,MATCH(CONCATENATE("Large bulky, extra-large and special handling items",IF($P872&gt;=11,11,$P872)),'[1]REMOVAL FEES'!$E$1:$E$13,0),3),INDEX('[1]REMOVAL FEES'!$E$1:$G$22,MATCH(CONCATENATE("Large bulky, extra-large and special handling items",IF($P872&gt;=11,11,$P872)),'[1]REMOVAL FEES'!$E$1:$E$13,0),3))))*$AA872,FALSE)</f>
        <v>0</v>
      </c>
      <c r="AJ872" s="107">
        <f t="shared" si="172"/>
        <v>0</v>
      </c>
      <c r="AK872" s="107">
        <v>0</v>
      </c>
      <c r="AL872" s="107">
        <v>0</v>
      </c>
      <c r="AM872" s="107">
        <f t="shared" si="173"/>
        <v>0</v>
      </c>
      <c r="AN872" s="116">
        <f>(-IF($V872="Yes", IF($X872="Yes", VLOOKUP($W872, '[1]Storage Fees'!A:M, 13, FALSE), VLOOKUP($W872, '[1]Storage Fees'!A:M, 10, FALSE)), IF($X872="Yes", VLOOKUP($W872, '[1]Storage Fees'!A:M, 7, FALSE), VLOOKUP($W872, '[1]Storage Fees'!A:M, 4, FALSE))) * U872)*1.5</f>
        <v>0</v>
      </c>
    </row>
    <row r="873" spans="1:40" x14ac:dyDescent="0.25">
      <c r="A873" s="99">
        <v>801</v>
      </c>
      <c r="B873" s="99"/>
      <c r="C873" s="99" t="s">
        <v>13655</v>
      </c>
      <c r="D873" s="99"/>
      <c r="E873" s="99" t="s">
        <v>278</v>
      </c>
      <c r="F873" s="99" t="s">
        <v>2213</v>
      </c>
      <c r="G873" s="99" t="s">
        <v>13695</v>
      </c>
      <c r="H873" s="99">
        <v>0</v>
      </c>
      <c r="I873" s="99">
        <v>0</v>
      </c>
      <c r="J873" s="99">
        <v>0</v>
      </c>
      <c r="K873" s="101" t="str">
        <f t="shared" si="161"/>
        <v>0x0x0</v>
      </c>
      <c r="L873" s="102">
        <f t="shared" si="162"/>
        <v>0</v>
      </c>
      <c r="M873" s="113">
        <f t="shared" si="163"/>
        <v>0</v>
      </c>
      <c r="N873" s="113">
        <f t="shared" si="164"/>
        <v>0</v>
      </c>
      <c r="O873" s="99">
        <v>0</v>
      </c>
      <c r="P873" s="113">
        <f t="shared" si="165"/>
        <v>0</v>
      </c>
      <c r="Q873" s="112">
        <f t="shared" si="166"/>
        <v>0</v>
      </c>
      <c r="R873" s="112" t="str">
        <f t="shared" si="167"/>
        <v>Standard-size</v>
      </c>
      <c r="S873" s="99" t="str">
        <f t="shared" si="168"/>
        <v>Small standard-size</v>
      </c>
      <c r="T873" s="116" t="s">
        <v>13696</v>
      </c>
      <c r="U873" s="116">
        <f t="shared" si="169"/>
        <v>0</v>
      </c>
      <c r="V873" s="116" t="s">
        <v>13583</v>
      </c>
      <c r="W873" s="116" t="s">
        <v>13690</v>
      </c>
      <c r="X873" s="99" t="s">
        <v>13583</v>
      </c>
      <c r="Y873" s="99">
        <v>1</v>
      </c>
      <c r="Z873" s="99">
        <v>1</v>
      </c>
      <c r="AA873" s="99">
        <v>1</v>
      </c>
      <c r="AB873" s="99"/>
      <c r="AC873" s="99"/>
      <c r="AD873" s="107">
        <v>0</v>
      </c>
      <c r="AE873" s="113">
        <f t="shared" si="170"/>
        <v>0</v>
      </c>
      <c r="AF873" s="116">
        <f>-IFERROR(IFERROR(VLOOKUP(ROUNDUP($Q873,0),'FBA FEES'!$L$2:$Q$203,MATCH($S873,'FBA FEES'!$L$2:$Q$2,0),FALSE),VLOOKUP(ROUNDUP($Q873,0),'FBA FEES'!$C$6:$F$123,MATCH($S873,'FBA FEES'!$C$6:$F$6,0),FALSE)),0)</f>
        <v>0</v>
      </c>
      <c r="AG873" s="116">
        <v>-10</v>
      </c>
      <c r="AH873" s="113">
        <f t="shared" si="171"/>
        <v>0</v>
      </c>
      <c r="AI873" s="116">
        <f>-IFERROR(IF($Y873=1,INDEX('[1]REMOVAL FEES'!$A$1:$C$22,MATCH(CONCATENATE("Standard Size",$P873),'[1]REMOVAL FEES'!$A$1:$A$22,0),3),IF($Y873=2,IF($P873&gt;10,(($P873-10)*1.06)+INDEX('[1]REMOVAL FEES'!$E$1:$G$22,MATCH(CONCATENATE("Large bulky, extra-large and special handling items",IF($P873&gt;=11,11,$P873)),'[1]REMOVAL FEES'!$E$1:$E$13,0),3),INDEX('[1]REMOVAL FEES'!$E$1:$G$22,MATCH(CONCATENATE("Large bulky, extra-large and special handling items",IF($P873&gt;=11,11,$P873)),'[1]REMOVAL FEES'!$E$1:$E$13,0),3))))*$AA873,FALSE)</f>
        <v>0</v>
      </c>
      <c r="AJ873" s="107">
        <f t="shared" si="172"/>
        <v>0</v>
      </c>
      <c r="AK873" s="107">
        <v>0</v>
      </c>
      <c r="AL873" s="107">
        <v>0</v>
      </c>
      <c r="AM873" s="107">
        <f t="shared" si="173"/>
        <v>0</v>
      </c>
      <c r="AN873" s="116">
        <f>(-IF($V873="Yes", IF($X873="Yes", VLOOKUP($W873, '[1]Storage Fees'!A:M, 13, FALSE), VLOOKUP($W873, '[1]Storage Fees'!A:M, 10, FALSE)), IF($X873="Yes", VLOOKUP($W873, '[1]Storage Fees'!A:M, 7, FALSE), VLOOKUP($W873, '[1]Storage Fees'!A:M, 4, FALSE))) * U873)*1.5</f>
        <v>0</v>
      </c>
    </row>
    <row r="874" spans="1:40" x14ac:dyDescent="0.25">
      <c r="A874" s="99">
        <v>802</v>
      </c>
      <c r="B874" s="99"/>
      <c r="C874" s="99" t="s">
        <v>13655</v>
      </c>
      <c r="D874" s="99"/>
      <c r="E874" s="99" t="s">
        <v>278</v>
      </c>
      <c r="F874" s="99" t="s">
        <v>2214</v>
      </c>
      <c r="G874" s="99" t="s">
        <v>13695</v>
      </c>
      <c r="H874" s="99">
        <v>0</v>
      </c>
      <c r="I874" s="99">
        <v>0</v>
      </c>
      <c r="J874" s="99">
        <v>0</v>
      </c>
      <c r="K874" s="101" t="str">
        <f t="shared" si="161"/>
        <v>0x0x0</v>
      </c>
      <c r="L874" s="102">
        <f t="shared" si="162"/>
        <v>0</v>
      </c>
      <c r="M874" s="113">
        <f t="shared" si="163"/>
        <v>0</v>
      </c>
      <c r="N874" s="113">
        <f t="shared" si="164"/>
        <v>0</v>
      </c>
      <c r="O874" s="99">
        <v>0</v>
      </c>
      <c r="P874" s="113">
        <f t="shared" si="165"/>
        <v>0</v>
      </c>
      <c r="Q874" s="112">
        <f t="shared" si="166"/>
        <v>0</v>
      </c>
      <c r="R874" s="112" t="str">
        <f t="shared" si="167"/>
        <v>Standard-size</v>
      </c>
      <c r="S874" s="99" t="str">
        <f t="shared" si="168"/>
        <v>Small standard-size</v>
      </c>
      <c r="T874" s="116" t="s">
        <v>13696</v>
      </c>
      <c r="U874" s="116">
        <f t="shared" si="169"/>
        <v>0</v>
      </c>
      <c r="V874" s="116" t="s">
        <v>13583</v>
      </c>
      <c r="W874" s="116" t="s">
        <v>13690</v>
      </c>
      <c r="X874" s="99" t="s">
        <v>13583</v>
      </c>
      <c r="Y874" s="99">
        <v>1</v>
      </c>
      <c r="Z874" s="99">
        <v>1</v>
      </c>
      <c r="AA874" s="99">
        <v>1</v>
      </c>
      <c r="AB874" s="99"/>
      <c r="AC874" s="99"/>
      <c r="AD874" s="107">
        <v>0</v>
      </c>
      <c r="AE874" s="113">
        <f t="shared" si="170"/>
        <v>0</v>
      </c>
      <c r="AF874" s="116">
        <f>-IFERROR(IFERROR(VLOOKUP(ROUNDUP($Q874,0),'FBA FEES'!$L$2:$Q$203,MATCH($S874,'FBA FEES'!$L$2:$Q$2,0),FALSE),VLOOKUP(ROUNDUP($Q874,0),'FBA FEES'!$C$6:$F$123,MATCH($S874,'FBA FEES'!$C$6:$F$6,0),FALSE)),0)</f>
        <v>0</v>
      </c>
      <c r="AG874" s="116">
        <v>-10</v>
      </c>
      <c r="AH874" s="113">
        <f t="shared" si="171"/>
        <v>0</v>
      </c>
      <c r="AI874" s="116">
        <f>-IFERROR(IF($Y874=1,INDEX('[1]REMOVAL FEES'!$A$1:$C$22,MATCH(CONCATENATE("Standard Size",$P874),'[1]REMOVAL FEES'!$A$1:$A$22,0),3),IF($Y874=2,IF($P874&gt;10,(($P874-10)*1.06)+INDEX('[1]REMOVAL FEES'!$E$1:$G$22,MATCH(CONCATENATE("Large bulky, extra-large and special handling items",IF($P874&gt;=11,11,$P874)),'[1]REMOVAL FEES'!$E$1:$E$13,0),3),INDEX('[1]REMOVAL FEES'!$E$1:$G$22,MATCH(CONCATENATE("Large bulky, extra-large and special handling items",IF($P874&gt;=11,11,$P874)),'[1]REMOVAL FEES'!$E$1:$E$13,0),3))))*$AA874,FALSE)</f>
        <v>0</v>
      </c>
      <c r="AJ874" s="107">
        <f t="shared" si="172"/>
        <v>0</v>
      </c>
      <c r="AK874" s="107">
        <v>0</v>
      </c>
      <c r="AL874" s="107">
        <v>0</v>
      </c>
      <c r="AM874" s="107">
        <f t="shared" si="173"/>
        <v>0</v>
      </c>
      <c r="AN874" s="116">
        <f>(-IF($V874="Yes", IF($X874="Yes", VLOOKUP($W874, '[1]Storage Fees'!A:M, 13, FALSE), VLOOKUP($W874, '[1]Storage Fees'!A:M, 10, FALSE)), IF($X874="Yes", VLOOKUP($W874, '[1]Storage Fees'!A:M, 7, FALSE), VLOOKUP($W874, '[1]Storage Fees'!A:M, 4, FALSE))) * U874)*1.5</f>
        <v>0</v>
      </c>
    </row>
    <row r="875" spans="1:40" x14ac:dyDescent="0.25">
      <c r="A875" s="99">
        <v>803</v>
      </c>
      <c r="B875" s="99"/>
      <c r="C875" s="99" t="s">
        <v>13655</v>
      </c>
      <c r="D875" s="99"/>
      <c r="E875" s="99" t="s">
        <v>278</v>
      </c>
      <c r="F875" s="99" t="s">
        <v>2215</v>
      </c>
      <c r="G875" s="99" t="s">
        <v>13695</v>
      </c>
      <c r="H875" s="99">
        <v>0</v>
      </c>
      <c r="I875" s="99">
        <v>0</v>
      </c>
      <c r="J875" s="99">
        <v>0</v>
      </c>
      <c r="K875" s="101" t="str">
        <f t="shared" si="161"/>
        <v>0x0x0</v>
      </c>
      <c r="L875" s="102">
        <f t="shared" si="162"/>
        <v>0</v>
      </c>
      <c r="M875" s="113">
        <f t="shared" si="163"/>
        <v>0</v>
      </c>
      <c r="N875" s="113">
        <f t="shared" si="164"/>
        <v>0</v>
      </c>
      <c r="O875" s="99">
        <v>0</v>
      </c>
      <c r="P875" s="113">
        <f t="shared" si="165"/>
        <v>0</v>
      </c>
      <c r="Q875" s="112">
        <f t="shared" si="166"/>
        <v>0</v>
      </c>
      <c r="R875" s="112" t="str">
        <f t="shared" si="167"/>
        <v>Standard-size</v>
      </c>
      <c r="S875" s="99" t="str">
        <f t="shared" si="168"/>
        <v>Small standard-size</v>
      </c>
      <c r="T875" s="116" t="s">
        <v>13696</v>
      </c>
      <c r="U875" s="116">
        <f t="shared" si="169"/>
        <v>0</v>
      </c>
      <c r="V875" s="116" t="s">
        <v>13583</v>
      </c>
      <c r="W875" s="116" t="s">
        <v>13690</v>
      </c>
      <c r="X875" s="99" t="s">
        <v>13583</v>
      </c>
      <c r="Y875" s="99">
        <v>1</v>
      </c>
      <c r="Z875" s="99">
        <v>1</v>
      </c>
      <c r="AA875" s="99">
        <v>1</v>
      </c>
      <c r="AB875" s="99"/>
      <c r="AC875" s="99"/>
      <c r="AD875" s="107">
        <v>0</v>
      </c>
      <c r="AE875" s="113">
        <f t="shared" si="170"/>
        <v>0</v>
      </c>
      <c r="AF875" s="116">
        <f>-IFERROR(IFERROR(VLOOKUP(ROUNDUP($Q875,0),'FBA FEES'!$L$2:$Q$203,MATCH($S875,'FBA FEES'!$L$2:$Q$2,0),FALSE),VLOOKUP(ROUNDUP($Q875,0),'FBA FEES'!$C$6:$F$123,MATCH($S875,'FBA FEES'!$C$6:$F$6,0),FALSE)),0)</f>
        <v>0</v>
      </c>
      <c r="AG875" s="116">
        <v>-10</v>
      </c>
      <c r="AH875" s="113">
        <f t="shared" si="171"/>
        <v>0</v>
      </c>
      <c r="AI875" s="116">
        <f>-IFERROR(IF($Y875=1,INDEX('[1]REMOVAL FEES'!$A$1:$C$22,MATCH(CONCATENATE("Standard Size",$P875),'[1]REMOVAL FEES'!$A$1:$A$22,0),3),IF($Y875=2,IF($P875&gt;10,(($P875-10)*1.06)+INDEX('[1]REMOVAL FEES'!$E$1:$G$22,MATCH(CONCATENATE("Large bulky, extra-large and special handling items",IF($P875&gt;=11,11,$P875)),'[1]REMOVAL FEES'!$E$1:$E$13,0),3),INDEX('[1]REMOVAL FEES'!$E$1:$G$22,MATCH(CONCATENATE("Large bulky, extra-large and special handling items",IF($P875&gt;=11,11,$P875)),'[1]REMOVAL FEES'!$E$1:$E$13,0),3))))*$AA875,FALSE)</f>
        <v>0</v>
      </c>
      <c r="AJ875" s="107">
        <f t="shared" si="172"/>
        <v>0</v>
      </c>
      <c r="AK875" s="107">
        <v>0</v>
      </c>
      <c r="AL875" s="107">
        <v>0</v>
      </c>
      <c r="AM875" s="107">
        <f t="shared" si="173"/>
        <v>0</v>
      </c>
      <c r="AN875" s="116">
        <f>(-IF($V875="Yes", IF($X875="Yes", VLOOKUP($W875, '[1]Storage Fees'!A:M, 13, FALSE), VLOOKUP($W875, '[1]Storage Fees'!A:M, 10, FALSE)), IF($X875="Yes", VLOOKUP($W875, '[1]Storage Fees'!A:M, 7, FALSE), VLOOKUP($W875, '[1]Storage Fees'!A:M, 4, FALSE))) * U875)*1.5</f>
        <v>0</v>
      </c>
    </row>
    <row r="876" spans="1:40" x14ac:dyDescent="0.25">
      <c r="A876" s="99">
        <v>804</v>
      </c>
      <c r="B876" s="99"/>
      <c r="C876" s="99" t="s">
        <v>13655</v>
      </c>
      <c r="D876" s="99"/>
      <c r="E876" s="99" t="s">
        <v>278</v>
      </c>
      <c r="F876" s="99" t="s">
        <v>2216</v>
      </c>
      <c r="G876" s="99" t="s">
        <v>13695</v>
      </c>
      <c r="H876" s="99">
        <v>0</v>
      </c>
      <c r="I876" s="99">
        <v>0</v>
      </c>
      <c r="J876" s="99">
        <v>0</v>
      </c>
      <c r="K876" s="101" t="str">
        <f t="shared" si="161"/>
        <v>0x0x0</v>
      </c>
      <c r="L876" s="102">
        <f t="shared" si="162"/>
        <v>0</v>
      </c>
      <c r="M876" s="113">
        <f t="shared" si="163"/>
        <v>0</v>
      </c>
      <c r="N876" s="113">
        <f t="shared" si="164"/>
        <v>0</v>
      </c>
      <c r="O876" s="99">
        <v>0</v>
      </c>
      <c r="P876" s="113">
        <f t="shared" si="165"/>
        <v>0</v>
      </c>
      <c r="Q876" s="112">
        <f t="shared" si="166"/>
        <v>0</v>
      </c>
      <c r="R876" s="112" t="str">
        <f t="shared" si="167"/>
        <v>Standard-size</v>
      </c>
      <c r="S876" s="99" t="str">
        <f t="shared" si="168"/>
        <v>Small standard-size</v>
      </c>
      <c r="T876" s="116" t="s">
        <v>13696</v>
      </c>
      <c r="U876" s="116">
        <f t="shared" si="169"/>
        <v>0</v>
      </c>
      <c r="V876" s="116" t="s">
        <v>13583</v>
      </c>
      <c r="W876" s="116" t="s">
        <v>13690</v>
      </c>
      <c r="X876" s="99" t="s">
        <v>13583</v>
      </c>
      <c r="Y876" s="99">
        <v>1</v>
      </c>
      <c r="Z876" s="99">
        <v>1</v>
      </c>
      <c r="AA876" s="99">
        <v>1</v>
      </c>
      <c r="AB876" s="99"/>
      <c r="AC876" s="99"/>
      <c r="AD876" s="107">
        <v>0</v>
      </c>
      <c r="AE876" s="113">
        <f t="shared" si="170"/>
        <v>0</v>
      </c>
      <c r="AF876" s="116">
        <f>-IFERROR(IFERROR(VLOOKUP(ROUNDUP($Q876,0),'FBA FEES'!$L$2:$Q$203,MATCH($S876,'FBA FEES'!$L$2:$Q$2,0),FALSE),VLOOKUP(ROUNDUP($Q876,0),'FBA FEES'!$C$6:$F$123,MATCH($S876,'FBA FEES'!$C$6:$F$6,0),FALSE)),0)</f>
        <v>0</v>
      </c>
      <c r="AG876" s="116">
        <v>-10</v>
      </c>
      <c r="AH876" s="113">
        <f t="shared" si="171"/>
        <v>0</v>
      </c>
      <c r="AI876" s="116">
        <f>-IFERROR(IF($Y876=1,INDEX('[1]REMOVAL FEES'!$A$1:$C$22,MATCH(CONCATENATE("Standard Size",$P876),'[1]REMOVAL FEES'!$A$1:$A$22,0),3),IF($Y876=2,IF($P876&gt;10,(($P876-10)*1.06)+INDEX('[1]REMOVAL FEES'!$E$1:$G$22,MATCH(CONCATENATE("Large bulky, extra-large and special handling items",IF($P876&gt;=11,11,$P876)),'[1]REMOVAL FEES'!$E$1:$E$13,0),3),INDEX('[1]REMOVAL FEES'!$E$1:$G$22,MATCH(CONCATENATE("Large bulky, extra-large and special handling items",IF($P876&gt;=11,11,$P876)),'[1]REMOVAL FEES'!$E$1:$E$13,0),3))))*$AA876,FALSE)</f>
        <v>0</v>
      </c>
      <c r="AJ876" s="107">
        <f t="shared" si="172"/>
        <v>0</v>
      </c>
      <c r="AK876" s="107">
        <v>0</v>
      </c>
      <c r="AL876" s="107">
        <v>0</v>
      </c>
      <c r="AM876" s="107">
        <f t="shared" si="173"/>
        <v>0</v>
      </c>
      <c r="AN876" s="116">
        <f>(-IF($V876="Yes", IF($X876="Yes", VLOOKUP($W876, '[1]Storage Fees'!A:M, 13, FALSE), VLOOKUP($W876, '[1]Storage Fees'!A:M, 10, FALSE)), IF($X876="Yes", VLOOKUP($W876, '[1]Storage Fees'!A:M, 7, FALSE), VLOOKUP($W876, '[1]Storage Fees'!A:M, 4, FALSE))) * U876)*1.5</f>
        <v>0</v>
      </c>
    </row>
    <row r="877" spans="1:40" x14ac:dyDescent="0.25">
      <c r="A877" s="99">
        <v>805</v>
      </c>
      <c r="B877" s="99"/>
      <c r="C877" s="99" t="s">
        <v>13655</v>
      </c>
      <c r="D877" s="99"/>
      <c r="E877" s="99" t="s">
        <v>278</v>
      </c>
      <c r="F877" s="99" t="s">
        <v>2217</v>
      </c>
      <c r="G877" s="99" t="s">
        <v>13695</v>
      </c>
      <c r="H877" s="99">
        <v>0</v>
      </c>
      <c r="I877" s="99">
        <v>0</v>
      </c>
      <c r="J877" s="99">
        <v>0</v>
      </c>
      <c r="K877" s="101" t="str">
        <f t="shared" si="161"/>
        <v>0x0x0</v>
      </c>
      <c r="L877" s="102">
        <f t="shared" si="162"/>
        <v>0</v>
      </c>
      <c r="M877" s="113">
        <f t="shared" si="163"/>
        <v>0</v>
      </c>
      <c r="N877" s="113">
        <f t="shared" si="164"/>
        <v>0</v>
      </c>
      <c r="O877" s="99">
        <v>0</v>
      </c>
      <c r="P877" s="113">
        <f t="shared" si="165"/>
        <v>0</v>
      </c>
      <c r="Q877" s="112">
        <f t="shared" si="166"/>
        <v>0</v>
      </c>
      <c r="R877" s="112" t="str">
        <f t="shared" si="167"/>
        <v>Standard-size</v>
      </c>
      <c r="S877" s="99" t="str">
        <f t="shared" si="168"/>
        <v>Small standard-size</v>
      </c>
      <c r="T877" s="116" t="s">
        <v>13696</v>
      </c>
      <c r="U877" s="116">
        <f t="shared" si="169"/>
        <v>0</v>
      </c>
      <c r="V877" s="116" t="s">
        <v>13583</v>
      </c>
      <c r="W877" s="116" t="s">
        <v>13690</v>
      </c>
      <c r="X877" s="99" t="s">
        <v>13583</v>
      </c>
      <c r="Y877" s="99">
        <v>1</v>
      </c>
      <c r="Z877" s="99">
        <v>1</v>
      </c>
      <c r="AA877" s="99">
        <v>1</v>
      </c>
      <c r="AB877" s="99"/>
      <c r="AC877" s="99"/>
      <c r="AD877" s="107">
        <v>0</v>
      </c>
      <c r="AE877" s="113">
        <f t="shared" si="170"/>
        <v>0</v>
      </c>
      <c r="AF877" s="116">
        <f>-IFERROR(IFERROR(VLOOKUP(ROUNDUP($Q877,0),'FBA FEES'!$L$2:$Q$203,MATCH($S877,'FBA FEES'!$L$2:$Q$2,0),FALSE),VLOOKUP(ROUNDUP($Q877,0),'FBA FEES'!$C$6:$F$123,MATCH($S877,'FBA FEES'!$C$6:$F$6,0),FALSE)),0)</f>
        <v>0</v>
      </c>
      <c r="AG877" s="116">
        <v>-10</v>
      </c>
      <c r="AH877" s="113">
        <f t="shared" si="171"/>
        <v>0</v>
      </c>
      <c r="AI877" s="116">
        <f>-IFERROR(IF($Y877=1,INDEX('[1]REMOVAL FEES'!$A$1:$C$22,MATCH(CONCATENATE("Standard Size",$P877),'[1]REMOVAL FEES'!$A$1:$A$22,0),3),IF($Y877=2,IF($P877&gt;10,(($P877-10)*1.06)+INDEX('[1]REMOVAL FEES'!$E$1:$G$22,MATCH(CONCATENATE("Large bulky, extra-large and special handling items",IF($P877&gt;=11,11,$P877)),'[1]REMOVAL FEES'!$E$1:$E$13,0),3),INDEX('[1]REMOVAL FEES'!$E$1:$G$22,MATCH(CONCATENATE("Large bulky, extra-large and special handling items",IF($P877&gt;=11,11,$P877)),'[1]REMOVAL FEES'!$E$1:$E$13,0),3))))*$AA877,FALSE)</f>
        <v>0</v>
      </c>
      <c r="AJ877" s="107">
        <f t="shared" si="172"/>
        <v>0</v>
      </c>
      <c r="AK877" s="107">
        <v>0</v>
      </c>
      <c r="AL877" s="107">
        <v>0</v>
      </c>
      <c r="AM877" s="107">
        <f t="shared" si="173"/>
        <v>0</v>
      </c>
      <c r="AN877" s="116">
        <f>(-IF($V877="Yes", IF($X877="Yes", VLOOKUP($W877, '[1]Storage Fees'!A:M, 13, FALSE), VLOOKUP($W877, '[1]Storage Fees'!A:M, 10, FALSE)), IF($X877="Yes", VLOOKUP($W877, '[1]Storage Fees'!A:M, 7, FALSE), VLOOKUP($W877, '[1]Storage Fees'!A:M, 4, FALSE))) * U877)*1.5</f>
        <v>0</v>
      </c>
    </row>
    <row r="878" spans="1:40" x14ac:dyDescent="0.25">
      <c r="A878" s="99">
        <v>806</v>
      </c>
      <c r="B878" s="99"/>
      <c r="C878" s="99" t="s">
        <v>13655</v>
      </c>
      <c r="D878" s="99"/>
      <c r="E878" s="99" t="s">
        <v>278</v>
      </c>
      <c r="F878" s="99" t="s">
        <v>2218</v>
      </c>
      <c r="G878" s="99" t="s">
        <v>13695</v>
      </c>
      <c r="H878" s="99">
        <v>0</v>
      </c>
      <c r="I878" s="99">
        <v>0</v>
      </c>
      <c r="J878" s="99">
        <v>0</v>
      </c>
      <c r="K878" s="101" t="str">
        <f t="shared" si="161"/>
        <v>0x0x0</v>
      </c>
      <c r="L878" s="102">
        <f t="shared" si="162"/>
        <v>0</v>
      </c>
      <c r="M878" s="113">
        <f t="shared" si="163"/>
        <v>0</v>
      </c>
      <c r="N878" s="113">
        <f t="shared" si="164"/>
        <v>0</v>
      </c>
      <c r="O878" s="99">
        <v>0</v>
      </c>
      <c r="P878" s="113">
        <f t="shared" si="165"/>
        <v>0</v>
      </c>
      <c r="Q878" s="112">
        <f t="shared" si="166"/>
        <v>0</v>
      </c>
      <c r="R878" s="112" t="str">
        <f t="shared" si="167"/>
        <v>Standard-size</v>
      </c>
      <c r="S878" s="99" t="str">
        <f t="shared" si="168"/>
        <v>Small standard-size</v>
      </c>
      <c r="T878" s="116" t="s">
        <v>13696</v>
      </c>
      <c r="U878" s="116">
        <f t="shared" si="169"/>
        <v>0</v>
      </c>
      <c r="V878" s="116" t="s">
        <v>13583</v>
      </c>
      <c r="W878" s="116" t="s">
        <v>13690</v>
      </c>
      <c r="X878" s="99" t="s">
        <v>13583</v>
      </c>
      <c r="Y878" s="99">
        <v>1</v>
      </c>
      <c r="Z878" s="99">
        <v>1</v>
      </c>
      <c r="AA878" s="99">
        <v>1</v>
      </c>
      <c r="AB878" s="99"/>
      <c r="AC878" s="99"/>
      <c r="AD878" s="107">
        <v>0</v>
      </c>
      <c r="AE878" s="113">
        <f t="shared" si="170"/>
        <v>0</v>
      </c>
      <c r="AF878" s="116">
        <f>-IFERROR(IFERROR(VLOOKUP(ROUNDUP($Q878,0),'FBA FEES'!$L$2:$Q$203,MATCH($S878,'FBA FEES'!$L$2:$Q$2,0),FALSE),VLOOKUP(ROUNDUP($Q878,0),'FBA FEES'!$C$6:$F$123,MATCH($S878,'FBA FEES'!$C$6:$F$6,0),FALSE)),0)</f>
        <v>0</v>
      </c>
      <c r="AG878" s="116">
        <v>-10</v>
      </c>
      <c r="AH878" s="113">
        <f t="shared" si="171"/>
        <v>0</v>
      </c>
      <c r="AI878" s="116">
        <f>-IFERROR(IF($Y878=1,INDEX('[1]REMOVAL FEES'!$A$1:$C$22,MATCH(CONCATENATE("Standard Size",$P878),'[1]REMOVAL FEES'!$A$1:$A$22,0),3),IF($Y878=2,IF($P878&gt;10,(($P878-10)*1.06)+INDEX('[1]REMOVAL FEES'!$E$1:$G$22,MATCH(CONCATENATE("Large bulky, extra-large and special handling items",IF($P878&gt;=11,11,$P878)),'[1]REMOVAL FEES'!$E$1:$E$13,0),3),INDEX('[1]REMOVAL FEES'!$E$1:$G$22,MATCH(CONCATENATE("Large bulky, extra-large and special handling items",IF($P878&gt;=11,11,$P878)),'[1]REMOVAL FEES'!$E$1:$E$13,0),3))))*$AA878,FALSE)</f>
        <v>0</v>
      </c>
      <c r="AJ878" s="107">
        <f t="shared" si="172"/>
        <v>0</v>
      </c>
      <c r="AK878" s="107">
        <v>0</v>
      </c>
      <c r="AL878" s="107">
        <v>0</v>
      </c>
      <c r="AM878" s="107">
        <f t="shared" si="173"/>
        <v>0</v>
      </c>
      <c r="AN878" s="116">
        <f>(-IF($V878="Yes", IF($X878="Yes", VLOOKUP($W878, '[1]Storage Fees'!A:M, 13, FALSE), VLOOKUP($W878, '[1]Storage Fees'!A:M, 10, FALSE)), IF($X878="Yes", VLOOKUP($W878, '[1]Storage Fees'!A:M, 7, FALSE), VLOOKUP($W878, '[1]Storage Fees'!A:M, 4, FALSE))) * U878)*1.5</f>
        <v>0</v>
      </c>
    </row>
    <row r="879" spans="1:40" x14ac:dyDescent="0.25">
      <c r="A879" s="99">
        <v>807</v>
      </c>
      <c r="B879" s="99"/>
      <c r="C879" s="99" t="s">
        <v>13655</v>
      </c>
      <c r="D879" s="99"/>
      <c r="E879" s="99" t="s">
        <v>278</v>
      </c>
      <c r="F879" s="99" t="s">
        <v>2219</v>
      </c>
      <c r="G879" s="99" t="s">
        <v>13695</v>
      </c>
      <c r="H879" s="99">
        <v>0</v>
      </c>
      <c r="I879" s="99">
        <v>0</v>
      </c>
      <c r="J879" s="99">
        <v>0</v>
      </c>
      <c r="K879" s="101" t="str">
        <f t="shared" si="161"/>
        <v>0x0x0</v>
      </c>
      <c r="L879" s="102">
        <f t="shared" si="162"/>
        <v>0</v>
      </c>
      <c r="M879" s="113">
        <f t="shared" si="163"/>
        <v>0</v>
      </c>
      <c r="N879" s="113">
        <f t="shared" si="164"/>
        <v>0</v>
      </c>
      <c r="O879" s="99">
        <v>0</v>
      </c>
      <c r="P879" s="113">
        <f t="shared" si="165"/>
        <v>0</v>
      </c>
      <c r="Q879" s="112">
        <f t="shared" si="166"/>
        <v>0</v>
      </c>
      <c r="R879" s="112" t="str">
        <f t="shared" si="167"/>
        <v>Standard-size</v>
      </c>
      <c r="S879" s="99" t="str">
        <f t="shared" si="168"/>
        <v>Small standard-size</v>
      </c>
      <c r="T879" s="116" t="s">
        <v>13696</v>
      </c>
      <c r="U879" s="116">
        <f t="shared" si="169"/>
        <v>0</v>
      </c>
      <c r="V879" s="116" t="s">
        <v>13583</v>
      </c>
      <c r="W879" s="116" t="s">
        <v>13690</v>
      </c>
      <c r="X879" s="99" t="s">
        <v>13583</v>
      </c>
      <c r="Y879" s="99">
        <v>1</v>
      </c>
      <c r="Z879" s="99">
        <v>1</v>
      </c>
      <c r="AA879" s="99">
        <v>1</v>
      </c>
      <c r="AB879" s="99"/>
      <c r="AC879" s="99"/>
      <c r="AD879" s="107">
        <v>0</v>
      </c>
      <c r="AE879" s="113">
        <f t="shared" si="170"/>
        <v>0</v>
      </c>
      <c r="AF879" s="116">
        <f>-IFERROR(IFERROR(VLOOKUP(ROUNDUP($Q879,0),'FBA FEES'!$L$2:$Q$203,MATCH($S879,'FBA FEES'!$L$2:$Q$2,0),FALSE),VLOOKUP(ROUNDUP($Q879,0),'FBA FEES'!$C$6:$F$123,MATCH($S879,'FBA FEES'!$C$6:$F$6,0),FALSE)),0)</f>
        <v>0</v>
      </c>
      <c r="AG879" s="116">
        <v>-10</v>
      </c>
      <c r="AH879" s="113">
        <f t="shared" si="171"/>
        <v>0</v>
      </c>
      <c r="AI879" s="116">
        <f>-IFERROR(IF($Y879=1,INDEX('[1]REMOVAL FEES'!$A$1:$C$22,MATCH(CONCATENATE("Standard Size",$P879),'[1]REMOVAL FEES'!$A$1:$A$22,0),3),IF($Y879=2,IF($P879&gt;10,(($P879-10)*1.06)+INDEX('[1]REMOVAL FEES'!$E$1:$G$22,MATCH(CONCATENATE("Large bulky, extra-large and special handling items",IF($P879&gt;=11,11,$P879)),'[1]REMOVAL FEES'!$E$1:$E$13,0),3),INDEX('[1]REMOVAL FEES'!$E$1:$G$22,MATCH(CONCATENATE("Large bulky, extra-large and special handling items",IF($P879&gt;=11,11,$P879)),'[1]REMOVAL FEES'!$E$1:$E$13,0),3))))*$AA879,FALSE)</f>
        <v>0</v>
      </c>
      <c r="AJ879" s="107">
        <f t="shared" si="172"/>
        <v>0</v>
      </c>
      <c r="AK879" s="107">
        <v>0</v>
      </c>
      <c r="AL879" s="107">
        <v>0</v>
      </c>
      <c r="AM879" s="107">
        <f t="shared" si="173"/>
        <v>0</v>
      </c>
      <c r="AN879" s="116">
        <f>(-IF($V879="Yes", IF($X879="Yes", VLOOKUP($W879, '[1]Storage Fees'!A:M, 13, FALSE), VLOOKUP($W879, '[1]Storage Fees'!A:M, 10, FALSE)), IF($X879="Yes", VLOOKUP($W879, '[1]Storage Fees'!A:M, 7, FALSE), VLOOKUP($W879, '[1]Storage Fees'!A:M, 4, FALSE))) * U879)*1.5</f>
        <v>0</v>
      </c>
    </row>
    <row r="880" spans="1:40" x14ac:dyDescent="0.25">
      <c r="A880" s="99">
        <v>808</v>
      </c>
      <c r="B880" s="99"/>
      <c r="C880" s="99" t="s">
        <v>13655</v>
      </c>
      <c r="D880" s="99"/>
      <c r="E880" s="99" t="s">
        <v>278</v>
      </c>
      <c r="F880" s="99" t="s">
        <v>2220</v>
      </c>
      <c r="G880" s="99" t="s">
        <v>13695</v>
      </c>
      <c r="H880" s="99">
        <v>0</v>
      </c>
      <c r="I880" s="99">
        <v>0</v>
      </c>
      <c r="J880" s="99">
        <v>0</v>
      </c>
      <c r="K880" s="101" t="str">
        <f t="shared" si="161"/>
        <v>0x0x0</v>
      </c>
      <c r="L880" s="102">
        <f t="shared" si="162"/>
        <v>0</v>
      </c>
      <c r="M880" s="113">
        <f t="shared" si="163"/>
        <v>0</v>
      </c>
      <c r="N880" s="113">
        <f t="shared" si="164"/>
        <v>0</v>
      </c>
      <c r="O880" s="99">
        <v>0</v>
      </c>
      <c r="P880" s="113">
        <f t="shared" si="165"/>
        <v>0</v>
      </c>
      <c r="Q880" s="112">
        <f t="shared" si="166"/>
        <v>0</v>
      </c>
      <c r="R880" s="112" t="str">
        <f t="shared" si="167"/>
        <v>Standard-size</v>
      </c>
      <c r="S880" s="99" t="str">
        <f t="shared" si="168"/>
        <v>Small standard-size</v>
      </c>
      <c r="T880" s="116" t="s">
        <v>13696</v>
      </c>
      <c r="U880" s="116">
        <f t="shared" si="169"/>
        <v>0</v>
      </c>
      <c r="V880" s="116" t="s">
        <v>13583</v>
      </c>
      <c r="W880" s="116" t="s">
        <v>13690</v>
      </c>
      <c r="X880" s="99" t="s">
        <v>13583</v>
      </c>
      <c r="Y880" s="99">
        <v>1</v>
      </c>
      <c r="Z880" s="99">
        <v>1</v>
      </c>
      <c r="AA880" s="99">
        <v>1</v>
      </c>
      <c r="AB880" s="99"/>
      <c r="AC880" s="99"/>
      <c r="AD880" s="107">
        <v>0</v>
      </c>
      <c r="AE880" s="113">
        <f t="shared" si="170"/>
        <v>0</v>
      </c>
      <c r="AF880" s="116">
        <f>-IFERROR(IFERROR(VLOOKUP(ROUNDUP($Q880,0),'FBA FEES'!$L$2:$Q$203,MATCH($S880,'FBA FEES'!$L$2:$Q$2,0),FALSE),VLOOKUP(ROUNDUP($Q880,0),'FBA FEES'!$C$6:$F$123,MATCH($S880,'FBA FEES'!$C$6:$F$6,0),FALSE)),0)</f>
        <v>0</v>
      </c>
      <c r="AG880" s="116">
        <v>-10</v>
      </c>
      <c r="AH880" s="113">
        <f t="shared" si="171"/>
        <v>0</v>
      </c>
      <c r="AI880" s="116">
        <f>-IFERROR(IF($Y880=1,INDEX('[1]REMOVAL FEES'!$A$1:$C$22,MATCH(CONCATENATE("Standard Size",$P880),'[1]REMOVAL FEES'!$A$1:$A$22,0),3),IF($Y880=2,IF($P880&gt;10,(($P880-10)*1.06)+INDEX('[1]REMOVAL FEES'!$E$1:$G$22,MATCH(CONCATENATE("Large bulky, extra-large and special handling items",IF($P880&gt;=11,11,$P880)),'[1]REMOVAL FEES'!$E$1:$E$13,0),3),INDEX('[1]REMOVAL FEES'!$E$1:$G$22,MATCH(CONCATENATE("Large bulky, extra-large and special handling items",IF($P880&gt;=11,11,$P880)),'[1]REMOVAL FEES'!$E$1:$E$13,0),3))))*$AA880,FALSE)</f>
        <v>0</v>
      </c>
      <c r="AJ880" s="107">
        <f t="shared" si="172"/>
        <v>0</v>
      </c>
      <c r="AK880" s="107">
        <v>0</v>
      </c>
      <c r="AL880" s="107">
        <v>0</v>
      </c>
      <c r="AM880" s="107">
        <f t="shared" si="173"/>
        <v>0</v>
      </c>
      <c r="AN880" s="116">
        <f>(-IF($V880="Yes", IF($X880="Yes", VLOOKUP($W880, '[1]Storage Fees'!A:M, 13, FALSE), VLOOKUP($W880, '[1]Storage Fees'!A:M, 10, FALSE)), IF($X880="Yes", VLOOKUP($W880, '[1]Storage Fees'!A:M, 7, FALSE), VLOOKUP($W880, '[1]Storage Fees'!A:M, 4, FALSE))) * U880)*1.5</f>
        <v>0</v>
      </c>
    </row>
    <row r="881" spans="1:40" x14ac:dyDescent="0.25">
      <c r="A881" s="99">
        <v>809</v>
      </c>
      <c r="B881" s="99"/>
      <c r="C881" s="99" t="s">
        <v>13655</v>
      </c>
      <c r="D881" s="99"/>
      <c r="E881" s="99" t="s">
        <v>278</v>
      </c>
      <c r="F881" s="99" t="s">
        <v>2221</v>
      </c>
      <c r="G881" s="99" t="s">
        <v>13695</v>
      </c>
      <c r="H881" s="99">
        <v>0</v>
      </c>
      <c r="I881" s="99">
        <v>0</v>
      </c>
      <c r="J881" s="99">
        <v>0</v>
      </c>
      <c r="K881" s="101" t="str">
        <f t="shared" si="161"/>
        <v>0x0x0</v>
      </c>
      <c r="L881" s="102">
        <f t="shared" si="162"/>
        <v>0</v>
      </c>
      <c r="M881" s="113">
        <f t="shared" si="163"/>
        <v>0</v>
      </c>
      <c r="N881" s="113">
        <f t="shared" si="164"/>
        <v>0</v>
      </c>
      <c r="O881" s="99">
        <v>0</v>
      </c>
      <c r="P881" s="113">
        <f t="shared" si="165"/>
        <v>0</v>
      </c>
      <c r="Q881" s="112">
        <f t="shared" si="166"/>
        <v>0</v>
      </c>
      <c r="R881" s="112" t="str">
        <f t="shared" si="167"/>
        <v>Standard-size</v>
      </c>
      <c r="S881" s="99" t="str">
        <f t="shared" si="168"/>
        <v>Small standard-size</v>
      </c>
      <c r="T881" s="116" t="s">
        <v>13696</v>
      </c>
      <c r="U881" s="116">
        <f t="shared" si="169"/>
        <v>0</v>
      </c>
      <c r="V881" s="116" t="s">
        <v>13583</v>
      </c>
      <c r="W881" s="116" t="s">
        <v>13690</v>
      </c>
      <c r="X881" s="99" t="s">
        <v>13583</v>
      </c>
      <c r="Y881" s="99">
        <v>1</v>
      </c>
      <c r="Z881" s="99">
        <v>1</v>
      </c>
      <c r="AA881" s="99">
        <v>1</v>
      </c>
      <c r="AB881" s="99"/>
      <c r="AC881" s="99"/>
      <c r="AD881" s="107">
        <v>0</v>
      </c>
      <c r="AE881" s="113">
        <f t="shared" si="170"/>
        <v>0</v>
      </c>
      <c r="AF881" s="116">
        <f>-IFERROR(IFERROR(VLOOKUP(ROUNDUP($Q881,0),'FBA FEES'!$L$2:$Q$203,MATCH($S881,'FBA FEES'!$L$2:$Q$2,0),FALSE),VLOOKUP(ROUNDUP($Q881,0),'FBA FEES'!$C$6:$F$123,MATCH($S881,'FBA FEES'!$C$6:$F$6,0),FALSE)),0)</f>
        <v>0</v>
      </c>
      <c r="AG881" s="116">
        <v>-10</v>
      </c>
      <c r="AH881" s="113">
        <f t="shared" si="171"/>
        <v>0</v>
      </c>
      <c r="AI881" s="116">
        <f>-IFERROR(IF($Y881=1,INDEX('[1]REMOVAL FEES'!$A$1:$C$22,MATCH(CONCATENATE("Standard Size",$P881),'[1]REMOVAL FEES'!$A$1:$A$22,0),3),IF($Y881=2,IF($P881&gt;10,(($P881-10)*1.06)+INDEX('[1]REMOVAL FEES'!$E$1:$G$22,MATCH(CONCATENATE("Large bulky, extra-large and special handling items",IF($P881&gt;=11,11,$P881)),'[1]REMOVAL FEES'!$E$1:$E$13,0),3),INDEX('[1]REMOVAL FEES'!$E$1:$G$22,MATCH(CONCATENATE("Large bulky, extra-large and special handling items",IF($P881&gt;=11,11,$P881)),'[1]REMOVAL FEES'!$E$1:$E$13,0),3))))*$AA881,FALSE)</f>
        <v>0</v>
      </c>
      <c r="AJ881" s="107">
        <f t="shared" si="172"/>
        <v>0</v>
      </c>
      <c r="AK881" s="107">
        <v>0</v>
      </c>
      <c r="AL881" s="107">
        <v>0</v>
      </c>
      <c r="AM881" s="107">
        <f t="shared" si="173"/>
        <v>0</v>
      </c>
      <c r="AN881" s="116">
        <f>(-IF($V881="Yes", IF($X881="Yes", VLOOKUP($W881, '[1]Storage Fees'!A:M, 13, FALSE), VLOOKUP($W881, '[1]Storage Fees'!A:M, 10, FALSE)), IF($X881="Yes", VLOOKUP($W881, '[1]Storage Fees'!A:M, 7, FALSE), VLOOKUP($W881, '[1]Storage Fees'!A:M, 4, FALSE))) * U881)*1.5</f>
        <v>0</v>
      </c>
    </row>
    <row r="882" spans="1:40" x14ac:dyDescent="0.25">
      <c r="A882" s="99">
        <v>810</v>
      </c>
      <c r="B882" s="99"/>
      <c r="C882" s="99" t="s">
        <v>13655</v>
      </c>
      <c r="D882" s="99"/>
      <c r="E882" s="99" t="s">
        <v>278</v>
      </c>
      <c r="F882" s="99" t="s">
        <v>2222</v>
      </c>
      <c r="G882" s="99" t="s">
        <v>13695</v>
      </c>
      <c r="H882" s="99">
        <v>0</v>
      </c>
      <c r="I882" s="99">
        <v>0</v>
      </c>
      <c r="J882" s="99">
        <v>0</v>
      </c>
      <c r="K882" s="101" t="str">
        <f t="shared" si="161"/>
        <v>0x0x0</v>
      </c>
      <c r="L882" s="102">
        <f t="shared" si="162"/>
        <v>0</v>
      </c>
      <c r="M882" s="113">
        <f t="shared" si="163"/>
        <v>0</v>
      </c>
      <c r="N882" s="113">
        <f t="shared" si="164"/>
        <v>0</v>
      </c>
      <c r="O882" s="99">
        <v>0</v>
      </c>
      <c r="P882" s="113">
        <f t="shared" si="165"/>
        <v>0</v>
      </c>
      <c r="Q882" s="112">
        <f t="shared" si="166"/>
        <v>0</v>
      </c>
      <c r="R882" s="112" t="str">
        <f t="shared" si="167"/>
        <v>Standard-size</v>
      </c>
      <c r="S882" s="99" t="str">
        <f t="shared" si="168"/>
        <v>Small standard-size</v>
      </c>
      <c r="T882" s="116" t="s">
        <v>13696</v>
      </c>
      <c r="U882" s="116">
        <f t="shared" si="169"/>
        <v>0</v>
      </c>
      <c r="V882" s="116" t="s">
        <v>13583</v>
      </c>
      <c r="W882" s="116" t="s">
        <v>13690</v>
      </c>
      <c r="X882" s="99" t="s">
        <v>13583</v>
      </c>
      <c r="Y882" s="99">
        <v>1</v>
      </c>
      <c r="Z882" s="99">
        <v>1</v>
      </c>
      <c r="AA882" s="99">
        <v>1</v>
      </c>
      <c r="AB882" s="99"/>
      <c r="AC882" s="99"/>
      <c r="AD882" s="107">
        <v>0</v>
      </c>
      <c r="AE882" s="113">
        <f t="shared" si="170"/>
        <v>0</v>
      </c>
      <c r="AF882" s="116">
        <f>-IFERROR(IFERROR(VLOOKUP(ROUNDUP($Q882,0),'FBA FEES'!$L$2:$Q$203,MATCH($S882,'FBA FEES'!$L$2:$Q$2,0),FALSE),VLOOKUP(ROUNDUP($Q882,0),'FBA FEES'!$C$6:$F$123,MATCH($S882,'FBA FEES'!$C$6:$F$6,0),FALSE)),0)</f>
        <v>0</v>
      </c>
      <c r="AG882" s="116">
        <v>-10</v>
      </c>
      <c r="AH882" s="113">
        <f t="shared" si="171"/>
        <v>0</v>
      </c>
      <c r="AI882" s="116">
        <f>-IFERROR(IF($Y882=1,INDEX('[1]REMOVAL FEES'!$A$1:$C$22,MATCH(CONCATENATE("Standard Size",$P882),'[1]REMOVAL FEES'!$A$1:$A$22,0),3),IF($Y882=2,IF($P882&gt;10,(($P882-10)*1.06)+INDEX('[1]REMOVAL FEES'!$E$1:$G$22,MATCH(CONCATENATE("Large bulky, extra-large and special handling items",IF($P882&gt;=11,11,$P882)),'[1]REMOVAL FEES'!$E$1:$E$13,0),3),INDEX('[1]REMOVAL FEES'!$E$1:$G$22,MATCH(CONCATENATE("Large bulky, extra-large and special handling items",IF($P882&gt;=11,11,$P882)),'[1]REMOVAL FEES'!$E$1:$E$13,0),3))))*$AA882,FALSE)</f>
        <v>0</v>
      </c>
      <c r="AJ882" s="107">
        <f t="shared" si="172"/>
        <v>0</v>
      </c>
      <c r="AK882" s="107">
        <v>0</v>
      </c>
      <c r="AL882" s="107">
        <v>0</v>
      </c>
      <c r="AM882" s="107">
        <f t="shared" si="173"/>
        <v>0</v>
      </c>
      <c r="AN882" s="116">
        <f>(-IF($V882="Yes", IF($X882="Yes", VLOOKUP($W882, '[1]Storage Fees'!A:M, 13, FALSE), VLOOKUP($W882, '[1]Storage Fees'!A:M, 10, FALSE)), IF($X882="Yes", VLOOKUP($W882, '[1]Storage Fees'!A:M, 7, FALSE), VLOOKUP($W882, '[1]Storage Fees'!A:M, 4, FALSE))) * U882)*1.5</f>
        <v>0</v>
      </c>
    </row>
    <row r="883" spans="1:40" x14ac:dyDescent="0.25">
      <c r="A883" s="99">
        <v>811</v>
      </c>
      <c r="B883" s="99"/>
      <c r="C883" s="99" t="s">
        <v>13655</v>
      </c>
      <c r="D883" s="99"/>
      <c r="E883" s="99" t="s">
        <v>278</v>
      </c>
      <c r="F883" s="99" t="s">
        <v>2223</v>
      </c>
      <c r="G883" s="99" t="s">
        <v>13695</v>
      </c>
      <c r="H883" s="99">
        <v>0</v>
      </c>
      <c r="I883" s="99">
        <v>0</v>
      </c>
      <c r="J883" s="99">
        <v>0</v>
      </c>
      <c r="K883" s="101" t="str">
        <f t="shared" si="161"/>
        <v>0x0x0</v>
      </c>
      <c r="L883" s="102">
        <f t="shared" si="162"/>
        <v>0</v>
      </c>
      <c r="M883" s="113">
        <f t="shared" si="163"/>
        <v>0</v>
      </c>
      <c r="N883" s="113">
        <f t="shared" si="164"/>
        <v>0</v>
      </c>
      <c r="O883" s="99">
        <v>0</v>
      </c>
      <c r="P883" s="113">
        <f t="shared" si="165"/>
        <v>0</v>
      </c>
      <c r="Q883" s="112">
        <f t="shared" si="166"/>
        <v>0</v>
      </c>
      <c r="R883" s="112" t="str">
        <f t="shared" si="167"/>
        <v>Standard-size</v>
      </c>
      <c r="S883" s="99" t="str">
        <f t="shared" si="168"/>
        <v>Small standard-size</v>
      </c>
      <c r="T883" s="116" t="s">
        <v>13696</v>
      </c>
      <c r="U883" s="116">
        <f t="shared" si="169"/>
        <v>0</v>
      </c>
      <c r="V883" s="116" t="s">
        <v>13583</v>
      </c>
      <c r="W883" s="116" t="s">
        <v>13690</v>
      </c>
      <c r="X883" s="99" t="s">
        <v>13583</v>
      </c>
      <c r="Y883" s="99">
        <v>1</v>
      </c>
      <c r="Z883" s="99">
        <v>1</v>
      </c>
      <c r="AA883" s="99">
        <v>1</v>
      </c>
      <c r="AB883" s="99"/>
      <c r="AC883" s="99"/>
      <c r="AD883" s="107">
        <v>0</v>
      </c>
      <c r="AE883" s="113">
        <f t="shared" si="170"/>
        <v>0</v>
      </c>
      <c r="AF883" s="116">
        <f>-IFERROR(IFERROR(VLOOKUP(ROUNDUP($Q883,0),'FBA FEES'!$L$2:$Q$203,MATCH($S883,'FBA FEES'!$L$2:$Q$2,0),FALSE),VLOOKUP(ROUNDUP($Q883,0),'FBA FEES'!$C$6:$F$123,MATCH($S883,'FBA FEES'!$C$6:$F$6,0),FALSE)),0)</f>
        <v>0</v>
      </c>
      <c r="AG883" s="116">
        <v>-10</v>
      </c>
      <c r="AH883" s="113">
        <f t="shared" si="171"/>
        <v>0</v>
      </c>
      <c r="AI883" s="116">
        <f>-IFERROR(IF($Y883=1,INDEX('[1]REMOVAL FEES'!$A$1:$C$22,MATCH(CONCATENATE("Standard Size",$P883),'[1]REMOVAL FEES'!$A$1:$A$22,0),3),IF($Y883=2,IF($P883&gt;10,(($P883-10)*1.06)+INDEX('[1]REMOVAL FEES'!$E$1:$G$22,MATCH(CONCATENATE("Large bulky, extra-large and special handling items",IF($P883&gt;=11,11,$P883)),'[1]REMOVAL FEES'!$E$1:$E$13,0),3),INDEX('[1]REMOVAL FEES'!$E$1:$G$22,MATCH(CONCATENATE("Large bulky, extra-large and special handling items",IF($P883&gt;=11,11,$P883)),'[1]REMOVAL FEES'!$E$1:$E$13,0),3))))*$AA883,FALSE)</f>
        <v>0</v>
      </c>
      <c r="AJ883" s="107">
        <f t="shared" si="172"/>
        <v>0</v>
      </c>
      <c r="AK883" s="107">
        <v>0</v>
      </c>
      <c r="AL883" s="107">
        <v>0</v>
      </c>
      <c r="AM883" s="107">
        <f t="shared" si="173"/>
        <v>0</v>
      </c>
      <c r="AN883" s="116">
        <f>(-IF($V883="Yes", IF($X883="Yes", VLOOKUP($W883, '[1]Storage Fees'!A:M, 13, FALSE), VLOOKUP($W883, '[1]Storage Fees'!A:M, 10, FALSE)), IF($X883="Yes", VLOOKUP($W883, '[1]Storage Fees'!A:M, 7, FALSE), VLOOKUP($W883, '[1]Storage Fees'!A:M, 4, FALSE))) * U883)*1.5</f>
        <v>0</v>
      </c>
    </row>
    <row r="884" spans="1:40" x14ac:dyDescent="0.25">
      <c r="A884" s="99">
        <v>812</v>
      </c>
      <c r="B884" s="99"/>
      <c r="C884" s="99" t="s">
        <v>13655</v>
      </c>
      <c r="D884" s="99"/>
      <c r="E884" s="99" t="s">
        <v>278</v>
      </c>
      <c r="F884" s="99" t="s">
        <v>2224</v>
      </c>
      <c r="G884" s="99" t="s">
        <v>13695</v>
      </c>
      <c r="H884" s="99">
        <v>0</v>
      </c>
      <c r="I884" s="99">
        <v>0</v>
      </c>
      <c r="J884" s="99">
        <v>0</v>
      </c>
      <c r="K884" s="101" t="str">
        <f t="shared" si="161"/>
        <v>0x0x0</v>
      </c>
      <c r="L884" s="102">
        <f t="shared" si="162"/>
        <v>0</v>
      </c>
      <c r="M884" s="113">
        <f t="shared" si="163"/>
        <v>0</v>
      </c>
      <c r="N884" s="113">
        <f t="shared" si="164"/>
        <v>0</v>
      </c>
      <c r="O884" s="99">
        <v>0</v>
      </c>
      <c r="P884" s="113">
        <f t="shared" si="165"/>
        <v>0</v>
      </c>
      <c r="Q884" s="112">
        <f t="shared" si="166"/>
        <v>0</v>
      </c>
      <c r="R884" s="112" t="str">
        <f t="shared" si="167"/>
        <v>Standard-size</v>
      </c>
      <c r="S884" s="99" t="str">
        <f t="shared" si="168"/>
        <v>Small standard-size</v>
      </c>
      <c r="T884" s="116" t="s">
        <v>13696</v>
      </c>
      <c r="U884" s="116">
        <f t="shared" si="169"/>
        <v>0</v>
      </c>
      <c r="V884" s="116" t="s">
        <v>13583</v>
      </c>
      <c r="W884" s="116" t="s">
        <v>13690</v>
      </c>
      <c r="X884" s="99" t="s">
        <v>13583</v>
      </c>
      <c r="Y884" s="99">
        <v>1</v>
      </c>
      <c r="Z884" s="99">
        <v>1</v>
      </c>
      <c r="AA884" s="99">
        <v>1</v>
      </c>
      <c r="AB884" s="99"/>
      <c r="AC884" s="99"/>
      <c r="AD884" s="107">
        <v>0</v>
      </c>
      <c r="AE884" s="113">
        <f t="shared" si="170"/>
        <v>0</v>
      </c>
      <c r="AF884" s="116">
        <f>-IFERROR(IFERROR(VLOOKUP(ROUNDUP($Q884,0),'FBA FEES'!$L$2:$Q$203,MATCH($S884,'FBA FEES'!$L$2:$Q$2,0),FALSE),VLOOKUP(ROUNDUP($Q884,0),'FBA FEES'!$C$6:$F$123,MATCH($S884,'FBA FEES'!$C$6:$F$6,0),FALSE)),0)</f>
        <v>0</v>
      </c>
      <c r="AG884" s="116">
        <v>-10</v>
      </c>
      <c r="AH884" s="113">
        <f t="shared" si="171"/>
        <v>0</v>
      </c>
      <c r="AI884" s="116">
        <f>-IFERROR(IF($Y884=1,INDEX('[1]REMOVAL FEES'!$A$1:$C$22,MATCH(CONCATENATE("Standard Size",$P884),'[1]REMOVAL FEES'!$A$1:$A$22,0),3),IF($Y884=2,IF($P884&gt;10,(($P884-10)*1.06)+INDEX('[1]REMOVAL FEES'!$E$1:$G$22,MATCH(CONCATENATE("Large bulky, extra-large and special handling items",IF($P884&gt;=11,11,$P884)),'[1]REMOVAL FEES'!$E$1:$E$13,0),3),INDEX('[1]REMOVAL FEES'!$E$1:$G$22,MATCH(CONCATENATE("Large bulky, extra-large and special handling items",IF($P884&gt;=11,11,$P884)),'[1]REMOVAL FEES'!$E$1:$E$13,0),3))))*$AA884,FALSE)</f>
        <v>0</v>
      </c>
      <c r="AJ884" s="107">
        <f t="shared" si="172"/>
        <v>0</v>
      </c>
      <c r="AK884" s="107">
        <v>0</v>
      </c>
      <c r="AL884" s="107">
        <v>0</v>
      </c>
      <c r="AM884" s="107">
        <f t="shared" si="173"/>
        <v>0</v>
      </c>
      <c r="AN884" s="116">
        <f>(-IF($V884="Yes", IF($X884="Yes", VLOOKUP($W884, '[1]Storage Fees'!A:M, 13, FALSE), VLOOKUP($W884, '[1]Storage Fees'!A:M, 10, FALSE)), IF($X884="Yes", VLOOKUP($W884, '[1]Storage Fees'!A:M, 7, FALSE), VLOOKUP($W884, '[1]Storage Fees'!A:M, 4, FALSE))) * U884)*1.5</f>
        <v>0</v>
      </c>
    </row>
    <row r="885" spans="1:40" x14ac:dyDescent="0.25">
      <c r="A885" s="99">
        <v>813</v>
      </c>
      <c r="B885" s="99"/>
      <c r="C885" s="99" t="s">
        <v>13655</v>
      </c>
      <c r="D885" s="99"/>
      <c r="E885" s="99" t="s">
        <v>278</v>
      </c>
      <c r="F885" s="99" t="s">
        <v>2225</v>
      </c>
      <c r="G885" s="99" t="s">
        <v>13695</v>
      </c>
      <c r="H885" s="99">
        <v>0</v>
      </c>
      <c r="I885" s="99">
        <v>0</v>
      </c>
      <c r="J885" s="99">
        <v>0</v>
      </c>
      <c r="K885" s="101" t="str">
        <f t="shared" si="161"/>
        <v>0x0x0</v>
      </c>
      <c r="L885" s="102">
        <f t="shared" si="162"/>
        <v>0</v>
      </c>
      <c r="M885" s="113">
        <f t="shared" si="163"/>
        <v>0</v>
      </c>
      <c r="N885" s="113">
        <f t="shared" si="164"/>
        <v>0</v>
      </c>
      <c r="O885" s="99">
        <v>0</v>
      </c>
      <c r="P885" s="113">
        <f t="shared" si="165"/>
        <v>0</v>
      </c>
      <c r="Q885" s="112">
        <f t="shared" si="166"/>
        <v>0</v>
      </c>
      <c r="R885" s="112" t="str">
        <f t="shared" si="167"/>
        <v>Standard-size</v>
      </c>
      <c r="S885" s="99" t="str">
        <f t="shared" si="168"/>
        <v>Small standard-size</v>
      </c>
      <c r="T885" s="116" t="s">
        <v>13696</v>
      </c>
      <c r="U885" s="116">
        <f t="shared" si="169"/>
        <v>0</v>
      </c>
      <c r="V885" s="116" t="s">
        <v>13583</v>
      </c>
      <c r="W885" s="116" t="s">
        <v>13690</v>
      </c>
      <c r="X885" s="99" t="s">
        <v>13583</v>
      </c>
      <c r="Y885" s="99">
        <v>1</v>
      </c>
      <c r="Z885" s="99">
        <v>1</v>
      </c>
      <c r="AA885" s="99">
        <v>1</v>
      </c>
      <c r="AB885" s="99"/>
      <c r="AC885" s="99"/>
      <c r="AD885" s="107">
        <v>0</v>
      </c>
      <c r="AE885" s="113">
        <f t="shared" si="170"/>
        <v>0</v>
      </c>
      <c r="AF885" s="116">
        <f>-IFERROR(IFERROR(VLOOKUP(ROUNDUP($Q885,0),'FBA FEES'!$L$2:$Q$203,MATCH($S885,'FBA FEES'!$L$2:$Q$2,0),FALSE),VLOOKUP(ROUNDUP($Q885,0),'FBA FEES'!$C$6:$F$123,MATCH($S885,'FBA FEES'!$C$6:$F$6,0),FALSE)),0)</f>
        <v>0</v>
      </c>
      <c r="AG885" s="116">
        <v>-10</v>
      </c>
      <c r="AH885" s="113">
        <f t="shared" si="171"/>
        <v>0</v>
      </c>
      <c r="AI885" s="116">
        <f>-IFERROR(IF($Y885=1,INDEX('[1]REMOVAL FEES'!$A$1:$C$22,MATCH(CONCATENATE("Standard Size",$P885),'[1]REMOVAL FEES'!$A$1:$A$22,0),3),IF($Y885=2,IF($P885&gt;10,(($P885-10)*1.06)+INDEX('[1]REMOVAL FEES'!$E$1:$G$22,MATCH(CONCATENATE("Large bulky, extra-large and special handling items",IF($P885&gt;=11,11,$P885)),'[1]REMOVAL FEES'!$E$1:$E$13,0),3),INDEX('[1]REMOVAL FEES'!$E$1:$G$22,MATCH(CONCATENATE("Large bulky, extra-large and special handling items",IF($P885&gt;=11,11,$P885)),'[1]REMOVAL FEES'!$E$1:$E$13,0),3))))*$AA885,FALSE)</f>
        <v>0</v>
      </c>
      <c r="AJ885" s="107">
        <f t="shared" si="172"/>
        <v>0</v>
      </c>
      <c r="AK885" s="107">
        <v>0</v>
      </c>
      <c r="AL885" s="107">
        <v>0</v>
      </c>
      <c r="AM885" s="107">
        <f t="shared" si="173"/>
        <v>0</v>
      </c>
      <c r="AN885" s="116">
        <f>(-IF($V885="Yes", IF($X885="Yes", VLOOKUP($W885, '[1]Storage Fees'!A:M, 13, FALSE), VLOOKUP($W885, '[1]Storage Fees'!A:M, 10, FALSE)), IF($X885="Yes", VLOOKUP($W885, '[1]Storage Fees'!A:M, 7, FALSE), VLOOKUP($W885, '[1]Storage Fees'!A:M, 4, FALSE))) * U885)*1.5</f>
        <v>0</v>
      </c>
    </row>
    <row r="886" spans="1:40" x14ac:dyDescent="0.25">
      <c r="A886" s="99">
        <v>814</v>
      </c>
      <c r="B886" s="99" t="s">
        <v>107</v>
      </c>
      <c r="C886" s="99"/>
      <c r="D886" s="99"/>
      <c r="E886" s="99" t="s">
        <v>278</v>
      </c>
      <c r="F886" s="99" t="s">
        <v>534</v>
      </c>
      <c r="G886" s="99" t="s">
        <v>13695</v>
      </c>
      <c r="H886" s="99">
        <v>29</v>
      </c>
      <c r="I886" s="99">
        <v>5</v>
      </c>
      <c r="J886" s="99">
        <v>5</v>
      </c>
      <c r="K886" s="101" t="str">
        <f t="shared" si="161"/>
        <v>29x5x5</v>
      </c>
      <c r="L886" s="102">
        <f t="shared" si="162"/>
        <v>5.2158273381294968</v>
      </c>
      <c r="M886" s="113">
        <f t="shared" si="163"/>
        <v>5.2158273381294968</v>
      </c>
      <c r="N886" s="113">
        <f t="shared" si="164"/>
        <v>6</v>
      </c>
      <c r="O886" s="99">
        <v>11</v>
      </c>
      <c r="P886" s="113">
        <f t="shared" si="165"/>
        <v>11</v>
      </c>
      <c r="Q886" s="112">
        <f t="shared" si="166"/>
        <v>176</v>
      </c>
      <c r="R886" s="112" t="str">
        <f t="shared" si="167"/>
        <v>Oversize</v>
      </c>
      <c r="S886" s="99" t="str">
        <f t="shared" si="168"/>
        <v>Large bulky</v>
      </c>
      <c r="T886" s="116" t="s">
        <v>13692</v>
      </c>
      <c r="U886" s="116">
        <f t="shared" si="169"/>
        <v>0.41956018518518517</v>
      </c>
      <c r="V886" s="116" t="s">
        <v>13583</v>
      </c>
      <c r="W886" s="116" t="s">
        <v>13690</v>
      </c>
      <c r="X886" s="116" t="s">
        <v>13691</v>
      </c>
      <c r="Y886" s="116">
        <v>2</v>
      </c>
      <c r="Z886" s="116">
        <v>3</v>
      </c>
      <c r="AA886" s="116">
        <v>1</v>
      </c>
      <c r="AB886" s="99"/>
      <c r="AC886" s="99"/>
      <c r="AD886" s="107">
        <v>53.545555555555559</v>
      </c>
      <c r="AE886" s="113">
        <f t="shared" si="170"/>
        <v>-8.0318333333333332</v>
      </c>
      <c r="AF886" s="116">
        <f>-IFERROR(IFERROR(VLOOKUP(ROUNDUP($Q886,0),'FBA FEES'!$L$2:$Q$203,MATCH($S886,'FBA FEES'!$L$2:$Q$2,0),FALSE),VLOOKUP(ROUNDUP($Q886,0),'FBA FEES'!$C$6:$F$123,MATCH($S886,'FBA FEES'!$C$6:$F$6,0),FALSE)),0)</f>
        <v>-13.41</v>
      </c>
      <c r="AG886" s="116">
        <v>-10</v>
      </c>
      <c r="AH886" s="113">
        <f t="shared" si="171"/>
        <v>-21.441833333333335</v>
      </c>
      <c r="AI886" s="116">
        <f>-IFERROR(IF($Y886=1,INDEX('[1]REMOVAL FEES'!$A$1:$C$22,MATCH(CONCATENATE("Standard Size",$P886),'[1]REMOVAL FEES'!$A$1:$A$22,0),3),IF($Y886=2,IF($P886&gt;10,(($P886-10)*1.06)+INDEX('[1]REMOVAL FEES'!$E$1:$G$22,MATCH(CONCATENATE("Large bulky, extra-large and special handling items",IF($P886&gt;=11,11,$P886)),'[1]REMOVAL FEES'!$E$1:$E$13,0),3),INDEX('[1]REMOVAL FEES'!$E$1:$G$22,MATCH(CONCATENATE("Large bulky, extra-large and special handling items",IF($P886&gt;=11,11,$P886)),'[1]REMOVAL FEES'!$E$1:$E$13,0),3))))*$AA886,FALSE)</f>
        <v>-15.38</v>
      </c>
      <c r="AJ886" s="107">
        <f t="shared" si="172"/>
        <v>-36.821833333333338</v>
      </c>
      <c r="AK886" s="107">
        <v>-20</v>
      </c>
      <c r="AL886" s="107">
        <v>-10.562049382716051</v>
      </c>
      <c r="AM886" s="107">
        <f t="shared" si="173"/>
        <v>-30.562049382716051</v>
      </c>
      <c r="AN886" s="116">
        <f>(-IF($V886="Yes", IF($X886="Yes", VLOOKUP($W886, '[1]Storage Fees'!A:M, 13, FALSE), VLOOKUP($W886, '[1]Storage Fees'!A:M, 10, FALSE)), IF($X886="Yes", VLOOKUP($W886, '[1]Storage Fees'!A:M, 7, FALSE), VLOOKUP($W886, '[1]Storage Fees'!A:M, 4, FALSE))) * U886)*1.5</f>
        <v>-0.49717881944444442</v>
      </c>
    </row>
    <row r="887" spans="1:40" x14ac:dyDescent="0.25">
      <c r="A887" s="99">
        <v>815</v>
      </c>
      <c r="B887" s="99" t="s">
        <v>107</v>
      </c>
      <c r="C887" s="99"/>
      <c r="D887" s="99"/>
      <c r="E887" s="99" t="s">
        <v>278</v>
      </c>
      <c r="F887" s="99" t="s">
        <v>536</v>
      </c>
      <c r="G887" s="99" t="s">
        <v>13695</v>
      </c>
      <c r="H887" s="99">
        <v>46</v>
      </c>
      <c r="I887" s="99">
        <v>5</v>
      </c>
      <c r="J887" s="99">
        <v>5</v>
      </c>
      <c r="K887" s="101" t="str">
        <f t="shared" si="161"/>
        <v>46x5x5</v>
      </c>
      <c r="L887" s="102">
        <f t="shared" si="162"/>
        <v>8.2733812949640289</v>
      </c>
      <c r="M887" s="113">
        <f t="shared" si="163"/>
        <v>8.2733812949640289</v>
      </c>
      <c r="N887" s="113">
        <f t="shared" si="164"/>
        <v>9</v>
      </c>
      <c r="O887" s="99">
        <v>19</v>
      </c>
      <c r="P887" s="113">
        <f t="shared" si="165"/>
        <v>19</v>
      </c>
      <c r="Q887" s="112">
        <f t="shared" si="166"/>
        <v>304</v>
      </c>
      <c r="R887" s="112" t="str">
        <f t="shared" si="167"/>
        <v>Oversize</v>
      </c>
      <c r="S887" s="99" t="str">
        <f t="shared" si="168"/>
        <v>Large bulky</v>
      </c>
      <c r="T887" s="116" t="s">
        <v>13692</v>
      </c>
      <c r="U887" s="116">
        <f t="shared" si="169"/>
        <v>0.6655092592592593</v>
      </c>
      <c r="V887" s="116" t="s">
        <v>13583</v>
      </c>
      <c r="W887" s="116" t="s">
        <v>13690</v>
      </c>
      <c r="X887" s="116" t="s">
        <v>13691</v>
      </c>
      <c r="Y887" s="116">
        <v>2</v>
      </c>
      <c r="Z887" s="116">
        <v>3</v>
      </c>
      <c r="AA887" s="116">
        <v>1</v>
      </c>
      <c r="AB887" s="99"/>
      <c r="AC887" s="99"/>
      <c r="AD887" s="107">
        <v>59.49</v>
      </c>
      <c r="AE887" s="113">
        <f t="shared" si="170"/>
        <v>-8.9235000000000007</v>
      </c>
      <c r="AF887" s="116">
        <f>-IFERROR(IFERROR(VLOOKUP(ROUNDUP($Q887,0),'FBA FEES'!$L$2:$Q$203,MATCH($S887,'FBA FEES'!$L$2:$Q$2,0),FALSE),VLOOKUP(ROUNDUP($Q887,0),'FBA FEES'!$C$6:$F$123,MATCH($S887,'FBA FEES'!$C$6:$F$6,0),FALSE)),0)</f>
        <v>-16.45</v>
      </c>
      <c r="AG887" s="116">
        <v>-10</v>
      </c>
      <c r="AH887" s="113">
        <f t="shared" si="171"/>
        <v>-25.3735</v>
      </c>
      <c r="AI887" s="116">
        <f>-IFERROR(IF($Y887=1,INDEX('[1]REMOVAL FEES'!$A$1:$C$22,MATCH(CONCATENATE("Standard Size",$P887),'[1]REMOVAL FEES'!$A$1:$A$22,0),3),IF($Y887=2,IF($P887&gt;10,(($P887-10)*1.06)+INDEX('[1]REMOVAL FEES'!$E$1:$G$22,MATCH(CONCATENATE("Large bulky, extra-large and special handling items",IF($P887&gt;=11,11,$P887)),'[1]REMOVAL FEES'!$E$1:$E$13,0),3),INDEX('[1]REMOVAL FEES'!$E$1:$G$22,MATCH(CONCATENATE("Large bulky, extra-large and special handling items",IF($P887&gt;=11,11,$P887)),'[1]REMOVAL FEES'!$E$1:$E$13,0),3))))*$AA887,FALSE)</f>
        <v>-23.86</v>
      </c>
      <c r="AJ887" s="107">
        <f t="shared" si="172"/>
        <v>-49.233499999999999</v>
      </c>
      <c r="AK887" s="107">
        <v>-29</v>
      </c>
      <c r="AL887" s="107">
        <v>-10.526999999999999</v>
      </c>
      <c r="AM887" s="107">
        <f t="shared" si="173"/>
        <v>-39.527000000000001</v>
      </c>
      <c r="AN887" s="116">
        <f>(-IF($V887="Yes", IF($X887="Yes", VLOOKUP($W887, '[1]Storage Fees'!A:M, 13, FALSE), VLOOKUP($W887, '[1]Storage Fees'!A:M, 10, FALSE)), IF($X887="Yes", VLOOKUP($W887, '[1]Storage Fees'!A:M, 7, FALSE), VLOOKUP($W887, '[1]Storage Fees'!A:M, 4, FALSE))) * U887)*1.5</f>
        <v>-0.78862847222222232</v>
      </c>
    </row>
    <row r="888" spans="1:40" x14ac:dyDescent="0.25">
      <c r="A888" s="99">
        <v>816</v>
      </c>
      <c r="B888" s="99" t="s">
        <v>107</v>
      </c>
      <c r="C888" s="99"/>
      <c r="D888" s="99"/>
      <c r="E888" s="99" t="s">
        <v>278</v>
      </c>
      <c r="F888" s="99" t="s">
        <v>538</v>
      </c>
      <c r="G888" s="99" t="s">
        <v>13695</v>
      </c>
      <c r="H888" s="99">
        <v>10</v>
      </c>
      <c r="I888" s="99">
        <v>9</v>
      </c>
      <c r="J888" s="99">
        <v>9</v>
      </c>
      <c r="K888" s="101" t="str">
        <f t="shared" si="161"/>
        <v>10x9x9</v>
      </c>
      <c r="L888" s="102">
        <f t="shared" si="162"/>
        <v>5.8273381294964031</v>
      </c>
      <c r="M888" s="113">
        <f t="shared" si="163"/>
        <v>5.8273381294964031</v>
      </c>
      <c r="N888" s="113">
        <f t="shared" si="164"/>
        <v>6</v>
      </c>
      <c r="O888" s="99">
        <v>6</v>
      </c>
      <c r="P888" s="113">
        <f t="shared" si="165"/>
        <v>6</v>
      </c>
      <c r="Q888" s="112">
        <f t="shared" si="166"/>
        <v>96</v>
      </c>
      <c r="R888" s="112" t="str">
        <f t="shared" si="167"/>
        <v>Oversize</v>
      </c>
      <c r="S888" s="99" t="str">
        <f t="shared" si="168"/>
        <v>Large bulky</v>
      </c>
      <c r="T888" s="116" t="s">
        <v>13692</v>
      </c>
      <c r="U888" s="116">
        <f t="shared" si="169"/>
        <v>0.46875</v>
      </c>
      <c r="V888" s="116" t="s">
        <v>13583</v>
      </c>
      <c r="W888" s="116" t="s">
        <v>13690</v>
      </c>
      <c r="X888" s="116" t="s">
        <v>13691</v>
      </c>
      <c r="Y888" s="116">
        <v>2</v>
      </c>
      <c r="Z888" s="116">
        <v>3</v>
      </c>
      <c r="AA888" s="116">
        <v>1</v>
      </c>
      <c r="AB888" s="99"/>
      <c r="AC888" s="99"/>
      <c r="AD888" s="107">
        <v>35.99</v>
      </c>
      <c r="AE888" s="113">
        <f t="shared" si="170"/>
        <v>-5.3985000000000003</v>
      </c>
      <c r="AF888" s="116">
        <f>-IFERROR(IFERROR(VLOOKUP(ROUNDUP($Q888,0),'FBA FEES'!$L$2:$Q$203,MATCH($S888,'FBA FEES'!$L$2:$Q$2,0),FALSE),VLOOKUP(ROUNDUP($Q888,0),'FBA FEES'!$C$6:$F$123,MATCH($S888,'FBA FEES'!$C$6:$F$6,0),FALSE)),0)</f>
        <v>-11.51</v>
      </c>
      <c r="AG888" s="116">
        <v>-10</v>
      </c>
      <c r="AH888" s="113">
        <f t="shared" si="171"/>
        <v>-16.9085</v>
      </c>
      <c r="AI888" s="116">
        <f>-IFERROR(IF($Y888=1,INDEX('[1]REMOVAL FEES'!$A$1:$C$22,MATCH(CONCATENATE("Standard Size",$P888),'[1]REMOVAL FEES'!$A$1:$A$22,0),3),IF($Y888=2,IF($P888&gt;10,(($P888-10)*1.06)+INDEX('[1]REMOVAL FEES'!$E$1:$G$22,MATCH(CONCATENATE("Large bulky, extra-large and special handling items",IF($P888&gt;=11,11,$P888)),'[1]REMOVAL FEES'!$E$1:$E$13,0),3),INDEX('[1]REMOVAL FEES'!$E$1:$G$22,MATCH(CONCATENATE("Large bulky, extra-large and special handling items",IF($P888&gt;=11,11,$P888)),'[1]REMOVAL FEES'!$E$1:$E$13,0),3))))*$AA888,FALSE)</f>
        <v>-10.039999999999999</v>
      </c>
      <c r="AJ888" s="107">
        <f t="shared" si="172"/>
        <v>-26.948499999999999</v>
      </c>
      <c r="AK888" s="107">
        <v>-14</v>
      </c>
      <c r="AL888" s="107">
        <v>-6.987333333333333</v>
      </c>
      <c r="AM888" s="107">
        <f t="shared" si="173"/>
        <v>-20.987333333333332</v>
      </c>
      <c r="AN888" s="116">
        <f>(-IF($V888="Yes", IF($X888="Yes", VLOOKUP($W888, '[1]Storage Fees'!A:M, 13, FALSE), VLOOKUP($W888, '[1]Storage Fees'!A:M, 10, FALSE)), IF($X888="Yes", VLOOKUP($W888, '[1]Storage Fees'!A:M, 7, FALSE), VLOOKUP($W888, '[1]Storage Fees'!A:M, 4, FALSE))) * U888)*1.5</f>
        <v>-0.55546875000000007</v>
      </c>
    </row>
    <row r="889" spans="1:40" x14ac:dyDescent="0.25">
      <c r="A889" s="99">
        <v>817</v>
      </c>
      <c r="B889" s="99" t="s">
        <v>13699</v>
      </c>
      <c r="C889" s="99" t="s">
        <v>13655</v>
      </c>
      <c r="D889" s="99" t="s">
        <v>1474</v>
      </c>
      <c r="E889" s="99" t="s">
        <v>278</v>
      </c>
      <c r="F889" s="99" t="s">
        <v>1472</v>
      </c>
      <c r="G889" s="99" t="s">
        <v>13695</v>
      </c>
      <c r="H889" s="99">
        <v>25</v>
      </c>
      <c r="I889" s="99">
        <v>25</v>
      </c>
      <c r="J889" s="99">
        <v>3</v>
      </c>
      <c r="K889" s="101" t="str">
        <f t="shared" si="161"/>
        <v>25x25x3</v>
      </c>
      <c r="L889" s="102">
        <f t="shared" si="162"/>
        <v>13.489208633093526</v>
      </c>
      <c r="M889" s="113">
        <f t="shared" si="163"/>
        <v>13.489208633093526</v>
      </c>
      <c r="N889" s="113">
        <f t="shared" si="164"/>
        <v>14</v>
      </c>
      <c r="O889" s="99">
        <v>12</v>
      </c>
      <c r="P889" s="113">
        <f t="shared" si="165"/>
        <v>14</v>
      </c>
      <c r="Q889" s="112">
        <f t="shared" si="166"/>
        <v>224</v>
      </c>
      <c r="R889" s="112" t="str">
        <f t="shared" si="167"/>
        <v>Oversize</v>
      </c>
      <c r="S889" s="99" t="str">
        <f t="shared" si="168"/>
        <v>Large bulky</v>
      </c>
      <c r="T889" s="116" t="s">
        <v>13692</v>
      </c>
      <c r="U889" s="116">
        <f t="shared" si="169"/>
        <v>1.0850694444444444</v>
      </c>
      <c r="V889" s="116" t="s">
        <v>13583</v>
      </c>
      <c r="W889" s="116" t="s">
        <v>13690</v>
      </c>
      <c r="X889" s="116" t="s">
        <v>13691</v>
      </c>
      <c r="Y889" s="116">
        <v>2</v>
      </c>
      <c r="Z889" s="116">
        <v>3</v>
      </c>
      <c r="AA889" s="116">
        <v>1</v>
      </c>
      <c r="AB889" s="99"/>
      <c r="AC889" s="99"/>
      <c r="AD889" s="107">
        <v>70.934074074074076</v>
      </c>
      <c r="AE889" s="113">
        <f t="shared" si="170"/>
        <v>-10.640111111111111</v>
      </c>
      <c r="AF889" s="116">
        <f>-IFERROR(IFERROR(VLOOKUP(ROUNDUP($Q889,0),'FBA FEES'!$L$2:$Q$203,MATCH($S889,'FBA FEES'!$L$2:$Q$2,0),FALSE),VLOOKUP(ROUNDUP($Q889,0),'FBA FEES'!$C$6:$F$123,MATCH($S889,'FBA FEES'!$C$6:$F$6,0),FALSE)),0)</f>
        <v>-14.55</v>
      </c>
      <c r="AG889" s="116">
        <v>-10</v>
      </c>
      <c r="AH889" s="113">
        <f t="shared" si="171"/>
        <v>-25.190111111111111</v>
      </c>
      <c r="AI889" s="116">
        <f>-IFERROR(IF($Y889=1,INDEX('[1]REMOVAL FEES'!$A$1:$C$22,MATCH(CONCATENATE("Standard Size",$P889),'[1]REMOVAL FEES'!$A$1:$A$22,0),3),IF($Y889=2,IF($P889&gt;10,(($P889-10)*1.06)+INDEX('[1]REMOVAL FEES'!$E$1:$G$22,MATCH(CONCATENATE("Large bulky, extra-large and special handling items",IF($P889&gt;=11,11,$P889)),'[1]REMOVAL FEES'!$E$1:$E$13,0),3),INDEX('[1]REMOVAL FEES'!$E$1:$G$22,MATCH(CONCATENATE("Large bulky, extra-large and special handling items",IF($P889&gt;=11,11,$P889)),'[1]REMOVAL FEES'!$E$1:$E$13,0),3))))*$AA889,FALSE)</f>
        <v>-18.560000000000002</v>
      </c>
      <c r="AJ889" s="107">
        <f t="shared" si="172"/>
        <v>-43.75011111111111</v>
      </c>
      <c r="AK889" s="107">
        <v>-28.5</v>
      </c>
      <c r="AL889" s="107">
        <v>-8.3337378794045467</v>
      </c>
      <c r="AM889" s="107">
        <f t="shared" si="173"/>
        <v>-36.833737879404545</v>
      </c>
      <c r="AN889" s="116">
        <f>(-IF($V889="Yes", IF($X889="Yes", VLOOKUP($W889, '[1]Storage Fees'!A:M, 13, FALSE), VLOOKUP($W889, '[1]Storage Fees'!A:M, 10, FALSE)), IF($X889="Yes", VLOOKUP($W889, '[1]Storage Fees'!A:M, 7, FALSE), VLOOKUP($W889, '[1]Storage Fees'!A:M, 4, FALSE))) * U889)*1.5</f>
        <v>-1.2858072916666667</v>
      </c>
    </row>
    <row r="890" spans="1:40" x14ac:dyDescent="0.25">
      <c r="A890" s="99">
        <v>818</v>
      </c>
      <c r="B890" s="99" t="s">
        <v>107</v>
      </c>
      <c r="C890" s="99"/>
      <c r="D890" s="99"/>
      <c r="E890" s="99" t="s">
        <v>386</v>
      </c>
      <c r="F890" s="99" t="s">
        <v>540</v>
      </c>
      <c r="G890" s="99" t="s">
        <v>13695</v>
      </c>
      <c r="H890" s="99">
        <v>0</v>
      </c>
      <c r="I890" s="99">
        <v>0</v>
      </c>
      <c r="J890" s="99">
        <v>0</v>
      </c>
      <c r="K890" s="101" t="str">
        <f t="shared" si="161"/>
        <v>0x0x0</v>
      </c>
      <c r="L890" s="102">
        <f t="shared" si="162"/>
        <v>0</v>
      </c>
      <c r="M890" s="113">
        <f t="shared" si="163"/>
        <v>0</v>
      </c>
      <c r="N890" s="113">
        <f t="shared" si="164"/>
        <v>0</v>
      </c>
      <c r="O890" s="99">
        <v>0</v>
      </c>
      <c r="P890" s="113">
        <f t="shared" si="165"/>
        <v>0</v>
      </c>
      <c r="Q890" s="112">
        <f t="shared" si="166"/>
        <v>0</v>
      </c>
      <c r="R890" s="112" t="str">
        <f t="shared" si="167"/>
        <v>Standard-size</v>
      </c>
      <c r="S890" s="99" t="str">
        <f t="shared" si="168"/>
        <v>Small standard-size</v>
      </c>
      <c r="T890" s="116" t="s">
        <v>13696</v>
      </c>
      <c r="U890" s="116">
        <f t="shared" si="169"/>
        <v>0</v>
      </c>
      <c r="V890" s="116" t="s">
        <v>13583</v>
      </c>
      <c r="W890" s="116" t="s">
        <v>13690</v>
      </c>
      <c r="X890" s="99" t="s">
        <v>13583</v>
      </c>
      <c r="Y890" s="99">
        <v>1</v>
      </c>
      <c r="Z890" s="99">
        <v>1</v>
      </c>
      <c r="AA890" s="99">
        <v>1</v>
      </c>
      <c r="AB890" s="99"/>
      <c r="AC890" s="99"/>
      <c r="AD890" s="107">
        <v>0</v>
      </c>
      <c r="AE890" s="113">
        <f t="shared" si="170"/>
        <v>0</v>
      </c>
      <c r="AF890" s="116">
        <f>-IFERROR(IFERROR(VLOOKUP(ROUNDUP($Q890,0),'FBA FEES'!$L$2:$Q$203,MATCH($S890,'FBA FEES'!$L$2:$Q$2,0),FALSE),VLOOKUP(ROUNDUP($Q890,0),'FBA FEES'!$C$6:$F$123,MATCH($S890,'FBA FEES'!$C$6:$F$6,0),FALSE)),0)</f>
        <v>0</v>
      </c>
      <c r="AG890" s="116">
        <v>-10</v>
      </c>
      <c r="AH890" s="113">
        <f t="shared" si="171"/>
        <v>0</v>
      </c>
      <c r="AI890" s="116">
        <f>-IFERROR(IF($Y890=1,INDEX('[1]REMOVAL FEES'!$A$1:$C$22,MATCH(CONCATENATE("Standard Size",$P890),'[1]REMOVAL FEES'!$A$1:$A$22,0),3),IF($Y890=2,IF($P890&gt;10,(($P890-10)*1.06)+INDEX('[1]REMOVAL FEES'!$E$1:$G$22,MATCH(CONCATENATE("Large bulky, extra-large and special handling items",IF($P890&gt;=11,11,$P890)),'[1]REMOVAL FEES'!$E$1:$E$13,0),3),INDEX('[1]REMOVAL FEES'!$E$1:$G$22,MATCH(CONCATENATE("Large bulky, extra-large and special handling items",IF($P890&gt;=11,11,$P890)),'[1]REMOVAL FEES'!$E$1:$E$13,0),3))))*$AA890,FALSE)</f>
        <v>0</v>
      </c>
      <c r="AJ890" s="107">
        <f t="shared" si="172"/>
        <v>0</v>
      </c>
      <c r="AK890" s="107">
        <v>0</v>
      </c>
      <c r="AL890" s="107">
        <v>0</v>
      </c>
      <c r="AM890" s="107">
        <f t="shared" si="173"/>
        <v>0</v>
      </c>
      <c r="AN890" s="116">
        <f>(-IF($V890="Yes", IF($X890="Yes", VLOOKUP($W890, '[1]Storage Fees'!A:M, 13, FALSE), VLOOKUP($W890, '[1]Storage Fees'!A:M, 10, FALSE)), IF($X890="Yes", VLOOKUP($W890, '[1]Storage Fees'!A:M, 7, FALSE), VLOOKUP($W890, '[1]Storage Fees'!A:M, 4, FALSE))) * U890)*1.5</f>
        <v>0</v>
      </c>
    </row>
    <row r="891" spans="1:40" x14ac:dyDescent="0.25">
      <c r="A891" s="99">
        <v>819</v>
      </c>
      <c r="B891" s="99" t="s">
        <v>107</v>
      </c>
      <c r="C891" s="99"/>
      <c r="D891" s="99"/>
      <c r="E891" s="99" t="s">
        <v>386</v>
      </c>
      <c r="F891" s="99" t="s">
        <v>541</v>
      </c>
      <c r="G891" s="99" t="s">
        <v>13695</v>
      </c>
      <c r="H891" s="99">
        <v>0</v>
      </c>
      <c r="I891" s="99">
        <v>0</v>
      </c>
      <c r="J891" s="99">
        <v>0</v>
      </c>
      <c r="K891" s="101" t="str">
        <f t="shared" si="161"/>
        <v>0x0x0</v>
      </c>
      <c r="L891" s="102">
        <f t="shared" si="162"/>
        <v>0</v>
      </c>
      <c r="M891" s="113">
        <f t="shared" si="163"/>
        <v>0</v>
      </c>
      <c r="N891" s="113">
        <f t="shared" si="164"/>
        <v>0</v>
      </c>
      <c r="O891" s="99">
        <v>0</v>
      </c>
      <c r="P891" s="113">
        <f t="shared" si="165"/>
        <v>0</v>
      </c>
      <c r="Q891" s="112">
        <f t="shared" si="166"/>
        <v>0</v>
      </c>
      <c r="R891" s="112" t="str">
        <f t="shared" si="167"/>
        <v>Standard-size</v>
      </c>
      <c r="S891" s="99" t="str">
        <f t="shared" si="168"/>
        <v>Small standard-size</v>
      </c>
      <c r="T891" s="116" t="s">
        <v>13696</v>
      </c>
      <c r="U891" s="116">
        <f t="shared" si="169"/>
        <v>0</v>
      </c>
      <c r="V891" s="116" t="s">
        <v>13583</v>
      </c>
      <c r="W891" s="116" t="s">
        <v>13690</v>
      </c>
      <c r="X891" s="99" t="s">
        <v>13583</v>
      </c>
      <c r="Y891" s="99">
        <v>1</v>
      </c>
      <c r="Z891" s="99">
        <v>1</v>
      </c>
      <c r="AA891" s="99">
        <v>1</v>
      </c>
      <c r="AB891" s="99"/>
      <c r="AC891" s="99"/>
      <c r="AD891" s="107">
        <v>0</v>
      </c>
      <c r="AE891" s="113">
        <f t="shared" si="170"/>
        <v>0</v>
      </c>
      <c r="AF891" s="116">
        <f>-IFERROR(IFERROR(VLOOKUP(ROUNDUP($Q891,0),'FBA FEES'!$L$2:$Q$203,MATCH($S891,'FBA FEES'!$L$2:$Q$2,0),FALSE),VLOOKUP(ROUNDUP($Q891,0),'FBA FEES'!$C$6:$F$123,MATCH($S891,'FBA FEES'!$C$6:$F$6,0),FALSE)),0)</f>
        <v>0</v>
      </c>
      <c r="AG891" s="116">
        <v>-10</v>
      </c>
      <c r="AH891" s="113">
        <f t="shared" si="171"/>
        <v>0</v>
      </c>
      <c r="AI891" s="116">
        <f>-IFERROR(IF($Y891=1,INDEX('[1]REMOVAL FEES'!$A$1:$C$22,MATCH(CONCATENATE("Standard Size",$P891),'[1]REMOVAL FEES'!$A$1:$A$22,0),3),IF($Y891=2,IF($P891&gt;10,(($P891-10)*1.06)+INDEX('[1]REMOVAL FEES'!$E$1:$G$22,MATCH(CONCATENATE("Large bulky, extra-large and special handling items",IF($P891&gt;=11,11,$P891)),'[1]REMOVAL FEES'!$E$1:$E$13,0),3),INDEX('[1]REMOVAL FEES'!$E$1:$G$22,MATCH(CONCATENATE("Large bulky, extra-large and special handling items",IF($P891&gt;=11,11,$P891)),'[1]REMOVAL FEES'!$E$1:$E$13,0),3))))*$AA891,FALSE)</f>
        <v>0</v>
      </c>
      <c r="AJ891" s="107">
        <f t="shared" si="172"/>
        <v>0</v>
      </c>
      <c r="AK891" s="107">
        <v>0</v>
      </c>
      <c r="AL891" s="107">
        <v>0</v>
      </c>
      <c r="AM891" s="107">
        <f t="shared" si="173"/>
        <v>0</v>
      </c>
      <c r="AN891" s="116">
        <f>(-IF($V891="Yes", IF($X891="Yes", VLOOKUP($W891, '[1]Storage Fees'!A:M, 13, FALSE), VLOOKUP($W891, '[1]Storage Fees'!A:M, 10, FALSE)), IF($X891="Yes", VLOOKUP($W891, '[1]Storage Fees'!A:M, 7, FALSE), VLOOKUP($W891, '[1]Storage Fees'!A:M, 4, FALSE))) * U891)*1.5</f>
        <v>0</v>
      </c>
    </row>
    <row r="892" spans="1:40" x14ac:dyDescent="0.25">
      <c r="A892" s="99">
        <v>820</v>
      </c>
      <c r="B892" s="99" t="s">
        <v>13700</v>
      </c>
      <c r="C892" s="99"/>
      <c r="D892" s="99"/>
      <c r="E892" s="99" t="s">
        <v>358</v>
      </c>
      <c r="F892" s="99" t="s">
        <v>542</v>
      </c>
      <c r="G892" s="99" t="s">
        <v>13695</v>
      </c>
      <c r="H892" s="99">
        <v>17</v>
      </c>
      <c r="I892" s="99">
        <v>15</v>
      </c>
      <c r="J892" s="99">
        <v>3</v>
      </c>
      <c r="K892" s="101" t="str">
        <f t="shared" si="161"/>
        <v>17x15x3</v>
      </c>
      <c r="L892" s="102">
        <f t="shared" si="162"/>
        <v>5.5035971223021587</v>
      </c>
      <c r="M892" s="113">
        <f t="shared" si="163"/>
        <v>5.5035971223021587</v>
      </c>
      <c r="N892" s="113">
        <f t="shared" si="164"/>
        <v>6</v>
      </c>
      <c r="O892" s="99">
        <v>5</v>
      </c>
      <c r="P892" s="113">
        <f t="shared" si="165"/>
        <v>6</v>
      </c>
      <c r="Q892" s="112">
        <f t="shared" si="166"/>
        <v>96</v>
      </c>
      <c r="R892" s="112" t="str">
        <f t="shared" si="167"/>
        <v>Oversize</v>
      </c>
      <c r="S892" s="99" t="str">
        <f t="shared" si="168"/>
        <v>Large bulky</v>
      </c>
      <c r="T892" s="116" t="s">
        <v>13692</v>
      </c>
      <c r="U892" s="116">
        <f t="shared" si="169"/>
        <v>0.44270833333333331</v>
      </c>
      <c r="V892" s="116" t="s">
        <v>13583</v>
      </c>
      <c r="W892" s="116" t="s">
        <v>13690</v>
      </c>
      <c r="X892" s="116" t="s">
        <v>13691</v>
      </c>
      <c r="Y892" s="116">
        <v>2</v>
      </c>
      <c r="Z892" s="116">
        <v>3</v>
      </c>
      <c r="AA892" s="116">
        <v>1</v>
      </c>
      <c r="AB892" s="99"/>
      <c r="AC892" s="99"/>
      <c r="AD892" s="107">
        <v>0</v>
      </c>
      <c r="AE892" s="113">
        <f t="shared" si="170"/>
        <v>0</v>
      </c>
      <c r="AF892" s="116">
        <f>-IFERROR(IFERROR(VLOOKUP(ROUNDUP($Q892,0),'FBA FEES'!$L$2:$Q$203,MATCH($S892,'FBA FEES'!$L$2:$Q$2,0),FALSE),VLOOKUP(ROUNDUP($Q892,0),'FBA FEES'!$C$6:$F$123,MATCH($S892,'FBA FEES'!$C$6:$F$6,0),FALSE)),0)</f>
        <v>-11.51</v>
      </c>
      <c r="AG892" s="116">
        <v>-10</v>
      </c>
      <c r="AH892" s="113">
        <f t="shared" si="171"/>
        <v>-11.51</v>
      </c>
      <c r="AI892" s="116">
        <f>-IFERROR(IF($Y892=1,INDEX('[1]REMOVAL FEES'!$A$1:$C$22,MATCH(CONCATENATE("Standard Size",$P892),'[1]REMOVAL FEES'!$A$1:$A$22,0),3),IF($Y892=2,IF($P892&gt;10,(($P892-10)*1.06)+INDEX('[1]REMOVAL FEES'!$E$1:$G$22,MATCH(CONCATENATE("Large bulky, extra-large and special handling items",IF($P892&gt;=11,11,$P892)),'[1]REMOVAL FEES'!$E$1:$E$13,0),3),INDEX('[1]REMOVAL FEES'!$E$1:$G$22,MATCH(CONCATENATE("Large bulky, extra-large and special handling items",IF($P892&gt;=11,11,$P892)),'[1]REMOVAL FEES'!$E$1:$E$13,0),3))))*$AA892,FALSE)</f>
        <v>-10.039999999999999</v>
      </c>
      <c r="AJ892" s="107">
        <f t="shared" si="172"/>
        <v>-21.549999999999997</v>
      </c>
      <c r="AK892" s="107">
        <v>0</v>
      </c>
      <c r="AL892" s="107">
        <v>0</v>
      </c>
      <c r="AM892" s="107">
        <f t="shared" si="173"/>
        <v>0</v>
      </c>
      <c r="AN892" s="116">
        <f>(-IF($V892="Yes", IF($X892="Yes", VLOOKUP($W892, '[1]Storage Fees'!A:M, 13, FALSE), VLOOKUP($W892, '[1]Storage Fees'!A:M, 10, FALSE)), IF($X892="Yes", VLOOKUP($W892, '[1]Storage Fees'!A:M, 7, FALSE), VLOOKUP($W892, '[1]Storage Fees'!A:M, 4, FALSE))) * U892)*1.5</f>
        <v>-0.52460937500000004</v>
      </c>
    </row>
    <row r="893" spans="1:40" x14ac:dyDescent="0.25">
      <c r="A893" s="99">
        <v>821</v>
      </c>
      <c r="B893" s="99" t="s">
        <v>13700</v>
      </c>
      <c r="C893" s="99"/>
      <c r="D893" s="99"/>
      <c r="E893" s="99" t="s">
        <v>358</v>
      </c>
      <c r="F893" s="99" t="s">
        <v>543</v>
      </c>
      <c r="G893" s="99" t="s">
        <v>13695</v>
      </c>
      <c r="H893" s="99">
        <v>17</v>
      </c>
      <c r="I893" s="99">
        <v>15</v>
      </c>
      <c r="J893" s="99">
        <v>3</v>
      </c>
      <c r="K893" s="101" t="str">
        <f t="shared" si="161"/>
        <v>17x15x3</v>
      </c>
      <c r="L893" s="102">
        <f t="shared" si="162"/>
        <v>5.5035971223021587</v>
      </c>
      <c r="M893" s="113">
        <f t="shared" si="163"/>
        <v>5.5035971223021587</v>
      </c>
      <c r="N893" s="113">
        <f t="shared" si="164"/>
        <v>6</v>
      </c>
      <c r="O893" s="99">
        <v>6</v>
      </c>
      <c r="P893" s="113">
        <f t="shared" si="165"/>
        <v>6</v>
      </c>
      <c r="Q893" s="112">
        <f t="shared" si="166"/>
        <v>96</v>
      </c>
      <c r="R893" s="112" t="str">
        <f t="shared" si="167"/>
        <v>Oversize</v>
      </c>
      <c r="S893" s="99" t="str">
        <f t="shared" si="168"/>
        <v>Large bulky</v>
      </c>
      <c r="T893" s="116" t="s">
        <v>13692</v>
      </c>
      <c r="U893" s="116">
        <f t="shared" si="169"/>
        <v>0.44270833333333331</v>
      </c>
      <c r="V893" s="116" t="s">
        <v>13583</v>
      </c>
      <c r="W893" s="116" t="s">
        <v>13690</v>
      </c>
      <c r="X893" s="116" t="s">
        <v>13691</v>
      </c>
      <c r="Y893" s="116">
        <v>2</v>
      </c>
      <c r="Z893" s="116">
        <v>3</v>
      </c>
      <c r="AA893" s="116">
        <v>1</v>
      </c>
      <c r="AB893" s="99"/>
      <c r="AC893" s="99"/>
      <c r="AD893" s="107">
        <v>0</v>
      </c>
      <c r="AE893" s="113">
        <f t="shared" si="170"/>
        <v>0</v>
      </c>
      <c r="AF893" s="116">
        <f>-IFERROR(IFERROR(VLOOKUP(ROUNDUP($Q893,0),'FBA FEES'!$L$2:$Q$203,MATCH($S893,'FBA FEES'!$L$2:$Q$2,0),FALSE),VLOOKUP(ROUNDUP($Q893,0),'FBA FEES'!$C$6:$F$123,MATCH($S893,'FBA FEES'!$C$6:$F$6,0),FALSE)),0)</f>
        <v>-11.51</v>
      </c>
      <c r="AG893" s="116">
        <v>-10</v>
      </c>
      <c r="AH893" s="113">
        <f t="shared" si="171"/>
        <v>-11.51</v>
      </c>
      <c r="AI893" s="116">
        <f>-IFERROR(IF($Y893=1,INDEX('[1]REMOVAL FEES'!$A$1:$C$22,MATCH(CONCATENATE("Standard Size",$P893),'[1]REMOVAL FEES'!$A$1:$A$22,0),3),IF($Y893=2,IF($P893&gt;10,(($P893-10)*1.06)+INDEX('[1]REMOVAL FEES'!$E$1:$G$22,MATCH(CONCATENATE("Large bulky, extra-large and special handling items",IF($P893&gt;=11,11,$P893)),'[1]REMOVAL FEES'!$E$1:$E$13,0),3),INDEX('[1]REMOVAL FEES'!$E$1:$G$22,MATCH(CONCATENATE("Large bulky, extra-large and special handling items",IF($P893&gt;=11,11,$P893)),'[1]REMOVAL FEES'!$E$1:$E$13,0),3))))*$AA893,FALSE)</f>
        <v>-10.039999999999999</v>
      </c>
      <c r="AJ893" s="107">
        <f t="shared" si="172"/>
        <v>-21.549999999999997</v>
      </c>
      <c r="AK893" s="107">
        <v>0</v>
      </c>
      <c r="AL893" s="107">
        <v>0</v>
      </c>
      <c r="AM893" s="107">
        <f t="shared" si="173"/>
        <v>0</v>
      </c>
      <c r="AN893" s="116">
        <f>(-IF($V893="Yes", IF($X893="Yes", VLOOKUP($W893, '[1]Storage Fees'!A:M, 13, FALSE), VLOOKUP($W893, '[1]Storage Fees'!A:M, 10, FALSE)), IF($X893="Yes", VLOOKUP($W893, '[1]Storage Fees'!A:M, 7, FALSE), VLOOKUP($W893, '[1]Storage Fees'!A:M, 4, FALSE))) * U893)*1.5</f>
        <v>-0.52460937500000004</v>
      </c>
    </row>
    <row r="894" spans="1:40" x14ac:dyDescent="0.25">
      <c r="A894" s="99">
        <v>822</v>
      </c>
      <c r="B894" s="99" t="s">
        <v>13700</v>
      </c>
      <c r="C894" s="99"/>
      <c r="D894" s="99"/>
      <c r="E894" s="99" t="s">
        <v>358</v>
      </c>
      <c r="F894" s="99" t="s">
        <v>544</v>
      </c>
      <c r="G894" s="99" t="s">
        <v>13695</v>
      </c>
      <c r="H894" s="99">
        <v>31</v>
      </c>
      <c r="I894" s="99">
        <v>15</v>
      </c>
      <c r="J894" s="99">
        <v>2</v>
      </c>
      <c r="K894" s="101" t="str">
        <f t="shared" si="161"/>
        <v>31x15x2</v>
      </c>
      <c r="L894" s="102">
        <f t="shared" si="162"/>
        <v>6.6906474820143886</v>
      </c>
      <c r="M894" s="113">
        <f t="shared" si="163"/>
        <v>6.6906474820143886</v>
      </c>
      <c r="N894" s="113">
        <f t="shared" si="164"/>
        <v>7</v>
      </c>
      <c r="O894" s="99">
        <v>11</v>
      </c>
      <c r="P894" s="113">
        <f t="shared" si="165"/>
        <v>11</v>
      </c>
      <c r="Q894" s="112">
        <f t="shared" si="166"/>
        <v>176</v>
      </c>
      <c r="R894" s="112" t="str">
        <f t="shared" si="167"/>
        <v>Oversize</v>
      </c>
      <c r="S894" s="99" t="str">
        <f t="shared" si="168"/>
        <v>Large bulky</v>
      </c>
      <c r="T894" s="116" t="s">
        <v>13692</v>
      </c>
      <c r="U894" s="116">
        <f t="shared" si="169"/>
        <v>0.53819444444444442</v>
      </c>
      <c r="V894" s="116" t="s">
        <v>13583</v>
      </c>
      <c r="W894" s="116" t="s">
        <v>13690</v>
      </c>
      <c r="X894" s="116" t="s">
        <v>13691</v>
      </c>
      <c r="Y894" s="116">
        <v>2</v>
      </c>
      <c r="Z894" s="116">
        <v>3</v>
      </c>
      <c r="AA894" s="116">
        <v>1</v>
      </c>
      <c r="AB894" s="99"/>
      <c r="AC894" s="99"/>
      <c r="AD894" s="107">
        <v>0</v>
      </c>
      <c r="AE894" s="113">
        <f t="shared" si="170"/>
        <v>0</v>
      </c>
      <c r="AF894" s="116">
        <f>-IFERROR(IFERROR(VLOOKUP(ROUNDUP($Q894,0),'FBA FEES'!$L$2:$Q$203,MATCH($S894,'FBA FEES'!$L$2:$Q$2,0),FALSE),VLOOKUP(ROUNDUP($Q894,0),'FBA FEES'!$C$6:$F$123,MATCH($S894,'FBA FEES'!$C$6:$F$6,0),FALSE)),0)</f>
        <v>-13.41</v>
      </c>
      <c r="AG894" s="116">
        <v>-10</v>
      </c>
      <c r="AH894" s="113">
        <f t="shared" si="171"/>
        <v>-13.41</v>
      </c>
      <c r="AI894" s="116">
        <f>-IFERROR(IF($Y894=1,INDEX('[1]REMOVAL FEES'!$A$1:$C$22,MATCH(CONCATENATE("Standard Size",$P894),'[1]REMOVAL FEES'!$A$1:$A$22,0),3),IF($Y894=2,IF($P894&gt;10,(($P894-10)*1.06)+INDEX('[1]REMOVAL FEES'!$E$1:$G$22,MATCH(CONCATENATE("Large bulky, extra-large and special handling items",IF($P894&gt;=11,11,$P894)),'[1]REMOVAL FEES'!$E$1:$E$13,0),3),INDEX('[1]REMOVAL FEES'!$E$1:$G$22,MATCH(CONCATENATE("Large bulky, extra-large and special handling items",IF($P894&gt;=11,11,$P894)),'[1]REMOVAL FEES'!$E$1:$E$13,0),3))))*$AA894,FALSE)</f>
        <v>-15.38</v>
      </c>
      <c r="AJ894" s="107">
        <f t="shared" si="172"/>
        <v>-28.79</v>
      </c>
      <c r="AK894" s="107">
        <v>0</v>
      </c>
      <c r="AL894" s="107">
        <v>0</v>
      </c>
      <c r="AM894" s="107">
        <f t="shared" si="173"/>
        <v>0</v>
      </c>
      <c r="AN894" s="116">
        <f>(-IF($V894="Yes", IF($X894="Yes", VLOOKUP($W894, '[1]Storage Fees'!A:M, 13, FALSE), VLOOKUP($W894, '[1]Storage Fees'!A:M, 10, FALSE)), IF($X894="Yes", VLOOKUP($W894, '[1]Storage Fees'!A:M, 7, FALSE), VLOOKUP($W894, '[1]Storage Fees'!A:M, 4, FALSE))) * U894)*1.5</f>
        <v>-0.63776041666666672</v>
      </c>
    </row>
    <row r="895" spans="1:40" x14ac:dyDescent="0.25">
      <c r="A895" s="99">
        <v>823</v>
      </c>
      <c r="B895" s="99" t="s">
        <v>13700</v>
      </c>
      <c r="C895" s="99"/>
      <c r="D895" s="99"/>
      <c r="E895" s="99" t="s">
        <v>358</v>
      </c>
      <c r="F895" s="99" t="s">
        <v>545</v>
      </c>
      <c r="G895" s="99" t="s">
        <v>13695</v>
      </c>
      <c r="H895" s="99">
        <v>35</v>
      </c>
      <c r="I895" s="99">
        <v>15</v>
      </c>
      <c r="J895" s="99">
        <v>2</v>
      </c>
      <c r="K895" s="101" t="str">
        <f t="shared" si="161"/>
        <v>35x15x2</v>
      </c>
      <c r="L895" s="102">
        <f t="shared" si="162"/>
        <v>7.5539568345323742</v>
      </c>
      <c r="M895" s="113">
        <f t="shared" si="163"/>
        <v>7.5539568345323742</v>
      </c>
      <c r="N895" s="113">
        <f t="shared" si="164"/>
        <v>8</v>
      </c>
      <c r="O895" s="99">
        <v>12</v>
      </c>
      <c r="P895" s="113">
        <f t="shared" si="165"/>
        <v>12</v>
      </c>
      <c r="Q895" s="112">
        <f t="shared" si="166"/>
        <v>192</v>
      </c>
      <c r="R895" s="112" t="str">
        <f t="shared" si="167"/>
        <v>Oversize</v>
      </c>
      <c r="S895" s="99" t="str">
        <f t="shared" si="168"/>
        <v>Large bulky</v>
      </c>
      <c r="T895" s="116" t="s">
        <v>13692</v>
      </c>
      <c r="U895" s="116">
        <f t="shared" si="169"/>
        <v>0.60763888888888884</v>
      </c>
      <c r="V895" s="116" t="s">
        <v>13583</v>
      </c>
      <c r="W895" s="116" t="s">
        <v>13690</v>
      </c>
      <c r="X895" s="116" t="s">
        <v>13691</v>
      </c>
      <c r="Y895" s="116">
        <v>2</v>
      </c>
      <c r="Z895" s="116">
        <v>3</v>
      </c>
      <c r="AA895" s="116">
        <v>1</v>
      </c>
      <c r="AB895" s="99"/>
      <c r="AC895" s="99"/>
      <c r="AD895" s="107">
        <v>0</v>
      </c>
      <c r="AE895" s="113">
        <f t="shared" si="170"/>
        <v>0</v>
      </c>
      <c r="AF895" s="116">
        <f>-IFERROR(IFERROR(VLOOKUP(ROUNDUP($Q895,0),'FBA FEES'!$L$2:$Q$203,MATCH($S895,'FBA FEES'!$L$2:$Q$2,0),FALSE),VLOOKUP(ROUNDUP($Q895,0),'FBA FEES'!$C$6:$F$123,MATCH($S895,'FBA FEES'!$C$6:$F$6,0),FALSE)),0)</f>
        <v>-13.79</v>
      </c>
      <c r="AG895" s="116">
        <v>-10</v>
      </c>
      <c r="AH895" s="113">
        <f t="shared" si="171"/>
        <v>-13.79</v>
      </c>
      <c r="AI895" s="116">
        <f>-IFERROR(IF($Y895=1,INDEX('[1]REMOVAL FEES'!$A$1:$C$22,MATCH(CONCATENATE("Standard Size",$P895),'[1]REMOVAL FEES'!$A$1:$A$22,0),3),IF($Y895=2,IF($P895&gt;10,(($P895-10)*1.06)+INDEX('[1]REMOVAL FEES'!$E$1:$G$22,MATCH(CONCATENATE("Large bulky, extra-large and special handling items",IF($P895&gt;=11,11,$P895)),'[1]REMOVAL FEES'!$E$1:$E$13,0),3),INDEX('[1]REMOVAL FEES'!$E$1:$G$22,MATCH(CONCATENATE("Large bulky, extra-large and special handling items",IF($P895&gt;=11,11,$P895)),'[1]REMOVAL FEES'!$E$1:$E$13,0),3))))*$AA895,FALSE)</f>
        <v>-16.440000000000001</v>
      </c>
      <c r="AJ895" s="107">
        <f t="shared" si="172"/>
        <v>-30.23</v>
      </c>
      <c r="AK895" s="107">
        <v>0</v>
      </c>
      <c r="AL895" s="107">
        <v>0</v>
      </c>
      <c r="AM895" s="107">
        <f t="shared" si="173"/>
        <v>0</v>
      </c>
      <c r="AN895" s="116">
        <f>(-IF($V895="Yes", IF($X895="Yes", VLOOKUP($W895, '[1]Storage Fees'!A:M, 13, FALSE), VLOOKUP($W895, '[1]Storage Fees'!A:M, 10, FALSE)), IF($X895="Yes", VLOOKUP($W895, '[1]Storage Fees'!A:M, 7, FALSE), VLOOKUP($W895, '[1]Storage Fees'!A:M, 4, FALSE))) * U895)*1.5</f>
        <v>-0.72005208333333326</v>
      </c>
    </row>
    <row r="896" spans="1:40" x14ac:dyDescent="0.25">
      <c r="A896" s="99">
        <v>824</v>
      </c>
      <c r="B896" s="99" t="s">
        <v>13700</v>
      </c>
      <c r="C896" s="99"/>
      <c r="D896" s="99"/>
      <c r="E896" s="99" t="s">
        <v>358</v>
      </c>
      <c r="F896" s="99" t="s">
        <v>546</v>
      </c>
      <c r="G896" s="99" t="s">
        <v>13695</v>
      </c>
      <c r="H896" s="99">
        <v>17</v>
      </c>
      <c r="I896" s="99">
        <v>10</v>
      </c>
      <c r="J896" s="99">
        <v>7</v>
      </c>
      <c r="K896" s="101" t="str">
        <f t="shared" si="161"/>
        <v>17x10x7</v>
      </c>
      <c r="L896" s="102">
        <f t="shared" si="162"/>
        <v>8.5611510791366907</v>
      </c>
      <c r="M896" s="113">
        <f t="shared" si="163"/>
        <v>8.5611510791366907</v>
      </c>
      <c r="N896" s="113">
        <f t="shared" si="164"/>
        <v>9</v>
      </c>
      <c r="O896" s="99">
        <v>6</v>
      </c>
      <c r="P896" s="113">
        <f t="shared" si="165"/>
        <v>9</v>
      </c>
      <c r="Q896" s="112">
        <f t="shared" si="166"/>
        <v>144</v>
      </c>
      <c r="R896" s="112" t="str">
        <f t="shared" si="167"/>
        <v>Standard-size</v>
      </c>
      <c r="S896" s="99" t="str">
        <f t="shared" si="168"/>
        <v>Large standard-size</v>
      </c>
      <c r="T896" s="116" t="s">
        <v>13693</v>
      </c>
      <c r="U896" s="116">
        <f t="shared" si="169"/>
        <v>0.68865740740740744</v>
      </c>
      <c r="V896" s="116" t="s">
        <v>13583</v>
      </c>
      <c r="W896" s="116" t="s">
        <v>13690</v>
      </c>
      <c r="X896" s="99" t="s">
        <v>13583</v>
      </c>
      <c r="Y896" s="99">
        <v>1</v>
      </c>
      <c r="Z896" s="99">
        <v>2</v>
      </c>
      <c r="AA896" s="99">
        <v>1</v>
      </c>
      <c r="AB896" s="99"/>
      <c r="AC896" s="99"/>
      <c r="AD896" s="107">
        <v>0</v>
      </c>
      <c r="AE896" s="113">
        <f t="shared" si="170"/>
        <v>0</v>
      </c>
      <c r="AF896" s="116">
        <f>-IFERROR(IFERROR(VLOOKUP(ROUNDUP($Q896,0),'FBA FEES'!$L$2:$Q$203,MATCH($S896,'FBA FEES'!$L$2:$Q$2,0),FALSE),VLOOKUP(ROUNDUP($Q896,0),'FBA FEES'!$C$6:$F$123,MATCH($S896,'FBA FEES'!$C$6:$F$6,0),FALSE)),0)</f>
        <v>-8.84</v>
      </c>
      <c r="AG896" s="116">
        <v>-10</v>
      </c>
      <c r="AH896" s="113">
        <f t="shared" si="171"/>
        <v>-8.84</v>
      </c>
      <c r="AI896" s="116">
        <f>-IFERROR(IF($Y896=1,INDEX('[1]REMOVAL FEES'!$A$1:$C$22,MATCH(CONCATENATE("Standard Size",$P896),'[1]REMOVAL FEES'!$A$1:$A$22,0),3),IF($Y896=2,IF($P896&gt;10,(($P896-10)*1.06)+INDEX('[1]REMOVAL FEES'!$E$1:$G$22,MATCH(CONCATENATE("Large bulky, extra-large and special handling items",IF($P896&gt;=11,11,$P896)),'[1]REMOVAL FEES'!$E$1:$E$13,0),3),INDEX('[1]REMOVAL FEES'!$E$1:$G$22,MATCH(CONCATENATE("Large bulky, extra-large and special handling items",IF($P896&gt;=11,11,$P896)),'[1]REMOVAL FEES'!$E$1:$E$13,0),3))))*$AA896,FALSE)</f>
        <v>-10.31</v>
      </c>
      <c r="AJ896" s="107">
        <f t="shared" si="172"/>
        <v>-19.149999999999999</v>
      </c>
      <c r="AK896" s="107">
        <v>0</v>
      </c>
      <c r="AL896" s="107">
        <v>0</v>
      </c>
      <c r="AM896" s="107">
        <f t="shared" si="173"/>
        <v>0</v>
      </c>
      <c r="AN896" s="116">
        <f>(-IF($V896="Yes", IF($X896="Yes", VLOOKUP($W896, '[1]Storage Fees'!A:M, 13, FALSE), VLOOKUP($W896, '[1]Storage Fees'!A:M, 10, FALSE)), IF($X896="Yes", VLOOKUP($W896, '[1]Storage Fees'!A:M, 7, FALSE), VLOOKUP($W896, '[1]Storage Fees'!A:M, 4, FALSE))) * U896)*1.5</f>
        <v>-1.2602430555555557</v>
      </c>
    </row>
    <row r="897" spans="1:40" x14ac:dyDescent="0.25">
      <c r="A897" s="99">
        <v>825</v>
      </c>
      <c r="B897" s="99" t="s">
        <v>13700</v>
      </c>
      <c r="C897" s="99"/>
      <c r="D897" s="99"/>
      <c r="E897" s="99" t="s">
        <v>358</v>
      </c>
      <c r="F897" s="99" t="s">
        <v>547</v>
      </c>
      <c r="G897" s="99" t="s">
        <v>13695</v>
      </c>
      <c r="H897" s="99">
        <v>32</v>
      </c>
      <c r="I897" s="99">
        <v>6</v>
      </c>
      <c r="J897" s="99">
        <v>2</v>
      </c>
      <c r="K897" s="101" t="str">
        <f t="shared" si="161"/>
        <v>32x6x2</v>
      </c>
      <c r="L897" s="102">
        <f t="shared" si="162"/>
        <v>2.7625899280575541</v>
      </c>
      <c r="M897" s="113">
        <f t="shared" si="163"/>
        <v>2.7625899280575541</v>
      </c>
      <c r="N897" s="113">
        <f t="shared" si="164"/>
        <v>3</v>
      </c>
      <c r="O897" s="99">
        <v>7</v>
      </c>
      <c r="P897" s="113">
        <f t="shared" si="165"/>
        <v>7</v>
      </c>
      <c r="Q897" s="112">
        <f t="shared" si="166"/>
        <v>112</v>
      </c>
      <c r="R897" s="112" t="str">
        <f t="shared" si="167"/>
        <v>Oversize</v>
      </c>
      <c r="S897" s="99" t="str">
        <f t="shared" si="168"/>
        <v>Large bulky</v>
      </c>
      <c r="T897" s="116" t="s">
        <v>13692</v>
      </c>
      <c r="U897" s="116">
        <f t="shared" si="169"/>
        <v>0.22222222222222221</v>
      </c>
      <c r="V897" s="116" t="s">
        <v>13583</v>
      </c>
      <c r="W897" s="116" t="s">
        <v>13690</v>
      </c>
      <c r="X897" s="116" t="s">
        <v>13691</v>
      </c>
      <c r="Y897" s="116">
        <v>2</v>
      </c>
      <c r="Z897" s="116">
        <v>3</v>
      </c>
      <c r="AA897" s="116">
        <v>1</v>
      </c>
      <c r="AB897" s="99"/>
      <c r="AC897" s="99"/>
      <c r="AD897" s="107">
        <v>0</v>
      </c>
      <c r="AE897" s="113">
        <f t="shared" si="170"/>
        <v>0</v>
      </c>
      <c r="AF897" s="116">
        <f>-IFERROR(IFERROR(VLOOKUP(ROUNDUP($Q897,0),'FBA FEES'!$L$2:$Q$203,MATCH($S897,'FBA FEES'!$L$2:$Q$2,0),FALSE),VLOOKUP(ROUNDUP($Q897,0),'FBA FEES'!$C$6:$F$123,MATCH($S897,'FBA FEES'!$C$6:$F$6,0),FALSE)),0)</f>
        <v>-11.89</v>
      </c>
      <c r="AG897" s="116">
        <v>-10</v>
      </c>
      <c r="AH897" s="113">
        <f t="shared" si="171"/>
        <v>-11.89</v>
      </c>
      <c r="AI897" s="116">
        <f>-IFERROR(IF($Y897=1,INDEX('[1]REMOVAL FEES'!$A$1:$C$22,MATCH(CONCATENATE("Standard Size",$P897),'[1]REMOVAL FEES'!$A$1:$A$22,0),3),IF($Y897=2,IF($P897&gt;10,(($P897-10)*1.06)+INDEX('[1]REMOVAL FEES'!$E$1:$G$22,MATCH(CONCATENATE("Large bulky, extra-large and special handling items",IF($P897&gt;=11,11,$P897)),'[1]REMOVAL FEES'!$E$1:$E$13,0),3),INDEX('[1]REMOVAL FEES'!$E$1:$G$22,MATCH(CONCATENATE("Large bulky, extra-large and special handling items",IF($P897&gt;=11,11,$P897)),'[1]REMOVAL FEES'!$E$1:$E$13,0),3))))*$AA897,FALSE)</f>
        <v>-10.039999999999999</v>
      </c>
      <c r="AJ897" s="107">
        <f t="shared" si="172"/>
        <v>-21.93</v>
      </c>
      <c r="AK897" s="107">
        <v>0</v>
      </c>
      <c r="AL897" s="107">
        <v>0</v>
      </c>
      <c r="AM897" s="107">
        <f t="shared" si="173"/>
        <v>0</v>
      </c>
      <c r="AN897" s="116">
        <f>(-IF($V897="Yes", IF($X897="Yes", VLOOKUP($W897, '[1]Storage Fees'!A:M, 13, FALSE), VLOOKUP($W897, '[1]Storage Fees'!A:M, 10, FALSE)), IF($X897="Yes", VLOOKUP($W897, '[1]Storage Fees'!A:M, 7, FALSE), VLOOKUP($W897, '[1]Storage Fees'!A:M, 4, FALSE))) * U897)*1.5</f>
        <v>-0.26333333333333331</v>
      </c>
    </row>
    <row r="898" spans="1:40" x14ac:dyDescent="0.25">
      <c r="A898" s="99">
        <v>826</v>
      </c>
      <c r="B898" s="99" t="s">
        <v>13700</v>
      </c>
      <c r="C898" s="99"/>
      <c r="D898" s="99"/>
      <c r="E898" s="99" t="s">
        <v>358</v>
      </c>
      <c r="F898" s="99" t="s">
        <v>548</v>
      </c>
      <c r="G898" s="99" t="s">
        <v>13695</v>
      </c>
      <c r="H898" s="99">
        <v>35</v>
      </c>
      <c r="I898" s="99">
        <v>6</v>
      </c>
      <c r="J898" s="99">
        <v>2</v>
      </c>
      <c r="K898" s="101" t="str">
        <f t="shared" si="161"/>
        <v>35x6x2</v>
      </c>
      <c r="L898" s="102">
        <f t="shared" si="162"/>
        <v>3.0215827338129495</v>
      </c>
      <c r="M898" s="113">
        <f t="shared" si="163"/>
        <v>3.0215827338129495</v>
      </c>
      <c r="N898" s="113">
        <f t="shared" si="164"/>
        <v>4</v>
      </c>
      <c r="O898" s="99">
        <v>7</v>
      </c>
      <c r="P898" s="113">
        <f t="shared" si="165"/>
        <v>7</v>
      </c>
      <c r="Q898" s="112">
        <f t="shared" si="166"/>
        <v>112</v>
      </c>
      <c r="R898" s="112" t="str">
        <f t="shared" si="167"/>
        <v>Oversize</v>
      </c>
      <c r="S898" s="99" t="str">
        <f t="shared" si="168"/>
        <v>Large bulky</v>
      </c>
      <c r="T898" s="116" t="s">
        <v>13692</v>
      </c>
      <c r="U898" s="116">
        <f t="shared" si="169"/>
        <v>0.24305555555555555</v>
      </c>
      <c r="V898" s="116" t="s">
        <v>13583</v>
      </c>
      <c r="W898" s="116" t="s">
        <v>13690</v>
      </c>
      <c r="X898" s="116" t="s">
        <v>13691</v>
      </c>
      <c r="Y898" s="116">
        <v>2</v>
      </c>
      <c r="Z898" s="116">
        <v>3</v>
      </c>
      <c r="AA898" s="116">
        <v>1</v>
      </c>
      <c r="AB898" s="99"/>
      <c r="AC898" s="99"/>
      <c r="AD898" s="107">
        <v>0</v>
      </c>
      <c r="AE898" s="113">
        <f t="shared" si="170"/>
        <v>0</v>
      </c>
      <c r="AF898" s="116">
        <f>-IFERROR(IFERROR(VLOOKUP(ROUNDUP($Q898,0),'FBA FEES'!$L$2:$Q$203,MATCH($S898,'FBA FEES'!$L$2:$Q$2,0),FALSE),VLOOKUP(ROUNDUP($Q898,0),'FBA FEES'!$C$6:$F$123,MATCH($S898,'FBA FEES'!$C$6:$F$6,0),FALSE)),0)</f>
        <v>-11.89</v>
      </c>
      <c r="AG898" s="116">
        <v>-10</v>
      </c>
      <c r="AH898" s="113">
        <f t="shared" si="171"/>
        <v>-11.89</v>
      </c>
      <c r="AI898" s="116">
        <f>-IFERROR(IF($Y898=1,INDEX('[1]REMOVAL FEES'!$A$1:$C$22,MATCH(CONCATENATE("Standard Size",$P898),'[1]REMOVAL FEES'!$A$1:$A$22,0),3),IF($Y898=2,IF($P898&gt;10,(($P898-10)*1.06)+INDEX('[1]REMOVAL FEES'!$E$1:$G$22,MATCH(CONCATENATE("Large bulky, extra-large and special handling items",IF($P898&gt;=11,11,$P898)),'[1]REMOVAL FEES'!$E$1:$E$13,0),3),INDEX('[1]REMOVAL FEES'!$E$1:$G$22,MATCH(CONCATENATE("Large bulky, extra-large and special handling items",IF($P898&gt;=11,11,$P898)),'[1]REMOVAL FEES'!$E$1:$E$13,0),3))))*$AA898,FALSE)</f>
        <v>-10.039999999999999</v>
      </c>
      <c r="AJ898" s="107">
        <f t="shared" si="172"/>
        <v>-21.93</v>
      </c>
      <c r="AK898" s="107">
        <v>0</v>
      </c>
      <c r="AL898" s="107">
        <v>0</v>
      </c>
      <c r="AM898" s="107">
        <f t="shared" si="173"/>
        <v>0</v>
      </c>
      <c r="AN898" s="116">
        <f>(-IF($V898="Yes", IF($X898="Yes", VLOOKUP($W898, '[1]Storage Fees'!A:M, 13, FALSE), VLOOKUP($W898, '[1]Storage Fees'!A:M, 10, FALSE)), IF($X898="Yes", VLOOKUP($W898, '[1]Storage Fees'!A:M, 7, FALSE), VLOOKUP($W898, '[1]Storage Fees'!A:M, 4, FALSE))) * U898)*1.5</f>
        <v>-0.28802083333333334</v>
      </c>
    </row>
    <row r="899" spans="1:40" x14ac:dyDescent="0.25">
      <c r="A899" s="99">
        <v>827</v>
      </c>
      <c r="B899" s="99" t="s">
        <v>13700</v>
      </c>
      <c r="C899" s="99" t="s">
        <v>13655</v>
      </c>
      <c r="D899" s="99" t="s">
        <v>1478</v>
      </c>
      <c r="E899" s="99" t="s">
        <v>278</v>
      </c>
      <c r="F899" s="99" t="s">
        <v>1476</v>
      </c>
      <c r="G899" s="99" t="s">
        <v>13695</v>
      </c>
      <c r="H899" s="99">
        <v>23</v>
      </c>
      <c r="I899" s="99">
        <v>23</v>
      </c>
      <c r="J899" s="99">
        <v>3</v>
      </c>
      <c r="K899" s="101" t="str">
        <f t="shared" si="161"/>
        <v>23x23x3</v>
      </c>
      <c r="L899" s="102">
        <f t="shared" si="162"/>
        <v>11.417266187050359</v>
      </c>
      <c r="M899" s="113">
        <f t="shared" si="163"/>
        <v>11.417266187050359</v>
      </c>
      <c r="N899" s="113">
        <f t="shared" si="164"/>
        <v>12</v>
      </c>
      <c r="O899" s="99">
        <v>11</v>
      </c>
      <c r="P899" s="113">
        <f t="shared" si="165"/>
        <v>12</v>
      </c>
      <c r="Q899" s="112">
        <f t="shared" si="166"/>
        <v>192</v>
      </c>
      <c r="R899" s="112" t="str">
        <f t="shared" si="167"/>
        <v>Oversize</v>
      </c>
      <c r="S899" s="99" t="str">
        <f t="shared" si="168"/>
        <v>Large bulky</v>
      </c>
      <c r="T899" s="116" t="s">
        <v>13692</v>
      </c>
      <c r="U899" s="116">
        <f t="shared" si="169"/>
        <v>0.91840277777777779</v>
      </c>
      <c r="V899" s="116" t="s">
        <v>13583</v>
      </c>
      <c r="W899" s="116" t="s">
        <v>13690</v>
      </c>
      <c r="X899" s="116" t="s">
        <v>13691</v>
      </c>
      <c r="Y899" s="116">
        <v>2</v>
      </c>
      <c r="Z899" s="116">
        <v>3</v>
      </c>
      <c r="AA899" s="116">
        <v>1</v>
      </c>
      <c r="AB899" s="99"/>
      <c r="AC899" s="99"/>
      <c r="AD899" s="107">
        <v>83.74</v>
      </c>
      <c r="AE899" s="113">
        <f t="shared" si="170"/>
        <v>-12.560999999999998</v>
      </c>
      <c r="AF899" s="116">
        <f>-IFERROR(IFERROR(VLOOKUP(ROUNDUP($Q899,0),'FBA FEES'!$L$2:$Q$203,MATCH($S899,'FBA FEES'!$L$2:$Q$2,0),FALSE),VLOOKUP(ROUNDUP($Q899,0),'FBA FEES'!$C$6:$F$123,MATCH($S899,'FBA FEES'!$C$6:$F$6,0),FALSE)),0)</f>
        <v>-13.79</v>
      </c>
      <c r="AG899" s="116">
        <v>-10</v>
      </c>
      <c r="AH899" s="113">
        <f t="shared" si="171"/>
        <v>-26.350999999999999</v>
      </c>
      <c r="AI899" s="116">
        <f>-IFERROR(IF($Y899=1,INDEX('[1]REMOVAL FEES'!$A$1:$C$22,MATCH(CONCATENATE("Standard Size",$P899),'[1]REMOVAL FEES'!$A$1:$A$22,0),3),IF($Y899=2,IF($P899&gt;10,(($P899-10)*1.06)+INDEX('[1]REMOVAL FEES'!$E$1:$G$22,MATCH(CONCATENATE("Large bulky, extra-large and special handling items",IF($P899&gt;=11,11,$P899)),'[1]REMOVAL FEES'!$E$1:$E$13,0),3),INDEX('[1]REMOVAL FEES'!$E$1:$G$22,MATCH(CONCATENATE("Large bulky, extra-large and special handling items",IF($P899&gt;=11,11,$P899)),'[1]REMOVAL FEES'!$E$1:$E$13,0),3))))*$AA899,FALSE)</f>
        <v>-16.440000000000001</v>
      </c>
      <c r="AJ899" s="107">
        <f t="shared" si="172"/>
        <v>-42.790999999999997</v>
      </c>
      <c r="AK899" s="107">
        <v>-21.81</v>
      </c>
      <c r="AL899" s="107">
        <v>-7.7509999999999986</v>
      </c>
      <c r="AM899" s="107">
        <f t="shared" si="173"/>
        <v>-29.560999999999996</v>
      </c>
      <c r="AN899" s="116">
        <f>(-IF($V899="Yes", IF($X899="Yes", VLOOKUP($W899, '[1]Storage Fees'!A:M, 13, FALSE), VLOOKUP($W899, '[1]Storage Fees'!A:M, 10, FALSE)), IF($X899="Yes", VLOOKUP($W899, '[1]Storage Fees'!A:M, 7, FALSE), VLOOKUP($W899, '[1]Storage Fees'!A:M, 4, FALSE))) * U899)*1.5</f>
        <v>-1.0883072916666667</v>
      </c>
    </row>
    <row r="900" spans="1:40" x14ac:dyDescent="0.25">
      <c r="A900" s="99">
        <v>828</v>
      </c>
      <c r="B900" s="99" t="s">
        <v>13700</v>
      </c>
      <c r="C900" s="99" t="s">
        <v>13655</v>
      </c>
      <c r="D900" s="99" t="s">
        <v>1482</v>
      </c>
      <c r="E900" s="99" t="s">
        <v>278</v>
      </c>
      <c r="F900" s="99" t="s">
        <v>1480</v>
      </c>
      <c r="G900" s="99" t="s">
        <v>13695</v>
      </c>
      <c r="H900" s="99">
        <v>30</v>
      </c>
      <c r="I900" s="99">
        <v>30</v>
      </c>
      <c r="J900" s="99">
        <v>4</v>
      </c>
      <c r="K900" s="101" t="str">
        <f t="shared" si="161"/>
        <v>30x30x4</v>
      </c>
      <c r="L900" s="102">
        <f t="shared" si="162"/>
        <v>25.899280575539567</v>
      </c>
      <c r="M900" s="113">
        <f t="shared" si="163"/>
        <v>25.899280575539567</v>
      </c>
      <c r="N900" s="113">
        <f t="shared" si="164"/>
        <v>26</v>
      </c>
      <c r="O900" s="99">
        <v>18</v>
      </c>
      <c r="P900" s="113">
        <f t="shared" si="165"/>
        <v>26</v>
      </c>
      <c r="Q900" s="112">
        <f t="shared" si="166"/>
        <v>416</v>
      </c>
      <c r="R900" s="112" t="str">
        <f t="shared" si="167"/>
        <v>Oversize</v>
      </c>
      <c r="S900" s="99" t="str">
        <f t="shared" si="168"/>
        <v>Large bulky</v>
      </c>
      <c r="T900" s="116" t="s">
        <v>13692</v>
      </c>
      <c r="U900" s="116">
        <f t="shared" si="169"/>
        <v>2.0833333333333335</v>
      </c>
      <c r="V900" s="116" t="s">
        <v>13583</v>
      </c>
      <c r="W900" s="116" t="s">
        <v>13690</v>
      </c>
      <c r="X900" s="116" t="s">
        <v>13691</v>
      </c>
      <c r="Y900" s="116">
        <v>2</v>
      </c>
      <c r="Z900" s="116">
        <v>3</v>
      </c>
      <c r="AA900" s="116">
        <v>1</v>
      </c>
      <c r="AB900" s="99"/>
      <c r="AC900" s="99"/>
      <c r="AD900" s="107">
        <v>98.323333333333323</v>
      </c>
      <c r="AE900" s="113">
        <f t="shared" si="170"/>
        <v>-14.748499999999998</v>
      </c>
      <c r="AF900" s="116">
        <f>-IFERROR(IFERROR(VLOOKUP(ROUNDUP($Q900,0),'FBA FEES'!$L$2:$Q$203,MATCH($S900,'FBA FEES'!$L$2:$Q$2,0),FALSE),VLOOKUP(ROUNDUP($Q900,0),'FBA FEES'!$C$6:$F$123,MATCH($S900,'FBA FEES'!$C$6:$F$6,0),FALSE)),0)</f>
        <v>-19.11</v>
      </c>
      <c r="AG900" s="116">
        <v>-10</v>
      </c>
      <c r="AH900" s="113">
        <f t="shared" si="171"/>
        <v>-33.858499999999999</v>
      </c>
      <c r="AI900" s="116">
        <f>-IFERROR(IF($Y900=1,INDEX('[1]REMOVAL FEES'!$A$1:$C$22,MATCH(CONCATENATE("Standard Size",$P900),'[1]REMOVAL FEES'!$A$1:$A$22,0),3),IF($Y900=2,IF($P900&gt;10,(($P900-10)*1.06)+INDEX('[1]REMOVAL FEES'!$E$1:$G$22,MATCH(CONCATENATE("Large bulky, extra-large and special handling items",IF($P900&gt;=11,11,$P900)),'[1]REMOVAL FEES'!$E$1:$E$13,0),3),INDEX('[1]REMOVAL FEES'!$E$1:$G$22,MATCH(CONCATENATE("Large bulky, extra-large and special handling items",IF($P900&gt;=11,11,$P900)),'[1]REMOVAL FEES'!$E$1:$E$13,0),3))))*$AA900,FALSE)</f>
        <v>-31.28</v>
      </c>
      <c r="AJ900" s="107">
        <f t="shared" si="172"/>
        <v>-65.138499999999993</v>
      </c>
      <c r="AK900" s="107">
        <v>-31.420000000000009</v>
      </c>
      <c r="AL900" s="107">
        <v>-11.19285714285714</v>
      </c>
      <c r="AM900" s="107">
        <f t="shared" si="173"/>
        <v>-42.612857142857152</v>
      </c>
      <c r="AN900" s="116">
        <f>(-IF($V900="Yes", IF($X900="Yes", VLOOKUP($W900, '[1]Storage Fees'!A:M, 13, FALSE), VLOOKUP($W900, '[1]Storage Fees'!A:M, 10, FALSE)), IF($X900="Yes", VLOOKUP($W900, '[1]Storage Fees'!A:M, 7, FALSE), VLOOKUP($W900, '[1]Storage Fees'!A:M, 4, FALSE))) * U900)*1.5</f>
        <v>-2.46875</v>
      </c>
    </row>
    <row r="901" spans="1:40" x14ac:dyDescent="0.25">
      <c r="A901" s="99">
        <v>829</v>
      </c>
      <c r="B901" s="99" t="s">
        <v>13700</v>
      </c>
      <c r="C901" s="99" t="s">
        <v>13655</v>
      </c>
      <c r="D901" s="99" t="s">
        <v>1486</v>
      </c>
      <c r="E901" s="99" t="s">
        <v>278</v>
      </c>
      <c r="F901" s="99" t="s">
        <v>1484</v>
      </c>
      <c r="G901" s="99" t="s">
        <v>13695</v>
      </c>
      <c r="H901" s="99">
        <v>32</v>
      </c>
      <c r="I901" s="99">
        <v>32</v>
      </c>
      <c r="J901" s="99">
        <v>4</v>
      </c>
      <c r="K901" s="101" t="str">
        <f t="shared" si="161"/>
        <v>32x32x4</v>
      </c>
      <c r="L901" s="102">
        <f t="shared" si="162"/>
        <v>29.467625899280577</v>
      </c>
      <c r="M901" s="113">
        <f t="shared" si="163"/>
        <v>29.467625899280577</v>
      </c>
      <c r="N901" s="113">
        <f t="shared" si="164"/>
        <v>30</v>
      </c>
      <c r="O901" s="99">
        <v>20</v>
      </c>
      <c r="P901" s="113">
        <f t="shared" si="165"/>
        <v>30</v>
      </c>
      <c r="Q901" s="112">
        <f t="shared" si="166"/>
        <v>480</v>
      </c>
      <c r="R901" s="112" t="str">
        <f t="shared" si="167"/>
        <v>Oversize</v>
      </c>
      <c r="S901" s="99" t="str">
        <f t="shared" si="168"/>
        <v>Large bulky</v>
      </c>
      <c r="T901" s="116" t="s">
        <v>13692</v>
      </c>
      <c r="U901" s="116">
        <f t="shared" si="169"/>
        <v>2.3703703703703702</v>
      </c>
      <c r="V901" s="116" t="s">
        <v>13583</v>
      </c>
      <c r="W901" s="116" t="s">
        <v>13690</v>
      </c>
      <c r="X901" s="116" t="s">
        <v>13691</v>
      </c>
      <c r="Y901" s="116">
        <v>2</v>
      </c>
      <c r="Z901" s="116">
        <v>3</v>
      </c>
      <c r="AA901" s="116">
        <v>1</v>
      </c>
      <c r="AB901" s="99"/>
      <c r="AC901" s="99"/>
      <c r="AD901" s="107">
        <v>126.65666666666669</v>
      </c>
      <c r="AE901" s="113">
        <f t="shared" si="170"/>
        <v>-18.998500000000003</v>
      </c>
      <c r="AF901" s="116">
        <f>-IFERROR(IFERROR(VLOOKUP(ROUNDUP($Q901,0),'FBA FEES'!$L$2:$Q$203,MATCH($S901,'FBA FEES'!$L$2:$Q$2,0),FALSE),VLOOKUP(ROUNDUP($Q901,0),'FBA FEES'!$C$6:$F$123,MATCH($S901,'FBA FEES'!$C$6:$F$6,0),FALSE)),0)</f>
        <v>-20.63</v>
      </c>
      <c r="AG901" s="116">
        <v>-10</v>
      </c>
      <c r="AH901" s="113">
        <f t="shared" si="171"/>
        <v>-39.628500000000003</v>
      </c>
      <c r="AI901" s="116">
        <f>-IFERROR(IF($Y901=1,INDEX('[1]REMOVAL FEES'!$A$1:$C$22,MATCH(CONCATENATE("Standard Size",$P901),'[1]REMOVAL FEES'!$A$1:$A$22,0),3),IF($Y901=2,IF($P901&gt;10,(($P901-10)*1.06)+INDEX('[1]REMOVAL FEES'!$E$1:$G$22,MATCH(CONCATENATE("Large bulky, extra-large and special handling items",IF($P901&gt;=11,11,$P901)),'[1]REMOVAL FEES'!$E$1:$E$13,0),3),INDEX('[1]REMOVAL FEES'!$E$1:$G$22,MATCH(CONCATENATE("Large bulky, extra-large and special handling items",IF($P901&gt;=11,11,$P901)),'[1]REMOVAL FEES'!$E$1:$E$13,0),3))))*$AA901,FALSE)</f>
        <v>-35.520000000000003</v>
      </c>
      <c r="AJ901" s="107">
        <f t="shared" si="172"/>
        <v>-75.148500000000013</v>
      </c>
      <c r="AK901" s="107">
        <v>-34.429999999999993</v>
      </c>
      <c r="AL901" s="107">
        <v>-20.834511111111109</v>
      </c>
      <c r="AM901" s="107">
        <f t="shared" si="173"/>
        <v>-55.264511111111105</v>
      </c>
      <c r="AN901" s="116">
        <f>(-IF($V901="Yes", IF($X901="Yes", VLOOKUP($W901, '[1]Storage Fees'!A:M, 13, FALSE), VLOOKUP($W901, '[1]Storage Fees'!A:M, 10, FALSE)), IF($X901="Yes", VLOOKUP($W901, '[1]Storage Fees'!A:M, 7, FALSE), VLOOKUP($W901, '[1]Storage Fees'!A:M, 4, FALSE))) * U901)*1.5</f>
        <v>-2.8088888888888888</v>
      </c>
    </row>
    <row r="902" spans="1:40" x14ac:dyDescent="0.25">
      <c r="A902" s="99">
        <v>830</v>
      </c>
      <c r="B902" s="99" t="s">
        <v>13700</v>
      </c>
      <c r="C902" s="99" t="s">
        <v>13655</v>
      </c>
      <c r="D902" s="99" t="s">
        <v>1490</v>
      </c>
      <c r="E902" s="99" t="s">
        <v>278</v>
      </c>
      <c r="F902" s="99" t="s">
        <v>1488</v>
      </c>
      <c r="G902" s="99" t="s">
        <v>13695</v>
      </c>
      <c r="H902" s="99">
        <v>35</v>
      </c>
      <c r="I902" s="99">
        <v>35</v>
      </c>
      <c r="J902" s="99">
        <v>4</v>
      </c>
      <c r="K902" s="101" t="str">
        <f t="shared" si="161"/>
        <v>35x35x4</v>
      </c>
      <c r="L902" s="102">
        <f t="shared" si="162"/>
        <v>35.251798561151077</v>
      </c>
      <c r="M902" s="113">
        <f t="shared" si="163"/>
        <v>35.251798561151077</v>
      </c>
      <c r="N902" s="113">
        <f t="shared" si="164"/>
        <v>36</v>
      </c>
      <c r="O902" s="99">
        <v>25</v>
      </c>
      <c r="P902" s="113">
        <f t="shared" si="165"/>
        <v>36</v>
      </c>
      <c r="Q902" s="112">
        <f t="shared" si="166"/>
        <v>576</v>
      </c>
      <c r="R902" s="112" t="str">
        <f t="shared" si="167"/>
        <v>Oversize</v>
      </c>
      <c r="S902" s="99" t="str">
        <f t="shared" si="168"/>
        <v>Extra-large 0 to 50 lb</v>
      </c>
      <c r="T902" s="116" t="s">
        <v>13706</v>
      </c>
      <c r="U902" s="116">
        <f t="shared" si="169"/>
        <v>2.8356481481481484</v>
      </c>
      <c r="V902" s="116" t="s">
        <v>13583</v>
      </c>
      <c r="W902" s="116" t="s">
        <v>13690</v>
      </c>
      <c r="X902" s="116" t="s">
        <v>13691</v>
      </c>
      <c r="Y902" s="116">
        <v>2</v>
      </c>
      <c r="Z902" s="116">
        <v>4</v>
      </c>
      <c r="AA902" s="116">
        <v>1</v>
      </c>
      <c r="AB902" s="99"/>
      <c r="AC902" s="99"/>
      <c r="AD902" s="107">
        <v>146.88249999999999</v>
      </c>
      <c r="AE902" s="113">
        <f t="shared" si="170"/>
        <v>-22.032374999999998</v>
      </c>
      <c r="AF902" s="116">
        <f>-IFERROR(IFERROR(VLOOKUP(ROUNDUP($Q902,0),'FBA FEES'!$L$2:$Q$203,MATCH($S902,'FBA FEES'!$L$2:$Q$2,0),FALSE),VLOOKUP(ROUNDUP($Q902,0),'FBA FEES'!$C$6:$F$123,MATCH($S902,'FBA FEES'!$C$6:$F$6,0),FALSE)),0)</f>
        <v>-39.629999999999995</v>
      </c>
      <c r="AG902" s="116">
        <v>-10</v>
      </c>
      <c r="AH902" s="113">
        <f t="shared" si="171"/>
        <v>-61.662374999999997</v>
      </c>
      <c r="AI902" s="116">
        <f>-IFERROR(IF($Y902=1,INDEX('[1]REMOVAL FEES'!$A$1:$C$22,MATCH(CONCATENATE("Standard Size",$P902),'[1]REMOVAL FEES'!$A$1:$A$22,0),3),IF($Y902=2,IF($P902&gt;10,(($P902-10)*1.06)+INDEX('[1]REMOVAL FEES'!$E$1:$G$22,MATCH(CONCATENATE("Large bulky, extra-large and special handling items",IF($P902&gt;=11,11,$P902)),'[1]REMOVAL FEES'!$E$1:$E$13,0),3),INDEX('[1]REMOVAL FEES'!$E$1:$G$22,MATCH(CONCATENATE("Large bulky, extra-large and special handling items",IF($P902&gt;=11,11,$P902)),'[1]REMOVAL FEES'!$E$1:$E$13,0),3))))*$AA902,FALSE)</f>
        <v>-41.88</v>
      </c>
      <c r="AJ902" s="107">
        <f t="shared" si="172"/>
        <v>-103.54237499999999</v>
      </c>
      <c r="AK902" s="107">
        <v>-42.99</v>
      </c>
      <c r="AL902" s="107">
        <v>-23.207999999999998</v>
      </c>
      <c r="AM902" s="107">
        <f t="shared" si="173"/>
        <v>-66.198000000000008</v>
      </c>
      <c r="AN902" s="116">
        <f>(-IF($V902="Yes", IF($X902="Yes", VLOOKUP($W902, '[1]Storage Fees'!A:M, 13, FALSE), VLOOKUP($W902, '[1]Storage Fees'!A:M, 10, FALSE)), IF($X902="Yes", VLOOKUP($W902, '[1]Storage Fees'!A:M, 7, FALSE), VLOOKUP($W902, '[1]Storage Fees'!A:M, 4, FALSE))) * U902)*1.5</f>
        <v>-3.3602430555555558</v>
      </c>
    </row>
    <row r="903" spans="1:40" x14ac:dyDescent="0.25">
      <c r="A903" s="99">
        <v>831</v>
      </c>
      <c r="B903" s="99" t="s">
        <v>13700</v>
      </c>
      <c r="C903" s="99"/>
      <c r="D903" s="99"/>
      <c r="E903" s="99" t="s">
        <v>358</v>
      </c>
      <c r="F903" s="99" t="s">
        <v>549</v>
      </c>
      <c r="G903" s="99" t="s">
        <v>13695</v>
      </c>
      <c r="H903" s="99">
        <v>30</v>
      </c>
      <c r="I903" s="99">
        <v>26</v>
      </c>
      <c r="J903" s="99">
        <v>6</v>
      </c>
      <c r="K903" s="101" t="str">
        <f t="shared" si="161"/>
        <v>30x26x6</v>
      </c>
      <c r="L903" s="102">
        <f t="shared" si="162"/>
        <v>33.669064748201436</v>
      </c>
      <c r="M903" s="113">
        <f t="shared" si="163"/>
        <v>33.669064748201436</v>
      </c>
      <c r="N903" s="113">
        <f t="shared" si="164"/>
        <v>34</v>
      </c>
      <c r="O903" s="99">
        <v>34</v>
      </c>
      <c r="P903" s="113">
        <f t="shared" si="165"/>
        <v>34</v>
      </c>
      <c r="Q903" s="112">
        <f t="shared" si="166"/>
        <v>544</v>
      </c>
      <c r="R903" s="112" t="str">
        <f t="shared" si="167"/>
        <v>Oversize</v>
      </c>
      <c r="S903" s="99" t="str">
        <f t="shared" si="168"/>
        <v>Large bulky</v>
      </c>
      <c r="T903" s="116" t="s">
        <v>13694</v>
      </c>
      <c r="U903" s="116">
        <f t="shared" si="169"/>
        <v>2.7083333333333335</v>
      </c>
      <c r="V903" s="116" t="s">
        <v>13583</v>
      </c>
      <c r="W903" s="116" t="s">
        <v>13690</v>
      </c>
      <c r="X903" s="116" t="s">
        <v>13691</v>
      </c>
      <c r="Y903" s="116">
        <v>2</v>
      </c>
      <c r="Z903" s="116">
        <v>3</v>
      </c>
      <c r="AA903" s="116">
        <v>1</v>
      </c>
      <c r="AB903" s="99"/>
      <c r="AC903" s="99"/>
      <c r="AD903" s="107">
        <v>0</v>
      </c>
      <c r="AE903" s="113">
        <f t="shared" si="170"/>
        <v>0</v>
      </c>
      <c r="AF903" s="116">
        <f>-IFERROR(IFERROR(VLOOKUP(ROUNDUP($Q903,0),'FBA FEES'!$L$2:$Q$203,MATCH($S903,'FBA FEES'!$L$2:$Q$2,0),FALSE),VLOOKUP(ROUNDUP($Q903,0),'FBA FEES'!$C$6:$F$123,MATCH($S903,'FBA FEES'!$C$6:$F$6,0),FALSE)),0)</f>
        <v>-22.15</v>
      </c>
      <c r="AG903" s="116">
        <v>-10</v>
      </c>
      <c r="AH903" s="113">
        <f t="shared" si="171"/>
        <v>-22.15</v>
      </c>
      <c r="AI903" s="116">
        <f>-IFERROR(IF($Y903=1,INDEX('[1]REMOVAL FEES'!$A$1:$C$22,MATCH(CONCATENATE("Standard Size",$P903),'[1]REMOVAL FEES'!$A$1:$A$22,0),3),IF($Y903=2,IF($P903&gt;10,(($P903-10)*1.06)+INDEX('[1]REMOVAL FEES'!$E$1:$G$22,MATCH(CONCATENATE("Large bulky, extra-large and special handling items",IF($P903&gt;=11,11,$P903)),'[1]REMOVAL FEES'!$E$1:$E$13,0),3),INDEX('[1]REMOVAL FEES'!$E$1:$G$22,MATCH(CONCATENATE("Large bulky, extra-large and special handling items",IF($P903&gt;=11,11,$P903)),'[1]REMOVAL FEES'!$E$1:$E$13,0),3))))*$AA903,FALSE)</f>
        <v>-39.760000000000005</v>
      </c>
      <c r="AJ903" s="107">
        <f t="shared" si="172"/>
        <v>-61.910000000000004</v>
      </c>
      <c r="AK903" s="107">
        <v>0</v>
      </c>
      <c r="AL903" s="107">
        <v>0</v>
      </c>
      <c r="AM903" s="107">
        <f t="shared" si="173"/>
        <v>0</v>
      </c>
      <c r="AN903" s="116">
        <f>(-IF($V903="Yes", IF($X903="Yes", VLOOKUP($W903, '[1]Storage Fees'!A:M, 13, FALSE), VLOOKUP($W903, '[1]Storage Fees'!A:M, 10, FALSE)), IF($X903="Yes", VLOOKUP($W903, '[1]Storage Fees'!A:M, 7, FALSE), VLOOKUP($W903, '[1]Storage Fees'!A:M, 4, FALSE))) * U903)*1.5</f>
        <v>-3.2093750000000001</v>
      </c>
    </row>
    <row r="904" spans="1:40" x14ac:dyDescent="0.25">
      <c r="A904" s="99">
        <v>832</v>
      </c>
      <c r="B904" s="99" t="s">
        <v>55</v>
      </c>
      <c r="C904" s="99" t="s">
        <v>13655</v>
      </c>
      <c r="D904" s="99" t="s">
        <v>714</v>
      </c>
      <c r="E904" s="99" t="s">
        <v>1493</v>
      </c>
      <c r="F904" s="99" t="s">
        <v>1492</v>
      </c>
      <c r="G904" s="99" t="s">
        <v>13695</v>
      </c>
      <c r="H904" s="99">
        <v>0</v>
      </c>
      <c r="I904" s="99">
        <v>0</v>
      </c>
      <c r="J904" s="99">
        <v>0</v>
      </c>
      <c r="K904" s="101" t="str">
        <f t="shared" si="161"/>
        <v>0x0x0</v>
      </c>
      <c r="L904" s="102">
        <f t="shared" si="162"/>
        <v>0</v>
      </c>
      <c r="M904" s="113">
        <f t="shared" si="163"/>
        <v>0</v>
      </c>
      <c r="N904" s="113">
        <f t="shared" si="164"/>
        <v>0</v>
      </c>
      <c r="O904" s="99">
        <v>0</v>
      </c>
      <c r="P904" s="113">
        <f t="shared" si="165"/>
        <v>0</v>
      </c>
      <c r="Q904" s="112">
        <f t="shared" si="166"/>
        <v>0</v>
      </c>
      <c r="R904" s="112" t="str">
        <f t="shared" si="167"/>
        <v>Standard-size</v>
      </c>
      <c r="S904" s="99" t="str">
        <f t="shared" si="168"/>
        <v>Small standard-size</v>
      </c>
      <c r="T904" s="116" t="s">
        <v>13696</v>
      </c>
      <c r="U904" s="116">
        <f t="shared" si="169"/>
        <v>0</v>
      </c>
      <c r="V904" s="116" t="s">
        <v>13583</v>
      </c>
      <c r="W904" s="116" t="s">
        <v>13690</v>
      </c>
      <c r="X904" s="99" t="s">
        <v>13583</v>
      </c>
      <c r="Y904" s="99">
        <v>1</v>
      </c>
      <c r="Z904" s="99">
        <v>1</v>
      </c>
      <c r="AA904" s="99">
        <v>1</v>
      </c>
      <c r="AB904" s="99"/>
      <c r="AC904" s="99"/>
      <c r="AD904" s="107">
        <v>35.123333333333171</v>
      </c>
      <c r="AE904" s="113">
        <f t="shared" si="170"/>
        <v>-5.2684999999999755</v>
      </c>
      <c r="AF904" s="116">
        <f>-IFERROR(IFERROR(VLOOKUP(ROUNDUP($Q904,0),'FBA FEES'!$L$2:$Q$203,MATCH($S904,'FBA FEES'!$L$2:$Q$2,0),FALSE),VLOOKUP(ROUNDUP($Q904,0),'FBA FEES'!$C$6:$F$123,MATCH($S904,'FBA FEES'!$C$6:$F$6,0),FALSE)),0)</f>
        <v>0</v>
      </c>
      <c r="AG904" s="116">
        <v>-10</v>
      </c>
      <c r="AH904" s="113">
        <f t="shared" si="171"/>
        <v>-5.2684999999999755</v>
      </c>
      <c r="AI904" s="116">
        <f>-IFERROR(IF($Y904=1,INDEX('[1]REMOVAL FEES'!$A$1:$C$22,MATCH(CONCATENATE("Standard Size",$P904),'[1]REMOVAL FEES'!$A$1:$A$22,0),3),IF($Y904=2,IF($P904&gt;10,(($P904-10)*1.06)+INDEX('[1]REMOVAL FEES'!$E$1:$G$22,MATCH(CONCATENATE("Large bulky, extra-large and special handling items",IF($P904&gt;=11,11,$P904)),'[1]REMOVAL FEES'!$E$1:$E$13,0),3),INDEX('[1]REMOVAL FEES'!$E$1:$G$22,MATCH(CONCATENATE("Large bulky, extra-large and special handling items",IF($P904&gt;=11,11,$P904)),'[1]REMOVAL FEES'!$E$1:$E$13,0),3))))*$AA904,FALSE)</f>
        <v>0</v>
      </c>
      <c r="AJ904" s="107">
        <f t="shared" si="172"/>
        <v>-5.2684999999999755</v>
      </c>
      <c r="AK904" s="107">
        <v>-14.13000000000009</v>
      </c>
      <c r="AL904" s="107">
        <v>-2.779999999999978</v>
      </c>
      <c r="AM904" s="107">
        <f t="shared" si="173"/>
        <v>-16.910000000000068</v>
      </c>
      <c r="AN904" s="116">
        <f>(-IF($V904="Yes", IF($X904="Yes", VLOOKUP($W904, '[1]Storage Fees'!A:M, 13, FALSE), VLOOKUP($W904, '[1]Storage Fees'!A:M, 10, FALSE)), IF($X904="Yes", VLOOKUP($W904, '[1]Storage Fees'!A:M, 7, FALSE), VLOOKUP($W904, '[1]Storage Fees'!A:M, 4, FALSE))) * U904)*1.5</f>
        <v>0</v>
      </c>
    </row>
    <row r="905" spans="1:40" x14ac:dyDescent="0.25">
      <c r="A905" s="99">
        <v>833</v>
      </c>
      <c r="B905" s="99" t="s">
        <v>13699</v>
      </c>
      <c r="C905" s="99"/>
      <c r="D905" s="99" t="s">
        <v>119</v>
      </c>
      <c r="E905" s="99" t="s">
        <v>120</v>
      </c>
      <c r="F905" s="99" t="s">
        <v>550</v>
      </c>
      <c r="G905" s="99" t="s">
        <v>13695</v>
      </c>
      <c r="H905" s="99">
        <v>26</v>
      </c>
      <c r="I905" s="99">
        <v>20</v>
      </c>
      <c r="J905" s="99">
        <v>3</v>
      </c>
      <c r="K905" s="101" t="str">
        <f t="shared" ref="K905:K968" si="174">H905&amp;"x"&amp;I905&amp;"x"&amp;J905</f>
        <v>26x20x3</v>
      </c>
      <c r="L905" s="102">
        <f t="shared" ref="L905:L968" si="175">(H905*I905*J905)/139</f>
        <v>11.223021582733812</v>
      </c>
      <c r="M905" s="113">
        <f t="shared" ref="M905:M968" si="176">(H905*I905*J905)/139</f>
        <v>11.223021582733812</v>
      </c>
      <c r="N905" s="113">
        <f t="shared" ref="N905:N968" si="177">IF(AND(M905&gt;0,M905&lt;=0.25),0.25,IF(AND(M905&gt;0.25,M905&lt;=0.5),0.5,IF(AND(M905&gt;0.5,M905&lt;=0.75),0.75,ROUNDUP(M905,0))))</f>
        <v>12</v>
      </c>
      <c r="O905" s="99">
        <v>30</v>
      </c>
      <c r="P905" s="113">
        <f t="shared" ref="P905:P968" si="178">ROUNDUP(MAX(L905,O905),0)</f>
        <v>30</v>
      </c>
      <c r="Q905" s="112">
        <f t="shared" ref="Q905:Q968" si="179">P905*16</f>
        <v>480</v>
      </c>
      <c r="R905" s="112" t="str">
        <f t="shared" ref="R905:R968" si="180">IF(RIGHT(S905,13)="standard-size","Standard-size","Oversize")</f>
        <v>Oversize</v>
      </c>
      <c r="S905" s="99" t="str">
        <f t="shared" ref="S905:S968" si="181">IF(AND($P905&lt;=$J$50,$H905&lt;=$G$50,$I905&lt;=$H$50,$J905&lt;=$I$50),$A$50,IF(AND($P905&lt;=$J$51,$H905&lt;=$G$51,$I905&lt;=$H$51,$J905&lt;=$I$51),$A$51,IF(AND($H905&lt;=$G$52,$I905&lt;=$H$52,$J905&lt;=$I$52,$P905&lt;=$J$52),$A$52,IF(AND($P905&lt;=$J$53,OR(H$8&gt;$G$53,$I905&gt;$H$53,$J905&gt;$I$53)),$A$53,IF(AND($P905&gt;$J$53,$P905&lt;=$J$54),$A$54,IF(AND($P905&gt;$J$54,$P905&lt;=$J$55),$A$55,$A$56))))))</f>
        <v>Large bulky</v>
      </c>
      <c r="T905" s="116" t="s">
        <v>13692</v>
      </c>
      <c r="U905" s="116">
        <f t="shared" ref="U905:U968" si="182">(H905*I905*J905)/1728</f>
        <v>0.90277777777777779</v>
      </c>
      <c r="V905" s="116" t="s">
        <v>13583</v>
      </c>
      <c r="W905" s="116" t="s">
        <v>13690</v>
      </c>
      <c r="X905" s="116" t="s">
        <v>13691</v>
      </c>
      <c r="Y905" s="116">
        <v>2</v>
      </c>
      <c r="Z905" s="116">
        <v>3</v>
      </c>
      <c r="AA905" s="116">
        <v>1</v>
      </c>
      <c r="AB905" s="99"/>
      <c r="AC905" s="99"/>
      <c r="AD905" s="107">
        <v>115.59429999999981</v>
      </c>
      <c r="AE905" s="113">
        <f t="shared" ref="AE905:AE968" si="183">-AD905*0.15</f>
        <v>-17.33914499999997</v>
      </c>
      <c r="AF905" s="116">
        <f>-IFERROR(IFERROR(VLOOKUP(ROUNDUP($Q905,0),'FBA FEES'!$L$2:$Q$203,MATCH($S905,'FBA FEES'!$L$2:$Q$2,0),FALSE),VLOOKUP(ROUNDUP($Q905,0),'FBA FEES'!$C$6:$F$123,MATCH($S905,'FBA FEES'!$C$6:$F$6,0),FALSE)),0)</f>
        <v>-20.63</v>
      </c>
      <c r="AG905" s="116">
        <v>-10</v>
      </c>
      <c r="AH905" s="113">
        <f t="shared" ref="AH905:AH968" si="184">AE905+AF905</f>
        <v>-37.969144999999969</v>
      </c>
      <c r="AI905" s="116">
        <f>-IFERROR(IF($Y905=1,INDEX('[1]REMOVAL FEES'!$A$1:$C$22,MATCH(CONCATENATE("Standard Size",$P905),'[1]REMOVAL FEES'!$A$1:$A$22,0),3),IF($Y905=2,IF($P905&gt;10,(($P905-10)*1.06)+INDEX('[1]REMOVAL FEES'!$E$1:$G$22,MATCH(CONCATENATE("Large bulky, extra-large and special handling items",IF($P905&gt;=11,11,$P905)),'[1]REMOVAL FEES'!$E$1:$E$13,0),3),INDEX('[1]REMOVAL FEES'!$E$1:$G$22,MATCH(CONCATENATE("Large bulky, extra-large and special handling items",IF($P905&gt;=11,11,$P905)),'[1]REMOVAL FEES'!$E$1:$E$13,0),3))))*$AA905,FALSE)</f>
        <v>-35.520000000000003</v>
      </c>
      <c r="AJ905" s="107">
        <f t="shared" ref="AJ905:AJ968" si="185">AH905+AI905</f>
        <v>-73.489144999999979</v>
      </c>
      <c r="AK905" s="107">
        <v>-60.859999999999921</v>
      </c>
      <c r="AL905" s="107">
        <v>-13.144136111111109</v>
      </c>
      <c r="AM905" s="107">
        <f t="shared" ref="AM905:AM968" si="186">AK905+AL905</f>
        <v>-74.004136111111023</v>
      </c>
      <c r="AN905" s="116">
        <f>(-IF($V905="Yes", IF($X905="Yes", VLOOKUP($W905, '[1]Storage Fees'!A:M, 13, FALSE), VLOOKUP($W905, '[1]Storage Fees'!A:M, 10, FALSE)), IF($X905="Yes", VLOOKUP($W905, '[1]Storage Fees'!A:M, 7, FALSE), VLOOKUP($W905, '[1]Storage Fees'!A:M, 4, FALSE))) * U905)*1.5</f>
        <v>-1.0697916666666667</v>
      </c>
    </row>
    <row r="906" spans="1:40" x14ac:dyDescent="0.25">
      <c r="A906" s="99">
        <v>834</v>
      </c>
      <c r="B906" s="99" t="s">
        <v>13699</v>
      </c>
      <c r="C906" s="99"/>
      <c r="D906" s="99" t="s">
        <v>119</v>
      </c>
      <c r="E906" s="99" t="s">
        <v>120</v>
      </c>
      <c r="F906" s="99" t="s">
        <v>552</v>
      </c>
      <c r="G906" s="99" t="s">
        <v>13695</v>
      </c>
      <c r="H906" s="99">
        <v>24</v>
      </c>
      <c r="I906" s="99">
        <v>19</v>
      </c>
      <c r="J906" s="99">
        <v>4</v>
      </c>
      <c r="K906" s="101" t="str">
        <f t="shared" si="174"/>
        <v>24x19x4</v>
      </c>
      <c r="L906" s="102">
        <f t="shared" si="175"/>
        <v>13.122302158273381</v>
      </c>
      <c r="M906" s="113">
        <f t="shared" si="176"/>
        <v>13.122302158273381</v>
      </c>
      <c r="N906" s="113">
        <f t="shared" si="177"/>
        <v>14</v>
      </c>
      <c r="O906" s="99">
        <v>29</v>
      </c>
      <c r="P906" s="113">
        <f t="shared" si="178"/>
        <v>29</v>
      </c>
      <c r="Q906" s="112">
        <f t="shared" si="179"/>
        <v>464</v>
      </c>
      <c r="R906" s="112" t="str">
        <f t="shared" si="180"/>
        <v>Oversize</v>
      </c>
      <c r="S906" s="99" t="str">
        <f t="shared" si="181"/>
        <v>Large bulky</v>
      </c>
      <c r="T906" s="116" t="s">
        <v>13692</v>
      </c>
      <c r="U906" s="116">
        <f t="shared" si="182"/>
        <v>1.0555555555555556</v>
      </c>
      <c r="V906" s="116" t="s">
        <v>13583</v>
      </c>
      <c r="W906" s="116" t="s">
        <v>13690</v>
      </c>
      <c r="X906" s="116" t="s">
        <v>13691</v>
      </c>
      <c r="Y906" s="116">
        <v>2</v>
      </c>
      <c r="Z906" s="116">
        <v>3</v>
      </c>
      <c r="AA906" s="116">
        <v>1</v>
      </c>
      <c r="AB906" s="99"/>
      <c r="AC906" s="99"/>
      <c r="AD906" s="107">
        <v>127.34</v>
      </c>
      <c r="AE906" s="113">
        <f t="shared" si="183"/>
        <v>-19.100999999999999</v>
      </c>
      <c r="AF906" s="116">
        <f>-IFERROR(IFERROR(VLOOKUP(ROUNDUP($Q906,0),'FBA FEES'!$L$2:$Q$203,MATCH($S906,'FBA FEES'!$L$2:$Q$2,0),FALSE),VLOOKUP(ROUNDUP($Q906,0),'FBA FEES'!$C$6:$F$123,MATCH($S906,'FBA FEES'!$C$6:$F$6,0),FALSE)),0)</f>
        <v>-20.25</v>
      </c>
      <c r="AG906" s="116">
        <v>-10</v>
      </c>
      <c r="AH906" s="113">
        <f t="shared" si="184"/>
        <v>-39.350999999999999</v>
      </c>
      <c r="AI906" s="116">
        <f>-IFERROR(IF($Y906=1,INDEX('[1]REMOVAL FEES'!$A$1:$C$22,MATCH(CONCATENATE("Standard Size",$P906),'[1]REMOVAL FEES'!$A$1:$A$22,0),3),IF($Y906=2,IF($P906&gt;10,(($P906-10)*1.06)+INDEX('[1]REMOVAL FEES'!$E$1:$G$22,MATCH(CONCATENATE("Large bulky, extra-large and special handling items",IF($P906&gt;=11,11,$P906)),'[1]REMOVAL FEES'!$E$1:$E$13,0),3),INDEX('[1]REMOVAL FEES'!$E$1:$G$22,MATCH(CONCATENATE("Large bulky, extra-large and special handling items",IF($P906&gt;=11,11,$P906)),'[1]REMOVAL FEES'!$E$1:$E$13,0),3))))*$AA906,FALSE)</f>
        <v>-34.46</v>
      </c>
      <c r="AJ906" s="107">
        <f t="shared" si="185"/>
        <v>-73.811000000000007</v>
      </c>
      <c r="AK906" s="107">
        <v>-67.210000000000008</v>
      </c>
      <c r="AL906" s="107">
        <v>-11.92194464285714</v>
      </c>
      <c r="AM906" s="107">
        <f t="shared" si="186"/>
        <v>-79.13194464285715</v>
      </c>
      <c r="AN906" s="116">
        <f>(-IF($V906="Yes", IF($X906="Yes", VLOOKUP($W906, '[1]Storage Fees'!A:M, 13, FALSE), VLOOKUP($W906, '[1]Storage Fees'!A:M, 10, FALSE)), IF($X906="Yes", VLOOKUP($W906, '[1]Storage Fees'!A:M, 7, FALSE), VLOOKUP($W906, '[1]Storage Fees'!A:M, 4, FALSE))) * U906)*1.5</f>
        <v>-1.2508333333333335</v>
      </c>
    </row>
    <row r="907" spans="1:40" x14ac:dyDescent="0.25">
      <c r="A907" s="99">
        <v>835</v>
      </c>
      <c r="B907" s="99" t="s">
        <v>13699</v>
      </c>
      <c r="C907" s="99"/>
      <c r="D907" s="99" t="s">
        <v>119</v>
      </c>
      <c r="E907" s="99" t="s">
        <v>120</v>
      </c>
      <c r="F907" s="99" t="s">
        <v>554</v>
      </c>
      <c r="G907" s="99" t="s">
        <v>13695</v>
      </c>
      <c r="H907" s="99">
        <v>24</v>
      </c>
      <c r="I907" s="99">
        <v>19</v>
      </c>
      <c r="J907" s="99">
        <v>4</v>
      </c>
      <c r="K907" s="101" t="str">
        <f t="shared" si="174"/>
        <v>24x19x4</v>
      </c>
      <c r="L907" s="102">
        <f t="shared" si="175"/>
        <v>13.122302158273381</v>
      </c>
      <c r="M907" s="113">
        <f t="shared" si="176"/>
        <v>13.122302158273381</v>
      </c>
      <c r="N907" s="113">
        <f t="shared" si="177"/>
        <v>14</v>
      </c>
      <c r="O907" s="99">
        <v>32</v>
      </c>
      <c r="P907" s="113">
        <f t="shared" si="178"/>
        <v>32</v>
      </c>
      <c r="Q907" s="112">
        <f t="shared" si="179"/>
        <v>512</v>
      </c>
      <c r="R907" s="112" t="str">
        <f t="shared" si="180"/>
        <v>Oversize</v>
      </c>
      <c r="S907" s="99" t="str">
        <f t="shared" si="181"/>
        <v>Large bulky</v>
      </c>
      <c r="T907" s="116" t="s">
        <v>13694</v>
      </c>
      <c r="U907" s="116">
        <f t="shared" si="182"/>
        <v>1.0555555555555556</v>
      </c>
      <c r="V907" s="116" t="s">
        <v>13583</v>
      </c>
      <c r="W907" s="116" t="s">
        <v>13690</v>
      </c>
      <c r="X907" s="116" t="s">
        <v>13691</v>
      </c>
      <c r="Y907" s="116">
        <v>2</v>
      </c>
      <c r="Z907" s="116">
        <v>3</v>
      </c>
      <c r="AA907" s="116">
        <v>1</v>
      </c>
      <c r="AB907" s="99"/>
      <c r="AC907" s="99"/>
      <c r="AD907" s="107">
        <v>124.0488888888889</v>
      </c>
      <c r="AE907" s="113">
        <f t="shared" si="183"/>
        <v>-18.607333333333333</v>
      </c>
      <c r="AF907" s="116">
        <f>-IFERROR(IFERROR(VLOOKUP(ROUNDUP($Q907,0),'FBA FEES'!$L$2:$Q$203,MATCH($S907,'FBA FEES'!$L$2:$Q$2,0),FALSE),VLOOKUP(ROUNDUP($Q907,0),'FBA FEES'!$C$6:$F$123,MATCH($S907,'FBA FEES'!$C$6:$F$6,0),FALSE)),0)</f>
        <v>-21.39</v>
      </c>
      <c r="AG907" s="116">
        <v>-10</v>
      </c>
      <c r="AH907" s="113">
        <f t="shared" si="184"/>
        <v>-39.99733333333333</v>
      </c>
      <c r="AI907" s="116">
        <f>-IFERROR(IF($Y907=1,INDEX('[1]REMOVAL FEES'!$A$1:$C$22,MATCH(CONCATENATE("Standard Size",$P907),'[1]REMOVAL FEES'!$A$1:$A$22,0),3),IF($Y907=2,IF($P907&gt;10,(($P907-10)*1.06)+INDEX('[1]REMOVAL FEES'!$E$1:$G$22,MATCH(CONCATENATE("Large bulky, extra-large and special handling items",IF($P907&gt;=11,11,$P907)),'[1]REMOVAL FEES'!$E$1:$E$13,0),3),INDEX('[1]REMOVAL FEES'!$E$1:$G$22,MATCH(CONCATENATE("Large bulky, extra-large and special handling items",IF($P907&gt;=11,11,$P907)),'[1]REMOVAL FEES'!$E$1:$E$13,0),3))))*$AA907,FALSE)</f>
        <v>-37.64</v>
      </c>
      <c r="AJ907" s="107">
        <f t="shared" si="185"/>
        <v>-77.637333333333331</v>
      </c>
      <c r="AK907" s="107">
        <v>-70.05</v>
      </c>
      <c r="AL907" s="107">
        <v>-13.77633333333333</v>
      </c>
      <c r="AM907" s="107">
        <f t="shared" si="186"/>
        <v>-83.826333333333324</v>
      </c>
      <c r="AN907" s="116">
        <f>(-IF($V907="Yes", IF($X907="Yes", VLOOKUP($W907, '[1]Storage Fees'!A:M, 13, FALSE), VLOOKUP($W907, '[1]Storage Fees'!A:M, 10, FALSE)), IF($X907="Yes", VLOOKUP($W907, '[1]Storage Fees'!A:M, 7, FALSE), VLOOKUP($W907, '[1]Storage Fees'!A:M, 4, FALSE))) * U907)*1.5</f>
        <v>-1.2508333333333335</v>
      </c>
    </row>
    <row r="908" spans="1:40" x14ac:dyDescent="0.25">
      <c r="A908" s="99">
        <v>836</v>
      </c>
      <c r="B908" s="99" t="s">
        <v>13699</v>
      </c>
      <c r="C908" s="99"/>
      <c r="D908" s="99" t="s">
        <v>119</v>
      </c>
      <c r="E908" s="99" t="s">
        <v>120</v>
      </c>
      <c r="F908" s="99" t="s">
        <v>556</v>
      </c>
      <c r="G908" s="99" t="s">
        <v>13695</v>
      </c>
      <c r="H908" s="99">
        <v>25</v>
      </c>
      <c r="I908" s="99">
        <v>19</v>
      </c>
      <c r="J908" s="99">
        <v>4</v>
      </c>
      <c r="K908" s="101" t="str">
        <f t="shared" si="174"/>
        <v>25x19x4</v>
      </c>
      <c r="L908" s="102">
        <f t="shared" si="175"/>
        <v>13.669064748201439</v>
      </c>
      <c r="M908" s="113">
        <f t="shared" si="176"/>
        <v>13.669064748201439</v>
      </c>
      <c r="N908" s="113">
        <f t="shared" si="177"/>
        <v>14</v>
      </c>
      <c r="O908" s="99">
        <v>31</v>
      </c>
      <c r="P908" s="113">
        <f t="shared" si="178"/>
        <v>31</v>
      </c>
      <c r="Q908" s="112">
        <f t="shared" si="179"/>
        <v>496</v>
      </c>
      <c r="R908" s="112" t="str">
        <f t="shared" si="180"/>
        <v>Oversize</v>
      </c>
      <c r="S908" s="99" t="str">
        <f t="shared" si="181"/>
        <v>Large bulky</v>
      </c>
      <c r="T908" s="116" t="s">
        <v>13694</v>
      </c>
      <c r="U908" s="116">
        <f t="shared" si="182"/>
        <v>1.099537037037037</v>
      </c>
      <c r="V908" s="116" t="s">
        <v>13583</v>
      </c>
      <c r="W908" s="116" t="s">
        <v>13690</v>
      </c>
      <c r="X908" s="116" t="s">
        <v>13691</v>
      </c>
      <c r="Y908" s="116">
        <v>2</v>
      </c>
      <c r="Z908" s="116">
        <v>3</v>
      </c>
      <c r="AA908" s="116">
        <v>1</v>
      </c>
      <c r="AB908" s="99"/>
      <c r="AC908" s="99"/>
      <c r="AD908" s="107">
        <v>154.83499999999989</v>
      </c>
      <c r="AE908" s="113">
        <f t="shared" si="183"/>
        <v>-23.225249999999985</v>
      </c>
      <c r="AF908" s="116">
        <f>-IFERROR(IFERROR(VLOOKUP(ROUNDUP($Q908,0),'FBA FEES'!$L$2:$Q$203,MATCH($S908,'FBA FEES'!$L$2:$Q$2,0),FALSE),VLOOKUP(ROUNDUP($Q908,0),'FBA FEES'!$C$6:$F$123,MATCH($S908,'FBA FEES'!$C$6:$F$6,0),FALSE)),0)</f>
        <v>-21.009999999999998</v>
      </c>
      <c r="AG908" s="116">
        <v>-10</v>
      </c>
      <c r="AH908" s="113">
        <f t="shared" si="184"/>
        <v>-44.235249999999979</v>
      </c>
      <c r="AI908" s="116">
        <f>-IFERROR(IF($Y908=1,INDEX('[1]REMOVAL FEES'!$A$1:$C$22,MATCH(CONCATENATE("Standard Size",$P908),'[1]REMOVAL FEES'!$A$1:$A$22,0),3),IF($Y908=2,IF($P908&gt;10,(($P908-10)*1.06)+INDEX('[1]REMOVAL FEES'!$E$1:$G$22,MATCH(CONCATENATE("Large bulky, extra-large and special handling items",IF($P908&gt;=11,11,$P908)),'[1]REMOVAL FEES'!$E$1:$E$13,0),3),INDEX('[1]REMOVAL FEES'!$E$1:$G$22,MATCH(CONCATENATE("Large bulky, extra-large and special handling items",IF($P908&gt;=11,11,$P908)),'[1]REMOVAL FEES'!$E$1:$E$13,0),3))))*$AA908,FALSE)</f>
        <v>-36.58</v>
      </c>
      <c r="AJ908" s="107">
        <f t="shared" si="185"/>
        <v>-80.815249999999978</v>
      </c>
      <c r="AK908" s="107">
        <v>-66.48</v>
      </c>
      <c r="AL908" s="107">
        <v>-12.35954027777778</v>
      </c>
      <c r="AM908" s="107">
        <f t="shared" si="186"/>
        <v>-78.839540277777786</v>
      </c>
      <c r="AN908" s="116">
        <f>(-IF($V908="Yes", IF($X908="Yes", VLOOKUP($W908, '[1]Storage Fees'!A:M, 13, FALSE), VLOOKUP($W908, '[1]Storage Fees'!A:M, 10, FALSE)), IF($X908="Yes", VLOOKUP($W908, '[1]Storage Fees'!A:M, 7, FALSE), VLOOKUP($W908, '[1]Storage Fees'!A:M, 4, FALSE))) * U908)*1.5</f>
        <v>-1.3029513888888888</v>
      </c>
    </row>
    <row r="909" spans="1:40" x14ac:dyDescent="0.25">
      <c r="A909" s="99">
        <v>837</v>
      </c>
      <c r="B909" s="99" t="s">
        <v>13699</v>
      </c>
      <c r="C909" s="99"/>
      <c r="D909" s="99" t="s">
        <v>119</v>
      </c>
      <c r="E909" s="99" t="s">
        <v>120</v>
      </c>
      <c r="F909" s="99" t="s">
        <v>558</v>
      </c>
      <c r="G909" s="99" t="s">
        <v>13695</v>
      </c>
      <c r="H909" s="99">
        <v>24</v>
      </c>
      <c r="I909" s="99">
        <v>19</v>
      </c>
      <c r="J909" s="99">
        <v>4</v>
      </c>
      <c r="K909" s="101" t="str">
        <f t="shared" si="174"/>
        <v>24x19x4</v>
      </c>
      <c r="L909" s="102">
        <f t="shared" si="175"/>
        <v>13.122302158273381</v>
      </c>
      <c r="M909" s="113">
        <f t="shared" si="176"/>
        <v>13.122302158273381</v>
      </c>
      <c r="N909" s="113">
        <f t="shared" si="177"/>
        <v>14</v>
      </c>
      <c r="O909" s="99">
        <v>29</v>
      </c>
      <c r="P909" s="113">
        <f t="shared" si="178"/>
        <v>29</v>
      </c>
      <c r="Q909" s="112">
        <f t="shared" si="179"/>
        <v>464</v>
      </c>
      <c r="R909" s="112" t="str">
        <f t="shared" si="180"/>
        <v>Oversize</v>
      </c>
      <c r="S909" s="99" t="str">
        <f t="shared" si="181"/>
        <v>Large bulky</v>
      </c>
      <c r="T909" s="116" t="s">
        <v>13692</v>
      </c>
      <c r="U909" s="116">
        <f t="shared" si="182"/>
        <v>1.0555555555555556</v>
      </c>
      <c r="V909" s="116" t="s">
        <v>13583</v>
      </c>
      <c r="W909" s="116" t="s">
        <v>13690</v>
      </c>
      <c r="X909" s="116" t="s">
        <v>13691</v>
      </c>
      <c r="Y909" s="116">
        <v>2</v>
      </c>
      <c r="Z909" s="116">
        <v>3</v>
      </c>
      <c r="AA909" s="116">
        <v>1</v>
      </c>
      <c r="AB909" s="99"/>
      <c r="AC909" s="99"/>
      <c r="AD909" s="107">
        <v>138.21222222222221</v>
      </c>
      <c r="AE909" s="113">
        <f t="shared" si="183"/>
        <v>-20.731833333333331</v>
      </c>
      <c r="AF909" s="116">
        <f>-IFERROR(IFERROR(VLOOKUP(ROUNDUP($Q909,0),'FBA FEES'!$L$2:$Q$203,MATCH($S909,'FBA FEES'!$L$2:$Q$2,0),FALSE),VLOOKUP(ROUNDUP($Q909,0),'FBA FEES'!$C$6:$F$123,MATCH($S909,'FBA FEES'!$C$6:$F$6,0),FALSE)),0)</f>
        <v>-20.25</v>
      </c>
      <c r="AG909" s="116">
        <v>-10</v>
      </c>
      <c r="AH909" s="113">
        <f t="shared" si="184"/>
        <v>-40.981833333333327</v>
      </c>
      <c r="AI909" s="116">
        <f>-IFERROR(IF($Y909=1,INDEX('[1]REMOVAL FEES'!$A$1:$C$22,MATCH(CONCATENATE("Standard Size",$P909),'[1]REMOVAL FEES'!$A$1:$A$22,0),3),IF($Y909=2,IF($P909&gt;10,(($P909-10)*1.06)+INDEX('[1]REMOVAL FEES'!$E$1:$G$22,MATCH(CONCATENATE("Large bulky, extra-large and special handling items",IF($P909&gt;=11,11,$P909)),'[1]REMOVAL FEES'!$E$1:$E$13,0),3),INDEX('[1]REMOVAL FEES'!$E$1:$G$22,MATCH(CONCATENATE("Large bulky, extra-large and special handling items",IF($P909&gt;=11,11,$P909)),'[1]REMOVAL FEES'!$E$1:$E$13,0),3))))*$AA909,FALSE)</f>
        <v>-34.46</v>
      </c>
      <c r="AJ909" s="107">
        <f t="shared" si="185"/>
        <v>-75.441833333333335</v>
      </c>
      <c r="AK909" s="107">
        <v>-69.239999999999995</v>
      </c>
      <c r="AL909" s="107">
        <v>-12.59305555555556</v>
      </c>
      <c r="AM909" s="107">
        <f t="shared" si="186"/>
        <v>-81.833055555555561</v>
      </c>
      <c r="AN909" s="116">
        <f>(-IF($V909="Yes", IF($X909="Yes", VLOOKUP($W909, '[1]Storage Fees'!A:M, 13, FALSE), VLOOKUP($W909, '[1]Storage Fees'!A:M, 10, FALSE)), IF($X909="Yes", VLOOKUP($W909, '[1]Storage Fees'!A:M, 7, FALSE), VLOOKUP($W909, '[1]Storage Fees'!A:M, 4, FALSE))) * U909)*1.5</f>
        <v>-1.2508333333333335</v>
      </c>
    </row>
    <row r="910" spans="1:40" x14ac:dyDescent="0.25">
      <c r="A910" s="99">
        <v>838</v>
      </c>
      <c r="B910" s="99" t="s">
        <v>13699</v>
      </c>
      <c r="C910" s="99"/>
      <c r="D910" s="99"/>
      <c r="E910" s="99" t="s">
        <v>278</v>
      </c>
      <c r="F910" s="99" t="s">
        <v>560</v>
      </c>
      <c r="G910" s="99" t="s">
        <v>13695</v>
      </c>
      <c r="H910" s="99">
        <v>40</v>
      </c>
      <c r="I910" s="99">
        <v>40</v>
      </c>
      <c r="J910" s="99">
        <v>4</v>
      </c>
      <c r="K910" s="101" t="str">
        <f t="shared" si="174"/>
        <v>40x40x4</v>
      </c>
      <c r="L910" s="102">
        <f t="shared" si="175"/>
        <v>46.043165467625897</v>
      </c>
      <c r="M910" s="113">
        <f t="shared" si="176"/>
        <v>46.043165467625897</v>
      </c>
      <c r="N910" s="113">
        <f t="shared" si="177"/>
        <v>47</v>
      </c>
      <c r="O910" s="99">
        <v>28</v>
      </c>
      <c r="P910" s="113">
        <f t="shared" si="178"/>
        <v>47</v>
      </c>
      <c r="Q910" s="112">
        <f t="shared" si="179"/>
        <v>752</v>
      </c>
      <c r="R910" s="112" t="str">
        <f t="shared" si="180"/>
        <v>Oversize</v>
      </c>
      <c r="S910" s="99" t="str">
        <f t="shared" si="181"/>
        <v>Extra-large 0 to 50 lb</v>
      </c>
      <c r="T910" s="116" t="s">
        <v>13706</v>
      </c>
      <c r="U910" s="116">
        <f t="shared" si="182"/>
        <v>3.7037037037037037</v>
      </c>
      <c r="V910" s="116" t="s">
        <v>13583</v>
      </c>
      <c r="W910" s="116" t="s">
        <v>13690</v>
      </c>
      <c r="X910" s="116" t="s">
        <v>13691</v>
      </c>
      <c r="Y910" s="116">
        <v>2</v>
      </c>
      <c r="Z910" s="116">
        <v>4</v>
      </c>
      <c r="AA910" s="116">
        <v>1</v>
      </c>
      <c r="AB910" s="99"/>
      <c r="AC910" s="99"/>
      <c r="AD910" s="107">
        <v>259.53230769230771</v>
      </c>
      <c r="AE910" s="113">
        <f t="shared" si="183"/>
        <v>-38.929846153846157</v>
      </c>
      <c r="AF910" s="116">
        <f>-IFERROR(IFERROR(VLOOKUP(ROUNDUP($Q910,0),'FBA FEES'!$L$2:$Q$203,MATCH($S910,'FBA FEES'!$L$2:$Q$2,0),FALSE),VLOOKUP(ROUNDUP($Q910,0),'FBA FEES'!$C$6:$F$123,MATCH($S910,'FBA FEES'!$C$6:$F$6,0),FALSE)),0)</f>
        <v>-43.81</v>
      </c>
      <c r="AG910" s="116">
        <v>-10</v>
      </c>
      <c r="AH910" s="113">
        <f t="shared" si="184"/>
        <v>-82.739846153846159</v>
      </c>
      <c r="AI910" s="116">
        <f>-IFERROR(IF($Y910=1,INDEX('[1]REMOVAL FEES'!$A$1:$C$22,MATCH(CONCATENATE("Standard Size",$P910),'[1]REMOVAL FEES'!$A$1:$A$22,0),3),IF($Y910=2,IF($P910&gt;10,(($P910-10)*1.06)+INDEX('[1]REMOVAL FEES'!$E$1:$G$22,MATCH(CONCATENATE("Large bulky, extra-large and special handling items",IF($P910&gt;=11,11,$P910)),'[1]REMOVAL FEES'!$E$1:$E$13,0),3),INDEX('[1]REMOVAL FEES'!$E$1:$G$22,MATCH(CONCATENATE("Large bulky, extra-large and special handling items",IF($P910&gt;=11,11,$P910)),'[1]REMOVAL FEES'!$E$1:$E$13,0),3))))*$AA910,FALSE)</f>
        <v>-53.54</v>
      </c>
      <c r="AJ910" s="107">
        <f t="shared" si="185"/>
        <v>-136.27984615384617</v>
      </c>
      <c r="AK910" s="107">
        <v>-76.61</v>
      </c>
      <c r="AL910" s="107">
        <v>-21.70197069597069</v>
      </c>
      <c r="AM910" s="107">
        <f t="shared" si="186"/>
        <v>-98.311970695970686</v>
      </c>
      <c r="AN910" s="116">
        <f>(-IF($V910="Yes", IF($X910="Yes", VLOOKUP($W910, '[1]Storage Fees'!A:M, 13, FALSE), VLOOKUP($W910, '[1]Storage Fees'!A:M, 10, FALSE)), IF($X910="Yes", VLOOKUP($W910, '[1]Storage Fees'!A:M, 7, FALSE), VLOOKUP($W910, '[1]Storage Fees'!A:M, 4, FALSE))) * U910)*1.5</f>
        <v>-4.3888888888888893</v>
      </c>
    </row>
    <row r="911" spans="1:40" x14ac:dyDescent="0.25">
      <c r="A911" s="99">
        <v>839</v>
      </c>
      <c r="B911" s="99" t="s">
        <v>13699</v>
      </c>
      <c r="C911" s="99"/>
      <c r="D911" s="99"/>
      <c r="E911" s="99" t="s">
        <v>278</v>
      </c>
      <c r="F911" s="99" t="s">
        <v>562</v>
      </c>
      <c r="G911" s="99" t="s">
        <v>13695</v>
      </c>
      <c r="H911" s="99">
        <v>60</v>
      </c>
      <c r="I911" s="99">
        <v>6</v>
      </c>
      <c r="J911" s="99">
        <v>3</v>
      </c>
      <c r="K911" s="101" t="str">
        <f t="shared" si="174"/>
        <v>60x6x3</v>
      </c>
      <c r="L911" s="102">
        <f t="shared" si="175"/>
        <v>7.7697841726618702</v>
      </c>
      <c r="M911" s="113">
        <f t="shared" si="176"/>
        <v>7.7697841726618702</v>
      </c>
      <c r="N911" s="113">
        <f t="shared" si="177"/>
        <v>8</v>
      </c>
      <c r="O911" s="99">
        <v>20</v>
      </c>
      <c r="P911" s="113">
        <f t="shared" si="178"/>
        <v>20</v>
      </c>
      <c r="Q911" s="112">
        <f t="shared" si="179"/>
        <v>320</v>
      </c>
      <c r="R911" s="112" t="str">
        <f t="shared" si="180"/>
        <v>Oversize</v>
      </c>
      <c r="S911" s="99" t="str">
        <f t="shared" si="181"/>
        <v>Extra-large 0 to 50 lb</v>
      </c>
      <c r="T911" s="116" t="s">
        <v>13706</v>
      </c>
      <c r="U911" s="116">
        <f t="shared" si="182"/>
        <v>0.625</v>
      </c>
      <c r="V911" s="116" t="s">
        <v>13583</v>
      </c>
      <c r="W911" s="116" t="s">
        <v>13690</v>
      </c>
      <c r="X911" s="116" t="s">
        <v>13691</v>
      </c>
      <c r="Y911" s="116">
        <v>2</v>
      </c>
      <c r="Z911" s="116">
        <v>4</v>
      </c>
      <c r="AA911" s="116">
        <v>1</v>
      </c>
      <c r="AB911" s="99"/>
      <c r="AC911" s="99"/>
      <c r="AD911" s="107">
        <v>83.74</v>
      </c>
      <c r="AE911" s="113">
        <f t="shared" si="183"/>
        <v>-12.560999999999998</v>
      </c>
      <c r="AF911" s="116">
        <f>-IFERROR(IFERROR(VLOOKUP(ROUNDUP($Q911,0),'FBA FEES'!$L$2:$Q$203,MATCH($S911,'FBA FEES'!$L$2:$Q$2,0),FALSE),VLOOKUP(ROUNDUP($Q911,0),'FBA FEES'!$C$6:$F$123,MATCH($S911,'FBA FEES'!$C$6:$F$6,0),FALSE)),0)</f>
        <v>-33.549999999999997</v>
      </c>
      <c r="AG911" s="116">
        <v>-10</v>
      </c>
      <c r="AH911" s="113">
        <f t="shared" si="184"/>
        <v>-46.110999999999997</v>
      </c>
      <c r="AI911" s="116">
        <f>-IFERROR(IF($Y911=1,INDEX('[1]REMOVAL FEES'!$A$1:$C$22,MATCH(CONCATENATE("Standard Size",$P911),'[1]REMOVAL FEES'!$A$1:$A$22,0),3),IF($Y911=2,IF($P911&gt;10,(($P911-10)*1.06)+INDEX('[1]REMOVAL FEES'!$E$1:$G$22,MATCH(CONCATENATE("Large bulky, extra-large and special handling items",IF($P911&gt;=11,11,$P911)),'[1]REMOVAL FEES'!$E$1:$E$13,0),3),INDEX('[1]REMOVAL FEES'!$E$1:$G$22,MATCH(CONCATENATE("Large bulky, extra-large and special handling items",IF($P911&gt;=11,11,$P911)),'[1]REMOVAL FEES'!$E$1:$E$13,0),3))))*$AA911,FALSE)</f>
        <v>-24.92</v>
      </c>
      <c r="AJ911" s="107">
        <f t="shared" si="185"/>
        <v>-71.031000000000006</v>
      </c>
      <c r="AK911" s="107">
        <v>-38</v>
      </c>
      <c r="AL911" s="107">
        <v>-24.313400000000001</v>
      </c>
      <c r="AM911" s="107">
        <f t="shared" si="186"/>
        <v>-62.313400000000001</v>
      </c>
      <c r="AN911" s="116">
        <f>(-IF($V911="Yes", IF($X911="Yes", VLOOKUP($W911, '[1]Storage Fees'!A:M, 13, FALSE), VLOOKUP($W911, '[1]Storage Fees'!A:M, 10, FALSE)), IF($X911="Yes", VLOOKUP($W911, '[1]Storage Fees'!A:M, 7, FALSE), VLOOKUP($W911, '[1]Storage Fees'!A:M, 4, FALSE))) * U911)*1.5</f>
        <v>-0.74062500000000009</v>
      </c>
    </row>
    <row r="912" spans="1:40" x14ac:dyDescent="0.25">
      <c r="A912" s="99">
        <v>840</v>
      </c>
      <c r="B912" s="99" t="s">
        <v>55</v>
      </c>
      <c r="C912" s="99" t="s">
        <v>13655</v>
      </c>
      <c r="D912" s="99" t="s">
        <v>1403</v>
      </c>
      <c r="E912" s="99" t="s">
        <v>82</v>
      </c>
      <c r="F912" s="99" t="s">
        <v>1494</v>
      </c>
      <c r="G912" s="99" t="s">
        <v>13695</v>
      </c>
      <c r="H912" s="99">
        <v>25</v>
      </c>
      <c r="I912" s="99">
        <v>5</v>
      </c>
      <c r="J912" s="99">
        <v>5</v>
      </c>
      <c r="K912" s="101" t="str">
        <f t="shared" si="174"/>
        <v>25x5x5</v>
      </c>
      <c r="L912" s="102">
        <f t="shared" si="175"/>
        <v>4.4964028776978413</v>
      </c>
      <c r="M912" s="113">
        <f t="shared" si="176"/>
        <v>4.4964028776978413</v>
      </c>
      <c r="N912" s="113">
        <f t="shared" si="177"/>
        <v>5</v>
      </c>
      <c r="O912" s="99">
        <v>3</v>
      </c>
      <c r="P912" s="113">
        <f t="shared" si="178"/>
        <v>5</v>
      </c>
      <c r="Q912" s="112">
        <f t="shared" si="179"/>
        <v>80</v>
      </c>
      <c r="R912" s="112" t="str">
        <f t="shared" si="180"/>
        <v>Oversize</v>
      </c>
      <c r="S912" s="99" t="str">
        <f t="shared" si="181"/>
        <v>Large bulky</v>
      </c>
      <c r="T912" s="116" t="s">
        <v>13692</v>
      </c>
      <c r="U912" s="116">
        <f t="shared" si="182"/>
        <v>0.36168981481481483</v>
      </c>
      <c r="V912" s="116" t="s">
        <v>13583</v>
      </c>
      <c r="W912" s="116" t="s">
        <v>13690</v>
      </c>
      <c r="X912" s="116" t="s">
        <v>13691</v>
      </c>
      <c r="Y912" s="116">
        <v>2</v>
      </c>
      <c r="Z912" s="116">
        <v>3</v>
      </c>
      <c r="AA912" s="116">
        <v>1</v>
      </c>
      <c r="AB912" s="99"/>
      <c r="AC912" s="99"/>
      <c r="AD912" s="107">
        <v>0</v>
      </c>
      <c r="AE912" s="113">
        <f t="shared" si="183"/>
        <v>0</v>
      </c>
      <c r="AF912" s="116">
        <f>-IFERROR(IFERROR(VLOOKUP(ROUNDUP($Q912,0),'FBA FEES'!$L$2:$Q$203,MATCH($S912,'FBA FEES'!$L$2:$Q$2,0),FALSE),VLOOKUP(ROUNDUP($Q912,0),'FBA FEES'!$C$6:$F$123,MATCH($S912,'FBA FEES'!$C$6:$F$6,0),FALSE)),0)</f>
        <v>-11.129999999999999</v>
      </c>
      <c r="AG912" s="116">
        <v>-10</v>
      </c>
      <c r="AH912" s="113">
        <f t="shared" si="184"/>
        <v>-11.129999999999999</v>
      </c>
      <c r="AI912" s="116">
        <f>-IFERROR(IF($Y912=1,INDEX('[1]REMOVAL FEES'!$A$1:$C$22,MATCH(CONCATENATE("Standard Size",$P912),'[1]REMOVAL FEES'!$A$1:$A$22,0),3),IF($Y912=2,IF($P912&gt;10,(($P912-10)*1.06)+INDEX('[1]REMOVAL FEES'!$E$1:$G$22,MATCH(CONCATENATE("Large bulky, extra-large and special handling items",IF($P912&gt;=11,11,$P912)),'[1]REMOVAL FEES'!$E$1:$E$13,0),3),INDEX('[1]REMOVAL FEES'!$E$1:$G$22,MATCH(CONCATENATE("Large bulky, extra-large and special handling items",IF($P912&gt;=11,11,$P912)),'[1]REMOVAL FEES'!$E$1:$E$13,0),3))))*$AA912,FALSE)</f>
        <v>-10.039999999999999</v>
      </c>
      <c r="AJ912" s="107">
        <f t="shared" si="185"/>
        <v>-21.169999999999998</v>
      </c>
      <c r="AK912" s="107">
        <v>0</v>
      </c>
      <c r="AL912" s="107">
        <v>0</v>
      </c>
      <c r="AM912" s="107">
        <f t="shared" si="186"/>
        <v>0</v>
      </c>
      <c r="AN912" s="116">
        <f>(-IF($V912="Yes", IF($X912="Yes", VLOOKUP($W912, '[1]Storage Fees'!A:M, 13, FALSE), VLOOKUP($W912, '[1]Storage Fees'!A:M, 10, FALSE)), IF($X912="Yes", VLOOKUP($W912, '[1]Storage Fees'!A:M, 7, FALSE), VLOOKUP($W912, '[1]Storage Fees'!A:M, 4, FALSE))) * U912)*1.5</f>
        <v>-0.42860243055555558</v>
      </c>
    </row>
    <row r="913" spans="1:40" x14ac:dyDescent="0.25">
      <c r="A913" s="99">
        <v>841</v>
      </c>
      <c r="B913" s="99" t="s">
        <v>107</v>
      </c>
      <c r="C913" s="99"/>
      <c r="D913" s="99"/>
      <c r="E913" s="99" t="s">
        <v>296</v>
      </c>
      <c r="F913" s="99" t="s">
        <v>564</v>
      </c>
      <c r="G913" s="99" t="s">
        <v>13656</v>
      </c>
      <c r="H913" s="99">
        <v>10</v>
      </c>
      <c r="I913" s="99">
        <v>10</v>
      </c>
      <c r="J913" s="99">
        <v>1</v>
      </c>
      <c r="K913" s="101" t="str">
        <f t="shared" si="174"/>
        <v>10x10x1</v>
      </c>
      <c r="L913" s="102">
        <f t="shared" si="175"/>
        <v>0.71942446043165464</v>
      </c>
      <c r="M913" s="113">
        <f t="shared" si="176"/>
        <v>0.71942446043165464</v>
      </c>
      <c r="N913" s="113">
        <f t="shared" si="177"/>
        <v>0.75</v>
      </c>
      <c r="O913" s="99">
        <v>3</v>
      </c>
      <c r="P913" s="113">
        <f t="shared" si="178"/>
        <v>3</v>
      </c>
      <c r="Q913" s="112">
        <f t="shared" si="179"/>
        <v>48</v>
      </c>
      <c r="R913" s="112" t="str">
        <f t="shared" si="180"/>
        <v>Standard-size</v>
      </c>
      <c r="S913" s="99" t="str">
        <f t="shared" si="181"/>
        <v>Large standard-size</v>
      </c>
      <c r="T913" s="116" t="s">
        <v>13701</v>
      </c>
      <c r="U913" s="116">
        <f t="shared" si="182"/>
        <v>5.7870370370370371E-2</v>
      </c>
      <c r="V913" s="116" t="s">
        <v>13583</v>
      </c>
      <c r="W913" s="116" t="s">
        <v>13690</v>
      </c>
      <c r="X913" s="99" t="s">
        <v>13583</v>
      </c>
      <c r="Y913" s="99">
        <v>1</v>
      </c>
      <c r="Z913" s="99">
        <v>2</v>
      </c>
      <c r="AA913" s="99">
        <v>1</v>
      </c>
      <c r="AB913" s="99"/>
      <c r="AC913" s="99"/>
      <c r="AD913" s="107">
        <v>31.13214285714286</v>
      </c>
      <c r="AE913" s="113">
        <f t="shared" si="183"/>
        <v>-4.6698214285714288</v>
      </c>
      <c r="AF913" s="116">
        <f>-IFERROR(IFERROR(VLOOKUP(ROUNDUP($Q913,0),'FBA FEES'!$L$2:$Q$203,MATCH($S913,'FBA FEES'!$L$2:$Q$2,0),FALSE),VLOOKUP(ROUNDUP($Q913,0),'FBA FEES'!$C$6:$F$123,MATCH($S913,'FBA FEES'!$C$6:$F$6,0),FALSE)),0)</f>
        <v>-6.62</v>
      </c>
      <c r="AG913" s="116">
        <v>-10</v>
      </c>
      <c r="AH913" s="113">
        <f t="shared" si="184"/>
        <v>-11.289821428571429</v>
      </c>
      <c r="AI913" s="116">
        <f>-IFERROR(IF($Y913=1,INDEX('[1]REMOVAL FEES'!$A$1:$C$22,MATCH(CONCATENATE("Standard Size",$P913),'[1]REMOVAL FEES'!$A$1:$A$22,0),3),IF($Y913=2,IF($P913&gt;10,(($P913-10)*1.06)+INDEX('[1]REMOVAL FEES'!$E$1:$G$22,MATCH(CONCATENATE("Large bulky, extra-large and special handling items",IF($P913&gt;=11,11,$P913)),'[1]REMOVAL FEES'!$E$1:$E$13,0),3),INDEX('[1]REMOVAL FEES'!$E$1:$G$22,MATCH(CONCATENATE("Large bulky, extra-large and special handling items",IF($P913&gt;=11,11,$P913)),'[1]REMOVAL FEES'!$E$1:$E$13,0),3))))*$AA913,FALSE)</f>
        <v>-3.95</v>
      </c>
      <c r="AJ913" s="107">
        <f t="shared" si="185"/>
        <v>-15.239821428571428</v>
      </c>
      <c r="AK913" s="107">
        <v>-9.6500000000000021</v>
      </c>
      <c r="AL913" s="107">
        <v>-0.83555555555555527</v>
      </c>
      <c r="AM913" s="107">
        <f t="shared" si="186"/>
        <v>-10.485555555555557</v>
      </c>
      <c r="AN913" s="116">
        <f>(-IF($V913="Yes", IF($X913="Yes", VLOOKUP($W913, '[1]Storage Fees'!A:M, 13, FALSE), VLOOKUP($W913, '[1]Storage Fees'!A:M, 10, FALSE)), IF($X913="Yes", VLOOKUP($W913, '[1]Storage Fees'!A:M, 7, FALSE), VLOOKUP($W913, '[1]Storage Fees'!A:M, 4, FALSE))) * U913)*1.5</f>
        <v>-0.10590277777777776</v>
      </c>
    </row>
    <row r="914" spans="1:40" x14ac:dyDescent="0.25">
      <c r="A914" s="99">
        <v>842</v>
      </c>
      <c r="B914" s="99" t="s">
        <v>107</v>
      </c>
      <c r="C914" s="99"/>
      <c r="D914" s="99"/>
      <c r="E914" s="99" t="s">
        <v>296</v>
      </c>
      <c r="F914" s="99" t="s">
        <v>566</v>
      </c>
      <c r="G914" s="99" t="s">
        <v>13695</v>
      </c>
      <c r="H914" s="99">
        <v>11</v>
      </c>
      <c r="I914" s="99">
        <v>11</v>
      </c>
      <c r="J914" s="99">
        <v>1</v>
      </c>
      <c r="K914" s="101" t="str">
        <f t="shared" si="174"/>
        <v>11x11x1</v>
      </c>
      <c r="L914" s="102">
        <f t="shared" si="175"/>
        <v>0.87050359712230219</v>
      </c>
      <c r="M914" s="113">
        <f t="shared" si="176"/>
        <v>0.87050359712230219</v>
      </c>
      <c r="N914" s="113">
        <f t="shared" si="177"/>
        <v>1</v>
      </c>
      <c r="O914" s="99">
        <v>3</v>
      </c>
      <c r="P914" s="113">
        <f t="shared" si="178"/>
        <v>3</v>
      </c>
      <c r="Q914" s="112">
        <f t="shared" si="179"/>
        <v>48</v>
      </c>
      <c r="R914" s="112" t="str">
        <f t="shared" si="180"/>
        <v>Standard-size</v>
      </c>
      <c r="S914" s="99" t="str">
        <f t="shared" si="181"/>
        <v>Large standard-size</v>
      </c>
      <c r="T914" s="116" t="s">
        <v>13701</v>
      </c>
      <c r="U914" s="116">
        <f t="shared" si="182"/>
        <v>7.0023148148148154E-2</v>
      </c>
      <c r="V914" s="116" t="s">
        <v>13583</v>
      </c>
      <c r="W914" s="116" t="s">
        <v>13690</v>
      </c>
      <c r="X914" s="99" t="s">
        <v>13583</v>
      </c>
      <c r="Y914" s="99">
        <v>1</v>
      </c>
      <c r="Z914" s="99">
        <v>2</v>
      </c>
      <c r="AA914" s="99">
        <v>1</v>
      </c>
      <c r="AB914" s="99"/>
      <c r="AC914" s="99"/>
      <c r="AD914" s="107">
        <v>35.619411764705887</v>
      </c>
      <c r="AE914" s="113">
        <f t="shared" si="183"/>
        <v>-5.3429117647058826</v>
      </c>
      <c r="AF914" s="116">
        <f>-IFERROR(IFERROR(VLOOKUP(ROUNDUP($Q914,0),'FBA FEES'!$L$2:$Q$203,MATCH($S914,'FBA FEES'!$L$2:$Q$2,0),FALSE),VLOOKUP(ROUNDUP($Q914,0),'FBA FEES'!$C$6:$F$123,MATCH($S914,'FBA FEES'!$C$6:$F$6,0),FALSE)),0)</f>
        <v>-6.62</v>
      </c>
      <c r="AG914" s="116">
        <v>-10</v>
      </c>
      <c r="AH914" s="113">
        <f t="shared" si="184"/>
        <v>-11.962911764705883</v>
      </c>
      <c r="AI914" s="116">
        <f>-IFERROR(IF($Y914=1,INDEX('[1]REMOVAL FEES'!$A$1:$C$22,MATCH(CONCATENATE("Standard Size",$P914),'[1]REMOVAL FEES'!$A$1:$A$22,0),3),IF($Y914=2,IF($P914&gt;10,(($P914-10)*1.06)+INDEX('[1]REMOVAL FEES'!$E$1:$G$22,MATCH(CONCATENATE("Large bulky, extra-large and special handling items",IF($P914&gt;=11,11,$P914)),'[1]REMOVAL FEES'!$E$1:$E$13,0),3),INDEX('[1]REMOVAL FEES'!$E$1:$G$22,MATCH(CONCATENATE("Large bulky, extra-large and special handling items",IF($P914&gt;=11,11,$P914)),'[1]REMOVAL FEES'!$E$1:$E$13,0),3))))*$AA914,FALSE)</f>
        <v>-3.95</v>
      </c>
      <c r="AJ914" s="107">
        <f t="shared" si="185"/>
        <v>-15.912911764705882</v>
      </c>
      <c r="AK914" s="107">
        <v>-12.49</v>
      </c>
      <c r="AL914" s="107">
        <v>-1.1621266968325781</v>
      </c>
      <c r="AM914" s="107">
        <f t="shared" si="186"/>
        <v>-13.652126696832578</v>
      </c>
      <c r="AN914" s="116">
        <f>(-IF($V914="Yes", IF($X914="Yes", VLOOKUP($W914, '[1]Storage Fees'!A:M, 13, FALSE), VLOOKUP($W914, '[1]Storage Fees'!A:M, 10, FALSE)), IF($X914="Yes", VLOOKUP($W914, '[1]Storage Fees'!A:M, 7, FALSE), VLOOKUP($W914, '[1]Storage Fees'!A:M, 4, FALSE))) * U914)*1.5</f>
        <v>-0.12814236111111113</v>
      </c>
    </row>
    <row r="915" spans="1:40" x14ac:dyDescent="0.25">
      <c r="A915" s="99">
        <v>843</v>
      </c>
      <c r="B915" s="99" t="s">
        <v>55</v>
      </c>
      <c r="C915" s="99"/>
      <c r="D915" s="99"/>
      <c r="E915" s="99" t="s">
        <v>132</v>
      </c>
      <c r="F915" s="99" t="s">
        <v>568</v>
      </c>
      <c r="G915" s="99" t="s">
        <v>13695</v>
      </c>
      <c r="H915" s="99">
        <v>22</v>
      </c>
      <c r="I915" s="99">
        <v>16</v>
      </c>
      <c r="J915" s="99">
        <v>13</v>
      </c>
      <c r="K915" s="101" t="str">
        <f t="shared" si="174"/>
        <v>22x16x13</v>
      </c>
      <c r="L915" s="102">
        <f t="shared" si="175"/>
        <v>32.920863309352519</v>
      </c>
      <c r="M915" s="113">
        <f t="shared" si="176"/>
        <v>32.920863309352519</v>
      </c>
      <c r="N915" s="113">
        <f t="shared" si="177"/>
        <v>33</v>
      </c>
      <c r="O915" s="99">
        <v>42</v>
      </c>
      <c r="P915" s="113">
        <f t="shared" si="178"/>
        <v>42</v>
      </c>
      <c r="Q915" s="112">
        <f t="shared" si="179"/>
        <v>672</v>
      </c>
      <c r="R915" s="112" t="str">
        <f t="shared" si="180"/>
        <v>Oversize</v>
      </c>
      <c r="S915" s="99" t="str">
        <f t="shared" si="181"/>
        <v>Large bulky</v>
      </c>
      <c r="T915" s="116" t="s">
        <v>13694</v>
      </c>
      <c r="U915" s="116">
        <f t="shared" si="182"/>
        <v>2.6481481481481484</v>
      </c>
      <c r="V915" s="116" t="s">
        <v>13583</v>
      </c>
      <c r="W915" s="116" t="s">
        <v>13690</v>
      </c>
      <c r="X915" s="116" t="s">
        <v>13691</v>
      </c>
      <c r="Y915" s="116">
        <v>2</v>
      </c>
      <c r="Z915" s="116">
        <v>3</v>
      </c>
      <c r="AA915" s="116">
        <v>1</v>
      </c>
      <c r="AB915" s="99"/>
      <c r="AC915" s="99"/>
      <c r="AD915" s="107">
        <v>0</v>
      </c>
      <c r="AE915" s="113">
        <f t="shared" si="183"/>
        <v>0</v>
      </c>
      <c r="AF915" s="116">
        <f>-IFERROR(IFERROR(VLOOKUP(ROUNDUP($Q915,0),'FBA FEES'!$L$2:$Q$203,MATCH($S915,'FBA FEES'!$L$2:$Q$2,0),FALSE),VLOOKUP(ROUNDUP($Q915,0),'FBA FEES'!$C$6:$F$123,MATCH($S915,'FBA FEES'!$C$6:$F$6,0),FALSE)),0)</f>
        <v>-25.189999999999998</v>
      </c>
      <c r="AG915" s="116">
        <v>-10</v>
      </c>
      <c r="AH915" s="113">
        <f t="shared" si="184"/>
        <v>-25.189999999999998</v>
      </c>
      <c r="AI915" s="116">
        <f>-IFERROR(IF($Y915=1,INDEX('[1]REMOVAL FEES'!$A$1:$C$22,MATCH(CONCATENATE("Standard Size",$P915),'[1]REMOVAL FEES'!$A$1:$A$22,0),3),IF($Y915=2,IF($P915&gt;10,(($P915-10)*1.06)+INDEX('[1]REMOVAL FEES'!$E$1:$G$22,MATCH(CONCATENATE("Large bulky, extra-large and special handling items",IF($P915&gt;=11,11,$P915)),'[1]REMOVAL FEES'!$E$1:$E$13,0),3),INDEX('[1]REMOVAL FEES'!$E$1:$G$22,MATCH(CONCATENATE("Large bulky, extra-large and special handling items",IF($P915&gt;=11,11,$P915)),'[1]REMOVAL FEES'!$E$1:$E$13,0),3))))*$AA915,FALSE)</f>
        <v>-48.24</v>
      </c>
      <c r="AJ915" s="107">
        <f t="shared" si="185"/>
        <v>-73.430000000000007</v>
      </c>
      <c r="AK915" s="107">
        <v>0</v>
      </c>
      <c r="AL915" s="107">
        <v>0</v>
      </c>
      <c r="AM915" s="107">
        <f t="shared" si="186"/>
        <v>0</v>
      </c>
      <c r="AN915" s="116">
        <f>(-IF($V915="Yes", IF($X915="Yes", VLOOKUP($W915, '[1]Storage Fees'!A:M, 13, FALSE), VLOOKUP($W915, '[1]Storage Fees'!A:M, 10, FALSE)), IF($X915="Yes", VLOOKUP($W915, '[1]Storage Fees'!A:M, 7, FALSE), VLOOKUP($W915, '[1]Storage Fees'!A:M, 4, FALSE))) * U915)*1.5</f>
        <v>-3.1380555555555558</v>
      </c>
    </row>
    <row r="916" spans="1:40" x14ac:dyDescent="0.25">
      <c r="A916" s="99">
        <v>844</v>
      </c>
      <c r="B916" s="99" t="s">
        <v>107</v>
      </c>
      <c r="C916" s="99"/>
      <c r="D916" s="99"/>
      <c r="E916" s="99" t="s">
        <v>278</v>
      </c>
      <c r="F916" s="99" t="s">
        <v>569</v>
      </c>
      <c r="G916" s="99" t="s">
        <v>13695</v>
      </c>
      <c r="H916" s="99">
        <v>17</v>
      </c>
      <c r="I916" s="99">
        <v>15</v>
      </c>
      <c r="J916" s="99">
        <v>5</v>
      </c>
      <c r="K916" s="101" t="str">
        <f t="shared" si="174"/>
        <v>17x15x5</v>
      </c>
      <c r="L916" s="102">
        <f t="shared" si="175"/>
        <v>9.1726618705035978</v>
      </c>
      <c r="M916" s="113">
        <f t="shared" si="176"/>
        <v>9.1726618705035978</v>
      </c>
      <c r="N916" s="113">
        <f t="shared" si="177"/>
        <v>10</v>
      </c>
      <c r="O916" s="99">
        <v>8</v>
      </c>
      <c r="P916" s="113">
        <f t="shared" si="178"/>
        <v>10</v>
      </c>
      <c r="Q916" s="112">
        <f t="shared" si="179"/>
        <v>160</v>
      </c>
      <c r="R916" s="112" t="str">
        <f t="shared" si="180"/>
        <v>Oversize</v>
      </c>
      <c r="S916" s="99" t="str">
        <f t="shared" si="181"/>
        <v>Large bulky</v>
      </c>
      <c r="T916" s="116" t="s">
        <v>13692</v>
      </c>
      <c r="U916" s="116">
        <f t="shared" si="182"/>
        <v>0.73784722222222221</v>
      </c>
      <c r="V916" s="116" t="s">
        <v>13583</v>
      </c>
      <c r="W916" s="116" t="s">
        <v>13690</v>
      </c>
      <c r="X916" s="116" t="s">
        <v>13691</v>
      </c>
      <c r="Y916" s="116">
        <v>2</v>
      </c>
      <c r="Z916" s="116">
        <v>3</v>
      </c>
      <c r="AA916" s="116">
        <v>1</v>
      </c>
      <c r="AB916" s="99"/>
      <c r="AC916" s="99"/>
      <c r="AD916" s="107">
        <v>44.99</v>
      </c>
      <c r="AE916" s="113">
        <f t="shared" si="183"/>
        <v>-6.7484999999999999</v>
      </c>
      <c r="AF916" s="116">
        <f>-IFERROR(IFERROR(VLOOKUP(ROUNDUP($Q916,0),'FBA FEES'!$L$2:$Q$203,MATCH($S916,'FBA FEES'!$L$2:$Q$2,0),FALSE),VLOOKUP(ROUNDUP($Q916,0),'FBA FEES'!$C$6:$F$123,MATCH($S916,'FBA FEES'!$C$6:$F$6,0),FALSE)),0)</f>
        <v>-13.03</v>
      </c>
      <c r="AG916" s="116">
        <v>-10</v>
      </c>
      <c r="AH916" s="113">
        <f t="shared" si="184"/>
        <v>-19.778500000000001</v>
      </c>
      <c r="AI916" s="116">
        <f>-IFERROR(IF($Y916=1,INDEX('[1]REMOVAL FEES'!$A$1:$C$22,MATCH(CONCATENATE("Standard Size",$P916),'[1]REMOVAL FEES'!$A$1:$A$22,0),3),IF($Y916=2,IF($P916&gt;10,(($P916-10)*1.06)+INDEX('[1]REMOVAL FEES'!$E$1:$G$22,MATCH(CONCATENATE("Large bulky, extra-large and special handling items",IF($P916&gt;=11,11,$P916)),'[1]REMOVAL FEES'!$E$1:$E$13,0),3),INDEX('[1]REMOVAL FEES'!$E$1:$G$22,MATCH(CONCATENATE("Large bulky, extra-large and special handling items",IF($P916&gt;=11,11,$P916)),'[1]REMOVAL FEES'!$E$1:$E$13,0),3))))*$AA916,FALSE)</f>
        <v>-10.039999999999999</v>
      </c>
      <c r="AJ916" s="107">
        <f t="shared" si="185"/>
        <v>-29.8185</v>
      </c>
      <c r="AK916" s="107">
        <v>-18.600000000000001</v>
      </c>
      <c r="AL916" s="107">
        <v>-5.58</v>
      </c>
      <c r="AM916" s="107">
        <f t="shared" si="186"/>
        <v>-24.18</v>
      </c>
      <c r="AN916" s="116">
        <f>(-IF($V916="Yes", IF($X916="Yes", VLOOKUP($W916, '[1]Storage Fees'!A:M, 13, FALSE), VLOOKUP($W916, '[1]Storage Fees'!A:M, 10, FALSE)), IF($X916="Yes", VLOOKUP($W916, '[1]Storage Fees'!A:M, 7, FALSE), VLOOKUP($W916, '[1]Storage Fees'!A:M, 4, FALSE))) * U916)*1.5</f>
        <v>-0.87434895833333337</v>
      </c>
    </row>
    <row r="917" spans="1:40" x14ac:dyDescent="0.25">
      <c r="A917" s="99">
        <v>845</v>
      </c>
      <c r="B917" s="99" t="s">
        <v>13699</v>
      </c>
      <c r="C917" s="99"/>
      <c r="D917" s="99"/>
      <c r="E917" s="99" t="s">
        <v>278</v>
      </c>
      <c r="F917" s="99" t="s">
        <v>570</v>
      </c>
      <c r="G917" s="99" t="s">
        <v>13695</v>
      </c>
      <c r="H917" s="99">
        <v>30</v>
      </c>
      <c r="I917" s="99">
        <v>30</v>
      </c>
      <c r="J917" s="99">
        <v>3</v>
      </c>
      <c r="K917" s="101" t="str">
        <f t="shared" si="174"/>
        <v>30x30x3</v>
      </c>
      <c r="L917" s="102">
        <f t="shared" si="175"/>
        <v>19.424460431654676</v>
      </c>
      <c r="M917" s="113">
        <f t="shared" si="176"/>
        <v>19.424460431654676</v>
      </c>
      <c r="N917" s="113">
        <f t="shared" si="177"/>
        <v>20</v>
      </c>
      <c r="O917" s="99">
        <v>14</v>
      </c>
      <c r="P917" s="113">
        <f t="shared" si="178"/>
        <v>20</v>
      </c>
      <c r="Q917" s="112">
        <f t="shared" si="179"/>
        <v>320</v>
      </c>
      <c r="R917" s="112" t="str">
        <f t="shared" si="180"/>
        <v>Oversize</v>
      </c>
      <c r="S917" s="99" t="str">
        <f t="shared" si="181"/>
        <v>Large bulky</v>
      </c>
      <c r="T917" s="116" t="s">
        <v>13692</v>
      </c>
      <c r="U917" s="116">
        <f t="shared" si="182"/>
        <v>1.5625</v>
      </c>
      <c r="V917" s="116" t="s">
        <v>13583</v>
      </c>
      <c r="W917" s="116" t="s">
        <v>13690</v>
      </c>
      <c r="X917" s="116" t="s">
        <v>13691</v>
      </c>
      <c r="Y917" s="116">
        <v>2</v>
      </c>
      <c r="Z917" s="116">
        <v>3</v>
      </c>
      <c r="AA917" s="116">
        <v>1</v>
      </c>
      <c r="AB917" s="99"/>
      <c r="AC917" s="99"/>
      <c r="AD917" s="107">
        <v>0</v>
      </c>
      <c r="AE917" s="113">
        <f t="shared" si="183"/>
        <v>0</v>
      </c>
      <c r="AF917" s="116">
        <f>-IFERROR(IFERROR(VLOOKUP(ROUNDUP($Q917,0),'FBA FEES'!$L$2:$Q$203,MATCH($S917,'FBA FEES'!$L$2:$Q$2,0),FALSE),VLOOKUP(ROUNDUP($Q917,0),'FBA FEES'!$C$6:$F$123,MATCH($S917,'FBA FEES'!$C$6:$F$6,0),FALSE)),0)</f>
        <v>-16.829999999999998</v>
      </c>
      <c r="AG917" s="116">
        <v>-10</v>
      </c>
      <c r="AH917" s="113">
        <f t="shared" si="184"/>
        <v>-16.829999999999998</v>
      </c>
      <c r="AI917" s="116">
        <f>-IFERROR(IF($Y917=1,INDEX('[1]REMOVAL FEES'!$A$1:$C$22,MATCH(CONCATENATE("Standard Size",$P917),'[1]REMOVAL FEES'!$A$1:$A$22,0),3),IF($Y917=2,IF($P917&gt;10,(($P917-10)*1.06)+INDEX('[1]REMOVAL FEES'!$E$1:$G$22,MATCH(CONCATENATE("Large bulky, extra-large and special handling items",IF($P917&gt;=11,11,$P917)),'[1]REMOVAL FEES'!$E$1:$E$13,0),3),INDEX('[1]REMOVAL FEES'!$E$1:$G$22,MATCH(CONCATENATE("Large bulky, extra-large and special handling items",IF($P917&gt;=11,11,$P917)),'[1]REMOVAL FEES'!$E$1:$E$13,0),3))))*$AA917,FALSE)</f>
        <v>-24.92</v>
      </c>
      <c r="AJ917" s="107">
        <f t="shared" si="185"/>
        <v>-41.75</v>
      </c>
      <c r="AK917" s="107">
        <v>0</v>
      </c>
      <c r="AL917" s="107">
        <v>0</v>
      </c>
      <c r="AM917" s="107">
        <f t="shared" si="186"/>
        <v>0</v>
      </c>
      <c r="AN917" s="116">
        <f>(-IF($V917="Yes", IF($X917="Yes", VLOOKUP($W917, '[1]Storage Fees'!A:M, 13, FALSE), VLOOKUP($W917, '[1]Storage Fees'!A:M, 10, FALSE)), IF($X917="Yes", VLOOKUP($W917, '[1]Storage Fees'!A:M, 7, FALSE), VLOOKUP($W917, '[1]Storage Fees'!A:M, 4, FALSE))) * U917)*1.5</f>
        <v>-1.8515625</v>
      </c>
    </row>
    <row r="918" spans="1:40" x14ac:dyDescent="0.25">
      <c r="A918" s="99">
        <v>846</v>
      </c>
      <c r="B918" s="99" t="s">
        <v>13699</v>
      </c>
      <c r="C918" s="99"/>
      <c r="D918" s="99"/>
      <c r="E918" s="99" t="s">
        <v>278</v>
      </c>
      <c r="F918" s="99" t="s">
        <v>572</v>
      </c>
      <c r="G918" s="99" t="s">
        <v>13695</v>
      </c>
      <c r="H918" s="99">
        <v>38</v>
      </c>
      <c r="I918" s="99">
        <v>38</v>
      </c>
      <c r="J918" s="99">
        <v>3</v>
      </c>
      <c r="K918" s="101" t="str">
        <f t="shared" si="174"/>
        <v>38x38x3</v>
      </c>
      <c r="L918" s="102">
        <f t="shared" si="175"/>
        <v>31.165467625899282</v>
      </c>
      <c r="M918" s="113">
        <f t="shared" si="176"/>
        <v>31.165467625899282</v>
      </c>
      <c r="N918" s="113">
        <f t="shared" si="177"/>
        <v>32</v>
      </c>
      <c r="O918" s="99">
        <v>20</v>
      </c>
      <c r="P918" s="113">
        <f t="shared" si="178"/>
        <v>32</v>
      </c>
      <c r="Q918" s="112">
        <f t="shared" si="179"/>
        <v>512</v>
      </c>
      <c r="R918" s="112" t="str">
        <f t="shared" si="180"/>
        <v>Oversize</v>
      </c>
      <c r="S918" s="99" t="str">
        <f t="shared" si="181"/>
        <v>Extra-large 0 to 50 lb</v>
      </c>
      <c r="T918" s="116" t="s">
        <v>13706</v>
      </c>
      <c r="U918" s="116">
        <f t="shared" si="182"/>
        <v>2.5069444444444446</v>
      </c>
      <c r="V918" s="116" t="s">
        <v>13583</v>
      </c>
      <c r="W918" s="116" t="s">
        <v>13690</v>
      </c>
      <c r="X918" s="116" t="s">
        <v>13691</v>
      </c>
      <c r="Y918" s="116">
        <v>2</v>
      </c>
      <c r="Z918" s="116">
        <v>4</v>
      </c>
      <c r="AA918" s="116">
        <v>1</v>
      </c>
      <c r="AB918" s="99"/>
      <c r="AC918" s="99"/>
      <c r="AD918" s="107">
        <v>0</v>
      </c>
      <c r="AE918" s="113">
        <f t="shared" si="183"/>
        <v>0</v>
      </c>
      <c r="AF918" s="116">
        <f>-IFERROR(IFERROR(VLOOKUP(ROUNDUP($Q918,0),'FBA FEES'!$L$2:$Q$203,MATCH($S918,'FBA FEES'!$L$2:$Q$2,0),FALSE),VLOOKUP(ROUNDUP($Q918,0),'FBA FEES'!$C$6:$F$123,MATCH($S918,'FBA FEES'!$C$6:$F$6,0),FALSE)),0)</f>
        <v>-38.11</v>
      </c>
      <c r="AG918" s="116">
        <v>-10</v>
      </c>
      <c r="AH918" s="113">
        <f t="shared" si="184"/>
        <v>-38.11</v>
      </c>
      <c r="AI918" s="116">
        <f>-IFERROR(IF($Y918=1,INDEX('[1]REMOVAL FEES'!$A$1:$C$22,MATCH(CONCATENATE("Standard Size",$P918),'[1]REMOVAL FEES'!$A$1:$A$22,0),3),IF($Y918=2,IF($P918&gt;10,(($P918-10)*1.06)+INDEX('[1]REMOVAL FEES'!$E$1:$G$22,MATCH(CONCATENATE("Large bulky, extra-large and special handling items",IF($P918&gt;=11,11,$P918)),'[1]REMOVAL FEES'!$E$1:$E$13,0),3),INDEX('[1]REMOVAL FEES'!$E$1:$G$22,MATCH(CONCATENATE("Large bulky, extra-large and special handling items",IF($P918&gt;=11,11,$P918)),'[1]REMOVAL FEES'!$E$1:$E$13,0),3))))*$AA918,FALSE)</f>
        <v>-37.64</v>
      </c>
      <c r="AJ918" s="107">
        <f t="shared" si="185"/>
        <v>-75.75</v>
      </c>
      <c r="AK918" s="107">
        <v>0</v>
      </c>
      <c r="AL918" s="107">
        <v>0</v>
      </c>
      <c r="AM918" s="107">
        <f t="shared" si="186"/>
        <v>0</v>
      </c>
      <c r="AN918" s="116">
        <f>(-IF($V918="Yes", IF($X918="Yes", VLOOKUP($W918, '[1]Storage Fees'!A:M, 13, FALSE), VLOOKUP($W918, '[1]Storage Fees'!A:M, 10, FALSE)), IF($X918="Yes", VLOOKUP($W918, '[1]Storage Fees'!A:M, 7, FALSE), VLOOKUP($W918, '[1]Storage Fees'!A:M, 4, FALSE))) * U918)*1.5</f>
        <v>-2.9707291666666671</v>
      </c>
    </row>
    <row r="919" spans="1:40" x14ac:dyDescent="0.25">
      <c r="A919" s="99">
        <v>847</v>
      </c>
      <c r="B919" s="99" t="s">
        <v>13699</v>
      </c>
      <c r="C919" s="99"/>
      <c r="D919" s="99"/>
      <c r="E919" s="99" t="s">
        <v>278</v>
      </c>
      <c r="F919" s="99" t="s">
        <v>574</v>
      </c>
      <c r="G919" s="99" t="s">
        <v>13695</v>
      </c>
      <c r="H919" s="99">
        <v>40</v>
      </c>
      <c r="I919" s="99">
        <v>40</v>
      </c>
      <c r="J919" s="99">
        <v>3</v>
      </c>
      <c r="K919" s="101" t="str">
        <f t="shared" si="174"/>
        <v>40x40x3</v>
      </c>
      <c r="L919" s="102">
        <f t="shared" si="175"/>
        <v>34.532374100719423</v>
      </c>
      <c r="M919" s="113">
        <f t="shared" si="176"/>
        <v>34.532374100719423</v>
      </c>
      <c r="N919" s="113">
        <f t="shared" si="177"/>
        <v>35</v>
      </c>
      <c r="O919" s="99">
        <v>24</v>
      </c>
      <c r="P919" s="113">
        <f t="shared" si="178"/>
        <v>35</v>
      </c>
      <c r="Q919" s="112">
        <f t="shared" si="179"/>
        <v>560</v>
      </c>
      <c r="R919" s="112" t="str">
        <f t="shared" si="180"/>
        <v>Oversize</v>
      </c>
      <c r="S919" s="99" t="str">
        <f t="shared" si="181"/>
        <v>Extra-large 0 to 50 lb</v>
      </c>
      <c r="T919" s="116" t="s">
        <v>13706</v>
      </c>
      <c r="U919" s="116">
        <f t="shared" si="182"/>
        <v>2.7777777777777777</v>
      </c>
      <c r="V919" s="116" t="s">
        <v>13583</v>
      </c>
      <c r="W919" s="116" t="s">
        <v>13690</v>
      </c>
      <c r="X919" s="116" t="s">
        <v>13691</v>
      </c>
      <c r="Y919" s="116">
        <v>2</v>
      </c>
      <c r="Z919" s="116">
        <v>4</v>
      </c>
      <c r="AA919" s="116">
        <v>1</v>
      </c>
      <c r="AB919" s="99"/>
      <c r="AC919" s="99"/>
      <c r="AD919" s="107">
        <v>0</v>
      </c>
      <c r="AE919" s="113">
        <f t="shared" si="183"/>
        <v>0</v>
      </c>
      <c r="AF919" s="116">
        <f>-IFERROR(IFERROR(VLOOKUP(ROUNDUP($Q919,0),'FBA FEES'!$L$2:$Q$203,MATCH($S919,'FBA FEES'!$L$2:$Q$2,0),FALSE),VLOOKUP(ROUNDUP($Q919,0),'FBA FEES'!$C$6:$F$123,MATCH($S919,'FBA FEES'!$C$6:$F$6,0),FALSE)),0)</f>
        <v>-39.25</v>
      </c>
      <c r="AG919" s="116">
        <v>-10</v>
      </c>
      <c r="AH919" s="113">
        <f t="shared" si="184"/>
        <v>-39.25</v>
      </c>
      <c r="AI919" s="116">
        <f>-IFERROR(IF($Y919=1,INDEX('[1]REMOVAL FEES'!$A$1:$C$22,MATCH(CONCATENATE("Standard Size",$P919),'[1]REMOVAL FEES'!$A$1:$A$22,0),3),IF($Y919=2,IF($P919&gt;10,(($P919-10)*1.06)+INDEX('[1]REMOVAL FEES'!$E$1:$G$22,MATCH(CONCATENATE("Large bulky, extra-large and special handling items",IF($P919&gt;=11,11,$P919)),'[1]REMOVAL FEES'!$E$1:$E$13,0),3),INDEX('[1]REMOVAL FEES'!$E$1:$G$22,MATCH(CONCATENATE("Large bulky, extra-large and special handling items",IF($P919&gt;=11,11,$P919)),'[1]REMOVAL FEES'!$E$1:$E$13,0),3))))*$AA919,FALSE)</f>
        <v>-40.82</v>
      </c>
      <c r="AJ919" s="107">
        <f t="shared" si="185"/>
        <v>-80.069999999999993</v>
      </c>
      <c r="AK919" s="107">
        <v>0</v>
      </c>
      <c r="AL919" s="107">
        <v>0</v>
      </c>
      <c r="AM919" s="107">
        <f t="shared" si="186"/>
        <v>0</v>
      </c>
      <c r="AN919" s="116">
        <f>(-IF($V919="Yes", IF($X919="Yes", VLOOKUP($W919, '[1]Storage Fees'!A:M, 13, FALSE), VLOOKUP($W919, '[1]Storage Fees'!A:M, 10, FALSE)), IF($X919="Yes", VLOOKUP($W919, '[1]Storage Fees'!A:M, 7, FALSE), VLOOKUP($W919, '[1]Storage Fees'!A:M, 4, FALSE))) * U919)*1.5</f>
        <v>-3.291666666666667</v>
      </c>
    </row>
    <row r="920" spans="1:40" x14ac:dyDescent="0.25">
      <c r="A920" s="99">
        <v>848</v>
      </c>
      <c r="B920" s="99"/>
      <c r="C920" s="99" t="s">
        <v>13655</v>
      </c>
      <c r="D920" s="99"/>
      <c r="E920" s="99" t="s">
        <v>278</v>
      </c>
      <c r="F920" s="99" t="s">
        <v>2226</v>
      </c>
      <c r="G920" s="99" t="s">
        <v>13695</v>
      </c>
      <c r="H920" s="99">
        <v>0</v>
      </c>
      <c r="I920" s="99">
        <v>0</v>
      </c>
      <c r="J920" s="99">
        <v>0</v>
      </c>
      <c r="K920" s="101" t="str">
        <f t="shared" si="174"/>
        <v>0x0x0</v>
      </c>
      <c r="L920" s="102">
        <f t="shared" si="175"/>
        <v>0</v>
      </c>
      <c r="M920" s="113">
        <f t="shared" si="176"/>
        <v>0</v>
      </c>
      <c r="N920" s="113">
        <f t="shared" si="177"/>
        <v>0</v>
      </c>
      <c r="O920" s="99">
        <v>0</v>
      </c>
      <c r="P920" s="113">
        <f t="shared" si="178"/>
        <v>0</v>
      </c>
      <c r="Q920" s="112">
        <f t="shared" si="179"/>
        <v>0</v>
      </c>
      <c r="R920" s="112" t="str">
        <f t="shared" si="180"/>
        <v>Standard-size</v>
      </c>
      <c r="S920" s="99" t="str">
        <f t="shared" si="181"/>
        <v>Small standard-size</v>
      </c>
      <c r="T920" s="116" t="s">
        <v>13696</v>
      </c>
      <c r="U920" s="116">
        <f t="shared" si="182"/>
        <v>0</v>
      </c>
      <c r="V920" s="116" t="s">
        <v>13583</v>
      </c>
      <c r="W920" s="116" t="s">
        <v>13690</v>
      </c>
      <c r="X920" s="99" t="s">
        <v>13583</v>
      </c>
      <c r="Y920" s="99">
        <v>1</v>
      </c>
      <c r="Z920" s="99">
        <v>1</v>
      </c>
      <c r="AA920" s="99">
        <v>1</v>
      </c>
      <c r="AB920" s="99"/>
      <c r="AC920" s="99"/>
      <c r="AD920" s="107">
        <v>0</v>
      </c>
      <c r="AE920" s="113">
        <f t="shared" si="183"/>
        <v>0</v>
      </c>
      <c r="AF920" s="116">
        <f>-IFERROR(IFERROR(VLOOKUP(ROUNDUP($Q920,0),'FBA FEES'!$L$2:$Q$203,MATCH($S920,'FBA FEES'!$L$2:$Q$2,0),FALSE),VLOOKUP(ROUNDUP($Q920,0),'FBA FEES'!$C$6:$F$123,MATCH($S920,'FBA FEES'!$C$6:$F$6,0),FALSE)),0)</f>
        <v>0</v>
      </c>
      <c r="AG920" s="116">
        <v>-10</v>
      </c>
      <c r="AH920" s="113">
        <f t="shared" si="184"/>
        <v>0</v>
      </c>
      <c r="AI920" s="116">
        <f>-IFERROR(IF($Y920=1,INDEX('[1]REMOVAL FEES'!$A$1:$C$22,MATCH(CONCATENATE("Standard Size",$P920),'[1]REMOVAL FEES'!$A$1:$A$22,0),3),IF($Y920=2,IF($P920&gt;10,(($P920-10)*1.06)+INDEX('[1]REMOVAL FEES'!$E$1:$G$22,MATCH(CONCATENATE("Large bulky, extra-large and special handling items",IF($P920&gt;=11,11,$P920)),'[1]REMOVAL FEES'!$E$1:$E$13,0),3),INDEX('[1]REMOVAL FEES'!$E$1:$G$22,MATCH(CONCATENATE("Large bulky, extra-large and special handling items",IF($P920&gt;=11,11,$P920)),'[1]REMOVAL FEES'!$E$1:$E$13,0),3))))*$AA920,FALSE)</f>
        <v>0</v>
      </c>
      <c r="AJ920" s="107">
        <f t="shared" si="185"/>
        <v>0</v>
      </c>
      <c r="AK920" s="107">
        <v>0</v>
      </c>
      <c r="AL920" s="107">
        <v>0</v>
      </c>
      <c r="AM920" s="107">
        <f t="shared" si="186"/>
        <v>0</v>
      </c>
      <c r="AN920" s="116">
        <f>(-IF($V920="Yes", IF($X920="Yes", VLOOKUP($W920, '[1]Storage Fees'!A:M, 13, FALSE), VLOOKUP($W920, '[1]Storage Fees'!A:M, 10, FALSE)), IF($X920="Yes", VLOOKUP($W920, '[1]Storage Fees'!A:M, 7, FALSE), VLOOKUP($W920, '[1]Storage Fees'!A:M, 4, FALSE))) * U920)*1.5</f>
        <v>0</v>
      </c>
    </row>
    <row r="921" spans="1:40" x14ac:dyDescent="0.25">
      <c r="A921" s="99">
        <v>849</v>
      </c>
      <c r="B921" s="99"/>
      <c r="C921" s="99" t="s">
        <v>13655</v>
      </c>
      <c r="D921" s="99"/>
      <c r="E921" s="99" t="s">
        <v>278</v>
      </c>
      <c r="F921" s="99" t="s">
        <v>2227</v>
      </c>
      <c r="G921" s="99" t="s">
        <v>13695</v>
      </c>
      <c r="H921" s="99">
        <v>0</v>
      </c>
      <c r="I921" s="99">
        <v>0</v>
      </c>
      <c r="J921" s="99">
        <v>0</v>
      </c>
      <c r="K921" s="101" t="str">
        <f t="shared" si="174"/>
        <v>0x0x0</v>
      </c>
      <c r="L921" s="102">
        <f t="shared" si="175"/>
        <v>0</v>
      </c>
      <c r="M921" s="113">
        <f t="shared" si="176"/>
        <v>0</v>
      </c>
      <c r="N921" s="113">
        <f t="shared" si="177"/>
        <v>0</v>
      </c>
      <c r="O921" s="99">
        <v>0</v>
      </c>
      <c r="P921" s="113">
        <f t="shared" si="178"/>
        <v>0</v>
      </c>
      <c r="Q921" s="112">
        <f t="shared" si="179"/>
        <v>0</v>
      </c>
      <c r="R921" s="112" t="str">
        <f t="shared" si="180"/>
        <v>Standard-size</v>
      </c>
      <c r="S921" s="99" t="str">
        <f t="shared" si="181"/>
        <v>Small standard-size</v>
      </c>
      <c r="T921" s="116" t="s">
        <v>13696</v>
      </c>
      <c r="U921" s="116">
        <f t="shared" si="182"/>
        <v>0</v>
      </c>
      <c r="V921" s="116" t="s">
        <v>13583</v>
      </c>
      <c r="W921" s="116" t="s">
        <v>13690</v>
      </c>
      <c r="X921" s="99" t="s">
        <v>13583</v>
      </c>
      <c r="Y921" s="99">
        <v>1</v>
      </c>
      <c r="Z921" s="99">
        <v>1</v>
      </c>
      <c r="AA921" s="99">
        <v>1</v>
      </c>
      <c r="AB921" s="99"/>
      <c r="AC921" s="99"/>
      <c r="AD921" s="107">
        <v>0</v>
      </c>
      <c r="AE921" s="113">
        <f t="shared" si="183"/>
        <v>0</v>
      </c>
      <c r="AF921" s="116">
        <f>-IFERROR(IFERROR(VLOOKUP(ROUNDUP($Q921,0),'FBA FEES'!$L$2:$Q$203,MATCH($S921,'FBA FEES'!$L$2:$Q$2,0),FALSE),VLOOKUP(ROUNDUP($Q921,0),'FBA FEES'!$C$6:$F$123,MATCH($S921,'FBA FEES'!$C$6:$F$6,0),FALSE)),0)</f>
        <v>0</v>
      </c>
      <c r="AG921" s="116">
        <v>-10</v>
      </c>
      <c r="AH921" s="113">
        <f t="shared" si="184"/>
        <v>0</v>
      </c>
      <c r="AI921" s="116">
        <f>-IFERROR(IF($Y921=1,INDEX('[1]REMOVAL FEES'!$A$1:$C$22,MATCH(CONCATENATE("Standard Size",$P921),'[1]REMOVAL FEES'!$A$1:$A$22,0),3),IF($Y921=2,IF($P921&gt;10,(($P921-10)*1.06)+INDEX('[1]REMOVAL FEES'!$E$1:$G$22,MATCH(CONCATENATE("Large bulky, extra-large and special handling items",IF($P921&gt;=11,11,$P921)),'[1]REMOVAL FEES'!$E$1:$E$13,0),3),INDEX('[1]REMOVAL FEES'!$E$1:$G$22,MATCH(CONCATENATE("Large bulky, extra-large and special handling items",IF($P921&gt;=11,11,$P921)),'[1]REMOVAL FEES'!$E$1:$E$13,0),3))))*$AA921,FALSE)</f>
        <v>0</v>
      </c>
      <c r="AJ921" s="107">
        <f t="shared" si="185"/>
        <v>0</v>
      </c>
      <c r="AK921" s="107">
        <v>0</v>
      </c>
      <c r="AL921" s="107">
        <v>0</v>
      </c>
      <c r="AM921" s="107">
        <f t="shared" si="186"/>
        <v>0</v>
      </c>
      <c r="AN921" s="116">
        <f>(-IF($V921="Yes", IF($X921="Yes", VLOOKUP($W921, '[1]Storage Fees'!A:M, 13, FALSE), VLOOKUP($W921, '[1]Storage Fees'!A:M, 10, FALSE)), IF($X921="Yes", VLOOKUP($W921, '[1]Storage Fees'!A:M, 7, FALSE), VLOOKUP($W921, '[1]Storage Fees'!A:M, 4, FALSE))) * U921)*1.5</f>
        <v>0</v>
      </c>
    </row>
    <row r="922" spans="1:40" x14ac:dyDescent="0.25">
      <c r="A922" s="99">
        <v>850</v>
      </c>
      <c r="B922" s="99"/>
      <c r="C922" s="99" t="s">
        <v>13655</v>
      </c>
      <c r="D922" s="99"/>
      <c r="E922" s="99" t="s">
        <v>278</v>
      </c>
      <c r="F922" s="99" t="s">
        <v>2229</v>
      </c>
      <c r="G922" s="99" t="s">
        <v>13695</v>
      </c>
      <c r="H922" s="99">
        <v>0</v>
      </c>
      <c r="I922" s="99">
        <v>0</v>
      </c>
      <c r="J922" s="99">
        <v>0</v>
      </c>
      <c r="K922" s="101" t="str">
        <f t="shared" si="174"/>
        <v>0x0x0</v>
      </c>
      <c r="L922" s="102">
        <f t="shared" si="175"/>
        <v>0</v>
      </c>
      <c r="M922" s="113">
        <f t="shared" si="176"/>
        <v>0</v>
      </c>
      <c r="N922" s="113">
        <f t="shared" si="177"/>
        <v>0</v>
      </c>
      <c r="O922" s="99">
        <v>0</v>
      </c>
      <c r="P922" s="113">
        <f t="shared" si="178"/>
        <v>0</v>
      </c>
      <c r="Q922" s="112">
        <f t="shared" si="179"/>
        <v>0</v>
      </c>
      <c r="R922" s="112" t="str">
        <f t="shared" si="180"/>
        <v>Standard-size</v>
      </c>
      <c r="S922" s="99" t="str">
        <f t="shared" si="181"/>
        <v>Small standard-size</v>
      </c>
      <c r="T922" s="116" t="s">
        <v>13696</v>
      </c>
      <c r="U922" s="116">
        <f t="shared" si="182"/>
        <v>0</v>
      </c>
      <c r="V922" s="116" t="s">
        <v>13583</v>
      </c>
      <c r="W922" s="116" t="s">
        <v>13690</v>
      </c>
      <c r="X922" s="99" t="s">
        <v>13583</v>
      </c>
      <c r="Y922" s="99">
        <v>1</v>
      </c>
      <c r="Z922" s="99">
        <v>1</v>
      </c>
      <c r="AA922" s="99">
        <v>1</v>
      </c>
      <c r="AB922" s="99"/>
      <c r="AC922" s="99"/>
      <c r="AD922" s="107">
        <v>0</v>
      </c>
      <c r="AE922" s="113">
        <f t="shared" si="183"/>
        <v>0</v>
      </c>
      <c r="AF922" s="116">
        <f>-IFERROR(IFERROR(VLOOKUP(ROUNDUP($Q922,0),'FBA FEES'!$L$2:$Q$203,MATCH($S922,'FBA FEES'!$L$2:$Q$2,0),FALSE),VLOOKUP(ROUNDUP($Q922,0),'FBA FEES'!$C$6:$F$123,MATCH($S922,'FBA FEES'!$C$6:$F$6,0),FALSE)),0)</f>
        <v>0</v>
      </c>
      <c r="AG922" s="116">
        <v>-10</v>
      </c>
      <c r="AH922" s="113">
        <f t="shared" si="184"/>
        <v>0</v>
      </c>
      <c r="AI922" s="116">
        <f>-IFERROR(IF($Y922=1,INDEX('[1]REMOVAL FEES'!$A$1:$C$22,MATCH(CONCATENATE("Standard Size",$P922),'[1]REMOVAL FEES'!$A$1:$A$22,0),3),IF($Y922=2,IF($P922&gt;10,(($P922-10)*1.06)+INDEX('[1]REMOVAL FEES'!$E$1:$G$22,MATCH(CONCATENATE("Large bulky, extra-large and special handling items",IF($P922&gt;=11,11,$P922)),'[1]REMOVAL FEES'!$E$1:$E$13,0),3),INDEX('[1]REMOVAL FEES'!$E$1:$G$22,MATCH(CONCATENATE("Large bulky, extra-large and special handling items",IF($P922&gt;=11,11,$P922)),'[1]REMOVAL FEES'!$E$1:$E$13,0),3))))*$AA922,FALSE)</f>
        <v>0</v>
      </c>
      <c r="AJ922" s="107">
        <f t="shared" si="185"/>
        <v>0</v>
      </c>
      <c r="AK922" s="107">
        <v>0</v>
      </c>
      <c r="AL922" s="107">
        <v>0</v>
      </c>
      <c r="AM922" s="107">
        <f t="shared" si="186"/>
        <v>0</v>
      </c>
      <c r="AN922" s="116">
        <f>(-IF($V922="Yes", IF($X922="Yes", VLOOKUP($W922, '[1]Storage Fees'!A:M, 13, FALSE), VLOOKUP($W922, '[1]Storage Fees'!A:M, 10, FALSE)), IF($X922="Yes", VLOOKUP($W922, '[1]Storage Fees'!A:M, 7, FALSE), VLOOKUP($W922, '[1]Storage Fees'!A:M, 4, FALSE))) * U922)*1.5</f>
        <v>0</v>
      </c>
    </row>
    <row r="923" spans="1:40" x14ac:dyDescent="0.25">
      <c r="A923" s="99">
        <v>851</v>
      </c>
      <c r="B923" s="99"/>
      <c r="C923" s="99" t="s">
        <v>13655</v>
      </c>
      <c r="D923" s="99"/>
      <c r="E923" s="99" t="s">
        <v>278</v>
      </c>
      <c r="F923" s="99" t="s">
        <v>2230</v>
      </c>
      <c r="G923" s="99" t="s">
        <v>13695</v>
      </c>
      <c r="H923" s="99">
        <v>0</v>
      </c>
      <c r="I923" s="99">
        <v>0</v>
      </c>
      <c r="J923" s="99">
        <v>0</v>
      </c>
      <c r="K923" s="101" t="str">
        <f t="shared" si="174"/>
        <v>0x0x0</v>
      </c>
      <c r="L923" s="102">
        <f t="shared" si="175"/>
        <v>0</v>
      </c>
      <c r="M923" s="113">
        <f t="shared" si="176"/>
        <v>0</v>
      </c>
      <c r="N923" s="113">
        <f t="shared" si="177"/>
        <v>0</v>
      </c>
      <c r="O923" s="99">
        <v>0</v>
      </c>
      <c r="P923" s="113">
        <f t="shared" si="178"/>
        <v>0</v>
      </c>
      <c r="Q923" s="112">
        <f t="shared" si="179"/>
        <v>0</v>
      </c>
      <c r="R923" s="112" t="str">
        <f t="shared" si="180"/>
        <v>Standard-size</v>
      </c>
      <c r="S923" s="99" t="str">
        <f t="shared" si="181"/>
        <v>Small standard-size</v>
      </c>
      <c r="T923" s="116" t="s">
        <v>13696</v>
      </c>
      <c r="U923" s="116">
        <f t="shared" si="182"/>
        <v>0</v>
      </c>
      <c r="V923" s="116" t="s">
        <v>13583</v>
      </c>
      <c r="W923" s="116" t="s">
        <v>13690</v>
      </c>
      <c r="X923" s="99" t="s">
        <v>13583</v>
      </c>
      <c r="Y923" s="99">
        <v>1</v>
      </c>
      <c r="Z923" s="99">
        <v>1</v>
      </c>
      <c r="AA923" s="99">
        <v>1</v>
      </c>
      <c r="AB923" s="99"/>
      <c r="AC923" s="99"/>
      <c r="AD923" s="107">
        <v>0</v>
      </c>
      <c r="AE923" s="113">
        <f t="shared" si="183"/>
        <v>0</v>
      </c>
      <c r="AF923" s="116">
        <f>-IFERROR(IFERROR(VLOOKUP(ROUNDUP($Q923,0),'FBA FEES'!$L$2:$Q$203,MATCH($S923,'FBA FEES'!$L$2:$Q$2,0),FALSE),VLOOKUP(ROUNDUP($Q923,0),'FBA FEES'!$C$6:$F$123,MATCH($S923,'FBA FEES'!$C$6:$F$6,0),FALSE)),0)</f>
        <v>0</v>
      </c>
      <c r="AG923" s="116">
        <v>-10</v>
      </c>
      <c r="AH923" s="113">
        <f t="shared" si="184"/>
        <v>0</v>
      </c>
      <c r="AI923" s="116">
        <f>-IFERROR(IF($Y923=1,INDEX('[1]REMOVAL FEES'!$A$1:$C$22,MATCH(CONCATENATE("Standard Size",$P923),'[1]REMOVAL FEES'!$A$1:$A$22,0),3),IF($Y923=2,IF($P923&gt;10,(($P923-10)*1.06)+INDEX('[1]REMOVAL FEES'!$E$1:$G$22,MATCH(CONCATENATE("Large bulky, extra-large and special handling items",IF($P923&gt;=11,11,$P923)),'[1]REMOVAL FEES'!$E$1:$E$13,0),3),INDEX('[1]REMOVAL FEES'!$E$1:$G$22,MATCH(CONCATENATE("Large bulky, extra-large and special handling items",IF($P923&gt;=11,11,$P923)),'[1]REMOVAL FEES'!$E$1:$E$13,0),3))))*$AA923,FALSE)</f>
        <v>0</v>
      </c>
      <c r="AJ923" s="107">
        <f t="shared" si="185"/>
        <v>0</v>
      </c>
      <c r="AK923" s="107">
        <v>0</v>
      </c>
      <c r="AL923" s="107">
        <v>0</v>
      </c>
      <c r="AM923" s="107">
        <f t="shared" si="186"/>
        <v>0</v>
      </c>
      <c r="AN923" s="116">
        <f>(-IF($V923="Yes", IF($X923="Yes", VLOOKUP($W923, '[1]Storage Fees'!A:M, 13, FALSE), VLOOKUP($W923, '[1]Storage Fees'!A:M, 10, FALSE)), IF($X923="Yes", VLOOKUP($W923, '[1]Storage Fees'!A:M, 7, FALSE), VLOOKUP($W923, '[1]Storage Fees'!A:M, 4, FALSE))) * U923)*1.5</f>
        <v>0</v>
      </c>
    </row>
    <row r="924" spans="1:40" x14ac:dyDescent="0.25">
      <c r="A924" s="99">
        <v>852</v>
      </c>
      <c r="B924" s="99" t="s">
        <v>13699</v>
      </c>
      <c r="C924" s="99"/>
      <c r="D924" s="99"/>
      <c r="E924" s="99" t="s">
        <v>278</v>
      </c>
      <c r="F924" s="99" t="s">
        <v>576</v>
      </c>
      <c r="G924" s="99" t="s">
        <v>13695</v>
      </c>
      <c r="H924" s="99">
        <v>0</v>
      </c>
      <c r="I924" s="99">
        <v>0</v>
      </c>
      <c r="J924" s="99">
        <v>0</v>
      </c>
      <c r="K924" s="101" t="str">
        <f t="shared" si="174"/>
        <v>0x0x0</v>
      </c>
      <c r="L924" s="102">
        <f t="shared" si="175"/>
        <v>0</v>
      </c>
      <c r="M924" s="113">
        <f t="shared" si="176"/>
        <v>0</v>
      </c>
      <c r="N924" s="113">
        <f t="shared" si="177"/>
        <v>0</v>
      </c>
      <c r="O924" s="99">
        <v>0</v>
      </c>
      <c r="P924" s="113">
        <f t="shared" si="178"/>
        <v>0</v>
      </c>
      <c r="Q924" s="112">
        <f t="shared" si="179"/>
        <v>0</v>
      </c>
      <c r="R924" s="112" t="str">
        <f t="shared" si="180"/>
        <v>Standard-size</v>
      </c>
      <c r="S924" s="99" t="str">
        <f t="shared" si="181"/>
        <v>Small standard-size</v>
      </c>
      <c r="T924" s="116" t="s">
        <v>13696</v>
      </c>
      <c r="U924" s="116">
        <f t="shared" si="182"/>
        <v>0</v>
      </c>
      <c r="V924" s="116" t="s">
        <v>13583</v>
      </c>
      <c r="W924" s="116" t="s">
        <v>13690</v>
      </c>
      <c r="X924" s="99" t="s">
        <v>13583</v>
      </c>
      <c r="Y924" s="99">
        <v>1</v>
      </c>
      <c r="Z924" s="99">
        <v>1</v>
      </c>
      <c r="AA924" s="99">
        <v>1</v>
      </c>
      <c r="AB924" s="99"/>
      <c r="AC924" s="99"/>
      <c r="AD924" s="107">
        <v>0</v>
      </c>
      <c r="AE924" s="113">
        <f t="shared" si="183"/>
        <v>0</v>
      </c>
      <c r="AF924" s="116">
        <f>-IFERROR(IFERROR(VLOOKUP(ROUNDUP($Q924,0),'FBA FEES'!$L$2:$Q$203,MATCH($S924,'FBA FEES'!$L$2:$Q$2,0),FALSE),VLOOKUP(ROUNDUP($Q924,0),'FBA FEES'!$C$6:$F$123,MATCH($S924,'FBA FEES'!$C$6:$F$6,0),FALSE)),0)</f>
        <v>0</v>
      </c>
      <c r="AG924" s="116">
        <v>-10</v>
      </c>
      <c r="AH924" s="113">
        <f t="shared" si="184"/>
        <v>0</v>
      </c>
      <c r="AI924" s="116">
        <f>-IFERROR(IF($Y924=1,INDEX('[1]REMOVAL FEES'!$A$1:$C$22,MATCH(CONCATENATE("Standard Size",$P924),'[1]REMOVAL FEES'!$A$1:$A$22,0),3),IF($Y924=2,IF($P924&gt;10,(($P924-10)*1.06)+INDEX('[1]REMOVAL FEES'!$E$1:$G$22,MATCH(CONCATENATE("Large bulky, extra-large and special handling items",IF($P924&gt;=11,11,$P924)),'[1]REMOVAL FEES'!$E$1:$E$13,0),3),INDEX('[1]REMOVAL FEES'!$E$1:$G$22,MATCH(CONCATENATE("Large bulky, extra-large and special handling items",IF($P924&gt;=11,11,$P924)),'[1]REMOVAL FEES'!$E$1:$E$13,0),3))))*$AA924,FALSE)</f>
        <v>0</v>
      </c>
      <c r="AJ924" s="107">
        <f t="shared" si="185"/>
        <v>0</v>
      </c>
      <c r="AK924" s="107">
        <v>0</v>
      </c>
      <c r="AL924" s="107">
        <v>0</v>
      </c>
      <c r="AM924" s="107">
        <f t="shared" si="186"/>
        <v>0</v>
      </c>
      <c r="AN924" s="116">
        <f>(-IF($V924="Yes", IF($X924="Yes", VLOOKUP($W924, '[1]Storage Fees'!A:M, 13, FALSE), VLOOKUP($W924, '[1]Storage Fees'!A:M, 10, FALSE)), IF($X924="Yes", VLOOKUP($W924, '[1]Storage Fees'!A:M, 7, FALSE), VLOOKUP($W924, '[1]Storage Fees'!A:M, 4, FALSE))) * U924)*1.5</f>
        <v>0</v>
      </c>
    </row>
    <row r="925" spans="1:40" x14ac:dyDescent="0.25">
      <c r="A925" s="99">
        <v>853</v>
      </c>
      <c r="B925" s="99"/>
      <c r="C925" s="99" t="s">
        <v>13655</v>
      </c>
      <c r="D925" s="99"/>
      <c r="E925" s="99" t="s">
        <v>278</v>
      </c>
      <c r="F925" s="99" t="s">
        <v>2232</v>
      </c>
      <c r="G925" s="99" t="s">
        <v>13695</v>
      </c>
      <c r="H925" s="99">
        <v>0</v>
      </c>
      <c r="I925" s="99">
        <v>0</v>
      </c>
      <c r="J925" s="99">
        <v>0</v>
      </c>
      <c r="K925" s="101" t="str">
        <f t="shared" si="174"/>
        <v>0x0x0</v>
      </c>
      <c r="L925" s="102">
        <f t="shared" si="175"/>
        <v>0</v>
      </c>
      <c r="M925" s="113">
        <f t="shared" si="176"/>
        <v>0</v>
      </c>
      <c r="N925" s="113">
        <f t="shared" si="177"/>
        <v>0</v>
      </c>
      <c r="O925" s="99">
        <v>0</v>
      </c>
      <c r="P925" s="113">
        <f t="shared" si="178"/>
        <v>0</v>
      </c>
      <c r="Q925" s="112">
        <f t="shared" si="179"/>
        <v>0</v>
      </c>
      <c r="R925" s="112" t="str">
        <f t="shared" si="180"/>
        <v>Standard-size</v>
      </c>
      <c r="S925" s="99" t="str">
        <f t="shared" si="181"/>
        <v>Small standard-size</v>
      </c>
      <c r="T925" s="116" t="s">
        <v>13696</v>
      </c>
      <c r="U925" s="116">
        <f t="shared" si="182"/>
        <v>0</v>
      </c>
      <c r="V925" s="116" t="s">
        <v>13583</v>
      </c>
      <c r="W925" s="116" t="s">
        <v>13690</v>
      </c>
      <c r="X925" s="99" t="s">
        <v>13583</v>
      </c>
      <c r="Y925" s="99">
        <v>1</v>
      </c>
      <c r="Z925" s="99">
        <v>1</v>
      </c>
      <c r="AA925" s="99">
        <v>1</v>
      </c>
      <c r="AB925" s="99"/>
      <c r="AC925" s="99"/>
      <c r="AD925" s="107">
        <v>0</v>
      </c>
      <c r="AE925" s="113">
        <f t="shared" si="183"/>
        <v>0</v>
      </c>
      <c r="AF925" s="116">
        <f>-IFERROR(IFERROR(VLOOKUP(ROUNDUP($Q925,0),'FBA FEES'!$L$2:$Q$203,MATCH($S925,'FBA FEES'!$L$2:$Q$2,0),FALSE),VLOOKUP(ROUNDUP($Q925,0),'FBA FEES'!$C$6:$F$123,MATCH($S925,'FBA FEES'!$C$6:$F$6,0),FALSE)),0)</f>
        <v>0</v>
      </c>
      <c r="AG925" s="116">
        <v>-10</v>
      </c>
      <c r="AH925" s="113">
        <f t="shared" si="184"/>
        <v>0</v>
      </c>
      <c r="AI925" s="116">
        <f>-IFERROR(IF($Y925=1,INDEX('[1]REMOVAL FEES'!$A$1:$C$22,MATCH(CONCATENATE("Standard Size",$P925),'[1]REMOVAL FEES'!$A$1:$A$22,0),3),IF($Y925=2,IF($P925&gt;10,(($P925-10)*1.06)+INDEX('[1]REMOVAL FEES'!$E$1:$G$22,MATCH(CONCATENATE("Large bulky, extra-large and special handling items",IF($P925&gt;=11,11,$P925)),'[1]REMOVAL FEES'!$E$1:$E$13,0),3),INDEX('[1]REMOVAL FEES'!$E$1:$G$22,MATCH(CONCATENATE("Large bulky, extra-large and special handling items",IF($P925&gt;=11,11,$P925)),'[1]REMOVAL FEES'!$E$1:$E$13,0),3))))*$AA925,FALSE)</f>
        <v>0</v>
      </c>
      <c r="AJ925" s="107">
        <f t="shared" si="185"/>
        <v>0</v>
      </c>
      <c r="AK925" s="107">
        <v>0</v>
      </c>
      <c r="AL925" s="107">
        <v>0</v>
      </c>
      <c r="AM925" s="107">
        <f t="shared" si="186"/>
        <v>0</v>
      </c>
      <c r="AN925" s="116">
        <f>(-IF($V925="Yes", IF($X925="Yes", VLOOKUP($W925, '[1]Storage Fees'!A:M, 13, FALSE), VLOOKUP($W925, '[1]Storage Fees'!A:M, 10, FALSE)), IF($X925="Yes", VLOOKUP($W925, '[1]Storage Fees'!A:M, 7, FALSE), VLOOKUP($W925, '[1]Storage Fees'!A:M, 4, FALSE))) * U925)*1.5</f>
        <v>0</v>
      </c>
    </row>
    <row r="926" spans="1:40" x14ac:dyDescent="0.25">
      <c r="A926" s="99">
        <v>854</v>
      </c>
      <c r="B926" s="99"/>
      <c r="C926" s="99" t="s">
        <v>13655</v>
      </c>
      <c r="D926" s="99"/>
      <c r="E926" s="99" t="s">
        <v>278</v>
      </c>
      <c r="F926" s="99" t="s">
        <v>2234</v>
      </c>
      <c r="G926" s="99" t="s">
        <v>13695</v>
      </c>
      <c r="H926" s="99">
        <v>0</v>
      </c>
      <c r="I926" s="99">
        <v>0</v>
      </c>
      <c r="J926" s="99">
        <v>0</v>
      </c>
      <c r="K926" s="101" t="str">
        <f t="shared" si="174"/>
        <v>0x0x0</v>
      </c>
      <c r="L926" s="102">
        <f t="shared" si="175"/>
        <v>0</v>
      </c>
      <c r="M926" s="113">
        <f t="shared" si="176"/>
        <v>0</v>
      </c>
      <c r="N926" s="113">
        <f t="shared" si="177"/>
        <v>0</v>
      </c>
      <c r="O926" s="99">
        <v>0</v>
      </c>
      <c r="P926" s="113">
        <f t="shared" si="178"/>
        <v>0</v>
      </c>
      <c r="Q926" s="112">
        <f t="shared" si="179"/>
        <v>0</v>
      </c>
      <c r="R926" s="112" t="str">
        <f t="shared" si="180"/>
        <v>Standard-size</v>
      </c>
      <c r="S926" s="99" t="str">
        <f t="shared" si="181"/>
        <v>Small standard-size</v>
      </c>
      <c r="T926" s="116" t="s">
        <v>13696</v>
      </c>
      <c r="U926" s="116">
        <f t="shared" si="182"/>
        <v>0</v>
      </c>
      <c r="V926" s="116" t="s">
        <v>13583</v>
      </c>
      <c r="W926" s="116" t="s">
        <v>13690</v>
      </c>
      <c r="X926" s="99" t="s">
        <v>13583</v>
      </c>
      <c r="Y926" s="99">
        <v>1</v>
      </c>
      <c r="Z926" s="99">
        <v>1</v>
      </c>
      <c r="AA926" s="99">
        <v>1</v>
      </c>
      <c r="AB926" s="99"/>
      <c r="AC926" s="99"/>
      <c r="AD926" s="107">
        <v>0</v>
      </c>
      <c r="AE926" s="113">
        <f t="shared" si="183"/>
        <v>0</v>
      </c>
      <c r="AF926" s="116">
        <f>-IFERROR(IFERROR(VLOOKUP(ROUNDUP($Q926,0),'FBA FEES'!$L$2:$Q$203,MATCH($S926,'FBA FEES'!$L$2:$Q$2,0),FALSE),VLOOKUP(ROUNDUP($Q926,0),'FBA FEES'!$C$6:$F$123,MATCH($S926,'FBA FEES'!$C$6:$F$6,0),FALSE)),0)</f>
        <v>0</v>
      </c>
      <c r="AG926" s="116">
        <v>-10</v>
      </c>
      <c r="AH926" s="113">
        <f t="shared" si="184"/>
        <v>0</v>
      </c>
      <c r="AI926" s="116">
        <f>-IFERROR(IF($Y926=1,INDEX('[1]REMOVAL FEES'!$A$1:$C$22,MATCH(CONCATENATE("Standard Size",$P926),'[1]REMOVAL FEES'!$A$1:$A$22,0),3),IF($Y926=2,IF($P926&gt;10,(($P926-10)*1.06)+INDEX('[1]REMOVAL FEES'!$E$1:$G$22,MATCH(CONCATENATE("Large bulky, extra-large and special handling items",IF($P926&gt;=11,11,$P926)),'[1]REMOVAL FEES'!$E$1:$E$13,0),3),INDEX('[1]REMOVAL FEES'!$E$1:$G$22,MATCH(CONCATENATE("Large bulky, extra-large and special handling items",IF($P926&gt;=11,11,$P926)),'[1]REMOVAL FEES'!$E$1:$E$13,0),3))))*$AA926,FALSE)</f>
        <v>0</v>
      </c>
      <c r="AJ926" s="107">
        <f t="shared" si="185"/>
        <v>0</v>
      </c>
      <c r="AK926" s="107">
        <v>0</v>
      </c>
      <c r="AL926" s="107">
        <v>0</v>
      </c>
      <c r="AM926" s="107">
        <f t="shared" si="186"/>
        <v>0</v>
      </c>
      <c r="AN926" s="116">
        <f>(-IF($V926="Yes", IF($X926="Yes", VLOOKUP($W926, '[1]Storage Fees'!A:M, 13, FALSE), VLOOKUP($W926, '[1]Storage Fees'!A:M, 10, FALSE)), IF($X926="Yes", VLOOKUP($W926, '[1]Storage Fees'!A:M, 7, FALSE), VLOOKUP($W926, '[1]Storage Fees'!A:M, 4, FALSE))) * U926)*1.5</f>
        <v>0</v>
      </c>
    </row>
    <row r="927" spans="1:40" x14ac:dyDescent="0.25">
      <c r="A927" s="99">
        <v>855</v>
      </c>
      <c r="B927" s="99"/>
      <c r="C927" s="99" t="s">
        <v>13655</v>
      </c>
      <c r="D927" s="99"/>
      <c r="E927" s="99" t="s">
        <v>278</v>
      </c>
      <c r="F927" s="99" t="s">
        <v>2236</v>
      </c>
      <c r="G927" s="99" t="s">
        <v>13695</v>
      </c>
      <c r="H927" s="99">
        <v>0</v>
      </c>
      <c r="I927" s="99">
        <v>0</v>
      </c>
      <c r="J927" s="99">
        <v>0</v>
      </c>
      <c r="K927" s="101" t="str">
        <f t="shared" si="174"/>
        <v>0x0x0</v>
      </c>
      <c r="L927" s="102">
        <f t="shared" si="175"/>
        <v>0</v>
      </c>
      <c r="M927" s="113">
        <f t="shared" si="176"/>
        <v>0</v>
      </c>
      <c r="N927" s="113">
        <f t="shared" si="177"/>
        <v>0</v>
      </c>
      <c r="O927" s="99">
        <v>0</v>
      </c>
      <c r="P927" s="113">
        <f t="shared" si="178"/>
        <v>0</v>
      </c>
      <c r="Q927" s="112">
        <f t="shared" si="179"/>
        <v>0</v>
      </c>
      <c r="R927" s="112" t="str">
        <f t="shared" si="180"/>
        <v>Standard-size</v>
      </c>
      <c r="S927" s="99" t="str">
        <f t="shared" si="181"/>
        <v>Small standard-size</v>
      </c>
      <c r="T927" s="116" t="s">
        <v>13696</v>
      </c>
      <c r="U927" s="116">
        <f t="shared" si="182"/>
        <v>0</v>
      </c>
      <c r="V927" s="116" t="s">
        <v>13583</v>
      </c>
      <c r="W927" s="116" t="s">
        <v>13690</v>
      </c>
      <c r="X927" s="99" t="s">
        <v>13583</v>
      </c>
      <c r="Y927" s="99">
        <v>1</v>
      </c>
      <c r="Z927" s="99">
        <v>1</v>
      </c>
      <c r="AA927" s="99">
        <v>1</v>
      </c>
      <c r="AB927" s="99"/>
      <c r="AC927" s="99"/>
      <c r="AD927" s="107">
        <v>0</v>
      </c>
      <c r="AE927" s="113">
        <f t="shared" si="183"/>
        <v>0</v>
      </c>
      <c r="AF927" s="116">
        <f>-IFERROR(IFERROR(VLOOKUP(ROUNDUP($Q927,0),'FBA FEES'!$L$2:$Q$203,MATCH($S927,'FBA FEES'!$L$2:$Q$2,0),FALSE),VLOOKUP(ROUNDUP($Q927,0),'FBA FEES'!$C$6:$F$123,MATCH($S927,'FBA FEES'!$C$6:$F$6,0),FALSE)),0)</f>
        <v>0</v>
      </c>
      <c r="AG927" s="116">
        <v>-10</v>
      </c>
      <c r="AH927" s="113">
        <f t="shared" si="184"/>
        <v>0</v>
      </c>
      <c r="AI927" s="116">
        <f>-IFERROR(IF($Y927=1,INDEX('[1]REMOVAL FEES'!$A$1:$C$22,MATCH(CONCATENATE("Standard Size",$P927),'[1]REMOVAL FEES'!$A$1:$A$22,0),3),IF($Y927=2,IF($P927&gt;10,(($P927-10)*1.06)+INDEX('[1]REMOVAL FEES'!$E$1:$G$22,MATCH(CONCATENATE("Large bulky, extra-large and special handling items",IF($P927&gt;=11,11,$P927)),'[1]REMOVAL FEES'!$E$1:$E$13,0),3),INDEX('[1]REMOVAL FEES'!$E$1:$G$22,MATCH(CONCATENATE("Large bulky, extra-large and special handling items",IF($P927&gt;=11,11,$P927)),'[1]REMOVAL FEES'!$E$1:$E$13,0),3))))*$AA927,FALSE)</f>
        <v>0</v>
      </c>
      <c r="AJ927" s="107">
        <f t="shared" si="185"/>
        <v>0</v>
      </c>
      <c r="AK927" s="107">
        <v>0</v>
      </c>
      <c r="AL927" s="107">
        <v>0</v>
      </c>
      <c r="AM927" s="107">
        <f t="shared" si="186"/>
        <v>0</v>
      </c>
      <c r="AN927" s="116">
        <f>(-IF($V927="Yes", IF($X927="Yes", VLOOKUP($W927, '[1]Storage Fees'!A:M, 13, FALSE), VLOOKUP($W927, '[1]Storage Fees'!A:M, 10, FALSE)), IF($X927="Yes", VLOOKUP($W927, '[1]Storage Fees'!A:M, 7, FALSE), VLOOKUP($W927, '[1]Storage Fees'!A:M, 4, FALSE))) * U927)*1.5</f>
        <v>0</v>
      </c>
    </row>
    <row r="928" spans="1:40" x14ac:dyDescent="0.25">
      <c r="A928" s="99">
        <v>856</v>
      </c>
      <c r="B928" s="99"/>
      <c r="C928" s="99" t="s">
        <v>13655</v>
      </c>
      <c r="D928" s="99"/>
      <c r="E928" s="99" t="s">
        <v>278</v>
      </c>
      <c r="F928" s="99" t="s">
        <v>2238</v>
      </c>
      <c r="G928" s="99" t="s">
        <v>13695</v>
      </c>
      <c r="H928" s="99">
        <v>0</v>
      </c>
      <c r="I928" s="99">
        <v>0</v>
      </c>
      <c r="J928" s="99">
        <v>0</v>
      </c>
      <c r="K928" s="101" t="str">
        <f t="shared" si="174"/>
        <v>0x0x0</v>
      </c>
      <c r="L928" s="102">
        <f t="shared" si="175"/>
        <v>0</v>
      </c>
      <c r="M928" s="113">
        <f t="shared" si="176"/>
        <v>0</v>
      </c>
      <c r="N928" s="113">
        <f t="shared" si="177"/>
        <v>0</v>
      </c>
      <c r="O928" s="99">
        <v>0</v>
      </c>
      <c r="P928" s="113">
        <f t="shared" si="178"/>
        <v>0</v>
      </c>
      <c r="Q928" s="112">
        <f t="shared" si="179"/>
        <v>0</v>
      </c>
      <c r="R928" s="112" t="str">
        <f t="shared" si="180"/>
        <v>Standard-size</v>
      </c>
      <c r="S928" s="99" t="str">
        <f t="shared" si="181"/>
        <v>Small standard-size</v>
      </c>
      <c r="T928" s="116" t="s">
        <v>13696</v>
      </c>
      <c r="U928" s="116">
        <f t="shared" si="182"/>
        <v>0</v>
      </c>
      <c r="V928" s="116" t="s">
        <v>13583</v>
      </c>
      <c r="W928" s="116" t="s">
        <v>13690</v>
      </c>
      <c r="X928" s="99" t="s">
        <v>13583</v>
      </c>
      <c r="Y928" s="99">
        <v>1</v>
      </c>
      <c r="Z928" s="99">
        <v>1</v>
      </c>
      <c r="AA928" s="99">
        <v>1</v>
      </c>
      <c r="AB928" s="99"/>
      <c r="AC928" s="99"/>
      <c r="AD928" s="107">
        <v>0</v>
      </c>
      <c r="AE928" s="113">
        <f t="shared" si="183"/>
        <v>0</v>
      </c>
      <c r="AF928" s="116">
        <f>-IFERROR(IFERROR(VLOOKUP(ROUNDUP($Q928,0),'FBA FEES'!$L$2:$Q$203,MATCH($S928,'FBA FEES'!$L$2:$Q$2,0),FALSE),VLOOKUP(ROUNDUP($Q928,0),'FBA FEES'!$C$6:$F$123,MATCH($S928,'FBA FEES'!$C$6:$F$6,0),FALSE)),0)</f>
        <v>0</v>
      </c>
      <c r="AG928" s="116">
        <v>-10</v>
      </c>
      <c r="AH928" s="113">
        <f t="shared" si="184"/>
        <v>0</v>
      </c>
      <c r="AI928" s="116">
        <f>-IFERROR(IF($Y928=1,INDEX('[1]REMOVAL FEES'!$A$1:$C$22,MATCH(CONCATENATE("Standard Size",$P928),'[1]REMOVAL FEES'!$A$1:$A$22,0),3),IF($Y928=2,IF($P928&gt;10,(($P928-10)*1.06)+INDEX('[1]REMOVAL FEES'!$E$1:$G$22,MATCH(CONCATENATE("Large bulky, extra-large and special handling items",IF($P928&gt;=11,11,$P928)),'[1]REMOVAL FEES'!$E$1:$E$13,0),3),INDEX('[1]REMOVAL FEES'!$E$1:$G$22,MATCH(CONCATENATE("Large bulky, extra-large and special handling items",IF($P928&gt;=11,11,$P928)),'[1]REMOVAL FEES'!$E$1:$E$13,0),3))))*$AA928,FALSE)</f>
        <v>0</v>
      </c>
      <c r="AJ928" s="107">
        <f t="shared" si="185"/>
        <v>0</v>
      </c>
      <c r="AK928" s="107">
        <v>0</v>
      </c>
      <c r="AL928" s="107">
        <v>0</v>
      </c>
      <c r="AM928" s="107">
        <f t="shared" si="186"/>
        <v>0</v>
      </c>
      <c r="AN928" s="116">
        <f>(-IF($V928="Yes", IF($X928="Yes", VLOOKUP($W928, '[1]Storage Fees'!A:M, 13, FALSE), VLOOKUP($W928, '[1]Storage Fees'!A:M, 10, FALSE)), IF($X928="Yes", VLOOKUP($W928, '[1]Storage Fees'!A:M, 7, FALSE), VLOOKUP($W928, '[1]Storage Fees'!A:M, 4, FALSE))) * U928)*1.5</f>
        <v>0</v>
      </c>
    </row>
    <row r="929" spans="1:40" x14ac:dyDescent="0.25">
      <c r="A929" s="99">
        <v>857</v>
      </c>
      <c r="B929" s="99" t="s">
        <v>13699</v>
      </c>
      <c r="C929" s="99"/>
      <c r="D929" s="99"/>
      <c r="E929" s="99" t="s">
        <v>578</v>
      </c>
      <c r="F929" s="99" t="s">
        <v>577</v>
      </c>
      <c r="G929" s="99" t="s">
        <v>13695</v>
      </c>
      <c r="H929" s="99">
        <v>0</v>
      </c>
      <c r="I929" s="99">
        <v>0</v>
      </c>
      <c r="J929" s="99">
        <v>0</v>
      </c>
      <c r="K929" s="101" t="str">
        <f t="shared" si="174"/>
        <v>0x0x0</v>
      </c>
      <c r="L929" s="102">
        <f t="shared" si="175"/>
        <v>0</v>
      </c>
      <c r="M929" s="113">
        <f t="shared" si="176"/>
        <v>0</v>
      </c>
      <c r="N929" s="113">
        <f t="shared" si="177"/>
        <v>0</v>
      </c>
      <c r="O929" s="99">
        <v>0</v>
      </c>
      <c r="P929" s="113">
        <f t="shared" si="178"/>
        <v>0</v>
      </c>
      <c r="Q929" s="112">
        <f t="shared" si="179"/>
        <v>0</v>
      </c>
      <c r="R929" s="112" t="str">
        <f t="shared" si="180"/>
        <v>Standard-size</v>
      </c>
      <c r="S929" s="99" t="str">
        <f t="shared" si="181"/>
        <v>Small standard-size</v>
      </c>
      <c r="T929" s="116" t="s">
        <v>13696</v>
      </c>
      <c r="U929" s="116">
        <f t="shared" si="182"/>
        <v>0</v>
      </c>
      <c r="V929" s="116" t="s">
        <v>13583</v>
      </c>
      <c r="W929" s="116" t="s">
        <v>13690</v>
      </c>
      <c r="X929" s="99" t="s">
        <v>13583</v>
      </c>
      <c r="Y929" s="99">
        <v>1</v>
      </c>
      <c r="Z929" s="99">
        <v>1</v>
      </c>
      <c r="AA929" s="99">
        <v>1</v>
      </c>
      <c r="AB929" s="99"/>
      <c r="AC929" s="99"/>
      <c r="AD929" s="107">
        <v>83.628749999999997</v>
      </c>
      <c r="AE929" s="113">
        <f t="shared" si="183"/>
        <v>-12.544312499999998</v>
      </c>
      <c r="AF929" s="116">
        <f>-IFERROR(IFERROR(VLOOKUP(ROUNDUP($Q929,0),'FBA FEES'!$L$2:$Q$203,MATCH($S929,'FBA FEES'!$L$2:$Q$2,0),FALSE),VLOOKUP(ROUNDUP($Q929,0),'FBA FEES'!$C$6:$F$123,MATCH($S929,'FBA FEES'!$C$6:$F$6,0),FALSE)),0)</f>
        <v>0</v>
      </c>
      <c r="AG929" s="116">
        <v>-10</v>
      </c>
      <c r="AH929" s="113">
        <f t="shared" si="184"/>
        <v>-12.544312499999998</v>
      </c>
      <c r="AI929" s="116">
        <f>-IFERROR(IF($Y929=1,INDEX('[1]REMOVAL FEES'!$A$1:$C$22,MATCH(CONCATENATE("Standard Size",$P929),'[1]REMOVAL FEES'!$A$1:$A$22,0),3),IF($Y929=2,IF($P929&gt;10,(($P929-10)*1.06)+INDEX('[1]REMOVAL FEES'!$E$1:$G$22,MATCH(CONCATENATE("Large bulky, extra-large and special handling items",IF($P929&gt;=11,11,$P929)),'[1]REMOVAL FEES'!$E$1:$E$13,0),3),INDEX('[1]REMOVAL FEES'!$E$1:$G$22,MATCH(CONCATENATE("Large bulky, extra-large and special handling items",IF($P929&gt;=11,11,$P929)),'[1]REMOVAL FEES'!$E$1:$E$13,0),3))))*$AA929,FALSE)</f>
        <v>0</v>
      </c>
      <c r="AJ929" s="107">
        <f t="shared" si="185"/>
        <v>-12.544312499999998</v>
      </c>
      <c r="AK929" s="107">
        <v>-36.79</v>
      </c>
      <c r="AL929" s="107">
        <v>-9.69</v>
      </c>
      <c r="AM929" s="107">
        <f t="shared" si="186"/>
        <v>-46.48</v>
      </c>
      <c r="AN929" s="116">
        <f>(-IF($V929="Yes", IF($X929="Yes", VLOOKUP($W929, '[1]Storage Fees'!A:M, 13, FALSE), VLOOKUP($W929, '[1]Storage Fees'!A:M, 10, FALSE)), IF($X929="Yes", VLOOKUP($W929, '[1]Storage Fees'!A:M, 7, FALSE), VLOOKUP($W929, '[1]Storage Fees'!A:M, 4, FALSE))) * U929)*1.5</f>
        <v>0</v>
      </c>
    </row>
    <row r="930" spans="1:40" x14ac:dyDescent="0.25">
      <c r="A930" s="99">
        <v>858</v>
      </c>
      <c r="B930" s="99" t="s">
        <v>13699</v>
      </c>
      <c r="C930" s="99"/>
      <c r="D930" s="99"/>
      <c r="E930" s="99" t="s">
        <v>578</v>
      </c>
      <c r="F930" s="99" t="s">
        <v>579</v>
      </c>
      <c r="G930" s="99" t="s">
        <v>13695</v>
      </c>
      <c r="H930" s="99">
        <v>0</v>
      </c>
      <c r="I930" s="99">
        <v>0</v>
      </c>
      <c r="J930" s="99">
        <v>0</v>
      </c>
      <c r="K930" s="101" t="str">
        <f t="shared" si="174"/>
        <v>0x0x0</v>
      </c>
      <c r="L930" s="102">
        <f t="shared" si="175"/>
        <v>0</v>
      </c>
      <c r="M930" s="113">
        <f t="shared" si="176"/>
        <v>0</v>
      </c>
      <c r="N930" s="113">
        <f t="shared" si="177"/>
        <v>0</v>
      </c>
      <c r="O930" s="99">
        <v>0</v>
      </c>
      <c r="P930" s="113">
        <f t="shared" si="178"/>
        <v>0</v>
      </c>
      <c r="Q930" s="112">
        <f t="shared" si="179"/>
        <v>0</v>
      </c>
      <c r="R930" s="112" t="str">
        <f t="shared" si="180"/>
        <v>Standard-size</v>
      </c>
      <c r="S930" s="99" t="str">
        <f t="shared" si="181"/>
        <v>Small standard-size</v>
      </c>
      <c r="T930" s="116" t="s">
        <v>13696</v>
      </c>
      <c r="U930" s="116">
        <f t="shared" si="182"/>
        <v>0</v>
      </c>
      <c r="V930" s="116" t="s">
        <v>13583</v>
      </c>
      <c r="W930" s="116" t="s">
        <v>13690</v>
      </c>
      <c r="X930" s="99" t="s">
        <v>13583</v>
      </c>
      <c r="Y930" s="99">
        <v>1</v>
      </c>
      <c r="Z930" s="99">
        <v>1</v>
      </c>
      <c r="AA930" s="99">
        <v>1</v>
      </c>
      <c r="AB930" s="99"/>
      <c r="AC930" s="99"/>
      <c r="AD930" s="107">
        <v>51.737499999999997</v>
      </c>
      <c r="AE930" s="113">
        <f t="shared" si="183"/>
        <v>-7.7606249999999992</v>
      </c>
      <c r="AF930" s="116">
        <f>-IFERROR(IFERROR(VLOOKUP(ROUNDUP($Q930,0),'FBA FEES'!$L$2:$Q$203,MATCH($S930,'FBA FEES'!$L$2:$Q$2,0),FALSE),VLOOKUP(ROUNDUP($Q930,0),'FBA FEES'!$C$6:$F$123,MATCH($S930,'FBA FEES'!$C$6:$F$6,0),FALSE)),0)</f>
        <v>0</v>
      </c>
      <c r="AG930" s="116">
        <v>-10</v>
      </c>
      <c r="AH930" s="113">
        <f t="shared" si="184"/>
        <v>-7.7606249999999992</v>
      </c>
      <c r="AI930" s="116">
        <f>-IFERROR(IF($Y930=1,INDEX('[1]REMOVAL FEES'!$A$1:$C$22,MATCH(CONCATENATE("Standard Size",$P930),'[1]REMOVAL FEES'!$A$1:$A$22,0),3),IF($Y930=2,IF($P930&gt;10,(($P930-10)*1.06)+INDEX('[1]REMOVAL FEES'!$E$1:$G$22,MATCH(CONCATENATE("Large bulky, extra-large and special handling items",IF($P930&gt;=11,11,$P930)),'[1]REMOVAL FEES'!$E$1:$E$13,0),3),INDEX('[1]REMOVAL FEES'!$E$1:$G$22,MATCH(CONCATENATE("Large bulky, extra-large and special handling items",IF($P930&gt;=11,11,$P930)),'[1]REMOVAL FEES'!$E$1:$E$13,0),3))))*$AA930,FALSE)</f>
        <v>0</v>
      </c>
      <c r="AJ930" s="107">
        <f t="shared" si="185"/>
        <v>-7.7606249999999992</v>
      </c>
      <c r="AK930" s="107">
        <v>-21.56</v>
      </c>
      <c r="AL930" s="107">
        <v>-7.93</v>
      </c>
      <c r="AM930" s="107">
        <f t="shared" si="186"/>
        <v>-29.49</v>
      </c>
      <c r="AN930" s="116">
        <f>(-IF($V930="Yes", IF($X930="Yes", VLOOKUP($W930, '[1]Storage Fees'!A:M, 13, FALSE), VLOOKUP($W930, '[1]Storage Fees'!A:M, 10, FALSE)), IF($X930="Yes", VLOOKUP($W930, '[1]Storage Fees'!A:M, 7, FALSE), VLOOKUP($W930, '[1]Storage Fees'!A:M, 4, FALSE))) * U930)*1.5</f>
        <v>0</v>
      </c>
    </row>
    <row r="931" spans="1:40" x14ac:dyDescent="0.25">
      <c r="A931" s="99">
        <v>859</v>
      </c>
      <c r="B931" s="99" t="s">
        <v>13699</v>
      </c>
      <c r="C931" s="99"/>
      <c r="D931" s="99"/>
      <c r="E931" s="99" t="s">
        <v>578</v>
      </c>
      <c r="F931" s="99" t="s">
        <v>580</v>
      </c>
      <c r="G931" s="99" t="s">
        <v>13695</v>
      </c>
      <c r="H931" s="99">
        <v>0</v>
      </c>
      <c r="I931" s="99">
        <v>0</v>
      </c>
      <c r="J931" s="99">
        <v>0</v>
      </c>
      <c r="K931" s="101" t="str">
        <f t="shared" si="174"/>
        <v>0x0x0</v>
      </c>
      <c r="L931" s="102">
        <f t="shared" si="175"/>
        <v>0</v>
      </c>
      <c r="M931" s="113">
        <f t="shared" si="176"/>
        <v>0</v>
      </c>
      <c r="N931" s="113">
        <f t="shared" si="177"/>
        <v>0</v>
      </c>
      <c r="O931" s="99">
        <v>0</v>
      </c>
      <c r="P931" s="113">
        <f t="shared" si="178"/>
        <v>0</v>
      </c>
      <c r="Q931" s="112">
        <f t="shared" si="179"/>
        <v>0</v>
      </c>
      <c r="R931" s="112" t="str">
        <f t="shared" si="180"/>
        <v>Standard-size</v>
      </c>
      <c r="S931" s="99" t="str">
        <f t="shared" si="181"/>
        <v>Small standard-size</v>
      </c>
      <c r="T931" s="116" t="s">
        <v>13696</v>
      </c>
      <c r="U931" s="116">
        <f t="shared" si="182"/>
        <v>0</v>
      </c>
      <c r="V931" s="116" t="s">
        <v>13583</v>
      </c>
      <c r="W931" s="116" t="s">
        <v>13690</v>
      </c>
      <c r="X931" s="99" t="s">
        <v>13583</v>
      </c>
      <c r="Y931" s="99">
        <v>1</v>
      </c>
      <c r="Z931" s="99">
        <v>1</v>
      </c>
      <c r="AA931" s="99">
        <v>1</v>
      </c>
      <c r="AB931" s="99"/>
      <c r="AC931" s="99"/>
      <c r="AD931" s="107">
        <v>69.760357142857146</v>
      </c>
      <c r="AE931" s="113">
        <f t="shared" si="183"/>
        <v>-10.464053571428572</v>
      </c>
      <c r="AF931" s="116">
        <f>-IFERROR(IFERROR(VLOOKUP(ROUNDUP($Q931,0),'FBA FEES'!$L$2:$Q$203,MATCH($S931,'FBA FEES'!$L$2:$Q$2,0),FALSE),VLOOKUP(ROUNDUP($Q931,0),'FBA FEES'!$C$6:$F$123,MATCH($S931,'FBA FEES'!$C$6:$F$6,0),FALSE)),0)</f>
        <v>0</v>
      </c>
      <c r="AG931" s="116">
        <v>-10</v>
      </c>
      <c r="AH931" s="113">
        <f t="shared" si="184"/>
        <v>-10.464053571428572</v>
      </c>
      <c r="AI931" s="116">
        <f>-IFERROR(IF($Y931=1,INDEX('[1]REMOVAL FEES'!$A$1:$C$22,MATCH(CONCATENATE("Standard Size",$P931),'[1]REMOVAL FEES'!$A$1:$A$22,0),3),IF($Y931=2,IF($P931&gt;10,(($P931-10)*1.06)+INDEX('[1]REMOVAL FEES'!$E$1:$G$22,MATCH(CONCATENATE("Large bulky, extra-large and special handling items",IF($P931&gt;=11,11,$P931)),'[1]REMOVAL FEES'!$E$1:$E$13,0),3),INDEX('[1]REMOVAL FEES'!$E$1:$G$22,MATCH(CONCATENATE("Large bulky, extra-large and special handling items",IF($P931&gt;=11,11,$P931)),'[1]REMOVAL FEES'!$E$1:$E$13,0),3))))*$AA931,FALSE)</f>
        <v>0</v>
      </c>
      <c r="AJ931" s="107">
        <f t="shared" si="185"/>
        <v>-10.464053571428572</v>
      </c>
      <c r="AK931" s="107">
        <v>-36</v>
      </c>
      <c r="AL931" s="107">
        <v>-13.67</v>
      </c>
      <c r="AM931" s="107">
        <f t="shared" si="186"/>
        <v>-49.67</v>
      </c>
      <c r="AN931" s="116">
        <f>(-IF($V931="Yes", IF($X931="Yes", VLOOKUP($W931, '[1]Storage Fees'!A:M, 13, FALSE), VLOOKUP($W931, '[1]Storage Fees'!A:M, 10, FALSE)), IF($X931="Yes", VLOOKUP($W931, '[1]Storage Fees'!A:M, 7, FALSE), VLOOKUP($W931, '[1]Storage Fees'!A:M, 4, FALSE))) * U931)*1.5</f>
        <v>0</v>
      </c>
    </row>
    <row r="932" spans="1:40" x14ac:dyDescent="0.25">
      <c r="A932" s="99">
        <v>860</v>
      </c>
      <c r="B932" s="99" t="s">
        <v>107</v>
      </c>
      <c r="C932" s="99"/>
      <c r="D932" s="99"/>
      <c r="E932" s="99" t="s">
        <v>278</v>
      </c>
      <c r="F932" s="99" t="s">
        <v>581</v>
      </c>
      <c r="G932" s="99" t="s">
        <v>13695</v>
      </c>
      <c r="H932" s="99">
        <v>23</v>
      </c>
      <c r="I932" s="99">
        <v>9</v>
      </c>
      <c r="J932" s="99">
        <v>3</v>
      </c>
      <c r="K932" s="101" t="str">
        <f t="shared" si="174"/>
        <v>23x9x3</v>
      </c>
      <c r="L932" s="102">
        <f t="shared" si="175"/>
        <v>4.4676258992805753</v>
      </c>
      <c r="M932" s="113">
        <f t="shared" si="176"/>
        <v>4.4676258992805753</v>
      </c>
      <c r="N932" s="113">
        <f t="shared" si="177"/>
        <v>5</v>
      </c>
      <c r="O932" s="99">
        <v>8</v>
      </c>
      <c r="P932" s="113">
        <f t="shared" si="178"/>
        <v>8</v>
      </c>
      <c r="Q932" s="112">
        <f t="shared" si="179"/>
        <v>128</v>
      </c>
      <c r="R932" s="112" t="str">
        <f t="shared" si="180"/>
        <v>Oversize</v>
      </c>
      <c r="S932" s="99" t="str">
        <f t="shared" si="181"/>
        <v>Large bulky</v>
      </c>
      <c r="T932" s="116" t="s">
        <v>13692</v>
      </c>
      <c r="U932" s="116">
        <f t="shared" si="182"/>
        <v>0.359375</v>
      </c>
      <c r="V932" s="116" t="s">
        <v>13583</v>
      </c>
      <c r="W932" s="116" t="s">
        <v>13690</v>
      </c>
      <c r="X932" s="116" t="s">
        <v>13691</v>
      </c>
      <c r="Y932" s="116">
        <v>2</v>
      </c>
      <c r="Z932" s="116">
        <v>3</v>
      </c>
      <c r="AA932" s="116">
        <v>1</v>
      </c>
      <c r="AB932" s="99"/>
      <c r="AC932" s="99"/>
      <c r="AD932" s="107">
        <v>0</v>
      </c>
      <c r="AE932" s="113">
        <f t="shared" si="183"/>
        <v>0</v>
      </c>
      <c r="AF932" s="116">
        <f>-IFERROR(IFERROR(VLOOKUP(ROUNDUP($Q932,0),'FBA FEES'!$L$2:$Q$203,MATCH($S932,'FBA FEES'!$L$2:$Q$2,0),FALSE),VLOOKUP(ROUNDUP($Q932,0),'FBA FEES'!$C$6:$F$123,MATCH($S932,'FBA FEES'!$C$6:$F$6,0),FALSE)),0)</f>
        <v>-12.27</v>
      </c>
      <c r="AG932" s="116">
        <v>-10</v>
      </c>
      <c r="AH932" s="113">
        <f t="shared" si="184"/>
        <v>-12.27</v>
      </c>
      <c r="AI932" s="116">
        <f>-IFERROR(IF($Y932=1,INDEX('[1]REMOVAL FEES'!$A$1:$C$22,MATCH(CONCATENATE("Standard Size",$P932),'[1]REMOVAL FEES'!$A$1:$A$22,0),3),IF($Y932=2,IF($P932&gt;10,(($P932-10)*1.06)+INDEX('[1]REMOVAL FEES'!$E$1:$G$22,MATCH(CONCATENATE("Large bulky, extra-large and special handling items",IF($P932&gt;=11,11,$P932)),'[1]REMOVAL FEES'!$E$1:$E$13,0),3),INDEX('[1]REMOVAL FEES'!$E$1:$G$22,MATCH(CONCATENATE("Large bulky, extra-large and special handling items",IF($P932&gt;=11,11,$P932)),'[1]REMOVAL FEES'!$E$1:$E$13,0),3))))*$AA932,FALSE)</f>
        <v>-10.039999999999999</v>
      </c>
      <c r="AJ932" s="107">
        <f t="shared" si="185"/>
        <v>-22.31</v>
      </c>
      <c r="AK932" s="107">
        <v>0</v>
      </c>
      <c r="AL932" s="107">
        <v>0</v>
      </c>
      <c r="AM932" s="107">
        <f t="shared" si="186"/>
        <v>0</v>
      </c>
      <c r="AN932" s="116">
        <f>(-IF($V932="Yes", IF($X932="Yes", VLOOKUP($W932, '[1]Storage Fees'!A:M, 13, FALSE), VLOOKUP($W932, '[1]Storage Fees'!A:M, 10, FALSE)), IF($X932="Yes", VLOOKUP($W932, '[1]Storage Fees'!A:M, 7, FALSE), VLOOKUP($W932, '[1]Storage Fees'!A:M, 4, FALSE))) * U932)*1.5</f>
        <v>-0.42585937500000004</v>
      </c>
    </row>
    <row r="933" spans="1:40" x14ac:dyDescent="0.25">
      <c r="A933" s="99">
        <v>861</v>
      </c>
      <c r="B933" s="99" t="s">
        <v>13700</v>
      </c>
      <c r="C933" s="99"/>
      <c r="D933" s="99"/>
      <c r="E933" s="99" t="s">
        <v>358</v>
      </c>
      <c r="F933" s="99" t="s">
        <v>582</v>
      </c>
      <c r="G933" s="99" t="s">
        <v>13695</v>
      </c>
      <c r="H933" s="99">
        <v>32</v>
      </c>
      <c r="I933" s="99">
        <v>18</v>
      </c>
      <c r="J933" s="99">
        <v>7</v>
      </c>
      <c r="K933" s="101" t="str">
        <f t="shared" si="174"/>
        <v>32x18x7</v>
      </c>
      <c r="L933" s="102">
        <f t="shared" si="175"/>
        <v>29.007194244604317</v>
      </c>
      <c r="M933" s="113">
        <f t="shared" si="176"/>
        <v>29.007194244604317</v>
      </c>
      <c r="N933" s="113">
        <f t="shared" si="177"/>
        <v>30</v>
      </c>
      <c r="O933" s="99">
        <v>18</v>
      </c>
      <c r="P933" s="113">
        <f t="shared" si="178"/>
        <v>30</v>
      </c>
      <c r="Q933" s="112">
        <f t="shared" si="179"/>
        <v>480</v>
      </c>
      <c r="R933" s="112" t="str">
        <f t="shared" si="180"/>
        <v>Oversize</v>
      </c>
      <c r="S933" s="99" t="str">
        <f t="shared" si="181"/>
        <v>Large bulky</v>
      </c>
      <c r="T933" s="116" t="s">
        <v>13692</v>
      </c>
      <c r="U933" s="116">
        <f t="shared" si="182"/>
        <v>2.3333333333333335</v>
      </c>
      <c r="V933" s="116" t="s">
        <v>13583</v>
      </c>
      <c r="W933" s="116" t="s">
        <v>13690</v>
      </c>
      <c r="X933" s="116" t="s">
        <v>13691</v>
      </c>
      <c r="Y933" s="116">
        <v>2</v>
      </c>
      <c r="Z933" s="116">
        <v>3</v>
      </c>
      <c r="AA933" s="116">
        <v>1</v>
      </c>
      <c r="AB933" s="99"/>
      <c r="AC933" s="99"/>
      <c r="AD933" s="107">
        <v>0</v>
      </c>
      <c r="AE933" s="113">
        <f t="shared" si="183"/>
        <v>0</v>
      </c>
      <c r="AF933" s="116">
        <f>-IFERROR(IFERROR(VLOOKUP(ROUNDUP($Q933,0),'FBA FEES'!$L$2:$Q$203,MATCH($S933,'FBA FEES'!$L$2:$Q$2,0),FALSE),VLOOKUP(ROUNDUP($Q933,0),'FBA FEES'!$C$6:$F$123,MATCH($S933,'FBA FEES'!$C$6:$F$6,0),FALSE)),0)</f>
        <v>-20.63</v>
      </c>
      <c r="AG933" s="116">
        <v>-10</v>
      </c>
      <c r="AH933" s="113">
        <f t="shared" si="184"/>
        <v>-20.63</v>
      </c>
      <c r="AI933" s="116">
        <f>-IFERROR(IF($Y933=1,INDEX('[1]REMOVAL FEES'!$A$1:$C$22,MATCH(CONCATENATE("Standard Size",$P933),'[1]REMOVAL FEES'!$A$1:$A$22,0),3),IF($Y933=2,IF($P933&gt;10,(($P933-10)*1.06)+INDEX('[1]REMOVAL FEES'!$E$1:$G$22,MATCH(CONCATENATE("Large bulky, extra-large and special handling items",IF($P933&gt;=11,11,$P933)),'[1]REMOVAL FEES'!$E$1:$E$13,0),3),INDEX('[1]REMOVAL FEES'!$E$1:$G$22,MATCH(CONCATENATE("Large bulky, extra-large and special handling items",IF($P933&gt;=11,11,$P933)),'[1]REMOVAL FEES'!$E$1:$E$13,0),3))))*$AA933,FALSE)</f>
        <v>-35.520000000000003</v>
      </c>
      <c r="AJ933" s="107">
        <f t="shared" si="185"/>
        <v>-56.150000000000006</v>
      </c>
      <c r="AK933" s="107">
        <v>0</v>
      </c>
      <c r="AL933" s="107">
        <v>0</v>
      </c>
      <c r="AM933" s="107">
        <f t="shared" si="186"/>
        <v>0</v>
      </c>
      <c r="AN933" s="116">
        <f>(-IF($V933="Yes", IF($X933="Yes", VLOOKUP($W933, '[1]Storage Fees'!A:M, 13, FALSE), VLOOKUP($W933, '[1]Storage Fees'!A:M, 10, FALSE)), IF($X933="Yes", VLOOKUP($W933, '[1]Storage Fees'!A:M, 7, FALSE), VLOOKUP($W933, '[1]Storage Fees'!A:M, 4, FALSE))) * U933)*1.5</f>
        <v>-2.7650000000000001</v>
      </c>
    </row>
    <row r="934" spans="1:40" x14ac:dyDescent="0.25">
      <c r="A934" s="99">
        <v>862</v>
      </c>
      <c r="B934" s="99" t="s">
        <v>13700</v>
      </c>
      <c r="C934" s="99"/>
      <c r="D934" s="99"/>
      <c r="E934" s="99" t="s">
        <v>358</v>
      </c>
      <c r="F934" s="99" t="s">
        <v>583</v>
      </c>
      <c r="G934" s="99" t="s">
        <v>13695</v>
      </c>
      <c r="H934" s="99">
        <v>0</v>
      </c>
      <c r="I934" s="99">
        <v>0</v>
      </c>
      <c r="J934" s="99">
        <v>0</v>
      </c>
      <c r="K934" s="101" t="str">
        <f t="shared" si="174"/>
        <v>0x0x0</v>
      </c>
      <c r="L934" s="102">
        <f t="shared" si="175"/>
        <v>0</v>
      </c>
      <c r="M934" s="113">
        <f t="shared" si="176"/>
        <v>0</v>
      </c>
      <c r="N934" s="113">
        <f t="shared" si="177"/>
        <v>0</v>
      </c>
      <c r="O934" s="99">
        <v>0</v>
      </c>
      <c r="P934" s="113">
        <f t="shared" si="178"/>
        <v>0</v>
      </c>
      <c r="Q934" s="112">
        <f t="shared" si="179"/>
        <v>0</v>
      </c>
      <c r="R934" s="112" t="str">
        <f t="shared" si="180"/>
        <v>Standard-size</v>
      </c>
      <c r="S934" s="99" t="str">
        <f t="shared" si="181"/>
        <v>Small standard-size</v>
      </c>
      <c r="T934" s="116" t="s">
        <v>13696</v>
      </c>
      <c r="U934" s="116">
        <f t="shared" si="182"/>
        <v>0</v>
      </c>
      <c r="V934" s="116" t="s">
        <v>13583</v>
      </c>
      <c r="W934" s="116" t="s">
        <v>13690</v>
      </c>
      <c r="X934" s="99" t="s">
        <v>13583</v>
      </c>
      <c r="Y934" s="99">
        <v>1</v>
      </c>
      <c r="Z934" s="99">
        <v>1</v>
      </c>
      <c r="AA934" s="99">
        <v>1</v>
      </c>
      <c r="AB934" s="99"/>
      <c r="AC934" s="99"/>
      <c r="AD934" s="107">
        <v>0</v>
      </c>
      <c r="AE934" s="113">
        <f t="shared" si="183"/>
        <v>0</v>
      </c>
      <c r="AF934" s="116">
        <f>-IFERROR(IFERROR(VLOOKUP(ROUNDUP($Q934,0),'FBA FEES'!$L$2:$Q$203,MATCH($S934,'FBA FEES'!$L$2:$Q$2,0),FALSE),VLOOKUP(ROUNDUP($Q934,0),'FBA FEES'!$C$6:$F$123,MATCH($S934,'FBA FEES'!$C$6:$F$6,0),FALSE)),0)</f>
        <v>0</v>
      </c>
      <c r="AG934" s="116">
        <v>-10</v>
      </c>
      <c r="AH934" s="113">
        <f t="shared" si="184"/>
        <v>0</v>
      </c>
      <c r="AI934" s="116">
        <f>-IFERROR(IF($Y934=1,INDEX('[1]REMOVAL FEES'!$A$1:$C$22,MATCH(CONCATENATE("Standard Size",$P934),'[1]REMOVAL FEES'!$A$1:$A$22,0),3),IF($Y934=2,IF($P934&gt;10,(($P934-10)*1.06)+INDEX('[1]REMOVAL FEES'!$E$1:$G$22,MATCH(CONCATENATE("Large bulky, extra-large and special handling items",IF($P934&gt;=11,11,$P934)),'[1]REMOVAL FEES'!$E$1:$E$13,0),3),INDEX('[1]REMOVAL FEES'!$E$1:$G$22,MATCH(CONCATENATE("Large bulky, extra-large and special handling items",IF($P934&gt;=11,11,$P934)),'[1]REMOVAL FEES'!$E$1:$E$13,0),3))))*$AA934,FALSE)</f>
        <v>0</v>
      </c>
      <c r="AJ934" s="107">
        <f t="shared" si="185"/>
        <v>0</v>
      </c>
      <c r="AK934" s="107">
        <v>0</v>
      </c>
      <c r="AL934" s="107">
        <v>0</v>
      </c>
      <c r="AM934" s="107">
        <f t="shared" si="186"/>
        <v>0</v>
      </c>
      <c r="AN934" s="116">
        <f>(-IF($V934="Yes", IF($X934="Yes", VLOOKUP($W934, '[1]Storage Fees'!A:M, 13, FALSE), VLOOKUP($W934, '[1]Storage Fees'!A:M, 10, FALSE)), IF($X934="Yes", VLOOKUP($W934, '[1]Storage Fees'!A:M, 7, FALSE), VLOOKUP($W934, '[1]Storage Fees'!A:M, 4, FALSE))) * U934)*1.5</f>
        <v>0</v>
      </c>
    </row>
    <row r="935" spans="1:40" x14ac:dyDescent="0.25">
      <c r="A935" s="99">
        <v>863</v>
      </c>
      <c r="B935" s="99" t="s">
        <v>13700</v>
      </c>
      <c r="C935" s="99"/>
      <c r="D935" s="99"/>
      <c r="E935" s="99" t="s">
        <v>358</v>
      </c>
      <c r="F935" s="99" t="s">
        <v>584</v>
      </c>
      <c r="G935" s="99" t="s">
        <v>13695</v>
      </c>
      <c r="H935" s="99">
        <v>32</v>
      </c>
      <c r="I935" s="99">
        <v>18</v>
      </c>
      <c r="J935" s="99">
        <v>7</v>
      </c>
      <c r="K935" s="101" t="str">
        <f t="shared" si="174"/>
        <v>32x18x7</v>
      </c>
      <c r="L935" s="102">
        <f t="shared" si="175"/>
        <v>29.007194244604317</v>
      </c>
      <c r="M935" s="113">
        <f t="shared" si="176"/>
        <v>29.007194244604317</v>
      </c>
      <c r="N935" s="113">
        <f t="shared" si="177"/>
        <v>30</v>
      </c>
      <c r="O935" s="99">
        <v>21</v>
      </c>
      <c r="P935" s="113">
        <f t="shared" si="178"/>
        <v>30</v>
      </c>
      <c r="Q935" s="112">
        <f t="shared" si="179"/>
        <v>480</v>
      </c>
      <c r="R935" s="112" t="str">
        <f t="shared" si="180"/>
        <v>Oversize</v>
      </c>
      <c r="S935" s="99" t="str">
        <f t="shared" si="181"/>
        <v>Large bulky</v>
      </c>
      <c r="T935" s="116" t="s">
        <v>13692</v>
      </c>
      <c r="U935" s="116">
        <f t="shared" si="182"/>
        <v>2.3333333333333335</v>
      </c>
      <c r="V935" s="116" t="s">
        <v>13583</v>
      </c>
      <c r="W935" s="116" t="s">
        <v>13690</v>
      </c>
      <c r="X935" s="116" t="s">
        <v>13691</v>
      </c>
      <c r="Y935" s="116">
        <v>2</v>
      </c>
      <c r="Z935" s="116">
        <v>3</v>
      </c>
      <c r="AA935" s="116">
        <v>1</v>
      </c>
      <c r="AB935" s="99"/>
      <c r="AC935" s="99"/>
      <c r="AD935" s="107">
        <v>0</v>
      </c>
      <c r="AE935" s="113">
        <f t="shared" si="183"/>
        <v>0</v>
      </c>
      <c r="AF935" s="116">
        <f>-IFERROR(IFERROR(VLOOKUP(ROUNDUP($Q935,0),'FBA FEES'!$L$2:$Q$203,MATCH($S935,'FBA FEES'!$L$2:$Q$2,0),FALSE),VLOOKUP(ROUNDUP($Q935,0),'FBA FEES'!$C$6:$F$123,MATCH($S935,'FBA FEES'!$C$6:$F$6,0),FALSE)),0)</f>
        <v>-20.63</v>
      </c>
      <c r="AG935" s="116">
        <v>-10</v>
      </c>
      <c r="AH935" s="113">
        <f t="shared" si="184"/>
        <v>-20.63</v>
      </c>
      <c r="AI935" s="116">
        <f>-IFERROR(IF($Y935=1,INDEX('[1]REMOVAL FEES'!$A$1:$C$22,MATCH(CONCATENATE("Standard Size",$P935),'[1]REMOVAL FEES'!$A$1:$A$22,0),3),IF($Y935=2,IF($P935&gt;10,(($P935-10)*1.06)+INDEX('[1]REMOVAL FEES'!$E$1:$G$22,MATCH(CONCATENATE("Large bulky, extra-large and special handling items",IF($P935&gt;=11,11,$P935)),'[1]REMOVAL FEES'!$E$1:$E$13,0),3),INDEX('[1]REMOVAL FEES'!$E$1:$G$22,MATCH(CONCATENATE("Large bulky, extra-large and special handling items",IF($P935&gt;=11,11,$P935)),'[1]REMOVAL FEES'!$E$1:$E$13,0),3))))*$AA935,FALSE)</f>
        <v>-35.520000000000003</v>
      </c>
      <c r="AJ935" s="107">
        <f t="shared" si="185"/>
        <v>-56.150000000000006</v>
      </c>
      <c r="AK935" s="107">
        <v>0</v>
      </c>
      <c r="AL935" s="107">
        <v>0</v>
      </c>
      <c r="AM935" s="107">
        <f t="shared" si="186"/>
        <v>0</v>
      </c>
      <c r="AN935" s="116">
        <f>(-IF($V935="Yes", IF($X935="Yes", VLOOKUP($W935, '[1]Storage Fees'!A:M, 13, FALSE), VLOOKUP($W935, '[1]Storage Fees'!A:M, 10, FALSE)), IF($X935="Yes", VLOOKUP($W935, '[1]Storage Fees'!A:M, 7, FALSE), VLOOKUP($W935, '[1]Storage Fees'!A:M, 4, FALSE))) * U935)*1.5</f>
        <v>-2.7650000000000001</v>
      </c>
    </row>
    <row r="936" spans="1:40" x14ac:dyDescent="0.25">
      <c r="A936" s="99">
        <v>864</v>
      </c>
      <c r="B936" s="99" t="s">
        <v>55</v>
      </c>
      <c r="C936" s="99"/>
      <c r="D936" s="99"/>
      <c r="E936" s="99" t="s">
        <v>296</v>
      </c>
      <c r="F936" s="99" t="s">
        <v>585</v>
      </c>
      <c r="G936" s="99" t="s">
        <v>13695</v>
      </c>
      <c r="H936" s="99">
        <v>16</v>
      </c>
      <c r="I936" s="99">
        <v>16</v>
      </c>
      <c r="J936" s="99">
        <v>5</v>
      </c>
      <c r="K936" s="101" t="str">
        <f t="shared" si="174"/>
        <v>16x16x5</v>
      </c>
      <c r="L936" s="102">
        <f t="shared" si="175"/>
        <v>9.2086330935251794</v>
      </c>
      <c r="M936" s="113">
        <f t="shared" si="176"/>
        <v>9.2086330935251794</v>
      </c>
      <c r="N936" s="113">
        <f t="shared" si="177"/>
        <v>10</v>
      </c>
      <c r="O936" s="99">
        <v>4</v>
      </c>
      <c r="P936" s="113">
        <f t="shared" si="178"/>
        <v>10</v>
      </c>
      <c r="Q936" s="112">
        <f t="shared" si="179"/>
        <v>160</v>
      </c>
      <c r="R936" s="112" t="str">
        <f t="shared" si="180"/>
        <v>Oversize</v>
      </c>
      <c r="S936" s="99" t="str">
        <f t="shared" si="181"/>
        <v>Large bulky</v>
      </c>
      <c r="T936" s="116" t="s">
        <v>13692</v>
      </c>
      <c r="U936" s="116">
        <f t="shared" si="182"/>
        <v>0.7407407407407407</v>
      </c>
      <c r="V936" s="116" t="s">
        <v>13583</v>
      </c>
      <c r="W936" s="116" t="s">
        <v>13690</v>
      </c>
      <c r="X936" s="116" t="s">
        <v>13691</v>
      </c>
      <c r="Y936" s="116">
        <v>2</v>
      </c>
      <c r="Z936" s="116">
        <v>3</v>
      </c>
      <c r="AA936" s="116">
        <v>1</v>
      </c>
      <c r="AB936" s="99"/>
      <c r="AC936" s="99"/>
      <c r="AD936" s="107">
        <v>35.99</v>
      </c>
      <c r="AE936" s="113">
        <f t="shared" si="183"/>
        <v>-5.3985000000000003</v>
      </c>
      <c r="AF936" s="116">
        <f>-IFERROR(IFERROR(VLOOKUP(ROUNDUP($Q936,0),'FBA FEES'!$L$2:$Q$203,MATCH($S936,'FBA FEES'!$L$2:$Q$2,0),FALSE),VLOOKUP(ROUNDUP($Q936,0),'FBA FEES'!$C$6:$F$123,MATCH($S936,'FBA FEES'!$C$6:$F$6,0),FALSE)),0)</f>
        <v>-13.03</v>
      </c>
      <c r="AG936" s="116">
        <v>-10</v>
      </c>
      <c r="AH936" s="113">
        <f t="shared" si="184"/>
        <v>-18.4285</v>
      </c>
      <c r="AI936" s="116">
        <f>-IFERROR(IF($Y936=1,INDEX('[1]REMOVAL FEES'!$A$1:$C$22,MATCH(CONCATENATE("Standard Size",$P936),'[1]REMOVAL FEES'!$A$1:$A$22,0),3),IF($Y936=2,IF($P936&gt;10,(($P936-10)*1.06)+INDEX('[1]REMOVAL FEES'!$E$1:$G$22,MATCH(CONCATENATE("Large bulky, extra-large and special handling items",IF($P936&gt;=11,11,$P936)),'[1]REMOVAL FEES'!$E$1:$E$13,0),3),INDEX('[1]REMOVAL FEES'!$E$1:$G$22,MATCH(CONCATENATE("Large bulky, extra-large and special handling items",IF($P936&gt;=11,11,$P936)),'[1]REMOVAL FEES'!$E$1:$E$13,0),3))))*$AA936,FALSE)</f>
        <v>-10.039999999999999</v>
      </c>
      <c r="AJ936" s="107">
        <f t="shared" si="185"/>
        <v>-28.468499999999999</v>
      </c>
      <c r="AK936" s="107">
        <v>-8.33</v>
      </c>
      <c r="AL936" s="107">
        <v>-5.54</v>
      </c>
      <c r="AM936" s="107">
        <f t="shared" si="186"/>
        <v>-13.870000000000001</v>
      </c>
      <c r="AN936" s="116">
        <f>(-IF($V936="Yes", IF($X936="Yes", VLOOKUP($W936, '[1]Storage Fees'!A:M, 13, FALSE), VLOOKUP($W936, '[1]Storage Fees'!A:M, 10, FALSE)), IF($X936="Yes", VLOOKUP($W936, '[1]Storage Fees'!A:M, 7, FALSE), VLOOKUP($W936, '[1]Storage Fees'!A:M, 4, FALSE))) * U936)*1.5</f>
        <v>-0.87777777777777777</v>
      </c>
    </row>
    <row r="937" spans="1:40" x14ac:dyDescent="0.25">
      <c r="A937" s="99">
        <v>865</v>
      </c>
      <c r="B937" s="99" t="s">
        <v>107</v>
      </c>
      <c r="C937" s="99"/>
      <c r="D937" s="99"/>
      <c r="E937" s="99" t="s">
        <v>278</v>
      </c>
      <c r="F937" s="99" t="s">
        <v>586</v>
      </c>
      <c r="G937" s="99" t="s">
        <v>13695</v>
      </c>
      <c r="H937" s="99">
        <v>61</v>
      </c>
      <c r="I937" s="99">
        <v>9</v>
      </c>
      <c r="J937" s="99">
        <v>3</v>
      </c>
      <c r="K937" s="101" t="str">
        <f t="shared" si="174"/>
        <v>61x9x3</v>
      </c>
      <c r="L937" s="102">
        <f t="shared" si="175"/>
        <v>11.848920863309353</v>
      </c>
      <c r="M937" s="113">
        <f t="shared" si="176"/>
        <v>11.848920863309353</v>
      </c>
      <c r="N937" s="113">
        <f t="shared" si="177"/>
        <v>12</v>
      </c>
      <c r="O937" s="99">
        <v>8</v>
      </c>
      <c r="P937" s="113">
        <f t="shared" si="178"/>
        <v>12</v>
      </c>
      <c r="Q937" s="112">
        <f t="shared" si="179"/>
        <v>192</v>
      </c>
      <c r="R937" s="112" t="str">
        <f t="shared" si="180"/>
        <v>Oversize</v>
      </c>
      <c r="S937" s="99" t="str">
        <f t="shared" si="181"/>
        <v>Extra-large 0 to 50 lb</v>
      </c>
      <c r="T937" s="116" t="s">
        <v>13706</v>
      </c>
      <c r="U937" s="116">
        <f t="shared" si="182"/>
        <v>0.953125</v>
      </c>
      <c r="V937" s="116" t="s">
        <v>13583</v>
      </c>
      <c r="W937" s="116" t="s">
        <v>13690</v>
      </c>
      <c r="X937" s="116" t="s">
        <v>13691</v>
      </c>
      <c r="Y937" s="116">
        <v>2</v>
      </c>
      <c r="Z937" s="116">
        <v>4</v>
      </c>
      <c r="AA937" s="116">
        <v>1</v>
      </c>
      <c r="AB937" s="99"/>
      <c r="AC937" s="99"/>
      <c r="AD937" s="107">
        <v>0</v>
      </c>
      <c r="AE937" s="113">
        <f t="shared" si="183"/>
        <v>0</v>
      </c>
      <c r="AF937" s="116">
        <f>-IFERROR(IFERROR(VLOOKUP(ROUNDUP($Q937,0),'FBA FEES'!$L$2:$Q$203,MATCH($S937,'FBA FEES'!$L$2:$Q$2,0),FALSE),VLOOKUP(ROUNDUP($Q937,0),'FBA FEES'!$C$6:$F$123,MATCH($S937,'FBA FEES'!$C$6:$F$6,0),FALSE)),0)</f>
        <v>-30.509999999999998</v>
      </c>
      <c r="AG937" s="116">
        <v>-10</v>
      </c>
      <c r="AH937" s="113">
        <f t="shared" si="184"/>
        <v>-30.509999999999998</v>
      </c>
      <c r="AI937" s="116">
        <f>-IFERROR(IF($Y937=1,INDEX('[1]REMOVAL FEES'!$A$1:$C$22,MATCH(CONCATENATE("Standard Size",$P937),'[1]REMOVAL FEES'!$A$1:$A$22,0),3),IF($Y937=2,IF($P937&gt;10,(($P937-10)*1.06)+INDEX('[1]REMOVAL FEES'!$E$1:$G$22,MATCH(CONCATENATE("Large bulky, extra-large and special handling items",IF($P937&gt;=11,11,$P937)),'[1]REMOVAL FEES'!$E$1:$E$13,0),3),INDEX('[1]REMOVAL FEES'!$E$1:$G$22,MATCH(CONCATENATE("Large bulky, extra-large and special handling items",IF($P937&gt;=11,11,$P937)),'[1]REMOVAL FEES'!$E$1:$E$13,0),3))))*$AA937,FALSE)</f>
        <v>-16.440000000000001</v>
      </c>
      <c r="AJ937" s="107">
        <f t="shared" si="185"/>
        <v>-46.95</v>
      </c>
      <c r="AK937" s="107">
        <v>0</v>
      </c>
      <c r="AL937" s="107">
        <v>0</v>
      </c>
      <c r="AM937" s="107">
        <f t="shared" si="186"/>
        <v>0</v>
      </c>
      <c r="AN937" s="116">
        <f>(-IF($V937="Yes", IF($X937="Yes", VLOOKUP($W937, '[1]Storage Fees'!A:M, 13, FALSE), VLOOKUP($W937, '[1]Storage Fees'!A:M, 10, FALSE)), IF($X937="Yes", VLOOKUP($W937, '[1]Storage Fees'!A:M, 7, FALSE), VLOOKUP($W937, '[1]Storage Fees'!A:M, 4, FALSE))) * U937)*1.5</f>
        <v>-1.1294531250000002</v>
      </c>
    </row>
    <row r="938" spans="1:40" x14ac:dyDescent="0.25">
      <c r="A938" s="99">
        <v>866</v>
      </c>
      <c r="B938" s="99" t="s">
        <v>107</v>
      </c>
      <c r="C938" s="99"/>
      <c r="D938" s="99"/>
      <c r="E938" s="99" t="s">
        <v>278</v>
      </c>
      <c r="F938" s="99" t="s">
        <v>587</v>
      </c>
      <c r="G938" s="99" t="s">
        <v>13695</v>
      </c>
      <c r="H938" s="99">
        <v>15</v>
      </c>
      <c r="I938" s="99">
        <v>15</v>
      </c>
      <c r="J938" s="99">
        <v>4</v>
      </c>
      <c r="K938" s="101" t="str">
        <f t="shared" si="174"/>
        <v>15x15x4</v>
      </c>
      <c r="L938" s="102">
        <f t="shared" si="175"/>
        <v>6.4748201438848918</v>
      </c>
      <c r="M938" s="113">
        <f t="shared" si="176"/>
        <v>6.4748201438848918</v>
      </c>
      <c r="N938" s="113">
        <f t="shared" si="177"/>
        <v>7</v>
      </c>
      <c r="O938" s="99">
        <v>9.0625</v>
      </c>
      <c r="P938" s="113">
        <f t="shared" si="178"/>
        <v>10</v>
      </c>
      <c r="Q938" s="112">
        <f t="shared" si="179"/>
        <v>160</v>
      </c>
      <c r="R938" s="112" t="str">
        <f t="shared" si="180"/>
        <v>Oversize</v>
      </c>
      <c r="S938" s="99" t="str">
        <f t="shared" si="181"/>
        <v>Large bulky</v>
      </c>
      <c r="T938" s="116" t="s">
        <v>13692</v>
      </c>
      <c r="U938" s="116">
        <f t="shared" si="182"/>
        <v>0.52083333333333337</v>
      </c>
      <c r="V938" s="116" t="s">
        <v>13583</v>
      </c>
      <c r="W938" s="116" t="s">
        <v>13690</v>
      </c>
      <c r="X938" s="116" t="s">
        <v>13691</v>
      </c>
      <c r="Y938" s="116">
        <v>2</v>
      </c>
      <c r="Z938" s="116">
        <v>3</v>
      </c>
      <c r="AA938" s="116">
        <v>1</v>
      </c>
      <c r="AB938" s="99"/>
      <c r="AC938" s="99"/>
      <c r="AD938" s="107">
        <v>0</v>
      </c>
      <c r="AE938" s="113">
        <f t="shared" si="183"/>
        <v>0</v>
      </c>
      <c r="AF938" s="116">
        <f>-IFERROR(IFERROR(VLOOKUP(ROUNDUP($Q938,0),'FBA FEES'!$L$2:$Q$203,MATCH($S938,'FBA FEES'!$L$2:$Q$2,0),FALSE),VLOOKUP(ROUNDUP($Q938,0),'FBA FEES'!$C$6:$F$123,MATCH($S938,'FBA FEES'!$C$6:$F$6,0),FALSE)),0)</f>
        <v>-13.03</v>
      </c>
      <c r="AG938" s="116">
        <v>-10</v>
      </c>
      <c r="AH938" s="113">
        <f t="shared" si="184"/>
        <v>-13.03</v>
      </c>
      <c r="AI938" s="116">
        <f>-IFERROR(IF($Y938=1,INDEX('[1]REMOVAL FEES'!$A$1:$C$22,MATCH(CONCATENATE("Standard Size",$P938),'[1]REMOVAL FEES'!$A$1:$A$22,0),3),IF($Y938=2,IF($P938&gt;10,(($P938-10)*1.06)+INDEX('[1]REMOVAL FEES'!$E$1:$G$22,MATCH(CONCATENATE("Large bulky, extra-large and special handling items",IF($P938&gt;=11,11,$P938)),'[1]REMOVAL FEES'!$E$1:$E$13,0),3),INDEX('[1]REMOVAL FEES'!$E$1:$G$22,MATCH(CONCATENATE("Large bulky, extra-large and special handling items",IF($P938&gt;=11,11,$P938)),'[1]REMOVAL FEES'!$E$1:$E$13,0),3))))*$AA938,FALSE)</f>
        <v>-10.039999999999999</v>
      </c>
      <c r="AJ938" s="107">
        <f t="shared" si="185"/>
        <v>-23.07</v>
      </c>
      <c r="AK938" s="107">
        <v>0</v>
      </c>
      <c r="AL938" s="107">
        <v>0</v>
      </c>
      <c r="AM938" s="107">
        <f t="shared" si="186"/>
        <v>0</v>
      </c>
      <c r="AN938" s="116">
        <f>(-IF($V938="Yes", IF($X938="Yes", VLOOKUP($W938, '[1]Storage Fees'!A:M, 13, FALSE), VLOOKUP($W938, '[1]Storage Fees'!A:M, 10, FALSE)), IF($X938="Yes", VLOOKUP($W938, '[1]Storage Fees'!A:M, 7, FALSE), VLOOKUP($W938, '[1]Storage Fees'!A:M, 4, FALSE))) * U938)*1.5</f>
        <v>-0.6171875</v>
      </c>
    </row>
    <row r="939" spans="1:40" x14ac:dyDescent="0.25">
      <c r="A939" s="99">
        <v>867</v>
      </c>
      <c r="B939" s="99" t="s">
        <v>107</v>
      </c>
      <c r="C939" s="99"/>
      <c r="D939" s="99"/>
      <c r="E939" s="99" t="s">
        <v>278</v>
      </c>
      <c r="F939" s="99" t="s">
        <v>588</v>
      </c>
      <c r="G939" s="99" t="s">
        <v>13695</v>
      </c>
      <c r="H939" s="99">
        <v>15</v>
      </c>
      <c r="I939" s="99">
        <v>15</v>
      </c>
      <c r="J939" s="99">
        <v>4</v>
      </c>
      <c r="K939" s="101" t="str">
        <f t="shared" si="174"/>
        <v>15x15x4</v>
      </c>
      <c r="L939" s="102">
        <f t="shared" si="175"/>
        <v>6.4748201438848918</v>
      </c>
      <c r="M939" s="113">
        <f t="shared" si="176"/>
        <v>6.4748201438848918</v>
      </c>
      <c r="N939" s="113">
        <f t="shared" si="177"/>
        <v>7</v>
      </c>
      <c r="O939" s="99">
        <v>10</v>
      </c>
      <c r="P939" s="113">
        <f t="shared" si="178"/>
        <v>10</v>
      </c>
      <c r="Q939" s="112">
        <f t="shared" si="179"/>
        <v>160</v>
      </c>
      <c r="R939" s="112" t="str">
        <f t="shared" si="180"/>
        <v>Oversize</v>
      </c>
      <c r="S939" s="99" t="str">
        <f t="shared" si="181"/>
        <v>Large bulky</v>
      </c>
      <c r="T939" s="116" t="s">
        <v>13692</v>
      </c>
      <c r="U939" s="116">
        <f t="shared" si="182"/>
        <v>0.52083333333333337</v>
      </c>
      <c r="V939" s="116" t="s">
        <v>13583</v>
      </c>
      <c r="W939" s="116" t="s">
        <v>13690</v>
      </c>
      <c r="X939" s="116" t="s">
        <v>13691</v>
      </c>
      <c r="Y939" s="116">
        <v>2</v>
      </c>
      <c r="Z939" s="116">
        <v>3</v>
      </c>
      <c r="AA939" s="116">
        <v>1</v>
      </c>
      <c r="AB939" s="99"/>
      <c r="AC939" s="99"/>
      <c r="AD939" s="107">
        <v>0</v>
      </c>
      <c r="AE939" s="113">
        <f t="shared" si="183"/>
        <v>0</v>
      </c>
      <c r="AF939" s="116">
        <f>-IFERROR(IFERROR(VLOOKUP(ROUNDUP($Q939,0),'FBA FEES'!$L$2:$Q$203,MATCH($S939,'FBA FEES'!$L$2:$Q$2,0),FALSE),VLOOKUP(ROUNDUP($Q939,0),'FBA FEES'!$C$6:$F$123,MATCH($S939,'FBA FEES'!$C$6:$F$6,0),FALSE)),0)</f>
        <v>-13.03</v>
      </c>
      <c r="AG939" s="116">
        <v>-10</v>
      </c>
      <c r="AH939" s="113">
        <f t="shared" si="184"/>
        <v>-13.03</v>
      </c>
      <c r="AI939" s="116">
        <f>-IFERROR(IF($Y939=1,INDEX('[1]REMOVAL FEES'!$A$1:$C$22,MATCH(CONCATENATE("Standard Size",$P939),'[1]REMOVAL FEES'!$A$1:$A$22,0),3),IF($Y939=2,IF($P939&gt;10,(($P939-10)*1.06)+INDEX('[1]REMOVAL FEES'!$E$1:$G$22,MATCH(CONCATENATE("Large bulky, extra-large and special handling items",IF($P939&gt;=11,11,$P939)),'[1]REMOVAL FEES'!$E$1:$E$13,0),3),INDEX('[1]REMOVAL FEES'!$E$1:$G$22,MATCH(CONCATENATE("Large bulky, extra-large and special handling items",IF($P939&gt;=11,11,$P939)),'[1]REMOVAL FEES'!$E$1:$E$13,0),3))))*$AA939,FALSE)</f>
        <v>-10.039999999999999</v>
      </c>
      <c r="AJ939" s="107">
        <f t="shared" si="185"/>
        <v>-23.07</v>
      </c>
      <c r="AK939" s="107">
        <v>0</v>
      </c>
      <c r="AL939" s="107">
        <v>0</v>
      </c>
      <c r="AM939" s="107">
        <f t="shared" si="186"/>
        <v>0</v>
      </c>
      <c r="AN939" s="116">
        <f>(-IF($V939="Yes", IF($X939="Yes", VLOOKUP($W939, '[1]Storage Fees'!A:M, 13, FALSE), VLOOKUP($W939, '[1]Storage Fees'!A:M, 10, FALSE)), IF($X939="Yes", VLOOKUP($W939, '[1]Storage Fees'!A:M, 7, FALSE), VLOOKUP($W939, '[1]Storage Fees'!A:M, 4, FALSE))) * U939)*1.5</f>
        <v>-0.6171875</v>
      </c>
    </row>
    <row r="940" spans="1:40" x14ac:dyDescent="0.25">
      <c r="A940" s="99">
        <v>868</v>
      </c>
      <c r="B940" s="99" t="s">
        <v>107</v>
      </c>
      <c r="C940" s="99"/>
      <c r="D940" s="99"/>
      <c r="E940" s="99" t="s">
        <v>278</v>
      </c>
      <c r="F940" s="99" t="s">
        <v>589</v>
      </c>
      <c r="G940" s="99" t="s">
        <v>13695</v>
      </c>
      <c r="H940" s="99">
        <v>20</v>
      </c>
      <c r="I940" s="99">
        <v>20</v>
      </c>
      <c r="J940" s="99">
        <v>5</v>
      </c>
      <c r="K940" s="101" t="str">
        <f t="shared" si="174"/>
        <v>20x20x5</v>
      </c>
      <c r="L940" s="102">
        <f t="shared" si="175"/>
        <v>14.388489208633093</v>
      </c>
      <c r="M940" s="113">
        <f t="shared" si="176"/>
        <v>14.388489208633093</v>
      </c>
      <c r="N940" s="113">
        <f t="shared" si="177"/>
        <v>15</v>
      </c>
      <c r="O940" s="99">
        <v>13</v>
      </c>
      <c r="P940" s="113">
        <f t="shared" si="178"/>
        <v>15</v>
      </c>
      <c r="Q940" s="112">
        <f t="shared" si="179"/>
        <v>240</v>
      </c>
      <c r="R940" s="112" t="str">
        <f t="shared" si="180"/>
        <v>Oversize</v>
      </c>
      <c r="S940" s="99" t="str">
        <f t="shared" si="181"/>
        <v>Large bulky</v>
      </c>
      <c r="T940" s="116" t="s">
        <v>13692</v>
      </c>
      <c r="U940" s="116">
        <f t="shared" si="182"/>
        <v>1.1574074074074074</v>
      </c>
      <c r="V940" s="116" t="s">
        <v>13583</v>
      </c>
      <c r="W940" s="116" t="s">
        <v>13690</v>
      </c>
      <c r="X940" s="116" t="s">
        <v>13691</v>
      </c>
      <c r="Y940" s="116">
        <v>2</v>
      </c>
      <c r="Z940" s="116">
        <v>3</v>
      </c>
      <c r="AA940" s="116">
        <v>1</v>
      </c>
      <c r="AB940" s="99"/>
      <c r="AC940" s="99"/>
      <c r="AD940" s="107">
        <v>0</v>
      </c>
      <c r="AE940" s="113">
        <f t="shared" si="183"/>
        <v>0</v>
      </c>
      <c r="AF940" s="116">
        <f>-IFERROR(IFERROR(VLOOKUP(ROUNDUP($Q940,0),'FBA FEES'!$L$2:$Q$203,MATCH($S940,'FBA FEES'!$L$2:$Q$2,0),FALSE),VLOOKUP(ROUNDUP($Q940,0),'FBA FEES'!$C$6:$F$123,MATCH($S940,'FBA FEES'!$C$6:$F$6,0),FALSE)),0)</f>
        <v>-14.93</v>
      </c>
      <c r="AG940" s="116">
        <v>-10</v>
      </c>
      <c r="AH940" s="113">
        <f t="shared" si="184"/>
        <v>-14.93</v>
      </c>
      <c r="AI940" s="116">
        <f>-IFERROR(IF($Y940=1,INDEX('[1]REMOVAL FEES'!$A$1:$C$22,MATCH(CONCATENATE("Standard Size",$P940),'[1]REMOVAL FEES'!$A$1:$A$22,0),3),IF($Y940=2,IF($P940&gt;10,(($P940-10)*1.06)+INDEX('[1]REMOVAL FEES'!$E$1:$G$22,MATCH(CONCATENATE("Large bulky, extra-large and special handling items",IF($P940&gt;=11,11,$P940)),'[1]REMOVAL FEES'!$E$1:$E$13,0),3),INDEX('[1]REMOVAL FEES'!$E$1:$G$22,MATCH(CONCATENATE("Large bulky, extra-large and special handling items",IF($P940&gt;=11,11,$P940)),'[1]REMOVAL FEES'!$E$1:$E$13,0),3))))*$AA940,FALSE)</f>
        <v>-19.62</v>
      </c>
      <c r="AJ940" s="107">
        <f t="shared" si="185"/>
        <v>-34.549999999999997</v>
      </c>
      <c r="AK940" s="107">
        <v>0</v>
      </c>
      <c r="AL940" s="107">
        <v>0</v>
      </c>
      <c r="AM940" s="107">
        <f t="shared" si="186"/>
        <v>0</v>
      </c>
      <c r="AN940" s="116">
        <f>(-IF($V940="Yes", IF($X940="Yes", VLOOKUP($W940, '[1]Storage Fees'!A:M, 13, FALSE), VLOOKUP($W940, '[1]Storage Fees'!A:M, 10, FALSE)), IF($X940="Yes", VLOOKUP($W940, '[1]Storage Fees'!A:M, 7, FALSE), VLOOKUP($W940, '[1]Storage Fees'!A:M, 4, FALSE))) * U940)*1.5</f>
        <v>-1.3715277777777779</v>
      </c>
    </row>
    <row r="941" spans="1:40" x14ac:dyDescent="0.25">
      <c r="A941" s="99">
        <v>869</v>
      </c>
      <c r="B941" s="99" t="s">
        <v>107</v>
      </c>
      <c r="C941" s="99"/>
      <c r="D941" s="99"/>
      <c r="E941" s="99" t="s">
        <v>278</v>
      </c>
      <c r="F941" s="99" t="s">
        <v>590</v>
      </c>
      <c r="G941" s="99" t="s">
        <v>13695</v>
      </c>
      <c r="H941" s="99">
        <v>10</v>
      </c>
      <c r="I941" s="99">
        <v>14</v>
      </c>
      <c r="J941" s="99">
        <v>3</v>
      </c>
      <c r="K941" s="101" t="str">
        <f t="shared" si="174"/>
        <v>10x14x3</v>
      </c>
      <c r="L941" s="102">
        <f t="shared" si="175"/>
        <v>3.0215827338129495</v>
      </c>
      <c r="M941" s="113">
        <f t="shared" si="176"/>
        <v>3.0215827338129495</v>
      </c>
      <c r="N941" s="113">
        <f t="shared" si="177"/>
        <v>4</v>
      </c>
      <c r="O941" s="99">
        <v>2.5</v>
      </c>
      <c r="P941" s="113">
        <f t="shared" si="178"/>
        <v>4</v>
      </c>
      <c r="Q941" s="112">
        <f t="shared" si="179"/>
        <v>64</v>
      </c>
      <c r="R941" s="112" t="str">
        <f t="shared" si="180"/>
        <v>Standard-size</v>
      </c>
      <c r="S941" s="99" t="str">
        <f t="shared" si="181"/>
        <v>Large standard-size</v>
      </c>
      <c r="T941" s="116" t="s">
        <v>13693</v>
      </c>
      <c r="U941" s="116">
        <f t="shared" si="182"/>
        <v>0.24305555555555555</v>
      </c>
      <c r="V941" s="116" t="s">
        <v>13583</v>
      </c>
      <c r="W941" s="116" t="s">
        <v>13690</v>
      </c>
      <c r="X941" s="99" t="s">
        <v>13583</v>
      </c>
      <c r="Y941" s="99">
        <v>1</v>
      </c>
      <c r="Z941" s="99">
        <v>2</v>
      </c>
      <c r="AA941" s="99">
        <v>1</v>
      </c>
      <c r="AB941" s="99"/>
      <c r="AC941" s="99"/>
      <c r="AD941" s="107">
        <v>0</v>
      </c>
      <c r="AE941" s="113">
        <f t="shared" si="183"/>
        <v>0</v>
      </c>
      <c r="AF941" s="116">
        <f>-IFERROR(IFERROR(VLOOKUP(ROUNDUP($Q941,0),'FBA FEES'!$L$2:$Q$203,MATCH($S941,'FBA FEES'!$L$2:$Q$2,0),FALSE),VLOOKUP(ROUNDUP($Q941,0),'FBA FEES'!$C$6:$F$123,MATCH($S941,'FBA FEES'!$C$6:$F$6,0),FALSE)),0)</f>
        <v>-7.24</v>
      </c>
      <c r="AG941" s="116">
        <v>-10</v>
      </c>
      <c r="AH941" s="113">
        <f t="shared" si="184"/>
        <v>-7.24</v>
      </c>
      <c r="AI941" s="116">
        <f>-IFERROR(IF($Y941=1,INDEX('[1]REMOVAL FEES'!$A$1:$C$22,MATCH(CONCATENATE("Standard Size",$P941),'[1]REMOVAL FEES'!$A$1:$A$22,0),3),IF($Y941=2,IF($P941&gt;10,(($P941-10)*1.06)+INDEX('[1]REMOVAL FEES'!$E$1:$G$22,MATCH(CONCATENATE("Large bulky, extra-large and special handling items",IF($P941&gt;=11,11,$P941)),'[1]REMOVAL FEES'!$E$1:$E$13,0),3),INDEX('[1]REMOVAL FEES'!$E$1:$G$22,MATCH(CONCATENATE("Large bulky, extra-large and special handling items",IF($P941&gt;=11,11,$P941)),'[1]REMOVAL FEES'!$E$1:$E$13,0),3))))*$AA941,FALSE)</f>
        <v>-5.01</v>
      </c>
      <c r="AJ941" s="107">
        <f t="shared" si="185"/>
        <v>-12.25</v>
      </c>
      <c r="AK941" s="107">
        <v>0</v>
      </c>
      <c r="AL941" s="107">
        <v>0</v>
      </c>
      <c r="AM941" s="107">
        <f t="shared" si="186"/>
        <v>0</v>
      </c>
      <c r="AN941" s="116">
        <f>(-IF($V941="Yes", IF($X941="Yes", VLOOKUP($W941, '[1]Storage Fees'!A:M, 13, FALSE), VLOOKUP($W941, '[1]Storage Fees'!A:M, 10, FALSE)), IF($X941="Yes", VLOOKUP($W941, '[1]Storage Fees'!A:M, 7, FALSE), VLOOKUP($W941, '[1]Storage Fees'!A:M, 4, FALSE))) * U941)*1.5</f>
        <v>-0.4447916666666667</v>
      </c>
    </row>
    <row r="942" spans="1:40" x14ac:dyDescent="0.25">
      <c r="A942" s="99">
        <v>870</v>
      </c>
      <c r="B942" s="99" t="s">
        <v>107</v>
      </c>
      <c r="C942" s="99"/>
      <c r="D942" s="99"/>
      <c r="E942" s="99" t="s">
        <v>278</v>
      </c>
      <c r="F942" s="99" t="s">
        <v>591</v>
      </c>
      <c r="G942" s="99" t="s">
        <v>13695</v>
      </c>
      <c r="H942" s="99">
        <v>58</v>
      </c>
      <c r="I942" s="99">
        <v>9</v>
      </c>
      <c r="J942" s="99">
        <v>7</v>
      </c>
      <c r="K942" s="101" t="str">
        <f t="shared" si="174"/>
        <v>58x9x7</v>
      </c>
      <c r="L942" s="102">
        <f t="shared" si="175"/>
        <v>26.287769784172664</v>
      </c>
      <c r="M942" s="113">
        <f t="shared" si="176"/>
        <v>26.287769784172664</v>
      </c>
      <c r="N942" s="113">
        <f t="shared" si="177"/>
        <v>27</v>
      </c>
      <c r="O942" s="99">
        <v>23</v>
      </c>
      <c r="P942" s="113">
        <f t="shared" si="178"/>
        <v>27</v>
      </c>
      <c r="Q942" s="112">
        <f t="shared" si="179"/>
        <v>432</v>
      </c>
      <c r="R942" s="112" t="str">
        <f t="shared" si="180"/>
        <v>Oversize</v>
      </c>
      <c r="S942" s="99" t="str">
        <f t="shared" si="181"/>
        <v>Large bulky</v>
      </c>
      <c r="T942" s="116" t="s">
        <v>13692</v>
      </c>
      <c r="U942" s="116">
        <f t="shared" si="182"/>
        <v>2.1145833333333335</v>
      </c>
      <c r="V942" s="116" t="s">
        <v>13583</v>
      </c>
      <c r="W942" s="116" t="s">
        <v>13690</v>
      </c>
      <c r="X942" s="116" t="s">
        <v>13691</v>
      </c>
      <c r="Y942" s="116">
        <v>2</v>
      </c>
      <c r="Z942" s="116">
        <v>3</v>
      </c>
      <c r="AA942" s="116">
        <v>1</v>
      </c>
      <c r="AB942" s="99"/>
      <c r="AC942" s="99"/>
      <c r="AD942" s="107">
        <v>0</v>
      </c>
      <c r="AE942" s="113">
        <f t="shared" si="183"/>
        <v>0</v>
      </c>
      <c r="AF942" s="116">
        <f>-IFERROR(IFERROR(VLOOKUP(ROUNDUP($Q942,0),'FBA FEES'!$L$2:$Q$203,MATCH($S942,'FBA FEES'!$L$2:$Q$2,0),FALSE),VLOOKUP(ROUNDUP($Q942,0),'FBA FEES'!$C$6:$F$123,MATCH($S942,'FBA FEES'!$C$6:$F$6,0),FALSE)),0)</f>
        <v>-19.490000000000002</v>
      </c>
      <c r="AG942" s="116">
        <v>-10</v>
      </c>
      <c r="AH942" s="113">
        <f t="shared" si="184"/>
        <v>-19.490000000000002</v>
      </c>
      <c r="AI942" s="116">
        <f>-IFERROR(IF($Y942=1,INDEX('[1]REMOVAL FEES'!$A$1:$C$22,MATCH(CONCATENATE("Standard Size",$P942),'[1]REMOVAL FEES'!$A$1:$A$22,0),3),IF($Y942=2,IF($P942&gt;10,(($P942-10)*1.06)+INDEX('[1]REMOVAL FEES'!$E$1:$G$22,MATCH(CONCATENATE("Large bulky, extra-large and special handling items",IF($P942&gt;=11,11,$P942)),'[1]REMOVAL FEES'!$E$1:$E$13,0),3),INDEX('[1]REMOVAL FEES'!$E$1:$G$22,MATCH(CONCATENATE("Large bulky, extra-large and special handling items",IF($P942&gt;=11,11,$P942)),'[1]REMOVAL FEES'!$E$1:$E$13,0),3))))*$AA942,FALSE)</f>
        <v>-32.340000000000003</v>
      </c>
      <c r="AJ942" s="107">
        <f t="shared" si="185"/>
        <v>-51.830000000000005</v>
      </c>
      <c r="AK942" s="107">
        <v>0</v>
      </c>
      <c r="AL942" s="107">
        <v>0</v>
      </c>
      <c r="AM942" s="107">
        <f t="shared" si="186"/>
        <v>0</v>
      </c>
      <c r="AN942" s="116">
        <f>(-IF($V942="Yes", IF($X942="Yes", VLOOKUP($W942, '[1]Storage Fees'!A:M, 13, FALSE), VLOOKUP($W942, '[1]Storage Fees'!A:M, 10, FALSE)), IF($X942="Yes", VLOOKUP($W942, '[1]Storage Fees'!A:M, 7, FALSE), VLOOKUP($W942, '[1]Storage Fees'!A:M, 4, FALSE))) * U942)*1.5</f>
        <v>-2.5057812500000001</v>
      </c>
    </row>
    <row r="943" spans="1:40" x14ac:dyDescent="0.25">
      <c r="A943" s="99">
        <v>871</v>
      </c>
      <c r="B943" s="99" t="s">
        <v>107</v>
      </c>
      <c r="C943" s="99"/>
      <c r="D943" s="99"/>
      <c r="E943" s="99" t="s">
        <v>278</v>
      </c>
      <c r="F943" s="99" t="s">
        <v>592</v>
      </c>
      <c r="G943" s="99" t="s">
        <v>13695</v>
      </c>
      <c r="H943" s="99">
        <v>58</v>
      </c>
      <c r="I943" s="99">
        <v>11</v>
      </c>
      <c r="J943" s="99">
        <v>7</v>
      </c>
      <c r="K943" s="101" t="str">
        <f t="shared" si="174"/>
        <v>58x11x7</v>
      </c>
      <c r="L943" s="102">
        <f t="shared" si="175"/>
        <v>32.129496402877699</v>
      </c>
      <c r="M943" s="113">
        <f t="shared" si="176"/>
        <v>32.129496402877699</v>
      </c>
      <c r="N943" s="113">
        <f t="shared" si="177"/>
        <v>33</v>
      </c>
      <c r="O943" s="99">
        <v>26</v>
      </c>
      <c r="P943" s="113">
        <f t="shared" si="178"/>
        <v>33</v>
      </c>
      <c r="Q943" s="112">
        <f t="shared" si="179"/>
        <v>528</v>
      </c>
      <c r="R943" s="112" t="str">
        <f t="shared" si="180"/>
        <v>Oversize</v>
      </c>
      <c r="S943" s="99" t="str">
        <f t="shared" si="181"/>
        <v>Large bulky</v>
      </c>
      <c r="T943" s="116" t="s">
        <v>13694</v>
      </c>
      <c r="U943" s="116">
        <f t="shared" si="182"/>
        <v>2.5844907407407409</v>
      </c>
      <c r="V943" s="116" t="s">
        <v>13583</v>
      </c>
      <c r="W943" s="116" t="s">
        <v>13690</v>
      </c>
      <c r="X943" s="116" t="s">
        <v>13691</v>
      </c>
      <c r="Y943" s="116">
        <v>2</v>
      </c>
      <c r="Z943" s="116">
        <v>3</v>
      </c>
      <c r="AA943" s="116">
        <v>1</v>
      </c>
      <c r="AB943" s="99"/>
      <c r="AC943" s="99"/>
      <c r="AD943" s="107">
        <v>0</v>
      </c>
      <c r="AE943" s="113">
        <f t="shared" si="183"/>
        <v>0</v>
      </c>
      <c r="AF943" s="116">
        <f>-IFERROR(IFERROR(VLOOKUP(ROUNDUP($Q943,0),'FBA FEES'!$L$2:$Q$203,MATCH($S943,'FBA FEES'!$L$2:$Q$2,0),FALSE),VLOOKUP(ROUNDUP($Q943,0),'FBA FEES'!$C$6:$F$123,MATCH($S943,'FBA FEES'!$C$6:$F$6,0),FALSE)),0)</f>
        <v>-21.77</v>
      </c>
      <c r="AG943" s="116">
        <v>-10</v>
      </c>
      <c r="AH943" s="113">
        <f t="shared" si="184"/>
        <v>-21.77</v>
      </c>
      <c r="AI943" s="116">
        <f>-IFERROR(IF($Y943=1,INDEX('[1]REMOVAL FEES'!$A$1:$C$22,MATCH(CONCATENATE("Standard Size",$P943),'[1]REMOVAL FEES'!$A$1:$A$22,0),3),IF($Y943=2,IF($P943&gt;10,(($P943-10)*1.06)+INDEX('[1]REMOVAL FEES'!$E$1:$G$22,MATCH(CONCATENATE("Large bulky, extra-large and special handling items",IF($P943&gt;=11,11,$P943)),'[1]REMOVAL FEES'!$E$1:$E$13,0),3),INDEX('[1]REMOVAL FEES'!$E$1:$G$22,MATCH(CONCATENATE("Large bulky, extra-large and special handling items",IF($P943&gt;=11,11,$P943)),'[1]REMOVAL FEES'!$E$1:$E$13,0),3))))*$AA943,FALSE)</f>
        <v>-38.700000000000003</v>
      </c>
      <c r="AJ943" s="107">
        <f t="shared" si="185"/>
        <v>-60.47</v>
      </c>
      <c r="AK943" s="107">
        <v>0</v>
      </c>
      <c r="AL943" s="107">
        <v>0</v>
      </c>
      <c r="AM943" s="107">
        <f t="shared" si="186"/>
        <v>0</v>
      </c>
      <c r="AN943" s="116">
        <f>(-IF($V943="Yes", IF($X943="Yes", VLOOKUP($W943, '[1]Storage Fees'!A:M, 13, FALSE), VLOOKUP($W943, '[1]Storage Fees'!A:M, 10, FALSE)), IF($X943="Yes", VLOOKUP($W943, '[1]Storage Fees'!A:M, 7, FALSE), VLOOKUP($W943, '[1]Storage Fees'!A:M, 4, FALSE))) * U943)*1.5</f>
        <v>-3.062621527777778</v>
      </c>
    </row>
    <row r="944" spans="1:40" x14ac:dyDescent="0.25">
      <c r="A944" s="99">
        <v>872</v>
      </c>
      <c r="B944" s="99" t="s">
        <v>107</v>
      </c>
      <c r="C944" s="99"/>
      <c r="D944" s="99"/>
      <c r="E944" s="99" t="s">
        <v>278</v>
      </c>
      <c r="F944" s="99" t="s">
        <v>593</v>
      </c>
      <c r="G944" s="99" t="s">
        <v>13695</v>
      </c>
      <c r="H944" s="99">
        <v>0</v>
      </c>
      <c r="I944" s="99">
        <v>0</v>
      </c>
      <c r="J944" s="99">
        <v>0</v>
      </c>
      <c r="K944" s="101" t="str">
        <f t="shared" si="174"/>
        <v>0x0x0</v>
      </c>
      <c r="L944" s="102">
        <f t="shared" si="175"/>
        <v>0</v>
      </c>
      <c r="M944" s="113">
        <f t="shared" si="176"/>
        <v>0</v>
      </c>
      <c r="N944" s="113">
        <f t="shared" si="177"/>
        <v>0</v>
      </c>
      <c r="O944" s="99">
        <v>0</v>
      </c>
      <c r="P944" s="113">
        <f t="shared" si="178"/>
        <v>0</v>
      </c>
      <c r="Q944" s="112">
        <f t="shared" si="179"/>
        <v>0</v>
      </c>
      <c r="R944" s="112" t="str">
        <f t="shared" si="180"/>
        <v>Standard-size</v>
      </c>
      <c r="S944" s="99" t="str">
        <f t="shared" si="181"/>
        <v>Small standard-size</v>
      </c>
      <c r="T944" s="116" t="s">
        <v>13696</v>
      </c>
      <c r="U944" s="116">
        <f t="shared" si="182"/>
        <v>0</v>
      </c>
      <c r="V944" s="116" t="s">
        <v>13583</v>
      </c>
      <c r="W944" s="116" t="s">
        <v>13690</v>
      </c>
      <c r="X944" s="99" t="s">
        <v>13583</v>
      </c>
      <c r="Y944" s="99">
        <v>1</v>
      </c>
      <c r="Z944" s="99">
        <v>1</v>
      </c>
      <c r="AA944" s="99">
        <v>1</v>
      </c>
      <c r="AB944" s="99"/>
      <c r="AC944" s="99"/>
      <c r="AD944" s="107">
        <v>0</v>
      </c>
      <c r="AE944" s="113">
        <f t="shared" si="183"/>
        <v>0</v>
      </c>
      <c r="AF944" s="116">
        <f>-IFERROR(IFERROR(VLOOKUP(ROUNDUP($Q944,0),'FBA FEES'!$L$2:$Q$203,MATCH($S944,'FBA FEES'!$L$2:$Q$2,0),FALSE),VLOOKUP(ROUNDUP($Q944,0),'FBA FEES'!$C$6:$F$123,MATCH($S944,'FBA FEES'!$C$6:$F$6,0),FALSE)),0)</f>
        <v>0</v>
      </c>
      <c r="AG944" s="116">
        <v>-10</v>
      </c>
      <c r="AH944" s="113">
        <f t="shared" si="184"/>
        <v>0</v>
      </c>
      <c r="AI944" s="116">
        <f>-IFERROR(IF($Y944=1,INDEX('[1]REMOVAL FEES'!$A$1:$C$22,MATCH(CONCATENATE("Standard Size",$P944),'[1]REMOVAL FEES'!$A$1:$A$22,0),3),IF($Y944=2,IF($P944&gt;10,(($P944-10)*1.06)+INDEX('[1]REMOVAL FEES'!$E$1:$G$22,MATCH(CONCATENATE("Large bulky, extra-large and special handling items",IF($P944&gt;=11,11,$P944)),'[1]REMOVAL FEES'!$E$1:$E$13,0),3),INDEX('[1]REMOVAL FEES'!$E$1:$G$22,MATCH(CONCATENATE("Large bulky, extra-large and special handling items",IF($P944&gt;=11,11,$P944)),'[1]REMOVAL FEES'!$E$1:$E$13,0),3))))*$AA944,FALSE)</f>
        <v>0</v>
      </c>
      <c r="AJ944" s="107">
        <f t="shared" si="185"/>
        <v>0</v>
      </c>
      <c r="AK944" s="107">
        <v>0</v>
      </c>
      <c r="AL944" s="107">
        <v>0</v>
      </c>
      <c r="AM944" s="107">
        <f t="shared" si="186"/>
        <v>0</v>
      </c>
      <c r="AN944" s="116">
        <f>(-IF($V944="Yes", IF($X944="Yes", VLOOKUP($W944, '[1]Storage Fees'!A:M, 13, FALSE), VLOOKUP($W944, '[1]Storage Fees'!A:M, 10, FALSE)), IF($X944="Yes", VLOOKUP($W944, '[1]Storage Fees'!A:M, 7, FALSE), VLOOKUP($W944, '[1]Storage Fees'!A:M, 4, FALSE))) * U944)*1.5</f>
        <v>0</v>
      </c>
    </row>
    <row r="945" spans="1:40" x14ac:dyDescent="0.25">
      <c r="A945" s="99">
        <v>873</v>
      </c>
      <c r="B945" s="99" t="s">
        <v>107</v>
      </c>
      <c r="C945" s="99"/>
      <c r="D945" s="99"/>
      <c r="E945" s="99" t="s">
        <v>278</v>
      </c>
      <c r="F945" s="99" t="s">
        <v>594</v>
      </c>
      <c r="G945" s="99" t="s">
        <v>13695</v>
      </c>
      <c r="H945" s="99">
        <v>0</v>
      </c>
      <c r="I945" s="99">
        <v>0</v>
      </c>
      <c r="J945" s="99">
        <v>0</v>
      </c>
      <c r="K945" s="101" t="str">
        <f t="shared" si="174"/>
        <v>0x0x0</v>
      </c>
      <c r="L945" s="102">
        <f t="shared" si="175"/>
        <v>0</v>
      </c>
      <c r="M945" s="113">
        <f t="shared" si="176"/>
        <v>0</v>
      </c>
      <c r="N945" s="113">
        <f t="shared" si="177"/>
        <v>0</v>
      </c>
      <c r="O945" s="99">
        <v>0</v>
      </c>
      <c r="P945" s="113">
        <f t="shared" si="178"/>
        <v>0</v>
      </c>
      <c r="Q945" s="112">
        <f t="shared" si="179"/>
        <v>0</v>
      </c>
      <c r="R945" s="112" t="str">
        <f t="shared" si="180"/>
        <v>Standard-size</v>
      </c>
      <c r="S945" s="99" t="str">
        <f t="shared" si="181"/>
        <v>Small standard-size</v>
      </c>
      <c r="T945" s="116" t="s">
        <v>13696</v>
      </c>
      <c r="U945" s="116">
        <f t="shared" si="182"/>
        <v>0</v>
      </c>
      <c r="V945" s="116" t="s">
        <v>13583</v>
      </c>
      <c r="W945" s="116" t="s">
        <v>13690</v>
      </c>
      <c r="X945" s="99" t="s">
        <v>13583</v>
      </c>
      <c r="Y945" s="99">
        <v>1</v>
      </c>
      <c r="Z945" s="99">
        <v>1</v>
      </c>
      <c r="AA945" s="99">
        <v>1</v>
      </c>
      <c r="AB945" s="99"/>
      <c r="AC945" s="99"/>
      <c r="AD945" s="107">
        <v>0</v>
      </c>
      <c r="AE945" s="113">
        <f t="shared" si="183"/>
        <v>0</v>
      </c>
      <c r="AF945" s="116">
        <f>-IFERROR(IFERROR(VLOOKUP(ROUNDUP($Q945,0),'FBA FEES'!$L$2:$Q$203,MATCH($S945,'FBA FEES'!$L$2:$Q$2,0),FALSE),VLOOKUP(ROUNDUP($Q945,0),'FBA FEES'!$C$6:$F$123,MATCH($S945,'FBA FEES'!$C$6:$F$6,0),FALSE)),0)</f>
        <v>0</v>
      </c>
      <c r="AG945" s="116">
        <v>-10</v>
      </c>
      <c r="AH945" s="113">
        <f t="shared" si="184"/>
        <v>0</v>
      </c>
      <c r="AI945" s="116">
        <f>-IFERROR(IF($Y945=1,INDEX('[1]REMOVAL FEES'!$A$1:$C$22,MATCH(CONCATENATE("Standard Size",$P945),'[1]REMOVAL FEES'!$A$1:$A$22,0),3),IF($Y945=2,IF($P945&gt;10,(($P945-10)*1.06)+INDEX('[1]REMOVAL FEES'!$E$1:$G$22,MATCH(CONCATENATE("Large bulky, extra-large and special handling items",IF($P945&gt;=11,11,$P945)),'[1]REMOVAL FEES'!$E$1:$E$13,0),3),INDEX('[1]REMOVAL FEES'!$E$1:$G$22,MATCH(CONCATENATE("Large bulky, extra-large and special handling items",IF($P945&gt;=11,11,$P945)),'[1]REMOVAL FEES'!$E$1:$E$13,0),3))))*$AA945,FALSE)</f>
        <v>0</v>
      </c>
      <c r="AJ945" s="107">
        <f t="shared" si="185"/>
        <v>0</v>
      </c>
      <c r="AK945" s="107">
        <v>0</v>
      </c>
      <c r="AL945" s="107">
        <v>0</v>
      </c>
      <c r="AM945" s="107">
        <f t="shared" si="186"/>
        <v>0</v>
      </c>
      <c r="AN945" s="116">
        <f>(-IF($V945="Yes", IF($X945="Yes", VLOOKUP($W945, '[1]Storage Fees'!A:M, 13, FALSE), VLOOKUP($W945, '[1]Storage Fees'!A:M, 10, FALSE)), IF($X945="Yes", VLOOKUP($W945, '[1]Storage Fees'!A:M, 7, FALSE), VLOOKUP($W945, '[1]Storage Fees'!A:M, 4, FALSE))) * U945)*1.5</f>
        <v>0</v>
      </c>
    </row>
    <row r="946" spans="1:40" x14ac:dyDescent="0.25">
      <c r="A946" s="99">
        <v>874</v>
      </c>
      <c r="B946" s="99" t="s">
        <v>107</v>
      </c>
      <c r="C946" s="99"/>
      <c r="D946" s="99"/>
      <c r="E946" s="99" t="s">
        <v>278</v>
      </c>
      <c r="F946" s="99" t="s">
        <v>595</v>
      </c>
      <c r="G946" s="99" t="s">
        <v>13695</v>
      </c>
      <c r="H946" s="99">
        <v>0</v>
      </c>
      <c r="I946" s="99">
        <v>0</v>
      </c>
      <c r="J946" s="99">
        <v>0</v>
      </c>
      <c r="K946" s="101" t="str">
        <f t="shared" si="174"/>
        <v>0x0x0</v>
      </c>
      <c r="L946" s="102">
        <f t="shared" si="175"/>
        <v>0</v>
      </c>
      <c r="M946" s="113">
        <f t="shared" si="176"/>
        <v>0</v>
      </c>
      <c r="N946" s="113">
        <f t="shared" si="177"/>
        <v>0</v>
      </c>
      <c r="O946" s="99">
        <v>0</v>
      </c>
      <c r="P946" s="113">
        <f t="shared" si="178"/>
        <v>0</v>
      </c>
      <c r="Q946" s="112">
        <f t="shared" si="179"/>
        <v>0</v>
      </c>
      <c r="R946" s="112" t="str">
        <f t="shared" si="180"/>
        <v>Standard-size</v>
      </c>
      <c r="S946" s="99" t="str">
        <f t="shared" si="181"/>
        <v>Small standard-size</v>
      </c>
      <c r="T946" s="116" t="s">
        <v>13696</v>
      </c>
      <c r="U946" s="116">
        <f t="shared" si="182"/>
        <v>0</v>
      </c>
      <c r="V946" s="116" t="s">
        <v>13583</v>
      </c>
      <c r="W946" s="116" t="s">
        <v>13690</v>
      </c>
      <c r="X946" s="99" t="s">
        <v>13583</v>
      </c>
      <c r="Y946" s="99">
        <v>1</v>
      </c>
      <c r="Z946" s="99">
        <v>1</v>
      </c>
      <c r="AA946" s="99">
        <v>1</v>
      </c>
      <c r="AB946" s="99"/>
      <c r="AC946" s="99"/>
      <c r="AD946" s="107">
        <v>0</v>
      </c>
      <c r="AE946" s="113">
        <f t="shared" si="183"/>
        <v>0</v>
      </c>
      <c r="AF946" s="116">
        <f>-IFERROR(IFERROR(VLOOKUP(ROUNDUP($Q946,0),'FBA FEES'!$L$2:$Q$203,MATCH($S946,'FBA FEES'!$L$2:$Q$2,0),FALSE),VLOOKUP(ROUNDUP($Q946,0),'FBA FEES'!$C$6:$F$123,MATCH($S946,'FBA FEES'!$C$6:$F$6,0),FALSE)),0)</f>
        <v>0</v>
      </c>
      <c r="AG946" s="116">
        <v>-10</v>
      </c>
      <c r="AH946" s="113">
        <f t="shared" si="184"/>
        <v>0</v>
      </c>
      <c r="AI946" s="116">
        <f>-IFERROR(IF($Y946=1,INDEX('[1]REMOVAL FEES'!$A$1:$C$22,MATCH(CONCATENATE("Standard Size",$P946),'[1]REMOVAL FEES'!$A$1:$A$22,0),3),IF($Y946=2,IF($P946&gt;10,(($P946-10)*1.06)+INDEX('[1]REMOVAL FEES'!$E$1:$G$22,MATCH(CONCATENATE("Large bulky, extra-large and special handling items",IF($P946&gt;=11,11,$P946)),'[1]REMOVAL FEES'!$E$1:$E$13,0),3),INDEX('[1]REMOVAL FEES'!$E$1:$G$22,MATCH(CONCATENATE("Large bulky, extra-large and special handling items",IF($P946&gt;=11,11,$P946)),'[1]REMOVAL FEES'!$E$1:$E$13,0),3))))*$AA946,FALSE)</f>
        <v>0</v>
      </c>
      <c r="AJ946" s="107">
        <f t="shared" si="185"/>
        <v>0</v>
      </c>
      <c r="AK946" s="107">
        <v>0</v>
      </c>
      <c r="AL946" s="107">
        <v>0</v>
      </c>
      <c r="AM946" s="107">
        <f t="shared" si="186"/>
        <v>0</v>
      </c>
      <c r="AN946" s="116">
        <f>(-IF($V946="Yes", IF($X946="Yes", VLOOKUP($W946, '[1]Storage Fees'!A:M, 13, FALSE), VLOOKUP($W946, '[1]Storage Fees'!A:M, 10, FALSE)), IF($X946="Yes", VLOOKUP($W946, '[1]Storage Fees'!A:M, 7, FALSE), VLOOKUP($W946, '[1]Storage Fees'!A:M, 4, FALSE))) * U946)*1.5</f>
        <v>0</v>
      </c>
    </row>
    <row r="947" spans="1:40" x14ac:dyDescent="0.25">
      <c r="A947" s="99">
        <v>875</v>
      </c>
      <c r="B947" s="99" t="s">
        <v>107</v>
      </c>
      <c r="C947" s="99"/>
      <c r="D947" s="99"/>
      <c r="E947" s="99" t="s">
        <v>278</v>
      </c>
      <c r="F947" s="99" t="s">
        <v>596</v>
      </c>
      <c r="G947" s="99" t="s">
        <v>13695</v>
      </c>
      <c r="H947" s="99">
        <v>0</v>
      </c>
      <c r="I947" s="99">
        <v>0</v>
      </c>
      <c r="J947" s="99">
        <v>0</v>
      </c>
      <c r="K947" s="101" t="str">
        <f t="shared" si="174"/>
        <v>0x0x0</v>
      </c>
      <c r="L947" s="102">
        <f t="shared" si="175"/>
        <v>0</v>
      </c>
      <c r="M947" s="113">
        <f t="shared" si="176"/>
        <v>0</v>
      </c>
      <c r="N947" s="113">
        <f t="shared" si="177"/>
        <v>0</v>
      </c>
      <c r="O947" s="99">
        <v>0</v>
      </c>
      <c r="P947" s="113">
        <f t="shared" si="178"/>
        <v>0</v>
      </c>
      <c r="Q947" s="112">
        <f t="shared" si="179"/>
        <v>0</v>
      </c>
      <c r="R947" s="112" t="str">
        <f t="shared" si="180"/>
        <v>Standard-size</v>
      </c>
      <c r="S947" s="99" t="str">
        <f t="shared" si="181"/>
        <v>Small standard-size</v>
      </c>
      <c r="T947" s="116" t="s">
        <v>13696</v>
      </c>
      <c r="U947" s="116">
        <f t="shared" si="182"/>
        <v>0</v>
      </c>
      <c r="V947" s="116" t="s">
        <v>13583</v>
      </c>
      <c r="W947" s="116" t="s">
        <v>13690</v>
      </c>
      <c r="X947" s="99" t="s">
        <v>13583</v>
      </c>
      <c r="Y947" s="99">
        <v>1</v>
      </c>
      <c r="Z947" s="99">
        <v>1</v>
      </c>
      <c r="AA947" s="99">
        <v>1</v>
      </c>
      <c r="AB947" s="99"/>
      <c r="AC947" s="99"/>
      <c r="AD947" s="107">
        <v>0</v>
      </c>
      <c r="AE947" s="113">
        <f t="shared" si="183"/>
        <v>0</v>
      </c>
      <c r="AF947" s="116">
        <f>-IFERROR(IFERROR(VLOOKUP(ROUNDUP($Q947,0),'FBA FEES'!$L$2:$Q$203,MATCH($S947,'FBA FEES'!$L$2:$Q$2,0),FALSE),VLOOKUP(ROUNDUP($Q947,0),'FBA FEES'!$C$6:$F$123,MATCH($S947,'FBA FEES'!$C$6:$F$6,0),FALSE)),0)</f>
        <v>0</v>
      </c>
      <c r="AG947" s="116">
        <v>-10</v>
      </c>
      <c r="AH947" s="113">
        <f t="shared" si="184"/>
        <v>0</v>
      </c>
      <c r="AI947" s="116">
        <f>-IFERROR(IF($Y947=1,INDEX('[1]REMOVAL FEES'!$A$1:$C$22,MATCH(CONCATENATE("Standard Size",$P947),'[1]REMOVAL FEES'!$A$1:$A$22,0),3),IF($Y947=2,IF($P947&gt;10,(($P947-10)*1.06)+INDEX('[1]REMOVAL FEES'!$E$1:$G$22,MATCH(CONCATENATE("Large bulky, extra-large and special handling items",IF($P947&gt;=11,11,$P947)),'[1]REMOVAL FEES'!$E$1:$E$13,0),3),INDEX('[1]REMOVAL FEES'!$E$1:$G$22,MATCH(CONCATENATE("Large bulky, extra-large and special handling items",IF($P947&gt;=11,11,$P947)),'[1]REMOVAL FEES'!$E$1:$E$13,0),3))))*$AA947,FALSE)</f>
        <v>0</v>
      </c>
      <c r="AJ947" s="107">
        <f t="shared" si="185"/>
        <v>0</v>
      </c>
      <c r="AK947" s="107">
        <v>0</v>
      </c>
      <c r="AL947" s="107">
        <v>0</v>
      </c>
      <c r="AM947" s="107">
        <f t="shared" si="186"/>
        <v>0</v>
      </c>
      <c r="AN947" s="116">
        <f>(-IF($V947="Yes", IF($X947="Yes", VLOOKUP($W947, '[1]Storage Fees'!A:M, 13, FALSE), VLOOKUP($W947, '[1]Storage Fees'!A:M, 10, FALSE)), IF($X947="Yes", VLOOKUP($W947, '[1]Storage Fees'!A:M, 7, FALSE), VLOOKUP($W947, '[1]Storage Fees'!A:M, 4, FALSE))) * U947)*1.5</f>
        <v>0</v>
      </c>
    </row>
    <row r="948" spans="1:40" x14ac:dyDescent="0.25">
      <c r="A948" s="99">
        <v>876</v>
      </c>
      <c r="B948" s="99" t="s">
        <v>107</v>
      </c>
      <c r="C948" s="99"/>
      <c r="D948" s="99"/>
      <c r="E948" s="99" t="s">
        <v>278</v>
      </c>
      <c r="F948" s="99" t="s">
        <v>597</v>
      </c>
      <c r="G948" s="99" t="s">
        <v>13695</v>
      </c>
      <c r="H948" s="99">
        <v>0</v>
      </c>
      <c r="I948" s="99">
        <v>0</v>
      </c>
      <c r="J948" s="99">
        <v>0</v>
      </c>
      <c r="K948" s="101" t="str">
        <f t="shared" si="174"/>
        <v>0x0x0</v>
      </c>
      <c r="L948" s="102">
        <f t="shared" si="175"/>
        <v>0</v>
      </c>
      <c r="M948" s="113">
        <f t="shared" si="176"/>
        <v>0</v>
      </c>
      <c r="N948" s="113">
        <f t="shared" si="177"/>
        <v>0</v>
      </c>
      <c r="O948" s="99">
        <v>0</v>
      </c>
      <c r="P948" s="113">
        <f t="shared" si="178"/>
        <v>0</v>
      </c>
      <c r="Q948" s="112">
        <f t="shared" si="179"/>
        <v>0</v>
      </c>
      <c r="R948" s="112" t="str">
        <f t="shared" si="180"/>
        <v>Standard-size</v>
      </c>
      <c r="S948" s="99" t="str">
        <f t="shared" si="181"/>
        <v>Small standard-size</v>
      </c>
      <c r="T948" s="116" t="s">
        <v>13696</v>
      </c>
      <c r="U948" s="116">
        <f t="shared" si="182"/>
        <v>0</v>
      </c>
      <c r="V948" s="116" t="s">
        <v>13583</v>
      </c>
      <c r="W948" s="116" t="s">
        <v>13690</v>
      </c>
      <c r="X948" s="99" t="s">
        <v>13583</v>
      </c>
      <c r="Y948" s="99">
        <v>1</v>
      </c>
      <c r="Z948" s="99">
        <v>1</v>
      </c>
      <c r="AA948" s="99">
        <v>1</v>
      </c>
      <c r="AB948" s="99"/>
      <c r="AC948" s="99"/>
      <c r="AD948" s="107">
        <v>0</v>
      </c>
      <c r="AE948" s="113">
        <f t="shared" si="183"/>
        <v>0</v>
      </c>
      <c r="AF948" s="116">
        <f>-IFERROR(IFERROR(VLOOKUP(ROUNDUP($Q948,0),'FBA FEES'!$L$2:$Q$203,MATCH($S948,'FBA FEES'!$L$2:$Q$2,0),FALSE),VLOOKUP(ROUNDUP($Q948,0),'FBA FEES'!$C$6:$F$123,MATCH($S948,'FBA FEES'!$C$6:$F$6,0),FALSE)),0)</f>
        <v>0</v>
      </c>
      <c r="AG948" s="116">
        <v>-10</v>
      </c>
      <c r="AH948" s="113">
        <f t="shared" si="184"/>
        <v>0</v>
      </c>
      <c r="AI948" s="116">
        <f>-IFERROR(IF($Y948=1,INDEX('[1]REMOVAL FEES'!$A$1:$C$22,MATCH(CONCATENATE("Standard Size",$P948),'[1]REMOVAL FEES'!$A$1:$A$22,0),3),IF($Y948=2,IF($P948&gt;10,(($P948-10)*1.06)+INDEX('[1]REMOVAL FEES'!$E$1:$G$22,MATCH(CONCATENATE("Large bulky, extra-large and special handling items",IF($P948&gt;=11,11,$P948)),'[1]REMOVAL FEES'!$E$1:$E$13,0),3),INDEX('[1]REMOVAL FEES'!$E$1:$G$22,MATCH(CONCATENATE("Large bulky, extra-large and special handling items",IF($P948&gt;=11,11,$P948)),'[1]REMOVAL FEES'!$E$1:$E$13,0),3))))*$AA948,FALSE)</f>
        <v>0</v>
      </c>
      <c r="AJ948" s="107">
        <f t="shared" si="185"/>
        <v>0</v>
      </c>
      <c r="AK948" s="107">
        <v>0</v>
      </c>
      <c r="AL948" s="107">
        <v>0</v>
      </c>
      <c r="AM948" s="107">
        <f t="shared" si="186"/>
        <v>0</v>
      </c>
      <c r="AN948" s="116">
        <f>(-IF($V948="Yes", IF($X948="Yes", VLOOKUP($W948, '[1]Storage Fees'!A:M, 13, FALSE), VLOOKUP($W948, '[1]Storage Fees'!A:M, 10, FALSE)), IF($X948="Yes", VLOOKUP($W948, '[1]Storage Fees'!A:M, 7, FALSE), VLOOKUP($W948, '[1]Storage Fees'!A:M, 4, FALSE))) * U948)*1.5</f>
        <v>0</v>
      </c>
    </row>
    <row r="949" spans="1:40" x14ac:dyDescent="0.25">
      <c r="A949" s="99">
        <v>877</v>
      </c>
      <c r="B949" s="99" t="s">
        <v>13699</v>
      </c>
      <c r="C949" s="99"/>
      <c r="D949" s="99"/>
      <c r="E949" s="99" t="s">
        <v>278</v>
      </c>
      <c r="F949" s="99" t="s">
        <v>598</v>
      </c>
      <c r="G949" s="99" t="s">
        <v>13695</v>
      </c>
      <c r="H949" s="99">
        <v>34</v>
      </c>
      <c r="I949" s="99">
        <v>12</v>
      </c>
      <c r="J949" s="99">
        <v>9</v>
      </c>
      <c r="K949" s="101" t="str">
        <f t="shared" si="174"/>
        <v>34x12x9</v>
      </c>
      <c r="L949" s="102">
        <f t="shared" si="175"/>
        <v>26.417266187050359</v>
      </c>
      <c r="M949" s="113">
        <f t="shared" si="176"/>
        <v>26.417266187050359</v>
      </c>
      <c r="N949" s="113">
        <f t="shared" si="177"/>
        <v>27</v>
      </c>
      <c r="O949" s="99">
        <v>26</v>
      </c>
      <c r="P949" s="113">
        <f t="shared" si="178"/>
        <v>27</v>
      </c>
      <c r="Q949" s="112">
        <f t="shared" si="179"/>
        <v>432</v>
      </c>
      <c r="R949" s="112" t="str">
        <f t="shared" si="180"/>
        <v>Oversize</v>
      </c>
      <c r="S949" s="99" t="str">
        <f t="shared" si="181"/>
        <v>Large bulky</v>
      </c>
      <c r="T949" s="116" t="s">
        <v>13692</v>
      </c>
      <c r="U949" s="116">
        <f t="shared" si="182"/>
        <v>2.125</v>
      </c>
      <c r="V949" s="116" t="s">
        <v>13583</v>
      </c>
      <c r="W949" s="116" t="s">
        <v>13690</v>
      </c>
      <c r="X949" s="116" t="s">
        <v>13691</v>
      </c>
      <c r="Y949" s="116">
        <v>2</v>
      </c>
      <c r="Z949" s="116">
        <v>3</v>
      </c>
      <c r="AA949" s="116">
        <v>1</v>
      </c>
      <c r="AB949" s="99"/>
      <c r="AC949" s="99"/>
      <c r="AD949" s="107">
        <v>0</v>
      </c>
      <c r="AE949" s="113">
        <f t="shared" si="183"/>
        <v>0</v>
      </c>
      <c r="AF949" s="116">
        <f>-IFERROR(IFERROR(VLOOKUP(ROUNDUP($Q949,0),'FBA FEES'!$L$2:$Q$203,MATCH($S949,'FBA FEES'!$L$2:$Q$2,0),FALSE),VLOOKUP(ROUNDUP($Q949,0),'FBA FEES'!$C$6:$F$123,MATCH($S949,'FBA FEES'!$C$6:$F$6,0),FALSE)),0)</f>
        <v>-19.490000000000002</v>
      </c>
      <c r="AG949" s="116">
        <v>-10</v>
      </c>
      <c r="AH949" s="113">
        <f t="shared" si="184"/>
        <v>-19.490000000000002</v>
      </c>
      <c r="AI949" s="116">
        <f>-IFERROR(IF($Y949=1,INDEX('[1]REMOVAL FEES'!$A$1:$C$22,MATCH(CONCATENATE("Standard Size",$P949),'[1]REMOVAL FEES'!$A$1:$A$22,0),3),IF($Y949=2,IF($P949&gt;10,(($P949-10)*1.06)+INDEX('[1]REMOVAL FEES'!$E$1:$G$22,MATCH(CONCATENATE("Large bulky, extra-large and special handling items",IF($P949&gt;=11,11,$P949)),'[1]REMOVAL FEES'!$E$1:$E$13,0),3),INDEX('[1]REMOVAL FEES'!$E$1:$G$22,MATCH(CONCATENATE("Large bulky, extra-large and special handling items",IF($P949&gt;=11,11,$P949)),'[1]REMOVAL FEES'!$E$1:$E$13,0),3))))*$AA949,FALSE)</f>
        <v>-32.340000000000003</v>
      </c>
      <c r="AJ949" s="107">
        <f t="shared" si="185"/>
        <v>-51.830000000000005</v>
      </c>
      <c r="AK949" s="107">
        <v>0</v>
      </c>
      <c r="AL949" s="107">
        <v>0</v>
      </c>
      <c r="AM949" s="107">
        <f t="shared" si="186"/>
        <v>0</v>
      </c>
      <c r="AN949" s="116">
        <f>(-IF($V949="Yes", IF($X949="Yes", VLOOKUP($W949, '[1]Storage Fees'!A:M, 13, FALSE), VLOOKUP($W949, '[1]Storage Fees'!A:M, 10, FALSE)), IF($X949="Yes", VLOOKUP($W949, '[1]Storage Fees'!A:M, 7, FALSE), VLOOKUP($W949, '[1]Storage Fees'!A:M, 4, FALSE))) * U949)*1.5</f>
        <v>-2.5181249999999999</v>
      </c>
    </row>
    <row r="950" spans="1:40" x14ac:dyDescent="0.25">
      <c r="A950" s="99">
        <v>878</v>
      </c>
      <c r="B950" s="99" t="s">
        <v>13700</v>
      </c>
      <c r="C950" s="99"/>
      <c r="D950" s="99"/>
      <c r="E950" s="99" t="s">
        <v>278</v>
      </c>
      <c r="F950" s="99" t="s">
        <v>279</v>
      </c>
      <c r="G950" s="99" t="s">
        <v>13695</v>
      </c>
      <c r="H950" s="99">
        <v>0</v>
      </c>
      <c r="I950" s="99">
        <v>0</v>
      </c>
      <c r="J950" s="99">
        <v>0</v>
      </c>
      <c r="K950" s="101" t="str">
        <f t="shared" si="174"/>
        <v>0x0x0</v>
      </c>
      <c r="L950" s="102">
        <f t="shared" si="175"/>
        <v>0</v>
      </c>
      <c r="M950" s="113">
        <f t="shared" si="176"/>
        <v>0</v>
      </c>
      <c r="N950" s="113">
        <f t="shared" si="177"/>
        <v>0</v>
      </c>
      <c r="O950" s="99">
        <v>0</v>
      </c>
      <c r="P950" s="113">
        <f t="shared" si="178"/>
        <v>0</v>
      </c>
      <c r="Q950" s="112">
        <f t="shared" si="179"/>
        <v>0</v>
      </c>
      <c r="R950" s="112" t="str">
        <f t="shared" si="180"/>
        <v>Standard-size</v>
      </c>
      <c r="S950" s="99" t="str">
        <f t="shared" si="181"/>
        <v>Small standard-size</v>
      </c>
      <c r="T950" s="116" t="s">
        <v>13696</v>
      </c>
      <c r="U950" s="116">
        <f t="shared" si="182"/>
        <v>0</v>
      </c>
      <c r="V950" s="116" t="s">
        <v>13583</v>
      </c>
      <c r="W950" s="116" t="s">
        <v>13690</v>
      </c>
      <c r="X950" s="99" t="s">
        <v>13583</v>
      </c>
      <c r="Y950" s="99">
        <v>1</v>
      </c>
      <c r="Z950" s="99">
        <v>1</v>
      </c>
      <c r="AA950" s="99">
        <v>1</v>
      </c>
      <c r="AB950" s="99"/>
      <c r="AC950" s="99"/>
      <c r="AD950" s="107">
        <v>0</v>
      </c>
      <c r="AE950" s="113">
        <f t="shared" si="183"/>
        <v>0</v>
      </c>
      <c r="AF950" s="116">
        <f>-IFERROR(IFERROR(VLOOKUP(ROUNDUP($Q950,0),'FBA FEES'!$L$2:$Q$203,MATCH($S950,'FBA FEES'!$L$2:$Q$2,0),FALSE),VLOOKUP(ROUNDUP($Q950,0),'FBA FEES'!$C$6:$F$123,MATCH($S950,'FBA FEES'!$C$6:$F$6,0),FALSE)),0)</f>
        <v>0</v>
      </c>
      <c r="AG950" s="116">
        <v>-10</v>
      </c>
      <c r="AH950" s="113">
        <f t="shared" si="184"/>
        <v>0</v>
      </c>
      <c r="AI950" s="116">
        <f>-IFERROR(IF($Y950=1,INDEX('[1]REMOVAL FEES'!$A$1:$C$22,MATCH(CONCATENATE("Standard Size",$P950),'[1]REMOVAL FEES'!$A$1:$A$22,0),3),IF($Y950=2,IF($P950&gt;10,(($P950-10)*1.06)+INDEX('[1]REMOVAL FEES'!$E$1:$G$22,MATCH(CONCATENATE("Large bulky, extra-large and special handling items",IF($P950&gt;=11,11,$P950)),'[1]REMOVAL FEES'!$E$1:$E$13,0),3),INDEX('[1]REMOVAL FEES'!$E$1:$G$22,MATCH(CONCATENATE("Large bulky, extra-large and special handling items",IF($P950&gt;=11,11,$P950)),'[1]REMOVAL FEES'!$E$1:$E$13,0),3))))*$AA950,FALSE)</f>
        <v>0</v>
      </c>
      <c r="AJ950" s="107">
        <f t="shared" si="185"/>
        <v>0</v>
      </c>
      <c r="AK950" s="107">
        <v>0</v>
      </c>
      <c r="AL950" s="107">
        <v>0</v>
      </c>
      <c r="AM950" s="107">
        <f t="shared" si="186"/>
        <v>0</v>
      </c>
      <c r="AN950" s="116">
        <f>(-IF($V950="Yes", IF($X950="Yes", VLOOKUP($W950, '[1]Storage Fees'!A:M, 13, FALSE), VLOOKUP($W950, '[1]Storage Fees'!A:M, 10, FALSE)), IF($X950="Yes", VLOOKUP($W950, '[1]Storage Fees'!A:M, 7, FALSE), VLOOKUP($W950, '[1]Storage Fees'!A:M, 4, FALSE))) * U950)*1.5</f>
        <v>0</v>
      </c>
    </row>
    <row r="951" spans="1:40" x14ac:dyDescent="0.25">
      <c r="A951" s="99">
        <v>879</v>
      </c>
      <c r="B951" s="99" t="s">
        <v>13700</v>
      </c>
      <c r="C951" s="99"/>
      <c r="D951" s="99"/>
      <c r="E951" s="99" t="s">
        <v>278</v>
      </c>
      <c r="F951" s="99" t="s">
        <v>600</v>
      </c>
      <c r="G951" s="99" t="s">
        <v>13695</v>
      </c>
      <c r="H951" s="99">
        <v>0</v>
      </c>
      <c r="I951" s="99">
        <v>0</v>
      </c>
      <c r="J951" s="99">
        <v>0</v>
      </c>
      <c r="K951" s="101" t="str">
        <f t="shared" si="174"/>
        <v>0x0x0</v>
      </c>
      <c r="L951" s="102">
        <f t="shared" si="175"/>
        <v>0</v>
      </c>
      <c r="M951" s="113">
        <f t="shared" si="176"/>
        <v>0</v>
      </c>
      <c r="N951" s="113">
        <f t="shared" si="177"/>
        <v>0</v>
      </c>
      <c r="O951" s="99">
        <v>0</v>
      </c>
      <c r="P951" s="113">
        <f t="shared" si="178"/>
        <v>0</v>
      </c>
      <c r="Q951" s="112">
        <f t="shared" si="179"/>
        <v>0</v>
      </c>
      <c r="R951" s="112" t="str">
        <f t="shared" si="180"/>
        <v>Standard-size</v>
      </c>
      <c r="S951" s="99" t="str">
        <f t="shared" si="181"/>
        <v>Small standard-size</v>
      </c>
      <c r="T951" s="116" t="s">
        <v>13696</v>
      </c>
      <c r="U951" s="116">
        <f t="shared" si="182"/>
        <v>0</v>
      </c>
      <c r="V951" s="116" t="s">
        <v>13583</v>
      </c>
      <c r="W951" s="116" t="s">
        <v>13690</v>
      </c>
      <c r="X951" s="99" t="s">
        <v>13583</v>
      </c>
      <c r="Y951" s="99">
        <v>1</v>
      </c>
      <c r="Z951" s="99">
        <v>1</v>
      </c>
      <c r="AA951" s="99">
        <v>1</v>
      </c>
      <c r="AB951" s="99"/>
      <c r="AC951" s="99"/>
      <c r="AD951" s="107">
        <v>0</v>
      </c>
      <c r="AE951" s="113">
        <f t="shared" si="183"/>
        <v>0</v>
      </c>
      <c r="AF951" s="116">
        <f>-IFERROR(IFERROR(VLOOKUP(ROUNDUP($Q951,0),'FBA FEES'!$L$2:$Q$203,MATCH($S951,'FBA FEES'!$L$2:$Q$2,0),FALSE),VLOOKUP(ROUNDUP($Q951,0),'FBA FEES'!$C$6:$F$123,MATCH($S951,'FBA FEES'!$C$6:$F$6,0),FALSE)),0)</f>
        <v>0</v>
      </c>
      <c r="AG951" s="116">
        <v>-10</v>
      </c>
      <c r="AH951" s="113">
        <f t="shared" si="184"/>
        <v>0</v>
      </c>
      <c r="AI951" s="116">
        <f>-IFERROR(IF($Y951=1,INDEX('[1]REMOVAL FEES'!$A$1:$C$22,MATCH(CONCATENATE("Standard Size",$P951),'[1]REMOVAL FEES'!$A$1:$A$22,0),3),IF($Y951=2,IF($P951&gt;10,(($P951-10)*1.06)+INDEX('[1]REMOVAL FEES'!$E$1:$G$22,MATCH(CONCATENATE("Large bulky, extra-large and special handling items",IF($P951&gt;=11,11,$P951)),'[1]REMOVAL FEES'!$E$1:$E$13,0),3),INDEX('[1]REMOVAL FEES'!$E$1:$G$22,MATCH(CONCATENATE("Large bulky, extra-large and special handling items",IF($P951&gt;=11,11,$P951)),'[1]REMOVAL FEES'!$E$1:$E$13,0),3))))*$AA951,FALSE)</f>
        <v>0</v>
      </c>
      <c r="AJ951" s="107">
        <f t="shared" si="185"/>
        <v>0</v>
      </c>
      <c r="AK951" s="107">
        <v>0</v>
      </c>
      <c r="AL951" s="107">
        <v>0</v>
      </c>
      <c r="AM951" s="107">
        <f t="shared" si="186"/>
        <v>0</v>
      </c>
      <c r="AN951" s="116">
        <f>(-IF($V951="Yes", IF($X951="Yes", VLOOKUP($W951, '[1]Storage Fees'!A:M, 13, FALSE), VLOOKUP($W951, '[1]Storage Fees'!A:M, 10, FALSE)), IF($X951="Yes", VLOOKUP($W951, '[1]Storage Fees'!A:M, 7, FALSE), VLOOKUP($W951, '[1]Storage Fees'!A:M, 4, FALSE))) * U951)*1.5</f>
        <v>0</v>
      </c>
    </row>
    <row r="952" spans="1:40" x14ac:dyDescent="0.25">
      <c r="A952" s="99">
        <v>880</v>
      </c>
      <c r="B952" s="99" t="s">
        <v>13700</v>
      </c>
      <c r="C952" s="99"/>
      <c r="D952" s="99"/>
      <c r="E952" s="99" t="s">
        <v>278</v>
      </c>
      <c r="F952" s="99" t="s">
        <v>601</v>
      </c>
      <c r="G952" s="99" t="s">
        <v>13695</v>
      </c>
      <c r="H952" s="99">
        <v>0</v>
      </c>
      <c r="I952" s="99">
        <v>0</v>
      </c>
      <c r="J952" s="99">
        <v>0</v>
      </c>
      <c r="K952" s="101" t="str">
        <f t="shared" si="174"/>
        <v>0x0x0</v>
      </c>
      <c r="L952" s="102">
        <f t="shared" si="175"/>
        <v>0</v>
      </c>
      <c r="M952" s="113">
        <f t="shared" si="176"/>
        <v>0</v>
      </c>
      <c r="N952" s="113">
        <f t="shared" si="177"/>
        <v>0</v>
      </c>
      <c r="O952" s="99">
        <v>0</v>
      </c>
      <c r="P952" s="113">
        <f t="shared" si="178"/>
        <v>0</v>
      </c>
      <c r="Q952" s="112">
        <f t="shared" si="179"/>
        <v>0</v>
      </c>
      <c r="R952" s="112" t="str">
        <f t="shared" si="180"/>
        <v>Standard-size</v>
      </c>
      <c r="S952" s="99" t="str">
        <f t="shared" si="181"/>
        <v>Small standard-size</v>
      </c>
      <c r="T952" s="116" t="s">
        <v>13696</v>
      </c>
      <c r="U952" s="116">
        <f t="shared" si="182"/>
        <v>0</v>
      </c>
      <c r="V952" s="116" t="s">
        <v>13583</v>
      </c>
      <c r="W952" s="116" t="s">
        <v>13690</v>
      </c>
      <c r="X952" s="99" t="s">
        <v>13583</v>
      </c>
      <c r="Y952" s="99">
        <v>1</v>
      </c>
      <c r="Z952" s="99">
        <v>1</v>
      </c>
      <c r="AA952" s="99">
        <v>1</v>
      </c>
      <c r="AB952" s="99"/>
      <c r="AC952" s="99"/>
      <c r="AD952" s="107">
        <v>0</v>
      </c>
      <c r="AE952" s="113">
        <f t="shared" si="183"/>
        <v>0</v>
      </c>
      <c r="AF952" s="116">
        <f>-IFERROR(IFERROR(VLOOKUP(ROUNDUP($Q952,0),'FBA FEES'!$L$2:$Q$203,MATCH($S952,'FBA FEES'!$L$2:$Q$2,0),FALSE),VLOOKUP(ROUNDUP($Q952,0),'FBA FEES'!$C$6:$F$123,MATCH($S952,'FBA FEES'!$C$6:$F$6,0),FALSE)),0)</f>
        <v>0</v>
      </c>
      <c r="AG952" s="116">
        <v>-10</v>
      </c>
      <c r="AH952" s="113">
        <f t="shared" si="184"/>
        <v>0</v>
      </c>
      <c r="AI952" s="116">
        <f>-IFERROR(IF($Y952=1,INDEX('[1]REMOVAL FEES'!$A$1:$C$22,MATCH(CONCATENATE("Standard Size",$P952),'[1]REMOVAL FEES'!$A$1:$A$22,0),3),IF($Y952=2,IF($P952&gt;10,(($P952-10)*1.06)+INDEX('[1]REMOVAL FEES'!$E$1:$G$22,MATCH(CONCATENATE("Large bulky, extra-large and special handling items",IF($P952&gt;=11,11,$P952)),'[1]REMOVAL FEES'!$E$1:$E$13,0),3),INDEX('[1]REMOVAL FEES'!$E$1:$G$22,MATCH(CONCATENATE("Large bulky, extra-large and special handling items",IF($P952&gt;=11,11,$P952)),'[1]REMOVAL FEES'!$E$1:$E$13,0),3))))*$AA952,FALSE)</f>
        <v>0</v>
      </c>
      <c r="AJ952" s="107">
        <f t="shared" si="185"/>
        <v>0</v>
      </c>
      <c r="AK952" s="107">
        <v>0</v>
      </c>
      <c r="AL952" s="107">
        <v>0</v>
      </c>
      <c r="AM952" s="107">
        <f t="shared" si="186"/>
        <v>0</v>
      </c>
      <c r="AN952" s="116">
        <f>(-IF($V952="Yes", IF($X952="Yes", VLOOKUP($W952, '[1]Storage Fees'!A:M, 13, FALSE), VLOOKUP($W952, '[1]Storage Fees'!A:M, 10, FALSE)), IF($X952="Yes", VLOOKUP($W952, '[1]Storage Fees'!A:M, 7, FALSE), VLOOKUP($W952, '[1]Storage Fees'!A:M, 4, FALSE))) * U952)*1.5</f>
        <v>0</v>
      </c>
    </row>
    <row r="953" spans="1:40" x14ac:dyDescent="0.25">
      <c r="A953" s="99">
        <v>881</v>
      </c>
      <c r="B953" s="99"/>
      <c r="C953" s="99" t="s">
        <v>13655</v>
      </c>
      <c r="D953" s="99"/>
      <c r="E953" s="99" t="s">
        <v>278</v>
      </c>
      <c r="F953" s="99" t="s">
        <v>2240</v>
      </c>
      <c r="G953" s="99" t="s">
        <v>13695</v>
      </c>
      <c r="H953" s="99">
        <v>0</v>
      </c>
      <c r="I953" s="99">
        <v>0</v>
      </c>
      <c r="J953" s="99">
        <v>0</v>
      </c>
      <c r="K953" s="101" t="str">
        <f t="shared" si="174"/>
        <v>0x0x0</v>
      </c>
      <c r="L953" s="102">
        <f t="shared" si="175"/>
        <v>0</v>
      </c>
      <c r="M953" s="113">
        <f t="shared" si="176"/>
        <v>0</v>
      </c>
      <c r="N953" s="113">
        <f t="shared" si="177"/>
        <v>0</v>
      </c>
      <c r="O953" s="99">
        <v>0</v>
      </c>
      <c r="P953" s="113">
        <f t="shared" si="178"/>
        <v>0</v>
      </c>
      <c r="Q953" s="112">
        <f t="shared" si="179"/>
        <v>0</v>
      </c>
      <c r="R953" s="112" t="str">
        <f t="shared" si="180"/>
        <v>Standard-size</v>
      </c>
      <c r="S953" s="99" t="str">
        <f t="shared" si="181"/>
        <v>Small standard-size</v>
      </c>
      <c r="T953" s="116" t="s">
        <v>13696</v>
      </c>
      <c r="U953" s="116">
        <f t="shared" si="182"/>
        <v>0</v>
      </c>
      <c r="V953" s="116" t="s">
        <v>13583</v>
      </c>
      <c r="W953" s="116" t="s">
        <v>13690</v>
      </c>
      <c r="X953" s="99" t="s">
        <v>13583</v>
      </c>
      <c r="Y953" s="99">
        <v>1</v>
      </c>
      <c r="Z953" s="99">
        <v>1</v>
      </c>
      <c r="AA953" s="99">
        <v>1</v>
      </c>
      <c r="AB953" s="99"/>
      <c r="AC953" s="99"/>
      <c r="AD953" s="107">
        <v>0</v>
      </c>
      <c r="AE953" s="113">
        <f t="shared" si="183"/>
        <v>0</v>
      </c>
      <c r="AF953" s="116">
        <f>-IFERROR(IFERROR(VLOOKUP(ROUNDUP($Q953,0),'FBA FEES'!$L$2:$Q$203,MATCH($S953,'FBA FEES'!$L$2:$Q$2,0),FALSE),VLOOKUP(ROUNDUP($Q953,0),'FBA FEES'!$C$6:$F$123,MATCH($S953,'FBA FEES'!$C$6:$F$6,0),FALSE)),0)</f>
        <v>0</v>
      </c>
      <c r="AG953" s="116">
        <v>-10</v>
      </c>
      <c r="AH953" s="113">
        <f t="shared" si="184"/>
        <v>0</v>
      </c>
      <c r="AI953" s="116">
        <f>-IFERROR(IF($Y953=1,INDEX('[1]REMOVAL FEES'!$A$1:$C$22,MATCH(CONCATENATE("Standard Size",$P953),'[1]REMOVAL FEES'!$A$1:$A$22,0),3),IF($Y953=2,IF($P953&gt;10,(($P953-10)*1.06)+INDEX('[1]REMOVAL FEES'!$E$1:$G$22,MATCH(CONCATENATE("Large bulky, extra-large and special handling items",IF($P953&gt;=11,11,$P953)),'[1]REMOVAL FEES'!$E$1:$E$13,0),3),INDEX('[1]REMOVAL FEES'!$E$1:$G$22,MATCH(CONCATENATE("Large bulky, extra-large and special handling items",IF($P953&gt;=11,11,$P953)),'[1]REMOVAL FEES'!$E$1:$E$13,0),3))))*$AA953,FALSE)</f>
        <v>0</v>
      </c>
      <c r="AJ953" s="107">
        <f t="shared" si="185"/>
        <v>0</v>
      </c>
      <c r="AK953" s="107">
        <v>0</v>
      </c>
      <c r="AL953" s="107">
        <v>0</v>
      </c>
      <c r="AM953" s="107">
        <f t="shared" si="186"/>
        <v>0</v>
      </c>
      <c r="AN953" s="116">
        <f>(-IF($V953="Yes", IF($X953="Yes", VLOOKUP($W953, '[1]Storage Fees'!A:M, 13, FALSE), VLOOKUP($W953, '[1]Storage Fees'!A:M, 10, FALSE)), IF($X953="Yes", VLOOKUP($W953, '[1]Storage Fees'!A:M, 7, FALSE), VLOOKUP($W953, '[1]Storage Fees'!A:M, 4, FALSE))) * U953)*1.5</f>
        <v>0</v>
      </c>
    </row>
    <row r="954" spans="1:40" x14ac:dyDescent="0.25">
      <c r="A954" s="99">
        <v>882</v>
      </c>
      <c r="B954" s="99" t="s">
        <v>13699</v>
      </c>
      <c r="C954" s="99"/>
      <c r="D954" s="99"/>
      <c r="E954" s="99" t="s">
        <v>278</v>
      </c>
      <c r="F954" s="99" t="s">
        <v>602</v>
      </c>
      <c r="G954" s="99" t="s">
        <v>13695</v>
      </c>
      <c r="H954" s="99">
        <v>34</v>
      </c>
      <c r="I954" s="99">
        <v>14</v>
      </c>
      <c r="J954" s="99">
        <v>12</v>
      </c>
      <c r="K954" s="101" t="str">
        <f t="shared" si="174"/>
        <v>34x14x12</v>
      </c>
      <c r="L954" s="102">
        <f t="shared" si="175"/>
        <v>41.093525179856115</v>
      </c>
      <c r="M954" s="113">
        <f t="shared" si="176"/>
        <v>41.093525179856115</v>
      </c>
      <c r="N954" s="113">
        <f t="shared" si="177"/>
        <v>42</v>
      </c>
      <c r="O954" s="99">
        <v>30</v>
      </c>
      <c r="P954" s="113">
        <f t="shared" si="178"/>
        <v>42</v>
      </c>
      <c r="Q954" s="112">
        <f t="shared" si="179"/>
        <v>672</v>
      </c>
      <c r="R954" s="112" t="str">
        <f t="shared" si="180"/>
        <v>Oversize</v>
      </c>
      <c r="S954" s="99" t="str">
        <f t="shared" si="181"/>
        <v>Large bulky</v>
      </c>
      <c r="T954" s="116" t="s">
        <v>13694</v>
      </c>
      <c r="U954" s="116">
        <f t="shared" si="182"/>
        <v>3.3055555555555554</v>
      </c>
      <c r="V954" s="116" t="s">
        <v>13583</v>
      </c>
      <c r="W954" s="116" t="s">
        <v>13690</v>
      </c>
      <c r="X954" s="116" t="s">
        <v>13691</v>
      </c>
      <c r="Y954" s="116">
        <v>2</v>
      </c>
      <c r="Z954" s="116">
        <v>3</v>
      </c>
      <c r="AA954" s="116">
        <v>1</v>
      </c>
      <c r="AB954" s="99"/>
      <c r="AC954" s="99"/>
      <c r="AD954" s="107">
        <v>0</v>
      </c>
      <c r="AE954" s="113">
        <f t="shared" si="183"/>
        <v>0</v>
      </c>
      <c r="AF954" s="116">
        <f>-IFERROR(IFERROR(VLOOKUP(ROUNDUP($Q954,0),'FBA FEES'!$L$2:$Q$203,MATCH($S954,'FBA FEES'!$L$2:$Q$2,0),FALSE),VLOOKUP(ROUNDUP($Q954,0),'FBA FEES'!$C$6:$F$123,MATCH($S954,'FBA FEES'!$C$6:$F$6,0),FALSE)),0)</f>
        <v>-25.189999999999998</v>
      </c>
      <c r="AG954" s="116">
        <v>-10</v>
      </c>
      <c r="AH954" s="113">
        <f t="shared" si="184"/>
        <v>-25.189999999999998</v>
      </c>
      <c r="AI954" s="116">
        <f>-IFERROR(IF($Y954=1,INDEX('[1]REMOVAL FEES'!$A$1:$C$22,MATCH(CONCATENATE("Standard Size",$P954),'[1]REMOVAL FEES'!$A$1:$A$22,0),3),IF($Y954=2,IF($P954&gt;10,(($P954-10)*1.06)+INDEX('[1]REMOVAL FEES'!$E$1:$G$22,MATCH(CONCATENATE("Large bulky, extra-large and special handling items",IF($P954&gt;=11,11,$P954)),'[1]REMOVAL FEES'!$E$1:$E$13,0),3),INDEX('[1]REMOVAL FEES'!$E$1:$G$22,MATCH(CONCATENATE("Large bulky, extra-large and special handling items",IF($P954&gt;=11,11,$P954)),'[1]REMOVAL FEES'!$E$1:$E$13,0),3))))*$AA954,FALSE)</f>
        <v>-48.24</v>
      </c>
      <c r="AJ954" s="107">
        <f t="shared" si="185"/>
        <v>-73.430000000000007</v>
      </c>
      <c r="AK954" s="107">
        <v>0</v>
      </c>
      <c r="AL954" s="107">
        <v>0</v>
      </c>
      <c r="AM954" s="107">
        <f t="shared" si="186"/>
        <v>0</v>
      </c>
      <c r="AN954" s="116">
        <f>(-IF($V954="Yes", IF($X954="Yes", VLOOKUP($W954, '[1]Storage Fees'!A:M, 13, FALSE), VLOOKUP($W954, '[1]Storage Fees'!A:M, 10, FALSE)), IF($X954="Yes", VLOOKUP($W954, '[1]Storage Fees'!A:M, 7, FALSE), VLOOKUP($W954, '[1]Storage Fees'!A:M, 4, FALSE))) * U954)*1.5</f>
        <v>-3.9170833333333333</v>
      </c>
    </row>
    <row r="955" spans="1:40" x14ac:dyDescent="0.25">
      <c r="A955" s="99">
        <v>883</v>
      </c>
      <c r="B955" s="99"/>
      <c r="C955" s="99" t="s">
        <v>13655</v>
      </c>
      <c r="D955" s="99"/>
      <c r="E955" s="99" t="s">
        <v>278</v>
      </c>
      <c r="F955" s="99" t="s">
        <v>2241</v>
      </c>
      <c r="G955" s="99" t="s">
        <v>13695</v>
      </c>
      <c r="H955" s="99">
        <v>0</v>
      </c>
      <c r="I955" s="99">
        <v>0</v>
      </c>
      <c r="J955" s="99">
        <v>0</v>
      </c>
      <c r="K955" s="101" t="str">
        <f t="shared" si="174"/>
        <v>0x0x0</v>
      </c>
      <c r="L955" s="102">
        <f t="shared" si="175"/>
        <v>0</v>
      </c>
      <c r="M955" s="113">
        <f t="shared" si="176"/>
        <v>0</v>
      </c>
      <c r="N955" s="113">
        <f t="shared" si="177"/>
        <v>0</v>
      </c>
      <c r="O955" s="99">
        <v>0</v>
      </c>
      <c r="P955" s="113">
        <f t="shared" si="178"/>
        <v>0</v>
      </c>
      <c r="Q955" s="112">
        <f t="shared" si="179"/>
        <v>0</v>
      </c>
      <c r="R955" s="112" t="str">
        <f t="shared" si="180"/>
        <v>Standard-size</v>
      </c>
      <c r="S955" s="99" t="str">
        <f t="shared" si="181"/>
        <v>Small standard-size</v>
      </c>
      <c r="T955" s="116" t="s">
        <v>13696</v>
      </c>
      <c r="U955" s="116">
        <f t="shared" si="182"/>
        <v>0</v>
      </c>
      <c r="V955" s="116" t="s">
        <v>13583</v>
      </c>
      <c r="W955" s="116" t="s">
        <v>13690</v>
      </c>
      <c r="X955" s="99" t="s">
        <v>13583</v>
      </c>
      <c r="Y955" s="99">
        <v>1</v>
      </c>
      <c r="Z955" s="99">
        <v>1</v>
      </c>
      <c r="AA955" s="99">
        <v>1</v>
      </c>
      <c r="AB955" s="99"/>
      <c r="AC955" s="99"/>
      <c r="AD955" s="107">
        <v>0</v>
      </c>
      <c r="AE955" s="113">
        <f t="shared" si="183"/>
        <v>0</v>
      </c>
      <c r="AF955" s="116">
        <f>-IFERROR(IFERROR(VLOOKUP(ROUNDUP($Q955,0),'FBA FEES'!$L$2:$Q$203,MATCH($S955,'FBA FEES'!$L$2:$Q$2,0),FALSE),VLOOKUP(ROUNDUP($Q955,0),'FBA FEES'!$C$6:$F$123,MATCH($S955,'FBA FEES'!$C$6:$F$6,0),FALSE)),0)</f>
        <v>0</v>
      </c>
      <c r="AG955" s="116">
        <v>-10</v>
      </c>
      <c r="AH955" s="113">
        <f t="shared" si="184"/>
        <v>0</v>
      </c>
      <c r="AI955" s="116">
        <f>-IFERROR(IF($Y955=1,INDEX('[1]REMOVAL FEES'!$A$1:$C$22,MATCH(CONCATENATE("Standard Size",$P955),'[1]REMOVAL FEES'!$A$1:$A$22,0),3),IF($Y955=2,IF($P955&gt;10,(($P955-10)*1.06)+INDEX('[1]REMOVAL FEES'!$E$1:$G$22,MATCH(CONCATENATE("Large bulky, extra-large and special handling items",IF($P955&gt;=11,11,$P955)),'[1]REMOVAL FEES'!$E$1:$E$13,0),3),INDEX('[1]REMOVAL FEES'!$E$1:$G$22,MATCH(CONCATENATE("Large bulky, extra-large and special handling items",IF($P955&gt;=11,11,$P955)),'[1]REMOVAL FEES'!$E$1:$E$13,0),3))))*$AA955,FALSE)</f>
        <v>0</v>
      </c>
      <c r="AJ955" s="107">
        <f t="shared" si="185"/>
        <v>0</v>
      </c>
      <c r="AK955" s="107">
        <v>0</v>
      </c>
      <c r="AL955" s="107">
        <v>0</v>
      </c>
      <c r="AM955" s="107">
        <f t="shared" si="186"/>
        <v>0</v>
      </c>
      <c r="AN955" s="116">
        <f>(-IF($V955="Yes", IF($X955="Yes", VLOOKUP($W955, '[1]Storage Fees'!A:M, 13, FALSE), VLOOKUP($W955, '[1]Storage Fees'!A:M, 10, FALSE)), IF($X955="Yes", VLOOKUP($W955, '[1]Storage Fees'!A:M, 7, FALSE), VLOOKUP($W955, '[1]Storage Fees'!A:M, 4, FALSE))) * U955)*1.5</f>
        <v>0</v>
      </c>
    </row>
    <row r="956" spans="1:40" x14ac:dyDescent="0.25">
      <c r="A956" s="99">
        <v>884</v>
      </c>
      <c r="B956" s="99"/>
      <c r="C956" s="99" t="s">
        <v>13655</v>
      </c>
      <c r="D956" s="99"/>
      <c r="E956" s="99" t="s">
        <v>278</v>
      </c>
      <c r="F956" s="99" t="s">
        <v>2242</v>
      </c>
      <c r="G956" s="99" t="s">
        <v>13695</v>
      </c>
      <c r="H956" s="99">
        <v>0</v>
      </c>
      <c r="I956" s="99">
        <v>0</v>
      </c>
      <c r="J956" s="99">
        <v>0</v>
      </c>
      <c r="K956" s="101" t="str">
        <f t="shared" si="174"/>
        <v>0x0x0</v>
      </c>
      <c r="L956" s="102">
        <f t="shared" si="175"/>
        <v>0</v>
      </c>
      <c r="M956" s="113">
        <f t="shared" si="176"/>
        <v>0</v>
      </c>
      <c r="N956" s="113">
        <f t="shared" si="177"/>
        <v>0</v>
      </c>
      <c r="O956" s="99">
        <v>0</v>
      </c>
      <c r="P956" s="113">
        <f t="shared" si="178"/>
        <v>0</v>
      </c>
      <c r="Q956" s="112">
        <f t="shared" si="179"/>
        <v>0</v>
      </c>
      <c r="R956" s="112" t="str">
        <f t="shared" si="180"/>
        <v>Standard-size</v>
      </c>
      <c r="S956" s="99" t="str">
        <f t="shared" si="181"/>
        <v>Small standard-size</v>
      </c>
      <c r="T956" s="116" t="s">
        <v>13696</v>
      </c>
      <c r="U956" s="116">
        <f t="shared" si="182"/>
        <v>0</v>
      </c>
      <c r="V956" s="116" t="s">
        <v>13583</v>
      </c>
      <c r="W956" s="116" t="s">
        <v>13690</v>
      </c>
      <c r="X956" s="99" t="s">
        <v>13583</v>
      </c>
      <c r="Y956" s="99">
        <v>1</v>
      </c>
      <c r="Z956" s="99">
        <v>1</v>
      </c>
      <c r="AA956" s="99">
        <v>1</v>
      </c>
      <c r="AB956" s="99"/>
      <c r="AC956" s="99"/>
      <c r="AD956" s="107">
        <v>0</v>
      </c>
      <c r="AE956" s="113">
        <f t="shared" si="183"/>
        <v>0</v>
      </c>
      <c r="AF956" s="116">
        <f>-IFERROR(IFERROR(VLOOKUP(ROUNDUP($Q956,0),'FBA FEES'!$L$2:$Q$203,MATCH($S956,'FBA FEES'!$L$2:$Q$2,0),FALSE),VLOOKUP(ROUNDUP($Q956,0),'FBA FEES'!$C$6:$F$123,MATCH($S956,'FBA FEES'!$C$6:$F$6,0),FALSE)),0)</f>
        <v>0</v>
      </c>
      <c r="AG956" s="116">
        <v>-10</v>
      </c>
      <c r="AH956" s="113">
        <f t="shared" si="184"/>
        <v>0</v>
      </c>
      <c r="AI956" s="116">
        <f>-IFERROR(IF($Y956=1,INDEX('[1]REMOVAL FEES'!$A$1:$C$22,MATCH(CONCATENATE("Standard Size",$P956),'[1]REMOVAL FEES'!$A$1:$A$22,0),3),IF($Y956=2,IF($P956&gt;10,(($P956-10)*1.06)+INDEX('[1]REMOVAL FEES'!$E$1:$G$22,MATCH(CONCATENATE("Large bulky, extra-large and special handling items",IF($P956&gt;=11,11,$P956)),'[1]REMOVAL FEES'!$E$1:$E$13,0),3),INDEX('[1]REMOVAL FEES'!$E$1:$G$22,MATCH(CONCATENATE("Large bulky, extra-large and special handling items",IF($P956&gt;=11,11,$P956)),'[1]REMOVAL FEES'!$E$1:$E$13,0),3))))*$AA956,FALSE)</f>
        <v>0</v>
      </c>
      <c r="AJ956" s="107">
        <f t="shared" si="185"/>
        <v>0</v>
      </c>
      <c r="AK956" s="107">
        <v>0</v>
      </c>
      <c r="AL956" s="107">
        <v>0</v>
      </c>
      <c r="AM956" s="107">
        <f t="shared" si="186"/>
        <v>0</v>
      </c>
      <c r="AN956" s="116">
        <f>(-IF($V956="Yes", IF($X956="Yes", VLOOKUP($W956, '[1]Storage Fees'!A:M, 13, FALSE), VLOOKUP($W956, '[1]Storage Fees'!A:M, 10, FALSE)), IF($X956="Yes", VLOOKUP($W956, '[1]Storage Fees'!A:M, 7, FALSE), VLOOKUP($W956, '[1]Storage Fees'!A:M, 4, FALSE))) * U956)*1.5</f>
        <v>0</v>
      </c>
    </row>
    <row r="957" spans="1:40" x14ac:dyDescent="0.25">
      <c r="A957" s="99">
        <v>885</v>
      </c>
      <c r="B957" s="99" t="s">
        <v>13699</v>
      </c>
      <c r="C957" s="99"/>
      <c r="D957" s="99"/>
      <c r="E957" s="99" t="s">
        <v>278</v>
      </c>
      <c r="F957" s="99" t="s">
        <v>603</v>
      </c>
      <c r="G957" s="99" t="s">
        <v>13695</v>
      </c>
      <c r="H957" s="99">
        <v>38</v>
      </c>
      <c r="I957" s="99">
        <v>15</v>
      </c>
      <c r="J957" s="99">
        <v>10</v>
      </c>
      <c r="K957" s="101" t="str">
        <f t="shared" si="174"/>
        <v>38x15x10</v>
      </c>
      <c r="L957" s="102">
        <f t="shared" si="175"/>
        <v>41.007194244604314</v>
      </c>
      <c r="M957" s="113">
        <f t="shared" si="176"/>
        <v>41.007194244604314</v>
      </c>
      <c r="N957" s="113">
        <f t="shared" si="177"/>
        <v>42</v>
      </c>
      <c r="O957" s="99">
        <v>47</v>
      </c>
      <c r="P957" s="113">
        <f t="shared" si="178"/>
        <v>47</v>
      </c>
      <c r="Q957" s="112">
        <f t="shared" si="179"/>
        <v>752</v>
      </c>
      <c r="R957" s="112" t="str">
        <f t="shared" si="180"/>
        <v>Oversize</v>
      </c>
      <c r="S957" s="99" t="str">
        <f t="shared" si="181"/>
        <v>Large bulky</v>
      </c>
      <c r="T957" s="116" t="s">
        <v>13694</v>
      </c>
      <c r="U957" s="116">
        <f t="shared" si="182"/>
        <v>3.2986111111111112</v>
      </c>
      <c r="V957" s="116" t="s">
        <v>13583</v>
      </c>
      <c r="W957" s="116" t="s">
        <v>13690</v>
      </c>
      <c r="X957" s="116" t="s">
        <v>13691</v>
      </c>
      <c r="Y957" s="116">
        <v>2</v>
      </c>
      <c r="Z957" s="116">
        <v>3</v>
      </c>
      <c r="AA957" s="116">
        <v>1</v>
      </c>
      <c r="AB957" s="99"/>
      <c r="AC957" s="99"/>
      <c r="AD957" s="107">
        <v>0</v>
      </c>
      <c r="AE957" s="113">
        <f t="shared" si="183"/>
        <v>0</v>
      </c>
      <c r="AF957" s="116">
        <f>-IFERROR(IFERROR(VLOOKUP(ROUNDUP($Q957,0),'FBA FEES'!$L$2:$Q$203,MATCH($S957,'FBA FEES'!$L$2:$Q$2,0),FALSE),VLOOKUP(ROUNDUP($Q957,0),'FBA FEES'!$C$6:$F$123,MATCH($S957,'FBA FEES'!$C$6:$F$6,0),FALSE)),0)</f>
        <v>-27.09</v>
      </c>
      <c r="AG957" s="116">
        <v>-10</v>
      </c>
      <c r="AH957" s="113">
        <f t="shared" si="184"/>
        <v>-27.09</v>
      </c>
      <c r="AI957" s="116">
        <f>-IFERROR(IF($Y957=1,INDEX('[1]REMOVAL FEES'!$A$1:$C$22,MATCH(CONCATENATE("Standard Size",$P957),'[1]REMOVAL FEES'!$A$1:$A$22,0),3),IF($Y957=2,IF($P957&gt;10,(($P957-10)*1.06)+INDEX('[1]REMOVAL FEES'!$E$1:$G$22,MATCH(CONCATENATE("Large bulky, extra-large and special handling items",IF($P957&gt;=11,11,$P957)),'[1]REMOVAL FEES'!$E$1:$E$13,0),3),INDEX('[1]REMOVAL FEES'!$E$1:$G$22,MATCH(CONCATENATE("Large bulky, extra-large and special handling items",IF($P957&gt;=11,11,$P957)),'[1]REMOVAL FEES'!$E$1:$E$13,0),3))))*$AA957,FALSE)</f>
        <v>-53.54</v>
      </c>
      <c r="AJ957" s="107">
        <f t="shared" si="185"/>
        <v>-80.63</v>
      </c>
      <c r="AK957" s="107">
        <v>0</v>
      </c>
      <c r="AL957" s="107">
        <v>0</v>
      </c>
      <c r="AM957" s="107">
        <f t="shared" si="186"/>
        <v>0</v>
      </c>
      <c r="AN957" s="116">
        <f>(-IF($V957="Yes", IF($X957="Yes", VLOOKUP($W957, '[1]Storage Fees'!A:M, 13, FALSE), VLOOKUP($W957, '[1]Storage Fees'!A:M, 10, FALSE)), IF($X957="Yes", VLOOKUP($W957, '[1]Storage Fees'!A:M, 7, FALSE), VLOOKUP($W957, '[1]Storage Fees'!A:M, 4, FALSE))) * U957)*1.5</f>
        <v>-3.908854166666667</v>
      </c>
    </row>
    <row r="958" spans="1:40" x14ac:dyDescent="0.25">
      <c r="A958" s="99">
        <v>886</v>
      </c>
      <c r="B958" s="99"/>
      <c r="C958" s="99" t="s">
        <v>13655</v>
      </c>
      <c r="D958" s="99"/>
      <c r="E958" s="99" t="s">
        <v>278</v>
      </c>
      <c r="F958" s="99" t="s">
        <v>2243</v>
      </c>
      <c r="G958" s="99" t="s">
        <v>13695</v>
      </c>
      <c r="H958" s="99">
        <v>0</v>
      </c>
      <c r="I958" s="99">
        <v>0</v>
      </c>
      <c r="J958" s="99">
        <v>0</v>
      </c>
      <c r="K958" s="101" t="str">
        <f t="shared" si="174"/>
        <v>0x0x0</v>
      </c>
      <c r="L958" s="102">
        <f t="shared" si="175"/>
        <v>0</v>
      </c>
      <c r="M958" s="113">
        <f t="shared" si="176"/>
        <v>0</v>
      </c>
      <c r="N958" s="113">
        <f t="shared" si="177"/>
        <v>0</v>
      </c>
      <c r="O958" s="99">
        <v>0</v>
      </c>
      <c r="P958" s="113">
        <f t="shared" si="178"/>
        <v>0</v>
      </c>
      <c r="Q958" s="112">
        <f t="shared" si="179"/>
        <v>0</v>
      </c>
      <c r="R958" s="112" t="str">
        <f t="shared" si="180"/>
        <v>Standard-size</v>
      </c>
      <c r="S958" s="99" t="str">
        <f t="shared" si="181"/>
        <v>Small standard-size</v>
      </c>
      <c r="T958" s="116" t="s">
        <v>13696</v>
      </c>
      <c r="U958" s="116">
        <f t="shared" si="182"/>
        <v>0</v>
      </c>
      <c r="V958" s="116" t="s">
        <v>13583</v>
      </c>
      <c r="W958" s="116" t="s">
        <v>13690</v>
      </c>
      <c r="X958" s="99" t="s">
        <v>13583</v>
      </c>
      <c r="Y958" s="99">
        <v>1</v>
      </c>
      <c r="Z958" s="99">
        <v>1</v>
      </c>
      <c r="AA958" s="99">
        <v>1</v>
      </c>
      <c r="AB958" s="99"/>
      <c r="AC958" s="99"/>
      <c r="AD958" s="107">
        <v>0</v>
      </c>
      <c r="AE958" s="113">
        <f t="shared" si="183"/>
        <v>0</v>
      </c>
      <c r="AF958" s="116">
        <f>-IFERROR(IFERROR(VLOOKUP(ROUNDUP($Q958,0),'FBA FEES'!$L$2:$Q$203,MATCH($S958,'FBA FEES'!$L$2:$Q$2,0),FALSE),VLOOKUP(ROUNDUP($Q958,0),'FBA FEES'!$C$6:$F$123,MATCH($S958,'FBA FEES'!$C$6:$F$6,0),FALSE)),0)</f>
        <v>0</v>
      </c>
      <c r="AG958" s="116">
        <v>-10</v>
      </c>
      <c r="AH958" s="113">
        <f t="shared" si="184"/>
        <v>0</v>
      </c>
      <c r="AI958" s="116">
        <f>-IFERROR(IF($Y958=1,INDEX('[1]REMOVAL FEES'!$A$1:$C$22,MATCH(CONCATENATE("Standard Size",$P958),'[1]REMOVAL FEES'!$A$1:$A$22,0),3),IF($Y958=2,IF($P958&gt;10,(($P958-10)*1.06)+INDEX('[1]REMOVAL FEES'!$E$1:$G$22,MATCH(CONCATENATE("Large bulky, extra-large and special handling items",IF($P958&gt;=11,11,$P958)),'[1]REMOVAL FEES'!$E$1:$E$13,0),3),INDEX('[1]REMOVAL FEES'!$E$1:$G$22,MATCH(CONCATENATE("Large bulky, extra-large and special handling items",IF($P958&gt;=11,11,$P958)),'[1]REMOVAL FEES'!$E$1:$E$13,0),3))))*$AA958,FALSE)</f>
        <v>0</v>
      </c>
      <c r="AJ958" s="107">
        <f t="shared" si="185"/>
        <v>0</v>
      </c>
      <c r="AK958" s="107">
        <v>0</v>
      </c>
      <c r="AL958" s="107">
        <v>0</v>
      </c>
      <c r="AM958" s="107">
        <f t="shared" si="186"/>
        <v>0</v>
      </c>
      <c r="AN958" s="116">
        <f>(-IF($V958="Yes", IF($X958="Yes", VLOOKUP($W958, '[1]Storage Fees'!A:M, 13, FALSE), VLOOKUP($W958, '[1]Storage Fees'!A:M, 10, FALSE)), IF($X958="Yes", VLOOKUP($W958, '[1]Storage Fees'!A:M, 7, FALSE), VLOOKUP($W958, '[1]Storage Fees'!A:M, 4, FALSE))) * U958)*1.5</f>
        <v>0</v>
      </c>
    </row>
    <row r="959" spans="1:40" x14ac:dyDescent="0.25">
      <c r="A959" s="99">
        <v>887</v>
      </c>
      <c r="B959" s="99" t="s">
        <v>107</v>
      </c>
      <c r="C959" s="99"/>
      <c r="D959" s="99"/>
      <c r="E959" s="99" t="s">
        <v>278</v>
      </c>
      <c r="F959" s="99" t="s">
        <v>604</v>
      </c>
      <c r="G959" s="99" t="s">
        <v>13695</v>
      </c>
      <c r="H959" s="99">
        <v>0</v>
      </c>
      <c r="I959" s="99">
        <v>0</v>
      </c>
      <c r="J959" s="99">
        <v>0</v>
      </c>
      <c r="K959" s="101" t="str">
        <f t="shared" si="174"/>
        <v>0x0x0</v>
      </c>
      <c r="L959" s="102">
        <f t="shared" si="175"/>
        <v>0</v>
      </c>
      <c r="M959" s="113">
        <f t="shared" si="176"/>
        <v>0</v>
      </c>
      <c r="N959" s="113">
        <f t="shared" si="177"/>
        <v>0</v>
      </c>
      <c r="O959" s="99">
        <v>0</v>
      </c>
      <c r="P959" s="113">
        <f t="shared" si="178"/>
        <v>0</v>
      </c>
      <c r="Q959" s="112">
        <f t="shared" si="179"/>
        <v>0</v>
      </c>
      <c r="R959" s="112" t="str">
        <f t="shared" si="180"/>
        <v>Standard-size</v>
      </c>
      <c r="S959" s="99" t="str">
        <f t="shared" si="181"/>
        <v>Small standard-size</v>
      </c>
      <c r="T959" s="116" t="s">
        <v>13696</v>
      </c>
      <c r="U959" s="116">
        <f t="shared" si="182"/>
        <v>0</v>
      </c>
      <c r="V959" s="116" t="s">
        <v>13583</v>
      </c>
      <c r="W959" s="116" t="s">
        <v>13690</v>
      </c>
      <c r="X959" s="99" t="s">
        <v>13583</v>
      </c>
      <c r="Y959" s="99">
        <v>1</v>
      </c>
      <c r="Z959" s="99">
        <v>1</v>
      </c>
      <c r="AA959" s="99">
        <v>1</v>
      </c>
      <c r="AB959" s="99"/>
      <c r="AC959" s="99"/>
      <c r="AD959" s="107">
        <v>0</v>
      </c>
      <c r="AE959" s="113">
        <f t="shared" si="183"/>
        <v>0</v>
      </c>
      <c r="AF959" s="116">
        <f>-IFERROR(IFERROR(VLOOKUP(ROUNDUP($Q959,0),'FBA FEES'!$L$2:$Q$203,MATCH($S959,'FBA FEES'!$L$2:$Q$2,0),FALSE),VLOOKUP(ROUNDUP($Q959,0),'FBA FEES'!$C$6:$F$123,MATCH($S959,'FBA FEES'!$C$6:$F$6,0),FALSE)),0)</f>
        <v>0</v>
      </c>
      <c r="AG959" s="116">
        <v>-10</v>
      </c>
      <c r="AH959" s="113">
        <f t="shared" si="184"/>
        <v>0</v>
      </c>
      <c r="AI959" s="116">
        <f>-IFERROR(IF($Y959=1,INDEX('[1]REMOVAL FEES'!$A$1:$C$22,MATCH(CONCATENATE("Standard Size",$P959),'[1]REMOVAL FEES'!$A$1:$A$22,0),3),IF($Y959=2,IF($P959&gt;10,(($P959-10)*1.06)+INDEX('[1]REMOVAL FEES'!$E$1:$G$22,MATCH(CONCATENATE("Large bulky, extra-large and special handling items",IF($P959&gt;=11,11,$P959)),'[1]REMOVAL FEES'!$E$1:$E$13,0),3),INDEX('[1]REMOVAL FEES'!$E$1:$G$22,MATCH(CONCATENATE("Large bulky, extra-large and special handling items",IF($P959&gt;=11,11,$P959)),'[1]REMOVAL FEES'!$E$1:$E$13,0),3))))*$AA959,FALSE)</f>
        <v>0</v>
      </c>
      <c r="AJ959" s="107">
        <f t="shared" si="185"/>
        <v>0</v>
      </c>
      <c r="AK959" s="107">
        <v>0</v>
      </c>
      <c r="AL959" s="107">
        <v>0</v>
      </c>
      <c r="AM959" s="107">
        <f t="shared" si="186"/>
        <v>0</v>
      </c>
      <c r="AN959" s="116">
        <f>(-IF($V959="Yes", IF($X959="Yes", VLOOKUP($W959, '[1]Storage Fees'!A:M, 13, FALSE), VLOOKUP($W959, '[1]Storage Fees'!A:M, 10, FALSE)), IF($X959="Yes", VLOOKUP($W959, '[1]Storage Fees'!A:M, 7, FALSE), VLOOKUP($W959, '[1]Storage Fees'!A:M, 4, FALSE))) * U959)*1.5</f>
        <v>0</v>
      </c>
    </row>
    <row r="960" spans="1:40" x14ac:dyDescent="0.25">
      <c r="A960" s="99">
        <v>888</v>
      </c>
      <c r="B960" s="99" t="s">
        <v>13700</v>
      </c>
      <c r="C960" s="99"/>
      <c r="D960" s="99"/>
      <c r="E960" s="99" t="s">
        <v>278</v>
      </c>
      <c r="F960" s="99" t="s">
        <v>605</v>
      </c>
      <c r="G960" s="99" t="s">
        <v>13695</v>
      </c>
      <c r="H960" s="99">
        <v>38</v>
      </c>
      <c r="I960" s="99">
        <v>38</v>
      </c>
      <c r="J960" s="99">
        <v>9</v>
      </c>
      <c r="K960" s="101" t="str">
        <f t="shared" si="174"/>
        <v>38x38x9</v>
      </c>
      <c r="L960" s="102">
        <f t="shared" si="175"/>
        <v>93.496402877697847</v>
      </c>
      <c r="M960" s="113">
        <f t="shared" si="176"/>
        <v>93.496402877697847</v>
      </c>
      <c r="N960" s="113">
        <f t="shared" si="177"/>
        <v>94</v>
      </c>
      <c r="O960" s="99">
        <v>30</v>
      </c>
      <c r="P960" s="113">
        <f t="shared" si="178"/>
        <v>94</v>
      </c>
      <c r="Q960" s="112">
        <f t="shared" si="179"/>
        <v>1504</v>
      </c>
      <c r="R960" s="112" t="str">
        <f t="shared" si="180"/>
        <v>Oversize</v>
      </c>
      <c r="S960" s="99" t="str">
        <f t="shared" si="181"/>
        <v>Extra-large 70+ to 150 lb</v>
      </c>
      <c r="T960" s="116" t="s">
        <v>13703</v>
      </c>
      <c r="U960" s="116">
        <f t="shared" si="182"/>
        <v>7.520833333333333</v>
      </c>
      <c r="V960" s="116" t="s">
        <v>13583</v>
      </c>
      <c r="W960" s="116" t="s">
        <v>13690</v>
      </c>
      <c r="X960" s="116" t="s">
        <v>13691</v>
      </c>
      <c r="Y960" s="116">
        <v>2</v>
      </c>
      <c r="Z960" s="116">
        <v>6</v>
      </c>
      <c r="AA960" s="116">
        <v>1</v>
      </c>
      <c r="AB960" s="99"/>
      <c r="AC960" s="99"/>
      <c r="AD960" s="107">
        <v>0</v>
      </c>
      <c r="AE960" s="113">
        <f t="shared" si="183"/>
        <v>0</v>
      </c>
      <c r="AF960" s="116">
        <f>-IFERROR(IFERROR(VLOOKUP(ROUNDUP($Q960,0),'FBA FEES'!$L$2:$Q$203,MATCH($S960,'FBA FEES'!$L$2:$Q$2,0),FALSE),VLOOKUP(ROUNDUP($Q960,0),'FBA FEES'!$C$6:$F$123,MATCH($S960,'FBA FEES'!$C$6:$F$6,0),FALSE)),0)</f>
        <v>-72.06</v>
      </c>
      <c r="AG960" s="116">
        <v>-10</v>
      </c>
      <c r="AH960" s="113">
        <f t="shared" si="184"/>
        <v>-72.06</v>
      </c>
      <c r="AI960" s="116">
        <f>-IFERROR(IF($Y960=1,INDEX('[1]REMOVAL FEES'!$A$1:$C$22,MATCH(CONCATENATE("Standard Size",$P960),'[1]REMOVAL FEES'!$A$1:$A$22,0),3),IF($Y960=2,IF($P960&gt;10,(($P960-10)*1.06)+INDEX('[1]REMOVAL FEES'!$E$1:$G$22,MATCH(CONCATENATE("Large bulky, extra-large and special handling items",IF($P960&gt;=11,11,$P960)),'[1]REMOVAL FEES'!$E$1:$E$13,0),3),INDEX('[1]REMOVAL FEES'!$E$1:$G$22,MATCH(CONCATENATE("Large bulky, extra-large and special handling items",IF($P960&gt;=11,11,$P960)),'[1]REMOVAL FEES'!$E$1:$E$13,0),3))))*$AA960,FALSE)</f>
        <v>-103.36000000000001</v>
      </c>
      <c r="AJ960" s="107">
        <f t="shared" si="185"/>
        <v>-175.42000000000002</v>
      </c>
      <c r="AK960" s="107">
        <v>0</v>
      </c>
      <c r="AL960" s="107">
        <v>0</v>
      </c>
      <c r="AM960" s="107">
        <f t="shared" si="186"/>
        <v>0</v>
      </c>
      <c r="AN960" s="116">
        <f>(-IF($V960="Yes", IF($X960="Yes", VLOOKUP($W960, '[1]Storage Fees'!A:M, 13, FALSE), VLOOKUP($W960, '[1]Storage Fees'!A:M, 10, FALSE)), IF($X960="Yes", VLOOKUP($W960, '[1]Storage Fees'!A:M, 7, FALSE), VLOOKUP($W960, '[1]Storage Fees'!A:M, 4, FALSE))) * U960)*1.5</f>
        <v>-8.9121874999999999</v>
      </c>
    </row>
    <row r="961" spans="1:40" x14ac:dyDescent="0.25">
      <c r="A961" s="99">
        <v>889</v>
      </c>
      <c r="B961" s="99"/>
      <c r="C961" s="99" t="s">
        <v>13655</v>
      </c>
      <c r="D961" s="99"/>
      <c r="E961" s="99" t="s">
        <v>278</v>
      </c>
      <c r="F961" s="99" t="s">
        <v>2244</v>
      </c>
      <c r="G961" s="99" t="s">
        <v>13695</v>
      </c>
      <c r="H961" s="99">
        <v>0</v>
      </c>
      <c r="I961" s="99">
        <v>0</v>
      </c>
      <c r="J961" s="99">
        <v>0</v>
      </c>
      <c r="K961" s="101" t="str">
        <f t="shared" si="174"/>
        <v>0x0x0</v>
      </c>
      <c r="L961" s="102">
        <f t="shared" si="175"/>
        <v>0</v>
      </c>
      <c r="M961" s="113">
        <f t="shared" si="176"/>
        <v>0</v>
      </c>
      <c r="N961" s="113">
        <f t="shared" si="177"/>
        <v>0</v>
      </c>
      <c r="O961" s="99">
        <v>0</v>
      </c>
      <c r="P961" s="113">
        <f t="shared" si="178"/>
        <v>0</v>
      </c>
      <c r="Q961" s="112">
        <f t="shared" si="179"/>
        <v>0</v>
      </c>
      <c r="R961" s="112" t="str">
        <f t="shared" si="180"/>
        <v>Standard-size</v>
      </c>
      <c r="S961" s="99" t="str">
        <f t="shared" si="181"/>
        <v>Small standard-size</v>
      </c>
      <c r="T961" s="116" t="s">
        <v>13696</v>
      </c>
      <c r="U961" s="116">
        <f t="shared" si="182"/>
        <v>0</v>
      </c>
      <c r="V961" s="116" t="s">
        <v>13583</v>
      </c>
      <c r="W961" s="116" t="s">
        <v>13690</v>
      </c>
      <c r="X961" s="99" t="s">
        <v>13583</v>
      </c>
      <c r="Y961" s="99">
        <v>1</v>
      </c>
      <c r="Z961" s="99">
        <v>1</v>
      </c>
      <c r="AA961" s="99">
        <v>1</v>
      </c>
      <c r="AB961" s="99"/>
      <c r="AC961" s="99"/>
      <c r="AD961" s="107">
        <v>0</v>
      </c>
      <c r="AE961" s="113">
        <f t="shared" si="183"/>
        <v>0</v>
      </c>
      <c r="AF961" s="116">
        <f>-IFERROR(IFERROR(VLOOKUP(ROUNDUP($Q961,0),'FBA FEES'!$L$2:$Q$203,MATCH($S961,'FBA FEES'!$L$2:$Q$2,0),FALSE),VLOOKUP(ROUNDUP($Q961,0),'FBA FEES'!$C$6:$F$123,MATCH($S961,'FBA FEES'!$C$6:$F$6,0),FALSE)),0)</f>
        <v>0</v>
      </c>
      <c r="AG961" s="116">
        <v>-10</v>
      </c>
      <c r="AH961" s="113">
        <f t="shared" si="184"/>
        <v>0</v>
      </c>
      <c r="AI961" s="116">
        <f>-IFERROR(IF($Y961=1,INDEX('[1]REMOVAL FEES'!$A$1:$C$22,MATCH(CONCATENATE("Standard Size",$P961),'[1]REMOVAL FEES'!$A$1:$A$22,0),3),IF($Y961=2,IF($P961&gt;10,(($P961-10)*1.06)+INDEX('[1]REMOVAL FEES'!$E$1:$G$22,MATCH(CONCATENATE("Large bulky, extra-large and special handling items",IF($P961&gt;=11,11,$P961)),'[1]REMOVAL FEES'!$E$1:$E$13,0),3),INDEX('[1]REMOVAL FEES'!$E$1:$G$22,MATCH(CONCATENATE("Large bulky, extra-large and special handling items",IF($P961&gt;=11,11,$P961)),'[1]REMOVAL FEES'!$E$1:$E$13,0),3))))*$AA961,FALSE)</f>
        <v>0</v>
      </c>
      <c r="AJ961" s="107">
        <f t="shared" si="185"/>
        <v>0</v>
      </c>
      <c r="AK961" s="107">
        <v>0</v>
      </c>
      <c r="AL961" s="107">
        <v>0</v>
      </c>
      <c r="AM961" s="107">
        <f t="shared" si="186"/>
        <v>0</v>
      </c>
      <c r="AN961" s="116">
        <f>(-IF($V961="Yes", IF($X961="Yes", VLOOKUP($W961, '[1]Storage Fees'!A:M, 13, FALSE), VLOOKUP($W961, '[1]Storage Fees'!A:M, 10, FALSE)), IF($X961="Yes", VLOOKUP($W961, '[1]Storage Fees'!A:M, 7, FALSE), VLOOKUP($W961, '[1]Storage Fees'!A:M, 4, FALSE))) * U961)*1.5</f>
        <v>0</v>
      </c>
    </row>
    <row r="962" spans="1:40" x14ac:dyDescent="0.25">
      <c r="A962" s="99">
        <v>890</v>
      </c>
      <c r="B962" s="99" t="s">
        <v>13700</v>
      </c>
      <c r="C962" s="99"/>
      <c r="D962" s="99"/>
      <c r="E962" s="99" t="s">
        <v>278</v>
      </c>
      <c r="F962" s="99" t="s">
        <v>606</v>
      </c>
      <c r="G962" s="99" t="s">
        <v>13695</v>
      </c>
      <c r="H962" s="99">
        <v>0</v>
      </c>
      <c r="I962" s="99">
        <v>0</v>
      </c>
      <c r="J962" s="99">
        <v>0</v>
      </c>
      <c r="K962" s="101" t="str">
        <f t="shared" si="174"/>
        <v>0x0x0</v>
      </c>
      <c r="L962" s="102">
        <f t="shared" si="175"/>
        <v>0</v>
      </c>
      <c r="M962" s="113">
        <f t="shared" si="176"/>
        <v>0</v>
      </c>
      <c r="N962" s="113">
        <f t="shared" si="177"/>
        <v>0</v>
      </c>
      <c r="O962" s="99">
        <v>0</v>
      </c>
      <c r="P962" s="113">
        <f t="shared" si="178"/>
        <v>0</v>
      </c>
      <c r="Q962" s="112">
        <f t="shared" si="179"/>
        <v>0</v>
      </c>
      <c r="R962" s="112" t="str">
        <f t="shared" si="180"/>
        <v>Standard-size</v>
      </c>
      <c r="S962" s="99" t="str">
        <f t="shared" si="181"/>
        <v>Small standard-size</v>
      </c>
      <c r="T962" s="116" t="s">
        <v>13696</v>
      </c>
      <c r="U962" s="116">
        <f t="shared" si="182"/>
        <v>0</v>
      </c>
      <c r="V962" s="116" t="s">
        <v>13583</v>
      </c>
      <c r="W962" s="116" t="s">
        <v>13690</v>
      </c>
      <c r="X962" s="99" t="s">
        <v>13583</v>
      </c>
      <c r="Y962" s="99">
        <v>1</v>
      </c>
      <c r="Z962" s="99">
        <v>1</v>
      </c>
      <c r="AA962" s="99">
        <v>1</v>
      </c>
      <c r="AB962" s="99"/>
      <c r="AC962" s="99"/>
      <c r="AD962" s="107">
        <v>0</v>
      </c>
      <c r="AE962" s="113">
        <f t="shared" si="183"/>
        <v>0</v>
      </c>
      <c r="AF962" s="116">
        <f>-IFERROR(IFERROR(VLOOKUP(ROUNDUP($Q962,0),'FBA FEES'!$L$2:$Q$203,MATCH($S962,'FBA FEES'!$L$2:$Q$2,0),FALSE),VLOOKUP(ROUNDUP($Q962,0),'FBA FEES'!$C$6:$F$123,MATCH($S962,'FBA FEES'!$C$6:$F$6,0),FALSE)),0)</f>
        <v>0</v>
      </c>
      <c r="AG962" s="116">
        <v>-10</v>
      </c>
      <c r="AH962" s="113">
        <f t="shared" si="184"/>
        <v>0</v>
      </c>
      <c r="AI962" s="116">
        <f>-IFERROR(IF($Y962=1,INDEX('[1]REMOVAL FEES'!$A$1:$C$22,MATCH(CONCATENATE("Standard Size",$P962),'[1]REMOVAL FEES'!$A$1:$A$22,0),3),IF($Y962=2,IF($P962&gt;10,(($P962-10)*1.06)+INDEX('[1]REMOVAL FEES'!$E$1:$G$22,MATCH(CONCATENATE("Large bulky, extra-large and special handling items",IF($P962&gt;=11,11,$P962)),'[1]REMOVAL FEES'!$E$1:$E$13,0),3),INDEX('[1]REMOVAL FEES'!$E$1:$G$22,MATCH(CONCATENATE("Large bulky, extra-large and special handling items",IF($P962&gt;=11,11,$P962)),'[1]REMOVAL FEES'!$E$1:$E$13,0),3))))*$AA962,FALSE)</f>
        <v>0</v>
      </c>
      <c r="AJ962" s="107">
        <f t="shared" si="185"/>
        <v>0</v>
      </c>
      <c r="AK962" s="107">
        <v>0</v>
      </c>
      <c r="AL962" s="107">
        <v>0</v>
      </c>
      <c r="AM962" s="107">
        <f t="shared" si="186"/>
        <v>0</v>
      </c>
      <c r="AN962" s="116">
        <f>(-IF($V962="Yes", IF($X962="Yes", VLOOKUP($W962, '[1]Storage Fees'!A:M, 13, FALSE), VLOOKUP($W962, '[1]Storage Fees'!A:M, 10, FALSE)), IF($X962="Yes", VLOOKUP($W962, '[1]Storage Fees'!A:M, 7, FALSE), VLOOKUP($W962, '[1]Storage Fees'!A:M, 4, FALSE))) * U962)*1.5</f>
        <v>0</v>
      </c>
    </row>
    <row r="963" spans="1:40" x14ac:dyDescent="0.25">
      <c r="A963" s="99">
        <v>891</v>
      </c>
      <c r="B963" s="99" t="s">
        <v>13702</v>
      </c>
      <c r="C963" s="99"/>
      <c r="D963" s="99"/>
      <c r="E963" s="99" t="s">
        <v>278</v>
      </c>
      <c r="F963" s="99" t="s">
        <v>607</v>
      </c>
      <c r="G963" s="99" t="s">
        <v>13695</v>
      </c>
      <c r="H963" s="99">
        <v>20</v>
      </c>
      <c r="I963" s="99">
        <v>20</v>
      </c>
      <c r="J963" s="99">
        <v>8</v>
      </c>
      <c r="K963" s="101" t="str">
        <f t="shared" si="174"/>
        <v>20x20x8</v>
      </c>
      <c r="L963" s="102">
        <f t="shared" si="175"/>
        <v>23.021582733812949</v>
      </c>
      <c r="M963" s="113">
        <f t="shared" si="176"/>
        <v>23.021582733812949</v>
      </c>
      <c r="N963" s="113">
        <f t="shared" si="177"/>
        <v>24</v>
      </c>
      <c r="O963" s="99">
        <v>22</v>
      </c>
      <c r="P963" s="113">
        <f t="shared" si="178"/>
        <v>24</v>
      </c>
      <c r="Q963" s="112">
        <f t="shared" si="179"/>
        <v>384</v>
      </c>
      <c r="R963" s="112" t="str">
        <f t="shared" si="180"/>
        <v>Oversize</v>
      </c>
      <c r="S963" s="99" t="str">
        <f t="shared" si="181"/>
        <v>Large bulky</v>
      </c>
      <c r="T963" s="116" t="s">
        <v>13692</v>
      </c>
      <c r="U963" s="116">
        <f t="shared" si="182"/>
        <v>1.8518518518518519</v>
      </c>
      <c r="V963" s="116" t="s">
        <v>13583</v>
      </c>
      <c r="W963" s="116" t="s">
        <v>13690</v>
      </c>
      <c r="X963" s="116" t="s">
        <v>13691</v>
      </c>
      <c r="Y963" s="116">
        <v>2</v>
      </c>
      <c r="Z963" s="116">
        <v>3</v>
      </c>
      <c r="AA963" s="116">
        <v>1</v>
      </c>
      <c r="AB963" s="99"/>
      <c r="AC963" s="99"/>
      <c r="AD963" s="107">
        <v>0</v>
      </c>
      <c r="AE963" s="113">
        <f t="shared" si="183"/>
        <v>0</v>
      </c>
      <c r="AF963" s="116">
        <f>-IFERROR(IFERROR(VLOOKUP(ROUNDUP($Q963,0),'FBA FEES'!$L$2:$Q$203,MATCH($S963,'FBA FEES'!$L$2:$Q$2,0),FALSE),VLOOKUP(ROUNDUP($Q963,0),'FBA FEES'!$C$6:$F$123,MATCH($S963,'FBA FEES'!$C$6:$F$6,0),FALSE)),0)</f>
        <v>-18.350000000000001</v>
      </c>
      <c r="AG963" s="116">
        <v>-10</v>
      </c>
      <c r="AH963" s="113">
        <f t="shared" si="184"/>
        <v>-18.350000000000001</v>
      </c>
      <c r="AI963" s="116">
        <f>-IFERROR(IF($Y963=1,INDEX('[1]REMOVAL FEES'!$A$1:$C$22,MATCH(CONCATENATE("Standard Size",$P963),'[1]REMOVAL FEES'!$A$1:$A$22,0),3),IF($Y963=2,IF($P963&gt;10,(($P963-10)*1.06)+INDEX('[1]REMOVAL FEES'!$E$1:$G$22,MATCH(CONCATENATE("Large bulky, extra-large and special handling items",IF($P963&gt;=11,11,$P963)),'[1]REMOVAL FEES'!$E$1:$E$13,0),3),INDEX('[1]REMOVAL FEES'!$E$1:$G$22,MATCH(CONCATENATE("Large bulky, extra-large and special handling items",IF($P963&gt;=11,11,$P963)),'[1]REMOVAL FEES'!$E$1:$E$13,0),3))))*$AA963,FALSE)</f>
        <v>-29.16</v>
      </c>
      <c r="AJ963" s="107">
        <f t="shared" si="185"/>
        <v>-47.510000000000005</v>
      </c>
      <c r="AK963" s="107">
        <v>0</v>
      </c>
      <c r="AL963" s="107">
        <v>0</v>
      </c>
      <c r="AM963" s="107">
        <f t="shared" si="186"/>
        <v>0</v>
      </c>
      <c r="AN963" s="116">
        <f>(-IF($V963="Yes", IF($X963="Yes", VLOOKUP($W963, '[1]Storage Fees'!A:M, 13, FALSE), VLOOKUP($W963, '[1]Storage Fees'!A:M, 10, FALSE)), IF($X963="Yes", VLOOKUP($W963, '[1]Storage Fees'!A:M, 7, FALSE), VLOOKUP($W963, '[1]Storage Fees'!A:M, 4, FALSE))) * U963)*1.5</f>
        <v>-2.1944444444444446</v>
      </c>
    </row>
    <row r="964" spans="1:40" x14ac:dyDescent="0.25">
      <c r="A964" s="99">
        <v>892</v>
      </c>
      <c r="B964" s="99" t="s">
        <v>102</v>
      </c>
      <c r="C964" s="99"/>
      <c r="D964" s="99"/>
      <c r="E964" s="99" t="s">
        <v>278</v>
      </c>
      <c r="F964" s="99" t="s">
        <v>608</v>
      </c>
      <c r="G964" s="99" t="s">
        <v>13695</v>
      </c>
      <c r="H964" s="99">
        <v>0</v>
      </c>
      <c r="I964" s="99">
        <v>0</v>
      </c>
      <c r="J964" s="99">
        <v>0</v>
      </c>
      <c r="K964" s="101" t="str">
        <f t="shared" si="174"/>
        <v>0x0x0</v>
      </c>
      <c r="L964" s="102">
        <f t="shared" si="175"/>
        <v>0</v>
      </c>
      <c r="M964" s="113">
        <f t="shared" si="176"/>
        <v>0</v>
      </c>
      <c r="N964" s="113">
        <f t="shared" si="177"/>
        <v>0</v>
      </c>
      <c r="O964" s="99">
        <v>0</v>
      </c>
      <c r="P964" s="113">
        <f t="shared" si="178"/>
        <v>0</v>
      </c>
      <c r="Q964" s="112">
        <f t="shared" si="179"/>
        <v>0</v>
      </c>
      <c r="R964" s="112" t="str">
        <f t="shared" si="180"/>
        <v>Standard-size</v>
      </c>
      <c r="S964" s="99" t="str">
        <f t="shared" si="181"/>
        <v>Small standard-size</v>
      </c>
      <c r="T964" s="116" t="s">
        <v>13696</v>
      </c>
      <c r="U964" s="116">
        <f t="shared" si="182"/>
        <v>0</v>
      </c>
      <c r="V964" s="116" t="s">
        <v>13583</v>
      </c>
      <c r="W964" s="116" t="s">
        <v>13690</v>
      </c>
      <c r="X964" s="99" t="s">
        <v>13583</v>
      </c>
      <c r="Y964" s="99">
        <v>1</v>
      </c>
      <c r="Z964" s="99">
        <v>1</v>
      </c>
      <c r="AA964" s="99">
        <v>1</v>
      </c>
      <c r="AB964" s="99"/>
      <c r="AC964" s="99"/>
      <c r="AD964" s="107">
        <v>0</v>
      </c>
      <c r="AE964" s="113">
        <f t="shared" si="183"/>
        <v>0</v>
      </c>
      <c r="AF964" s="116">
        <f>-IFERROR(IFERROR(VLOOKUP(ROUNDUP($Q964,0),'FBA FEES'!$L$2:$Q$203,MATCH($S964,'FBA FEES'!$L$2:$Q$2,0),FALSE),VLOOKUP(ROUNDUP($Q964,0),'FBA FEES'!$C$6:$F$123,MATCH($S964,'FBA FEES'!$C$6:$F$6,0),FALSE)),0)</f>
        <v>0</v>
      </c>
      <c r="AG964" s="116">
        <v>-10</v>
      </c>
      <c r="AH964" s="113">
        <f t="shared" si="184"/>
        <v>0</v>
      </c>
      <c r="AI964" s="116">
        <f>-IFERROR(IF($Y964=1,INDEX('[1]REMOVAL FEES'!$A$1:$C$22,MATCH(CONCATENATE("Standard Size",$P964),'[1]REMOVAL FEES'!$A$1:$A$22,0),3),IF($Y964=2,IF($P964&gt;10,(($P964-10)*1.06)+INDEX('[1]REMOVAL FEES'!$E$1:$G$22,MATCH(CONCATENATE("Large bulky, extra-large and special handling items",IF($P964&gt;=11,11,$P964)),'[1]REMOVAL FEES'!$E$1:$E$13,0),3),INDEX('[1]REMOVAL FEES'!$E$1:$G$22,MATCH(CONCATENATE("Large bulky, extra-large and special handling items",IF($P964&gt;=11,11,$P964)),'[1]REMOVAL FEES'!$E$1:$E$13,0),3))))*$AA964,FALSE)</f>
        <v>0</v>
      </c>
      <c r="AJ964" s="107">
        <f t="shared" si="185"/>
        <v>0</v>
      </c>
      <c r="AK964" s="107">
        <v>0</v>
      </c>
      <c r="AL964" s="107">
        <v>0</v>
      </c>
      <c r="AM964" s="107">
        <f t="shared" si="186"/>
        <v>0</v>
      </c>
      <c r="AN964" s="116">
        <f>(-IF($V964="Yes", IF($X964="Yes", VLOOKUP($W964, '[1]Storage Fees'!A:M, 13, FALSE), VLOOKUP($W964, '[1]Storage Fees'!A:M, 10, FALSE)), IF($X964="Yes", VLOOKUP($W964, '[1]Storage Fees'!A:M, 7, FALSE), VLOOKUP($W964, '[1]Storage Fees'!A:M, 4, FALSE))) * U964)*1.5</f>
        <v>0</v>
      </c>
    </row>
    <row r="965" spans="1:40" x14ac:dyDescent="0.25">
      <c r="A965" s="99">
        <v>893</v>
      </c>
      <c r="B965" s="99"/>
      <c r="C965" s="99" t="s">
        <v>13655</v>
      </c>
      <c r="D965" s="99"/>
      <c r="E965" s="99" t="s">
        <v>278</v>
      </c>
      <c r="F965" s="99" t="s">
        <v>2245</v>
      </c>
      <c r="G965" s="99" t="s">
        <v>13695</v>
      </c>
      <c r="H965" s="99">
        <v>0</v>
      </c>
      <c r="I965" s="99">
        <v>0</v>
      </c>
      <c r="J965" s="99">
        <v>0</v>
      </c>
      <c r="K965" s="101" t="str">
        <f t="shared" si="174"/>
        <v>0x0x0</v>
      </c>
      <c r="L965" s="102">
        <f t="shared" si="175"/>
        <v>0</v>
      </c>
      <c r="M965" s="113">
        <f t="shared" si="176"/>
        <v>0</v>
      </c>
      <c r="N965" s="113">
        <f t="shared" si="177"/>
        <v>0</v>
      </c>
      <c r="O965" s="99">
        <v>0</v>
      </c>
      <c r="P965" s="113">
        <f t="shared" si="178"/>
        <v>0</v>
      </c>
      <c r="Q965" s="112">
        <f t="shared" si="179"/>
        <v>0</v>
      </c>
      <c r="R965" s="112" t="str">
        <f t="shared" si="180"/>
        <v>Standard-size</v>
      </c>
      <c r="S965" s="99" t="str">
        <f t="shared" si="181"/>
        <v>Small standard-size</v>
      </c>
      <c r="T965" s="116" t="s">
        <v>13696</v>
      </c>
      <c r="U965" s="116">
        <f t="shared" si="182"/>
        <v>0</v>
      </c>
      <c r="V965" s="116" t="s">
        <v>13583</v>
      </c>
      <c r="W965" s="116" t="s">
        <v>13690</v>
      </c>
      <c r="X965" s="99" t="s">
        <v>13583</v>
      </c>
      <c r="Y965" s="99">
        <v>1</v>
      </c>
      <c r="Z965" s="99">
        <v>1</v>
      </c>
      <c r="AA965" s="99">
        <v>1</v>
      </c>
      <c r="AB965" s="99"/>
      <c r="AC965" s="99"/>
      <c r="AD965" s="107">
        <v>0</v>
      </c>
      <c r="AE965" s="113">
        <f t="shared" si="183"/>
        <v>0</v>
      </c>
      <c r="AF965" s="116">
        <f>-IFERROR(IFERROR(VLOOKUP(ROUNDUP($Q965,0),'FBA FEES'!$L$2:$Q$203,MATCH($S965,'FBA FEES'!$L$2:$Q$2,0),FALSE),VLOOKUP(ROUNDUP($Q965,0),'FBA FEES'!$C$6:$F$123,MATCH($S965,'FBA FEES'!$C$6:$F$6,0),FALSE)),0)</f>
        <v>0</v>
      </c>
      <c r="AG965" s="116">
        <v>-10</v>
      </c>
      <c r="AH965" s="113">
        <f t="shared" si="184"/>
        <v>0</v>
      </c>
      <c r="AI965" s="116">
        <f>-IFERROR(IF($Y965=1,INDEX('[1]REMOVAL FEES'!$A$1:$C$22,MATCH(CONCATENATE("Standard Size",$P965),'[1]REMOVAL FEES'!$A$1:$A$22,0),3),IF($Y965=2,IF($P965&gt;10,(($P965-10)*1.06)+INDEX('[1]REMOVAL FEES'!$E$1:$G$22,MATCH(CONCATENATE("Large bulky, extra-large and special handling items",IF($P965&gt;=11,11,$P965)),'[1]REMOVAL FEES'!$E$1:$E$13,0),3),INDEX('[1]REMOVAL FEES'!$E$1:$G$22,MATCH(CONCATENATE("Large bulky, extra-large and special handling items",IF($P965&gt;=11,11,$P965)),'[1]REMOVAL FEES'!$E$1:$E$13,0),3))))*$AA965,FALSE)</f>
        <v>0</v>
      </c>
      <c r="AJ965" s="107">
        <f t="shared" si="185"/>
        <v>0</v>
      </c>
      <c r="AK965" s="107">
        <v>0</v>
      </c>
      <c r="AL965" s="107">
        <v>0</v>
      </c>
      <c r="AM965" s="107">
        <f t="shared" si="186"/>
        <v>0</v>
      </c>
      <c r="AN965" s="116">
        <f>(-IF($V965="Yes", IF($X965="Yes", VLOOKUP($W965, '[1]Storage Fees'!A:M, 13, FALSE), VLOOKUP($W965, '[1]Storage Fees'!A:M, 10, FALSE)), IF($X965="Yes", VLOOKUP($W965, '[1]Storage Fees'!A:M, 7, FALSE), VLOOKUP($W965, '[1]Storage Fees'!A:M, 4, FALSE))) * U965)*1.5</f>
        <v>0</v>
      </c>
    </row>
    <row r="966" spans="1:40" x14ac:dyDescent="0.25">
      <c r="A966" s="99">
        <v>894</v>
      </c>
      <c r="B966" s="99"/>
      <c r="C966" s="99" t="s">
        <v>13655</v>
      </c>
      <c r="D966" s="99"/>
      <c r="E966" s="99" t="s">
        <v>278</v>
      </c>
      <c r="F966" s="99" t="s">
        <v>2246</v>
      </c>
      <c r="G966" s="99" t="s">
        <v>13695</v>
      </c>
      <c r="H966" s="99">
        <v>0</v>
      </c>
      <c r="I966" s="99">
        <v>0</v>
      </c>
      <c r="J966" s="99">
        <v>0</v>
      </c>
      <c r="K966" s="101" t="str">
        <f t="shared" si="174"/>
        <v>0x0x0</v>
      </c>
      <c r="L966" s="102">
        <f t="shared" si="175"/>
        <v>0</v>
      </c>
      <c r="M966" s="113">
        <f t="shared" si="176"/>
        <v>0</v>
      </c>
      <c r="N966" s="113">
        <f t="shared" si="177"/>
        <v>0</v>
      </c>
      <c r="O966" s="99">
        <v>0</v>
      </c>
      <c r="P966" s="113">
        <f t="shared" si="178"/>
        <v>0</v>
      </c>
      <c r="Q966" s="112">
        <f t="shared" si="179"/>
        <v>0</v>
      </c>
      <c r="R966" s="112" t="str">
        <f t="shared" si="180"/>
        <v>Standard-size</v>
      </c>
      <c r="S966" s="99" t="str">
        <f t="shared" si="181"/>
        <v>Small standard-size</v>
      </c>
      <c r="T966" s="116" t="s">
        <v>13696</v>
      </c>
      <c r="U966" s="116">
        <f t="shared" si="182"/>
        <v>0</v>
      </c>
      <c r="V966" s="116" t="s">
        <v>13583</v>
      </c>
      <c r="W966" s="116" t="s">
        <v>13690</v>
      </c>
      <c r="X966" s="99" t="s">
        <v>13583</v>
      </c>
      <c r="Y966" s="99">
        <v>1</v>
      </c>
      <c r="Z966" s="99">
        <v>1</v>
      </c>
      <c r="AA966" s="99">
        <v>1</v>
      </c>
      <c r="AB966" s="99"/>
      <c r="AC966" s="99"/>
      <c r="AD966" s="107">
        <v>0</v>
      </c>
      <c r="AE966" s="113">
        <f t="shared" si="183"/>
        <v>0</v>
      </c>
      <c r="AF966" s="116">
        <f>-IFERROR(IFERROR(VLOOKUP(ROUNDUP($Q966,0),'FBA FEES'!$L$2:$Q$203,MATCH($S966,'FBA FEES'!$L$2:$Q$2,0),FALSE),VLOOKUP(ROUNDUP($Q966,0),'FBA FEES'!$C$6:$F$123,MATCH($S966,'FBA FEES'!$C$6:$F$6,0),FALSE)),0)</f>
        <v>0</v>
      </c>
      <c r="AG966" s="116">
        <v>-10</v>
      </c>
      <c r="AH966" s="113">
        <f t="shared" si="184"/>
        <v>0</v>
      </c>
      <c r="AI966" s="116">
        <f>-IFERROR(IF($Y966=1,INDEX('[1]REMOVAL FEES'!$A$1:$C$22,MATCH(CONCATENATE("Standard Size",$P966),'[1]REMOVAL FEES'!$A$1:$A$22,0),3),IF($Y966=2,IF($P966&gt;10,(($P966-10)*1.06)+INDEX('[1]REMOVAL FEES'!$E$1:$G$22,MATCH(CONCATENATE("Large bulky, extra-large and special handling items",IF($P966&gt;=11,11,$P966)),'[1]REMOVAL FEES'!$E$1:$E$13,0),3),INDEX('[1]REMOVAL FEES'!$E$1:$G$22,MATCH(CONCATENATE("Large bulky, extra-large and special handling items",IF($P966&gt;=11,11,$P966)),'[1]REMOVAL FEES'!$E$1:$E$13,0),3))))*$AA966,FALSE)</f>
        <v>0</v>
      </c>
      <c r="AJ966" s="107">
        <f t="shared" si="185"/>
        <v>0</v>
      </c>
      <c r="AK966" s="107">
        <v>0</v>
      </c>
      <c r="AL966" s="107">
        <v>0</v>
      </c>
      <c r="AM966" s="107">
        <f t="shared" si="186"/>
        <v>0</v>
      </c>
      <c r="AN966" s="116">
        <f>(-IF($V966="Yes", IF($X966="Yes", VLOOKUP($W966, '[1]Storage Fees'!A:M, 13, FALSE), VLOOKUP($W966, '[1]Storage Fees'!A:M, 10, FALSE)), IF($X966="Yes", VLOOKUP($W966, '[1]Storage Fees'!A:M, 7, FALSE), VLOOKUP($W966, '[1]Storage Fees'!A:M, 4, FALSE))) * U966)*1.5</f>
        <v>0</v>
      </c>
    </row>
    <row r="967" spans="1:40" x14ac:dyDescent="0.25">
      <c r="A967" s="99">
        <v>895</v>
      </c>
      <c r="B967" s="99"/>
      <c r="C967" s="99" t="s">
        <v>13655</v>
      </c>
      <c r="D967" s="99"/>
      <c r="E967" s="99" t="s">
        <v>278</v>
      </c>
      <c r="F967" s="99" t="s">
        <v>2247</v>
      </c>
      <c r="G967" s="99" t="s">
        <v>13695</v>
      </c>
      <c r="H967" s="99">
        <v>0</v>
      </c>
      <c r="I967" s="99">
        <v>0</v>
      </c>
      <c r="J967" s="99">
        <v>0</v>
      </c>
      <c r="K967" s="101" t="str">
        <f t="shared" si="174"/>
        <v>0x0x0</v>
      </c>
      <c r="L967" s="102">
        <f t="shared" si="175"/>
        <v>0</v>
      </c>
      <c r="M967" s="113">
        <f t="shared" si="176"/>
        <v>0</v>
      </c>
      <c r="N967" s="113">
        <f t="shared" si="177"/>
        <v>0</v>
      </c>
      <c r="O967" s="99">
        <v>0</v>
      </c>
      <c r="P967" s="113">
        <f t="shared" si="178"/>
        <v>0</v>
      </c>
      <c r="Q967" s="112">
        <f t="shared" si="179"/>
        <v>0</v>
      </c>
      <c r="R967" s="112" t="str">
        <f t="shared" si="180"/>
        <v>Standard-size</v>
      </c>
      <c r="S967" s="99" t="str">
        <f t="shared" si="181"/>
        <v>Small standard-size</v>
      </c>
      <c r="T967" s="116" t="s">
        <v>13696</v>
      </c>
      <c r="U967" s="116">
        <f t="shared" si="182"/>
        <v>0</v>
      </c>
      <c r="V967" s="116" t="s">
        <v>13583</v>
      </c>
      <c r="W967" s="116" t="s">
        <v>13690</v>
      </c>
      <c r="X967" s="99" t="s">
        <v>13583</v>
      </c>
      <c r="Y967" s="99">
        <v>1</v>
      </c>
      <c r="Z967" s="99">
        <v>1</v>
      </c>
      <c r="AA967" s="99">
        <v>1</v>
      </c>
      <c r="AB967" s="99"/>
      <c r="AC967" s="99"/>
      <c r="AD967" s="107">
        <v>0</v>
      </c>
      <c r="AE967" s="113">
        <f t="shared" si="183"/>
        <v>0</v>
      </c>
      <c r="AF967" s="116">
        <f>-IFERROR(IFERROR(VLOOKUP(ROUNDUP($Q967,0),'FBA FEES'!$L$2:$Q$203,MATCH($S967,'FBA FEES'!$L$2:$Q$2,0),FALSE),VLOOKUP(ROUNDUP($Q967,0),'FBA FEES'!$C$6:$F$123,MATCH($S967,'FBA FEES'!$C$6:$F$6,0),FALSE)),0)</f>
        <v>0</v>
      </c>
      <c r="AG967" s="116">
        <v>-10</v>
      </c>
      <c r="AH967" s="113">
        <f t="shared" si="184"/>
        <v>0</v>
      </c>
      <c r="AI967" s="116">
        <f>-IFERROR(IF($Y967=1,INDEX('[1]REMOVAL FEES'!$A$1:$C$22,MATCH(CONCATENATE("Standard Size",$P967),'[1]REMOVAL FEES'!$A$1:$A$22,0),3),IF($Y967=2,IF($P967&gt;10,(($P967-10)*1.06)+INDEX('[1]REMOVAL FEES'!$E$1:$G$22,MATCH(CONCATENATE("Large bulky, extra-large and special handling items",IF($P967&gt;=11,11,$P967)),'[1]REMOVAL FEES'!$E$1:$E$13,0),3),INDEX('[1]REMOVAL FEES'!$E$1:$G$22,MATCH(CONCATENATE("Large bulky, extra-large and special handling items",IF($P967&gt;=11,11,$P967)),'[1]REMOVAL FEES'!$E$1:$E$13,0),3))))*$AA967,FALSE)</f>
        <v>0</v>
      </c>
      <c r="AJ967" s="107">
        <f t="shared" si="185"/>
        <v>0</v>
      </c>
      <c r="AK967" s="107">
        <v>0</v>
      </c>
      <c r="AL967" s="107">
        <v>0</v>
      </c>
      <c r="AM967" s="107">
        <f t="shared" si="186"/>
        <v>0</v>
      </c>
      <c r="AN967" s="116">
        <f>(-IF($V967="Yes", IF($X967="Yes", VLOOKUP($W967, '[1]Storage Fees'!A:M, 13, FALSE), VLOOKUP($W967, '[1]Storage Fees'!A:M, 10, FALSE)), IF($X967="Yes", VLOOKUP($W967, '[1]Storage Fees'!A:M, 7, FALSE), VLOOKUP($W967, '[1]Storage Fees'!A:M, 4, FALSE))) * U967)*1.5</f>
        <v>0</v>
      </c>
    </row>
    <row r="968" spans="1:40" x14ac:dyDescent="0.25">
      <c r="A968" s="99">
        <v>896</v>
      </c>
      <c r="B968" s="99"/>
      <c r="C968" s="99" t="s">
        <v>13655</v>
      </c>
      <c r="D968" s="99"/>
      <c r="E968" s="99" t="s">
        <v>278</v>
      </c>
      <c r="F968" s="99" t="s">
        <v>2248</v>
      </c>
      <c r="G968" s="99" t="s">
        <v>13695</v>
      </c>
      <c r="H968" s="99">
        <v>0</v>
      </c>
      <c r="I968" s="99">
        <v>0</v>
      </c>
      <c r="J968" s="99">
        <v>0</v>
      </c>
      <c r="K968" s="101" t="str">
        <f t="shared" si="174"/>
        <v>0x0x0</v>
      </c>
      <c r="L968" s="102">
        <f t="shared" si="175"/>
        <v>0</v>
      </c>
      <c r="M968" s="113">
        <f t="shared" si="176"/>
        <v>0</v>
      </c>
      <c r="N968" s="113">
        <f t="shared" si="177"/>
        <v>0</v>
      </c>
      <c r="O968" s="99">
        <v>0</v>
      </c>
      <c r="P968" s="113">
        <f t="shared" si="178"/>
        <v>0</v>
      </c>
      <c r="Q968" s="112">
        <f t="shared" si="179"/>
        <v>0</v>
      </c>
      <c r="R968" s="112" t="str">
        <f t="shared" si="180"/>
        <v>Standard-size</v>
      </c>
      <c r="S968" s="99" t="str">
        <f t="shared" si="181"/>
        <v>Small standard-size</v>
      </c>
      <c r="T968" s="116" t="s">
        <v>13696</v>
      </c>
      <c r="U968" s="116">
        <f t="shared" si="182"/>
        <v>0</v>
      </c>
      <c r="V968" s="116" t="s">
        <v>13583</v>
      </c>
      <c r="W968" s="116" t="s">
        <v>13690</v>
      </c>
      <c r="X968" s="99" t="s">
        <v>13583</v>
      </c>
      <c r="Y968" s="99">
        <v>1</v>
      </c>
      <c r="Z968" s="99">
        <v>1</v>
      </c>
      <c r="AA968" s="99">
        <v>1</v>
      </c>
      <c r="AB968" s="99"/>
      <c r="AC968" s="99"/>
      <c r="AD968" s="107">
        <v>0</v>
      </c>
      <c r="AE968" s="113">
        <f t="shared" si="183"/>
        <v>0</v>
      </c>
      <c r="AF968" s="116">
        <f>-IFERROR(IFERROR(VLOOKUP(ROUNDUP($Q968,0),'FBA FEES'!$L$2:$Q$203,MATCH($S968,'FBA FEES'!$L$2:$Q$2,0),FALSE),VLOOKUP(ROUNDUP($Q968,0),'FBA FEES'!$C$6:$F$123,MATCH($S968,'FBA FEES'!$C$6:$F$6,0),FALSE)),0)</f>
        <v>0</v>
      </c>
      <c r="AG968" s="116">
        <v>-10</v>
      </c>
      <c r="AH968" s="113">
        <f t="shared" si="184"/>
        <v>0</v>
      </c>
      <c r="AI968" s="116">
        <f>-IFERROR(IF($Y968=1,INDEX('[1]REMOVAL FEES'!$A$1:$C$22,MATCH(CONCATENATE("Standard Size",$P968),'[1]REMOVAL FEES'!$A$1:$A$22,0),3),IF($Y968=2,IF($P968&gt;10,(($P968-10)*1.06)+INDEX('[1]REMOVAL FEES'!$E$1:$G$22,MATCH(CONCATENATE("Large bulky, extra-large and special handling items",IF($P968&gt;=11,11,$P968)),'[1]REMOVAL FEES'!$E$1:$E$13,0),3),INDEX('[1]REMOVAL FEES'!$E$1:$G$22,MATCH(CONCATENATE("Large bulky, extra-large and special handling items",IF($P968&gt;=11,11,$P968)),'[1]REMOVAL FEES'!$E$1:$E$13,0),3))))*$AA968,FALSE)</f>
        <v>0</v>
      </c>
      <c r="AJ968" s="107">
        <f t="shared" si="185"/>
        <v>0</v>
      </c>
      <c r="AK968" s="107">
        <v>0</v>
      </c>
      <c r="AL968" s="107">
        <v>0</v>
      </c>
      <c r="AM968" s="107">
        <f t="shared" si="186"/>
        <v>0</v>
      </c>
      <c r="AN968" s="116">
        <f>(-IF($V968="Yes", IF($X968="Yes", VLOOKUP($W968, '[1]Storage Fees'!A:M, 13, FALSE), VLOOKUP($W968, '[1]Storage Fees'!A:M, 10, FALSE)), IF($X968="Yes", VLOOKUP($W968, '[1]Storage Fees'!A:M, 7, FALSE), VLOOKUP($W968, '[1]Storage Fees'!A:M, 4, FALSE))) * U968)*1.5</f>
        <v>0</v>
      </c>
    </row>
    <row r="969" spans="1:40" x14ac:dyDescent="0.25">
      <c r="A969" s="99">
        <v>897</v>
      </c>
      <c r="B969" s="99" t="s">
        <v>13700</v>
      </c>
      <c r="C969" s="99"/>
      <c r="D969" s="99"/>
      <c r="E969" s="99" t="s">
        <v>278</v>
      </c>
      <c r="F969" s="99" t="s">
        <v>609</v>
      </c>
      <c r="G969" s="99" t="s">
        <v>13695</v>
      </c>
      <c r="H969" s="99">
        <v>38</v>
      </c>
      <c r="I969" s="99">
        <v>38</v>
      </c>
      <c r="J969" s="99">
        <v>3</v>
      </c>
      <c r="K969" s="101" t="str">
        <f t="shared" ref="K969:K1032" si="187">H969&amp;"x"&amp;I969&amp;"x"&amp;J969</f>
        <v>38x38x3</v>
      </c>
      <c r="L969" s="102">
        <f t="shared" ref="L969:L1033" si="188">(H969*I969*J969)/139</f>
        <v>31.165467625899282</v>
      </c>
      <c r="M969" s="113">
        <f t="shared" ref="M969:M1033" si="189">(H969*I969*J969)/139</f>
        <v>31.165467625899282</v>
      </c>
      <c r="N969" s="113">
        <f t="shared" ref="N969:N1032" si="190">IF(AND(M969&gt;0,M969&lt;=0.25),0.25,IF(AND(M969&gt;0.25,M969&lt;=0.5),0.5,IF(AND(M969&gt;0.5,M969&lt;=0.75),0.75,ROUNDUP(M969,0))))</f>
        <v>32</v>
      </c>
      <c r="O969" s="99">
        <v>33</v>
      </c>
      <c r="P969" s="113">
        <f t="shared" ref="P969:P1032" si="191">ROUNDUP(MAX(L969,O969),0)</f>
        <v>33</v>
      </c>
      <c r="Q969" s="112">
        <f t="shared" ref="Q969:Q1032" si="192">P969*16</f>
        <v>528</v>
      </c>
      <c r="R969" s="112" t="str">
        <f t="shared" ref="R969:R1032" si="193">IF(RIGHT(S969,13)="standard-size","Standard-size","Oversize")</f>
        <v>Oversize</v>
      </c>
      <c r="S969" s="99" t="str">
        <f t="shared" ref="S969:S1033" si="194">IF(AND($P969&lt;=$J$50,$H969&lt;=$G$50,$I969&lt;=$H$50,$J969&lt;=$I$50),$A$50,IF(AND($P969&lt;=$J$51,$H969&lt;=$G$51,$I969&lt;=$H$51,$J969&lt;=$I$51),$A$51,IF(AND($H969&lt;=$G$52,$I969&lt;=$H$52,$J969&lt;=$I$52,$P969&lt;=$J$52),$A$52,IF(AND($P969&lt;=$J$53,OR(H$8&gt;$G$53,$I969&gt;$H$53,$J969&gt;$I$53)),$A$53,IF(AND($P969&gt;$J$53,$P969&lt;=$J$54),$A$54,IF(AND($P969&gt;$J$54,$P969&lt;=$J$55),$A$55,$A$56))))))</f>
        <v>Extra-large 0 to 50 lb</v>
      </c>
      <c r="T969" s="116" t="s">
        <v>13706</v>
      </c>
      <c r="U969" s="116">
        <f t="shared" ref="U969:U1033" si="195">(H969*I969*J969)/1728</f>
        <v>2.5069444444444446</v>
      </c>
      <c r="V969" s="116" t="s">
        <v>13583</v>
      </c>
      <c r="W969" s="116" t="s">
        <v>13690</v>
      </c>
      <c r="X969" s="116" t="s">
        <v>13691</v>
      </c>
      <c r="Y969" s="116">
        <v>2</v>
      </c>
      <c r="Z969" s="116">
        <v>4</v>
      </c>
      <c r="AA969" s="116">
        <v>1</v>
      </c>
      <c r="AB969" s="99"/>
      <c r="AC969" s="99"/>
      <c r="AD969" s="107">
        <v>0</v>
      </c>
      <c r="AE969" s="113">
        <f t="shared" ref="AE969:AE1032" si="196">-AD969*0.15</f>
        <v>0</v>
      </c>
      <c r="AF969" s="116">
        <f>-IFERROR(IFERROR(VLOOKUP(ROUNDUP($Q969,0),'FBA FEES'!$L$2:$Q$203,MATCH($S969,'FBA FEES'!$L$2:$Q$2,0),FALSE),VLOOKUP(ROUNDUP($Q969,0),'FBA FEES'!$C$6:$F$123,MATCH($S969,'FBA FEES'!$C$6:$F$6,0),FALSE)),0)</f>
        <v>-38.489999999999995</v>
      </c>
      <c r="AG969" s="116">
        <v>-10</v>
      </c>
      <c r="AH969" s="113">
        <f t="shared" ref="AH969:AH1033" si="197">AE969+AF969</f>
        <v>-38.489999999999995</v>
      </c>
      <c r="AI969" s="116">
        <f>-IFERROR(IF($Y969=1,INDEX('[1]REMOVAL FEES'!$A$1:$C$22,MATCH(CONCATENATE("Standard Size",$P969),'[1]REMOVAL FEES'!$A$1:$A$22,0),3),IF($Y969=2,IF($P969&gt;10,(($P969-10)*1.06)+INDEX('[1]REMOVAL FEES'!$E$1:$G$22,MATCH(CONCATENATE("Large bulky, extra-large and special handling items",IF($P969&gt;=11,11,$P969)),'[1]REMOVAL FEES'!$E$1:$E$13,0),3),INDEX('[1]REMOVAL FEES'!$E$1:$G$22,MATCH(CONCATENATE("Large bulky, extra-large and special handling items",IF($P969&gt;=11,11,$P969)),'[1]REMOVAL FEES'!$E$1:$E$13,0),3))))*$AA969,FALSE)</f>
        <v>-38.700000000000003</v>
      </c>
      <c r="AJ969" s="107">
        <f t="shared" ref="AJ969:AJ1032" si="198">AH969+AI969</f>
        <v>-77.19</v>
      </c>
      <c r="AK969" s="107">
        <v>0</v>
      </c>
      <c r="AL969" s="107">
        <v>0</v>
      </c>
      <c r="AM969" s="107">
        <f t="shared" ref="AM969:AM1032" si="199">AK969+AL969</f>
        <v>0</v>
      </c>
      <c r="AN969" s="116">
        <f>(-IF($V969="Yes", IF($X969="Yes", VLOOKUP($W969, '[1]Storage Fees'!A:M, 13, FALSE), VLOOKUP($W969, '[1]Storage Fees'!A:M, 10, FALSE)), IF($X969="Yes", VLOOKUP($W969, '[1]Storage Fees'!A:M, 7, FALSE), VLOOKUP($W969, '[1]Storage Fees'!A:M, 4, FALSE))) * U969)*1.5</f>
        <v>-2.9707291666666671</v>
      </c>
    </row>
    <row r="970" spans="1:40" x14ac:dyDescent="0.25">
      <c r="A970" s="99">
        <v>898</v>
      </c>
      <c r="B970" s="99" t="s">
        <v>13700</v>
      </c>
      <c r="C970" s="99"/>
      <c r="D970" s="99"/>
      <c r="E970" s="99" t="s">
        <v>278</v>
      </c>
      <c r="F970" s="99" t="s">
        <v>610</v>
      </c>
      <c r="G970" s="99" t="s">
        <v>13695</v>
      </c>
      <c r="H970" s="99">
        <v>40</v>
      </c>
      <c r="I970" s="99">
        <v>40</v>
      </c>
      <c r="J970" s="99">
        <v>3</v>
      </c>
      <c r="K970" s="101" t="str">
        <f t="shared" si="187"/>
        <v>40x40x3</v>
      </c>
      <c r="L970" s="102">
        <f t="shared" si="188"/>
        <v>34.532374100719423</v>
      </c>
      <c r="M970" s="113">
        <f t="shared" si="189"/>
        <v>34.532374100719423</v>
      </c>
      <c r="N970" s="113">
        <f t="shared" si="190"/>
        <v>35</v>
      </c>
      <c r="O970" s="99">
        <v>35</v>
      </c>
      <c r="P970" s="113">
        <f t="shared" si="191"/>
        <v>35</v>
      </c>
      <c r="Q970" s="112">
        <f t="shared" si="192"/>
        <v>560</v>
      </c>
      <c r="R970" s="112" t="str">
        <f t="shared" si="193"/>
        <v>Oversize</v>
      </c>
      <c r="S970" s="99" t="str">
        <f t="shared" si="194"/>
        <v>Extra-large 0 to 50 lb</v>
      </c>
      <c r="T970" s="116" t="s">
        <v>13706</v>
      </c>
      <c r="U970" s="116">
        <f t="shared" si="195"/>
        <v>2.7777777777777777</v>
      </c>
      <c r="V970" s="116" t="s">
        <v>13583</v>
      </c>
      <c r="W970" s="116" t="s">
        <v>13690</v>
      </c>
      <c r="X970" s="116" t="s">
        <v>13691</v>
      </c>
      <c r="Y970" s="116">
        <v>2</v>
      </c>
      <c r="Z970" s="116">
        <v>4</v>
      </c>
      <c r="AA970" s="116">
        <v>1</v>
      </c>
      <c r="AB970" s="99"/>
      <c r="AC970" s="99"/>
      <c r="AD970" s="107">
        <v>0</v>
      </c>
      <c r="AE970" s="113">
        <f t="shared" si="196"/>
        <v>0</v>
      </c>
      <c r="AF970" s="116">
        <f>-IFERROR(IFERROR(VLOOKUP(ROUNDUP($Q970,0),'FBA FEES'!$L$2:$Q$203,MATCH($S970,'FBA FEES'!$L$2:$Q$2,0),FALSE),VLOOKUP(ROUNDUP($Q970,0),'FBA FEES'!$C$6:$F$123,MATCH($S970,'FBA FEES'!$C$6:$F$6,0),FALSE)),0)</f>
        <v>-39.25</v>
      </c>
      <c r="AG970" s="116">
        <v>-10</v>
      </c>
      <c r="AH970" s="113">
        <f t="shared" si="197"/>
        <v>-39.25</v>
      </c>
      <c r="AI970" s="116">
        <f>-IFERROR(IF($Y970=1,INDEX('[1]REMOVAL FEES'!$A$1:$C$22,MATCH(CONCATENATE("Standard Size",$P970),'[1]REMOVAL FEES'!$A$1:$A$22,0),3),IF($Y970=2,IF($P970&gt;10,(($P970-10)*1.06)+INDEX('[1]REMOVAL FEES'!$E$1:$G$22,MATCH(CONCATENATE("Large bulky, extra-large and special handling items",IF($P970&gt;=11,11,$P970)),'[1]REMOVAL FEES'!$E$1:$E$13,0),3),INDEX('[1]REMOVAL FEES'!$E$1:$G$22,MATCH(CONCATENATE("Large bulky, extra-large and special handling items",IF($P970&gt;=11,11,$P970)),'[1]REMOVAL FEES'!$E$1:$E$13,0),3))))*$AA970,FALSE)</f>
        <v>-40.82</v>
      </c>
      <c r="AJ970" s="107">
        <f t="shared" si="198"/>
        <v>-80.069999999999993</v>
      </c>
      <c r="AK970" s="107">
        <v>0</v>
      </c>
      <c r="AL970" s="107">
        <v>0</v>
      </c>
      <c r="AM970" s="107">
        <f t="shared" si="199"/>
        <v>0</v>
      </c>
      <c r="AN970" s="116">
        <f>(-IF($V970="Yes", IF($X970="Yes", VLOOKUP($W970, '[1]Storage Fees'!A:M, 13, FALSE), VLOOKUP($W970, '[1]Storage Fees'!A:M, 10, FALSE)), IF($X970="Yes", VLOOKUP($W970, '[1]Storage Fees'!A:M, 7, FALSE), VLOOKUP($W970, '[1]Storage Fees'!A:M, 4, FALSE))) * U970)*1.5</f>
        <v>-3.291666666666667</v>
      </c>
    </row>
    <row r="971" spans="1:40" x14ac:dyDescent="0.25">
      <c r="A971" s="99">
        <v>899</v>
      </c>
      <c r="B971" s="99" t="s">
        <v>13700</v>
      </c>
      <c r="C971" s="99"/>
      <c r="D971" s="99"/>
      <c r="E971" s="99" t="s">
        <v>278</v>
      </c>
      <c r="F971" s="99" t="s">
        <v>611</v>
      </c>
      <c r="G971" s="99" t="s">
        <v>13695</v>
      </c>
      <c r="H971" s="99">
        <v>0</v>
      </c>
      <c r="I971" s="99">
        <v>0</v>
      </c>
      <c r="J971" s="99">
        <v>0</v>
      </c>
      <c r="K971" s="101" t="str">
        <f t="shared" si="187"/>
        <v>0x0x0</v>
      </c>
      <c r="L971" s="102">
        <f t="shared" si="188"/>
        <v>0</v>
      </c>
      <c r="M971" s="113">
        <f t="shared" si="189"/>
        <v>0</v>
      </c>
      <c r="N971" s="113">
        <f t="shared" si="190"/>
        <v>0</v>
      </c>
      <c r="O971" s="99">
        <v>0</v>
      </c>
      <c r="P971" s="113">
        <f t="shared" si="191"/>
        <v>0</v>
      </c>
      <c r="Q971" s="112">
        <f t="shared" si="192"/>
        <v>0</v>
      </c>
      <c r="R971" s="112" t="str">
        <f t="shared" si="193"/>
        <v>Standard-size</v>
      </c>
      <c r="S971" s="99" t="str">
        <f t="shared" si="194"/>
        <v>Small standard-size</v>
      </c>
      <c r="T971" s="116" t="s">
        <v>13696</v>
      </c>
      <c r="U971" s="116">
        <f t="shared" si="195"/>
        <v>0</v>
      </c>
      <c r="V971" s="116" t="s">
        <v>13583</v>
      </c>
      <c r="W971" s="116" t="s">
        <v>13690</v>
      </c>
      <c r="X971" s="99" t="s">
        <v>13583</v>
      </c>
      <c r="Y971" s="99">
        <v>1</v>
      </c>
      <c r="Z971" s="99">
        <v>1</v>
      </c>
      <c r="AA971" s="99">
        <v>1</v>
      </c>
      <c r="AB971" s="99"/>
      <c r="AC971" s="99"/>
      <c r="AD971" s="107">
        <v>0</v>
      </c>
      <c r="AE971" s="113">
        <f t="shared" si="196"/>
        <v>0</v>
      </c>
      <c r="AF971" s="116">
        <f>-IFERROR(IFERROR(VLOOKUP(ROUNDUP($Q971,0),'FBA FEES'!$L$2:$Q$203,MATCH($S971,'FBA FEES'!$L$2:$Q$2,0),FALSE),VLOOKUP(ROUNDUP($Q971,0),'FBA FEES'!$C$6:$F$123,MATCH($S971,'FBA FEES'!$C$6:$F$6,0),FALSE)),0)</f>
        <v>0</v>
      </c>
      <c r="AG971" s="116">
        <v>-10</v>
      </c>
      <c r="AH971" s="113">
        <f t="shared" si="197"/>
        <v>0</v>
      </c>
      <c r="AI971" s="116">
        <f>-IFERROR(IF($Y971=1,INDEX('[1]REMOVAL FEES'!$A$1:$C$22,MATCH(CONCATENATE("Standard Size",$P971),'[1]REMOVAL FEES'!$A$1:$A$22,0),3),IF($Y971=2,IF($P971&gt;10,(($P971-10)*1.06)+INDEX('[1]REMOVAL FEES'!$E$1:$G$22,MATCH(CONCATENATE("Large bulky, extra-large and special handling items",IF($P971&gt;=11,11,$P971)),'[1]REMOVAL FEES'!$E$1:$E$13,0),3),INDEX('[1]REMOVAL FEES'!$E$1:$G$22,MATCH(CONCATENATE("Large bulky, extra-large and special handling items",IF($P971&gt;=11,11,$P971)),'[1]REMOVAL FEES'!$E$1:$E$13,0),3))))*$AA971,FALSE)</f>
        <v>0</v>
      </c>
      <c r="AJ971" s="107">
        <f t="shared" si="198"/>
        <v>0</v>
      </c>
      <c r="AK971" s="107">
        <v>0</v>
      </c>
      <c r="AL971" s="107">
        <v>0</v>
      </c>
      <c r="AM971" s="107">
        <f t="shared" si="199"/>
        <v>0</v>
      </c>
      <c r="AN971" s="116">
        <f>(-IF($V971="Yes", IF($X971="Yes", VLOOKUP($W971, '[1]Storage Fees'!A:M, 13, FALSE), VLOOKUP($W971, '[1]Storage Fees'!A:M, 10, FALSE)), IF($X971="Yes", VLOOKUP($W971, '[1]Storage Fees'!A:M, 7, FALSE), VLOOKUP($W971, '[1]Storage Fees'!A:M, 4, FALSE))) * U971)*1.5</f>
        <v>0</v>
      </c>
    </row>
    <row r="972" spans="1:40" x14ac:dyDescent="0.25">
      <c r="A972" s="99">
        <v>900</v>
      </c>
      <c r="B972" s="99" t="s">
        <v>107</v>
      </c>
      <c r="C972" s="99"/>
      <c r="D972" s="99"/>
      <c r="E972" s="99" t="s">
        <v>278</v>
      </c>
      <c r="F972" s="99" t="s">
        <v>612</v>
      </c>
      <c r="G972" s="99" t="s">
        <v>13695</v>
      </c>
      <c r="H972" s="99">
        <v>0</v>
      </c>
      <c r="I972" s="99">
        <v>0</v>
      </c>
      <c r="J972" s="99">
        <v>0</v>
      </c>
      <c r="K972" s="101" t="str">
        <f t="shared" si="187"/>
        <v>0x0x0</v>
      </c>
      <c r="L972" s="102">
        <f t="shared" si="188"/>
        <v>0</v>
      </c>
      <c r="M972" s="113">
        <f t="shared" si="189"/>
        <v>0</v>
      </c>
      <c r="N972" s="113">
        <f t="shared" si="190"/>
        <v>0</v>
      </c>
      <c r="O972" s="99">
        <v>0</v>
      </c>
      <c r="P972" s="113">
        <f t="shared" si="191"/>
        <v>0</v>
      </c>
      <c r="Q972" s="112">
        <f t="shared" si="192"/>
        <v>0</v>
      </c>
      <c r="R972" s="112" t="str">
        <f t="shared" si="193"/>
        <v>Standard-size</v>
      </c>
      <c r="S972" s="99" t="str">
        <f t="shared" si="194"/>
        <v>Small standard-size</v>
      </c>
      <c r="T972" s="116" t="s">
        <v>13696</v>
      </c>
      <c r="U972" s="116">
        <f t="shared" si="195"/>
        <v>0</v>
      </c>
      <c r="V972" s="116" t="s">
        <v>13583</v>
      </c>
      <c r="W972" s="116" t="s">
        <v>13690</v>
      </c>
      <c r="X972" s="99" t="s">
        <v>13583</v>
      </c>
      <c r="Y972" s="99">
        <v>1</v>
      </c>
      <c r="Z972" s="99">
        <v>1</v>
      </c>
      <c r="AA972" s="99">
        <v>1</v>
      </c>
      <c r="AB972" s="99"/>
      <c r="AC972" s="99"/>
      <c r="AD972" s="107">
        <v>0</v>
      </c>
      <c r="AE972" s="113">
        <f t="shared" si="196"/>
        <v>0</v>
      </c>
      <c r="AF972" s="116">
        <f>-IFERROR(IFERROR(VLOOKUP(ROUNDUP($Q972,0),'FBA FEES'!$L$2:$Q$203,MATCH($S972,'FBA FEES'!$L$2:$Q$2,0),FALSE),VLOOKUP(ROUNDUP($Q972,0),'FBA FEES'!$C$6:$F$123,MATCH($S972,'FBA FEES'!$C$6:$F$6,0),FALSE)),0)</f>
        <v>0</v>
      </c>
      <c r="AG972" s="116">
        <v>-10</v>
      </c>
      <c r="AH972" s="113">
        <f t="shared" si="197"/>
        <v>0</v>
      </c>
      <c r="AI972" s="116">
        <f>-IFERROR(IF($Y972=1,INDEX('[1]REMOVAL FEES'!$A$1:$C$22,MATCH(CONCATENATE("Standard Size",$P972),'[1]REMOVAL FEES'!$A$1:$A$22,0),3),IF($Y972=2,IF($P972&gt;10,(($P972-10)*1.06)+INDEX('[1]REMOVAL FEES'!$E$1:$G$22,MATCH(CONCATENATE("Large bulky, extra-large and special handling items",IF($P972&gt;=11,11,$P972)),'[1]REMOVAL FEES'!$E$1:$E$13,0),3),INDEX('[1]REMOVAL FEES'!$E$1:$G$22,MATCH(CONCATENATE("Large bulky, extra-large and special handling items",IF($P972&gt;=11,11,$P972)),'[1]REMOVAL FEES'!$E$1:$E$13,0),3))))*$AA972,FALSE)</f>
        <v>0</v>
      </c>
      <c r="AJ972" s="107">
        <f t="shared" si="198"/>
        <v>0</v>
      </c>
      <c r="AK972" s="107">
        <v>0</v>
      </c>
      <c r="AL972" s="107">
        <v>0</v>
      </c>
      <c r="AM972" s="107">
        <f t="shared" si="199"/>
        <v>0</v>
      </c>
      <c r="AN972" s="116">
        <f>(-IF($V972="Yes", IF($X972="Yes", VLOOKUP($W972, '[1]Storage Fees'!A:M, 13, FALSE), VLOOKUP($W972, '[1]Storage Fees'!A:M, 10, FALSE)), IF($X972="Yes", VLOOKUP($W972, '[1]Storage Fees'!A:M, 7, FALSE), VLOOKUP($W972, '[1]Storage Fees'!A:M, 4, FALSE))) * U972)*1.5</f>
        <v>0</v>
      </c>
    </row>
    <row r="973" spans="1:40" x14ac:dyDescent="0.25">
      <c r="A973" s="99">
        <v>901</v>
      </c>
      <c r="B973" s="99" t="s">
        <v>107</v>
      </c>
      <c r="C973" s="99"/>
      <c r="D973" s="99"/>
      <c r="E973" s="99" t="s">
        <v>278</v>
      </c>
      <c r="F973" s="99" t="s">
        <v>613</v>
      </c>
      <c r="G973" s="99" t="s">
        <v>13695</v>
      </c>
      <c r="H973" s="99">
        <v>0</v>
      </c>
      <c r="I973" s="99">
        <v>0</v>
      </c>
      <c r="J973" s="99">
        <v>0</v>
      </c>
      <c r="K973" s="101" t="str">
        <f t="shared" si="187"/>
        <v>0x0x0</v>
      </c>
      <c r="L973" s="102">
        <f t="shared" si="188"/>
        <v>0</v>
      </c>
      <c r="M973" s="113">
        <f t="shared" si="189"/>
        <v>0</v>
      </c>
      <c r="N973" s="113">
        <f t="shared" si="190"/>
        <v>0</v>
      </c>
      <c r="O973" s="99">
        <v>0</v>
      </c>
      <c r="P973" s="113">
        <f t="shared" si="191"/>
        <v>0</v>
      </c>
      <c r="Q973" s="112">
        <f t="shared" si="192"/>
        <v>0</v>
      </c>
      <c r="R973" s="112" t="str">
        <f t="shared" si="193"/>
        <v>Standard-size</v>
      </c>
      <c r="S973" s="99" t="str">
        <f t="shared" si="194"/>
        <v>Small standard-size</v>
      </c>
      <c r="T973" s="116" t="s">
        <v>13696</v>
      </c>
      <c r="U973" s="116">
        <f t="shared" si="195"/>
        <v>0</v>
      </c>
      <c r="V973" s="116" t="s">
        <v>13583</v>
      </c>
      <c r="W973" s="116" t="s">
        <v>13690</v>
      </c>
      <c r="X973" s="99" t="s">
        <v>13583</v>
      </c>
      <c r="Y973" s="99">
        <v>1</v>
      </c>
      <c r="Z973" s="99">
        <v>1</v>
      </c>
      <c r="AA973" s="99">
        <v>1</v>
      </c>
      <c r="AB973" s="99"/>
      <c r="AC973" s="99"/>
      <c r="AD973" s="107">
        <v>0</v>
      </c>
      <c r="AE973" s="113">
        <f t="shared" si="196"/>
        <v>0</v>
      </c>
      <c r="AF973" s="116">
        <f>-IFERROR(IFERROR(VLOOKUP(ROUNDUP($Q973,0),'FBA FEES'!$L$2:$Q$203,MATCH($S973,'FBA FEES'!$L$2:$Q$2,0),FALSE),VLOOKUP(ROUNDUP($Q973,0),'FBA FEES'!$C$6:$F$123,MATCH($S973,'FBA FEES'!$C$6:$F$6,0),FALSE)),0)</f>
        <v>0</v>
      </c>
      <c r="AG973" s="116">
        <v>-10</v>
      </c>
      <c r="AH973" s="113">
        <f t="shared" si="197"/>
        <v>0</v>
      </c>
      <c r="AI973" s="116">
        <f>-IFERROR(IF($Y973=1,INDEX('[1]REMOVAL FEES'!$A$1:$C$22,MATCH(CONCATENATE("Standard Size",$P973),'[1]REMOVAL FEES'!$A$1:$A$22,0),3),IF($Y973=2,IF($P973&gt;10,(($P973-10)*1.06)+INDEX('[1]REMOVAL FEES'!$E$1:$G$22,MATCH(CONCATENATE("Large bulky, extra-large and special handling items",IF($P973&gt;=11,11,$P973)),'[1]REMOVAL FEES'!$E$1:$E$13,0),3),INDEX('[1]REMOVAL FEES'!$E$1:$G$22,MATCH(CONCATENATE("Large bulky, extra-large and special handling items",IF($P973&gt;=11,11,$P973)),'[1]REMOVAL FEES'!$E$1:$E$13,0),3))))*$AA973,FALSE)</f>
        <v>0</v>
      </c>
      <c r="AJ973" s="107">
        <f t="shared" si="198"/>
        <v>0</v>
      </c>
      <c r="AK973" s="107">
        <v>0</v>
      </c>
      <c r="AL973" s="107">
        <v>0</v>
      </c>
      <c r="AM973" s="107">
        <f t="shared" si="199"/>
        <v>0</v>
      </c>
      <c r="AN973" s="116">
        <f>(-IF($V973="Yes", IF($X973="Yes", VLOOKUP($W973, '[1]Storage Fees'!A:M, 13, FALSE), VLOOKUP($W973, '[1]Storage Fees'!A:M, 10, FALSE)), IF($X973="Yes", VLOOKUP($W973, '[1]Storage Fees'!A:M, 7, FALSE), VLOOKUP($W973, '[1]Storage Fees'!A:M, 4, FALSE))) * U973)*1.5</f>
        <v>0</v>
      </c>
    </row>
    <row r="974" spans="1:40" x14ac:dyDescent="0.25">
      <c r="A974" s="99">
        <v>902</v>
      </c>
      <c r="B974" s="99" t="s">
        <v>107</v>
      </c>
      <c r="C974" s="99"/>
      <c r="D974" s="99"/>
      <c r="E974" s="99" t="s">
        <v>278</v>
      </c>
      <c r="F974" s="99" t="s">
        <v>614</v>
      </c>
      <c r="G974" s="99" t="s">
        <v>13695</v>
      </c>
      <c r="H974" s="99">
        <v>0</v>
      </c>
      <c r="I974" s="99">
        <v>0</v>
      </c>
      <c r="J974" s="99">
        <v>0</v>
      </c>
      <c r="K974" s="101" t="str">
        <f t="shared" si="187"/>
        <v>0x0x0</v>
      </c>
      <c r="L974" s="102">
        <f t="shared" si="188"/>
        <v>0</v>
      </c>
      <c r="M974" s="113">
        <f t="shared" si="189"/>
        <v>0</v>
      </c>
      <c r="N974" s="113">
        <f t="shared" si="190"/>
        <v>0</v>
      </c>
      <c r="O974" s="99">
        <v>0</v>
      </c>
      <c r="P974" s="113">
        <f t="shared" si="191"/>
        <v>0</v>
      </c>
      <c r="Q974" s="112">
        <f t="shared" si="192"/>
        <v>0</v>
      </c>
      <c r="R974" s="112" t="str">
        <f t="shared" si="193"/>
        <v>Standard-size</v>
      </c>
      <c r="S974" s="99" t="str">
        <f t="shared" si="194"/>
        <v>Small standard-size</v>
      </c>
      <c r="T974" s="116" t="s">
        <v>13696</v>
      </c>
      <c r="U974" s="116">
        <f t="shared" si="195"/>
        <v>0</v>
      </c>
      <c r="V974" s="116" t="s">
        <v>13583</v>
      </c>
      <c r="W974" s="116" t="s">
        <v>13690</v>
      </c>
      <c r="X974" s="99" t="s">
        <v>13583</v>
      </c>
      <c r="Y974" s="99">
        <v>1</v>
      </c>
      <c r="Z974" s="99">
        <v>1</v>
      </c>
      <c r="AA974" s="99">
        <v>1</v>
      </c>
      <c r="AB974" s="99"/>
      <c r="AC974" s="99"/>
      <c r="AD974" s="107">
        <v>0</v>
      </c>
      <c r="AE974" s="113">
        <f t="shared" si="196"/>
        <v>0</v>
      </c>
      <c r="AF974" s="116">
        <f>-IFERROR(IFERROR(VLOOKUP(ROUNDUP($Q974,0),'FBA FEES'!$L$2:$Q$203,MATCH($S974,'FBA FEES'!$L$2:$Q$2,0),FALSE),VLOOKUP(ROUNDUP($Q974,0),'FBA FEES'!$C$6:$F$123,MATCH($S974,'FBA FEES'!$C$6:$F$6,0),FALSE)),0)</f>
        <v>0</v>
      </c>
      <c r="AG974" s="116">
        <v>-10</v>
      </c>
      <c r="AH974" s="113">
        <f t="shared" si="197"/>
        <v>0</v>
      </c>
      <c r="AI974" s="116">
        <f>-IFERROR(IF($Y974=1,INDEX('[1]REMOVAL FEES'!$A$1:$C$22,MATCH(CONCATENATE("Standard Size",$P974),'[1]REMOVAL FEES'!$A$1:$A$22,0),3),IF($Y974=2,IF($P974&gt;10,(($P974-10)*1.06)+INDEX('[1]REMOVAL FEES'!$E$1:$G$22,MATCH(CONCATENATE("Large bulky, extra-large and special handling items",IF($P974&gt;=11,11,$P974)),'[1]REMOVAL FEES'!$E$1:$E$13,0),3),INDEX('[1]REMOVAL FEES'!$E$1:$G$22,MATCH(CONCATENATE("Large bulky, extra-large and special handling items",IF($P974&gt;=11,11,$P974)),'[1]REMOVAL FEES'!$E$1:$E$13,0),3))))*$AA974,FALSE)</f>
        <v>0</v>
      </c>
      <c r="AJ974" s="107">
        <f t="shared" si="198"/>
        <v>0</v>
      </c>
      <c r="AK974" s="107">
        <v>0</v>
      </c>
      <c r="AL974" s="107">
        <v>0</v>
      </c>
      <c r="AM974" s="107">
        <f t="shared" si="199"/>
        <v>0</v>
      </c>
      <c r="AN974" s="116">
        <f>(-IF($V974="Yes", IF($X974="Yes", VLOOKUP($W974, '[1]Storage Fees'!A:M, 13, FALSE), VLOOKUP($W974, '[1]Storage Fees'!A:M, 10, FALSE)), IF($X974="Yes", VLOOKUP($W974, '[1]Storage Fees'!A:M, 7, FALSE), VLOOKUP($W974, '[1]Storage Fees'!A:M, 4, FALSE))) * U974)*1.5</f>
        <v>0</v>
      </c>
    </row>
    <row r="975" spans="1:40" x14ac:dyDescent="0.25">
      <c r="A975" s="99">
        <v>903</v>
      </c>
      <c r="B975" s="99" t="s">
        <v>107</v>
      </c>
      <c r="C975" s="99"/>
      <c r="D975" s="99"/>
      <c r="E975" s="99" t="s">
        <v>278</v>
      </c>
      <c r="F975" s="99" t="s">
        <v>615</v>
      </c>
      <c r="G975" s="99" t="s">
        <v>13695</v>
      </c>
      <c r="H975" s="99">
        <v>0</v>
      </c>
      <c r="I975" s="99">
        <v>0</v>
      </c>
      <c r="J975" s="99">
        <v>0</v>
      </c>
      <c r="K975" s="101" t="str">
        <f t="shared" si="187"/>
        <v>0x0x0</v>
      </c>
      <c r="L975" s="102">
        <f t="shared" si="188"/>
        <v>0</v>
      </c>
      <c r="M975" s="113">
        <f t="shared" si="189"/>
        <v>0</v>
      </c>
      <c r="N975" s="113">
        <f t="shared" si="190"/>
        <v>0</v>
      </c>
      <c r="O975" s="99">
        <v>0</v>
      </c>
      <c r="P975" s="113">
        <f t="shared" si="191"/>
        <v>0</v>
      </c>
      <c r="Q975" s="112">
        <f t="shared" si="192"/>
        <v>0</v>
      </c>
      <c r="R975" s="112" t="str">
        <f t="shared" si="193"/>
        <v>Standard-size</v>
      </c>
      <c r="S975" s="99" t="str">
        <f t="shared" si="194"/>
        <v>Small standard-size</v>
      </c>
      <c r="T975" s="116" t="s">
        <v>13696</v>
      </c>
      <c r="U975" s="116">
        <f t="shared" si="195"/>
        <v>0</v>
      </c>
      <c r="V975" s="116" t="s">
        <v>13583</v>
      </c>
      <c r="W975" s="116" t="s">
        <v>13690</v>
      </c>
      <c r="X975" s="99" t="s">
        <v>13583</v>
      </c>
      <c r="Y975" s="99">
        <v>1</v>
      </c>
      <c r="Z975" s="99">
        <v>1</v>
      </c>
      <c r="AA975" s="99">
        <v>1</v>
      </c>
      <c r="AB975" s="99"/>
      <c r="AC975" s="99"/>
      <c r="AD975" s="107">
        <v>0</v>
      </c>
      <c r="AE975" s="113">
        <f t="shared" si="196"/>
        <v>0</v>
      </c>
      <c r="AF975" s="116">
        <f>-IFERROR(IFERROR(VLOOKUP(ROUNDUP($Q975,0),'FBA FEES'!$L$2:$Q$203,MATCH($S975,'FBA FEES'!$L$2:$Q$2,0),FALSE),VLOOKUP(ROUNDUP($Q975,0),'FBA FEES'!$C$6:$F$123,MATCH($S975,'FBA FEES'!$C$6:$F$6,0),FALSE)),0)</f>
        <v>0</v>
      </c>
      <c r="AG975" s="116">
        <v>-10</v>
      </c>
      <c r="AH975" s="113">
        <f t="shared" si="197"/>
        <v>0</v>
      </c>
      <c r="AI975" s="116">
        <f>-IFERROR(IF($Y975=1,INDEX('[1]REMOVAL FEES'!$A$1:$C$22,MATCH(CONCATENATE("Standard Size",$P975),'[1]REMOVAL FEES'!$A$1:$A$22,0),3),IF($Y975=2,IF($P975&gt;10,(($P975-10)*1.06)+INDEX('[1]REMOVAL FEES'!$E$1:$G$22,MATCH(CONCATENATE("Large bulky, extra-large and special handling items",IF($P975&gt;=11,11,$P975)),'[1]REMOVAL FEES'!$E$1:$E$13,0),3),INDEX('[1]REMOVAL FEES'!$E$1:$G$22,MATCH(CONCATENATE("Large bulky, extra-large and special handling items",IF($P975&gt;=11,11,$P975)),'[1]REMOVAL FEES'!$E$1:$E$13,0),3))))*$AA975,FALSE)</f>
        <v>0</v>
      </c>
      <c r="AJ975" s="107">
        <f t="shared" si="198"/>
        <v>0</v>
      </c>
      <c r="AK975" s="107">
        <v>0</v>
      </c>
      <c r="AL975" s="107">
        <v>0</v>
      </c>
      <c r="AM975" s="107">
        <f t="shared" si="199"/>
        <v>0</v>
      </c>
      <c r="AN975" s="116">
        <f>(-IF($V975="Yes", IF($X975="Yes", VLOOKUP($W975, '[1]Storage Fees'!A:M, 13, FALSE), VLOOKUP($W975, '[1]Storage Fees'!A:M, 10, FALSE)), IF($X975="Yes", VLOOKUP($W975, '[1]Storage Fees'!A:M, 7, FALSE), VLOOKUP($W975, '[1]Storage Fees'!A:M, 4, FALSE))) * U975)*1.5</f>
        <v>0</v>
      </c>
    </row>
    <row r="976" spans="1:40" x14ac:dyDescent="0.25">
      <c r="A976" s="99">
        <v>904</v>
      </c>
      <c r="B976" s="99" t="s">
        <v>107</v>
      </c>
      <c r="C976" s="99"/>
      <c r="D976" s="99"/>
      <c r="E976" s="99" t="s">
        <v>278</v>
      </c>
      <c r="F976" s="99" t="s">
        <v>616</v>
      </c>
      <c r="G976" s="99" t="s">
        <v>13695</v>
      </c>
      <c r="H976" s="99">
        <v>0</v>
      </c>
      <c r="I976" s="99">
        <v>0</v>
      </c>
      <c r="J976" s="99">
        <v>0</v>
      </c>
      <c r="K976" s="101" t="str">
        <f t="shared" si="187"/>
        <v>0x0x0</v>
      </c>
      <c r="L976" s="102">
        <f t="shared" si="188"/>
        <v>0</v>
      </c>
      <c r="M976" s="113">
        <f t="shared" si="189"/>
        <v>0</v>
      </c>
      <c r="N976" s="113">
        <f t="shared" si="190"/>
        <v>0</v>
      </c>
      <c r="O976" s="99">
        <v>0</v>
      </c>
      <c r="P976" s="113">
        <f t="shared" si="191"/>
        <v>0</v>
      </c>
      <c r="Q976" s="112">
        <f t="shared" si="192"/>
        <v>0</v>
      </c>
      <c r="R976" s="112" t="str">
        <f t="shared" si="193"/>
        <v>Standard-size</v>
      </c>
      <c r="S976" s="99" t="str">
        <f t="shared" si="194"/>
        <v>Small standard-size</v>
      </c>
      <c r="T976" s="116" t="s">
        <v>13696</v>
      </c>
      <c r="U976" s="116">
        <f t="shared" si="195"/>
        <v>0</v>
      </c>
      <c r="V976" s="116" t="s">
        <v>13583</v>
      </c>
      <c r="W976" s="116" t="s">
        <v>13690</v>
      </c>
      <c r="X976" s="99" t="s">
        <v>13583</v>
      </c>
      <c r="Y976" s="99">
        <v>1</v>
      </c>
      <c r="Z976" s="99">
        <v>1</v>
      </c>
      <c r="AA976" s="99">
        <v>1</v>
      </c>
      <c r="AB976" s="99"/>
      <c r="AC976" s="99"/>
      <c r="AD976" s="107">
        <v>0</v>
      </c>
      <c r="AE976" s="113">
        <f t="shared" si="196"/>
        <v>0</v>
      </c>
      <c r="AF976" s="116">
        <f>-IFERROR(IFERROR(VLOOKUP(ROUNDUP($Q976,0),'FBA FEES'!$L$2:$Q$203,MATCH($S976,'FBA FEES'!$L$2:$Q$2,0),FALSE),VLOOKUP(ROUNDUP($Q976,0),'FBA FEES'!$C$6:$F$123,MATCH($S976,'FBA FEES'!$C$6:$F$6,0),FALSE)),0)</f>
        <v>0</v>
      </c>
      <c r="AG976" s="116">
        <v>-10</v>
      </c>
      <c r="AH976" s="113">
        <f t="shared" si="197"/>
        <v>0</v>
      </c>
      <c r="AI976" s="116">
        <f>-IFERROR(IF($Y976=1,INDEX('[1]REMOVAL FEES'!$A$1:$C$22,MATCH(CONCATENATE("Standard Size",$P976),'[1]REMOVAL FEES'!$A$1:$A$22,0),3),IF($Y976=2,IF($P976&gt;10,(($P976-10)*1.06)+INDEX('[1]REMOVAL FEES'!$E$1:$G$22,MATCH(CONCATENATE("Large bulky, extra-large and special handling items",IF($P976&gt;=11,11,$P976)),'[1]REMOVAL FEES'!$E$1:$E$13,0),3),INDEX('[1]REMOVAL FEES'!$E$1:$G$22,MATCH(CONCATENATE("Large bulky, extra-large and special handling items",IF($P976&gt;=11,11,$P976)),'[1]REMOVAL FEES'!$E$1:$E$13,0),3))))*$AA976,FALSE)</f>
        <v>0</v>
      </c>
      <c r="AJ976" s="107">
        <f t="shared" si="198"/>
        <v>0</v>
      </c>
      <c r="AK976" s="107">
        <v>0</v>
      </c>
      <c r="AL976" s="107">
        <v>0</v>
      </c>
      <c r="AM976" s="107">
        <f t="shared" si="199"/>
        <v>0</v>
      </c>
      <c r="AN976" s="116">
        <f>(-IF($V976="Yes", IF($X976="Yes", VLOOKUP($W976, '[1]Storage Fees'!A:M, 13, FALSE), VLOOKUP($W976, '[1]Storage Fees'!A:M, 10, FALSE)), IF($X976="Yes", VLOOKUP($W976, '[1]Storage Fees'!A:M, 7, FALSE), VLOOKUP($W976, '[1]Storage Fees'!A:M, 4, FALSE))) * U976)*1.5</f>
        <v>0</v>
      </c>
    </row>
    <row r="977" spans="1:40" x14ac:dyDescent="0.25">
      <c r="A977" s="99">
        <v>905</v>
      </c>
      <c r="B977" s="99" t="s">
        <v>13699</v>
      </c>
      <c r="C977" s="99"/>
      <c r="D977" s="99"/>
      <c r="E977" s="99" t="s">
        <v>278</v>
      </c>
      <c r="F977" s="99" t="s">
        <v>617</v>
      </c>
      <c r="G977" s="99" t="s">
        <v>13695</v>
      </c>
      <c r="H977" s="99">
        <v>34</v>
      </c>
      <c r="I977" s="99">
        <v>11</v>
      </c>
      <c r="J977" s="99">
        <v>8</v>
      </c>
      <c r="K977" s="101" t="str">
        <f t="shared" si="187"/>
        <v>34x11x8</v>
      </c>
      <c r="L977" s="102">
        <f t="shared" si="188"/>
        <v>21.525179856115109</v>
      </c>
      <c r="M977" s="113">
        <f t="shared" si="189"/>
        <v>21.525179856115109</v>
      </c>
      <c r="N977" s="113">
        <f t="shared" si="190"/>
        <v>22</v>
      </c>
      <c r="O977" s="99">
        <v>25</v>
      </c>
      <c r="P977" s="113">
        <f t="shared" si="191"/>
        <v>25</v>
      </c>
      <c r="Q977" s="112">
        <f t="shared" si="192"/>
        <v>400</v>
      </c>
      <c r="R977" s="112" t="str">
        <f t="shared" si="193"/>
        <v>Oversize</v>
      </c>
      <c r="S977" s="99" t="str">
        <f t="shared" si="194"/>
        <v>Large bulky</v>
      </c>
      <c r="T977" s="116" t="s">
        <v>13692</v>
      </c>
      <c r="U977" s="116">
        <f t="shared" si="195"/>
        <v>1.7314814814814814</v>
      </c>
      <c r="V977" s="116" t="s">
        <v>13583</v>
      </c>
      <c r="W977" s="116" t="s">
        <v>13690</v>
      </c>
      <c r="X977" s="116" t="s">
        <v>13691</v>
      </c>
      <c r="Y977" s="116">
        <v>2</v>
      </c>
      <c r="Z977" s="116">
        <v>3</v>
      </c>
      <c r="AA977" s="116">
        <v>1</v>
      </c>
      <c r="AB977" s="99"/>
      <c r="AC977" s="99"/>
      <c r="AD977" s="107">
        <v>0</v>
      </c>
      <c r="AE977" s="113">
        <f t="shared" si="196"/>
        <v>0</v>
      </c>
      <c r="AF977" s="116">
        <f>-IFERROR(IFERROR(VLOOKUP(ROUNDUP($Q977,0),'FBA FEES'!$L$2:$Q$203,MATCH($S977,'FBA FEES'!$L$2:$Q$2,0),FALSE),VLOOKUP(ROUNDUP($Q977,0),'FBA FEES'!$C$6:$F$123,MATCH($S977,'FBA FEES'!$C$6:$F$6,0),FALSE)),0)</f>
        <v>-18.73</v>
      </c>
      <c r="AG977" s="116">
        <v>-10</v>
      </c>
      <c r="AH977" s="113">
        <f t="shared" si="197"/>
        <v>-18.73</v>
      </c>
      <c r="AI977" s="116">
        <f>-IFERROR(IF($Y977=1,INDEX('[1]REMOVAL FEES'!$A$1:$C$22,MATCH(CONCATENATE("Standard Size",$P977),'[1]REMOVAL FEES'!$A$1:$A$22,0),3),IF($Y977=2,IF($P977&gt;10,(($P977-10)*1.06)+INDEX('[1]REMOVAL FEES'!$E$1:$G$22,MATCH(CONCATENATE("Large bulky, extra-large and special handling items",IF($P977&gt;=11,11,$P977)),'[1]REMOVAL FEES'!$E$1:$E$13,0),3),INDEX('[1]REMOVAL FEES'!$E$1:$G$22,MATCH(CONCATENATE("Large bulky, extra-large and special handling items",IF($P977&gt;=11,11,$P977)),'[1]REMOVAL FEES'!$E$1:$E$13,0),3))))*$AA977,FALSE)</f>
        <v>-30.22</v>
      </c>
      <c r="AJ977" s="107">
        <f t="shared" si="198"/>
        <v>-48.95</v>
      </c>
      <c r="AK977" s="107">
        <v>0</v>
      </c>
      <c r="AL977" s="107">
        <v>0</v>
      </c>
      <c r="AM977" s="107">
        <f t="shared" si="199"/>
        <v>0</v>
      </c>
      <c r="AN977" s="116">
        <f>(-IF($V977="Yes", IF($X977="Yes", VLOOKUP($W977, '[1]Storage Fees'!A:M, 13, FALSE), VLOOKUP($W977, '[1]Storage Fees'!A:M, 10, FALSE)), IF($X977="Yes", VLOOKUP($W977, '[1]Storage Fees'!A:M, 7, FALSE), VLOOKUP($W977, '[1]Storage Fees'!A:M, 4, FALSE))) * U977)*1.5</f>
        <v>-2.0518055555555552</v>
      </c>
    </row>
    <row r="978" spans="1:40" x14ac:dyDescent="0.25">
      <c r="A978" s="99">
        <v>906</v>
      </c>
      <c r="B978" s="99" t="s">
        <v>107</v>
      </c>
      <c r="C978" s="99"/>
      <c r="D978" s="99"/>
      <c r="E978" s="99" t="s">
        <v>278</v>
      </c>
      <c r="F978" s="99" t="s">
        <v>618</v>
      </c>
      <c r="G978" s="99" t="s">
        <v>13695</v>
      </c>
      <c r="H978" s="99">
        <v>0</v>
      </c>
      <c r="I978" s="99">
        <v>0</v>
      </c>
      <c r="J978" s="99">
        <v>0</v>
      </c>
      <c r="K978" s="101" t="str">
        <f t="shared" si="187"/>
        <v>0x0x0</v>
      </c>
      <c r="L978" s="102">
        <f t="shared" si="188"/>
        <v>0</v>
      </c>
      <c r="M978" s="113">
        <f t="shared" si="189"/>
        <v>0</v>
      </c>
      <c r="N978" s="113">
        <f t="shared" si="190"/>
        <v>0</v>
      </c>
      <c r="O978" s="99">
        <v>0</v>
      </c>
      <c r="P978" s="113">
        <f t="shared" si="191"/>
        <v>0</v>
      </c>
      <c r="Q978" s="112">
        <f t="shared" si="192"/>
        <v>0</v>
      </c>
      <c r="R978" s="112" t="str">
        <f t="shared" si="193"/>
        <v>Standard-size</v>
      </c>
      <c r="S978" s="99" t="str">
        <f t="shared" si="194"/>
        <v>Small standard-size</v>
      </c>
      <c r="T978" s="116" t="s">
        <v>13696</v>
      </c>
      <c r="U978" s="116">
        <f t="shared" si="195"/>
        <v>0</v>
      </c>
      <c r="V978" s="116" t="s">
        <v>13583</v>
      </c>
      <c r="W978" s="116" t="s">
        <v>13690</v>
      </c>
      <c r="X978" s="99" t="s">
        <v>13583</v>
      </c>
      <c r="Y978" s="99">
        <v>1</v>
      </c>
      <c r="Z978" s="99">
        <v>1</v>
      </c>
      <c r="AA978" s="99">
        <v>1</v>
      </c>
      <c r="AB978" s="99"/>
      <c r="AC978" s="99"/>
      <c r="AD978" s="107">
        <v>0</v>
      </c>
      <c r="AE978" s="113">
        <f t="shared" si="196"/>
        <v>0</v>
      </c>
      <c r="AF978" s="116">
        <f>-IFERROR(IFERROR(VLOOKUP(ROUNDUP($Q978,0),'FBA FEES'!$L$2:$Q$203,MATCH($S978,'FBA FEES'!$L$2:$Q$2,0),FALSE),VLOOKUP(ROUNDUP($Q978,0),'FBA FEES'!$C$6:$F$123,MATCH($S978,'FBA FEES'!$C$6:$F$6,0),FALSE)),0)</f>
        <v>0</v>
      </c>
      <c r="AG978" s="116">
        <v>-10</v>
      </c>
      <c r="AH978" s="113">
        <f t="shared" si="197"/>
        <v>0</v>
      </c>
      <c r="AI978" s="116">
        <f>-IFERROR(IF($Y978=1,INDEX('[1]REMOVAL FEES'!$A$1:$C$22,MATCH(CONCATENATE("Standard Size",$P978),'[1]REMOVAL FEES'!$A$1:$A$22,0),3),IF($Y978=2,IF($P978&gt;10,(($P978-10)*1.06)+INDEX('[1]REMOVAL FEES'!$E$1:$G$22,MATCH(CONCATENATE("Large bulky, extra-large and special handling items",IF($P978&gt;=11,11,$P978)),'[1]REMOVAL FEES'!$E$1:$E$13,0),3),INDEX('[1]REMOVAL FEES'!$E$1:$G$22,MATCH(CONCATENATE("Large bulky, extra-large and special handling items",IF($P978&gt;=11,11,$P978)),'[1]REMOVAL FEES'!$E$1:$E$13,0),3))))*$AA978,FALSE)</f>
        <v>0</v>
      </c>
      <c r="AJ978" s="107">
        <f t="shared" si="198"/>
        <v>0</v>
      </c>
      <c r="AK978" s="107">
        <v>0</v>
      </c>
      <c r="AL978" s="107">
        <v>0</v>
      </c>
      <c r="AM978" s="107">
        <f t="shared" si="199"/>
        <v>0</v>
      </c>
      <c r="AN978" s="116">
        <f>(-IF($V978="Yes", IF($X978="Yes", VLOOKUP($W978, '[1]Storage Fees'!A:M, 13, FALSE), VLOOKUP($W978, '[1]Storage Fees'!A:M, 10, FALSE)), IF($X978="Yes", VLOOKUP($W978, '[1]Storage Fees'!A:M, 7, FALSE), VLOOKUP($W978, '[1]Storage Fees'!A:M, 4, FALSE))) * U978)*1.5</f>
        <v>0</v>
      </c>
    </row>
    <row r="979" spans="1:40" x14ac:dyDescent="0.25">
      <c r="A979" s="99">
        <v>907</v>
      </c>
      <c r="B979" s="99" t="s">
        <v>13699</v>
      </c>
      <c r="C979" s="99"/>
      <c r="D979" s="99"/>
      <c r="E979" s="99" t="s">
        <v>278</v>
      </c>
      <c r="F979" s="99" t="s">
        <v>619</v>
      </c>
      <c r="G979" s="99" t="s">
        <v>13695</v>
      </c>
      <c r="H979" s="99">
        <v>0</v>
      </c>
      <c r="I979" s="99">
        <v>0</v>
      </c>
      <c r="J979" s="99">
        <v>0</v>
      </c>
      <c r="K979" s="101" t="str">
        <f t="shared" si="187"/>
        <v>0x0x0</v>
      </c>
      <c r="L979" s="102">
        <f t="shared" si="188"/>
        <v>0</v>
      </c>
      <c r="M979" s="113">
        <f t="shared" si="189"/>
        <v>0</v>
      </c>
      <c r="N979" s="113">
        <f t="shared" si="190"/>
        <v>0</v>
      </c>
      <c r="O979" s="99">
        <v>0</v>
      </c>
      <c r="P979" s="113">
        <f t="shared" si="191"/>
        <v>0</v>
      </c>
      <c r="Q979" s="112">
        <f t="shared" si="192"/>
        <v>0</v>
      </c>
      <c r="R979" s="112" t="str">
        <f t="shared" si="193"/>
        <v>Standard-size</v>
      </c>
      <c r="S979" s="99" t="str">
        <f t="shared" si="194"/>
        <v>Small standard-size</v>
      </c>
      <c r="T979" s="116" t="s">
        <v>13696</v>
      </c>
      <c r="U979" s="116">
        <f t="shared" si="195"/>
        <v>0</v>
      </c>
      <c r="V979" s="116" t="s">
        <v>13583</v>
      </c>
      <c r="W979" s="116" t="s">
        <v>13690</v>
      </c>
      <c r="X979" s="99" t="s">
        <v>13583</v>
      </c>
      <c r="Y979" s="99">
        <v>1</v>
      </c>
      <c r="Z979" s="99">
        <v>1</v>
      </c>
      <c r="AA979" s="99">
        <v>1</v>
      </c>
      <c r="AB979" s="99"/>
      <c r="AC979" s="99"/>
      <c r="AD979" s="107">
        <v>0</v>
      </c>
      <c r="AE979" s="113">
        <f t="shared" si="196"/>
        <v>0</v>
      </c>
      <c r="AF979" s="116">
        <f>-IFERROR(IFERROR(VLOOKUP(ROUNDUP($Q979,0),'FBA FEES'!$L$2:$Q$203,MATCH($S979,'FBA FEES'!$L$2:$Q$2,0),FALSE),VLOOKUP(ROUNDUP($Q979,0),'FBA FEES'!$C$6:$F$123,MATCH($S979,'FBA FEES'!$C$6:$F$6,0),FALSE)),0)</f>
        <v>0</v>
      </c>
      <c r="AG979" s="116">
        <v>-10</v>
      </c>
      <c r="AH979" s="113">
        <f t="shared" si="197"/>
        <v>0</v>
      </c>
      <c r="AI979" s="116">
        <f>-IFERROR(IF($Y979=1,INDEX('[1]REMOVAL FEES'!$A$1:$C$22,MATCH(CONCATENATE("Standard Size",$P979),'[1]REMOVAL FEES'!$A$1:$A$22,0),3),IF($Y979=2,IF($P979&gt;10,(($P979-10)*1.06)+INDEX('[1]REMOVAL FEES'!$E$1:$G$22,MATCH(CONCATENATE("Large bulky, extra-large and special handling items",IF($P979&gt;=11,11,$P979)),'[1]REMOVAL FEES'!$E$1:$E$13,0),3),INDEX('[1]REMOVAL FEES'!$E$1:$G$22,MATCH(CONCATENATE("Large bulky, extra-large and special handling items",IF($P979&gt;=11,11,$P979)),'[1]REMOVAL FEES'!$E$1:$E$13,0),3))))*$AA979,FALSE)</f>
        <v>0</v>
      </c>
      <c r="AJ979" s="107">
        <f t="shared" si="198"/>
        <v>0</v>
      </c>
      <c r="AK979" s="107">
        <v>0</v>
      </c>
      <c r="AL979" s="107">
        <v>0</v>
      </c>
      <c r="AM979" s="107">
        <f t="shared" si="199"/>
        <v>0</v>
      </c>
      <c r="AN979" s="116">
        <f>(-IF($V979="Yes", IF($X979="Yes", VLOOKUP($W979, '[1]Storage Fees'!A:M, 13, FALSE), VLOOKUP($W979, '[1]Storage Fees'!A:M, 10, FALSE)), IF($X979="Yes", VLOOKUP($W979, '[1]Storage Fees'!A:M, 7, FALSE), VLOOKUP($W979, '[1]Storage Fees'!A:M, 4, FALSE))) * U979)*1.5</f>
        <v>0</v>
      </c>
    </row>
    <row r="980" spans="1:40" x14ac:dyDescent="0.25">
      <c r="A980" s="99">
        <v>908</v>
      </c>
      <c r="B980" s="99" t="s">
        <v>13700</v>
      </c>
      <c r="C980" s="99"/>
      <c r="D980" s="99"/>
      <c r="E980" s="99" t="s">
        <v>278</v>
      </c>
      <c r="F980" s="99" t="s">
        <v>620</v>
      </c>
      <c r="G980" s="99" t="s">
        <v>13695</v>
      </c>
      <c r="H980" s="99">
        <v>20</v>
      </c>
      <c r="I980" s="99">
        <v>20</v>
      </c>
      <c r="J980" s="99">
        <v>6</v>
      </c>
      <c r="K980" s="101" t="str">
        <f t="shared" si="187"/>
        <v>20x20x6</v>
      </c>
      <c r="L980" s="102">
        <f t="shared" si="188"/>
        <v>17.266187050359711</v>
      </c>
      <c r="M980" s="113">
        <f t="shared" si="189"/>
        <v>17.266187050359711</v>
      </c>
      <c r="N980" s="113">
        <f t="shared" si="190"/>
        <v>18</v>
      </c>
      <c r="O980" s="99">
        <v>8</v>
      </c>
      <c r="P980" s="113">
        <f t="shared" si="191"/>
        <v>18</v>
      </c>
      <c r="Q980" s="112">
        <f t="shared" si="192"/>
        <v>288</v>
      </c>
      <c r="R980" s="112" t="str">
        <f t="shared" si="193"/>
        <v>Oversize</v>
      </c>
      <c r="S980" s="99" t="str">
        <f t="shared" si="194"/>
        <v>Large bulky</v>
      </c>
      <c r="T980" s="116" t="s">
        <v>13692</v>
      </c>
      <c r="U980" s="116">
        <f t="shared" si="195"/>
        <v>1.3888888888888888</v>
      </c>
      <c r="V980" s="116" t="s">
        <v>13583</v>
      </c>
      <c r="W980" s="116" t="s">
        <v>13690</v>
      </c>
      <c r="X980" s="116" t="s">
        <v>13691</v>
      </c>
      <c r="Y980" s="116">
        <v>2</v>
      </c>
      <c r="Z980" s="116">
        <v>3</v>
      </c>
      <c r="AA980" s="116">
        <v>1</v>
      </c>
      <c r="AB980" s="99"/>
      <c r="AC980" s="99"/>
      <c r="AD980" s="107">
        <v>0</v>
      </c>
      <c r="AE980" s="113">
        <f t="shared" si="196"/>
        <v>0</v>
      </c>
      <c r="AF980" s="116">
        <f>-IFERROR(IFERROR(VLOOKUP(ROUNDUP($Q980,0),'FBA FEES'!$L$2:$Q$203,MATCH($S980,'FBA FEES'!$L$2:$Q$2,0),FALSE),VLOOKUP(ROUNDUP($Q980,0),'FBA FEES'!$C$6:$F$123,MATCH($S980,'FBA FEES'!$C$6:$F$6,0),FALSE)),0)</f>
        <v>-16.07</v>
      </c>
      <c r="AG980" s="116">
        <v>-10</v>
      </c>
      <c r="AH980" s="113">
        <f t="shared" si="197"/>
        <v>-16.07</v>
      </c>
      <c r="AI980" s="116">
        <f>-IFERROR(IF($Y980=1,INDEX('[1]REMOVAL FEES'!$A$1:$C$22,MATCH(CONCATENATE("Standard Size",$P980),'[1]REMOVAL FEES'!$A$1:$A$22,0),3),IF($Y980=2,IF($P980&gt;10,(($P980-10)*1.06)+INDEX('[1]REMOVAL FEES'!$E$1:$G$22,MATCH(CONCATENATE("Large bulky, extra-large and special handling items",IF($P980&gt;=11,11,$P980)),'[1]REMOVAL FEES'!$E$1:$E$13,0),3),INDEX('[1]REMOVAL FEES'!$E$1:$G$22,MATCH(CONCATENATE("Large bulky, extra-large and special handling items",IF($P980&gt;=11,11,$P980)),'[1]REMOVAL FEES'!$E$1:$E$13,0),3))))*$AA980,FALSE)</f>
        <v>-22.8</v>
      </c>
      <c r="AJ980" s="107">
        <f t="shared" si="198"/>
        <v>-38.870000000000005</v>
      </c>
      <c r="AK980" s="107">
        <v>0</v>
      </c>
      <c r="AL980" s="107">
        <v>0</v>
      </c>
      <c r="AM980" s="107">
        <f t="shared" si="199"/>
        <v>0</v>
      </c>
      <c r="AN980" s="116">
        <f>(-IF($V980="Yes", IF($X980="Yes", VLOOKUP($W980, '[1]Storage Fees'!A:M, 13, FALSE), VLOOKUP($W980, '[1]Storage Fees'!A:M, 10, FALSE)), IF($X980="Yes", VLOOKUP($W980, '[1]Storage Fees'!A:M, 7, FALSE), VLOOKUP($W980, '[1]Storage Fees'!A:M, 4, FALSE))) * U980)*1.5</f>
        <v>-1.6458333333333335</v>
      </c>
    </row>
    <row r="981" spans="1:40" x14ac:dyDescent="0.25">
      <c r="A981" s="99">
        <v>909</v>
      </c>
      <c r="B981" s="99" t="s">
        <v>13700</v>
      </c>
      <c r="C981" s="99"/>
      <c r="D981" s="99"/>
      <c r="E981" s="99" t="s">
        <v>278</v>
      </c>
      <c r="F981" s="99" t="s">
        <v>621</v>
      </c>
      <c r="G981" s="99" t="s">
        <v>13695</v>
      </c>
      <c r="H981" s="99">
        <v>28</v>
      </c>
      <c r="I981" s="99">
        <v>28</v>
      </c>
      <c r="J981" s="99">
        <v>8</v>
      </c>
      <c r="K981" s="101" t="str">
        <f t="shared" si="187"/>
        <v>28x28x8</v>
      </c>
      <c r="L981" s="102">
        <f t="shared" si="188"/>
        <v>45.122302158273378</v>
      </c>
      <c r="M981" s="113">
        <f t="shared" si="189"/>
        <v>45.122302158273378</v>
      </c>
      <c r="N981" s="113">
        <f t="shared" si="190"/>
        <v>46</v>
      </c>
      <c r="O981" s="99">
        <v>21</v>
      </c>
      <c r="P981" s="113">
        <f t="shared" si="191"/>
        <v>46</v>
      </c>
      <c r="Q981" s="112">
        <f t="shared" si="192"/>
        <v>736</v>
      </c>
      <c r="R981" s="112" t="str">
        <f t="shared" si="193"/>
        <v>Oversize</v>
      </c>
      <c r="S981" s="99" t="str">
        <f t="shared" si="194"/>
        <v>Large bulky</v>
      </c>
      <c r="T981" s="116" t="s">
        <v>13694</v>
      </c>
      <c r="U981" s="116">
        <f t="shared" si="195"/>
        <v>3.6296296296296298</v>
      </c>
      <c r="V981" s="116" t="s">
        <v>13583</v>
      </c>
      <c r="W981" s="116" t="s">
        <v>13690</v>
      </c>
      <c r="X981" s="116" t="s">
        <v>13691</v>
      </c>
      <c r="Y981" s="116">
        <v>2</v>
      </c>
      <c r="Z981" s="116">
        <v>3</v>
      </c>
      <c r="AA981" s="116">
        <v>1</v>
      </c>
      <c r="AB981" s="99"/>
      <c r="AC981" s="99"/>
      <c r="AD981" s="107">
        <v>0</v>
      </c>
      <c r="AE981" s="113">
        <f t="shared" si="196"/>
        <v>0</v>
      </c>
      <c r="AF981" s="116">
        <f>-IFERROR(IFERROR(VLOOKUP(ROUNDUP($Q981,0),'FBA FEES'!$L$2:$Q$203,MATCH($S981,'FBA FEES'!$L$2:$Q$2,0),FALSE),VLOOKUP(ROUNDUP($Q981,0),'FBA FEES'!$C$6:$F$123,MATCH($S981,'FBA FEES'!$C$6:$F$6,0),FALSE)),0)</f>
        <v>-26.71</v>
      </c>
      <c r="AG981" s="116">
        <v>-10</v>
      </c>
      <c r="AH981" s="113">
        <f t="shared" si="197"/>
        <v>-26.71</v>
      </c>
      <c r="AI981" s="116">
        <f>-IFERROR(IF($Y981=1,INDEX('[1]REMOVAL FEES'!$A$1:$C$22,MATCH(CONCATENATE("Standard Size",$P981),'[1]REMOVAL FEES'!$A$1:$A$22,0),3),IF($Y981=2,IF($P981&gt;10,(($P981-10)*1.06)+INDEX('[1]REMOVAL FEES'!$E$1:$G$22,MATCH(CONCATENATE("Large bulky, extra-large and special handling items",IF($P981&gt;=11,11,$P981)),'[1]REMOVAL FEES'!$E$1:$E$13,0),3),INDEX('[1]REMOVAL FEES'!$E$1:$G$22,MATCH(CONCATENATE("Large bulky, extra-large and special handling items",IF($P981&gt;=11,11,$P981)),'[1]REMOVAL FEES'!$E$1:$E$13,0),3))))*$AA981,FALSE)</f>
        <v>-52.480000000000004</v>
      </c>
      <c r="AJ981" s="107">
        <f t="shared" si="198"/>
        <v>-79.19</v>
      </c>
      <c r="AK981" s="107">
        <v>0</v>
      </c>
      <c r="AL981" s="107">
        <v>0</v>
      </c>
      <c r="AM981" s="107">
        <f t="shared" si="199"/>
        <v>0</v>
      </c>
      <c r="AN981" s="116">
        <f>(-IF($V981="Yes", IF($X981="Yes", VLOOKUP($W981, '[1]Storage Fees'!A:M, 13, FALSE), VLOOKUP($W981, '[1]Storage Fees'!A:M, 10, FALSE)), IF($X981="Yes", VLOOKUP($W981, '[1]Storage Fees'!A:M, 7, FALSE), VLOOKUP($W981, '[1]Storage Fees'!A:M, 4, FALSE))) * U981)*1.5</f>
        <v>-4.301111111111112</v>
      </c>
    </row>
    <row r="982" spans="1:40" x14ac:dyDescent="0.25">
      <c r="A982" s="99">
        <v>910</v>
      </c>
      <c r="B982" s="99" t="s">
        <v>13700</v>
      </c>
      <c r="C982" s="99"/>
      <c r="D982" s="99"/>
      <c r="E982" s="99" t="s">
        <v>278</v>
      </c>
      <c r="F982" s="99" t="s">
        <v>622</v>
      </c>
      <c r="G982" s="99" t="s">
        <v>13695</v>
      </c>
      <c r="H982" s="99">
        <v>30</v>
      </c>
      <c r="I982" s="99">
        <v>30</v>
      </c>
      <c r="J982" s="99">
        <v>9</v>
      </c>
      <c r="K982" s="101" t="str">
        <f t="shared" si="187"/>
        <v>30x30x9</v>
      </c>
      <c r="L982" s="102">
        <f t="shared" si="188"/>
        <v>58.273381294964025</v>
      </c>
      <c r="M982" s="113">
        <f t="shared" si="189"/>
        <v>58.273381294964025</v>
      </c>
      <c r="N982" s="113">
        <f t="shared" si="190"/>
        <v>59</v>
      </c>
      <c r="O982" s="99">
        <v>25</v>
      </c>
      <c r="P982" s="113">
        <f t="shared" si="191"/>
        <v>59</v>
      </c>
      <c r="Q982" s="112">
        <f t="shared" si="192"/>
        <v>944</v>
      </c>
      <c r="R982" s="112" t="str">
        <f t="shared" si="193"/>
        <v>Oversize</v>
      </c>
      <c r="S982" s="99" t="str">
        <f t="shared" si="194"/>
        <v>Extra-large 50+ to 70 lb</v>
      </c>
      <c r="T982" s="116" t="s">
        <v>13689</v>
      </c>
      <c r="U982" s="116">
        <f t="shared" si="195"/>
        <v>4.6875</v>
      </c>
      <c r="V982" s="116" t="s">
        <v>13583</v>
      </c>
      <c r="W982" s="116" t="s">
        <v>13690</v>
      </c>
      <c r="X982" s="116" t="s">
        <v>13691</v>
      </c>
      <c r="Y982" s="116">
        <v>2</v>
      </c>
      <c r="Z982" s="116">
        <v>5</v>
      </c>
      <c r="AA982" s="116">
        <v>1</v>
      </c>
      <c r="AB982" s="99"/>
      <c r="AC982" s="99"/>
      <c r="AD982" s="107">
        <v>0</v>
      </c>
      <c r="AE982" s="113">
        <f t="shared" si="196"/>
        <v>0</v>
      </c>
      <c r="AF982" s="116">
        <f>-IFERROR(IFERROR(VLOOKUP(ROUNDUP($Q982,0),'FBA FEES'!$L$2:$Q$203,MATCH($S982,'FBA FEES'!$L$2:$Q$2,0),FALSE),VLOOKUP(ROUNDUP($Q982,0),'FBA FEES'!$C$6:$F$123,MATCH($S982,'FBA FEES'!$C$6:$F$6,0),FALSE)),0)</f>
        <v>-46.12</v>
      </c>
      <c r="AG982" s="116">
        <v>-10</v>
      </c>
      <c r="AH982" s="113">
        <f t="shared" si="197"/>
        <v>-46.12</v>
      </c>
      <c r="AI982" s="116">
        <f>-IFERROR(IF($Y982=1,INDEX('[1]REMOVAL FEES'!$A$1:$C$22,MATCH(CONCATENATE("Standard Size",$P982),'[1]REMOVAL FEES'!$A$1:$A$22,0),3),IF($Y982=2,IF($P982&gt;10,(($P982-10)*1.06)+INDEX('[1]REMOVAL FEES'!$E$1:$G$22,MATCH(CONCATENATE("Large bulky, extra-large and special handling items",IF($P982&gt;=11,11,$P982)),'[1]REMOVAL FEES'!$E$1:$E$13,0),3),INDEX('[1]REMOVAL FEES'!$E$1:$G$22,MATCH(CONCATENATE("Large bulky, extra-large and special handling items",IF($P982&gt;=11,11,$P982)),'[1]REMOVAL FEES'!$E$1:$E$13,0),3))))*$AA982,FALSE)</f>
        <v>-66.260000000000005</v>
      </c>
      <c r="AJ982" s="107">
        <f t="shared" si="198"/>
        <v>-112.38</v>
      </c>
      <c r="AK982" s="107">
        <v>0</v>
      </c>
      <c r="AL982" s="107">
        <v>0</v>
      </c>
      <c r="AM982" s="107">
        <f t="shared" si="199"/>
        <v>0</v>
      </c>
      <c r="AN982" s="116">
        <f>(-IF($V982="Yes", IF($X982="Yes", VLOOKUP($W982, '[1]Storage Fees'!A:M, 13, FALSE), VLOOKUP($W982, '[1]Storage Fees'!A:M, 10, FALSE)), IF($X982="Yes", VLOOKUP($W982, '[1]Storage Fees'!A:M, 7, FALSE), VLOOKUP($W982, '[1]Storage Fees'!A:M, 4, FALSE))) * U982)*1.5</f>
        <v>-5.5546875</v>
      </c>
    </row>
    <row r="983" spans="1:40" x14ac:dyDescent="0.25">
      <c r="A983" s="99">
        <v>911</v>
      </c>
      <c r="B983" s="99" t="s">
        <v>13700</v>
      </c>
      <c r="C983" s="99"/>
      <c r="D983" s="99"/>
      <c r="E983" s="99" t="s">
        <v>278</v>
      </c>
      <c r="F983" s="99" t="s">
        <v>623</v>
      </c>
      <c r="G983" s="99" t="s">
        <v>13695</v>
      </c>
      <c r="H983" s="99">
        <v>32</v>
      </c>
      <c r="I983" s="99">
        <v>32</v>
      </c>
      <c r="J983" s="99">
        <v>8</v>
      </c>
      <c r="K983" s="101" t="str">
        <f t="shared" si="187"/>
        <v>32x32x8</v>
      </c>
      <c r="L983" s="102">
        <f t="shared" si="188"/>
        <v>58.935251798561154</v>
      </c>
      <c r="M983" s="113">
        <f t="shared" si="189"/>
        <v>58.935251798561154</v>
      </c>
      <c r="N983" s="113">
        <f t="shared" si="190"/>
        <v>59</v>
      </c>
      <c r="O983" s="99">
        <v>25</v>
      </c>
      <c r="P983" s="113">
        <f t="shared" si="191"/>
        <v>59</v>
      </c>
      <c r="Q983" s="112">
        <f t="shared" si="192"/>
        <v>944</v>
      </c>
      <c r="R983" s="112" t="str">
        <f t="shared" si="193"/>
        <v>Oversize</v>
      </c>
      <c r="S983" s="99" t="str">
        <f t="shared" si="194"/>
        <v>Extra-large 50+ to 70 lb</v>
      </c>
      <c r="T983" s="116" t="s">
        <v>13689</v>
      </c>
      <c r="U983" s="116">
        <f t="shared" si="195"/>
        <v>4.7407407407407405</v>
      </c>
      <c r="V983" s="116" t="s">
        <v>13583</v>
      </c>
      <c r="W983" s="116" t="s">
        <v>13690</v>
      </c>
      <c r="X983" s="116" t="s">
        <v>13691</v>
      </c>
      <c r="Y983" s="116">
        <v>2</v>
      </c>
      <c r="Z983" s="116">
        <v>5</v>
      </c>
      <c r="AA983" s="116">
        <v>1</v>
      </c>
      <c r="AB983" s="99"/>
      <c r="AC983" s="99"/>
      <c r="AD983" s="107">
        <v>0</v>
      </c>
      <c r="AE983" s="113">
        <f t="shared" si="196"/>
        <v>0</v>
      </c>
      <c r="AF983" s="116">
        <f>-IFERROR(IFERROR(VLOOKUP(ROUNDUP($Q983,0),'FBA FEES'!$L$2:$Q$203,MATCH($S983,'FBA FEES'!$L$2:$Q$2,0),FALSE),VLOOKUP(ROUNDUP($Q983,0),'FBA FEES'!$C$6:$F$123,MATCH($S983,'FBA FEES'!$C$6:$F$6,0),FALSE)),0)</f>
        <v>-46.12</v>
      </c>
      <c r="AG983" s="116">
        <v>-10</v>
      </c>
      <c r="AH983" s="113">
        <f t="shared" si="197"/>
        <v>-46.12</v>
      </c>
      <c r="AI983" s="116">
        <f>-IFERROR(IF($Y983=1,INDEX('[1]REMOVAL FEES'!$A$1:$C$22,MATCH(CONCATENATE("Standard Size",$P983),'[1]REMOVAL FEES'!$A$1:$A$22,0),3),IF($Y983=2,IF($P983&gt;10,(($P983-10)*1.06)+INDEX('[1]REMOVAL FEES'!$E$1:$G$22,MATCH(CONCATENATE("Large bulky, extra-large and special handling items",IF($P983&gt;=11,11,$P983)),'[1]REMOVAL FEES'!$E$1:$E$13,0),3),INDEX('[1]REMOVAL FEES'!$E$1:$G$22,MATCH(CONCATENATE("Large bulky, extra-large and special handling items",IF($P983&gt;=11,11,$P983)),'[1]REMOVAL FEES'!$E$1:$E$13,0),3))))*$AA983,FALSE)</f>
        <v>-66.260000000000005</v>
      </c>
      <c r="AJ983" s="107">
        <f t="shared" si="198"/>
        <v>-112.38</v>
      </c>
      <c r="AK983" s="107">
        <v>0</v>
      </c>
      <c r="AL983" s="107">
        <v>0</v>
      </c>
      <c r="AM983" s="107">
        <f t="shared" si="199"/>
        <v>0</v>
      </c>
      <c r="AN983" s="116">
        <f>(-IF($V983="Yes", IF($X983="Yes", VLOOKUP($W983, '[1]Storage Fees'!A:M, 13, FALSE), VLOOKUP($W983, '[1]Storage Fees'!A:M, 10, FALSE)), IF($X983="Yes", VLOOKUP($W983, '[1]Storage Fees'!A:M, 7, FALSE), VLOOKUP($W983, '[1]Storage Fees'!A:M, 4, FALSE))) * U983)*1.5</f>
        <v>-5.6177777777777775</v>
      </c>
    </row>
    <row r="984" spans="1:40" x14ac:dyDescent="0.25">
      <c r="A984" s="99">
        <v>912</v>
      </c>
      <c r="B984" s="99" t="s">
        <v>13699</v>
      </c>
      <c r="C984" s="99"/>
      <c r="D984" s="99"/>
      <c r="E984" s="99" t="s">
        <v>278</v>
      </c>
      <c r="F984" s="99" t="s">
        <v>624</v>
      </c>
      <c r="G984" s="99" t="s">
        <v>13695</v>
      </c>
      <c r="H984" s="99">
        <v>18</v>
      </c>
      <c r="I984" s="99">
        <v>18</v>
      </c>
      <c r="J984" s="99">
        <v>4</v>
      </c>
      <c r="K984" s="101" t="str">
        <f t="shared" si="187"/>
        <v>18x18x4</v>
      </c>
      <c r="L984" s="102">
        <f t="shared" si="188"/>
        <v>9.3237410071942453</v>
      </c>
      <c r="M984" s="113">
        <f t="shared" si="189"/>
        <v>9.3237410071942453</v>
      </c>
      <c r="N984" s="113">
        <f t="shared" si="190"/>
        <v>10</v>
      </c>
      <c r="O984" s="99">
        <v>8</v>
      </c>
      <c r="P984" s="113">
        <f t="shared" si="191"/>
        <v>10</v>
      </c>
      <c r="Q984" s="112">
        <f t="shared" si="192"/>
        <v>160</v>
      </c>
      <c r="R984" s="112" t="str">
        <f t="shared" si="193"/>
        <v>Oversize</v>
      </c>
      <c r="S984" s="99" t="str">
        <f t="shared" si="194"/>
        <v>Large bulky</v>
      </c>
      <c r="T984" s="116" t="s">
        <v>13692</v>
      </c>
      <c r="U984" s="116">
        <f t="shared" si="195"/>
        <v>0.75</v>
      </c>
      <c r="V984" s="116" t="s">
        <v>13583</v>
      </c>
      <c r="W984" s="116" t="s">
        <v>13690</v>
      </c>
      <c r="X984" s="116" t="s">
        <v>13691</v>
      </c>
      <c r="Y984" s="116">
        <v>2</v>
      </c>
      <c r="Z984" s="116">
        <v>3</v>
      </c>
      <c r="AA984" s="116">
        <v>1</v>
      </c>
      <c r="AB984" s="99"/>
      <c r="AC984" s="99"/>
      <c r="AD984" s="107">
        <v>0</v>
      </c>
      <c r="AE984" s="113">
        <f t="shared" si="196"/>
        <v>0</v>
      </c>
      <c r="AF984" s="116">
        <f>-IFERROR(IFERROR(VLOOKUP(ROUNDUP($Q984,0),'FBA FEES'!$L$2:$Q$203,MATCH($S984,'FBA FEES'!$L$2:$Q$2,0),FALSE),VLOOKUP(ROUNDUP($Q984,0),'FBA FEES'!$C$6:$F$123,MATCH($S984,'FBA FEES'!$C$6:$F$6,0),FALSE)),0)</f>
        <v>-13.03</v>
      </c>
      <c r="AG984" s="116">
        <v>-10</v>
      </c>
      <c r="AH984" s="113">
        <f t="shared" si="197"/>
        <v>-13.03</v>
      </c>
      <c r="AI984" s="116">
        <f>-IFERROR(IF($Y984=1,INDEX('[1]REMOVAL FEES'!$A$1:$C$22,MATCH(CONCATENATE("Standard Size",$P984),'[1]REMOVAL FEES'!$A$1:$A$22,0),3),IF($Y984=2,IF($P984&gt;10,(($P984-10)*1.06)+INDEX('[1]REMOVAL FEES'!$E$1:$G$22,MATCH(CONCATENATE("Large bulky, extra-large and special handling items",IF($P984&gt;=11,11,$P984)),'[1]REMOVAL FEES'!$E$1:$E$13,0),3),INDEX('[1]REMOVAL FEES'!$E$1:$G$22,MATCH(CONCATENATE("Large bulky, extra-large and special handling items",IF($P984&gt;=11,11,$P984)),'[1]REMOVAL FEES'!$E$1:$E$13,0),3))))*$AA984,FALSE)</f>
        <v>-10.039999999999999</v>
      </c>
      <c r="AJ984" s="107">
        <f t="shared" si="198"/>
        <v>-23.07</v>
      </c>
      <c r="AK984" s="107">
        <v>0</v>
      </c>
      <c r="AL984" s="107">
        <v>0</v>
      </c>
      <c r="AM984" s="107">
        <f t="shared" si="199"/>
        <v>0</v>
      </c>
      <c r="AN984" s="116">
        <f>(-IF($V984="Yes", IF($X984="Yes", VLOOKUP($W984, '[1]Storage Fees'!A:M, 13, FALSE), VLOOKUP($W984, '[1]Storage Fees'!A:M, 10, FALSE)), IF($X984="Yes", VLOOKUP($W984, '[1]Storage Fees'!A:M, 7, FALSE), VLOOKUP($W984, '[1]Storage Fees'!A:M, 4, FALSE))) * U984)*1.5</f>
        <v>-0.88875000000000004</v>
      </c>
    </row>
    <row r="985" spans="1:40" x14ac:dyDescent="0.25">
      <c r="A985" s="99">
        <v>913</v>
      </c>
      <c r="B985" s="99" t="s">
        <v>13699</v>
      </c>
      <c r="C985" s="99"/>
      <c r="D985" s="99"/>
      <c r="E985" s="99" t="s">
        <v>278</v>
      </c>
      <c r="F985" s="99" t="s">
        <v>625</v>
      </c>
      <c r="G985" s="99" t="s">
        <v>13695</v>
      </c>
      <c r="H985" s="99">
        <v>22</v>
      </c>
      <c r="I985" s="99">
        <v>22</v>
      </c>
      <c r="J985" s="99">
        <v>4</v>
      </c>
      <c r="K985" s="101" t="str">
        <f t="shared" si="187"/>
        <v>22x22x4</v>
      </c>
      <c r="L985" s="102">
        <f t="shared" si="188"/>
        <v>13.928057553956835</v>
      </c>
      <c r="M985" s="113">
        <f t="shared" si="189"/>
        <v>13.928057553956835</v>
      </c>
      <c r="N985" s="113">
        <f t="shared" si="190"/>
        <v>14</v>
      </c>
      <c r="O985" s="99">
        <v>11</v>
      </c>
      <c r="P985" s="113">
        <f t="shared" si="191"/>
        <v>14</v>
      </c>
      <c r="Q985" s="112">
        <f t="shared" si="192"/>
        <v>224</v>
      </c>
      <c r="R985" s="112" t="str">
        <f t="shared" si="193"/>
        <v>Oversize</v>
      </c>
      <c r="S985" s="99" t="str">
        <f t="shared" si="194"/>
        <v>Large bulky</v>
      </c>
      <c r="T985" s="116" t="s">
        <v>13692</v>
      </c>
      <c r="U985" s="116">
        <f t="shared" si="195"/>
        <v>1.1203703703703705</v>
      </c>
      <c r="V985" s="116" t="s">
        <v>13583</v>
      </c>
      <c r="W985" s="116" t="s">
        <v>13690</v>
      </c>
      <c r="X985" s="116" t="s">
        <v>13691</v>
      </c>
      <c r="Y985" s="116">
        <v>2</v>
      </c>
      <c r="Z985" s="116">
        <v>3</v>
      </c>
      <c r="AA985" s="116">
        <v>1</v>
      </c>
      <c r="AB985" s="99"/>
      <c r="AC985" s="99"/>
      <c r="AD985" s="107">
        <v>0</v>
      </c>
      <c r="AE985" s="113">
        <f t="shared" si="196"/>
        <v>0</v>
      </c>
      <c r="AF985" s="116">
        <f>-IFERROR(IFERROR(VLOOKUP(ROUNDUP($Q985,0),'FBA FEES'!$L$2:$Q$203,MATCH($S985,'FBA FEES'!$L$2:$Q$2,0),FALSE),VLOOKUP(ROUNDUP($Q985,0),'FBA FEES'!$C$6:$F$123,MATCH($S985,'FBA FEES'!$C$6:$F$6,0),FALSE)),0)</f>
        <v>-14.55</v>
      </c>
      <c r="AG985" s="116">
        <v>-10</v>
      </c>
      <c r="AH985" s="113">
        <f t="shared" si="197"/>
        <v>-14.55</v>
      </c>
      <c r="AI985" s="116">
        <f>-IFERROR(IF($Y985=1,INDEX('[1]REMOVAL FEES'!$A$1:$C$22,MATCH(CONCATENATE("Standard Size",$P985),'[1]REMOVAL FEES'!$A$1:$A$22,0),3),IF($Y985=2,IF($P985&gt;10,(($P985-10)*1.06)+INDEX('[1]REMOVAL FEES'!$E$1:$G$22,MATCH(CONCATENATE("Large bulky, extra-large and special handling items",IF($P985&gt;=11,11,$P985)),'[1]REMOVAL FEES'!$E$1:$E$13,0),3),INDEX('[1]REMOVAL FEES'!$E$1:$G$22,MATCH(CONCATENATE("Large bulky, extra-large and special handling items",IF($P985&gt;=11,11,$P985)),'[1]REMOVAL FEES'!$E$1:$E$13,0),3))))*$AA985,FALSE)</f>
        <v>-18.560000000000002</v>
      </c>
      <c r="AJ985" s="107">
        <f t="shared" si="198"/>
        <v>-33.11</v>
      </c>
      <c r="AK985" s="107">
        <v>0</v>
      </c>
      <c r="AL985" s="107">
        <v>0</v>
      </c>
      <c r="AM985" s="107">
        <f t="shared" si="199"/>
        <v>0</v>
      </c>
      <c r="AN985" s="116">
        <f>(-IF($V985="Yes", IF($X985="Yes", VLOOKUP($W985, '[1]Storage Fees'!A:M, 13, FALSE), VLOOKUP($W985, '[1]Storage Fees'!A:M, 10, FALSE)), IF($X985="Yes", VLOOKUP($W985, '[1]Storage Fees'!A:M, 7, FALSE), VLOOKUP($W985, '[1]Storage Fees'!A:M, 4, FALSE))) * U985)*1.5</f>
        <v>-1.327638888888889</v>
      </c>
    </row>
    <row r="986" spans="1:40" x14ac:dyDescent="0.25">
      <c r="A986" s="99">
        <v>914</v>
      </c>
      <c r="B986" s="99" t="s">
        <v>13699</v>
      </c>
      <c r="C986" s="99"/>
      <c r="D986" s="99"/>
      <c r="E986" s="99" t="s">
        <v>278</v>
      </c>
      <c r="F986" s="99" t="s">
        <v>626</v>
      </c>
      <c r="G986" s="99" t="s">
        <v>13695</v>
      </c>
      <c r="H986" s="99">
        <v>28</v>
      </c>
      <c r="I986" s="99">
        <v>28</v>
      </c>
      <c r="J986" s="99">
        <v>4</v>
      </c>
      <c r="K986" s="101" t="str">
        <f t="shared" si="187"/>
        <v>28x28x4</v>
      </c>
      <c r="L986" s="102">
        <f t="shared" si="188"/>
        <v>22.561151079136689</v>
      </c>
      <c r="M986" s="113">
        <f t="shared" si="189"/>
        <v>22.561151079136689</v>
      </c>
      <c r="N986" s="113">
        <f t="shared" si="190"/>
        <v>23</v>
      </c>
      <c r="O986" s="99">
        <v>17</v>
      </c>
      <c r="P986" s="113">
        <f t="shared" si="191"/>
        <v>23</v>
      </c>
      <c r="Q986" s="112">
        <f t="shared" si="192"/>
        <v>368</v>
      </c>
      <c r="R986" s="112" t="str">
        <f t="shared" si="193"/>
        <v>Oversize</v>
      </c>
      <c r="S986" s="99" t="str">
        <f t="shared" si="194"/>
        <v>Large bulky</v>
      </c>
      <c r="T986" s="116" t="s">
        <v>13692</v>
      </c>
      <c r="U986" s="116">
        <f t="shared" si="195"/>
        <v>1.8148148148148149</v>
      </c>
      <c r="V986" s="116" t="s">
        <v>13583</v>
      </c>
      <c r="W986" s="116" t="s">
        <v>13690</v>
      </c>
      <c r="X986" s="116" t="s">
        <v>13691</v>
      </c>
      <c r="Y986" s="116">
        <v>2</v>
      </c>
      <c r="Z986" s="116">
        <v>3</v>
      </c>
      <c r="AA986" s="116">
        <v>1</v>
      </c>
      <c r="AB986" s="99"/>
      <c r="AC986" s="99"/>
      <c r="AD986" s="107">
        <v>0</v>
      </c>
      <c r="AE986" s="113">
        <f t="shared" si="196"/>
        <v>0</v>
      </c>
      <c r="AF986" s="116">
        <f>-IFERROR(IFERROR(VLOOKUP(ROUNDUP($Q986,0),'FBA FEES'!$L$2:$Q$203,MATCH($S986,'FBA FEES'!$L$2:$Q$2,0),FALSE),VLOOKUP(ROUNDUP($Q986,0),'FBA FEES'!$C$6:$F$123,MATCH($S986,'FBA FEES'!$C$6:$F$6,0),FALSE)),0)</f>
        <v>-17.97</v>
      </c>
      <c r="AG986" s="116">
        <v>-10</v>
      </c>
      <c r="AH986" s="113">
        <f t="shared" si="197"/>
        <v>-17.97</v>
      </c>
      <c r="AI986" s="116">
        <f>-IFERROR(IF($Y986=1,INDEX('[1]REMOVAL FEES'!$A$1:$C$22,MATCH(CONCATENATE("Standard Size",$P986),'[1]REMOVAL FEES'!$A$1:$A$22,0),3),IF($Y986=2,IF($P986&gt;10,(($P986-10)*1.06)+INDEX('[1]REMOVAL FEES'!$E$1:$G$22,MATCH(CONCATENATE("Large bulky, extra-large and special handling items",IF($P986&gt;=11,11,$P986)),'[1]REMOVAL FEES'!$E$1:$E$13,0),3),INDEX('[1]REMOVAL FEES'!$E$1:$G$22,MATCH(CONCATENATE("Large bulky, extra-large and special handling items",IF($P986&gt;=11,11,$P986)),'[1]REMOVAL FEES'!$E$1:$E$13,0),3))))*$AA986,FALSE)</f>
        <v>-28.1</v>
      </c>
      <c r="AJ986" s="107">
        <f t="shared" si="198"/>
        <v>-46.07</v>
      </c>
      <c r="AK986" s="107">
        <v>0</v>
      </c>
      <c r="AL986" s="107">
        <v>0</v>
      </c>
      <c r="AM986" s="107">
        <f t="shared" si="199"/>
        <v>0</v>
      </c>
      <c r="AN986" s="116">
        <f>(-IF($V986="Yes", IF($X986="Yes", VLOOKUP($W986, '[1]Storage Fees'!A:M, 13, FALSE), VLOOKUP($W986, '[1]Storage Fees'!A:M, 10, FALSE)), IF($X986="Yes", VLOOKUP($W986, '[1]Storage Fees'!A:M, 7, FALSE), VLOOKUP($W986, '[1]Storage Fees'!A:M, 4, FALSE))) * U986)*1.5</f>
        <v>-2.150555555555556</v>
      </c>
    </row>
    <row r="987" spans="1:40" x14ac:dyDescent="0.25">
      <c r="A987" s="99">
        <v>915</v>
      </c>
      <c r="B987" s="99" t="s">
        <v>13699</v>
      </c>
      <c r="C987" s="99"/>
      <c r="D987" s="99"/>
      <c r="E987" s="99" t="s">
        <v>278</v>
      </c>
      <c r="F987" s="99" t="s">
        <v>627</v>
      </c>
      <c r="G987" s="99" t="s">
        <v>13695</v>
      </c>
      <c r="H987" s="99">
        <v>30</v>
      </c>
      <c r="I987" s="99">
        <v>30</v>
      </c>
      <c r="J987" s="99">
        <v>4</v>
      </c>
      <c r="K987" s="101" t="str">
        <f t="shared" si="187"/>
        <v>30x30x4</v>
      </c>
      <c r="L987" s="102">
        <f t="shared" si="188"/>
        <v>25.899280575539567</v>
      </c>
      <c r="M987" s="113">
        <f t="shared" si="189"/>
        <v>25.899280575539567</v>
      </c>
      <c r="N987" s="113">
        <f t="shared" si="190"/>
        <v>26</v>
      </c>
      <c r="O987" s="99">
        <v>18</v>
      </c>
      <c r="P987" s="113">
        <f t="shared" si="191"/>
        <v>26</v>
      </c>
      <c r="Q987" s="112">
        <f t="shared" si="192"/>
        <v>416</v>
      </c>
      <c r="R987" s="112" t="str">
        <f t="shared" si="193"/>
        <v>Oversize</v>
      </c>
      <c r="S987" s="99" t="str">
        <f t="shared" si="194"/>
        <v>Large bulky</v>
      </c>
      <c r="T987" s="116" t="s">
        <v>13692</v>
      </c>
      <c r="U987" s="116">
        <f t="shared" si="195"/>
        <v>2.0833333333333335</v>
      </c>
      <c r="V987" s="116" t="s">
        <v>13583</v>
      </c>
      <c r="W987" s="116" t="s">
        <v>13690</v>
      </c>
      <c r="X987" s="116" t="s">
        <v>13691</v>
      </c>
      <c r="Y987" s="116">
        <v>2</v>
      </c>
      <c r="Z987" s="116">
        <v>3</v>
      </c>
      <c r="AA987" s="116">
        <v>1</v>
      </c>
      <c r="AB987" s="99"/>
      <c r="AC987" s="99"/>
      <c r="AD987" s="107">
        <v>0</v>
      </c>
      <c r="AE987" s="113">
        <f t="shared" si="196"/>
        <v>0</v>
      </c>
      <c r="AF987" s="116">
        <f>-IFERROR(IFERROR(VLOOKUP(ROUNDUP($Q987,0),'FBA FEES'!$L$2:$Q$203,MATCH($S987,'FBA FEES'!$L$2:$Q$2,0),FALSE),VLOOKUP(ROUNDUP($Q987,0),'FBA FEES'!$C$6:$F$123,MATCH($S987,'FBA FEES'!$C$6:$F$6,0),FALSE)),0)</f>
        <v>-19.11</v>
      </c>
      <c r="AG987" s="116">
        <v>-10</v>
      </c>
      <c r="AH987" s="113">
        <f t="shared" si="197"/>
        <v>-19.11</v>
      </c>
      <c r="AI987" s="116">
        <f>-IFERROR(IF($Y987=1,INDEX('[1]REMOVAL FEES'!$A$1:$C$22,MATCH(CONCATENATE("Standard Size",$P987),'[1]REMOVAL FEES'!$A$1:$A$22,0),3),IF($Y987=2,IF($P987&gt;10,(($P987-10)*1.06)+INDEX('[1]REMOVAL FEES'!$E$1:$G$22,MATCH(CONCATENATE("Large bulky, extra-large and special handling items",IF($P987&gt;=11,11,$P987)),'[1]REMOVAL FEES'!$E$1:$E$13,0),3),INDEX('[1]REMOVAL FEES'!$E$1:$G$22,MATCH(CONCATENATE("Large bulky, extra-large and special handling items",IF($P987&gt;=11,11,$P987)),'[1]REMOVAL FEES'!$E$1:$E$13,0),3))))*$AA987,FALSE)</f>
        <v>-31.28</v>
      </c>
      <c r="AJ987" s="107">
        <f t="shared" si="198"/>
        <v>-50.39</v>
      </c>
      <c r="AK987" s="107">
        <v>0</v>
      </c>
      <c r="AL987" s="107">
        <v>0</v>
      </c>
      <c r="AM987" s="107">
        <f t="shared" si="199"/>
        <v>0</v>
      </c>
      <c r="AN987" s="116">
        <f>(-IF($V987="Yes", IF($X987="Yes", VLOOKUP($W987, '[1]Storage Fees'!A:M, 13, FALSE), VLOOKUP($W987, '[1]Storage Fees'!A:M, 10, FALSE)), IF($X987="Yes", VLOOKUP($W987, '[1]Storage Fees'!A:M, 7, FALSE), VLOOKUP($W987, '[1]Storage Fees'!A:M, 4, FALSE))) * U987)*1.5</f>
        <v>-2.46875</v>
      </c>
    </row>
    <row r="988" spans="1:40" x14ac:dyDescent="0.25">
      <c r="A988" s="99">
        <v>916</v>
      </c>
      <c r="B988" s="99" t="s">
        <v>13699</v>
      </c>
      <c r="C988" s="99"/>
      <c r="D988" s="99"/>
      <c r="E988" s="99" t="s">
        <v>278</v>
      </c>
      <c r="F988" s="99" t="s">
        <v>628</v>
      </c>
      <c r="G988" s="99" t="s">
        <v>13695</v>
      </c>
      <c r="H988" s="99">
        <v>33</v>
      </c>
      <c r="I988" s="99">
        <v>33</v>
      </c>
      <c r="J988" s="99">
        <v>3</v>
      </c>
      <c r="K988" s="101" t="str">
        <f t="shared" si="187"/>
        <v>33x33x3</v>
      </c>
      <c r="L988" s="102">
        <f t="shared" si="188"/>
        <v>23.503597122302157</v>
      </c>
      <c r="M988" s="113">
        <f t="shared" si="189"/>
        <v>23.503597122302157</v>
      </c>
      <c r="N988" s="113">
        <f t="shared" si="190"/>
        <v>24</v>
      </c>
      <c r="O988" s="99">
        <v>22</v>
      </c>
      <c r="P988" s="113">
        <f t="shared" si="191"/>
        <v>24</v>
      </c>
      <c r="Q988" s="112">
        <f t="shared" si="192"/>
        <v>384</v>
      </c>
      <c r="R988" s="112" t="str">
        <f t="shared" si="193"/>
        <v>Oversize</v>
      </c>
      <c r="S988" s="99" t="str">
        <f t="shared" si="194"/>
        <v>Large bulky</v>
      </c>
      <c r="T988" s="116" t="s">
        <v>13692</v>
      </c>
      <c r="U988" s="116">
        <f t="shared" si="195"/>
        <v>1.890625</v>
      </c>
      <c r="V988" s="116" t="s">
        <v>13583</v>
      </c>
      <c r="W988" s="116" t="s">
        <v>13690</v>
      </c>
      <c r="X988" s="116" t="s">
        <v>13691</v>
      </c>
      <c r="Y988" s="116">
        <v>2</v>
      </c>
      <c r="Z988" s="116">
        <v>3</v>
      </c>
      <c r="AA988" s="116">
        <v>1</v>
      </c>
      <c r="AB988" s="99"/>
      <c r="AC988" s="99"/>
      <c r="AD988" s="107">
        <v>0</v>
      </c>
      <c r="AE988" s="113">
        <f t="shared" si="196"/>
        <v>0</v>
      </c>
      <c r="AF988" s="116">
        <f>-IFERROR(IFERROR(VLOOKUP(ROUNDUP($Q988,0),'FBA FEES'!$L$2:$Q$203,MATCH($S988,'FBA FEES'!$L$2:$Q$2,0),FALSE),VLOOKUP(ROUNDUP($Q988,0),'FBA FEES'!$C$6:$F$123,MATCH($S988,'FBA FEES'!$C$6:$F$6,0),FALSE)),0)</f>
        <v>-18.350000000000001</v>
      </c>
      <c r="AG988" s="116">
        <v>-10</v>
      </c>
      <c r="AH988" s="113">
        <f t="shared" si="197"/>
        <v>-18.350000000000001</v>
      </c>
      <c r="AI988" s="116">
        <f>-IFERROR(IF($Y988=1,INDEX('[1]REMOVAL FEES'!$A$1:$C$22,MATCH(CONCATENATE("Standard Size",$P988),'[1]REMOVAL FEES'!$A$1:$A$22,0),3),IF($Y988=2,IF($P988&gt;10,(($P988-10)*1.06)+INDEX('[1]REMOVAL FEES'!$E$1:$G$22,MATCH(CONCATENATE("Large bulky, extra-large and special handling items",IF($P988&gt;=11,11,$P988)),'[1]REMOVAL FEES'!$E$1:$E$13,0),3),INDEX('[1]REMOVAL FEES'!$E$1:$G$22,MATCH(CONCATENATE("Large bulky, extra-large and special handling items",IF($P988&gt;=11,11,$P988)),'[1]REMOVAL FEES'!$E$1:$E$13,0),3))))*$AA988,FALSE)</f>
        <v>-29.16</v>
      </c>
      <c r="AJ988" s="107">
        <f t="shared" si="198"/>
        <v>-47.510000000000005</v>
      </c>
      <c r="AK988" s="107">
        <v>0</v>
      </c>
      <c r="AL988" s="107">
        <v>0</v>
      </c>
      <c r="AM988" s="107">
        <f t="shared" si="199"/>
        <v>0</v>
      </c>
      <c r="AN988" s="116">
        <f>(-IF($V988="Yes", IF($X988="Yes", VLOOKUP($W988, '[1]Storage Fees'!A:M, 13, FALSE), VLOOKUP($W988, '[1]Storage Fees'!A:M, 10, FALSE)), IF($X988="Yes", VLOOKUP($W988, '[1]Storage Fees'!A:M, 7, FALSE), VLOOKUP($W988, '[1]Storage Fees'!A:M, 4, FALSE))) * U988)*1.5</f>
        <v>-2.2403906249999999</v>
      </c>
    </row>
    <row r="989" spans="1:40" x14ac:dyDescent="0.25">
      <c r="A989" s="99">
        <v>917</v>
      </c>
      <c r="B989" s="99" t="s">
        <v>13699</v>
      </c>
      <c r="C989" s="99"/>
      <c r="D989" s="99"/>
      <c r="E989" s="99" t="s">
        <v>278</v>
      </c>
      <c r="F989" s="99" t="s">
        <v>629</v>
      </c>
      <c r="G989" s="99" t="s">
        <v>13695</v>
      </c>
      <c r="H989" s="99">
        <v>37</v>
      </c>
      <c r="I989" s="99">
        <v>37</v>
      </c>
      <c r="J989" s="99">
        <v>3</v>
      </c>
      <c r="K989" s="101" t="str">
        <f t="shared" si="187"/>
        <v>37x37x3</v>
      </c>
      <c r="L989" s="102">
        <f t="shared" si="188"/>
        <v>29.546762589928058</v>
      </c>
      <c r="M989" s="113">
        <f t="shared" si="189"/>
        <v>29.546762589928058</v>
      </c>
      <c r="N989" s="113">
        <f t="shared" si="190"/>
        <v>30</v>
      </c>
      <c r="O989" s="99">
        <v>26</v>
      </c>
      <c r="P989" s="113">
        <f t="shared" si="191"/>
        <v>30</v>
      </c>
      <c r="Q989" s="112">
        <f t="shared" si="192"/>
        <v>480</v>
      </c>
      <c r="R989" s="112" t="str">
        <f t="shared" si="193"/>
        <v>Oversize</v>
      </c>
      <c r="S989" s="99" t="str">
        <f t="shared" si="194"/>
        <v>Extra-large 0 to 50 lb</v>
      </c>
      <c r="T989" s="116" t="s">
        <v>13706</v>
      </c>
      <c r="U989" s="116">
        <f t="shared" si="195"/>
        <v>2.3767361111111112</v>
      </c>
      <c r="V989" s="116" t="s">
        <v>13583</v>
      </c>
      <c r="W989" s="116" t="s">
        <v>13690</v>
      </c>
      <c r="X989" s="116" t="s">
        <v>13691</v>
      </c>
      <c r="Y989" s="116">
        <v>2</v>
      </c>
      <c r="Z989" s="116">
        <v>4</v>
      </c>
      <c r="AA989" s="116">
        <v>1</v>
      </c>
      <c r="AB989" s="99"/>
      <c r="AC989" s="99"/>
      <c r="AD989" s="107">
        <v>0</v>
      </c>
      <c r="AE989" s="113">
        <f t="shared" si="196"/>
        <v>0</v>
      </c>
      <c r="AF989" s="116">
        <f>-IFERROR(IFERROR(VLOOKUP(ROUNDUP($Q989,0),'FBA FEES'!$L$2:$Q$203,MATCH($S989,'FBA FEES'!$L$2:$Q$2,0),FALSE),VLOOKUP(ROUNDUP($Q989,0),'FBA FEES'!$C$6:$F$123,MATCH($S989,'FBA FEES'!$C$6:$F$6,0),FALSE)),0)</f>
        <v>-37.349999999999994</v>
      </c>
      <c r="AG989" s="116">
        <v>-10</v>
      </c>
      <c r="AH989" s="113">
        <f t="shared" si="197"/>
        <v>-37.349999999999994</v>
      </c>
      <c r="AI989" s="116">
        <f>-IFERROR(IF($Y989=1,INDEX('[1]REMOVAL FEES'!$A$1:$C$22,MATCH(CONCATENATE("Standard Size",$P989),'[1]REMOVAL FEES'!$A$1:$A$22,0),3),IF($Y989=2,IF($P989&gt;10,(($P989-10)*1.06)+INDEX('[1]REMOVAL FEES'!$E$1:$G$22,MATCH(CONCATENATE("Large bulky, extra-large and special handling items",IF($P989&gt;=11,11,$P989)),'[1]REMOVAL FEES'!$E$1:$E$13,0),3),INDEX('[1]REMOVAL FEES'!$E$1:$G$22,MATCH(CONCATENATE("Large bulky, extra-large and special handling items",IF($P989&gt;=11,11,$P989)),'[1]REMOVAL FEES'!$E$1:$E$13,0),3))))*$AA989,FALSE)</f>
        <v>-35.520000000000003</v>
      </c>
      <c r="AJ989" s="107">
        <f t="shared" si="198"/>
        <v>-72.87</v>
      </c>
      <c r="AK989" s="107">
        <v>0</v>
      </c>
      <c r="AL989" s="107">
        <v>0</v>
      </c>
      <c r="AM989" s="107">
        <f t="shared" si="199"/>
        <v>0</v>
      </c>
      <c r="AN989" s="116">
        <f>(-IF($V989="Yes", IF($X989="Yes", VLOOKUP($W989, '[1]Storage Fees'!A:M, 13, FALSE), VLOOKUP($W989, '[1]Storage Fees'!A:M, 10, FALSE)), IF($X989="Yes", VLOOKUP($W989, '[1]Storage Fees'!A:M, 7, FALSE), VLOOKUP($W989, '[1]Storage Fees'!A:M, 4, FALSE))) * U989)*1.5</f>
        <v>-2.8164322916666666</v>
      </c>
    </row>
    <row r="990" spans="1:40" x14ac:dyDescent="0.25">
      <c r="A990" s="99">
        <v>918</v>
      </c>
      <c r="B990" s="99" t="s">
        <v>13699</v>
      </c>
      <c r="C990" s="99"/>
      <c r="D990" s="99"/>
      <c r="E990" s="99" t="s">
        <v>278</v>
      </c>
      <c r="F990" s="99" t="s">
        <v>630</v>
      </c>
      <c r="G990" s="99" t="s">
        <v>13695</v>
      </c>
      <c r="H990" s="99">
        <v>29</v>
      </c>
      <c r="I990" s="99">
        <v>11</v>
      </c>
      <c r="J990" s="99">
        <v>5</v>
      </c>
      <c r="K990" s="101" t="str">
        <f t="shared" si="187"/>
        <v>29x11x5</v>
      </c>
      <c r="L990" s="102">
        <f t="shared" si="188"/>
        <v>11.474820143884893</v>
      </c>
      <c r="M990" s="113">
        <f t="shared" si="189"/>
        <v>11.474820143884893</v>
      </c>
      <c r="N990" s="113">
        <f t="shared" si="190"/>
        <v>12</v>
      </c>
      <c r="O990" s="99">
        <v>17</v>
      </c>
      <c r="P990" s="113">
        <f t="shared" si="191"/>
        <v>17</v>
      </c>
      <c r="Q990" s="112">
        <f t="shared" si="192"/>
        <v>272</v>
      </c>
      <c r="R990" s="112" t="str">
        <f t="shared" si="193"/>
        <v>Oversize</v>
      </c>
      <c r="S990" s="99" t="str">
        <f t="shared" si="194"/>
        <v>Large bulky</v>
      </c>
      <c r="T990" s="116" t="s">
        <v>13692</v>
      </c>
      <c r="U990" s="116">
        <f t="shared" si="195"/>
        <v>0.92303240740740744</v>
      </c>
      <c r="V990" s="116" t="s">
        <v>13583</v>
      </c>
      <c r="W990" s="116" t="s">
        <v>13690</v>
      </c>
      <c r="X990" s="116" t="s">
        <v>13691</v>
      </c>
      <c r="Y990" s="116">
        <v>2</v>
      </c>
      <c r="Z990" s="116">
        <v>3</v>
      </c>
      <c r="AA990" s="116">
        <v>1</v>
      </c>
      <c r="AB990" s="99"/>
      <c r="AC990" s="99"/>
      <c r="AD990" s="107">
        <v>0</v>
      </c>
      <c r="AE990" s="113">
        <f t="shared" si="196"/>
        <v>0</v>
      </c>
      <c r="AF990" s="116">
        <f>-IFERROR(IFERROR(VLOOKUP(ROUNDUP($Q990,0),'FBA FEES'!$L$2:$Q$203,MATCH($S990,'FBA FEES'!$L$2:$Q$2,0),FALSE),VLOOKUP(ROUNDUP($Q990,0),'FBA FEES'!$C$6:$F$123,MATCH($S990,'FBA FEES'!$C$6:$F$6,0),FALSE)),0)</f>
        <v>-15.69</v>
      </c>
      <c r="AG990" s="116">
        <v>-10</v>
      </c>
      <c r="AH990" s="113">
        <f t="shared" si="197"/>
        <v>-15.69</v>
      </c>
      <c r="AI990" s="116">
        <f>-IFERROR(IF($Y990=1,INDEX('[1]REMOVAL FEES'!$A$1:$C$22,MATCH(CONCATENATE("Standard Size",$P990),'[1]REMOVAL FEES'!$A$1:$A$22,0),3),IF($Y990=2,IF($P990&gt;10,(($P990-10)*1.06)+INDEX('[1]REMOVAL FEES'!$E$1:$G$22,MATCH(CONCATENATE("Large bulky, extra-large and special handling items",IF($P990&gt;=11,11,$P990)),'[1]REMOVAL FEES'!$E$1:$E$13,0),3),INDEX('[1]REMOVAL FEES'!$E$1:$G$22,MATCH(CONCATENATE("Large bulky, extra-large and special handling items",IF($P990&gt;=11,11,$P990)),'[1]REMOVAL FEES'!$E$1:$E$13,0),3))))*$AA990,FALSE)</f>
        <v>-21.740000000000002</v>
      </c>
      <c r="AJ990" s="107">
        <f t="shared" si="198"/>
        <v>-37.43</v>
      </c>
      <c r="AK990" s="107">
        <v>0</v>
      </c>
      <c r="AL990" s="107">
        <v>0</v>
      </c>
      <c r="AM990" s="107">
        <f t="shared" si="199"/>
        <v>0</v>
      </c>
      <c r="AN990" s="116">
        <f>(-IF($V990="Yes", IF($X990="Yes", VLOOKUP($W990, '[1]Storage Fees'!A:M, 13, FALSE), VLOOKUP($W990, '[1]Storage Fees'!A:M, 10, FALSE)), IF($X990="Yes", VLOOKUP($W990, '[1]Storage Fees'!A:M, 7, FALSE), VLOOKUP($W990, '[1]Storage Fees'!A:M, 4, FALSE))) * U990)*1.5</f>
        <v>-1.093793402777778</v>
      </c>
    </row>
    <row r="991" spans="1:40" x14ac:dyDescent="0.25">
      <c r="A991" s="99">
        <v>919</v>
      </c>
      <c r="B991" s="99" t="s">
        <v>13699</v>
      </c>
      <c r="C991" s="99"/>
      <c r="D991" s="99"/>
      <c r="E991" s="99" t="s">
        <v>278</v>
      </c>
      <c r="F991" s="99" t="s">
        <v>631</v>
      </c>
      <c r="G991" s="99" t="s">
        <v>13695</v>
      </c>
      <c r="H991" s="99">
        <v>34</v>
      </c>
      <c r="I991" s="99">
        <v>11</v>
      </c>
      <c r="J991" s="99">
        <v>8</v>
      </c>
      <c r="K991" s="101" t="str">
        <f t="shared" si="187"/>
        <v>34x11x8</v>
      </c>
      <c r="L991" s="102">
        <f t="shared" si="188"/>
        <v>21.525179856115109</v>
      </c>
      <c r="M991" s="113">
        <f t="shared" si="189"/>
        <v>21.525179856115109</v>
      </c>
      <c r="N991" s="113">
        <f t="shared" si="190"/>
        <v>22</v>
      </c>
      <c r="O991" s="99">
        <v>21</v>
      </c>
      <c r="P991" s="113">
        <f t="shared" si="191"/>
        <v>22</v>
      </c>
      <c r="Q991" s="112">
        <f t="shared" si="192"/>
        <v>352</v>
      </c>
      <c r="R991" s="112" t="str">
        <f t="shared" si="193"/>
        <v>Oversize</v>
      </c>
      <c r="S991" s="99" t="str">
        <f t="shared" si="194"/>
        <v>Large bulky</v>
      </c>
      <c r="T991" s="116" t="s">
        <v>13692</v>
      </c>
      <c r="U991" s="116">
        <f t="shared" si="195"/>
        <v>1.7314814814814814</v>
      </c>
      <c r="V991" s="116" t="s">
        <v>13583</v>
      </c>
      <c r="W991" s="116" t="s">
        <v>13690</v>
      </c>
      <c r="X991" s="116" t="s">
        <v>13691</v>
      </c>
      <c r="Y991" s="116">
        <v>2</v>
      </c>
      <c r="Z991" s="116">
        <v>3</v>
      </c>
      <c r="AA991" s="116">
        <v>1</v>
      </c>
      <c r="AB991" s="99"/>
      <c r="AC991" s="99"/>
      <c r="AD991" s="107">
        <v>0</v>
      </c>
      <c r="AE991" s="113">
        <f t="shared" si="196"/>
        <v>0</v>
      </c>
      <c r="AF991" s="116">
        <f>-IFERROR(IFERROR(VLOOKUP(ROUNDUP($Q991,0),'FBA FEES'!$L$2:$Q$203,MATCH($S991,'FBA FEES'!$L$2:$Q$2,0),FALSE),VLOOKUP(ROUNDUP($Q991,0),'FBA FEES'!$C$6:$F$123,MATCH($S991,'FBA FEES'!$C$6:$F$6,0),FALSE)),0)</f>
        <v>-17.59</v>
      </c>
      <c r="AG991" s="116">
        <v>-10</v>
      </c>
      <c r="AH991" s="113">
        <f t="shared" si="197"/>
        <v>-17.59</v>
      </c>
      <c r="AI991" s="116">
        <f>-IFERROR(IF($Y991=1,INDEX('[1]REMOVAL FEES'!$A$1:$C$22,MATCH(CONCATENATE("Standard Size",$P991),'[1]REMOVAL FEES'!$A$1:$A$22,0),3),IF($Y991=2,IF($P991&gt;10,(($P991-10)*1.06)+INDEX('[1]REMOVAL FEES'!$E$1:$G$22,MATCH(CONCATENATE("Large bulky, extra-large and special handling items",IF($P991&gt;=11,11,$P991)),'[1]REMOVAL FEES'!$E$1:$E$13,0),3),INDEX('[1]REMOVAL FEES'!$E$1:$G$22,MATCH(CONCATENATE("Large bulky, extra-large and special handling items",IF($P991&gt;=11,11,$P991)),'[1]REMOVAL FEES'!$E$1:$E$13,0),3))))*$AA991,FALSE)</f>
        <v>-27.04</v>
      </c>
      <c r="AJ991" s="107">
        <f t="shared" si="198"/>
        <v>-44.629999999999995</v>
      </c>
      <c r="AK991" s="107">
        <v>0</v>
      </c>
      <c r="AL991" s="107">
        <v>0</v>
      </c>
      <c r="AM991" s="107">
        <f t="shared" si="199"/>
        <v>0</v>
      </c>
      <c r="AN991" s="116">
        <f>(-IF($V991="Yes", IF($X991="Yes", VLOOKUP($W991, '[1]Storage Fees'!A:M, 13, FALSE), VLOOKUP($W991, '[1]Storage Fees'!A:M, 10, FALSE)), IF($X991="Yes", VLOOKUP($W991, '[1]Storage Fees'!A:M, 7, FALSE), VLOOKUP($W991, '[1]Storage Fees'!A:M, 4, FALSE))) * U991)*1.5</f>
        <v>-2.0518055555555552</v>
      </c>
    </row>
    <row r="992" spans="1:40" x14ac:dyDescent="0.25">
      <c r="A992" s="99">
        <v>920</v>
      </c>
      <c r="B992" s="99" t="s">
        <v>13699</v>
      </c>
      <c r="C992" s="99"/>
      <c r="D992" s="99"/>
      <c r="E992" s="99" t="s">
        <v>278</v>
      </c>
      <c r="F992" s="99" t="s">
        <v>632</v>
      </c>
      <c r="G992" s="99" t="s">
        <v>13695</v>
      </c>
      <c r="H992" s="99">
        <v>32</v>
      </c>
      <c r="I992" s="99">
        <v>16</v>
      </c>
      <c r="J992" s="99">
        <v>15</v>
      </c>
      <c r="K992" s="101" t="str">
        <f t="shared" si="187"/>
        <v>32x16x15</v>
      </c>
      <c r="L992" s="102">
        <f t="shared" si="188"/>
        <v>55.251798561151077</v>
      </c>
      <c r="M992" s="113">
        <f t="shared" si="189"/>
        <v>55.251798561151077</v>
      </c>
      <c r="N992" s="113">
        <f t="shared" si="190"/>
        <v>56</v>
      </c>
      <c r="O992" s="99">
        <v>32</v>
      </c>
      <c r="P992" s="113">
        <f t="shared" si="191"/>
        <v>56</v>
      </c>
      <c r="Q992" s="112">
        <f t="shared" si="192"/>
        <v>896</v>
      </c>
      <c r="R992" s="112" t="str">
        <f t="shared" si="193"/>
        <v>Oversize</v>
      </c>
      <c r="S992" s="99" t="str">
        <f t="shared" si="194"/>
        <v>Extra-large 50+ to 70 lb</v>
      </c>
      <c r="T992" s="116" t="s">
        <v>13689</v>
      </c>
      <c r="U992" s="116">
        <f t="shared" si="195"/>
        <v>4.4444444444444446</v>
      </c>
      <c r="V992" s="116" t="s">
        <v>13583</v>
      </c>
      <c r="W992" s="116" t="s">
        <v>13690</v>
      </c>
      <c r="X992" s="116" t="s">
        <v>13691</v>
      </c>
      <c r="Y992" s="116">
        <v>2</v>
      </c>
      <c r="Z992" s="116">
        <v>5</v>
      </c>
      <c r="AA992" s="116">
        <v>1</v>
      </c>
      <c r="AB992" s="99"/>
      <c r="AC992" s="99"/>
      <c r="AD992" s="107">
        <v>0</v>
      </c>
      <c r="AE992" s="113">
        <f t="shared" si="196"/>
        <v>0</v>
      </c>
      <c r="AF992" s="116">
        <f>-IFERROR(IFERROR(VLOOKUP(ROUNDUP($Q992,0),'FBA FEES'!$L$2:$Q$203,MATCH($S992,'FBA FEES'!$L$2:$Q$2,0),FALSE),VLOOKUP(ROUNDUP($Q992,0),'FBA FEES'!$C$6:$F$123,MATCH($S992,'FBA FEES'!$C$6:$F$6,0),FALSE)),0)</f>
        <v>-43.87</v>
      </c>
      <c r="AG992" s="116">
        <v>-10</v>
      </c>
      <c r="AH992" s="113">
        <f t="shared" si="197"/>
        <v>-43.87</v>
      </c>
      <c r="AI992" s="116">
        <f>-IFERROR(IF($Y992=1,INDEX('[1]REMOVAL FEES'!$A$1:$C$22,MATCH(CONCATENATE("Standard Size",$P992),'[1]REMOVAL FEES'!$A$1:$A$22,0),3),IF($Y992=2,IF($P992&gt;10,(($P992-10)*1.06)+INDEX('[1]REMOVAL FEES'!$E$1:$G$22,MATCH(CONCATENATE("Large bulky, extra-large and special handling items",IF($P992&gt;=11,11,$P992)),'[1]REMOVAL FEES'!$E$1:$E$13,0),3),INDEX('[1]REMOVAL FEES'!$E$1:$G$22,MATCH(CONCATENATE("Large bulky, extra-large and special handling items",IF($P992&gt;=11,11,$P992)),'[1]REMOVAL FEES'!$E$1:$E$13,0),3))))*$AA992,FALSE)</f>
        <v>-63.080000000000005</v>
      </c>
      <c r="AJ992" s="107">
        <f t="shared" si="198"/>
        <v>-106.95</v>
      </c>
      <c r="AK992" s="107">
        <v>0</v>
      </c>
      <c r="AL992" s="107">
        <v>0</v>
      </c>
      <c r="AM992" s="107">
        <f t="shared" si="199"/>
        <v>0</v>
      </c>
      <c r="AN992" s="116">
        <f>(-IF($V992="Yes", IF($X992="Yes", VLOOKUP($W992, '[1]Storage Fees'!A:M, 13, FALSE), VLOOKUP($W992, '[1]Storage Fees'!A:M, 10, FALSE)), IF($X992="Yes", VLOOKUP($W992, '[1]Storage Fees'!A:M, 7, FALSE), VLOOKUP($W992, '[1]Storage Fees'!A:M, 4, FALSE))) * U992)*1.5</f>
        <v>-5.2666666666666675</v>
      </c>
    </row>
    <row r="993" spans="1:40" x14ac:dyDescent="0.25">
      <c r="A993" s="99">
        <v>921</v>
      </c>
      <c r="B993" s="99" t="s">
        <v>13699</v>
      </c>
      <c r="C993" s="99"/>
      <c r="D993" s="99"/>
      <c r="E993" s="99" t="s">
        <v>278</v>
      </c>
      <c r="F993" s="99" t="s">
        <v>633</v>
      </c>
      <c r="G993" s="99" t="s">
        <v>13695</v>
      </c>
      <c r="H993" s="99">
        <v>31</v>
      </c>
      <c r="I993" s="99">
        <v>14</v>
      </c>
      <c r="J993" s="99">
        <v>11</v>
      </c>
      <c r="K993" s="101" t="str">
        <f t="shared" si="187"/>
        <v>31x14x11</v>
      </c>
      <c r="L993" s="102">
        <f t="shared" si="188"/>
        <v>34.345323741007192</v>
      </c>
      <c r="M993" s="113">
        <f t="shared" si="189"/>
        <v>34.345323741007192</v>
      </c>
      <c r="N993" s="113">
        <f t="shared" si="190"/>
        <v>35</v>
      </c>
      <c r="O993" s="99">
        <v>24</v>
      </c>
      <c r="P993" s="113">
        <f t="shared" si="191"/>
        <v>35</v>
      </c>
      <c r="Q993" s="112">
        <f t="shared" si="192"/>
        <v>560</v>
      </c>
      <c r="R993" s="112" t="str">
        <f t="shared" si="193"/>
        <v>Oversize</v>
      </c>
      <c r="S993" s="99" t="str">
        <f t="shared" si="194"/>
        <v>Large bulky</v>
      </c>
      <c r="T993" s="116" t="s">
        <v>13694</v>
      </c>
      <c r="U993" s="116">
        <f t="shared" si="195"/>
        <v>2.7627314814814814</v>
      </c>
      <c r="V993" s="116" t="s">
        <v>13583</v>
      </c>
      <c r="W993" s="116" t="s">
        <v>13690</v>
      </c>
      <c r="X993" s="116" t="s">
        <v>13691</v>
      </c>
      <c r="Y993" s="116">
        <v>2</v>
      </c>
      <c r="Z993" s="116">
        <v>3</v>
      </c>
      <c r="AA993" s="116">
        <v>1</v>
      </c>
      <c r="AB993" s="99"/>
      <c r="AC993" s="99"/>
      <c r="AD993" s="107">
        <v>0</v>
      </c>
      <c r="AE993" s="113">
        <f t="shared" si="196"/>
        <v>0</v>
      </c>
      <c r="AF993" s="116">
        <f>-IFERROR(IFERROR(VLOOKUP(ROUNDUP($Q993,0),'FBA FEES'!$L$2:$Q$203,MATCH($S993,'FBA FEES'!$L$2:$Q$2,0),FALSE),VLOOKUP(ROUNDUP($Q993,0),'FBA FEES'!$C$6:$F$123,MATCH($S993,'FBA FEES'!$C$6:$F$6,0),FALSE)),0)</f>
        <v>-22.53</v>
      </c>
      <c r="AG993" s="116">
        <v>-10</v>
      </c>
      <c r="AH993" s="113">
        <f t="shared" si="197"/>
        <v>-22.53</v>
      </c>
      <c r="AI993" s="116">
        <f>-IFERROR(IF($Y993=1,INDEX('[1]REMOVAL FEES'!$A$1:$C$22,MATCH(CONCATENATE("Standard Size",$P993),'[1]REMOVAL FEES'!$A$1:$A$22,0),3),IF($Y993=2,IF($P993&gt;10,(($P993-10)*1.06)+INDEX('[1]REMOVAL FEES'!$E$1:$G$22,MATCH(CONCATENATE("Large bulky, extra-large and special handling items",IF($P993&gt;=11,11,$P993)),'[1]REMOVAL FEES'!$E$1:$E$13,0),3),INDEX('[1]REMOVAL FEES'!$E$1:$G$22,MATCH(CONCATENATE("Large bulky, extra-large and special handling items",IF($P993&gt;=11,11,$P993)),'[1]REMOVAL FEES'!$E$1:$E$13,0),3))))*$AA993,FALSE)</f>
        <v>-40.82</v>
      </c>
      <c r="AJ993" s="107">
        <f t="shared" si="198"/>
        <v>-63.35</v>
      </c>
      <c r="AK993" s="107">
        <v>0</v>
      </c>
      <c r="AL993" s="107">
        <v>0</v>
      </c>
      <c r="AM993" s="107">
        <f t="shared" si="199"/>
        <v>0</v>
      </c>
      <c r="AN993" s="116">
        <f>(-IF($V993="Yes", IF($X993="Yes", VLOOKUP($W993, '[1]Storage Fees'!A:M, 13, FALSE), VLOOKUP($W993, '[1]Storage Fees'!A:M, 10, FALSE)), IF($X993="Yes", VLOOKUP($W993, '[1]Storage Fees'!A:M, 7, FALSE), VLOOKUP($W993, '[1]Storage Fees'!A:M, 4, FALSE))) * U993)*1.5</f>
        <v>-3.2738368055555558</v>
      </c>
    </row>
    <row r="994" spans="1:40" x14ac:dyDescent="0.25">
      <c r="A994" s="99">
        <v>922</v>
      </c>
      <c r="B994" s="99" t="s">
        <v>13699</v>
      </c>
      <c r="C994" s="99"/>
      <c r="D994" s="99"/>
      <c r="E994" s="99" t="s">
        <v>278</v>
      </c>
      <c r="F994" s="99" t="s">
        <v>634</v>
      </c>
      <c r="G994" s="99" t="s">
        <v>13695</v>
      </c>
      <c r="H994" s="99">
        <v>34</v>
      </c>
      <c r="I994" s="99">
        <v>13</v>
      </c>
      <c r="J994" s="99">
        <v>12</v>
      </c>
      <c r="K994" s="101" t="str">
        <f t="shared" si="187"/>
        <v>34x13x12</v>
      </c>
      <c r="L994" s="102">
        <f t="shared" si="188"/>
        <v>38.158273381294961</v>
      </c>
      <c r="M994" s="113">
        <f t="shared" si="189"/>
        <v>38.158273381294961</v>
      </c>
      <c r="N994" s="113">
        <f t="shared" si="190"/>
        <v>39</v>
      </c>
      <c r="O994" s="99">
        <v>27</v>
      </c>
      <c r="P994" s="113">
        <f t="shared" si="191"/>
        <v>39</v>
      </c>
      <c r="Q994" s="112">
        <f t="shared" si="192"/>
        <v>624</v>
      </c>
      <c r="R994" s="112" t="str">
        <f t="shared" si="193"/>
        <v>Oversize</v>
      </c>
      <c r="S994" s="99" t="str">
        <f t="shared" si="194"/>
        <v>Large bulky</v>
      </c>
      <c r="T994" s="116" t="s">
        <v>13694</v>
      </c>
      <c r="U994" s="116">
        <f t="shared" si="195"/>
        <v>3.0694444444444446</v>
      </c>
      <c r="V994" s="116" t="s">
        <v>13583</v>
      </c>
      <c r="W994" s="116" t="s">
        <v>13690</v>
      </c>
      <c r="X994" s="116" t="s">
        <v>13691</v>
      </c>
      <c r="Y994" s="116">
        <v>2</v>
      </c>
      <c r="Z994" s="116">
        <v>3</v>
      </c>
      <c r="AA994" s="116">
        <v>1</v>
      </c>
      <c r="AB994" s="99"/>
      <c r="AC994" s="99"/>
      <c r="AD994" s="107">
        <v>0</v>
      </c>
      <c r="AE994" s="113">
        <f t="shared" si="196"/>
        <v>0</v>
      </c>
      <c r="AF994" s="116">
        <f>-IFERROR(IFERROR(VLOOKUP(ROUNDUP($Q994,0),'FBA FEES'!$L$2:$Q$203,MATCH($S994,'FBA FEES'!$L$2:$Q$2,0),FALSE),VLOOKUP(ROUNDUP($Q994,0),'FBA FEES'!$C$6:$F$123,MATCH($S994,'FBA FEES'!$C$6:$F$6,0),FALSE)),0)</f>
        <v>-24.049999999999997</v>
      </c>
      <c r="AG994" s="116">
        <v>-10</v>
      </c>
      <c r="AH994" s="113">
        <f t="shared" si="197"/>
        <v>-24.049999999999997</v>
      </c>
      <c r="AI994" s="116">
        <f>-IFERROR(IF($Y994=1,INDEX('[1]REMOVAL FEES'!$A$1:$C$22,MATCH(CONCATENATE("Standard Size",$P994),'[1]REMOVAL FEES'!$A$1:$A$22,0),3),IF($Y994=2,IF($P994&gt;10,(($P994-10)*1.06)+INDEX('[1]REMOVAL FEES'!$E$1:$G$22,MATCH(CONCATENATE("Large bulky, extra-large and special handling items",IF($P994&gt;=11,11,$P994)),'[1]REMOVAL FEES'!$E$1:$E$13,0),3),INDEX('[1]REMOVAL FEES'!$E$1:$G$22,MATCH(CONCATENATE("Large bulky, extra-large and special handling items",IF($P994&gt;=11,11,$P994)),'[1]REMOVAL FEES'!$E$1:$E$13,0),3))))*$AA994,FALSE)</f>
        <v>-45.06</v>
      </c>
      <c r="AJ994" s="107">
        <f t="shared" si="198"/>
        <v>-69.11</v>
      </c>
      <c r="AK994" s="107">
        <v>0</v>
      </c>
      <c r="AL994" s="107">
        <v>0</v>
      </c>
      <c r="AM994" s="107">
        <f t="shared" si="199"/>
        <v>0</v>
      </c>
      <c r="AN994" s="116">
        <f>(-IF($V994="Yes", IF($X994="Yes", VLOOKUP($W994, '[1]Storage Fees'!A:M, 13, FALSE), VLOOKUP($W994, '[1]Storage Fees'!A:M, 10, FALSE)), IF($X994="Yes", VLOOKUP($W994, '[1]Storage Fees'!A:M, 7, FALSE), VLOOKUP($W994, '[1]Storage Fees'!A:M, 4, FALSE))) * U994)*1.5</f>
        <v>-3.637291666666667</v>
      </c>
    </row>
    <row r="995" spans="1:40" x14ac:dyDescent="0.25">
      <c r="A995" s="99">
        <v>923</v>
      </c>
      <c r="B995" s="99" t="s">
        <v>13699</v>
      </c>
      <c r="C995" s="99"/>
      <c r="D995" s="99"/>
      <c r="E995" s="99" t="s">
        <v>278</v>
      </c>
      <c r="F995" s="99" t="s">
        <v>635</v>
      </c>
      <c r="G995" s="99" t="s">
        <v>13695</v>
      </c>
      <c r="H995" s="99">
        <v>25</v>
      </c>
      <c r="I995" s="99">
        <v>25</v>
      </c>
      <c r="J995" s="99">
        <v>3</v>
      </c>
      <c r="K995" s="101" t="str">
        <f t="shared" si="187"/>
        <v>25x25x3</v>
      </c>
      <c r="L995" s="102">
        <f t="shared" si="188"/>
        <v>13.489208633093526</v>
      </c>
      <c r="M995" s="113">
        <f t="shared" si="189"/>
        <v>13.489208633093526</v>
      </c>
      <c r="N995" s="113">
        <f t="shared" si="190"/>
        <v>14</v>
      </c>
      <c r="O995" s="99">
        <v>14</v>
      </c>
      <c r="P995" s="113">
        <f t="shared" si="191"/>
        <v>14</v>
      </c>
      <c r="Q995" s="112">
        <f t="shared" si="192"/>
        <v>224</v>
      </c>
      <c r="R995" s="112" t="str">
        <f t="shared" si="193"/>
        <v>Oversize</v>
      </c>
      <c r="S995" s="99" t="str">
        <f t="shared" si="194"/>
        <v>Large bulky</v>
      </c>
      <c r="T995" s="116" t="s">
        <v>13692</v>
      </c>
      <c r="U995" s="116">
        <f t="shared" si="195"/>
        <v>1.0850694444444444</v>
      </c>
      <c r="V995" s="116" t="s">
        <v>13583</v>
      </c>
      <c r="W995" s="116" t="s">
        <v>13690</v>
      </c>
      <c r="X995" s="116" t="s">
        <v>13691</v>
      </c>
      <c r="Y995" s="116">
        <v>2</v>
      </c>
      <c r="Z995" s="116">
        <v>3</v>
      </c>
      <c r="AA995" s="116">
        <v>1</v>
      </c>
      <c r="AB995" s="99"/>
      <c r="AC995" s="99"/>
      <c r="AD995" s="107">
        <v>0</v>
      </c>
      <c r="AE995" s="113">
        <f t="shared" si="196"/>
        <v>0</v>
      </c>
      <c r="AF995" s="116">
        <f>-IFERROR(IFERROR(VLOOKUP(ROUNDUP($Q995,0),'FBA FEES'!$L$2:$Q$203,MATCH($S995,'FBA FEES'!$L$2:$Q$2,0),FALSE),VLOOKUP(ROUNDUP($Q995,0),'FBA FEES'!$C$6:$F$123,MATCH($S995,'FBA FEES'!$C$6:$F$6,0),FALSE)),0)</f>
        <v>-14.55</v>
      </c>
      <c r="AG995" s="116">
        <v>-10</v>
      </c>
      <c r="AH995" s="113">
        <f t="shared" si="197"/>
        <v>-14.55</v>
      </c>
      <c r="AI995" s="116">
        <f>-IFERROR(IF($Y995=1,INDEX('[1]REMOVAL FEES'!$A$1:$C$22,MATCH(CONCATENATE("Standard Size",$P995),'[1]REMOVAL FEES'!$A$1:$A$22,0),3),IF($Y995=2,IF($P995&gt;10,(($P995-10)*1.06)+INDEX('[1]REMOVAL FEES'!$E$1:$G$22,MATCH(CONCATENATE("Large bulky, extra-large and special handling items",IF($P995&gt;=11,11,$P995)),'[1]REMOVAL FEES'!$E$1:$E$13,0),3),INDEX('[1]REMOVAL FEES'!$E$1:$G$22,MATCH(CONCATENATE("Large bulky, extra-large and special handling items",IF($P995&gt;=11,11,$P995)),'[1]REMOVAL FEES'!$E$1:$E$13,0),3))))*$AA995,FALSE)</f>
        <v>-18.560000000000002</v>
      </c>
      <c r="AJ995" s="107">
        <f t="shared" si="198"/>
        <v>-33.11</v>
      </c>
      <c r="AK995" s="107">
        <v>0</v>
      </c>
      <c r="AL995" s="107">
        <v>0</v>
      </c>
      <c r="AM995" s="107">
        <f t="shared" si="199"/>
        <v>0</v>
      </c>
      <c r="AN995" s="116">
        <f>(-IF($V995="Yes", IF($X995="Yes", VLOOKUP($W995, '[1]Storage Fees'!A:M, 13, FALSE), VLOOKUP($W995, '[1]Storage Fees'!A:M, 10, FALSE)), IF($X995="Yes", VLOOKUP($W995, '[1]Storage Fees'!A:M, 7, FALSE), VLOOKUP($W995, '[1]Storage Fees'!A:M, 4, FALSE))) * U995)*1.5</f>
        <v>-1.2858072916666667</v>
      </c>
    </row>
    <row r="996" spans="1:40" x14ac:dyDescent="0.25">
      <c r="A996" s="99">
        <v>924</v>
      </c>
      <c r="B996" s="99" t="s">
        <v>13699</v>
      </c>
      <c r="C996" s="99"/>
      <c r="D996" s="99"/>
      <c r="E996" s="99" t="s">
        <v>278</v>
      </c>
      <c r="F996" s="99" t="s">
        <v>636</v>
      </c>
      <c r="G996" s="99" t="s">
        <v>13695</v>
      </c>
      <c r="H996" s="99">
        <v>0</v>
      </c>
      <c r="I996" s="99">
        <v>0</v>
      </c>
      <c r="J996" s="99">
        <v>0</v>
      </c>
      <c r="K996" s="101" t="str">
        <f t="shared" si="187"/>
        <v>0x0x0</v>
      </c>
      <c r="L996" s="102">
        <f t="shared" si="188"/>
        <v>0</v>
      </c>
      <c r="M996" s="113">
        <f t="shared" si="189"/>
        <v>0</v>
      </c>
      <c r="N996" s="113">
        <f t="shared" si="190"/>
        <v>0</v>
      </c>
      <c r="O996" s="99">
        <v>0</v>
      </c>
      <c r="P996" s="113">
        <f t="shared" si="191"/>
        <v>0</v>
      </c>
      <c r="Q996" s="112">
        <f t="shared" si="192"/>
        <v>0</v>
      </c>
      <c r="R996" s="112" t="str">
        <f t="shared" si="193"/>
        <v>Standard-size</v>
      </c>
      <c r="S996" s="99" t="str">
        <f t="shared" si="194"/>
        <v>Small standard-size</v>
      </c>
      <c r="T996" s="116" t="s">
        <v>13696</v>
      </c>
      <c r="U996" s="116">
        <f t="shared" si="195"/>
        <v>0</v>
      </c>
      <c r="V996" s="116" t="s">
        <v>13583</v>
      </c>
      <c r="W996" s="116" t="s">
        <v>13690</v>
      </c>
      <c r="X996" s="99" t="s">
        <v>13583</v>
      </c>
      <c r="Y996" s="99">
        <v>1</v>
      </c>
      <c r="Z996" s="99">
        <v>1</v>
      </c>
      <c r="AA996" s="99">
        <v>1</v>
      </c>
      <c r="AB996" s="99"/>
      <c r="AC996" s="99"/>
      <c r="AD996" s="107">
        <v>0</v>
      </c>
      <c r="AE996" s="113">
        <f t="shared" si="196"/>
        <v>0</v>
      </c>
      <c r="AF996" s="116">
        <f>-IFERROR(IFERROR(VLOOKUP(ROUNDUP($Q996,0),'FBA FEES'!$L$2:$Q$203,MATCH($S996,'FBA FEES'!$L$2:$Q$2,0),FALSE),VLOOKUP(ROUNDUP($Q996,0),'FBA FEES'!$C$6:$F$123,MATCH($S996,'FBA FEES'!$C$6:$F$6,0),FALSE)),0)</f>
        <v>0</v>
      </c>
      <c r="AG996" s="116">
        <v>-10</v>
      </c>
      <c r="AH996" s="113">
        <f t="shared" si="197"/>
        <v>0</v>
      </c>
      <c r="AI996" s="116">
        <f>-IFERROR(IF($Y996=1,INDEX('[1]REMOVAL FEES'!$A$1:$C$22,MATCH(CONCATENATE("Standard Size",$P996),'[1]REMOVAL FEES'!$A$1:$A$22,0),3),IF($Y996=2,IF($P996&gt;10,(($P996-10)*1.06)+INDEX('[1]REMOVAL FEES'!$E$1:$G$22,MATCH(CONCATENATE("Large bulky, extra-large and special handling items",IF($P996&gt;=11,11,$P996)),'[1]REMOVAL FEES'!$E$1:$E$13,0),3),INDEX('[1]REMOVAL FEES'!$E$1:$G$22,MATCH(CONCATENATE("Large bulky, extra-large and special handling items",IF($P996&gt;=11,11,$P996)),'[1]REMOVAL FEES'!$E$1:$E$13,0),3))))*$AA996,FALSE)</f>
        <v>0</v>
      </c>
      <c r="AJ996" s="107">
        <f t="shared" si="198"/>
        <v>0</v>
      </c>
      <c r="AK996" s="107">
        <v>0</v>
      </c>
      <c r="AL996" s="107">
        <v>0</v>
      </c>
      <c r="AM996" s="107">
        <f t="shared" si="199"/>
        <v>0</v>
      </c>
      <c r="AN996" s="116">
        <f>(-IF($V996="Yes", IF($X996="Yes", VLOOKUP($W996, '[1]Storage Fees'!A:M, 13, FALSE), VLOOKUP($W996, '[1]Storage Fees'!A:M, 10, FALSE)), IF($X996="Yes", VLOOKUP($W996, '[1]Storage Fees'!A:M, 7, FALSE), VLOOKUP($W996, '[1]Storage Fees'!A:M, 4, FALSE))) * U996)*1.5</f>
        <v>0</v>
      </c>
    </row>
    <row r="997" spans="1:40" x14ac:dyDescent="0.25">
      <c r="A997" s="99">
        <v>925</v>
      </c>
      <c r="B997" s="99" t="s">
        <v>13699</v>
      </c>
      <c r="C997" s="99"/>
      <c r="D997" s="99"/>
      <c r="E997" s="99" t="s">
        <v>278</v>
      </c>
      <c r="F997" s="99" t="s">
        <v>637</v>
      </c>
      <c r="G997" s="99" t="s">
        <v>13695</v>
      </c>
      <c r="H997" s="99">
        <v>0</v>
      </c>
      <c r="I997" s="99">
        <v>0</v>
      </c>
      <c r="J997" s="99">
        <v>0</v>
      </c>
      <c r="K997" s="101" t="str">
        <f t="shared" si="187"/>
        <v>0x0x0</v>
      </c>
      <c r="L997" s="102">
        <f t="shared" si="188"/>
        <v>0</v>
      </c>
      <c r="M997" s="113">
        <f t="shared" si="189"/>
        <v>0</v>
      </c>
      <c r="N997" s="113">
        <f t="shared" si="190"/>
        <v>0</v>
      </c>
      <c r="O997" s="99">
        <v>0</v>
      </c>
      <c r="P997" s="113">
        <f t="shared" si="191"/>
        <v>0</v>
      </c>
      <c r="Q997" s="112">
        <f t="shared" si="192"/>
        <v>0</v>
      </c>
      <c r="R997" s="112" t="str">
        <f t="shared" si="193"/>
        <v>Standard-size</v>
      </c>
      <c r="S997" s="99" t="str">
        <f t="shared" si="194"/>
        <v>Small standard-size</v>
      </c>
      <c r="T997" s="116" t="s">
        <v>13696</v>
      </c>
      <c r="U997" s="116">
        <f t="shared" si="195"/>
        <v>0</v>
      </c>
      <c r="V997" s="116" t="s">
        <v>13583</v>
      </c>
      <c r="W997" s="116" t="s">
        <v>13690</v>
      </c>
      <c r="X997" s="99" t="s">
        <v>13583</v>
      </c>
      <c r="Y997" s="99">
        <v>1</v>
      </c>
      <c r="Z997" s="99">
        <v>1</v>
      </c>
      <c r="AA997" s="99">
        <v>1</v>
      </c>
      <c r="AB997" s="99"/>
      <c r="AC997" s="99"/>
      <c r="AD997" s="107">
        <v>0</v>
      </c>
      <c r="AE997" s="113">
        <f t="shared" si="196"/>
        <v>0</v>
      </c>
      <c r="AF997" s="116">
        <f>-IFERROR(IFERROR(VLOOKUP(ROUNDUP($Q997,0),'FBA FEES'!$L$2:$Q$203,MATCH($S997,'FBA FEES'!$L$2:$Q$2,0),FALSE),VLOOKUP(ROUNDUP($Q997,0),'FBA FEES'!$C$6:$F$123,MATCH($S997,'FBA FEES'!$C$6:$F$6,0),FALSE)),0)</f>
        <v>0</v>
      </c>
      <c r="AG997" s="116">
        <v>-10</v>
      </c>
      <c r="AH997" s="113">
        <f t="shared" si="197"/>
        <v>0</v>
      </c>
      <c r="AI997" s="116">
        <f>-IFERROR(IF($Y997=1,INDEX('[1]REMOVAL FEES'!$A$1:$C$22,MATCH(CONCATENATE("Standard Size",$P997),'[1]REMOVAL FEES'!$A$1:$A$22,0),3),IF($Y997=2,IF($P997&gt;10,(($P997-10)*1.06)+INDEX('[1]REMOVAL FEES'!$E$1:$G$22,MATCH(CONCATENATE("Large bulky, extra-large and special handling items",IF($P997&gt;=11,11,$P997)),'[1]REMOVAL FEES'!$E$1:$E$13,0),3),INDEX('[1]REMOVAL FEES'!$E$1:$G$22,MATCH(CONCATENATE("Large bulky, extra-large and special handling items",IF($P997&gt;=11,11,$P997)),'[1]REMOVAL FEES'!$E$1:$E$13,0),3))))*$AA997,FALSE)</f>
        <v>0</v>
      </c>
      <c r="AJ997" s="107">
        <f t="shared" si="198"/>
        <v>0</v>
      </c>
      <c r="AK997" s="107">
        <v>0</v>
      </c>
      <c r="AL997" s="107">
        <v>0</v>
      </c>
      <c r="AM997" s="107">
        <f t="shared" si="199"/>
        <v>0</v>
      </c>
      <c r="AN997" s="116">
        <f>(-IF($V997="Yes", IF($X997="Yes", VLOOKUP($W997, '[1]Storage Fees'!A:M, 13, FALSE), VLOOKUP($W997, '[1]Storage Fees'!A:M, 10, FALSE)), IF($X997="Yes", VLOOKUP($W997, '[1]Storage Fees'!A:M, 7, FALSE), VLOOKUP($W997, '[1]Storage Fees'!A:M, 4, FALSE))) * U997)*1.5</f>
        <v>0</v>
      </c>
    </row>
    <row r="998" spans="1:40" x14ac:dyDescent="0.25">
      <c r="A998" s="99">
        <v>926</v>
      </c>
      <c r="B998" s="99" t="s">
        <v>13699</v>
      </c>
      <c r="C998" s="99"/>
      <c r="D998" s="99"/>
      <c r="E998" s="99" t="s">
        <v>278</v>
      </c>
      <c r="F998" s="99" t="s">
        <v>638</v>
      </c>
      <c r="G998" s="99" t="s">
        <v>13695</v>
      </c>
      <c r="H998" s="99">
        <v>0</v>
      </c>
      <c r="I998" s="99">
        <v>0</v>
      </c>
      <c r="J998" s="99">
        <v>0</v>
      </c>
      <c r="K998" s="101" t="str">
        <f t="shared" si="187"/>
        <v>0x0x0</v>
      </c>
      <c r="L998" s="102">
        <f t="shared" si="188"/>
        <v>0</v>
      </c>
      <c r="M998" s="113">
        <f t="shared" si="189"/>
        <v>0</v>
      </c>
      <c r="N998" s="113">
        <f t="shared" si="190"/>
        <v>0</v>
      </c>
      <c r="O998" s="99">
        <v>0</v>
      </c>
      <c r="P998" s="113">
        <f t="shared" si="191"/>
        <v>0</v>
      </c>
      <c r="Q998" s="112">
        <f t="shared" si="192"/>
        <v>0</v>
      </c>
      <c r="R998" s="112" t="str">
        <f t="shared" si="193"/>
        <v>Standard-size</v>
      </c>
      <c r="S998" s="99" t="str">
        <f t="shared" si="194"/>
        <v>Small standard-size</v>
      </c>
      <c r="T998" s="116" t="s">
        <v>13696</v>
      </c>
      <c r="U998" s="116">
        <f t="shared" si="195"/>
        <v>0</v>
      </c>
      <c r="V998" s="116" t="s">
        <v>13583</v>
      </c>
      <c r="W998" s="116" t="s">
        <v>13690</v>
      </c>
      <c r="X998" s="99" t="s">
        <v>13583</v>
      </c>
      <c r="Y998" s="99">
        <v>1</v>
      </c>
      <c r="Z998" s="99">
        <v>1</v>
      </c>
      <c r="AA998" s="99">
        <v>1</v>
      </c>
      <c r="AB998" s="99"/>
      <c r="AC998" s="99"/>
      <c r="AD998" s="107">
        <v>0</v>
      </c>
      <c r="AE998" s="113">
        <f t="shared" si="196"/>
        <v>0</v>
      </c>
      <c r="AF998" s="116">
        <f>-IFERROR(IFERROR(VLOOKUP(ROUNDUP($Q998,0),'FBA FEES'!$L$2:$Q$203,MATCH($S998,'FBA FEES'!$L$2:$Q$2,0),FALSE),VLOOKUP(ROUNDUP($Q998,0),'FBA FEES'!$C$6:$F$123,MATCH($S998,'FBA FEES'!$C$6:$F$6,0),FALSE)),0)</f>
        <v>0</v>
      </c>
      <c r="AG998" s="116">
        <v>-10</v>
      </c>
      <c r="AH998" s="113">
        <f t="shared" si="197"/>
        <v>0</v>
      </c>
      <c r="AI998" s="116">
        <f>-IFERROR(IF($Y998=1,INDEX('[1]REMOVAL FEES'!$A$1:$C$22,MATCH(CONCATENATE("Standard Size",$P998),'[1]REMOVAL FEES'!$A$1:$A$22,0),3),IF($Y998=2,IF($P998&gt;10,(($P998-10)*1.06)+INDEX('[1]REMOVAL FEES'!$E$1:$G$22,MATCH(CONCATENATE("Large bulky, extra-large and special handling items",IF($P998&gt;=11,11,$P998)),'[1]REMOVAL FEES'!$E$1:$E$13,0),3),INDEX('[1]REMOVAL FEES'!$E$1:$G$22,MATCH(CONCATENATE("Large bulky, extra-large and special handling items",IF($P998&gt;=11,11,$P998)),'[1]REMOVAL FEES'!$E$1:$E$13,0),3))))*$AA998,FALSE)</f>
        <v>0</v>
      </c>
      <c r="AJ998" s="107">
        <f t="shared" si="198"/>
        <v>0</v>
      </c>
      <c r="AK998" s="107">
        <v>0</v>
      </c>
      <c r="AL998" s="107">
        <v>0</v>
      </c>
      <c r="AM998" s="107">
        <f t="shared" si="199"/>
        <v>0</v>
      </c>
      <c r="AN998" s="116">
        <f>(-IF($V998="Yes", IF($X998="Yes", VLOOKUP($W998, '[1]Storage Fees'!A:M, 13, FALSE), VLOOKUP($W998, '[1]Storage Fees'!A:M, 10, FALSE)), IF($X998="Yes", VLOOKUP($W998, '[1]Storage Fees'!A:M, 7, FALSE), VLOOKUP($W998, '[1]Storage Fees'!A:M, 4, FALSE))) * U998)*1.5</f>
        <v>0</v>
      </c>
    </row>
    <row r="999" spans="1:40" x14ac:dyDescent="0.25">
      <c r="A999" s="99">
        <v>927</v>
      </c>
      <c r="B999" s="99" t="s">
        <v>13699</v>
      </c>
      <c r="C999" s="99"/>
      <c r="D999" s="99"/>
      <c r="E999" s="99" t="s">
        <v>278</v>
      </c>
      <c r="F999" s="99" t="s">
        <v>639</v>
      </c>
      <c r="G999" s="99" t="s">
        <v>13695</v>
      </c>
      <c r="H999" s="99">
        <v>0</v>
      </c>
      <c r="I999" s="99">
        <v>0</v>
      </c>
      <c r="J999" s="99">
        <v>0</v>
      </c>
      <c r="K999" s="101" t="str">
        <f t="shared" si="187"/>
        <v>0x0x0</v>
      </c>
      <c r="L999" s="102">
        <f t="shared" si="188"/>
        <v>0</v>
      </c>
      <c r="M999" s="113">
        <f t="shared" si="189"/>
        <v>0</v>
      </c>
      <c r="N999" s="113">
        <f t="shared" si="190"/>
        <v>0</v>
      </c>
      <c r="O999" s="99">
        <v>0</v>
      </c>
      <c r="P999" s="113">
        <f t="shared" si="191"/>
        <v>0</v>
      </c>
      <c r="Q999" s="112">
        <f t="shared" si="192"/>
        <v>0</v>
      </c>
      <c r="R999" s="112" t="str">
        <f t="shared" si="193"/>
        <v>Standard-size</v>
      </c>
      <c r="S999" s="99" t="str">
        <f t="shared" si="194"/>
        <v>Small standard-size</v>
      </c>
      <c r="T999" s="116" t="s">
        <v>13696</v>
      </c>
      <c r="U999" s="116">
        <f t="shared" si="195"/>
        <v>0</v>
      </c>
      <c r="V999" s="116" t="s">
        <v>13583</v>
      </c>
      <c r="W999" s="116" t="s">
        <v>13690</v>
      </c>
      <c r="X999" s="99" t="s">
        <v>13583</v>
      </c>
      <c r="Y999" s="99">
        <v>1</v>
      </c>
      <c r="Z999" s="99">
        <v>1</v>
      </c>
      <c r="AA999" s="99">
        <v>1</v>
      </c>
      <c r="AB999" s="99"/>
      <c r="AC999" s="99"/>
      <c r="AD999" s="107">
        <v>0</v>
      </c>
      <c r="AE999" s="113">
        <f t="shared" si="196"/>
        <v>0</v>
      </c>
      <c r="AF999" s="116">
        <f>-IFERROR(IFERROR(VLOOKUP(ROUNDUP($Q999,0),'FBA FEES'!$L$2:$Q$203,MATCH($S999,'FBA FEES'!$L$2:$Q$2,0),FALSE),VLOOKUP(ROUNDUP($Q999,0),'FBA FEES'!$C$6:$F$123,MATCH($S999,'FBA FEES'!$C$6:$F$6,0),FALSE)),0)</f>
        <v>0</v>
      </c>
      <c r="AG999" s="116">
        <v>-10</v>
      </c>
      <c r="AH999" s="113">
        <f t="shared" si="197"/>
        <v>0</v>
      </c>
      <c r="AI999" s="116">
        <f>-IFERROR(IF($Y999=1,INDEX('[1]REMOVAL FEES'!$A$1:$C$22,MATCH(CONCATENATE("Standard Size",$P999),'[1]REMOVAL FEES'!$A$1:$A$22,0),3),IF($Y999=2,IF($P999&gt;10,(($P999-10)*1.06)+INDEX('[1]REMOVAL FEES'!$E$1:$G$22,MATCH(CONCATENATE("Large bulky, extra-large and special handling items",IF($P999&gt;=11,11,$P999)),'[1]REMOVAL FEES'!$E$1:$E$13,0),3),INDEX('[1]REMOVAL FEES'!$E$1:$G$22,MATCH(CONCATENATE("Large bulky, extra-large and special handling items",IF($P999&gt;=11,11,$P999)),'[1]REMOVAL FEES'!$E$1:$E$13,0),3))))*$AA999,FALSE)</f>
        <v>0</v>
      </c>
      <c r="AJ999" s="107">
        <f t="shared" si="198"/>
        <v>0</v>
      </c>
      <c r="AK999" s="107">
        <v>0</v>
      </c>
      <c r="AL999" s="107">
        <v>0</v>
      </c>
      <c r="AM999" s="107">
        <f t="shared" si="199"/>
        <v>0</v>
      </c>
      <c r="AN999" s="116">
        <f>(-IF($V999="Yes", IF($X999="Yes", VLOOKUP($W999, '[1]Storage Fees'!A:M, 13, FALSE), VLOOKUP($W999, '[1]Storage Fees'!A:M, 10, FALSE)), IF($X999="Yes", VLOOKUP($W999, '[1]Storage Fees'!A:M, 7, FALSE), VLOOKUP($W999, '[1]Storage Fees'!A:M, 4, FALSE))) * U999)*1.5</f>
        <v>0</v>
      </c>
    </row>
    <row r="1000" spans="1:40" x14ac:dyDescent="0.25">
      <c r="A1000" s="99">
        <v>928</v>
      </c>
      <c r="B1000" s="99" t="s">
        <v>13699</v>
      </c>
      <c r="C1000" s="99"/>
      <c r="D1000" s="99"/>
      <c r="E1000" s="99" t="s">
        <v>278</v>
      </c>
      <c r="F1000" s="99" t="s">
        <v>640</v>
      </c>
      <c r="G1000" s="99" t="s">
        <v>13695</v>
      </c>
      <c r="H1000" s="99">
        <v>40</v>
      </c>
      <c r="I1000" s="99">
        <v>40</v>
      </c>
      <c r="J1000" s="99">
        <v>3</v>
      </c>
      <c r="K1000" s="101" t="str">
        <f t="shared" si="187"/>
        <v>40x40x3</v>
      </c>
      <c r="L1000" s="102">
        <f t="shared" si="188"/>
        <v>34.532374100719423</v>
      </c>
      <c r="M1000" s="113">
        <f t="shared" si="189"/>
        <v>34.532374100719423</v>
      </c>
      <c r="N1000" s="113">
        <f t="shared" si="190"/>
        <v>35</v>
      </c>
      <c r="O1000" s="99">
        <v>31</v>
      </c>
      <c r="P1000" s="113">
        <f t="shared" si="191"/>
        <v>35</v>
      </c>
      <c r="Q1000" s="112">
        <f t="shared" si="192"/>
        <v>560</v>
      </c>
      <c r="R1000" s="112" t="str">
        <f t="shared" si="193"/>
        <v>Oversize</v>
      </c>
      <c r="S1000" s="99" t="str">
        <f t="shared" si="194"/>
        <v>Extra-large 0 to 50 lb</v>
      </c>
      <c r="T1000" s="116" t="s">
        <v>13706</v>
      </c>
      <c r="U1000" s="116">
        <f t="shared" si="195"/>
        <v>2.7777777777777777</v>
      </c>
      <c r="V1000" s="116" t="s">
        <v>13583</v>
      </c>
      <c r="W1000" s="116" t="s">
        <v>13690</v>
      </c>
      <c r="X1000" s="116" t="s">
        <v>13691</v>
      </c>
      <c r="Y1000" s="116">
        <v>2</v>
      </c>
      <c r="Z1000" s="116">
        <v>4</v>
      </c>
      <c r="AA1000" s="116">
        <v>1</v>
      </c>
      <c r="AB1000" s="99"/>
      <c r="AC1000" s="99"/>
      <c r="AD1000" s="107">
        <v>0</v>
      </c>
      <c r="AE1000" s="113">
        <f t="shared" si="196"/>
        <v>0</v>
      </c>
      <c r="AF1000" s="116">
        <f>-IFERROR(IFERROR(VLOOKUP(ROUNDUP($Q1000,0),'FBA FEES'!$L$2:$Q$203,MATCH($S1000,'FBA FEES'!$L$2:$Q$2,0),FALSE),VLOOKUP(ROUNDUP($Q1000,0),'FBA FEES'!$C$6:$F$123,MATCH($S1000,'FBA FEES'!$C$6:$F$6,0),FALSE)),0)</f>
        <v>-39.25</v>
      </c>
      <c r="AG1000" s="116">
        <v>-10</v>
      </c>
      <c r="AH1000" s="113">
        <f t="shared" si="197"/>
        <v>-39.25</v>
      </c>
      <c r="AI1000" s="116">
        <f>-IFERROR(IF($Y1000=1,INDEX('[1]REMOVAL FEES'!$A$1:$C$22,MATCH(CONCATENATE("Standard Size",$P1000),'[1]REMOVAL FEES'!$A$1:$A$22,0),3),IF($Y1000=2,IF($P1000&gt;10,(($P1000-10)*1.06)+INDEX('[1]REMOVAL FEES'!$E$1:$G$22,MATCH(CONCATENATE("Large bulky, extra-large and special handling items",IF($P1000&gt;=11,11,$P1000)),'[1]REMOVAL FEES'!$E$1:$E$13,0),3),INDEX('[1]REMOVAL FEES'!$E$1:$G$22,MATCH(CONCATENATE("Large bulky, extra-large and special handling items",IF($P1000&gt;=11,11,$P1000)),'[1]REMOVAL FEES'!$E$1:$E$13,0),3))))*$AA1000,FALSE)</f>
        <v>-40.82</v>
      </c>
      <c r="AJ1000" s="107">
        <f t="shared" si="198"/>
        <v>-80.069999999999993</v>
      </c>
      <c r="AK1000" s="107">
        <v>0</v>
      </c>
      <c r="AL1000" s="107">
        <v>0</v>
      </c>
      <c r="AM1000" s="107">
        <f t="shared" si="199"/>
        <v>0</v>
      </c>
      <c r="AN1000" s="116">
        <f>(-IF($V1000="Yes", IF($X1000="Yes", VLOOKUP($W1000, '[1]Storage Fees'!A:M, 13, FALSE), VLOOKUP($W1000, '[1]Storage Fees'!A:M, 10, FALSE)), IF($X1000="Yes", VLOOKUP($W1000, '[1]Storage Fees'!A:M, 7, FALSE), VLOOKUP($W1000, '[1]Storage Fees'!A:M, 4, FALSE))) * U1000)*1.5</f>
        <v>-3.291666666666667</v>
      </c>
    </row>
    <row r="1001" spans="1:40" x14ac:dyDescent="0.25">
      <c r="A1001" s="99">
        <v>929</v>
      </c>
      <c r="B1001" s="99" t="s">
        <v>13699</v>
      </c>
      <c r="C1001" s="99"/>
      <c r="D1001" s="99"/>
      <c r="E1001" s="99" t="s">
        <v>278</v>
      </c>
      <c r="F1001" s="99" t="s">
        <v>641</v>
      </c>
      <c r="G1001" s="99" t="s">
        <v>13695</v>
      </c>
      <c r="H1001" s="99">
        <v>33</v>
      </c>
      <c r="I1001" s="99">
        <v>33</v>
      </c>
      <c r="J1001" s="99">
        <v>3</v>
      </c>
      <c r="K1001" s="101" t="str">
        <f t="shared" si="187"/>
        <v>33x33x3</v>
      </c>
      <c r="L1001" s="102">
        <f t="shared" si="188"/>
        <v>23.503597122302157</v>
      </c>
      <c r="M1001" s="113">
        <f t="shared" si="189"/>
        <v>23.503597122302157</v>
      </c>
      <c r="N1001" s="113">
        <f t="shared" si="190"/>
        <v>24</v>
      </c>
      <c r="O1001" s="99">
        <v>24</v>
      </c>
      <c r="P1001" s="113">
        <f t="shared" si="191"/>
        <v>24</v>
      </c>
      <c r="Q1001" s="112">
        <f t="shared" si="192"/>
        <v>384</v>
      </c>
      <c r="R1001" s="112" t="str">
        <f t="shared" si="193"/>
        <v>Oversize</v>
      </c>
      <c r="S1001" s="99" t="str">
        <f t="shared" si="194"/>
        <v>Large bulky</v>
      </c>
      <c r="T1001" s="116" t="s">
        <v>13692</v>
      </c>
      <c r="U1001" s="116">
        <f t="shared" si="195"/>
        <v>1.890625</v>
      </c>
      <c r="V1001" s="116" t="s">
        <v>13583</v>
      </c>
      <c r="W1001" s="116" t="s">
        <v>13690</v>
      </c>
      <c r="X1001" s="116" t="s">
        <v>13691</v>
      </c>
      <c r="Y1001" s="116">
        <v>2</v>
      </c>
      <c r="Z1001" s="116">
        <v>3</v>
      </c>
      <c r="AA1001" s="116">
        <v>1</v>
      </c>
      <c r="AB1001" s="99"/>
      <c r="AC1001" s="99"/>
      <c r="AD1001" s="107">
        <v>0</v>
      </c>
      <c r="AE1001" s="113">
        <f t="shared" si="196"/>
        <v>0</v>
      </c>
      <c r="AF1001" s="116">
        <f>-IFERROR(IFERROR(VLOOKUP(ROUNDUP($Q1001,0),'FBA FEES'!$L$2:$Q$203,MATCH($S1001,'FBA FEES'!$L$2:$Q$2,0),FALSE),VLOOKUP(ROUNDUP($Q1001,0),'FBA FEES'!$C$6:$F$123,MATCH($S1001,'FBA FEES'!$C$6:$F$6,0),FALSE)),0)</f>
        <v>-18.350000000000001</v>
      </c>
      <c r="AG1001" s="116">
        <v>-10</v>
      </c>
      <c r="AH1001" s="113">
        <f t="shared" si="197"/>
        <v>-18.350000000000001</v>
      </c>
      <c r="AI1001" s="116">
        <f>-IFERROR(IF($Y1001=1,INDEX('[1]REMOVAL FEES'!$A$1:$C$22,MATCH(CONCATENATE("Standard Size",$P1001),'[1]REMOVAL FEES'!$A$1:$A$22,0),3),IF($Y1001=2,IF($P1001&gt;10,(($P1001-10)*1.06)+INDEX('[1]REMOVAL FEES'!$E$1:$G$22,MATCH(CONCATENATE("Large bulky, extra-large and special handling items",IF($P1001&gt;=11,11,$P1001)),'[1]REMOVAL FEES'!$E$1:$E$13,0),3),INDEX('[1]REMOVAL FEES'!$E$1:$G$22,MATCH(CONCATENATE("Large bulky, extra-large and special handling items",IF($P1001&gt;=11,11,$P1001)),'[1]REMOVAL FEES'!$E$1:$E$13,0),3))))*$AA1001,FALSE)</f>
        <v>-29.16</v>
      </c>
      <c r="AJ1001" s="107">
        <f t="shared" si="198"/>
        <v>-47.510000000000005</v>
      </c>
      <c r="AK1001" s="107">
        <v>0</v>
      </c>
      <c r="AL1001" s="107">
        <v>0</v>
      </c>
      <c r="AM1001" s="107">
        <f t="shared" si="199"/>
        <v>0</v>
      </c>
      <c r="AN1001" s="116">
        <f>(-IF($V1001="Yes", IF($X1001="Yes", VLOOKUP($W1001, '[1]Storage Fees'!A:M, 13, FALSE), VLOOKUP($W1001, '[1]Storage Fees'!A:M, 10, FALSE)), IF($X1001="Yes", VLOOKUP($W1001, '[1]Storage Fees'!A:M, 7, FALSE), VLOOKUP($W1001, '[1]Storage Fees'!A:M, 4, FALSE))) * U1001)*1.5</f>
        <v>-2.2403906249999999</v>
      </c>
    </row>
    <row r="1002" spans="1:40" x14ac:dyDescent="0.25">
      <c r="A1002" s="99">
        <v>930</v>
      </c>
      <c r="B1002" s="99" t="s">
        <v>13699</v>
      </c>
      <c r="C1002" s="99"/>
      <c r="D1002" s="99"/>
      <c r="E1002" s="99" t="s">
        <v>278</v>
      </c>
      <c r="F1002" s="99" t="s">
        <v>642</v>
      </c>
      <c r="G1002" s="99" t="s">
        <v>13695</v>
      </c>
      <c r="H1002" s="99">
        <v>44</v>
      </c>
      <c r="I1002" s="99">
        <v>23</v>
      </c>
      <c r="J1002" s="99">
        <v>4</v>
      </c>
      <c r="K1002" s="101" t="str">
        <f t="shared" si="187"/>
        <v>44x23x4</v>
      </c>
      <c r="L1002" s="102">
        <f t="shared" si="188"/>
        <v>29.122302158273381</v>
      </c>
      <c r="M1002" s="113">
        <f t="shared" si="189"/>
        <v>29.122302158273381</v>
      </c>
      <c r="N1002" s="113">
        <f t="shared" si="190"/>
        <v>30</v>
      </c>
      <c r="O1002" s="99">
        <v>45</v>
      </c>
      <c r="P1002" s="113">
        <f t="shared" si="191"/>
        <v>45</v>
      </c>
      <c r="Q1002" s="112">
        <f t="shared" si="192"/>
        <v>720</v>
      </c>
      <c r="R1002" s="112" t="str">
        <f t="shared" si="193"/>
        <v>Oversize</v>
      </c>
      <c r="S1002" s="99" t="str">
        <f t="shared" si="194"/>
        <v>Large bulky</v>
      </c>
      <c r="T1002" s="116" t="s">
        <v>13694</v>
      </c>
      <c r="U1002" s="116">
        <f t="shared" si="195"/>
        <v>2.3425925925925926</v>
      </c>
      <c r="V1002" s="116" t="s">
        <v>13583</v>
      </c>
      <c r="W1002" s="116" t="s">
        <v>13690</v>
      </c>
      <c r="X1002" s="116" t="s">
        <v>13691</v>
      </c>
      <c r="Y1002" s="116">
        <v>2</v>
      </c>
      <c r="Z1002" s="116">
        <v>3</v>
      </c>
      <c r="AA1002" s="116">
        <v>1</v>
      </c>
      <c r="AB1002" s="99"/>
      <c r="AC1002" s="99"/>
      <c r="AD1002" s="107">
        <v>0</v>
      </c>
      <c r="AE1002" s="113">
        <f t="shared" si="196"/>
        <v>0</v>
      </c>
      <c r="AF1002" s="116">
        <f>-IFERROR(IFERROR(VLOOKUP(ROUNDUP($Q1002,0),'FBA FEES'!$L$2:$Q$203,MATCH($S1002,'FBA FEES'!$L$2:$Q$2,0),FALSE),VLOOKUP(ROUNDUP($Q1002,0),'FBA FEES'!$C$6:$F$123,MATCH($S1002,'FBA FEES'!$C$6:$F$6,0),FALSE)),0)</f>
        <v>-26.33</v>
      </c>
      <c r="AG1002" s="116">
        <v>-10</v>
      </c>
      <c r="AH1002" s="113">
        <f t="shared" si="197"/>
        <v>-26.33</v>
      </c>
      <c r="AI1002" s="116">
        <f>-IFERROR(IF($Y1002=1,INDEX('[1]REMOVAL FEES'!$A$1:$C$22,MATCH(CONCATENATE("Standard Size",$P1002),'[1]REMOVAL FEES'!$A$1:$A$22,0),3),IF($Y1002=2,IF($P1002&gt;10,(($P1002-10)*1.06)+INDEX('[1]REMOVAL FEES'!$E$1:$G$22,MATCH(CONCATENATE("Large bulky, extra-large and special handling items",IF($P1002&gt;=11,11,$P1002)),'[1]REMOVAL FEES'!$E$1:$E$13,0),3),INDEX('[1]REMOVAL FEES'!$E$1:$G$22,MATCH(CONCATENATE("Large bulky, extra-large and special handling items",IF($P1002&gt;=11,11,$P1002)),'[1]REMOVAL FEES'!$E$1:$E$13,0),3))))*$AA1002,FALSE)</f>
        <v>-51.42</v>
      </c>
      <c r="AJ1002" s="107">
        <f t="shared" si="198"/>
        <v>-77.75</v>
      </c>
      <c r="AK1002" s="107">
        <v>0</v>
      </c>
      <c r="AL1002" s="107">
        <v>0</v>
      </c>
      <c r="AM1002" s="107">
        <f t="shared" si="199"/>
        <v>0</v>
      </c>
      <c r="AN1002" s="116">
        <f>(-IF($V1002="Yes", IF($X1002="Yes", VLOOKUP($W1002, '[1]Storage Fees'!A:M, 13, FALSE), VLOOKUP($W1002, '[1]Storage Fees'!A:M, 10, FALSE)), IF($X1002="Yes", VLOOKUP($W1002, '[1]Storage Fees'!A:M, 7, FALSE), VLOOKUP($W1002, '[1]Storage Fees'!A:M, 4, FALSE))) * U1002)*1.5</f>
        <v>-2.7759722222222223</v>
      </c>
    </row>
    <row r="1003" spans="1:40" x14ac:dyDescent="0.25">
      <c r="A1003" s="99">
        <v>931</v>
      </c>
      <c r="B1003" s="99" t="s">
        <v>13699</v>
      </c>
      <c r="C1003" s="99"/>
      <c r="D1003" s="99"/>
      <c r="E1003" s="99" t="s">
        <v>278</v>
      </c>
      <c r="F1003" s="99" t="s">
        <v>643</v>
      </c>
      <c r="G1003" s="99" t="s">
        <v>13695</v>
      </c>
      <c r="H1003" s="99">
        <v>30</v>
      </c>
      <c r="I1003" s="99">
        <v>30</v>
      </c>
      <c r="J1003" s="99">
        <v>3</v>
      </c>
      <c r="K1003" s="101" t="str">
        <f t="shared" si="187"/>
        <v>30x30x3</v>
      </c>
      <c r="L1003" s="102">
        <f t="shared" si="188"/>
        <v>19.424460431654676</v>
      </c>
      <c r="M1003" s="113">
        <f t="shared" si="189"/>
        <v>19.424460431654676</v>
      </c>
      <c r="N1003" s="113">
        <f t="shared" si="190"/>
        <v>20</v>
      </c>
      <c r="O1003" s="99">
        <v>18</v>
      </c>
      <c r="P1003" s="113">
        <f t="shared" si="191"/>
        <v>20</v>
      </c>
      <c r="Q1003" s="112">
        <f t="shared" si="192"/>
        <v>320</v>
      </c>
      <c r="R1003" s="112" t="str">
        <f t="shared" si="193"/>
        <v>Oversize</v>
      </c>
      <c r="S1003" s="99" t="str">
        <f t="shared" si="194"/>
        <v>Large bulky</v>
      </c>
      <c r="T1003" s="116" t="s">
        <v>13692</v>
      </c>
      <c r="U1003" s="116">
        <f t="shared" si="195"/>
        <v>1.5625</v>
      </c>
      <c r="V1003" s="116" t="s">
        <v>13583</v>
      </c>
      <c r="W1003" s="116" t="s">
        <v>13690</v>
      </c>
      <c r="X1003" s="116" t="s">
        <v>13691</v>
      </c>
      <c r="Y1003" s="116">
        <v>2</v>
      </c>
      <c r="Z1003" s="116">
        <v>3</v>
      </c>
      <c r="AA1003" s="116">
        <v>1</v>
      </c>
      <c r="AB1003" s="99"/>
      <c r="AC1003" s="99"/>
      <c r="AD1003" s="107">
        <v>0</v>
      </c>
      <c r="AE1003" s="113">
        <f t="shared" si="196"/>
        <v>0</v>
      </c>
      <c r="AF1003" s="116">
        <f>-IFERROR(IFERROR(VLOOKUP(ROUNDUP($Q1003,0),'FBA FEES'!$L$2:$Q$203,MATCH($S1003,'FBA FEES'!$L$2:$Q$2,0),FALSE),VLOOKUP(ROUNDUP($Q1003,0),'FBA FEES'!$C$6:$F$123,MATCH($S1003,'FBA FEES'!$C$6:$F$6,0),FALSE)),0)</f>
        <v>-16.829999999999998</v>
      </c>
      <c r="AG1003" s="116">
        <v>-10</v>
      </c>
      <c r="AH1003" s="113">
        <f t="shared" si="197"/>
        <v>-16.829999999999998</v>
      </c>
      <c r="AI1003" s="116">
        <f>-IFERROR(IF($Y1003=1,INDEX('[1]REMOVAL FEES'!$A$1:$C$22,MATCH(CONCATENATE("Standard Size",$P1003),'[1]REMOVAL FEES'!$A$1:$A$22,0),3),IF($Y1003=2,IF($P1003&gt;10,(($P1003-10)*1.06)+INDEX('[1]REMOVAL FEES'!$E$1:$G$22,MATCH(CONCATENATE("Large bulky, extra-large and special handling items",IF($P1003&gt;=11,11,$P1003)),'[1]REMOVAL FEES'!$E$1:$E$13,0),3),INDEX('[1]REMOVAL FEES'!$E$1:$G$22,MATCH(CONCATENATE("Large bulky, extra-large and special handling items",IF($P1003&gt;=11,11,$P1003)),'[1]REMOVAL FEES'!$E$1:$E$13,0),3))))*$AA1003,FALSE)</f>
        <v>-24.92</v>
      </c>
      <c r="AJ1003" s="107">
        <f t="shared" si="198"/>
        <v>-41.75</v>
      </c>
      <c r="AK1003" s="107">
        <v>0</v>
      </c>
      <c r="AL1003" s="107">
        <v>0</v>
      </c>
      <c r="AM1003" s="107">
        <f t="shared" si="199"/>
        <v>0</v>
      </c>
      <c r="AN1003" s="116">
        <f>(-IF($V1003="Yes", IF($X1003="Yes", VLOOKUP($W1003, '[1]Storage Fees'!A:M, 13, FALSE), VLOOKUP($W1003, '[1]Storage Fees'!A:M, 10, FALSE)), IF($X1003="Yes", VLOOKUP($W1003, '[1]Storage Fees'!A:M, 7, FALSE), VLOOKUP($W1003, '[1]Storage Fees'!A:M, 4, FALSE))) * U1003)*1.5</f>
        <v>-1.8515625</v>
      </c>
    </row>
    <row r="1004" spans="1:40" x14ac:dyDescent="0.25">
      <c r="A1004" s="99">
        <v>932</v>
      </c>
      <c r="B1004" s="99" t="s">
        <v>13699</v>
      </c>
      <c r="C1004" s="99"/>
      <c r="D1004" s="99"/>
      <c r="E1004" s="99" t="s">
        <v>278</v>
      </c>
      <c r="F1004" s="99" t="s">
        <v>644</v>
      </c>
      <c r="G1004" s="99" t="s">
        <v>13695</v>
      </c>
      <c r="H1004" s="99">
        <v>40</v>
      </c>
      <c r="I1004" s="99">
        <v>40</v>
      </c>
      <c r="J1004" s="99">
        <v>3</v>
      </c>
      <c r="K1004" s="101" t="str">
        <f t="shared" si="187"/>
        <v>40x40x3</v>
      </c>
      <c r="L1004" s="102">
        <f t="shared" si="188"/>
        <v>34.532374100719423</v>
      </c>
      <c r="M1004" s="113">
        <f t="shared" si="189"/>
        <v>34.532374100719423</v>
      </c>
      <c r="N1004" s="113">
        <f t="shared" si="190"/>
        <v>35</v>
      </c>
      <c r="O1004" s="99">
        <v>33</v>
      </c>
      <c r="P1004" s="113">
        <f t="shared" si="191"/>
        <v>35</v>
      </c>
      <c r="Q1004" s="112">
        <f t="shared" si="192"/>
        <v>560</v>
      </c>
      <c r="R1004" s="112" t="str">
        <f t="shared" si="193"/>
        <v>Oversize</v>
      </c>
      <c r="S1004" s="99" t="str">
        <f t="shared" si="194"/>
        <v>Extra-large 0 to 50 lb</v>
      </c>
      <c r="T1004" s="116" t="s">
        <v>13706</v>
      </c>
      <c r="U1004" s="116">
        <f t="shared" si="195"/>
        <v>2.7777777777777777</v>
      </c>
      <c r="V1004" s="116" t="s">
        <v>13583</v>
      </c>
      <c r="W1004" s="116" t="s">
        <v>13690</v>
      </c>
      <c r="X1004" s="116" t="s">
        <v>13691</v>
      </c>
      <c r="Y1004" s="116">
        <v>2</v>
      </c>
      <c r="Z1004" s="116">
        <v>4</v>
      </c>
      <c r="AA1004" s="116">
        <v>1</v>
      </c>
      <c r="AB1004" s="99"/>
      <c r="AC1004" s="99"/>
      <c r="AD1004" s="107">
        <v>0</v>
      </c>
      <c r="AE1004" s="113">
        <f t="shared" si="196"/>
        <v>0</v>
      </c>
      <c r="AF1004" s="116">
        <f>-IFERROR(IFERROR(VLOOKUP(ROUNDUP($Q1004,0),'FBA FEES'!$L$2:$Q$203,MATCH($S1004,'FBA FEES'!$L$2:$Q$2,0),FALSE),VLOOKUP(ROUNDUP($Q1004,0),'FBA FEES'!$C$6:$F$123,MATCH($S1004,'FBA FEES'!$C$6:$F$6,0),FALSE)),0)</f>
        <v>-39.25</v>
      </c>
      <c r="AG1004" s="116">
        <v>-10</v>
      </c>
      <c r="AH1004" s="113">
        <f t="shared" si="197"/>
        <v>-39.25</v>
      </c>
      <c r="AI1004" s="116">
        <f>-IFERROR(IF($Y1004=1,INDEX('[1]REMOVAL FEES'!$A$1:$C$22,MATCH(CONCATENATE("Standard Size",$P1004),'[1]REMOVAL FEES'!$A$1:$A$22,0),3),IF($Y1004=2,IF($P1004&gt;10,(($P1004-10)*1.06)+INDEX('[1]REMOVAL FEES'!$E$1:$G$22,MATCH(CONCATENATE("Large bulky, extra-large and special handling items",IF($P1004&gt;=11,11,$P1004)),'[1]REMOVAL FEES'!$E$1:$E$13,0),3),INDEX('[1]REMOVAL FEES'!$E$1:$G$22,MATCH(CONCATENATE("Large bulky, extra-large and special handling items",IF($P1004&gt;=11,11,$P1004)),'[1]REMOVAL FEES'!$E$1:$E$13,0),3))))*$AA1004,FALSE)</f>
        <v>-40.82</v>
      </c>
      <c r="AJ1004" s="107">
        <f t="shared" si="198"/>
        <v>-80.069999999999993</v>
      </c>
      <c r="AK1004" s="107">
        <v>0</v>
      </c>
      <c r="AL1004" s="107">
        <v>0</v>
      </c>
      <c r="AM1004" s="107">
        <f t="shared" si="199"/>
        <v>0</v>
      </c>
      <c r="AN1004" s="116">
        <f>(-IF($V1004="Yes", IF($X1004="Yes", VLOOKUP($W1004, '[1]Storage Fees'!A:M, 13, FALSE), VLOOKUP($W1004, '[1]Storage Fees'!A:M, 10, FALSE)), IF($X1004="Yes", VLOOKUP($W1004, '[1]Storage Fees'!A:M, 7, FALSE), VLOOKUP($W1004, '[1]Storage Fees'!A:M, 4, FALSE))) * U1004)*1.5</f>
        <v>-3.291666666666667</v>
      </c>
    </row>
    <row r="1005" spans="1:40" x14ac:dyDescent="0.25">
      <c r="A1005" s="99">
        <v>933</v>
      </c>
      <c r="B1005" s="99" t="s">
        <v>13699</v>
      </c>
      <c r="C1005" s="99"/>
      <c r="D1005" s="99"/>
      <c r="E1005" s="99" t="s">
        <v>278</v>
      </c>
      <c r="F1005" s="99" t="s">
        <v>645</v>
      </c>
      <c r="G1005" s="99" t="s">
        <v>13695</v>
      </c>
      <c r="H1005" s="99">
        <v>25</v>
      </c>
      <c r="I1005" s="99">
        <v>25</v>
      </c>
      <c r="J1005" s="99">
        <v>3</v>
      </c>
      <c r="K1005" s="101" t="str">
        <f t="shared" si="187"/>
        <v>25x25x3</v>
      </c>
      <c r="L1005" s="102">
        <f t="shared" si="188"/>
        <v>13.489208633093526</v>
      </c>
      <c r="M1005" s="113">
        <f t="shared" si="189"/>
        <v>13.489208633093526</v>
      </c>
      <c r="N1005" s="113">
        <f t="shared" si="190"/>
        <v>14</v>
      </c>
      <c r="O1005" s="99">
        <v>12</v>
      </c>
      <c r="P1005" s="113">
        <f t="shared" si="191"/>
        <v>14</v>
      </c>
      <c r="Q1005" s="112">
        <f t="shared" si="192"/>
        <v>224</v>
      </c>
      <c r="R1005" s="112" t="str">
        <f t="shared" si="193"/>
        <v>Oversize</v>
      </c>
      <c r="S1005" s="99" t="str">
        <f t="shared" si="194"/>
        <v>Large bulky</v>
      </c>
      <c r="T1005" s="116" t="s">
        <v>13692</v>
      </c>
      <c r="U1005" s="116">
        <f t="shared" si="195"/>
        <v>1.0850694444444444</v>
      </c>
      <c r="V1005" s="116" t="s">
        <v>13583</v>
      </c>
      <c r="W1005" s="116" t="s">
        <v>13690</v>
      </c>
      <c r="X1005" s="116" t="s">
        <v>13691</v>
      </c>
      <c r="Y1005" s="116">
        <v>2</v>
      </c>
      <c r="Z1005" s="116">
        <v>3</v>
      </c>
      <c r="AA1005" s="116">
        <v>1</v>
      </c>
      <c r="AB1005" s="99"/>
      <c r="AC1005" s="99"/>
      <c r="AD1005" s="107">
        <v>0</v>
      </c>
      <c r="AE1005" s="113">
        <f t="shared" si="196"/>
        <v>0</v>
      </c>
      <c r="AF1005" s="116">
        <f>-IFERROR(IFERROR(VLOOKUP(ROUNDUP($Q1005,0),'FBA FEES'!$L$2:$Q$203,MATCH($S1005,'FBA FEES'!$L$2:$Q$2,0),FALSE),VLOOKUP(ROUNDUP($Q1005,0),'FBA FEES'!$C$6:$F$123,MATCH($S1005,'FBA FEES'!$C$6:$F$6,0),FALSE)),0)</f>
        <v>-14.55</v>
      </c>
      <c r="AG1005" s="116">
        <v>-10</v>
      </c>
      <c r="AH1005" s="113">
        <f t="shared" si="197"/>
        <v>-14.55</v>
      </c>
      <c r="AI1005" s="116">
        <f>-IFERROR(IF($Y1005=1,INDEX('[1]REMOVAL FEES'!$A$1:$C$22,MATCH(CONCATENATE("Standard Size",$P1005),'[1]REMOVAL FEES'!$A$1:$A$22,0),3),IF($Y1005=2,IF($P1005&gt;10,(($P1005-10)*1.06)+INDEX('[1]REMOVAL FEES'!$E$1:$G$22,MATCH(CONCATENATE("Large bulky, extra-large and special handling items",IF($P1005&gt;=11,11,$P1005)),'[1]REMOVAL FEES'!$E$1:$E$13,0),3),INDEX('[1]REMOVAL FEES'!$E$1:$G$22,MATCH(CONCATENATE("Large bulky, extra-large and special handling items",IF($P1005&gt;=11,11,$P1005)),'[1]REMOVAL FEES'!$E$1:$E$13,0),3))))*$AA1005,FALSE)</f>
        <v>-18.560000000000002</v>
      </c>
      <c r="AJ1005" s="107">
        <f t="shared" si="198"/>
        <v>-33.11</v>
      </c>
      <c r="AK1005" s="107">
        <v>0</v>
      </c>
      <c r="AL1005" s="107">
        <v>0</v>
      </c>
      <c r="AM1005" s="107">
        <f t="shared" si="199"/>
        <v>0</v>
      </c>
      <c r="AN1005" s="116">
        <f>(-IF($V1005="Yes", IF($X1005="Yes", VLOOKUP($W1005, '[1]Storage Fees'!A:M, 13, FALSE), VLOOKUP($W1005, '[1]Storage Fees'!A:M, 10, FALSE)), IF($X1005="Yes", VLOOKUP($W1005, '[1]Storage Fees'!A:M, 7, FALSE), VLOOKUP($W1005, '[1]Storage Fees'!A:M, 4, FALSE))) * U1005)*1.5</f>
        <v>-1.2858072916666667</v>
      </c>
    </row>
    <row r="1006" spans="1:40" x14ac:dyDescent="0.25">
      <c r="A1006" s="99">
        <v>934</v>
      </c>
      <c r="B1006" s="99" t="s">
        <v>13700</v>
      </c>
      <c r="C1006" s="99"/>
      <c r="D1006" s="99"/>
      <c r="E1006" s="99" t="s">
        <v>278</v>
      </c>
      <c r="F1006" s="99" t="s">
        <v>646</v>
      </c>
      <c r="G1006" s="99" t="s">
        <v>13695</v>
      </c>
      <c r="H1006" s="99">
        <v>25</v>
      </c>
      <c r="I1006" s="99">
        <v>25</v>
      </c>
      <c r="J1006" s="99">
        <v>3</v>
      </c>
      <c r="K1006" s="101" t="str">
        <f t="shared" si="187"/>
        <v>25x25x3</v>
      </c>
      <c r="L1006" s="102">
        <f t="shared" si="188"/>
        <v>13.489208633093526</v>
      </c>
      <c r="M1006" s="113">
        <f t="shared" si="189"/>
        <v>13.489208633093526</v>
      </c>
      <c r="N1006" s="113">
        <f t="shared" si="190"/>
        <v>14</v>
      </c>
      <c r="O1006" s="99">
        <v>12</v>
      </c>
      <c r="P1006" s="113">
        <f t="shared" si="191"/>
        <v>14</v>
      </c>
      <c r="Q1006" s="112">
        <f t="shared" si="192"/>
        <v>224</v>
      </c>
      <c r="R1006" s="112" t="str">
        <f t="shared" si="193"/>
        <v>Oversize</v>
      </c>
      <c r="S1006" s="99" t="str">
        <f t="shared" si="194"/>
        <v>Large bulky</v>
      </c>
      <c r="T1006" s="116" t="s">
        <v>13692</v>
      </c>
      <c r="U1006" s="116">
        <f t="shared" si="195"/>
        <v>1.0850694444444444</v>
      </c>
      <c r="V1006" s="116" t="s">
        <v>13583</v>
      </c>
      <c r="W1006" s="116" t="s">
        <v>13690</v>
      </c>
      <c r="X1006" s="116" t="s">
        <v>13691</v>
      </c>
      <c r="Y1006" s="116">
        <v>2</v>
      </c>
      <c r="Z1006" s="116">
        <v>3</v>
      </c>
      <c r="AA1006" s="116">
        <v>1</v>
      </c>
      <c r="AB1006" s="99"/>
      <c r="AC1006" s="99"/>
      <c r="AD1006" s="107">
        <v>0</v>
      </c>
      <c r="AE1006" s="113">
        <f t="shared" si="196"/>
        <v>0</v>
      </c>
      <c r="AF1006" s="116">
        <f>-IFERROR(IFERROR(VLOOKUP(ROUNDUP($Q1006,0),'FBA FEES'!$L$2:$Q$203,MATCH($S1006,'FBA FEES'!$L$2:$Q$2,0),FALSE),VLOOKUP(ROUNDUP($Q1006,0),'FBA FEES'!$C$6:$F$123,MATCH($S1006,'FBA FEES'!$C$6:$F$6,0),FALSE)),0)</f>
        <v>-14.55</v>
      </c>
      <c r="AG1006" s="116">
        <v>-10</v>
      </c>
      <c r="AH1006" s="113">
        <f t="shared" si="197"/>
        <v>-14.55</v>
      </c>
      <c r="AI1006" s="116">
        <f>-IFERROR(IF($Y1006=1,INDEX('[1]REMOVAL FEES'!$A$1:$C$22,MATCH(CONCATENATE("Standard Size",$P1006),'[1]REMOVAL FEES'!$A$1:$A$22,0),3),IF($Y1006=2,IF($P1006&gt;10,(($P1006-10)*1.06)+INDEX('[1]REMOVAL FEES'!$E$1:$G$22,MATCH(CONCATENATE("Large bulky, extra-large and special handling items",IF($P1006&gt;=11,11,$P1006)),'[1]REMOVAL FEES'!$E$1:$E$13,0),3),INDEX('[1]REMOVAL FEES'!$E$1:$G$22,MATCH(CONCATENATE("Large bulky, extra-large and special handling items",IF($P1006&gt;=11,11,$P1006)),'[1]REMOVAL FEES'!$E$1:$E$13,0),3))))*$AA1006,FALSE)</f>
        <v>-18.560000000000002</v>
      </c>
      <c r="AJ1006" s="107">
        <f t="shared" si="198"/>
        <v>-33.11</v>
      </c>
      <c r="AK1006" s="107">
        <v>0</v>
      </c>
      <c r="AL1006" s="107">
        <v>0</v>
      </c>
      <c r="AM1006" s="107">
        <f t="shared" si="199"/>
        <v>0</v>
      </c>
      <c r="AN1006" s="116">
        <f>(-IF($V1006="Yes", IF($X1006="Yes", VLOOKUP($W1006, '[1]Storage Fees'!A:M, 13, FALSE), VLOOKUP($W1006, '[1]Storage Fees'!A:M, 10, FALSE)), IF($X1006="Yes", VLOOKUP($W1006, '[1]Storage Fees'!A:M, 7, FALSE), VLOOKUP($W1006, '[1]Storage Fees'!A:M, 4, FALSE))) * U1006)*1.5</f>
        <v>-1.2858072916666667</v>
      </c>
    </row>
    <row r="1007" spans="1:40" x14ac:dyDescent="0.25">
      <c r="A1007" s="99">
        <v>935</v>
      </c>
      <c r="B1007" s="99" t="s">
        <v>13700</v>
      </c>
      <c r="C1007" s="99"/>
      <c r="D1007" s="99"/>
      <c r="E1007" s="99" t="s">
        <v>278</v>
      </c>
      <c r="F1007" s="99" t="s">
        <v>647</v>
      </c>
      <c r="G1007" s="99" t="s">
        <v>13695</v>
      </c>
      <c r="H1007" s="99">
        <v>30</v>
      </c>
      <c r="I1007" s="99">
        <v>30</v>
      </c>
      <c r="J1007" s="99">
        <v>3</v>
      </c>
      <c r="K1007" s="101" t="str">
        <f t="shared" si="187"/>
        <v>30x30x3</v>
      </c>
      <c r="L1007" s="102">
        <f t="shared" si="188"/>
        <v>19.424460431654676</v>
      </c>
      <c r="M1007" s="113">
        <f t="shared" si="189"/>
        <v>19.424460431654676</v>
      </c>
      <c r="N1007" s="113">
        <f t="shared" si="190"/>
        <v>20</v>
      </c>
      <c r="O1007" s="99">
        <v>17</v>
      </c>
      <c r="P1007" s="113">
        <f t="shared" si="191"/>
        <v>20</v>
      </c>
      <c r="Q1007" s="112">
        <f t="shared" si="192"/>
        <v>320</v>
      </c>
      <c r="R1007" s="112" t="str">
        <f t="shared" si="193"/>
        <v>Oversize</v>
      </c>
      <c r="S1007" s="99" t="str">
        <f t="shared" si="194"/>
        <v>Large bulky</v>
      </c>
      <c r="T1007" s="116" t="s">
        <v>13692</v>
      </c>
      <c r="U1007" s="116">
        <f t="shared" si="195"/>
        <v>1.5625</v>
      </c>
      <c r="V1007" s="116" t="s">
        <v>13583</v>
      </c>
      <c r="W1007" s="116" t="s">
        <v>13690</v>
      </c>
      <c r="X1007" s="116" t="s">
        <v>13691</v>
      </c>
      <c r="Y1007" s="116">
        <v>2</v>
      </c>
      <c r="Z1007" s="116">
        <v>3</v>
      </c>
      <c r="AA1007" s="116">
        <v>1</v>
      </c>
      <c r="AB1007" s="99"/>
      <c r="AC1007" s="99"/>
      <c r="AD1007" s="107">
        <v>0</v>
      </c>
      <c r="AE1007" s="113">
        <f t="shared" si="196"/>
        <v>0</v>
      </c>
      <c r="AF1007" s="116">
        <f>-IFERROR(IFERROR(VLOOKUP(ROUNDUP($Q1007,0),'FBA FEES'!$L$2:$Q$203,MATCH($S1007,'FBA FEES'!$L$2:$Q$2,0),FALSE),VLOOKUP(ROUNDUP($Q1007,0),'FBA FEES'!$C$6:$F$123,MATCH($S1007,'FBA FEES'!$C$6:$F$6,0),FALSE)),0)</f>
        <v>-16.829999999999998</v>
      </c>
      <c r="AG1007" s="116">
        <v>-10</v>
      </c>
      <c r="AH1007" s="113">
        <f t="shared" si="197"/>
        <v>-16.829999999999998</v>
      </c>
      <c r="AI1007" s="116">
        <f>-IFERROR(IF($Y1007=1,INDEX('[1]REMOVAL FEES'!$A$1:$C$22,MATCH(CONCATENATE("Standard Size",$P1007),'[1]REMOVAL FEES'!$A$1:$A$22,0),3),IF($Y1007=2,IF($P1007&gt;10,(($P1007-10)*1.06)+INDEX('[1]REMOVAL FEES'!$E$1:$G$22,MATCH(CONCATENATE("Large bulky, extra-large and special handling items",IF($P1007&gt;=11,11,$P1007)),'[1]REMOVAL FEES'!$E$1:$E$13,0),3),INDEX('[1]REMOVAL FEES'!$E$1:$G$22,MATCH(CONCATENATE("Large bulky, extra-large and special handling items",IF($P1007&gt;=11,11,$P1007)),'[1]REMOVAL FEES'!$E$1:$E$13,0),3))))*$AA1007,FALSE)</f>
        <v>-24.92</v>
      </c>
      <c r="AJ1007" s="107">
        <f t="shared" si="198"/>
        <v>-41.75</v>
      </c>
      <c r="AK1007" s="107">
        <v>0</v>
      </c>
      <c r="AL1007" s="107">
        <v>0</v>
      </c>
      <c r="AM1007" s="107">
        <f t="shared" si="199"/>
        <v>0</v>
      </c>
      <c r="AN1007" s="116">
        <f>(-IF($V1007="Yes", IF($X1007="Yes", VLOOKUP($W1007, '[1]Storage Fees'!A:M, 13, FALSE), VLOOKUP($W1007, '[1]Storage Fees'!A:M, 10, FALSE)), IF($X1007="Yes", VLOOKUP($W1007, '[1]Storage Fees'!A:M, 7, FALSE), VLOOKUP($W1007, '[1]Storage Fees'!A:M, 4, FALSE))) * U1007)*1.5</f>
        <v>-1.8515625</v>
      </c>
    </row>
    <row r="1008" spans="1:40" x14ac:dyDescent="0.25">
      <c r="A1008" s="99">
        <v>936</v>
      </c>
      <c r="B1008" s="99" t="s">
        <v>13700</v>
      </c>
      <c r="C1008" s="99"/>
      <c r="D1008" s="99"/>
      <c r="E1008" s="99" t="s">
        <v>278</v>
      </c>
      <c r="F1008" s="99" t="s">
        <v>648</v>
      </c>
      <c r="G1008" s="99" t="s">
        <v>13695</v>
      </c>
      <c r="H1008" s="99">
        <v>33</v>
      </c>
      <c r="I1008" s="99">
        <v>33</v>
      </c>
      <c r="J1008" s="99">
        <v>3</v>
      </c>
      <c r="K1008" s="101" t="str">
        <f t="shared" si="187"/>
        <v>33x33x3</v>
      </c>
      <c r="L1008" s="102">
        <f t="shared" si="188"/>
        <v>23.503597122302157</v>
      </c>
      <c r="M1008" s="113">
        <f t="shared" si="189"/>
        <v>23.503597122302157</v>
      </c>
      <c r="N1008" s="113">
        <f t="shared" si="190"/>
        <v>24</v>
      </c>
      <c r="O1008" s="99">
        <v>20</v>
      </c>
      <c r="P1008" s="113">
        <f t="shared" si="191"/>
        <v>24</v>
      </c>
      <c r="Q1008" s="112">
        <f t="shared" si="192"/>
        <v>384</v>
      </c>
      <c r="R1008" s="112" t="str">
        <f t="shared" si="193"/>
        <v>Oversize</v>
      </c>
      <c r="S1008" s="99" t="str">
        <f t="shared" si="194"/>
        <v>Large bulky</v>
      </c>
      <c r="T1008" s="116" t="s">
        <v>13692</v>
      </c>
      <c r="U1008" s="116">
        <f t="shared" si="195"/>
        <v>1.890625</v>
      </c>
      <c r="V1008" s="116" t="s">
        <v>13583</v>
      </c>
      <c r="W1008" s="116" t="s">
        <v>13690</v>
      </c>
      <c r="X1008" s="116" t="s">
        <v>13691</v>
      </c>
      <c r="Y1008" s="116">
        <v>2</v>
      </c>
      <c r="Z1008" s="116">
        <v>3</v>
      </c>
      <c r="AA1008" s="116">
        <v>1</v>
      </c>
      <c r="AB1008" s="99"/>
      <c r="AC1008" s="99"/>
      <c r="AD1008" s="107">
        <v>0</v>
      </c>
      <c r="AE1008" s="113">
        <f t="shared" si="196"/>
        <v>0</v>
      </c>
      <c r="AF1008" s="116">
        <f>-IFERROR(IFERROR(VLOOKUP(ROUNDUP($Q1008,0),'FBA FEES'!$L$2:$Q$203,MATCH($S1008,'FBA FEES'!$L$2:$Q$2,0),FALSE),VLOOKUP(ROUNDUP($Q1008,0),'FBA FEES'!$C$6:$F$123,MATCH($S1008,'FBA FEES'!$C$6:$F$6,0),FALSE)),0)</f>
        <v>-18.350000000000001</v>
      </c>
      <c r="AG1008" s="116">
        <v>-10</v>
      </c>
      <c r="AH1008" s="113">
        <f t="shared" si="197"/>
        <v>-18.350000000000001</v>
      </c>
      <c r="AI1008" s="116">
        <f>-IFERROR(IF($Y1008=1,INDEX('[1]REMOVAL FEES'!$A$1:$C$22,MATCH(CONCATENATE("Standard Size",$P1008),'[1]REMOVAL FEES'!$A$1:$A$22,0),3),IF($Y1008=2,IF($P1008&gt;10,(($P1008-10)*1.06)+INDEX('[1]REMOVAL FEES'!$E$1:$G$22,MATCH(CONCATENATE("Large bulky, extra-large and special handling items",IF($P1008&gt;=11,11,$P1008)),'[1]REMOVAL FEES'!$E$1:$E$13,0),3),INDEX('[1]REMOVAL FEES'!$E$1:$G$22,MATCH(CONCATENATE("Large bulky, extra-large and special handling items",IF($P1008&gt;=11,11,$P1008)),'[1]REMOVAL FEES'!$E$1:$E$13,0),3))))*$AA1008,FALSE)</f>
        <v>-29.16</v>
      </c>
      <c r="AJ1008" s="107">
        <f t="shared" si="198"/>
        <v>-47.510000000000005</v>
      </c>
      <c r="AK1008" s="107">
        <v>0</v>
      </c>
      <c r="AL1008" s="107">
        <v>0</v>
      </c>
      <c r="AM1008" s="107">
        <f t="shared" si="199"/>
        <v>0</v>
      </c>
      <c r="AN1008" s="116">
        <f>(-IF($V1008="Yes", IF($X1008="Yes", VLOOKUP($W1008, '[1]Storage Fees'!A:M, 13, FALSE), VLOOKUP($W1008, '[1]Storage Fees'!A:M, 10, FALSE)), IF($X1008="Yes", VLOOKUP($W1008, '[1]Storage Fees'!A:M, 7, FALSE), VLOOKUP($W1008, '[1]Storage Fees'!A:M, 4, FALSE))) * U1008)*1.5</f>
        <v>-2.2403906249999999</v>
      </c>
    </row>
    <row r="1009" spans="1:40" x14ac:dyDescent="0.25">
      <c r="A1009" s="99">
        <v>937</v>
      </c>
      <c r="B1009" s="99" t="s">
        <v>13700</v>
      </c>
      <c r="C1009" s="99"/>
      <c r="D1009" s="99"/>
      <c r="E1009" s="99" t="s">
        <v>278</v>
      </c>
      <c r="F1009" s="99" t="s">
        <v>649</v>
      </c>
      <c r="G1009" s="99" t="s">
        <v>13695</v>
      </c>
      <c r="H1009" s="99">
        <v>37</v>
      </c>
      <c r="I1009" s="99">
        <v>37</v>
      </c>
      <c r="J1009" s="99">
        <v>3</v>
      </c>
      <c r="K1009" s="101" t="str">
        <f t="shared" si="187"/>
        <v>37x37x3</v>
      </c>
      <c r="L1009" s="102">
        <f t="shared" si="188"/>
        <v>29.546762589928058</v>
      </c>
      <c r="M1009" s="113">
        <f t="shared" si="189"/>
        <v>29.546762589928058</v>
      </c>
      <c r="N1009" s="113">
        <f t="shared" si="190"/>
        <v>30</v>
      </c>
      <c r="O1009" s="99">
        <v>25</v>
      </c>
      <c r="P1009" s="113">
        <f t="shared" si="191"/>
        <v>30</v>
      </c>
      <c r="Q1009" s="112">
        <f t="shared" si="192"/>
        <v>480</v>
      </c>
      <c r="R1009" s="112" t="str">
        <f t="shared" si="193"/>
        <v>Oversize</v>
      </c>
      <c r="S1009" s="99" t="str">
        <f t="shared" si="194"/>
        <v>Extra-large 0 to 50 lb</v>
      </c>
      <c r="T1009" s="116" t="s">
        <v>13706</v>
      </c>
      <c r="U1009" s="116">
        <f t="shared" si="195"/>
        <v>2.3767361111111112</v>
      </c>
      <c r="V1009" s="116" t="s">
        <v>13583</v>
      </c>
      <c r="W1009" s="116" t="s">
        <v>13690</v>
      </c>
      <c r="X1009" s="116" t="s">
        <v>13691</v>
      </c>
      <c r="Y1009" s="116">
        <v>2</v>
      </c>
      <c r="Z1009" s="116">
        <v>4</v>
      </c>
      <c r="AA1009" s="116">
        <v>1</v>
      </c>
      <c r="AB1009" s="99"/>
      <c r="AC1009" s="99"/>
      <c r="AD1009" s="107">
        <v>0</v>
      </c>
      <c r="AE1009" s="113">
        <f t="shared" si="196"/>
        <v>0</v>
      </c>
      <c r="AF1009" s="116">
        <f>-IFERROR(IFERROR(VLOOKUP(ROUNDUP($Q1009,0),'FBA FEES'!$L$2:$Q$203,MATCH($S1009,'FBA FEES'!$L$2:$Q$2,0),FALSE),VLOOKUP(ROUNDUP($Q1009,0),'FBA FEES'!$C$6:$F$123,MATCH($S1009,'FBA FEES'!$C$6:$F$6,0),FALSE)),0)</f>
        <v>-37.349999999999994</v>
      </c>
      <c r="AG1009" s="116">
        <v>-10</v>
      </c>
      <c r="AH1009" s="113">
        <f t="shared" si="197"/>
        <v>-37.349999999999994</v>
      </c>
      <c r="AI1009" s="116">
        <f>-IFERROR(IF($Y1009=1,INDEX('[1]REMOVAL FEES'!$A$1:$C$22,MATCH(CONCATENATE("Standard Size",$P1009),'[1]REMOVAL FEES'!$A$1:$A$22,0),3),IF($Y1009=2,IF($P1009&gt;10,(($P1009-10)*1.06)+INDEX('[1]REMOVAL FEES'!$E$1:$G$22,MATCH(CONCATENATE("Large bulky, extra-large and special handling items",IF($P1009&gt;=11,11,$P1009)),'[1]REMOVAL FEES'!$E$1:$E$13,0),3),INDEX('[1]REMOVAL FEES'!$E$1:$G$22,MATCH(CONCATENATE("Large bulky, extra-large and special handling items",IF($P1009&gt;=11,11,$P1009)),'[1]REMOVAL FEES'!$E$1:$E$13,0),3))))*$AA1009,FALSE)</f>
        <v>-35.520000000000003</v>
      </c>
      <c r="AJ1009" s="107">
        <f t="shared" si="198"/>
        <v>-72.87</v>
      </c>
      <c r="AK1009" s="107">
        <v>0</v>
      </c>
      <c r="AL1009" s="107">
        <v>0</v>
      </c>
      <c r="AM1009" s="107">
        <f t="shared" si="199"/>
        <v>0</v>
      </c>
      <c r="AN1009" s="116">
        <f>(-IF($V1009="Yes", IF($X1009="Yes", VLOOKUP($W1009, '[1]Storage Fees'!A:M, 13, FALSE), VLOOKUP($W1009, '[1]Storage Fees'!A:M, 10, FALSE)), IF($X1009="Yes", VLOOKUP($W1009, '[1]Storage Fees'!A:M, 7, FALSE), VLOOKUP($W1009, '[1]Storage Fees'!A:M, 4, FALSE))) * U1009)*1.5</f>
        <v>-2.8164322916666666</v>
      </c>
    </row>
    <row r="1010" spans="1:40" x14ac:dyDescent="0.25">
      <c r="A1010" s="99">
        <v>938</v>
      </c>
      <c r="B1010" s="99" t="s">
        <v>13699</v>
      </c>
      <c r="C1010" s="99"/>
      <c r="D1010" s="99"/>
      <c r="E1010" s="99" t="s">
        <v>278</v>
      </c>
      <c r="F1010" s="99" t="s">
        <v>650</v>
      </c>
      <c r="G1010" s="99" t="s">
        <v>13695</v>
      </c>
      <c r="H1010" s="99">
        <v>21</v>
      </c>
      <c r="I1010" s="99">
        <v>15</v>
      </c>
      <c r="J1010" s="99">
        <v>8</v>
      </c>
      <c r="K1010" s="101" t="str">
        <f t="shared" si="187"/>
        <v>21x15x8</v>
      </c>
      <c r="L1010" s="102">
        <f t="shared" si="188"/>
        <v>18.129496402877699</v>
      </c>
      <c r="M1010" s="113">
        <f t="shared" si="189"/>
        <v>18.129496402877699</v>
      </c>
      <c r="N1010" s="113">
        <f t="shared" si="190"/>
        <v>19</v>
      </c>
      <c r="O1010" s="99">
        <v>16</v>
      </c>
      <c r="P1010" s="113">
        <f t="shared" si="191"/>
        <v>19</v>
      </c>
      <c r="Q1010" s="112">
        <f t="shared" si="192"/>
        <v>304</v>
      </c>
      <c r="R1010" s="112" t="str">
        <f t="shared" si="193"/>
        <v>Oversize</v>
      </c>
      <c r="S1010" s="99" t="str">
        <f t="shared" si="194"/>
        <v>Large bulky</v>
      </c>
      <c r="T1010" s="116" t="s">
        <v>13692</v>
      </c>
      <c r="U1010" s="116">
        <f t="shared" si="195"/>
        <v>1.4583333333333333</v>
      </c>
      <c r="V1010" s="116" t="s">
        <v>13583</v>
      </c>
      <c r="W1010" s="116" t="s">
        <v>13690</v>
      </c>
      <c r="X1010" s="116" t="s">
        <v>13691</v>
      </c>
      <c r="Y1010" s="116">
        <v>2</v>
      </c>
      <c r="Z1010" s="116">
        <v>3</v>
      </c>
      <c r="AA1010" s="116">
        <v>1</v>
      </c>
      <c r="AB1010" s="99"/>
      <c r="AC1010" s="99"/>
      <c r="AD1010" s="107">
        <v>0</v>
      </c>
      <c r="AE1010" s="113">
        <f t="shared" si="196"/>
        <v>0</v>
      </c>
      <c r="AF1010" s="116">
        <f>-IFERROR(IFERROR(VLOOKUP(ROUNDUP($Q1010,0),'FBA FEES'!$L$2:$Q$203,MATCH($S1010,'FBA FEES'!$L$2:$Q$2,0),FALSE),VLOOKUP(ROUNDUP($Q1010,0),'FBA FEES'!$C$6:$F$123,MATCH($S1010,'FBA FEES'!$C$6:$F$6,0),FALSE)),0)</f>
        <v>-16.45</v>
      </c>
      <c r="AG1010" s="116">
        <v>-10</v>
      </c>
      <c r="AH1010" s="113">
        <f t="shared" si="197"/>
        <v>-16.45</v>
      </c>
      <c r="AI1010" s="116">
        <f>-IFERROR(IF($Y1010=1,INDEX('[1]REMOVAL FEES'!$A$1:$C$22,MATCH(CONCATENATE("Standard Size",$P1010),'[1]REMOVAL FEES'!$A$1:$A$22,0),3),IF($Y1010=2,IF($P1010&gt;10,(($P1010-10)*1.06)+INDEX('[1]REMOVAL FEES'!$E$1:$G$22,MATCH(CONCATENATE("Large bulky, extra-large and special handling items",IF($P1010&gt;=11,11,$P1010)),'[1]REMOVAL FEES'!$E$1:$E$13,0),3),INDEX('[1]REMOVAL FEES'!$E$1:$G$22,MATCH(CONCATENATE("Large bulky, extra-large and special handling items",IF($P1010&gt;=11,11,$P1010)),'[1]REMOVAL FEES'!$E$1:$E$13,0),3))))*$AA1010,FALSE)</f>
        <v>-23.86</v>
      </c>
      <c r="AJ1010" s="107">
        <f t="shared" si="198"/>
        <v>-40.31</v>
      </c>
      <c r="AK1010" s="107">
        <v>0</v>
      </c>
      <c r="AL1010" s="107">
        <v>0</v>
      </c>
      <c r="AM1010" s="107">
        <f t="shared" si="199"/>
        <v>0</v>
      </c>
      <c r="AN1010" s="116">
        <f>(-IF($V1010="Yes", IF($X1010="Yes", VLOOKUP($W1010, '[1]Storage Fees'!A:M, 13, FALSE), VLOOKUP($W1010, '[1]Storage Fees'!A:M, 10, FALSE)), IF($X1010="Yes", VLOOKUP($W1010, '[1]Storage Fees'!A:M, 7, FALSE), VLOOKUP($W1010, '[1]Storage Fees'!A:M, 4, FALSE))) * U1010)*1.5</f>
        <v>-1.7281249999999999</v>
      </c>
    </row>
    <row r="1011" spans="1:40" x14ac:dyDescent="0.25">
      <c r="A1011" s="99">
        <v>939</v>
      </c>
      <c r="B1011" s="99" t="s">
        <v>13699</v>
      </c>
      <c r="C1011" s="99"/>
      <c r="D1011" s="99"/>
      <c r="E1011" s="99" t="s">
        <v>278</v>
      </c>
      <c r="F1011" s="99" t="s">
        <v>651</v>
      </c>
      <c r="G1011" s="99" t="s">
        <v>13695</v>
      </c>
      <c r="H1011" s="99">
        <v>30</v>
      </c>
      <c r="I1011" s="99">
        <v>15</v>
      </c>
      <c r="J1011" s="99">
        <v>10</v>
      </c>
      <c r="K1011" s="101" t="str">
        <f t="shared" si="187"/>
        <v>30x15x10</v>
      </c>
      <c r="L1011" s="102">
        <f t="shared" si="188"/>
        <v>32.374100719424462</v>
      </c>
      <c r="M1011" s="113">
        <f t="shared" si="189"/>
        <v>32.374100719424462</v>
      </c>
      <c r="N1011" s="113">
        <f t="shared" si="190"/>
        <v>33</v>
      </c>
      <c r="O1011" s="99">
        <v>23</v>
      </c>
      <c r="P1011" s="113">
        <f t="shared" si="191"/>
        <v>33</v>
      </c>
      <c r="Q1011" s="112">
        <f t="shared" si="192"/>
        <v>528</v>
      </c>
      <c r="R1011" s="112" t="str">
        <f t="shared" si="193"/>
        <v>Oversize</v>
      </c>
      <c r="S1011" s="99" t="str">
        <f t="shared" si="194"/>
        <v>Large bulky</v>
      </c>
      <c r="T1011" s="116" t="s">
        <v>13694</v>
      </c>
      <c r="U1011" s="116">
        <f t="shared" si="195"/>
        <v>2.6041666666666665</v>
      </c>
      <c r="V1011" s="116" t="s">
        <v>13583</v>
      </c>
      <c r="W1011" s="116" t="s">
        <v>13690</v>
      </c>
      <c r="X1011" s="116" t="s">
        <v>13691</v>
      </c>
      <c r="Y1011" s="116">
        <v>2</v>
      </c>
      <c r="Z1011" s="116">
        <v>3</v>
      </c>
      <c r="AA1011" s="116">
        <v>1</v>
      </c>
      <c r="AB1011" s="99"/>
      <c r="AC1011" s="99"/>
      <c r="AD1011" s="107">
        <v>0</v>
      </c>
      <c r="AE1011" s="113">
        <f t="shared" si="196"/>
        <v>0</v>
      </c>
      <c r="AF1011" s="116">
        <f>-IFERROR(IFERROR(VLOOKUP(ROUNDUP($Q1011,0),'FBA FEES'!$L$2:$Q$203,MATCH($S1011,'FBA FEES'!$L$2:$Q$2,0),FALSE),VLOOKUP(ROUNDUP($Q1011,0),'FBA FEES'!$C$6:$F$123,MATCH($S1011,'FBA FEES'!$C$6:$F$6,0),FALSE)),0)</f>
        <v>-21.77</v>
      </c>
      <c r="AG1011" s="116">
        <v>-10</v>
      </c>
      <c r="AH1011" s="113">
        <f t="shared" si="197"/>
        <v>-21.77</v>
      </c>
      <c r="AI1011" s="116">
        <f>-IFERROR(IF($Y1011=1,INDEX('[1]REMOVAL FEES'!$A$1:$C$22,MATCH(CONCATENATE("Standard Size",$P1011),'[1]REMOVAL FEES'!$A$1:$A$22,0),3),IF($Y1011=2,IF($P1011&gt;10,(($P1011-10)*1.06)+INDEX('[1]REMOVAL FEES'!$E$1:$G$22,MATCH(CONCATENATE("Large bulky, extra-large and special handling items",IF($P1011&gt;=11,11,$P1011)),'[1]REMOVAL FEES'!$E$1:$E$13,0),3),INDEX('[1]REMOVAL FEES'!$E$1:$G$22,MATCH(CONCATENATE("Large bulky, extra-large and special handling items",IF($P1011&gt;=11,11,$P1011)),'[1]REMOVAL FEES'!$E$1:$E$13,0),3))))*$AA1011,FALSE)</f>
        <v>-38.700000000000003</v>
      </c>
      <c r="AJ1011" s="107">
        <f t="shared" si="198"/>
        <v>-60.47</v>
      </c>
      <c r="AK1011" s="107">
        <v>0</v>
      </c>
      <c r="AL1011" s="107">
        <v>0</v>
      </c>
      <c r="AM1011" s="107">
        <f t="shared" si="199"/>
        <v>0</v>
      </c>
      <c r="AN1011" s="116">
        <f>(-IF($V1011="Yes", IF($X1011="Yes", VLOOKUP($W1011, '[1]Storage Fees'!A:M, 13, FALSE), VLOOKUP($W1011, '[1]Storage Fees'!A:M, 10, FALSE)), IF($X1011="Yes", VLOOKUP($W1011, '[1]Storage Fees'!A:M, 7, FALSE), VLOOKUP($W1011, '[1]Storage Fees'!A:M, 4, FALSE))) * U1011)*1.5</f>
        <v>-3.0859375</v>
      </c>
    </row>
    <row r="1012" spans="1:40" x14ac:dyDescent="0.25">
      <c r="A1012" s="99">
        <v>940</v>
      </c>
      <c r="B1012" s="99" t="s">
        <v>13699</v>
      </c>
      <c r="C1012" s="99"/>
      <c r="D1012" s="99"/>
      <c r="E1012" s="99" t="s">
        <v>278</v>
      </c>
      <c r="F1012" s="99" t="s">
        <v>652</v>
      </c>
      <c r="G1012" s="99" t="s">
        <v>13695</v>
      </c>
      <c r="H1012" s="99">
        <v>38</v>
      </c>
      <c r="I1012" s="99">
        <v>16</v>
      </c>
      <c r="J1012" s="99">
        <v>10</v>
      </c>
      <c r="K1012" s="101" t="str">
        <f t="shared" si="187"/>
        <v>38x16x10</v>
      </c>
      <c r="L1012" s="102">
        <f t="shared" si="188"/>
        <v>43.741007194244602</v>
      </c>
      <c r="M1012" s="113">
        <f t="shared" si="189"/>
        <v>43.741007194244602</v>
      </c>
      <c r="N1012" s="113">
        <f t="shared" si="190"/>
        <v>44</v>
      </c>
      <c r="O1012" s="99">
        <v>29</v>
      </c>
      <c r="P1012" s="113">
        <f t="shared" si="191"/>
        <v>44</v>
      </c>
      <c r="Q1012" s="112">
        <f t="shared" si="192"/>
        <v>704</v>
      </c>
      <c r="R1012" s="112" t="str">
        <f t="shared" si="193"/>
        <v>Oversize</v>
      </c>
      <c r="S1012" s="99" t="str">
        <f t="shared" si="194"/>
        <v>Large bulky</v>
      </c>
      <c r="T1012" s="116" t="s">
        <v>13694</v>
      </c>
      <c r="U1012" s="116">
        <f t="shared" si="195"/>
        <v>3.5185185185185186</v>
      </c>
      <c r="V1012" s="116" t="s">
        <v>13583</v>
      </c>
      <c r="W1012" s="116" t="s">
        <v>13690</v>
      </c>
      <c r="X1012" s="116" t="s">
        <v>13691</v>
      </c>
      <c r="Y1012" s="116">
        <v>2</v>
      </c>
      <c r="Z1012" s="116">
        <v>3</v>
      </c>
      <c r="AA1012" s="116">
        <v>1</v>
      </c>
      <c r="AB1012" s="99"/>
      <c r="AC1012" s="99"/>
      <c r="AD1012" s="107">
        <v>0</v>
      </c>
      <c r="AE1012" s="113">
        <f t="shared" si="196"/>
        <v>0</v>
      </c>
      <c r="AF1012" s="116">
        <f>-IFERROR(IFERROR(VLOOKUP(ROUNDUP($Q1012,0),'FBA FEES'!$L$2:$Q$203,MATCH($S1012,'FBA FEES'!$L$2:$Q$2,0),FALSE),VLOOKUP(ROUNDUP($Q1012,0),'FBA FEES'!$C$6:$F$123,MATCH($S1012,'FBA FEES'!$C$6:$F$6,0),FALSE)),0)</f>
        <v>-25.95</v>
      </c>
      <c r="AG1012" s="116">
        <v>-10</v>
      </c>
      <c r="AH1012" s="113">
        <f t="shared" si="197"/>
        <v>-25.95</v>
      </c>
      <c r="AI1012" s="116">
        <f>-IFERROR(IF($Y1012=1,INDEX('[1]REMOVAL FEES'!$A$1:$C$22,MATCH(CONCATENATE("Standard Size",$P1012),'[1]REMOVAL FEES'!$A$1:$A$22,0),3),IF($Y1012=2,IF($P1012&gt;10,(($P1012-10)*1.06)+INDEX('[1]REMOVAL FEES'!$E$1:$G$22,MATCH(CONCATENATE("Large bulky, extra-large and special handling items",IF($P1012&gt;=11,11,$P1012)),'[1]REMOVAL FEES'!$E$1:$E$13,0),3),INDEX('[1]REMOVAL FEES'!$E$1:$G$22,MATCH(CONCATENATE("Large bulky, extra-large and special handling items",IF($P1012&gt;=11,11,$P1012)),'[1]REMOVAL FEES'!$E$1:$E$13,0),3))))*$AA1012,FALSE)</f>
        <v>-50.36</v>
      </c>
      <c r="AJ1012" s="107">
        <f t="shared" si="198"/>
        <v>-76.31</v>
      </c>
      <c r="AK1012" s="107">
        <v>0</v>
      </c>
      <c r="AL1012" s="107">
        <v>0</v>
      </c>
      <c r="AM1012" s="107">
        <f t="shared" si="199"/>
        <v>0</v>
      </c>
      <c r="AN1012" s="116">
        <f>(-IF($V1012="Yes", IF($X1012="Yes", VLOOKUP($W1012, '[1]Storage Fees'!A:M, 13, FALSE), VLOOKUP($W1012, '[1]Storage Fees'!A:M, 10, FALSE)), IF($X1012="Yes", VLOOKUP($W1012, '[1]Storage Fees'!A:M, 7, FALSE), VLOOKUP($W1012, '[1]Storage Fees'!A:M, 4, FALSE))) * U1012)*1.5</f>
        <v>-4.1694444444444443</v>
      </c>
    </row>
    <row r="1013" spans="1:40" x14ac:dyDescent="0.25">
      <c r="A1013" s="99">
        <v>941</v>
      </c>
      <c r="B1013" s="99" t="s">
        <v>13699</v>
      </c>
      <c r="C1013" s="99"/>
      <c r="D1013" s="99"/>
      <c r="E1013" s="99" t="s">
        <v>278</v>
      </c>
      <c r="F1013" s="99" t="s">
        <v>653</v>
      </c>
      <c r="G1013" s="99" t="s">
        <v>13695</v>
      </c>
      <c r="H1013" s="99">
        <v>46</v>
      </c>
      <c r="I1013" s="99">
        <v>15</v>
      </c>
      <c r="J1013" s="99">
        <v>14</v>
      </c>
      <c r="K1013" s="101" t="str">
        <f t="shared" si="187"/>
        <v>46x15x14</v>
      </c>
      <c r="L1013" s="102">
        <f t="shared" si="188"/>
        <v>69.496402877697847</v>
      </c>
      <c r="M1013" s="113">
        <f t="shared" si="189"/>
        <v>69.496402877697847</v>
      </c>
      <c r="N1013" s="113">
        <f t="shared" si="190"/>
        <v>70</v>
      </c>
      <c r="O1013" s="99">
        <v>34</v>
      </c>
      <c r="P1013" s="113">
        <f t="shared" si="191"/>
        <v>70</v>
      </c>
      <c r="Q1013" s="112">
        <f t="shared" si="192"/>
        <v>1120</v>
      </c>
      <c r="R1013" s="112" t="str">
        <f t="shared" si="193"/>
        <v>Oversize</v>
      </c>
      <c r="S1013" s="99" t="str">
        <f t="shared" si="194"/>
        <v>Extra-large 50+ to 70 lb</v>
      </c>
      <c r="T1013" s="116" t="s">
        <v>13689</v>
      </c>
      <c r="U1013" s="116">
        <f t="shared" si="195"/>
        <v>5.5902777777777777</v>
      </c>
      <c r="V1013" s="116" t="s">
        <v>13583</v>
      </c>
      <c r="W1013" s="116" t="s">
        <v>13690</v>
      </c>
      <c r="X1013" s="116" t="s">
        <v>13691</v>
      </c>
      <c r="Y1013" s="116">
        <v>2</v>
      </c>
      <c r="Z1013" s="116">
        <v>5</v>
      </c>
      <c r="AA1013" s="116">
        <v>1</v>
      </c>
      <c r="AB1013" s="99"/>
      <c r="AC1013" s="99"/>
      <c r="AD1013" s="107">
        <v>0</v>
      </c>
      <c r="AE1013" s="113">
        <f t="shared" si="196"/>
        <v>0</v>
      </c>
      <c r="AF1013" s="116">
        <f>-IFERROR(IFERROR(VLOOKUP(ROUNDUP($Q1013,0),'FBA FEES'!$L$2:$Q$203,MATCH($S1013,'FBA FEES'!$L$2:$Q$2,0),FALSE),VLOOKUP(ROUNDUP($Q1013,0),'FBA FEES'!$C$6:$F$123,MATCH($S1013,'FBA FEES'!$C$6:$F$6,0),FALSE)),0)</f>
        <v>-54.37</v>
      </c>
      <c r="AG1013" s="116">
        <v>-10</v>
      </c>
      <c r="AH1013" s="113">
        <f t="shared" si="197"/>
        <v>-54.37</v>
      </c>
      <c r="AI1013" s="116">
        <f>-IFERROR(IF($Y1013=1,INDEX('[1]REMOVAL FEES'!$A$1:$C$22,MATCH(CONCATENATE("Standard Size",$P1013),'[1]REMOVAL FEES'!$A$1:$A$22,0),3),IF($Y1013=2,IF($P1013&gt;10,(($P1013-10)*1.06)+INDEX('[1]REMOVAL FEES'!$E$1:$G$22,MATCH(CONCATENATE("Large bulky, extra-large and special handling items",IF($P1013&gt;=11,11,$P1013)),'[1]REMOVAL FEES'!$E$1:$E$13,0),3),INDEX('[1]REMOVAL FEES'!$E$1:$G$22,MATCH(CONCATENATE("Large bulky, extra-large and special handling items",IF($P1013&gt;=11,11,$P1013)),'[1]REMOVAL FEES'!$E$1:$E$13,0),3))))*$AA1013,FALSE)</f>
        <v>-77.92</v>
      </c>
      <c r="AJ1013" s="107">
        <f t="shared" si="198"/>
        <v>-132.29</v>
      </c>
      <c r="AK1013" s="107">
        <v>0</v>
      </c>
      <c r="AL1013" s="107">
        <v>0</v>
      </c>
      <c r="AM1013" s="107">
        <f t="shared" si="199"/>
        <v>0</v>
      </c>
      <c r="AN1013" s="116">
        <f>(-IF($V1013="Yes", IF($X1013="Yes", VLOOKUP($W1013, '[1]Storage Fees'!A:M, 13, FALSE), VLOOKUP($W1013, '[1]Storage Fees'!A:M, 10, FALSE)), IF($X1013="Yes", VLOOKUP($W1013, '[1]Storage Fees'!A:M, 7, FALSE), VLOOKUP($W1013, '[1]Storage Fees'!A:M, 4, FALSE))) * U1013)*1.5</f>
        <v>-6.6244791666666671</v>
      </c>
    </row>
    <row r="1014" spans="1:40" x14ac:dyDescent="0.25">
      <c r="A1014" s="99">
        <v>942</v>
      </c>
      <c r="B1014" s="99" t="s">
        <v>13699</v>
      </c>
      <c r="C1014" s="99"/>
      <c r="D1014" s="99"/>
      <c r="E1014" s="99" t="s">
        <v>278</v>
      </c>
      <c r="F1014" s="99" t="s">
        <v>654</v>
      </c>
      <c r="G1014" s="99" t="s">
        <v>13695</v>
      </c>
      <c r="H1014" s="99">
        <v>31</v>
      </c>
      <c r="I1014" s="99">
        <v>15</v>
      </c>
      <c r="J1014" s="99">
        <v>9</v>
      </c>
      <c r="K1014" s="101" t="str">
        <f t="shared" si="187"/>
        <v>31x15x9</v>
      </c>
      <c r="L1014" s="102">
        <f t="shared" si="188"/>
        <v>30.107913669064747</v>
      </c>
      <c r="M1014" s="113">
        <f t="shared" si="189"/>
        <v>30.107913669064747</v>
      </c>
      <c r="N1014" s="113">
        <f t="shared" si="190"/>
        <v>31</v>
      </c>
      <c r="O1014" s="99">
        <v>20</v>
      </c>
      <c r="P1014" s="113">
        <f t="shared" si="191"/>
        <v>31</v>
      </c>
      <c r="Q1014" s="112">
        <f t="shared" si="192"/>
        <v>496</v>
      </c>
      <c r="R1014" s="112" t="str">
        <f t="shared" si="193"/>
        <v>Oversize</v>
      </c>
      <c r="S1014" s="99" t="str">
        <f t="shared" si="194"/>
        <v>Large bulky</v>
      </c>
      <c r="T1014" s="116" t="s">
        <v>13694</v>
      </c>
      <c r="U1014" s="116">
        <f t="shared" si="195"/>
        <v>2.421875</v>
      </c>
      <c r="V1014" s="116" t="s">
        <v>13583</v>
      </c>
      <c r="W1014" s="116" t="s">
        <v>13690</v>
      </c>
      <c r="X1014" s="116" t="s">
        <v>13691</v>
      </c>
      <c r="Y1014" s="116">
        <v>2</v>
      </c>
      <c r="Z1014" s="116">
        <v>3</v>
      </c>
      <c r="AA1014" s="116">
        <v>1</v>
      </c>
      <c r="AB1014" s="99"/>
      <c r="AC1014" s="99"/>
      <c r="AD1014" s="107">
        <v>0</v>
      </c>
      <c r="AE1014" s="113">
        <f t="shared" si="196"/>
        <v>0</v>
      </c>
      <c r="AF1014" s="116">
        <f>-IFERROR(IFERROR(VLOOKUP(ROUNDUP($Q1014,0),'FBA FEES'!$L$2:$Q$203,MATCH($S1014,'FBA FEES'!$L$2:$Q$2,0),FALSE),VLOOKUP(ROUNDUP($Q1014,0),'FBA FEES'!$C$6:$F$123,MATCH($S1014,'FBA FEES'!$C$6:$F$6,0),FALSE)),0)</f>
        <v>-21.009999999999998</v>
      </c>
      <c r="AG1014" s="116">
        <v>-10</v>
      </c>
      <c r="AH1014" s="113">
        <f t="shared" si="197"/>
        <v>-21.009999999999998</v>
      </c>
      <c r="AI1014" s="116">
        <f>-IFERROR(IF($Y1014=1,INDEX('[1]REMOVAL FEES'!$A$1:$C$22,MATCH(CONCATENATE("Standard Size",$P1014),'[1]REMOVAL FEES'!$A$1:$A$22,0),3),IF($Y1014=2,IF($P1014&gt;10,(($P1014-10)*1.06)+INDEX('[1]REMOVAL FEES'!$E$1:$G$22,MATCH(CONCATENATE("Large bulky, extra-large and special handling items",IF($P1014&gt;=11,11,$P1014)),'[1]REMOVAL FEES'!$E$1:$E$13,0),3),INDEX('[1]REMOVAL FEES'!$E$1:$G$22,MATCH(CONCATENATE("Large bulky, extra-large and special handling items",IF($P1014&gt;=11,11,$P1014)),'[1]REMOVAL FEES'!$E$1:$E$13,0),3))))*$AA1014,FALSE)</f>
        <v>-36.58</v>
      </c>
      <c r="AJ1014" s="107">
        <f t="shared" si="198"/>
        <v>-57.589999999999996</v>
      </c>
      <c r="AK1014" s="107">
        <v>0</v>
      </c>
      <c r="AL1014" s="107">
        <v>0</v>
      </c>
      <c r="AM1014" s="107">
        <f t="shared" si="199"/>
        <v>0</v>
      </c>
      <c r="AN1014" s="116">
        <f>(-IF($V1014="Yes", IF($X1014="Yes", VLOOKUP($W1014, '[1]Storage Fees'!A:M, 13, FALSE), VLOOKUP($W1014, '[1]Storage Fees'!A:M, 10, FALSE)), IF($X1014="Yes", VLOOKUP($W1014, '[1]Storage Fees'!A:M, 7, FALSE), VLOOKUP($W1014, '[1]Storage Fees'!A:M, 4, FALSE))) * U1014)*1.5</f>
        <v>-2.8699218750000002</v>
      </c>
    </row>
    <row r="1015" spans="1:40" x14ac:dyDescent="0.25">
      <c r="A1015" s="99">
        <v>943</v>
      </c>
      <c r="B1015" s="99" t="s">
        <v>13699</v>
      </c>
      <c r="C1015" s="99"/>
      <c r="D1015" s="99"/>
      <c r="E1015" s="99" t="s">
        <v>278</v>
      </c>
      <c r="F1015" s="99" t="s">
        <v>655</v>
      </c>
      <c r="G1015" s="99" t="s">
        <v>13695</v>
      </c>
      <c r="H1015" s="99">
        <v>39</v>
      </c>
      <c r="I1015" s="99">
        <v>15</v>
      </c>
      <c r="J1015" s="99">
        <v>11</v>
      </c>
      <c r="K1015" s="101" t="str">
        <f t="shared" si="187"/>
        <v>39x15x11</v>
      </c>
      <c r="L1015" s="102">
        <f t="shared" si="188"/>
        <v>46.294964028776981</v>
      </c>
      <c r="M1015" s="113">
        <f t="shared" si="189"/>
        <v>46.294964028776981</v>
      </c>
      <c r="N1015" s="113">
        <f t="shared" si="190"/>
        <v>47</v>
      </c>
      <c r="O1015" s="99">
        <v>25</v>
      </c>
      <c r="P1015" s="113">
        <f t="shared" si="191"/>
        <v>47</v>
      </c>
      <c r="Q1015" s="112">
        <f t="shared" si="192"/>
        <v>752</v>
      </c>
      <c r="R1015" s="112" t="str">
        <f t="shared" si="193"/>
        <v>Oversize</v>
      </c>
      <c r="S1015" s="99" t="str">
        <f t="shared" si="194"/>
        <v>Large bulky</v>
      </c>
      <c r="T1015" s="116" t="s">
        <v>13694</v>
      </c>
      <c r="U1015" s="116">
        <f t="shared" si="195"/>
        <v>3.7239583333333335</v>
      </c>
      <c r="V1015" s="116" t="s">
        <v>13583</v>
      </c>
      <c r="W1015" s="116" t="s">
        <v>13690</v>
      </c>
      <c r="X1015" s="116" t="s">
        <v>13691</v>
      </c>
      <c r="Y1015" s="116">
        <v>2</v>
      </c>
      <c r="Z1015" s="116">
        <v>3</v>
      </c>
      <c r="AA1015" s="116">
        <v>1</v>
      </c>
      <c r="AB1015" s="99"/>
      <c r="AC1015" s="99"/>
      <c r="AD1015" s="107">
        <v>0</v>
      </c>
      <c r="AE1015" s="113">
        <f t="shared" si="196"/>
        <v>0</v>
      </c>
      <c r="AF1015" s="116">
        <f>-IFERROR(IFERROR(VLOOKUP(ROUNDUP($Q1015,0),'FBA FEES'!$L$2:$Q$203,MATCH($S1015,'FBA FEES'!$L$2:$Q$2,0),FALSE),VLOOKUP(ROUNDUP($Q1015,0),'FBA FEES'!$C$6:$F$123,MATCH($S1015,'FBA FEES'!$C$6:$F$6,0),FALSE)),0)</f>
        <v>-27.09</v>
      </c>
      <c r="AG1015" s="116">
        <v>-10</v>
      </c>
      <c r="AH1015" s="113">
        <f t="shared" si="197"/>
        <v>-27.09</v>
      </c>
      <c r="AI1015" s="116">
        <f>-IFERROR(IF($Y1015=1,INDEX('[1]REMOVAL FEES'!$A$1:$C$22,MATCH(CONCATENATE("Standard Size",$P1015),'[1]REMOVAL FEES'!$A$1:$A$22,0),3),IF($Y1015=2,IF($P1015&gt;10,(($P1015-10)*1.06)+INDEX('[1]REMOVAL FEES'!$E$1:$G$22,MATCH(CONCATENATE("Large bulky, extra-large and special handling items",IF($P1015&gt;=11,11,$P1015)),'[1]REMOVAL FEES'!$E$1:$E$13,0),3),INDEX('[1]REMOVAL FEES'!$E$1:$G$22,MATCH(CONCATENATE("Large bulky, extra-large and special handling items",IF($P1015&gt;=11,11,$P1015)),'[1]REMOVAL FEES'!$E$1:$E$13,0),3))))*$AA1015,FALSE)</f>
        <v>-53.54</v>
      </c>
      <c r="AJ1015" s="107">
        <f t="shared" si="198"/>
        <v>-80.63</v>
      </c>
      <c r="AK1015" s="107">
        <v>0</v>
      </c>
      <c r="AL1015" s="107">
        <v>0</v>
      </c>
      <c r="AM1015" s="107">
        <f t="shared" si="199"/>
        <v>0</v>
      </c>
      <c r="AN1015" s="116">
        <f>(-IF($V1015="Yes", IF($X1015="Yes", VLOOKUP($W1015, '[1]Storage Fees'!A:M, 13, FALSE), VLOOKUP($W1015, '[1]Storage Fees'!A:M, 10, FALSE)), IF($X1015="Yes", VLOOKUP($W1015, '[1]Storage Fees'!A:M, 7, FALSE), VLOOKUP($W1015, '[1]Storage Fees'!A:M, 4, FALSE))) * U1015)*1.5</f>
        <v>-4.4128906250000011</v>
      </c>
    </row>
    <row r="1016" spans="1:40" x14ac:dyDescent="0.25">
      <c r="A1016" s="99">
        <v>944</v>
      </c>
      <c r="B1016" s="99" t="s">
        <v>13699</v>
      </c>
      <c r="C1016" s="99"/>
      <c r="D1016" s="99"/>
      <c r="E1016" s="99" t="s">
        <v>278</v>
      </c>
      <c r="F1016" s="99" t="s">
        <v>656</v>
      </c>
      <c r="G1016" s="99" t="s">
        <v>13695</v>
      </c>
      <c r="H1016" s="99">
        <v>39</v>
      </c>
      <c r="I1016" s="99">
        <v>15</v>
      </c>
      <c r="J1016" s="99">
        <v>12</v>
      </c>
      <c r="K1016" s="101" t="str">
        <f t="shared" si="187"/>
        <v>39x15x12</v>
      </c>
      <c r="L1016" s="102">
        <f t="shared" si="188"/>
        <v>50.50359712230216</v>
      </c>
      <c r="M1016" s="113">
        <f t="shared" si="189"/>
        <v>50.50359712230216</v>
      </c>
      <c r="N1016" s="113">
        <f t="shared" si="190"/>
        <v>51</v>
      </c>
      <c r="O1016" s="99">
        <v>27</v>
      </c>
      <c r="P1016" s="113">
        <f t="shared" si="191"/>
        <v>51</v>
      </c>
      <c r="Q1016" s="112">
        <f t="shared" si="192"/>
        <v>816</v>
      </c>
      <c r="R1016" s="112" t="str">
        <f t="shared" si="193"/>
        <v>Oversize</v>
      </c>
      <c r="S1016" s="99" t="str">
        <f t="shared" si="194"/>
        <v>Extra-large 50+ to 70 lb</v>
      </c>
      <c r="T1016" s="116" t="s">
        <v>13689</v>
      </c>
      <c r="U1016" s="116">
        <f t="shared" si="195"/>
        <v>4.0625</v>
      </c>
      <c r="V1016" s="116" t="s">
        <v>13583</v>
      </c>
      <c r="W1016" s="116" t="s">
        <v>13690</v>
      </c>
      <c r="X1016" s="116" t="s">
        <v>13691</v>
      </c>
      <c r="Y1016" s="116">
        <v>2</v>
      </c>
      <c r="Z1016" s="116">
        <v>5</v>
      </c>
      <c r="AA1016" s="116">
        <v>1</v>
      </c>
      <c r="AB1016" s="99"/>
      <c r="AC1016" s="99"/>
      <c r="AD1016" s="107">
        <v>0</v>
      </c>
      <c r="AE1016" s="113">
        <f t="shared" si="196"/>
        <v>0</v>
      </c>
      <c r="AF1016" s="116">
        <f>-IFERROR(IFERROR(VLOOKUP(ROUNDUP($Q1016,0),'FBA FEES'!$L$2:$Q$203,MATCH($S1016,'FBA FEES'!$L$2:$Q$2,0),FALSE),VLOOKUP(ROUNDUP($Q1016,0),'FBA FEES'!$C$6:$F$123,MATCH($S1016,'FBA FEES'!$C$6:$F$6,0),FALSE)),0)</f>
        <v>-40.119999999999997</v>
      </c>
      <c r="AG1016" s="116">
        <v>-10</v>
      </c>
      <c r="AH1016" s="113">
        <f t="shared" si="197"/>
        <v>-40.119999999999997</v>
      </c>
      <c r="AI1016" s="116">
        <f>-IFERROR(IF($Y1016=1,INDEX('[1]REMOVAL FEES'!$A$1:$C$22,MATCH(CONCATENATE("Standard Size",$P1016),'[1]REMOVAL FEES'!$A$1:$A$22,0),3),IF($Y1016=2,IF($P1016&gt;10,(($P1016-10)*1.06)+INDEX('[1]REMOVAL FEES'!$E$1:$G$22,MATCH(CONCATENATE("Large bulky, extra-large and special handling items",IF($P1016&gt;=11,11,$P1016)),'[1]REMOVAL FEES'!$E$1:$E$13,0),3),INDEX('[1]REMOVAL FEES'!$E$1:$G$22,MATCH(CONCATENATE("Large bulky, extra-large and special handling items",IF($P1016&gt;=11,11,$P1016)),'[1]REMOVAL FEES'!$E$1:$E$13,0),3))))*$AA1016,FALSE)</f>
        <v>-57.78</v>
      </c>
      <c r="AJ1016" s="107">
        <f t="shared" si="198"/>
        <v>-97.9</v>
      </c>
      <c r="AK1016" s="107">
        <v>0</v>
      </c>
      <c r="AL1016" s="107">
        <v>0</v>
      </c>
      <c r="AM1016" s="107">
        <f t="shared" si="199"/>
        <v>0</v>
      </c>
      <c r="AN1016" s="116">
        <f>(-IF($V1016="Yes", IF($X1016="Yes", VLOOKUP($W1016, '[1]Storage Fees'!A:M, 13, FALSE), VLOOKUP($W1016, '[1]Storage Fees'!A:M, 10, FALSE)), IF($X1016="Yes", VLOOKUP($W1016, '[1]Storage Fees'!A:M, 7, FALSE), VLOOKUP($W1016, '[1]Storage Fees'!A:M, 4, FALSE))) * U1016)*1.5</f>
        <v>-4.8140625000000004</v>
      </c>
    </row>
    <row r="1017" spans="1:40" x14ac:dyDescent="0.25">
      <c r="A1017" s="99">
        <v>945</v>
      </c>
      <c r="B1017" s="99" t="s">
        <v>13700</v>
      </c>
      <c r="C1017" s="99"/>
      <c r="D1017" s="99"/>
      <c r="E1017" s="99" t="s">
        <v>278</v>
      </c>
      <c r="F1017" s="99" t="s">
        <v>657</v>
      </c>
      <c r="G1017" s="99" t="s">
        <v>13695</v>
      </c>
      <c r="H1017" s="99">
        <v>21</v>
      </c>
      <c r="I1017" s="99">
        <v>21</v>
      </c>
      <c r="J1017" s="99">
        <v>4</v>
      </c>
      <c r="K1017" s="101" t="str">
        <f t="shared" si="187"/>
        <v>21x21x4</v>
      </c>
      <c r="L1017" s="102">
        <f t="shared" si="188"/>
        <v>12.690647482014388</v>
      </c>
      <c r="M1017" s="113">
        <f t="shared" si="189"/>
        <v>12.690647482014388</v>
      </c>
      <c r="N1017" s="113">
        <f t="shared" si="190"/>
        <v>13</v>
      </c>
      <c r="O1017" s="99">
        <v>7</v>
      </c>
      <c r="P1017" s="113">
        <f t="shared" si="191"/>
        <v>13</v>
      </c>
      <c r="Q1017" s="112">
        <f t="shared" si="192"/>
        <v>208</v>
      </c>
      <c r="R1017" s="112" t="str">
        <f t="shared" si="193"/>
        <v>Oversize</v>
      </c>
      <c r="S1017" s="99" t="str">
        <f t="shared" si="194"/>
        <v>Large bulky</v>
      </c>
      <c r="T1017" s="116" t="s">
        <v>13692</v>
      </c>
      <c r="U1017" s="116">
        <f t="shared" si="195"/>
        <v>1.0208333333333333</v>
      </c>
      <c r="V1017" s="116" t="s">
        <v>13583</v>
      </c>
      <c r="W1017" s="116" t="s">
        <v>13690</v>
      </c>
      <c r="X1017" s="116" t="s">
        <v>13691</v>
      </c>
      <c r="Y1017" s="116">
        <v>2</v>
      </c>
      <c r="Z1017" s="116">
        <v>3</v>
      </c>
      <c r="AA1017" s="116">
        <v>1</v>
      </c>
      <c r="AB1017" s="99"/>
      <c r="AC1017" s="99"/>
      <c r="AD1017" s="107">
        <v>0</v>
      </c>
      <c r="AE1017" s="113">
        <f t="shared" si="196"/>
        <v>0</v>
      </c>
      <c r="AF1017" s="116">
        <f>-IFERROR(IFERROR(VLOOKUP(ROUNDUP($Q1017,0),'FBA FEES'!$L$2:$Q$203,MATCH($S1017,'FBA FEES'!$L$2:$Q$2,0),FALSE),VLOOKUP(ROUNDUP($Q1017,0),'FBA FEES'!$C$6:$F$123,MATCH($S1017,'FBA FEES'!$C$6:$F$6,0),FALSE)),0)</f>
        <v>-14.17</v>
      </c>
      <c r="AG1017" s="116">
        <v>-10</v>
      </c>
      <c r="AH1017" s="113">
        <f t="shared" si="197"/>
        <v>-14.17</v>
      </c>
      <c r="AI1017" s="116">
        <f>-IFERROR(IF($Y1017=1,INDEX('[1]REMOVAL FEES'!$A$1:$C$22,MATCH(CONCATENATE("Standard Size",$P1017),'[1]REMOVAL FEES'!$A$1:$A$22,0),3),IF($Y1017=2,IF($P1017&gt;10,(($P1017-10)*1.06)+INDEX('[1]REMOVAL FEES'!$E$1:$G$22,MATCH(CONCATENATE("Large bulky, extra-large and special handling items",IF($P1017&gt;=11,11,$P1017)),'[1]REMOVAL FEES'!$E$1:$E$13,0),3),INDEX('[1]REMOVAL FEES'!$E$1:$G$22,MATCH(CONCATENATE("Large bulky, extra-large and special handling items",IF($P1017&gt;=11,11,$P1017)),'[1]REMOVAL FEES'!$E$1:$E$13,0),3))))*$AA1017,FALSE)</f>
        <v>-17.5</v>
      </c>
      <c r="AJ1017" s="107">
        <f t="shared" si="198"/>
        <v>-31.67</v>
      </c>
      <c r="AK1017" s="107">
        <v>0</v>
      </c>
      <c r="AL1017" s="107">
        <v>0</v>
      </c>
      <c r="AM1017" s="107">
        <f t="shared" si="199"/>
        <v>0</v>
      </c>
      <c r="AN1017" s="116">
        <f>(-IF($V1017="Yes", IF($X1017="Yes", VLOOKUP($W1017, '[1]Storage Fees'!A:M, 13, FALSE), VLOOKUP($W1017, '[1]Storage Fees'!A:M, 10, FALSE)), IF($X1017="Yes", VLOOKUP($W1017, '[1]Storage Fees'!A:M, 7, FALSE), VLOOKUP($W1017, '[1]Storage Fees'!A:M, 4, FALSE))) * U1017)*1.5</f>
        <v>-1.2096874999999998</v>
      </c>
    </row>
    <row r="1018" spans="1:40" x14ac:dyDescent="0.25">
      <c r="A1018" s="99">
        <v>946</v>
      </c>
      <c r="B1018" s="99" t="s">
        <v>13700</v>
      </c>
      <c r="C1018" s="99"/>
      <c r="D1018" s="99"/>
      <c r="E1018" s="99" t="s">
        <v>278</v>
      </c>
      <c r="F1018" s="99" t="s">
        <v>658</v>
      </c>
      <c r="G1018" s="99" t="s">
        <v>13695</v>
      </c>
      <c r="H1018" s="99">
        <v>0</v>
      </c>
      <c r="I1018" s="99">
        <v>0</v>
      </c>
      <c r="J1018" s="99">
        <v>0</v>
      </c>
      <c r="K1018" s="101" t="str">
        <f t="shared" si="187"/>
        <v>0x0x0</v>
      </c>
      <c r="L1018" s="102">
        <f t="shared" si="188"/>
        <v>0</v>
      </c>
      <c r="M1018" s="113">
        <f t="shared" si="189"/>
        <v>0</v>
      </c>
      <c r="N1018" s="113">
        <f t="shared" si="190"/>
        <v>0</v>
      </c>
      <c r="O1018" s="99">
        <v>0</v>
      </c>
      <c r="P1018" s="113">
        <f t="shared" si="191"/>
        <v>0</v>
      </c>
      <c r="Q1018" s="112">
        <f t="shared" si="192"/>
        <v>0</v>
      </c>
      <c r="R1018" s="112" t="str">
        <f t="shared" si="193"/>
        <v>Standard-size</v>
      </c>
      <c r="S1018" s="99" t="str">
        <f t="shared" si="194"/>
        <v>Small standard-size</v>
      </c>
      <c r="T1018" s="116" t="s">
        <v>13696</v>
      </c>
      <c r="U1018" s="116">
        <f t="shared" si="195"/>
        <v>0</v>
      </c>
      <c r="V1018" s="116" t="s">
        <v>13583</v>
      </c>
      <c r="W1018" s="116" t="s">
        <v>13690</v>
      </c>
      <c r="X1018" s="99" t="s">
        <v>13583</v>
      </c>
      <c r="Y1018" s="99">
        <v>1</v>
      </c>
      <c r="Z1018" s="99">
        <v>1</v>
      </c>
      <c r="AA1018" s="99">
        <v>1</v>
      </c>
      <c r="AB1018" s="99"/>
      <c r="AC1018" s="99"/>
      <c r="AD1018" s="107">
        <v>0</v>
      </c>
      <c r="AE1018" s="113">
        <f t="shared" si="196"/>
        <v>0</v>
      </c>
      <c r="AF1018" s="116">
        <f>-IFERROR(IFERROR(VLOOKUP(ROUNDUP($Q1018,0),'FBA FEES'!$L$2:$Q$203,MATCH($S1018,'FBA FEES'!$L$2:$Q$2,0),FALSE),VLOOKUP(ROUNDUP($Q1018,0),'FBA FEES'!$C$6:$F$123,MATCH($S1018,'FBA FEES'!$C$6:$F$6,0),FALSE)),0)</f>
        <v>0</v>
      </c>
      <c r="AG1018" s="116">
        <v>-10</v>
      </c>
      <c r="AH1018" s="113">
        <f t="shared" si="197"/>
        <v>0</v>
      </c>
      <c r="AI1018" s="116">
        <f>-IFERROR(IF($Y1018=1,INDEX('[1]REMOVAL FEES'!$A$1:$C$22,MATCH(CONCATENATE("Standard Size",$P1018),'[1]REMOVAL FEES'!$A$1:$A$22,0),3),IF($Y1018=2,IF($P1018&gt;10,(($P1018-10)*1.06)+INDEX('[1]REMOVAL FEES'!$E$1:$G$22,MATCH(CONCATENATE("Large bulky, extra-large and special handling items",IF($P1018&gt;=11,11,$P1018)),'[1]REMOVAL FEES'!$E$1:$E$13,0),3),INDEX('[1]REMOVAL FEES'!$E$1:$G$22,MATCH(CONCATENATE("Large bulky, extra-large and special handling items",IF($P1018&gt;=11,11,$P1018)),'[1]REMOVAL FEES'!$E$1:$E$13,0),3))))*$AA1018,FALSE)</f>
        <v>0</v>
      </c>
      <c r="AJ1018" s="107">
        <f t="shared" si="198"/>
        <v>0</v>
      </c>
      <c r="AK1018" s="107">
        <v>0</v>
      </c>
      <c r="AL1018" s="107">
        <v>0</v>
      </c>
      <c r="AM1018" s="107">
        <f t="shared" si="199"/>
        <v>0</v>
      </c>
      <c r="AN1018" s="116">
        <f>(-IF($V1018="Yes", IF($X1018="Yes", VLOOKUP($W1018, '[1]Storage Fees'!A:M, 13, FALSE), VLOOKUP($W1018, '[1]Storage Fees'!A:M, 10, FALSE)), IF($X1018="Yes", VLOOKUP($W1018, '[1]Storage Fees'!A:M, 7, FALSE), VLOOKUP($W1018, '[1]Storage Fees'!A:M, 4, FALSE))) * U1018)*1.5</f>
        <v>0</v>
      </c>
    </row>
    <row r="1019" spans="1:40" x14ac:dyDescent="0.25">
      <c r="A1019" s="99">
        <v>947</v>
      </c>
      <c r="B1019" s="99" t="s">
        <v>13700</v>
      </c>
      <c r="C1019" s="99"/>
      <c r="D1019" s="99"/>
      <c r="E1019" s="99" t="s">
        <v>278</v>
      </c>
      <c r="F1019" s="99" t="s">
        <v>659</v>
      </c>
      <c r="G1019" s="99" t="s">
        <v>13695</v>
      </c>
      <c r="H1019" s="99">
        <v>0</v>
      </c>
      <c r="I1019" s="99">
        <v>0</v>
      </c>
      <c r="J1019" s="99">
        <v>0</v>
      </c>
      <c r="K1019" s="101" t="str">
        <f t="shared" si="187"/>
        <v>0x0x0</v>
      </c>
      <c r="L1019" s="102">
        <f t="shared" si="188"/>
        <v>0</v>
      </c>
      <c r="M1019" s="113">
        <f t="shared" si="189"/>
        <v>0</v>
      </c>
      <c r="N1019" s="113">
        <f t="shared" si="190"/>
        <v>0</v>
      </c>
      <c r="O1019" s="99">
        <v>0</v>
      </c>
      <c r="P1019" s="113">
        <f t="shared" si="191"/>
        <v>0</v>
      </c>
      <c r="Q1019" s="112">
        <f t="shared" si="192"/>
        <v>0</v>
      </c>
      <c r="R1019" s="112" t="str">
        <f t="shared" si="193"/>
        <v>Standard-size</v>
      </c>
      <c r="S1019" s="99" t="str">
        <f t="shared" si="194"/>
        <v>Small standard-size</v>
      </c>
      <c r="T1019" s="116" t="s">
        <v>13696</v>
      </c>
      <c r="U1019" s="116">
        <f t="shared" si="195"/>
        <v>0</v>
      </c>
      <c r="V1019" s="116" t="s">
        <v>13583</v>
      </c>
      <c r="W1019" s="116" t="s">
        <v>13690</v>
      </c>
      <c r="X1019" s="99" t="s">
        <v>13583</v>
      </c>
      <c r="Y1019" s="99">
        <v>1</v>
      </c>
      <c r="Z1019" s="99">
        <v>1</v>
      </c>
      <c r="AA1019" s="99">
        <v>1</v>
      </c>
      <c r="AB1019" s="99"/>
      <c r="AC1019" s="99"/>
      <c r="AD1019" s="107">
        <v>0</v>
      </c>
      <c r="AE1019" s="113">
        <f t="shared" si="196"/>
        <v>0</v>
      </c>
      <c r="AF1019" s="116">
        <f>-IFERROR(IFERROR(VLOOKUP(ROUNDUP($Q1019,0),'FBA FEES'!$L$2:$Q$203,MATCH($S1019,'FBA FEES'!$L$2:$Q$2,0),FALSE),VLOOKUP(ROUNDUP($Q1019,0),'FBA FEES'!$C$6:$F$123,MATCH($S1019,'FBA FEES'!$C$6:$F$6,0),FALSE)),0)</f>
        <v>0</v>
      </c>
      <c r="AG1019" s="116">
        <v>-10</v>
      </c>
      <c r="AH1019" s="113">
        <f t="shared" si="197"/>
        <v>0</v>
      </c>
      <c r="AI1019" s="116">
        <f>-IFERROR(IF($Y1019=1,INDEX('[1]REMOVAL FEES'!$A$1:$C$22,MATCH(CONCATENATE("Standard Size",$P1019),'[1]REMOVAL FEES'!$A$1:$A$22,0),3),IF($Y1019=2,IF($P1019&gt;10,(($P1019-10)*1.06)+INDEX('[1]REMOVAL FEES'!$E$1:$G$22,MATCH(CONCATENATE("Large bulky, extra-large and special handling items",IF($P1019&gt;=11,11,$P1019)),'[1]REMOVAL FEES'!$E$1:$E$13,0),3),INDEX('[1]REMOVAL FEES'!$E$1:$G$22,MATCH(CONCATENATE("Large bulky, extra-large and special handling items",IF($P1019&gt;=11,11,$P1019)),'[1]REMOVAL FEES'!$E$1:$E$13,0),3))))*$AA1019,FALSE)</f>
        <v>0</v>
      </c>
      <c r="AJ1019" s="107">
        <f t="shared" si="198"/>
        <v>0</v>
      </c>
      <c r="AK1019" s="107">
        <v>0</v>
      </c>
      <c r="AL1019" s="107">
        <v>0</v>
      </c>
      <c r="AM1019" s="107">
        <f t="shared" si="199"/>
        <v>0</v>
      </c>
      <c r="AN1019" s="116">
        <f>(-IF($V1019="Yes", IF($X1019="Yes", VLOOKUP($W1019, '[1]Storage Fees'!A:M, 13, FALSE), VLOOKUP($W1019, '[1]Storage Fees'!A:M, 10, FALSE)), IF($X1019="Yes", VLOOKUP($W1019, '[1]Storage Fees'!A:M, 7, FALSE), VLOOKUP($W1019, '[1]Storage Fees'!A:M, 4, FALSE))) * U1019)*1.5</f>
        <v>0</v>
      </c>
    </row>
    <row r="1020" spans="1:40" x14ac:dyDescent="0.25">
      <c r="A1020" s="99">
        <v>948</v>
      </c>
      <c r="B1020" s="99" t="s">
        <v>13700</v>
      </c>
      <c r="C1020" s="99"/>
      <c r="D1020" s="99"/>
      <c r="E1020" s="99" t="s">
        <v>278</v>
      </c>
      <c r="F1020" s="99" t="s">
        <v>660</v>
      </c>
      <c r="G1020" s="99" t="s">
        <v>13695</v>
      </c>
      <c r="H1020" s="99">
        <v>0</v>
      </c>
      <c r="I1020" s="99">
        <v>0</v>
      </c>
      <c r="J1020" s="99">
        <v>0</v>
      </c>
      <c r="K1020" s="101" t="str">
        <f t="shared" si="187"/>
        <v>0x0x0</v>
      </c>
      <c r="L1020" s="102">
        <f t="shared" si="188"/>
        <v>0</v>
      </c>
      <c r="M1020" s="113">
        <f t="shared" si="189"/>
        <v>0</v>
      </c>
      <c r="N1020" s="113">
        <f t="shared" si="190"/>
        <v>0</v>
      </c>
      <c r="O1020" s="99">
        <v>0</v>
      </c>
      <c r="P1020" s="113">
        <f t="shared" si="191"/>
        <v>0</v>
      </c>
      <c r="Q1020" s="112">
        <f t="shared" si="192"/>
        <v>0</v>
      </c>
      <c r="R1020" s="112" t="str">
        <f t="shared" si="193"/>
        <v>Standard-size</v>
      </c>
      <c r="S1020" s="99" t="str">
        <f t="shared" si="194"/>
        <v>Small standard-size</v>
      </c>
      <c r="T1020" s="116" t="s">
        <v>13696</v>
      </c>
      <c r="U1020" s="116">
        <f t="shared" si="195"/>
        <v>0</v>
      </c>
      <c r="V1020" s="116" t="s">
        <v>13583</v>
      </c>
      <c r="W1020" s="116" t="s">
        <v>13690</v>
      </c>
      <c r="X1020" s="99" t="s">
        <v>13583</v>
      </c>
      <c r="Y1020" s="99">
        <v>1</v>
      </c>
      <c r="Z1020" s="99">
        <v>1</v>
      </c>
      <c r="AA1020" s="99">
        <v>1</v>
      </c>
      <c r="AB1020" s="99"/>
      <c r="AC1020" s="99"/>
      <c r="AD1020" s="107">
        <v>0</v>
      </c>
      <c r="AE1020" s="113">
        <f t="shared" si="196"/>
        <v>0</v>
      </c>
      <c r="AF1020" s="116">
        <f>-IFERROR(IFERROR(VLOOKUP(ROUNDUP($Q1020,0),'FBA FEES'!$L$2:$Q$203,MATCH($S1020,'FBA FEES'!$L$2:$Q$2,0),FALSE),VLOOKUP(ROUNDUP($Q1020,0),'FBA FEES'!$C$6:$F$123,MATCH($S1020,'FBA FEES'!$C$6:$F$6,0),FALSE)),0)</f>
        <v>0</v>
      </c>
      <c r="AG1020" s="116">
        <v>-10</v>
      </c>
      <c r="AH1020" s="113">
        <f t="shared" si="197"/>
        <v>0</v>
      </c>
      <c r="AI1020" s="116">
        <f>-IFERROR(IF($Y1020=1,INDEX('[1]REMOVAL FEES'!$A$1:$C$22,MATCH(CONCATENATE("Standard Size",$P1020),'[1]REMOVAL FEES'!$A$1:$A$22,0),3),IF($Y1020=2,IF($P1020&gt;10,(($P1020-10)*1.06)+INDEX('[1]REMOVAL FEES'!$E$1:$G$22,MATCH(CONCATENATE("Large bulky, extra-large and special handling items",IF($P1020&gt;=11,11,$P1020)),'[1]REMOVAL FEES'!$E$1:$E$13,0),3),INDEX('[1]REMOVAL FEES'!$E$1:$G$22,MATCH(CONCATENATE("Large bulky, extra-large and special handling items",IF($P1020&gt;=11,11,$P1020)),'[1]REMOVAL FEES'!$E$1:$E$13,0),3))))*$AA1020,FALSE)</f>
        <v>0</v>
      </c>
      <c r="AJ1020" s="107">
        <f t="shared" si="198"/>
        <v>0</v>
      </c>
      <c r="AK1020" s="107">
        <v>0</v>
      </c>
      <c r="AL1020" s="107">
        <v>0</v>
      </c>
      <c r="AM1020" s="107">
        <f t="shared" si="199"/>
        <v>0</v>
      </c>
      <c r="AN1020" s="116">
        <f>(-IF($V1020="Yes", IF($X1020="Yes", VLOOKUP($W1020, '[1]Storage Fees'!A:M, 13, FALSE), VLOOKUP($W1020, '[1]Storage Fees'!A:M, 10, FALSE)), IF($X1020="Yes", VLOOKUP($W1020, '[1]Storage Fees'!A:M, 7, FALSE), VLOOKUP($W1020, '[1]Storage Fees'!A:M, 4, FALSE))) * U1020)*1.5</f>
        <v>0</v>
      </c>
    </row>
    <row r="1021" spans="1:40" x14ac:dyDescent="0.25">
      <c r="A1021" s="99">
        <v>949</v>
      </c>
      <c r="B1021" s="99" t="s">
        <v>13699</v>
      </c>
      <c r="C1021" s="99"/>
      <c r="D1021" s="99"/>
      <c r="E1021" s="99" t="s">
        <v>278</v>
      </c>
      <c r="F1021" s="99" t="s">
        <v>661</v>
      </c>
      <c r="G1021" s="99" t="s">
        <v>13695</v>
      </c>
      <c r="H1021" s="99">
        <v>0</v>
      </c>
      <c r="I1021" s="99">
        <v>0</v>
      </c>
      <c r="J1021" s="99">
        <v>0</v>
      </c>
      <c r="K1021" s="101" t="str">
        <f t="shared" si="187"/>
        <v>0x0x0</v>
      </c>
      <c r="L1021" s="102">
        <f t="shared" si="188"/>
        <v>0</v>
      </c>
      <c r="M1021" s="113">
        <f t="shared" si="189"/>
        <v>0</v>
      </c>
      <c r="N1021" s="113">
        <f t="shared" si="190"/>
        <v>0</v>
      </c>
      <c r="O1021" s="99">
        <v>0</v>
      </c>
      <c r="P1021" s="113">
        <f t="shared" si="191"/>
        <v>0</v>
      </c>
      <c r="Q1021" s="112">
        <f t="shared" si="192"/>
        <v>0</v>
      </c>
      <c r="R1021" s="112" t="str">
        <f t="shared" si="193"/>
        <v>Standard-size</v>
      </c>
      <c r="S1021" s="99" t="str">
        <f t="shared" si="194"/>
        <v>Small standard-size</v>
      </c>
      <c r="T1021" s="116" t="s">
        <v>13696</v>
      </c>
      <c r="U1021" s="116">
        <f t="shared" si="195"/>
        <v>0</v>
      </c>
      <c r="V1021" s="116" t="s">
        <v>13583</v>
      </c>
      <c r="W1021" s="116" t="s">
        <v>13690</v>
      </c>
      <c r="X1021" s="99" t="s">
        <v>13583</v>
      </c>
      <c r="Y1021" s="99">
        <v>1</v>
      </c>
      <c r="Z1021" s="99">
        <v>1</v>
      </c>
      <c r="AA1021" s="99">
        <v>1</v>
      </c>
      <c r="AB1021" s="99"/>
      <c r="AC1021" s="99"/>
      <c r="AD1021" s="107">
        <v>0</v>
      </c>
      <c r="AE1021" s="113">
        <f t="shared" si="196"/>
        <v>0</v>
      </c>
      <c r="AF1021" s="116">
        <f>-IFERROR(IFERROR(VLOOKUP(ROUNDUP($Q1021,0),'FBA FEES'!$L$2:$Q$203,MATCH($S1021,'FBA FEES'!$L$2:$Q$2,0),FALSE),VLOOKUP(ROUNDUP($Q1021,0),'FBA FEES'!$C$6:$F$123,MATCH($S1021,'FBA FEES'!$C$6:$F$6,0),FALSE)),0)</f>
        <v>0</v>
      </c>
      <c r="AG1021" s="116">
        <v>-10</v>
      </c>
      <c r="AH1021" s="113">
        <f t="shared" si="197"/>
        <v>0</v>
      </c>
      <c r="AI1021" s="116">
        <f>-IFERROR(IF($Y1021=1,INDEX('[1]REMOVAL FEES'!$A$1:$C$22,MATCH(CONCATENATE("Standard Size",$P1021),'[1]REMOVAL FEES'!$A$1:$A$22,0),3),IF($Y1021=2,IF($P1021&gt;10,(($P1021-10)*1.06)+INDEX('[1]REMOVAL FEES'!$E$1:$G$22,MATCH(CONCATENATE("Large bulky, extra-large and special handling items",IF($P1021&gt;=11,11,$P1021)),'[1]REMOVAL FEES'!$E$1:$E$13,0),3),INDEX('[1]REMOVAL FEES'!$E$1:$G$22,MATCH(CONCATENATE("Large bulky, extra-large and special handling items",IF($P1021&gt;=11,11,$P1021)),'[1]REMOVAL FEES'!$E$1:$E$13,0),3))))*$AA1021,FALSE)</f>
        <v>0</v>
      </c>
      <c r="AJ1021" s="107">
        <f t="shared" si="198"/>
        <v>0</v>
      </c>
      <c r="AK1021" s="107">
        <v>0</v>
      </c>
      <c r="AL1021" s="107">
        <v>0</v>
      </c>
      <c r="AM1021" s="107">
        <f t="shared" si="199"/>
        <v>0</v>
      </c>
      <c r="AN1021" s="116">
        <f>(-IF($V1021="Yes", IF($X1021="Yes", VLOOKUP($W1021, '[1]Storage Fees'!A:M, 13, FALSE), VLOOKUP($W1021, '[1]Storage Fees'!A:M, 10, FALSE)), IF($X1021="Yes", VLOOKUP($W1021, '[1]Storage Fees'!A:M, 7, FALSE), VLOOKUP($W1021, '[1]Storage Fees'!A:M, 4, FALSE))) * U1021)*1.5</f>
        <v>0</v>
      </c>
    </row>
    <row r="1022" spans="1:40" x14ac:dyDescent="0.25">
      <c r="A1022" s="99">
        <v>950</v>
      </c>
      <c r="B1022" s="99" t="s">
        <v>13699</v>
      </c>
      <c r="C1022" s="99"/>
      <c r="D1022" s="99"/>
      <c r="E1022" s="99" t="s">
        <v>278</v>
      </c>
      <c r="F1022" s="99" t="s">
        <v>662</v>
      </c>
      <c r="G1022" s="99" t="s">
        <v>13695</v>
      </c>
      <c r="H1022" s="99">
        <v>0</v>
      </c>
      <c r="I1022" s="99">
        <v>0</v>
      </c>
      <c r="J1022" s="99">
        <v>0</v>
      </c>
      <c r="K1022" s="101" t="str">
        <f t="shared" si="187"/>
        <v>0x0x0</v>
      </c>
      <c r="L1022" s="102">
        <f t="shared" si="188"/>
        <v>0</v>
      </c>
      <c r="M1022" s="113">
        <f t="shared" si="189"/>
        <v>0</v>
      </c>
      <c r="N1022" s="113">
        <f t="shared" si="190"/>
        <v>0</v>
      </c>
      <c r="O1022" s="99">
        <v>0</v>
      </c>
      <c r="P1022" s="113">
        <f t="shared" si="191"/>
        <v>0</v>
      </c>
      <c r="Q1022" s="112">
        <f t="shared" si="192"/>
        <v>0</v>
      </c>
      <c r="R1022" s="112" t="str">
        <f t="shared" si="193"/>
        <v>Standard-size</v>
      </c>
      <c r="S1022" s="99" t="str">
        <f t="shared" si="194"/>
        <v>Small standard-size</v>
      </c>
      <c r="T1022" s="116" t="s">
        <v>13696</v>
      </c>
      <c r="U1022" s="116">
        <f t="shared" si="195"/>
        <v>0</v>
      </c>
      <c r="V1022" s="116" t="s">
        <v>13583</v>
      </c>
      <c r="W1022" s="116" t="s">
        <v>13690</v>
      </c>
      <c r="X1022" s="99" t="s">
        <v>13583</v>
      </c>
      <c r="Y1022" s="99">
        <v>1</v>
      </c>
      <c r="Z1022" s="99">
        <v>1</v>
      </c>
      <c r="AA1022" s="99">
        <v>1</v>
      </c>
      <c r="AB1022" s="99"/>
      <c r="AC1022" s="99"/>
      <c r="AD1022" s="107">
        <v>0</v>
      </c>
      <c r="AE1022" s="113">
        <f t="shared" si="196"/>
        <v>0</v>
      </c>
      <c r="AF1022" s="116">
        <f>-IFERROR(IFERROR(VLOOKUP(ROUNDUP($Q1022,0),'FBA FEES'!$L$2:$Q$203,MATCH($S1022,'FBA FEES'!$L$2:$Q$2,0),FALSE),VLOOKUP(ROUNDUP($Q1022,0),'FBA FEES'!$C$6:$F$123,MATCH($S1022,'FBA FEES'!$C$6:$F$6,0),FALSE)),0)</f>
        <v>0</v>
      </c>
      <c r="AG1022" s="116">
        <v>-10</v>
      </c>
      <c r="AH1022" s="113">
        <f t="shared" si="197"/>
        <v>0</v>
      </c>
      <c r="AI1022" s="116">
        <f>-IFERROR(IF($Y1022=1,INDEX('[1]REMOVAL FEES'!$A$1:$C$22,MATCH(CONCATENATE("Standard Size",$P1022),'[1]REMOVAL FEES'!$A$1:$A$22,0),3),IF($Y1022=2,IF($P1022&gt;10,(($P1022-10)*1.06)+INDEX('[1]REMOVAL FEES'!$E$1:$G$22,MATCH(CONCATENATE("Large bulky, extra-large and special handling items",IF($P1022&gt;=11,11,$P1022)),'[1]REMOVAL FEES'!$E$1:$E$13,0),3),INDEX('[1]REMOVAL FEES'!$E$1:$G$22,MATCH(CONCATENATE("Large bulky, extra-large and special handling items",IF($P1022&gt;=11,11,$P1022)),'[1]REMOVAL FEES'!$E$1:$E$13,0),3))))*$AA1022,FALSE)</f>
        <v>0</v>
      </c>
      <c r="AJ1022" s="107">
        <f t="shared" si="198"/>
        <v>0</v>
      </c>
      <c r="AK1022" s="107">
        <v>0</v>
      </c>
      <c r="AL1022" s="107">
        <v>0</v>
      </c>
      <c r="AM1022" s="107">
        <f t="shared" si="199"/>
        <v>0</v>
      </c>
      <c r="AN1022" s="116">
        <f>(-IF($V1022="Yes", IF($X1022="Yes", VLOOKUP($W1022, '[1]Storage Fees'!A:M, 13, FALSE), VLOOKUP($W1022, '[1]Storage Fees'!A:M, 10, FALSE)), IF($X1022="Yes", VLOOKUP($W1022, '[1]Storage Fees'!A:M, 7, FALSE), VLOOKUP($W1022, '[1]Storage Fees'!A:M, 4, FALSE))) * U1022)*1.5</f>
        <v>0</v>
      </c>
    </row>
    <row r="1023" spans="1:40" x14ac:dyDescent="0.25">
      <c r="A1023" s="99">
        <v>951</v>
      </c>
      <c r="B1023" s="99" t="s">
        <v>13699</v>
      </c>
      <c r="C1023" s="99"/>
      <c r="D1023" s="99"/>
      <c r="E1023" s="99" t="s">
        <v>278</v>
      </c>
      <c r="F1023" s="99" t="s">
        <v>663</v>
      </c>
      <c r="G1023" s="99" t="s">
        <v>13695</v>
      </c>
      <c r="H1023" s="99">
        <v>0</v>
      </c>
      <c r="I1023" s="99">
        <v>0</v>
      </c>
      <c r="J1023" s="99">
        <v>0</v>
      </c>
      <c r="K1023" s="101" t="str">
        <f t="shared" si="187"/>
        <v>0x0x0</v>
      </c>
      <c r="L1023" s="102">
        <f t="shared" si="188"/>
        <v>0</v>
      </c>
      <c r="M1023" s="113">
        <f t="shared" si="189"/>
        <v>0</v>
      </c>
      <c r="N1023" s="113">
        <f t="shared" si="190"/>
        <v>0</v>
      </c>
      <c r="O1023" s="99">
        <v>0</v>
      </c>
      <c r="P1023" s="113">
        <f t="shared" si="191"/>
        <v>0</v>
      </c>
      <c r="Q1023" s="112">
        <f t="shared" si="192"/>
        <v>0</v>
      </c>
      <c r="R1023" s="112" t="str">
        <f t="shared" si="193"/>
        <v>Standard-size</v>
      </c>
      <c r="S1023" s="99" t="str">
        <f t="shared" si="194"/>
        <v>Small standard-size</v>
      </c>
      <c r="T1023" s="116" t="s">
        <v>13696</v>
      </c>
      <c r="U1023" s="116">
        <f t="shared" si="195"/>
        <v>0</v>
      </c>
      <c r="V1023" s="116" t="s">
        <v>13583</v>
      </c>
      <c r="W1023" s="116" t="s">
        <v>13690</v>
      </c>
      <c r="X1023" s="99" t="s">
        <v>13583</v>
      </c>
      <c r="Y1023" s="99">
        <v>1</v>
      </c>
      <c r="Z1023" s="99">
        <v>1</v>
      </c>
      <c r="AA1023" s="99">
        <v>1</v>
      </c>
      <c r="AB1023" s="99"/>
      <c r="AC1023" s="99"/>
      <c r="AD1023" s="107">
        <v>0</v>
      </c>
      <c r="AE1023" s="113">
        <f t="shared" si="196"/>
        <v>0</v>
      </c>
      <c r="AF1023" s="116">
        <f>-IFERROR(IFERROR(VLOOKUP(ROUNDUP($Q1023,0),'FBA FEES'!$L$2:$Q$203,MATCH($S1023,'FBA FEES'!$L$2:$Q$2,0),FALSE),VLOOKUP(ROUNDUP($Q1023,0),'FBA FEES'!$C$6:$F$123,MATCH($S1023,'FBA FEES'!$C$6:$F$6,0),FALSE)),0)</f>
        <v>0</v>
      </c>
      <c r="AG1023" s="116">
        <v>-10</v>
      </c>
      <c r="AH1023" s="113">
        <f t="shared" si="197"/>
        <v>0</v>
      </c>
      <c r="AI1023" s="116">
        <f>-IFERROR(IF($Y1023=1,INDEX('[1]REMOVAL FEES'!$A$1:$C$22,MATCH(CONCATENATE("Standard Size",$P1023),'[1]REMOVAL FEES'!$A$1:$A$22,0),3),IF($Y1023=2,IF($P1023&gt;10,(($P1023-10)*1.06)+INDEX('[1]REMOVAL FEES'!$E$1:$G$22,MATCH(CONCATENATE("Large bulky, extra-large and special handling items",IF($P1023&gt;=11,11,$P1023)),'[1]REMOVAL FEES'!$E$1:$E$13,0),3),INDEX('[1]REMOVAL FEES'!$E$1:$G$22,MATCH(CONCATENATE("Large bulky, extra-large and special handling items",IF($P1023&gt;=11,11,$P1023)),'[1]REMOVAL FEES'!$E$1:$E$13,0),3))))*$AA1023,FALSE)</f>
        <v>0</v>
      </c>
      <c r="AJ1023" s="107">
        <f t="shared" si="198"/>
        <v>0</v>
      </c>
      <c r="AK1023" s="107">
        <v>0</v>
      </c>
      <c r="AL1023" s="107">
        <v>0</v>
      </c>
      <c r="AM1023" s="107">
        <f t="shared" si="199"/>
        <v>0</v>
      </c>
      <c r="AN1023" s="116">
        <f>(-IF($V1023="Yes", IF($X1023="Yes", VLOOKUP($W1023, '[1]Storage Fees'!A:M, 13, FALSE), VLOOKUP($W1023, '[1]Storage Fees'!A:M, 10, FALSE)), IF($X1023="Yes", VLOOKUP($W1023, '[1]Storage Fees'!A:M, 7, FALSE), VLOOKUP($W1023, '[1]Storage Fees'!A:M, 4, FALSE))) * U1023)*1.5</f>
        <v>0</v>
      </c>
    </row>
    <row r="1024" spans="1:40" x14ac:dyDescent="0.25">
      <c r="A1024" s="99">
        <v>952</v>
      </c>
      <c r="B1024" s="99" t="s">
        <v>13699</v>
      </c>
      <c r="C1024" s="99"/>
      <c r="D1024" s="99"/>
      <c r="E1024" s="99" t="s">
        <v>278</v>
      </c>
      <c r="F1024" s="99" t="s">
        <v>664</v>
      </c>
      <c r="G1024" s="99" t="s">
        <v>13695</v>
      </c>
      <c r="H1024" s="99">
        <v>0</v>
      </c>
      <c r="I1024" s="99">
        <v>0</v>
      </c>
      <c r="J1024" s="99">
        <v>0</v>
      </c>
      <c r="K1024" s="101" t="str">
        <f t="shared" si="187"/>
        <v>0x0x0</v>
      </c>
      <c r="L1024" s="102">
        <f t="shared" si="188"/>
        <v>0</v>
      </c>
      <c r="M1024" s="113">
        <f t="shared" si="189"/>
        <v>0</v>
      </c>
      <c r="N1024" s="113">
        <f t="shared" si="190"/>
        <v>0</v>
      </c>
      <c r="O1024" s="99">
        <v>0</v>
      </c>
      <c r="P1024" s="113">
        <f t="shared" si="191"/>
        <v>0</v>
      </c>
      <c r="Q1024" s="112">
        <f t="shared" si="192"/>
        <v>0</v>
      </c>
      <c r="R1024" s="112" t="str">
        <f t="shared" si="193"/>
        <v>Standard-size</v>
      </c>
      <c r="S1024" s="99" t="str">
        <f t="shared" si="194"/>
        <v>Small standard-size</v>
      </c>
      <c r="T1024" s="116" t="s">
        <v>13696</v>
      </c>
      <c r="U1024" s="116">
        <f t="shared" si="195"/>
        <v>0</v>
      </c>
      <c r="V1024" s="116" t="s">
        <v>13583</v>
      </c>
      <c r="W1024" s="116" t="s">
        <v>13690</v>
      </c>
      <c r="X1024" s="99" t="s">
        <v>13583</v>
      </c>
      <c r="Y1024" s="99">
        <v>1</v>
      </c>
      <c r="Z1024" s="99">
        <v>1</v>
      </c>
      <c r="AA1024" s="99">
        <v>1</v>
      </c>
      <c r="AB1024" s="99"/>
      <c r="AC1024" s="99"/>
      <c r="AD1024" s="107">
        <v>0</v>
      </c>
      <c r="AE1024" s="113">
        <f t="shared" si="196"/>
        <v>0</v>
      </c>
      <c r="AF1024" s="116">
        <f>-IFERROR(IFERROR(VLOOKUP(ROUNDUP($Q1024,0),'FBA FEES'!$L$2:$Q$203,MATCH($S1024,'FBA FEES'!$L$2:$Q$2,0),FALSE),VLOOKUP(ROUNDUP($Q1024,0),'FBA FEES'!$C$6:$F$123,MATCH($S1024,'FBA FEES'!$C$6:$F$6,0),FALSE)),0)</f>
        <v>0</v>
      </c>
      <c r="AG1024" s="116">
        <v>-10</v>
      </c>
      <c r="AH1024" s="113">
        <f t="shared" si="197"/>
        <v>0</v>
      </c>
      <c r="AI1024" s="116">
        <f>-IFERROR(IF($Y1024=1,INDEX('[1]REMOVAL FEES'!$A$1:$C$22,MATCH(CONCATENATE("Standard Size",$P1024),'[1]REMOVAL FEES'!$A$1:$A$22,0),3),IF($Y1024=2,IF($P1024&gt;10,(($P1024-10)*1.06)+INDEX('[1]REMOVAL FEES'!$E$1:$G$22,MATCH(CONCATENATE("Large bulky, extra-large and special handling items",IF($P1024&gt;=11,11,$P1024)),'[1]REMOVAL FEES'!$E$1:$E$13,0),3),INDEX('[1]REMOVAL FEES'!$E$1:$G$22,MATCH(CONCATENATE("Large bulky, extra-large and special handling items",IF($P1024&gt;=11,11,$P1024)),'[1]REMOVAL FEES'!$E$1:$E$13,0),3))))*$AA1024,FALSE)</f>
        <v>0</v>
      </c>
      <c r="AJ1024" s="107">
        <f t="shared" si="198"/>
        <v>0</v>
      </c>
      <c r="AK1024" s="107">
        <v>0</v>
      </c>
      <c r="AL1024" s="107">
        <v>0</v>
      </c>
      <c r="AM1024" s="107">
        <f t="shared" si="199"/>
        <v>0</v>
      </c>
      <c r="AN1024" s="116">
        <f>(-IF($V1024="Yes", IF($X1024="Yes", VLOOKUP($W1024, '[1]Storage Fees'!A:M, 13, FALSE), VLOOKUP($W1024, '[1]Storage Fees'!A:M, 10, FALSE)), IF($X1024="Yes", VLOOKUP($W1024, '[1]Storage Fees'!A:M, 7, FALSE), VLOOKUP($W1024, '[1]Storage Fees'!A:M, 4, FALSE))) * U1024)*1.5</f>
        <v>0</v>
      </c>
    </row>
    <row r="1025" spans="1:40" x14ac:dyDescent="0.25">
      <c r="A1025" s="99">
        <v>953</v>
      </c>
      <c r="B1025" s="99" t="s">
        <v>13699</v>
      </c>
      <c r="C1025" s="99"/>
      <c r="D1025" s="99"/>
      <c r="E1025" s="99" t="s">
        <v>278</v>
      </c>
      <c r="F1025" s="99" t="s">
        <v>665</v>
      </c>
      <c r="G1025" s="99" t="s">
        <v>13695</v>
      </c>
      <c r="H1025" s="99">
        <v>0</v>
      </c>
      <c r="I1025" s="99">
        <v>0</v>
      </c>
      <c r="J1025" s="99">
        <v>0</v>
      </c>
      <c r="K1025" s="101" t="str">
        <f t="shared" si="187"/>
        <v>0x0x0</v>
      </c>
      <c r="L1025" s="102">
        <f t="shared" si="188"/>
        <v>0</v>
      </c>
      <c r="M1025" s="113">
        <f t="shared" si="189"/>
        <v>0</v>
      </c>
      <c r="N1025" s="113">
        <f t="shared" si="190"/>
        <v>0</v>
      </c>
      <c r="O1025" s="99">
        <v>0</v>
      </c>
      <c r="P1025" s="113">
        <f t="shared" si="191"/>
        <v>0</v>
      </c>
      <c r="Q1025" s="112">
        <f t="shared" si="192"/>
        <v>0</v>
      </c>
      <c r="R1025" s="112" t="str">
        <f t="shared" si="193"/>
        <v>Standard-size</v>
      </c>
      <c r="S1025" s="99" t="str">
        <f t="shared" si="194"/>
        <v>Small standard-size</v>
      </c>
      <c r="T1025" s="116" t="s">
        <v>13696</v>
      </c>
      <c r="U1025" s="116">
        <f t="shared" si="195"/>
        <v>0</v>
      </c>
      <c r="V1025" s="116" t="s">
        <v>13583</v>
      </c>
      <c r="W1025" s="116" t="s">
        <v>13690</v>
      </c>
      <c r="X1025" s="99" t="s">
        <v>13583</v>
      </c>
      <c r="Y1025" s="99">
        <v>1</v>
      </c>
      <c r="Z1025" s="99">
        <v>1</v>
      </c>
      <c r="AA1025" s="99">
        <v>1</v>
      </c>
      <c r="AB1025" s="99"/>
      <c r="AC1025" s="99"/>
      <c r="AD1025" s="107">
        <v>0</v>
      </c>
      <c r="AE1025" s="113">
        <f t="shared" si="196"/>
        <v>0</v>
      </c>
      <c r="AF1025" s="116">
        <f>-IFERROR(IFERROR(VLOOKUP(ROUNDUP($Q1025,0),'FBA FEES'!$L$2:$Q$203,MATCH($S1025,'FBA FEES'!$L$2:$Q$2,0),FALSE),VLOOKUP(ROUNDUP($Q1025,0),'FBA FEES'!$C$6:$F$123,MATCH($S1025,'FBA FEES'!$C$6:$F$6,0),FALSE)),0)</f>
        <v>0</v>
      </c>
      <c r="AG1025" s="116">
        <v>-10</v>
      </c>
      <c r="AH1025" s="113">
        <f t="shared" si="197"/>
        <v>0</v>
      </c>
      <c r="AI1025" s="116">
        <f>-IFERROR(IF($Y1025=1,INDEX('[1]REMOVAL FEES'!$A$1:$C$22,MATCH(CONCATENATE("Standard Size",$P1025),'[1]REMOVAL FEES'!$A$1:$A$22,0),3),IF($Y1025=2,IF($P1025&gt;10,(($P1025-10)*1.06)+INDEX('[1]REMOVAL FEES'!$E$1:$G$22,MATCH(CONCATENATE("Large bulky, extra-large and special handling items",IF($P1025&gt;=11,11,$P1025)),'[1]REMOVAL FEES'!$E$1:$E$13,0),3),INDEX('[1]REMOVAL FEES'!$E$1:$G$22,MATCH(CONCATENATE("Large bulky, extra-large and special handling items",IF($P1025&gt;=11,11,$P1025)),'[1]REMOVAL FEES'!$E$1:$E$13,0),3))))*$AA1025,FALSE)</f>
        <v>0</v>
      </c>
      <c r="AJ1025" s="107">
        <f t="shared" si="198"/>
        <v>0</v>
      </c>
      <c r="AK1025" s="107">
        <v>0</v>
      </c>
      <c r="AL1025" s="107">
        <v>0</v>
      </c>
      <c r="AM1025" s="107">
        <f t="shared" si="199"/>
        <v>0</v>
      </c>
      <c r="AN1025" s="116">
        <f>(-IF($V1025="Yes", IF($X1025="Yes", VLOOKUP($W1025, '[1]Storage Fees'!A:M, 13, FALSE), VLOOKUP($W1025, '[1]Storage Fees'!A:M, 10, FALSE)), IF($X1025="Yes", VLOOKUP($W1025, '[1]Storage Fees'!A:M, 7, FALSE), VLOOKUP($W1025, '[1]Storage Fees'!A:M, 4, FALSE))) * U1025)*1.5</f>
        <v>0</v>
      </c>
    </row>
    <row r="1026" spans="1:40" x14ac:dyDescent="0.25">
      <c r="A1026" s="99">
        <v>954</v>
      </c>
      <c r="B1026" s="99" t="s">
        <v>13699</v>
      </c>
      <c r="C1026" s="99"/>
      <c r="D1026" s="99"/>
      <c r="E1026" s="99" t="s">
        <v>278</v>
      </c>
      <c r="F1026" s="99" t="s">
        <v>666</v>
      </c>
      <c r="G1026" s="99" t="s">
        <v>13695</v>
      </c>
      <c r="H1026" s="99">
        <v>0</v>
      </c>
      <c r="I1026" s="99">
        <v>0</v>
      </c>
      <c r="J1026" s="99">
        <v>0</v>
      </c>
      <c r="K1026" s="101" t="str">
        <f t="shared" si="187"/>
        <v>0x0x0</v>
      </c>
      <c r="L1026" s="102">
        <f t="shared" si="188"/>
        <v>0</v>
      </c>
      <c r="M1026" s="113">
        <f t="shared" si="189"/>
        <v>0</v>
      </c>
      <c r="N1026" s="113">
        <f t="shared" si="190"/>
        <v>0</v>
      </c>
      <c r="O1026" s="99">
        <v>0</v>
      </c>
      <c r="P1026" s="113">
        <f t="shared" si="191"/>
        <v>0</v>
      </c>
      <c r="Q1026" s="112">
        <f t="shared" si="192"/>
        <v>0</v>
      </c>
      <c r="R1026" s="112" t="str">
        <f t="shared" si="193"/>
        <v>Standard-size</v>
      </c>
      <c r="S1026" s="99" t="str">
        <f t="shared" si="194"/>
        <v>Small standard-size</v>
      </c>
      <c r="T1026" s="116" t="s">
        <v>13696</v>
      </c>
      <c r="U1026" s="116">
        <f t="shared" si="195"/>
        <v>0</v>
      </c>
      <c r="V1026" s="116" t="s">
        <v>13583</v>
      </c>
      <c r="W1026" s="116" t="s">
        <v>13690</v>
      </c>
      <c r="X1026" s="99" t="s">
        <v>13583</v>
      </c>
      <c r="Y1026" s="99">
        <v>1</v>
      </c>
      <c r="Z1026" s="99">
        <v>1</v>
      </c>
      <c r="AA1026" s="99">
        <v>1</v>
      </c>
      <c r="AB1026" s="99"/>
      <c r="AC1026" s="99"/>
      <c r="AD1026" s="107">
        <v>0</v>
      </c>
      <c r="AE1026" s="113">
        <f t="shared" si="196"/>
        <v>0</v>
      </c>
      <c r="AF1026" s="116">
        <f>-IFERROR(IFERROR(VLOOKUP(ROUNDUP($Q1026,0),'FBA FEES'!$L$2:$Q$203,MATCH($S1026,'FBA FEES'!$L$2:$Q$2,0),FALSE),VLOOKUP(ROUNDUP($Q1026,0),'FBA FEES'!$C$6:$F$123,MATCH($S1026,'FBA FEES'!$C$6:$F$6,0),FALSE)),0)</f>
        <v>0</v>
      </c>
      <c r="AG1026" s="116">
        <v>-10</v>
      </c>
      <c r="AH1026" s="113">
        <f t="shared" si="197"/>
        <v>0</v>
      </c>
      <c r="AI1026" s="116">
        <f>-IFERROR(IF($Y1026=1,INDEX('[1]REMOVAL FEES'!$A$1:$C$22,MATCH(CONCATENATE("Standard Size",$P1026),'[1]REMOVAL FEES'!$A$1:$A$22,0),3),IF($Y1026=2,IF($P1026&gt;10,(($P1026-10)*1.06)+INDEX('[1]REMOVAL FEES'!$E$1:$G$22,MATCH(CONCATENATE("Large bulky, extra-large and special handling items",IF($P1026&gt;=11,11,$P1026)),'[1]REMOVAL FEES'!$E$1:$E$13,0),3),INDEX('[1]REMOVAL FEES'!$E$1:$G$22,MATCH(CONCATENATE("Large bulky, extra-large and special handling items",IF($P1026&gt;=11,11,$P1026)),'[1]REMOVAL FEES'!$E$1:$E$13,0),3))))*$AA1026,FALSE)</f>
        <v>0</v>
      </c>
      <c r="AJ1026" s="107">
        <f t="shared" si="198"/>
        <v>0</v>
      </c>
      <c r="AK1026" s="107">
        <v>0</v>
      </c>
      <c r="AL1026" s="107">
        <v>0</v>
      </c>
      <c r="AM1026" s="107">
        <f t="shared" si="199"/>
        <v>0</v>
      </c>
      <c r="AN1026" s="116">
        <f>(-IF($V1026="Yes", IF($X1026="Yes", VLOOKUP($W1026, '[1]Storage Fees'!A:M, 13, FALSE), VLOOKUP($W1026, '[1]Storage Fees'!A:M, 10, FALSE)), IF($X1026="Yes", VLOOKUP($W1026, '[1]Storage Fees'!A:M, 7, FALSE), VLOOKUP($W1026, '[1]Storage Fees'!A:M, 4, FALSE))) * U1026)*1.5</f>
        <v>0</v>
      </c>
    </row>
    <row r="1027" spans="1:40" x14ac:dyDescent="0.25">
      <c r="A1027" s="99">
        <v>955</v>
      </c>
      <c r="B1027" s="99" t="s">
        <v>107</v>
      </c>
      <c r="C1027" s="99"/>
      <c r="D1027" s="99"/>
      <c r="E1027" s="99" t="s">
        <v>441</v>
      </c>
      <c r="F1027" s="99" t="s">
        <v>667</v>
      </c>
      <c r="G1027" s="99" t="s">
        <v>13695</v>
      </c>
      <c r="H1027" s="99">
        <v>0</v>
      </c>
      <c r="I1027" s="99">
        <v>0</v>
      </c>
      <c r="J1027" s="99">
        <v>0</v>
      </c>
      <c r="K1027" s="101" t="str">
        <f t="shared" si="187"/>
        <v>0x0x0</v>
      </c>
      <c r="L1027" s="102">
        <f t="shared" si="188"/>
        <v>0</v>
      </c>
      <c r="M1027" s="113">
        <f t="shared" si="189"/>
        <v>0</v>
      </c>
      <c r="N1027" s="113">
        <f t="shared" si="190"/>
        <v>0</v>
      </c>
      <c r="O1027" s="99">
        <v>0</v>
      </c>
      <c r="P1027" s="113">
        <f t="shared" si="191"/>
        <v>0</v>
      </c>
      <c r="Q1027" s="112">
        <f t="shared" si="192"/>
        <v>0</v>
      </c>
      <c r="R1027" s="112" t="str">
        <f t="shared" si="193"/>
        <v>Standard-size</v>
      </c>
      <c r="S1027" s="99" t="str">
        <f t="shared" si="194"/>
        <v>Small standard-size</v>
      </c>
      <c r="T1027" s="116" t="s">
        <v>13696</v>
      </c>
      <c r="U1027" s="116">
        <f t="shared" si="195"/>
        <v>0</v>
      </c>
      <c r="V1027" s="116" t="s">
        <v>13583</v>
      </c>
      <c r="W1027" s="116" t="s">
        <v>13690</v>
      </c>
      <c r="X1027" s="99" t="s">
        <v>13583</v>
      </c>
      <c r="Y1027" s="99">
        <v>1</v>
      </c>
      <c r="Z1027" s="99">
        <v>1</v>
      </c>
      <c r="AA1027" s="99">
        <v>1</v>
      </c>
      <c r="AB1027" s="99"/>
      <c r="AC1027" s="99"/>
      <c r="AD1027" s="107">
        <v>0</v>
      </c>
      <c r="AE1027" s="113">
        <f t="shared" si="196"/>
        <v>0</v>
      </c>
      <c r="AF1027" s="116">
        <f>-IFERROR(IFERROR(VLOOKUP(ROUNDUP($Q1027,0),'FBA FEES'!$L$2:$Q$203,MATCH($S1027,'FBA FEES'!$L$2:$Q$2,0),FALSE),VLOOKUP(ROUNDUP($Q1027,0),'FBA FEES'!$C$6:$F$123,MATCH($S1027,'FBA FEES'!$C$6:$F$6,0),FALSE)),0)</f>
        <v>0</v>
      </c>
      <c r="AG1027" s="116">
        <v>-10</v>
      </c>
      <c r="AH1027" s="113">
        <f t="shared" si="197"/>
        <v>0</v>
      </c>
      <c r="AI1027" s="116">
        <f>-IFERROR(IF($Y1027=1,INDEX('[1]REMOVAL FEES'!$A$1:$C$22,MATCH(CONCATENATE("Standard Size",$P1027),'[1]REMOVAL FEES'!$A$1:$A$22,0),3),IF($Y1027=2,IF($P1027&gt;10,(($P1027-10)*1.06)+INDEX('[1]REMOVAL FEES'!$E$1:$G$22,MATCH(CONCATENATE("Large bulky, extra-large and special handling items",IF($P1027&gt;=11,11,$P1027)),'[1]REMOVAL FEES'!$E$1:$E$13,0),3),INDEX('[1]REMOVAL FEES'!$E$1:$G$22,MATCH(CONCATENATE("Large bulky, extra-large and special handling items",IF($P1027&gt;=11,11,$P1027)),'[1]REMOVAL FEES'!$E$1:$E$13,0),3))))*$AA1027,FALSE)</f>
        <v>0</v>
      </c>
      <c r="AJ1027" s="107">
        <f t="shared" si="198"/>
        <v>0</v>
      </c>
      <c r="AK1027" s="107">
        <v>0</v>
      </c>
      <c r="AL1027" s="107">
        <v>0</v>
      </c>
      <c r="AM1027" s="107">
        <f t="shared" si="199"/>
        <v>0</v>
      </c>
      <c r="AN1027" s="116">
        <f>(-IF($V1027="Yes", IF($X1027="Yes", VLOOKUP($W1027, '[1]Storage Fees'!A:M, 13, FALSE), VLOOKUP($W1027, '[1]Storage Fees'!A:M, 10, FALSE)), IF($X1027="Yes", VLOOKUP($W1027, '[1]Storage Fees'!A:M, 7, FALSE), VLOOKUP($W1027, '[1]Storage Fees'!A:M, 4, FALSE))) * U1027)*1.5</f>
        <v>0</v>
      </c>
    </row>
    <row r="1028" spans="1:40" x14ac:dyDescent="0.25">
      <c r="A1028" s="99">
        <v>956</v>
      </c>
      <c r="B1028" s="99" t="s">
        <v>55</v>
      </c>
      <c r="C1028" s="99"/>
      <c r="D1028" s="99"/>
      <c r="E1028" s="99" t="s">
        <v>296</v>
      </c>
      <c r="F1028" s="99" t="s">
        <v>668</v>
      </c>
      <c r="G1028" s="99" t="s">
        <v>13695</v>
      </c>
      <c r="H1028" s="99">
        <v>0</v>
      </c>
      <c r="I1028" s="99">
        <v>0</v>
      </c>
      <c r="J1028" s="99">
        <v>0</v>
      </c>
      <c r="K1028" s="101" t="str">
        <f t="shared" si="187"/>
        <v>0x0x0</v>
      </c>
      <c r="L1028" s="102">
        <f t="shared" si="188"/>
        <v>0</v>
      </c>
      <c r="M1028" s="113">
        <f t="shared" si="189"/>
        <v>0</v>
      </c>
      <c r="N1028" s="113">
        <f t="shared" si="190"/>
        <v>0</v>
      </c>
      <c r="O1028" s="99">
        <v>0</v>
      </c>
      <c r="P1028" s="113">
        <f t="shared" si="191"/>
        <v>0</v>
      </c>
      <c r="Q1028" s="112">
        <f t="shared" si="192"/>
        <v>0</v>
      </c>
      <c r="R1028" s="112" t="str">
        <f t="shared" si="193"/>
        <v>Standard-size</v>
      </c>
      <c r="S1028" s="99" t="str">
        <f t="shared" si="194"/>
        <v>Small standard-size</v>
      </c>
      <c r="T1028" s="116" t="s">
        <v>13696</v>
      </c>
      <c r="U1028" s="116">
        <f t="shared" si="195"/>
        <v>0</v>
      </c>
      <c r="V1028" s="116" t="s">
        <v>13583</v>
      </c>
      <c r="W1028" s="116" t="s">
        <v>13690</v>
      </c>
      <c r="X1028" s="99" t="s">
        <v>13583</v>
      </c>
      <c r="Y1028" s="99">
        <v>1</v>
      </c>
      <c r="Z1028" s="99">
        <v>1</v>
      </c>
      <c r="AA1028" s="99">
        <v>1</v>
      </c>
      <c r="AB1028" s="99"/>
      <c r="AC1028" s="99"/>
      <c r="AD1028" s="107">
        <v>0</v>
      </c>
      <c r="AE1028" s="113">
        <f t="shared" si="196"/>
        <v>0</v>
      </c>
      <c r="AF1028" s="116">
        <f>-IFERROR(IFERROR(VLOOKUP(ROUNDUP($Q1028,0),'FBA FEES'!$L$2:$Q$203,MATCH($S1028,'FBA FEES'!$L$2:$Q$2,0),FALSE),VLOOKUP(ROUNDUP($Q1028,0),'FBA FEES'!$C$6:$F$123,MATCH($S1028,'FBA FEES'!$C$6:$F$6,0),FALSE)),0)</f>
        <v>0</v>
      </c>
      <c r="AG1028" s="116">
        <v>-10</v>
      </c>
      <c r="AH1028" s="113">
        <f t="shared" si="197"/>
        <v>0</v>
      </c>
      <c r="AI1028" s="116">
        <f>-IFERROR(IF($Y1028=1,INDEX('[1]REMOVAL FEES'!$A$1:$C$22,MATCH(CONCATENATE("Standard Size",$P1028),'[1]REMOVAL FEES'!$A$1:$A$22,0),3),IF($Y1028=2,IF($P1028&gt;10,(($P1028-10)*1.06)+INDEX('[1]REMOVAL FEES'!$E$1:$G$22,MATCH(CONCATENATE("Large bulky, extra-large and special handling items",IF($P1028&gt;=11,11,$P1028)),'[1]REMOVAL FEES'!$E$1:$E$13,0),3),INDEX('[1]REMOVAL FEES'!$E$1:$G$22,MATCH(CONCATENATE("Large bulky, extra-large and special handling items",IF($P1028&gt;=11,11,$P1028)),'[1]REMOVAL FEES'!$E$1:$E$13,0),3))))*$AA1028,FALSE)</f>
        <v>0</v>
      </c>
      <c r="AJ1028" s="107">
        <f t="shared" si="198"/>
        <v>0</v>
      </c>
      <c r="AK1028" s="107">
        <v>0</v>
      </c>
      <c r="AL1028" s="107">
        <v>0</v>
      </c>
      <c r="AM1028" s="107">
        <f t="shared" si="199"/>
        <v>0</v>
      </c>
      <c r="AN1028" s="116">
        <f>(-IF($V1028="Yes", IF($X1028="Yes", VLOOKUP($W1028, '[1]Storage Fees'!A:M, 13, FALSE), VLOOKUP($W1028, '[1]Storage Fees'!A:M, 10, FALSE)), IF($X1028="Yes", VLOOKUP($W1028, '[1]Storage Fees'!A:M, 7, FALSE), VLOOKUP($W1028, '[1]Storage Fees'!A:M, 4, FALSE))) * U1028)*1.5</f>
        <v>0</v>
      </c>
    </row>
    <row r="1029" spans="1:40" x14ac:dyDescent="0.25">
      <c r="A1029" s="99">
        <v>957</v>
      </c>
      <c r="B1029" s="99" t="s">
        <v>55</v>
      </c>
      <c r="C1029" s="99"/>
      <c r="D1029" s="99"/>
      <c r="E1029" s="99" t="s">
        <v>296</v>
      </c>
      <c r="F1029" s="99" t="s">
        <v>669</v>
      </c>
      <c r="G1029" s="99" t="s">
        <v>13695</v>
      </c>
      <c r="H1029" s="99">
        <v>0</v>
      </c>
      <c r="I1029" s="99">
        <v>0</v>
      </c>
      <c r="J1029" s="99">
        <v>0</v>
      </c>
      <c r="K1029" s="101" t="str">
        <f t="shared" si="187"/>
        <v>0x0x0</v>
      </c>
      <c r="L1029" s="102">
        <f t="shared" si="188"/>
        <v>0</v>
      </c>
      <c r="M1029" s="113">
        <f t="shared" si="189"/>
        <v>0</v>
      </c>
      <c r="N1029" s="113">
        <f t="shared" si="190"/>
        <v>0</v>
      </c>
      <c r="O1029" s="99">
        <v>0</v>
      </c>
      <c r="P1029" s="113">
        <f t="shared" si="191"/>
        <v>0</v>
      </c>
      <c r="Q1029" s="112">
        <f t="shared" si="192"/>
        <v>0</v>
      </c>
      <c r="R1029" s="112" t="str">
        <f t="shared" si="193"/>
        <v>Standard-size</v>
      </c>
      <c r="S1029" s="99" t="str">
        <f t="shared" si="194"/>
        <v>Small standard-size</v>
      </c>
      <c r="T1029" s="116" t="s">
        <v>13696</v>
      </c>
      <c r="U1029" s="116">
        <f t="shared" si="195"/>
        <v>0</v>
      </c>
      <c r="V1029" s="116" t="s">
        <v>13583</v>
      </c>
      <c r="W1029" s="116" t="s">
        <v>13690</v>
      </c>
      <c r="X1029" s="99" t="s">
        <v>13583</v>
      </c>
      <c r="Y1029" s="99">
        <v>1</v>
      </c>
      <c r="Z1029" s="99">
        <v>1</v>
      </c>
      <c r="AA1029" s="99">
        <v>1</v>
      </c>
      <c r="AB1029" s="99"/>
      <c r="AC1029" s="99"/>
      <c r="AD1029" s="107">
        <v>0</v>
      </c>
      <c r="AE1029" s="113">
        <f t="shared" si="196"/>
        <v>0</v>
      </c>
      <c r="AF1029" s="116">
        <f>-IFERROR(IFERROR(VLOOKUP(ROUNDUP($Q1029,0),'FBA FEES'!$L$2:$Q$203,MATCH($S1029,'FBA FEES'!$L$2:$Q$2,0),FALSE),VLOOKUP(ROUNDUP($Q1029,0),'FBA FEES'!$C$6:$F$123,MATCH($S1029,'FBA FEES'!$C$6:$F$6,0),FALSE)),0)</f>
        <v>0</v>
      </c>
      <c r="AG1029" s="116">
        <v>-10</v>
      </c>
      <c r="AH1029" s="113">
        <f t="shared" si="197"/>
        <v>0</v>
      </c>
      <c r="AI1029" s="116">
        <f>-IFERROR(IF($Y1029=1,INDEX('[1]REMOVAL FEES'!$A$1:$C$22,MATCH(CONCATENATE("Standard Size",$P1029),'[1]REMOVAL FEES'!$A$1:$A$22,0),3),IF($Y1029=2,IF($P1029&gt;10,(($P1029-10)*1.06)+INDEX('[1]REMOVAL FEES'!$E$1:$G$22,MATCH(CONCATENATE("Large bulky, extra-large and special handling items",IF($P1029&gt;=11,11,$P1029)),'[1]REMOVAL FEES'!$E$1:$E$13,0),3),INDEX('[1]REMOVAL FEES'!$E$1:$G$22,MATCH(CONCATENATE("Large bulky, extra-large and special handling items",IF($P1029&gt;=11,11,$P1029)),'[1]REMOVAL FEES'!$E$1:$E$13,0),3))))*$AA1029,FALSE)</f>
        <v>0</v>
      </c>
      <c r="AJ1029" s="107">
        <f t="shared" si="198"/>
        <v>0</v>
      </c>
      <c r="AK1029" s="107">
        <v>0</v>
      </c>
      <c r="AL1029" s="107">
        <v>0</v>
      </c>
      <c r="AM1029" s="107">
        <f t="shared" si="199"/>
        <v>0</v>
      </c>
      <c r="AN1029" s="116">
        <f>(-IF($V1029="Yes", IF($X1029="Yes", VLOOKUP($W1029, '[1]Storage Fees'!A:M, 13, FALSE), VLOOKUP($W1029, '[1]Storage Fees'!A:M, 10, FALSE)), IF($X1029="Yes", VLOOKUP($W1029, '[1]Storage Fees'!A:M, 7, FALSE), VLOOKUP($W1029, '[1]Storage Fees'!A:M, 4, FALSE))) * U1029)*1.5</f>
        <v>0</v>
      </c>
    </row>
    <row r="1030" spans="1:40" x14ac:dyDescent="0.25">
      <c r="A1030" s="99">
        <v>958</v>
      </c>
      <c r="B1030" s="99" t="s">
        <v>55</v>
      </c>
      <c r="C1030" s="99"/>
      <c r="D1030" s="99"/>
      <c r="E1030" s="99" t="s">
        <v>296</v>
      </c>
      <c r="F1030" s="99" t="s">
        <v>670</v>
      </c>
      <c r="G1030" s="99" t="s">
        <v>13695</v>
      </c>
      <c r="H1030" s="99">
        <v>0</v>
      </c>
      <c r="I1030" s="99">
        <v>0</v>
      </c>
      <c r="J1030" s="99">
        <v>0</v>
      </c>
      <c r="K1030" s="101" t="str">
        <f t="shared" si="187"/>
        <v>0x0x0</v>
      </c>
      <c r="L1030" s="102">
        <f t="shared" si="188"/>
        <v>0</v>
      </c>
      <c r="M1030" s="113">
        <f t="shared" si="189"/>
        <v>0</v>
      </c>
      <c r="N1030" s="113">
        <f t="shared" si="190"/>
        <v>0</v>
      </c>
      <c r="O1030" s="99">
        <v>0</v>
      </c>
      <c r="P1030" s="113">
        <f t="shared" si="191"/>
        <v>0</v>
      </c>
      <c r="Q1030" s="112">
        <f t="shared" si="192"/>
        <v>0</v>
      </c>
      <c r="R1030" s="112" t="str">
        <f t="shared" si="193"/>
        <v>Standard-size</v>
      </c>
      <c r="S1030" s="99" t="str">
        <f t="shared" si="194"/>
        <v>Small standard-size</v>
      </c>
      <c r="T1030" s="116" t="s">
        <v>13696</v>
      </c>
      <c r="U1030" s="116">
        <f t="shared" si="195"/>
        <v>0</v>
      </c>
      <c r="V1030" s="116" t="s">
        <v>13583</v>
      </c>
      <c r="W1030" s="116" t="s">
        <v>13690</v>
      </c>
      <c r="X1030" s="99" t="s">
        <v>13583</v>
      </c>
      <c r="Y1030" s="99">
        <v>1</v>
      </c>
      <c r="Z1030" s="99">
        <v>1</v>
      </c>
      <c r="AA1030" s="99">
        <v>1</v>
      </c>
      <c r="AB1030" s="99"/>
      <c r="AC1030" s="99"/>
      <c r="AD1030" s="107">
        <v>0</v>
      </c>
      <c r="AE1030" s="113">
        <f t="shared" si="196"/>
        <v>0</v>
      </c>
      <c r="AF1030" s="116">
        <f>-IFERROR(IFERROR(VLOOKUP(ROUNDUP($Q1030,0),'FBA FEES'!$L$2:$Q$203,MATCH($S1030,'FBA FEES'!$L$2:$Q$2,0),FALSE),VLOOKUP(ROUNDUP($Q1030,0),'FBA FEES'!$C$6:$F$123,MATCH($S1030,'FBA FEES'!$C$6:$F$6,0),FALSE)),0)</f>
        <v>0</v>
      </c>
      <c r="AG1030" s="116">
        <v>-10</v>
      </c>
      <c r="AH1030" s="113">
        <f t="shared" si="197"/>
        <v>0</v>
      </c>
      <c r="AI1030" s="116">
        <f>-IFERROR(IF($Y1030=1,INDEX('[1]REMOVAL FEES'!$A$1:$C$22,MATCH(CONCATENATE("Standard Size",$P1030),'[1]REMOVAL FEES'!$A$1:$A$22,0),3),IF($Y1030=2,IF($P1030&gt;10,(($P1030-10)*1.06)+INDEX('[1]REMOVAL FEES'!$E$1:$G$22,MATCH(CONCATENATE("Large bulky, extra-large and special handling items",IF($P1030&gt;=11,11,$P1030)),'[1]REMOVAL FEES'!$E$1:$E$13,0),3),INDEX('[1]REMOVAL FEES'!$E$1:$G$22,MATCH(CONCATENATE("Large bulky, extra-large and special handling items",IF($P1030&gt;=11,11,$P1030)),'[1]REMOVAL FEES'!$E$1:$E$13,0),3))))*$AA1030,FALSE)</f>
        <v>0</v>
      </c>
      <c r="AJ1030" s="107">
        <f t="shared" si="198"/>
        <v>0</v>
      </c>
      <c r="AK1030" s="107">
        <v>0</v>
      </c>
      <c r="AL1030" s="107">
        <v>0</v>
      </c>
      <c r="AM1030" s="107">
        <f t="shared" si="199"/>
        <v>0</v>
      </c>
      <c r="AN1030" s="116">
        <f>(-IF($V1030="Yes", IF($X1030="Yes", VLOOKUP($W1030, '[1]Storage Fees'!A:M, 13, FALSE), VLOOKUP($W1030, '[1]Storage Fees'!A:M, 10, FALSE)), IF($X1030="Yes", VLOOKUP($W1030, '[1]Storage Fees'!A:M, 7, FALSE), VLOOKUP($W1030, '[1]Storage Fees'!A:M, 4, FALSE))) * U1030)*1.5</f>
        <v>0</v>
      </c>
    </row>
    <row r="1031" spans="1:40" x14ac:dyDescent="0.25">
      <c r="A1031" s="99">
        <v>959</v>
      </c>
      <c r="B1031" s="99" t="s">
        <v>55</v>
      </c>
      <c r="C1031" s="99"/>
      <c r="D1031" s="99"/>
      <c r="E1031" s="99" t="s">
        <v>296</v>
      </c>
      <c r="F1031" s="99" t="s">
        <v>671</v>
      </c>
      <c r="G1031" s="99" t="s">
        <v>13695</v>
      </c>
      <c r="H1031" s="99">
        <v>0</v>
      </c>
      <c r="I1031" s="99">
        <v>0</v>
      </c>
      <c r="J1031" s="99">
        <v>0</v>
      </c>
      <c r="K1031" s="101" t="str">
        <f t="shared" si="187"/>
        <v>0x0x0</v>
      </c>
      <c r="L1031" s="102">
        <f t="shared" si="188"/>
        <v>0</v>
      </c>
      <c r="M1031" s="113">
        <f t="shared" si="189"/>
        <v>0</v>
      </c>
      <c r="N1031" s="113">
        <f t="shared" si="190"/>
        <v>0</v>
      </c>
      <c r="O1031" s="99">
        <v>0</v>
      </c>
      <c r="P1031" s="113">
        <f t="shared" si="191"/>
        <v>0</v>
      </c>
      <c r="Q1031" s="112">
        <f t="shared" si="192"/>
        <v>0</v>
      </c>
      <c r="R1031" s="112" t="str">
        <f t="shared" si="193"/>
        <v>Standard-size</v>
      </c>
      <c r="S1031" s="99" t="str">
        <f t="shared" si="194"/>
        <v>Small standard-size</v>
      </c>
      <c r="T1031" s="116" t="s">
        <v>13696</v>
      </c>
      <c r="U1031" s="116">
        <f t="shared" si="195"/>
        <v>0</v>
      </c>
      <c r="V1031" s="116" t="s">
        <v>13583</v>
      </c>
      <c r="W1031" s="116" t="s">
        <v>13690</v>
      </c>
      <c r="X1031" s="99" t="s">
        <v>13583</v>
      </c>
      <c r="Y1031" s="99">
        <v>1</v>
      </c>
      <c r="Z1031" s="99">
        <v>1</v>
      </c>
      <c r="AA1031" s="99">
        <v>1</v>
      </c>
      <c r="AB1031" s="99"/>
      <c r="AC1031" s="99"/>
      <c r="AD1031" s="107">
        <v>0</v>
      </c>
      <c r="AE1031" s="113">
        <f t="shared" si="196"/>
        <v>0</v>
      </c>
      <c r="AF1031" s="116">
        <f>-IFERROR(IFERROR(VLOOKUP(ROUNDUP($Q1031,0),'FBA FEES'!$L$2:$Q$203,MATCH($S1031,'FBA FEES'!$L$2:$Q$2,0),FALSE),VLOOKUP(ROUNDUP($Q1031,0),'FBA FEES'!$C$6:$F$123,MATCH($S1031,'FBA FEES'!$C$6:$F$6,0),FALSE)),0)</f>
        <v>0</v>
      </c>
      <c r="AG1031" s="116">
        <v>-10</v>
      </c>
      <c r="AH1031" s="113">
        <f t="shared" si="197"/>
        <v>0</v>
      </c>
      <c r="AI1031" s="116">
        <f>-IFERROR(IF($Y1031=1,INDEX('[1]REMOVAL FEES'!$A$1:$C$22,MATCH(CONCATENATE("Standard Size",$P1031),'[1]REMOVAL FEES'!$A$1:$A$22,0),3),IF($Y1031=2,IF($P1031&gt;10,(($P1031-10)*1.06)+INDEX('[1]REMOVAL FEES'!$E$1:$G$22,MATCH(CONCATENATE("Large bulky, extra-large and special handling items",IF($P1031&gt;=11,11,$P1031)),'[1]REMOVAL FEES'!$E$1:$E$13,0),3),INDEX('[1]REMOVAL FEES'!$E$1:$G$22,MATCH(CONCATENATE("Large bulky, extra-large and special handling items",IF($P1031&gt;=11,11,$P1031)),'[1]REMOVAL FEES'!$E$1:$E$13,0),3))))*$AA1031,FALSE)</f>
        <v>0</v>
      </c>
      <c r="AJ1031" s="107">
        <f t="shared" si="198"/>
        <v>0</v>
      </c>
      <c r="AK1031" s="107">
        <v>0</v>
      </c>
      <c r="AL1031" s="107">
        <v>0</v>
      </c>
      <c r="AM1031" s="107">
        <f t="shared" si="199"/>
        <v>0</v>
      </c>
      <c r="AN1031" s="116">
        <f>(-IF($V1031="Yes", IF($X1031="Yes", VLOOKUP($W1031, '[1]Storage Fees'!A:M, 13, FALSE), VLOOKUP($W1031, '[1]Storage Fees'!A:M, 10, FALSE)), IF($X1031="Yes", VLOOKUP($W1031, '[1]Storage Fees'!A:M, 7, FALSE), VLOOKUP($W1031, '[1]Storage Fees'!A:M, 4, FALSE))) * U1031)*1.5</f>
        <v>0</v>
      </c>
    </row>
    <row r="1032" spans="1:40" x14ac:dyDescent="0.25">
      <c r="A1032" s="99">
        <v>960</v>
      </c>
      <c r="B1032" s="99" t="s">
        <v>55</v>
      </c>
      <c r="C1032" s="99"/>
      <c r="D1032" s="99"/>
      <c r="E1032" s="99" t="s">
        <v>296</v>
      </c>
      <c r="F1032" s="99" t="s">
        <v>672</v>
      </c>
      <c r="G1032" s="99" t="s">
        <v>13695</v>
      </c>
      <c r="H1032" s="99">
        <v>0</v>
      </c>
      <c r="I1032" s="99">
        <v>0</v>
      </c>
      <c r="J1032" s="99">
        <v>0</v>
      </c>
      <c r="K1032" s="101" t="str">
        <f t="shared" si="187"/>
        <v>0x0x0</v>
      </c>
      <c r="L1032" s="102">
        <f t="shared" si="188"/>
        <v>0</v>
      </c>
      <c r="M1032" s="113">
        <f t="shared" si="189"/>
        <v>0</v>
      </c>
      <c r="N1032" s="113">
        <f t="shared" si="190"/>
        <v>0</v>
      </c>
      <c r="O1032" s="99">
        <v>0</v>
      </c>
      <c r="P1032" s="113">
        <f t="shared" si="191"/>
        <v>0</v>
      </c>
      <c r="Q1032" s="112">
        <f t="shared" si="192"/>
        <v>0</v>
      </c>
      <c r="R1032" s="112" t="str">
        <f t="shared" si="193"/>
        <v>Standard-size</v>
      </c>
      <c r="S1032" s="99" t="str">
        <f t="shared" si="194"/>
        <v>Small standard-size</v>
      </c>
      <c r="T1032" s="116" t="s">
        <v>13696</v>
      </c>
      <c r="U1032" s="116">
        <f t="shared" si="195"/>
        <v>0</v>
      </c>
      <c r="V1032" s="116" t="s">
        <v>13583</v>
      </c>
      <c r="W1032" s="116" t="s">
        <v>13690</v>
      </c>
      <c r="X1032" s="99" t="s">
        <v>13583</v>
      </c>
      <c r="Y1032" s="99">
        <v>1</v>
      </c>
      <c r="Z1032" s="99">
        <v>1</v>
      </c>
      <c r="AA1032" s="99">
        <v>1</v>
      </c>
      <c r="AB1032" s="99"/>
      <c r="AC1032" s="99"/>
      <c r="AD1032" s="107">
        <v>0</v>
      </c>
      <c r="AE1032" s="113">
        <f t="shared" si="196"/>
        <v>0</v>
      </c>
      <c r="AF1032" s="116">
        <f>-IFERROR(IFERROR(VLOOKUP(ROUNDUP($Q1032,0),'FBA FEES'!$L$2:$Q$203,MATCH($S1032,'FBA FEES'!$L$2:$Q$2,0),FALSE),VLOOKUP(ROUNDUP($Q1032,0),'FBA FEES'!$C$6:$F$123,MATCH($S1032,'FBA FEES'!$C$6:$F$6,0),FALSE)),0)</f>
        <v>0</v>
      </c>
      <c r="AG1032" s="116">
        <v>-10</v>
      </c>
      <c r="AH1032" s="113">
        <f t="shared" si="197"/>
        <v>0</v>
      </c>
      <c r="AI1032" s="116">
        <f>-IFERROR(IF($Y1032=1,INDEX('[1]REMOVAL FEES'!$A$1:$C$22,MATCH(CONCATENATE("Standard Size",$P1032),'[1]REMOVAL FEES'!$A$1:$A$22,0),3),IF($Y1032=2,IF($P1032&gt;10,(($P1032-10)*1.06)+INDEX('[1]REMOVAL FEES'!$E$1:$G$22,MATCH(CONCATENATE("Large bulky, extra-large and special handling items",IF($P1032&gt;=11,11,$P1032)),'[1]REMOVAL FEES'!$E$1:$E$13,0),3),INDEX('[1]REMOVAL FEES'!$E$1:$G$22,MATCH(CONCATENATE("Large bulky, extra-large and special handling items",IF($P1032&gt;=11,11,$P1032)),'[1]REMOVAL FEES'!$E$1:$E$13,0),3))))*$AA1032,FALSE)</f>
        <v>0</v>
      </c>
      <c r="AJ1032" s="107">
        <f t="shared" si="198"/>
        <v>0</v>
      </c>
      <c r="AK1032" s="107">
        <v>0</v>
      </c>
      <c r="AL1032" s="107">
        <v>0</v>
      </c>
      <c r="AM1032" s="107">
        <f t="shared" si="199"/>
        <v>0</v>
      </c>
      <c r="AN1032" s="116">
        <f>(-IF($V1032="Yes", IF($X1032="Yes", VLOOKUP($W1032, '[1]Storage Fees'!A:M, 13, FALSE), VLOOKUP($W1032, '[1]Storage Fees'!A:M, 10, FALSE)), IF($X1032="Yes", VLOOKUP($W1032, '[1]Storage Fees'!A:M, 7, FALSE), VLOOKUP($W1032, '[1]Storage Fees'!A:M, 4, FALSE))) * U1032)*1.5</f>
        <v>0</v>
      </c>
    </row>
    <row r="1033" spans="1:40" x14ac:dyDescent="0.25">
      <c r="A1033" s="99">
        <v>961</v>
      </c>
      <c r="B1033" s="99" t="s">
        <v>55</v>
      </c>
      <c r="C1033" s="99"/>
      <c r="D1033" s="99"/>
      <c r="E1033" s="99" t="s">
        <v>296</v>
      </c>
      <c r="F1033" s="99" t="s">
        <v>673</v>
      </c>
      <c r="G1033" s="99" t="s">
        <v>13695</v>
      </c>
      <c r="H1033" s="99">
        <v>0</v>
      </c>
      <c r="I1033" s="99">
        <v>0</v>
      </c>
      <c r="J1033" s="99">
        <v>0</v>
      </c>
      <c r="K1033" s="101" t="str">
        <f t="shared" ref="K1033" si="200">H1033&amp;"x"&amp;I1033&amp;"x"&amp;J1033</f>
        <v>0x0x0</v>
      </c>
      <c r="L1033" s="102">
        <f t="shared" si="188"/>
        <v>0</v>
      </c>
      <c r="M1033" s="113">
        <f t="shared" si="189"/>
        <v>0</v>
      </c>
      <c r="N1033" s="113">
        <f t="shared" ref="N1033" si="201">IF(AND(M1033&gt;0,M1033&lt;=0.25),0.25,IF(AND(M1033&gt;0.25,M1033&lt;=0.5),0.5,IF(AND(M1033&gt;0.5,M1033&lt;=0.75),0.75,ROUNDUP(M1033,0))))</f>
        <v>0</v>
      </c>
      <c r="O1033" s="99">
        <v>0</v>
      </c>
      <c r="P1033" s="113">
        <f t="shared" ref="P1033" si="202">ROUNDUP(MAX(L1033,O1033),0)</f>
        <v>0</v>
      </c>
      <c r="Q1033" s="112">
        <f t="shared" ref="Q1033" si="203">P1033*16</f>
        <v>0</v>
      </c>
      <c r="R1033" s="112" t="str">
        <f t="shared" ref="R1033" si="204">IF(RIGHT(S1033,13)="standard-size","Standard-size","Oversize")</f>
        <v>Standard-size</v>
      </c>
      <c r="S1033" s="99" t="str">
        <f t="shared" si="194"/>
        <v>Small standard-size</v>
      </c>
      <c r="T1033" s="116" t="s">
        <v>13696</v>
      </c>
      <c r="U1033" s="116">
        <f t="shared" si="195"/>
        <v>0</v>
      </c>
      <c r="V1033" s="116" t="s">
        <v>13583</v>
      </c>
      <c r="W1033" s="116" t="s">
        <v>13690</v>
      </c>
      <c r="X1033" s="99" t="s">
        <v>13583</v>
      </c>
      <c r="Y1033" s="99">
        <v>1</v>
      </c>
      <c r="Z1033" s="99">
        <v>1</v>
      </c>
      <c r="AA1033" s="99">
        <v>1</v>
      </c>
      <c r="AB1033" s="99">
        <v>1</v>
      </c>
      <c r="AC1033" s="99"/>
      <c r="AD1033" s="107">
        <v>0</v>
      </c>
      <c r="AE1033" s="113">
        <f t="shared" ref="AE1033" si="205">-AD1033*0.15</f>
        <v>0</v>
      </c>
      <c r="AF1033" s="116">
        <f>-IFERROR(IFERROR(VLOOKUP(ROUNDUP($Q1033,0),'FBA FEES'!$L$2:$Q$203,MATCH($S1033,'FBA FEES'!$L$2:$Q$2,0),FALSE),VLOOKUP(ROUNDUP($Q1033,0),'FBA FEES'!$C$6:$F$123,MATCH($S1033,'FBA FEES'!$C$6:$F$6,0),FALSE)),0)</f>
        <v>0</v>
      </c>
      <c r="AG1033" s="116">
        <v>-10</v>
      </c>
      <c r="AH1033" s="113">
        <f t="shared" si="197"/>
        <v>0</v>
      </c>
      <c r="AI1033" s="116">
        <f>-IFERROR(IF($Y1033=1,INDEX('[1]REMOVAL FEES'!$A$1:$C$22,MATCH(CONCATENATE("Standard Size",$P1033),'[1]REMOVAL FEES'!$A$1:$A$22,0),3),IF($Y1033=2,IF($P1033&gt;10,(($P1033-10)*1.06)+INDEX('[1]REMOVAL FEES'!$E$1:$G$22,MATCH(CONCATENATE("Large bulky, extra-large and special handling items",IF($P1033&gt;=11,11,$P1033)),'[1]REMOVAL FEES'!$E$1:$E$13,0),3),INDEX('[1]REMOVAL FEES'!$E$1:$G$22,MATCH(CONCATENATE("Large bulky, extra-large and special handling items",IF($P1033&gt;=11,11,$P1033)),'[1]REMOVAL FEES'!$E$1:$E$13,0),3))))*$AA1033,FALSE)</f>
        <v>0</v>
      </c>
      <c r="AJ1033" s="107">
        <f t="shared" ref="AJ1033" si="206">AH1033+AI1033</f>
        <v>0</v>
      </c>
      <c r="AK1033" s="107">
        <v>0</v>
      </c>
      <c r="AL1033" s="107">
        <v>0</v>
      </c>
      <c r="AM1033" s="107">
        <f t="shared" ref="AM1033" si="207">AK1033+AL1033</f>
        <v>0</v>
      </c>
      <c r="AN1033" s="116">
        <f>(-IF($V1033="Yes", IF($X1033="Yes", VLOOKUP($W1033, '[1]Storage Fees'!A:M, 13, FALSE), VLOOKUP($W1033, '[1]Storage Fees'!A:M, 10, FALSE)), IF($X1033="Yes", VLOOKUP($W1033, '[1]Storage Fees'!A:M, 7, FALSE), VLOOKUP($W1033, '[1]Storage Fees'!A:M, 4, FALSE))) * U1033)*1.5</f>
        <v>0</v>
      </c>
    </row>
    <row r="1034" spans="1:40" x14ac:dyDescent="0.25">
      <c r="A1034" s="99"/>
      <c r="B1034" s="99"/>
      <c r="C1034" s="99"/>
      <c r="D1034" s="99"/>
      <c r="E1034" s="99"/>
      <c r="F1034" s="99"/>
      <c r="G1034" s="99"/>
      <c r="H1034" s="99"/>
      <c r="I1034" s="99"/>
      <c r="J1034" s="99"/>
      <c r="K1034" s="101"/>
      <c r="L1034" s="102"/>
      <c r="M1034" s="113"/>
      <c r="N1034" s="113"/>
      <c r="O1034" s="99"/>
      <c r="P1034" s="113"/>
      <c r="Q1034" s="112"/>
      <c r="R1034" s="112"/>
      <c r="S1034" s="99"/>
      <c r="T1034" s="116"/>
      <c r="U1034" s="116"/>
      <c r="V1034" s="116"/>
      <c r="W1034" s="116"/>
      <c r="X1034" s="99"/>
      <c r="Y1034" s="99"/>
      <c r="Z1034" s="99"/>
      <c r="AA1034" s="99"/>
      <c r="AB1034" s="99"/>
      <c r="AC1034" s="99"/>
      <c r="AD1034" s="107"/>
      <c r="AE1034" s="113"/>
      <c r="AF1034" s="116"/>
      <c r="AG1034" s="116"/>
      <c r="AH1034" s="113"/>
      <c r="AI1034" s="116"/>
      <c r="AJ1034" s="107"/>
      <c r="AK1034" s="107"/>
      <c r="AL1034" s="107"/>
      <c r="AM1034" s="107"/>
      <c r="AN1034" s="116"/>
    </row>
    <row r="1035" spans="1:40" x14ac:dyDescent="0.25">
      <c r="A1035" s="99"/>
      <c r="B1035" s="99"/>
      <c r="C1035" s="99"/>
      <c r="D1035" s="99"/>
      <c r="E1035" s="99"/>
      <c r="F1035" s="99" t="s">
        <v>11064</v>
      </c>
      <c r="G1035" s="99"/>
      <c r="H1035" s="99">
        <v>33.75</v>
      </c>
      <c r="I1035" s="99">
        <v>10.5</v>
      </c>
      <c r="J1035" s="99">
        <v>5.13</v>
      </c>
      <c r="K1035" s="101" t="str">
        <f t="shared" ref="K1035:K1047" si="208">H1035&amp;"x"&amp;I1035&amp;"x"&amp;J1035</f>
        <v>33.75x10.5x5.13</v>
      </c>
      <c r="L1035" s="102">
        <f t="shared" ref="L1035:L1047" si="209">(H1035*I1035*J1035)/139</f>
        <v>13.078732014388489</v>
      </c>
      <c r="M1035" s="113">
        <f t="shared" ref="M1035:M1047" si="210">(H1035*I1035*J1035)/139</f>
        <v>13.078732014388489</v>
      </c>
      <c r="N1035" s="113">
        <f t="shared" ref="N1035:N1047" si="211">IF(AND(M1035&gt;0,M1035&lt;=0.25),0.25,IF(AND(M1035&gt;0.25,M1035&lt;=0.5),0.5,IF(AND(M1035&gt;0.5,M1035&lt;=0.75),0.75,ROUNDUP(M1035,0))))</f>
        <v>14</v>
      </c>
      <c r="O1035" s="99">
        <v>5.5490000000000004</v>
      </c>
      <c r="P1035" s="113">
        <f t="shared" ref="P1035:P1047" si="212">ROUNDUP(MAX(L1035,O1035),0)</f>
        <v>14</v>
      </c>
      <c r="Q1035" s="112">
        <f t="shared" ref="Q1035:Q1047" si="213">P1035*16</f>
        <v>224</v>
      </c>
      <c r="R1035" s="112" t="str">
        <f t="shared" ref="R1035:R1047" si="214">IF(RIGHT(S1035,13)="standard-size","Standard-size","Oversize")</f>
        <v>Oversize</v>
      </c>
      <c r="S1035" s="99" t="str">
        <f t="shared" ref="S1035:S1047" si="215">IF(AND($P1035&lt;=$J$50,$H1035&lt;=$G$50,$I1035&lt;=$H$50,$J1035&lt;=$I$50),$A$50,IF(AND($P1035&lt;=$J$51,$H1035&lt;=$G$51,$I1035&lt;=$H$51,$J1035&lt;=$I$51),$A$51,IF(AND($H1035&lt;=$G$52,$I1035&lt;=$H$52,$J1035&lt;=$I$52,$P1035&lt;=$J$52),$A$52,IF(AND($P1035&lt;=$J$53,OR(H$8&gt;$G$53,$I1035&gt;$H$53,$J1035&gt;$I$53)),$A$53,IF(AND($P1035&gt;$J$53,$P1035&lt;=$J$54),$A$54,IF(AND($P1035&gt;$J$54,$P1035&lt;=$J$55),$A$55,$A$56))))))</f>
        <v>Large bulky</v>
      </c>
      <c r="T1035" s="116"/>
      <c r="U1035" s="116">
        <f t="shared" ref="U1035:U1047" si="216">(H1035*I1035*J1035)/1728</f>
        <v>1.05205078125</v>
      </c>
      <c r="V1035" s="116"/>
      <c r="W1035" s="116"/>
      <c r="X1035" s="99"/>
      <c r="Y1035" s="99"/>
      <c r="Z1035" s="99"/>
      <c r="AA1035" s="99"/>
      <c r="AB1035" s="99"/>
      <c r="AC1035" s="99"/>
      <c r="AD1035" s="107"/>
      <c r="AE1035" s="113"/>
      <c r="AF1035" s="116">
        <f>-IFERROR(IFERROR(VLOOKUP(ROUNDUP($Q1035,0),'FBA FEES'!$L$2:$Q$203,MATCH($S1035,'FBA FEES'!$L$2:$Q$2,0),FALSE),VLOOKUP(ROUNDUP($Q1035,0),'FBA FEES'!$C$6:$F$123,MATCH($S1035,'FBA FEES'!$C$6:$F$6,0),FALSE)),0)</f>
        <v>-14.55</v>
      </c>
      <c r="AG1035" s="116"/>
      <c r="AH1035" s="113"/>
      <c r="AI1035" s="116"/>
      <c r="AJ1035" s="107"/>
      <c r="AK1035" s="107"/>
      <c r="AL1035" s="107"/>
      <c r="AM1035" s="107"/>
      <c r="AN1035" s="116"/>
    </row>
    <row r="1036" spans="1:40" x14ac:dyDescent="0.25">
      <c r="A1036" s="99"/>
      <c r="B1036" s="99"/>
      <c r="C1036" s="99"/>
      <c r="D1036" s="99"/>
      <c r="E1036" s="99"/>
      <c r="F1036" s="99" t="s">
        <v>10707</v>
      </c>
      <c r="G1036" s="99"/>
      <c r="H1036" s="99">
        <v>18</v>
      </c>
      <c r="I1036" s="99">
        <v>18</v>
      </c>
      <c r="J1036" s="99">
        <v>18</v>
      </c>
      <c r="K1036" s="101" t="str">
        <f t="shared" si="208"/>
        <v>18x18x18</v>
      </c>
      <c r="L1036" s="102">
        <f t="shared" si="209"/>
        <v>41.956834532374103</v>
      </c>
      <c r="M1036" s="113">
        <f t="shared" si="210"/>
        <v>41.956834532374103</v>
      </c>
      <c r="N1036" s="113">
        <f t="shared" si="211"/>
        <v>42</v>
      </c>
      <c r="O1036" s="99">
        <v>44.598999999999997</v>
      </c>
      <c r="P1036" s="113">
        <f t="shared" si="212"/>
        <v>45</v>
      </c>
      <c r="Q1036" s="112">
        <f t="shared" si="213"/>
        <v>720</v>
      </c>
      <c r="R1036" s="112" t="str">
        <f t="shared" si="214"/>
        <v>Oversize</v>
      </c>
      <c r="S1036" s="99" t="str">
        <f t="shared" si="215"/>
        <v>Large bulky</v>
      </c>
      <c r="T1036" s="116"/>
      <c r="U1036" s="116">
        <f t="shared" si="216"/>
        <v>3.375</v>
      </c>
      <c r="V1036" s="116"/>
      <c r="W1036" s="116"/>
      <c r="X1036" s="99"/>
      <c r="Y1036" s="99"/>
      <c r="Z1036" s="99"/>
      <c r="AA1036" s="99"/>
      <c r="AB1036" s="99"/>
      <c r="AC1036" s="99"/>
      <c r="AD1036" s="107"/>
      <c r="AE1036" s="113"/>
      <c r="AF1036" s="116">
        <f>-IFERROR(IFERROR(VLOOKUP(ROUNDUP($Q1036,0),'FBA FEES'!$L$2:$Q$203,MATCH($S1036,'FBA FEES'!$L$2:$Q$2,0),FALSE),VLOOKUP(ROUNDUP($Q1036,0),'FBA FEES'!$C$6:$F$123,MATCH($S1036,'FBA FEES'!$C$6:$F$6,0),FALSE)),0)</f>
        <v>-26.33</v>
      </c>
      <c r="AG1036" s="116"/>
      <c r="AH1036" s="113"/>
      <c r="AI1036" s="116"/>
      <c r="AJ1036" s="107"/>
      <c r="AK1036" s="107"/>
      <c r="AL1036" s="107"/>
      <c r="AM1036" s="107"/>
      <c r="AN1036" s="116"/>
    </row>
    <row r="1037" spans="1:40" x14ac:dyDescent="0.25">
      <c r="A1037" s="99"/>
      <c r="B1037" s="99"/>
      <c r="C1037" s="99"/>
      <c r="D1037" s="99"/>
      <c r="E1037" s="99"/>
      <c r="F1037" s="99" t="s">
        <v>10709</v>
      </c>
      <c r="G1037" s="99"/>
      <c r="H1037" s="99">
        <v>18</v>
      </c>
      <c r="I1037" s="99">
        <v>16.5</v>
      </c>
      <c r="J1037" s="99">
        <v>13.298999999999999</v>
      </c>
      <c r="K1037" s="101" t="str">
        <f t="shared" si="208"/>
        <v>18x16.5x13.299</v>
      </c>
      <c r="L1037" s="102">
        <f t="shared" si="209"/>
        <v>28.415848920863308</v>
      </c>
      <c r="M1037" s="113">
        <f t="shared" si="210"/>
        <v>28.415848920863308</v>
      </c>
      <c r="N1037" s="113">
        <f t="shared" si="211"/>
        <v>29</v>
      </c>
      <c r="O1037" s="99">
        <v>32.200000000000003</v>
      </c>
      <c r="P1037" s="113">
        <f t="shared" si="212"/>
        <v>33</v>
      </c>
      <c r="Q1037" s="112">
        <f t="shared" si="213"/>
        <v>528</v>
      </c>
      <c r="R1037" s="112" t="str">
        <f t="shared" si="214"/>
        <v>Oversize</v>
      </c>
      <c r="S1037" s="99" t="str">
        <f t="shared" si="215"/>
        <v>Large bulky</v>
      </c>
      <c r="T1037" s="116"/>
      <c r="U1037" s="116">
        <f t="shared" si="216"/>
        <v>2.2857656249999998</v>
      </c>
      <c r="V1037" s="116"/>
      <c r="W1037" s="116"/>
      <c r="X1037" s="99"/>
      <c r="Y1037" s="99"/>
      <c r="Z1037" s="99"/>
      <c r="AA1037" s="99"/>
      <c r="AB1037" s="99"/>
      <c r="AC1037" s="99"/>
      <c r="AD1037" s="107"/>
      <c r="AE1037" s="113"/>
      <c r="AF1037" s="116">
        <f>-IFERROR(IFERROR(VLOOKUP(ROUNDUP($Q1037,0),'FBA FEES'!$L$2:$Q$203,MATCH($S1037,'FBA FEES'!$L$2:$Q$2,0),FALSE),VLOOKUP(ROUNDUP($Q1037,0),'FBA FEES'!$C$6:$F$123,MATCH($S1037,'FBA FEES'!$C$6:$F$6,0),FALSE)),0)</f>
        <v>-21.77</v>
      </c>
      <c r="AG1037" s="116"/>
      <c r="AH1037" s="113"/>
      <c r="AI1037" s="116"/>
      <c r="AJ1037" s="107"/>
      <c r="AK1037" s="107"/>
      <c r="AL1037" s="107"/>
      <c r="AM1037" s="107"/>
      <c r="AN1037" s="116"/>
    </row>
    <row r="1038" spans="1:40" x14ac:dyDescent="0.25">
      <c r="A1038" s="99"/>
      <c r="B1038" s="99"/>
      <c r="C1038" s="99"/>
      <c r="D1038" s="99"/>
      <c r="E1038" s="99"/>
      <c r="F1038" s="99" t="s">
        <v>10706</v>
      </c>
      <c r="G1038" s="99"/>
      <c r="H1038" s="99">
        <v>18</v>
      </c>
      <c r="I1038" s="99">
        <v>18</v>
      </c>
      <c r="J1038" s="99">
        <v>16</v>
      </c>
      <c r="K1038" s="101" t="str">
        <f t="shared" si="208"/>
        <v>18x18x16</v>
      </c>
      <c r="L1038" s="102">
        <f t="shared" si="209"/>
        <v>37.294964028776981</v>
      </c>
      <c r="M1038" s="113">
        <f t="shared" si="210"/>
        <v>37.294964028776981</v>
      </c>
      <c r="N1038" s="113">
        <f t="shared" si="211"/>
        <v>38</v>
      </c>
      <c r="O1038" s="99">
        <v>32.448999999999998</v>
      </c>
      <c r="P1038" s="113">
        <f t="shared" si="212"/>
        <v>38</v>
      </c>
      <c r="Q1038" s="112">
        <f t="shared" si="213"/>
        <v>608</v>
      </c>
      <c r="R1038" s="112" t="str">
        <f t="shared" si="214"/>
        <v>Oversize</v>
      </c>
      <c r="S1038" s="99" t="str">
        <f t="shared" si="215"/>
        <v>Large bulky</v>
      </c>
      <c r="T1038" s="116"/>
      <c r="U1038" s="116">
        <f t="shared" si="216"/>
        <v>3</v>
      </c>
      <c r="V1038" s="116"/>
      <c r="W1038" s="116"/>
      <c r="X1038" s="99"/>
      <c r="Y1038" s="99"/>
      <c r="Z1038" s="99"/>
      <c r="AA1038" s="99"/>
      <c r="AB1038" s="99"/>
      <c r="AC1038" s="99"/>
      <c r="AD1038" s="107"/>
      <c r="AE1038" s="113"/>
      <c r="AF1038" s="116">
        <f>-IFERROR(IFERROR(VLOOKUP(ROUNDUP($Q1038,0),'FBA FEES'!$L$2:$Q$203,MATCH($S1038,'FBA FEES'!$L$2:$Q$2,0),FALSE),VLOOKUP(ROUNDUP($Q1038,0),'FBA FEES'!$C$6:$F$123,MATCH($S1038,'FBA FEES'!$C$6:$F$6,0),FALSE)),0)</f>
        <v>-23.67</v>
      </c>
      <c r="AG1038" s="116"/>
      <c r="AH1038" s="113"/>
      <c r="AI1038" s="116"/>
      <c r="AJ1038" s="107"/>
      <c r="AK1038" s="107"/>
      <c r="AL1038" s="107"/>
      <c r="AM1038" s="107"/>
      <c r="AN1038" s="116"/>
    </row>
    <row r="1039" spans="1:40" x14ac:dyDescent="0.25">
      <c r="A1039" s="99"/>
      <c r="B1039" s="99"/>
      <c r="C1039" s="99"/>
      <c r="D1039" s="99"/>
      <c r="E1039" s="99"/>
      <c r="F1039" s="124" t="s">
        <v>11648</v>
      </c>
      <c r="G1039" s="99"/>
      <c r="H1039" s="99">
        <v>18</v>
      </c>
      <c r="I1039" s="99">
        <v>16</v>
      </c>
      <c r="J1039" s="99">
        <v>13</v>
      </c>
      <c r="K1039" s="101" t="str">
        <f t="shared" si="208"/>
        <v>18x16x13</v>
      </c>
      <c r="L1039" s="102">
        <f t="shared" si="209"/>
        <v>26.935251798561151</v>
      </c>
      <c r="M1039" s="113">
        <f t="shared" si="210"/>
        <v>26.935251798561151</v>
      </c>
      <c r="N1039" s="113">
        <f t="shared" si="211"/>
        <v>27</v>
      </c>
      <c r="O1039" s="99">
        <v>31.9</v>
      </c>
      <c r="P1039" s="113">
        <f t="shared" si="212"/>
        <v>32</v>
      </c>
      <c r="Q1039" s="112">
        <f t="shared" si="213"/>
        <v>512</v>
      </c>
      <c r="R1039" s="112" t="str">
        <f t="shared" si="214"/>
        <v>Oversize</v>
      </c>
      <c r="S1039" s="99" t="str">
        <f t="shared" si="215"/>
        <v>Large bulky</v>
      </c>
      <c r="T1039" s="116"/>
      <c r="U1039" s="116">
        <f t="shared" si="216"/>
        <v>2.1666666666666665</v>
      </c>
      <c r="V1039" s="116"/>
      <c r="W1039" s="116"/>
      <c r="X1039" s="99"/>
      <c r="Y1039" s="99"/>
      <c r="Z1039" s="99"/>
      <c r="AA1039" s="99"/>
      <c r="AB1039" s="99"/>
      <c r="AC1039" s="99"/>
      <c r="AD1039" s="107"/>
      <c r="AE1039" s="113"/>
      <c r="AF1039" s="116">
        <f>-IFERROR(IFERROR(VLOOKUP(ROUNDUP($Q1039,0),'FBA FEES'!$L$2:$Q$203,MATCH($S1039,'FBA FEES'!$L$2:$Q$2,0),FALSE),VLOOKUP(ROUNDUP($Q1039,0),'FBA FEES'!$C$6:$F$123,MATCH($S1039,'FBA FEES'!$C$6:$F$6,0),FALSE)),0)</f>
        <v>-21.39</v>
      </c>
      <c r="AG1039" s="116"/>
      <c r="AH1039" s="113"/>
      <c r="AI1039" s="116"/>
      <c r="AJ1039" s="107"/>
      <c r="AK1039" s="107"/>
      <c r="AL1039" s="107"/>
      <c r="AM1039" s="107"/>
      <c r="AN1039" s="116"/>
    </row>
    <row r="1040" spans="1:40" x14ac:dyDescent="0.25">
      <c r="A1040" s="99"/>
      <c r="B1040" s="99"/>
      <c r="C1040" s="99"/>
      <c r="D1040" s="99"/>
      <c r="E1040" s="99"/>
      <c r="F1040" s="99" t="s">
        <v>10992</v>
      </c>
      <c r="G1040" s="99"/>
      <c r="H1040" s="99">
        <v>48.5</v>
      </c>
      <c r="I1040" s="99">
        <v>4.0999999999999996</v>
      </c>
      <c r="J1040" s="99">
        <v>2.2999999999999998</v>
      </c>
      <c r="K1040" s="101" t="str">
        <f t="shared" si="208"/>
        <v>48.5x4.1x2.3</v>
      </c>
      <c r="L1040" s="102">
        <f t="shared" si="209"/>
        <v>3.2903237410071942</v>
      </c>
      <c r="M1040" s="113">
        <f t="shared" si="210"/>
        <v>3.2903237410071942</v>
      </c>
      <c r="N1040" s="113">
        <f t="shared" si="211"/>
        <v>4</v>
      </c>
      <c r="O1040" s="99">
        <v>9.4990000000000006</v>
      </c>
      <c r="P1040" s="113">
        <f t="shared" si="212"/>
        <v>10</v>
      </c>
      <c r="Q1040" s="112">
        <f t="shared" si="213"/>
        <v>160</v>
      </c>
      <c r="R1040" s="112" t="str">
        <f t="shared" si="214"/>
        <v>Oversize</v>
      </c>
      <c r="S1040" s="99" t="str">
        <f t="shared" si="215"/>
        <v>Large bulky</v>
      </c>
      <c r="T1040" s="116"/>
      <c r="U1040" s="116">
        <f t="shared" si="216"/>
        <v>0.26467303240740736</v>
      </c>
      <c r="V1040" s="116"/>
      <c r="W1040" s="116"/>
      <c r="X1040" s="99"/>
      <c r="Y1040" s="99"/>
      <c r="Z1040" s="99"/>
      <c r="AA1040" s="99"/>
      <c r="AB1040" s="99"/>
      <c r="AC1040" s="99"/>
      <c r="AD1040" s="107"/>
      <c r="AE1040" s="113"/>
      <c r="AF1040" s="116">
        <f>-IFERROR(IFERROR(VLOOKUP(ROUNDUP($Q1040,0),'FBA FEES'!$L$2:$Q$203,MATCH($S1040,'FBA FEES'!$L$2:$Q$2,0),FALSE),VLOOKUP(ROUNDUP($Q1040,0),'FBA FEES'!$C$6:$F$123,MATCH($S1040,'FBA FEES'!$C$6:$F$6,0),FALSE)),0)</f>
        <v>-13.03</v>
      </c>
      <c r="AG1040" s="116"/>
      <c r="AH1040" s="113"/>
      <c r="AI1040" s="116"/>
      <c r="AJ1040" s="107"/>
      <c r="AK1040" s="107"/>
      <c r="AL1040" s="107"/>
      <c r="AM1040" s="107"/>
      <c r="AN1040" s="116"/>
    </row>
    <row r="1041" spans="1:40" x14ac:dyDescent="0.25">
      <c r="A1041" s="99"/>
      <c r="B1041" s="99"/>
      <c r="C1041" s="99"/>
      <c r="D1041" s="99"/>
      <c r="E1041" s="99"/>
      <c r="F1041" s="99" t="s">
        <v>11652</v>
      </c>
      <c r="G1041" s="99"/>
      <c r="H1041" s="99"/>
      <c r="I1041" s="99"/>
      <c r="J1041" s="99"/>
      <c r="K1041" s="101" t="str">
        <f t="shared" si="208"/>
        <v>xx</v>
      </c>
      <c r="L1041" s="102">
        <f t="shared" si="209"/>
        <v>0</v>
      </c>
      <c r="M1041" s="113">
        <f t="shared" si="210"/>
        <v>0</v>
      </c>
      <c r="N1041" s="113">
        <f t="shared" si="211"/>
        <v>0</v>
      </c>
      <c r="O1041" s="99"/>
      <c r="P1041" s="113">
        <f t="shared" si="212"/>
        <v>0</v>
      </c>
      <c r="Q1041" s="112">
        <f t="shared" si="213"/>
        <v>0</v>
      </c>
      <c r="R1041" s="112" t="str">
        <f t="shared" si="214"/>
        <v>Standard-size</v>
      </c>
      <c r="S1041" s="99" t="str">
        <f t="shared" si="215"/>
        <v>Small standard-size</v>
      </c>
      <c r="T1041" s="116"/>
      <c r="U1041" s="116">
        <f t="shared" si="216"/>
        <v>0</v>
      </c>
      <c r="V1041" s="116"/>
      <c r="W1041" s="116"/>
      <c r="X1041" s="99"/>
      <c r="Y1041" s="99"/>
      <c r="Z1041" s="99"/>
      <c r="AA1041" s="99"/>
      <c r="AB1041" s="99"/>
      <c r="AC1041" s="99"/>
      <c r="AD1041" s="107"/>
      <c r="AE1041" s="113"/>
      <c r="AF1041" s="116">
        <f>-IFERROR(IFERROR(VLOOKUP(ROUNDUP($Q1041,0),'FBA FEES'!$L$2:$Q$203,MATCH($S1041,'FBA FEES'!$L$2:$Q$2,0),FALSE),VLOOKUP(ROUNDUP($Q1041,0),'FBA FEES'!$C$6:$F$123,MATCH($S1041,'FBA FEES'!$C$6:$F$6,0),FALSE)),0)</f>
        <v>0</v>
      </c>
      <c r="AG1041" s="116"/>
      <c r="AH1041" s="113"/>
      <c r="AI1041" s="116"/>
      <c r="AJ1041" s="107"/>
      <c r="AK1041" s="107"/>
      <c r="AL1041" s="107"/>
      <c r="AM1041" s="107"/>
      <c r="AN1041" s="116"/>
    </row>
    <row r="1042" spans="1:40" x14ac:dyDescent="0.25">
      <c r="A1042" s="99"/>
      <c r="B1042" s="99"/>
      <c r="C1042" s="99"/>
      <c r="D1042" s="99"/>
      <c r="E1042" s="99"/>
      <c r="F1042" s="99" t="s">
        <v>11690</v>
      </c>
      <c r="G1042" s="99"/>
      <c r="H1042" s="99">
        <v>28.75</v>
      </c>
      <c r="I1042" s="99">
        <v>13.25</v>
      </c>
      <c r="J1042" s="99">
        <v>3.35</v>
      </c>
      <c r="K1042" s="101" t="str">
        <f t="shared" si="208"/>
        <v>28.75x13.25x3.35</v>
      </c>
      <c r="L1042" s="102">
        <f t="shared" si="209"/>
        <v>9.1808678057553958</v>
      </c>
      <c r="M1042" s="113">
        <f t="shared" si="210"/>
        <v>9.1808678057553958</v>
      </c>
      <c r="N1042" s="113">
        <f t="shared" si="211"/>
        <v>10</v>
      </c>
      <c r="O1042" s="99">
        <v>7.2</v>
      </c>
      <c r="P1042" s="113">
        <f t="shared" si="212"/>
        <v>10</v>
      </c>
      <c r="Q1042" s="112">
        <f t="shared" si="213"/>
        <v>160</v>
      </c>
      <c r="R1042" s="112" t="str">
        <f t="shared" si="214"/>
        <v>Oversize</v>
      </c>
      <c r="S1042" s="99" t="str">
        <f t="shared" si="215"/>
        <v>Large bulky</v>
      </c>
      <c r="T1042" s="116"/>
      <c r="U1042" s="116">
        <f t="shared" si="216"/>
        <v>0.7385073061342593</v>
      </c>
      <c r="V1042" s="116"/>
      <c r="W1042" s="116"/>
      <c r="X1042" s="99"/>
      <c r="Y1042" s="99"/>
      <c r="Z1042" s="99"/>
      <c r="AA1042" s="99"/>
      <c r="AB1042" s="99"/>
      <c r="AC1042" s="99"/>
      <c r="AD1042" s="107"/>
      <c r="AE1042" s="113"/>
      <c r="AF1042" s="116">
        <f>-IFERROR(IFERROR(VLOOKUP(ROUNDUP($Q1042,0),'FBA FEES'!$L$2:$Q$203,MATCH($S1042,'FBA FEES'!$L$2:$Q$2,0),FALSE),VLOOKUP(ROUNDUP($Q1042,0),'FBA FEES'!$C$6:$F$123,MATCH($S1042,'FBA FEES'!$C$6:$F$6,0),FALSE)),0)</f>
        <v>-13.03</v>
      </c>
      <c r="AG1042" s="116"/>
      <c r="AH1042" s="113"/>
      <c r="AI1042" s="116"/>
      <c r="AJ1042" s="107"/>
      <c r="AK1042" s="107"/>
      <c r="AL1042" s="107"/>
      <c r="AM1042" s="107"/>
      <c r="AN1042" s="116"/>
    </row>
    <row r="1043" spans="1:40" x14ac:dyDescent="0.25">
      <c r="A1043" s="99"/>
      <c r="B1043" s="99"/>
      <c r="C1043" s="99"/>
      <c r="D1043" s="99"/>
      <c r="E1043" s="99"/>
      <c r="F1043" s="99" t="s">
        <v>10399</v>
      </c>
      <c r="G1043" s="99"/>
      <c r="H1043" s="99">
        <v>14</v>
      </c>
      <c r="I1043" s="99">
        <v>8</v>
      </c>
      <c r="J1043" s="99">
        <v>3</v>
      </c>
      <c r="K1043" s="101" t="str">
        <f t="shared" si="208"/>
        <v>14x8x3</v>
      </c>
      <c r="L1043" s="102">
        <f t="shared" si="209"/>
        <v>2.4172661870503598</v>
      </c>
      <c r="M1043" s="113">
        <f t="shared" si="210"/>
        <v>2.4172661870503598</v>
      </c>
      <c r="N1043" s="113">
        <f t="shared" si="211"/>
        <v>3</v>
      </c>
      <c r="O1043" s="99">
        <v>6</v>
      </c>
      <c r="P1043" s="113">
        <f t="shared" si="212"/>
        <v>6</v>
      </c>
      <c r="Q1043" s="112">
        <f t="shared" si="213"/>
        <v>96</v>
      </c>
      <c r="R1043" s="112" t="str">
        <f t="shared" si="214"/>
        <v>Standard-size</v>
      </c>
      <c r="S1043" s="99" t="str">
        <f t="shared" si="215"/>
        <v>Large standard-size</v>
      </c>
      <c r="T1043" s="116"/>
      <c r="U1043" s="116">
        <f t="shared" si="216"/>
        <v>0.19444444444444445</v>
      </c>
      <c r="V1043" s="116"/>
      <c r="W1043" s="116"/>
      <c r="X1043" s="99"/>
      <c r="Y1043" s="99"/>
      <c r="Z1043" s="99"/>
      <c r="AA1043" s="99"/>
      <c r="AB1043" s="99"/>
      <c r="AC1043" s="99"/>
      <c r="AD1043" s="107"/>
      <c r="AE1043" s="113"/>
      <c r="AF1043" s="116">
        <f>-IFERROR(IFERROR(VLOOKUP(ROUNDUP($Q1043,0),'FBA FEES'!$L$2:$Q$203,MATCH($S1043,'FBA FEES'!$L$2:$Q$2,0),FALSE),VLOOKUP(ROUNDUP($Q1043,0),'FBA FEES'!$C$6:$F$123,MATCH($S1043,'FBA FEES'!$C$6:$F$6,0),FALSE)),0)</f>
        <v>-7.88</v>
      </c>
      <c r="AG1043" s="116"/>
      <c r="AH1043" s="113"/>
      <c r="AI1043" s="116"/>
      <c r="AJ1043" s="107"/>
      <c r="AK1043" s="107"/>
      <c r="AL1043" s="107"/>
      <c r="AM1043" s="107"/>
      <c r="AN1043" s="116"/>
    </row>
    <row r="1044" spans="1:40" x14ac:dyDescent="0.25">
      <c r="A1044" s="99"/>
      <c r="B1044" s="99"/>
      <c r="C1044" s="99"/>
      <c r="D1044" s="99"/>
      <c r="E1044" s="99"/>
      <c r="F1044" s="99" t="s">
        <v>10369</v>
      </c>
      <c r="G1044" s="99"/>
      <c r="H1044" s="99">
        <v>13.27</v>
      </c>
      <c r="I1044" s="99">
        <v>7.83</v>
      </c>
      <c r="J1044" s="99">
        <v>4.37</v>
      </c>
      <c r="K1044" s="101" t="str">
        <f t="shared" si="208"/>
        <v>13.27x7.83x4.37</v>
      </c>
      <c r="L1044" s="102">
        <f t="shared" si="209"/>
        <v>3.2666253021582734</v>
      </c>
      <c r="M1044" s="113">
        <f t="shared" si="210"/>
        <v>3.2666253021582734</v>
      </c>
      <c r="N1044" s="113">
        <f t="shared" si="211"/>
        <v>4</v>
      </c>
      <c r="O1044" s="99">
        <v>8.11</v>
      </c>
      <c r="P1044" s="113">
        <f t="shared" si="212"/>
        <v>9</v>
      </c>
      <c r="Q1044" s="112">
        <f t="shared" si="213"/>
        <v>144</v>
      </c>
      <c r="R1044" s="112" t="str">
        <f t="shared" si="214"/>
        <v>Standard-size</v>
      </c>
      <c r="S1044" s="99" t="str">
        <f t="shared" si="215"/>
        <v>Large standard-size</v>
      </c>
      <c r="T1044" s="116"/>
      <c r="U1044" s="116">
        <f t="shared" si="216"/>
        <v>0.26276673437500003</v>
      </c>
      <c r="V1044" s="116"/>
      <c r="W1044" s="116"/>
      <c r="X1044" s="99"/>
      <c r="Y1044" s="99"/>
      <c r="Z1044" s="99"/>
      <c r="AA1044" s="99"/>
      <c r="AB1044" s="99"/>
      <c r="AC1044" s="99"/>
      <c r="AD1044" s="107"/>
      <c r="AE1044" s="113"/>
      <c r="AF1044" s="116">
        <f>-IFERROR(IFERROR(VLOOKUP(ROUNDUP($Q1044,0),'FBA FEES'!$L$2:$Q$203,MATCH($S1044,'FBA FEES'!$L$2:$Q$2,0),FALSE),VLOOKUP(ROUNDUP($Q1044,0),'FBA FEES'!$C$6:$F$123,MATCH($S1044,'FBA FEES'!$C$6:$F$6,0),FALSE)),0)</f>
        <v>-8.84</v>
      </c>
      <c r="AG1044" s="116"/>
      <c r="AH1044" s="113"/>
      <c r="AI1044" s="116"/>
      <c r="AJ1044" s="107"/>
      <c r="AK1044" s="107"/>
      <c r="AL1044" s="107"/>
      <c r="AM1044" s="107"/>
      <c r="AN1044" s="116"/>
    </row>
    <row r="1045" spans="1:40" x14ac:dyDescent="0.25">
      <c r="A1045" s="99"/>
      <c r="B1045" s="99"/>
      <c r="C1045" s="99"/>
      <c r="D1045" s="99"/>
      <c r="E1045" s="99"/>
      <c r="F1045" s="99" t="s">
        <v>10392</v>
      </c>
      <c r="G1045" s="99"/>
      <c r="H1045" s="99">
        <v>14</v>
      </c>
      <c r="I1045" s="99">
        <v>8</v>
      </c>
      <c r="J1045" s="99">
        <v>3</v>
      </c>
      <c r="K1045" s="101" t="str">
        <f t="shared" si="208"/>
        <v>14x8x3</v>
      </c>
      <c r="L1045" s="102">
        <f t="shared" si="209"/>
        <v>2.4172661870503598</v>
      </c>
      <c r="M1045" s="113">
        <f t="shared" si="210"/>
        <v>2.4172661870503598</v>
      </c>
      <c r="N1045" s="113">
        <f t="shared" si="211"/>
        <v>3</v>
      </c>
      <c r="O1045" s="99">
        <v>4</v>
      </c>
      <c r="P1045" s="113">
        <f t="shared" si="212"/>
        <v>4</v>
      </c>
      <c r="Q1045" s="112">
        <f t="shared" si="213"/>
        <v>64</v>
      </c>
      <c r="R1045" s="112" t="str">
        <f t="shared" si="214"/>
        <v>Standard-size</v>
      </c>
      <c r="S1045" s="99" t="str">
        <f t="shared" si="215"/>
        <v>Large standard-size</v>
      </c>
      <c r="T1045" s="116"/>
      <c r="U1045" s="116">
        <f t="shared" si="216"/>
        <v>0.19444444444444445</v>
      </c>
      <c r="V1045" s="116"/>
      <c r="W1045" s="116"/>
      <c r="X1045" s="99"/>
      <c r="Y1045" s="99"/>
      <c r="Z1045" s="99"/>
      <c r="AA1045" s="99"/>
      <c r="AB1045" s="99"/>
      <c r="AC1045" s="99"/>
      <c r="AD1045" s="107"/>
      <c r="AE1045" s="113"/>
      <c r="AF1045" s="116">
        <f>-IFERROR(IFERROR(VLOOKUP(ROUNDUP($Q1045,0),'FBA FEES'!$L$2:$Q$203,MATCH($S1045,'FBA FEES'!$L$2:$Q$2,0),FALSE),VLOOKUP(ROUNDUP($Q1045,0),'FBA FEES'!$C$6:$F$123,MATCH($S1045,'FBA FEES'!$C$6:$F$6,0),FALSE)),0)</f>
        <v>-7.24</v>
      </c>
      <c r="AG1045" s="116"/>
      <c r="AH1045" s="113"/>
      <c r="AI1045" s="116"/>
      <c r="AJ1045" s="107"/>
      <c r="AK1045" s="107"/>
      <c r="AL1045" s="107"/>
      <c r="AM1045" s="107"/>
      <c r="AN1045" s="116"/>
    </row>
    <row r="1046" spans="1:40" x14ac:dyDescent="0.25">
      <c r="A1046" s="99"/>
      <c r="B1046" s="99"/>
      <c r="C1046" s="99"/>
      <c r="D1046" s="99"/>
      <c r="E1046" s="99"/>
      <c r="F1046" s="99" t="s">
        <v>11256</v>
      </c>
      <c r="G1046" s="99"/>
      <c r="H1046" s="99"/>
      <c r="I1046" s="99"/>
      <c r="J1046" s="99"/>
      <c r="K1046" s="101" t="str">
        <f t="shared" si="208"/>
        <v>xx</v>
      </c>
      <c r="L1046" s="102">
        <f t="shared" si="209"/>
        <v>0</v>
      </c>
      <c r="M1046" s="113">
        <f t="shared" si="210"/>
        <v>0</v>
      </c>
      <c r="N1046" s="113">
        <f t="shared" si="211"/>
        <v>0</v>
      </c>
      <c r="O1046" s="99"/>
      <c r="P1046" s="113">
        <f t="shared" si="212"/>
        <v>0</v>
      </c>
      <c r="Q1046" s="112">
        <f t="shared" si="213"/>
        <v>0</v>
      </c>
      <c r="R1046" s="112" t="str">
        <f t="shared" si="214"/>
        <v>Standard-size</v>
      </c>
      <c r="S1046" s="99" t="str">
        <f t="shared" si="215"/>
        <v>Small standard-size</v>
      </c>
      <c r="T1046" s="116"/>
      <c r="U1046" s="116">
        <f t="shared" si="216"/>
        <v>0</v>
      </c>
      <c r="V1046" s="116"/>
      <c r="W1046" s="116"/>
      <c r="X1046" s="99"/>
      <c r="Y1046" s="99"/>
      <c r="Z1046" s="99"/>
      <c r="AA1046" s="99"/>
      <c r="AB1046" s="99"/>
      <c r="AC1046" s="99"/>
      <c r="AD1046" s="107"/>
      <c r="AE1046" s="113"/>
      <c r="AF1046" s="116">
        <f>-IFERROR(IFERROR(VLOOKUP(ROUNDUP($Q1046,0),'FBA FEES'!$L$2:$Q$203,MATCH($S1046,'FBA FEES'!$L$2:$Q$2,0),FALSE),VLOOKUP(ROUNDUP($Q1046,0),'FBA FEES'!$C$6:$F$123,MATCH($S1046,'FBA FEES'!$C$6:$F$6,0),FALSE)),0)</f>
        <v>0</v>
      </c>
      <c r="AG1046" s="116"/>
      <c r="AH1046" s="113"/>
      <c r="AI1046" s="116"/>
      <c r="AJ1046" s="107"/>
      <c r="AK1046" s="107"/>
      <c r="AL1046" s="107"/>
      <c r="AM1046" s="107"/>
      <c r="AN1046" s="116"/>
    </row>
    <row r="1047" spans="1:40" x14ac:dyDescent="0.25">
      <c r="A1047" s="99"/>
      <c r="B1047" s="99"/>
      <c r="C1047" s="99"/>
      <c r="D1047" s="99"/>
      <c r="E1047" s="99"/>
      <c r="F1047" s="99" t="s">
        <v>10990</v>
      </c>
      <c r="G1047" s="99"/>
      <c r="H1047" s="99">
        <v>28.5</v>
      </c>
      <c r="I1047" s="99">
        <v>12</v>
      </c>
      <c r="J1047" s="99">
        <v>4</v>
      </c>
      <c r="K1047" s="101" t="str">
        <f t="shared" si="208"/>
        <v>28.5x12x4</v>
      </c>
      <c r="L1047" s="102">
        <f t="shared" si="209"/>
        <v>9.8417266187050352</v>
      </c>
      <c r="M1047" s="113">
        <f t="shared" si="210"/>
        <v>9.8417266187050352</v>
      </c>
      <c r="N1047" s="113">
        <f t="shared" si="211"/>
        <v>10</v>
      </c>
      <c r="O1047" s="99">
        <v>4.9489999999999998</v>
      </c>
      <c r="P1047" s="113">
        <f t="shared" si="212"/>
        <v>10</v>
      </c>
      <c r="Q1047" s="112">
        <f t="shared" si="213"/>
        <v>160</v>
      </c>
      <c r="R1047" s="112" t="str">
        <f t="shared" si="214"/>
        <v>Oversize</v>
      </c>
      <c r="S1047" s="99" t="str">
        <f t="shared" si="215"/>
        <v>Large bulky</v>
      </c>
      <c r="T1047" s="116"/>
      <c r="U1047" s="116">
        <f t="shared" si="216"/>
        <v>0.79166666666666663</v>
      </c>
      <c r="V1047" s="116"/>
      <c r="W1047" s="116"/>
      <c r="X1047" s="99"/>
      <c r="Y1047" s="99"/>
      <c r="Z1047" s="99"/>
      <c r="AA1047" s="99"/>
      <c r="AB1047" s="99"/>
      <c r="AC1047" s="99"/>
      <c r="AD1047" s="107"/>
      <c r="AE1047" s="113"/>
      <c r="AF1047" s="116">
        <f>-IFERROR(IFERROR(VLOOKUP(ROUNDUP($Q1047,0),'FBA FEES'!$L$2:$Q$203,MATCH($S1047,'FBA FEES'!$L$2:$Q$2,0),FALSE),VLOOKUP(ROUNDUP($Q1047,0),'FBA FEES'!$C$6:$F$123,MATCH($S1047,'FBA FEES'!$C$6:$F$6,0),FALSE)),0)</f>
        <v>-13.03</v>
      </c>
      <c r="AG1047" s="116"/>
      <c r="AH1047" s="113"/>
      <c r="AI1047" s="116"/>
      <c r="AJ1047" s="107"/>
      <c r="AK1047" s="107"/>
      <c r="AL1047" s="107"/>
      <c r="AM1047" s="107"/>
      <c r="AN1047" s="116"/>
    </row>
  </sheetData>
  <autoFilter ref="A72:AN1047"/>
  <mergeCells count="12">
    <mergeCell ref="F4:K4"/>
    <mergeCell ref="F28:I31"/>
    <mergeCell ref="P6:Q6"/>
    <mergeCell ref="T29:T30"/>
    <mergeCell ref="S8:S9"/>
    <mergeCell ref="O4:U4"/>
    <mergeCell ref="H70:J70"/>
    <mergeCell ref="G6:H6"/>
    <mergeCell ref="S10:S14"/>
    <mergeCell ref="T27:T28"/>
    <mergeCell ref="S31:S35"/>
    <mergeCell ref="S27:S30"/>
  </mergeCells>
  <conditionalFormatting sqref="F814:F832">
    <cfRule type="duplicateValues" dxfId="18" priority="15"/>
  </conditionalFormatting>
  <conditionalFormatting sqref="F833">
    <cfRule type="duplicateValues" dxfId="17" priority="16"/>
  </conditionalFormatting>
  <conditionalFormatting sqref="F834:F870">
    <cfRule type="duplicateValues" dxfId="16" priority="17"/>
  </conditionalFormatting>
  <conditionalFormatting sqref="F871:F899">
    <cfRule type="duplicateValues" dxfId="15" priority="18"/>
  </conditionalFormatting>
  <conditionalFormatting sqref="F900:F902">
    <cfRule type="duplicateValues" dxfId="14" priority="19"/>
  </conditionalFormatting>
  <conditionalFormatting sqref="F903:F912">
    <cfRule type="duplicateValues" dxfId="13" priority="20"/>
  </conditionalFormatting>
  <conditionalFormatting sqref="F913:F914">
    <cfRule type="duplicateValues" dxfId="12" priority="21"/>
  </conditionalFormatting>
  <conditionalFormatting sqref="F915:F928">
    <cfRule type="duplicateValues" dxfId="11" priority="22"/>
  </conditionalFormatting>
  <conditionalFormatting sqref="F72">
    <cfRule type="duplicateValues" dxfId="10" priority="23"/>
    <cfRule type="duplicateValues" dxfId="9" priority="24"/>
    <cfRule type="duplicateValues" dxfId="8" priority="25"/>
  </conditionalFormatting>
  <conditionalFormatting sqref="F73:F813 F823:F832 F866:F870 F899 F911:F912 F932:F1047">
    <cfRule type="duplicateValues" dxfId="7" priority="1676"/>
  </conditionalFormatting>
  <conditionalFormatting sqref="F73:F912 F932:F1047">
    <cfRule type="duplicateValues" dxfId="6" priority="1683"/>
  </conditionalFormatting>
  <conditionalFormatting sqref="F929:F1047">
    <cfRule type="duplicateValues" dxfId="5" priority="1686"/>
  </conditionalFormatting>
  <conditionalFormatting sqref="F73:F1047">
    <cfRule type="duplicateValues" dxfId="4" priority="1688"/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1" sqref="A21"/>
    </sheetView>
  </sheetViews>
  <sheetFormatPr defaultRowHeight="15" x14ac:dyDescent="0.25"/>
  <cols>
    <col min="1" max="1" width="25.5703125" style="157" bestFit="1" customWidth="1"/>
  </cols>
  <sheetData>
    <row r="1" spans="1:2" x14ac:dyDescent="0.25">
      <c r="A1" t="s">
        <v>13707</v>
      </c>
      <c r="B1" t="s">
        <v>13708</v>
      </c>
    </row>
    <row r="2" spans="1:2" x14ac:dyDescent="0.25">
      <c r="A2" t="s">
        <v>13709</v>
      </c>
      <c r="B2" t="s">
        <v>13710</v>
      </c>
    </row>
    <row r="3" spans="1:2" x14ac:dyDescent="0.25">
      <c r="A3" t="s">
        <v>13711</v>
      </c>
      <c r="B3" t="s">
        <v>13712</v>
      </c>
    </row>
    <row r="4" spans="1:2" x14ac:dyDescent="0.25">
      <c r="A4" t="s">
        <v>13713</v>
      </c>
      <c r="B4" t="s">
        <v>13714</v>
      </c>
    </row>
    <row r="5" spans="1:2" x14ac:dyDescent="0.25">
      <c r="A5" t="s">
        <v>13715</v>
      </c>
      <c r="B5" t="s">
        <v>13716</v>
      </c>
    </row>
    <row r="6" spans="1:2" x14ac:dyDescent="0.25">
      <c r="A6" t="s">
        <v>13717</v>
      </c>
      <c r="B6" t="s">
        <v>13718</v>
      </c>
    </row>
    <row r="7" spans="1:2" x14ac:dyDescent="0.25">
      <c r="A7" t="s">
        <v>13719</v>
      </c>
      <c r="B7" t="s">
        <v>13720</v>
      </c>
    </row>
    <row r="8" spans="1:2" x14ac:dyDescent="0.25">
      <c r="A8" t="s">
        <v>13721</v>
      </c>
      <c r="B8" t="s">
        <v>13722</v>
      </c>
    </row>
    <row r="9" spans="1:2" x14ac:dyDescent="0.25">
      <c r="A9" t="s">
        <v>13723</v>
      </c>
      <c r="B9" t="s">
        <v>13724</v>
      </c>
    </row>
    <row r="10" spans="1:2" x14ac:dyDescent="0.25">
      <c r="A10" t="s">
        <v>13725</v>
      </c>
      <c r="B10" t="s">
        <v>13712</v>
      </c>
    </row>
    <row r="11" spans="1:2" x14ac:dyDescent="0.25">
      <c r="A11" t="s">
        <v>13726</v>
      </c>
      <c r="B11" t="s">
        <v>13714</v>
      </c>
    </row>
    <row r="12" spans="1:2" x14ac:dyDescent="0.25">
      <c r="A12" t="s">
        <v>13727</v>
      </c>
      <c r="B12" t="s">
        <v>13728</v>
      </c>
    </row>
    <row r="13" spans="1:2" x14ac:dyDescent="0.25">
      <c r="A13" t="s">
        <v>13729</v>
      </c>
      <c r="B13" t="s">
        <v>13730</v>
      </c>
    </row>
    <row r="14" spans="1:2" x14ac:dyDescent="0.25">
      <c r="A14" t="s">
        <v>13731</v>
      </c>
      <c r="B14" t="s">
        <v>13732</v>
      </c>
    </row>
    <row r="15" spans="1:2" x14ac:dyDescent="0.25">
      <c r="A15" t="s">
        <v>13733</v>
      </c>
      <c r="B15" t="s">
        <v>13732</v>
      </c>
    </row>
    <row r="16" spans="1:2" x14ac:dyDescent="0.25">
      <c r="A16" t="s">
        <v>13734</v>
      </c>
      <c r="B16" t="s">
        <v>13710</v>
      </c>
    </row>
    <row r="17" spans="1:2" x14ac:dyDescent="0.25">
      <c r="A17" t="s">
        <v>13735</v>
      </c>
      <c r="B17" t="s">
        <v>13716</v>
      </c>
    </row>
    <row r="18" spans="1:2" x14ac:dyDescent="0.25">
      <c r="A18" t="s">
        <v>13736</v>
      </c>
      <c r="B18" t="s">
        <v>13737</v>
      </c>
    </row>
    <row r="19" spans="1:2" x14ac:dyDescent="0.25">
      <c r="A19" t="s">
        <v>13738</v>
      </c>
      <c r="B19" t="s">
        <v>13738</v>
      </c>
    </row>
    <row r="20" spans="1:2" x14ac:dyDescent="0.25">
      <c r="A20" t="s">
        <v>13739</v>
      </c>
      <c r="B20" t="s">
        <v>13740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8"/>
  <sheetViews>
    <sheetView workbookViewId="0"/>
  </sheetViews>
  <sheetFormatPr defaultRowHeight="15" x14ac:dyDescent="0.25"/>
  <cols>
    <col min="1" max="1" width="13.5703125" style="157" bestFit="1" customWidth="1"/>
    <col min="2" max="2" width="11.7109375" style="157" bestFit="1" customWidth="1"/>
    <col min="3" max="3" width="15.140625" style="157" bestFit="1" customWidth="1"/>
  </cols>
  <sheetData>
    <row r="1" spans="1:3" x14ac:dyDescent="0.25">
      <c r="B1" s="191">
        <v>45627</v>
      </c>
      <c r="C1" s="192"/>
    </row>
    <row r="2" spans="1:3" x14ac:dyDescent="0.25">
      <c r="A2" s="11" t="s">
        <v>36</v>
      </c>
      <c r="B2" s="12" t="s">
        <v>46</v>
      </c>
      <c r="C2" s="12" t="s">
        <v>47</v>
      </c>
    </row>
    <row r="3" spans="1:3" x14ac:dyDescent="0.25">
      <c r="A3" s="2" t="s">
        <v>52</v>
      </c>
      <c r="B3" s="143">
        <v>-16.75996666666666</v>
      </c>
      <c r="C3" s="143">
        <v>-52.7</v>
      </c>
    </row>
    <row r="4" spans="1:3" x14ac:dyDescent="0.25">
      <c r="A4" s="2" t="s">
        <v>58</v>
      </c>
      <c r="B4" s="143">
        <v>-7.0039999999999996</v>
      </c>
      <c r="C4" s="143">
        <v>-2.4853294611764141</v>
      </c>
    </row>
    <row r="5" spans="1:3" x14ac:dyDescent="0.25">
      <c r="A5" s="2" t="s">
        <v>60</v>
      </c>
      <c r="B5" s="143">
        <v>-8.5782500000000006</v>
      </c>
      <c r="C5" s="143">
        <v>-9.3312076775987798</v>
      </c>
    </row>
    <row r="6" spans="1:3" x14ac:dyDescent="0.25">
      <c r="A6" s="2" t="s">
        <v>62</v>
      </c>
      <c r="B6" s="143">
        <v>-16.317833333333329</v>
      </c>
      <c r="C6" s="143">
        <v>-31.54</v>
      </c>
    </row>
    <row r="7" spans="1:3" x14ac:dyDescent="0.25">
      <c r="A7" s="2" t="s">
        <v>64</v>
      </c>
      <c r="B7" s="143">
        <v>-19.018655806182121</v>
      </c>
      <c r="C7" s="143">
        <v>-38.3005550536597</v>
      </c>
    </row>
    <row r="8" spans="1:3" x14ac:dyDescent="0.25">
      <c r="A8" s="2" t="s">
        <v>66</v>
      </c>
      <c r="B8" s="143">
        <v>-1.554</v>
      </c>
      <c r="C8" s="143">
        <v>-3.57</v>
      </c>
    </row>
    <row r="9" spans="1:3" x14ac:dyDescent="0.25">
      <c r="A9" s="2" t="s">
        <v>68</v>
      </c>
      <c r="B9" s="143">
        <v>-7.3943851851851852</v>
      </c>
      <c r="C9" s="143">
        <v>-8.2773910436582749</v>
      </c>
    </row>
    <row r="10" spans="1:3" x14ac:dyDescent="0.25">
      <c r="A10" s="2" t="s">
        <v>70</v>
      </c>
      <c r="B10" s="143">
        <v>-4.75</v>
      </c>
      <c r="C10" s="143">
        <v>-12.200814430622801</v>
      </c>
    </row>
    <row r="11" spans="1:3" x14ac:dyDescent="0.25">
      <c r="A11" s="2" t="s">
        <v>72</v>
      </c>
      <c r="B11" s="143">
        <v>-13.209305807718851</v>
      </c>
      <c r="C11" s="143">
        <v>-7.5770381149901249</v>
      </c>
    </row>
    <row r="12" spans="1:3" x14ac:dyDescent="0.25">
      <c r="A12" s="2" t="s">
        <v>74</v>
      </c>
      <c r="B12" s="143">
        <v>-6.2852985347985362</v>
      </c>
      <c r="C12" s="143">
        <v>-2.8322583803313202</v>
      </c>
    </row>
    <row r="13" spans="1:3" x14ac:dyDescent="0.25">
      <c r="A13" s="2" t="s">
        <v>76</v>
      </c>
      <c r="B13" s="143">
        <v>-13.158981342840169</v>
      </c>
      <c r="C13" s="143">
        <v>-29.8</v>
      </c>
    </row>
    <row r="14" spans="1:3" x14ac:dyDescent="0.25">
      <c r="A14" s="2" t="s">
        <v>1496</v>
      </c>
      <c r="B14" s="143">
        <v>-9.8726190476190467</v>
      </c>
      <c r="C14" s="143">
        <v>-6.63</v>
      </c>
    </row>
    <row r="15" spans="1:3" x14ac:dyDescent="0.25">
      <c r="A15" s="2" t="s">
        <v>78</v>
      </c>
      <c r="B15" s="143">
        <v>-8.4990150793650816</v>
      </c>
      <c r="C15" s="143">
        <v>-12.39</v>
      </c>
    </row>
    <row r="16" spans="1:3" x14ac:dyDescent="0.25">
      <c r="A16" s="2" t="s">
        <v>1498</v>
      </c>
      <c r="B16" s="143" t="s">
        <v>86</v>
      </c>
      <c r="C16" s="143" t="s">
        <v>86</v>
      </c>
    </row>
    <row r="17" spans="1:3" x14ac:dyDescent="0.25">
      <c r="A17" s="2" t="s">
        <v>80</v>
      </c>
      <c r="B17" s="143">
        <v>-6.0722035256410267</v>
      </c>
      <c r="C17" s="143">
        <v>-1.9356283825646921</v>
      </c>
    </row>
    <row r="18" spans="1:3" x14ac:dyDescent="0.25">
      <c r="A18" s="2" t="s">
        <v>84</v>
      </c>
      <c r="B18" s="143">
        <v>-6.2123333333333326</v>
      </c>
      <c r="C18" s="143" t="s">
        <v>86</v>
      </c>
    </row>
    <row r="19" spans="1:3" x14ac:dyDescent="0.25">
      <c r="A19" s="2" t="s">
        <v>87</v>
      </c>
      <c r="B19" s="143">
        <v>-7.1414358974358976</v>
      </c>
      <c r="C19" s="143">
        <v>-3.8545329359040239</v>
      </c>
    </row>
    <row r="20" spans="1:3" x14ac:dyDescent="0.25">
      <c r="A20" s="2" t="s">
        <v>89</v>
      </c>
      <c r="B20" s="143">
        <v>-1.391984848484848</v>
      </c>
      <c r="C20" s="143">
        <v>-0.8</v>
      </c>
    </row>
    <row r="21" spans="1:3" x14ac:dyDescent="0.25">
      <c r="A21" s="2" t="s">
        <v>93</v>
      </c>
      <c r="B21" s="143">
        <v>-4.87</v>
      </c>
      <c r="C21" s="143" t="s">
        <v>86</v>
      </c>
    </row>
    <row r="22" spans="1:3" x14ac:dyDescent="0.25">
      <c r="A22" s="2" t="s">
        <v>95</v>
      </c>
      <c r="B22" s="143" t="s">
        <v>86</v>
      </c>
      <c r="C22" s="143" t="s">
        <v>86</v>
      </c>
    </row>
    <row r="23" spans="1:3" x14ac:dyDescent="0.25">
      <c r="A23" s="2" t="s">
        <v>97</v>
      </c>
      <c r="B23" s="143">
        <v>-11.52766666666667</v>
      </c>
      <c r="C23" s="143">
        <v>-1.98685759711937</v>
      </c>
    </row>
    <row r="24" spans="1:3" x14ac:dyDescent="0.25">
      <c r="A24" s="2" t="s">
        <v>99</v>
      </c>
      <c r="B24" s="143">
        <v>-11.99833333333333</v>
      </c>
      <c r="C24" s="143" t="s">
        <v>86</v>
      </c>
    </row>
    <row r="25" spans="1:3" x14ac:dyDescent="0.25">
      <c r="A25" s="2" t="s">
        <v>104</v>
      </c>
      <c r="B25" s="143">
        <v>-0.67</v>
      </c>
      <c r="C25" s="143">
        <v>-0.38</v>
      </c>
    </row>
    <row r="26" spans="1:3" x14ac:dyDescent="0.25">
      <c r="A26" s="2" t="s">
        <v>1502</v>
      </c>
      <c r="B26" s="143" t="s">
        <v>86</v>
      </c>
      <c r="C26" s="143" t="s">
        <v>86</v>
      </c>
    </row>
    <row r="27" spans="1:3" x14ac:dyDescent="0.25">
      <c r="A27" s="2" t="s">
        <v>108</v>
      </c>
      <c r="B27" s="143">
        <v>-0.62086688311688309</v>
      </c>
      <c r="C27" s="143">
        <v>-0.42867746476893992</v>
      </c>
    </row>
    <row r="28" spans="1:3" x14ac:dyDescent="0.25">
      <c r="A28" s="2" t="s">
        <v>111</v>
      </c>
      <c r="B28" s="143">
        <v>-0.56860465116279069</v>
      </c>
      <c r="C28" s="143" t="s">
        <v>86</v>
      </c>
    </row>
    <row r="29" spans="1:3" x14ac:dyDescent="0.25">
      <c r="A29" s="2" t="s">
        <v>1504</v>
      </c>
      <c r="B29" s="143" t="s">
        <v>86</v>
      </c>
      <c r="C29" s="143" t="s">
        <v>86</v>
      </c>
    </row>
    <row r="30" spans="1:3" x14ac:dyDescent="0.25">
      <c r="A30" s="2" t="s">
        <v>113</v>
      </c>
      <c r="B30" s="143">
        <v>-0.61014814814814811</v>
      </c>
      <c r="C30" s="143">
        <v>-0.12</v>
      </c>
    </row>
    <row r="31" spans="1:3" x14ac:dyDescent="0.25">
      <c r="A31" s="2" t="s">
        <v>712</v>
      </c>
      <c r="B31" s="143" t="s">
        <v>86</v>
      </c>
      <c r="C31" s="143" t="s">
        <v>86</v>
      </c>
    </row>
    <row r="32" spans="1:3" x14ac:dyDescent="0.25">
      <c r="A32" s="2" t="s">
        <v>716</v>
      </c>
      <c r="B32" s="143">
        <v>-1.902857142857143</v>
      </c>
      <c r="C32" s="143" t="s">
        <v>86</v>
      </c>
    </row>
    <row r="33" spans="1:3" x14ac:dyDescent="0.25">
      <c r="A33" s="2" t="s">
        <v>115</v>
      </c>
      <c r="B33" s="143">
        <v>-1.3831818181818181</v>
      </c>
      <c r="C33" s="143">
        <v>-1.4809243030027459</v>
      </c>
    </row>
    <row r="34" spans="1:3" x14ac:dyDescent="0.25">
      <c r="A34" s="2" t="s">
        <v>720</v>
      </c>
      <c r="B34" s="143">
        <v>-3.0637500000000002</v>
      </c>
      <c r="C34" s="143" t="s">
        <v>86</v>
      </c>
    </row>
    <row r="35" spans="1:3" x14ac:dyDescent="0.25">
      <c r="A35" s="2" t="s">
        <v>1506</v>
      </c>
      <c r="B35" s="143">
        <v>-11.91191666666667</v>
      </c>
      <c r="C35" s="143" t="s">
        <v>86</v>
      </c>
    </row>
    <row r="36" spans="1:3" x14ac:dyDescent="0.25">
      <c r="A36" s="2" t="s">
        <v>1508</v>
      </c>
      <c r="B36" s="143">
        <v>-11.719702020202019</v>
      </c>
      <c r="C36" s="143">
        <v>-3.8763851990177902</v>
      </c>
    </row>
    <row r="37" spans="1:3" x14ac:dyDescent="0.25">
      <c r="A37" s="2" t="s">
        <v>117</v>
      </c>
      <c r="B37" s="143">
        <v>-3.772222222222223</v>
      </c>
      <c r="C37" s="143" t="s">
        <v>86</v>
      </c>
    </row>
    <row r="38" spans="1:3" x14ac:dyDescent="0.25">
      <c r="A38" s="2" t="s">
        <v>723</v>
      </c>
      <c r="B38" s="143">
        <v>-11.13111111111111</v>
      </c>
      <c r="C38" s="143">
        <v>-4.5323888480823404</v>
      </c>
    </row>
    <row r="39" spans="1:3" x14ac:dyDescent="0.25">
      <c r="A39" s="2" t="s">
        <v>1511</v>
      </c>
      <c r="B39" s="143" t="s">
        <v>86</v>
      </c>
      <c r="C39" s="143" t="s">
        <v>86</v>
      </c>
    </row>
    <row r="40" spans="1:3" x14ac:dyDescent="0.25">
      <c r="A40" s="2" t="s">
        <v>121</v>
      </c>
      <c r="B40" s="143">
        <v>-6.3512239943292572</v>
      </c>
      <c r="C40" s="143">
        <v>-5.47836430765377</v>
      </c>
    </row>
    <row r="41" spans="1:3" x14ac:dyDescent="0.25">
      <c r="A41" s="2" t="s">
        <v>124</v>
      </c>
      <c r="B41" s="143">
        <v>-4.21</v>
      </c>
      <c r="C41" s="143">
        <v>-16.65155102996415</v>
      </c>
    </row>
    <row r="42" spans="1:3" x14ac:dyDescent="0.25">
      <c r="A42" s="2" t="s">
        <v>126</v>
      </c>
      <c r="B42" s="143">
        <v>-8.375</v>
      </c>
      <c r="C42" s="143">
        <v>-20.125093793439099</v>
      </c>
    </row>
    <row r="43" spans="1:3" x14ac:dyDescent="0.25">
      <c r="A43" s="2" t="s">
        <v>128</v>
      </c>
      <c r="B43" s="143">
        <v>-9.4679000000000002</v>
      </c>
      <c r="C43" s="143">
        <v>-43.190765082099148</v>
      </c>
    </row>
    <row r="44" spans="1:3" x14ac:dyDescent="0.25">
      <c r="A44" s="2" t="s">
        <v>130</v>
      </c>
      <c r="B44" s="143">
        <v>-4.3046041666666666</v>
      </c>
      <c r="C44" s="143">
        <v>-3.7730391533327401</v>
      </c>
    </row>
    <row r="45" spans="1:3" x14ac:dyDescent="0.25">
      <c r="A45" s="2" t="s">
        <v>133</v>
      </c>
      <c r="B45" s="143">
        <v>-9.1904254241909786</v>
      </c>
      <c r="C45" s="143">
        <v>-11.3851526462041</v>
      </c>
    </row>
    <row r="46" spans="1:3" x14ac:dyDescent="0.25">
      <c r="A46" s="2" t="s">
        <v>135</v>
      </c>
      <c r="B46" s="143">
        <v>-6.2700416666666667</v>
      </c>
      <c r="C46" s="143">
        <v>-3.51404596614816</v>
      </c>
    </row>
    <row r="47" spans="1:3" x14ac:dyDescent="0.25">
      <c r="A47" s="2" t="s">
        <v>1514</v>
      </c>
      <c r="B47" s="143">
        <v>-10.802777777777781</v>
      </c>
      <c r="C47" s="143">
        <v>-19.629469567550021</v>
      </c>
    </row>
    <row r="48" spans="1:3" x14ac:dyDescent="0.25">
      <c r="A48" s="2" t="s">
        <v>137</v>
      </c>
      <c r="B48" s="143">
        <v>-10.126306974506971</v>
      </c>
      <c r="C48" s="143">
        <v>-7.2306862673652299</v>
      </c>
    </row>
    <row r="49" spans="1:3" x14ac:dyDescent="0.25">
      <c r="A49" s="2" t="s">
        <v>140</v>
      </c>
      <c r="B49" s="143">
        <v>-11.815</v>
      </c>
      <c r="C49" s="143">
        <v>-11.543399907206879</v>
      </c>
    </row>
    <row r="50" spans="1:3" x14ac:dyDescent="0.25">
      <c r="A50" s="2" t="s">
        <v>1516</v>
      </c>
      <c r="B50" s="143" t="s">
        <v>86</v>
      </c>
      <c r="C50" s="143" t="s">
        <v>86</v>
      </c>
    </row>
    <row r="51" spans="1:3" x14ac:dyDescent="0.25">
      <c r="A51" s="2" t="s">
        <v>727</v>
      </c>
      <c r="B51" s="143">
        <v>-13.13916666666667</v>
      </c>
      <c r="C51" s="143" t="s">
        <v>86</v>
      </c>
    </row>
    <row r="52" spans="1:3" x14ac:dyDescent="0.25">
      <c r="A52" s="2" t="s">
        <v>142</v>
      </c>
      <c r="B52" s="143">
        <v>-9.485718754271856</v>
      </c>
      <c r="C52" s="143">
        <v>-20.86407403747053</v>
      </c>
    </row>
    <row r="53" spans="1:3" x14ac:dyDescent="0.25">
      <c r="A53" s="2" t="s">
        <v>144</v>
      </c>
      <c r="B53" s="143">
        <v>-8.6113378774067471</v>
      </c>
      <c r="C53" s="143">
        <v>-14.534707799113001</v>
      </c>
    </row>
    <row r="54" spans="1:3" x14ac:dyDescent="0.25">
      <c r="A54" s="2" t="s">
        <v>1518</v>
      </c>
      <c r="B54" s="143" t="s">
        <v>86</v>
      </c>
      <c r="C54" s="143" t="s">
        <v>86</v>
      </c>
    </row>
    <row r="55" spans="1:3" x14ac:dyDescent="0.25">
      <c r="A55" s="2" t="s">
        <v>1521</v>
      </c>
      <c r="B55" s="143" t="s">
        <v>86</v>
      </c>
      <c r="C55" s="143" t="s">
        <v>86</v>
      </c>
    </row>
    <row r="56" spans="1:3" x14ac:dyDescent="0.25">
      <c r="A56" s="2" t="s">
        <v>1523</v>
      </c>
      <c r="B56" s="143" t="s">
        <v>86</v>
      </c>
      <c r="C56" s="143" t="s">
        <v>86</v>
      </c>
    </row>
    <row r="57" spans="1:3" x14ac:dyDescent="0.25">
      <c r="A57" s="2" t="s">
        <v>1525</v>
      </c>
      <c r="B57" s="143" t="s">
        <v>86</v>
      </c>
      <c r="C57" s="143" t="s">
        <v>86</v>
      </c>
    </row>
    <row r="58" spans="1:3" x14ac:dyDescent="0.25">
      <c r="A58" s="2" t="s">
        <v>1527</v>
      </c>
      <c r="B58" s="143" t="s">
        <v>86</v>
      </c>
      <c r="C58" s="143" t="s">
        <v>86</v>
      </c>
    </row>
    <row r="59" spans="1:3" x14ac:dyDescent="0.25">
      <c r="A59" s="2" t="s">
        <v>1529</v>
      </c>
      <c r="B59" s="143" t="s">
        <v>86</v>
      </c>
      <c r="C59" s="143" t="s">
        <v>86</v>
      </c>
    </row>
    <row r="60" spans="1:3" x14ac:dyDescent="0.25">
      <c r="A60" s="2" t="s">
        <v>1531</v>
      </c>
      <c r="B60" s="143" t="s">
        <v>86</v>
      </c>
      <c r="C60" s="143" t="s">
        <v>86</v>
      </c>
    </row>
    <row r="61" spans="1:3" x14ac:dyDescent="0.25">
      <c r="A61" s="2" t="s">
        <v>1533</v>
      </c>
      <c r="B61" s="143" t="s">
        <v>86</v>
      </c>
      <c r="C61" s="143" t="s">
        <v>86</v>
      </c>
    </row>
    <row r="62" spans="1:3" x14ac:dyDescent="0.25">
      <c r="A62" s="2" t="s">
        <v>1535</v>
      </c>
      <c r="B62" s="143" t="s">
        <v>86</v>
      </c>
      <c r="C62" s="143" t="s">
        <v>86</v>
      </c>
    </row>
    <row r="63" spans="1:3" x14ac:dyDescent="0.25">
      <c r="A63" s="2" t="s">
        <v>1537</v>
      </c>
      <c r="B63" s="143" t="s">
        <v>86</v>
      </c>
      <c r="C63" s="143" t="s">
        <v>86</v>
      </c>
    </row>
    <row r="64" spans="1:3" x14ac:dyDescent="0.25">
      <c r="A64" s="2" t="s">
        <v>1539</v>
      </c>
      <c r="B64" s="143" t="s">
        <v>86</v>
      </c>
      <c r="C64" s="143" t="s">
        <v>86</v>
      </c>
    </row>
    <row r="65" spans="1:3" x14ac:dyDescent="0.25">
      <c r="A65" s="2" t="s">
        <v>1541</v>
      </c>
      <c r="B65" s="143" t="s">
        <v>86</v>
      </c>
      <c r="C65" s="143" t="s">
        <v>86</v>
      </c>
    </row>
    <row r="66" spans="1:3" x14ac:dyDescent="0.25">
      <c r="A66" s="2" t="s">
        <v>1543</v>
      </c>
      <c r="B66" s="143" t="s">
        <v>86</v>
      </c>
      <c r="C66" s="143" t="s">
        <v>86</v>
      </c>
    </row>
    <row r="67" spans="1:3" x14ac:dyDescent="0.25">
      <c r="A67" s="2" t="s">
        <v>1545</v>
      </c>
      <c r="B67" s="143" t="s">
        <v>86</v>
      </c>
      <c r="C67" s="143" t="s">
        <v>86</v>
      </c>
    </row>
    <row r="68" spans="1:3" x14ac:dyDescent="0.25">
      <c r="A68" s="2" t="s">
        <v>1547</v>
      </c>
      <c r="B68" s="143" t="s">
        <v>86</v>
      </c>
      <c r="C68" s="143" t="s">
        <v>86</v>
      </c>
    </row>
    <row r="69" spans="1:3" x14ac:dyDescent="0.25">
      <c r="A69" s="2" t="s">
        <v>1549</v>
      </c>
      <c r="B69" s="143" t="s">
        <v>86</v>
      </c>
      <c r="C69" s="143" t="s">
        <v>86</v>
      </c>
    </row>
    <row r="70" spans="1:3" x14ac:dyDescent="0.25">
      <c r="A70" s="2" t="s">
        <v>1551</v>
      </c>
      <c r="B70" s="143" t="s">
        <v>86</v>
      </c>
      <c r="C70" s="143" t="s">
        <v>86</v>
      </c>
    </row>
    <row r="71" spans="1:3" x14ac:dyDescent="0.25">
      <c r="A71" s="2" t="s">
        <v>1553</v>
      </c>
      <c r="B71" s="143" t="s">
        <v>86</v>
      </c>
      <c r="C71" s="143" t="s">
        <v>86</v>
      </c>
    </row>
    <row r="72" spans="1:3" x14ac:dyDescent="0.25">
      <c r="A72" s="2" t="s">
        <v>1555</v>
      </c>
      <c r="B72" s="143" t="s">
        <v>86</v>
      </c>
      <c r="C72" s="143" t="s">
        <v>86</v>
      </c>
    </row>
    <row r="73" spans="1:3" x14ac:dyDescent="0.25">
      <c r="A73" s="2" t="s">
        <v>1557</v>
      </c>
      <c r="B73" s="143" t="s">
        <v>86</v>
      </c>
      <c r="C73" s="143" t="s">
        <v>86</v>
      </c>
    </row>
    <row r="74" spans="1:3" x14ac:dyDescent="0.25">
      <c r="A74" s="2" t="s">
        <v>1559</v>
      </c>
      <c r="B74" s="143" t="s">
        <v>86</v>
      </c>
      <c r="C74" s="143" t="s">
        <v>86</v>
      </c>
    </row>
    <row r="75" spans="1:3" x14ac:dyDescent="0.25">
      <c r="A75" s="2" t="s">
        <v>1561</v>
      </c>
      <c r="B75" s="143" t="s">
        <v>86</v>
      </c>
      <c r="C75" s="143" t="s">
        <v>86</v>
      </c>
    </row>
    <row r="76" spans="1:3" x14ac:dyDescent="0.25">
      <c r="A76" s="2" t="s">
        <v>1563</v>
      </c>
      <c r="B76" s="143" t="s">
        <v>86</v>
      </c>
      <c r="C76" s="143" t="s">
        <v>86</v>
      </c>
    </row>
    <row r="77" spans="1:3" x14ac:dyDescent="0.25">
      <c r="A77" s="2" t="s">
        <v>1565</v>
      </c>
      <c r="B77" s="143" t="s">
        <v>86</v>
      </c>
      <c r="C77" s="143" t="s">
        <v>86</v>
      </c>
    </row>
    <row r="78" spans="1:3" x14ac:dyDescent="0.25">
      <c r="A78" s="2" t="s">
        <v>1567</v>
      </c>
      <c r="B78" s="143" t="s">
        <v>86</v>
      </c>
      <c r="C78" s="143" t="s">
        <v>86</v>
      </c>
    </row>
    <row r="79" spans="1:3" x14ac:dyDescent="0.25">
      <c r="A79" s="2" t="s">
        <v>1569</v>
      </c>
      <c r="B79" s="143">
        <v>-18.07083333333334</v>
      </c>
      <c r="C79" s="143">
        <v>-41.337004616753028</v>
      </c>
    </row>
    <row r="80" spans="1:3" x14ac:dyDescent="0.25">
      <c r="A80" s="2" t="s">
        <v>146</v>
      </c>
      <c r="B80" s="143">
        <v>-18.412328042328038</v>
      </c>
      <c r="C80" s="143">
        <v>-31.465189285960239</v>
      </c>
    </row>
    <row r="81" spans="1:3" x14ac:dyDescent="0.25">
      <c r="A81" s="2" t="s">
        <v>149</v>
      </c>
      <c r="B81" s="143">
        <v>-21.80833333333333</v>
      </c>
      <c r="C81" s="143">
        <v>-39.025252947641</v>
      </c>
    </row>
    <row r="82" spans="1:3" x14ac:dyDescent="0.25">
      <c r="A82" s="2" t="s">
        <v>1571</v>
      </c>
      <c r="B82" s="143">
        <v>-1.246875</v>
      </c>
      <c r="C82" s="143" t="s">
        <v>86</v>
      </c>
    </row>
    <row r="83" spans="1:3" x14ac:dyDescent="0.25">
      <c r="A83" s="2" t="s">
        <v>1573</v>
      </c>
      <c r="B83" s="143" t="s">
        <v>86</v>
      </c>
      <c r="C83" s="143" t="s">
        <v>86</v>
      </c>
    </row>
    <row r="84" spans="1:3" x14ac:dyDescent="0.25">
      <c r="A84" s="2" t="s">
        <v>151</v>
      </c>
      <c r="B84" s="143">
        <v>-0.82150000000000001</v>
      </c>
      <c r="C84" s="143">
        <v>-0.40616381283504138</v>
      </c>
    </row>
    <row r="85" spans="1:3" x14ac:dyDescent="0.25">
      <c r="A85" s="2" t="s">
        <v>1575</v>
      </c>
      <c r="B85" s="143" t="s">
        <v>86</v>
      </c>
      <c r="C85" s="143" t="s">
        <v>86</v>
      </c>
    </row>
    <row r="86" spans="1:3" x14ac:dyDescent="0.25">
      <c r="A86" s="2" t="s">
        <v>1577</v>
      </c>
      <c r="B86" s="143" t="s">
        <v>86</v>
      </c>
      <c r="C86" s="143" t="s">
        <v>86</v>
      </c>
    </row>
    <row r="87" spans="1:3" x14ac:dyDescent="0.25">
      <c r="A87" s="2" t="s">
        <v>153</v>
      </c>
      <c r="B87" s="143">
        <v>-1.3677826086956519</v>
      </c>
      <c r="C87" s="143">
        <v>-0.81093903143816826</v>
      </c>
    </row>
    <row r="88" spans="1:3" x14ac:dyDescent="0.25">
      <c r="A88" s="2" t="s">
        <v>1579</v>
      </c>
      <c r="B88" s="143">
        <v>-1.9496457209076219</v>
      </c>
      <c r="C88" s="143" t="s">
        <v>86</v>
      </c>
    </row>
    <row r="89" spans="1:3" x14ac:dyDescent="0.25">
      <c r="A89" s="2" t="s">
        <v>155</v>
      </c>
      <c r="B89" s="143">
        <v>-11.519166666666671</v>
      </c>
      <c r="C89" s="143">
        <v>-3.7375334437178691</v>
      </c>
    </row>
    <row r="90" spans="1:3" x14ac:dyDescent="0.25">
      <c r="A90" s="2" t="s">
        <v>1581</v>
      </c>
      <c r="B90" s="143" t="s">
        <v>86</v>
      </c>
      <c r="C90" s="143" t="s">
        <v>86</v>
      </c>
    </row>
    <row r="91" spans="1:3" x14ac:dyDescent="0.25">
      <c r="A91" s="2" t="s">
        <v>157</v>
      </c>
      <c r="B91" s="143">
        <v>-7.5016491760744701</v>
      </c>
      <c r="C91" s="143">
        <v>-3.34</v>
      </c>
    </row>
    <row r="92" spans="1:3" x14ac:dyDescent="0.25">
      <c r="A92" s="2" t="s">
        <v>1583</v>
      </c>
      <c r="B92" s="143" t="s">
        <v>86</v>
      </c>
      <c r="C92" s="143" t="s">
        <v>86</v>
      </c>
    </row>
    <row r="93" spans="1:3" x14ac:dyDescent="0.25">
      <c r="A93" s="2" t="s">
        <v>1585</v>
      </c>
      <c r="B93" s="143" t="s">
        <v>86</v>
      </c>
      <c r="C93" s="143" t="s">
        <v>86</v>
      </c>
    </row>
    <row r="94" spans="1:3" x14ac:dyDescent="0.25">
      <c r="A94" s="2" t="s">
        <v>1587</v>
      </c>
      <c r="B94" s="143" t="s">
        <v>86</v>
      </c>
      <c r="C94" s="143" t="s">
        <v>86</v>
      </c>
    </row>
    <row r="95" spans="1:3" x14ac:dyDescent="0.25">
      <c r="A95" s="2" t="s">
        <v>1589</v>
      </c>
      <c r="B95" s="143" t="s">
        <v>86</v>
      </c>
      <c r="C95" s="143" t="s">
        <v>86</v>
      </c>
    </row>
    <row r="96" spans="1:3" x14ac:dyDescent="0.25">
      <c r="A96" s="2" t="s">
        <v>730</v>
      </c>
      <c r="B96" s="143">
        <v>-5.770999999999999</v>
      </c>
      <c r="C96" s="143" t="s">
        <v>86</v>
      </c>
    </row>
    <row r="97" spans="1:3" x14ac:dyDescent="0.25">
      <c r="A97" s="2" t="s">
        <v>159</v>
      </c>
      <c r="B97" s="143">
        <v>-6.24</v>
      </c>
      <c r="C97" s="143">
        <v>-4.43</v>
      </c>
    </row>
    <row r="98" spans="1:3" x14ac:dyDescent="0.25">
      <c r="A98" s="2" t="s">
        <v>733</v>
      </c>
      <c r="B98" s="143">
        <v>-6.5845555555555562</v>
      </c>
      <c r="C98" s="143" t="s">
        <v>86</v>
      </c>
    </row>
    <row r="99" spans="1:3" x14ac:dyDescent="0.25">
      <c r="A99" s="2" t="s">
        <v>1591</v>
      </c>
      <c r="B99" s="143" t="s">
        <v>86</v>
      </c>
      <c r="C99" s="143" t="s">
        <v>86</v>
      </c>
    </row>
    <row r="100" spans="1:3" x14ac:dyDescent="0.25">
      <c r="A100" s="2" t="s">
        <v>1594</v>
      </c>
      <c r="B100" s="143" t="s">
        <v>86</v>
      </c>
      <c r="C100" s="143" t="s">
        <v>86</v>
      </c>
    </row>
    <row r="101" spans="1:3" x14ac:dyDescent="0.25">
      <c r="A101" s="2" t="s">
        <v>1596</v>
      </c>
      <c r="B101" s="143" t="s">
        <v>86</v>
      </c>
      <c r="C101" s="143" t="s">
        <v>86</v>
      </c>
    </row>
    <row r="102" spans="1:3" x14ac:dyDescent="0.25">
      <c r="A102" s="2" t="s">
        <v>1598</v>
      </c>
      <c r="B102" s="143" t="s">
        <v>86</v>
      </c>
      <c r="C102" s="143" t="s">
        <v>86</v>
      </c>
    </row>
    <row r="103" spans="1:3" x14ac:dyDescent="0.25">
      <c r="A103" s="2" t="s">
        <v>1600</v>
      </c>
      <c r="B103" s="143" t="s">
        <v>86</v>
      </c>
      <c r="C103" s="143" t="s">
        <v>86</v>
      </c>
    </row>
    <row r="104" spans="1:3" x14ac:dyDescent="0.25">
      <c r="A104" s="2" t="s">
        <v>1602</v>
      </c>
      <c r="B104" s="143" t="s">
        <v>86</v>
      </c>
      <c r="C104" s="143" t="s">
        <v>86</v>
      </c>
    </row>
    <row r="105" spans="1:3" x14ac:dyDescent="0.25">
      <c r="A105" s="2" t="s">
        <v>1604</v>
      </c>
      <c r="B105" s="143" t="s">
        <v>86</v>
      </c>
      <c r="C105" s="143" t="s">
        <v>86</v>
      </c>
    </row>
    <row r="106" spans="1:3" x14ac:dyDescent="0.25">
      <c r="A106" s="2" t="s">
        <v>1606</v>
      </c>
      <c r="B106" s="143">
        <v>-11.80479166666667</v>
      </c>
      <c r="C106" s="143">
        <v>-44.07871634499994</v>
      </c>
    </row>
    <row r="107" spans="1:3" x14ac:dyDescent="0.25">
      <c r="A107" s="2" t="s">
        <v>736</v>
      </c>
      <c r="B107" s="143">
        <v>-17.138400000000001</v>
      </c>
      <c r="C107" s="143">
        <v>-41.598739483286117</v>
      </c>
    </row>
    <row r="108" spans="1:3" x14ac:dyDescent="0.25">
      <c r="A108" s="2" t="s">
        <v>161</v>
      </c>
      <c r="B108" s="143">
        <v>-37.47</v>
      </c>
      <c r="C108" s="143" t="s">
        <v>86</v>
      </c>
    </row>
    <row r="109" spans="1:3" x14ac:dyDescent="0.25">
      <c r="A109" s="2" t="s">
        <v>1608</v>
      </c>
      <c r="B109" s="143" t="s">
        <v>86</v>
      </c>
      <c r="C109" s="143">
        <v>-29.830580926677911</v>
      </c>
    </row>
    <row r="110" spans="1:3" x14ac:dyDescent="0.25">
      <c r="A110" s="2" t="s">
        <v>739</v>
      </c>
      <c r="B110" s="143" t="s">
        <v>86</v>
      </c>
      <c r="C110" s="143" t="s">
        <v>86</v>
      </c>
    </row>
    <row r="111" spans="1:3" x14ac:dyDescent="0.25">
      <c r="A111" s="2" t="s">
        <v>742</v>
      </c>
      <c r="B111" s="143">
        <v>-12.46833333333333</v>
      </c>
      <c r="C111" s="143" t="s">
        <v>86</v>
      </c>
    </row>
    <row r="112" spans="1:3" x14ac:dyDescent="0.25">
      <c r="A112" s="2" t="s">
        <v>747</v>
      </c>
      <c r="B112" s="143">
        <v>-15.446</v>
      </c>
      <c r="C112" s="143">
        <v>-44.031241047943134</v>
      </c>
    </row>
    <row r="113" spans="1:3" x14ac:dyDescent="0.25">
      <c r="A113" s="2" t="s">
        <v>751</v>
      </c>
      <c r="B113" s="143" t="s">
        <v>86</v>
      </c>
      <c r="C113" s="143" t="s">
        <v>86</v>
      </c>
    </row>
    <row r="114" spans="1:3" x14ac:dyDescent="0.25">
      <c r="A114" s="2" t="s">
        <v>1610</v>
      </c>
      <c r="B114" s="143">
        <v>-12.81305357142857</v>
      </c>
      <c r="C114" s="143" t="s">
        <v>86</v>
      </c>
    </row>
    <row r="115" spans="1:3" x14ac:dyDescent="0.25">
      <c r="A115" s="2" t="s">
        <v>755</v>
      </c>
      <c r="B115" s="143">
        <v>-19.416250000000002</v>
      </c>
      <c r="C115" s="143">
        <v>-93.205222437137365</v>
      </c>
    </row>
    <row r="116" spans="1:3" x14ac:dyDescent="0.25">
      <c r="A116" s="2" t="s">
        <v>758</v>
      </c>
      <c r="B116" s="143">
        <v>-14.48666666666667</v>
      </c>
      <c r="C116" s="143">
        <v>-55.075063775344347</v>
      </c>
    </row>
    <row r="117" spans="1:3" x14ac:dyDescent="0.25">
      <c r="A117" s="2" t="s">
        <v>761</v>
      </c>
      <c r="B117" s="143" t="s">
        <v>86</v>
      </c>
      <c r="C117" s="143">
        <v>-115.6727992771323</v>
      </c>
    </row>
    <row r="118" spans="1:3" x14ac:dyDescent="0.25">
      <c r="A118" s="2" t="s">
        <v>1612</v>
      </c>
      <c r="B118" s="143" t="s">
        <v>86</v>
      </c>
      <c r="C118" s="143" t="s">
        <v>86</v>
      </c>
    </row>
    <row r="119" spans="1:3" x14ac:dyDescent="0.25">
      <c r="A119" s="2" t="s">
        <v>164</v>
      </c>
      <c r="B119" s="143">
        <v>-3.5766666666666671</v>
      </c>
      <c r="C119" s="143">
        <v>-19.464675848825369</v>
      </c>
    </row>
    <row r="120" spans="1:3" x14ac:dyDescent="0.25">
      <c r="A120" s="2" t="s">
        <v>764</v>
      </c>
      <c r="B120" s="143">
        <v>-3.3374999999999999</v>
      </c>
      <c r="C120" s="143">
        <v>-8.48</v>
      </c>
    </row>
    <row r="121" spans="1:3" x14ac:dyDescent="0.25">
      <c r="A121" s="2" t="s">
        <v>167</v>
      </c>
      <c r="B121" s="143">
        <v>-11.771359508547009</v>
      </c>
      <c r="C121" s="143">
        <v>-15.885518013103839</v>
      </c>
    </row>
    <row r="122" spans="1:3" x14ac:dyDescent="0.25">
      <c r="A122" s="2" t="s">
        <v>169</v>
      </c>
      <c r="B122" s="143">
        <v>-12.06611675996681</v>
      </c>
      <c r="C122" s="143">
        <v>-10.39</v>
      </c>
    </row>
    <row r="123" spans="1:3" x14ac:dyDescent="0.25">
      <c r="A123" s="2" t="s">
        <v>171</v>
      </c>
      <c r="B123" s="143">
        <v>-6.043703703703704</v>
      </c>
      <c r="C123" s="143">
        <v>-22.934576910955599</v>
      </c>
    </row>
    <row r="124" spans="1:3" x14ac:dyDescent="0.25">
      <c r="A124" s="2" t="s">
        <v>767</v>
      </c>
      <c r="B124" s="143">
        <v>-3.759147756028796</v>
      </c>
      <c r="C124" s="143">
        <v>-30.89292762240521</v>
      </c>
    </row>
    <row r="125" spans="1:3" x14ac:dyDescent="0.25">
      <c r="A125" s="2" t="s">
        <v>770</v>
      </c>
      <c r="B125" s="143">
        <v>-6.043703703703704</v>
      </c>
      <c r="C125" s="143">
        <v>-39.592616018862337</v>
      </c>
    </row>
    <row r="126" spans="1:3" x14ac:dyDescent="0.25">
      <c r="A126" s="2" t="s">
        <v>1614</v>
      </c>
      <c r="B126" s="143" t="s">
        <v>86</v>
      </c>
      <c r="C126" s="143" t="s">
        <v>86</v>
      </c>
    </row>
    <row r="127" spans="1:3" x14ac:dyDescent="0.25">
      <c r="A127" s="2" t="s">
        <v>1616</v>
      </c>
      <c r="B127" s="143" t="s">
        <v>86</v>
      </c>
      <c r="C127" s="143" t="s">
        <v>86</v>
      </c>
    </row>
    <row r="128" spans="1:3" x14ac:dyDescent="0.25">
      <c r="A128" s="2" t="s">
        <v>1618</v>
      </c>
      <c r="B128" s="143" t="s">
        <v>86</v>
      </c>
      <c r="C128" s="143" t="s">
        <v>86</v>
      </c>
    </row>
    <row r="129" spans="1:3" x14ac:dyDescent="0.25">
      <c r="A129" s="2" t="s">
        <v>773</v>
      </c>
      <c r="B129" s="143">
        <v>-11.21084045584046</v>
      </c>
      <c r="C129" s="143">
        <v>-9.09</v>
      </c>
    </row>
    <row r="130" spans="1:3" x14ac:dyDescent="0.25">
      <c r="A130" s="2" t="s">
        <v>776</v>
      </c>
      <c r="B130" s="143">
        <v>-4.4118750000000002</v>
      </c>
      <c r="C130" s="143">
        <v>-2.400376988622555</v>
      </c>
    </row>
    <row r="131" spans="1:3" x14ac:dyDescent="0.25">
      <c r="A131" s="2" t="s">
        <v>1620</v>
      </c>
      <c r="B131" s="143" t="s">
        <v>86</v>
      </c>
      <c r="C131" s="143" t="s">
        <v>86</v>
      </c>
    </row>
    <row r="132" spans="1:3" x14ac:dyDescent="0.25">
      <c r="A132" s="2" t="s">
        <v>1621</v>
      </c>
      <c r="B132" s="143" t="s">
        <v>86</v>
      </c>
      <c r="C132" s="143" t="s">
        <v>86</v>
      </c>
    </row>
    <row r="133" spans="1:3" x14ac:dyDescent="0.25">
      <c r="A133" s="2" t="s">
        <v>173</v>
      </c>
      <c r="B133" s="143">
        <v>-1.615814814814815</v>
      </c>
      <c r="C133" s="143">
        <v>-0.96079149229895977</v>
      </c>
    </row>
    <row r="134" spans="1:3" x14ac:dyDescent="0.25">
      <c r="A134" s="2" t="s">
        <v>176</v>
      </c>
      <c r="B134" s="143">
        <v>-8.807564102564104</v>
      </c>
      <c r="C134" s="143" t="s">
        <v>86</v>
      </c>
    </row>
    <row r="135" spans="1:3" x14ac:dyDescent="0.25">
      <c r="A135" s="2" t="s">
        <v>178</v>
      </c>
      <c r="B135" s="143">
        <v>-4.5131666666666668</v>
      </c>
      <c r="C135" s="143">
        <v>-8.5315229608837413</v>
      </c>
    </row>
    <row r="136" spans="1:3" x14ac:dyDescent="0.25">
      <c r="A136" s="2" t="s">
        <v>180</v>
      </c>
      <c r="B136" s="143">
        <v>-1.1582832792207789</v>
      </c>
      <c r="C136" s="143">
        <v>-1.6804156618942441</v>
      </c>
    </row>
    <row r="137" spans="1:3" x14ac:dyDescent="0.25">
      <c r="A137" s="2" t="s">
        <v>182</v>
      </c>
      <c r="B137" s="143">
        <v>-1.6891927083333329</v>
      </c>
      <c r="C137" s="143" t="s">
        <v>86</v>
      </c>
    </row>
    <row r="138" spans="1:3" x14ac:dyDescent="0.25">
      <c r="A138" s="2" t="s">
        <v>1622</v>
      </c>
      <c r="B138" s="143" t="s">
        <v>86</v>
      </c>
      <c r="C138" s="143" t="s">
        <v>86</v>
      </c>
    </row>
    <row r="139" spans="1:3" x14ac:dyDescent="0.25">
      <c r="A139" s="2" t="s">
        <v>1625</v>
      </c>
      <c r="B139" s="143" t="s">
        <v>86</v>
      </c>
      <c r="C139" s="143" t="s">
        <v>86</v>
      </c>
    </row>
    <row r="140" spans="1:3" x14ac:dyDescent="0.25">
      <c r="A140" s="2" t="s">
        <v>1627</v>
      </c>
      <c r="B140" s="143" t="s">
        <v>86</v>
      </c>
      <c r="C140" s="143" t="s">
        <v>86</v>
      </c>
    </row>
    <row r="141" spans="1:3" x14ac:dyDescent="0.25">
      <c r="A141" s="2" t="s">
        <v>1629</v>
      </c>
      <c r="B141" s="143" t="s">
        <v>86</v>
      </c>
      <c r="C141" s="143" t="s">
        <v>86</v>
      </c>
    </row>
    <row r="142" spans="1:3" x14ac:dyDescent="0.25">
      <c r="A142" s="2" t="s">
        <v>1631</v>
      </c>
      <c r="B142" s="143" t="s">
        <v>86</v>
      </c>
      <c r="C142" s="143" t="s">
        <v>86</v>
      </c>
    </row>
    <row r="143" spans="1:3" x14ac:dyDescent="0.25">
      <c r="A143" s="2" t="s">
        <v>184</v>
      </c>
      <c r="B143" s="143">
        <v>-10.758649267399271</v>
      </c>
      <c r="C143" s="143">
        <v>-8.1197535654962696</v>
      </c>
    </row>
    <row r="144" spans="1:3" x14ac:dyDescent="0.25">
      <c r="A144" s="2" t="s">
        <v>187</v>
      </c>
      <c r="B144" s="143">
        <v>-7.9821944444444446</v>
      </c>
      <c r="C144" s="143">
        <v>-7.17</v>
      </c>
    </row>
    <row r="145" spans="1:3" x14ac:dyDescent="0.25">
      <c r="A145" s="2" t="s">
        <v>189</v>
      </c>
      <c r="B145" s="143">
        <v>-12.6022619047619</v>
      </c>
      <c r="C145" s="143">
        <v>-16.059999999999999</v>
      </c>
    </row>
    <row r="146" spans="1:3" x14ac:dyDescent="0.25">
      <c r="A146" s="2" t="s">
        <v>191</v>
      </c>
      <c r="B146" s="143">
        <v>-7.9712666666666676</v>
      </c>
      <c r="C146" s="143">
        <v>-5.33</v>
      </c>
    </row>
    <row r="147" spans="1:3" x14ac:dyDescent="0.25">
      <c r="A147" s="2" t="s">
        <v>193</v>
      </c>
      <c r="B147" s="143">
        <v>-9.0367214100064981</v>
      </c>
      <c r="C147" s="143">
        <v>-8.6701116632741293</v>
      </c>
    </row>
    <row r="148" spans="1:3" x14ac:dyDescent="0.25">
      <c r="A148" s="2" t="s">
        <v>195</v>
      </c>
      <c r="B148" s="143">
        <v>-6.6302499999999993</v>
      </c>
      <c r="C148" s="143">
        <v>-5.41</v>
      </c>
    </row>
    <row r="149" spans="1:3" x14ac:dyDescent="0.25">
      <c r="A149" s="2" t="s">
        <v>197</v>
      </c>
      <c r="B149" s="143">
        <v>-6.7808068783068771</v>
      </c>
      <c r="C149" s="143">
        <v>-5.4790974811731497</v>
      </c>
    </row>
    <row r="150" spans="1:3" x14ac:dyDescent="0.25">
      <c r="A150" s="2" t="s">
        <v>1633</v>
      </c>
      <c r="B150" s="143" t="s">
        <v>86</v>
      </c>
      <c r="C150" s="143" t="s">
        <v>86</v>
      </c>
    </row>
    <row r="151" spans="1:3" x14ac:dyDescent="0.25">
      <c r="A151" s="2" t="s">
        <v>1636</v>
      </c>
      <c r="B151" s="143" t="s">
        <v>86</v>
      </c>
      <c r="C151" s="143" t="s">
        <v>86</v>
      </c>
    </row>
    <row r="152" spans="1:3" x14ac:dyDescent="0.25">
      <c r="A152" s="2" t="s">
        <v>1639</v>
      </c>
      <c r="B152" s="143" t="s">
        <v>86</v>
      </c>
      <c r="C152" s="143" t="s">
        <v>86</v>
      </c>
    </row>
    <row r="153" spans="1:3" x14ac:dyDescent="0.25">
      <c r="A153" s="2" t="s">
        <v>1641</v>
      </c>
      <c r="B153" s="143" t="s">
        <v>86</v>
      </c>
      <c r="C153" s="143" t="s">
        <v>86</v>
      </c>
    </row>
    <row r="154" spans="1:3" x14ac:dyDescent="0.25">
      <c r="A154" s="2" t="s">
        <v>780</v>
      </c>
      <c r="B154" s="143">
        <v>-0.64089546053470481</v>
      </c>
      <c r="C154" s="143" t="s">
        <v>86</v>
      </c>
    </row>
    <row r="155" spans="1:3" x14ac:dyDescent="0.25">
      <c r="A155" s="2" t="s">
        <v>785</v>
      </c>
      <c r="B155" s="143">
        <v>-0.47055541702058018</v>
      </c>
      <c r="C155" s="143" t="s">
        <v>86</v>
      </c>
    </row>
    <row r="156" spans="1:3" x14ac:dyDescent="0.25">
      <c r="A156" s="2" t="s">
        <v>787</v>
      </c>
      <c r="B156" s="143">
        <v>-0.58200000000000007</v>
      </c>
      <c r="C156" s="143">
        <v>-7.9374640494204316</v>
      </c>
    </row>
    <row r="157" spans="1:3" x14ac:dyDescent="0.25">
      <c r="A157" s="2" t="s">
        <v>790</v>
      </c>
      <c r="B157" s="143">
        <v>-0.50250000000000006</v>
      </c>
      <c r="C157" s="143">
        <v>-6.6107472196775996</v>
      </c>
    </row>
    <row r="158" spans="1:3" x14ac:dyDescent="0.25">
      <c r="A158" s="2" t="s">
        <v>1643</v>
      </c>
      <c r="B158" s="143">
        <v>-0.46644458297941982</v>
      </c>
      <c r="C158" s="143">
        <v>-6.6107472196775996</v>
      </c>
    </row>
    <row r="159" spans="1:3" x14ac:dyDescent="0.25">
      <c r="A159" s="2" t="s">
        <v>792</v>
      </c>
      <c r="B159" s="143">
        <v>-0.43620907893059052</v>
      </c>
      <c r="C159" s="143">
        <v>-6.6107472196775996</v>
      </c>
    </row>
    <row r="160" spans="1:3" x14ac:dyDescent="0.25">
      <c r="A160" s="2" t="s">
        <v>794</v>
      </c>
      <c r="B160" s="143">
        <v>-1.948</v>
      </c>
      <c r="C160" s="143">
        <v>-11.841424001184039</v>
      </c>
    </row>
    <row r="161" spans="1:3" x14ac:dyDescent="0.25">
      <c r="A161" s="2" t="s">
        <v>199</v>
      </c>
      <c r="B161" s="143">
        <v>-8.635439732326164</v>
      </c>
      <c r="C161" s="143">
        <v>-3.699972399527875</v>
      </c>
    </row>
    <row r="162" spans="1:3" x14ac:dyDescent="0.25">
      <c r="A162" s="2" t="s">
        <v>202</v>
      </c>
      <c r="B162" s="143">
        <v>-1.353480392156863</v>
      </c>
      <c r="C162" s="143">
        <v>-2.1</v>
      </c>
    </row>
    <row r="163" spans="1:3" x14ac:dyDescent="0.25">
      <c r="A163" s="2" t="s">
        <v>204</v>
      </c>
      <c r="B163" s="143">
        <v>-6.5768341205578063</v>
      </c>
      <c r="C163" s="143">
        <v>-9.1401006612776126</v>
      </c>
    </row>
    <row r="164" spans="1:3" x14ac:dyDescent="0.25">
      <c r="A164" s="2" t="s">
        <v>206</v>
      </c>
      <c r="B164" s="143">
        <v>-7.0738986568986579</v>
      </c>
      <c r="C164" s="143">
        <v>-4.05</v>
      </c>
    </row>
    <row r="165" spans="1:3" x14ac:dyDescent="0.25">
      <c r="A165" s="2" t="s">
        <v>208</v>
      </c>
      <c r="B165" s="143">
        <v>-8.1062350427350438</v>
      </c>
      <c r="C165" s="143">
        <v>-7.680603195339395</v>
      </c>
    </row>
    <row r="166" spans="1:3" x14ac:dyDescent="0.25">
      <c r="A166" s="2" t="s">
        <v>210</v>
      </c>
      <c r="B166" s="143">
        <v>-8.0374942279942267</v>
      </c>
      <c r="C166" s="143">
        <v>-18.59</v>
      </c>
    </row>
    <row r="167" spans="1:3" x14ac:dyDescent="0.25">
      <c r="A167" s="2" t="s">
        <v>212</v>
      </c>
      <c r="B167" s="143">
        <v>-8.9946190476190484</v>
      </c>
      <c r="C167" s="143">
        <v>-6.8435616648697559</v>
      </c>
    </row>
    <row r="168" spans="1:3" x14ac:dyDescent="0.25">
      <c r="A168" s="2" t="s">
        <v>214</v>
      </c>
      <c r="B168" s="143">
        <v>-1.492747863247863</v>
      </c>
      <c r="C168" s="143">
        <v>-2.5031725353981811</v>
      </c>
    </row>
    <row r="169" spans="1:3" x14ac:dyDescent="0.25">
      <c r="A169" s="2" t="s">
        <v>216</v>
      </c>
      <c r="B169" s="143">
        <v>-7.6947359307359307</v>
      </c>
      <c r="C169" s="143">
        <v>-3.0794302429031322</v>
      </c>
    </row>
    <row r="170" spans="1:3" x14ac:dyDescent="0.25">
      <c r="A170" s="2" t="s">
        <v>218</v>
      </c>
      <c r="B170" s="143">
        <v>-7.880743631368631</v>
      </c>
      <c r="C170" s="143">
        <v>-4.3499999999999996</v>
      </c>
    </row>
    <row r="171" spans="1:3" x14ac:dyDescent="0.25">
      <c r="A171" s="2" t="s">
        <v>220</v>
      </c>
      <c r="B171" s="143">
        <v>-8.4149910714285721</v>
      </c>
      <c r="C171" s="143">
        <v>-10.45</v>
      </c>
    </row>
    <row r="172" spans="1:3" x14ac:dyDescent="0.25">
      <c r="A172" s="2" t="s">
        <v>222</v>
      </c>
      <c r="B172" s="143">
        <v>-10.109544566544569</v>
      </c>
      <c r="C172" s="143">
        <v>-12.44</v>
      </c>
    </row>
    <row r="173" spans="1:3" x14ac:dyDescent="0.25">
      <c r="A173" s="2" t="s">
        <v>224</v>
      </c>
      <c r="B173" s="143">
        <v>-11.563750000000001</v>
      </c>
      <c r="C173" s="143">
        <v>-28.33102119188468</v>
      </c>
    </row>
    <row r="174" spans="1:3" x14ac:dyDescent="0.25">
      <c r="A174" s="2" t="s">
        <v>226</v>
      </c>
      <c r="B174" s="143">
        <v>-12.292987984667549</v>
      </c>
      <c r="C174" s="143">
        <v>-14.89</v>
      </c>
    </row>
    <row r="175" spans="1:3" x14ac:dyDescent="0.25">
      <c r="A175" s="2" t="s">
        <v>228</v>
      </c>
      <c r="B175" s="143">
        <v>-14.774333333333329</v>
      </c>
      <c r="C175" s="143">
        <v>-30.77267693470057</v>
      </c>
    </row>
    <row r="176" spans="1:3" x14ac:dyDescent="0.25">
      <c r="A176" s="2" t="s">
        <v>797</v>
      </c>
      <c r="B176" s="143">
        <v>-22.585625</v>
      </c>
      <c r="C176" s="143" t="s">
        <v>86</v>
      </c>
    </row>
    <row r="177" spans="1:3" x14ac:dyDescent="0.25">
      <c r="A177" s="2" t="s">
        <v>230</v>
      </c>
      <c r="B177" s="143">
        <v>-1.038214285714286</v>
      </c>
      <c r="C177" s="143" t="s">
        <v>86</v>
      </c>
    </row>
    <row r="178" spans="1:3" x14ac:dyDescent="0.25">
      <c r="A178" s="2" t="s">
        <v>233</v>
      </c>
      <c r="B178" s="143" t="s">
        <v>86</v>
      </c>
      <c r="C178" s="143" t="s">
        <v>86</v>
      </c>
    </row>
    <row r="179" spans="1:3" x14ac:dyDescent="0.25">
      <c r="A179" s="2" t="s">
        <v>235</v>
      </c>
      <c r="B179" s="143" t="s">
        <v>86</v>
      </c>
      <c r="C179" s="143" t="s">
        <v>86</v>
      </c>
    </row>
    <row r="180" spans="1:3" x14ac:dyDescent="0.25">
      <c r="A180" s="2" t="s">
        <v>237</v>
      </c>
      <c r="B180" s="143" t="s">
        <v>86</v>
      </c>
      <c r="C180" s="143" t="s">
        <v>86</v>
      </c>
    </row>
    <row r="181" spans="1:3" x14ac:dyDescent="0.25">
      <c r="A181" s="2" t="s">
        <v>239</v>
      </c>
      <c r="B181" s="143" t="s">
        <v>86</v>
      </c>
      <c r="C181" s="143" t="s">
        <v>86</v>
      </c>
    </row>
    <row r="182" spans="1:3" x14ac:dyDescent="0.25">
      <c r="A182" s="2" t="s">
        <v>241</v>
      </c>
      <c r="B182" s="143" t="s">
        <v>86</v>
      </c>
      <c r="C182" s="143" t="s">
        <v>86</v>
      </c>
    </row>
    <row r="183" spans="1:3" x14ac:dyDescent="0.25">
      <c r="A183" s="2" t="s">
        <v>243</v>
      </c>
      <c r="B183" s="143">
        <v>-0.92223509959539363</v>
      </c>
      <c r="C183" s="143">
        <v>-0.93143648360863218</v>
      </c>
    </row>
    <row r="184" spans="1:3" x14ac:dyDescent="0.25">
      <c r="A184" s="2" t="s">
        <v>245</v>
      </c>
      <c r="B184" s="143">
        <v>-1.329</v>
      </c>
      <c r="C184" s="143">
        <v>-1.5552255397444319</v>
      </c>
    </row>
    <row r="185" spans="1:3" x14ac:dyDescent="0.25">
      <c r="A185" s="2" t="s">
        <v>247</v>
      </c>
      <c r="B185" s="143">
        <v>-1.637</v>
      </c>
      <c r="C185" s="143" t="s">
        <v>86</v>
      </c>
    </row>
    <row r="186" spans="1:3" x14ac:dyDescent="0.25">
      <c r="A186" s="2" t="s">
        <v>249</v>
      </c>
      <c r="B186" s="143">
        <v>-2.129166666666666</v>
      </c>
      <c r="C186" s="143">
        <v>-1.523565591256778</v>
      </c>
    </row>
    <row r="187" spans="1:3" x14ac:dyDescent="0.25">
      <c r="A187" s="2" t="s">
        <v>251</v>
      </c>
      <c r="B187" s="143">
        <v>-2.1991666666666672</v>
      </c>
      <c r="C187" s="143" t="s">
        <v>86</v>
      </c>
    </row>
    <row r="188" spans="1:3" x14ac:dyDescent="0.25">
      <c r="A188" s="2" t="s">
        <v>253</v>
      </c>
      <c r="B188" s="143">
        <v>-2.5230000000000001</v>
      </c>
      <c r="C188" s="143">
        <v>-15.94916975246271</v>
      </c>
    </row>
    <row r="189" spans="1:3" x14ac:dyDescent="0.25">
      <c r="A189" s="2" t="s">
        <v>255</v>
      </c>
      <c r="B189" s="143">
        <v>-3.0562499999999999</v>
      </c>
      <c r="C189" s="143">
        <v>-18.4157904998278</v>
      </c>
    </row>
    <row r="190" spans="1:3" x14ac:dyDescent="0.25">
      <c r="A190" s="2" t="s">
        <v>257</v>
      </c>
      <c r="B190" s="143" t="s">
        <v>86</v>
      </c>
      <c r="C190" s="143" t="s">
        <v>86</v>
      </c>
    </row>
    <row r="191" spans="1:3" x14ac:dyDescent="0.25">
      <c r="A191" s="2" t="s">
        <v>259</v>
      </c>
      <c r="B191" s="143" t="s">
        <v>86</v>
      </c>
      <c r="C191" s="143" t="s">
        <v>86</v>
      </c>
    </row>
    <row r="192" spans="1:3" x14ac:dyDescent="0.25">
      <c r="A192" s="2" t="s">
        <v>261</v>
      </c>
      <c r="B192" s="143">
        <v>-16.315999999999999</v>
      </c>
      <c r="C192" s="143">
        <v>-44.89</v>
      </c>
    </row>
    <row r="193" spans="1:3" x14ac:dyDescent="0.25">
      <c r="A193" s="2" t="s">
        <v>263</v>
      </c>
      <c r="B193" s="143">
        <v>-0.76754792429792418</v>
      </c>
      <c r="C193" s="143">
        <v>-3.93</v>
      </c>
    </row>
    <row r="194" spans="1:3" x14ac:dyDescent="0.25">
      <c r="A194" s="2" t="s">
        <v>265</v>
      </c>
      <c r="B194" s="143">
        <v>-1.267851851851852</v>
      </c>
      <c r="C194" s="143">
        <v>-4.4790495544639644</v>
      </c>
    </row>
    <row r="195" spans="1:3" x14ac:dyDescent="0.25">
      <c r="A195" s="2" t="s">
        <v>1645</v>
      </c>
      <c r="B195" s="143">
        <v>-11.808888888888889</v>
      </c>
      <c r="C195" s="143">
        <v>-11.19988248321428</v>
      </c>
    </row>
    <row r="196" spans="1:3" x14ac:dyDescent="0.25">
      <c r="A196" s="2" t="s">
        <v>1647</v>
      </c>
      <c r="B196" s="143">
        <v>-1.06</v>
      </c>
      <c r="C196" s="143" t="s">
        <v>86</v>
      </c>
    </row>
    <row r="197" spans="1:3" x14ac:dyDescent="0.25">
      <c r="A197" s="2" t="s">
        <v>1649</v>
      </c>
      <c r="B197" s="143" t="s">
        <v>86</v>
      </c>
      <c r="C197" s="143" t="s">
        <v>86</v>
      </c>
    </row>
    <row r="198" spans="1:3" x14ac:dyDescent="0.25">
      <c r="A198" s="2" t="s">
        <v>800</v>
      </c>
      <c r="B198" s="143" t="s">
        <v>86</v>
      </c>
      <c r="C198" s="143">
        <v>-30.64788510631908</v>
      </c>
    </row>
    <row r="199" spans="1:3" x14ac:dyDescent="0.25">
      <c r="A199" s="2" t="s">
        <v>1651</v>
      </c>
      <c r="B199" s="143">
        <v>-12.25520833333333</v>
      </c>
      <c r="C199" s="143">
        <v>-31.091272623774401</v>
      </c>
    </row>
    <row r="200" spans="1:3" x14ac:dyDescent="0.25">
      <c r="A200" s="2" t="s">
        <v>1653</v>
      </c>
      <c r="B200" s="143">
        <v>-6.1628125000000002</v>
      </c>
      <c r="C200" s="143" t="s">
        <v>86</v>
      </c>
    </row>
    <row r="201" spans="1:3" x14ac:dyDescent="0.25">
      <c r="A201" s="2" t="s">
        <v>1655</v>
      </c>
      <c r="B201" s="143">
        <v>-4.6633333333333331</v>
      </c>
      <c r="C201" s="143">
        <v>-55.7462847138884</v>
      </c>
    </row>
    <row r="202" spans="1:3" x14ac:dyDescent="0.25">
      <c r="A202" s="2" t="s">
        <v>1657</v>
      </c>
      <c r="B202" s="143">
        <v>-12.821249999999999</v>
      </c>
      <c r="C202" s="143">
        <v>-45.307257198407903</v>
      </c>
    </row>
    <row r="203" spans="1:3" x14ac:dyDescent="0.25">
      <c r="A203" s="2" t="s">
        <v>267</v>
      </c>
      <c r="B203" s="143">
        <v>-7.0595833333333333</v>
      </c>
      <c r="C203" s="143">
        <v>-6.28</v>
      </c>
    </row>
    <row r="204" spans="1:3" x14ac:dyDescent="0.25">
      <c r="A204" s="2" t="s">
        <v>803</v>
      </c>
      <c r="B204" s="143">
        <v>-0.94900000000000007</v>
      </c>
      <c r="C204" s="143">
        <v>-19.237997415616171</v>
      </c>
    </row>
    <row r="205" spans="1:3" x14ac:dyDescent="0.25">
      <c r="A205" s="2" t="s">
        <v>806</v>
      </c>
      <c r="B205" s="143">
        <v>-9.5500000000000007</v>
      </c>
      <c r="C205" s="143" t="s">
        <v>86</v>
      </c>
    </row>
    <row r="206" spans="1:3" x14ac:dyDescent="0.25">
      <c r="A206" s="2" t="s">
        <v>809</v>
      </c>
      <c r="B206" s="143">
        <v>-5.9474999999999998</v>
      </c>
      <c r="C206" s="143" t="s">
        <v>86</v>
      </c>
    </row>
    <row r="207" spans="1:3" x14ac:dyDescent="0.25">
      <c r="A207" s="2" t="s">
        <v>812</v>
      </c>
      <c r="B207" s="143" t="s">
        <v>86</v>
      </c>
      <c r="C207" s="143">
        <v>-22.57700633236259</v>
      </c>
    </row>
    <row r="208" spans="1:3" x14ac:dyDescent="0.25">
      <c r="A208" s="2" t="s">
        <v>269</v>
      </c>
      <c r="B208" s="143">
        <v>-6.7149999999999999</v>
      </c>
      <c r="C208" s="143">
        <v>-21.204632346848751</v>
      </c>
    </row>
    <row r="209" spans="1:3" x14ac:dyDescent="0.25">
      <c r="A209" s="2" t="s">
        <v>271</v>
      </c>
      <c r="B209" s="143">
        <v>-6.3537346938775512</v>
      </c>
      <c r="C209" s="143">
        <v>-1.56</v>
      </c>
    </row>
    <row r="210" spans="1:3" x14ac:dyDescent="0.25">
      <c r="A210" s="2" t="s">
        <v>1659</v>
      </c>
      <c r="B210" s="143" t="s">
        <v>86</v>
      </c>
      <c r="C210" s="143" t="s">
        <v>86</v>
      </c>
    </row>
    <row r="211" spans="1:3" x14ac:dyDescent="0.25">
      <c r="A211" s="2" t="s">
        <v>1661</v>
      </c>
      <c r="B211" s="143" t="s">
        <v>86</v>
      </c>
      <c r="C211" s="143" t="s">
        <v>86</v>
      </c>
    </row>
    <row r="212" spans="1:3" x14ac:dyDescent="0.25">
      <c r="A212" s="2" t="s">
        <v>1663</v>
      </c>
      <c r="B212" s="143" t="s">
        <v>86</v>
      </c>
      <c r="C212" s="143" t="s">
        <v>86</v>
      </c>
    </row>
    <row r="213" spans="1:3" x14ac:dyDescent="0.25">
      <c r="A213" s="2" t="s">
        <v>815</v>
      </c>
      <c r="B213" s="143" t="s">
        <v>86</v>
      </c>
      <c r="C213" s="143" t="s">
        <v>86</v>
      </c>
    </row>
    <row r="214" spans="1:3" x14ac:dyDescent="0.25">
      <c r="A214" s="2" t="s">
        <v>273</v>
      </c>
      <c r="B214" s="143">
        <v>-11.115833333333329</v>
      </c>
      <c r="C214" s="143">
        <v>-17.329999999999998</v>
      </c>
    </row>
    <row r="215" spans="1:3" x14ac:dyDescent="0.25">
      <c r="A215" s="2" t="s">
        <v>818</v>
      </c>
      <c r="B215" s="143">
        <v>-6.4325000000000001</v>
      </c>
      <c r="C215" s="143">
        <v>-12.13</v>
      </c>
    </row>
    <row r="216" spans="1:3" x14ac:dyDescent="0.25">
      <c r="A216" s="2" t="s">
        <v>821</v>
      </c>
      <c r="B216" s="143" t="s">
        <v>86</v>
      </c>
      <c r="C216" s="143">
        <v>-11.23793247006599</v>
      </c>
    </row>
    <row r="217" spans="1:3" x14ac:dyDescent="0.25">
      <c r="A217" s="2" t="s">
        <v>1665</v>
      </c>
      <c r="B217" s="143">
        <v>-7.9149999999999991</v>
      </c>
      <c r="C217" s="143" t="s">
        <v>86</v>
      </c>
    </row>
    <row r="218" spans="1:3" x14ac:dyDescent="0.25">
      <c r="A218" s="2" t="s">
        <v>825</v>
      </c>
      <c r="B218" s="143">
        <v>-6.7366666666666672</v>
      </c>
      <c r="C218" s="143">
        <v>-8.75</v>
      </c>
    </row>
    <row r="219" spans="1:3" x14ac:dyDescent="0.25">
      <c r="A219" s="2" t="s">
        <v>828</v>
      </c>
      <c r="B219" s="143">
        <v>-8.0136055555555537</v>
      </c>
      <c r="C219" s="143">
        <v>-9.5399999999999991</v>
      </c>
    </row>
    <row r="220" spans="1:3" x14ac:dyDescent="0.25">
      <c r="A220" s="2" t="s">
        <v>1667</v>
      </c>
      <c r="B220" s="143" t="s">
        <v>86</v>
      </c>
      <c r="C220" s="143">
        <v>-26.050549095837528</v>
      </c>
    </row>
    <row r="221" spans="1:3" x14ac:dyDescent="0.25">
      <c r="A221" s="2" t="s">
        <v>831</v>
      </c>
      <c r="B221" s="143" t="s">
        <v>86</v>
      </c>
      <c r="C221" s="143">
        <v>-20.018759265272699</v>
      </c>
    </row>
    <row r="222" spans="1:3" x14ac:dyDescent="0.25">
      <c r="A222" s="2" t="s">
        <v>835</v>
      </c>
      <c r="B222" s="143" t="s">
        <v>86</v>
      </c>
      <c r="C222" s="143" t="s">
        <v>86</v>
      </c>
    </row>
    <row r="223" spans="1:3" x14ac:dyDescent="0.25">
      <c r="A223" s="2" t="s">
        <v>1669</v>
      </c>
      <c r="B223" s="143" t="s">
        <v>86</v>
      </c>
      <c r="C223" s="143" t="s">
        <v>86</v>
      </c>
    </row>
    <row r="224" spans="1:3" x14ac:dyDescent="0.25">
      <c r="A224" s="2" t="s">
        <v>838</v>
      </c>
      <c r="B224" s="143">
        <v>-2.1675</v>
      </c>
      <c r="C224" s="143">
        <v>-1.63</v>
      </c>
    </row>
    <row r="225" spans="1:3" x14ac:dyDescent="0.25">
      <c r="A225" s="2" t="s">
        <v>841</v>
      </c>
      <c r="B225" s="143">
        <v>-6.4835000000000012</v>
      </c>
      <c r="C225" s="143">
        <v>-3.5</v>
      </c>
    </row>
    <row r="226" spans="1:3" x14ac:dyDescent="0.25">
      <c r="A226" s="2" t="s">
        <v>275</v>
      </c>
      <c r="B226" s="143">
        <v>-13.08827777777778</v>
      </c>
      <c r="C226" s="143">
        <v>-19.288982026785138</v>
      </c>
    </row>
    <row r="227" spans="1:3" x14ac:dyDescent="0.25">
      <c r="A227" s="2" t="s">
        <v>1671</v>
      </c>
      <c r="B227" s="143" t="s">
        <v>86</v>
      </c>
      <c r="C227" s="143" t="s">
        <v>86</v>
      </c>
    </row>
    <row r="228" spans="1:3" x14ac:dyDescent="0.25">
      <c r="A228" s="2" t="s">
        <v>280</v>
      </c>
      <c r="B228" s="143">
        <v>-4.7186480186480182</v>
      </c>
      <c r="C228" s="143" t="s">
        <v>86</v>
      </c>
    </row>
    <row r="229" spans="1:3" x14ac:dyDescent="0.25">
      <c r="A229" s="2" t="s">
        <v>284</v>
      </c>
      <c r="B229" s="143">
        <v>-5.3436309523809529</v>
      </c>
      <c r="C229" s="143" t="s">
        <v>86</v>
      </c>
    </row>
    <row r="230" spans="1:3" x14ac:dyDescent="0.25">
      <c r="A230" s="2" t="s">
        <v>286</v>
      </c>
      <c r="B230" s="143">
        <v>-6.873616666666666</v>
      </c>
      <c r="C230" s="143" t="s">
        <v>86</v>
      </c>
    </row>
    <row r="231" spans="1:3" x14ac:dyDescent="0.25">
      <c r="A231" s="2" t="s">
        <v>288</v>
      </c>
      <c r="B231" s="143">
        <v>-0.89449999999999996</v>
      </c>
      <c r="C231" s="143" t="s">
        <v>86</v>
      </c>
    </row>
    <row r="232" spans="1:3" x14ac:dyDescent="0.25">
      <c r="A232" s="2" t="s">
        <v>1674</v>
      </c>
      <c r="B232" s="143" t="s">
        <v>86</v>
      </c>
      <c r="C232" s="143" t="s">
        <v>86</v>
      </c>
    </row>
    <row r="233" spans="1:3" x14ac:dyDescent="0.25">
      <c r="A233" s="2" t="s">
        <v>290</v>
      </c>
      <c r="B233" s="143">
        <v>-8.3460000000000001</v>
      </c>
      <c r="C233" s="143" t="s">
        <v>86</v>
      </c>
    </row>
    <row r="234" spans="1:3" x14ac:dyDescent="0.25">
      <c r="A234" s="2" t="s">
        <v>292</v>
      </c>
      <c r="B234" s="143">
        <v>-9.4836666666666662</v>
      </c>
      <c r="C234" s="143" t="s">
        <v>86</v>
      </c>
    </row>
    <row r="235" spans="1:3" x14ac:dyDescent="0.25">
      <c r="A235" s="2" t="s">
        <v>844</v>
      </c>
      <c r="B235" s="143">
        <v>-5.7647619047619054</v>
      </c>
      <c r="C235" s="143">
        <v>-6.4914384467999398</v>
      </c>
    </row>
    <row r="236" spans="1:3" x14ac:dyDescent="0.25">
      <c r="A236" s="2" t="s">
        <v>847</v>
      </c>
      <c r="B236" s="143">
        <v>-7.9666666666666659</v>
      </c>
      <c r="C236" s="143" t="s">
        <v>86</v>
      </c>
    </row>
    <row r="237" spans="1:3" x14ac:dyDescent="0.25">
      <c r="A237" s="2" t="s">
        <v>850</v>
      </c>
      <c r="B237" s="143">
        <v>-8.4296180555555544</v>
      </c>
      <c r="C237" s="143">
        <v>-11.33097212020585</v>
      </c>
    </row>
    <row r="238" spans="1:3" x14ac:dyDescent="0.25">
      <c r="A238" s="2" t="s">
        <v>1676</v>
      </c>
      <c r="B238" s="143">
        <v>-7.4041666666666659</v>
      </c>
      <c r="C238" s="143">
        <v>-20.54</v>
      </c>
    </row>
    <row r="239" spans="1:3" x14ac:dyDescent="0.25">
      <c r="A239" s="2" t="s">
        <v>853</v>
      </c>
      <c r="B239" s="143">
        <v>-12.652925925925929</v>
      </c>
      <c r="C239" s="143">
        <v>-46.65676619233296</v>
      </c>
    </row>
    <row r="240" spans="1:3" x14ac:dyDescent="0.25">
      <c r="A240" s="2" t="s">
        <v>1678</v>
      </c>
      <c r="B240" s="143" t="s">
        <v>86</v>
      </c>
      <c r="C240" s="143" t="s">
        <v>86</v>
      </c>
    </row>
    <row r="241" spans="1:3" x14ac:dyDescent="0.25">
      <c r="A241" s="2" t="s">
        <v>1680</v>
      </c>
      <c r="B241" s="143" t="s">
        <v>86</v>
      </c>
      <c r="C241" s="143" t="s">
        <v>86</v>
      </c>
    </row>
    <row r="242" spans="1:3" x14ac:dyDescent="0.25">
      <c r="A242" s="2" t="s">
        <v>1682</v>
      </c>
      <c r="B242" s="143" t="s">
        <v>86</v>
      </c>
      <c r="C242" s="143" t="s">
        <v>86</v>
      </c>
    </row>
    <row r="243" spans="1:3" x14ac:dyDescent="0.25">
      <c r="A243" s="2" t="s">
        <v>294</v>
      </c>
      <c r="B243" s="143">
        <v>-3.056111111111111</v>
      </c>
      <c r="C243" s="143">
        <v>-3.8367784357290309</v>
      </c>
    </row>
    <row r="244" spans="1:3" x14ac:dyDescent="0.25">
      <c r="A244" s="2" t="s">
        <v>297</v>
      </c>
      <c r="B244" s="143">
        <v>-1.626349206349206</v>
      </c>
      <c r="C244" s="143">
        <v>-4.1621168069717598</v>
      </c>
    </row>
    <row r="245" spans="1:3" x14ac:dyDescent="0.25">
      <c r="A245" s="2" t="s">
        <v>1684</v>
      </c>
      <c r="B245" s="143" t="s">
        <v>86</v>
      </c>
      <c r="C245" s="143" t="s">
        <v>86</v>
      </c>
    </row>
    <row r="246" spans="1:3" x14ac:dyDescent="0.25">
      <c r="A246" s="2" t="s">
        <v>1687</v>
      </c>
      <c r="B246" s="143">
        <v>-11.631666666666669</v>
      </c>
      <c r="C246" s="143" t="s">
        <v>86</v>
      </c>
    </row>
    <row r="247" spans="1:3" x14ac:dyDescent="0.25">
      <c r="A247" s="2" t="s">
        <v>299</v>
      </c>
      <c r="B247" s="143">
        <v>-0.54060000000000008</v>
      </c>
      <c r="C247" s="143">
        <v>-1.759626610682272</v>
      </c>
    </row>
    <row r="248" spans="1:3" x14ac:dyDescent="0.25">
      <c r="A248" s="2" t="s">
        <v>856</v>
      </c>
      <c r="B248" s="143">
        <v>-22.550509259259261</v>
      </c>
      <c r="C248" s="143">
        <v>-59.787313249318103</v>
      </c>
    </row>
    <row r="249" spans="1:3" x14ac:dyDescent="0.25">
      <c r="A249" s="2" t="s">
        <v>1690</v>
      </c>
      <c r="B249" s="143" t="s">
        <v>86</v>
      </c>
      <c r="C249" s="143" t="s">
        <v>86</v>
      </c>
    </row>
    <row r="250" spans="1:3" x14ac:dyDescent="0.25">
      <c r="A250" s="2" t="s">
        <v>1692</v>
      </c>
      <c r="B250" s="143" t="s">
        <v>86</v>
      </c>
      <c r="C250" s="143" t="s">
        <v>86</v>
      </c>
    </row>
    <row r="251" spans="1:3" x14ac:dyDescent="0.25">
      <c r="A251" s="2" t="s">
        <v>1694</v>
      </c>
      <c r="B251" s="143" t="s">
        <v>86</v>
      </c>
      <c r="C251" s="143" t="s">
        <v>86</v>
      </c>
    </row>
    <row r="252" spans="1:3" x14ac:dyDescent="0.25">
      <c r="A252" s="2" t="s">
        <v>860</v>
      </c>
      <c r="B252" s="143" t="s">
        <v>86</v>
      </c>
      <c r="C252" s="143" t="s">
        <v>86</v>
      </c>
    </row>
    <row r="253" spans="1:3" x14ac:dyDescent="0.25">
      <c r="A253" s="2" t="s">
        <v>863</v>
      </c>
      <c r="B253" s="143" t="s">
        <v>86</v>
      </c>
      <c r="C253" s="143" t="s">
        <v>86</v>
      </c>
    </row>
    <row r="254" spans="1:3" x14ac:dyDescent="0.25">
      <c r="A254" s="2" t="s">
        <v>867</v>
      </c>
      <c r="B254" s="143">
        <v>-0.6</v>
      </c>
      <c r="C254" s="143" t="s">
        <v>86</v>
      </c>
    </row>
    <row r="255" spans="1:3" x14ac:dyDescent="0.25">
      <c r="A255" s="2" t="s">
        <v>871</v>
      </c>
      <c r="B255" s="143">
        <v>-0.85799999999999998</v>
      </c>
      <c r="C255" s="143" t="s">
        <v>86</v>
      </c>
    </row>
    <row r="256" spans="1:3" x14ac:dyDescent="0.25">
      <c r="A256" s="2" t="s">
        <v>874</v>
      </c>
      <c r="B256" s="143">
        <v>-1.5128571428571429</v>
      </c>
      <c r="C256" s="143" t="s">
        <v>86</v>
      </c>
    </row>
    <row r="257" spans="1:3" x14ac:dyDescent="0.25">
      <c r="A257" s="2" t="s">
        <v>877</v>
      </c>
      <c r="B257" s="143">
        <v>-0.74450000000000005</v>
      </c>
      <c r="C257" s="143" t="s">
        <v>86</v>
      </c>
    </row>
    <row r="258" spans="1:3" x14ac:dyDescent="0.25">
      <c r="A258" s="2" t="s">
        <v>880</v>
      </c>
      <c r="B258" s="143">
        <v>-0.84299999999999997</v>
      </c>
      <c r="C258" s="143" t="s">
        <v>86</v>
      </c>
    </row>
    <row r="259" spans="1:3" x14ac:dyDescent="0.25">
      <c r="A259" s="2" t="s">
        <v>1696</v>
      </c>
      <c r="B259" s="143" t="s">
        <v>86</v>
      </c>
      <c r="C259" s="143" t="s">
        <v>86</v>
      </c>
    </row>
    <row r="260" spans="1:3" x14ac:dyDescent="0.25">
      <c r="A260" s="2" t="s">
        <v>1698</v>
      </c>
      <c r="B260" s="143" t="s">
        <v>86</v>
      </c>
      <c r="C260" s="143" t="s">
        <v>86</v>
      </c>
    </row>
    <row r="261" spans="1:3" x14ac:dyDescent="0.25">
      <c r="A261" s="2" t="s">
        <v>1700</v>
      </c>
      <c r="B261" s="143" t="s">
        <v>86</v>
      </c>
      <c r="C261" s="143">
        <v>-22.168354242542009</v>
      </c>
    </row>
    <row r="262" spans="1:3" x14ac:dyDescent="0.25">
      <c r="A262" s="2" t="s">
        <v>1702</v>
      </c>
      <c r="B262" s="143" t="s">
        <v>86</v>
      </c>
      <c r="C262" s="143" t="s">
        <v>86</v>
      </c>
    </row>
    <row r="263" spans="1:3" x14ac:dyDescent="0.25">
      <c r="A263" s="2" t="s">
        <v>1704</v>
      </c>
      <c r="B263" s="143" t="s">
        <v>86</v>
      </c>
      <c r="C263" s="143">
        <v>-27.582994432664719</v>
      </c>
    </row>
    <row r="264" spans="1:3" x14ac:dyDescent="0.25">
      <c r="A264" s="2" t="s">
        <v>883</v>
      </c>
      <c r="B264" s="143" t="s">
        <v>86</v>
      </c>
      <c r="C264" s="143">
        <v>-53.838891203637083</v>
      </c>
    </row>
    <row r="265" spans="1:3" x14ac:dyDescent="0.25">
      <c r="A265" s="2" t="s">
        <v>887</v>
      </c>
      <c r="B265" s="143" t="s">
        <v>86</v>
      </c>
      <c r="C265" s="143" t="s">
        <v>86</v>
      </c>
    </row>
    <row r="266" spans="1:3" x14ac:dyDescent="0.25">
      <c r="A266" s="2" t="s">
        <v>1706</v>
      </c>
      <c r="B266" s="143" t="s">
        <v>86</v>
      </c>
      <c r="C266" s="143" t="s">
        <v>86</v>
      </c>
    </row>
    <row r="267" spans="1:3" x14ac:dyDescent="0.25">
      <c r="A267" s="2" t="s">
        <v>1708</v>
      </c>
      <c r="B267" s="143" t="s">
        <v>86</v>
      </c>
      <c r="C267" s="143">
        <v>-7.865531098821644</v>
      </c>
    </row>
    <row r="268" spans="1:3" x14ac:dyDescent="0.25">
      <c r="A268" s="2" t="s">
        <v>1710</v>
      </c>
      <c r="B268" s="143" t="s">
        <v>86</v>
      </c>
      <c r="C268" s="143" t="s">
        <v>86</v>
      </c>
    </row>
    <row r="269" spans="1:3" x14ac:dyDescent="0.25">
      <c r="A269" s="2" t="s">
        <v>1712</v>
      </c>
      <c r="B269" s="143" t="s">
        <v>86</v>
      </c>
      <c r="C269" s="143" t="s">
        <v>86</v>
      </c>
    </row>
    <row r="270" spans="1:3" x14ac:dyDescent="0.25">
      <c r="A270" s="2" t="s">
        <v>1714</v>
      </c>
      <c r="B270" s="143" t="s">
        <v>86</v>
      </c>
      <c r="C270" s="143" t="s">
        <v>86</v>
      </c>
    </row>
    <row r="271" spans="1:3" x14ac:dyDescent="0.25">
      <c r="A271" s="2" t="s">
        <v>1716</v>
      </c>
      <c r="B271" s="143" t="s">
        <v>86</v>
      </c>
      <c r="C271" s="143" t="s">
        <v>86</v>
      </c>
    </row>
    <row r="272" spans="1:3" x14ac:dyDescent="0.25">
      <c r="A272" s="2" t="s">
        <v>1718</v>
      </c>
      <c r="B272" s="143" t="s">
        <v>86</v>
      </c>
      <c r="C272" s="143" t="s">
        <v>86</v>
      </c>
    </row>
    <row r="273" spans="1:3" x14ac:dyDescent="0.25">
      <c r="A273" s="2" t="s">
        <v>301</v>
      </c>
      <c r="B273" s="143">
        <v>-12.9139294534413</v>
      </c>
      <c r="C273" s="143">
        <v>-9.6778772803569062</v>
      </c>
    </row>
    <row r="274" spans="1:3" x14ac:dyDescent="0.25">
      <c r="A274" s="2" t="s">
        <v>303</v>
      </c>
      <c r="B274" s="143">
        <v>-15.804372549019609</v>
      </c>
      <c r="C274" s="143">
        <v>-9.7403151982946916</v>
      </c>
    </row>
    <row r="275" spans="1:3" x14ac:dyDescent="0.25">
      <c r="A275" s="2" t="s">
        <v>690</v>
      </c>
      <c r="B275" s="143">
        <v>-17.80817424242424</v>
      </c>
      <c r="C275" s="143">
        <v>-11.41975960118091</v>
      </c>
    </row>
    <row r="276" spans="1:3" x14ac:dyDescent="0.25">
      <c r="A276" s="2" t="s">
        <v>1720</v>
      </c>
      <c r="B276" s="143" t="s">
        <v>86</v>
      </c>
      <c r="C276" s="143" t="s">
        <v>86</v>
      </c>
    </row>
    <row r="277" spans="1:3" x14ac:dyDescent="0.25">
      <c r="A277" s="2" t="s">
        <v>890</v>
      </c>
      <c r="B277" s="143">
        <v>-0.61</v>
      </c>
      <c r="C277" s="143" t="s">
        <v>86</v>
      </c>
    </row>
    <row r="278" spans="1:3" x14ac:dyDescent="0.25">
      <c r="A278" s="2" t="s">
        <v>893</v>
      </c>
      <c r="B278" s="143">
        <v>-1.3563333333333329</v>
      </c>
      <c r="C278" s="143" t="s">
        <v>86</v>
      </c>
    </row>
    <row r="279" spans="1:3" x14ac:dyDescent="0.25">
      <c r="A279" s="2" t="s">
        <v>1722</v>
      </c>
      <c r="B279" s="143" t="s">
        <v>86</v>
      </c>
      <c r="C279" s="143" t="s">
        <v>86</v>
      </c>
    </row>
    <row r="280" spans="1:3" x14ac:dyDescent="0.25">
      <c r="A280" s="2" t="s">
        <v>1725</v>
      </c>
      <c r="B280" s="143" t="s">
        <v>86</v>
      </c>
      <c r="C280" s="143" t="s">
        <v>86</v>
      </c>
    </row>
    <row r="281" spans="1:3" x14ac:dyDescent="0.25">
      <c r="A281" s="2" t="s">
        <v>1727</v>
      </c>
      <c r="B281" s="143" t="s">
        <v>86</v>
      </c>
      <c r="C281" s="143" t="s">
        <v>86</v>
      </c>
    </row>
    <row r="282" spans="1:3" x14ac:dyDescent="0.25">
      <c r="A282" s="2" t="s">
        <v>1729</v>
      </c>
      <c r="B282" s="143" t="s">
        <v>86</v>
      </c>
      <c r="C282" s="143" t="s">
        <v>86</v>
      </c>
    </row>
    <row r="283" spans="1:3" x14ac:dyDescent="0.25">
      <c r="A283" s="2" t="s">
        <v>1731</v>
      </c>
      <c r="B283" s="143" t="s">
        <v>86</v>
      </c>
      <c r="C283" s="143" t="s">
        <v>86</v>
      </c>
    </row>
    <row r="284" spans="1:3" x14ac:dyDescent="0.25">
      <c r="A284" s="2" t="s">
        <v>1733</v>
      </c>
      <c r="B284" s="143" t="s">
        <v>86</v>
      </c>
      <c r="C284" s="143" t="s">
        <v>86</v>
      </c>
    </row>
    <row r="285" spans="1:3" x14ac:dyDescent="0.25">
      <c r="A285" s="2" t="s">
        <v>305</v>
      </c>
      <c r="B285" s="143">
        <v>-5.0975000000000001</v>
      </c>
      <c r="C285" s="143">
        <v>-6.6739066248701659</v>
      </c>
    </row>
    <row r="286" spans="1:3" x14ac:dyDescent="0.25">
      <c r="A286" s="2" t="s">
        <v>1735</v>
      </c>
      <c r="B286" s="143" t="s">
        <v>86</v>
      </c>
      <c r="C286" s="143" t="s">
        <v>86</v>
      </c>
    </row>
    <row r="287" spans="1:3" x14ac:dyDescent="0.25">
      <c r="A287" s="2" t="s">
        <v>896</v>
      </c>
      <c r="B287" s="143" t="s">
        <v>86</v>
      </c>
      <c r="C287" s="143" t="s">
        <v>86</v>
      </c>
    </row>
    <row r="288" spans="1:3" x14ac:dyDescent="0.25">
      <c r="A288" s="2" t="s">
        <v>1737</v>
      </c>
      <c r="B288" s="143" t="s">
        <v>86</v>
      </c>
      <c r="C288" s="143" t="s">
        <v>86</v>
      </c>
    </row>
    <row r="289" spans="1:3" x14ac:dyDescent="0.25">
      <c r="A289" s="2" t="s">
        <v>307</v>
      </c>
      <c r="B289" s="143">
        <v>-2.14</v>
      </c>
      <c r="C289" s="143" t="s">
        <v>86</v>
      </c>
    </row>
    <row r="290" spans="1:3" x14ac:dyDescent="0.25">
      <c r="A290" s="2" t="s">
        <v>309</v>
      </c>
      <c r="B290" s="143">
        <v>-2.4180000000000001</v>
      </c>
      <c r="C290" s="143" t="s">
        <v>86</v>
      </c>
    </row>
    <row r="291" spans="1:3" x14ac:dyDescent="0.25">
      <c r="A291" s="2" t="s">
        <v>311</v>
      </c>
      <c r="B291" s="143">
        <v>-10.011111111111109</v>
      </c>
      <c r="C291" s="143" t="s">
        <v>86</v>
      </c>
    </row>
    <row r="292" spans="1:3" x14ac:dyDescent="0.25">
      <c r="A292" s="2" t="s">
        <v>313</v>
      </c>
      <c r="B292" s="143">
        <v>-2.249166666666667</v>
      </c>
      <c r="C292" s="143" t="s">
        <v>86</v>
      </c>
    </row>
    <row r="293" spans="1:3" x14ac:dyDescent="0.25">
      <c r="A293" s="2" t="s">
        <v>315</v>
      </c>
      <c r="B293" s="143">
        <v>-2.4569999999999999</v>
      </c>
      <c r="C293" s="143" t="s">
        <v>86</v>
      </c>
    </row>
    <row r="294" spans="1:3" x14ac:dyDescent="0.25">
      <c r="A294" s="2" t="s">
        <v>317</v>
      </c>
      <c r="B294" s="143">
        <v>-2.9661249999999999</v>
      </c>
      <c r="C294" s="143" t="s">
        <v>86</v>
      </c>
    </row>
    <row r="295" spans="1:3" x14ac:dyDescent="0.25">
      <c r="A295" s="2" t="s">
        <v>319</v>
      </c>
      <c r="B295" s="143">
        <v>-2.9658333333333342</v>
      </c>
      <c r="C295" s="143" t="s">
        <v>86</v>
      </c>
    </row>
    <row r="296" spans="1:3" x14ac:dyDescent="0.25">
      <c r="A296" s="2" t="s">
        <v>899</v>
      </c>
      <c r="B296" s="143" t="s">
        <v>86</v>
      </c>
      <c r="C296" s="143" t="s">
        <v>86</v>
      </c>
    </row>
    <row r="297" spans="1:3" x14ac:dyDescent="0.25">
      <c r="A297" s="2" t="s">
        <v>1739</v>
      </c>
      <c r="B297" s="143">
        <v>-21.03831666666667</v>
      </c>
      <c r="C297" s="143">
        <v>-61.377500630602263</v>
      </c>
    </row>
    <row r="298" spans="1:3" x14ac:dyDescent="0.25">
      <c r="A298" s="2" t="s">
        <v>902</v>
      </c>
      <c r="B298" s="143">
        <v>-1.5128571428571429</v>
      </c>
      <c r="C298" s="143" t="s">
        <v>86</v>
      </c>
    </row>
    <row r="299" spans="1:3" x14ac:dyDescent="0.25">
      <c r="A299" s="2" t="s">
        <v>905</v>
      </c>
      <c r="B299" s="143" t="s">
        <v>86</v>
      </c>
      <c r="C299" s="143" t="s">
        <v>86</v>
      </c>
    </row>
    <row r="300" spans="1:3" x14ac:dyDescent="0.25">
      <c r="A300" s="2" t="s">
        <v>1742</v>
      </c>
      <c r="B300" s="143" t="s">
        <v>86</v>
      </c>
      <c r="C300" s="143" t="s">
        <v>86</v>
      </c>
    </row>
    <row r="301" spans="1:3" x14ac:dyDescent="0.25">
      <c r="A301" s="2" t="s">
        <v>910</v>
      </c>
      <c r="B301" s="143" t="s">
        <v>86</v>
      </c>
      <c r="C301" s="143" t="s">
        <v>86</v>
      </c>
    </row>
    <row r="302" spans="1:3" x14ac:dyDescent="0.25">
      <c r="A302" s="2" t="s">
        <v>1744</v>
      </c>
      <c r="B302" s="143" t="s">
        <v>86</v>
      </c>
      <c r="C302" s="143" t="s">
        <v>86</v>
      </c>
    </row>
    <row r="303" spans="1:3" x14ac:dyDescent="0.25">
      <c r="A303" s="2" t="s">
        <v>1746</v>
      </c>
      <c r="B303" s="143" t="s">
        <v>86</v>
      </c>
      <c r="C303" s="143" t="s">
        <v>86</v>
      </c>
    </row>
    <row r="304" spans="1:3" x14ac:dyDescent="0.25">
      <c r="A304" s="2" t="s">
        <v>1748</v>
      </c>
      <c r="B304" s="143" t="s">
        <v>86</v>
      </c>
      <c r="C304" s="143" t="s">
        <v>86</v>
      </c>
    </row>
    <row r="305" spans="1:3" x14ac:dyDescent="0.25">
      <c r="A305" s="2" t="s">
        <v>1750</v>
      </c>
      <c r="B305" s="143" t="s">
        <v>86</v>
      </c>
      <c r="C305" s="143" t="s">
        <v>86</v>
      </c>
    </row>
    <row r="306" spans="1:3" x14ac:dyDescent="0.25">
      <c r="A306" s="2" t="s">
        <v>321</v>
      </c>
      <c r="B306" s="143">
        <v>-9.8640624999999993</v>
      </c>
      <c r="C306" s="143">
        <v>-5.63</v>
      </c>
    </row>
    <row r="307" spans="1:3" x14ac:dyDescent="0.25">
      <c r="A307" s="2" t="s">
        <v>323</v>
      </c>
      <c r="B307" s="143">
        <v>-1.955714285714286</v>
      </c>
      <c r="C307" s="143">
        <v>-9.6996829121508021</v>
      </c>
    </row>
    <row r="308" spans="1:3" x14ac:dyDescent="0.25">
      <c r="A308" s="2" t="s">
        <v>1752</v>
      </c>
      <c r="B308" s="143" t="s">
        <v>86</v>
      </c>
      <c r="C308" s="143" t="s">
        <v>86</v>
      </c>
    </row>
    <row r="309" spans="1:3" x14ac:dyDescent="0.25">
      <c r="A309" s="2" t="s">
        <v>913</v>
      </c>
      <c r="B309" s="143" t="s">
        <v>86</v>
      </c>
      <c r="C309" s="143" t="s">
        <v>86</v>
      </c>
    </row>
    <row r="310" spans="1:3" x14ac:dyDescent="0.25">
      <c r="A310" s="2" t="s">
        <v>916</v>
      </c>
      <c r="B310" s="143" t="s">
        <v>86</v>
      </c>
      <c r="C310" s="143" t="s">
        <v>86</v>
      </c>
    </row>
    <row r="311" spans="1:3" x14ac:dyDescent="0.25">
      <c r="A311" s="2" t="s">
        <v>1754</v>
      </c>
      <c r="B311" s="143">
        <v>-19.323333333333331</v>
      </c>
      <c r="C311" s="143">
        <v>-13.45</v>
      </c>
    </row>
    <row r="312" spans="1:3" x14ac:dyDescent="0.25">
      <c r="A312" s="2" t="s">
        <v>919</v>
      </c>
      <c r="B312" s="143" t="s">
        <v>86</v>
      </c>
      <c r="C312" s="143" t="s">
        <v>86</v>
      </c>
    </row>
    <row r="313" spans="1:3" x14ac:dyDescent="0.25">
      <c r="A313" s="2" t="s">
        <v>325</v>
      </c>
      <c r="B313" s="143">
        <v>-1.584642857142857</v>
      </c>
      <c r="C313" s="143">
        <v>-3.949624860309298</v>
      </c>
    </row>
    <row r="314" spans="1:3" x14ac:dyDescent="0.25">
      <c r="A314" s="2" t="s">
        <v>327</v>
      </c>
      <c r="B314" s="143">
        <v>-7.4880092592592602</v>
      </c>
      <c r="C314" s="143" t="s">
        <v>86</v>
      </c>
    </row>
    <row r="315" spans="1:3" x14ac:dyDescent="0.25">
      <c r="A315" s="2" t="s">
        <v>329</v>
      </c>
      <c r="B315" s="143">
        <v>-9.1563333333333325</v>
      </c>
      <c r="C315" s="143" t="s">
        <v>86</v>
      </c>
    </row>
    <row r="316" spans="1:3" x14ac:dyDescent="0.25">
      <c r="A316" s="2" t="s">
        <v>331</v>
      </c>
      <c r="B316" s="143">
        <v>-1.3902777777777779</v>
      </c>
      <c r="C316" s="143" t="s">
        <v>86</v>
      </c>
    </row>
    <row r="317" spans="1:3" x14ac:dyDescent="0.25">
      <c r="A317" s="2" t="s">
        <v>1756</v>
      </c>
      <c r="B317" s="143" t="s">
        <v>86</v>
      </c>
      <c r="C317" s="143" t="s">
        <v>86</v>
      </c>
    </row>
    <row r="318" spans="1:3" x14ac:dyDescent="0.25">
      <c r="A318" s="2" t="s">
        <v>1758</v>
      </c>
      <c r="B318" s="143">
        <v>-7.2359999999999998</v>
      </c>
      <c r="C318" s="143">
        <v>-46.156781826652939</v>
      </c>
    </row>
    <row r="319" spans="1:3" x14ac:dyDescent="0.25">
      <c r="A319" s="2" t="s">
        <v>1760</v>
      </c>
      <c r="B319" s="143" t="s">
        <v>86</v>
      </c>
      <c r="C319" s="143">
        <v>-25.023912521707221</v>
      </c>
    </row>
    <row r="320" spans="1:3" x14ac:dyDescent="0.25">
      <c r="A320" s="2" t="s">
        <v>1762</v>
      </c>
      <c r="B320" s="143" t="s">
        <v>86</v>
      </c>
      <c r="C320" s="143">
        <v>-28.54605740586484</v>
      </c>
    </row>
    <row r="321" spans="1:3" x14ac:dyDescent="0.25">
      <c r="A321" s="2" t="s">
        <v>1764</v>
      </c>
      <c r="B321" s="143" t="s">
        <v>86</v>
      </c>
      <c r="C321" s="143" t="s">
        <v>86</v>
      </c>
    </row>
    <row r="322" spans="1:3" x14ac:dyDescent="0.25">
      <c r="A322" s="2" t="s">
        <v>333</v>
      </c>
      <c r="B322" s="143">
        <v>-0.76964285714285718</v>
      </c>
      <c r="C322" s="143" t="s">
        <v>86</v>
      </c>
    </row>
    <row r="323" spans="1:3" x14ac:dyDescent="0.25">
      <c r="A323" s="2" t="s">
        <v>922</v>
      </c>
      <c r="B323" s="143">
        <v>-6.8940000000000001</v>
      </c>
      <c r="C323" s="143" t="s">
        <v>86</v>
      </c>
    </row>
    <row r="324" spans="1:3" x14ac:dyDescent="0.25">
      <c r="A324" s="2" t="s">
        <v>1766</v>
      </c>
      <c r="B324" s="143" t="s">
        <v>86</v>
      </c>
      <c r="C324" s="143">
        <v>-58.94772903754113</v>
      </c>
    </row>
    <row r="325" spans="1:3" x14ac:dyDescent="0.25">
      <c r="A325" s="2" t="s">
        <v>335</v>
      </c>
      <c r="B325" s="143">
        <v>-7.4642735042735051</v>
      </c>
      <c r="C325" s="143" t="s">
        <v>86</v>
      </c>
    </row>
    <row r="326" spans="1:3" x14ac:dyDescent="0.25">
      <c r="A326" s="2" t="s">
        <v>1768</v>
      </c>
      <c r="B326" s="143" t="s">
        <v>86</v>
      </c>
      <c r="C326" s="143" t="s">
        <v>86</v>
      </c>
    </row>
    <row r="327" spans="1:3" x14ac:dyDescent="0.25">
      <c r="A327" s="2" t="s">
        <v>1770</v>
      </c>
      <c r="B327" s="143" t="s">
        <v>86</v>
      </c>
      <c r="C327" s="143" t="s">
        <v>86</v>
      </c>
    </row>
    <row r="328" spans="1:3" x14ac:dyDescent="0.25">
      <c r="A328" s="2" t="s">
        <v>1772</v>
      </c>
      <c r="B328" s="143" t="s">
        <v>86</v>
      </c>
      <c r="C328" s="143" t="s">
        <v>86</v>
      </c>
    </row>
    <row r="329" spans="1:3" x14ac:dyDescent="0.25">
      <c r="A329" s="2" t="s">
        <v>1774</v>
      </c>
      <c r="B329" s="143" t="s">
        <v>86</v>
      </c>
      <c r="C329" s="143" t="s">
        <v>86</v>
      </c>
    </row>
    <row r="330" spans="1:3" x14ac:dyDescent="0.25">
      <c r="A330" s="2" t="s">
        <v>1776</v>
      </c>
      <c r="B330" s="143" t="s">
        <v>86</v>
      </c>
      <c r="C330" s="143" t="s">
        <v>86</v>
      </c>
    </row>
    <row r="331" spans="1:3" x14ac:dyDescent="0.25">
      <c r="A331" s="2" t="s">
        <v>925</v>
      </c>
      <c r="B331" s="143" t="s">
        <v>86</v>
      </c>
      <c r="C331" s="143" t="s">
        <v>86</v>
      </c>
    </row>
    <row r="332" spans="1:3" x14ac:dyDescent="0.25">
      <c r="A332" s="2" t="s">
        <v>1778</v>
      </c>
      <c r="B332" s="143" t="s">
        <v>86</v>
      </c>
      <c r="C332" s="143" t="s">
        <v>86</v>
      </c>
    </row>
    <row r="333" spans="1:3" x14ac:dyDescent="0.25">
      <c r="A333" s="2" t="s">
        <v>1780</v>
      </c>
      <c r="B333" s="143" t="s">
        <v>86</v>
      </c>
      <c r="C333" s="143" t="s">
        <v>86</v>
      </c>
    </row>
    <row r="334" spans="1:3" x14ac:dyDescent="0.25">
      <c r="A334" s="2" t="s">
        <v>1782</v>
      </c>
      <c r="B334" s="143" t="s">
        <v>86</v>
      </c>
      <c r="C334" s="143" t="s">
        <v>86</v>
      </c>
    </row>
    <row r="335" spans="1:3" x14ac:dyDescent="0.25">
      <c r="A335" s="2" t="s">
        <v>1784</v>
      </c>
      <c r="B335" s="143" t="s">
        <v>86</v>
      </c>
      <c r="C335" s="143" t="s">
        <v>86</v>
      </c>
    </row>
    <row r="336" spans="1:3" x14ac:dyDescent="0.25">
      <c r="A336" s="2" t="s">
        <v>1786</v>
      </c>
      <c r="B336" s="143" t="s">
        <v>86</v>
      </c>
      <c r="C336" s="143" t="s">
        <v>86</v>
      </c>
    </row>
    <row r="337" spans="1:3" x14ac:dyDescent="0.25">
      <c r="A337" s="2" t="s">
        <v>928</v>
      </c>
      <c r="B337" s="143" t="s">
        <v>86</v>
      </c>
      <c r="C337" s="143" t="s">
        <v>86</v>
      </c>
    </row>
    <row r="338" spans="1:3" x14ac:dyDescent="0.25">
      <c r="A338" s="2" t="s">
        <v>1788</v>
      </c>
      <c r="B338" s="143" t="s">
        <v>86</v>
      </c>
      <c r="C338" s="143" t="s">
        <v>86</v>
      </c>
    </row>
    <row r="339" spans="1:3" x14ac:dyDescent="0.25">
      <c r="A339" s="2" t="s">
        <v>1791</v>
      </c>
      <c r="B339" s="143" t="s">
        <v>86</v>
      </c>
      <c r="C339" s="143" t="s">
        <v>86</v>
      </c>
    </row>
    <row r="340" spans="1:3" x14ac:dyDescent="0.25">
      <c r="A340" s="2" t="s">
        <v>931</v>
      </c>
      <c r="B340" s="143">
        <v>-10.47474074074074</v>
      </c>
      <c r="C340" s="143">
        <v>-14.28</v>
      </c>
    </row>
    <row r="341" spans="1:3" x14ac:dyDescent="0.25">
      <c r="A341" s="2" t="s">
        <v>936</v>
      </c>
      <c r="B341" s="143" t="s">
        <v>86</v>
      </c>
      <c r="C341" s="143" t="s">
        <v>86</v>
      </c>
    </row>
    <row r="342" spans="1:3" x14ac:dyDescent="0.25">
      <c r="A342" s="2" t="s">
        <v>939</v>
      </c>
      <c r="B342" s="143" t="s">
        <v>86</v>
      </c>
      <c r="C342" s="143" t="s">
        <v>86</v>
      </c>
    </row>
    <row r="343" spans="1:3" x14ac:dyDescent="0.25">
      <c r="A343" s="2" t="s">
        <v>942</v>
      </c>
      <c r="B343" s="143" t="s">
        <v>86</v>
      </c>
      <c r="C343" s="143" t="s">
        <v>86</v>
      </c>
    </row>
    <row r="344" spans="1:3" x14ac:dyDescent="0.25">
      <c r="A344" s="2" t="s">
        <v>1793</v>
      </c>
      <c r="B344" s="143" t="s">
        <v>86</v>
      </c>
      <c r="C344" s="143" t="s">
        <v>86</v>
      </c>
    </row>
    <row r="345" spans="1:3" x14ac:dyDescent="0.25">
      <c r="A345" s="2" t="s">
        <v>1795</v>
      </c>
      <c r="B345" s="143" t="s">
        <v>86</v>
      </c>
      <c r="C345" s="143" t="s">
        <v>86</v>
      </c>
    </row>
    <row r="346" spans="1:3" x14ac:dyDescent="0.25">
      <c r="A346" s="2" t="s">
        <v>1798</v>
      </c>
      <c r="B346" s="143" t="s">
        <v>86</v>
      </c>
      <c r="C346" s="143" t="s">
        <v>86</v>
      </c>
    </row>
    <row r="347" spans="1:3" x14ac:dyDescent="0.25">
      <c r="A347" s="2" t="s">
        <v>1800</v>
      </c>
      <c r="B347" s="143" t="s">
        <v>86</v>
      </c>
      <c r="C347" s="143" t="s">
        <v>86</v>
      </c>
    </row>
    <row r="348" spans="1:3" x14ac:dyDescent="0.25">
      <c r="A348" s="2" t="s">
        <v>1802</v>
      </c>
      <c r="B348" s="143" t="s">
        <v>86</v>
      </c>
      <c r="C348" s="143" t="s">
        <v>86</v>
      </c>
    </row>
    <row r="349" spans="1:3" x14ac:dyDescent="0.25">
      <c r="A349" s="2" t="s">
        <v>1804</v>
      </c>
      <c r="B349" s="143" t="s">
        <v>86</v>
      </c>
      <c r="C349" s="143" t="s">
        <v>86</v>
      </c>
    </row>
    <row r="350" spans="1:3" x14ac:dyDescent="0.25">
      <c r="A350" s="2" t="s">
        <v>1806</v>
      </c>
      <c r="B350" s="143" t="s">
        <v>86</v>
      </c>
      <c r="C350" s="143" t="s">
        <v>86</v>
      </c>
    </row>
    <row r="351" spans="1:3" x14ac:dyDescent="0.25">
      <c r="A351" s="2" t="s">
        <v>1808</v>
      </c>
      <c r="B351" s="143" t="s">
        <v>86</v>
      </c>
      <c r="C351" s="143" t="s">
        <v>86</v>
      </c>
    </row>
    <row r="352" spans="1:3" x14ac:dyDescent="0.25">
      <c r="A352" s="2" t="s">
        <v>1810</v>
      </c>
      <c r="B352" s="143" t="s">
        <v>86</v>
      </c>
      <c r="C352" s="143" t="s">
        <v>86</v>
      </c>
    </row>
    <row r="353" spans="1:3" x14ac:dyDescent="0.25">
      <c r="A353" s="2" t="s">
        <v>1812</v>
      </c>
      <c r="B353" s="143" t="s">
        <v>86</v>
      </c>
      <c r="C353" s="143" t="s">
        <v>86</v>
      </c>
    </row>
    <row r="354" spans="1:3" x14ac:dyDescent="0.25">
      <c r="A354" s="2" t="s">
        <v>1814</v>
      </c>
      <c r="B354" s="143" t="s">
        <v>86</v>
      </c>
      <c r="C354" s="143" t="s">
        <v>86</v>
      </c>
    </row>
    <row r="355" spans="1:3" x14ac:dyDescent="0.25">
      <c r="A355" s="2" t="s">
        <v>1816</v>
      </c>
      <c r="B355" s="143" t="s">
        <v>86</v>
      </c>
      <c r="C355" s="143" t="s">
        <v>86</v>
      </c>
    </row>
    <row r="356" spans="1:3" x14ac:dyDescent="0.25">
      <c r="A356" s="2" t="s">
        <v>1818</v>
      </c>
      <c r="B356" s="143" t="s">
        <v>86</v>
      </c>
      <c r="C356" s="143" t="s">
        <v>86</v>
      </c>
    </row>
    <row r="357" spans="1:3" x14ac:dyDescent="0.25">
      <c r="A357" s="2" t="s">
        <v>945</v>
      </c>
      <c r="B357" s="143" t="s">
        <v>86</v>
      </c>
      <c r="C357" s="143" t="s">
        <v>86</v>
      </c>
    </row>
    <row r="358" spans="1:3" x14ac:dyDescent="0.25">
      <c r="A358" s="2" t="s">
        <v>1820</v>
      </c>
      <c r="B358" s="143" t="s">
        <v>86</v>
      </c>
      <c r="C358" s="143" t="s">
        <v>86</v>
      </c>
    </row>
    <row r="359" spans="1:3" x14ac:dyDescent="0.25">
      <c r="A359" s="2" t="s">
        <v>948</v>
      </c>
      <c r="B359" s="143" t="s">
        <v>86</v>
      </c>
      <c r="C359" s="143" t="s">
        <v>86</v>
      </c>
    </row>
    <row r="360" spans="1:3" x14ac:dyDescent="0.25">
      <c r="A360" s="2" t="s">
        <v>952</v>
      </c>
      <c r="B360" s="143" t="s">
        <v>86</v>
      </c>
      <c r="C360" s="143" t="s">
        <v>86</v>
      </c>
    </row>
    <row r="361" spans="1:3" x14ac:dyDescent="0.25">
      <c r="A361" s="2" t="s">
        <v>1822</v>
      </c>
      <c r="B361" s="143" t="s">
        <v>86</v>
      </c>
      <c r="C361" s="143" t="s">
        <v>86</v>
      </c>
    </row>
    <row r="362" spans="1:3" x14ac:dyDescent="0.25">
      <c r="A362" s="2" t="s">
        <v>955</v>
      </c>
      <c r="B362" s="143" t="s">
        <v>86</v>
      </c>
      <c r="C362" s="143" t="s">
        <v>86</v>
      </c>
    </row>
    <row r="363" spans="1:3" x14ac:dyDescent="0.25">
      <c r="A363" s="2" t="s">
        <v>958</v>
      </c>
      <c r="B363" s="143" t="s">
        <v>86</v>
      </c>
      <c r="C363" s="143" t="s">
        <v>86</v>
      </c>
    </row>
    <row r="364" spans="1:3" x14ac:dyDescent="0.25">
      <c r="A364" s="2" t="s">
        <v>961</v>
      </c>
      <c r="B364" s="143" t="s">
        <v>86</v>
      </c>
      <c r="C364" s="143" t="s">
        <v>86</v>
      </c>
    </row>
    <row r="365" spans="1:3" x14ac:dyDescent="0.25">
      <c r="A365" s="2" t="s">
        <v>964</v>
      </c>
      <c r="B365" s="143" t="s">
        <v>86</v>
      </c>
      <c r="C365" s="143" t="s">
        <v>86</v>
      </c>
    </row>
    <row r="366" spans="1:3" x14ac:dyDescent="0.25">
      <c r="A366" s="2" t="s">
        <v>967</v>
      </c>
      <c r="B366" s="143" t="s">
        <v>86</v>
      </c>
      <c r="C366" s="143" t="s">
        <v>86</v>
      </c>
    </row>
    <row r="367" spans="1:3" x14ac:dyDescent="0.25">
      <c r="A367" s="2" t="s">
        <v>970</v>
      </c>
      <c r="B367" s="143" t="s">
        <v>86</v>
      </c>
      <c r="C367" s="143" t="s">
        <v>86</v>
      </c>
    </row>
    <row r="368" spans="1:3" x14ac:dyDescent="0.25">
      <c r="A368" s="2" t="s">
        <v>1824</v>
      </c>
      <c r="B368" s="143" t="s">
        <v>86</v>
      </c>
      <c r="C368" s="143" t="s">
        <v>86</v>
      </c>
    </row>
    <row r="369" spans="1:3" x14ac:dyDescent="0.25">
      <c r="A369" s="2" t="s">
        <v>1826</v>
      </c>
      <c r="B369" s="143" t="s">
        <v>86</v>
      </c>
      <c r="C369" s="143" t="s">
        <v>86</v>
      </c>
    </row>
    <row r="370" spans="1:3" x14ac:dyDescent="0.25">
      <c r="A370" s="2" t="s">
        <v>1828</v>
      </c>
      <c r="B370" s="143" t="s">
        <v>86</v>
      </c>
      <c r="C370" s="143" t="s">
        <v>86</v>
      </c>
    </row>
    <row r="371" spans="1:3" x14ac:dyDescent="0.25">
      <c r="A371" s="2" t="s">
        <v>973</v>
      </c>
      <c r="B371" s="143" t="s">
        <v>86</v>
      </c>
      <c r="C371" s="143" t="s">
        <v>86</v>
      </c>
    </row>
    <row r="372" spans="1:3" x14ac:dyDescent="0.25">
      <c r="A372" s="2" t="s">
        <v>976</v>
      </c>
      <c r="B372" s="143" t="s">
        <v>86</v>
      </c>
      <c r="C372" s="143" t="s">
        <v>86</v>
      </c>
    </row>
    <row r="373" spans="1:3" x14ac:dyDescent="0.25">
      <c r="A373" s="2" t="s">
        <v>979</v>
      </c>
      <c r="B373" s="143" t="s">
        <v>86</v>
      </c>
      <c r="C373" s="143" t="s">
        <v>86</v>
      </c>
    </row>
    <row r="374" spans="1:3" x14ac:dyDescent="0.25">
      <c r="A374" s="2" t="s">
        <v>982</v>
      </c>
      <c r="B374" s="143" t="s">
        <v>86</v>
      </c>
      <c r="C374" s="143" t="s">
        <v>86</v>
      </c>
    </row>
    <row r="375" spans="1:3" x14ac:dyDescent="0.25">
      <c r="A375" s="2" t="s">
        <v>985</v>
      </c>
      <c r="B375" s="143" t="s">
        <v>86</v>
      </c>
      <c r="C375" s="143" t="s">
        <v>86</v>
      </c>
    </row>
    <row r="376" spans="1:3" x14ac:dyDescent="0.25">
      <c r="A376" s="2" t="s">
        <v>1830</v>
      </c>
      <c r="B376" s="143">
        <v>-93.68</v>
      </c>
      <c r="C376" s="143">
        <v>-44.303021361306833</v>
      </c>
    </row>
    <row r="377" spans="1:3" x14ac:dyDescent="0.25">
      <c r="A377" s="2" t="s">
        <v>988</v>
      </c>
      <c r="B377" s="143">
        <v>-12.024235630110629</v>
      </c>
      <c r="C377" s="143" t="s">
        <v>86</v>
      </c>
    </row>
    <row r="378" spans="1:3" x14ac:dyDescent="0.25">
      <c r="A378" s="2" t="s">
        <v>1833</v>
      </c>
      <c r="B378" s="143">
        <v>-19.658506659239379</v>
      </c>
      <c r="C378" s="143">
        <v>-15.99</v>
      </c>
    </row>
    <row r="379" spans="1:3" x14ac:dyDescent="0.25">
      <c r="A379" s="2" t="s">
        <v>1836</v>
      </c>
      <c r="B379" s="143" t="s">
        <v>86</v>
      </c>
      <c r="C379" s="143" t="s">
        <v>86</v>
      </c>
    </row>
    <row r="380" spans="1:3" x14ac:dyDescent="0.25">
      <c r="A380" s="2" t="s">
        <v>1838</v>
      </c>
      <c r="B380" s="143" t="s">
        <v>86</v>
      </c>
      <c r="C380" s="143" t="s">
        <v>86</v>
      </c>
    </row>
    <row r="381" spans="1:3" x14ac:dyDescent="0.25">
      <c r="A381" s="2" t="s">
        <v>992</v>
      </c>
      <c r="B381" s="143" t="s">
        <v>86</v>
      </c>
      <c r="C381" s="143" t="s">
        <v>86</v>
      </c>
    </row>
    <row r="382" spans="1:3" x14ac:dyDescent="0.25">
      <c r="A382" s="2" t="s">
        <v>995</v>
      </c>
      <c r="B382" s="143" t="s">
        <v>86</v>
      </c>
      <c r="C382" s="143" t="s">
        <v>86</v>
      </c>
    </row>
    <row r="383" spans="1:3" x14ac:dyDescent="0.25">
      <c r="A383" s="2" t="s">
        <v>1840</v>
      </c>
      <c r="B383" s="143" t="s">
        <v>86</v>
      </c>
      <c r="C383" s="143" t="s">
        <v>86</v>
      </c>
    </row>
    <row r="384" spans="1:3" x14ac:dyDescent="0.25">
      <c r="A384" s="2" t="s">
        <v>1842</v>
      </c>
      <c r="B384" s="143">
        <v>-7.45</v>
      </c>
      <c r="C384" s="143" t="s">
        <v>86</v>
      </c>
    </row>
    <row r="385" spans="1:3" x14ac:dyDescent="0.25">
      <c r="A385" s="2" t="s">
        <v>998</v>
      </c>
      <c r="B385" s="143">
        <v>-20.837499999999999</v>
      </c>
      <c r="C385" s="143" t="s">
        <v>86</v>
      </c>
    </row>
    <row r="386" spans="1:3" x14ac:dyDescent="0.25">
      <c r="A386" s="2" t="s">
        <v>1844</v>
      </c>
      <c r="B386" s="143" t="s">
        <v>86</v>
      </c>
      <c r="C386" s="143" t="s">
        <v>86</v>
      </c>
    </row>
    <row r="387" spans="1:3" x14ac:dyDescent="0.25">
      <c r="A387" s="2" t="s">
        <v>1846</v>
      </c>
      <c r="B387" s="143" t="s">
        <v>86</v>
      </c>
      <c r="C387" s="143" t="s">
        <v>86</v>
      </c>
    </row>
    <row r="388" spans="1:3" x14ac:dyDescent="0.25">
      <c r="A388" s="2" t="s">
        <v>1001</v>
      </c>
      <c r="B388" s="143">
        <v>-11.4015</v>
      </c>
      <c r="C388" s="143">
        <v>-16.429712526102328</v>
      </c>
    </row>
    <row r="389" spans="1:3" x14ac:dyDescent="0.25">
      <c r="A389" s="2" t="s">
        <v>1005</v>
      </c>
      <c r="B389" s="143">
        <v>-17.579999999999998</v>
      </c>
      <c r="C389" s="143">
        <v>-24.620266781465499</v>
      </c>
    </row>
    <row r="390" spans="1:3" x14ac:dyDescent="0.25">
      <c r="A390" s="2" t="s">
        <v>1009</v>
      </c>
      <c r="B390" s="143">
        <v>-18.278298611111111</v>
      </c>
      <c r="C390" s="143">
        <v>-51.02</v>
      </c>
    </row>
    <row r="391" spans="1:3" x14ac:dyDescent="0.25">
      <c r="A391" s="2" t="s">
        <v>1014</v>
      </c>
      <c r="B391" s="143">
        <v>-24.652954545454548</v>
      </c>
      <c r="C391" s="143">
        <v>-23.15</v>
      </c>
    </row>
    <row r="392" spans="1:3" x14ac:dyDescent="0.25">
      <c r="A392" s="2" t="s">
        <v>338</v>
      </c>
      <c r="B392" s="143">
        <v>-9.7581999999999987</v>
      </c>
      <c r="C392" s="143" t="s">
        <v>86</v>
      </c>
    </row>
    <row r="393" spans="1:3" x14ac:dyDescent="0.25">
      <c r="A393" s="2" t="s">
        <v>340</v>
      </c>
      <c r="B393" s="143">
        <v>-11.131016666666669</v>
      </c>
      <c r="C393" s="143" t="s">
        <v>86</v>
      </c>
    </row>
    <row r="394" spans="1:3" x14ac:dyDescent="0.25">
      <c r="A394" s="2" t="s">
        <v>342</v>
      </c>
      <c r="B394" s="143">
        <v>-1.906377551020408</v>
      </c>
      <c r="C394" s="143">
        <v>-1.135517602065317</v>
      </c>
    </row>
    <row r="395" spans="1:3" x14ac:dyDescent="0.25">
      <c r="A395" s="2" t="s">
        <v>344</v>
      </c>
      <c r="B395" s="143">
        <v>-2.916830357142858</v>
      </c>
      <c r="C395" s="143">
        <v>-12.16701793983623</v>
      </c>
    </row>
    <row r="396" spans="1:3" x14ac:dyDescent="0.25">
      <c r="A396" s="2" t="s">
        <v>1018</v>
      </c>
      <c r="B396" s="143">
        <v>-2.0828571428571432</v>
      </c>
      <c r="C396" s="143" t="s">
        <v>86</v>
      </c>
    </row>
    <row r="397" spans="1:3" x14ac:dyDescent="0.25">
      <c r="A397" s="2" t="s">
        <v>1021</v>
      </c>
      <c r="B397" s="143" t="s">
        <v>86</v>
      </c>
      <c r="C397" s="143" t="s">
        <v>86</v>
      </c>
    </row>
    <row r="398" spans="1:3" x14ac:dyDescent="0.25">
      <c r="A398" s="2" t="s">
        <v>1024</v>
      </c>
      <c r="B398" s="143">
        <v>-4.9947499999999998</v>
      </c>
      <c r="C398" s="143" t="s">
        <v>86</v>
      </c>
    </row>
    <row r="399" spans="1:3" x14ac:dyDescent="0.25">
      <c r="A399" s="2" t="s">
        <v>1848</v>
      </c>
      <c r="B399" s="143">
        <v>-4.4773809523809529</v>
      </c>
      <c r="C399" s="143" t="s">
        <v>86</v>
      </c>
    </row>
    <row r="400" spans="1:3" x14ac:dyDescent="0.25">
      <c r="A400" s="2" t="s">
        <v>1850</v>
      </c>
      <c r="B400" s="143" t="s">
        <v>86</v>
      </c>
      <c r="C400" s="143" t="s">
        <v>86</v>
      </c>
    </row>
    <row r="401" spans="1:3" x14ac:dyDescent="0.25">
      <c r="A401" s="2" t="s">
        <v>1027</v>
      </c>
      <c r="B401" s="143" t="s">
        <v>86</v>
      </c>
      <c r="C401" s="143" t="s">
        <v>86</v>
      </c>
    </row>
    <row r="402" spans="1:3" x14ac:dyDescent="0.25">
      <c r="A402" s="2" t="s">
        <v>1030</v>
      </c>
      <c r="B402" s="143" t="s">
        <v>86</v>
      </c>
      <c r="C402" s="143" t="s">
        <v>86</v>
      </c>
    </row>
    <row r="403" spans="1:3" x14ac:dyDescent="0.25">
      <c r="A403" s="2" t="s">
        <v>1033</v>
      </c>
      <c r="B403" s="143" t="s">
        <v>86</v>
      </c>
      <c r="C403" s="143" t="s">
        <v>86</v>
      </c>
    </row>
    <row r="404" spans="1:3" x14ac:dyDescent="0.25">
      <c r="A404" s="2" t="s">
        <v>1852</v>
      </c>
      <c r="B404" s="143" t="s">
        <v>86</v>
      </c>
      <c r="C404" s="143" t="s">
        <v>86</v>
      </c>
    </row>
    <row r="405" spans="1:3" x14ac:dyDescent="0.25">
      <c r="A405" s="2" t="s">
        <v>1854</v>
      </c>
      <c r="B405" s="143" t="s">
        <v>86</v>
      </c>
      <c r="C405" s="143" t="s">
        <v>86</v>
      </c>
    </row>
    <row r="406" spans="1:3" x14ac:dyDescent="0.25">
      <c r="A406" s="2" t="s">
        <v>1036</v>
      </c>
      <c r="B406" s="143" t="s">
        <v>86</v>
      </c>
      <c r="C406" s="143" t="s">
        <v>86</v>
      </c>
    </row>
    <row r="407" spans="1:3" x14ac:dyDescent="0.25">
      <c r="A407" s="2" t="s">
        <v>1856</v>
      </c>
      <c r="B407" s="143" t="s">
        <v>86</v>
      </c>
      <c r="C407" s="143" t="s">
        <v>86</v>
      </c>
    </row>
    <row r="408" spans="1:3" x14ac:dyDescent="0.25">
      <c r="A408" s="2" t="s">
        <v>1039</v>
      </c>
      <c r="B408" s="143" t="s">
        <v>86</v>
      </c>
      <c r="C408" s="143" t="s">
        <v>86</v>
      </c>
    </row>
    <row r="409" spans="1:3" x14ac:dyDescent="0.25">
      <c r="A409" s="2" t="s">
        <v>1858</v>
      </c>
      <c r="B409" s="143" t="s">
        <v>86</v>
      </c>
      <c r="C409" s="143" t="s">
        <v>86</v>
      </c>
    </row>
    <row r="410" spans="1:3" x14ac:dyDescent="0.25">
      <c r="A410" s="2" t="s">
        <v>1860</v>
      </c>
      <c r="B410" s="143">
        <v>-11.717499999999999</v>
      </c>
      <c r="C410" s="143">
        <v>-34.836569026980037</v>
      </c>
    </row>
    <row r="411" spans="1:3" x14ac:dyDescent="0.25">
      <c r="A411" s="2" t="s">
        <v>1042</v>
      </c>
      <c r="B411" s="143">
        <v>-8.1787500000000009</v>
      </c>
      <c r="C411" s="143" t="s">
        <v>86</v>
      </c>
    </row>
    <row r="412" spans="1:3" x14ac:dyDescent="0.25">
      <c r="A412" s="2" t="s">
        <v>1863</v>
      </c>
      <c r="B412" s="143">
        <v>-21.44220833333333</v>
      </c>
      <c r="C412" s="143">
        <v>-9.98</v>
      </c>
    </row>
    <row r="413" spans="1:3" x14ac:dyDescent="0.25">
      <c r="A413" s="2" t="s">
        <v>1866</v>
      </c>
      <c r="B413" s="143">
        <v>-21.376333333333331</v>
      </c>
      <c r="C413" s="143">
        <v>-15.46</v>
      </c>
    </row>
    <row r="414" spans="1:3" x14ac:dyDescent="0.25">
      <c r="A414" s="2" t="s">
        <v>1869</v>
      </c>
      <c r="B414" s="143">
        <v>-16.54400595238095</v>
      </c>
      <c r="C414" s="143">
        <v>-39.39</v>
      </c>
    </row>
    <row r="415" spans="1:3" x14ac:dyDescent="0.25">
      <c r="A415" s="2" t="s">
        <v>346</v>
      </c>
      <c r="B415" s="143">
        <v>-18.84</v>
      </c>
      <c r="C415" s="143">
        <v>-9.99</v>
      </c>
    </row>
    <row r="416" spans="1:3" x14ac:dyDescent="0.25">
      <c r="A416" s="2" t="s">
        <v>348</v>
      </c>
      <c r="B416" s="143">
        <v>-11.417899999999999</v>
      </c>
      <c r="C416" s="143">
        <v>-6.0591814318781676</v>
      </c>
    </row>
    <row r="417" spans="1:3" x14ac:dyDescent="0.25">
      <c r="A417" s="2" t="s">
        <v>350</v>
      </c>
      <c r="B417" s="143">
        <v>-2.0652083333333331</v>
      </c>
      <c r="C417" s="143">
        <v>-10.66049596882703</v>
      </c>
    </row>
    <row r="418" spans="1:3" x14ac:dyDescent="0.25">
      <c r="A418" s="2" t="s">
        <v>352</v>
      </c>
      <c r="B418" s="143">
        <v>-0.87032183908045968</v>
      </c>
      <c r="C418" s="143">
        <v>-4.0414642818653661</v>
      </c>
    </row>
    <row r="419" spans="1:3" x14ac:dyDescent="0.25">
      <c r="A419" s="2" t="s">
        <v>1872</v>
      </c>
      <c r="B419" s="143" t="s">
        <v>86</v>
      </c>
      <c r="C419" s="143" t="s">
        <v>86</v>
      </c>
    </row>
    <row r="420" spans="1:3" x14ac:dyDescent="0.25">
      <c r="A420" s="2" t="s">
        <v>1875</v>
      </c>
      <c r="B420" s="143" t="s">
        <v>86</v>
      </c>
      <c r="C420" s="143" t="s">
        <v>86</v>
      </c>
    </row>
    <row r="421" spans="1:3" x14ac:dyDescent="0.25">
      <c r="A421" s="2" t="s">
        <v>1877</v>
      </c>
      <c r="B421" s="143" t="s">
        <v>86</v>
      </c>
      <c r="C421" s="143" t="s">
        <v>86</v>
      </c>
    </row>
    <row r="422" spans="1:3" x14ac:dyDescent="0.25">
      <c r="A422" s="2" t="s">
        <v>1879</v>
      </c>
      <c r="B422" s="143" t="s">
        <v>86</v>
      </c>
      <c r="C422" s="143" t="s">
        <v>86</v>
      </c>
    </row>
    <row r="423" spans="1:3" x14ac:dyDescent="0.25">
      <c r="A423" s="2" t="s">
        <v>1881</v>
      </c>
      <c r="B423" s="143" t="s">
        <v>86</v>
      </c>
      <c r="C423" s="143" t="s">
        <v>86</v>
      </c>
    </row>
    <row r="424" spans="1:3" x14ac:dyDescent="0.25">
      <c r="A424" s="2" t="s">
        <v>1883</v>
      </c>
      <c r="B424" s="143" t="s">
        <v>86</v>
      </c>
      <c r="C424" s="143" t="s">
        <v>86</v>
      </c>
    </row>
    <row r="425" spans="1:3" x14ac:dyDescent="0.25">
      <c r="A425" s="2" t="s">
        <v>1885</v>
      </c>
      <c r="B425" s="143" t="s">
        <v>86</v>
      </c>
      <c r="C425" s="143" t="s">
        <v>86</v>
      </c>
    </row>
    <row r="426" spans="1:3" x14ac:dyDescent="0.25">
      <c r="A426" s="2" t="s">
        <v>1887</v>
      </c>
      <c r="B426" s="143" t="s">
        <v>86</v>
      </c>
      <c r="C426" s="143" t="s">
        <v>86</v>
      </c>
    </row>
    <row r="427" spans="1:3" x14ac:dyDescent="0.25">
      <c r="A427" s="2" t="s">
        <v>1889</v>
      </c>
      <c r="B427" s="143" t="s">
        <v>86</v>
      </c>
      <c r="C427" s="143" t="s">
        <v>86</v>
      </c>
    </row>
    <row r="428" spans="1:3" x14ac:dyDescent="0.25">
      <c r="A428" s="2" t="s">
        <v>1891</v>
      </c>
      <c r="B428" s="143" t="s">
        <v>86</v>
      </c>
      <c r="C428" s="143" t="s">
        <v>86</v>
      </c>
    </row>
    <row r="429" spans="1:3" x14ac:dyDescent="0.25">
      <c r="A429" s="2" t="s">
        <v>1893</v>
      </c>
      <c r="B429" s="143" t="s">
        <v>86</v>
      </c>
      <c r="C429" s="143" t="s">
        <v>86</v>
      </c>
    </row>
    <row r="430" spans="1:3" x14ac:dyDescent="0.25">
      <c r="A430" s="2" t="s">
        <v>1895</v>
      </c>
      <c r="B430" s="143" t="s">
        <v>86</v>
      </c>
      <c r="C430" s="143" t="s">
        <v>86</v>
      </c>
    </row>
    <row r="431" spans="1:3" x14ac:dyDescent="0.25">
      <c r="A431" s="2" t="s">
        <v>1897</v>
      </c>
      <c r="B431" s="143" t="s">
        <v>86</v>
      </c>
      <c r="C431" s="143" t="s">
        <v>86</v>
      </c>
    </row>
    <row r="432" spans="1:3" x14ac:dyDescent="0.25">
      <c r="A432" s="2" t="s">
        <v>1899</v>
      </c>
      <c r="B432" s="143">
        <v>-0.90281467373302438</v>
      </c>
      <c r="C432" s="143" t="s">
        <v>86</v>
      </c>
    </row>
    <row r="433" spans="1:3" x14ac:dyDescent="0.25">
      <c r="A433" s="2" t="s">
        <v>1901</v>
      </c>
      <c r="B433" s="143" t="s">
        <v>86</v>
      </c>
      <c r="C433" s="143" t="s">
        <v>86</v>
      </c>
    </row>
    <row r="434" spans="1:3" x14ac:dyDescent="0.25">
      <c r="A434" s="2" t="s">
        <v>1902</v>
      </c>
      <c r="B434" s="143" t="s">
        <v>86</v>
      </c>
      <c r="C434" s="143" t="s">
        <v>86</v>
      </c>
    </row>
    <row r="435" spans="1:3" x14ac:dyDescent="0.25">
      <c r="A435" s="2" t="s">
        <v>1904</v>
      </c>
      <c r="B435" s="143">
        <v>-0.5431383458646617</v>
      </c>
      <c r="C435" s="143" t="s">
        <v>86</v>
      </c>
    </row>
    <row r="436" spans="1:3" x14ac:dyDescent="0.25">
      <c r="A436" s="2" t="s">
        <v>1907</v>
      </c>
      <c r="B436" s="143">
        <v>-1.7283333333333331</v>
      </c>
      <c r="C436" s="143" t="s">
        <v>86</v>
      </c>
    </row>
    <row r="437" spans="1:3" x14ac:dyDescent="0.25">
      <c r="A437" s="2" t="s">
        <v>1909</v>
      </c>
      <c r="B437" s="143" t="s">
        <v>86</v>
      </c>
      <c r="C437" s="143" t="s">
        <v>86</v>
      </c>
    </row>
    <row r="438" spans="1:3" x14ac:dyDescent="0.25">
      <c r="A438" s="2" t="s">
        <v>1911</v>
      </c>
      <c r="B438" s="143" t="s">
        <v>86</v>
      </c>
      <c r="C438" s="143" t="s">
        <v>86</v>
      </c>
    </row>
    <row r="439" spans="1:3" x14ac:dyDescent="0.25">
      <c r="A439" s="2" t="s">
        <v>1913</v>
      </c>
      <c r="B439" s="143" t="s">
        <v>86</v>
      </c>
      <c r="C439" s="143" t="s">
        <v>86</v>
      </c>
    </row>
    <row r="440" spans="1:3" x14ac:dyDescent="0.25">
      <c r="A440" s="2" t="s">
        <v>1045</v>
      </c>
      <c r="B440" s="143" t="s">
        <v>86</v>
      </c>
      <c r="C440" s="143" t="s">
        <v>86</v>
      </c>
    </row>
    <row r="441" spans="1:3" x14ac:dyDescent="0.25">
      <c r="A441" s="2" t="s">
        <v>1049</v>
      </c>
      <c r="B441" s="143" t="s">
        <v>86</v>
      </c>
      <c r="C441" s="143" t="s">
        <v>86</v>
      </c>
    </row>
    <row r="442" spans="1:3" x14ac:dyDescent="0.25">
      <c r="A442" s="2" t="s">
        <v>1052</v>
      </c>
      <c r="B442" s="143">
        <v>-26.821000000000002</v>
      </c>
      <c r="C442" s="143" t="s">
        <v>86</v>
      </c>
    </row>
    <row r="443" spans="1:3" x14ac:dyDescent="0.25">
      <c r="A443" s="2" t="s">
        <v>1056</v>
      </c>
      <c r="B443" s="143" t="s">
        <v>86</v>
      </c>
      <c r="C443" s="143" t="s">
        <v>86</v>
      </c>
    </row>
    <row r="444" spans="1:3" x14ac:dyDescent="0.25">
      <c r="A444" s="2" t="s">
        <v>1915</v>
      </c>
      <c r="B444" s="143" t="s">
        <v>86</v>
      </c>
      <c r="C444" s="143" t="s">
        <v>86</v>
      </c>
    </row>
    <row r="445" spans="1:3" x14ac:dyDescent="0.25">
      <c r="A445" s="2" t="s">
        <v>1917</v>
      </c>
      <c r="B445" s="143" t="s">
        <v>86</v>
      </c>
      <c r="C445" s="143" t="s">
        <v>86</v>
      </c>
    </row>
    <row r="446" spans="1:3" x14ac:dyDescent="0.25">
      <c r="A446" s="2" t="s">
        <v>1059</v>
      </c>
      <c r="B446" s="143">
        <v>-31.334</v>
      </c>
      <c r="C446" s="143" t="s">
        <v>86</v>
      </c>
    </row>
    <row r="447" spans="1:3" x14ac:dyDescent="0.25">
      <c r="A447" s="2" t="s">
        <v>1920</v>
      </c>
      <c r="B447" s="143" t="s">
        <v>86</v>
      </c>
      <c r="C447" s="143" t="s">
        <v>86</v>
      </c>
    </row>
    <row r="448" spans="1:3" x14ac:dyDescent="0.25">
      <c r="A448" s="2" t="s">
        <v>1063</v>
      </c>
      <c r="B448" s="143">
        <v>-11.93490740740741</v>
      </c>
      <c r="C448" s="143">
        <v>-9.5992456999501243</v>
      </c>
    </row>
    <row r="449" spans="1:3" x14ac:dyDescent="0.25">
      <c r="A449" s="2" t="s">
        <v>1068</v>
      </c>
      <c r="B449" s="143" t="s">
        <v>86</v>
      </c>
      <c r="C449" s="143" t="s">
        <v>86</v>
      </c>
    </row>
    <row r="450" spans="1:3" x14ac:dyDescent="0.25">
      <c r="A450" s="2" t="s">
        <v>1922</v>
      </c>
      <c r="B450" s="143" t="s">
        <v>86</v>
      </c>
      <c r="C450" s="143" t="s">
        <v>86</v>
      </c>
    </row>
    <row r="451" spans="1:3" x14ac:dyDescent="0.25">
      <c r="A451" s="2" t="s">
        <v>1071</v>
      </c>
      <c r="B451" s="143" t="s">
        <v>86</v>
      </c>
      <c r="C451" s="143" t="s">
        <v>86</v>
      </c>
    </row>
    <row r="452" spans="1:3" x14ac:dyDescent="0.25">
      <c r="A452" s="2" t="s">
        <v>1924</v>
      </c>
      <c r="B452" s="143" t="s">
        <v>86</v>
      </c>
      <c r="C452" s="143" t="s">
        <v>86</v>
      </c>
    </row>
    <row r="453" spans="1:3" x14ac:dyDescent="0.25">
      <c r="A453" s="2" t="s">
        <v>1926</v>
      </c>
      <c r="B453" s="143" t="s">
        <v>86</v>
      </c>
      <c r="C453" s="143" t="s">
        <v>86</v>
      </c>
    </row>
    <row r="454" spans="1:3" x14ac:dyDescent="0.25">
      <c r="A454" s="2" t="s">
        <v>1074</v>
      </c>
      <c r="B454" s="143">
        <v>-17.173500000000001</v>
      </c>
      <c r="C454" s="143" t="s">
        <v>86</v>
      </c>
    </row>
    <row r="455" spans="1:3" x14ac:dyDescent="0.25">
      <c r="A455" s="2" t="s">
        <v>1078</v>
      </c>
      <c r="B455" s="143" t="s">
        <v>86</v>
      </c>
      <c r="C455" s="143" t="s">
        <v>86</v>
      </c>
    </row>
    <row r="456" spans="1:3" x14ac:dyDescent="0.25">
      <c r="A456" s="2" t="s">
        <v>1928</v>
      </c>
      <c r="B456" s="143" t="s">
        <v>86</v>
      </c>
      <c r="C456" s="143" t="s">
        <v>86</v>
      </c>
    </row>
    <row r="457" spans="1:3" x14ac:dyDescent="0.25">
      <c r="A457" s="2" t="s">
        <v>1081</v>
      </c>
      <c r="B457" s="143" t="s">
        <v>86</v>
      </c>
      <c r="C457" s="143" t="s">
        <v>86</v>
      </c>
    </row>
    <row r="458" spans="1:3" x14ac:dyDescent="0.25">
      <c r="A458" s="2" t="s">
        <v>1084</v>
      </c>
      <c r="B458" s="143">
        <v>-20.785833333333329</v>
      </c>
      <c r="C458" s="143" t="s">
        <v>86</v>
      </c>
    </row>
    <row r="459" spans="1:3" x14ac:dyDescent="0.25">
      <c r="A459" s="2" t="s">
        <v>1087</v>
      </c>
      <c r="B459" s="143" t="s">
        <v>86</v>
      </c>
      <c r="C459" s="143" t="s">
        <v>86</v>
      </c>
    </row>
    <row r="460" spans="1:3" x14ac:dyDescent="0.25">
      <c r="A460" s="2" t="s">
        <v>1090</v>
      </c>
      <c r="B460" s="143" t="s">
        <v>86</v>
      </c>
      <c r="C460" s="143" t="s">
        <v>86</v>
      </c>
    </row>
    <row r="461" spans="1:3" x14ac:dyDescent="0.25">
      <c r="A461" s="2" t="s">
        <v>1093</v>
      </c>
      <c r="B461" s="143" t="s">
        <v>86</v>
      </c>
      <c r="C461" s="143" t="s">
        <v>86</v>
      </c>
    </row>
    <row r="462" spans="1:3" x14ac:dyDescent="0.25">
      <c r="A462" s="2" t="s">
        <v>1930</v>
      </c>
      <c r="B462" s="143" t="s">
        <v>86</v>
      </c>
      <c r="C462" s="143" t="s">
        <v>86</v>
      </c>
    </row>
    <row r="463" spans="1:3" x14ac:dyDescent="0.25">
      <c r="A463" s="2" t="s">
        <v>1932</v>
      </c>
      <c r="B463" s="143" t="s">
        <v>86</v>
      </c>
      <c r="C463" s="143" t="s">
        <v>86</v>
      </c>
    </row>
    <row r="464" spans="1:3" x14ac:dyDescent="0.25">
      <c r="A464" s="2" t="s">
        <v>1096</v>
      </c>
      <c r="B464" s="143" t="s">
        <v>86</v>
      </c>
      <c r="C464" s="143" t="s">
        <v>86</v>
      </c>
    </row>
    <row r="465" spans="1:3" x14ac:dyDescent="0.25">
      <c r="A465" s="2" t="s">
        <v>1099</v>
      </c>
      <c r="B465" s="143" t="s">
        <v>86</v>
      </c>
      <c r="C465" s="143" t="s">
        <v>86</v>
      </c>
    </row>
    <row r="466" spans="1:3" x14ac:dyDescent="0.25">
      <c r="A466" s="2" t="s">
        <v>1934</v>
      </c>
      <c r="B466" s="143">
        <v>-6.3375000000000004</v>
      </c>
      <c r="C466" s="143" t="s">
        <v>86</v>
      </c>
    </row>
    <row r="467" spans="1:3" x14ac:dyDescent="0.25">
      <c r="A467" s="2" t="s">
        <v>1102</v>
      </c>
      <c r="B467" s="143" t="s">
        <v>86</v>
      </c>
      <c r="C467" s="143" t="s">
        <v>86</v>
      </c>
    </row>
    <row r="468" spans="1:3" x14ac:dyDescent="0.25">
      <c r="A468" s="2" t="s">
        <v>1105</v>
      </c>
      <c r="B468" s="143">
        <v>-6.6002777777777766</v>
      </c>
      <c r="C468" s="143" t="s">
        <v>86</v>
      </c>
    </row>
    <row r="469" spans="1:3" x14ac:dyDescent="0.25">
      <c r="A469" s="2" t="s">
        <v>354</v>
      </c>
      <c r="B469" s="143">
        <v>-8.1686521164021144</v>
      </c>
      <c r="C469" s="143" t="s">
        <v>86</v>
      </c>
    </row>
    <row r="470" spans="1:3" x14ac:dyDescent="0.25">
      <c r="A470" s="2" t="s">
        <v>1936</v>
      </c>
      <c r="B470" s="143">
        <v>-1.2492307692307689</v>
      </c>
      <c r="C470" s="143">
        <v>-7.0544361266735649</v>
      </c>
    </row>
    <row r="471" spans="1:3" x14ac:dyDescent="0.25">
      <c r="A471" s="2" t="s">
        <v>1108</v>
      </c>
      <c r="B471" s="143">
        <v>-1.1000000000000001</v>
      </c>
      <c r="C471" s="143" t="s">
        <v>86</v>
      </c>
    </row>
    <row r="472" spans="1:3" x14ac:dyDescent="0.25">
      <c r="A472" s="2" t="s">
        <v>1111</v>
      </c>
      <c r="B472" s="143" t="s">
        <v>86</v>
      </c>
      <c r="C472" s="143" t="s">
        <v>86</v>
      </c>
    </row>
    <row r="473" spans="1:3" x14ac:dyDescent="0.25">
      <c r="A473" s="2" t="s">
        <v>1938</v>
      </c>
      <c r="B473" s="143">
        <v>-13.792</v>
      </c>
      <c r="C473" s="143" t="s">
        <v>86</v>
      </c>
    </row>
    <row r="474" spans="1:3" x14ac:dyDescent="0.25">
      <c r="A474" s="2" t="s">
        <v>1114</v>
      </c>
      <c r="B474" s="143" t="s">
        <v>86</v>
      </c>
      <c r="C474" s="143" t="s">
        <v>86</v>
      </c>
    </row>
    <row r="475" spans="1:3" x14ac:dyDescent="0.25">
      <c r="A475" s="2" t="s">
        <v>1117</v>
      </c>
      <c r="B475" s="143" t="s">
        <v>86</v>
      </c>
      <c r="C475" s="143" t="s">
        <v>86</v>
      </c>
    </row>
    <row r="476" spans="1:3" x14ac:dyDescent="0.25">
      <c r="A476" s="2" t="s">
        <v>1941</v>
      </c>
      <c r="B476" s="143" t="s">
        <v>86</v>
      </c>
      <c r="C476" s="143" t="s">
        <v>86</v>
      </c>
    </row>
    <row r="477" spans="1:3" x14ac:dyDescent="0.25">
      <c r="A477" s="2" t="s">
        <v>1943</v>
      </c>
      <c r="B477" s="143" t="s">
        <v>86</v>
      </c>
      <c r="C477" s="143" t="s">
        <v>86</v>
      </c>
    </row>
    <row r="478" spans="1:3" x14ac:dyDescent="0.25">
      <c r="A478" s="2" t="s">
        <v>1120</v>
      </c>
      <c r="B478" s="143" t="s">
        <v>86</v>
      </c>
      <c r="C478" s="143" t="s">
        <v>86</v>
      </c>
    </row>
    <row r="479" spans="1:3" x14ac:dyDescent="0.25">
      <c r="A479" s="2" t="s">
        <v>1945</v>
      </c>
      <c r="B479" s="143" t="s">
        <v>86</v>
      </c>
      <c r="C479" s="143" t="s">
        <v>86</v>
      </c>
    </row>
    <row r="480" spans="1:3" x14ac:dyDescent="0.25">
      <c r="A480" s="2" t="s">
        <v>1946</v>
      </c>
      <c r="B480" s="143" t="s">
        <v>86</v>
      </c>
      <c r="C480" s="143" t="s">
        <v>86</v>
      </c>
    </row>
    <row r="481" spans="1:3" x14ac:dyDescent="0.25">
      <c r="A481" s="2" t="s">
        <v>1948</v>
      </c>
      <c r="B481" s="143" t="s">
        <v>86</v>
      </c>
      <c r="C481" s="143" t="s">
        <v>86</v>
      </c>
    </row>
    <row r="482" spans="1:3" x14ac:dyDescent="0.25">
      <c r="A482" s="2" t="s">
        <v>1950</v>
      </c>
      <c r="B482" s="143" t="s">
        <v>86</v>
      </c>
      <c r="C482" s="143" t="s">
        <v>86</v>
      </c>
    </row>
    <row r="483" spans="1:3" x14ac:dyDescent="0.25">
      <c r="A483" s="2" t="s">
        <v>1952</v>
      </c>
      <c r="B483" s="143" t="s">
        <v>86</v>
      </c>
      <c r="C483" s="143" t="s">
        <v>86</v>
      </c>
    </row>
    <row r="484" spans="1:3" x14ac:dyDescent="0.25">
      <c r="A484" s="2" t="s">
        <v>356</v>
      </c>
      <c r="B484" s="143">
        <v>-12.14684169180493</v>
      </c>
      <c r="C484" s="143">
        <v>-16.82</v>
      </c>
    </row>
    <row r="485" spans="1:3" x14ac:dyDescent="0.25">
      <c r="A485" s="2" t="s">
        <v>360</v>
      </c>
      <c r="B485" s="143">
        <v>-14.83911111111111</v>
      </c>
      <c r="C485" s="143">
        <v>-14.5</v>
      </c>
    </row>
    <row r="486" spans="1:3" x14ac:dyDescent="0.25">
      <c r="A486" s="2" t="s">
        <v>362</v>
      </c>
      <c r="B486" s="143">
        <v>-11.73504166666666</v>
      </c>
      <c r="C486" s="143">
        <v>-26.287621337880509</v>
      </c>
    </row>
    <row r="487" spans="1:3" x14ac:dyDescent="0.25">
      <c r="A487" s="2" t="s">
        <v>1955</v>
      </c>
      <c r="B487" s="143">
        <v>-8.2983333333333338</v>
      </c>
      <c r="C487" s="143" t="s">
        <v>86</v>
      </c>
    </row>
    <row r="488" spans="1:3" x14ac:dyDescent="0.25">
      <c r="A488" s="2" t="s">
        <v>1123</v>
      </c>
      <c r="B488" s="143">
        <v>-8.0868749999999991</v>
      </c>
      <c r="C488" s="143" t="s">
        <v>86</v>
      </c>
    </row>
    <row r="489" spans="1:3" x14ac:dyDescent="0.25">
      <c r="A489" s="2" t="s">
        <v>1127</v>
      </c>
      <c r="B489" s="143" t="s">
        <v>86</v>
      </c>
      <c r="C489" s="143" t="s">
        <v>86</v>
      </c>
    </row>
    <row r="490" spans="1:3" x14ac:dyDescent="0.25">
      <c r="A490" s="2" t="s">
        <v>1130</v>
      </c>
      <c r="B490" s="143" t="s">
        <v>86</v>
      </c>
      <c r="C490" s="143" t="s">
        <v>86</v>
      </c>
    </row>
    <row r="491" spans="1:3" x14ac:dyDescent="0.25">
      <c r="A491" s="2" t="s">
        <v>1958</v>
      </c>
      <c r="B491" s="143" t="s">
        <v>86</v>
      </c>
      <c r="C491" s="143" t="s">
        <v>86</v>
      </c>
    </row>
    <row r="492" spans="1:3" x14ac:dyDescent="0.25">
      <c r="A492" s="2" t="s">
        <v>1133</v>
      </c>
      <c r="B492" s="143" t="s">
        <v>86</v>
      </c>
      <c r="C492" s="143" t="s">
        <v>86</v>
      </c>
    </row>
    <row r="493" spans="1:3" x14ac:dyDescent="0.25">
      <c r="A493" s="2" t="s">
        <v>1136</v>
      </c>
      <c r="B493" s="143" t="s">
        <v>86</v>
      </c>
      <c r="C493" s="143" t="s">
        <v>86</v>
      </c>
    </row>
    <row r="494" spans="1:3" x14ac:dyDescent="0.25">
      <c r="A494" s="2" t="s">
        <v>364</v>
      </c>
      <c r="B494" s="143">
        <v>-8.8823888888888884</v>
      </c>
      <c r="C494" s="143">
        <v>-2.4641594685419839</v>
      </c>
    </row>
    <row r="495" spans="1:3" x14ac:dyDescent="0.25">
      <c r="A495" s="2" t="s">
        <v>1959</v>
      </c>
      <c r="B495" s="143">
        <v>-1.032</v>
      </c>
      <c r="C495" s="143" t="s">
        <v>86</v>
      </c>
    </row>
    <row r="496" spans="1:3" x14ac:dyDescent="0.25">
      <c r="A496" s="2" t="s">
        <v>1139</v>
      </c>
      <c r="B496" s="143">
        <v>-4.6210000000000004</v>
      </c>
      <c r="C496" s="143" t="s">
        <v>86</v>
      </c>
    </row>
    <row r="497" spans="1:3" x14ac:dyDescent="0.25">
      <c r="A497" s="2" t="s">
        <v>1142</v>
      </c>
      <c r="B497" s="143" t="s">
        <v>86</v>
      </c>
      <c r="C497" s="143" t="s">
        <v>86</v>
      </c>
    </row>
    <row r="498" spans="1:3" x14ac:dyDescent="0.25">
      <c r="A498" s="2" t="s">
        <v>1145</v>
      </c>
      <c r="B498" s="143">
        <v>-4.7033333333333331</v>
      </c>
      <c r="C498" s="143" t="s">
        <v>86</v>
      </c>
    </row>
    <row r="499" spans="1:3" x14ac:dyDescent="0.25">
      <c r="A499" s="2" t="s">
        <v>1148</v>
      </c>
      <c r="B499" s="143">
        <v>-5.001666666666666</v>
      </c>
      <c r="C499" s="143" t="s">
        <v>86</v>
      </c>
    </row>
    <row r="500" spans="1:3" x14ac:dyDescent="0.25">
      <c r="A500" s="2" t="s">
        <v>1151</v>
      </c>
      <c r="B500" s="143">
        <v>-5.0622222222222222</v>
      </c>
      <c r="C500" s="143" t="s">
        <v>86</v>
      </c>
    </row>
    <row r="501" spans="1:3" x14ac:dyDescent="0.25">
      <c r="A501" s="2" t="s">
        <v>1154</v>
      </c>
      <c r="B501" s="143">
        <v>-12.43</v>
      </c>
      <c r="C501" s="143" t="s">
        <v>86</v>
      </c>
    </row>
    <row r="502" spans="1:3" x14ac:dyDescent="0.25">
      <c r="A502" s="2" t="s">
        <v>1961</v>
      </c>
      <c r="B502" s="143">
        <v>-15.22666666666667</v>
      </c>
      <c r="C502" s="143" t="s">
        <v>86</v>
      </c>
    </row>
    <row r="503" spans="1:3" x14ac:dyDescent="0.25">
      <c r="A503" s="2" t="s">
        <v>1157</v>
      </c>
      <c r="B503" s="143">
        <v>-7.4733333333333327</v>
      </c>
      <c r="C503" s="143">
        <v>-2.85</v>
      </c>
    </row>
    <row r="504" spans="1:3" x14ac:dyDescent="0.25">
      <c r="A504" s="2" t="s">
        <v>1964</v>
      </c>
      <c r="B504" s="143">
        <v>-6.3987499999999997</v>
      </c>
      <c r="C504" s="143">
        <v>-2.0699999999999998</v>
      </c>
    </row>
    <row r="505" spans="1:3" x14ac:dyDescent="0.25">
      <c r="A505" s="2" t="s">
        <v>1160</v>
      </c>
      <c r="B505" s="143">
        <v>-5.746666666666667</v>
      </c>
      <c r="C505" s="143" t="s">
        <v>86</v>
      </c>
    </row>
    <row r="506" spans="1:3" x14ac:dyDescent="0.25">
      <c r="A506" s="2" t="s">
        <v>1163</v>
      </c>
      <c r="B506" s="143">
        <v>-10.753</v>
      </c>
      <c r="C506" s="143">
        <v>-10.64</v>
      </c>
    </row>
    <row r="507" spans="1:3" x14ac:dyDescent="0.25">
      <c r="A507" s="2" t="s">
        <v>1167</v>
      </c>
      <c r="B507" s="143">
        <v>-10.5025</v>
      </c>
      <c r="C507" s="143" t="s">
        <v>86</v>
      </c>
    </row>
    <row r="508" spans="1:3" x14ac:dyDescent="0.25">
      <c r="A508" s="2" t="s">
        <v>366</v>
      </c>
      <c r="B508" s="143">
        <v>-1.591388888888889</v>
      </c>
      <c r="C508" s="143" t="s">
        <v>86</v>
      </c>
    </row>
    <row r="509" spans="1:3" x14ac:dyDescent="0.25">
      <c r="A509" s="2" t="s">
        <v>704</v>
      </c>
      <c r="B509" s="143">
        <v>-4.0185000000000004</v>
      </c>
      <c r="C509" s="143" t="s">
        <v>86</v>
      </c>
    </row>
    <row r="510" spans="1:3" x14ac:dyDescent="0.25">
      <c r="A510" s="2" t="s">
        <v>368</v>
      </c>
      <c r="B510" s="143">
        <v>-2.0720833333333331</v>
      </c>
      <c r="C510" s="143" t="s">
        <v>86</v>
      </c>
    </row>
    <row r="511" spans="1:3" x14ac:dyDescent="0.25">
      <c r="A511" s="2" t="s">
        <v>706</v>
      </c>
      <c r="B511" s="143">
        <v>-3.0221428571428568</v>
      </c>
      <c r="C511" s="143" t="s">
        <v>86</v>
      </c>
    </row>
    <row r="512" spans="1:3" x14ac:dyDescent="0.25">
      <c r="A512" s="2" t="s">
        <v>707</v>
      </c>
      <c r="B512" s="143">
        <v>-3.5950000000000002</v>
      </c>
      <c r="C512" s="143" t="s">
        <v>86</v>
      </c>
    </row>
    <row r="513" spans="1:3" x14ac:dyDescent="0.25">
      <c r="A513" s="2" t="s">
        <v>708</v>
      </c>
      <c r="B513" s="143">
        <v>-6.6187500000000004</v>
      </c>
      <c r="C513" s="143" t="s">
        <v>86</v>
      </c>
    </row>
    <row r="514" spans="1:3" x14ac:dyDescent="0.25">
      <c r="A514" s="2" t="s">
        <v>370</v>
      </c>
      <c r="B514" s="143">
        <v>-2.9565000000000001</v>
      </c>
      <c r="C514" s="143" t="s">
        <v>86</v>
      </c>
    </row>
    <row r="515" spans="1:3" x14ac:dyDescent="0.25">
      <c r="A515" s="2" t="s">
        <v>709</v>
      </c>
      <c r="B515" s="143">
        <v>-3.9587500000000002</v>
      </c>
      <c r="C515" s="143" t="s">
        <v>86</v>
      </c>
    </row>
    <row r="516" spans="1:3" x14ac:dyDescent="0.25">
      <c r="A516" s="2" t="s">
        <v>372</v>
      </c>
      <c r="B516" s="143">
        <v>-7.2552827380952376</v>
      </c>
      <c r="C516" s="143" t="s">
        <v>86</v>
      </c>
    </row>
    <row r="517" spans="1:3" x14ac:dyDescent="0.25">
      <c r="A517" s="2" t="s">
        <v>1971</v>
      </c>
      <c r="B517" s="143">
        <v>-4.4392499999999986</v>
      </c>
      <c r="C517" s="143" t="s">
        <v>86</v>
      </c>
    </row>
    <row r="518" spans="1:3" x14ac:dyDescent="0.25">
      <c r="A518" s="2" t="s">
        <v>1170</v>
      </c>
      <c r="B518" s="143">
        <v>-5.9270370370370369</v>
      </c>
      <c r="C518" s="143">
        <v>-12.832179172922469</v>
      </c>
    </row>
    <row r="519" spans="1:3" x14ac:dyDescent="0.25">
      <c r="A519" s="2" t="s">
        <v>1973</v>
      </c>
      <c r="B519" s="143">
        <v>-15.961983333333331</v>
      </c>
      <c r="C519" s="143" t="s">
        <v>86</v>
      </c>
    </row>
    <row r="520" spans="1:3" x14ac:dyDescent="0.25">
      <c r="A520" s="2" t="s">
        <v>1173</v>
      </c>
      <c r="B520" s="143">
        <v>-1.1125</v>
      </c>
      <c r="C520" s="143" t="s">
        <v>86</v>
      </c>
    </row>
    <row r="521" spans="1:3" x14ac:dyDescent="0.25">
      <c r="A521" s="2" t="s">
        <v>1975</v>
      </c>
      <c r="B521" s="143" t="s">
        <v>86</v>
      </c>
      <c r="C521" s="143" t="s">
        <v>86</v>
      </c>
    </row>
    <row r="522" spans="1:3" x14ac:dyDescent="0.25">
      <c r="A522" s="2" t="s">
        <v>1976</v>
      </c>
      <c r="B522" s="143" t="s">
        <v>86</v>
      </c>
      <c r="C522" s="143" t="s">
        <v>86</v>
      </c>
    </row>
    <row r="523" spans="1:3" x14ac:dyDescent="0.25">
      <c r="A523" s="2" t="s">
        <v>1977</v>
      </c>
      <c r="B523" s="143" t="s">
        <v>86</v>
      </c>
      <c r="C523" s="143" t="s">
        <v>86</v>
      </c>
    </row>
    <row r="524" spans="1:3" x14ac:dyDescent="0.25">
      <c r="A524" s="2" t="s">
        <v>1978</v>
      </c>
      <c r="B524" s="143">
        <v>-6.8637499999999996</v>
      </c>
      <c r="C524" s="143" t="s">
        <v>86</v>
      </c>
    </row>
    <row r="525" spans="1:3" x14ac:dyDescent="0.25">
      <c r="A525" s="2" t="s">
        <v>1981</v>
      </c>
      <c r="B525" s="143" t="s">
        <v>86</v>
      </c>
      <c r="C525" s="143" t="s">
        <v>86</v>
      </c>
    </row>
    <row r="526" spans="1:3" x14ac:dyDescent="0.25">
      <c r="A526" s="2" t="s">
        <v>1176</v>
      </c>
      <c r="B526" s="143" t="s">
        <v>86</v>
      </c>
      <c r="C526" s="143" t="s">
        <v>86</v>
      </c>
    </row>
    <row r="527" spans="1:3" x14ac:dyDescent="0.25">
      <c r="A527" s="2" t="s">
        <v>374</v>
      </c>
      <c r="B527" s="143">
        <v>-3.3149999999999999</v>
      </c>
      <c r="C527" s="143">
        <v>-6.314954615013626</v>
      </c>
    </row>
    <row r="528" spans="1:3" x14ac:dyDescent="0.25">
      <c r="A528" s="2" t="s">
        <v>1983</v>
      </c>
      <c r="B528" s="143" t="s">
        <v>86</v>
      </c>
      <c r="C528" s="143" t="s">
        <v>86</v>
      </c>
    </row>
    <row r="529" spans="1:3" x14ac:dyDescent="0.25">
      <c r="A529" s="2" t="s">
        <v>1985</v>
      </c>
      <c r="B529" s="143" t="s">
        <v>86</v>
      </c>
      <c r="C529" s="143" t="s">
        <v>86</v>
      </c>
    </row>
    <row r="530" spans="1:3" x14ac:dyDescent="0.25">
      <c r="A530" s="2" t="s">
        <v>1179</v>
      </c>
      <c r="B530" s="143" t="s">
        <v>86</v>
      </c>
      <c r="C530" s="143" t="s">
        <v>86</v>
      </c>
    </row>
    <row r="531" spans="1:3" x14ac:dyDescent="0.25">
      <c r="A531" s="2" t="s">
        <v>1987</v>
      </c>
      <c r="B531" s="143" t="s">
        <v>86</v>
      </c>
      <c r="C531" s="143" t="s">
        <v>86</v>
      </c>
    </row>
    <row r="532" spans="1:3" x14ac:dyDescent="0.25">
      <c r="A532" s="2" t="s">
        <v>1182</v>
      </c>
      <c r="B532" s="143">
        <v>-3.3037037037037038</v>
      </c>
      <c r="C532" s="143">
        <v>-13.42376438225042</v>
      </c>
    </row>
    <row r="533" spans="1:3" x14ac:dyDescent="0.25">
      <c r="A533" s="2" t="s">
        <v>746</v>
      </c>
      <c r="B533" s="143">
        <v>-17.545000000000002</v>
      </c>
      <c r="C533" s="143" t="s">
        <v>86</v>
      </c>
    </row>
    <row r="534" spans="1:3" x14ac:dyDescent="0.25">
      <c r="A534" s="2" t="s">
        <v>1989</v>
      </c>
      <c r="B534" s="143">
        <v>-14.15041961130742</v>
      </c>
      <c r="C534" s="143" t="s">
        <v>86</v>
      </c>
    </row>
    <row r="535" spans="1:3" x14ac:dyDescent="0.25">
      <c r="A535" s="2" t="s">
        <v>1187</v>
      </c>
      <c r="B535" s="143">
        <v>-2.4594776943462899</v>
      </c>
      <c r="C535" s="143" t="s">
        <v>86</v>
      </c>
    </row>
    <row r="536" spans="1:3" x14ac:dyDescent="0.25">
      <c r="A536" s="2" t="s">
        <v>376</v>
      </c>
      <c r="B536" s="143">
        <v>-20.026938177071159</v>
      </c>
      <c r="C536" s="143">
        <v>-38.75</v>
      </c>
    </row>
    <row r="537" spans="1:3" x14ac:dyDescent="0.25">
      <c r="A537" s="2" t="s">
        <v>378</v>
      </c>
      <c r="B537" s="143" t="s">
        <v>86</v>
      </c>
      <c r="C537" s="143" t="s">
        <v>86</v>
      </c>
    </row>
    <row r="538" spans="1:3" x14ac:dyDescent="0.25">
      <c r="A538" s="2" t="s">
        <v>380</v>
      </c>
      <c r="B538" s="143">
        <v>-1.310152941176471</v>
      </c>
      <c r="C538" s="143">
        <v>-3.8310674253720132</v>
      </c>
    </row>
    <row r="539" spans="1:3" x14ac:dyDescent="0.25">
      <c r="A539" s="2" t="s">
        <v>382</v>
      </c>
      <c r="B539" s="143">
        <v>-0.57703030303030323</v>
      </c>
      <c r="C539" s="143">
        <v>-0.73</v>
      </c>
    </row>
    <row r="540" spans="1:3" x14ac:dyDescent="0.25">
      <c r="A540" s="2" t="s">
        <v>1991</v>
      </c>
      <c r="B540" s="143" t="s">
        <v>86</v>
      </c>
      <c r="C540" s="143" t="s">
        <v>86</v>
      </c>
    </row>
    <row r="541" spans="1:3" x14ac:dyDescent="0.25">
      <c r="A541" s="2" t="s">
        <v>1992</v>
      </c>
      <c r="B541" s="143" t="s">
        <v>86</v>
      </c>
      <c r="C541" s="143" t="s">
        <v>86</v>
      </c>
    </row>
    <row r="542" spans="1:3" x14ac:dyDescent="0.25">
      <c r="A542" s="2" t="s">
        <v>1190</v>
      </c>
      <c r="B542" s="143" t="s">
        <v>86</v>
      </c>
      <c r="C542" s="143" t="s">
        <v>86</v>
      </c>
    </row>
    <row r="543" spans="1:3" x14ac:dyDescent="0.25">
      <c r="A543" s="2" t="s">
        <v>1993</v>
      </c>
      <c r="B543" s="143" t="s">
        <v>86</v>
      </c>
      <c r="C543" s="143" t="s">
        <v>86</v>
      </c>
    </row>
    <row r="544" spans="1:3" x14ac:dyDescent="0.25">
      <c r="A544" s="2" t="s">
        <v>1193</v>
      </c>
      <c r="B544" s="143">
        <v>-12.49090608465608</v>
      </c>
      <c r="C544" s="143">
        <v>-8.4388253506261695</v>
      </c>
    </row>
    <row r="545" spans="1:3" x14ac:dyDescent="0.25">
      <c r="A545" s="2" t="s">
        <v>1995</v>
      </c>
      <c r="B545" s="143">
        <v>-12.12125</v>
      </c>
      <c r="C545" s="143" t="s">
        <v>86</v>
      </c>
    </row>
    <row r="546" spans="1:3" x14ac:dyDescent="0.25">
      <c r="A546" s="2" t="s">
        <v>1197</v>
      </c>
      <c r="B546" s="143">
        <v>-9.208000000000002</v>
      </c>
      <c r="C546" s="143">
        <v>-11.64</v>
      </c>
    </row>
    <row r="547" spans="1:3" x14ac:dyDescent="0.25">
      <c r="A547" s="2" t="s">
        <v>1997</v>
      </c>
      <c r="B547" s="143" t="s">
        <v>86</v>
      </c>
      <c r="C547" s="143" t="s">
        <v>86</v>
      </c>
    </row>
    <row r="548" spans="1:3" x14ac:dyDescent="0.25">
      <c r="A548" s="2" t="s">
        <v>384</v>
      </c>
      <c r="B548" s="143">
        <v>-1.0643750000000001</v>
      </c>
      <c r="C548" s="143" t="s">
        <v>86</v>
      </c>
    </row>
    <row r="549" spans="1:3" x14ac:dyDescent="0.25">
      <c r="A549" s="2" t="s">
        <v>387</v>
      </c>
      <c r="B549" s="143" t="s">
        <v>86</v>
      </c>
      <c r="C549" s="143" t="s">
        <v>86</v>
      </c>
    </row>
    <row r="550" spans="1:3" x14ac:dyDescent="0.25">
      <c r="A550" s="2" t="s">
        <v>1999</v>
      </c>
      <c r="B550" s="143" t="s">
        <v>86</v>
      </c>
      <c r="C550" s="143" t="s">
        <v>86</v>
      </c>
    </row>
    <row r="551" spans="1:3" x14ac:dyDescent="0.25">
      <c r="A551" s="2" t="s">
        <v>389</v>
      </c>
      <c r="B551" s="143" t="s">
        <v>86</v>
      </c>
      <c r="C551" s="143" t="s">
        <v>86</v>
      </c>
    </row>
    <row r="552" spans="1:3" x14ac:dyDescent="0.25">
      <c r="A552" s="2" t="s">
        <v>391</v>
      </c>
      <c r="B552" s="143" t="s">
        <v>86</v>
      </c>
      <c r="C552" s="143" t="s">
        <v>86</v>
      </c>
    </row>
    <row r="553" spans="1:3" x14ac:dyDescent="0.25">
      <c r="A553" s="2" t="s">
        <v>393</v>
      </c>
      <c r="B553" s="143" t="s">
        <v>86</v>
      </c>
      <c r="C553" s="143" t="s">
        <v>86</v>
      </c>
    </row>
    <row r="554" spans="1:3" x14ac:dyDescent="0.25">
      <c r="A554" s="2" t="s">
        <v>395</v>
      </c>
      <c r="B554" s="143" t="s">
        <v>86</v>
      </c>
      <c r="C554" s="143" t="s">
        <v>86</v>
      </c>
    </row>
    <row r="555" spans="1:3" x14ac:dyDescent="0.25">
      <c r="A555" s="2" t="s">
        <v>397</v>
      </c>
      <c r="B555" s="143" t="s">
        <v>86</v>
      </c>
      <c r="C555" s="143" t="s">
        <v>86</v>
      </c>
    </row>
    <row r="556" spans="1:3" x14ac:dyDescent="0.25">
      <c r="A556" s="2" t="s">
        <v>399</v>
      </c>
      <c r="B556" s="143" t="s">
        <v>86</v>
      </c>
      <c r="C556" s="143" t="s">
        <v>86</v>
      </c>
    </row>
    <row r="557" spans="1:3" x14ac:dyDescent="0.25">
      <c r="A557" s="2" t="s">
        <v>401</v>
      </c>
      <c r="B557" s="143" t="s">
        <v>86</v>
      </c>
      <c r="C557" s="143" t="s">
        <v>86</v>
      </c>
    </row>
    <row r="558" spans="1:3" x14ac:dyDescent="0.25">
      <c r="A558" s="2" t="s">
        <v>2001</v>
      </c>
      <c r="B558" s="143" t="s">
        <v>86</v>
      </c>
      <c r="C558" s="143" t="s">
        <v>86</v>
      </c>
    </row>
    <row r="559" spans="1:3" x14ac:dyDescent="0.25">
      <c r="A559" s="2" t="s">
        <v>2003</v>
      </c>
      <c r="B559" s="143" t="s">
        <v>86</v>
      </c>
      <c r="C559" s="143" t="s">
        <v>86</v>
      </c>
    </row>
    <row r="560" spans="1:3" x14ac:dyDescent="0.25">
      <c r="A560" s="2" t="s">
        <v>2005</v>
      </c>
      <c r="B560" s="143" t="s">
        <v>86</v>
      </c>
      <c r="C560" s="143" t="s">
        <v>86</v>
      </c>
    </row>
    <row r="561" spans="1:3" x14ac:dyDescent="0.25">
      <c r="A561" s="2" t="s">
        <v>2007</v>
      </c>
      <c r="B561" s="143" t="s">
        <v>86</v>
      </c>
      <c r="C561" s="143" t="s">
        <v>86</v>
      </c>
    </row>
    <row r="562" spans="1:3" x14ac:dyDescent="0.25">
      <c r="A562" s="2" t="s">
        <v>2009</v>
      </c>
      <c r="B562" s="143" t="s">
        <v>86</v>
      </c>
      <c r="C562" s="143" t="s">
        <v>86</v>
      </c>
    </row>
    <row r="563" spans="1:3" x14ac:dyDescent="0.25">
      <c r="A563" s="2" t="s">
        <v>1200</v>
      </c>
      <c r="B563" s="143" t="s">
        <v>86</v>
      </c>
      <c r="C563" s="143" t="s">
        <v>86</v>
      </c>
    </row>
    <row r="564" spans="1:3" x14ac:dyDescent="0.25">
      <c r="A564" s="2" t="s">
        <v>1203</v>
      </c>
      <c r="B564" s="143" t="s">
        <v>86</v>
      </c>
      <c r="C564" s="143" t="s">
        <v>86</v>
      </c>
    </row>
    <row r="565" spans="1:3" x14ac:dyDescent="0.25">
      <c r="A565" s="2" t="s">
        <v>2011</v>
      </c>
      <c r="B565" s="143" t="s">
        <v>86</v>
      </c>
      <c r="C565" s="143" t="s">
        <v>86</v>
      </c>
    </row>
    <row r="566" spans="1:3" x14ac:dyDescent="0.25">
      <c r="A566" s="2" t="s">
        <v>2013</v>
      </c>
      <c r="B566" s="143" t="s">
        <v>86</v>
      </c>
      <c r="C566" s="143" t="s">
        <v>86</v>
      </c>
    </row>
    <row r="567" spans="1:3" x14ac:dyDescent="0.25">
      <c r="A567" s="2" t="s">
        <v>2015</v>
      </c>
      <c r="B567" s="143" t="s">
        <v>86</v>
      </c>
      <c r="C567" s="143" t="s">
        <v>86</v>
      </c>
    </row>
    <row r="568" spans="1:3" x14ac:dyDescent="0.25">
      <c r="A568" s="2" t="s">
        <v>2017</v>
      </c>
      <c r="B568" s="143" t="s">
        <v>86</v>
      </c>
      <c r="C568" s="143" t="s">
        <v>86</v>
      </c>
    </row>
    <row r="569" spans="1:3" x14ac:dyDescent="0.25">
      <c r="A569" s="2" t="s">
        <v>2019</v>
      </c>
      <c r="B569" s="143" t="s">
        <v>86</v>
      </c>
      <c r="C569" s="143" t="s">
        <v>86</v>
      </c>
    </row>
    <row r="570" spans="1:3" x14ac:dyDescent="0.25">
      <c r="A570" s="2" t="s">
        <v>2021</v>
      </c>
      <c r="B570" s="143" t="s">
        <v>86</v>
      </c>
      <c r="C570" s="143" t="s">
        <v>86</v>
      </c>
    </row>
    <row r="571" spans="1:3" x14ac:dyDescent="0.25">
      <c r="A571" s="2" t="s">
        <v>2023</v>
      </c>
      <c r="B571" s="143" t="s">
        <v>86</v>
      </c>
      <c r="C571" s="143" t="s">
        <v>86</v>
      </c>
    </row>
    <row r="572" spans="1:3" x14ac:dyDescent="0.25">
      <c r="A572" s="2" t="s">
        <v>2025</v>
      </c>
      <c r="B572" s="143" t="s">
        <v>86</v>
      </c>
      <c r="C572" s="143" t="s">
        <v>86</v>
      </c>
    </row>
    <row r="573" spans="1:3" x14ac:dyDescent="0.25">
      <c r="A573" s="2" t="s">
        <v>2027</v>
      </c>
      <c r="B573" s="143" t="s">
        <v>86</v>
      </c>
      <c r="C573" s="143" t="s">
        <v>86</v>
      </c>
    </row>
    <row r="574" spans="1:3" x14ac:dyDescent="0.25">
      <c r="A574" s="2" t="s">
        <v>2029</v>
      </c>
      <c r="B574" s="143" t="s">
        <v>86</v>
      </c>
      <c r="C574" s="143" t="s">
        <v>86</v>
      </c>
    </row>
    <row r="575" spans="1:3" x14ac:dyDescent="0.25">
      <c r="A575" s="2" t="s">
        <v>403</v>
      </c>
      <c r="B575" s="143" t="s">
        <v>86</v>
      </c>
      <c r="C575" s="143" t="s">
        <v>86</v>
      </c>
    </row>
    <row r="576" spans="1:3" x14ac:dyDescent="0.25">
      <c r="A576" s="2" t="s">
        <v>2031</v>
      </c>
      <c r="B576" s="143">
        <v>-7.6938333333333349</v>
      </c>
      <c r="C576" s="143">
        <v>-11.58</v>
      </c>
    </row>
    <row r="577" spans="1:3" x14ac:dyDescent="0.25">
      <c r="A577" s="2" t="s">
        <v>2034</v>
      </c>
      <c r="B577" s="143">
        <v>-8.9214047619047623</v>
      </c>
      <c r="C577" s="143" t="s">
        <v>86</v>
      </c>
    </row>
    <row r="578" spans="1:3" x14ac:dyDescent="0.25">
      <c r="A578" s="2" t="s">
        <v>405</v>
      </c>
      <c r="B578" s="143">
        <v>-10.08261666666667</v>
      </c>
      <c r="C578" s="143">
        <v>-17.48</v>
      </c>
    </row>
    <row r="579" spans="1:3" x14ac:dyDescent="0.25">
      <c r="A579" s="2" t="s">
        <v>407</v>
      </c>
      <c r="B579" s="143">
        <v>-7.5474074074074089</v>
      </c>
      <c r="C579" s="143">
        <v>-7.6471346099667947</v>
      </c>
    </row>
    <row r="580" spans="1:3" x14ac:dyDescent="0.25">
      <c r="A580" s="2" t="s">
        <v>409</v>
      </c>
      <c r="B580" s="143">
        <v>-7.0852564102564104</v>
      </c>
      <c r="C580" s="143">
        <v>-5.5687731975235799</v>
      </c>
    </row>
    <row r="581" spans="1:3" x14ac:dyDescent="0.25">
      <c r="A581" s="2" t="s">
        <v>411</v>
      </c>
      <c r="B581" s="143">
        <v>-9.1273214285714275</v>
      </c>
      <c r="C581" s="143">
        <v>-20.753827017462012</v>
      </c>
    </row>
    <row r="582" spans="1:3" x14ac:dyDescent="0.25">
      <c r="A582" s="2" t="s">
        <v>1206</v>
      </c>
      <c r="B582" s="143">
        <v>-7.993095238095238</v>
      </c>
      <c r="C582" s="143">
        <v>-5.64</v>
      </c>
    </row>
    <row r="583" spans="1:3" x14ac:dyDescent="0.25">
      <c r="A583" s="2" t="s">
        <v>1210</v>
      </c>
      <c r="B583" s="143">
        <v>-11.814416666666659</v>
      </c>
      <c r="C583" s="143" t="s">
        <v>86</v>
      </c>
    </row>
    <row r="584" spans="1:3" x14ac:dyDescent="0.25">
      <c r="A584" s="2" t="s">
        <v>1214</v>
      </c>
      <c r="B584" s="143">
        <v>-24.033571428571431</v>
      </c>
      <c r="C584" s="143" t="s">
        <v>86</v>
      </c>
    </row>
    <row r="585" spans="1:3" x14ac:dyDescent="0.25">
      <c r="A585" s="2" t="s">
        <v>1219</v>
      </c>
      <c r="B585" s="143">
        <v>-15.624333333333331</v>
      </c>
      <c r="C585" s="143" t="s">
        <v>86</v>
      </c>
    </row>
    <row r="586" spans="1:3" x14ac:dyDescent="0.25">
      <c r="A586" s="2" t="s">
        <v>2037</v>
      </c>
      <c r="B586" s="143">
        <v>-13.863958333333329</v>
      </c>
      <c r="C586" s="143" t="s">
        <v>86</v>
      </c>
    </row>
    <row r="587" spans="1:3" x14ac:dyDescent="0.25">
      <c r="A587" s="2" t="s">
        <v>2040</v>
      </c>
      <c r="B587" s="143" t="s">
        <v>86</v>
      </c>
      <c r="C587" s="143" t="s">
        <v>86</v>
      </c>
    </row>
    <row r="588" spans="1:3" x14ac:dyDescent="0.25">
      <c r="A588" s="2" t="s">
        <v>2041</v>
      </c>
      <c r="B588" s="143" t="s">
        <v>86</v>
      </c>
      <c r="C588" s="143" t="s">
        <v>86</v>
      </c>
    </row>
    <row r="589" spans="1:3" x14ac:dyDescent="0.25">
      <c r="A589" s="2" t="s">
        <v>1223</v>
      </c>
      <c r="B589" s="143">
        <v>-25.020675213675212</v>
      </c>
      <c r="C589" s="143">
        <v>-28.639756033240101</v>
      </c>
    </row>
    <row r="590" spans="1:3" x14ac:dyDescent="0.25">
      <c r="A590" s="2" t="s">
        <v>1227</v>
      </c>
      <c r="B590" s="143">
        <v>-23.1235</v>
      </c>
      <c r="C590" s="143">
        <v>-42.97</v>
      </c>
    </row>
    <row r="591" spans="1:3" x14ac:dyDescent="0.25">
      <c r="A591" s="2" t="s">
        <v>1231</v>
      </c>
      <c r="B591" s="143">
        <v>-128.32</v>
      </c>
      <c r="C591" s="143" t="s">
        <v>86</v>
      </c>
    </row>
    <row r="592" spans="1:3" x14ac:dyDescent="0.25">
      <c r="A592" s="2" t="s">
        <v>1235</v>
      </c>
      <c r="B592" s="143">
        <v>-3.8533333333333331</v>
      </c>
      <c r="C592" s="143" t="s">
        <v>86</v>
      </c>
    </row>
    <row r="593" spans="1:3" x14ac:dyDescent="0.25">
      <c r="A593" s="2" t="s">
        <v>1239</v>
      </c>
      <c r="B593" s="143">
        <v>-10.183958333333329</v>
      </c>
      <c r="C593" s="143" t="s">
        <v>86</v>
      </c>
    </row>
    <row r="594" spans="1:3" x14ac:dyDescent="0.25">
      <c r="A594" s="2" t="s">
        <v>1243</v>
      </c>
      <c r="B594" s="143" t="s">
        <v>86</v>
      </c>
      <c r="C594" s="143" t="s">
        <v>86</v>
      </c>
    </row>
    <row r="595" spans="1:3" x14ac:dyDescent="0.25">
      <c r="A595" s="2" t="s">
        <v>2042</v>
      </c>
      <c r="B595" s="143">
        <v>-11.537000000000001</v>
      </c>
      <c r="C595" s="143" t="s">
        <v>86</v>
      </c>
    </row>
    <row r="596" spans="1:3" x14ac:dyDescent="0.25">
      <c r="A596" s="2" t="s">
        <v>1247</v>
      </c>
      <c r="B596" s="143">
        <v>-16.995000000000001</v>
      </c>
      <c r="C596" s="143" t="s">
        <v>86</v>
      </c>
    </row>
    <row r="597" spans="1:3" x14ac:dyDescent="0.25">
      <c r="A597" s="2" t="s">
        <v>1250</v>
      </c>
      <c r="B597" s="143">
        <v>-3.155749961411404</v>
      </c>
      <c r="C597" s="143" t="s">
        <v>86</v>
      </c>
    </row>
    <row r="598" spans="1:3" x14ac:dyDescent="0.25">
      <c r="A598" s="2" t="s">
        <v>1254</v>
      </c>
      <c r="B598" s="143">
        <v>-1.161448250368833</v>
      </c>
      <c r="C598" s="143" t="s">
        <v>86</v>
      </c>
    </row>
    <row r="599" spans="1:3" x14ac:dyDescent="0.25">
      <c r="A599" s="2" t="s">
        <v>2044</v>
      </c>
      <c r="B599" s="143">
        <v>-0.96305139621330327</v>
      </c>
      <c r="C599" s="143" t="s">
        <v>86</v>
      </c>
    </row>
    <row r="600" spans="1:3" x14ac:dyDescent="0.25">
      <c r="A600" s="2" t="s">
        <v>2048</v>
      </c>
      <c r="B600" s="143">
        <v>-0.67823048123482732</v>
      </c>
      <c r="C600" s="143" t="s">
        <v>86</v>
      </c>
    </row>
    <row r="601" spans="1:3" x14ac:dyDescent="0.25">
      <c r="A601" s="2" t="s">
        <v>2051</v>
      </c>
      <c r="B601" s="143">
        <v>-0.64892002335084653</v>
      </c>
      <c r="C601" s="143" t="s">
        <v>86</v>
      </c>
    </row>
    <row r="602" spans="1:3" x14ac:dyDescent="0.25">
      <c r="A602" s="2" t="s">
        <v>1258</v>
      </c>
      <c r="B602" s="143">
        <v>-1.256414835164835</v>
      </c>
      <c r="C602" s="143" t="s">
        <v>86</v>
      </c>
    </row>
    <row r="603" spans="1:3" x14ac:dyDescent="0.25">
      <c r="A603" s="2" t="s">
        <v>1262</v>
      </c>
      <c r="B603" s="143">
        <v>-1.977853211009174</v>
      </c>
      <c r="C603" s="143" t="s">
        <v>86</v>
      </c>
    </row>
    <row r="604" spans="1:3" x14ac:dyDescent="0.25">
      <c r="A604" s="2" t="s">
        <v>2054</v>
      </c>
      <c r="B604" s="143">
        <v>-1.6409445836965999</v>
      </c>
      <c r="C604" s="143" t="s">
        <v>86</v>
      </c>
    </row>
    <row r="605" spans="1:3" x14ac:dyDescent="0.25">
      <c r="A605" s="2" t="s">
        <v>2057</v>
      </c>
      <c r="B605" s="143">
        <v>-0.76655541630340018</v>
      </c>
      <c r="C605" s="143" t="s">
        <v>86</v>
      </c>
    </row>
    <row r="606" spans="1:3" x14ac:dyDescent="0.25">
      <c r="A606" s="2" t="s">
        <v>2060</v>
      </c>
      <c r="B606" s="143">
        <v>-9.2100000000000009</v>
      </c>
      <c r="C606" s="143" t="s">
        <v>86</v>
      </c>
    </row>
    <row r="607" spans="1:3" x14ac:dyDescent="0.25">
      <c r="A607" s="2" t="s">
        <v>413</v>
      </c>
      <c r="B607" s="143">
        <v>-12.022500000000001</v>
      </c>
      <c r="C607" s="143" t="s">
        <v>86</v>
      </c>
    </row>
    <row r="608" spans="1:3" x14ac:dyDescent="0.25">
      <c r="A608" s="2" t="s">
        <v>415</v>
      </c>
      <c r="B608" s="143">
        <v>-2.426428571428572</v>
      </c>
      <c r="C608" s="143">
        <v>-6.87</v>
      </c>
    </row>
    <row r="609" spans="1:3" x14ac:dyDescent="0.25">
      <c r="A609" s="2" t="s">
        <v>417</v>
      </c>
      <c r="B609" s="143">
        <v>-7.0025000000000004</v>
      </c>
      <c r="C609" s="143">
        <v>-5.8766993562032521</v>
      </c>
    </row>
    <row r="610" spans="1:3" x14ac:dyDescent="0.25">
      <c r="A610" s="2" t="s">
        <v>419</v>
      </c>
      <c r="B610" s="143">
        <v>-8.4896773499851843</v>
      </c>
      <c r="C610" s="143">
        <v>-10.079805529468601</v>
      </c>
    </row>
    <row r="611" spans="1:3" x14ac:dyDescent="0.25">
      <c r="A611" s="2" t="s">
        <v>421</v>
      </c>
      <c r="B611" s="143">
        <v>-5.2085809545323274</v>
      </c>
      <c r="C611" s="143">
        <v>-7.72</v>
      </c>
    </row>
    <row r="612" spans="1:3" x14ac:dyDescent="0.25">
      <c r="A612" s="2" t="s">
        <v>423</v>
      </c>
      <c r="B612" s="143">
        <v>-9.2106739960919786</v>
      </c>
      <c r="C612" s="143">
        <v>-12.952795902548649</v>
      </c>
    </row>
    <row r="613" spans="1:3" x14ac:dyDescent="0.25">
      <c r="A613" s="2" t="s">
        <v>425</v>
      </c>
      <c r="B613" s="143">
        <v>-5.6983932190068627</v>
      </c>
      <c r="C613" s="143">
        <v>-9.9145628158707542</v>
      </c>
    </row>
    <row r="614" spans="1:3" x14ac:dyDescent="0.25">
      <c r="A614" s="2" t="s">
        <v>427</v>
      </c>
      <c r="B614" s="143">
        <v>-5.6342090803001321</v>
      </c>
      <c r="C614" s="143">
        <v>-4.3193102115535584</v>
      </c>
    </row>
    <row r="615" spans="1:3" x14ac:dyDescent="0.25">
      <c r="A615" s="2" t="s">
        <v>429</v>
      </c>
      <c r="B615" s="143">
        <v>-1.737755952380952</v>
      </c>
      <c r="C615" s="143">
        <v>-1.3180536449334059</v>
      </c>
    </row>
    <row r="616" spans="1:3" x14ac:dyDescent="0.25">
      <c r="A616" s="2" t="s">
        <v>2062</v>
      </c>
      <c r="B616" s="143">
        <v>-4.1121467889908248</v>
      </c>
      <c r="C616" s="143" t="s">
        <v>86</v>
      </c>
    </row>
    <row r="617" spans="1:3" x14ac:dyDescent="0.25">
      <c r="A617" s="2" t="s">
        <v>2065</v>
      </c>
      <c r="B617" s="143" t="s">
        <v>86</v>
      </c>
      <c r="C617" s="143" t="s">
        <v>86</v>
      </c>
    </row>
    <row r="618" spans="1:3" x14ac:dyDescent="0.25">
      <c r="A618" s="2" t="s">
        <v>2068</v>
      </c>
      <c r="B618" s="143">
        <v>-0.76907340553549941</v>
      </c>
      <c r="C618" s="143" t="s">
        <v>86</v>
      </c>
    </row>
    <row r="619" spans="1:3" x14ac:dyDescent="0.25">
      <c r="A619" s="2" t="s">
        <v>431</v>
      </c>
      <c r="B619" s="143">
        <v>-17.725000000000001</v>
      </c>
      <c r="C619" s="143" t="s">
        <v>86</v>
      </c>
    </row>
    <row r="620" spans="1:3" x14ac:dyDescent="0.25">
      <c r="A620" s="2" t="s">
        <v>2069</v>
      </c>
      <c r="B620" s="143" t="s">
        <v>86</v>
      </c>
      <c r="C620" s="143" t="s">
        <v>86</v>
      </c>
    </row>
    <row r="621" spans="1:3" x14ac:dyDescent="0.25">
      <c r="A621" s="2" t="s">
        <v>2071</v>
      </c>
      <c r="B621" s="143">
        <v>-6.7462499999999999</v>
      </c>
      <c r="C621" s="143" t="s">
        <v>86</v>
      </c>
    </row>
    <row r="622" spans="1:3" x14ac:dyDescent="0.25">
      <c r="A622" s="2" t="s">
        <v>1266</v>
      </c>
      <c r="B622" s="143">
        <v>-9.8925000000000001</v>
      </c>
      <c r="C622" s="143" t="s">
        <v>86</v>
      </c>
    </row>
    <row r="623" spans="1:3" x14ac:dyDescent="0.25">
      <c r="A623" s="2" t="s">
        <v>433</v>
      </c>
      <c r="B623" s="143">
        <v>-8.6602062700205753</v>
      </c>
      <c r="C623" s="143">
        <v>-7.8812843704789781</v>
      </c>
    </row>
    <row r="624" spans="1:3" x14ac:dyDescent="0.25">
      <c r="A624" s="2" t="s">
        <v>435</v>
      </c>
      <c r="B624" s="143">
        <v>-2.6963480778879272</v>
      </c>
      <c r="C624" s="143">
        <v>-1.3721099051811769</v>
      </c>
    </row>
    <row r="625" spans="1:3" x14ac:dyDescent="0.25">
      <c r="A625" s="2" t="s">
        <v>437</v>
      </c>
      <c r="B625" s="143" t="s">
        <v>86</v>
      </c>
      <c r="C625" s="143" t="s">
        <v>86</v>
      </c>
    </row>
    <row r="626" spans="1:3" x14ac:dyDescent="0.25">
      <c r="A626" s="2" t="s">
        <v>439</v>
      </c>
      <c r="B626" s="143">
        <v>-7.9756515151515153</v>
      </c>
      <c r="C626" s="143">
        <v>-5.9980428062657092</v>
      </c>
    </row>
    <row r="627" spans="1:3" x14ac:dyDescent="0.25">
      <c r="A627" s="2" t="s">
        <v>1269</v>
      </c>
      <c r="B627" s="143">
        <v>-1.5162500000000001</v>
      </c>
      <c r="C627" s="143" t="s">
        <v>86</v>
      </c>
    </row>
    <row r="628" spans="1:3" x14ac:dyDescent="0.25">
      <c r="A628" s="2" t="s">
        <v>1272</v>
      </c>
      <c r="B628" s="143">
        <v>-2.1669999999999998</v>
      </c>
      <c r="C628" s="143" t="s">
        <v>86</v>
      </c>
    </row>
    <row r="629" spans="1:3" x14ac:dyDescent="0.25">
      <c r="A629" s="2" t="s">
        <v>2073</v>
      </c>
      <c r="B629" s="143">
        <v>-3.4337499999999999</v>
      </c>
      <c r="C629" s="143" t="s">
        <v>86</v>
      </c>
    </row>
    <row r="630" spans="1:3" x14ac:dyDescent="0.25">
      <c r="A630" s="2" t="s">
        <v>1275</v>
      </c>
      <c r="B630" s="143">
        <v>-2.1143333333333332</v>
      </c>
      <c r="C630" s="143" t="s">
        <v>86</v>
      </c>
    </row>
    <row r="631" spans="1:3" x14ac:dyDescent="0.25">
      <c r="A631" s="2" t="s">
        <v>1278</v>
      </c>
      <c r="B631" s="143">
        <v>-2.2496666666666671</v>
      </c>
      <c r="C631" s="143" t="s">
        <v>86</v>
      </c>
    </row>
    <row r="632" spans="1:3" x14ac:dyDescent="0.25">
      <c r="A632" s="2" t="s">
        <v>1281</v>
      </c>
      <c r="B632" s="143">
        <v>-2.7925</v>
      </c>
      <c r="C632" s="143" t="s">
        <v>86</v>
      </c>
    </row>
    <row r="633" spans="1:3" x14ac:dyDescent="0.25">
      <c r="A633" s="2" t="s">
        <v>442</v>
      </c>
      <c r="B633" s="143">
        <v>-10.95384615384615</v>
      </c>
      <c r="C633" s="143" t="s">
        <v>86</v>
      </c>
    </row>
    <row r="634" spans="1:3" x14ac:dyDescent="0.25">
      <c r="A634" s="2" t="s">
        <v>1284</v>
      </c>
      <c r="B634" s="143" t="s">
        <v>86</v>
      </c>
      <c r="C634" s="143" t="s">
        <v>86</v>
      </c>
    </row>
    <row r="635" spans="1:3" x14ac:dyDescent="0.25">
      <c r="A635" s="2" t="s">
        <v>2075</v>
      </c>
      <c r="B635" s="143">
        <v>-1.33</v>
      </c>
      <c r="C635" s="143" t="s">
        <v>86</v>
      </c>
    </row>
    <row r="636" spans="1:3" x14ac:dyDescent="0.25">
      <c r="A636" s="2" t="s">
        <v>2078</v>
      </c>
      <c r="B636" s="143">
        <v>-1.802</v>
      </c>
      <c r="C636" s="143" t="s">
        <v>86</v>
      </c>
    </row>
    <row r="637" spans="1:3" x14ac:dyDescent="0.25">
      <c r="A637" s="2" t="s">
        <v>2080</v>
      </c>
      <c r="B637" s="143">
        <v>-2.67</v>
      </c>
      <c r="C637" s="143" t="s">
        <v>86</v>
      </c>
    </row>
    <row r="638" spans="1:3" x14ac:dyDescent="0.25">
      <c r="A638" s="2" t="s">
        <v>2082</v>
      </c>
      <c r="B638" s="143">
        <v>-9.4016666666666655</v>
      </c>
      <c r="C638" s="143" t="s">
        <v>86</v>
      </c>
    </row>
    <row r="639" spans="1:3" x14ac:dyDescent="0.25">
      <c r="A639" s="2" t="s">
        <v>444</v>
      </c>
      <c r="B639" s="143">
        <v>-1.151764705882353</v>
      </c>
      <c r="C639" s="143" t="s">
        <v>86</v>
      </c>
    </row>
    <row r="640" spans="1:3" x14ac:dyDescent="0.25">
      <c r="A640" s="2" t="s">
        <v>2084</v>
      </c>
      <c r="B640" s="143">
        <v>-8.3159999999999989</v>
      </c>
      <c r="C640" s="143" t="s">
        <v>86</v>
      </c>
    </row>
    <row r="641" spans="1:3" x14ac:dyDescent="0.25">
      <c r="A641" s="2" t="s">
        <v>446</v>
      </c>
      <c r="B641" s="143" t="s">
        <v>86</v>
      </c>
      <c r="C641" s="143" t="s">
        <v>86</v>
      </c>
    </row>
    <row r="642" spans="1:3" x14ac:dyDescent="0.25">
      <c r="A642" s="2" t="s">
        <v>448</v>
      </c>
      <c r="B642" s="143">
        <v>-1.2110000000000001</v>
      </c>
      <c r="C642" s="143" t="s">
        <v>86</v>
      </c>
    </row>
    <row r="643" spans="1:3" x14ac:dyDescent="0.25">
      <c r="A643" s="2" t="s">
        <v>450</v>
      </c>
      <c r="B643" s="143">
        <v>-3.276470588235294</v>
      </c>
      <c r="C643" s="143" t="s">
        <v>86</v>
      </c>
    </row>
    <row r="644" spans="1:3" x14ac:dyDescent="0.25">
      <c r="A644" s="2" t="s">
        <v>452</v>
      </c>
      <c r="B644" s="143">
        <v>-3.3374999999999999</v>
      </c>
      <c r="C644" s="143" t="s">
        <v>86</v>
      </c>
    </row>
    <row r="645" spans="1:3" x14ac:dyDescent="0.25">
      <c r="A645" s="2" t="s">
        <v>454</v>
      </c>
      <c r="B645" s="143">
        <v>-5.5564999999999998</v>
      </c>
      <c r="C645" s="143" t="s">
        <v>86</v>
      </c>
    </row>
    <row r="646" spans="1:3" x14ac:dyDescent="0.25">
      <c r="A646" s="2" t="s">
        <v>456</v>
      </c>
      <c r="B646" s="143">
        <v>-5.923111111111111</v>
      </c>
      <c r="C646" s="143" t="s">
        <v>86</v>
      </c>
    </row>
    <row r="647" spans="1:3" x14ac:dyDescent="0.25">
      <c r="A647" s="2" t="s">
        <v>458</v>
      </c>
      <c r="B647" s="143">
        <v>-0.31138437067773173</v>
      </c>
      <c r="C647" s="143">
        <v>-0.35</v>
      </c>
    </row>
    <row r="648" spans="1:3" x14ac:dyDescent="0.25">
      <c r="A648" s="2" t="s">
        <v>460</v>
      </c>
      <c r="B648" s="143">
        <v>-0.15221695629278559</v>
      </c>
      <c r="C648" s="143">
        <v>-0.3221538618042038</v>
      </c>
    </row>
    <row r="649" spans="1:3" x14ac:dyDescent="0.25">
      <c r="A649" s="2" t="s">
        <v>462</v>
      </c>
      <c r="B649" s="143">
        <v>-0.23869284876905039</v>
      </c>
      <c r="C649" s="143" t="s">
        <v>86</v>
      </c>
    </row>
    <row r="650" spans="1:3" x14ac:dyDescent="0.25">
      <c r="A650" s="2" t="s">
        <v>464</v>
      </c>
      <c r="B650" s="143">
        <v>-0.3190060784782211</v>
      </c>
      <c r="C650" s="143">
        <v>-0.1</v>
      </c>
    </row>
    <row r="651" spans="1:3" x14ac:dyDescent="0.25">
      <c r="A651" s="8" t="s">
        <v>466</v>
      </c>
      <c r="B651" s="143">
        <v>-9.1960666666666668</v>
      </c>
      <c r="C651" s="143" t="s">
        <v>86</v>
      </c>
    </row>
    <row r="652" spans="1:3" x14ac:dyDescent="0.25">
      <c r="A652" s="8" t="s">
        <v>468</v>
      </c>
      <c r="B652" s="143">
        <v>-3.9430000000000001</v>
      </c>
      <c r="C652" s="143" t="s">
        <v>86</v>
      </c>
    </row>
    <row r="653" spans="1:3" x14ac:dyDescent="0.25">
      <c r="A653" s="8" t="s">
        <v>2087</v>
      </c>
      <c r="B653" s="143" t="s">
        <v>86</v>
      </c>
      <c r="C653" s="143" t="s">
        <v>86</v>
      </c>
    </row>
    <row r="654" spans="1:3" x14ac:dyDescent="0.25">
      <c r="A654" s="8" t="s">
        <v>2089</v>
      </c>
      <c r="B654" s="143" t="s">
        <v>86</v>
      </c>
      <c r="C654" s="143" t="s">
        <v>86</v>
      </c>
    </row>
    <row r="655" spans="1:3" x14ac:dyDescent="0.25">
      <c r="A655" s="8" t="s">
        <v>2091</v>
      </c>
      <c r="B655" s="143" t="s">
        <v>86</v>
      </c>
      <c r="C655" s="143" t="s">
        <v>86</v>
      </c>
    </row>
    <row r="656" spans="1:3" x14ac:dyDescent="0.25">
      <c r="A656" s="8" t="s">
        <v>2093</v>
      </c>
      <c r="B656" s="143" t="s">
        <v>86</v>
      </c>
      <c r="C656" s="143" t="s">
        <v>86</v>
      </c>
    </row>
    <row r="657" spans="1:3" x14ac:dyDescent="0.25">
      <c r="A657" s="8" t="s">
        <v>2095</v>
      </c>
      <c r="B657" s="143" t="s">
        <v>86</v>
      </c>
      <c r="C657" s="143" t="s">
        <v>86</v>
      </c>
    </row>
    <row r="658" spans="1:3" x14ac:dyDescent="0.25">
      <c r="A658" s="8" t="s">
        <v>2097</v>
      </c>
      <c r="B658" s="143" t="s">
        <v>86</v>
      </c>
      <c r="C658" s="143" t="s">
        <v>86</v>
      </c>
    </row>
    <row r="659" spans="1:3" x14ac:dyDescent="0.25">
      <c r="A659" s="8" t="s">
        <v>2099</v>
      </c>
      <c r="B659" s="143" t="s">
        <v>86</v>
      </c>
      <c r="C659" s="143" t="s">
        <v>86</v>
      </c>
    </row>
    <row r="660" spans="1:3" x14ac:dyDescent="0.25">
      <c r="A660" s="8" t="s">
        <v>2101</v>
      </c>
      <c r="B660" s="143" t="s">
        <v>86</v>
      </c>
      <c r="C660" s="143" t="s">
        <v>86</v>
      </c>
    </row>
    <row r="661" spans="1:3" x14ac:dyDescent="0.25">
      <c r="A661" s="8" t="s">
        <v>2103</v>
      </c>
      <c r="B661" s="143" t="s">
        <v>86</v>
      </c>
      <c r="C661" s="143" t="s">
        <v>86</v>
      </c>
    </row>
    <row r="662" spans="1:3" x14ac:dyDescent="0.25">
      <c r="A662" s="8" t="s">
        <v>2105</v>
      </c>
      <c r="B662" s="143" t="s">
        <v>86</v>
      </c>
      <c r="C662" s="143" t="s">
        <v>86</v>
      </c>
    </row>
    <row r="663" spans="1:3" x14ac:dyDescent="0.25">
      <c r="A663" s="8" t="s">
        <v>2107</v>
      </c>
      <c r="B663" s="143" t="s">
        <v>86</v>
      </c>
      <c r="C663" s="143" t="s">
        <v>86</v>
      </c>
    </row>
    <row r="664" spans="1:3" x14ac:dyDescent="0.25">
      <c r="A664" s="8" t="s">
        <v>2109</v>
      </c>
      <c r="B664" s="143" t="s">
        <v>86</v>
      </c>
      <c r="C664" s="143" t="s">
        <v>86</v>
      </c>
    </row>
    <row r="665" spans="1:3" x14ac:dyDescent="0.25">
      <c r="A665" s="8" t="s">
        <v>2111</v>
      </c>
      <c r="B665" s="143" t="s">
        <v>86</v>
      </c>
      <c r="C665" s="143" t="s">
        <v>86</v>
      </c>
    </row>
    <row r="666" spans="1:3" x14ac:dyDescent="0.25">
      <c r="A666" s="8" t="s">
        <v>2113</v>
      </c>
      <c r="B666" s="143" t="s">
        <v>86</v>
      </c>
      <c r="C666" s="143" t="s">
        <v>86</v>
      </c>
    </row>
    <row r="667" spans="1:3" x14ac:dyDescent="0.25">
      <c r="A667" s="8" t="s">
        <v>2115</v>
      </c>
      <c r="B667" s="143" t="s">
        <v>86</v>
      </c>
      <c r="C667" s="143" t="s">
        <v>86</v>
      </c>
    </row>
    <row r="668" spans="1:3" x14ac:dyDescent="0.25">
      <c r="A668" s="8" t="s">
        <v>2117</v>
      </c>
      <c r="B668" s="143" t="s">
        <v>86</v>
      </c>
      <c r="C668" s="143" t="s">
        <v>86</v>
      </c>
    </row>
    <row r="669" spans="1:3" x14ac:dyDescent="0.25">
      <c r="A669" s="8" t="s">
        <v>2119</v>
      </c>
      <c r="B669" s="143" t="s">
        <v>86</v>
      </c>
      <c r="C669" s="143" t="s">
        <v>86</v>
      </c>
    </row>
    <row r="670" spans="1:3" x14ac:dyDescent="0.25">
      <c r="A670" s="8" t="s">
        <v>2121</v>
      </c>
      <c r="B670" s="143" t="s">
        <v>86</v>
      </c>
      <c r="C670" s="143" t="s">
        <v>86</v>
      </c>
    </row>
    <row r="671" spans="1:3" x14ac:dyDescent="0.25">
      <c r="A671" s="8" t="s">
        <v>2123</v>
      </c>
      <c r="B671" s="143" t="s">
        <v>86</v>
      </c>
      <c r="C671" s="143" t="s">
        <v>86</v>
      </c>
    </row>
    <row r="672" spans="1:3" x14ac:dyDescent="0.25">
      <c r="A672" s="8" t="s">
        <v>2125</v>
      </c>
      <c r="B672" s="143" t="s">
        <v>86</v>
      </c>
      <c r="C672" s="143" t="s">
        <v>86</v>
      </c>
    </row>
    <row r="673" spans="1:3" x14ac:dyDescent="0.25">
      <c r="A673" s="8" t="s">
        <v>2127</v>
      </c>
      <c r="B673" s="143" t="s">
        <v>86</v>
      </c>
      <c r="C673" s="143" t="s">
        <v>86</v>
      </c>
    </row>
    <row r="674" spans="1:3" x14ac:dyDescent="0.25">
      <c r="A674" s="8" t="s">
        <v>2129</v>
      </c>
      <c r="B674" s="143" t="s">
        <v>86</v>
      </c>
      <c r="C674" s="143" t="s">
        <v>86</v>
      </c>
    </row>
    <row r="675" spans="1:3" x14ac:dyDescent="0.25">
      <c r="A675" s="8" t="s">
        <v>2131</v>
      </c>
      <c r="B675" s="143" t="s">
        <v>86</v>
      </c>
      <c r="C675" s="143" t="s">
        <v>86</v>
      </c>
    </row>
    <row r="676" spans="1:3" x14ac:dyDescent="0.25">
      <c r="A676" s="8" t="s">
        <v>2133</v>
      </c>
      <c r="B676" s="143" t="s">
        <v>86</v>
      </c>
      <c r="C676" s="143" t="s">
        <v>86</v>
      </c>
    </row>
    <row r="677" spans="1:3" x14ac:dyDescent="0.25">
      <c r="A677" s="8" t="s">
        <v>2135</v>
      </c>
      <c r="B677" s="143" t="s">
        <v>86</v>
      </c>
      <c r="C677" s="143" t="s">
        <v>86</v>
      </c>
    </row>
    <row r="678" spans="1:3" x14ac:dyDescent="0.25">
      <c r="A678" s="8" t="s">
        <v>2137</v>
      </c>
      <c r="B678" s="143" t="s">
        <v>86</v>
      </c>
      <c r="C678" s="143" t="s">
        <v>86</v>
      </c>
    </row>
    <row r="679" spans="1:3" x14ac:dyDescent="0.25">
      <c r="A679" s="8" t="s">
        <v>2139</v>
      </c>
      <c r="B679" s="143" t="s">
        <v>86</v>
      </c>
      <c r="C679" s="143" t="s">
        <v>86</v>
      </c>
    </row>
    <row r="680" spans="1:3" x14ac:dyDescent="0.25">
      <c r="A680" s="8" t="s">
        <v>2141</v>
      </c>
      <c r="B680" s="143" t="s">
        <v>86</v>
      </c>
      <c r="C680" s="143" t="s">
        <v>86</v>
      </c>
    </row>
    <row r="681" spans="1:3" x14ac:dyDescent="0.25">
      <c r="A681" s="8" t="s">
        <v>2143</v>
      </c>
      <c r="B681" s="143" t="s">
        <v>86</v>
      </c>
      <c r="C681" s="143" t="s">
        <v>86</v>
      </c>
    </row>
    <row r="682" spans="1:3" x14ac:dyDescent="0.25">
      <c r="A682" s="8" t="s">
        <v>2145</v>
      </c>
      <c r="B682" s="143" t="s">
        <v>86</v>
      </c>
      <c r="C682" s="143" t="s">
        <v>86</v>
      </c>
    </row>
    <row r="683" spans="1:3" x14ac:dyDescent="0.25">
      <c r="A683" s="8" t="s">
        <v>2147</v>
      </c>
      <c r="B683" s="143" t="s">
        <v>86</v>
      </c>
      <c r="C683" s="143" t="s">
        <v>86</v>
      </c>
    </row>
    <row r="684" spans="1:3" x14ac:dyDescent="0.25">
      <c r="A684" s="8" t="s">
        <v>2149</v>
      </c>
      <c r="B684" s="143" t="s">
        <v>86</v>
      </c>
      <c r="C684" s="143" t="s">
        <v>86</v>
      </c>
    </row>
    <row r="685" spans="1:3" x14ac:dyDescent="0.25">
      <c r="A685" s="8" t="s">
        <v>2151</v>
      </c>
      <c r="B685" s="143" t="s">
        <v>86</v>
      </c>
      <c r="C685" s="143" t="s">
        <v>86</v>
      </c>
    </row>
    <row r="686" spans="1:3" x14ac:dyDescent="0.25">
      <c r="A686" s="8" t="s">
        <v>2153</v>
      </c>
      <c r="B686" s="143" t="s">
        <v>86</v>
      </c>
      <c r="C686" s="143" t="s">
        <v>86</v>
      </c>
    </row>
    <row r="687" spans="1:3" x14ac:dyDescent="0.25">
      <c r="A687" s="8" t="s">
        <v>2155</v>
      </c>
      <c r="B687" s="143" t="s">
        <v>86</v>
      </c>
      <c r="C687" s="143" t="s">
        <v>86</v>
      </c>
    </row>
    <row r="688" spans="1:3" x14ac:dyDescent="0.25">
      <c r="A688" s="8" t="s">
        <v>2157</v>
      </c>
      <c r="B688" s="143" t="s">
        <v>86</v>
      </c>
      <c r="C688" s="143" t="s">
        <v>86</v>
      </c>
    </row>
    <row r="689" spans="1:3" x14ac:dyDescent="0.25">
      <c r="A689" s="8" t="s">
        <v>2159</v>
      </c>
      <c r="B689" s="143" t="s">
        <v>86</v>
      </c>
      <c r="C689" s="143" t="s">
        <v>86</v>
      </c>
    </row>
    <row r="690" spans="1:3" x14ac:dyDescent="0.25">
      <c r="A690" s="8" t="s">
        <v>2161</v>
      </c>
      <c r="B690" s="143" t="s">
        <v>86</v>
      </c>
      <c r="C690" s="143" t="s">
        <v>86</v>
      </c>
    </row>
    <row r="691" spans="1:3" x14ac:dyDescent="0.25">
      <c r="A691" s="8" t="s">
        <v>2163</v>
      </c>
      <c r="B691" s="143" t="s">
        <v>86</v>
      </c>
      <c r="C691" s="143" t="s">
        <v>86</v>
      </c>
    </row>
    <row r="692" spans="1:3" x14ac:dyDescent="0.25">
      <c r="A692" s="8" t="s">
        <v>1288</v>
      </c>
      <c r="B692" s="143" t="s">
        <v>86</v>
      </c>
      <c r="C692" s="143" t="s">
        <v>86</v>
      </c>
    </row>
    <row r="693" spans="1:3" x14ac:dyDescent="0.25">
      <c r="A693" s="8" t="s">
        <v>1292</v>
      </c>
      <c r="B693" s="143" t="s">
        <v>86</v>
      </c>
      <c r="C693" s="143" t="s">
        <v>86</v>
      </c>
    </row>
    <row r="694" spans="1:3" x14ac:dyDescent="0.25">
      <c r="A694" s="8" t="s">
        <v>1295</v>
      </c>
      <c r="B694" s="143" t="s">
        <v>86</v>
      </c>
      <c r="C694" s="143" t="s">
        <v>86</v>
      </c>
    </row>
    <row r="695" spans="1:3" x14ac:dyDescent="0.25">
      <c r="A695" s="8" t="s">
        <v>1298</v>
      </c>
      <c r="B695" s="143" t="s">
        <v>86</v>
      </c>
      <c r="C695" s="143" t="s">
        <v>86</v>
      </c>
    </row>
    <row r="696" spans="1:3" x14ac:dyDescent="0.25">
      <c r="A696" s="8" t="s">
        <v>1301</v>
      </c>
      <c r="B696" s="143" t="s">
        <v>86</v>
      </c>
      <c r="C696" s="143" t="s">
        <v>86</v>
      </c>
    </row>
    <row r="697" spans="1:3" x14ac:dyDescent="0.25">
      <c r="A697" s="8" t="s">
        <v>1304</v>
      </c>
      <c r="B697" s="143" t="s">
        <v>86</v>
      </c>
      <c r="C697" s="143" t="s">
        <v>86</v>
      </c>
    </row>
    <row r="698" spans="1:3" x14ac:dyDescent="0.25">
      <c r="A698" s="8" t="s">
        <v>1307</v>
      </c>
      <c r="B698" s="143" t="s">
        <v>86</v>
      </c>
      <c r="C698" s="143" t="s">
        <v>86</v>
      </c>
    </row>
    <row r="699" spans="1:3" x14ac:dyDescent="0.25">
      <c r="A699" s="8" t="s">
        <v>2165</v>
      </c>
      <c r="B699" s="143" t="s">
        <v>86</v>
      </c>
      <c r="C699" s="143" t="s">
        <v>86</v>
      </c>
    </row>
    <row r="700" spans="1:3" x14ac:dyDescent="0.25">
      <c r="A700" s="8" t="s">
        <v>1310</v>
      </c>
      <c r="B700" s="143">
        <v>-10.305</v>
      </c>
      <c r="C700" s="143" t="s">
        <v>86</v>
      </c>
    </row>
    <row r="701" spans="1:3" x14ac:dyDescent="0.25">
      <c r="A701" s="8" t="s">
        <v>1314</v>
      </c>
      <c r="B701" s="143">
        <v>-11.87233333333333</v>
      </c>
      <c r="C701" s="143">
        <v>-11.67947501087643</v>
      </c>
    </row>
    <row r="702" spans="1:3" x14ac:dyDescent="0.25">
      <c r="A702" s="8" t="s">
        <v>470</v>
      </c>
      <c r="B702" s="143">
        <v>-0.49640795672897797</v>
      </c>
      <c r="C702" s="143">
        <v>-0.44435015421269491</v>
      </c>
    </row>
    <row r="703" spans="1:3" x14ac:dyDescent="0.25">
      <c r="A703" s="8" t="s">
        <v>1318</v>
      </c>
      <c r="B703" s="143" t="s">
        <v>86</v>
      </c>
      <c r="C703" s="143" t="s">
        <v>86</v>
      </c>
    </row>
    <row r="704" spans="1:3" x14ac:dyDescent="0.25">
      <c r="A704" s="8" t="s">
        <v>2056</v>
      </c>
      <c r="B704" s="143">
        <v>-6.6277777777777773</v>
      </c>
      <c r="C704" s="143" t="s">
        <v>86</v>
      </c>
    </row>
    <row r="705" spans="1:3" x14ac:dyDescent="0.25">
      <c r="A705" s="3" t="s">
        <v>1218</v>
      </c>
      <c r="B705" s="143">
        <v>-11.53746428571429</v>
      </c>
      <c r="C705" s="143" t="s">
        <v>86</v>
      </c>
    </row>
    <row r="706" spans="1:3" x14ac:dyDescent="0.25">
      <c r="A706" s="3" t="s">
        <v>1324</v>
      </c>
      <c r="B706" s="143">
        <v>-4.9826666666666659</v>
      </c>
      <c r="C706" s="143" t="s">
        <v>86</v>
      </c>
    </row>
    <row r="707" spans="1:3" x14ac:dyDescent="0.25">
      <c r="A707" s="3" t="s">
        <v>1327</v>
      </c>
      <c r="B707" s="143">
        <v>-6.924666666666667</v>
      </c>
      <c r="C707" s="143" t="s">
        <v>86</v>
      </c>
    </row>
    <row r="708" spans="1:3" x14ac:dyDescent="0.25">
      <c r="A708" s="3" t="s">
        <v>1330</v>
      </c>
      <c r="B708" s="143">
        <v>-11.026</v>
      </c>
      <c r="C708" s="143" t="s">
        <v>86</v>
      </c>
    </row>
    <row r="709" spans="1:3" x14ac:dyDescent="0.25">
      <c r="A709" s="3" t="s">
        <v>2169</v>
      </c>
      <c r="B709" s="143" t="s">
        <v>86</v>
      </c>
      <c r="C709" s="143" t="s">
        <v>86</v>
      </c>
    </row>
    <row r="710" spans="1:3" x14ac:dyDescent="0.25">
      <c r="A710" s="3" t="s">
        <v>1333</v>
      </c>
      <c r="B710" s="143">
        <v>-10.69916666666666</v>
      </c>
      <c r="C710" s="143" t="s">
        <v>86</v>
      </c>
    </row>
    <row r="711" spans="1:3" x14ac:dyDescent="0.25">
      <c r="A711" s="3" t="s">
        <v>2171</v>
      </c>
      <c r="B711" s="143">
        <v>-5.5332222222222223</v>
      </c>
      <c r="C711" s="143" t="s">
        <v>86</v>
      </c>
    </row>
    <row r="712" spans="1:3" x14ac:dyDescent="0.25">
      <c r="A712" s="3" t="s">
        <v>2173</v>
      </c>
      <c r="B712" s="143">
        <v>-10.69811111111111</v>
      </c>
      <c r="C712" s="143" t="s">
        <v>86</v>
      </c>
    </row>
    <row r="713" spans="1:3" x14ac:dyDescent="0.25">
      <c r="A713" s="3" t="s">
        <v>1337</v>
      </c>
      <c r="B713" s="143">
        <v>-7.2566666666666668</v>
      </c>
      <c r="C713" s="143" t="s">
        <v>86</v>
      </c>
    </row>
    <row r="714" spans="1:3" x14ac:dyDescent="0.25">
      <c r="A714" s="3" t="s">
        <v>473</v>
      </c>
      <c r="B714" s="143" t="s">
        <v>86</v>
      </c>
      <c r="C714" s="143" t="s">
        <v>86</v>
      </c>
    </row>
    <row r="715" spans="1:3" x14ac:dyDescent="0.25">
      <c r="A715" s="3" t="s">
        <v>2175</v>
      </c>
      <c r="B715" s="143" t="s">
        <v>86</v>
      </c>
      <c r="C715" s="143" t="s">
        <v>86</v>
      </c>
    </row>
    <row r="716" spans="1:3" x14ac:dyDescent="0.25">
      <c r="A716" s="3" t="s">
        <v>2176</v>
      </c>
      <c r="B716" s="143" t="s">
        <v>86</v>
      </c>
      <c r="C716" s="143" t="s">
        <v>86</v>
      </c>
    </row>
    <row r="717" spans="1:3" x14ac:dyDescent="0.25">
      <c r="A717" s="3" t="s">
        <v>474</v>
      </c>
      <c r="B717" s="143" t="s">
        <v>86</v>
      </c>
      <c r="C717" s="143" t="s">
        <v>86</v>
      </c>
    </row>
    <row r="718" spans="1:3" x14ac:dyDescent="0.25">
      <c r="A718" s="3" t="s">
        <v>1340</v>
      </c>
      <c r="B718" s="143">
        <v>-5.3493055555555564</v>
      </c>
      <c r="C718" s="143" t="s">
        <v>86</v>
      </c>
    </row>
    <row r="719" spans="1:3" x14ac:dyDescent="0.25">
      <c r="A719" s="3" t="s">
        <v>1344</v>
      </c>
      <c r="B719" s="143">
        <v>-16.683777777777781</v>
      </c>
      <c r="C719" s="143" t="s">
        <v>86</v>
      </c>
    </row>
    <row r="720" spans="1:3" x14ac:dyDescent="0.25">
      <c r="A720" s="3" t="s">
        <v>1348</v>
      </c>
      <c r="B720" s="143">
        <v>-18.23395</v>
      </c>
      <c r="C720" s="143" t="s">
        <v>86</v>
      </c>
    </row>
    <row r="721" spans="1:3" x14ac:dyDescent="0.25">
      <c r="A721" s="3" t="s">
        <v>1352</v>
      </c>
      <c r="B721" s="143">
        <v>-30.099583333333339</v>
      </c>
      <c r="C721" s="143" t="s">
        <v>86</v>
      </c>
    </row>
    <row r="722" spans="1:3" x14ac:dyDescent="0.25">
      <c r="A722" s="3" t="s">
        <v>2177</v>
      </c>
      <c r="B722" s="143">
        <v>-0.98499999999999999</v>
      </c>
      <c r="C722" s="143" t="s">
        <v>86</v>
      </c>
    </row>
    <row r="723" spans="1:3" x14ac:dyDescent="0.25">
      <c r="A723" s="3" t="s">
        <v>1356</v>
      </c>
      <c r="B723" s="143">
        <v>-1.016</v>
      </c>
      <c r="C723" s="143" t="s">
        <v>86</v>
      </c>
    </row>
    <row r="724" spans="1:3" x14ac:dyDescent="0.25">
      <c r="A724" s="3" t="s">
        <v>1359</v>
      </c>
      <c r="B724" s="143">
        <v>-5.4138125000000006</v>
      </c>
      <c r="C724" s="143" t="s">
        <v>86</v>
      </c>
    </row>
    <row r="725" spans="1:3" x14ac:dyDescent="0.25">
      <c r="A725" s="3" t="s">
        <v>1363</v>
      </c>
      <c r="B725" s="143">
        <v>-7.2127222222222214</v>
      </c>
      <c r="C725" s="143">
        <v>-9.17</v>
      </c>
    </row>
    <row r="726" spans="1:3" x14ac:dyDescent="0.25">
      <c r="A726" s="3" t="s">
        <v>1367</v>
      </c>
      <c r="B726" s="143">
        <v>-9.1262457264957266</v>
      </c>
      <c r="C726" s="143" t="s">
        <v>86</v>
      </c>
    </row>
    <row r="727" spans="1:3" x14ac:dyDescent="0.25">
      <c r="A727" s="3" t="s">
        <v>1371</v>
      </c>
      <c r="B727" s="143">
        <v>-11.6492380952381</v>
      </c>
      <c r="C727" s="143">
        <v>-31.98</v>
      </c>
    </row>
    <row r="728" spans="1:3" x14ac:dyDescent="0.25">
      <c r="A728" s="3" t="s">
        <v>1375</v>
      </c>
      <c r="B728" s="143">
        <v>-22.04926831501831</v>
      </c>
      <c r="C728" s="143" t="s">
        <v>86</v>
      </c>
    </row>
    <row r="729" spans="1:3" x14ac:dyDescent="0.25">
      <c r="A729" s="3" t="s">
        <v>1379</v>
      </c>
      <c r="B729" s="143">
        <v>-22.942062499999999</v>
      </c>
      <c r="C729" s="143" t="s">
        <v>86</v>
      </c>
    </row>
    <row r="730" spans="1:3" x14ac:dyDescent="0.25">
      <c r="A730" s="3" t="s">
        <v>2179</v>
      </c>
      <c r="B730" s="143">
        <v>-7.42</v>
      </c>
      <c r="C730" s="143">
        <v>-2.1869128110839609</v>
      </c>
    </row>
    <row r="731" spans="1:3" x14ac:dyDescent="0.25">
      <c r="A731" s="3" t="s">
        <v>2181</v>
      </c>
      <c r="B731" s="143">
        <v>-15.24711111111111</v>
      </c>
      <c r="C731" s="143" t="s">
        <v>86</v>
      </c>
    </row>
    <row r="732" spans="1:3" x14ac:dyDescent="0.25">
      <c r="A732" s="3" t="s">
        <v>2183</v>
      </c>
      <c r="B732" s="143">
        <v>-8.2449999999999992</v>
      </c>
      <c r="C732" s="143" t="s">
        <v>86</v>
      </c>
    </row>
    <row r="733" spans="1:3" x14ac:dyDescent="0.25">
      <c r="A733" s="3" t="s">
        <v>2185</v>
      </c>
      <c r="B733" s="143" t="s">
        <v>86</v>
      </c>
      <c r="C733" s="143" t="s">
        <v>86</v>
      </c>
    </row>
    <row r="734" spans="1:3" x14ac:dyDescent="0.25">
      <c r="A734" s="3" t="s">
        <v>475</v>
      </c>
      <c r="B734" s="143" t="s">
        <v>86</v>
      </c>
      <c r="C734" s="143" t="s">
        <v>86</v>
      </c>
    </row>
    <row r="735" spans="1:3" x14ac:dyDescent="0.25">
      <c r="A735" s="3" t="s">
        <v>935</v>
      </c>
      <c r="B735" s="143">
        <v>-8.7717439560439558</v>
      </c>
      <c r="C735" s="143">
        <v>-9.8667031106634955</v>
      </c>
    </row>
    <row r="736" spans="1:3" x14ac:dyDescent="0.25">
      <c r="A736" s="3" t="s">
        <v>1067</v>
      </c>
      <c r="B736" s="143">
        <v>-11.6446130952381</v>
      </c>
      <c r="C736" s="143">
        <v>-23.29511195837572</v>
      </c>
    </row>
    <row r="737" spans="1:3" x14ac:dyDescent="0.25">
      <c r="A737" s="3" t="s">
        <v>2187</v>
      </c>
      <c r="B737" s="143">
        <v>-6.2779999999999996</v>
      </c>
      <c r="C737" s="143" t="s">
        <v>86</v>
      </c>
    </row>
    <row r="738" spans="1:3" x14ac:dyDescent="0.25">
      <c r="A738" s="2" t="s">
        <v>2190</v>
      </c>
      <c r="B738" s="143">
        <v>-4.0072000000000001</v>
      </c>
      <c r="C738" s="143" t="s">
        <v>86</v>
      </c>
    </row>
    <row r="739" spans="1:3" x14ac:dyDescent="0.25">
      <c r="A739" s="3" t="s">
        <v>2191</v>
      </c>
      <c r="B739" s="143">
        <v>-5.2125000000000004</v>
      </c>
      <c r="C739" s="143">
        <v>-2.3920214039794359</v>
      </c>
    </row>
    <row r="740" spans="1:3" x14ac:dyDescent="0.25">
      <c r="A740" s="3" t="s">
        <v>1389</v>
      </c>
      <c r="B740" s="143">
        <v>-16.645379344919789</v>
      </c>
      <c r="C740" s="143">
        <v>-61.816049422145433</v>
      </c>
    </row>
    <row r="741" spans="1:3" x14ac:dyDescent="0.25">
      <c r="A741" s="3" t="s">
        <v>1393</v>
      </c>
      <c r="B741" s="143">
        <v>-12.13121542809043</v>
      </c>
      <c r="C741" s="143" t="s">
        <v>86</v>
      </c>
    </row>
    <row r="742" spans="1:3" x14ac:dyDescent="0.25">
      <c r="A742" s="3" t="s">
        <v>1397</v>
      </c>
      <c r="B742" s="143">
        <v>-12.96261683455433</v>
      </c>
      <c r="C742" s="143">
        <v>-34.748182059432743</v>
      </c>
    </row>
    <row r="743" spans="1:3" x14ac:dyDescent="0.25">
      <c r="A743" s="2" t="s">
        <v>477</v>
      </c>
      <c r="B743" s="143">
        <v>-7.2532962962962966</v>
      </c>
      <c r="C743" s="143">
        <v>-6.45</v>
      </c>
    </row>
    <row r="744" spans="1:3" x14ac:dyDescent="0.25">
      <c r="A744" s="2" t="s">
        <v>1401</v>
      </c>
      <c r="B744" s="143" t="s">
        <v>86</v>
      </c>
      <c r="C744" s="143" t="s">
        <v>86</v>
      </c>
    </row>
    <row r="745" spans="1:3" x14ac:dyDescent="0.25">
      <c r="A745" s="2" t="s">
        <v>480</v>
      </c>
      <c r="B745" s="143">
        <v>-1.54</v>
      </c>
      <c r="C745" s="143">
        <v>-7.14</v>
      </c>
    </row>
    <row r="746" spans="1:3" x14ac:dyDescent="0.25">
      <c r="A746" s="2" t="s">
        <v>482</v>
      </c>
      <c r="B746" s="143">
        <v>-7.238249999999999</v>
      </c>
      <c r="C746" s="143">
        <v>-6.7620817398500597</v>
      </c>
    </row>
    <row r="747" spans="1:3" x14ac:dyDescent="0.25">
      <c r="A747" s="2" t="s">
        <v>484</v>
      </c>
      <c r="B747" s="143">
        <v>-4.9933333333333332</v>
      </c>
      <c r="C747" s="143">
        <v>-2.4351202949837201</v>
      </c>
    </row>
    <row r="748" spans="1:3" x14ac:dyDescent="0.25">
      <c r="A748" s="2" t="s">
        <v>486</v>
      </c>
      <c r="B748" s="143">
        <v>-1.15225</v>
      </c>
      <c r="C748" s="143">
        <v>-3.14</v>
      </c>
    </row>
    <row r="749" spans="1:3" x14ac:dyDescent="0.25">
      <c r="A749" s="2" t="s">
        <v>488</v>
      </c>
      <c r="B749" s="143">
        <v>-1.4790000000000001</v>
      </c>
      <c r="C749" s="143">
        <v>-4.8137933373041939</v>
      </c>
    </row>
    <row r="750" spans="1:3" x14ac:dyDescent="0.25">
      <c r="A750" s="2" t="s">
        <v>490</v>
      </c>
      <c r="B750" s="143">
        <v>-0.95199999999999996</v>
      </c>
      <c r="C750" s="143">
        <v>-0.92</v>
      </c>
    </row>
    <row r="751" spans="1:3" x14ac:dyDescent="0.25">
      <c r="A751" s="2" t="s">
        <v>492</v>
      </c>
      <c r="B751" s="143">
        <v>-6.6620000000000008</v>
      </c>
      <c r="C751" s="143" t="s">
        <v>86</v>
      </c>
    </row>
    <row r="752" spans="1:3" x14ac:dyDescent="0.25">
      <c r="A752" s="2" t="s">
        <v>494</v>
      </c>
      <c r="B752" s="143">
        <v>-6.5170615384615376</v>
      </c>
      <c r="C752" s="143">
        <v>-5.3130642241679</v>
      </c>
    </row>
    <row r="753" spans="1:3" x14ac:dyDescent="0.25">
      <c r="A753" s="2" t="s">
        <v>2193</v>
      </c>
      <c r="B753" s="143" t="s">
        <v>86</v>
      </c>
      <c r="C753" s="143" t="s">
        <v>86</v>
      </c>
    </row>
    <row r="754" spans="1:3" x14ac:dyDescent="0.25">
      <c r="A754" s="2" t="s">
        <v>1405</v>
      </c>
      <c r="B754" s="143" t="s">
        <v>86</v>
      </c>
      <c r="C754" s="143" t="s">
        <v>86</v>
      </c>
    </row>
    <row r="755" spans="1:3" x14ac:dyDescent="0.25">
      <c r="A755" s="2" t="s">
        <v>2195</v>
      </c>
      <c r="B755" s="143" t="s">
        <v>86</v>
      </c>
      <c r="C755" s="143" t="s">
        <v>86</v>
      </c>
    </row>
    <row r="756" spans="1:3" x14ac:dyDescent="0.25">
      <c r="A756" s="2" t="s">
        <v>2197</v>
      </c>
      <c r="B756" s="143" t="s">
        <v>86</v>
      </c>
      <c r="C756" s="143" t="s">
        <v>86</v>
      </c>
    </row>
    <row r="757" spans="1:3" x14ac:dyDescent="0.25">
      <c r="A757" s="2" t="s">
        <v>2199</v>
      </c>
      <c r="B757" s="143" t="s">
        <v>86</v>
      </c>
      <c r="C757" s="143" t="s">
        <v>86</v>
      </c>
    </row>
    <row r="758" spans="1:3" x14ac:dyDescent="0.25">
      <c r="A758" s="2" t="s">
        <v>2201</v>
      </c>
      <c r="B758" s="143" t="s">
        <v>86</v>
      </c>
      <c r="C758" s="143" t="s">
        <v>86</v>
      </c>
    </row>
    <row r="759" spans="1:3" x14ac:dyDescent="0.25">
      <c r="A759" s="2" t="s">
        <v>1408</v>
      </c>
      <c r="B759" s="143" t="s">
        <v>86</v>
      </c>
      <c r="C759" s="143" t="s">
        <v>86</v>
      </c>
    </row>
    <row r="760" spans="1:3" x14ac:dyDescent="0.25">
      <c r="A760" s="2" t="s">
        <v>1411</v>
      </c>
      <c r="B760" s="143" t="s">
        <v>86</v>
      </c>
      <c r="C760" s="143" t="s">
        <v>86</v>
      </c>
    </row>
    <row r="761" spans="1:3" x14ac:dyDescent="0.25">
      <c r="A761" s="2" t="s">
        <v>1414</v>
      </c>
      <c r="B761" s="143" t="s">
        <v>86</v>
      </c>
      <c r="C761" s="143" t="s">
        <v>86</v>
      </c>
    </row>
    <row r="762" spans="1:3" x14ac:dyDescent="0.25">
      <c r="A762" s="2" t="s">
        <v>2203</v>
      </c>
      <c r="B762" s="143" t="s">
        <v>86</v>
      </c>
      <c r="C762" s="143" t="s">
        <v>86</v>
      </c>
    </row>
    <row r="763" spans="1:3" x14ac:dyDescent="0.25">
      <c r="A763" s="2" t="s">
        <v>1417</v>
      </c>
      <c r="B763" s="143">
        <v>-8.9043333333333337</v>
      </c>
      <c r="C763" s="143" t="s">
        <v>86</v>
      </c>
    </row>
    <row r="764" spans="1:3" x14ac:dyDescent="0.25">
      <c r="A764" s="2" t="s">
        <v>496</v>
      </c>
      <c r="B764" s="143">
        <v>-6.7037614589428518</v>
      </c>
      <c r="C764" s="143" t="s">
        <v>86</v>
      </c>
    </row>
    <row r="765" spans="1:3" x14ac:dyDescent="0.25">
      <c r="A765" s="2" t="s">
        <v>499</v>
      </c>
      <c r="B765" s="143">
        <v>-6.4868841092391438</v>
      </c>
      <c r="C765" s="143" t="s">
        <v>86</v>
      </c>
    </row>
    <row r="766" spans="1:3" x14ac:dyDescent="0.25">
      <c r="A766" s="2" t="s">
        <v>2047</v>
      </c>
      <c r="B766" s="143" t="s">
        <v>86</v>
      </c>
      <c r="C766" s="143" t="s">
        <v>86</v>
      </c>
    </row>
    <row r="767" spans="1:3" x14ac:dyDescent="0.25">
      <c r="A767" s="2" t="s">
        <v>1421</v>
      </c>
      <c r="B767" s="143">
        <v>-0.69332746108526278</v>
      </c>
      <c r="C767" s="143" t="s">
        <v>86</v>
      </c>
    </row>
    <row r="768" spans="1:3" x14ac:dyDescent="0.25">
      <c r="A768" s="2" t="s">
        <v>501</v>
      </c>
      <c r="B768" s="143">
        <v>-1.006792080552396</v>
      </c>
      <c r="C768" s="143" t="s">
        <v>86</v>
      </c>
    </row>
    <row r="769" spans="1:3" x14ac:dyDescent="0.25">
      <c r="A769" s="2" t="s">
        <v>503</v>
      </c>
      <c r="B769" s="143">
        <v>-1.965530278104191</v>
      </c>
      <c r="C769" s="143" t="s">
        <v>86</v>
      </c>
    </row>
    <row r="770" spans="1:3" x14ac:dyDescent="0.25">
      <c r="A770" s="2" t="s">
        <v>505</v>
      </c>
      <c r="B770" s="143" t="s">
        <v>86</v>
      </c>
      <c r="C770" s="143" t="s">
        <v>86</v>
      </c>
    </row>
    <row r="771" spans="1:3" x14ac:dyDescent="0.25">
      <c r="A771" s="2" t="s">
        <v>507</v>
      </c>
      <c r="B771" s="143" t="s">
        <v>86</v>
      </c>
      <c r="C771" s="143" t="s">
        <v>86</v>
      </c>
    </row>
    <row r="772" spans="1:3" x14ac:dyDescent="0.25">
      <c r="A772" s="2" t="s">
        <v>509</v>
      </c>
      <c r="B772" s="143">
        <v>-9.7273778400249</v>
      </c>
      <c r="C772" s="143" t="s">
        <v>86</v>
      </c>
    </row>
    <row r="773" spans="1:3" x14ac:dyDescent="0.25">
      <c r="A773" s="2" t="s">
        <v>512</v>
      </c>
      <c r="B773" s="143">
        <v>-10.434708333333329</v>
      </c>
      <c r="C773" s="143" t="s">
        <v>86</v>
      </c>
    </row>
    <row r="774" spans="1:3" x14ac:dyDescent="0.25">
      <c r="A774" s="2" t="s">
        <v>514</v>
      </c>
      <c r="B774" s="143">
        <v>-13.3</v>
      </c>
      <c r="C774" s="143" t="s">
        <v>86</v>
      </c>
    </row>
    <row r="775" spans="1:3" x14ac:dyDescent="0.25">
      <c r="A775" s="2" t="s">
        <v>516</v>
      </c>
      <c r="B775" s="143" t="s">
        <v>86</v>
      </c>
      <c r="C775" s="143" t="s">
        <v>86</v>
      </c>
    </row>
    <row r="776" spans="1:3" x14ac:dyDescent="0.25">
      <c r="A776" s="2" t="s">
        <v>518</v>
      </c>
      <c r="B776" s="143">
        <v>-15.525</v>
      </c>
      <c r="C776" s="143" t="s">
        <v>86</v>
      </c>
    </row>
    <row r="777" spans="1:3" x14ac:dyDescent="0.25">
      <c r="A777" s="2" t="s">
        <v>520</v>
      </c>
      <c r="B777" s="143">
        <v>-17.46409788359788</v>
      </c>
      <c r="C777" s="143" t="s">
        <v>86</v>
      </c>
    </row>
    <row r="778" spans="1:3" x14ac:dyDescent="0.25">
      <c r="A778" s="2" t="s">
        <v>1425</v>
      </c>
      <c r="B778" s="143">
        <v>-12.859500000000001</v>
      </c>
      <c r="C778" s="143" t="s">
        <v>86</v>
      </c>
    </row>
    <row r="779" spans="1:3" x14ac:dyDescent="0.25">
      <c r="A779" s="2" t="s">
        <v>522</v>
      </c>
      <c r="B779" s="143" t="s">
        <v>86</v>
      </c>
      <c r="C779" s="143" t="s">
        <v>86</v>
      </c>
    </row>
    <row r="780" spans="1:3" x14ac:dyDescent="0.25">
      <c r="A780" s="2" t="s">
        <v>523</v>
      </c>
      <c r="B780" s="143" t="s">
        <v>86</v>
      </c>
      <c r="C780" s="143" t="s">
        <v>86</v>
      </c>
    </row>
    <row r="781" spans="1:3" x14ac:dyDescent="0.25">
      <c r="A781" s="2" t="s">
        <v>524</v>
      </c>
      <c r="B781" s="143" t="s">
        <v>86</v>
      </c>
      <c r="C781" s="143" t="s">
        <v>86</v>
      </c>
    </row>
    <row r="782" spans="1:3" x14ac:dyDescent="0.25">
      <c r="A782" s="2" t="s">
        <v>525</v>
      </c>
      <c r="B782" s="143" t="s">
        <v>86</v>
      </c>
      <c r="C782" s="143" t="s">
        <v>86</v>
      </c>
    </row>
    <row r="783" spans="1:3" x14ac:dyDescent="0.25">
      <c r="A783" s="2" t="s">
        <v>526</v>
      </c>
      <c r="B783" s="143">
        <v>-11.95833333333333</v>
      </c>
      <c r="C783" s="143" t="s">
        <v>86</v>
      </c>
    </row>
    <row r="784" spans="1:3" x14ac:dyDescent="0.25">
      <c r="A784" s="2" t="s">
        <v>1429</v>
      </c>
      <c r="B784" s="143">
        <v>-17.678000000000001</v>
      </c>
      <c r="C784" s="143" t="s">
        <v>86</v>
      </c>
    </row>
    <row r="785" spans="1:3" x14ac:dyDescent="0.25">
      <c r="A785" s="2" t="s">
        <v>1433</v>
      </c>
      <c r="B785" s="143" t="s">
        <v>86</v>
      </c>
      <c r="C785" s="143" t="s">
        <v>86</v>
      </c>
    </row>
    <row r="786" spans="1:3" x14ac:dyDescent="0.25">
      <c r="A786" s="2" t="s">
        <v>1437</v>
      </c>
      <c r="B786" s="143" t="s">
        <v>86</v>
      </c>
      <c r="C786" s="143" t="s">
        <v>86</v>
      </c>
    </row>
    <row r="787" spans="1:3" x14ac:dyDescent="0.25">
      <c r="A787" s="2" t="s">
        <v>1441</v>
      </c>
      <c r="B787" s="143" t="s">
        <v>86</v>
      </c>
      <c r="C787" s="143" t="s">
        <v>86</v>
      </c>
    </row>
    <row r="788" spans="1:3" x14ac:dyDescent="0.25">
      <c r="A788" s="2" t="s">
        <v>1445</v>
      </c>
      <c r="B788" s="143">
        <v>-19.821698387916982</v>
      </c>
      <c r="C788" s="143">
        <v>-35.193420913953858</v>
      </c>
    </row>
    <row r="789" spans="1:3" x14ac:dyDescent="0.25">
      <c r="A789" s="2" t="s">
        <v>1449</v>
      </c>
      <c r="B789" s="143">
        <v>-21.885697813979391</v>
      </c>
      <c r="C789" s="143">
        <v>-20.391367283749862</v>
      </c>
    </row>
    <row r="790" spans="1:3" x14ac:dyDescent="0.25">
      <c r="A790" s="2" t="s">
        <v>1453</v>
      </c>
      <c r="B790" s="143">
        <v>-18.447726666666671</v>
      </c>
      <c r="C790" s="143" t="s">
        <v>86</v>
      </c>
    </row>
    <row r="791" spans="1:3" x14ac:dyDescent="0.25">
      <c r="A791" s="2" t="s">
        <v>1457</v>
      </c>
      <c r="B791" s="143">
        <v>-10.968602869352869</v>
      </c>
      <c r="C791" s="143">
        <v>-9.7604810530777613</v>
      </c>
    </row>
    <row r="792" spans="1:3" x14ac:dyDescent="0.25">
      <c r="A792" s="2" t="s">
        <v>528</v>
      </c>
      <c r="B792" s="143" t="s">
        <v>86</v>
      </c>
      <c r="C792" s="143" t="s">
        <v>86</v>
      </c>
    </row>
    <row r="793" spans="1:3" x14ac:dyDescent="0.25">
      <c r="A793" s="2" t="s">
        <v>2207</v>
      </c>
      <c r="B793" s="143" t="s">
        <v>86</v>
      </c>
      <c r="C793" s="143" t="s">
        <v>86</v>
      </c>
    </row>
    <row r="794" spans="1:3" x14ac:dyDescent="0.25">
      <c r="A794" s="2" t="s">
        <v>530</v>
      </c>
      <c r="B794" s="143">
        <v>-7.5344444444444454</v>
      </c>
      <c r="C794" s="143" t="s">
        <v>86</v>
      </c>
    </row>
    <row r="795" spans="1:3" x14ac:dyDescent="0.25">
      <c r="A795" s="2" t="s">
        <v>532</v>
      </c>
      <c r="B795" s="143">
        <v>-7.5344444444444454</v>
      </c>
      <c r="C795" s="143" t="s">
        <v>86</v>
      </c>
    </row>
    <row r="796" spans="1:3" x14ac:dyDescent="0.25">
      <c r="A796" s="2" t="s">
        <v>689</v>
      </c>
      <c r="B796" s="143">
        <v>-12.99133333333333</v>
      </c>
      <c r="C796" s="143" t="s">
        <v>86</v>
      </c>
    </row>
    <row r="797" spans="1:3" x14ac:dyDescent="0.25">
      <c r="A797" s="2" t="s">
        <v>1461</v>
      </c>
      <c r="B797" s="143">
        <v>-24.654954022988509</v>
      </c>
      <c r="C797" s="143">
        <v>-28.183464665263259</v>
      </c>
    </row>
    <row r="798" spans="1:3" x14ac:dyDescent="0.25">
      <c r="A798" s="2" t="s">
        <v>2208</v>
      </c>
      <c r="B798" s="143" t="s">
        <v>86</v>
      </c>
      <c r="C798" s="143" t="s">
        <v>86</v>
      </c>
    </row>
    <row r="799" spans="1:3" x14ac:dyDescent="0.25">
      <c r="A799" s="2" t="s">
        <v>1465</v>
      </c>
      <c r="B799" s="143">
        <v>-2.1669999999999998</v>
      </c>
      <c r="C799" s="143" t="s">
        <v>86</v>
      </c>
    </row>
    <row r="800" spans="1:3" x14ac:dyDescent="0.25">
      <c r="A800" s="2" t="s">
        <v>1469</v>
      </c>
      <c r="B800" s="143">
        <v>-5.93</v>
      </c>
      <c r="C800" s="143" t="s">
        <v>86</v>
      </c>
    </row>
    <row r="801" spans="1:3" x14ac:dyDescent="0.25">
      <c r="A801" s="2" t="s">
        <v>2210</v>
      </c>
      <c r="B801" s="143" t="s">
        <v>86</v>
      </c>
      <c r="C801" s="143" t="s">
        <v>86</v>
      </c>
    </row>
    <row r="802" spans="1:3" x14ac:dyDescent="0.25">
      <c r="A802" s="2" t="s">
        <v>2212</v>
      </c>
      <c r="B802" s="143" t="s">
        <v>86</v>
      </c>
      <c r="C802" s="143" t="s">
        <v>86</v>
      </c>
    </row>
    <row r="803" spans="1:3" x14ac:dyDescent="0.25">
      <c r="A803" s="2" t="s">
        <v>2213</v>
      </c>
      <c r="B803" s="143" t="s">
        <v>86</v>
      </c>
      <c r="C803" s="143" t="s">
        <v>86</v>
      </c>
    </row>
    <row r="804" spans="1:3" x14ac:dyDescent="0.25">
      <c r="A804" s="2" t="s">
        <v>2214</v>
      </c>
      <c r="B804" s="143" t="s">
        <v>86</v>
      </c>
      <c r="C804" s="143" t="s">
        <v>86</v>
      </c>
    </row>
    <row r="805" spans="1:3" x14ac:dyDescent="0.25">
      <c r="A805" s="2" t="s">
        <v>2215</v>
      </c>
      <c r="B805" s="143" t="s">
        <v>86</v>
      </c>
      <c r="C805" s="143" t="s">
        <v>86</v>
      </c>
    </row>
    <row r="806" spans="1:3" x14ac:dyDescent="0.25">
      <c r="A806" s="2" t="s">
        <v>2216</v>
      </c>
      <c r="B806" s="143" t="s">
        <v>86</v>
      </c>
      <c r="C806" s="143" t="s">
        <v>86</v>
      </c>
    </row>
    <row r="807" spans="1:3" x14ac:dyDescent="0.25">
      <c r="A807" s="2" t="s">
        <v>2217</v>
      </c>
      <c r="B807" s="143" t="s">
        <v>86</v>
      </c>
      <c r="C807" s="143" t="s">
        <v>86</v>
      </c>
    </row>
    <row r="808" spans="1:3" x14ac:dyDescent="0.25">
      <c r="A808" s="2" t="s">
        <v>2218</v>
      </c>
      <c r="B808" s="143" t="s">
        <v>86</v>
      </c>
      <c r="C808" s="143" t="s">
        <v>86</v>
      </c>
    </row>
    <row r="809" spans="1:3" x14ac:dyDescent="0.25">
      <c r="A809" s="2" t="s">
        <v>2219</v>
      </c>
      <c r="B809" s="143" t="s">
        <v>86</v>
      </c>
      <c r="C809" s="143" t="s">
        <v>86</v>
      </c>
    </row>
    <row r="810" spans="1:3" x14ac:dyDescent="0.25">
      <c r="A810" s="2" t="s">
        <v>2220</v>
      </c>
      <c r="B810" s="143" t="s">
        <v>86</v>
      </c>
      <c r="C810" s="143" t="s">
        <v>86</v>
      </c>
    </row>
    <row r="811" spans="1:3" x14ac:dyDescent="0.25">
      <c r="A811" s="2" t="s">
        <v>2221</v>
      </c>
      <c r="B811" s="143" t="s">
        <v>86</v>
      </c>
      <c r="C811" s="143" t="s">
        <v>86</v>
      </c>
    </row>
    <row r="812" spans="1:3" x14ac:dyDescent="0.25">
      <c r="A812" s="2" t="s">
        <v>2222</v>
      </c>
      <c r="B812" s="143" t="s">
        <v>86</v>
      </c>
      <c r="C812" s="143" t="s">
        <v>86</v>
      </c>
    </row>
    <row r="813" spans="1:3" x14ac:dyDescent="0.25">
      <c r="A813" s="2" t="s">
        <v>2223</v>
      </c>
      <c r="B813" s="143" t="s">
        <v>86</v>
      </c>
      <c r="C813" s="143" t="s">
        <v>86</v>
      </c>
    </row>
    <row r="814" spans="1:3" x14ac:dyDescent="0.25">
      <c r="A814" s="2" t="s">
        <v>2224</v>
      </c>
      <c r="B814" s="143" t="s">
        <v>86</v>
      </c>
      <c r="C814" s="143" t="s">
        <v>86</v>
      </c>
    </row>
    <row r="815" spans="1:3" x14ac:dyDescent="0.25">
      <c r="A815" s="2" t="s">
        <v>2225</v>
      </c>
      <c r="B815" s="143" t="s">
        <v>86</v>
      </c>
      <c r="C815" s="143" t="s">
        <v>86</v>
      </c>
    </row>
    <row r="816" spans="1:3" x14ac:dyDescent="0.25">
      <c r="A816" s="2" t="s">
        <v>534</v>
      </c>
      <c r="B816" s="143">
        <v>-8.8785555555555558</v>
      </c>
      <c r="C816" s="143" t="s">
        <v>86</v>
      </c>
    </row>
    <row r="817" spans="1:3" x14ac:dyDescent="0.25">
      <c r="A817" s="2" t="s">
        <v>536</v>
      </c>
      <c r="B817" s="143">
        <v>-10.526999999999999</v>
      </c>
      <c r="C817" s="143" t="s">
        <v>86</v>
      </c>
    </row>
    <row r="818" spans="1:3" x14ac:dyDescent="0.25">
      <c r="A818" s="2" t="s">
        <v>538</v>
      </c>
      <c r="B818" s="143">
        <v>-6.987333333333333</v>
      </c>
      <c r="C818" s="143" t="s">
        <v>86</v>
      </c>
    </row>
    <row r="819" spans="1:3" x14ac:dyDescent="0.25">
      <c r="A819" s="2" t="s">
        <v>1472</v>
      </c>
      <c r="B819" s="143">
        <v>-8.5223628038628032</v>
      </c>
      <c r="C819" s="143" t="s">
        <v>86</v>
      </c>
    </row>
    <row r="820" spans="1:3" x14ac:dyDescent="0.25">
      <c r="A820" s="2" t="s">
        <v>540</v>
      </c>
      <c r="B820" s="143" t="s">
        <v>86</v>
      </c>
      <c r="C820" s="143" t="s">
        <v>86</v>
      </c>
    </row>
    <row r="821" spans="1:3" x14ac:dyDescent="0.25">
      <c r="A821" s="2" t="s">
        <v>541</v>
      </c>
      <c r="B821" s="143" t="s">
        <v>86</v>
      </c>
      <c r="C821" s="143" t="s">
        <v>86</v>
      </c>
    </row>
    <row r="822" spans="1:3" x14ac:dyDescent="0.25">
      <c r="A822" s="2" t="s">
        <v>542</v>
      </c>
      <c r="B822" s="143" t="s">
        <v>86</v>
      </c>
      <c r="C822" s="143" t="s">
        <v>86</v>
      </c>
    </row>
    <row r="823" spans="1:3" x14ac:dyDescent="0.25">
      <c r="A823" s="2" t="s">
        <v>543</v>
      </c>
      <c r="B823" s="143" t="s">
        <v>86</v>
      </c>
      <c r="C823" s="143" t="s">
        <v>86</v>
      </c>
    </row>
    <row r="824" spans="1:3" x14ac:dyDescent="0.25">
      <c r="A824" s="2" t="s">
        <v>544</v>
      </c>
      <c r="B824" s="143" t="s">
        <v>86</v>
      </c>
      <c r="C824" s="143" t="s">
        <v>86</v>
      </c>
    </row>
    <row r="825" spans="1:3" x14ac:dyDescent="0.25">
      <c r="A825" s="2" t="s">
        <v>545</v>
      </c>
      <c r="B825" s="143" t="s">
        <v>86</v>
      </c>
      <c r="C825" s="143" t="s">
        <v>86</v>
      </c>
    </row>
    <row r="826" spans="1:3" x14ac:dyDescent="0.25">
      <c r="A826" s="2" t="s">
        <v>546</v>
      </c>
      <c r="B826" s="143" t="s">
        <v>86</v>
      </c>
      <c r="C826" s="143" t="s">
        <v>86</v>
      </c>
    </row>
    <row r="827" spans="1:3" x14ac:dyDescent="0.25">
      <c r="A827" s="2" t="s">
        <v>547</v>
      </c>
      <c r="B827" s="143" t="s">
        <v>86</v>
      </c>
      <c r="C827" s="143" t="s">
        <v>86</v>
      </c>
    </row>
    <row r="828" spans="1:3" x14ac:dyDescent="0.25">
      <c r="A828" s="2" t="s">
        <v>548</v>
      </c>
      <c r="B828" s="143" t="s">
        <v>86</v>
      </c>
      <c r="C828" s="143" t="s">
        <v>86</v>
      </c>
    </row>
    <row r="829" spans="1:3" x14ac:dyDescent="0.25">
      <c r="A829" s="2" t="s">
        <v>1476</v>
      </c>
      <c r="B829" s="143">
        <v>-7.7510000000000003</v>
      </c>
      <c r="C829" s="143" t="s">
        <v>86</v>
      </c>
    </row>
    <row r="830" spans="1:3" x14ac:dyDescent="0.25">
      <c r="A830" s="2" t="s">
        <v>1480</v>
      </c>
      <c r="B830" s="143">
        <v>-11.19285714285714</v>
      </c>
      <c r="C830" s="143" t="s">
        <v>86</v>
      </c>
    </row>
    <row r="831" spans="1:3" x14ac:dyDescent="0.25">
      <c r="A831" s="2" t="s">
        <v>1484</v>
      </c>
      <c r="B831" s="143">
        <v>-21.344733333333341</v>
      </c>
      <c r="C831" s="143" t="s">
        <v>86</v>
      </c>
    </row>
    <row r="832" spans="1:3" x14ac:dyDescent="0.25">
      <c r="A832" s="2" t="s">
        <v>1488</v>
      </c>
      <c r="B832" s="143">
        <v>-23.207999999999998</v>
      </c>
      <c r="C832" s="143" t="s">
        <v>86</v>
      </c>
    </row>
    <row r="833" spans="1:3" x14ac:dyDescent="0.25">
      <c r="A833" s="2" t="s">
        <v>549</v>
      </c>
      <c r="B833" s="143" t="s">
        <v>86</v>
      </c>
      <c r="C833" s="143" t="s">
        <v>86</v>
      </c>
    </row>
    <row r="834" spans="1:3" x14ac:dyDescent="0.25">
      <c r="A834" s="2" t="s">
        <v>1492</v>
      </c>
      <c r="B834" s="143">
        <v>-2.78</v>
      </c>
      <c r="C834" s="143" t="s">
        <v>86</v>
      </c>
    </row>
    <row r="835" spans="1:3" x14ac:dyDescent="0.25">
      <c r="A835" s="2" t="s">
        <v>550</v>
      </c>
      <c r="B835" s="143">
        <v>-12.64060185185185</v>
      </c>
      <c r="C835" s="143" t="s">
        <v>86</v>
      </c>
    </row>
    <row r="836" spans="1:3" x14ac:dyDescent="0.25">
      <c r="A836" s="2" t="s">
        <v>552</v>
      </c>
      <c r="B836" s="143">
        <v>-11.893232142857141</v>
      </c>
      <c r="C836" s="143" t="s">
        <v>86</v>
      </c>
    </row>
    <row r="837" spans="1:3" x14ac:dyDescent="0.25">
      <c r="A837" s="2" t="s">
        <v>554</v>
      </c>
      <c r="B837" s="143">
        <v>-13.77633333333333</v>
      </c>
      <c r="C837" s="143" t="s">
        <v>86</v>
      </c>
    </row>
    <row r="838" spans="1:3" x14ac:dyDescent="0.25">
      <c r="A838" s="2" t="s">
        <v>556</v>
      </c>
      <c r="B838" s="143">
        <v>-13.08394444444445</v>
      </c>
      <c r="C838" s="143" t="s">
        <v>86</v>
      </c>
    </row>
    <row r="839" spans="1:3" x14ac:dyDescent="0.25">
      <c r="A839" s="2" t="s">
        <v>558</v>
      </c>
      <c r="B839" s="143">
        <v>-13.009499999999999</v>
      </c>
      <c r="C839" s="143" t="s">
        <v>86</v>
      </c>
    </row>
    <row r="840" spans="1:3" x14ac:dyDescent="0.25">
      <c r="A840" s="2" t="s">
        <v>560</v>
      </c>
      <c r="B840" s="143">
        <v>-24.033238095238101</v>
      </c>
      <c r="C840" s="143" t="s">
        <v>86</v>
      </c>
    </row>
    <row r="841" spans="1:3" x14ac:dyDescent="0.25">
      <c r="A841" s="2" t="s">
        <v>562</v>
      </c>
      <c r="B841" s="143">
        <v>-24.313400000000001</v>
      </c>
      <c r="C841" s="143" t="s">
        <v>86</v>
      </c>
    </row>
    <row r="842" spans="1:3" x14ac:dyDescent="0.25">
      <c r="A842" s="2" t="s">
        <v>1494</v>
      </c>
      <c r="B842" s="143" t="s">
        <v>86</v>
      </c>
      <c r="C842" s="143" t="s">
        <v>86</v>
      </c>
    </row>
    <row r="843" spans="1:3" x14ac:dyDescent="0.25">
      <c r="A843" s="2" t="s">
        <v>564</v>
      </c>
      <c r="B843" s="143">
        <v>-0.8355555555555555</v>
      </c>
      <c r="C843" s="143" t="s">
        <v>86</v>
      </c>
    </row>
    <row r="844" spans="1:3" x14ac:dyDescent="0.25">
      <c r="A844" s="2" t="s">
        <v>566</v>
      </c>
      <c r="B844" s="143">
        <v>-1.183846153846154</v>
      </c>
      <c r="C844" s="143" t="s">
        <v>86</v>
      </c>
    </row>
    <row r="845" spans="1:3" x14ac:dyDescent="0.25">
      <c r="A845" s="2" t="s">
        <v>568</v>
      </c>
      <c r="B845" s="143" t="s">
        <v>86</v>
      </c>
      <c r="C845" s="143" t="s">
        <v>86</v>
      </c>
    </row>
    <row r="846" spans="1:3" x14ac:dyDescent="0.25">
      <c r="A846" s="2" t="s">
        <v>569</v>
      </c>
      <c r="B846" s="143">
        <v>-5.58</v>
      </c>
      <c r="C846" s="143" t="s">
        <v>86</v>
      </c>
    </row>
    <row r="847" spans="1:3" x14ac:dyDescent="0.25">
      <c r="A847" s="2" t="s">
        <v>570</v>
      </c>
      <c r="B847" s="143" t="s">
        <v>86</v>
      </c>
      <c r="C847" s="143" t="s">
        <v>86</v>
      </c>
    </row>
    <row r="848" spans="1:3" x14ac:dyDescent="0.25">
      <c r="A848" s="2" t="s">
        <v>572</v>
      </c>
      <c r="B848" s="143" t="s">
        <v>86</v>
      </c>
      <c r="C848" s="143" t="s">
        <v>86</v>
      </c>
    </row>
    <row r="849" spans="1:3" x14ac:dyDescent="0.25">
      <c r="A849" s="2" t="s">
        <v>574</v>
      </c>
      <c r="B849" s="143" t="s">
        <v>86</v>
      </c>
      <c r="C849" s="143" t="s">
        <v>86</v>
      </c>
    </row>
    <row r="850" spans="1:3" x14ac:dyDescent="0.25">
      <c r="A850" s="2" t="s">
        <v>2226</v>
      </c>
      <c r="B850" s="143" t="s">
        <v>86</v>
      </c>
      <c r="C850" s="143" t="s">
        <v>86</v>
      </c>
    </row>
    <row r="851" spans="1:3" x14ac:dyDescent="0.25">
      <c r="A851" s="2" t="s">
        <v>2227</v>
      </c>
      <c r="B851" s="143" t="s">
        <v>86</v>
      </c>
      <c r="C851" s="143" t="s">
        <v>86</v>
      </c>
    </row>
    <row r="852" spans="1:3" x14ac:dyDescent="0.25">
      <c r="A852" s="2" t="s">
        <v>2229</v>
      </c>
      <c r="B852" s="143" t="s">
        <v>86</v>
      </c>
      <c r="C852" s="143" t="s">
        <v>86</v>
      </c>
    </row>
    <row r="853" spans="1:3" x14ac:dyDescent="0.25">
      <c r="A853" s="2" t="s">
        <v>2230</v>
      </c>
      <c r="B853" s="143" t="s">
        <v>86</v>
      </c>
      <c r="C853" s="143" t="s">
        <v>86</v>
      </c>
    </row>
    <row r="854" spans="1:3" x14ac:dyDescent="0.25">
      <c r="A854" s="2" t="s">
        <v>576</v>
      </c>
      <c r="B854" s="143" t="s">
        <v>86</v>
      </c>
      <c r="C854" s="143" t="s">
        <v>86</v>
      </c>
    </row>
    <row r="855" spans="1:3" x14ac:dyDescent="0.25">
      <c r="A855" s="2" t="s">
        <v>2232</v>
      </c>
      <c r="B855" s="143" t="s">
        <v>86</v>
      </c>
      <c r="C855" s="143" t="s">
        <v>86</v>
      </c>
    </row>
    <row r="856" spans="1:3" x14ac:dyDescent="0.25">
      <c r="A856" s="2" t="s">
        <v>2234</v>
      </c>
      <c r="B856" s="143" t="s">
        <v>86</v>
      </c>
      <c r="C856" s="143" t="s">
        <v>86</v>
      </c>
    </row>
    <row r="857" spans="1:3" x14ac:dyDescent="0.25">
      <c r="A857" s="2" t="s">
        <v>2236</v>
      </c>
      <c r="B857" s="143" t="s">
        <v>86</v>
      </c>
      <c r="C857" s="143" t="s">
        <v>86</v>
      </c>
    </row>
    <row r="858" spans="1:3" x14ac:dyDescent="0.25">
      <c r="A858" s="2" t="s">
        <v>2238</v>
      </c>
      <c r="B858" s="143" t="s">
        <v>86</v>
      </c>
      <c r="C858" s="143" t="s">
        <v>86</v>
      </c>
    </row>
    <row r="859" spans="1:3" x14ac:dyDescent="0.25">
      <c r="A859" s="2" t="s">
        <v>577</v>
      </c>
      <c r="B859" s="143">
        <v>-19.38</v>
      </c>
      <c r="C859" s="143" t="s">
        <v>86</v>
      </c>
    </row>
    <row r="860" spans="1:3" x14ac:dyDescent="0.25">
      <c r="A860" s="2" t="s">
        <v>579</v>
      </c>
      <c r="B860" s="143">
        <v>-7.93</v>
      </c>
      <c r="C860" s="143" t="s">
        <v>86</v>
      </c>
    </row>
    <row r="861" spans="1:3" x14ac:dyDescent="0.25">
      <c r="A861" s="2" t="s">
        <v>580</v>
      </c>
      <c r="B861" s="143">
        <v>-13.67</v>
      </c>
      <c r="C861" s="143" t="s">
        <v>86</v>
      </c>
    </row>
    <row r="862" spans="1:3" x14ac:dyDescent="0.25">
      <c r="A862" s="2" t="s">
        <v>581</v>
      </c>
      <c r="B862" s="143" t="s">
        <v>86</v>
      </c>
      <c r="C862" s="143" t="s">
        <v>86</v>
      </c>
    </row>
    <row r="863" spans="1:3" x14ac:dyDescent="0.25">
      <c r="A863" s="2" t="s">
        <v>582</v>
      </c>
      <c r="B863" s="143" t="s">
        <v>86</v>
      </c>
      <c r="C863" s="143" t="s">
        <v>86</v>
      </c>
    </row>
    <row r="864" spans="1:3" x14ac:dyDescent="0.25">
      <c r="A864" s="2" t="s">
        <v>583</v>
      </c>
      <c r="B864" s="143" t="s">
        <v>86</v>
      </c>
      <c r="C864" s="143" t="s">
        <v>86</v>
      </c>
    </row>
    <row r="865" spans="1:3" x14ac:dyDescent="0.25">
      <c r="A865" s="2" t="s">
        <v>584</v>
      </c>
      <c r="B865" s="143" t="s">
        <v>86</v>
      </c>
      <c r="C865" s="143" t="s">
        <v>86</v>
      </c>
    </row>
    <row r="866" spans="1:3" x14ac:dyDescent="0.25">
      <c r="A866" s="2" t="s">
        <v>585</v>
      </c>
      <c r="B866" s="143">
        <v>-5.54</v>
      </c>
      <c r="C866" s="143" t="s">
        <v>86</v>
      </c>
    </row>
    <row r="867" spans="1:3" x14ac:dyDescent="0.25">
      <c r="A867" s="2" t="s">
        <v>586</v>
      </c>
      <c r="B867" s="143" t="s">
        <v>86</v>
      </c>
      <c r="C867" s="143" t="s">
        <v>86</v>
      </c>
    </row>
    <row r="868" spans="1:3" x14ac:dyDescent="0.25">
      <c r="A868" s="2" t="s">
        <v>587</v>
      </c>
      <c r="B868" s="143" t="s">
        <v>86</v>
      </c>
      <c r="C868" s="143" t="s">
        <v>86</v>
      </c>
    </row>
    <row r="869" spans="1:3" x14ac:dyDescent="0.25">
      <c r="A869" s="2" t="s">
        <v>588</v>
      </c>
      <c r="B869" s="143" t="s">
        <v>86</v>
      </c>
      <c r="C869" s="143" t="s">
        <v>86</v>
      </c>
    </row>
    <row r="870" spans="1:3" x14ac:dyDescent="0.25">
      <c r="A870" s="2" t="s">
        <v>589</v>
      </c>
      <c r="B870" s="143" t="s">
        <v>86</v>
      </c>
      <c r="C870" s="143" t="s">
        <v>86</v>
      </c>
    </row>
    <row r="871" spans="1:3" x14ac:dyDescent="0.25">
      <c r="A871" s="2" t="s">
        <v>590</v>
      </c>
      <c r="B871" s="143" t="s">
        <v>86</v>
      </c>
      <c r="C871" s="143" t="s">
        <v>86</v>
      </c>
    </row>
    <row r="872" spans="1:3" x14ac:dyDescent="0.25">
      <c r="A872" s="2" t="s">
        <v>591</v>
      </c>
      <c r="B872" s="143" t="s">
        <v>86</v>
      </c>
      <c r="C872" s="143" t="s">
        <v>86</v>
      </c>
    </row>
    <row r="873" spans="1:3" x14ac:dyDescent="0.25">
      <c r="A873" s="2" t="s">
        <v>592</v>
      </c>
      <c r="B873" s="143" t="s">
        <v>86</v>
      </c>
      <c r="C873" s="143" t="s">
        <v>86</v>
      </c>
    </row>
    <row r="874" spans="1:3" x14ac:dyDescent="0.25">
      <c r="A874" s="2" t="s">
        <v>593</v>
      </c>
      <c r="B874" s="143" t="s">
        <v>86</v>
      </c>
      <c r="C874" s="143" t="s">
        <v>86</v>
      </c>
    </row>
    <row r="875" spans="1:3" x14ac:dyDescent="0.25">
      <c r="A875" s="2" t="s">
        <v>594</v>
      </c>
      <c r="B875" s="143" t="s">
        <v>86</v>
      </c>
      <c r="C875" s="143" t="s">
        <v>86</v>
      </c>
    </row>
    <row r="876" spans="1:3" x14ac:dyDescent="0.25">
      <c r="A876" s="2" t="s">
        <v>595</v>
      </c>
      <c r="B876" s="143" t="s">
        <v>86</v>
      </c>
      <c r="C876" s="143" t="s">
        <v>86</v>
      </c>
    </row>
    <row r="877" spans="1:3" x14ac:dyDescent="0.25">
      <c r="A877" s="2" t="s">
        <v>596</v>
      </c>
      <c r="B877" s="143" t="s">
        <v>86</v>
      </c>
      <c r="C877" s="143" t="s">
        <v>86</v>
      </c>
    </row>
    <row r="878" spans="1:3" x14ac:dyDescent="0.25">
      <c r="A878" s="2" t="s">
        <v>597</v>
      </c>
      <c r="B878" s="143" t="s">
        <v>86</v>
      </c>
      <c r="C878" s="143" t="s">
        <v>86</v>
      </c>
    </row>
    <row r="879" spans="1:3" x14ac:dyDescent="0.25">
      <c r="A879" s="2" t="s">
        <v>598</v>
      </c>
      <c r="B879" s="143" t="s">
        <v>86</v>
      </c>
      <c r="C879" s="143" t="s">
        <v>86</v>
      </c>
    </row>
    <row r="880" spans="1:3" x14ac:dyDescent="0.25">
      <c r="A880" s="2" t="s">
        <v>279</v>
      </c>
      <c r="B880" s="143" t="s">
        <v>86</v>
      </c>
      <c r="C880" s="143" t="s">
        <v>86</v>
      </c>
    </row>
    <row r="881" spans="1:3" x14ac:dyDescent="0.25">
      <c r="A881" s="2" t="s">
        <v>600</v>
      </c>
      <c r="B881" s="143" t="s">
        <v>86</v>
      </c>
      <c r="C881" s="143" t="s">
        <v>86</v>
      </c>
    </row>
    <row r="882" spans="1:3" x14ac:dyDescent="0.25">
      <c r="A882" s="2" t="s">
        <v>601</v>
      </c>
      <c r="B882" s="143" t="s">
        <v>86</v>
      </c>
      <c r="C882" s="143" t="s">
        <v>86</v>
      </c>
    </row>
    <row r="883" spans="1:3" x14ac:dyDescent="0.25">
      <c r="A883" s="2" t="s">
        <v>2240</v>
      </c>
      <c r="B883" s="143" t="s">
        <v>86</v>
      </c>
      <c r="C883" s="143" t="s">
        <v>86</v>
      </c>
    </row>
    <row r="884" spans="1:3" x14ac:dyDescent="0.25">
      <c r="A884" s="2" t="s">
        <v>602</v>
      </c>
      <c r="B884" s="143" t="s">
        <v>86</v>
      </c>
      <c r="C884" s="143" t="s">
        <v>86</v>
      </c>
    </row>
    <row r="885" spans="1:3" x14ac:dyDescent="0.25">
      <c r="A885" s="2" t="s">
        <v>2241</v>
      </c>
      <c r="B885" s="143" t="s">
        <v>86</v>
      </c>
      <c r="C885" s="143" t="s">
        <v>86</v>
      </c>
    </row>
    <row r="886" spans="1:3" x14ac:dyDescent="0.25">
      <c r="A886" s="2" t="s">
        <v>2242</v>
      </c>
      <c r="B886" s="143" t="s">
        <v>86</v>
      </c>
      <c r="C886" s="143" t="s">
        <v>86</v>
      </c>
    </row>
    <row r="887" spans="1:3" x14ac:dyDescent="0.25">
      <c r="A887" s="2" t="s">
        <v>603</v>
      </c>
      <c r="B887" s="143" t="s">
        <v>86</v>
      </c>
      <c r="C887" s="143" t="s">
        <v>86</v>
      </c>
    </row>
    <row r="888" spans="1:3" x14ac:dyDescent="0.25">
      <c r="A888" s="2" t="s">
        <v>2243</v>
      </c>
      <c r="B888" s="143" t="s">
        <v>86</v>
      </c>
      <c r="C888" s="143" t="s">
        <v>86</v>
      </c>
    </row>
    <row r="889" spans="1:3" x14ac:dyDescent="0.25">
      <c r="A889" s="2" t="s">
        <v>604</v>
      </c>
      <c r="B889" s="143" t="s">
        <v>86</v>
      </c>
      <c r="C889" s="143" t="s">
        <v>86</v>
      </c>
    </row>
    <row r="890" spans="1:3" x14ac:dyDescent="0.25">
      <c r="A890" s="2" t="s">
        <v>605</v>
      </c>
      <c r="B890" s="143" t="s">
        <v>86</v>
      </c>
      <c r="C890" s="143" t="s">
        <v>86</v>
      </c>
    </row>
    <row r="891" spans="1:3" x14ac:dyDescent="0.25">
      <c r="A891" s="2" t="s">
        <v>2244</v>
      </c>
      <c r="B891" s="143" t="s">
        <v>86</v>
      </c>
      <c r="C891" s="143" t="s">
        <v>86</v>
      </c>
    </row>
    <row r="892" spans="1:3" x14ac:dyDescent="0.25">
      <c r="A892" s="2" t="s">
        <v>606</v>
      </c>
      <c r="B892" s="143" t="s">
        <v>86</v>
      </c>
      <c r="C892" s="143" t="s">
        <v>86</v>
      </c>
    </row>
    <row r="893" spans="1:3" x14ac:dyDescent="0.25">
      <c r="A893" s="2" t="s">
        <v>607</v>
      </c>
      <c r="B893" s="143" t="s">
        <v>86</v>
      </c>
      <c r="C893" s="143" t="s">
        <v>86</v>
      </c>
    </row>
    <row r="894" spans="1:3" x14ac:dyDescent="0.25">
      <c r="A894" s="2" t="s">
        <v>608</v>
      </c>
      <c r="B894" s="143" t="s">
        <v>86</v>
      </c>
      <c r="C894" s="143" t="s">
        <v>86</v>
      </c>
    </row>
    <row r="895" spans="1:3" x14ac:dyDescent="0.25">
      <c r="A895" s="2" t="s">
        <v>2245</v>
      </c>
      <c r="B895" s="143" t="s">
        <v>86</v>
      </c>
      <c r="C895" s="143" t="s">
        <v>86</v>
      </c>
    </row>
    <row r="896" spans="1:3" x14ac:dyDescent="0.25">
      <c r="A896" s="2" t="s">
        <v>2246</v>
      </c>
      <c r="B896" s="143" t="s">
        <v>86</v>
      </c>
      <c r="C896" s="143" t="s">
        <v>86</v>
      </c>
    </row>
    <row r="897" spans="1:3" x14ac:dyDescent="0.25">
      <c r="A897" s="2" t="s">
        <v>2247</v>
      </c>
      <c r="B897" s="143" t="s">
        <v>86</v>
      </c>
      <c r="C897" s="143" t="s">
        <v>86</v>
      </c>
    </row>
    <row r="898" spans="1:3" x14ac:dyDescent="0.25">
      <c r="A898" s="2" t="s">
        <v>2248</v>
      </c>
      <c r="B898" s="143" t="s">
        <v>86</v>
      </c>
      <c r="C898" s="143" t="s">
        <v>86</v>
      </c>
    </row>
    <row r="899" spans="1:3" x14ac:dyDescent="0.25">
      <c r="A899" s="2" t="s">
        <v>609</v>
      </c>
      <c r="B899" s="143" t="s">
        <v>86</v>
      </c>
      <c r="C899" s="143" t="s">
        <v>86</v>
      </c>
    </row>
    <row r="900" spans="1:3" x14ac:dyDescent="0.25">
      <c r="A900" s="2" t="s">
        <v>610</v>
      </c>
      <c r="B900" s="143" t="s">
        <v>86</v>
      </c>
      <c r="C900" s="143" t="s">
        <v>86</v>
      </c>
    </row>
    <row r="901" spans="1:3" x14ac:dyDescent="0.25">
      <c r="A901" s="2" t="s">
        <v>611</v>
      </c>
      <c r="B901" s="143" t="s">
        <v>86</v>
      </c>
      <c r="C901" s="143" t="s">
        <v>86</v>
      </c>
    </row>
    <row r="902" spans="1:3" x14ac:dyDescent="0.25">
      <c r="A902" s="2" t="s">
        <v>612</v>
      </c>
      <c r="B902" s="143" t="s">
        <v>86</v>
      </c>
      <c r="C902" s="143" t="s">
        <v>86</v>
      </c>
    </row>
    <row r="903" spans="1:3" x14ac:dyDescent="0.25">
      <c r="A903" s="2" t="s">
        <v>613</v>
      </c>
      <c r="B903" s="143" t="s">
        <v>86</v>
      </c>
      <c r="C903" s="143" t="s">
        <v>86</v>
      </c>
    </row>
    <row r="904" spans="1:3" x14ac:dyDescent="0.25">
      <c r="A904" s="2" t="s">
        <v>614</v>
      </c>
      <c r="B904" s="143" t="s">
        <v>86</v>
      </c>
      <c r="C904" s="143" t="s">
        <v>86</v>
      </c>
    </row>
    <row r="905" spans="1:3" x14ac:dyDescent="0.25">
      <c r="A905" s="2" t="s">
        <v>615</v>
      </c>
      <c r="B905" s="143" t="s">
        <v>86</v>
      </c>
      <c r="C905" s="143" t="s">
        <v>86</v>
      </c>
    </row>
    <row r="906" spans="1:3" x14ac:dyDescent="0.25">
      <c r="A906" s="2" t="s">
        <v>616</v>
      </c>
      <c r="B906" s="143" t="s">
        <v>86</v>
      </c>
      <c r="C906" s="143" t="s">
        <v>86</v>
      </c>
    </row>
    <row r="907" spans="1:3" x14ac:dyDescent="0.25">
      <c r="A907" s="2" t="s">
        <v>617</v>
      </c>
      <c r="B907" s="143" t="s">
        <v>86</v>
      </c>
      <c r="C907" s="143" t="s">
        <v>86</v>
      </c>
    </row>
    <row r="908" spans="1:3" x14ac:dyDescent="0.25">
      <c r="A908" s="2" t="s">
        <v>618</v>
      </c>
      <c r="B908" s="143" t="s">
        <v>86</v>
      </c>
      <c r="C908" s="143" t="s">
        <v>86</v>
      </c>
    </row>
    <row r="909" spans="1:3" x14ac:dyDescent="0.25">
      <c r="A909" s="2" t="s">
        <v>619</v>
      </c>
      <c r="B909" s="143" t="s">
        <v>86</v>
      </c>
      <c r="C909" s="143" t="s">
        <v>86</v>
      </c>
    </row>
    <row r="910" spans="1:3" x14ac:dyDescent="0.25">
      <c r="A910" s="2" t="s">
        <v>620</v>
      </c>
      <c r="B910" s="143" t="s">
        <v>86</v>
      </c>
      <c r="C910" s="143" t="s">
        <v>86</v>
      </c>
    </row>
    <row r="911" spans="1:3" x14ac:dyDescent="0.25">
      <c r="A911" s="2" t="s">
        <v>621</v>
      </c>
      <c r="B911" s="143" t="s">
        <v>86</v>
      </c>
      <c r="C911" s="143" t="s">
        <v>86</v>
      </c>
    </row>
    <row r="912" spans="1:3" x14ac:dyDescent="0.25">
      <c r="A912" s="2" t="s">
        <v>622</v>
      </c>
      <c r="B912" s="143" t="s">
        <v>86</v>
      </c>
      <c r="C912" s="143" t="s">
        <v>86</v>
      </c>
    </row>
    <row r="913" spans="1:3" x14ac:dyDescent="0.25">
      <c r="A913" s="2" t="s">
        <v>623</v>
      </c>
      <c r="B913" s="143" t="s">
        <v>86</v>
      </c>
      <c r="C913" s="143" t="s">
        <v>86</v>
      </c>
    </row>
    <row r="914" spans="1:3" x14ac:dyDescent="0.25">
      <c r="A914" s="2" t="s">
        <v>624</v>
      </c>
      <c r="B914" s="143" t="s">
        <v>86</v>
      </c>
      <c r="C914" s="143" t="s">
        <v>86</v>
      </c>
    </row>
    <row r="915" spans="1:3" x14ac:dyDescent="0.25">
      <c r="A915" s="2" t="s">
        <v>625</v>
      </c>
      <c r="B915" s="143" t="s">
        <v>86</v>
      </c>
      <c r="C915" s="143" t="s">
        <v>86</v>
      </c>
    </row>
    <row r="916" spans="1:3" x14ac:dyDescent="0.25">
      <c r="A916" s="2" t="s">
        <v>626</v>
      </c>
      <c r="B916" s="143" t="s">
        <v>86</v>
      </c>
      <c r="C916" s="143" t="s">
        <v>86</v>
      </c>
    </row>
    <row r="917" spans="1:3" x14ac:dyDescent="0.25">
      <c r="A917" s="2" t="s">
        <v>627</v>
      </c>
      <c r="B917" s="143" t="s">
        <v>86</v>
      </c>
      <c r="C917" s="143" t="s">
        <v>86</v>
      </c>
    </row>
    <row r="918" spans="1:3" x14ac:dyDescent="0.25">
      <c r="A918" s="2" t="s">
        <v>628</v>
      </c>
      <c r="B918" s="143" t="s">
        <v>86</v>
      </c>
      <c r="C918" s="143" t="s">
        <v>86</v>
      </c>
    </row>
    <row r="919" spans="1:3" x14ac:dyDescent="0.25">
      <c r="A919" s="2" t="s">
        <v>629</v>
      </c>
      <c r="B919" s="143" t="s">
        <v>86</v>
      </c>
      <c r="C919" s="143" t="s">
        <v>86</v>
      </c>
    </row>
    <row r="920" spans="1:3" x14ac:dyDescent="0.25">
      <c r="A920" s="2" t="s">
        <v>630</v>
      </c>
      <c r="B920" s="143" t="s">
        <v>86</v>
      </c>
      <c r="C920" s="143" t="s">
        <v>86</v>
      </c>
    </row>
    <row r="921" spans="1:3" x14ac:dyDescent="0.25">
      <c r="A921" s="2" t="s">
        <v>631</v>
      </c>
      <c r="B921" s="143" t="s">
        <v>86</v>
      </c>
      <c r="C921" s="143" t="s">
        <v>86</v>
      </c>
    </row>
    <row r="922" spans="1:3" x14ac:dyDescent="0.25">
      <c r="A922" s="2" t="s">
        <v>632</v>
      </c>
      <c r="B922" s="143" t="s">
        <v>86</v>
      </c>
      <c r="C922" s="143" t="s">
        <v>86</v>
      </c>
    </row>
    <row r="923" spans="1:3" x14ac:dyDescent="0.25">
      <c r="A923" s="2" t="s">
        <v>633</v>
      </c>
      <c r="B923" s="143" t="s">
        <v>86</v>
      </c>
      <c r="C923" s="143" t="s">
        <v>86</v>
      </c>
    </row>
    <row r="924" spans="1:3" x14ac:dyDescent="0.25">
      <c r="A924" s="2" t="s">
        <v>634</v>
      </c>
      <c r="B924" s="143" t="s">
        <v>86</v>
      </c>
      <c r="C924" s="143" t="s">
        <v>86</v>
      </c>
    </row>
    <row r="925" spans="1:3" x14ac:dyDescent="0.25">
      <c r="A925" s="2" t="s">
        <v>635</v>
      </c>
      <c r="B925" s="143" t="s">
        <v>86</v>
      </c>
      <c r="C925" s="143" t="s">
        <v>86</v>
      </c>
    </row>
    <row r="926" spans="1:3" x14ac:dyDescent="0.25">
      <c r="A926" s="2" t="s">
        <v>636</v>
      </c>
      <c r="B926" s="143" t="s">
        <v>86</v>
      </c>
      <c r="C926" s="143" t="s">
        <v>86</v>
      </c>
    </row>
    <row r="927" spans="1:3" x14ac:dyDescent="0.25">
      <c r="A927" s="2" t="s">
        <v>637</v>
      </c>
      <c r="B927" s="143" t="s">
        <v>86</v>
      </c>
      <c r="C927" s="143" t="s">
        <v>86</v>
      </c>
    </row>
    <row r="928" spans="1:3" x14ac:dyDescent="0.25">
      <c r="A928" s="2" t="s">
        <v>638</v>
      </c>
      <c r="B928" s="143" t="s">
        <v>86</v>
      </c>
      <c r="C928" s="143" t="s">
        <v>86</v>
      </c>
    </row>
    <row r="929" spans="1:3" x14ac:dyDescent="0.25">
      <c r="A929" s="2" t="s">
        <v>639</v>
      </c>
      <c r="B929" s="143" t="s">
        <v>86</v>
      </c>
      <c r="C929" s="143" t="s">
        <v>86</v>
      </c>
    </row>
    <row r="930" spans="1:3" x14ac:dyDescent="0.25">
      <c r="A930" s="2" t="s">
        <v>640</v>
      </c>
      <c r="B930" s="143" t="s">
        <v>86</v>
      </c>
      <c r="C930" s="143" t="s">
        <v>86</v>
      </c>
    </row>
    <row r="931" spans="1:3" x14ac:dyDescent="0.25">
      <c r="A931" s="2" t="s">
        <v>641</v>
      </c>
      <c r="B931" s="143" t="s">
        <v>86</v>
      </c>
      <c r="C931" s="143" t="s">
        <v>86</v>
      </c>
    </row>
    <row r="932" spans="1:3" x14ac:dyDescent="0.25">
      <c r="A932" s="2" t="s">
        <v>642</v>
      </c>
      <c r="B932" s="143" t="s">
        <v>86</v>
      </c>
      <c r="C932" s="143" t="s">
        <v>86</v>
      </c>
    </row>
    <row r="933" spans="1:3" x14ac:dyDescent="0.25">
      <c r="A933" s="2" t="s">
        <v>643</v>
      </c>
      <c r="B933" s="143" t="s">
        <v>86</v>
      </c>
      <c r="C933" s="143" t="s">
        <v>86</v>
      </c>
    </row>
    <row r="934" spans="1:3" x14ac:dyDescent="0.25">
      <c r="A934" s="2" t="s">
        <v>644</v>
      </c>
      <c r="B934" s="143" t="s">
        <v>86</v>
      </c>
      <c r="C934" s="143" t="s">
        <v>86</v>
      </c>
    </row>
    <row r="935" spans="1:3" x14ac:dyDescent="0.25">
      <c r="A935" s="2" t="s">
        <v>645</v>
      </c>
      <c r="B935" s="143" t="s">
        <v>86</v>
      </c>
      <c r="C935" s="143" t="s">
        <v>86</v>
      </c>
    </row>
    <row r="936" spans="1:3" x14ac:dyDescent="0.25">
      <c r="A936" s="2" t="s">
        <v>646</v>
      </c>
      <c r="B936" s="143" t="s">
        <v>86</v>
      </c>
      <c r="C936" s="143" t="s">
        <v>86</v>
      </c>
    </row>
    <row r="937" spans="1:3" x14ac:dyDescent="0.25">
      <c r="A937" s="2" t="s">
        <v>647</v>
      </c>
      <c r="B937" s="143" t="s">
        <v>86</v>
      </c>
      <c r="C937" s="143" t="s">
        <v>86</v>
      </c>
    </row>
    <row r="938" spans="1:3" x14ac:dyDescent="0.25">
      <c r="A938" s="2" t="s">
        <v>648</v>
      </c>
      <c r="B938" s="143" t="s">
        <v>86</v>
      </c>
      <c r="C938" s="143" t="s">
        <v>86</v>
      </c>
    </row>
    <row r="939" spans="1:3" x14ac:dyDescent="0.25">
      <c r="A939" s="2" t="s">
        <v>649</v>
      </c>
      <c r="B939" s="143" t="s">
        <v>86</v>
      </c>
      <c r="C939" s="143" t="s">
        <v>86</v>
      </c>
    </row>
    <row r="940" spans="1:3" x14ac:dyDescent="0.25">
      <c r="A940" s="2" t="s">
        <v>650</v>
      </c>
      <c r="B940" s="143" t="s">
        <v>86</v>
      </c>
      <c r="C940" s="143" t="s">
        <v>86</v>
      </c>
    </row>
    <row r="941" spans="1:3" x14ac:dyDescent="0.25">
      <c r="A941" s="2" t="s">
        <v>651</v>
      </c>
      <c r="B941" s="143" t="s">
        <v>86</v>
      </c>
      <c r="C941" s="143" t="s">
        <v>86</v>
      </c>
    </row>
    <row r="942" spans="1:3" x14ac:dyDescent="0.25">
      <c r="A942" s="2" t="s">
        <v>652</v>
      </c>
      <c r="B942" s="143" t="s">
        <v>86</v>
      </c>
      <c r="C942" s="143" t="s">
        <v>86</v>
      </c>
    </row>
    <row r="943" spans="1:3" x14ac:dyDescent="0.25">
      <c r="A943" s="2" t="s">
        <v>653</v>
      </c>
      <c r="B943" s="143" t="s">
        <v>86</v>
      </c>
      <c r="C943" s="143" t="s">
        <v>86</v>
      </c>
    </row>
    <row r="944" spans="1:3" x14ac:dyDescent="0.25">
      <c r="A944" s="2" t="s">
        <v>654</v>
      </c>
      <c r="B944" s="143" t="s">
        <v>86</v>
      </c>
      <c r="C944" s="143" t="s">
        <v>86</v>
      </c>
    </row>
    <row r="945" spans="1:3" x14ac:dyDescent="0.25">
      <c r="A945" s="2" t="s">
        <v>655</v>
      </c>
      <c r="B945" s="143" t="s">
        <v>86</v>
      </c>
      <c r="C945" s="143" t="s">
        <v>86</v>
      </c>
    </row>
    <row r="946" spans="1:3" x14ac:dyDescent="0.25">
      <c r="A946" s="2" t="s">
        <v>656</v>
      </c>
      <c r="B946" s="143" t="s">
        <v>86</v>
      </c>
      <c r="C946" s="143" t="s">
        <v>86</v>
      </c>
    </row>
    <row r="947" spans="1:3" x14ac:dyDescent="0.25">
      <c r="A947" s="2" t="s">
        <v>657</v>
      </c>
      <c r="B947" s="143" t="s">
        <v>86</v>
      </c>
      <c r="C947" s="143" t="s">
        <v>86</v>
      </c>
    </row>
    <row r="948" spans="1:3" x14ac:dyDescent="0.25">
      <c r="A948" s="2" t="s">
        <v>658</v>
      </c>
      <c r="B948" s="143" t="s">
        <v>86</v>
      </c>
      <c r="C948" s="143" t="s">
        <v>86</v>
      </c>
    </row>
    <row r="949" spans="1:3" x14ac:dyDescent="0.25">
      <c r="A949" s="2" t="s">
        <v>659</v>
      </c>
      <c r="B949" s="143" t="s">
        <v>86</v>
      </c>
      <c r="C949" s="143" t="s">
        <v>86</v>
      </c>
    </row>
    <row r="950" spans="1:3" x14ac:dyDescent="0.25">
      <c r="A950" s="2" t="s">
        <v>660</v>
      </c>
      <c r="B950" s="143" t="s">
        <v>86</v>
      </c>
      <c r="C950" s="143" t="s">
        <v>86</v>
      </c>
    </row>
    <row r="951" spans="1:3" x14ac:dyDescent="0.25">
      <c r="A951" s="2" t="s">
        <v>661</v>
      </c>
      <c r="B951" s="143" t="s">
        <v>86</v>
      </c>
      <c r="C951" s="143" t="s">
        <v>86</v>
      </c>
    </row>
    <row r="952" spans="1:3" x14ac:dyDescent="0.25">
      <c r="A952" s="2" t="s">
        <v>662</v>
      </c>
      <c r="B952" s="143" t="s">
        <v>86</v>
      </c>
      <c r="C952" s="143" t="s">
        <v>86</v>
      </c>
    </row>
    <row r="953" spans="1:3" x14ac:dyDescent="0.25">
      <c r="A953" s="2" t="s">
        <v>663</v>
      </c>
      <c r="B953" s="143" t="s">
        <v>86</v>
      </c>
      <c r="C953" s="143" t="s">
        <v>86</v>
      </c>
    </row>
    <row r="954" spans="1:3" x14ac:dyDescent="0.25">
      <c r="A954" s="2" t="s">
        <v>664</v>
      </c>
      <c r="B954" s="143" t="s">
        <v>86</v>
      </c>
      <c r="C954" s="143" t="s">
        <v>86</v>
      </c>
    </row>
    <row r="955" spans="1:3" x14ac:dyDescent="0.25">
      <c r="A955" s="2" t="s">
        <v>665</v>
      </c>
      <c r="B955" s="143" t="s">
        <v>86</v>
      </c>
      <c r="C955" s="143" t="s">
        <v>86</v>
      </c>
    </row>
    <row r="956" spans="1:3" x14ac:dyDescent="0.25">
      <c r="A956" s="2" t="s">
        <v>666</v>
      </c>
      <c r="B956" s="143" t="s">
        <v>86</v>
      </c>
      <c r="C956" s="143" t="s">
        <v>86</v>
      </c>
    </row>
    <row r="957" spans="1:3" x14ac:dyDescent="0.25">
      <c r="A957" s="2" t="s">
        <v>667</v>
      </c>
      <c r="B957" s="143" t="s">
        <v>86</v>
      </c>
      <c r="C957" s="143" t="s">
        <v>86</v>
      </c>
    </row>
    <row r="958" spans="1:3" x14ac:dyDescent="0.25">
      <c r="A958" s="2" t="s">
        <v>668</v>
      </c>
      <c r="B958" s="143" t="s">
        <v>86</v>
      </c>
      <c r="C958" s="143" t="s">
        <v>86</v>
      </c>
    </row>
    <row r="959" spans="1:3" x14ac:dyDescent="0.25">
      <c r="A959" s="2" t="s">
        <v>669</v>
      </c>
      <c r="B959" s="143" t="s">
        <v>86</v>
      </c>
      <c r="C959" s="143" t="s">
        <v>86</v>
      </c>
    </row>
    <row r="960" spans="1:3" x14ac:dyDescent="0.25">
      <c r="A960" s="2" t="s">
        <v>670</v>
      </c>
      <c r="B960" s="143" t="s">
        <v>86</v>
      </c>
      <c r="C960" s="143" t="s">
        <v>86</v>
      </c>
    </row>
    <row r="961" spans="1:3" x14ac:dyDescent="0.25">
      <c r="A961" s="2" t="s">
        <v>671</v>
      </c>
      <c r="B961" s="143" t="s">
        <v>86</v>
      </c>
      <c r="C961" s="143" t="s">
        <v>86</v>
      </c>
    </row>
    <row r="962" spans="1:3" x14ac:dyDescent="0.25">
      <c r="A962" s="2" t="s">
        <v>672</v>
      </c>
      <c r="B962" s="143" t="s">
        <v>86</v>
      </c>
      <c r="C962" s="143" t="s">
        <v>86</v>
      </c>
    </row>
    <row r="963" spans="1:3" x14ac:dyDescent="0.25">
      <c r="A963" s="2" t="s">
        <v>673</v>
      </c>
      <c r="B963" s="143" t="s">
        <v>86</v>
      </c>
      <c r="C963" s="143" t="s">
        <v>86</v>
      </c>
    </row>
    <row r="964" spans="1:3" x14ac:dyDescent="0.25">
      <c r="A964" s="2"/>
      <c r="B964" s="143"/>
      <c r="C964" s="143"/>
    </row>
    <row r="965" spans="1:3" x14ac:dyDescent="0.25">
      <c r="A965" s="2" t="s">
        <v>2249</v>
      </c>
      <c r="B965" s="143" t="s">
        <v>86</v>
      </c>
      <c r="C965" s="143" t="s">
        <v>86</v>
      </c>
    </row>
    <row r="966" spans="1:3" x14ac:dyDescent="0.25">
      <c r="A966" s="2" t="s">
        <v>2250</v>
      </c>
      <c r="B966" s="143" t="s">
        <v>86</v>
      </c>
      <c r="C966" s="143" t="s">
        <v>86</v>
      </c>
    </row>
    <row r="967" spans="1:3" x14ac:dyDescent="0.25">
      <c r="A967" s="2" t="s">
        <v>2252</v>
      </c>
      <c r="B967" s="143" t="s">
        <v>86</v>
      </c>
      <c r="C967" s="143" t="s">
        <v>86</v>
      </c>
    </row>
    <row r="968" spans="1:3" x14ac:dyDescent="0.25">
      <c r="A968" s="2" t="s">
        <v>2253</v>
      </c>
      <c r="B968" s="143" t="s">
        <v>86</v>
      </c>
      <c r="C968" s="143" t="s">
        <v>86</v>
      </c>
    </row>
    <row r="969" spans="1:3" x14ac:dyDescent="0.25">
      <c r="A969" s="2" t="s">
        <v>2254</v>
      </c>
      <c r="B969" s="143" t="s">
        <v>86</v>
      </c>
      <c r="C969" s="143" t="s">
        <v>86</v>
      </c>
    </row>
    <row r="970" spans="1:3" x14ac:dyDescent="0.25">
      <c r="A970" s="2" t="s">
        <v>2255</v>
      </c>
      <c r="B970" s="143" t="s">
        <v>86</v>
      </c>
      <c r="C970" s="143" t="s">
        <v>86</v>
      </c>
    </row>
    <row r="971" spans="1:3" x14ac:dyDescent="0.25">
      <c r="A971" s="2" t="s">
        <v>2256</v>
      </c>
      <c r="B971" s="143" t="s">
        <v>86</v>
      </c>
      <c r="C971" s="143" t="s">
        <v>86</v>
      </c>
    </row>
    <row r="972" spans="1:3" x14ac:dyDescent="0.25">
      <c r="A972" s="2" t="s">
        <v>2257</v>
      </c>
      <c r="B972" s="143" t="s">
        <v>86</v>
      </c>
      <c r="C972" s="143" t="s">
        <v>86</v>
      </c>
    </row>
    <row r="973" spans="1:3" x14ac:dyDescent="0.25">
      <c r="A973" s="2" t="s">
        <v>2258</v>
      </c>
      <c r="B973" s="143" t="s">
        <v>86</v>
      </c>
      <c r="C973" s="143" t="s">
        <v>86</v>
      </c>
    </row>
    <row r="974" spans="1:3" x14ac:dyDescent="0.25">
      <c r="A974" s="2" t="s">
        <v>2259</v>
      </c>
      <c r="B974" s="143" t="s">
        <v>86</v>
      </c>
      <c r="C974" s="143" t="s">
        <v>86</v>
      </c>
    </row>
    <row r="975" spans="1:3" x14ac:dyDescent="0.25">
      <c r="A975" s="2" t="s">
        <v>2260</v>
      </c>
      <c r="B975" s="143" t="s">
        <v>86</v>
      </c>
      <c r="C975" s="143" t="s">
        <v>86</v>
      </c>
    </row>
    <row r="976" spans="1:3" x14ac:dyDescent="0.25">
      <c r="A976" s="2" t="s">
        <v>2261</v>
      </c>
      <c r="B976" s="143" t="s">
        <v>86</v>
      </c>
      <c r="C976" s="143" t="s">
        <v>86</v>
      </c>
    </row>
    <row r="977" spans="1:3" x14ac:dyDescent="0.25">
      <c r="A977" s="2" t="s">
        <v>2262</v>
      </c>
      <c r="B977" s="143" t="s">
        <v>86</v>
      </c>
      <c r="C977" s="143" t="s">
        <v>86</v>
      </c>
    </row>
    <row r="978" spans="1:3" x14ac:dyDescent="0.25">
      <c r="A978" s="2" t="s">
        <v>2263</v>
      </c>
      <c r="B978" s="143" t="s">
        <v>86</v>
      </c>
      <c r="C978" s="143" t="s">
        <v>86</v>
      </c>
    </row>
    <row r="979" spans="1:3" x14ac:dyDescent="0.25">
      <c r="A979" s="2" t="s">
        <v>2264</v>
      </c>
      <c r="B979" s="143" t="s">
        <v>86</v>
      </c>
      <c r="C979" s="143" t="s">
        <v>86</v>
      </c>
    </row>
    <row r="980" spans="1:3" x14ac:dyDescent="0.25">
      <c r="A980" s="2" t="s">
        <v>2265</v>
      </c>
      <c r="B980" s="143" t="s">
        <v>86</v>
      </c>
      <c r="C980" s="143" t="s">
        <v>86</v>
      </c>
    </row>
    <row r="981" spans="1:3" x14ac:dyDescent="0.25">
      <c r="A981" s="2" t="s">
        <v>2266</v>
      </c>
      <c r="B981" s="143" t="s">
        <v>86</v>
      </c>
      <c r="C981" s="143" t="s">
        <v>86</v>
      </c>
    </row>
    <row r="982" spans="1:3" x14ac:dyDescent="0.25">
      <c r="A982" s="2" t="s">
        <v>2267</v>
      </c>
      <c r="B982" s="143" t="s">
        <v>86</v>
      </c>
      <c r="C982" s="143" t="s">
        <v>86</v>
      </c>
    </row>
    <row r="983" spans="1:3" x14ac:dyDescent="0.25">
      <c r="A983" s="2" t="s">
        <v>2268</v>
      </c>
      <c r="B983" s="143" t="s">
        <v>86</v>
      </c>
      <c r="C983" s="143" t="s">
        <v>86</v>
      </c>
    </row>
    <row r="984" spans="1:3" x14ac:dyDescent="0.25">
      <c r="A984" s="2" t="s">
        <v>2269</v>
      </c>
      <c r="B984" s="143" t="s">
        <v>86</v>
      </c>
      <c r="C984" s="143" t="s">
        <v>86</v>
      </c>
    </row>
    <row r="985" spans="1:3" x14ac:dyDescent="0.25">
      <c r="A985" s="2" t="s">
        <v>2270</v>
      </c>
      <c r="B985" s="143" t="s">
        <v>86</v>
      </c>
      <c r="C985" s="143" t="s">
        <v>86</v>
      </c>
    </row>
    <row r="986" spans="1:3" x14ac:dyDescent="0.25">
      <c r="A986" s="2" t="s">
        <v>2271</v>
      </c>
      <c r="B986" s="143" t="s">
        <v>86</v>
      </c>
      <c r="C986" s="143" t="s">
        <v>86</v>
      </c>
    </row>
    <row r="987" spans="1:3" x14ac:dyDescent="0.25">
      <c r="A987" s="2" t="s">
        <v>2272</v>
      </c>
      <c r="B987" s="143" t="s">
        <v>86</v>
      </c>
      <c r="C987" s="143" t="s">
        <v>86</v>
      </c>
    </row>
    <row r="988" spans="1:3" x14ac:dyDescent="0.25">
      <c r="A988" s="2" t="s">
        <v>2273</v>
      </c>
      <c r="B988" s="143" t="s">
        <v>86</v>
      </c>
      <c r="C988" s="143" t="s">
        <v>86</v>
      </c>
    </row>
    <row r="989" spans="1:3" x14ac:dyDescent="0.25">
      <c r="A989" s="2" t="s">
        <v>2274</v>
      </c>
      <c r="B989" s="143" t="s">
        <v>86</v>
      </c>
      <c r="C989" s="143" t="s">
        <v>86</v>
      </c>
    </row>
    <row r="990" spans="1:3" x14ac:dyDescent="0.25">
      <c r="A990" s="2" t="s">
        <v>2275</v>
      </c>
      <c r="B990" s="143" t="s">
        <v>86</v>
      </c>
      <c r="C990" s="143" t="s">
        <v>86</v>
      </c>
    </row>
    <row r="991" spans="1:3" x14ac:dyDescent="0.25">
      <c r="A991" s="2" t="s">
        <v>2276</v>
      </c>
      <c r="B991" s="143" t="s">
        <v>86</v>
      </c>
      <c r="C991" s="143" t="s">
        <v>86</v>
      </c>
    </row>
    <row r="992" spans="1:3" x14ac:dyDescent="0.25">
      <c r="A992" s="2" t="s">
        <v>2277</v>
      </c>
      <c r="B992" s="143" t="s">
        <v>86</v>
      </c>
      <c r="C992" s="143" t="s">
        <v>86</v>
      </c>
    </row>
    <row r="993" spans="1:3" x14ac:dyDescent="0.25">
      <c r="A993" s="2" t="s">
        <v>2278</v>
      </c>
      <c r="B993" s="143" t="s">
        <v>86</v>
      </c>
      <c r="C993" s="143" t="s">
        <v>86</v>
      </c>
    </row>
    <row r="994" spans="1:3" x14ac:dyDescent="0.25">
      <c r="A994" s="2" t="s">
        <v>2279</v>
      </c>
      <c r="B994" s="143">
        <v>-0.502</v>
      </c>
      <c r="C994" s="143" t="s">
        <v>86</v>
      </c>
    </row>
    <row r="995" spans="1:3" x14ac:dyDescent="0.25">
      <c r="A995" s="2" t="s">
        <v>2280</v>
      </c>
      <c r="B995" s="143" t="s">
        <v>86</v>
      </c>
      <c r="C995" s="143" t="s">
        <v>86</v>
      </c>
    </row>
    <row r="996" spans="1:3" x14ac:dyDescent="0.25">
      <c r="A996" s="2" t="s">
        <v>2281</v>
      </c>
      <c r="B996" s="143" t="s">
        <v>86</v>
      </c>
      <c r="C996" s="143" t="s">
        <v>86</v>
      </c>
    </row>
    <row r="997" spans="1:3" x14ac:dyDescent="0.25">
      <c r="A997" s="2" t="s">
        <v>2282</v>
      </c>
      <c r="B997" s="143" t="s">
        <v>86</v>
      </c>
      <c r="C997" s="143" t="s">
        <v>86</v>
      </c>
    </row>
    <row r="998" spans="1:3" x14ac:dyDescent="0.25">
      <c r="A998" s="2" t="s">
        <v>2283</v>
      </c>
      <c r="B998" s="143" t="s">
        <v>86</v>
      </c>
      <c r="C998" s="143" t="s">
        <v>86</v>
      </c>
    </row>
    <row r="999" spans="1:3" x14ac:dyDescent="0.25">
      <c r="A999" s="2" t="s">
        <v>2284</v>
      </c>
      <c r="B999" s="143" t="s">
        <v>86</v>
      </c>
      <c r="C999" s="143" t="s">
        <v>86</v>
      </c>
    </row>
    <row r="1000" spans="1:3" x14ac:dyDescent="0.25">
      <c r="A1000" s="2" t="s">
        <v>2286</v>
      </c>
      <c r="B1000" s="143" t="s">
        <v>86</v>
      </c>
      <c r="C1000" s="143" t="s">
        <v>86</v>
      </c>
    </row>
    <row r="1001" spans="1:3" x14ac:dyDescent="0.25">
      <c r="A1001" s="2" t="s">
        <v>2287</v>
      </c>
      <c r="B1001" s="143" t="s">
        <v>86</v>
      </c>
      <c r="C1001" s="143" t="s">
        <v>86</v>
      </c>
    </row>
    <row r="1002" spans="1:3" x14ac:dyDescent="0.25">
      <c r="A1002" s="2" t="s">
        <v>2288</v>
      </c>
      <c r="B1002" s="143" t="s">
        <v>86</v>
      </c>
      <c r="C1002" s="143" t="s">
        <v>86</v>
      </c>
    </row>
    <row r="1003" spans="1:3" x14ac:dyDescent="0.25">
      <c r="A1003" s="2" t="s">
        <v>2289</v>
      </c>
      <c r="B1003" s="143" t="s">
        <v>86</v>
      </c>
      <c r="C1003" s="143" t="s">
        <v>86</v>
      </c>
    </row>
    <row r="1004" spans="1:3" x14ac:dyDescent="0.25">
      <c r="A1004" s="2" t="s">
        <v>2290</v>
      </c>
      <c r="B1004" s="143">
        <v>-1.1339999999999999</v>
      </c>
      <c r="C1004" s="143" t="s">
        <v>86</v>
      </c>
    </row>
    <row r="1005" spans="1:3" x14ac:dyDescent="0.25">
      <c r="A1005" s="2" t="s">
        <v>2291</v>
      </c>
      <c r="B1005" s="143">
        <v>-2.4103216783216781</v>
      </c>
      <c r="C1005" s="143">
        <v>-5.1326702481465061</v>
      </c>
    </row>
    <row r="1006" spans="1:3" x14ac:dyDescent="0.25">
      <c r="A1006" s="2" t="s">
        <v>2292</v>
      </c>
      <c r="B1006" s="143" t="s">
        <v>86</v>
      </c>
      <c r="C1006" s="143" t="s">
        <v>86</v>
      </c>
    </row>
    <row r="1007" spans="1:3" x14ac:dyDescent="0.25">
      <c r="A1007" s="2" t="s">
        <v>2293</v>
      </c>
      <c r="B1007" s="143" t="s">
        <v>86</v>
      </c>
      <c r="C1007" s="143" t="s">
        <v>86</v>
      </c>
    </row>
    <row r="1008" spans="1:3" x14ac:dyDescent="0.25">
      <c r="A1008" s="2" t="s">
        <v>2294</v>
      </c>
      <c r="B1008" s="143">
        <v>-6.5623333333333322</v>
      </c>
      <c r="C1008" s="143" t="s">
        <v>86</v>
      </c>
    </row>
    <row r="1009" spans="1:3" x14ac:dyDescent="0.25">
      <c r="A1009" s="2" t="s">
        <v>2295</v>
      </c>
      <c r="B1009" s="143" t="s">
        <v>86</v>
      </c>
      <c r="C1009" s="143" t="s">
        <v>86</v>
      </c>
    </row>
    <row r="1010" spans="1:3" x14ac:dyDescent="0.25">
      <c r="A1010" s="2" t="s">
        <v>2296</v>
      </c>
      <c r="B1010" s="143" t="s">
        <v>86</v>
      </c>
      <c r="C1010" s="143" t="s">
        <v>86</v>
      </c>
    </row>
    <row r="1011" spans="1:3" x14ac:dyDescent="0.25">
      <c r="A1011" s="2" t="s">
        <v>2297</v>
      </c>
      <c r="B1011" s="143" t="s">
        <v>86</v>
      </c>
      <c r="C1011" s="143" t="s">
        <v>86</v>
      </c>
    </row>
    <row r="1012" spans="1:3" x14ac:dyDescent="0.25">
      <c r="A1012" s="2" t="s">
        <v>2298</v>
      </c>
      <c r="B1012" s="143" t="s">
        <v>86</v>
      </c>
      <c r="C1012" s="143" t="s">
        <v>86</v>
      </c>
    </row>
    <row r="1013" spans="1:3" x14ac:dyDescent="0.25">
      <c r="A1013" s="2" t="s">
        <v>2299</v>
      </c>
      <c r="B1013" s="143" t="s">
        <v>86</v>
      </c>
      <c r="C1013" s="143" t="s">
        <v>86</v>
      </c>
    </row>
    <row r="1014" spans="1:3" x14ac:dyDescent="0.25">
      <c r="A1014" s="2" t="s">
        <v>2301</v>
      </c>
      <c r="B1014" s="143" t="s">
        <v>86</v>
      </c>
      <c r="C1014" s="143" t="s">
        <v>86</v>
      </c>
    </row>
    <row r="1015" spans="1:3" x14ac:dyDescent="0.25">
      <c r="A1015" s="2" t="s">
        <v>2302</v>
      </c>
      <c r="B1015" s="143" t="s">
        <v>86</v>
      </c>
      <c r="C1015" s="143" t="s">
        <v>86</v>
      </c>
    </row>
    <row r="1016" spans="1:3" x14ac:dyDescent="0.25">
      <c r="A1016" s="2" t="s">
        <v>2303</v>
      </c>
      <c r="B1016" s="143" t="s">
        <v>86</v>
      </c>
      <c r="C1016" s="143" t="s">
        <v>86</v>
      </c>
    </row>
    <row r="1017" spans="1:3" x14ac:dyDescent="0.25">
      <c r="A1017" s="2" t="s">
        <v>2304</v>
      </c>
      <c r="B1017" s="143" t="s">
        <v>86</v>
      </c>
      <c r="C1017" s="143" t="s">
        <v>86</v>
      </c>
    </row>
    <row r="1018" spans="1:3" x14ac:dyDescent="0.25">
      <c r="A1018" s="2" t="s">
        <v>2306</v>
      </c>
      <c r="B1018" s="143" t="s">
        <v>86</v>
      </c>
      <c r="C1018" s="143" t="s">
        <v>86</v>
      </c>
    </row>
    <row r="1019" spans="1:3" x14ac:dyDescent="0.25">
      <c r="A1019" s="2" t="s">
        <v>2307</v>
      </c>
      <c r="B1019" s="143" t="s">
        <v>86</v>
      </c>
      <c r="C1019" s="143" t="s">
        <v>86</v>
      </c>
    </row>
    <row r="1020" spans="1:3" x14ac:dyDescent="0.25">
      <c r="A1020" s="2" t="s">
        <v>2308</v>
      </c>
      <c r="B1020" s="143" t="s">
        <v>86</v>
      </c>
      <c r="C1020" s="143" t="s">
        <v>86</v>
      </c>
    </row>
    <row r="1021" spans="1:3" x14ac:dyDescent="0.25">
      <c r="A1021" s="2" t="s">
        <v>2309</v>
      </c>
      <c r="B1021" s="143" t="s">
        <v>86</v>
      </c>
      <c r="C1021" s="143" t="s">
        <v>86</v>
      </c>
    </row>
    <row r="1022" spans="1:3" x14ac:dyDescent="0.25">
      <c r="A1022" s="2" t="s">
        <v>2310</v>
      </c>
      <c r="B1022" s="143" t="s">
        <v>86</v>
      </c>
      <c r="C1022" s="143" t="s">
        <v>86</v>
      </c>
    </row>
    <row r="1023" spans="1:3" x14ac:dyDescent="0.25">
      <c r="A1023" s="2" t="s">
        <v>2311</v>
      </c>
      <c r="B1023" s="143" t="s">
        <v>86</v>
      </c>
      <c r="C1023" s="143">
        <v>-22.98477600982649</v>
      </c>
    </row>
    <row r="1024" spans="1:3" x14ac:dyDescent="0.25">
      <c r="A1024" s="2" t="s">
        <v>2312</v>
      </c>
      <c r="B1024" s="143">
        <v>-9.4224999999999994</v>
      </c>
      <c r="C1024" s="143">
        <v>-17.03874888506915</v>
      </c>
    </row>
    <row r="1025" spans="1:3" x14ac:dyDescent="0.25">
      <c r="A1025" s="2" t="s">
        <v>2313</v>
      </c>
      <c r="B1025" s="143" t="s">
        <v>86</v>
      </c>
      <c r="C1025" s="143" t="s">
        <v>86</v>
      </c>
    </row>
    <row r="1026" spans="1:3" x14ac:dyDescent="0.25">
      <c r="A1026" s="2" t="s">
        <v>2314</v>
      </c>
      <c r="B1026" s="143">
        <v>-2.8688888888888888</v>
      </c>
      <c r="C1026" s="143" t="s">
        <v>86</v>
      </c>
    </row>
    <row r="1027" spans="1:3" x14ac:dyDescent="0.25">
      <c r="A1027" s="2" t="s">
        <v>2315</v>
      </c>
      <c r="B1027" s="143" t="s">
        <v>86</v>
      </c>
      <c r="C1027" s="143" t="s">
        <v>86</v>
      </c>
    </row>
    <row r="1028" spans="1:3" x14ac:dyDescent="0.25">
      <c r="A1028" s="2" t="s">
        <v>2316</v>
      </c>
      <c r="B1028" s="143" t="s">
        <v>86</v>
      </c>
      <c r="C1028" s="143">
        <v>-13.17800826648921</v>
      </c>
    </row>
    <row r="1029" spans="1:3" x14ac:dyDescent="0.25">
      <c r="A1029" s="2" t="s">
        <v>2317</v>
      </c>
      <c r="B1029" s="143" t="s">
        <v>86</v>
      </c>
      <c r="C1029" s="143" t="s">
        <v>86</v>
      </c>
    </row>
    <row r="1030" spans="1:3" x14ac:dyDescent="0.25">
      <c r="A1030" s="2" t="s">
        <v>2318</v>
      </c>
      <c r="B1030" s="143" t="s">
        <v>86</v>
      </c>
      <c r="C1030" s="143" t="s">
        <v>86</v>
      </c>
    </row>
    <row r="1031" spans="1:3" x14ac:dyDescent="0.25">
      <c r="A1031" s="2" t="s">
        <v>2319</v>
      </c>
      <c r="B1031" s="143" t="s">
        <v>86</v>
      </c>
      <c r="C1031" s="143" t="s">
        <v>86</v>
      </c>
    </row>
    <row r="1032" spans="1:3" x14ac:dyDescent="0.25">
      <c r="A1032" s="2" t="s">
        <v>2320</v>
      </c>
      <c r="B1032" s="143" t="s">
        <v>86</v>
      </c>
      <c r="C1032" s="143" t="s">
        <v>86</v>
      </c>
    </row>
    <row r="1033" spans="1:3" x14ac:dyDescent="0.25">
      <c r="A1033" s="2" t="s">
        <v>2321</v>
      </c>
      <c r="B1033" s="143" t="s">
        <v>86</v>
      </c>
      <c r="C1033" s="143" t="s">
        <v>86</v>
      </c>
    </row>
    <row r="1034" spans="1:3" x14ac:dyDescent="0.25">
      <c r="A1034" s="2" t="s">
        <v>2322</v>
      </c>
      <c r="B1034" s="143" t="s">
        <v>86</v>
      </c>
      <c r="C1034" s="143" t="s">
        <v>86</v>
      </c>
    </row>
    <row r="1035" spans="1:3" x14ac:dyDescent="0.25">
      <c r="A1035" s="2" t="s">
        <v>2323</v>
      </c>
      <c r="B1035" s="143" t="s">
        <v>86</v>
      </c>
      <c r="C1035" s="143" t="s">
        <v>86</v>
      </c>
    </row>
    <row r="1036" spans="1:3" x14ac:dyDescent="0.25">
      <c r="A1036" s="2" t="s">
        <v>2324</v>
      </c>
      <c r="B1036" s="143" t="s">
        <v>86</v>
      </c>
      <c r="C1036" s="143">
        <v>-32.995082522695512</v>
      </c>
    </row>
    <row r="1037" spans="1:3" x14ac:dyDescent="0.25">
      <c r="A1037" s="2" t="s">
        <v>2325</v>
      </c>
      <c r="B1037" s="143" t="s">
        <v>86</v>
      </c>
      <c r="C1037" s="143" t="s">
        <v>86</v>
      </c>
    </row>
    <row r="1038" spans="1:3" x14ac:dyDescent="0.25">
      <c r="A1038" s="2" t="s">
        <v>2326</v>
      </c>
      <c r="B1038" s="143" t="s">
        <v>86</v>
      </c>
      <c r="C1038" s="143" t="s">
        <v>86</v>
      </c>
    </row>
    <row r="1039" spans="1:3" x14ac:dyDescent="0.25">
      <c r="A1039" s="2" t="s">
        <v>2327</v>
      </c>
      <c r="B1039" s="143" t="s">
        <v>86</v>
      </c>
      <c r="C1039" s="143" t="s">
        <v>86</v>
      </c>
    </row>
    <row r="1040" spans="1:3" x14ac:dyDescent="0.25">
      <c r="A1040" s="2" t="s">
        <v>2328</v>
      </c>
      <c r="B1040" s="143" t="s">
        <v>86</v>
      </c>
      <c r="C1040" s="143" t="s">
        <v>86</v>
      </c>
    </row>
    <row r="1041" spans="1:3" x14ac:dyDescent="0.25">
      <c r="A1041" s="2" t="s">
        <v>2329</v>
      </c>
      <c r="B1041" s="143" t="s">
        <v>86</v>
      </c>
      <c r="C1041" s="143" t="s">
        <v>86</v>
      </c>
    </row>
    <row r="1042" spans="1:3" x14ac:dyDescent="0.25">
      <c r="A1042" s="2" t="s">
        <v>2330</v>
      </c>
      <c r="B1042" s="143" t="s">
        <v>86</v>
      </c>
      <c r="C1042" s="143" t="s">
        <v>86</v>
      </c>
    </row>
    <row r="1043" spans="1:3" x14ac:dyDescent="0.25">
      <c r="A1043" s="2" t="s">
        <v>2331</v>
      </c>
      <c r="B1043" s="143" t="s">
        <v>86</v>
      </c>
      <c r="C1043" s="143" t="s">
        <v>86</v>
      </c>
    </row>
    <row r="1044" spans="1:3" x14ac:dyDescent="0.25">
      <c r="A1044" s="2" t="s">
        <v>2332</v>
      </c>
      <c r="B1044" s="143" t="s">
        <v>86</v>
      </c>
      <c r="C1044" s="143" t="s">
        <v>86</v>
      </c>
    </row>
    <row r="1045" spans="1:3" x14ac:dyDescent="0.25">
      <c r="A1045" s="2" t="s">
        <v>2333</v>
      </c>
      <c r="B1045" s="143" t="s">
        <v>86</v>
      </c>
      <c r="C1045" s="143" t="s">
        <v>86</v>
      </c>
    </row>
    <row r="1046" spans="1:3" x14ac:dyDescent="0.25">
      <c r="A1046" s="2" t="s">
        <v>2334</v>
      </c>
      <c r="B1046" s="143" t="s">
        <v>86</v>
      </c>
      <c r="C1046" s="143" t="s">
        <v>86</v>
      </c>
    </row>
    <row r="1047" spans="1:3" x14ac:dyDescent="0.25">
      <c r="A1047" s="2" t="s">
        <v>2335</v>
      </c>
      <c r="B1047" s="143" t="s">
        <v>86</v>
      </c>
      <c r="C1047" s="143" t="s">
        <v>86</v>
      </c>
    </row>
    <row r="1048" spans="1:3" x14ac:dyDescent="0.25">
      <c r="A1048" s="2" t="s">
        <v>2336</v>
      </c>
      <c r="B1048" s="143" t="s">
        <v>86</v>
      </c>
      <c r="C1048" s="143" t="s">
        <v>86</v>
      </c>
    </row>
    <row r="1049" spans="1:3" x14ac:dyDescent="0.25">
      <c r="A1049" s="2" t="s">
        <v>2337</v>
      </c>
      <c r="B1049" s="143" t="s">
        <v>86</v>
      </c>
      <c r="C1049" s="143" t="s">
        <v>86</v>
      </c>
    </row>
    <row r="1050" spans="1:3" x14ac:dyDescent="0.25">
      <c r="A1050" s="2" t="s">
        <v>2338</v>
      </c>
      <c r="B1050" s="143" t="s">
        <v>86</v>
      </c>
      <c r="C1050" s="143" t="s">
        <v>86</v>
      </c>
    </row>
    <row r="1051" spans="1:3" x14ac:dyDescent="0.25">
      <c r="A1051" s="2" t="s">
        <v>2339</v>
      </c>
      <c r="B1051" s="143" t="s">
        <v>86</v>
      </c>
      <c r="C1051" s="143" t="s">
        <v>86</v>
      </c>
    </row>
    <row r="1052" spans="1:3" x14ac:dyDescent="0.25">
      <c r="A1052" s="2" t="s">
        <v>2341</v>
      </c>
      <c r="B1052" s="143" t="s">
        <v>86</v>
      </c>
      <c r="C1052" s="143" t="s">
        <v>86</v>
      </c>
    </row>
    <row r="1053" spans="1:3" x14ac:dyDescent="0.25">
      <c r="A1053" s="2" t="s">
        <v>2342</v>
      </c>
      <c r="B1053" s="143" t="s">
        <v>86</v>
      </c>
      <c r="C1053" s="143" t="s">
        <v>86</v>
      </c>
    </row>
    <row r="1054" spans="1:3" x14ac:dyDescent="0.25">
      <c r="A1054" s="2" t="s">
        <v>2343</v>
      </c>
      <c r="B1054" s="143" t="s">
        <v>86</v>
      </c>
      <c r="C1054" s="143" t="s">
        <v>86</v>
      </c>
    </row>
    <row r="1055" spans="1:3" x14ac:dyDescent="0.25">
      <c r="A1055" s="2" t="s">
        <v>2344</v>
      </c>
      <c r="B1055" s="143" t="s">
        <v>86</v>
      </c>
      <c r="C1055" s="143" t="s">
        <v>86</v>
      </c>
    </row>
    <row r="1056" spans="1:3" x14ac:dyDescent="0.25">
      <c r="A1056" s="2" t="s">
        <v>2345</v>
      </c>
      <c r="B1056" s="143" t="s">
        <v>86</v>
      </c>
      <c r="C1056" s="143" t="s">
        <v>86</v>
      </c>
    </row>
    <row r="1057" spans="1:3" x14ac:dyDescent="0.25">
      <c r="A1057" s="2" t="s">
        <v>2346</v>
      </c>
      <c r="B1057" s="143" t="s">
        <v>86</v>
      </c>
      <c r="C1057" s="143">
        <v>-8.3763462110973723</v>
      </c>
    </row>
    <row r="1058" spans="1:3" x14ac:dyDescent="0.25">
      <c r="A1058" s="2" t="s">
        <v>2347</v>
      </c>
      <c r="B1058" s="143" t="s">
        <v>86</v>
      </c>
      <c r="C1058" s="143">
        <v>-12.871519199123769</v>
      </c>
    </row>
    <row r="1059" spans="1:3" x14ac:dyDescent="0.25">
      <c r="A1059" s="2" t="s">
        <v>2348</v>
      </c>
      <c r="B1059" s="143" t="s">
        <v>86</v>
      </c>
      <c r="C1059" s="143">
        <v>-23.598636556914041</v>
      </c>
    </row>
    <row r="1060" spans="1:3" x14ac:dyDescent="0.25">
      <c r="A1060" s="2" t="s">
        <v>2349</v>
      </c>
      <c r="B1060" s="143" t="s">
        <v>86</v>
      </c>
      <c r="C1060" s="143">
        <v>-28.911113724581611</v>
      </c>
    </row>
    <row r="1061" spans="1:3" x14ac:dyDescent="0.25">
      <c r="A1061" s="2" t="s">
        <v>2350</v>
      </c>
      <c r="B1061" s="143" t="s">
        <v>86</v>
      </c>
      <c r="C1061" s="143" t="s">
        <v>86</v>
      </c>
    </row>
    <row r="1062" spans="1:3" x14ac:dyDescent="0.25">
      <c r="A1062" s="2" t="s">
        <v>2351</v>
      </c>
      <c r="B1062" s="143" t="s">
        <v>86</v>
      </c>
      <c r="C1062" s="143" t="s">
        <v>86</v>
      </c>
    </row>
    <row r="1063" spans="1:3" x14ac:dyDescent="0.25">
      <c r="A1063" s="2" t="s">
        <v>2352</v>
      </c>
      <c r="B1063" s="143" t="s">
        <v>86</v>
      </c>
      <c r="C1063" s="143" t="s">
        <v>86</v>
      </c>
    </row>
    <row r="1064" spans="1:3" x14ac:dyDescent="0.25">
      <c r="A1064" s="2" t="s">
        <v>2353</v>
      </c>
      <c r="B1064" s="143" t="s">
        <v>86</v>
      </c>
      <c r="C1064" s="143" t="s">
        <v>86</v>
      </c>
    </row>
    <row r="1065" spans="1:3" x14ac:dyDescent="0.25">
      <c r="A1065" s="2" t="s">
        <v>2354</v>
      </c>
      <c r="B1065" s="143" t="s">
        <v>86</v>
      </c>
      <c r="C1065" s="143" t="s">
        <v>86</v>
      </c>
    </row>
    <row r="1066" spans="1:3" x14ac:dyDescent="0.25">
      <c r="A1066" s="2" t="s">
        <v>2355</v>
      </c>
      <c r="B1066" s="143" t="s">
        <v>86</v>
      </c>
      <c r="C1066" s="143" t="s">
        <v>86</v>
      </c>
    </row>
    <row r="1067" spans="1:3" x14ac:dyDescent="0.25">
      <c r="A1067" s="2" t="s">
        <v>2356</v>
      </c>
      <c r="B1067" s="143" t="s">
        <v>86</v>
      </c>
      <c r="C1067" s="143" t="s">
        <v>86</v>
      </c>
    </row>
    <row r="1068" spans="1:3" x14ac:dyDescent="0.25">
      <c r="A1068" s="2" t="s">
        <v>2357</v>
      </c>
      <c r="B1068" s="143" t="s">
        <v>86</v>
      </c>
      <c r="C1068" s="143" t="s">
        <v>86</v>
      </c>
    </row>
    <row r="1069" spans="1:3" x14ac:dyDescent="0.25">
      <c r="A1069" s="2" t="s">
        <v>2358</v>
      </c>
      <c r="B1069" s="143" t="s">
        <v>86</v>
      </c>
      <c r="C1069" s="143" t="s">
        <v>86</v>
      </c>
    </row>
    <row r="1070" spans="1:3" x14ac:dyDescent="0.25">
      <c r="A1070" s="2" t="s">
        <v>2359</v>
      </c>
      <c r="B1070" s="143" t="s">
        <v>86</v>
      </c>
      <c r="C1070" s="143" t="s">
        <v>86</v>
      </c>
    </row>
    <row r="1071" spans="1:3" x14ac:dyDescent="0.25">
      <c r="A1071" s="2" t="s">
        <v>2360</v>
      </c>
      <c r="B1071" s="143" t="s">
        <v>86</v>
      </c>
      <c r="C1071" s="143" t="s">
        <v>86</v>
      </c>
    </row>
    <row r="1072" spans="1:3" x14ac:dyDescent="0.25">
      <c r="A1072" s="2" t="s">
        <v>2361</v>
      </c>
      <c r="B1072" s="143" t="s">
        <v>86</v>
      </c>
      <c r="C1072" s="143" t="s">
        <v>86</v>
      </c>
    </row>
    <row r="1073" spans="1:3" x14ac:dyDescent="0.25">
      <c r="A1073" s="2" t="s">
        <v>2362</v>
      </c>
      <c r="B1073" s="143" t="s">
        <v>86</v>
      </c>
      <c r="C1073" s="143" t="s">
        <v>86</v>
      </c>
    </row>
    <row r="1074" spans="1:3" x14ac:dyDescent="0.25">
      <c r="A1074" s="2" t="s">
        <v>2363</v>
      </c>
      <c r="B1074" s="143" t="s">
        <v>86</v>
      </c>
      <c r="C1074" s="143" t="s">
        <v>86</v>
      </c>
    </row>
    <row r="1075" spans="1:3" x14ac:dyDescent="0.25">
      <c r="A1075" s="2" t="s">
        <v>2364</v>
      </c>
      <c r="B1075" s="143" t="s">
        <v>86</v>
      </c>
      <c r="C1075" s="143" t="s">
        <v>86</v>
      </c>
    </row>
    <row r="1076" spans="1:3" x14ac:dyDescent="0.25">
      <c r="A1076" s="2" t="s">
        <v>2365</v>
      </c>
      <c r="B1076" s="143" t="s">
        <v>86</v>
      </c>
      <c r="C1076" s="143" t="s">
        <v>86</v>
      </c>
    </row>
    <row r="1077" spans="1:3" x14ac:dyDescent="0.25">
      <c r="A1077" s="2" t="s">
        <v>2366</v>
      </c>
      <c r="B1077" s="143" t="s">
        <v>86</v>
      </c>
      <c r="C1077" s="143" t="s">
        <v>86</v>
      </c>
    </row>
    <row r="1078" spans="1:3" x14ac:dyDescent="0.25">
      <c r="A1078" s="2" t="s">
        <v>2367</v>
      </c>
      <c r="B1078" s="143" t="s">
        <v>86</v>
      </c>
      <c r="C1078" s="143">
        <v>-18.3503748464612</v>
      </c>
    </row>
    <row r="1079" spans="1:3" x14ac:dyDescent="0.25">
      <c r="A1079" s="2" t="s">
        <v>2368</v>
      </c>
      <c r="B1079" s="143" t="s">
        <v>86</v>
      </c>
      <c r="C1079" s="143" t="s">
        <v>86</v>
      </c>
    </row>
    <row r="1080" spans="1:3" x14ac:dyDescent="0.25">
      <c r="A1080" s="2" t="s">
        <v>2369</v>
      </c>
      <c r="B1080" s="143" t="s">
        <v>86</v>
      </c>
      <c r="C1080" s="143" t="s">
        <v>86</v>
      </c>
    </row>
    <row r="1081" spans="1:3" x14ac:dyDescent="0.25">
      <c r="A1081" s="2" t="s">
        <v>2370</v>
      </c>
      <c r="B1081" s="143">
        <v>-17.86</v>
      </c>
      <c r="C1081" s="143">
        <v>-31.141322057349399</v>
      </c>
    </row>
    <row r="1082" spans="1:3" x14ac:dyDescent="0.25">
      <c r="A1082" s="2" t="s">
        <v>2371</v>
      </c>
      <c r="B1082" s="143">
        <v>-18.675041666666669</v>
      </c>
      <c r="C1082" s="143">
        <v>-32.809706476160898</v>
      </c>
    </row>
    <row r="1083" spans="1:3" x14ac:dyDescent="0.25">
      <c r="A1083" s="2" t="s">
        <v>2372</v>
      </c>
      <c r="B1083" s="143" t="s">
        <v>86</v>
      </c>
      <c r="C1083" s="143" t="s">
        <v>86</v>
      </c>
    </row>
    <row r="1084" spans="1:3" x14ac:dyDescent="0.25">
      <c r="A1084" s="2" t="s">
        <v>2373</v>
      </c>
      <c r="B1084" s="143" t="s">
        <v>86</v>
      </c>
      <c r="C1084" s="143" t="s">
        <v>86</v>
      </c>
    </row>
    <row r="1085" spans="1:3" x14ac:dyDescent="0.25">
      <c r="A1085" s="2" t="s">
        <v>2374</v>
      </c>
      <c r="B1085" s="143" t="s">
        <v>86</v>
      </c>
      <c r="C1085" s="143" t="s">
        <v>86</v>
      </c>
    </row>
    <row r="1086" spans="1:3" x14ac:dyDescent="0.25">
      <c r="A1086" s="2" t="s">
        <v>2375</v>
      </c>
      <c r="B1086" s="143" t="s">
        <v>86</v>
      </c>
      <c r="C1086" s="143" t="s">
        <v>86</v>
      </c>
    </row>
    <row r="1087" spans="1:3" x14ac:dyDescent="0.25">
      <c r="A1087" s="2" t="s">
        <v>2376</v>
      </c>
      <c r="B1087" s="143" t="s">
        <v>86</v>
      </c>
      <c r="C1087" s="143" t="s">
        <v>86</v>
      </c>
    </row>
    <row r="1088" spans="1:3" x14ac:dyDescent="0.25">
      <c r="A1088" s="2" t="s">
        <v>2377</v>
      </c>
      <c r="B1088" s="143" t="s">
        <v>86</v>
      </c>
      <c r="C1088" s="143" t="s">
        <v>86</v>
      </c>
    </row>
    <row r="1089" spans="1:3" x14ac:dyDescent="0.25">
      <c r="A1089" s="2" t="s">
        <v>2378</v>
      </c>
      <c r="B1089" s="143" t="s">
        <v>86</v>
      </c>
      <c r="C1089" s="143">
        <v>-21.13101554448037</v>
      </c>
    </row>
    <row r="1090" spans="1:3" x14ac:dyDescent="0.25">
      <c r="A1090" s="2" t="s">
        <v>2379</v>
      </c>
      <c r="B1090" s="143" t="s">
        <v>86</v>
      </c>
      <c r="C1090" s="143">
        <v>-25.394664614776438</v>
      </c>
    </row>
    <row r="1091" spans="1:3" x14ac:dyDescent="0.25">
      <c r="A1091" s="2" t="s">
        <v>2380</v>
      </c>
      <c r="B1091" s="143" t="s">
        <v>86</v>
      </c>
      <c r="C1091" s="143" t="s">
        <v>86</v>
      </c>
    </row>
    <row r="1092" spans="1:3" x14ac:dyDescent="0.25">
      <c r="A1092" s="2" t="s">
        <v>2381</v>
      </c>
      <c r="B1092" s="143" t="s">
        <v>86</v>
      </c>
      <c r="C1092" s="143" t="s">
        <v>86</v>
      </c>
    </row>
    <row r="1093" spans="1:3" x14ac:dyDescent="0.25">
      <c r="A1093" s="2" t="s">
        <v>2382</v>
      </c>
      <c r="B1093" s="143" t="s">
        <v>86</v>
      </c>
      <c r="C1093" s="143" t="s">
        <v>86</v>
      </c>
    </row>
    <row r="1094" spans="1:3" x14ac:dyDescent="0.25">
      <c r="A1094" s="2" t="s">
        <v>2383</v>
      </c>
      <c r="B1094" s="143" t="s">
        <v>86</v>
      </c>
      <c r="C1094" s="143" t="s">
        <v>86</v>
      </c>
    </row>
    <row r="1095" spans="1:3" x14ac:dyDescent="0.25">
      <c r="A1095" s="2" t="s">
        <v>2384</v>
      </c>
      <c r="B1095" s="143" t="s">
        <v>86</v>
      </c>
      <c r="C1095" s="143" t="s">
        <v>86</v>
      </c>
    </row>
    <row r="1096" spans="1:3" x14ac:dyDescent="0.25">
      <c r="A1096" s="2" t="s">
        <v>2385</v>
      </c>
      <c r="B1096" s="143" t="s">
        <v>86</v>
      </c>
      <c r="C1096" s="143" t="s">
        <v>86</v>
      </c>
    </row>
    <row r="1097" spans="1:3" x14ac:dyDescent="0.25">
      <c r="A1097" s="2" t="s">
        <v>2386</v>
      </c>
      <c r="B1097" s="143" t="s">
        <v>86</v>
      </c>
      <c r="C1097" s="143" t="s">
        <v>86</v>
      </c>
    </row>
    <row r="1098" spans="1:3" x14ac:dyDescent="0.25">
      <c r="A1098" s="2" t="s">
        <v>2387</v>
      </c>
      <c r="B1098" s="143" t="s">
        <v>86</v>
      </c>
      <c r="C1098" s="143" t="s">
        <v>86</v>
      </c>
    </row>
    <row r="1099" spans="1:3" x14ac:dyDescent="0.25">
      <c r="A1099" s="2" t="s">
        <v>2388</v>
      </c>
      <c r="B1099" s="143" t="s">
        <v>86</v>
      </c>
      <c r="C1099" s="143" t="s">
        <v>86</v>
      </c>
    </row>
    <row r="1100" spans="1:3" x14ac:dyDescent="0.25">
      <c r="A1100" s="2" t="s">
        <v>2389</v>
      </c>
      <c r="B1100" s="143" t="s">
        <v>86</v>
      </c>
      <c r="C1100" s="143" t="s">
        <v>86</v>
      </c>
    </row>
    <row r="1101" spans="1:3" x14ac:dyDescent="0.25">
      <c r="A1101" s="2" t="s">
        <v>2390</v>
      </c>
      <c r="B1101" s="143" t="s">
        <v>86</v>
      </c>
      <c r="C1101" s="143" t="s">
        <v>86</v>
      </c>
    </row>
    <row r="1102" spans="1:3" x14ac:dyDescent="0.25">
      <c r="A1102" s="2" t="s">
        <v>2391</v>
      </c>
      <c r="B1102" s="143" t="s">
        <v>86</v>
      </c>
      <c r="C1102" s="143" t="s">
        <v>86</v>
      </c>
    </row>
    <row r="1103" spans="1:3" x14ac:dyDescent="0.25">
      <c r="A1103" s="2" t="s">
        <v>2392</v>
      </c>
      <c r="B1103" s="143" t="s">
        <v>86</v>
      </c>
      <c r="C1103" s="143" t="s">
        <v>86</v>
      </c>
    </row>
    <row r="1104" spans="1:3" x14ac:dyDescent="0.25">
      <c r="A1104" s="2" t="s">
        <v>2393</v>
      </c>
      <c r="B1104" s="143" t="s">
        <v>86</v>
      </c>
      <c r="C1104" s="143" t="s">
        <v>86</v>
      </c>
    </row>
    <row r="1105" spans="1:3" x14ac:dyDescent="0.25">
      <c r="A1105" s="2" t="s">
        <v>2394</v>
      </c>
      <c r="B1105" s="143" t="s">
        <v>86</v>
      </c>
      <c r="C1105" s="143" t="s">
        <v>86</v>
      </c>
    </row>
    <row r="1106" spans="1:3" x14ac:dyDescent="0.25">
      <c r="A1106" s="2" t="s">
        <v>2395</v>
      </c>
      <c r="B1106" s="143" t="s">
        <v>86</v>
      </c>
      <c r="C1106" s="143" t="s">
        <v>86</v>
      </c>
    </row>
    <row r="1107" spans="1:3" x14ac:dyDescent="0.25">
      <c r="A1107" s="2" t="s">
        <v>2396</v>
      </c>
      <c r="B1107" s="143" t="s">
        <v>86</v>
      </c>
      <c r="C1107" s="143">
        <v>-10.851486874574841</v>
      </c>
    </row>
    <row r="1108" spans="1:3" x14ac:dyDescent="0.25">
      <c r="A1108" s="2" t="s">
        <v>2397</v>
      </c>
      <c r="B1108" s="143" t="s">
        <v>86</v>
      </c>
      <c r="C1108" s="143" t="s">
        <v>86</v>
      </c>
    </row>
    <row r="1109" spans="1:3" x14ac:dyDescent="0.25">
      <c r="A1109" s="2" t="s">
        <v>2398</v>
      </c>
      <c r="B1109" s="143" t="s">
        <v>86</v>
      </c>
      <c r="C1109" s="143" t="s">
        <v>86</v>
      </c>
    </row>
    <row r="1110" spans="1:3" x14ac:dyDescent="0.25">
      <c r="A1110" s="2" t="s">
        <v>2399</v>
      </c>
      <c r="B1110" s="143" t="s">
        <v>86</v>
      </c>
      <c r="C1110" s="143" t="s">
        <v>86</v>
      </c>
    </row>
    <row r="1111" spans="1:3" x14ac:dyDescent="0.25">
      <c r="A1111" s="2" t="s">
        <v>2400</v>
      </c>
      <c r="B1111" s="143" t="s">
        <v>86</v>
      </c>
      <c r="C1111" s="143" t="s">
        <v>86</v>
      </c>
    </row>
    <row r="1112" spans="1:3" x14ac:dyDescent="0.25">
      <c r="A1112" s="2" t="s">
        <v>2401</v>
      </c>
      <c r="B1112" s="143" t="s">
        <v>86</v>
      </c>
      <c r="C1112" s="143" t="s">
        <v>86</v>
      </c>
    </row>
    <row r="1113" spans="1:3" x14ac:dyDescent="0.25">
      <c r="A1113" s="2" t="s">
        <v>2402</v>
      </c>
      <c r="B1113" s="143" t="s">
        <v>86</v>
      </c>
      <c r="C1113" s="143" t="s">
        <v>86</v>
      </c>
    </row>
    <row r="1114" spans="1:3" x14ac:dyDescent="0.25">
      <c r="A1114" s="2" t="s">
        <v>2403</v>
      </c>
      <c r="B1114" s="143" t="s">
        <v>86</v>
      </c>
      <c r="C1114" s="143">
        <v>-41.681491531474776</v>
      </c>
    </row>
    <row r="1115" spans="1:3" x14ac:dyDescent="0.25">
      <c r="A1115" s="2" t="s">
        <v>2404</v>
      </c>
      <c r="B1115" s="143" t="s">
        <v>86</v>
      </c>
      <c r="C1115" s="143">
        <v>-48.424251013514372</v>
      </c>
    </row>
    <row r="1116" spans="1:3" x14ac:dyDescent="0.25">
      <c r="A1116" s="2" t="s">
        <v>2405</v>
      </c>
      <c r="B1116" s="143" t="s">
        <v>86</v>
      </c>
      <c r="C1116" s="143" t="s">
        <v>86</v>
      </c>
    </row>
    <row r="1117" spans="1:3" x14ac:dyDescent="0.25">
      <c r="A1117" s="2" t="s">
        <v>2406</v>
      </c>
      <c r="B1117" s="143">
        <v>-1.8180000000000001</v>
      </c>
      <c r="C1117" s="143" t="s">
        <v>86</v>
      </c>
    </row>
    <row r="1118" spans="1:3" x14ac:dyDescent="0.25">
      <c r="A1118" s="2" t="s">
        <v>2407</v>
      </c>
      <c r="B1118" s="143" t="s">
        <v>86</v>
      </c>
      <c r="C1118" s="143" t="s">
        <v>86</v>
      </c>
    </row>
    <row r="1119" spans="1:3" x14ac:dyDescent="0.25">
      <c r="A1119" s="2" t="s">
        <v>2408</v>
      </c>
      <c r="B1119" s="143" t="s">
        <v>86</v>
      </c>
      <c r="C1119" s="143" t="s">
        <v>86</v>
      </c>
    </row>
    <row r="1120" spans="1:3" x14ac:dyDescent="0.25">
      <c r="A1120" s="2" t="s">
        <v>2409</v>
      </c>
      <c r="B1120" s="143">
        <v>-0.66315789473684206</v>
      </c>
      <c r="C1120" s="143" t="s">
        <v>86</v>
      </c>
    </row>
    <row r="1121" spans="1:3" x14ac:dyDescent="0.25">
      <c r="A1121" s="2" t="s">
        <v>2410</v>
      </c>
      <c r="B1121" s="143">
        <v>-0.53077894736842102</v>
      </c>
      <c r="C1121" s="143" t="s">
        <v>86</v>
      </c>
    </row>
    <row r="1122" spans="1:3" x14ac:dyDescent="0.25">
      <c r="A1122" s="2" t="s">
        <v>2411</v>
      </c>
      <c r="B1122" s="143" t="s">
        <v>86</v>
      </c>
      <c r="C1122" s="143" t="s">
        <v>86</v>
      </c>
    </row>
    <row r="1123" spans="1:3" x14ac:dyDescent="0.25">
      <c r="A1123" s="2" t="s">
        <v>2412</v>
      </c>
      <c r="B1123" s="143" t="s">
        <v>86</v>
      </c>
      <c r="C1123" s="143" t="s">
        <v>86</v>
      </c>
    </row>
    <row r="1124" spans="1:3" x14ac:dyDescent="0.25">
      <c r="A1124" s="2" t="s">
        <v>2414</v>
      </c>
      <c r="B1124" s="143" t="s">
        <v>86</v>
      </c>
      <c r="C1124" s="143" t="s">
        <v>86</v>
      </c>
    </row>
    <row r="1125" spans="1:3" x14ac:dyDescent="0.25">
      <c r="A1125" s="2" t="s">
        <v>2416</v>
      </c>
      <c r="B1125" s="143" t="s">
        <v>86</v>
      </c>
      <c r="C1125" s="143" t="s">
        <v>86</v>
      </c>
    </row>
    <row r="1126" spans="1:3" x14ac:dyDescent="0.25">
      <c r="A1126" s="2" t="s">
        <v>2417</v>
      </c>
      <c r="B1126" s="143" t="s">
        <v>86</v>
      </c>
      <c r="C1126" s="143" t="s">
        <v>86</v>
      </c>
    </row>
    <row r="1127" spans="1:3" x14ac:dyDescent="0.25">
      <c r="A1127" s="2" t="s">
        <v>2418</v>
      </c>
      <c r="B1127" s="143" t="s">
        <v>86</v>
      </c>
      <c r="C1127" s="143" t="s">
        <v>86</v>
      </c>
    </row>
    <row r="1128" spans="1:3" x14ac:dyDescent="0.25">
      <c r="A1128" s="2" t="s">
        <v>2419</v>
      </c>
      <c r="B1128" s="143" t="s">
        <v>86</v>
      </c>
      <c r="C1128" s="143" t="s">
        <v>86</v>
      </c>
    </row>
    <row r="1129" spans="1:3" x14ac:dyDescent="0.25">
      <c r="A1129" s="2" t="s">
        <v>2420</v>
      </c>
      <c r="B1129" s="143" t="s">
        <v>86</v>
      </c>
      <c r="C1129" s="143" t="s">
        <v>86</v>
      </c>
    </row>
    <row r="1130" spans="1:3" x14ac:dyDescent="0.25">
      <c r="A1130" s="2" t="s">
        <v>2421</v>
      </c>
      <c r="B1130" s="143" t="s">
        <v>86</v>
      </c>
      <c r="C1130" s="143" t="s">
        <v>86</v>
      </c>
    </row>
    <row r="1131" spans="1:3" x14ac:dyDescent="0.25">
      <c r="A1131" s="2" t="s">
        <v>2422</v>
      </c>
      <c r="B1131" s="143" t="s">
        <v>86</v>
      </c>
      <c r="C1131" s="143" t="s">
        <v>86</v>
      </c>
    </row>
    <row r="1132" spans="1:3" x14ac:dyDescent="0.25">
      <c r="A1132" s="2" t="s">
        <v>2423</v>
      </c>
      <c r="B1132" s="143" t="s">
        <v>86</v>
      </c>
      <c r="C1132" s="143" t="s">
        <v>86</v>
      </c>
    </row>
    <row r="1133" spans="1:3" x14ac:dyDescent="0.25">
      <c r="A1133" s="2" t="s">
        <v>2424</v>
      </c>
      <c r="B1133" s="143" t="s">
        <v>86</v>
      </c>
      <c r="C1133" s="143" t="s">
        <v>86</v>
      </c>
    </row>
    <row r="1134" spans="1:3" x14ac:dyDescent="0.25">
      <c r="A1134" s="2" t="s">
        <v>2425</v>
      </c>
      <c r="B1134" s="143" t="s">
        <v>86</v>
      </c>
      <c r="C1134" s="143" t="s">
        <v>86</v>
      </c>
    </row>
    <row r="1135" spans="1:3" x14ac:dyDescent="0.25">
      <c r="A1135" s="2" t="s">
        <v>2426</v>
      </c>
      <c r="B1135" s="143" t="s">
        <v>86</v>
      </c>
      <c r="C1135" s="143" t="s">
        <v>86</v>
      </c>
    </row>
    <row r="1136" spans="1:3" x14ac:dyDescent="0.25">
      <c r="A1136" s="2" t="s">
        <v>2427</v>
      </c>
      <c r="B1136" s="143" t="s">
        <v>86</v>
      </c>
      <c r="C1136" s="143" t="s">
        <v>86</v>
      </c>
    </row>
    <row r="1137" spans="1:3" x14ac:dyDescent="0.25">
      <c r="A1137" s="2" t="s">
        <v>2428</v>
      </c>
      <c r="B1137" s="143" t="s">
        <v>86</v>
      </c>
      <c r="C1137" s="143" t="s">
        <v>86</v>
      </c>
    </row>
    <row r="1138" spans="1:3" x14ac:dyDescent="0.25">
      <c r="A1138" s="2" t="s">
        <v>2429</v>
      </c>
      <c r="B1138" s="143" t="s">
        <v>86</v>
      </c>
      <c r="C1138" s="143">
        <v>-12.00257655667856</v>
      </c>
    </row>
    <row r="1139" spans="1:3" x14ac:dyDescent="0.25">
      <c r="A1139" s="2" t="s">
        <v>2430</v>
      </c>
      <c r="B1139" s="143" t="s">
        <v>86</v>
      </c>
      <c r="C1139" s="143">
        <v>-9.8648385756288057</v>
      </c>
    </row>
    <row r="1140" spans="1:3" x14ac:dyDescent="0.25">
      <c r="A1140" s="2" t="s">
        <v>2431</v>
      </c>
      <c r="B1140" s="143" t="s">
        <v>86</v>
      </c>
      <c r="C1140" s="143">
        <v>-28.706787679671312</v>
      </c>
    </row>
    <row r="1141" spans="1:3" x14ac:dyDescent="0.25">
      <c r="A1141" s="2" t="s">
        <v>2432</v>
      </c>
      <c r="B1141" s="143" t="s">
        <v>86</v>
      </c>
      <c r="C1141" s="143" t="s">
        <v>86</v>
      </c>
    </row>
    <row r="1142" spans="1:3" x14ac:dyDescent="0.25">
      <c r="A1142" s="2" t="s">
        <v>2435</v>
      </c>
      <c r="B1142" s="143" t="s">
        <v>86</v>
      </c>
      <c r="C1142" s="143" t="s">
        <v>86</v>
      </c>
    </row>
    <row r="1143" spans="1:3" x14ac:dyDescent="0.25">
      <c r="A1143" s="2" t="s">
        <v>2437</v>
      </c>
      <c r="B1143" s="143" t="s">
        <v>86</v>
      </c>
      <c r="C1143" s="143" t="s">
        <v>86</v>
      </c>
    </row>
    <row r="1144" spans="1:3" x14ac:dyDescent="0.25">
      <c r="A1144" s="2" t="s">
        <v>2439</v>
      </c>
      <c r="B1144" s="143" t="s">
        <v>86</v>
      </c>
      <c r="C1144" s="143" t="s">
        <v>86</v>
      </c>
    </row>
    <row r="1145" spans="1:3" x14ac:dyDescent="0.25">
      <c r="A1145" s="2" t="s">
        <v>2441</v>
      </c>
      <c r="B1145" s="143" t="s">
        <v>86</v>
      </c>
      <c r="C1145" s="143" t="s">
        <v>86</v>
      </c>
    </row>
    <row r="1146" spans="1:3" x14ac:dyDescent="0.25">
      <c r="A1146" s="2" t="s">
        <v>2443</v>
      </c>
      <c r="B1146" s="143" t="s">
        <v>86</v>
      </c>
      <c r="C1146" s="143" t="s">
        <v>86</v>
      </c>
    </row>
    <row r="1147" spans="1:3" x14ac:dyDescent="0.25">
      <c r="A1147" s="2" t="s">
        <v>2445</v>
      </c>
      <c r="B1147" s="143" t="s">
        <v>86</v>
      </c>
      <c r="C1147" s="143" t="s">
        <v>86</v>
      </c>
    </row>
    <row r="1148" spans="1:3" x14ac:dyDescent="0.25">
      <c r="A1148" s="2" t="s">
        <v>2447</v>
      </c>
      <c r="B1148" s="143" t="s">
        <v>86</v>
      </c>
      <c r="C1148" s="143" t="s">
        <v>86</v>
      </c>
    </row>
    <row r="1149" spans="1:3" x14ac:dyDescent="0.25">
      <c r="A1149" s="2" t="s">
        <v>2449</v>
      </c>
      <c r="B1149" s="143" t="s">
        <v>86</v>
      </c>
      <c r="C1149" s="143" t="s">
        <v>86</v>
      </c>
    </row>
    <row r="1150" spans="1:3" x14ac:dyDescent="0.25">
      <c r="A1150" s="2" t="s">
        <v>2452</v>
      </c>
      <c r="B1150" s="143" t="s">
        <v>86</v>
      </c>
      <c r="C1150" s="143" t="s">
        <v>86</v>
      </c>
    </row>
    <row r="1151" spans="1:3" x14ac:dyDescent="0.25">
      <c r="A1151" s="2" t="s">
        <v>2455</v>
      </c>
      <c r="B1151" s="143" t="s">
        <v>86</v>
      </c>
      <c r="C1151" s="143" t="s">
        <v>86</v>
      </c>
    </row>
    <row r="1152" spans="1:3" x14ac:dyDescent="0.25">
      <c r="A1152" s="2" t="s">
        <v>2457</v>
      </c>
      <c r="B1152" s="143" t="s">
        <v>86</v>
      </c>
      <c r="C1152" s="143" t="s">
        <v>86</v>
      </c>
    </row>
    <row r="1153" spans="1:3" x14ac:dyDescent="0.25">
      <c r="A1153" s="2" t="s">
        <v>2459</v>
      </c>
      <c r="B1153" s="143" t="s">
        <v>86</v>
      </c>
      <c r="C1153" s="143" t="s">
        <v>86</v>
      </c>
    </row>
    <row r="1154" spans="1:3" x14ac:dyDescent="0.25">
      <c r="A1154" s="2" t="s">
        <v>2460</v>
      </c>
      <c r="B1154" s="143" t="s">
        <v>86</v>
      </c>
      <c r="C1154" s="143" t="s">
        <v>86</v>
      </c>
    </row>
    <row r="1155" spans="1:3" x14ac:dyDescent="0.25">
      <c r="A1155" s="2" t="s">
        <v>2462</v>
      </c>
      <c r="B1155" s="143" t="s">
        <v>86</v>
      </c>
      <c r="C1155" s="143" t="s">
        <v>86</v>
      </c>
    </row>
    <row r="1156" spans="1:3" x14ac:dyDescent="0.25">
      <c r="A1156" s="2" t="s">
        <v>2464</v>
      </c>
      <c r="B1156" s="143" t="s">
        <v>86</v>
      </c>
      <c r="C1156" s="143" t="s">
        <v>86</v>
      </c>
    </row>
    <row r="1157" spans="1:3" x14ac:dyDescent="0.25">
      <c r="A1157" s="2" t="s">
        <v>2466</v>
      </c>
      <c r="B1157" s="143" t="s">
        <v>86</v>
      </c>
      <c r="C1157" s="143" t="s">
        <v>86</v>
      </c>
    </row>
    <row r="1158" spans="1:3" x14ac:dyDescent="0.25">
      <c r="A1158" s="2" t="s">
        <v>2468</v>
      </c>
      <c r="B1158" s="143" t="s">
        <v>86</v>
      </c>
      <c r="C1158" s="143" t="s">
        <v>86</v>
      </c>
    </row>
    <row r="1159" spans="1:3" x14ac:dyDescent="0.25">
      <c r="A1159" s="2" t="s">
        <v>2470</v>
      </c>
      <c r="B1159" s="143" t="s">
        <v>86</v>
      </c>
      <c r="C1159" s="143" t="s">
        <v>86</v>
      </c>
    </row>
    <row r="1160" spans="1:3" x14ac:dyDescent="0.25">
      <c r="A1160" s="2" t="s">
        <v>2472</v>
      </c>
      <c r="B1160" s="143" t="s">
        <v>86</v>
      </c>
      <c r="C1160" s="143" t="s">
        <v>86</v>
      </c>
    </row>
    <row r="1161" spans="1:3" x14ac:dyDescent="0.25">
      <c r="A1161" s="2" t="s">
        <v>2474</v>
      </c>
      <c r="B1161" s="143" t="s">
        <v>86</v>
      </c>
      <c r="C1161" s="143" t="s">
        <v>86</v>
      </c>
    </row>
    <row r="1162" spans="1:3" x14ac:dyDescent="0.25">
      <c r="A1162" s="2" t="s">
        <v>2477</v>
      </c>
      <c r="B1162" s="143" t="s">
        <v>86</v>
      </c>
      <c r="C1162" s="143" t="s">
        <v>86</v>
      </c>
    </row>
    <row r="1163" spans="1:3" x14ac:dyDescent="0.25">
      <c r="A1163" s="2" t="s">
        <v>2479</v>
      </c>
      <c r="B1163" s="143" t="s">
        <v>86</v>
      </c>
      <c r="C1163" s="143">
        <v>-24.4159407365552</v>
      </c>
    </row>
    <row r="1164" spans="1:3" x14ac:dyDescent="0.25">
      <c r="A1164" s="2" t="s">
        <v>2480</v>
      </c>
      <c r="B1164" s="143" t="s">
        <v>86</v>
      </c>
      <c r="C1164" s="143" t="s">
        <v>86</v>
      </c>
    </row>
    <row r="1165" spans="1:3" x14ac:dyDescent="0.25">
      <c r="A1165" s="2" t="s">
        <v>2481</v>
      </c>
      <c r="B1165" s="143" t="s">
        <v>86</v>
      </c>
      <c r="C1165" s="143" t="s">
        <v>86</v>
      </c>
    </row>
    <row r="1166" spans="1:3" x14ac:dyDescent="0.25">
      <c r="A1166" s="2" t="s">
        <v>2483</v>
      </c>
      <c r="B1166" s="143" t="s">
        <v>86</v>
      </c>
      <c r="C1166" s="143" t="s">
        <v>86</v>
      </c>
    </row>
    <row r="1167" spans="1:3" x14ac:dyDescent="0.25">
      <c r="A1167" s="2" t="s">
        <v>2484</v>
      </c>
      <c r="B1167" s="143" t="s">
        <v>86</v>
      </c>
      <c r="C1167" s="143" t="s">
        <v>86</v>
      </c>
    </row>
    <row r="1168" spans="1:3" x14ac:dyDescent="0.25">
      <c r="A1168" s="2" t="s">
        <v>2487</v>
      </c>
      <c r="B1168" s="143" t="s">
        <v>86</v>
      </c>
      <c r="C1168" s="143" t="s">
        <v>86</v>
      </c>
    </row>
    <row r="1169" spans="1:3" x14ac:dyDescent="0.25">
      <c r="A1169" s="2" t="s">
        <v>2489</v>
      </c>
      <c r="B1169" s="143" t="s">
        <v>86</v>
      </c>
      <c r="C1169" s="143" t="s">
        <v>86</v>
      </c>
    </row>
    <row r="1170" spans="1:3" x14ac:dyDescent="0.25">
      <c r="A1170" s="2" t="s">
        <v>2491</v>
      </c>
      <c r="B1170" s="143" t="s">
        <v>86</v>
      </c>
      <c r="C1170" s="143" t="s">
        <v>86</v>
      </c>
    </row>
    <row r="1171" spans="1:3" x14ac:dyDescent="0.25">
      <c r="A1171" s="2" t="s">
        <v>2493</v>
      </c>
      <c r="B1171" s="143" t="s">
        <v>86</v>
      </c>
      <c r="C1171" s="143" t="s">
        <v>86</v>
      </c>
    </row>
    <row r="1172" spans="1:3" x14ac:dyDescent="0.25">
      <c r="A1172" s="2" t="s">
        <v>2495</v>
      </c>
      <c r="B1172" s="143" t="s">
        <v>86</v>
      </c>
      <c r="C1172" s="143" t="s">
        <v>86</v>
      </c>
    </row>
    <row r="1173" spans="1:3" x14ac:dyDescent="0.25">
      <c r="A1173" s="2" t="s">
        <v>2497</v>
      </c>
      <c r="B1173" s="143" t="s">
        <v>86</v>
      </c>
      <c r="C1173" s="143" t="s">
        <v>86</v>
      </c>
    </row>
    <row r="1174" spans="1:3" x14ac:dyDescent="0.25">
      <c r="A1174" s="2" t="s">
        <v>2499</v>
      </c>
      <c r="B1174" s="143" t="s">
        <v>86</v>
      </c>
      <c r="C1174" s="143" t="s">
        <v>86</v>
      </c>
    </row>
    <row r="1175" spans="1:3" x14ac:dyDescent="0.25">
      <c r="A1175" s="2" t="s">
        <v>2501</v>
      </c>
      <c r="B1175" s="143" t="s">
        <v>86</v>
      </c>
      <c r="C1175" s="143" t="s">
        <v>86</v>
      </c>
    </row>
    <row r="1176" spans="1:3" x14ac:dyDescent="0.25">
      <c r="A1176" s="2" t="s">
        <v>2503</v>
      </c>
      <c r="B1176" s="143" t="s">
        <v>86</v>
      </c>
      <c r="C1176" s="143" t="s">
        <v>86</v>
      </c>
    </row>
    <row r="1177" spans="1:3" x14ac:dyDescent="0.25">
      <c r="A1177" s="2" t="s">
        <v>2505</v>
      </c>
      <c r="B1177" s="143" t="s">
        <v>86</v>
      </c>
      <c r="C1177" s="143" t="s">
        <v>86</v>
      </c>
    </row>
    <row r="1178" spans="1:3" x14ac:dyDescent="0.25">
      <c r="A1178" s="2" t="s">
        <v>2506</v>
      </c>
      <c r="B1178" s="143" t="s">
        <v>86</v>
      </c>
      <c r="C1178" s="143" t="s">
        <v>86</v>
      </c>
    </row>
    <row r="1179" spans="1:3" x14ac:dyDescent="0.25">
      <c r="A1179" s="2" t="s">
        <v>2508</v>
      </c>
      <c r="B1179" s="143" t="s">
        <v>86</v>
      </c>
      <c r="C1179" s="143" t="s">
        <v>86</v>
      </c>
    </row>
    <row r="1180" spans="1:3" x14ac:dyDescent="0.25">
      <c r="A1180" s="2" t="s">
        <v>2509</v>
      </c>
      <c r="B1180" s="143" t="s">
        <v>86</v>
      </c>
      <c r="C1180" s="143" t="s">
        <v>86</v>
      </c>
    </row>
    <row r="1181" spans="1:3" x14ac:dyDescent="0.25">
      <c r="A1181" s="2" t="s">
        <v>2512</v>
      </c>
      <c r="B1181" s="143" t="s">
        <v>86</v>
      </c>
      <c r="C1181" s="143" t="s">
        <v>86</v>
      </c>
    </row>
    <row r="1182" spans="1:3" x14ac:dyDescent="0.25">
      <c r="A1182" s="2" t="s">
        <v>2514</v>
      </c>
      <c r="B1182" s="143" t="s">
        <v>86</v>
      </c>
      <c r="C1182" s="143" t="s">
        <v>86</v>
      </c>
    </row>
    <row r="1183" spans="1:3" x14ac:dyDescent="0.25">
      <c r="A1183" s="2" t="s">
        <v>2516</v>
      </c>
      <c r="B1183" s="143" t="s">
        <v>86</v>
      </c>
      <c r="C1183" s="143" t="s">
        <v>86</v>
      </c>
    </row>
    <row r="1184" spans="1:3" x14ac:dyDescent="0.25">
      <c r="A1184" s="2" t="s">
        <v>2518</v>
      </c>
      <c r="B1184" s="143" t="s">
        <v>86</v>
      </c>
      <c r="C1184" s="143" t="s">
        <v>86</v>
      </c>
    </row>
    <row r="1185" spans="1:3" x14ac:dyDescent="0.25">
      <c r="A1185" s="2" t="s">
        <v>2520</v>
      </c>
      <c r="B1185" s="143" t="s">
        <v>86</v>
      </c>
      <c r="C1185" s="143" t="s">
        <v>86</v>
      </c>
    </row>
    <row r="1186" spans="1:3" x14ac:dyDescent="0.25">
      <c r="A1186" s="2" t="s">
        <v>2522</v>
      </c>
      <c r="B1186" s="143" t="s">
        <v>86</v>
      </c>
      <c r="C1186" s="143" t="s">
        <v>86</v>
      </c>
    </row>
    <row r="1187" spans="1:3" x14ac:dyDescent="0.25">
      <c r="A1187" s="2" t="s">
        <v>2523</v>
      </c>
      <c r="B1187" s="143" t="s">
        <v>86</v>
      </c>
      <c r="C1187" s="143" t="s">
        <v>86</v>
      </c>
    </row>
    <row r="1188" spans="1:3" x14ac:dyDescent="0.25">
      <c r="A1188" s="2" t="s">
        <v>2525</v>
      </c>
      <c r="B1188" s="143" t="s">
        <v>86</v>
      </c>
      <c r="C1188" s="143" t="s">
        <v>86</v>
      </c>
    </row>
    <row r="1189" spans="1:3" x14ac:dyDescent="0.25">
      <c r="A1189" s="2" t="s">
        <v>2527</v>
      </c>
      <c r="B1189" s="143" t="s">
        <v>86</v>
      </c>
      <c r="C1189" s="143" t="s">
        <v>86</v>
      </c>
    </row>
    <row r="1190" spans="1:3" x14ac:dyDescent="0.25">
      <c r="A1190" s="2" t="s">
        <v>2528</v>
      </c>
      <c r="B1190" s="143" t="s">
        <v>86</v>
      </c>
      <c r="C1190" s="143" t="s">
        <v>86</v>
      </c>
    </row>
    <row r="1191" spans="1:3" x14ac:dyDescent="0.25">
      <c r="A1191" s="2" t="s">
        <v>2530</v>
      </c>
      <c r="B1191" s="143" t="s">
        <v>86</v>
      </c>
      <c r="C1191" s="143" t="s">
        <v>86</v>
      </c>
    </row>
    <row r="1192" spans="1:3" x14ac:dyDescent="0.25">
      <c r="A1192" s="2" t="s">
        <v>2532</v>
      </c>
      <c r="B1192" s="143" t="s">
        <v>86</v>
      </c>
      <c r="C1192" s="143" t="s">
        <v>86</v>
      </c>
    </row>
    <row r="1193" spans="1:3" x14ac:dyDescent="0.25">
      <c r="A1193" s="2" t="s">
        <v>2535</v>
      </c>
      <c r="B1193" s="143" t="s">
        <v>86</v>
      </c>
      <c r="C1193" s="143" t="s">
        <v>86</v>
      </c>
    </row>
    <row r="1194" spans="1:3" x14ac:dyDescent="0.25">
      <c r="A1194" s="2" t="s">
        <v>2537</v>
      </c>
      <c r="B1194" s="143">
        <v>-17.50257638888889</v>
      </c>
      <c r="C1194" s="143" t="s">
        <v>86</v>
      </c>
    </row>
    <row r="1195" spans="1:3" x14ac:dyDescent="0.25">
      <c r="A1195" s="2" t="s">
        <v>2538</v>
      </c>
      <c r="B1195" s="143" t="s">
        <v>86</v>
      </c>
      <c r="C1195" s="143" t="s">
        <v>86</v>
      </c>
    </row>
    <row r="1196" spans="1:3" x14ac:dyDescent="0.25">
      <c r="A1196" s="2" t="s">
        <v>2539</v>
      </c>
      <c r="B1196" s="143">
        <v>-19.38997222222222</v>
      </c>
      <c r="C1196" s="143">
        <v>-55.196637772065962</v>
      </c>
    </row>
    <row r="1197" spans="1:3" x14ac:dyDescent="0.25">
      <c r="A1197" s="2" t="s">
        <v>2540</v>
      </c>
      <c r="B1197" s="143" t="s">
        <v>86</v>
      </c>
      <c r="C1197" s="143" t="s">
        <v>86</v>
      </c>
    </row>
    <row r="1198" spans="1:3" x14ac:dyDescent="0.25">
      <c r="A1198" s="2" t="s">
        <v>2541</v>
      </c>
      <c r="B1198" s="143" t="s">
        <v>86</v>
      </c>
      <c r="C1198" s="143" t="s">
        <v>86</v>
      </c>
    </row>
    <row r="1199" spans="1:3" x14ac:dyDescent="0.25">
      <c r="A1199" s="2" t="s">
        <v>2543</v>
      </c>
      <c r="B1199" s="143" t="s">
        <v>86</v>
      </c>
      <c r="C1199" s="143" t="s">
        <v>86</v>
      </c>
    </row>
    <row r="1200" spans="1:3" x14ac:dyDescent="0.25">
      <c r="A1200" s="2" t="s">
        <v>2544</v>
      </c>
      <c r="B1200" s="143" t="s">
        <v>86</v>
      </c>
      <c r="C1200" s="143" t="s">
        <v>86</v>
      </c>
    </row>
    <row r="1201" spans="1:3" x14ac:dyDescent="0.25">
      <c r="A1201" s="2" t="s">
        <v>2546</v>
      </c>
      <c r="B1201" s="143" t="s">
        <v>86</v>
      </c>
      <c r="C1201" s="143" t="s">
        <v>86</v>
      </c>
    </row>
    <row r="1202" spans="1:3" x14ac:dyDescent="0.25">
      <c r="A1202" s="2" t="s">
        <v>2547</v>
      </c>
      <c r="B1202" s="143" t="s">
        <v>86</v>
      </c>
      <c r="C1202" s="143" t="s">
        <v>86</v>
      </c>
    </row>
    <row r="1203" spans="1:3" x14ac:dyDescent="0.25">
      <c r="A1203" s="2" t="s">
        <v>2548</v>
      </c>
      <c r="B1203" s="143" t="s">
        <v>86</v>
      </c>
      <c r="C1203" s="143" t="s">
        <v>86</v>
      </c>
    </row>
    <row r="1204" spans="1:3" x14ac:dyDescent="0.25">
      <c r="A1204" s="2" t="s">
        <v>2549</v>
      </c>
      <c r="B1204" s="143" t="s">
        <v>86</v>
      </c>
      <c r="C1204" s="143" t="s">
        <v>86</v>
      </c>
    </row>
    <row r="1205" spans="1:3" x14ac:dyDescent="0.25">
      <c r="A1205" s="2" t="s">
        <v>2551</v>
      </c>
      <c r="B1205" s="143" t="s">
        <v>86</v>
      </c>
      <c r="C1205" s="143" t="s">
        <v>86</v>
      </c>
    </row>
    <row r="1206" spans="1:3" x14ac:dyDescent="0.25">
      <c r="A1206" s="2" t="s">
        <v>2553</v>
      </c>
      <c r="B1206" s="143" t="s">
        <v>86</v>
      </c>
      <c r="C1206" s="143" t="s">
        <v>86</v>
      </c>
    </row>
    <row r="1207" spans="1:3" x14ac:dyDescent="0.25">
      <c r="A1207" s="2" t="s">
        <v>2555</v>
      </c>
      <c r="B1207" s="143" t="s">
        <v>86</v>
      </c>
      <c r="C1207" s="143" t="s">
        <v>86</v>
      </c>
    </row>
    <row r="1208" spans="1:3" x14ac:dyDescent="0.25">
      <c r="A1208" s="2" t="s">
        <v>2557</v>
      </c>
      <c r="B1208" s="143" t="s">
        <v>86</v>
      </c>
      <c r="C1208" s="143" t="s">
        <v>86</v>
      </c>
    </row>
    <row r="1209" spans="1:3" x14ac:dyDescent="0.25">
      <c r="A1209" s="2" t="s">
        <v>2559</v>
      </c>
      <c r="B1209" s="143" t="s">
        <v>86</v>
      </c>
      <c r="C1209" s="143" t="s">
        <v>86</v>
      </c>
    </row>
    <row r="1210" spans="1:3" x14ac:dyDescent="0.25">
      <c r="A1210" s="2" t="s">
        <v>2560</v>
      </c>
      <c r="B1210" s="143" t="s">
        <v>86</v>
      </c>
      <c r="C1210" s="143" t="s">
        <v>86</v>
      </c>
    </row>
    <row r="1211" spans="1:3" x14ac:dyDescent="0.25">
      <c r="A1211" s="2" t="s">
        <v>2562</v>
      </c>
      <c r="B1211" s="143" t="s">
        <v>86</v>
      </c>
      <c r="C1211" s="143" t="s">
        <v>86</v>
      </c>
    </row>
    <row r="1212" spans="1:3" x14ac:dyDescent="0.25">
      <c r="A1212" s="2" t="s">
        <v>2564</v>
      </c>
      <c r="B1212" s="143" t="s">
        <v>86</v>
      </c>
      <c r="C1212" s="143" t="s">
        <v>86</v>
      </c>
    </row>
    <row r="1213" spans="1:3" x14ac:dyDescent="0.25">
      <c r="A1213" s="2" t="s">
        <v>2566</v>
      </c>
      <c r="B1213" s="143" t="s">
        <v>86</v>
      </c>
      <c r="C1213" s="143" t="s">
        <v>86</v>
      </c>
    </row>
    <row r="1214" spans="1:3" x14ac:dyDescent="0.25">
      <c r="A1214" s="2" t="s">
        <v>2568</v>
      </c>
      <c r="B1214" s="143" t="s">
        <v>86</v>
      </c>
      <c r="C1214" s="143" t="s">
        <v>86</v>
      </c>
    </row>
    <row r="1215" spans="1:3" x14ac:dyDescent="0.25">
      <c r="A1215" s="2" t="s">
        <v>2570</v>
      </c>
      <c r="B1215" s="143" t="s">
        <v>86</v>
      </c>
      <c r="C1215" s="143" t="s">
        <v>86</v>
      </c>
    </row>
    <row r="1216" spans="1:3" x14ac:dyDescent="0.25">
      <c r="A1216" s="2" t="s">
        <v>2572</v>
      </c>
      <c r="B1216" s="143" t="s">
        <v>86</v>
      </c>
      <c r="C1216" s="143" t="s">
        <v>86</v>
      </c>
    </row>
    <row r="1217" spans="1:3" x14ac:dyDescent="0.25">
      <c r="A1217" s="2" t="s">
        <v>2574</v>
      </c>
      <c r="B1217" s="143" t="s">
        <v>86</v>
      </c>
      <c r="C1217" s="143" t="s">
        <v>86</v>
      </c>
    </row>
    <row r="1218" spans="1:3" x14ac:dyDescent="0.25">
      <c r="A1218" s="2" t="s">
        <v>2575</v>
      </c>
      <c r="B1218" s="143" t="s">
        <v>86</v>
      </c>
      <c r="C1218" s="143" t="s">
        <v>86</v>
      </c>
    </row>
    <row r="1219" spans="1:3" x14ac:dyDescent="0.25">
      <c r="A1219" s="2" t="s">
        <v>2576</v>
      </c>
      <c r="B1219" s="143" t="s">
        <v>86</v>
      </c>
      <c r="C1219" s="143" t="s">
        <v>86</v>
      </c>
    </row>
    <row r="1220" spans="1:3" x14ac:dyDescent="0.25">
      <c r="A1220" s="2" t="s">
        <v>2577</v>
      </c>
      <c r="B1220" s="143" t="s">
        <v>86</v>
      </c>
      <c r="C1220" s="143" t="s">
        <v>86</v>
      </c>
    </row>
    <row r="1221" spans="1:3" x14ac:dyDescent="0.25">
      <c r="A1221" s="2" t="s">
        <v>2578</v>
      </c>
      <c r="B1221" s="143" t="s">
        <v>86</v>
      </c>
      <c r="C1221" s="143" t="s">
        <v>86</v>
      </c>
    </row>
    <row r="1222" spans="1:3" x14ac:dyDescent="0.25">
      <c r="A1222" s="2" t="s">
        <v>2579</v>
      </c>
      <c r="B1222" s="143" t="s">
        <v>86</v>
      </c>
      <c r="C1222" s="143" t="s">
        <v>86</v>
      </c>
    </row>
    <row r="1223" spans="1:3" x14ac:dyDescent="0.25">
      <c r="A1223" s="2" t="s">
        <v>2580</v>
      </c>
      <c r="B1223" s="143" t="s">
        <v>86</v>
      </c>
      <c r="C1223" s="143" t="s">
        <v>86</v>
      </c>
    </row>
    <row r="1224" spans="1:3" x14ac:dyDescent="0.25">
      <c r="A1224" s="2" t="s">
        <v>2581</v>
      </c>
      <c r="B1224" s="143" t="s">
        <v>86</v>
      </c>
      <c r="C1224" s="143" t="s">
        <v>86</v>
      </c>
    </row>
    <row r="1225" spans="1:3" x14ac:dyDescent="0.25">
      <c r="A1225" s="2" t="s">
        <v>2582</v>
      </c>
      <c r="B1225" s="143" t="s">
        <v>86</v>
      </c>
      <c r="C1225" s="143" t="s">
        <v>86</v>
      </c>
    </row>
    <row r="1226" spans="1:3" x14ac:dyDescent="0.25">
      <c r="A1226" s="2" t="s">
        <v>2583</v>
      </c>
      <c r="B1226" s="143" t="s">
        <v>86</v>
      </c>
      <c r="C1226" s="143" t="s">
        <v>86</v>
      </c>
    </row>
    <row r="1227" spans="1:3" x14ac:dyDescent="0.25">
      <c r="A1227" s="2" t="s">
        <v>2584</v>
      </c>
      <c r="B1227" s="143" t="s">
        <v>86</v>
      </c>
      <c r="C1227" s="143" t="s">
        <v>86</v>
      </c>
    </row>
    <row r="1228" spans="1:3" x14ac:dyDescent="0.25">
      <c r="A1228" s="2" t="s">
        <v>2585</v>
      </c>
      <c r="B1228" s="143" t="s">
        <v>86</v>
      </c>
      <c r="C1228" s="143" t="s">
        <v>86</v>
      </c>
    </row>
    <row r="1229" spans="1:3" x14ac:dyDescent="0.25">
      <c r="A1229" s="2" t="s">
        <v>2586</v>
      </c>
      <c r="B1229" s="143" t="s">
        <v>86</v>
      </c>
      <c r="C1229" s="143" t="s">
        <v>86</v>
      </c>
    </row>
    <row r="1230" spans="1:3" x14ac:dyDescent="0.25">
      <c r="A1230" s="2" t="s">
        <v>2587</v>
      </c>
      <c r="B1230" s="143" t="s">
        <v>86</v>
      </c>
      <c r="C1230" s="143" t="s">
        <v>86</v>
      </c>
    </row>
    <row r="1231" spans="1:3" x14ac:dyDescent="0.25">
      <c r="A1231" s="2" t="s">
        <v>2588</v>
      </c>
      <c r="B1231" s="143" t="s">
        <v>86</v>
      </c>
      <c r="C1231" s="143" t="s">
        <v>86</v>
      </c>
    </row>
    <row r="1232" spans="1:3" x14ac:dyDescent="0.25">
      <c r="A1232" s="2" t="s">
        <v>2589</v>
      </c>
      <c r="B1232" s="143" t="s">
        <v>86</v>
      </c>
      <c r="C1232" s="143" t="s">
        <v>86</v>
      </c>
    </row>
    <row r="1233" spans="1:3" x14ac:dyDescent="0.25">
      <c r="A1233" s="2" t="s">
        <v>2590</v>
      </c>
      <c r="B1233" s="143" t="s">
        <v>86</v>
      </c>
      <c r="C1233" s="143" t="s">
        <v>86</v>
      </c>
    </row>
    <row r="1234" spans="1:3" x14ac:dyDescent="0.25">
      <c r="A1234" s="2" t="s">
        <v>2591</v>
      </c>
      <c r="B1234" s="143" t="s">
        <v>86</v>
      </c>
      <c r="C1234" s="143" t="s">
        <v>86</v>
      </c>
    </row>
    <row r="1235" spans="1:3" x14ac:dyDescent="0.25">
      <c r="A1235" s="2" t="s">
        <v>2592</v>
      </c>
      <c r="B1235" s="143" t="s">
        <v>86</v>
      </c>
      <c r="C1235" s="143" t="s">
        <v>86</v>
      </c>
    </row>
    <row r="1236" spans="1:3" x14ac:dyDescent="0.25">
      <c r="A1236" s="2" t="s">
        <v>2593</v>
      </c>
      <c r="B1236" s="143" t="s">
        <v>86</v>
      </c>
      <c r="C1236" s="143" t="s">
        <v>86</v>
      </c>
    </row>
    <row r="1237" spans="1:3" x14ac:dyDescent="0.25">
      <c r="A1237" s="2" t="s">
        <v>2594</v>
      </c>
      <c r="B1237" s="143" t="s">
        <v>86</v>
      </c>
      <c r="C1237" s="143" t="s">
        <v>86</v>
      </c>
    </row>
    <row r="1238" spans="1:3" x14ac:dyDescent="0.25">
      <c r="A1238" s="2" t="s">
        <v>2595</v>
      </c>
      <c r="B1238" s="143" t="s">
        <v>86</v>
      </c>
      <c r="C1238" s="143" t="s">
        <v>86</v>
      </c>
    </row>
    <row r="1239" spans="1:3" x14ac:dyDescent="0.25">
      <c r="A1239" s="2" t="s">
        <v>2596</v>
      </c>
      <c r="B1239" s="143" t="s">
        <v>86</v>
      </c>
      <c r="C1239" s="143" t="s">
        <v>86</v>
      </c>
    </row>
    <row r="1240" spans="1:3" x14ac:dyDescent="0.25">
      <c r="A1240" s="2" t="s">
        <v>2597</v>
      </c>
      <c r="B1240" s="143" t="s">
        <v>86</v>
      </c>
      <c r="C1240" s="143" t="s">
        <v>86</v>
      </c>
    </row>
    <row r="1241" spans="1:3" x14ac:dyDescent="0.25">
      <c r="A1241" s="2" t="s">
        <v>2598</v>
      </c>
      <c r="B1241" s="143" t="s">
        <v>86</v>
      </c>
      <c r="C1241" s="143" t="s">
        <v>86</v>
      </c>
    </row>
    <row r="1242" spans="1:3" x14ac:dyDescent="0.25">
      <c r="A1242" s="2" t="s">
        <v>2599</v>
      </c>
      <c r="B1242" s="143" t="s">
        <v>86</v>
      </c>
      <c r="C1242" s="143" t="s">
        <v>86</v>
      </c>
    </row>
    <row r="1243" spans="1:3" x14ac:dyDescent="0.25">
      <c r="A1243" s="2" t="s">
        <v>2600</v>
      </c>
      <c r="B1243" s="143" t="s">
        <v>86</v>
      </c>
      <c r="C1243" s="143" t="s">
        <v>86</v>
      </c>
    </row>
    <row r="1244" spans="1:3" x14ac:dyDescent="0.25">
      <c r="A1244" s="2" t="s">
        <v>2601</v>
      </c>
      <c r="B1244" s="143" t="s">
        <v>86</v>
      </c>
      <c r="C1244" s="143" t="s">
        <v>86</v>
      </c>
    </row>
    <row r="1245" spans="1:3" x14ac:dyDescent="0.25">
      <c r="A1245" s="2" t="s">
        <v>2602</v>
      </c>
      <c r="B1245" s="143" t="s">
        <v>86</v>
      </c>
      <c r="C1245" s="143" t="s">
        <v>86</v>
      </c>
    </row>
    <row r="1246" spans="1:3" x14ac:dyDescent="0.25">
      <c r="A1246" s="2" t="s">
        <v>2603</v>
      </c>
      <c r="B1246" s="143" t="s">
        <v>86</v>
      </c>
      <c r="C1246" s="143" t="s">
        <v>86</v>
      </c>
    </row>
    <row r="1247" spans="1:3" x14ac:dyDescent="0.25">
      <c r="A1247" s="2" t="s">
        <v>2604</v>
      </c>
      <c r="B1247" s="143" t="s">
        <v>86</v>
      </c>
      <c r="C1247" s="143" t="s">
        <v>86</v>
      </c>
    </row>
    <row r="1248" spans="1:3" x14ac:dyDescent="0.25">
      <c r="A1248" s="2" t="s">
        <v>2605</v>
      </c>
      <c r="B1248" s="143" t="s">
        <v>86</v>
      </c>
      <c r="C1248" s="143" t="s">
        <v>86</v>
      </c>
    </row>
    <row r="1249" spans="1:3" x14ac:dyDescent="0.25">
      <c r="A1249" s="2" t="s">
        <v>2606</v>
      </c>
      <c r="B1249" s="143" t="s">
        <v>86</v>
      </c>
      <c r="C1249" s="143" t="s">
        <v>86</v>
      </c>
    </row>
    <row r="1250" spans="1:3" x14ac:dyDescent="0.25">
      <c r="A1250" s="2" t="s">
        <v>2607</v>
      </c>
      <c r="B1250" s="143" t="s">
        <v>86</v>
      </c>
      <c r="C1250" s="143" t="s">
        <v>86</v>
      </c>
    </row>
    <row r="1251" spans="1:3" x14ac:dyDescent="0.25">
      <c r="A1251" s="2" t="s">
        <v>2608</v>
      </c>
      <c r="B1251" s="143" t="s">
        <v>86</v>
      </c>
      <c r="C1251" s="143" t="s">
        <v>86</v>
      </c>
    </row>
    <row r="1252" spans="1:3" x14ac:dyDescent="0.25">
      <c r="A1252" s="2" t="s">
        <v>2609</v>
      </c>
      <c r="B1252" s="143" t="s">
        <v>86</v>
      </c>
      <c r="C1252" s="143" t="s">
        <v>86</v>
      </c>
    </row>
    <row r="1253" spans="1:3" x14ac:dyDescent="0.25">
      <c r="A1253" s="2" t="s">
        <v>2610</v>
      </c>
      <c r="B1253" s="143" t="s">
        <v>86</v>
      </c>
      <c r="C1253" s="143" t="s">
        <v>86</v>
      </c>
    </row>
    <row r="1254" spans="1:3" x14ac:dyDescent="0.25">
      <c r="A1254" s="2" t="s">
        <v>2611</v>
      </c>
      <c r="B1254" s="143" t="s">
        <v>86</v>
      </c>
      <c r="C1254" s="143" t="s">
        <v>86</v>
      </c>
    </row>
    <row r="1255" spans="1:3" x14ac:dyDescent="0.25">
      <c r="A1255" s="2" t="s">
        <v>2612</v>
      </c>
      <c r="B1255" s="143" t="s">
        <v>86</v>
      </c>
      <c r="C1255" s="143" t="s">
        <v>86</v>
      </c>
    </row>
    <row r="1256" spans="1:3" x14ac:dyDescent="0.25">
      <c r="A1256" s="2" t="s">
        <v>2613</v>
      </c>
      <c r="B1256" s="143" t="s">
        <v>86</v>
      </c>
      <c r="C1256" s="143" t="s">
        <v>86</v>
      </c>
    </row>
    <row r="1257" spans="1:3" x14ac:dyDescent="0.25">
      <c r="A1257" s="2" t="s">
        <v>2614</v>
      </c>
      <c r="B1257" s="143" t="s">
        <v>86</v>
      </c>
      <c r="C1257" s="143" t="s">
        <v>86</v>
      </c>
    </row>
    <row r="1258" spans="1:3" x14ac:dyDescent="0.25">
      <c r="A1258" s="2" t="s">
        <v>2615</v>
      </c>
      <c r="B1258" s="143" t="s">
        <v>86</v>
      </c>
      <c r="C1258" s="143" t="s">
        <v>86</v>
      </c>
    </row>
    <row r="1259" spans="1:3" x14ac:dyDescent="0.25">
      <c r="A1259" s="2" t="s">
        <v>2616</v>
      </c>
      <c r="B1259" s="143" t="s">
        <v>86</v>
      </c>
      <c r="C1259" s="143" t="s">
        <v>86</v>
      </c>
    </row>
    <row r="1260" spans="1:3" x14ac:dyDescent="0.25">
      <c r="A1260" s="2" t="s">
        <v>2617</v>
      </c>
      <c r="B1260" s="143" t="s">
        <v>86</v>
      </c>
      <c r="C1260" s="143" t="s">
        <v>86</v>
      </c>
    </row>
    <row r="1261" spans="1:3" x14ac:dyDescent="0.25">
      <c r="A1261" s="2" t="s">
        <v>2618</v>
      </c>
      <c r="B1261" s="143" t="s">
        <v>86</v>
      </c>
      <c r="C1261" s="143" t="s">
        <v>86</v>
      </c>
    </row>
    <row r="1262" spans="1:3" x14ac:dyDescent="0.25">
      <c r="A1262" s="2" t="s">
        <v>2619</v>
      </c>
      <c r="B1262" s="143" t="s">
        <v>86</v>
      </c>
      <c r="C1262" s="143" t="s">
        <v>86</v>
      </c>
    </row>
    <row r="1263" spans="1:3" x14ac:dyDescent="0.25">
      <c r="A1263" s="2" t="s">
        <v>2620</v>
      </c>
      <c r="B1263" s="143" t="s">
        <v>86</v>
      </c>
      <c r="C1263" s="143" t="s">
        <v>86</v>
      </c>
    </row>
    <row r="1264" spans="1:3" x14ac:dyDescent="0.25">
      <c r="A1264" s="2" t="s">
        <v>2621</v>
      </c>
      <c r="B1264" s="143" t="s">
        <v>86</v>
      </c>
      <c r="C1264" s="143" t="s">
        <v>86</v>
      </c>
    </row>
    <row r="1265" spans="1:3" x14ac:dyDescent="0.25">
      <c r="A1265" s="2" t="s">
        <v>2622</v>
      </c>
      <c r="B1265" s="143" t="s">
        <v>86</v>
      </c>
      <c r="C1265" s="143" t="s">
        <v>86</v>
      </c>
    </row>
    <row r="1266" spans="1:3" x14ac:dyDescent="0.25">
      <c r="A1266" s="2" t="s">
        <v>2623</v>
      </c>
      <c r="B1266" s="143" t="s">
        <v>86</v>
      </c>
      <c r="C1266" s="143" t="s">
        <v>86</v>
      </c>
    </row>
    <row r="1267" spans="1:3" x14ac:dyDescent="0.25">
      <c r="A1267" s="2" t="s">
        <v>2624</v>
      </c>
      <c r="B1267" s="143" t="s">
        <v>86</v>
      </c>
      <c r="C1267" s="143" t="s">
        <v>86</v>
      </c>
    </row>
    <row r="1268" spans="1:3" x14ac:dyDescent="0.25">
      <c r="A1268" s="2" t="s">
        <v>2625</v>
      </c>
      <c r="B1268" s="143" t="s">
        <v>86</v>
      </c>
      <c r="C1268" s="143" t="s">
        <v>86</v>
      </c>
    </row>
    <row r="1269" spans="1:3" x14ac:dyDescent="0.25">
      <c r="A1269" s="2" t="s">
        <v>2626</v>
      </c>
      <c r="B1269" s="143" t="s">
        <v>86</v>
      </c>
      <c r="C1269" s="143" t="s">
        <v>86</v>
      </c>
    </row>
    <row r="1270" spans="1:3" x14ac:dyDescent="0.25">
      <c r="A1270" s="2" t="s">
        <v>2627</v>
      </c>
      <c r="B1270" s="143" t="s">
        <v>86</v>
      </c>
      <c r="C1270" s="143" t="s">
        <v>86</v>
      </c>
    </row>
    <row r="1271" spans="1:3" x14ac:dyDescent="0.25">
      <c r="A1271" s="2" t="s">
        <v>2628</v>
      </c>
      <c r="B1271" s="143" t="s">
        <v>86</v>
      </c>
      <c r="C1271" s="143" t="s">
        <v>86</v>
      </c>
    </row>
    <row r="1272" spans="1:3" x14ac:dyDescent="0.25">
      <c r="A1272" s="2" t="s">
        <v>2629</v>
      </c>
      <c r="B1272" s="143" t="s">
        <v>86</v>
      </c>
      <c r="C1272" s="143" t="s">
        <v>86</v>
      </c>
    </row>
    <row r="1273" spans="1:3" x14ac:dyDescent="0.25">
      <c r="A1273" s="2" t="s">
        <v>2630</v>
      </c>
      <c r="B1273" s="143" t="s">
        <v>86</v>
      </c>
      <c r="C1273" s="143" t="s">
        <v>86</v>
      </c>
    </row>
    <row r="1274" spans="1:3" x14ac:dyDescent="0.25">
      <c r="A1274" s="2" t="s">
        <v>2631</v>
      </c>
      <c r="B1274" s="143" t="s">
        <v>86</v>
      </c>
      <c r="C1274" s="143" t="s">
        <v>86</v>
      </c>
    </row>
    <row r="1275" spans="1:3" x14ac:dyDescent="0.25">
      <c r="A1275" s="2" t="s">
        <v>2632</v>
      </c>
      <c r="B1275" s="143" t="s">
        <v>86</v>
      </c>
      <c r="C1275" s="143" t="s">
        <v>86</v>
      </c>
    </row>
    <row r="1276" spans="1:3" x14ac:dyDescent="0.25">
      <c r="A1276" s="2" t="s">
        <v>2633</v>
      </c>
      <c r="B1276" s="143" t="s">
        <v>86</v>
      </c>
      <c r="C1276" s="143" t="s">
        <v>86</v>
      </c>
    </row>
    <row r="1277" spans="1:3" x14ac:dyDescent="0.25">
      <c r="A1277" s="2" t="s">
        <v>2634</v>
      </c>
      <c r="B1277" s="143" t="s">
        <v>86</v>
      </c>
      <c r="C1277" s="143" t="s">
        <v>86</v>
      </c>
    </row>
    <row r="1278" spans="1:3" x14ac:dyDescent="0.25">
      <c r="A1278" s="2" t="s">
        <v>2635</v>
      </c>
      <c r="B1278" s="143" t="s">
        <v>86</v>
      </c>
      <c r="C1278" s="143" t="s">
        <v>86</v>
      </c>
    </row>
    <row r="1279" spans="1:3" x14ac:dyDescent="0.25">
      <c r="A1279" s="2" t="s">
        <v>2636</v>
      </c>
      <c r="B1279" s="143" t="s">
        <v>86</v>
      </c>
      <c r="C1279" s="143" t="s">
        <v>86</v>
      </c>
    </row>
    <row r="1280" spans="1:3" x14ac:dyDescent="0.25">
      <c r="A1280" s="2" t="s">
        <v>2637</v>
      </c>
      <c r="B1280" s="143" t="s">
        <v>86</v>
      </c>
      <c r="C1280" s="143" t="s">
        <v>86</v>
      </c>
    </row>
    <row r="1281" spans="1:3" x14ac:dyDescent="0.25">
      <c r="A1281" s="2" t="s">
        <v>2638</v>
      </c>
      <c r="B1281" s="143" t="s">
        <v>86</v>
      </c>
      <c r="C1281" s="143" t="s">
        <v>86</v>
      </c>
    </row>
    <row r="1282" spans="1:3" x14ac:dyDescent="0.25">
      <c r="A1282" s="2" t="s">
        <v>2639</v>
      </c>
      <c r="B1282" s="143" t="s">
        <v>86</v>
      </c>
      <c r="C1282" s="143" t="s">
        <v>86</v>
      </c>
    </row>
    <row r="1283" spans="1:3" x14ac:dyDescent="0.25">
      <c r="A1283" s="2" t="s">
        <v>2640</v>
      </c>
      <c r="B1283" s="143" t="s">
        <v>86</v>
      </c>
      <c r="C1283" s="143" t="s">
        <v>86</v>
      </c>
    </row>
    <row r="1284" spans="1:3" x14ac:dyDescent="0.25">
      <c r="A1284" s="2" t="s">
        <v>2641</v>
      </c>
      <c r="B1284" s="143" t="s">
        <v>86</v>
      </c>
      <c r="C1284" s="143" t="s">
        <v>86</v>
      </c>
    </row>
    <row r="1285" spans="1:3" x14ac:dyDescent="0.25">
      <c r="A1285" s="2" t="s">
        <v>2642</v>
      </c>
      <c r="B1285" s="143" t="s">
        <v>86</v>
      </c>
      <c r="C1285" s="143" t="s">
        <v>86</v>
      </c>
    </row>
    <row r="1286" spans="1:3" x14ac:dyDescent="0.25">
      <c r="A1286" s="2" t="s">
        <v>2643</v>
      </c>
      <c r="B1286" s="143" t="s">
        <v>86</v>
      </c>
      <c r="C1286" s="143" t="s">
        <v>86</v>
      </c>
    </row>
    <row r="1287" spans="1:3" x14ac:dyDescent="0.25">
      <c r="A1287" s="2" t="s">
        <v>2644</v>
      </c>
      <c r="B1287" s="143" t="s">
        <v>86</v>
      </c>
      <c r="C1287" s="143" t="s">
        <v>86</v>
      </c>
    </row>
    <row r="1288" spans="1:3" x14ac:dyDescent="0.25">
      <c r="A1288" s="2" t="s">
        <v>2645</v>
      </c>
      <c r="B1288" s="143" t="s">
        <v>86</v>
      </c>
      <c r="C1288" s="143" t="s">
        <v>86</v>
      </c>
    </row>
    <row r="1289" spans="1:3" x14ac:dyDescent="0.25">
      <c r="A1289" s="2" t="s">
        <v>2646</v>
      </c>
      <c r="B1289" s="143" t="s">
        <v>86</v>
      </c>
      <c r="C1289" s="143" t="s">
        <v>86</v>
      </c>
    </row>
    <row r="1290" spans="1:3" x14ac:dyDescent="0.25">
      <c r="A1290" s="2" t="s">
        <v>2647</v>
      </c>
      <c r="B1290" s="143" t="s">
        <v>86</v>
      </c>
      <c r="C1290" s="143" t="s">
        <v>86</v>
      </c>
    </row>
    <row r="1291" spans="1:3" x14ac:dyDescent="0.25">
      <c r="A1291" s="2" t="s">
        <v>2648</v>
      </c>
      <c r="B1291" s="143" t="s">
        <v>86</v>
      </c>
      <c r="C1291" s="143" t="s">
        <v>86</v>
      </c>
    </row>
    <row r="1292" spans="1:3" x14ac:dyDescent="0.25">
      <c r="A1292" s="2" t="s">
        <v>2649</v>
      </c>
      <c r="B1292" s="143" t="s">
        <v>86</v>
      </c>
      <c r="C1292" s="143" t="s">
        <v>86</v>
      </c>
    </row>
    <row r="1293" spans="1:3" x14ac:dyDescent="0.25">
      <c r="A1293" s="2" t="s">
        <v>2650</v>
      </c>
      <c r="B1293" s="143" t="s">
        <v>86</v>
      </c>
      <c r="C1293" s="143" t="s">
        <v>86</v>
      </c>
    </row>
    <row r="1294" spans="1:3" x14ac:dyDescent="0.25">
      <c r="A1294" s="2" t="s">
        <v>2651</v>
      </c>
      <c r="B1294" s="143" t="s">
        <v>86</v>
      </c>
      <c r="C1294" s="143" t="s">
        <v>86</v>
      </c>
    </row>
    <row r="1295" spans="1:3" x14ac:dyDescent="0.25">
      <c r="A1295" s="2" t="s">
        <v>2652</v>
      </c>
      <c r="B1295" s="143" t="s">
        <v>86</v>
      </c>
      <c r="C1295" s="143" t="s">
        <v>86</v>
      </c>
    </row>
    <row r="1296" spans="1:3" x14ac:dyDescent="0.25">
      <c r="A1296" s="2" t="s">
        <v>2653</v>
      </c>
      <c r="B1296" s="143" t="s">
        <v>86</v>
      </c>
      <c r="C1296" s="143" t="s">
        <v>86</v>
      </c>
    </row>
    <row r="1297" spans="1:3" x14ac:dyDescent="0.25">
      <c r="A1297" s="2" t="s">
        <v>2654</v>
      </c>
      <c r="B1297" s="143" t="s">
        <v>86</v>
      </c>
      <c r="C1297" s="143" t="s">
        <v>86</v>
      </c>
    </row>
    <row r="1298" spans="1:3" x14ac:dyDescent="0.25">
      <c r="A1298" s="2" t="s">
        <v>2655</v>
      </c>
      <c r="B1298" s="143" t="s">
        <v>86</v>
      </c>
      <c r="C1298" s="143" t="s">
        <v>86</v>
      </c>
    </row>
    <row r="1299" spans="1:3" x14ac:dyDescent="0.25">
      <c r="A1299" s="2" t="s">
        <v>2656</v>
      </c>
      <c r="B1299" s="143" t="s">
        <v>86</v>
      </c>
      <c r="C1299" s="143" t="s">
        <v>86</v>
      </c>
    </row>
    <row r="1300" spans="1:3" x14ac:dyDescent="0.25">
      <c r="A1300" s="2" t="s">
        <v>2657</v>
      </c>
      <c r="B1300" s="143" t="s">
        <v>86</v>
      </c>
      <c r="C1300" s="143" t="s">
        <v>86</v>
      </c>
    </row>
    <row r="1301" spans="1:3" x14ac:dyDescent="0.25">
      <c r="A1301" s="2" t="s">
        <v>2658</v>
      </c>
      <c r="B1301" s="143" t="s">
        <v>86</v>
      </c>
      <c r="C1301" s="143" t="s">
        <v>86</v>
      </c>
    </row>
    <row r="1302" spans="1:3" x14ac:dyDescent="0.25">
      <c r="A1302" s="2" t="s">
        <v>2659</v>
      </c>
      <c r="B1302" s="143" t="s">
        <v>86</v>
      </c>
      <c r="C1302" s="143" t="s">
        <v>86</v>
      </c>
    </row>
    <row r="1303" spans="1:3" x14ac:dyDescent="0.25">
      <c r="A1303" s="2" t="s">
        <v>2660</v>
      </c>
      <c r="B1303" s="143" t="s">
        <v>86</v>
      </c>
      <c r="C1303" s="143" t="s">
        <v>86</v>
      </c>
    </row>
    <row r="1304" spans="1:3" x14ac:dyDescent="0.25">
      <c r="A1304" s="2" t="s">
        <v>2661</v>
      </c>
      <c r="B1304" s="143" t="s">
        <v>86</v>
      </c>
      <c r="C1304" s="143" t="s">
        <v>86</v>
      </c>
    </row>
    <row r="1305" spans="1:3" x14ac:dyDescent="0.25">
      <c r="A1305" s="2" t="s">
        <v>2662</v>
      </c>
      <c r="B1305" s="143" t="s">
        <v>86</v>
      </c>
      <c r="C1305" s="143" t="s">
        <v>86</v>
      </c>
    </row>
    <row r="1306" spans="1:3" x14ac:dyDescent="0.25">
      <c r="A1306" s="2" t="s">
        <v>2663</v>
      </c>
      <c r="B1306" s="143" t="s">
        <v>86</v>
      </c>
      <c r="C1306" s="143" t="s">
        <v>86</v>
      </c>
    </row>
    <row r="1307" spans="1:3" x14ac:dyDescent="0.25">
      <c r="A1307" s="2" t="s">
        <v>2664</v>
      </c>
      <c r="B1307" s="143" t="s">
        <v>86</v>
      </c>
      <c r="C1307" s="143" t="s">
        <v>86</v>
      </c>
    </row>
    <row r="1308" spans="1:3" x14ac:dyDescent="0.25">
      <c r="A1308" s="2" t="s">
        <v>2665</v>
      </c>
      <c r="B1308" s="143" t="s">
        <v>86</v>
      </c>
      <c r="C1308" s="143" t="s">
        <v>86</v>
      </c>
    </row>
    <row r="1309" spans="1:3" x14ac:dyDescent="0.25">
      <c r="A1309" s="2" t="s">
        <v>2666</v>
      </c>
      <c r="B1309" s="143" t="s">
        <v>86</v>
      </c>
      <c r="C1309" s="143" t="s">
        <v>86</v>
      </c>
    </row>
    <row r="1310" spans="1:3" x14ac:dyDescent="0.25">
      <c r="A1310" s="2" t="s">
        <v>2667</v>
      </c>
      <c r="B1310" s="143" t="s">
        <v>86</v>
      </c>
      <c r="C1310" s="143" t="s">
        <v>86</v>
      </c>
    </row>
    <row r="1311" spans="1:3" x14ac:dyDescent="0.25">
      <c r="A1311" s="2" t="s">
        <v>2668</v>
      </c>
      <c r="B1311" s="143" t="s">
        <v>86</v>
      </c>
      <c r="C1311" s="143" t="s">
        <v>86</v>
      </c>
    </row>
    <row r="1312" spans="1:3" x14ac:dyDescent="0.25">
      <c r="A1312" s="2" t="s">
        <v>2669</v>
      </c>
      <c r="B1312" s="143" t="s">
        <v>86</v>
      </c>
      <c r="C1312" s="143" t="s">
        <v>86</v>
      </c>
    </row>
    <row r="1313" spans="1:3" x14ac:dyDescent="0.25">
      <c r="A1313" s="2" t="s">
        <v>2670</v>
      </c>
      <c r="B1313" s="143" t="s">
        <v>86</v>
      </c>
      <c r="C1313" s="143" t="s">
        <v>86</v>
      </c>
    </row>
    <row r="1314" spans="1:3" x14ac:dyDescent="0.25">
      <c r="A1314" s="2" t="s">
        <v>2671</v>
      </c>
      <c r="B1314" s="143" t="s">
        <v>86</v>
      </c>
      <c r="C1314" s="143" t="s">
        <v>86</v>
      </c>
    </row>
    <row r="1315" spans="1:3" x14ac:dyDescent="0.25">
      <c r="A1315" s="2" t="s">
        <v>2672</v>
      </c>
      <c r="B1315" s="143" t="s">
        <v>86</v>
      </c>
      <c r="C1315" s="143" t="s">
        <v>86</v>
      </c>
    </row>
    <row r="1316" spans="1:3" x14ac:dyDescent="0.25">
      <c r="A1316" s="2" t="s">
        <v>2673</v>
      </c>
      <c r="B1316" s="143" t="s">
        <v>86</v>
      </c>
      <c r="C1316" s="143" t="s">
        <v>86</v>
      </c>
    </row>
    <row r="1317" spans="1:3" x14ac:dyDescent="0.25">
      <c r="A1317" s="2" t="s">
        <v>2674</v>
      </c>
      <c r="B1317" s="143" t="s">
        <v>86</v>
      </c>
      <c r="C1317" s="143" t="s">
        <v>86</v>
      </c>
    </row>
    <row r="1318" spans="1:3" x14ac:dyDescent="0.25">
      <c r="A1318" s="2" t="s">
        <v>2675</v>
      </c>
      <c r="B1318" s="143" t="s">
        <v>86</v>
      </c>
      <c r="C1318" s="143" t="s">
        <v>86</v>
      </c>
    </row>
    <row r="1319" spans="1:3" x14ac:dyDescent="0.25">
      <c r="A1319" s="2" t="s">
        <v>2676</v>
      </c>
      <c r="B1319" s="143" t="s">
        <v>86</v>
      </c>
      <c r="C1319" s="143" t="s">
        <v>86</v>
      </c>
    </row>
    <row r="1320" spans="1:3" x14ac:dyDescent="0.25">
      <c r="A1320" s="2" t="s">
        <v>2677</v>
      </c>
      <c r="B1320" s="143" t="s">
        <v>86</v>
      </c>
      <c r="C1320" s="143" t="s">
        <v>86</v>
      </c>
    </row>
    <row r="1321" spans="1:3" x14ac:dyDescent="0.25">
      <c r="A1321" s="2" t="s">
        <v>2678</v>
      </c>
      <c r="B1321" s="143" t="s">
        <v>86</v>
      </c>
      <c r="C1321" s="143" t="s">
        <v>86</v>
      </c>
    </row>
    <row r="1322" spans="1:3" x14ac:dyDescent="0.25">
      <c r="A1322" s="2" t="s">
        <v>2679</v>
      </c>
      <c r="B1322" s="143" t="s">
        <v>86</v>
      </c>
      <c r="C1322" s="143" t="s">
        <v>86</v>
      </c>
    </row>
    <row r="1323" spans="1:3" x14ac:dyDescent="0.25">
      <c r="A1323" s="2" t="s">
        <v>2680</v>
      </c>
      <c r="B1323" s="143" t="s">
        <v>86</v>
      </c>
      <c r="C1323" s="143" t="s">
        <v>86</v>
      </c>
    </row>
    <row r="1324" spans="1:3" x14ac:dyDescent="0.25">
      <c r="A1324" s="2" t="s">
        <v>2681</v>
      </c>
      <c r="B1324" s="143" t="s">
        <v>86</v>
      </c>
      <c r="C1324" s="143" t="s">
        <v>86</v>
      </c>
    </row>
    <row r="1325" spans="1:3" x14ac:dyDescent="0.25">
      <c r="A1325" s="2" t="s">
        <v>2682</v>
      </c>
      <c r="B1325" s="143" t="s">
        <v>86</v>
      </c>
      <c r="C1325" s="143" t="s">
        <v>86</v>
      </c>
    </row>
    <row r="1326" spans="1:3" x14ac:dyDescent="0.25">
      <c r="A1326" s="2" t="s">
        <v>2683</v>
      </c>
      <c r="B1326" s="143" t="s">
        <v>86</v>
      </c>
      <c r="C1326" s="143" t="s">
        <v>86</v>
      </c>
    </row>
    <row r="1327" spans="1:3" x14ac:dyDescent="0.25">
      <c r="A1327" s="2" t="s">
        <v>2684</v>
      </c>
      <c r="B1327" s="143" t="s">
        <v>86</v>
      </c>
      <c r="C1327" s="143" t="s">
        <v>86</v>
      </c>
    </row>
    <row r="1328" spans="1:3" x14ac:dyDescent="0.25">
      <c r="A1328" s="2" t="s">
        <v>2685</v>
      </c>
      <c r="B1328" s="143" t="s">
        <v>86</v>
      </c>
      <c r="C1328" s="143" t="s">
        <v>86</v>
      </c>
    </row>
    <row r="1329" spans="1:3" x14ac:dyDescent="0.25">
      <c r="A1329" s="2" t="s">
        <v>2686</v>
      </c>
      <c r="B1329" s="143" t="s">
        <v>86</v>
      </c>
      <c r="C1329" s="143" t="s">
        <v>86</v>
      </c>
    </row>
    <row r="1330" spans="1:3" x14ac:dyDescent="0.25">
      <c r="A1330" s="2" t="s">
        <v>2687</v>
      </c>
      <c r="B1330" s="143" t="s">
        <v>86</v>
      </c>
      <c r="C1330" s="143" t="s">
        <v>86</v>
      </c>
    </row>
    <row r="1331" spans="1:3" x14ac:dyDescent="0.25">
      <c r="A1331" s="2" t="s">
        <v>2688</v>
      </c>
      <c r="B1331" s="143" t="s">
        <v>86</v>
      </c>
      <c r="C1331" s="143" t="s">
        <v>86</v>
      </c>
    </row>
    <row r="1332" spans="1:3" x14ac:dyDescent="0.25">
      <c r="A1332" s="2" t="s">
        <v>2689</v>
      </c>
      <c r="B1332" s="143" t="s">
        <v>86</v>
      </c>
      <c r="C1332" s="143" t="s">
        <v>86</v>
      </c>
    </row>
    <row r="1333" spans="1:3" x14ac:dyDescent="0.25">
      <c r="A1333" s="2" t="s">
        <v>2690</v>
      </c>
      <c r="B1333" s="143" t="s">
        <v>86</v>
      </c>
      <c r="C1333" s="143" t="s">
        <v>86</v>
      </c>
    </row>
    <row r="1334" spans="1:3" x14ac:dyDescent="0.25">
      <c r="A1334" s="2" t="s">
        <v>2691</v>
      </c>
      <c r="B1334" s="143" t="s">
        <v>86</v>
      </c>
      <c r="C1334" s="143" t="s">
        <v>86</v>
      </c>
    </row>
    <row r="1335" spans="1:3" x14ac:dyDescent="0.25">
      <c r="A1335" s="2" t="s">
        <v>2692</v>
      </c>
      <c r="B1335" s="143" t="s">
        <v>86</v>
      </c>
      <c r="C1335" s="143" t="s">
        <v>86</v>
      </c>
    </row>
    <row r="1336" spans="1:3" x14ac:dyDescent="0.25">
      <c r="A1336" s="2" t="s">
        <v>2693</v>
      </c>
      <c r="B1336" s="143" t="s">
        <v>86</v>
      </c>
      <c r="C1336" s="143" t="s">
        <v>86</v>
      </c>
    </row>
    <row r="1337" spans="1:3" x14ac:dyDescent="0.25">
      <c r="A1337" s="2" t="s">
        <v>2694</v>
      </c>
      <c r="B1337" s="143" t="s">
        <v>86</v>
      </c>
      <c r="C1337" s="143" t="s">
        <v>86</v>
      </c>
    </row>
    <row r="1338" spans="1:3" x14ac:dyDescent="0.25">
      <c r="A1338" s="2" t="s">
        <v>2695</v>
      </c>
      <c r="B1338" s="143" t="s">
        <v>86</v>
      </c>
      <c r="C1338" s="143" t="s">
        <v>86</v>
      </c>
    </row>
    <row r="1339" spans="1:3" x14ac:dyDescent="0.25">
      <c r="A1339" s="2" t="s">
        <v>2696</v>
      </c>
      <c r="B1339" s="143" t="s">
        <v>86</v>
      </c>
      <c r="C1339" s="143" t="s">
        <v>86</v>
      </c>
    </row>
    <row r="1340" spans="1:3" x14ac:dyDescent="0.25">
      <c r="A1340" s="2" t="s">
        <v>2697</v>
      </c>
      <c r="B1340" s="143" t="s">
        <v>86</v>
      </c>
      <c r="C1340" s="143" t="s">
        <v>86</v>
      </c>
    </row>
    <row r="1341" spans="1:3" x14ac:dyDescent="0.25">
      <c r="A1341" s="2" t="s">
        <v>2698</v>
      </c>
      <c r="B1341" s="143" t="s">
        <v>86</v>
      </c>
      <c r="C1341" s="143">
        <v>-34.734406004524892</v>
      </c>
    </row>
    <row r="1342" spans="1:3" x14ac:dyDescent="0.25">
      <c r="A1342" s="2" t="s">
        <v>2699</v>
      </c>
      <c r="B1342" s="143" t="s">
        <v>86</v>
      </c>
      <c r="C1342" s="143" t="s">
        <v>86</v>
      </c>
    </row>
    <row r="1343" spans="1:3" x14ac:dyDescent="0.25">
      <c r="A1343" s="2" t="s">
        <v>2700</v>
      </c>
      <c r="B1343" s="143" t="s">
        <v>86</v>
      </c>
      <c r="C1343" s="143" t="s">
        <v>86</v>
      </c>
    </row>
    <row r="1344" spans="1:3" x14ac:dyDescent="0.25">
      <c r="A1344" s="2" t="s">
        <v>2701</v>
      </c>
      <c r="B1344" s="143" t="s">
        <v>86</v>
      </c>
      <c r="C1344" s="143" t="s">
        <v>86</v>
      </c>
    </row>
    <row r="1345" spans="1:3" x14ac:dyDescent="0.25">
      <c r="A1345" s="2" t="s">
        <v>2702</v>
      </c>
      <c r="B1345" s="143" t="s">
        <v>86</v>
      </c>
      <c r="C1345" s="143" t="s">
        <v>86</v>
      </c>
    </row>
    <row r="1346" spans="1:3" x14ac:dyDescent="0.25">
      <c r="A1346" s="2" t="s">
        <v>2703</v>
      </c>
      <c r="B1346" s="143" t="s">
        <v>86</v>
      </c>
      <c r="C1346" s="143" t="s">
        <v>86</v>
      </c>
    </row>
    <row r="1347" spans="1:3" x14ac:dyDescent="0.25">
      <c r="A1347" s="2" t="s">
        <v>2704</v>
      </c>
      <c r="B1347" s="143" t="s">
        <v>86</v>
      </c>
      <c r="C1347" s="143" t="s">
        <v>86</v>
      </c>
    </row>
    <row r="1348" spans="1:3" x14ac:dyDescent="0.25">
      <c r="A1348" s="2" t="s">
        <v>2705</v>
      </c>
      <c r="B1348" s="143" t="s">
        <v>86</v>
      </c>
      <c r="C1348" s="143" t="s">
        <v>86</v>
      </c>
    </row>
    <row r="1349" spans="1:3" x14ac:dyDescent="0.25">
      <c r="A1349" s="2" t="s">
        <v>2706</v>
      </c>
      <c r="B1349" s="143" t="s">
        <v>86</v>
      </c>
      <c r="C1349" s="143" t="s">
        <v>86</v>
      </c>
    </row>
    <row r="1350" spans="1:3" x14ac:dyDescent="0.25">
      <c r="A1350" s="2" t="s">
        <v>2707</v>
      </c>
      <c r="B1350" s="143" t="s">
        <v>86</v>
      </c>
      <c r="C1350" s="143" t="s">
        <v>86</v>
      </c>
    </row>
    <row r="1351" spans="1:3" x14ac:dyDescent="0.25">
      <c r="A1351" s="2" t="s">
        <v>2708</v>
      </c>
      <c r="B1351" s="143" t="s">
        <v>86</v>
      </c>
      <c r="C1351" s="143" t="s">
        <v>86</v>
      </c>
    </row>
    <row r="1352" spans="1:3" x14ac:dyDescent="0.25">
      <c r="A1352" s="2" t="s">
        <v>2709</v>
      </c>
      <c r="B1352" s="143" t="s">
        <v>86</v>
      </c>
      <c r="C1352" s="143" t="s">
        <v>86</v>
      </c>
    </row>
    <row r="1353" spans="1:3" x14ac:dyDescent="0.25">
      <c r="A1353" s="2" t="s">
        <v>2710</v>
      </c>
      <c r="B1353" s="143" t="s">
        <v>86</v>
      </c>
      <c r="C1353" s="143" t="s">
        <v>86</v>
      </c>
    </row>
    <row r="1354" spans="1:3" x14ac:dyDescent="0.25">
      <c r="A1354" s="2" t="s">
        <v>2711</v>
      </c>
      <c r="B1354" s="143" t="s">
        <v>86</v>
      </c>
      <c r="C1354" s="143" t="s">
        <v>86</v>
      </c>
    </row>
    <row r="1355" spans="1:3" x14ac:dyDescent="0.25">
      <c r="A1355" s="2" t="s">
        <v>2712</v>
      </c>
      <c r="B1355" s="143" t="s">
        <v>86</v>
      </c>
      <c r="C1355" s="143" t="s">
        <v>86</v>
      </c>
    </row>
    <row r="1356" spans="1:3" x14ac:dyDescent="0.25">
      <c r="A1356" s="2" t="s">
        <v>2713</v>
      </c>
      <c r="B1356" s="143" t="s">
        <v>86</v>
      </c>
      <c r="C1356" s="143" t="s">
        <v>86</v>
      </c>
    </row>
    <row r="1357" spans="1:3" x14ac:dyDescent="0.25">
      <c r="A1357" s="2" t="s">
        <v>2714</v>
      </c>
      <c r="B1357" s="143" t="s">
        <v>86</v>
      </c>
      <c r="C1357" s="143" t="s">
        <v>86</v>
      </c>
    </row>
    <row r="1358" spans="1:3" x14ac:dyDescent="0.25">
      <c r="A1358" s="2" t="s">
        <v>2715</v>
      </c>
      <c r="B1358" s="143" t="s">
        <v>86</v>
      </c>
      <c r="C1358" s="143" t="s">
        <v>86</v>
      </c>
    </row>
    <row r="1359" spans="1:3" x14ac:dyDescent="0.25">
      <c r="A1359" s="2" t="s">
        <v>2716</v>
      </c>
      <c r="B1359" s="143" t="s">
        <v>86</v>
      </c>
      <c r="C1359" s="143" t="s">
        <v>86</v>
      </c>
    </row>
    <row r="1360" spans="1:3" x14ac:dyDescent="0.25">
      <c r="A1360" s="2" t="s">
        <v>2717</v>
      </c>
      <c r="B1360" s="143" t="s">
        <v>86</v>
      </c>
      <c r="C1360" s="143" t="s">
        <v>86</v>
      </c>
    </row>
    <row r="1361" spans="1:3" x14ac:dyDescent="0.25">
      <c r="A1361" s="2" t="s">
        <v>2718</v>
      </c>
      <c r="B1361" s="143" t="s">
        <v>86</v>
      </c>
      <c r="C1361" s="143" t="s">
        <v>86</v>
      </c>
    </row>
    <row r="1362" spans="1:3" x14ac:dyDescent="0.25">
      <c r="A1362" s="2" t="s">
        <v>2719</v>
      </c>
      <c r="B1362" s="143" t="s">
        <v>86</v>
      </c>
      <c r="C1362" s="143">
        <v>-22.168354242542009</v>
      </c>
    </row>
    <row r="1363" spans="1:3" x14ac:dyDescent="0.25">
      <c r="A1363" s="2" t="s">
        <v>2722</v>
      </c>
      <c r="B1363" s="143" t="s">
        <v>86</v>
      </c>
      <c r="C1363" s="143" t="s">
        <v>86</v>
      </c>
    </row>
    <row r="1364" spans="1:3" x14ac:dyDescent="0.25">
      <c r="A1364" s="2" t="s">
        <v>2723</v>
      </c>
      <c r="B1364" s="143" t="s">
        <v>86</v>
      </c>
      <c r="C1364" s="143" t="s">
        <v>86</v>
      </c>
    </row>
    <row r="1365" spans="1:3" x14ac:dyDescent="0.25">
      <c r="A1365" s="2" t="s">
        <v>2720</v>
      </c>
      <c r="B1365" s="143" t="s">
        <v>86</v>
      </c>
      <c r="C1365" s="143" t="s">
        <v>86</v>
      </c>
    </row>
    <row r="1366" spans="1:3" x14ac:dyDescent="0.25">
      <c r="A1366" s="2" t="s">
        <v>2724</v>
      </c>
      <c r="B1366" s="143" t="s">
        <v>86</v>
      </c>
      <c r="C1366" s="143" t="s">
        <v>86</v>
      </c>
    </row>
    <row r="1367" spans="1:3" x14ac:dyDescent="0.25">
      <c r="A1367" s="2" t="s">
        <v>2725</v>
      </c>
      <c r="B1367" s="143" t="s">
        <v>86</v>
      </c>
      <c r="C1367" s="143" t="s">
        <v>86</v>
      </c>
    </row>
    <row r="1368" spans="1:3" x14ac:dyDescent="0.25">
      <c r="A1368" s="2" t="s">
        <v>2726</v>
      </c>
      <c r="B1368" s="143" t="s">
        <v>86</v>
      </c>
      <c r="C1368" s="143" t="s">
        <v>86</v>
      </c>
    </row>
    <row r="1369" spans="1:3" x14ac:dyDescent="0.25">
      <c r="A1369" s="2" t="s">
        <v>2727</v>
      </c>
      <c r="B1369" s="143" t="s">
        <v>86</v>
      </c>
      <c r="C1369" s="143" t="s">
        <v>86</v>
      </c>
    </row>
    <row r="1370" spans="1:3" x14ac:dyDescent="0.25">
      <c r="A1370" s="2" t="s">
        <v>2728</v>
      </c>
      <c r="B1370" s="143" t="s">
        <v>86</v>
      </c>
      <c r="C1370" s="143" t="s">
        <v>86</v>
      </c>
    </row>
    <row r="1371" spans="1:3" x14ac:dyDescent="0.25">
      <c r="A1371" s="2" t="s">
        <v>2729</v>
      </c>
      <c r="B1371" s="143" t="s">
        <v>86</v>
      </c>
      <c r="C1371" s="143" t="s">
        <v>86</v>
      </c>
    </row>
    <row r="1372" spans="1:3" x14ac:dyDescent="0.25">
      <c r="A1372" s="2" t="s">
        <v>2730</v>
      </c>
      <c r="B1372" s="143" t="s">
        <v>86</v>
      </c>
      <c r="C1372" s="143" t="s">
        <v>86</v>
      </c>
    </row>
    <row r="1373" spans="1:3" x14ac:dyDescent="0.25">
      <c r="A1373" s="2" t="s">
        <v>2731</v>
      </c>
      <c r="B1373" s="143" t="s">
        <v>86</v>
      </c>
      <c r="C1373" s="143" t="s">
        <v>86</v>
      </c>
    </row>
    <row r="1374" spans="1:3" x14ac:dyDescent="0.25">
      <c r="A1374" s="2" t="s">
        <v>2732</v>
      </c>
      <c r="B1374" s="143" t="s">
        <v>86</v>
      </c>
      <c r="C1374" s="143" t="s">
        <v>86</v>
      </c>
    </row>
    <row r="1375" spans="1:3" x14ac:dyDescent="0.25">
      <c r="A1375" s="2" t="s">
        <v>2733</v>
      </c>
      <c r="B1375" s="143" t="s">
        <v>86</v>
      </c>
      <c r="C1375" s="143" t="s">
        <v>86</v>
      </c>
    </row>
    <row r="1376" spans="1:3" x14ac:dyDescent="0.25">
      <c r="A1376" s="2" t="s">
        <v>2734</v>
      </c>
      <c r="B1376" s="143" t="s">
        <v>86</v>
      </c>
      <c r="C1376" s="143" t="s">
        <v>86</v>
      </c>
    </row>
    <row r="1377" spans="1:3" x14ac:dyDescent="0.25">
      <c r="A1377" s="2" t="s">
        <v>2735</v>
      </c>
      <c r="B1377" s="143" t="s">
        <v>86</v>
      </c>
      <c r="C1377" s="143" t="s">
        <v>86</v>
      </c>
    </row>
    <row r="1378" spans="1:3" x14ac:dyDescent="0.25">
      <c r="A1378" s="2" t="s">
        <v>2736</v>
      </c>
      <c r="B1378" s="143" t="s">
        <v>86</v>
      </c>
      <c r="C1378" s="143" t="s">
        <v>86</v>
      </c>
    </row>
    <row r="1379" spans="1:3" x14ac:dyDescent="0.25">
      <c r="A1379" s="2" t="s">
        <v>2739</v>
      </c>
      <c r="B1379" s="143" t="s">
        <v>86</v>
      </c>
      <c r="C1379" s="143" t="s">
        <v>86</v>
      </c>
    </row>
    <row r="1380" spans="1:3" x14ac:dyDescent="0.25">
      <c r="A1380" s="2" t="s">
        <v>2740</v>
      </c>
      <c r="B1380" s="143" t="s">
        <v>86</v>
      </c>
      <c r="C1380" s="143" t="s">
        <v>86</v>
      </c>
    </row>
    <row r="1381" spans="1:3" x14ac:dyDescent="0.25">
      <c r="A1381" s="2" t="s">
        <v>2741</v>
      </c>
      <c r="B1381" s="143" t="s">
        <v>86</v>
      </c>
      <c r="C1381" s="143" t="s">
        <v>86</v>
      </c>
    </row>
    <row r="1382" spans="1:3" x14ac:dyDescent="0.25">
      <c r="A1382" s="2" t="s">
        <v>2744</v>
      </c>
      <c r="B1382" s="143" t="s">
        <v>86</v>
      </c>
      <c r="C1382" s="143" t="s">
        <v>86</v>
      </c>
    </row>
    <row r="1383" spans="1:3" x14ac:dyDescent="0.25">
      <c r="A1383" s="2" t="s">
        <v>2746</v>
      </c>
      <c r="B1383" s="143" t="s">
        <v>86</v>
      </c>
      <c r="C1383" s="143" t="s">
        <v>86</v>
      </c>
    </row>
    <row r="1384" spans="1:3" x14ac:dyDescent="0.25">
      <c r="A1384" s="2" t="s">
        <v>2748</v>
      </c>
      <c r="B1384" s="143" t="s">
        <v>86</v>
      </c>
      <c r="C1384" s="143" t="s">
        <v>86</v>
      </c>
    </row>
    <row r="1385" spans="1:3" x14ac:dyDescent="0.25">
      <c r="A1385" s="2" t="s">
        <v>2750</v>
      </c>
      <c r="B1385" s="143" t="s">
        <v>86</v>
      </c>
      <c r="C1385" s="143" t="s">
        <v>86</v>
      </c>
    </row>
    <row r="1386" spans="1:3" x14ac:dyDescent="0.25">
      <c r="A1386" s="2" t="s">
        <v>2752</v>
      </c>
      <c r="B1386" s="143" t="s">
        <v>86</v>
      </c>
      <c r="C1386" s="143" t="s">
        <v>86</v>
      </c>
    </row>
    <row r="1387" spans="1:3" x14ac:dyDescent="0.25">
      <c r="A1387" s="2" t="s">
        <v>2754</v>
      </c>
      <c r="B1387" s="143" t="s">
        <v>86</v>
      </c>
      <c r="C1387" s="143" t="s">
        <v>86</v>
      </c>
    </row>
    <row r="1388" spans="1:3" x14ac:dyDescent="0.25">
      <c r="A1388" s="2" t="s">
        <v>2756</v>
      </c>
      <c r="B1388" s="143" t="s">
        <v>86</v>
      </c>
      <c r="C1388" s="143" t="s">
        <v>86</v>
      </c>
    </row>
    <row r="1389" spans="1:3" x14ac:dyDescent="0.25">
      <c r="A1389" s="2" t="s">
        <v>2758</v>
      </c>
      <c r="B1389" s="143" t="s">
        <v>86</v>
      </c>
      <c r="C1389" s="143" t="s">
        <v>86</v>
      </c>
    </row>
    <row r="1390" spans="1:3" x14ac:dyDescent="0.25">
      <c r="A1390" s="2" t="s">
        <v>2760</v>
      </c>
      <c r="B1390" s="143" t="s">
        <v>86</v>
      </c>
      <c r="C1390" s="143" t="s">
        <v>86</v>
      </c>
    </row>
    <row r="1391" spans="1:3" x14ac:dyDescent="0.25">
      <c r="A1391" s="2" t="s">
        <v>2762</v>
      </c>
      <c r="B1391" s="143" t="s">
        <v>86</v>
      </c>
      <c r="C1391" s="143" t="s">
        <v>86</v>
      </c>
    </row>
    <row r="1392" spans="1:3" x14ac:dyDescent="0.25">
      <c r="A1392" s="2" t="s">
        <v>2764</v>
      </c>
      <c r="B1392" s="143" t="s">
        <v>86</v>
      </c>
      <c r="C1392" s="143" t="s">
        <v>86</v>
      </c>
    </row>
    <row r="1393" spans="1:3" x14ac:dyDescent="0.25">
      <c r="A1393" s="2" t="s">
        <v>2766</v>
      </c>
      <c r="B1393" s="143" t="s">
        <v>86</v>
      </c>
      <c r="C1393" s="143" t="s">
        <v>86</v>
      </c>
    </row>
    <row r="1394" spans="1:3" x14ac:dyDescent="0.25">
      <c r="A1394" s="2" t="s">
        <v>2768</v>
      </c>
      <c r="B1394" s="143" t="s">
        <v>86</v>
      </c>
      <c r="C1394" s="143" t="s">
        <v>86</v>
      </c>
    </row>
    <row r="1395" spans="1:3" x14ac:dyDescent="0.25">
      <c r="A1395" s="2" t="s">
        <v>2770</v>
      </c>
      <c r="B1395" s="143" t="s">
        <v>86</v>
      </c>
      <c r="C1395" s="143" t="s">
        <v>86</v>
      </c>
    </row>
    <row r="1396" spans="1:3" x14ac:dyDescent="0.25">
      <c r="A1396" s="2" t="s">
        <v>2772</v>
      </c>
      <c r="B1396" s="143" t="s">
        <v>86</v>
      </c>
      <c r="C1396" s="143" t="s">
        <v>86</v>
      </c>
    </row>
    <row r="1397" spans="1:3" x14ac:dyDescent="0.25">
      <c r="A1397" s="2" t="s">
        <v>2774</v>
      </c>
      <c r="B1397" s="143" t="s">
        <v>86</v>
      </c>
      <c r="C1397" s="143" t="s">
        <v>86</v>
      </c>
    </row>
    <row r="1398" spans="1:3" x14ac:dyDescent="0.25">
      <c r="A1398" s="2" t="s">
        <v>2776</v>
      </c>
      <c r="B1398" s="143" t="s">
        <v>86</v>
      </c>
      <c r="C1398" s="143" t="s">
        <v>86</v>
      </c>
    </row>
    <row r="1399" spans="1:3" x14ac:dyDescent="0.25">
      <c r="A1399" s="2" t="s">
        <v>2778</v>
      </c>
      <c r="B1399" s="143" t="s">
        <v>86</v>
      </c>
      <c r="C1399" s="143" t="s">
        <v>86</v>
      </c>
    </row>
    <row r="1400" spans="1:3" x14ac:dyDescent="0.25">
      <c r="A1400" s="2" t="s">
        <v>2780</v>
      </c>
      <c r="B1400" s="143" t="s">
        <v>86</v>
      </c>
      <c r="C1400" s="143" t="s">
        <v>86</v>
      </c>
    </row>
    <row r="1401" spans="1:3" x14ac:dyDescent="0.25">
      <c r="A1401" s="2" t="s">
        <v>2782</v>
      </c>
      <c r="B1401" s="143" t="s">
        <v>86</v>
      </c>
      <c r="C1401" s="143" t="s">
        <v>86</v>
      </c>
    </row>
    <row r="1402" spans="1:3" x14ac:dyDescent="0.25">
      <c r="A1402" s="2" t="s">
        <v>2784</v>
      </c>
      <c r="B1402" s="143" t="s">
        <v>86</v>
      </c>
      <c r="C1402" s="143" t="s">
        <v>86</v>
      </c>
    </row>
    <row r="1403" spans="1:3" x14ac:dyDescent="0.25">
      <c r="A1403" s="2" t="s">
        <v>2786</v>
      </c>
      <c r="B1403" s="143" t="s">
        <v>86</v>
      </c>
      <c r="C1403" s="143">
        <v>-48.34421917576136</v>
      </c>
    </row>
    <row r="1404" spans="1:3" x14ac:dyDescent="0.25">
      <c r="A1404" s="2" t="s">
        <v>2788</v>
      </c>
      <c r="B1404" s="143" t="s">
        <v>86</v>
      </c>
      <c r="C1404" s="143" t="s">
        <v>86</v>
      </c>
    </row>
    <row r="1405" spans="1:3" x14ac:dyDescent="0.25">
      <c r="A1405" s="2" t="s">
        <v>2790</v>
      </c>
      <c r="B1405" s="143" t="s">
        <v>86</v>
      </c>
      <c r="C1405" s="143" t="s">
        <v>86</v>
      </c>
    </row>
    <row r="1406" spans="1:3" x14ac:dyDescent="0.25">
      <c r="A1406" s="2" t="s">
        <v>2792</v>
      </c>
      <c r="B1406" s="143" t="s">
        <v>86</v>
      </c>
      <c r="C1406" s="143" t="s">
        <v>86</v>
      </c>
    </row>
    <row r="1407" spans="1:3" x14ac:dyDescent="0.25">
      <c r="A1407" s="2" t="s">
        <v>2794</v>
      </c>
      <c r="B1407" s="143" t="s">
        <v>86</v>
      </c>
      <c r="C1407" s="143" t="s">
        <v>86</v>
      </c>
    </row>
    <row r="1408" spans="1:3" x14ac:dyDescent="0.25">
      <c r="A1408" s="2" t="s">
        <v>2796</v>
      </c>
      <c r="B1408" s="143" t="s">
        <v>86</v>
      </c>
      <c r="C1408" s="143" t="s">
        <v>86</v>
      </c>
    </row>
    <row r="1409" spans="1:3" x14ac:dyDescent="0.25">
      <c r="A1409" s="2" t="s">
        <v>2798</v>
      </c>
      <c r="B1409" s="143" t="s">
        <v>86</v>
      </c>
      <c r="C1409" s="143">
        <v>-7.8308917139165004</v>
      </c>
    </row>
    <row r="1410" spans="1:3" x14ac:dyDescent="0.25">
      <c r="A1410" s="2" t="s">
        <v>2800</v>
      </c>
      <c r="B1410" s="143">
        <v>-5.7080000000000002</v>
      </c>
      <c r="C1410" s="143" t="s">
        <v>86</v>
      </c>
    </row>
    <row r="1411" spans="1:3" x14ac:dyDescent="0.25">
      <c r="A1411" s="2" t="s">
        <v>2802</v>
      </c>
      <c r="B1411" s="143">
        <v>-9.4224999999999994</v>
      </c>
      <c r="C1411" s="143">
        <v>-26.718249587033569</v>
      </c>
    </row>
    <row r="1412" spans="1:3" x14ac:dyDescent="0.25">
      <c r="A1412" s="2" t="s">
        <v>2804</v>
      </c>
      <c r="B1412" s="143">
        <v>-10.920288032301629</v>
      </c>
      <c r="C1412" s="143" t="s">
        <v>86</v>
      </c>
    </row>
    <row r="1413" spans="1:3" x14ac:dyDescent="0.25">
      <c r="A1413" s="2" t="s">
        <v>2806</v>
      </c>
      <c r="B1413" s="143" t="s">
        <v>86</v>
      </c>
      <c r="C1413" s="143" t="s">
        <v>86</v>
      </c>
    </row>
    <row r="1414" spans="1:3" x14ac:dyDescent="0.25">
      <c r="A1414" s="2" t="s">
        <v>2808</v>
      </c>
      <c r="B1414" s="143" t="s">
        <v>86</v>
      </c>
      <c r="C1414" s="143" t="s">
        <v>86</v>
      </c>
    </row>
    <row r="1415" spans="1:3" x14ac:dyDescent="0.25">
      <c r="A1415" s="2" t="s">
        <v>2810</v>
      </c>
      <c r="B1415" s="143">
        <v>-12.726000000000001</v>
      </c>
      <c r="C1415" s="143" t="s">
        <v>86</v>
      </c>
    </row>
    <row r="1416" spans="1:3" x14ac:dyDescent="0.25">
      <c r="A1416" s="2" t="s">
        <v>2812</v>
      </c>
      <c r="B1416" s="143">
        <v>-8.2361111111111107</v>
      </c>
      <c r="C1416" s="143">
        <v>-10.112409671949671</v>
      </c>
    </row>
    <row r="1417" spans="1:3" x14ac:dyDescent="0.25">
      <c r="A1417" s="2" t="s">
        <v>2814</v>
      </c>
      <c r="B1417" s="143" t="s">
        <v>86</v>
      </c>
      <c r="C1417" s="143" t="s">
        <v>86</v>
      </c>
    </row>
    <row r="1418" spans="1:3" x14ac:dyDescent="0.25">
      <c r="A1418" s="2" t="s">
        <v>2816</v>
      </c>
      <c r="B1418" s="143" t="s">
        <v>86</v>
      </c>
      <c r="C1418" s="143">
        <v>-42.73288624715866</v>
      </c>
    </row>
    <row r="1419" spans="1:3" x14ac:dyDescent="0.25">
      <c r="A1419" s="2" t="s">
        <v>2818</v>
      </c>
      <c r="B1419" s="143">
        <v>-7.6670833333333333</v>
      </c>
      <c r="C1419" s="143" t="s">
        <v>86</v>
      </c>
    </row>
    <row r="1420" spans="1:3" x14ac:dyDescent="0.25">
      <c r="A1420" s="2" t="s">
        <v>2820</v>
      </c>
      <c r="B1420" s="143" t="s">
        <v>86</v>
      </c>
      <c r="C1420" s="143" t="s">
        <v>86</v>
      </c>
    </row>
    <row r="1421" spans="1:3" x14ac:dyDescent="0.25">
      <c r="A1421" s="2" t="s">
        <v>2822</v>
      </c>
      <c r="B1421" s="143" t="s">
        <v>86</v>
      </c>
      <c r="C1421" s="143" t="s">
        <v>86</v>
      </c>
    </row>
    <row r="1422" spans="1:3" x14ac:dyDescent="0.25">
      <c r="A1422" s="2" t="s">
        <v>2824</v>
      </c>
      <c r="B1422" s="143" t="s">
        <v>86</v>
      </c>
      <c r="C1422" s="143" t="s">
        <v>86</v>
      </c>
    </row>
    <row r="1423" spans="1:3" x14ac:dyDescent="0.25">
      <c r="A1423" s="2" t="s">
        <v>2826</v>
      </c>
      <c r="B1423" s="143" t="s">
        <v>86</v>
      </c>
      <c r="C1423" s="143" t="s">
        <v>86</v>
      </c>
    </row>
    <row r="1424" spans="1:3" x14ac:dyDescent="0.25">
      <c r="A1424" s="2" t="s">
        <v>2828</v>
      </c>
      <c r="B1424" s="143" t="s">
        <v>86</v>
      </c>
      <c r="C1424" s="143" t="s">
        <v>86</v>
      </c>
    </row>
    <row r="1425" spans="1:3" x14ac:dyDescent="0.25">
      <c r="A1425" s="2" t="s">
        <v>2830</v>
      </c>
      <c r="B1425" s="143" t="s">
        <v>86</v>
      </c>
      <c r="C1425" s="143" t="s">
        <v>86</v>
      </c>
    </row>
    <row r="1426" spans="1:3" x14ac:dyDescent="0.25">
      <c r="A1426" s="2" t="s">
        <v>2832</v>
      </c>
      <c r="B1426" s="143" t="s">
        <v>86</v>
      </c>
      <c r="C1426" s="143" t="s">
        <v>86</v>
      </c>
    </row>
    <row r="1427" spans="1:3" x14ac:dyDescent="0.25">
      <c r="A1427" s="2" t="s">
        <v>2834</v>
      </c>
      <c r="B1427" s="143" t="s">
        <v>86</v>
      </c>
      <c r="C1427" s="143" t="s">
        <v>86</v>
      </c>
    </row>
    <row r="1428" spans="1:3" x14ac:dyDescent="0.25">
      <c r="A1428" s="2" t="s">
        <v>2836</v>
      </c>
      <c r="B1428" s="143" t="s">
        <v>86</v>
      </c>
      <c r="C1428" s="143" t="s">
        <v>86</v>
      </c>
    </row>
    <row r="1429" spans="1:3" x14ac:dyDescent="0.25">
      <c r="A1429" s="2" t="s">
        <v>2838</v>
      </c>
      <c r="B1429" s="143" t="s">
        <v>86</v>
      </c>
      <c r="C1429" s="143" t="s">
        <v>86</v>
      </c>
    </row>
    <row r="1430" spans="1:3" x14ac:dyDescent="0.25">
      <c r="A1430" s="2" t="s">
        <v>2840</v>
      </c>
      <c r="B1430" s="143" t="s">
        <v>86</v>
      </c>
      <c r="C1430" s="143" t="s">
        <v>86</v>
      </c>
    </row>
    <row r="1431" spans="1:3" x14ac:dyDescent="0.25">
      <c r="A1431" s="2" t="s">
        <v>2842</v>
      </c>
      <c r="B1431" s="143" t="s">
        <v>86</v>
      </c>
      <c r="C1431" s="143" t="s">
        <v>86</v>
      </c>
    </row>
    <row r="1432" spans="1:3" x14ac:dyDescent="0.25">
      <c r="A1432" s="2" t="s">
        <v>2844</v>
      </c>
      <c r="B1432" s="143" t="s">
        <v>86</v>
      </c>
      <c r="C1432" s="143" t="s">
        <v>86</v>
      </c>
    </row>
    <row r="1433" spans="1:3" x14ac:dyDescent="0.25">
      <c r="A1433" s="2" t="s">
        <v>2846</v>
      </c>
      <c r="B1433" s="143" t="s">
        <v>86</v>
      </c>
      <c r="C1433" s="143" t="s">
        <v>86</v>
      </c>
    </row>
    <row r="1434" spans="1:3" x14ac:dyDescent="0.25">
      <c r="A1434" s="2" t="s">
        <v>2848</v>
      </c>
      <c r="B1434" s="143" t="s">
        <v>86</v>
      </c>
      <c r="C1434" s="143" t="s">
        <v>86</v>
      </c>
    </row>
    <row r="1435" spans="1:3" x14ac:dyDescent="0.25">
      <c r="A1435" s="2" t="s">
        <v>2850</v>
      </c>
      <c r="B1435" s="143" t="s">
        <v>86</v>
      </c>
      <c r="C1435" s="143" t="s">
        <v>86</v>
      </c>
    </row>
    <row r="1436" spans="1:3" x14ac:dyDescent="0.25">
      <c r="A1436" s="2" t="s">
        <v>2852</v>
      </c>
      <c r="B1436" s="143" t="s">
        <v>86</v>
      </c>
      <c r="C1436" s="143" t="s">
        <v>86</v>
      </c>
    </row>
    <row r="1437" spans="1:3" x14ac:dyDescent="0.25">
      <c r="A1437" s="2" t="s">
        <v>2854</v>
      </c>
      <c r="B1437" s="143" t="s">
        <v>86</v>
      </c>
      <c r="C1437" s="143" t="s">
        <v>86</v>
      </c>
    </row>
    <row r="1438" spans="1:3" x14ac:dyDescent="0.25">
      <c r="A1438" s="2" t="s">
        <v>2856</v>
      </c>
      <c r="B1438" s="143" t="s">
        <v>86</v>
      </c>
      <c r="C1438" s="143" t="s">
        <v>86</v>
      </c>
    </row>
    <row r="1439" spans="1:3" x14ac:dyDescent="0.25">
      <c r="A1439" s="2" t="s">
        <v>2858</v>
      </c>
      <c r="B1439" s="143" t="s">
        <v>86</v>
      </c>
      <c r="C1439" s="143" t="s">
        <v>86</v>
      </c>
    </row>
    <row r="1440" spans="1:3" x14ac:dyDescent="0.25">
      <c r="A1440" s="2" t="s">
        <v>2860</v>
      </c>
      <c r="B1440" s="143" t="s">
        <v>86</v>
      </c>
      <c r="C1440" s="143" t="s">
        <v>86</v>
      </c>
    </row>
    <row r="1441" spans="1:3" x14ac:dyDescent="0.25">
      <c r="A1441" s="2" t="s">
        <v>2862</v>
      </c>
      <c r="B1441" s="143" t="s">
        <v>86</v>
      </c>
      <c r="C1441" s="143" t="s">
        <v>86</v>
      </c>
    </row>
    <row r="1442" spans="1:3" x14ac:dyDescent="0.25">
      <c r="A1442" s="2" t="s">
        <v>2864</v>
      </c>
      <c r="B1442" s="143" t="s">
        <v>86</v>
      </c>
      <c r="C1442" s="143" t="s">
        <v>86</v>
      </c>
    </row>
    <row r="1443" spans="1:3" x14ac:dyDescent="0.25">
      <c r="A1443" s="2" t="s">
        <v>2866</v>
      </c>
      <c r="B1443" s="143" t="s">
        <v>86</v>
      </c>
      <c r="C1443" s="143">
        <v>-39.126394339871602</v>
      </c>
    </row>
    <row r="1444" spans="1:3" x14ac:dyDescent="0.25">
      <c r="A1444" s="2" t="s">
        <v>2868</v>
      </c>
      <c r="B1444" s="143" t="s">
        <v>86</v>
      </c>
      <c r="C1444" s="143" t="s">
        <v>86</v>
      </c>
    </row>
    <row r="1445" spans="1:3" x14ac:dyDescent="0.25">
      <c r="A1445" s="2" t="s">
        <v>2870</v>
      </c>
      <c r="B1445" s="143" t="s">
        <v>86</v>
      </c>
      <c r="C1445" s="143" t="s">
        <v>86</v>
      </c>
    </row>
    <row r="1446" spans="1:3" x14ac:dyDescent="0.25">
      <c r="A1446" s="2" t="s">
        <v>2872</v>
      </c>
      <c r="B1446" s="143" t="s">
        <v>86</v>
      </c>
      <c r="C1446" s="143" t="s">
        <v>86</v>
      </c>
    </row>
    <row r="1447" spans="1:3" x14ac:dyDescent="0.25">
      <c r="A1447" s="2" t="s">
        <v>2874</v>
      </c>
      <c r="B1447" s="143" t="s">
        <v>86</v>
      </c>
      <c r="C1447" s="143" t="s">
        <v>86</v>
      </c>
    </row>
    <row r="1448" spans="1:3" x14ac:dyDescent="0.25">
      <c r="A1448" s="2" t="s">
        <v>2876</v>
      </c>
      <c r="B1448" s="143" t="s">
        <v>86</v>
      </c>
      <c r="C1448" s="143" t="s">
        <v>86</v>
      </c>
    </row>
    <row r="1449" spans="1:3" x14ac:dyDescent="0.25">
      <c r="A1449" s="2" t="s">
        <v>2878</v>
      </c>
      <c r="B1449" s="143" t="s">
        <v>86</v>
      </c>
      <c r="C1449" s="143" t="s">
        <v>86</v>
      </c>
    </row>
    <row r="1450" spans="1:3" x14ac:dyDescent="0.25">
      <c r="A1450" s="2" t="s">
        <v>2880</v>
      </c>
      <c r="B1450" s="143" t="s">
        <v>86</v>
      </c>
      <c r="C1450" s="143" t="s">
        <v>86</v>
      </c>
    </row>
    <row r="1451" spans="1:3" x14ac:dyDescent="0.25">
      <c r="A1451" s="2" t="s">
        <v>2882</v>
      </c>
      <c r="B1451" s="143" t="s">
        <v>86</v>
      </c>
      <c r="C1451" s="143">
        <v>-24.653160428637989</v>
      </c>
    </row>
    <row r="1452" spans="1:3" x14ac:dyDescent="0.25">
      <c r="A1452" s="2" t="s">
        <v>2884</v>
      </c>
      <c r="B1452" s="143">
        <v>-6.2727162698412693</v>
      </c>
      <c r="C1452" s="143" t="s">
        <v>86</v>
      </c>
    </row>
    <row r="1453" spans="1:3" x14ac:dyDescent="0.25">
      <c r="A1453" s="2" t="s">
        <v>2886</v>
      </c>
      <c r="B1453" s="143" t="s">
        <v>86</v>
      </c>
      <c r="C1453" s="143">
        <v>-20.38951135834192</v>
      </c>
    </row>
    <row r="1454" spans="1:3" x14ac:dyDescent="0.25">
      <c r="A1454" s="2" t="s">
        <v>2888</v>
      </c>
      <c r="B1454" s="143" t="s">
        <v>86</v>
      </c>
      <c r="C1454" s="143" t="s">
        <v>86</v>
      </c>
    </row>
    <row r="1455" spans="1:3" x14ac:dyDescent="0.25">
      <c r="A1455" s="2" t="s">
        <v>2890</v>
      </c>
      <c r="B1455" s="143" t="s">
        <v>86</v>
      </c>
      <c r="C1455" s="143">
        <v>-27.433801126657169</v>
      </c>
    </row>
    <row r="1456" spans="1:3" x14ac:dyDescent="0.25">
      <c r="A1456" s="2" t="s">
        <v>2892</v>
      </c>
      <c r="B1456" s="143">
        <v>-17.67005102040816</v>
      </c>
      <c r="C1456" s="143">
        <v>-33.921962755368568</v>
      </c>
    </row>
    <row r="1457" spans="1:3" x14ac:dyDescent="0.25">
      <c r="A1457" s="2" t="s">
        <v>2894</v>
      </c>
      <c r="B1457" s="143" t="s">
        <v>86</v>
      </c>
      <c r="C1457" s="143" t="s">
        <v>86</v>
      </c>
    </row>
    <row r="1458" spans="1:3" x14ac:dyDescent="0.25">
      <c r="A1458" s="2" t="s">
        <v>2896</v>
      </c>
      <c r="B1458" s="143" t="s">
        <v>86</v>
      </c>
      <c r="C1458" s="143" t="s">
        <v>86</v>
      </c>
    </row>
    <row r="1459" spans="1:3" x14ac:dyDescent="0.25">
      <c r="A1459" s="2" t="s">
        <v>2898</v>
      </c>
      <c r="B1459" s="143" t="s">
        <v>86</v>
      </c>
      <c r="C1459" s="143" t="s">
        <v>86</v>
      </c>
    </row>
    <row r="1460" spans="1:3" x14ac:dyDescent="0.25">
      <c r="A1460" s="2" t="s">
        <v>2900</v>
      </c>
      <c r="B1460" s="143" t="s">
        <v>86</v>
      </c>
      <c r="C1460" s="143" t="s">
        <v>86</v>
      </c>
    </row>
    <row r="1461" spans="1:3" x14ac:dyDescent="0.25">
      <c r="A1461" s="2" t="s">
        <v>2902</v>
      </c>
      <c r="B1461" s="143" t="s">
        <v>86</v>
      </c>
      <c r="C1461" s="143">
        <v>-77.724468791031924</v>
      </c>
    </row>
    <row r="1462" spans="1:3" x14ac:dyDescent="0.25">
      <c r="A1462" s="2" t="s">
        <v>2904</v>
      </c>
      <c r="B1462" s="143" t="s">
        <v>86</v>
      </c>
      <c r="C1462" s="143" t="s">
        <v>86</v>
      </c>
    </row>
    <row r="1463" spans="1:3" x14ac:dyDescent="0.25">
      <c r="A1463" s="2" t="s">
        <v>2906</v>
      </c>
      <c r="B1463" s="143" t="s">
        <v>86</v>
      </c>
      <c r="C1463" s="143" t="s">
        <v>86</v>
      </c>
    </row>
    <row r="1464" spans="1:3" x14ac:dyDescent="0.25">
      <c r="A1464" s="2" t="s">
        <v>2908</v>
      </c>
      <c r="B1464" s="143" t="s">
        <v>86</v>
      </c>
      <c r="C1464" s="143" t="s">
        <v>86</v>
      </c>
    </row>
    <row r="1465" spans="1:3" x14ac:dyDescent="0.25">
      <c r="A1465" s="2" t="s">
        <v>2910</v>
      </c>
      <c r="B1465" s="143" t="s">
        <v>86</v>
      </c>
      <c r="C1465" s="143" t="s">
        <v>86</v>
      </c>
    </row>
    <row r="1466" spans="1:3" x14ac:dyDescent="0.25">
      <c r="A1466" s="2" t="s">
        <v>2912</v>
      </c>
      <c r="B1466" s="143" t="s">
        <v>86</v>
      </c>
      <c r="C1466" s="143" t="s">
        <v>86</v>
      </c>
    </row>
    <row r="1467" spans="1:3" x14ac:dyDescent="0.25">
      <c r="A1467" s="2" t="s">
        <v>2914</v>
      </c>
      <c r="B1467" s="143" t="s">
        <v>86</v>
      </c>
      <c r="C1467" s="143" t="s">
        <v>86</v>
      </c>
    </row>
    <row r="1468" spans="1:3" x14ac:dyDescent="0.25">
      <c r="A1468" s="2" t="s">
        <v>2916</v>
      </c>
      <c r="B1468" s="143" t="s">
        <v>86</v>
      </c>
      <c r="C1468" s="143" t="s">
        <v>86</v>
      </c>
    </row>
    <row r="1469" spans="1:3" x14ac:dyDescent="0.25">
      <c r="A1469" s="2" t="s">
        <v>2918</v>
      </c>
      <c r="B1469" s="143" t="s">
        <v>86</v>
      </c>
      <c r="C1469" s="143" t="s">
        <v>86</v>
      </c>
    </row>
    <row r="1470" spans="1:3" x14ac:dyDescent="0.25">
      <c r="A1470" s="2" t="s">
        <v>2920</v>
      </c>
      <c r="B1470" s="143" t="s">
        <v>86</v>
      </c>
      <c r="C1470" s="143" t="s">
        <v>86</v>
      </c>
    </row>
    <row r="1471" spans="1:3" x14ac:dyDescent="0.25">
      <c r="A1471" s="2" t="s">
        <v>2922</v>
      </c>
      <c r="B1471" s="143" t="s">
        <v>86</v>
      </c>
      <c r="C1471" s="143" t="s">
        <v>86</v>
      </c>
    </row>
    <row r="1472" spans="1:3" x14ac:dyDescent="0.25">
      <c r="A1472" s="2" t="s">
        <v>2924</v>
      </c>
      <c r="B1472" s="143" t="s">
        <v>86</v>
      </c>
      <c r="C1472" s="143" t="s">
        <v>86</v>
      </c>
    </row>
    <row r="1473" spans="1:3" x14ac:dyDescent="0.25">
      <c r="A1473" s="2" t="s">
        <v>2926</v>
      </c>
      <c r="B1473" s="143" t="s">
        <v>86</v>
      </c>
      <c r="C1473" s="143" t="s">
        <v>86</v>
      </c>
    </row>
    <row r="1474" spans="1:3" x14ac:dyDescent="0.25">
      <c r="A1474" s="2" t="s">
        <v>2928</v>
      </c>
      <c r="B1474" s="143" t="s">
        <v>86</v>
      </c>
      <c r="C1474" s="143" t="s">
        <v>86</v>
      </c>
    </row>
    <row r="1475" spans="1:3" x14ac:dyDescent="0.25">
      <c r="A1475" s="2" t="s">
        <v>2930</v>
      </c>
      <c r="B1475" s="143" t="s">
        <v>86</v>
      </c>
      <c r="C1475" s="143">
        <v>-16.95804009732959</v>
      </c>
    </row>
    <row r="1476" spans="1:3" x14ac:dyDescent="0.25">
      <c r="A1476" s="2" t="s">
        <v>2932</v>
      </c>
      <c r="B1476" s="143" t="s">
        <v>86</v>
      </c>
      <c r="C1476" s="143" t="s">
        <v>86</v>
      </c>
    </row>
    <row r="1477" spans="1:3" x14ac:dyDescent="0.25">
      <c r="A1477" s="2" t="s">
        <v>2934</v>
      </c>
      <c r="B1477" s="143" t="s">
        <v>86</v>
      </c>
      <c r="C1477" s="143" t="s">
        <v>86</v>
      </c>
    </row>
    <row r="1478" spans="1:3" x14ac:dyDescent="0.25">
      <c r="A1478" s="2" t="s">
        <v>2936</v>
      </c>
      <c r="B1478" s="143" t="s">
        <v>86</v>
      </c>
      <c r="C1478" s="143" t="s">
        <v>86</v>
      </c>
    </row>
    <row r="1479" spans="1:3" x14ac:dyDescent="0.25">
      <c r="A1479" s="2" t="s">
        <v>2938</v>
      </c>
      <c r="B1479" s="143" t="s">
        <v>86</v>
      </c>
      <c r="C1479" s="143" t="s">
        <v>86</v>
      </c>
    </row>
    <row r="1480" spans="1:3" x14ac:dyDescent="0.25">
      <c r="A1480" s="2" t="s">
        <v>2940</v>
      </c>
      <c r="B1480" s="143" t="s">
        <v>86</v>
      </c>
      <c r="C1480" s="143" t="s">
        <v>86</v>
      </c>
    </row>
    <row r="1481" spans="1:3" x14ac:dyDescent="0.25">
      <c r="A1481" s="2" t="s">
        <v>2942</v>
      </c>
      <c r="B1481" s="143" t="s">
        <v>86</v>
      </c>
      <c r="C1481" s="143" t="s">
        <v>86</v>
      </c>
    </row>
    <row r="1482" spans="1:3" x14ac:dyDescent="0.25">
      <c r="A1482" s="2" t="s">
        <v>2944</v>
      </c>
      <c r="B1482" s="143" t="s">
        <v>86</v>
      </c>
      <c r="C1482" s="143" t="s">
        <v>86</v>
      </c>
    </row>
    <row r="1483" spans="1:3" x14ac:dyDescent="0.25">
      <c r="A1483" s="2" t="s">
        <v>2946</v>
      </c>
      <c r="B1483" s="143" t="s">
        <v>86</v>
      </c>
      <c r="C1483" s="143" t="s">
        <v>86</v>
      </c>
    </row>
    <row r="1484" spans="1:3" x14ac:dyDescent="0.25">
      <c r="A1484" s="2" t="s">
        <v>2948</v>
      </c>
      <c r="B1484" s="143" t="s">
        <v>86</v>
      </c>
      <c r="C1484" s="143" t="s">
        <v>86</v>
      </c>
    </row>
    <row r="1485" spans="1:3" x14ac:dyDescent="0.25">
      <c r="A1485" s="2" t="s">
        <v>2950</v>
      </c>
      <c r="B1485" s="143" t="s">
        <v>86</v>
      </c>
      <c r="C1485" s="143" t="s">
        <v>86</v>
      </c>
    </row>
    <row r="1486" spans="1:3" x14ac:dyDescent="0.25">
      <c r="A1486" s="2" t="s">
        <v>2952</v>
      </c>
      <c r="B1486" s="143" t="s">
        <v>86</v>
      </c>
      <c r="C1486" s="143" t="s">
        <v>86</v>
      </c>
    </row>
    <row r="1487" spans="1:3" x14ac:dyDescent="0.25">
      <c r="A1487" s="2" t="s">
        <v>2953</v>
      </c>
      <c r="B1487" s="143">
        <v>-1.6428212893344469</v>
      </c>
      <c r="C1487" s="143" t="s">
        <v>86</v>
      </c>
    </row>
    <row r="1488" spans="1:3" x14ac:dyDescent="0.25">
      <c r="A1488" s="2" t="s">
        <v>2955</v>
      </c>
      <c r="B1488" s="143">
        <v>-0.66315789473684206</v>
      </c>
      <c r="C1488" s="143" t="s">
        <v>86</v>
      </c>
    </row>
    <row r="1489" spans="1:3" x14ac:dyDescent="0.25">
      <c r="A1489" s="2" t="s">
        <v>2957</v>
      </c>
      <c r="B1489" s="143">
        <v>-0.5</v>
      </c>
      <c r="C1489" s="143" t="s">
        <v>86</v>
      </c>
    </row>
    <row r="1490" spans="1:3" x14ac:dyDescent="0.25">
      <c r="A1490" s="2" t="s">
        <v>2959</v>
      </c>
      <c r="B1490" s="143">
        <v>-0.76875000000000004</v>
      </c>
      <c r="C1490" s="143" t="s">
        <v>86</v>
      </c>
    </row>
    <row r="1491" spans="1:3" x14ac:dyDescent="0.25">
      <c r="A1491" s="2" t="s">
        <v>2961</v>
      </c>
      <c r="B1491" s="143" t="s">
        <v>86</v>
      </c>
      <c r="C1491" s="143" t="s">
        <v>86</v>
      </c>
    </row>
    <row r="1492" spans="1:3" x14ac:dyDescent="0.25">
      <c r="A1492" s="2" t="s">
        <v>2963</v>
      </c>
      <c r="B1492" s="143" t="s">
        <v>86</v>
      </c>
      <c r="C1492" s="143" t="s">
        <v>86</v>
      </c>
    </row>
    <row r="1493" spans="1:3" x14ac:dyDescent="0.25">
      <c r="A1493" s="2" t="s">
        <v>2965</v>
      </c>
      <c r="B1493" s="143" t="s">
        <v>86</v>
      </c>
      <c r="C1493" s="143" t="s">
        <v>86</v>
      </c>
    </row>
    <row r="1494" spans="1:3" x14ac:dyDescent="0.25">
      <c r="A1494" s="2" t="s">
        <v>2967</v>
      </c>
      <c r="B1494" s="143" t="s">
        <v>86</v>
      </c>
      <c r="C1494" s="143" t="s">
        <v>86</v>
      </c>
    </row>
    <row r="1495" spans="1:3" x14ac:dyDescent="0.25">
      <c r="A1495" s="2" t="s">
        <v>2969</v>
      </c>
      <c r="B1495" s="143" t="s">
        <v>86</v>
      </c>
      <c r="C1495" s="143" t="s">
        <v>86</v>
      </c>
    </row>
    <row r="1496" spans="1:3" x14ac:dyDescent="0.25">
      <c r="A1496" s="2" t="s">
        <v>2971</v>
      </c>
      <c r="B1496" s="143">
        <v>-8.5904500000000006</v>
      </c>
      <c r="C1496" s="143" t="s">
        <v>86</v>
      </c>
    </row>
    <row r="1497" spans="1:3" x14ac:dyDescent="0.25">
      <c r="A1497" s="2" t="s">
        <v>2972</v>
      </c>
      <c r="B1497" s="143" t="s">
        <v>86</v>
      </c>
      <c r="C1497" s="143" t="s">
        <v>86</v>
      </c>
    </row>
    <row r="1498" spans="1:3" x14ac:dyDescent="0.25">
      <c r="A1498" s="2" t="s">
        <v>2974</v>
      </c>
      <c r="B1498" s="143" t="s">
        <v>86</v>
      </c>
      <c r="C1498" s="143" t="s">
        <v>86</v>
      </c>
    </row>
    <row r="1499" spans="1:3" x14ac:dyDescent="0.25">
      <c r="A1499" s="2" t="s">
        <v>2976</v>
      </c>
      <c r="B1499" s="143" t="s">
        <v>86</v>
      </c>
      <c r="C1499" s="143" t="s">
        <v>86</v>
      </c>
    </row>
    <row r="1500" spans="1:3" x14ac:dyDescent="0.25">
      <c r="A1500" s="2" t="s">
        <v>2977</v>
      </c>
      <c r="B1500" s="143" t="s">
        <v>86</v>
      </c>
      <c r="C1500" s="143" t="s">
        <v>86</v>
      </c>
    </row>
    <row r="1501" spans="1:3" x14ac:dyDescent="0.25">
      <c r="A1501" s="2" t="s">
        <v>2979</v>
      </c>
      <c r="B1501" s="143" t="s">
        <v>86</v>
      </c>
      <c r="C1501" s="143" t="s">
        <v>86</v>
      </c>
    </row>
    <row r="1502" spans="1:3" x14ac:dyDescent="0.25">
      <c r="A1502" s="2" t="s">
        <v>2981</v>
      </c>
      <c r="B1502" s="143" t="s">
        <v>86</v>
      </c>
      <c r="C1502" s="143" t="s">
        <v>86</v>
      </c>
    </row>
    <row r="1503" spans="1:3" x14ac:dyDescent="0.25">
      <c r="A1503" s="2" t="s">
        <v>2983</v>
      </c>
      <c r="B1503" s="143" t="s">
        <v>86</v>
      </c>
      <c r="C1503" s="143" t="s">
        <v>86</v>
      </c>
    </row>
    <row r="1504" spans="1:3" x14ac:dyDescent="0.25">
      <c r="A1504" s="2" t="s">
        <v>2985</v>
      </c>
      <c r="B1504" s="143" t="s">
        <v>86</v>
      </c>
      <c r="C1504" s="143" t="s">
        <v>86</v>
      </c>
    </row>
    <row r="1505" spans="1:3" x14ac:dyDescent="0.25">
      <c r="A1505" s="2" t="s">
        <v>2987</v>
      </c>
      <c r="B1505" s="143" t="s">
        <v>86</v>
      </c>
      <c r="C1505" s="143" t="s">
        <v>86</v>
      </c>
    </row>
    <row r="1506" spans="1:3" x14ac:dyDescent="0.25">
      <c r="A1506" s="2" t="s">
        <v>2989</v>
      </c>
      <c r="B1506" s="143" t="s">
        <v>86</v>
      </c>
      <c r="C1506" s="143" t="s">
        <v>86</v>
      </c>
    </row>
    <row r="1507" spans="1:3" x14ac:dyDescent="0.25">
      <c r="A1507" s="2" t="s">
        <v>2992</v>
      </c>
      <c r="B1507" s="143">
        <v>-1.19</v>
      </c>
      <c r="C1507" s="143" t="s">
        <v>86</v>
      </c>
    </row>
    <row r="1508" spans="1:3" x14ac:dyDescent="0.25">
      <c r="A1508" s="2" t="s">
        <v>2993</v>
      </c>
      <c r="B1508" s="143" t="s">
        <v>86</v>
      </c>
      <c r="C1508" s="143" t="s">
        <v>86</v>
      </c>
    </row>
    <row r="1509" spans="1:3" x14ac:dyDescent="0.25">
      <c r="A1509" s="8" t="s">
        <v>2994</v>
      </c>
      <c r="B1509" s="143" t="s">
        <v>86</v>
      </c>
      <c r="C1509" s="143" t="s">
        <v>86</v>
      </c>
    </row>
    <row r="1510" spans="1:3" x14ac:dyDescent="0.25">
      <c r="A1510" s="2" t="s">
        <v>3061</v>
      </c>
      <c r="B1510" s="143" t="s">
        <v>86</v>
      </c>
      <c r="C1510" s="143" t="s">
        <v>86</v>
      </c>
    </row>
    <row r="1511" spans="1:3" x14ac:dyDescent="0.25">
      <c r="A1511" s="2" t="s">
        <v>3062</v>
      </c>
      <c r="B1511" s="143" t="s">
        <v>86</v>
      </c>
      <c r="C1511" s="143" t="s">
        <v>86</v>
      </c>
    </row>
    <row r="1512" spans="1:3" x14ac:dyDescent="0.25">
      <c r="A1512" s="2" t="s">
        <v>3063</v>
      </c>
      <c r="B1512" s="143">
        <v>-1.166878245614035</v>
      </c>
      <c r="C1512" s="143" t="s">
        <v>86</v>
      </c>
    </row>
    <row r="1513" spans="1:3" x14ac:dyDescent="0.25">
      <c r="A1513" s="2" t="s">
        <v>3064</v>
      </c>
      <c r="B1513" s="143">
        <v>-0.74541904761904776</v>
      </c>
      <c r="C1513" s="143" t="s">
        <v>86</v>
      </c>
    </row>
    <row r="1514" spans="1:3" x14ac:dyDescent="0.25">
      <c r="A1514" s="2" t="s">
        <v>3065</v>
      </c>
      <c r="B1514" s="143" t="s">
        <v>86</v>
      </c>
      <c r="C1514" s="143" t="s">
        <v>86</v>
      </c>
    </row>
    <row r="1515" spans="1:3" x14ac:dyDescent="0.25">
      <c r="A1515" s="2" t="s">
        <v>3066</v>
      </c>
      <c r="B1515" s="143" t="s">
        <v>86</v>
      </c>
      <c r="C1515" s="143" t="s">
        <v>86</v>
      </c>
    </row>
    <row r="1516" spans="1:3" x14ac:dyDescent="0.25">
      <c r="A1516" s="2" t="s">
        <v>3068</v>
      </c>
      <c r="B1516" s="143" t="s">
        <v>86</v>
      </c>
      <c r="C1516" s="143" t="s">
        <v>86</v>
      </c>
    </row>
    <row r="1517" spans="1:3" x14ac:dyDescent="0.25">
      <c r="A1517" s="2" t="s">
        <v>3069</v>
      </c>
      <c r="B1517" s="143" t="s">
        <v>86</v>
      </c>
      <c r="C1517" s="143" t="s">
        <v>86</v>
      </c>
    </row>
    <row r="1518" spans="1:3" x14ac:dyDescent="0.25">
      <c r="A1518" s="2" t="s">
        <v>3070</v>
      </c>
      <c r="B1518" s="143" t="s">
        <v>86</v>
      </c>
      <c r="C1518" s="143" t="s">
        <v>86</v>
      </c>
    </row>
    <row r="1519" spans="1:3" x14ac:dyDescent="0.25">
      <c r="A1519" s="2" t="s">
        <v>3071</v>
      </c>
      <c r="B1519" s="143" t="s">
        <v>86</v>
      </c>
      <c r="C1519" s="143" t="s">
        <v>86</v>
      </c>
    </row>
    <row r="1520" spans="1:3" x14ac:dyDescent="0.25">
      <c r="A1520" s="2" t="s">
        <v>3072</v>
      </c>
      <c r="B1520" s="143" t="s">
        <v>86</v>
      </c>
      <c r="C1520" s="143" t="s">
        <v>86</v>
      </c>
    </row>
    <row r="1521" spans="1:3" x14ac:dyDescent="0.25">
      <c r="A1521" s="2" t="s">
        <v>3073</v>
      </c>
      <c r="B1521" s="143" t="s">
        <v>86</v>
      </c>
      <c r="C1521" s="143" t="s">
        <v>86</v>
      </c>
    </row>
    <row r="1522" spans="1:3" x14ac:dyDescent="0.25">
      <c r="A1522" s="2" t="s">
        <v>3074</v>
      </c>
      <c r="B1522" s="143" t="s">
        <v>86</v>
      </c>
      <c r="C1522" s="143" t="s">
        <v>86</v>
      </c>
    </row>
    <row r="1523" spans="1:3" x14ac:dyDescent="0.25">
      <c r="A1523" s="2" t="s">
        <v>3075</v>
      </c>
      <c r="B1523" s="143" t="s">
        <v>86</v>
      </c>
      <c r="C1523" s="143" t="s">
        <v>86</v>
      </c>
    </row>
    <row r="1524" spans="1:3" x14ac:dyDescent="0.25">
      <c r="A1524" s="2" t="s">
        <v>3076</v>
      </c>
      <c r="B1524" s="143" t="s">
        <v>86</v>
      </c>
      <c r="C1524" s="143" t="s">
        <v>86</v>
      </c>
    </row>
    <row r="1525" spans="1:3" x14ac:dyDescent="0.25">
      <c r="A1525" s="2" t="s">
        <v>3077</v>
      </c>
      <c r="B1525" s="143" t="s">
        <v>86</v>
      </c>
      <c r="C1525" s="143" t="s">
        <v>86</v>
      </c>
    </row>
    <row r="1526" spans="1:3" x14ac:dyDescent="0.25">
      <c r="A1526" s="2" t="s">
        <v>3078</v>
      </c>
      <c r="B1526" s="143" t="s">
        <v>86</v>
      </c>
      <c r="C1526" s="143" t="s">
        <v>86</v>
      </c>
    </row>
    <row r="1527" spans="1:3" x14ac:dyDescent="0.25">
      <c r="A1527" s="2" t="s">
        <v>3079</v>
      </c>
      <c r="B1527" s="143" t="s">
        <v>86</v>
      </c>
      <c r="C1527" s="143" t="s">
        <v>86</v>
      </c>
    </row>
    <row r="1528" spans="1:3" x14ac:dyDescent="0.25">
      <c r="A1528" s="2" t="s">
        <v>3080</v>
      </c>
      <c r="B1528" s="143" t="s">
        <v>86</v>
      </c>
      <c r="C1528" s="143" t="s">
        <v>86</v>
      </c>
    </row>
    <row r="1529" spans="1:3" x14ac:dyDescent="0.25">
      <c r="A1529" s="2" t="s">
        <v>3081</v>
      </c>
      <c r="B1529" s="143" t="s">
        <v>86</v>
      </c>
      <c r="C1529" s="143" t="s">
        <v>86</v>
      </c>
    </row>
    <row r="1530" spans="1:3" x14ac:dyDescent="0.25">
      <c r="A1530" s="2" t="s">
        <v>3082</v>
      </c>
      <c r="B1530" s="143" t="s">
        <v>86</v>
      </c>
      <c r="C1530" s="143" t="s">
        <v>86</v>
      </c>
    </row>
    <row r="1531" spans="1:3" x14ac:dyDescent="0.25">
      <c r="A1531" s="2" t="s">
        <v>3083</v>
      </c>
      <c r="B1531" s="143" t="s">
        <v>86</v>
      </c>
      <c r="C1531" s="143" t="s">
        <v>86</v>
      </c>
    </row>
    <row r="1532" spans="1:3" x14ac:dyDescent="0.25">
      <c r="A1532" s="2" t="s">
        <v>3084</v>
      </c>
      <c r="B1532" s="143" t="s">
        <v>86</v>
      </c>
      <c r="C1532" s="143" t="s">
        <v>86</v>
      </c>
    </row>
    <row r="1533" spans="1:3" x14ac:dyDescent="0.25">
      <c r="A1533" s="2" t="s">
        <v>3085</v>
      </c>
      <c r="B1533" s="143" t="s">
        <v>86</v>
      </c>
      <c r="C1533" s="143" t="s">
        <v>86</v>
      </c>
    </row>
    <row r="1534" spans="1:3" x14ac:dyDescent="0.25">
      <c r="A1534" s="2" t="s">
        <v>3086</v>
      </c>
      <c r="B1534" s="143" t="s">
        <v>86</v>
      </c>
      <c r="C1534" s="143" t="s">
        <v>86</v>
      </c>
    </row>
    <row r="1535" spans="1:3" x14ac:dyDescent="0.25">
      <c r="A1535" s="2" t="s">
        <v>3087</v>
      </c>
      <c r="B1535" s="143" t="s">
        <v>86</v>
      </c>
      <c r="C1535" s="143" t="s">
        <v>86</v>
      </c>
    </row>
    <row r="1536" spans="1:3" x14ac:dyDescent="0.25">
      <c r="A1536" s="2" t="s">
        <v>3088</v>
      </c>
      <c r="B1536" s="143" t="s">
        <v>86</v>
      </c>
      <c r="C1536" s="143" t="s">
        <v>86</v>
      </c>
    </row>
    <row r="1537" spans="1:3" x14ac:dyDescent="0.25">
      <c r="A1537" s="2" t="s">
        <v>3089</v>
      </c>
      <c r="B1537" s="143" t="s">
        <v>86</v>
      </c>
      <c r="C1537" s="143" t="s">
        <v>86</v>
      </c>
    </row>
    <row r="1538" spans="1:3" x14ac:dyDescent="0.25">
      <c r="A1538" s="2" t="s">
        <v>3090</v>
      </c>
      <c r="B1538" s="143" t="s">
        <v>86</v>
      </c>
      <c r="C1538" s="143" t="s">
        <v>86</v>
      </c>
    </row>
    <row r="1539" spans="1:3" x14ac:dyDescent="0.25">
      <c r="A1539" s="2" t="s">
        <v>3091</v>
      </c>
      <c r="B1539" s="143" t="s">
        <v>86</v>
      </c>
      <c r="C1539" s="143" t="s">
        <v>86</v>
      </c>
    </row>
    <row r="1540" spans="1:3" x14ac:dyDescent="0.25">
      <c r="A1540" s="2" t="s">
        <v>3092</v>
      </c>
      <c r="B1540" s="143" t="s">
        <v>86</v>
      </c>
      <c r="C1540" s="143" t="s">
        <v>86</v>
      </c>
    </row>
    <row r="1541" spans="1:3" x14ac:dyDescent="0.25">
      <c r="A1541" s="2" t="s">
        <v>3093</v>
      </c>
      <c r="B1541" s="143" t="s">
        <v>86</v>
      </c>
      <c r="C1541" s="143" t="s">
        <v>86</v>
      </c>
    </row>
    <row r="1542" spans="1:3" x14ac:dyDescent="0.25">
      <c r="A1542" s="2" t="s">
        <v>3094</v>
      </c>
      <c r="B1542" s="143" t="s">
        <v>86</v>
      </c>
      <c r="C1542" s="143" t="s">
        <v>86</v>
      </c>
    </row>
    <row r="1543" spans="1:3" x14ac:dyDescent="0.25">
      <c r="A1543" s="2" t="s">
        <v>3095</v>
      </c>
      <c r="B1543" s="143" t="s">
        <v>86</v>
      </c>
      <c r="C1543" s="143" t="s">
        <v>86</v>
      </c>
    </row>
    <row r="1544" spans="1:3" x14ac:dyDescent="0.25">
      <c r="A1544" s="2" t="s">
        <v>3096</v>
      </c>
      <c r="B1544" s="143" t="s">
        <v>86</v>
      </c>
      <c r="C1544" s="143" t="s">
        <v>86</v>
      </c>
    </row>
    <row r="1545" spans="1:3" x14ac:dyDescent="0.25">
      <c r="A1545" s="2" t="s">
        <v>3097</v>
      </c>
      <c r="B1545" s="143" t="s">
        <v>86</v>
      </c>
      <c r="C1545" s="143" t="s">
        <v>86</v>
      </c>
    </row>
    <row r="1546" spans="1:3" x14ac:dyDescent="0.25">
      <c r="A1546" s="2" t="s">
        <v>3098</v>
      </c>
      <c r="B1546" s="143" t="s">
        <v>86</v>
      </c>
      <c r="C1546" s="143" t="s">
        <v>86</v>
      </c>
    </row>
    <row r="1547" spans="1:3" x14ac:dyDescent="0.25">
      <c r="A1547" s="2" t="s">
        <v>3099</v>
      </c>
      <c r="B1547" s="143" t="s">
        <v>86</v>
      </c>
      <c r="C1547" s="143" t="s">
        <v>86</v>
      </c>
    </row>
    <row r="1548" spans="1:3" x14ac:dyDescent="0.25">
      <c r="A1548" s="2" t="s">
        <v>3100</v>
      </c>
      <c r="B1548" s="143" t="s">
        <v>86</v>
      </c>
      <c r="C1548" s="143" t="s">
        <v>86</v>
      </c>
    </row>
    <row r="1549" spans="1:3" x14ac:dyDescent="0.25">
      <c r="A1549" s="2" t="s">
        <v>3101</v>
      </c>
      <c r="B1549" s="143" t="s">
        <v>86</v>
      </c>
      <c r="C1549" s="143" t="s">
        <v>86</v>
      </c>
    </row>
    <row r="1550" spans="1:3" x14ac:dyDescent="0.25">
      <c r="A1550" s="2" t="s">
        <v>3102</v>
      </c>
      <c r="B1550" s="143" t="s">
        <v>86</v>
      </c>
      <c r="C1550" s="143" t="s">
        <v>86</v>
      </c>
    </row>
    <row r="1551" spans="1:3" x14ac:dyDescent="0.25">
      <c r="A1551" s="2" t="s">
        <v>3103</v>
      </c>
      <c r="B1551" s="143" t="s">
        <v>86</v>
      </c>
      <c r="C1551" s="143" t="s">
        <v>86</v>
      </c>
    </row>
    <row r="1552" spans="1:3" x14ac:dyDescent="0.25">
      <c r="A1552" s="2" t="s">
        <v>3104</v>
      </c>
      <c r="B1552" s="143" t="s">
        <v>86</v>
      </c>
      <c r="C1552" s="143" t="s">
        <v>86</v>
      </c>
    </row>
    <row r="1553" spans="1:3" x14ac:dyDescent="0.25">
      <c r="A1553" s="2" t="s">
        <v>3105</v>
      </c>
      <c r="B1553" s="143" t="s">
        <v>86</v>
      </c>
      <c r="C1553" s="143" t="s">
        <v>86</v>
      </c>
    </row>
    <row r="1554" spans="1:3" x14ac:dyDescent="0.25">
      <c r="A1554" s="2" t="s">
        <v>3106</v>
      </c>
      <c r="B1554" s="143" t="s">
        <v>86</v>
      </c>
      <c r="C1554" s="143" t="s">
        <v>86</v>
      </c>
    </row>
    <row r="1555" spans="1:3" x14ac:dyDescent="0.25">
      <c r="A1555" s="2" t="s">
        <v>3107</v>
      </c>
      <c r="B1555" s="143" t="s">
        <v>86</v>
      </c>
      <c r="C1555" s="143" t="s">
        <v>86</v>
      </c>
    </row>
    <row r="1556" spans="1:3" x14ac:dyDescent="0.25">
      <c r="A1556" s="2" t="s">
        <v>3108</v>
      </c>
      <c r="B1556" s="143" t="s">
        <v>86</v>
      </c>
      <c r="C1556" s="143" t="s">
        <v>86</v>
      </c>
    </row>
    <row r="1557" spans="1:3" x14ac:dyDescent="0.25">
      <c r="A1557" s="2" t="s">
        <v>3109</v>
      </c>
      <c r="B1557" s="143" t="s">
        <v>86</v>
      </c>
      <c r="C1557" s="143" t="s">
        <v>86</v>
      </c>
    </row>
    <row r="1558" spans="1:3" x14ac:dyDescent="0.25">
      <c r="A1558" s="2" t="s">
        <v>3110</v>
      </c>
      <c r="B1558" s="143" t="s">
        <v>86</v>
      </c>
      <c r="C1558" s="143" t="s">
        <v>86</v>
      </c>
    </row>
    <row r="1559" spans="1:3" x14ac:dyDescent="0.25">
      <c r="A1559" s="2" t="s">
        <v>3111</v>
      </c>
      <c r="B1559" s="143" t="s">
        <v>86</v>
      </c>
      <c r="C1559" s="143" t="s">
        <v>86</v>
      </c>
    </row>
    <row r="1560" spans="1:3" x14ac:dyDescent="0.25">
      <c r="A1560" s="2" t="s">
        <v>3112</v>
      </c>
      <c r="B1560" s="143" t="s">
        <v>86</v>
      </c>
      <c r="C1560" s="143" t="s">
        <v>86</v>
      </c>
    </row>
    <row r="1561" spans="1:3" x14ac:dyDescent="0.25">
      <c r="A1561" s="2" t="s">
        <v>3113</v>
      </c>
      <c r="B1561" s="143" t="s">
        <v>86</v>
      </c>
      <c r="C1561" s="143" t="s">
        <v>86</v>
      </c>
    </row>
    <row r="1562" spans="1:3" x14ac:dyDescent="0.25">
      <c r="A1562" s="2" t="s">
        <v>3114</v>
      </c>
      <c r="B1562" s="143" t="s">
        <v>86</v>
      </c>
      <c r="C1562" s="143" t="s">
        <v>86</v>
      </c>
    </row>
    <row r="1563" spans="1:3" x14ac:dyDescent="0.25">
      <c r="A1563" s="2" t="s">
        <v>3115</v>
      </c>
      <c r="B1563" s="143" t="s">
        <v>86</v>
      </c>
      <c r="C1563" s="143" t="s">
        <v>86</v>
      </c>
    </row>
    <row r="1564" spans="1:3" x14ac:dyDescent="0.25">
      <c r="A1564" s="2" t="s">
        <v>3116</v>
      </c>
      <c r="B1564" s="143" t="s">
        <v>86</v>
      </c>
      <c r="C1564" s="143" t="s">
        <v>86</v>
      </c>
    </row>
    <row r="1565" spans="1:3" x14ac:dyDescent="0.25">
      <c r="A1565" s="2" t="s">
        <v>3117</v>
      </c>
      <c r="B1565" s="143" t="s">
        <v>86</v>
      </c>
      <c r="C1565" s="143" t="s">
        <v>86</v>
      </c>
    </row>
    <row r="1566" spans="1:3" x14ac:dyDescent="0.25">
      <c r="A1566" s="2" t="s">
        <v>3118</v>
      </c>
      <c r="B1566" s="143" t="s">
        <v>86</v>
      </c>
      <c r="C1566" s="143" t="s">
        <v>86</v>
      </c>
    </row>
    <row r="1567" spans="1:3" x14ac:dyDescent="0.25">
      <c r="A1567" s="2" t="s">
        <v>3119</v>
      </c>
      <c r="B1567" s="143" t="s">
        <v>86</v>
      </c>
      <c r="C1567" s="143" t="s">
        <v>86</v>
      </c>
    </row>
    <row r="1568" spans="1:3" x14ac:dyDescent="0.25">
      <c r="A1568" s="2" t="s">
        <v>3120</v>
      </c>
      <c r="B1568" s="143" t="s">
        <v>86</v>
      </c>
      <c r="C1568" s="143" t="s">
        <v>86</v>
      </c>
    </row>
    <row r="1569" spans="1:3" x14ac:dyDescent="0.25">
      <c r="A1569" s="2" t="s">
        <v>3121</v>
      </c>
      <c r="B1569" s="143" t="s">
        <v>86</v>
      </c>
      <c r="C1569" s="143" t="s">
        <v>86</v>
      </c>
    </row>
    <row r="1570" spans="1:3" x14ac:dyDescent="0.25">
      <c r="A1570" s="2" t="s">
        <v>3122</v>
      </c>
      <c r="B1570" s="143" t="s">
        <v>86</v>
      </c>
      <c r="C1570" s="143" t="s">
        <v>86</v>
      </c>
    </row>
    <row r="1571" spans="1:3" x14ac:dyDescent="0.25">
      <c r="A1571" s="2" t="s">
        <v>3123</v>
      </c>
      <c r="B1571" s="143" t="s">
        <v>86</v>
      </c>
      <c r="C1571" s="143" t="s">
        <v>86</v>
      </c>
    </row>
    <row r="1572" spans="1:3" x14ac:dyDescent="0.25">
      <c r="A1572" s="2" t="s">
        <v>3124</v>
      </c>
      <c r="B1572" s="143" t="s">
        <v>86</v>
      </c>
      <c r="C1572" s="143" t="s">
        <v>86</v>
      </c>
    </row>
    <row r="1573" spans="1:3" x14ac:dyDescent="0.25">
      <c r="A1573" s="2" t="s">
        <v>3125</v>
      </c>
      <c r="B1573" s="143" t="s">
        <v>86</v>
      </c>
      <c r="C1573" s="143" t="s">
        <v>86</v>
      </c>
    </row>
    <row r="1574" spans="1:3" x14ac:dyDescent="0.25">
      <c r="A1574" s="2" t="s">
        <v>3126</v>
      </c>
      <c r="B1574" s="143" t="s">
        <v>86</v>
      </c>
      <c r="C1574" s="143">
        <v>-24.926755848830929</v>
      </c>
    </row>
    <row r="1575" spans="1:3" x14ac:dyDescent="0.25">
      <c r="A1575" s="2" t="s">
        <v>3127</v>
      </c>
      <c r="B1575" s="143" t="s">
        <v>86</v>
      </c>
      <c r="C1575" s="143" t="s">
        <v>86</v>
      </c>
    </row>
    <row r="1576" spans="1:3" x14ac:dyDescent="0.25">
      <c r="A1576" s="2" t="s">
        <v>3128</v>
      </c>
      <c r="B1576" s="143" t="s">
        <v>86</v>
      </c>
      <c r="C1576" s="143" t="s">
        <v>86</v>
      </c>
    </row>
    <row r="1577" spans="1:3" x14ac:dyDescent="0.25">
      <c r="A1577" s="2" t="s">
        <v>3129</v>
      </c>
      <c r="B1577" s="143" t="s">
        <v>86</v>
      </c>
      <c r="C1577" s="143" t="s">
        <v>86</v>
      </c>
    </row>
    <row r="1578" spans="1:3" x14ac:dyDescent="0.25">
      <c r="A1578" s="2" t="s">
        <v>3130</v>
      </c>
      <c r="B1578" s="143" t="s">
        <v>86</v>
      </c>
      <c r="C1578" s="143" t="s">
        <v>86</v>
      </c>
    </row>
    <row r="1579" spans="1:3" x14ac:dyDescent="0.25">
      <c r="A1579" s="2" t="s">
        <v>3131</v>
      </c>
      <c r="B1579" s="143" t="s">
        <v>86</v>
      </c>
      <c r="C1579" s="143" t="s">
        <v>86</v>
      </c>
    </row>
    <row r="1580" spans="1:3" x14ac:dyDescent="0.25">
      <c r="A1580" s="2" t="s">
        <v>3132</v>
      </c>
      <c r="B1580" s="143" t="s">
        <v>86</v>
      </c>
      <c r="C1580" s="143" t="s">
        <v>86</v>
      </c>
    </row>
    <row r="1581" spans="1:3" x14ac:dyDescent="0.25">
      <c r="A1581" s="2" t="s">
        <v>3133</v>
      </c>
      <c r="B1581" s="143" t="s">
        <v>86</v>
      </c>
      <c r="C1581" s="143" t="s">
        <v>86</v>
      </c>
    </row>
    <row r="1582" spans="1:3" x14ac:dyDescent="0.25">
      <c r="A1582" s="2" t="s">
        <v>3134</v>
      </c>
      <c r="B1582" s="143" t="s">
        <v>86</v>
      </c>
      <c r="C1582" s="143" t="s">
        <v>86</v>
      </c>
    </row>
    <row r="1583" spans="1:3" x14ac:dyDescent="0.25">
      <c r="A1583" s="2" t="s">
        <v>3135</v>
      </c>
      <c r="B1583" s="143" t="s">
        <v>86</v>
      </c>
      <c r="C1583" s="143" t="s">
        <v>86</v>
      </c>
    </row>
    <row r="1584" spans="1:3" x14ac:dyDescent="0.25">
      <c r="A1584" s="2" t="s">
        <v>3136</v>
      </c>
      <c r="B1584" s="143" t="s">
        <v>86</v>
      </c>
      <c r="C1584" s="143" t="s">
        <v>86</v>
      </c>
    </row>
    <row r="1585" spans="1:3" x14ac:dyDescent="0.25">
      <c r="A1585" s="2" t="s">
        <v>3137</v>
      </c>
      <c r="B1585" s="143" t="s">
        <v>86</v>
      </c>
      <c r="C1585" s="143" t="s">
        <v>86</v>
      </c>
    </row>
    <row r="1586" spans="1:3" x14ac:dyDescent="0.25">
      <c r="A1586" s="2" t="s">
        <v>3138</v>
      </c>
      <c r="B1586" s="143" t="s">
        <v>86</v>
      </c>
      <c r="C1586" s="143" t="s">
        <v>86</v>
      </c>
    </row>
    <row r="1587" spans="1:3" x14ac:dyDescent="0.25">
      <c r="A1587" s="2" t="s">
        <v>3139</v>
      </c>
      <c r="B1587" s="143" t="s">
        <v>86</v>
      </c>
      <c r="C1587" s="143" t="s">
        <v>86</v>
      </c>
    </row>
    <row r="1588" spans="1:3" x14ac:dyDescent="0.25">
      <c r="A1588" s="2" t="s">
        <v>3140</v>
      </c>
      <c r="B1588" s="143" t="s">
        <v>86</v>
      </c>
      <c r="C1588" s="143" t="s">
        <v>86</v>
      </c>
    </row>
    <row r="1589" spans="1:3" x14ac:dyDescent="0.25">
      <c r="A1589" s="2" t="s">
        <v>3141</v>
      </c>
      <c r="B1589" s="143" t="s">
        <v>86</v>
      </c>
      <c r="C1589" s="143" t="s">
        <v>86</v>
      </c>
    </row>
    <row r="1590" spans="1:3" x14ac:dyDescent="0.25">
      <c r="A1590" s="2" t="s">
        <v>3142</v>
      </c>
      <c r="B1590" s="143" t="s">
        <v>86</v>
      </c>
      <c r="C1590" s="143" t="s">
        <v>86</v>
      </c>
    </row>
    <row r="1591" spans="1:3" x14ac:dyDescent="0.25">
      <c r="A1591" s="2" t="s">
        <v>3143</v>
      </c>
      <c r="B1591" s="143" t="s">
        <v>86</v>
      </c>
      <c r="C1591" s="143" t="s">
        <v>86</v>
      </c>
    </row>
    <row r="1592" spans="1:3" x14ac:dyDescent="0.25">
      <c r="A1592" s="2" t="s">
        <v>3144</v>
      </c>
      <c r="B1592" s="143" t="s">
        <v>86</v>
      </c>
      <c r="C1592" s="143" t="s">
        <v>86</v>
      </c>
    </row>
    <row r="1593" spans="1:3" x14ac:dyDescent="0.25">
      <c r="A1593" s="2" t="s">
        <v>3145</v>
      </c>
      <c r="B1593" s="143" t="s">
        <v>86</v>
      </c>
      <c r="C1593" s="143" t="s">
        <v>86</v>
      </c>
    </row>
    <row r="1594" spans="1:3" x14ac:dyDescent="0.25">
      <c r="A1594" s="2" t="s">
        <v>3146</v>
      </c>
      <c r="B1594" s="143" t="s">
        <v>86</v>
      </c>
      <c r="C1594" s="143" t="s">
        <v>86</v>
      </c>
    </row>
    <row r="1595" spans="1:3" x14ac:dyDescent="0.25">
      <c r="A1595" s="2" t="s">
        <v>3147</v>
      </c>
      <c r="B1595" s="143" t="s">
        <v>86</v>
      </c>
      <c r="C1595" s="143" t="s">
        <v>86</v>
      </c>
    </row>
    <row r="1596" spans="1:3" x14ac:dyDescent="0.25">
      <c r="A1596" s="2" t="s">
        <v>3148</v>
      </c>
      <c r="B1596" s="143" t="s">
        <v>86</v>
      </c>
      <c r="C1596" s="143" t="s">
        <v>86</v>
      </c>
    </row>
    <row r="1597" spans="1:3" x14ac:dyDescent="0.25">
      <c r="A1597" s="2" t="s">
        <v>3149</v>
      </c>
      <c r="B1597" s="143" t="s">
        <v>86</v>
      </c>
      <c r="C1597" s="143" t="s">
        <v>86</v>
      </c>
    </row>
    <row r="1598" spans="1:3" x14ac:dyDescent="0.25">
      <c r="A1598" s="2" t="s">
        <v>3150</v>
      </c>
      <c r="B1598" s="143" t="s">
        <v>86</v>
      </c>
      <c r="C1598" s="143" t="s">
        <v>86</v>
      </c>
    </row>
    <row r="1599" spans="1:3" x14ac:dyDescent="0.25">
      <c r="A1599" s="2" t="s">
        <v>3151</v>
      </c>
      <c r="B1599" s="143" t="s">
        <v>86</v>
      </c>
      <c r="C1599" s="143" t="s">
        <v>86</v>
      </c>
    </row>
    <row r="1600" spans="1:3" x14ac:dyDescent="0.25">
      <c r="A1600" s="2" t="s">
        <v>3152</v>
      </c>
      <c r="B1600" s="143" t="s">
        <v>86</v>
      </c>
      <c r="C1600" s="143">
        <v>-19.307789613797929</v>
      </c>
    </row>
    <row r="1601" spans="1:3" x14ac:dyDescent="0.25">
      <c r="A1601" s="2" t="s">
        <v>3153</v>
      </c>
      <c r="B1601" s="143" t="s">
        <v>86</v>
      </c>
      <c r="C1601" s="143" t="s">
        <v>86</v>
      </c>
    </row>
    <row r="1602" spans="1:3" x14ac:dyDescent="0.25">
      <c r="A1602" s="2" t="s">
        <v>3008</v>
      </c>
      <c r="B1602" s="143" t="s">
        <v>86</v>
      </c>
      <c r="C1602" s="143" t="s">
        <v>86</v>
      </c>
    </row>
    <row r="1603" spans="1:3" x14ac:dyDescent="0.25">
      <c r="A1603" s="2" t="s">
        <v>3154</v>
      </c>
      <c r="B1603" s="143" t="s">
        <v>86</v>
      </c>
      <c r="C1603" s="143" t="s">
        <v>86</v>
      </c>
    </row>
    <row r="1604" spans="1:3" x14ac:dyDescent="0.25">
      <c r="A1604" s="2" t="s">
        <v>3155</v>
      </c>
      <c r="B1604" s="143" t="s">
        <v>86</v>
      </c>
      <c r="C1604" s="143" t="s">
        <v>86</v>
      </c>
    </row>
    <row r="1605" spans="1:3" x14ac:dyDescent="0.25">
      <c r="A1605" s="2" t="s">
        <v>3156</v>
      </c>
      <c r="B1605" s="143" t="s">
        <v>86</v>
      </c>
      <c r="C1605" s="143" t="s">
        <v>86</v>
      </c>
    </row>
    <row r="1606" spans="1:3" x14ac:dyDescent="0.25">
      <c r="A1606" s="2" t="s">
        <v>3157</v>
      </c>
      <c r="B1606" s="143" t="s">
        <v>86</v>
      </c>
      <c r="C1606" s="143" t="s">
        <v>86</v>
      </c>
    </row>
    <row r="1607" spans="1:3" x14ac:dyDescent="0.25">
      <c r="A1607" s="2" t="s">
        <v>3158</v>
      </c>
      <c r="B1607" s="143" t="s">
        <v>86</v>
      </c>
      <c r="C1607" s="143" t="s">
        <v>86</v>
      </c>
    </row>
    <row r="1608" spans="1:3" x14ac:dyDescent="0.25">
      <c r="A1608" s="2" t="s">
        <v>3159</v>
      </c>
      <c r="B1608" s="143" t="s">
        <v>86</v>
      </c>
      <c r="C1608" s="143" t="s">
        <v>86</v>
      </c>
    </row>
    <row r="1609" spans="1:3" x14ac:dyDescent="0.25">
      <c r="A1609" s="2" t="s">
        <v>3160</v>
      </c>
      <c r="B1609" s="143" t="s">
        <v>86</v>
      </c>
      <c r="C1609" s="143" t="s">
        <v>86</v>
      </c>
    </row>
    <row r="1610" spans="1:3" x14ac:dyDescent="0.25">
      <c r="A1610" s="2" t="s">
        <v>3161</v>
      </c>
      <c r="B1610" s="143" t="s">
        <v>86</v>
      </c>
      <c r="C1610" s="143" t="s">
        <v>86</v>
      </c>
    </row>
    <row r="1611" spans="1:3" x14ac:dyDescent="0.25">
      <c r="A1611" s="2" t="s">
        <v>3162</v>
      </c>
      <c r="B1611" s="143" t="s">
        <v>86</v>
      </c>
      <c r="C1611" s="143" t="s">
        <v>86</v>
      </c>
    </row>
    <row r="1612" spans="1:3" x14ac:dyDescent="0.25">
      <c r="A1612" s="2" t="s">
        <v>3163</v>
      </c>
      <c r="B1612" s="143" t="s">
        <v>86</v>
      </c>
      <c r="C1612" s="143" t="s">
        <v>86</v>
      </c>
    </row>
    <row r="1613" spans="1:3" x14ac:dyDescent="0.25">
      <c r="A1613" s="2" t="s">
        <v>3164</v>
      </c>
      <c r="B1613" s="143" t="s">
        <v>86</v>
      </c>
      <c r="C1613" s="143" t="s">
        <v>86</v>
      </c>
    </row>
    <row r="1614" spans="1:3" x14ac:dyDescent="0.25">
      <c r="A1614" s="2" t="s">
        <v>3165</v>
      </c>
      <c r="B1614" s="143" t="s">
        <v>86</v>
      </c>
      <c r="C1614" s="143" t="s">
        <v>86</v>
      </c>
    </row>
    <row r="1615" spans="1:3" x14ac:dyDescent="0.25">
      <c r="A1615" s="2" t="s">
        <v>3166</v>
      </c>
      <c r="B1615" s="143" t="s">
        <v>86</v>
      </c>
      <c r="C1615" s="143" t="s">
        <v>86</v>
      </c>
    </row>
    <row r="1616" spans="1:3" x14ac:dyDescent="0.25">
      <c r="A1616" s="2" t="s">
        <v>3167</v>
      </c>
      <c r="B1616" s="143" t="s">
        <v>86</v>
      </c>
      <c r="C1616" s="143" t="s">
        <v>86</v>
      </c>
    </row>
    <row r="1617" spans="1:3" x14ac:dyDescent="0.25">
      <c r="A1617" s="2" t="s">
        <v>3168</v>
      </c>
      <c r="B1617" s="143" t="s">
        <v>86</v>
      </c>
      <c r="C1617" s="143" t="s">
        <v>86</v>
      </c>
    </row>
    <row r="1618" spans="1:3" x14ac:dyDescent="0.25">
      <c r="A1618" s="2" t="s">
        <v>3169</v>
      </c>
      <c r="B1618" s="143" t="s">
        <v>86</v>
      </c>
      <c r="C1618" s="143" t="s">
        <v>86</v>
      </c>
    </row>
    <row r="1619" spans="1:3" x14ac:dyDescent="0.25">
      <c r="A1619" s="2" t="s">
        <v>3170</v>
      </c>
      <c r="B1619" s="143" t="s">
        <v>86</v>
      </c>
      <c r="C1619" s="143" t="s">
        <v>86</v>
      </c>
    </row>
    <row r="1620" spans="1:3" x14ac:dyDescent="0.25">
      <c r="A1620" s="2" t="s">
        <v>3171</v>
      </c>
      <c r="B1620" s="143" t="s">
        <v>86</v>
      </c>
      <c r="C1620" s="143" t="s">
        <v>86</v>
      </c>
    </row>
    <row r="1621" spans="1:3" x14ac:dyDescent="0.25">
      <c r="A1621" s="2" t="s">
        <v>3172</v>
      </c>
      <c r="B1621" s="143" t="s">
        <v>86</v>
      </c>
      <c r="C1621" s="143" t="s">
        <v>86</v>
      </c>
    </row>
    <row r="1622" spans="1:3" x14ac:dyDescent="0.25">
      <c r="A1622" s="2" t="s">
        <v>3173</v>
      </c>
      <c r="B1622" s="143" t="s">
        <v>86</v>
      </c>
      <c r="C1622" s="143" t="s">
        <v>86</v>
      </c>
    </row>
    <row r="1623" spans="1:3" x14ac:dyDescent="0.25">
      <c r="A1623" s="2" t="s">
        <v>3174</v>
      </c>
      <c r="B1623" s="143" t="s">
        <v>86</v>
      </c>
      <c r="C1623" s="143" t="s">
        <v>86</v>
      </c>
    </row>
    <row r="1624" spans="1:3" x14ac:dyDescent="0.25">
      <c r="A1624" s="2" t="s">
        <v>3175</v>
      </c>
      <c r="B1624" s="143" t="s">
        <v>86</v>
      </c>
      <c r="C1624" s="143" t="s">
        <v>86</v>
      </c>
    </row>
    <row r="1625" spans="1:3" x14ac:dyDescent="0.25">
      <c r="A1625" s="2" t="s">
        <v>3176</v>
      </c>
      <c r="B1625" s="143" t="s">
        <v>86</v>
      </c>
      <c r="C1625" s="143" t="s">
        <v>86</v>
      </c>
    </row>
    <row r="1626" spans="1:3" x14ac:dyDescent="0.25">
      <c r="A1626" s="2" t="s">
        <v>3177</v>
      </c>
      <c r="B1626" s="143" t="s">
        <v>86</v>
      </c>
      <c r="C1626" s="143" t="s">
        <v>86</v>
      </c>
    </row>
    <row r="1627" spans="1:3" x14ac:dyDescent="0.25">
      <c r="A1627" s="2" t="s">
        <v>3178</v>
      </c>
      <c r="B1627" s="143" t="s">
        <v>86</v>
      </c>
      <c r="C1627" s="143" t="s">
        <v>86</v>
      </c>
    </row>
    <row r="1628" spans="1:3" x14ac:dyDescent="0.25">
      <c r="A1628" s="2" t="s">
        <v>3179</v>
      </c>
      <c r="B1628" s="143" t="s">
        <v>86</v>
      </c>
      <c r="C1628" s="143" t="s">
        <v>86</v>
      </c>
    </row>
    <row r="1629" spans="1:3" x14ac:dyDescent="0.25">
      <c r="A1629" s="2" t="s">
        <v>3180</v>
      </c>
      <c r="B1629" s="143" t="s">
        <v>86</v>
      </c>
      <c r="C1629" s="143" t="s">
        <v>86</v>
      </c>
    </row>
    <row r="1630" spans="1:3" x14ac:dyDescent="0.25">
      <c r="A1630" s="2" t="s">
        <v>3181</v>
      </c>
      <c r="B1630" s="143" t="s">
        <v>86</v>
      </c>
      <c r="C1630" s="143" t="s">
        <v>86</v>
      </c>
    </row>
    <row r="1631" spans="1:3" x14ac:dyDescent="0.25">
      <c r="A1631" s="2" t="s">
        <v>3182</v>
      </c>
      <c r="B1631" s="143" t="s">
        <v>86</v>
      </c>
      <c r="C1631" s="143" t="s">
        <v>86</v>
      </c>
    </row>
    <row r="1632" spans="1:3" x14ac:dyDescent="0.25">
      <c r="A1632" s="2" t="s">
        <v>3183</v>
      </c>
      <c r="B1632" s="143" t="s">
        <v>86</v>
      </c>
      <c r="C1632" s="143" t="s">
        <v>86</v>
      </c>
    </row>
    <row r="1633" spans="1:3" x14ac:dyDescent="0.25">
      <c r="A1633" s="2" t="s">
        <v>3184</v>
      </c>
      <c r="B1633" s="143" t="s">
        <v>86</v>
      </c>
      <c r="C1633" s="143" t="s">
        <v>86</v>
      </c>
    </row>
    <row r="1634" spans="1:3" x14ac:dyDescent="0.25">
      <c r="A1634" s="2" t="s">
        <v>3185</v>
      </c>
      <c r="B1634" s="143" t="s">
        <v>86</v>
      </c>
      <c r="C1634" s="143" t="s">
        <v>86</v>
      </c>
    </row>
    <row r="1635" spans="1:3" x14ac:dyDescent="0.25">
      <c r="A1635" s="2" t="s">
        <v>3186</v>
      </c>
      <c r="B1635" s="143" t="s">
        <v>86</v>
      </c>
      <c r="C1635" s="143" t="s">
        <v>86</v>
      </c>
    </row>
    <row r="1636" spans="1:3" x14ac:dyDescent="0.25">
      <c r="A1636" s="2" t="s">
        <v>3187</v>
      </c>
      <c r="B1636" s="143" t="s">
        <v>86</v>
      </c>
      <c r="C1636" s="143" t="s">
        <v>86</v>
      </c>
    </row>
    <row r="1637" spans="1:3" x14ac:dyDescent="0.25">
      <c r="A1637" s="2" t="s">
        <v>3188</v>
      </c>
      <c r="B1637" s="143" t="s">
        <v>86</v>
      </c>
      <c r="C1637" s="143" t="s">
        <v>86</v>
      </c>
    </row>
    <row r="1638" spans="1:3" x14ac:dyDescent="0.25">
      <c r="A1638" s="2" t="s">
        <v>3189</v>
      </c>
      <c r="B1638" s="143" t="s">
        <v>86</v>
      </c>
      <c r="C1638" s="143" t="s">
        <v>86</v>
      </c>
    </row>
    <row r="1639" spans="1:3" x14ac:dyDescent="0.25">
      <c r="A1639" s="2" t="s">
        <v>3190</v>
      </c>
      <c r="B1639" s="143" t="s">
        <v>86</v>
      </c>
      <c r="C1639" s="143" t="s">
        <v>86</v>
      </c>
    </row>
    <row r="1640" spans="1:3" x14ac:dyDescent="0.25">
      <c r="A1640" s="2" t="s">
        <v>3191</v>
      </c>
      <c r="B1640" s="143" t="s">
        <v>86</v>
      </c>
      <c r="C1640" s="143" t="s">
        <v>86</v>
      </c>
    </row>
    <row r="1641" spans="1:3" x14ac:dyDescent="0.25">
      <c r="A1641" s="2" t="s">
        <v>3192</v>
      </c>
      <c r="B1641" s="143" t="s">
        <v>86</v>
      </c>
      <c r="C1641" s="143" t="s">
        <v>86</v>
      </c>
    </row>
    <row r="1642" spans="1:3" x14ac:dyDescent="0.25">
      <c r="A1642" s="2" t="s">
        <v>3193</v>
      </c>
      <c r="B1642" s="143" t="s">
        <v>86</v>
      </c>
      <c r="C1642" s="143" t="s">
        <v>86</v>
      </c>
    </row>
    <row r="1643" spans="1:3" x14ac:dyDescent="0.25">
      <c r="A1643" s="2" t="s">
        <v>3194</v>
      </c>
      <c r="B1643" s="143" t="s">
        <v>86</v>
      </c>
      <c r="C1643" s="143" t="s">
        <v>86</v>
      </c>
    </row>
    <row r="1644" spans="1:3" x14ac:dyDescent="0.25">
      <c r="A1644" s="2" t="s">
        <v>3195</v>
      </c>
      <c r="B1644" s="143" t="s">
        <v>86</v>
      </c>
      <c r="C1644" s="143" t="s">
        <v>86</v>
      </c>
    </row>
    <row r="1645" spans="1:3" x14ac:dyDescent="0.25">
      <c r="A1645" s="2" t="s">
        <v>3196</v>
      </c>
      <c r="B1645" s="143" t="s">
        <v>86</v>
      </c>
      <c r="C1645" s="143" t="s">
        <v>86</v>
      </c>
    </row>
    <row r="1646" spans="1:3" x14ac:dyDescent="0.25">
      <c r="A1646" s="2" t="s">
        <v>3197</v>
      </c>
      <c r="B1646" s="143" t="s">
        <v>86</v>
      </c>
      <c r="C1646" s="143" t="s">
        <v>86</v>
      </c>
    </row>
    <row r="1647" spans="1:3" x14ac:dyDescent="0.25">
      <c r="A1647" s="2" t="s">
        <v>3198</v>
      </c>
      <c r="B1647" s="143" t="s">
        <v>86</v>
      </c>
      <c r="C1647" s="143" t="s">
        <v>86</v>
      </c>
    </row>
    <row r="1648" spans="1:3" x14ac:dyDescent="0.25">
      <c r="A1648" s="2" t="s">
        <v>3199</v>
      </c>
      <c r="B1648" s="143" t="s">
        <v>86</v>
      </c>
      <c r="C1648" s="143" t="s">
        <v>86</v>
      </c>
    </row>
    <row r="1649" spans="1:3" x14ac:dyDescent="0.25">
      <c r="A1649" s="2" t="s">
        <v>3200</v>
      </c>
      <c r="B1649" s="143" t="s">
        <v>86</v>
      </c>
      <c r="C1649" s="143" t="s">
        <v>86</v>
      </c>
    </row>
    <row r="1650" spans="1:3" x14ac:dyDescent="0.25">
      <c r="A1650" s="2" t="s">
        <v>3201</v>
      </c>
      <c r="B1650" s="143" t="s">
        <v>86</v>
      </c>
      <c r="C1650" s="143" t="s">
        <v>86</v>
      </c>
    </row>
    <row r="1651" spans="1:3" x14ac:dyDescent="0.25">
      <c r="A1651" s="2" t="s">
        <v>3202</v>
      </c>
      <c r="B1651" s="143" t="s">
        <v>86</v>
      </c>
      <c r="C1651" s="143" t="s">
        <v>86</v>
      </c>
    </row>
    <row r="1652" spans="1:3" x14ac:dyDescent="0.25">
      <c r="A1652" s="2" t="s">
        <v>3203</v>
      </c>
      <c r="B1652" s="143" t="s">
        <v>86</v>
      </c>
      <c r="C1652" s="143" t="s">
        <v>86</v>
      </c>
    </row>
    <row r="1653" spans="1:3" x14ac:dyDescent="0.25">
      <c r="A1653" s="2" t="s">
        <v>3204</v>
      </c>
      <c r="B1653" s="143" t="s">
        <v>86</v>
      </c>
      <c r="C1653" s="143" t="s">
        <v>86</v>
      </c>
    </row>
    <row r="1654" spans="1:3" x14ac:dyDescent="0.25">
      <c r="A1654" s="2" t="s">
        <v>3205</v>
      </c>
      <c r="B1654" s="143" t="s">
        <v>86</v>
      </c>
      <c r="C1654" s="143" t="s">
        <v>86</v>
      </c>
    </row>
    <row r="1655" spans="1:3" x14ac:dyDescent="0.25">
      <c r="A1655" s="2" t="s">
        <v>3206</v>
      </c>
      <c r="B1655" s="143" t="s">
        <v>86</v>
      </c>
      <c r="C1655" s="143" t="s">
        <v>86</v>
      </c>
    </row>
    <row r="1656" spans="1:3" x14ac:dyDescent="0.25">
      <c r="A1656" s="2" t="s">
        <v>3207</v>
      </c>
      <c r="B1656" s="143" t="s">
        <v>86</v>
      </c>
      <c r="C1656" s="143" t="s">
        <v>86</v>
      </c>
    </row>
    <row r="1657" spans="1:3" x14ac:dyDescent="0.25">
      <c r="A1657" s="2" t="s">
        <v>3208</v>
      </c>
      <c r="B1657" s="143" t="s">
        <v>86</v>
      </c>
      <c r="C1657" s="143" t="s">
        <v>86</v>
      </c>
    </row>
    <row r="1658" spans="1:3" x14ac:dyDescent="0.25">
      <c r="A1658" s="2" t="s">
        <v>3209</v>
      </c>
      <c r="B1658" s="143" t="s">
        <v>86</v>
      </c>
      <c r="C1658" s="143" t="s">
        <v>86</v>
      </c>
    </row>
    <row r="1659" spans="1:3" x14ac:dyDescent="0.25">
      <c r="A1659" s="2" t="s">
        <v>3210</v>
      </c>
      <c r="B1659" s="143" t="s">
        <v>86</v>
      </c>
      <c r="C1659" s="143" t="s">
        <v>86</v>
      </c>
    </row>
    <row r="1660" spans="1:3" x14ac:dyDescent="0.25">
      <c r="A1660" s="2" t="s">
        <v>3212</v>
      </c>
      <c r="B1660" s="143" t="s">
        <v>86</v>
      </c>
      <c r="C1660" s="143" t="s">
        <v>86</v>
      </c>
    </row>
    <row r="1661" spans="1:3" x14ac:dyDescent="0.25">
      <c r="A1661" s="2" t="s">
        <v>3213</v>
      </c>
      <c r="B1661" s="143" t="s">
        <v>86</v>
      </c>
      <c r="C1661" s="143" t="s">
        <v>86</v>
      </c>
    </row>
    <row r="1662" spans="1:3" x14ac:dyDescent="0.25">
      <c r="A1662" s="2" t="s">
        <v>3214</v>
      </c>
      <c r="B1662" s="143" t="s">
        <v>86</v>
      </c>
      <c r="C1662" s="143" t="s">
        <v>86</v>
      </c>
    </row>
    <row r="1663" spans="1:3" x14ac:dyDescent="0.25">
      <c r="A1663" s="2" t="s">
        <v>3215</v>
      </c>
      <c r="B1663" s="143" t="s">
        <v>86</v>
      </c>
      <c r="C1663" s="143" t="s">
        <v>86</v>
      </c>
    </row>
    <row r="1664" spans="1:3" x14ac:dyDescent="0.25">
      <c r="A1664" s="2" t="s">
        <v>3216</v>
      </c>
      <c r="B1664" s="143" t="s">
        <v>86</v>
      </c>
      <c r="C1664" s="143" t="s">
        <v>86</v>
      </c>
    </row>
    <row r="1665" spans="1:3" x14ac:dyDescent="0.25">
      <c r="A1665" s="2" t="s">
        <v>3217</v>
      </c>
      <c r="B1665" s="143" t="s">
        <v>86</v>
      </c>
      <c r="C1665" s="143" t="s">
        <v>86</v>
      </c>
    </row>
    <row r="1666" spans="1:3" x14ac:dyDescent="0.25">
      <c r="A1666" s="2" t="s">
        <v>3218</v>
      </c>
      <c r="B1666" s="143" t="s">
        <v>86</v>
      </c>
      <c r="C1666" s="143" t="s">
        <v>86</v>
      </c>
    </row>
    <row r="1667" spans="1:3" x14ac:dyDescent="0.25">
      <c r="A1667" s="2" t="s">
        <v>3219</v>
      </c>
      <c r="B1667" s="143" t="s">
        <v>86</v>
      </c>
      <c r="C1667" s="143" t="s">
        <v>86</v>
      </c>
    </row>
    <row r="1668" spans="1:3" x14ac:dyDescent="0.25">
      <c r="A1668" s="2" t="s">
        <v>3220</v>
      </c>
      <c r="B1668" s="143" t="s">
        <v>86</v>
      </c>
      <c r="C1668" s="143" t="s">
        <v>86</v>
      </c>
    </row>
    <row r="1669" spans="1:3" x14ac:dyDescent="0.25">
      <c r="A1669" s="2" t="s">
        <v>3221</v>
      </c>
      <c r="B1669" s="143" t="s">
        <v>86</v>
      </c>
      <c r="C1669" s="143" t="s">
        <v>86</v>
      </c>
    </row>
    <row r="1670" spans="1:3" x14ac:dyDescent="0.25">
      <c r="A1670" s="2" t="s">
        <v>3222</v>
      </c>
      <c r="B1670" s="143" t="s">
        <v>86</v>
      </c>
      <c r="C1670" s="143" t="s">
        <v>86</v>
      </c>
    </row>
    <row r="1671" spans="1:3" x14ac:dyDescent="0.25">
      <c r="A1671" s="2" t="s">
        <v>3223</v>
      </c>
      <c r="B1671" s="143" t="s">
        <v>86</v>
      </c>
      <c r="C1671" s="143" t="s">
        <v>86</v>
      </c>
    </row>
    <row r="1672" spans="1:3" x14ac:dyDescent="0.25">
      <c r="A1672" s="2" t="s">
        <v>3224</v>
      </c>
      <c r="B1672" s="143" t="s">
        <v>86</v>
      </c>
      <c r="C1672" s="143" t="s">
        <v>86</v>
      </c>
    </row>
    <row r="1673" spans="1:3" x14ac:dyDescent="0.25">
      <c r="A1673" s="2" t="s">
        <v>3225</v>
      </c>
      <c r="B1673" s="143" t="s">
        <v>86</v>
      </c>
      <c r="C1673" s="143" t="s">
        <v>86</v>
      </c>
    </row>
    <row r="1674" spans="1:3" x14ac:dyDescent="0.25">
      <c r="A1674" s="2" t="s">
        <v>3226</v>
      </c>
      <c r="B1674" s="143" t="s">
        <v>86</v>
      </c>
      <c r="C1674" s="143" t="s">
        <v>86</v>
      </c>
    </row>
    <row r="1675" spans="1:3" x14ac:dyDescent="0.25">
      <c r="A1675" s="2" t="s">
        <v>3227</v>
      </c>
      <c r="B1675" s="143" t="s">
        <v>86</v>
      </c>
      <c r="C1675" s="143" t="s">
        <v>86</v>
      </c>
    </row>
    <row r="1676" spans="1:3" x14ac:dyDescent="0.25">
      <c r="A1676" s="2" t="s">
        <v>3228</v>
      </c>
      <c r="B1676" s="143" t="s">
        <v>86</v>
      </c>
      <c r="C1676" s="143" t="s">
        <v>86</v>
      </c>
    </row>
    <row r="1677" spans="1:3" x14ac:dyDescent="0.25">
      <c r="A1677" s="2" t="s">
        <v>3229</v>
      </c>
      <c r="B1677" s="143" t="s">
        <v>86</v>
      </c>
      <c r="C1677" s="143" t="s">
        <v>86</v>
      </c>
    </row>
    <row r="1678" spans="1:3" x14ac:dyDescent="0.25">
      <c r="A1678" s="2" t="s">
        <v>3230</v>
      </c>
      <c r="B1678" s="143" t="s">
        <v>86</v>
      </c>
      <c r="C1678" s="143" t="s">
        <v>86</v>
      </c>
    </row>
    <row r="1679" spans="1:3" x14ac:dyDescent="0.25">
      <c r="A1679" s="2" t="s">
        <v>3231</v>
      </c>
      <c r="B1679" s="143" t="s">
        <v>86</v>
      </c>
      <c r="C1679" s="143" t="s">
        <v>86</v>
      </c>
    </row>
    <row r="1680" spans="1:3" x14ac:dyDescent="0.25">
      <c r="A1680" s="2" t="s">
        <v>3232</v>
      </c>
      <c r="B1680" s="143" t="s">
        <v>86</v>
      </c>
      <c r="C1680" s="143" t="s">
        <v>86</v>
      </c>
    </row>
    <row r="1681" spans="1:3" x14ac:dyDescent="0.25">
      <c r="A1681" s="2" t="s">
        <v>3233</v>
      </c>
      <c r="B1681" s="143" t="s">
        <v>86</v>
      </c>
      <c r="C1681" s="143" t="s">
        <v>86</v>
      </c>
    </row>
    <row r="1682" spans="1:3" x14ac:dyDescent="0.25">
      <c r="A1682" s="2" t="s">
        <v>3234</v>
      </c>
      <c r="B1682" s="143" t="s">
        <v>86</v>
      </c>
      <c r="C1682" s="143" t="s">
        <v>86</v>
      </c>
    </row>
    <row r="1683" spans="1:3" x14ac:dyDescent="0.25">
      <c r="A1683" s="2" t="s">
        <v>3235</v>
      </c>
      <c r="B1683" s="143" t="s">
        <v>86</v>
      </c>
      <c r="C1683" s="143" t="s">
        <v>86</v>
      </c>
    </row>
    <row r="1684" spans="1:3" x14ac:dyDescent="0.25">
      <c r="A1684" s="2" t="s">
        <v>3236</v>
      </c>
      <c r="B1684" s="143" t="s">
        <v>86</v>
      </c>
      <c r="C1684" s="143" t="s">
        <v>86</v>
      </c>
    </row>
    <row r="1685" spans="1:3" x14ac:dyDescent="0.25">
      <c r="A1685" s="2" t="s">
        <v>3237</v>
      </c>
      <c r="B1685" s="143" t="s">
        <v>86</v>
      </c>
      <c r="C1685" s="143" t="s">
        <v>86</v>
      </c>
    </row>
    <row r="1686" spans="1:3" x14ac:dyDescent="0.25">
      <c r="A1686" s="2" t="s">
        <v>3238</v>
      </c>
      <c r="B1686" s="143" t="s">
        <v>86</v>
      </c>
      <c r="C1686" s="143" t="s">
        <v>86</v>
      </c>
    </row>
    <row r="1687" spans="1:3" x14ac:dyDescent="0.25">
      <c r="A1687" s="2" t="s">
        <v>3239</v>
      </c>
      <c r="B1687" s="143" t="s">
        <v>86</v>
      </c>
      <c r="C1687" s="143" t="s">
        <v>86</v>
      </c>
    </row>
    <row r="1688" spans="1:3" x14ac:dyDescent="0.25">
      <c r="A1688" s="2" t="s">
        <v>3240</v>
      </c>
      <c r="B1688" s="143" t="s">
        <v>86</v>
      </c>
      <c r="C1688" s="143" t="s">
        <v>86</v>
      </c>
    </row>
    <row r="1689" spans="1:3" x14ac:dyDescent="0.25">
      <c r="A1689" s="2" t="s">
        <v>3241</v>
      </c>
      <c r="B1689" s="143" t="s">
        <v>86</v>
      </c>
      <c r="C1689" s="143" t="s">
        <v>86</v>
      </c>
    </row>
    <row r="1690" spans="1:3" x14ac:dyDescent="0.25">
      <c r="A1690" s="2" t="s">
        <v>3242</v>
      </c>
      <c r="B1690" s="143" t="s">
        <v>86</v>
      </c>
      <c r="C1690" s="143" t="s">
        <v>86</v>
      </c>
    </row>
    <row r="1691" spans="1:3" x14ac:dyDescent="0.25">
      <c r="A1691" s="2" t="s">
        <v>3243</v>
      </c>
      <c r="B1691" s="143" t="s">
        <v>86</v>
      </c>
      <c r="C1691" s="143" t="s">
        <v>86</v>
      </c>
    </row>
    <row r="1692" spans="1:3" x14ac:dyDescent="0.25">
      <c r="A1692" s="2" t="s">
        <v>3244</v>
      </c>
      <c r="B1692" s="143" t="s">
        <v>86</v>
      </c>
      <c r="C1692" s="143" t="s">
        <v>86</v>
      </c>
    </row>
    <row r="1693" spans="1:3" x14ac:dyDescent="0.25">
      <c r="A1693" s="2" t="s">
        <v>3245</v>
      </c>
      <c r="B1693" s="143" t="s">
        <v>86</v>
      </c>
      <c r="C1693" s="143" t="s">
        <v>86</v>
      </c>
    </row>
    <row r="1694" spans="1:3" x14ac:dyDescent="0.25">
      <c r="A1694" s="2" t="s">
        <v>3246</v>
      </c>
      <c r="B1694" s="143" t="s">
        <v>86</v>
      </c>
      <c r="C1694" s="143" t="s">
        <v>86</v>
      </c>
    </row>
    <row r="1695" spans="1:3" x14ac:dyDescent="0.25">
      <c r="A1695" s="2" t="s">
        <v>3247</v>
      </c>
      <c r="B1695" s="143" t="s">
        <v>86</v>
      </c>
      <c r="C1695" s="143" t="s">
        <v>86</v>
      </c>
    </row>
    <row r="1696" spans="1:3" x14ac:dyDescent="0.25">
      <c r="A1696" s="2" t="s">
        <v>3248</v>
      </c>
      <c r="B1696" s="143" t="s">
        <v>86</v>
      </c>
      <c r="C1696" s="143" t="s">
        <v>86</v>
      </c>
    </row>
    <row r="1697" spans="1:3" x14ac:dyDescent="0.25">
      <c r="A1697" s="2" t="s">
        <v>3249</v>
      </c>
      <c r="B1697" s="143" t="s">
        <v>86</v>
      </c>
      <c r="C1697" s="143" t="s">
        <v>86</v>
      </c>
    </row>
    <row r="1698" spans="1:3" x14ac:dyDescent="0.25">
      <c r="A1698" s="2" t="s">
        <v>3250</v>
      </c>
      <c r="B1698" s="143" t="s">
        <v>86</v>
      </c>
      <c r="C1698" s="143" t="s">
        <v>86</v>
      </c>
    </row>
    <row r="1699" spans="1:3" x14ac:dyDescent="0.25">
      <c r="A1699" s="2" t="s">
        <v>3251</v>
      </c>
      <c r="B1699" s="143" t="s">
        <v>86</v>
      </c>
      <c r="C1699" s="143" t="s">
        <v>86</v>
      </c>
    </row>
    <row r="1700" spans="1:3" x14ac:dyDescent="0.25">
      <c r="A1700" s="2" t="s">
        <v>3252</v>
      </c>
      <c r="B1700" s="143" t="s">
        <v>86</v>
      </c>
      <c r="C1700" s="143" t="s">
        <v>86</v>
      </c>
    </row>
    <row r="1701" spans="1:3" x14ac:dyDescent="0.25">
      <c r="A1701" s="2" t="s">
        <v>3253</v>
      </c>
      <c r="B1701" s="143" t="s">
        <v>86</v>
      </c>
      <c r="C1701" s="143" t="s">
        <v>86</v>
      </c>
    </row>
    <row r="1702" spans="1:3" x14ac:dyDescent="0.25">
      <c r="A1702" s="2" t="s">
        <v>3254</v>
      </c>
      <c r="B1702" s="143" t="s">
        <v>86</v>
      </c>
      <c r="C1702" s="143" t="s">
        <v>86</v>
      </c>
    </row>
    <row r="1703" spans="1:3" x14ac:dyDescent="0.25">
      <c r="A1703" s="2" t="s">
        <v>3255</v>
      </c>
      <c r="B1703" s="143" t="s">
        <v>86</v>
      </c>
      <c r="C1703" s="143" t="s">
        <v>86</v>
      </c>
    </row>
    <row r="1704" spans="1:3" x14ac:dyDescent="0.25">
      <c r="A1704" s="2" t="s">
        <v>3256</v>
      </c>
      <c r="B1704" s="143" t="s">
        <v>86</v>
      </c>
      <c r="C1704" s="143" t="s">
        <v>86</v>
      </c>
    </row>
    <row r="1705" spans="1:3" x14ac:dyDescent="0.25">
      <c r="A1705" s="2" t="s">
        <v>3257</v>
      </c>
      <c r="B1705" s="143" t="s">
        <v>86</v>
      </c>
      <c r="C1705" s="143" t="s">
        <v>86</v>
      </c>
    </row>
    <row r="1706" spans="1:3" x14ac:dyDescent="0.25">
      <c r="A1706" s="2" t="s">
        <v>3258</v>
      </c>
      <c r="B1706" s="143" t="s">
        <v>86</v>
      </c>
      <c r="C1706" s="143" t="s">
        <v>86</v>
      </c>
    </row>
    <row r="1707" spans="1:3" x14ac:dyDescent="0.25">
      <c r="A1707" s="2" t="s">
        <v>3259</v>
      </c>
      <c r="B1707" s="143" t="s">
        <v>86</v>
      </c>
      <c r="C1707" s="143" t="s">
        <v>86</v>
      </c>
    </row>
    <row r="1708" spans="1:3" x14ac:dyDescent="0.25">
      <c r="A1708" s="2" t="s">
        <v>3260</v>
      </c>
      <c r="B1708" s="143" t="s">
        <v>86</v>
      </c>
      <c r="C1708" s="143" t="s">
        <v>86</v>
      </c>
    </row>
    <row r="1709" spans="1:3" x14ac:dyDescent="0.25">
      <c r="A1709" s="2" t="s">
        <v>3261</v>
      </c>
      <c r="B1709" s="143" t="s">
        <v>86</v>
      </c>
      <c r="C1709" s="143" t="s">
        <v>86</v>
      </c>
    </row>
    <row r="1710" spans="1:3" x14ac:dyDescent="0.25">
      <c r="A1710" s="2" t="s">
        <v>3262</v>
      </c>
      <c r="B1710" s="143" t="s">
        <v>86</v>
      </c>
      <c r="C1710" s="143" t="s">
        <v>86</v>
      </c>
    </row>
    <row r="1711" spans="1:3" x14ac:dyDescent="0.25">
      <c r="A1711" s="2" t="s">
        <v>3263</v>
      </c>
      <c r="B1711" s="143" t="s">
        <v>86</v>
      </c>
      <c r="C1711" s="143" t="s">
        <v>86</v>
      </c>
    </row>
    <row r="1712" spans="1:3" x14ac:dyDescent="0.25">
      <c r="A1712" s="2" t="s">
        <v>3264</v>
      </c>
      <c r="B1712" s="143" t="s">
        <v>86</v>
      </c>
      <c r="C1712" s="143" t="s">
        <v>86</v>
      </c>
    </row>
    <row r="1713" spans="1:3" x14ac:dyDescent="0.25">
      <c r="A1713" s="2" t="s">
        <v>3265</v>
      </c>
      <c r="B1713" s="143" t="s">
        <v>86</v>
      </c>
      <c r="C1713" s="143" t="s">
        <v>86</v>
      </c>
    </row>
    <row r="1714" spans="1:3" x14ac:dyDescent="0.25">
      <c r="A1714" s="2" t="s">
        <v>3266</v>
      </c>
      <c r="B1714" s="143" t="s">
        <v>86</v>
      </c>
      <c r="C1714" s="143" t="s">
        <v>86</v>
      </c>
    </row>
    <row r="1715" spans="1:3" x14ac:dyDescent="0.25">
      <c r="A1715" s="2" t="s">
        <v>3267</v>
      </c>
      <c r="B1715" s="143" t="s">
        <v>86</v>
      </c>
      <c r="C1715" s="143" t="s">
        <v>86</v>
      </c>
    </row>
    <row r="1716" spans="1:3" x14ac:dyDescent="0.25">
      <c r="A1716" s="2" t="s">
        <v>3268</v>
      </c>
      <c r="B1716" s="143" t="s">
        <v>86</v>
      </c>
      <c r="C1716" s="143" t="s">
        <v>86</v>
      </c>
    </row>
    <row r="1717" spans="1:3" x14ac:dyDescent="0.25">
      <c r="A1717" s="2" t="s">
        <v>3269</v>
      </c>
      <c r="B1717" s="143" t="s">
        <v>86</v>
      </c>
      <c r="C1717" s="143" t="s">
        <v>86</v>
      </c>
    </row>
    <row r="1718" spans="1:3" x14ac:dyDescent="0.25">
      <c r="A1718" s="2" t="s">
        <v>3270</v>
      </c>
      <c r="B1718" s="143" t="s">
        <v>86</v>
      </c>
      <c r="C1718" s="143" t="s">
        <v>86</v>
      </c>
    </row>
    <row r="1719" spans="1:3" x14ac:dyDescent="0.25">
      <c r="A1719" s="2" t="s">
        <v>3271</v>
      </c>
      <c r="B1719" s="143" t="s">
        <v>86</v>
      </c>
      <c r="C1719" s="143" t="s">
        <v>86</v>
      </c>
    </row>
    <row r="1720" spans="1:3" x14ac:dyDescent="0.25">
      <c r="A1720" s="2" t="s">
        <v>3272</v>
      </c>
      <c r="B1720" s="143" t="s">
        <v>86</v>
      </c>
      <c r="C1720" s="143" t="s">
        <v>86</v>
      </c>
    </row>
    <row r="1721" spans="1:3" x14ac:dyDescent="0.25">
      <c r="A1721" s="2" t="s">
        <v>3273</v>
      </c>
      <c r="B1721" s="143" t="s">
        <v>86</v>
      </c>
      <c r="C1721" s="143" t="s">
        <v>86</v>
      </c>
    </row>
    <row r="1722" spans="1:3" x14ac:dyDescent="0.25">
      <c r="A1722" s="2" t="s">
        <v>3274</v>
      </c>
      <c r="B1722" s="143" t="s">
        <v>86</v>
      </c>
      <c r="C1722" s="143" t="s">
        <v>86</v>
      </c>
    </row>
    <row r="1723" spans="1:3" x14ac:dyDescent="0.25">
      <c r="A1723" s="2" t="s">
        <v>3275</v>
      </c>
      <c r="B1723" s="143" t="s">
        <v>86</v>
      </c>
      <c r="C1723" s="143" t="s">
        <v>86</v>
      </c>
    </row>
    <row r="1724" spans="1:3" x14ac:dyDescent="0.25">
      <c r="A1724" s="2" t="s">
        <v>3276</v>
      </c>
      <c r="B1724" s="143" t="s">
        <v>86</v>
      </c>
      <c r="C1724" s="143" t="s">
        <v>86</v>
      </c>
    </row>
    <row r="1725" spans="1:3" x14ac:dyDescent="0.25">
      <c r="A1725" s="2" t="s">
        <v>3277</v>
      </c>
      <c r="B1725" s="143" t="s">
        <v>86</v>
      </c>
      <c r="C1725" s="143" t="s">
        <v>86</v>
      </c>
    </row>
    <row r="1726" spans="1:3" x14ac:dyDescent="0.25">
      <c r="A1726" s="2" t="s">
        <v>3278</v>
      </c>
      <c r="B1726" s="143" t="s">
        <v>86</v>
      </c>
      <c r="C1726" s="143" t="s">
        <v>86</v>
      </c>
    </row>
    <row r="1727" spans="1:3" x14ac:dyDescent="0.25">
      <c r="A1727" s="2" t="s">
        <v>3279</v>
      </c>
      <c r="B1727" s="143" t="s">
        <v>86</v>
      </c>
      <c r="C1727" s="143" t="s">
        <v>86</v>
      </c>
    </row>
    <row r="1728" spans="1:3" x14ac:dyDescent="0.25">
      <c r="A1728" s="2" t="s">
        <v>3280</v>
      </c>
      <c r="B1728" s="143" t="s">
        <v>86</v>
      </c>
      <c r="C1728" s="143" t="s">
        <v>86</v>
      </c>
    </row>
    <row r="1729" spans="1:3" x14ac:dyDescent="0.25">
      <c r="A1729" s="2" t="s">
        <v>3281</v>
      </c>
      <c r="B1729" s="143" t="s">
        <v>86</v>
      </c>
      <c r="C1729" s="143" t="s">
        <v>86</v>
      </c>
    </row>
    <row r="1730" spans="1:3" x14ac:dyDescent="0.25">
      <c r="A1730" s="2" t="s">
        <v>3282</v>
      </c>
      <c r="B1730" s="143" t="s">
        <v>86</v>
      </c>
      <c r="C1730" s="143" t="s">
        <v>86</v>
      </c>
    </row>
    <row r="1731" spans="1:3" x14ac:dyDescent="0.25">
      <c r="A1731" s="2" t="s">
        <v>3283</v>
      </c>
      <c r="B1731" s="143" t="s">
        <v>86</v>
      </c>
      <c r="C1731" s="143" t="s">
        <v>86</v>
      </c>
    </row>
    <row r="1732" spans="1:3" x14ac:dyDescent="0.25">
      <c r="A1732" s="2" t="s">
        <v>3284</v>
      </c>
      <c r="B1732" s="143" t="s">
        <v>86</v>
      </c>
      <c r="C1732" s="143" t="s">
        <v>86</v>
      </c>
    </row>
    <row r="1733" spans="1:3" x14ac:dyDescent="0.25">
      <c r="A1733" s="2" t="s">
        <v>3285</v>
      </c>
      <c r="B1733" s="143" t="s">
        <v>86</v>
      </c>
      <c r="C1733" s="143" t="s">
        <v>86</v>
      </c>
    </row>
    <row r="1734" spans="1:3" x14ac:dyDescent="0.25">
      <c r="A1734" s="2" t="s">
        <v>3286</v>
      </c>
      <c r="B1734" s="143" t="s">
        <v>86</v>
      </c>
      <c r="C1734" s="143" t="s">
        <v>86</v>
      </c>
    </row>
    <row r="1735" spans="1:3" x14ac:dyDescent="0.25">
      <c r="A1735" s="2" t="s">
        <v>3287</v>
      </c>
      <c r="B1735" s="143" t="s">
        <v>86</v>
      </c>
      <c r="C1735" s="143" t="s">
        <v>86</v>
      </c>
    </row>
    <row r="1736" spans="1:3" x14ac:dyDescent="0.25">
      <c r="A1736" s="2" t="s">
        <v>3288</v>
      </c>
      <c r="B1736" s="143" t="s">
        <v>86</v>
      </c>
      <c r="C1736" s="143" t="s">
        <v>86</v>
      </c>
    </row>
    <row r="1737" spans="1:3" x14ac:dyDescent="0.25">
      <c r="A1737" s="2" t="s">
        <v>3289</v>
      </c>
      <c r="B1737" s="143" t="s">
        <v>86</v>
      </c>
      <c r="C1737" s="143" t="s">
        <v>86</v>
      </c>
    </row>
    <row r="1738" spans="1:3" x14ac:dyDescent="0.25">
      <c r="A1738" s="2" t="s">
        <v>3290</v>
      </c>
      <c r="B1738" s="143" t="s">
        <v>86</v>
      </c>
      <c r="C1738" s="143" t="s">
        <v>86</v>
      </c>
    </row>
    <row r="1739" spans="1:3" x14ac:dyDescent="0.25">
      <c r="A1739" s="2" t="s">
        <v>3291</v>
      </c>
      <c r="B1739" s="143" t="s">
        <v>86</v>
      </c>
      <c r="C1739" s="143" t="s">
        <v>86</v>
      </c>
    </row>
    <row r="1740" spans="1:3" x14ac:dyDescent="0.25">
      <c r="A1740" s="2" t="s">
        <v>3292</v>
      </c>
      <c r="B1740" s="143" t="s">
        <v>86</v>
      </c>
      <c r="C1740" s="143" t="s">
        <v>86</v>
      </c>
    </row>
    <row r="1741" spans="1:3" x14ac:dyDescent="0.25">
      <c r="A1741" s="2" t="s">
        <v>3293</v>
      </c>
      <c r="B1741" s="143" t="s">
        <v>86</v>
      </c>
      <c r="C1741" s="143" t="s">
        <v>86</v>
      </c>
    </row>
    <row r="1742" spans="1:3" x14ac:dyDescent="0.25">
      <c r="A1742" s="2" t="s">
        <v>3294</v>
      </c>
      <c r="B1742" s="143" t="s">
        <v>86</v>
      </c>
      <c r="C1742" s="143" t="s">
        <v>86</v>
      </c>
    </row>
    <row r="1743" spans="1:3" x14ac:dyDescent="0.25">
      <c r="A1743" s="2" t="s">
        <v>3295</v>
      </c>
      <c r="B1743" s="143" t="s">
        <v>86</v>
      </c>
      <c r="C1743" s="143" t="s">
        <v>86</v>
      </c>
    </row>
    <row r="1744" spans="1:3" x14ac:dyDescent="0.25">
      <c r="A1744" s="2" t="s">
        <v>3296</v>
      </c>
      <c r="B1744" s="143" t="s">
        <v>86</v>
      </c>
      <c r="C1744" s="143" t="s">
        <v>86</v>
      </c>
    </row>
    <row r="1745" spans="1:3" x14ac:dyDescent="0.25">
      <c r="A1745" s="2" t="s">
        <v>3297</v>
      </c>
      <c r="B1745" s="143" t="s">
        <v>86</v>
      </c>
      <c r="C1745" s="143" t="s">
        <v>86</v>
      </c>
    </row>
    <row r="1746" spans="1:3" x14ac:dyDescent="0.25">
      <c r="A1746" s="2" t="s">
        <v>3298</v>
      </c>
      <c r="B1746" s="143" t="s">
        <v>86</v>
      </c>
      <c r="C1746" s="143" t="s">
        <v>86</v>
      </c>
    </row>
    <row r="1747" spans="1:3" x14ac:dyDescent="0.25">
      <c r="A1747" s="2" t="s">
        <v>3299</v>
      </c>
      <c r="B1747" s="143" t="s">
        <v>86</v>
      </c>
      <c r="C1747" s="143" t="s">
        <v>86</v>
      </c>
    </row>
    <row r="1748" spans="1:3" x14ac:dyDescent="0.25">
      <c r="A1748" s="2" t="s">
        <v>3300</v>
      </c>
      <c r="B1748" s="143" t="s">
        <v>86</v>
      </c>
      <c r="C1748" s="143" t="s">
        <v>86</v>
      </c>
    </row>
    <row r="1749" spans="1:3" x14ac:dyDescent="0.25">
      <c r="A1749" s="2" t="s">
        <v>3301</v>
      </c>
      <c r="B1749" s="143" t="s">
        <v>86</v>
      </c>
      <c r="C1749" s="143" t="s">
        <v>86</v>
      </c>
    </row>
    <row r="1750" spans="1:3" x14ac:dyDescent="0.25">
      <c r="A1750" s="2" t="s">
        <v>3302</v>
      </c>
      <c r="B1750" s="143" t="s">
        <v>86</v>
      </c>
      <c r="C1750" s="143" t="s">
        <v>86</v>
      </c>
    </row>
    <row r="1751" spans="1:3" x14ac:dyDescent="0.25">
      <c r="A1751" s="2" t="s">
        <v>3303</v>
      </c>
      <c r="B1751" s="143" t="s">
        <v>86</v>
      </c>
      <c r="C1751" s="143" t="s">
        <v>86</v>
      </c>
    </row>
    <row r="1752" spans="1:3" x14ac:dyDescent="0.25">
      <c r="A1752" s="2" t="s">
        <v>3304</v>
      </c>
      <c r="B1752" s="143" t="s">
        <v>86</v>
      </c>
      <c r="C1752" s="143" t="s">
        <v>86</v>
      </c>
    </row>
    <row r="1753" spans="1:3" x14ac:dyDescent="0.25">
      <c r="A1753" s="2" t="s">
        <v>3305</v>
      </c>
      <c r="B1753" s="143" t="s">
        <v>86</v>
      </c>
      <c r="C1753" s="143" t="s">
        <v>86</v>
      </c>
    </row>
    <row r="1754" spans="1:3" x14ac:dyDescent="0.25">
      <c r="A1754" s="2" t="s">
        <v>3306</v>
      </c>
      <c r="B1754" s="143" t="s">
        <v>86</v>
      </c>
      <c r="C1754" s="143" t="s">
        <v>86</v>
      </c>
    </row>
    <row r="1755" spans="1:3" x14ac:dyDescent="0.25">
      <c r="A1755" s="2" t="s">
        <v>3307</v>
      </c>
      <c r="B1755" s="143" t="s">
        <v>86</v>
      </c>
      <c r="C1755" s="143" t="s">
        <v>86</v>
      </c>
    </row>
    <row r="1756" spans="1:3" x14ac:dyDescent="0.25">
      <c r="A1756" s="2" t="s">
        <v>3308</v>
      </c>
      <c r="B1756" s="143" t="s">
        <v>86</v>
      </c>
      <c r="C1756" s="143" t="s">
        <v>86</v>
      </c>
    </row>
    <row r="1757" spans="1:3" x14ac:dyDescent="0.25">
      <c r="A1757" s="2" t="s">
        <v>3309</v>
      </c>
      <c r="B1757" s="143" t="s">
        <v>86</v>
      </c>
      <c r="C1757" s="143" t="s">
        <v>86</v>
      </c>
    </row>
    <row r="1758" spans="1:3" x14ac:dyDescent="0.25">
      <c r="A1758" s="2" t="s">
        <v>3310</v>
      </c>
      <c r="B1758" s="143" t="s">
        <v>86</v>
      </c>
      <c r="C1758" s="143" t="s">
        <v>86</v>
      </c>
    </row>
    <row r="1759" spans="1:3" x14ac:dyDescent="0.25">
      <c r="A1759" s="2" t="s">
        <v>3311</v>
      </c>
      <c r="B1759" s="143" t="s">
        <v>86</v>
      </c>
      <c r="C1759" s="143" t="s">
        <v>86</v>
      </c>
    </row>
    <row r="1760" spans="1:3" x14ac:dyDescent="0.25">
      <c r="A1760" s="2" t="s">
        <v>3313</v>
      </c>
      <c r="B1760" s="143" t="s">
        <v>86</v>
      </c>
      <c r="C1760" s="143" t="s">
        <v>86</v>
      </c>
    </row>
    <row r="1761" spans="1:3" x14ac:dyDescent="0.25">
      <c r="A1761" s="2" t="s">
        <v>3314</v>
      </c>
      <c r="B1761" s="143" t="s">
        <v>86</v>
      </c>
      <c r="C1761" s="143" t="s">
        <v>86</v>
      </c>
    </row>
    <row r="1762" spans="1:3" x14ac:dyDescent="0.25">
      <c r="A1762" s="2" t="s">
        <v>3315</v>
      </c>
      <c r="B1762" s="143" t="s">
        <v>86</v>
      </c>
      <c r="C1762" s="143" t="s">
        <v>86</v>
      </c>
    </row>
    <row r="1763" spans="1:3" x14ac:dyDescent="0.25">
      <c r="A1763" s="2" t="s">
        <v>3316</v>
      </c>
      <c r="B1763" s="143" t="s">
        <v>86</v>
      </c>
      <c r="C1763" s="143" t="s">
        <v>86</v>
      </c>
    </row>
    <row r="1764" spans="1:3" x14ac:dyDescent="0.25">
      <c r="A1764" s="2" t="s">
        <v>3317</v>
      </c>
      <c r="B1764" s="143" t="s">
        <v>86</v>
      </c>
      <c r="C1764" s="143" t="s">
        <v>86</v>
      </c>
    </row>
    <row r="1765" spans="1:3" x14ac:dyDescent="0.25">
      <c r="A1765" s="2" t="s">
        <v>3318</v>
      </c>
      <c r="B1765" s="143" t="s">
        <v>86</v>
      </c>
      <c r="C1765" s="143" t="s">
        <v>86</v>
      </c>
    </row>
    <row r="1766" spans="1:3" x14ac:dyDescent="0.25">
      <c r="A1766" s="2" t="s">
        <v>3319</v>
      </c>
      <c r="B1766" s="143" t="s">
        <v>86</v>
      </c>
      <c r="C1766" s="143" t="s">
        <v>86</v>
      </c>
    </row>
    <row r="1767" spans="1:3" x14ac:dyDescent="0.25">
      <c r="A1767" s="2" t="s">
        <v>3320</v>
      </c>
      <c r="B1767" s="143" t="s">
        <v>86</v>
      </c>
      <c r="C1767" s="143" t="s">
        <v>86</v>
      </c>
    </row>
    <row r="1768" spans="1:3" x14ac:dyDescent="0.25">
      <c r="A1768" s="2" t="s">
        <v>3321</v>
      </c>
      <c r="B1768" s="143" t="s">
        <v>86</v>
      </c>
      <c r="C1768" s="143" t="s">
        <v>86</v>
      </c>
    </row>
    <row r="1769" spans="1:3" x14ac:dyDescent="0.25">
      <c r="A1769" s="2" t="s">
        <v>3322</v>
      </c>
      <c r="B1769" s="143" t="s">
        <v>86</v>
      </c>
      <c r="C1769" s="143" t="s">
        <v>86</v>
      </c>
    </row>
    <row r="1770" spans="1:3" x14ac:dyDescent="0.25">
      <c r="A1770" s="2" t="s">
        <v>3323</v>
      </c>
      <c r="B1770" s="143" t="s">
        <v>86</v>
      </c>
      <c r="C1770" s="143" t="s">
        <v>86</v>
      </c>
    </row>
    <row r="1771" spans="1:3" x14ac:dyDescent="0.25">
      <c r="A1771" s="2" t="s">
        <v>3324</v>
      </c>
      <c r="B1771" s="143" t="s">
        <v>86</v>
      </c>
      <c r="C1771" s="143" t="s">
        <v>86</v>
      </c>
    </row>
    <row r="1772" spans="1:3" x14ac:dyDescent="0.25">
      <c r="A1772" s="2" t="s">
        <v>3325</v>
      </c>
      <c r="B1772" s="143" t="s">
        <v>86</v>
      </c>
      <c r="C1772" s="143" t="s">
        <v>86</v>
      </c>
    </row>
    <row r="1773" spans="1:3" x14ac:dyDescent="0.25">
      <c r="A1773" s="2" t="s">
        <v>3326</v>
      </c>
      <c r="B1773" s="143" t="s">
        <v>86</v>
      </c>
      <c r="C1773" s="143" t="s">
        <v>86</v>
      </c>
    </row>
    <row r="1774" spans="1:3" x14ac:dyDescent="0.25">
      <c r="A1774" s="2" t="s">
        <v>3327</v>
      </c>
      <c r="B1774" s="143" t="s">
        <v>86</v>
      </c>
      <c r="C1774" s="143" t="s">
        <v>86</v>
      </c>
    </row>
    <row r="1775" spans="1:3" x14ac:dyDescent="0.25">
      <c r="A1775" s="2" t="s">
        <v>3328</v>
      </c>
      <c r="B1775" s="143" t="s">
        <v>86</v>
      </c>
      <c r="C1775" s="143" t="s">
        <v>86</v>
      </c>
    </row>
    <row r="1776" spans="1:3" x14ac:dyDescent="0.25">
      <c r="A1776" s="2" t="s">
        <v>3329</v>
      </c>
      <c r="B1776" s="143" t="s">
        <v>86</v>
      </c>
      <c r="C1776" s="143" t="s">
        <v>86</v>
      </c>
    </row>
    <row r="1777" spans="1:3" x14ac:dyDescent="0.25">
      <c r="A1777" s="2" t="s">
        <v>3330</v>
      </c>
      <c r="B1777" s="143" t="s">
        <v>86</v>
      </c>
      <c r="C1777" s="143" t="s">
        <v>86</v>
      </c>
    </row>
    <row r="1778" spans="1:3" x14ac:dyDescent="0.25">
      <c r="A1778" s="2" t="s">
        <v>3331</v>
      </c>
      <c r="B1778" s="143" t="s">
        <v>86</v>
      </c>
      <c r="C1778" s="143" t="s">
        <v>86</v>
      </c>
    </row>
    <row r="1779" spans="1:3" x14ac:dyDescent="0.25">
      <c r="A1779" s="2" t="s">
        <v>3332</v>
      </c>
      <c r="B1779" s="143" t="s">
        <v>86</v>
      </c>
      <c r="C1779" s="143" t="s">
        <v>86</v>
      </c>
    </row>
    <row r="1780" spans="1:3" x14ac:dyDescent="0.25">
      <c r="A1780" s="2" t="s">
        <v>3333</v>
      </c>
      <c r="B1780" s="143" t="s">
        <v>86</v>
      </c>
      <c r="C1780" s="143" t="s">
        <v>86</v>
      </c>
    </row>
    <row r="1781" spans="1:3" x14ac:dyDescent="0.25">
      <c r="A1781" s="2" t="s">
        <v>3334</v>
      </c>
      <c r="B1781" s="143" t="s">
        <v>86</v>
      </c>
      <c r="C1781" s="143" t="s">
        <v>86</v>
      </c>
    </row>
    <row r="1782" spans="1:3" x14ac:dyDescent="0.25">
      <c r="A1782" s="2" t="s">
        <v>3335</v>
      </c>
      <c r="B1782" s="143" t="s">
        <v>86</v>
      </c>
      <c r="C1782" s="143" t="s">
        <v>86</v>
      </c>
    </row>
    <row r="1783" spans="1:3" x14ac:dyDescent="0.25">
      <c r="A1783" s="2" t="s">
        <v>3336</v>
      </c>
      <c r="B1783" s="143" t="s">
        <v>86</v>
      </c>
      <c r="C1783" s="143" t="s">
        <v>86</v>
      </c>
    </row>
    <row r="1784" spans="1:3" x14ac:dyDescent="0.25">
      <c r="A1784" s="2" t="s">
        <v>3337</v>
      </c>
      <c r="B1784" s="143" t="s">
        <v>86</v>
      </c>
      <c r="C1784" s="143" t="s">
        <v>86</v>
      </c>
    </row>
    <row r="1785" spans="1:3" x14ac:dyDescent="0.25">
      <c r="A1785" s="2" t="s">
        <v>3338</v>
      </c>
      <c r="B1785" s="143" t="s">
        <v>86</v>
      </c>
      <c r="C1785" s="143" t="s">
        <v>86</v>
      </c>
    </row>
    <row r="1786" spans="1:3" x14ac:dyDescent="0.25">
      <c r="A1786" s="2" t="s">
        <v>3339</v>
      </c>
      <c r="B1786" s="143" t="s">
        <v>86</v>
      </c>
      <c r="C1786" s="143" t="s">
        <v>86</v>
      </c>
    </row>
    <row r="1787" spans="1:3" x14ac:dyDescent="0.25">
      <c r="A1787" s="2" t="s">
        <v>3340</v>
      </c>
      <c r="B1787" s="143" t="s">
        <v>86</v>
      </c>
      <c r="C1787" s="143" t="s">
        <v>86</v>
      </c>
    </row>
    <row r="1788" spans="1:3" x14ac:dyDescent="0.25">
      <c r="A1788" s="2" t="s">
        <v>3341</v>
      </c>
      <c r="B1788" s="143" t="s">
        <v>86</v>
      </c>
      <c r="C1788" s="143" t="s">
        <v>86</v>
      </c>
    </row>
    <row r="1789" spans="1:3" x14ac:dyDescent="0.25">
      <c r="A1789" s="2" t="s">
        <v>3342</v>
      </c>
      <c r="B1789" s="143" t="s">
        <v>86</v>
      </c>
      <c r="C1789" s="143" t="s">
        <v>86</v>
      </c>
    </row>
    <row r="1790" spans="1:3" x14ac:dyDescent="0.25">
      <c r="A1790" s="2" t="s">
        <v>3343</v>
      </c>
      <c r="B1790" s="143" t="s">
        <v>86</v>
      </c>
      <c r="C1790" s="143" t="s">
        <v>86</v>
      </c>
    </row>
    <row r="1791" spans="1:3" x14ac:dyDescent="0.25">
      <c r="A1791" s="2" t="s">
        <v>3344</v>
      </c>
      <c r="B1791" s="143" t="s">
        <v>86</v>
      </c>
      <c r="C1791" s="143" t="s">
        <v>86</v>
      </c>
    </row>
    <row r="1792" spans="1:3" x14ac:dyDescent="0.25">
      <c r="A1792" s="2" t="s">
        <v>3345</v>
      </c>
      <c r="B1792" s="143" t="s">
        <v>86</v>
      </c>
      <c r="C1792" s="143" t="s">
        <v>86</v>
      </c>
    </row>
    <row r="1793" spans="1:3" x14ac:dyDescent="0.25">
      <c r="A1793" s="2" t="s">
        <v>3038</v>
      </c>
      <c r="B1793" s="143" t="s">
        <v>86</v>
      </c>
      <c r="C1793" s="143" t="s">
        <v>86</v>
      </c>
    </row>
    <row r="1794" spans="1:3" x14ac:dyDescent="0.25">
      <c r="A1794" s="2" t="s">
        <v>3346</v>
      </c>
      <c r="B1794" s="143" t="s">
        <v>86</v>
      </c>
      <c r="C1794" s="143" t="s">
        <v>86</v>
      </c>
    </row>
    <row r="1795" spans="1:3" x14ac:dyDescent="0.25">
      <c r="A1795" s="2" t="s">
        <v>3347</v>
      </c>
      <c r="B1795" s="143" t="s">
        <v>86</v>
      </c>
      <c r="C1795" s="143" t="s">
        <v>86</v>
      </c>
    </row>
    <row r="1796" spans="1:3" x14ac:dyDescent="0.25">
      <c r="A1796" s="2" t="s">
        <v>3001</v>
      </c>
      <c r="B1796" s="143" t="s">
        <v>86</v>
      </c>
      <c r="C1796" s="143" t="s">
        <v>86</v>
      </c>
    </row>
    <row r="1797" spans="1:3" x14ac:dyDescent="0.25">
      <c r="A1797" s="2" t="s">
        <v>3007</v>
      </c>
      <c r="B1797" s="143" t="s">
        <v>86</v>
      </c>
      <c r="C1797" s="143" t="s">
        <v>86</v>
      </c>
    </row>
    <row r="1798" spans="1:3" x14ac:dyDescent="0.25">
      <c r="A1798" s="2" t="s">
        <v>3348</v>
      </c>
      <c r="B1798" s="143" t="s">
        <v>86</v>
      </c>
      <c r="C1798" s="143" t="s">
        <v>86</v>
      </c>
    </row>
    <row r="1799" spans="1:3" x14ac:dyDescent="0.25">
      <c r="A1799" s="2" t="s">
        <v>3005</v>
      </c>
      <c r="B1799" s="143" t="s">
        <v>86</v>
      </c>
      <c r="C1799" s="143" t="s">
        <v>86</v>
      </c>
    </row>
    <row r="1800" spans="1:3" x14ac:dyDescent="0.25">
      <c r="A1800" s="2" t="s">
        <v>2995</v>
      </c>
      <c r="B1800" s="143" t="s">
        <v>86</v>
      </c>
      <c r="C1800" s="143" t="s">
        <v>86</v>
      </c>
    </row>
    <row r="1801" spans="1:3" x14ac:dyDescent="0.25">
      <c r="A1801" s="2" t="s">
        <v>3060</v>
      </c>
      <c r="B1801" s="143" t="s">
        <v>86</v>
      </c>
      <c r="C1801" s="143" t="s">
        <v>86</v>
      </c>
    </row>
    <row r="1802" spans="1:3" x14ac:dyDescent="0.25">
      <c r="A1802" s="2" t="s">
        <v>3349</v>
      </c>
      <c r="B1802" s="143" t="s">
        <v>86</v>
      </c>
      <c r="C1802" s="143" t="s">
        <v>86</v>
      </c>
    </row>
    <row r="1803" spans="1:3" x14ac:dyDescent="0.25">
      <c r="A1803" s="2" t="s">
        <v>3350</v>
      </c>
      <c r="B1803" s="143">
        <v>-7.9261280123385376</v>
      </c>
      <c r="C1803" s="143">
        <v>-14.914779648226681</v>
      </c>
    </row>
    <row r="1804" spans="1:3" x14ac:dyDescent="0.25">
      <c r="A1804" s="2" t="s">
        <v>3351</v>
      </c>
      <c r="B1804" s="143" t="s">
        <v>86</v>
      </c>
      <c r="C1804" s="143" t="s">
        <v>86</v>
      </c>
    </row>
    <row r="1805" spans="1:3" x14ac:dyDescent="0.25">
      <c r="A1805" s="2" t="s">
        <v>3353</v>
      </c>
      <c r="B1805" s="143" t="s">
        <v>86</v>
      </c>
      <c r="C1805" s="143" t="s">
        <v>86</v>
      </c>
    </row>
    <row r="1806" spans="1:3" x14ac:dyDescent="0.25">
      <c r="A1806" s="2" t="s">
        <v>3354</v>
      </c>
      <c r="B1806" s="143" t="s">
        <v>86</v>
      </c>
      <c r="C1806" s="143" t="s">
        <v>86</v>
      </c>
    </row>
    <row r="1807" spans="1:3" x14ac:dyDescent="0.25">
      <c r="A1807" s="2" t="s">
        <v>3355</v>
      </c>
      <c r="B1807" s="143" t="s">
        <v>86</v>
      </c>
      <c r="C1807" s="143" t="s">
        <v>86</v>
      </c>
    </row>
    <row r="1808" spans="1:3" x14ac:dyDescent="0.25">
      <c r="A1808" s="2" t="s">
        <v>3356</v>
      </c>
      <c r="B1808" s="143" t="s">
        <v>86</v>
      </c>
      <c r="C1808" s="143" t="s">
        <v>86</v>
      </c>
    </row>
    <row r="1809" spans="1:3" x14ac:dyDescent="0.25">
      <c r="A1809" s="2" t="s">
        <v>3357</v>
      </c>
      <c r="B1809" s="143" t="s">
        <v>86</v>
      </c>
      <c r="C1809" s="143" t="s">
        <v>86</v>
      </c>
    </row>
    <row r="1810" spans="1:3" x14ac:dyDescent="0.25">
      <c r="A1810" s="2" t="s">
        <v>3358</v>
      </c>
      <c r="B1810" s="143" t="s">
        <v>86</v>
      </c>
      <c r="C1810" s="143" t="s">
        <v>86</v>
      </c>
    </row>
    <row r="1811" spans="1:3" x14ac:dyDescent="0.25">
      <c r="A1811" s="2" t="s">
        <v>3359</v>
      </c>
      <c r="B1811" s="143" t="s">
        <v>86</v>
      </c>
      <c r="C1811" s="143" t="s">
        <v>86</v>
      </c>
    </row>
    <row r="1812" spans="1:3" x14ac:dyDescent="0.25">
      <c r="A1812" s="2" t="s">
        <v>3360</v>
      </c>
      <c r="B1812" s="143" t="s">
        <v>86</v>
      </c>
      <c r="C1812" s="143" t="s">
        <v>86</v>
      </c>
    </row>
    <row r="1813" spans="1:3" x14ac:dyDescent="0.25">
      <c r="A1813" s="2" t="s">
        <v>3361</v>
      </c>
      <c r="B1813" s="143" t="s">
        <v>86</v>
      </c>
      <c r="C1813" s="143" t="s">
        <v>86</v>
      </c>
    </row>
    <row r="1814" spans="1:3" x14ac:dyDescent="0.25">
      <c r="A1814" s="2" t="s">
        <v>3362</v>
      </c>
      <c r="B1814" s="143" t="s">
        <v>86</v>
      </c>
      <c r="C1814" s="143" t="s">
        <v>86</v>
      </c>
    </row>
    <row r="1815" spans="1:3" x14ac:dyDescent="0.25">
      <c r="A1815" s="2" t="s">
        <v>3363</v>
      </c>
      <c r="B1815" s="143" t="s">
        <v>86</v>
      </c>
      <c r="C1815" s="143" t="s">
        <v>86</v>
      </c>
    </row>
    <row r="1816" spans="1:3" x14ac:dyDescent="0.25">
      <c r="A1816" s="2" t="s">
        <v>3364</v>
      </c>
      <c r="B1816" s="143" t="s">
        <v>86</v>
      </c>
      <c r="C1816" s="143" t="s">
        <v>86</v>
      </c>
    </row>
    <row r="1817" spans="1:3" x14ac:dyDescent="0.25">
      <c r="A1817" s="2" t="s">
        <v>3365</v>
      </c>
      <c r="B1817" s="143" t="s">
        <v>86</v>
      </c>
      <c r="C1817" s="143" t="s">
        <v>86</v>
      </c>
    </row>
    <row r="1818" spans="1:3" x14ac:dyDescent="0.25">
      <c r="A1818" s="2" t="s">
        <v>3366</v>
      </c>
      <c r="B1818" s="143" t="s">
        <v>86</v>
      </c>
      <c r="C1818" s="143" t="s">
        <v>86</v>
      </c>
    </row>
    <row r="1819" spans="1:3" x14ac:dyDescent="0.25">
      <c r="A1819" s="2" t="s">
        <v>3367</v>
      </c>
      <c r="B1819" s="143" t="s">
        <v>86</v>
      </c>
      <c r="C1819" s="143" t="s">
        <v>86</v>
      </c>
    </row>
    <row r="1820" spans="1:3" x14ac:dyDescent="0.25">
      <c r="A1820" s="2" t="s">
        <v>3368</v>
      </c>
      <c r="B1820" s="143" t="s">
        <v>86</v>
      </c>
      <c r="C1820" s="143" t="s">
        <v>86</v>
      </c>
    </row>
    <row r="1821" spans="1:3" x14ac:dyDescent="0.25">
      <c r="A1821" s="2" t="s">
        <v>3369</v>
      </c>
      <c r="B1821" s="143">
        <v>-6.8668750000000003</v>
      </c>
      <c r="C1821" s="143" t="s">
        <v>86</v>
      </c>
    </row>
    <row r="1822" spans="1:3" x14ac:dyDescent="0.25">
      <c r="A1822" s="2" t="s">
        <v>3370</v>
      </c>
      <c r="B1822" s="143">
        <v>-6.1140476190476196</v>
      </c>
      <c r="C1822" s="143" t="s">
        <v>86</v>
      </c>
    </row>
    <row r="1823" spans="1:3" x14ac:dyDescent="0.25">
      <c r="A1823" s="2" t="s">
        <v>3371</v>
      </c>
      <c r="B1823" s="143" t="s">
        <v>86</v>
      </c>
      <c r="C1823" s="143" t="s">
        <v>86</v>
      </c>
    </row>
    <row r="1824" spans="1:3" x14ac:dyDescent="0.25">
      <c r="A1824" s="2" t="s">
        <v>3372</v>
      </c>
      <c r="B1824" s="143" t="s">
        <v>86</v>
      </c>
      <c r="C1824" s="143" t="s">
        <v>86</v>
      </c>
    </row>
    <row r="1825" spans="1:3" x14ac:dyDescent="0.25">
      <c r="A1825" s="2" t="s">
        <v>3373</v>
      </c>
      <c r="B1825" s="143" t="s">
        <v>86</v>
      </c>
      <c r="C1825" s="143" t="s">
        <v>86</v>
      </c>
    </row>
    <row r="1826" spans="1:3" x14ac:dyDescent="0.25">
      <c r="A1826" s="2" t="s">
        <v>2996</v>
      </c>
      <c r="B1826" s="143" t="s">
        <v>86</v>
      </c>
      <c r="C1826" s="143" t="s">
        <v>86</v>
      </c>
    </row>
    <row r="1827" spans="1:3" x14ac:dyDescent="0.25">
      <c r="A1827" s="2" t="s">
        <v>2997</v>
      </c>
      <c r="B1827" s="143">
        <v>-4.0718302093096028</v>
      </c>
      <c r="C1827" s="143" t="s">
        <v>86</v>
      </c>
    </row>
    <row r="1828" spans="1:3" x14ac:dyDescent="0.25">
      <c r="A1828" s="2" t="s">
        <v>2998</v>
      </c>
      <c r="B1828" s="143">
        <v>-1.669806147937982</v>
      </c>
      <c r="C1828" s="143" t="s">
        <v>86</v>
      </c>
    </row>
    <row r="1829" spans="1:3" x14ac:dyDescent="0.25">
      <c r="A1829" s="2" t="s">
        <v>2999</v>
      </c>
      <c r="B1829" s="143">
        <v>-1.2121082296121199</v>
      </c>
      <c r="C1829" s="143" t="s">
        <v>86</v>
      </c>
    </row>
    <row r="1830" spans="1:3" x14ac:dyDescent="0.25">
      <c r="A1830" s="2" t="s">
        <v>3000</v>
      </c>
      <c r="B1830" s="143">
        <v>-0.71164563176658813</v>
      </c>
      <c r="C1830" s="143" t="s">
        <v>86</v>
      </c>
    </row>
    <row r="1831" spans="1:3" x14ac:dyDescent="0.25">
      <c r="A1831" s="2" t="s">
        <v>3002</v>
      </c>
      <c r="B1831" s="143">
        <v>-8.9522222222222236</v>
      </c>
      <c r="C1831" s="143" t="s">
        <v>86</v>
      </c>
    </row>
    <row r="1832" spans="1:3" x14ac:dyDescent="0.25">
      <c r="A1832" s="2" t="s">
        <v>3003</v>
      </c>
      <c r="B1832" s="143">
        <v>-9.9180740740740756</v>
      </c>
      <c r="C1832" s="143" t="s">
        <v>86</v>
      </c>
    </row>
    <row r="1833" spans="1:3" x14ac:dyDescent="0.25">
      <c r="A1833" s="2" t="s">
        <v>3004</v>
      </c>
      <c r="B1833" s="143" t="s">
        <v>86</v>
      </c>
      <c r="C1833" s="143" t="s">
        <v>86</v>
      </c>
    </row>
    <row r="1834" spans="1:3" x14ac:dyDescent="0.25">
      <c r="A1834" s="2" t="s">
        <v>3374</v>
      </c>
      <c r="B1834" s="143" t="s">
        <v>86</v>
      </c>
      <c r="C1834" s="143" t="s">
        <v>86</v>
      </c>
    </row>
    <row r="1835" spans="1:3" x14ac:dyDescent="0.25">
      <c r="A1835" s="2" t="s">
        <v>3028</v>
      </c>
      <c r="B1835" s="143" t="s">
        <v>86</v>
      </c>
      <c r="C1835" s="143" t="s">
        <v>86</v>
      </c>
    </row>
    <row r="1836" spans="1:3" x14ac:dyDescent="0.25">
      <c r="A1836" s="2" t="s">
        <v>3054</v>
      </c>
      <c r="B1836" s="143" t="s">
        <v>86</v>
      </c>
      <c r="C1836" s="143" t="s">
        <v>86</v>
      </c>
    </row>
    <row r="1837" spans="1:3" x14ac:dyDescent="0.25">
      <c r="A1837" s="2" t="s">
        <v>3006</v>
      </c>
      <c r="B1837" s="143">
        <v>-6.8633333333333333</v>
      </c>
      <c r="C1837" s="143" t="s">
        <v>86</v>
      </c>
    </row>
    <row r="1838" spans="1:3" x14ac:dyDescent="0.25">
      <c r="A1838" s="2" t="s">
        <v>3375</v>
      </c>
      <c r="B1838" s="143" t="s">
        <v>86</v>
      </c>
      <c r="C1838" s="143" t="s">
        <v>86</v>
      </c>
    </row>
    <row r="1839" spans="1:3" x14ac:dyDescent="0.25">
      <c r="A1839" s="2" t="s">
        <v>3376</v>
      </c>
      <c r="B1839" s="143" t="s">
        <v>86</v>
      </c>
      <c r="C1839" s="143" t="s">
        <v>86</v>
      </c>
    </row>
    <row r="1840" spans="1:3" x14ac:dyDescent="0.25">
      <c r="A1840" s="2" t="s">
        <v>3377</v>
      </c>
      <c r="B1840" s="143" t="s">
        <v>86</v>
      </c>
      <c r="C1840" s="143" t="s">
        <v>86</v>
      </c>
    </row>
    <row r="1841" spans="1:3" x14ac:dyDescent="0.25">
      <c r="A1841" s="2" t="s">
        <v>3378</v>
      </c>
      <c r="B1841" s="143" t="s">
        <v>86</v>
      </c>
      <c r="C1841" s="143" t="s">
        <v>86</v>
      </c>
    </row>
    <row r="1842" spans="1:3" x14ac:dyDescent="0.25">
      <c r="A1842" s="2" t="s">
        <v>3379</v>
      </c>
      <c r="B1842" s="143" t="s">
        <v>86</v>
      </c>
      <c r="C1842" s="143" t="s">
        <v>86</v>
      </c>
    </row>
    <row r="1843" spans="1:3" x14ac:dyDescent="0.25">
      <c r="A1843" s="2" t="s">
        <v>3009</v>
      </c>
      <c r="B1843" s="143">
        <v>-8.8333333333333339</v>
      </c>
      <c r="C1843" s="143" t="s">
        <v>86</v>
      </c>
    </row>
    <row r="1844" spans="1:3" x14ac:dyDescent="0.25">
      <c r="A1844" s="2" t="s">
        <v>3010</v>
      </c>
      <c r="B1844" s="143">
        <v>-11.36428571428571</v>
      </c>
      <c r="C1844" s="143" t="s">
        <v>86</v>
      </c>
    </row>
    <row r="1845" spans="1:3" x14ac:dyDescent="0.25">
      <c r="A1845" s="2" t="s">
        <v>3011</v>
      </c>
      <c r="B1845" s="143" t="s">
        <v>86</v>
      </c>
      <c r="C1845" s="143" t="s">
        <v>86</v>
      </c>
    </row>
    <row r="1846" spans="1:3" x14ac:dyDescent="0.25">
      <c r="A1846" s="2" t="s">
        <v>3012</v>
      </c>
      <c r="B1846" s="143">
        <v>-19.201111111111111</v>
      </c>
      <c r="C1846" s="143" t="s">
        <v>86</v>
      </c>
    </row>
    <row r="1847" spans="1:3" x14ac:dyDescent="0.25">
      <c r="A1847" s="2" t="s">
        <v>3013</v>
      </c>
      <c r="B1847" s="143">
        <v>-12.12125</v>
      </c>
      <c r="C1847" s="143" t="s">
        <v>86</v>
      </c>
    </row>
    <row r="1848" spans="1:3" x14ac:dyDescent="0.25">
      <c r="A1848" s="2" t="s">
        <v>3014</v>
      </c>
      <c r="B1848" s="143" t="s">
        <v>86</v>
      </c>
      <c r="C1848" s="143" t="s">
        <v>86</v>
      </c>
    </row>
    <row r="1849" spans="1:3" x14ac:dyDescent="0.25">
      <c r="A1849" s="2" t="s">
        <v>3015</v>
      </c>
      <c r="B1849" s="143">
        <v>-6.2727162698412693</v>
      </c>
      <c r="C1849" s="143" t="s">
        <v>86</v>
      </c>
    </row>
    <row r="1850" spans="1:3" x14ac:dyDescent="0.25">
      <c r="A1850" s="2" t="s">
        <v>3016</v>
      </c>
      <c r="B1850" s="143">
        <v>-9.5917235641438552</v>
      </c>
      <c r="C1850" s="143" t="s">
        <v>86</v>
      </c>
    </row>
    <row r="1851" spans="1:3" x14ac:dyDescent="0.25">
      <c r="A1851" s="2" t="s">
        <v>3017</v>
      </c>
      <c r="B1851" s="143">
        <v>-8.0219665745258393</v>
      </c>
      <c r="C1851" s="143">
        <v>-10.029999999999999</v>
      </c>
    </row>
    <row r="1852" spans="1:3" x14ac:dyDescent="0.25">
      <c r="A1852" s="3" t="s">
        <v>3019</v>
      </c>
      <c r="B1852" s="143">
        <v>-5.2442387946523814</v>
      </c>
      <c r="C1852" s="143">
        <v>-1.56</v>
      </c>
    </row>
    <row r="1853" spans="1:3" x14ac:dyDescent="0.25">
      <c r="A1853" s="3" t="s">
        <v>3020</v>
      </c>
      <c r="B1853" s="143" t="s">
        <v>86</v>
      </c>
      <c r="C1853" s="143" t="s">
        <v>86</v>
      </c>
    </row>
    <row r="1854" spans="1:3" x14ac:dyDescent="0.25">
      <c r="A1854" s="3" t="s">
        <v>3021</v>
      </c>
      <c r="B1854" s="143" t="s">
        <v>86</v>
      </c>
      <c r="C1854" s="143" t="s">
        <v>86</v>
      </c>
    </row>
    <row r="1855" spans="1:3" x14ac:dyDescent="0.25">
      <c r="A1855" s="3" t="s">
        <v>3022</v>
      </c>
      <c r="B1855" s="143" t="s">
        <v>86</v>
      </c>
      <c r="C1855" s="143">
        <v>-8.3763462110973723</v>
      </c>
    </row>
    <row r="1856" spans="1:3" x14ac:dyDescent="0.25">
      <c r="A1856" s="3" t="s">
        <v>3023</v>
      </c>
      <c r="B1856" s="143">
        <v>-12.46538333333333</v>
      </c>
      <c r="C1856" s="143" t="s">
        <v>86</v>
      </c>
    </row>
    <row r="1857" spans="1:3" x14ac:dyDescent="0.25">
      <c r="A1857" s="3" t="s">
        <v>3024</v>
      </c>
      <c r="B1857" s="143" t="s">
        <v>86</v>
      </c>
      <c r="C1857" s="143" t="s">
        <v>86</v>
      </c>
    </row>
    <row r="1858" spans="1:3" x14ac:dyDescent="0.25">
      <c r="A1858" s="3" t="s">
        <v>3025</v>
      </c>
      <c r="B1858" s="143">
        <v>-2.504833333333333</v>
      </c>
      <c r="C1858" s="143" t="s">
        <v>86</v>
      </c>
    </row>
    <row r="1859" spans="1:3" x14ac:dyDescent="0.25">
      <c r="A1859" s="3" t="s">
        <v>3026</v>
      </c>
      <c r="B1859" s="143">
        <v>-1.1339999999999999</v>
      </c>
      <c r="C1859" s="143" t="s">
        <v>86</v>
      </c>
    </row>
    <row r="1860" spans="1:3" x14ac:dyDescent="0.25">
      <c r="A1860" s="3" t="s">
        <v>2415</v>
      </c>
      <c r="B1860" s="143" t="s">
        <v>86</v>
      </c>
      <c r="C1860" s="143" t="s">
        <v>86</v>
      </c>
    </row>
    <row r="1861" spans="1:3" x14ac:dyDescent="0.25">
      <c r="A1861" s="3" t="s">
        <v>2737</v>
      </c>
      <c r="B1861" s="143" t="s">
        <v>86</v>
      </c>
      <c r="C1861" s="143" t="s">
        <v>86</v>
      </c>
    </row>
    <row r="1862" spans="1:3" x14ac:dyDescent="0.25">
      <c r="A1862" s="3" t="s">
        <v>2738</v>
      </c>
      <c r="B1862" s="143" t="s">
        <v>86</v>
      </c>
      <c r="C1862" s="143" t="s">
        <v>86</v>
      </c>
    </row>
    <row r="1863" spans="1:3" x14ac:dyDescent="0.25">
      <c r="A1863" s="3" t="s">
        <v>3027</v>
      </c>
      <c r="B1863" s="143">
        <v>-0.67823048123482732</v>
      </c>
      <c r="C1863" s="143" t="s">
        <v>86</v>
      </c>
    </row>
    <row r="1864" spans="1:3" x14ac:dyDescent="0.25">
      <c r="A1864" s="3" t="s">
        <v>3029</v>
      </c>
      <c r="B1864" s="143">
        <v>-8.3279999999999994</v>
      </c>
      <c r="C1864" s="143" t="s">
        <v>86</v>
      </c>
    </row>
    <row r="1865" spans="1:3" x14ac:dyDescent="0.25">
      <c r="A1865" s="3" t="s">
        <v>3380</v>
      </c>
      <c r="B1865" s="143" t="s">
        <v>86</v>
      </c>
      <c r="C1865" s="143" t="s">
        <v>86</v>
      </c>
    </row>
    <row r="1866" spans="1:3" x14ac:dyDescent="0.25">
      <c r="A1866" s="3" t="s">
        <v>1874</v>
      </c>
      <c r="B1866" s="143" t="s">
        <v>86</v>
      </c>
      <c r="C1866" s="143" t="s">
        <v>86</v>
      </c>
    </row>
    <row r="1867" spans="1:3" x14ac:dyDescent="0.25">
      <c r="A1867" s="3" t="s">
        <v>3381</v>
      </c>
      <c r="B1867" s="143" t="s">
        <v>86</v>
      </c>
      <c r="C1867" s="143" t="s">
        <v>86</v>
      </c>
    </row>
    <row r="1868" spans="1:3" x14ac:dyDescent="0.25">
      <c r="A1868" s="3" t="s">
        <v>3382</v>
      </c>
      <c r="B1868" s="143" t="s">
        <v>86</v>
      </c>
      <c r="C1868" s="143" t="s">
        <v>86</v>
      </c>
    </row>
    <row r="1869" spans="1:3" x14ac:dyDescent="0.25">
      <c r="A1869" s="3" t="s">
        <v>3383</v>
      </c>
      <c r="B1869" s="143" t="s">
        <v>86</v>
      </c>
      <c r="C1869" s="143" t="s">
        <v>86</v>
      </c>
    </row>
    <row r="1870" spans="1:3" x14ac:dyDescent="0.25">
      <c r="A1870" s="3" t="s">
        <v>3030</v>
      </c>
      <c r="B1870" s="143" t="s">
        <v>86</v>
      </c>
      <c r="C1870" s="143" t="s">
        <v>86</v>
      </c>
    </row>
    <row r="1871" spans="1:3" x14ac:dyDescent="0.25">
      <c r="A1871" s="3" t="s">
        <v>3031</v>
      </c>
      <c r="B1871" s="143">
        <v>-23.911666666666669</v>
      </c>
      <c r="C1871" s="143">
        <v>-42.97</v>
      </c>
    </row>
    <row r="1872" spans="1:3" x14ac:dyDescent="0.25">
      <c r="A1872" s="3" t="s">
        <v>3384</v>
      </c>
      <c r="B1872" s="143" t="s">
        <v>86</v>
      </c>
      <c r="C1872" s="143" t="s">
        <v>86</v>
      </c>
    </row>
    <row r="1873" spans="1:3" x14ac:dyDescent="0.25">
      <c r="A1873" s="3" t="s">
        <v>3385</v>
      </c>
      <c r="B1873" s="143" t="s">
        <v>86</v>
      </c>
      <c r="C1873" s="143" t="s">
        <v>86</v>
      </c>
    </row>
    <row r="1874" spans="1:3" x14ac:dyDescent="0.25">
      <c r="A1874" s="3" t="s">
        <v>3386</v>
      </c>
      <c r="B1874" s="143" t="s">
        <v>86</v>
      </c>
      <c r="C1874" s="143" t="s">
        <v>86</v>
      </c>
    </row>
    <row r="1875" spans="1:3" x14ac:dyDescent="0.25">
      <c r="A1875" s="3" t="s">
        <v>3388</v>
      </c>
      <c r="B1875" s="143" t="s">
        <v>86</v>
      </c>
      <c r="C1875" s="143" t="s">
        <v>86</v>
      </c>
    </row>
    <row r="1876" spans="1:3" x14ac:dyDescent="0.25">
      <c r="A1876" s="3" t="s">
        <v>3389</v>
      </c>
      <c r="B1876" s="143" t="s">
        <v>86</v>
      </c>
      <c r="C1876" s="143" t="s">
        <v>86</v>
      </c>
    </row>
    <row r="1877" spans="1:3" x14ac:dyDescent="0.25">
      <c r="A1877" s="3" t="s">
        <v>3390</v>
      </c>
      <c r="B1877" s="143" t="s">
        <v>86</v>
      </c>
      <c r="C1877" s="143" t="s">
        <v>86</v>
      </c>
    </row>
    <row r="1878" spans="1:3" x14ac:dyDescent="0.25">
      <c r="A1878" s="3" t="s">
        <v>3391</v>
      </c>
      <c r="B1878" s="143" t="s">
        <v>86</v>
      </c>
      <c r="C1878" s="143" t="s">
        <v>86</v>
      </c>
    </row>
    <row r="1879" spans="1:3" x14ac:dyDescent="0.25">
      <c r="A1879" s="3" t="s">
        <v>3392</v>
      </c>
      <c r="B1879" s="143" t="s">
        <v>86</v>
      </c>
      <c r="C1879" s="143" t="s">
        <v>86</v>
      </c>
    </row>
    <row r="1880" spans="1:3" x14ac:dyDescent="0.25">
      <c r="A1880" s="3" t="s">
        <v>3393</v>
      </c>
      <c r="B1880" s="143" t="s">
        <v>86</v>
      </c>
      <c r="C1880" s="143" t="s">
        <v>86</v>
      </c>
    </row>
    <row r="1881" spans="1:3" x14ac:dyDescent="0.25">
      <c r="A1881" s="3" t="s">
        <v>3032</v>
      </c>
      <c r="B1881" s="143" t="s">
        <v>86</v>
      </c>
      <c r="C1881" s="143" t="s">
        <v>86</v>
      </c>
    </row>
    <row r="1882" spans="1:3" x14ac:dyDescent="0.25">
      <c r="A1882" s="3" t="s">
        <v>3033</v>
      </c>
      <c r="B1882" s="143">
        <v>-7.6280000000000001</v>
      </c>
      <c r="C1882" s="143">
        <v>-5.9980428062657092</v>
      </c>
    </row>
    <row r="1883" spans="1:3" x14ac:dyDescent="0.25">
      <c r="A1883" s="3" t="s">
        <v>3034</v>
      </c>
      <c r="B1883" s="143">
        <v>-4.7377631963951314</v>
      </c>
      <c r="C1883" s="143">
        <v>-7.72</v>
      </c>
    </row>
    <row r="1884" spans="1:3" x14ac:dyDescent="0.25">
      <c r="A1884" s="3" t="s">
        <v>3035</v>
      </c>
      <c r="B1884" s="143">
        <v>-9.8925000000000001</v>
      </c>
      <c r="C1884" s="143" t="s">
        <v>86</v>
      </c>
    </row>
    <row r="1885" spans="1:3" x14ac:dyDescent="0.25">
      <c r="A1885" s="3" t="s">
        <v>3036</v>
      </c>
      <c r="B1885" s="143">
        <v>-22.639600000000002</v>
      </c>
      <c r="C1885" s="143">
        <v>-28.639756033240101</v>
      </c>
    </row>
    <row r="1886" spans="1:3" x14ac:dyDescent="0.25">
      <c r="A1886" s="3" t="s">
        <v>3037</v>
      </c>
      <c r="B1886" s="143">
        <v>-1.256414835164835</v>
      </c>
      <c r="C1886" s="143" t="s">
        <v>86</v>
      </c>
    </row>
    <row r="1887" spans="1:3" x14ac:dyDescent="0.25">
      <c r="A1887" s="3" t="s">
        <v>3394</v>
      </c>
      <c r="B1887" s="143" t="s">
        <v>86</v>
      </c>
      <c r="C1887" s="143" t="s">
        <v>86</v>
      </c>
    </row>
    <row r="1888" spans="1:3" x14ac:dyDescent="0.25">
      <c r="A1888" s="3" t="s">
        <v>3039</v>
      </c>
      <c r="B1888" s="143">
        <v>-4.1022757633028606</v>
      </c>
      <c r="C1888" s="143">
        <v>-9.9145628158707542</v>
      </c>
    </row>
    <row r="1889" spans="1:3" x14ac:dyDescent="0.25">
      <c r="A1889" s="3" t="s">
        <v>3040</v>
      </c>
      <c r="B1889" s="143">
        <v>-10.91792063492063</v>
      </c>
      <c r="C1889" s="143">
        <v>-31.98</v>
      </c>
    </row>
    <row r="1890" spans="1:3" x14ac:dyDescent="0.25">
      <c r="A1890" s="3" t="s">
        <v>3041</v>
      </c>
      <c r="B1890" s="143">
        <v>-21.123404669555239</v>
      </c>
      <c r="C1890" s="143">
        <v>-35.193420913953858</v>
      </c>
    </row>
    <row r="1891" spans="1:3" x14ac:dyDescent="0.25">
      <c r="A1891" s="3" t="s">
        <v>3042</v>
      </c>
      <c r="B1891" s="143">
        <v>-8.0167096718869981</v>
      </c>
      <c r="C1891" s="143">
        <v>-10.079805529468601</v>
      </c>
    </row>
    <row r="1892" spans="1:3" x14ac:dyDescent="0.25">
      <c r="A1892" s="3" t="s">
        <v>3043</v>
      </c>
      <c r="B1892" s="143" t="s">
        <v>86</v>
      </c>
      <c r="C1892" s="143" t="s">
        <v>86</v>
      </c>
    </row>
    <row r="1893" spans="1:3" x14ac:dyDescent="0.25">
      <c r="A1893" s="3" t="s">
        <v>3044</v>
      </c>
      <c r="B1893" s="143">
        <v>-2.0652083333333331</v>
      </c>
      <c r="C1893" s="143">
        <v>-10.66049596882703</v>
      </c>
    </row>
    <row r="1894" spans="1:3" x14ac:dyDescent="0.25">
      <c r="A1894" s="3" t="s">
        <v>3045</v>
      </c>
      <c r="B1894" s="143" t="s">
        <v>86</v>
      </c>
      <c r="C1894" s="143" t="s">
        <v>86</v>
      </c>
    </row>
    <row r="1895" spans="1:3" x14ac:dyDescent="0.25">
      <c r="A1895" s="3" t="s">
        <v>3046</v>
      </c>
      <c r="B1895" s="143">
        <v>-10.753</v>
      </c>
      <c r="C1895" s="143">
        <v>-10.64</v>
      </c>
    </row>
    <row r="1896" spans="1:3" x14ac:dyDescent="0.25">
      <c r="A1896" s="3" t="s">
        <v>3056</v>
      </c>
      <c r="B1896" s="143" t="s">
        <v>86</v>
      </c>
      <c r="C1896" s="143" t="s">
        <v>86</v>
      </c>
    </row>
    <row r="1897" spans="1:3" x14ac:dyDescent="0.25">
      <c r="A1897" s="3" t="s">
        <v>3047</v>
      </c>
      <c r="B1897" s="143">
        <v>-0.67</v>
      </c>
      <c r="C1897" s="143">
        <v>-0.38</v>
      </c>
    </row>
    <row r="1898" spans="1:3" x14ac:dyDescent="0.25">
      <c r="A1898" s="3" t="s">
        <v>3048</v>
      </c>
      <c r="B1898" s="143">
        <v>-22.961392857142862</v>
      </c>
      <c r="C1898" s="143" t="s">
        <v>86</v>
      </c>
    </row>
    <row r="1899" spans="1:3" x14ac:dyDescent="0.25">
      <c r="A1899" s="3" t="s">
        <v>3395</v>
      </c>
      <c r="B1899" s="143" t="s">
        <v>86</v>
      </c>
      <c r="C1899" s="143" t="s">
        <v>86</v>
      </c>
    </row>
    <row r="1900" spans="1:3" x14ac:dyDescent="0.25">
      <c r="A1900" s="3" t="s">
        <v>3049</v>
      </c>
      <c r="B1900" s="143">
        <v>-8.3159999999999989</v>
      </c>
      <c r="C1900" s="143" t="s">
        <v>86</v>
      </c>
    </row>
    <row r="1901" spans="1:3" x14ac:dyDescent="0.25">
      <c r="A1901" s="3" t="s">
        <v>3050</v>
      </c>
      <c r="B1901" s="143">
        <v>-8.553591586426208</v>
      </c>
      <c r="C1901" s="143">
        <v>-12.952795902548649</v>
      </c>
    </row>
    <row r="1902" spans="1:3" x14ac:dyDescent="0.25">
      <c r="A1902" s="3" t="s">
        <v>3051</v>
      </c>
      <c r="B1902" s="143" t="s">
        <v>86</v>
      </c>
      <c r="C1902" s="143" t="s">
        <v>86</v>
      </c>
    </row>
    <row r="1903" spans="1:3" x14ac:dyDescent="0.25">
      <c r="A1903" s="3" t="s">
        <v>3052</v>
      </c>
      <c r="B1903" s="143" t="s">
        <v>86</v>
      </c>
      <c r="C1903" s="143" t="s">
        <v>86</v>
      </c>
    </row>
    <row r="1904" spans="1:3" x14ac:dyDescent="0.25">
      <c r="A1904" s="3" t="s">
        <v>3053</v>
      </c>
      <c r="B1904" s="143">
        <v>-9.1960666666666668</v>
      </c>
      <c r="C1904" s="143" t="s">
        <v>86</v>
      </c>
    </row>
    <row r="1905" spans="1:3" x14ac:dyDescent="0.25">
      <c r="A1905" s="3" t="s">
        <v>3055</v>
      </c>
      <c r="B1905" s="143">
        <v>-9.7581999999999987</v>
      </c>
      <c r="C1905" s="143" t="s">
        <v>86</v>
      </c>
    </row>
    <row r="1906" spans="1:3" x14ac:dyDescent="0.25">
      <c r="A1906" s="3" t="s">
        <v>3057</v>
      </c>
      <c r="B1906" s="143" t="s">
        <v>86</v>
      </c>
      <c r="C1906" s="143" t="s">
        <v>86</v>
      </c>
    </row>
    <row r="1907" spans="1:3" x14ac:dyDescent="0.25">
      <c r="A1907" s="3" t="s">
        <v>3058</v>
      </c>
      <c r="B1907" s="143">
        <v>-12.9139294534413</v>
      </c>
      <c r="C1907" s="143">
        <v>-9.6778772803569062</v>
      </c>
    </row>
    <row r="1908" spans="1:3" x14ac:dyDescent="0.25">
      <c r="A1908" s="3" t="s">
        <v>3059</v>
      </c>
      <c r="B1908" s="143">
        <v>-11.537000000000001</v>
      </c>
      <c r="C1908" s="143" t="s">
        <v>86</v>
      </c>
    </row>
  </sheetData>
  <mergeCells count="1">
    <mergeCell ref="B1:C1"/>
  </mergeCells>
  <conditionalFormatting sqref="A2:A1908">
    <cfRule type="duplicateValues" dxfId="3" priority="3"/>
    <cfRule type="duplicateValues" dxfId="2" priority="4"/>
  </conditionalFormatting>
  <conditionalFormatting sqref="A1908">
    <cfRule type="duplicateValues" dxfId="1" priority="1"/>
    <cfRule type="duplicateValues" dxfId="0" priority="2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FBA FEES</vt:lpstr>
      <vt:lpstr>MAIN</vt:lpstr>
      <vt:lpstr>State</vt:lpstr>
      <vt:lpstr>ALL SKU</vt:lpstr>
      <vt:lpstr>Listing Price</vt:lpstr>
      <vt:lpstr>CALCULATOR MAIN</vt:lpstr>
      <vt:lpstr>Stores</vt:lpstr>
      <vt:lpstr>FREIGHT 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ADMIN</cp:lastModifiedBy>
  <cp:lastPrinted>2020-10-13T12:03:58Z</cp:lastPrinted>
  <dcterms:created xsi:type="dcterms:W3CDTF">2020-06-13T10:53:06Z</dcterms:created>
  <dcterms:modified xsi:type="dcterms:W3CDTF">2026-01-19T06:33:14Z</dcterms:modified>
</cp:coreProperties>
</file>